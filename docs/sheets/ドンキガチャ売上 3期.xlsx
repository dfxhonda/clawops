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6306" documentId="8_{A90F7C10-E3AD-4890-BEF0-391A602C0E73}" xr6:coauthVersionLast="47" xr6:coauthVersionMax="47" xr10:uidLastSave="{047A2458-94B9-1844-A301-84ABFA4AA6A4}"/>
  <bookViews>
    <workbookView xWindow="-120" yWindow="-120" windowWidth="29040" windowHeight="15720" tabRatio="924" xr2:uid="{00000000-000D-0000-FFFF-FFFF00000000}"/>
  </bookViews>
  <sheets>
    <sheet name="計画" sheetId="1" r:id="rId1"/>
    <sheet name="福重" sheetId="15" r:id="rId2"/>
    <sheet name="唐津" sheetId="17" r:id="rId3"/>
    <sheet name="飯塚" sheetId="19" r:id="rId4"/>
    <sheet name="小倉" sheetId="23" r:id="rId5"/>
    <sheet name="黒崎" sheetId="22" r:id="rId6"/>
    <sheet name="行橋" sheetId="26" r:id="rId7"/>
    <sheet name="宗像" sheetId="21" r:id="rId8"/>
    <sheet name="魚町" sheetId="24" r:id="rId9"/>
    <sheet name="鞍手" sheetId="20" r:id="rId10"/>
    <sheet name="長府" sheetId="25" r:id="rId11"/>
    <sheet name="宇部" sheetId="49" r:id="rId12"/>
    <sheet name="八女" sheetId="8" r:id="rId13"/>
    <sheet name="浜町" sheetId="3" r:id="rId14"/>
    <sheet name="時津" sheetId="4" r:id="rId15"/>
    <sheet name="佐賀" sheetId="7" r:id="rId16"/>
    <sheet name="那珂川" sheetId="14" r:id="rId17"/>
    <sheet name="中洲" sheetId="43" r:id="rId18"/>
    <sheet name="霧島" sheetId="44" r:id="rId19"/>
    <sheet name="川内" sheetId="13" r:id="rId20"/>
    <sheet name="都城" sheetId="45" r:id="rId21"/>
    <sheet name="鹿屋" sheetId="46" r:id="rId22"/>
    <sheet name="菊陽" sheetId="9" r:id="rId23"/>
    <sheet name="合志" sheetId="11" r:id="rId24"/>
    <sheet name="南熊本" sheetId="47" r:id="rId25"/>
    <sheet name="下通" sheetId="10" r:id="rId26"/>
    <sheet name="今宿" sheetId="16" r:id="rId27"/>
    <sheet name="八代" sheetId="12" r:id="rId28"/>
    <sheet name="佐世保" sheetId="6" r:id="rId29"/>
    <sheet name="大村" sheetId="5" r:id="rId30"/>
    <sheet name="延岡" sheetId="48" r:id="rId31"/>
    <sheet name="光吉" sheetId="29" r:id="rId32"/>
    <sheet name="別府" sheetId="27" r:id="rId33"/>
    <sheet name="Ｄプラ" sheetId="28" r:id="rId34"/>
    <sheet name="駅南" sheetId="41" r:id="rId35"/>
    <sheet name="巡回表①" sheetId="34" r:id="rId36"/>
    <sheet name="巡回表②" sheetId="35" r:id="rId37"/>
  </sheets>
  <definedNames>
    <definedName name="_xlnm._FilterDatabase" localSheetId="0" hidden="1">計画!#REF!</definedName>
    <definedName name="_xlnm._FilterDatabase" localSheetId="1" hidden="1">福重!$B$177:$K$219</definedName>
    <definedName name="_xlnm._FilterDatabase" localSheetId="14" hidden="1">時津!$B$25:$G$47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3" roundtripDataChecksum="cyQNm7FCxG5XMRiwP7ghvSN3H6v6M4LPBHs1/WO//F0="/>
    </ext>
  </extLst>
</workbook>
</file>

<file path=xl/calcChain.xml><?xml version="1.0" encoding="utf-8"?>
<calcChain xmlns="http://schemas.openxmlformats.org/spreadsheetml/2006/main">
  <c r="P126" i="23" l="1"/>
  <c r="Q126" i="23"/>
  <c r="Q127" i="23"/>
  <c r="Q137" i="23"/>
  <c r="R143" i="1"/>
  <c r="E126" i="23"/>
  <c r="F126" i="23"/>
  <c r="F127" i="23"/>
  <c r="F137" i="23"/>
  <c r="Q143" i="1"/>
  <c r="P116" i="22"/>
  <c r="Q116" i="22"/>
  <c r="Q117" i="22"/>
  <c r="Q125" i="22"/>
  <c r="U143" i="1"/>
  <c r="E116" i="22"/>
  <c r="F116" i="22"/>
  <c r="F117" i="22"/>
  <c r="F125" i="22"/>
  <c r="T143" i="1"/>
  <c r="AA11" i="49"/>
  <c r="AB11" i="49"/>
  <c r="AB12" i="49"/>
  <c r="AB13" i="49"/>
  <c r="AB14" i="49"/>
  <c r="AB15" i="49"/>
  <c r="AB16" i="49"/>
  <c r="AB17" i="49"/>
  <c r="AF143" i="1"/>
  <c r="P11" i="49"/>
  <c r="Q11" i="49"/>
  <c r="Q12" i="49"/>
  <c r="Q13" i="49"/>
  <c r="Q14" i="49"/>
  <c r="Q15" i="49"/>
  <c r="Q16" i="49"/>
  <c r="Q17" i="49"/>
  <c r="AE143" i="1"/>
  <c r="E11" i="49"/>
  <c r="F11" i="49"/>
  <c r="F12" i="49"/>
  <c r="F13" i="49"/>
  <c r="F14" i="49"/>
  <c r="F15" i="49"/>
  <c r="F16" i="49"/>
  <c r="F17" i="49"/>
  <c r="AD143" i="1"/>
  <c r="E12" i="49"/>
  <c r="P12" i="49"/>
  <c r="AA12" i="49"/>
  <c r="E13" i="49"/>
  <c r="P13" i="49"/>
  <c r="AA13" i="49"/>
  <c r="E14" i="49"/>
  <c r="P14" i="49"/>
  <c r="AA14" i="49"/>
  <c r="E15" i="49"/>
  <c r="P15" i="49"/>
  <c r="AA15" i="49"/>
  <c r="E16" i="49"/>
  <c r="P16" i="49"/>
  <c r="AA16" i="49"/>
  <c r="E17" i="49"/>
  <c r="P17" i="49"/>
  <c r="AA17" i="49"/>
  <c r="E11" i="25"/>
  <c r="F11" i="25"/>
  <c r="F12" i="25"/>
  <c r="F13" i="25"/>
  <c r="F14" i="25"/>
  <c r="F15" i="25"/>
  <c r="F16" i="25"/>
  <c r="F17" i="25"/>
  <c r="AC143" i="1"/>
  <c r="H11" i="25"/>
  <c r="J11" i="25"/>
  <c r="E12" i="25"/>
  <c r="H12" i="25"/>
  <c r="J12" i="25"/>
  <c r="E13" i="25"/>
  <c r="H13" i="25"/>
  <c r="J13" i="25"/>
  <c r="E14" i="25"/>
  <c r="E15" i="25"/>
  <c r="E16" i="25"/>
  <c r="H16" i="25"/>
  <c r="J16" i="25"/>
  <c r="E17" i="25"/>
  <c r="H17" i="25"/>
  <c r="I17" i="25"/>
  <c r="J17" i="25"/>
  <c r="E11" i="20"/>
  <c r="F11" i="20"/>
  <c r="F12" i="20"/>
  <c r="F13" i="20"/>
  <c r="F14" i="20"/>
  <c r="F15" i="20"/>
  <c r="F16" i="20"/>
  <c r="F17" i="20"/>
  <c r="AA143" i="1"/>
  <c r="H11" i="20"/>
  <c r="J11" i="20"/>
  <c r="E12" i="20"/>
  <c r="H12" i="20"/>
  <c r="J12" i="20"/>
  <c r="E13" i="20"/>
  <c r="H13" i="20"/>
  <c r="J13" i="20"/>
  <c r="E14" i="20"/>
  <c r="E15" i="20"/>
  <c r="E16" i="20"/>
  <c r="H16" i="20"/>
  <c r="J16" i="20"/>
  <c r="E17" i="20"/>
  <c r="H17" i="20"/>
  <c r="I17" i="20"/>
  <c r="J17" i="20"/>
  <c r="P11" i="24"/>
  <c r="Q11" i="24"/>
  <c r="Q12" i="24"/>
  <c r="Q13" i="24"/>
  <c r="Q14" i="24"/>
  <c r="Q15" i="24"/>
  <c r="Q16" i="24"/>
  <c r="Q17" i="24"/>
  <c r="Z143" i="1"/>
  <c r="E11" i="24"/>
  <c r="F11" i="24"/>
  <c r="F12" i="24"/>
  <c r="F13" i="24"/>
  <c r="F14" i="24"/>
  <c r="F15" i="24"/>
  <c r="F16" i="24"/>
  <c r="F17" i="24"/>
  <c r="Y143" i="1"/>
  <c r="E12" i="24"/>
  <c r="P12" i="24"/>
  <c r="E13" i="24"/>
  <c r="P13" i="24"/>
  <c r="E14" i="24"/>
  <c r="P14" i="24"/>
  <c r="E15" i="24"/>
  <c r="P15" i="24"/>
  <c r="E16" i="24"/>
  <c r="P16" i="24"/>
  <c r="E17" i="24"/>
  <c r="P17" i="24"/>
  <c r="AA11" i="21"/>
  <c r="AB11" i="21"/>
  <c r="AB12" i="21"/>
  <c r="AB13" i="21"/>
  <c r="AB14" i="21"/>
  <c r="AB15" i="21"/>
  <c r="AB16" i="21"/>
  <c r="AB17" i="21"/>
  <c r="X143" i="1"/>
  <c r="P11" i="21"/>
  <c r="Q11" i="21"/>
  <c r="Q12" i="21"/>
  <c r="Q13" i="21"/>
  <c r="Q14" i="21"/>
  <c r="Q15" i="21"/>
  <c r="Q16" i="21"/>
  <c r="Q17" i="21"/>
  <c r="W143" i="1"/>
  <c r="E11" i="21"/>
  <c r="F11" i="21"/>
  <c r="F12" i="21"/>
  <c r="F13" i="21"/>
  <c r="F14" i="21"/>
  <c r="F15" i="21"/>
  <c r="F16" i="21"/>
  <c r="F17" i="21"/>
  <c r="V143" i="1"/>
  <c r="E12" i="21"/>
  <c r="P12" i="21"/>
  <c r="AA12" i="21"/>
  <c r="E13" i="21"/>
  <c r="P13" i="21"/>
  <c r="AA13" i="21"/>
  <c r="E14" i="21"/>
  <c r="P14" i="21"/>
  <c r="AA14" i="21"/>
  <c r="E15" i="21"/>
  <c r="P15" i="21"/>
  <c r="AA15" i="21"/>
  <c r="E16" i="21"/>
  <c r="P16" i="21"/>
  <c r="AA16" i="21"/>
  <c r="E17" i="21"/>
  <c r="P17" i="21"/>
  <c r="AA17" i="21"/>
  <c r="B389" i="15"/>
  <c r="A148" i="1" a="1"/>
  <c r="A148" i="1"/>
  <c r="AI145" i="1"/>
  <c r="AH148" i="1"/>
  <c r="AJ145" i="1"/>
  <c r="AK145" i="1"/>
  <c r="C38" i="7"/>
  <c r="D38" i="7"/>
  <c r="C39" i="7"/>
  <c r="D39" i="7"/>
  <c r="D40" i="7"/>
  <c r="D50" i="7"/>
  <c r="AL143" i="1"/>
  <c r="AL145" i="1"/>
  <c r="I38" i="7"/>
  <c r="J38" i="7"/>
  <c r="I39" i="7"/>
  <c r="J39" i="7"/>
  <c r="J40" i="7"/>
  <c r="J50" i="7"/>
  <c r="AM143" i="1"/>
  <c r="AM145" i="1"/>
  <c r="AL148" i="1"/>
  <c r="AL146" i="1"/>
  <c r="AL147" i="1"/>
  <c r="AG141" i="1"/>
  <c r="AH141" i="1"/>
  <c r="AH146" i="1"/>
  <c r="AH147" i="1"/>
  <c r="AI144" i="1"/>
  <c r="AJ144" i="1"/>
  <c r="AI147" i="1"/>
  <c r="AI148" i="1"/>
  <c r="E140" i="26"/>
  <c r="F140" i="26"/>
  <c r="E141" i="26"/>
  <c r="F141" i="26"/>
  <c r="E142" i="26"/>
  <c r="F142" i="26"/>
  <c r="E143" i="26"/>
  <c r="F143" i="26"/>
  <c r="E144" i="26"/>
  <c r="F144" i="26"/>
  <c r="E145" i="26"/>
  <c r="F145" i="26"/>
  <c r="E146" i="26"/>
  <c r="F146" i="26"/>
  <c r="E147" i="26"/>
  <c r="F147" i="26"/>
  <c r="E148" i="26"/>
  <c r="F148" i="26"/>
  <c r="E149" i="26"/>
  <c r="F149" i="26"/>
  <c r="E150" i="26"/>
  <c r="F150" i="26"/>
  <c r="BR133" i="1"/>
  <c r="B133" i="1"/>
  <c r="E140" i="14"/>
  <c r="F140" i="14"/>
  <c r="E141" i="14"/>
  <c r="F141" i="14"/>
  <c r="F142" i="14"/>
  <c r="F152" i="14"/>
  <c r="AN143" i="1"/>
  <c r="AN145" i="1"/>
  <c r="AO145" i="1"/>
  <c r="C23" i="43"/>
  <c r="D23" i="43"/>
  <c r="C24" i="43"/>
  <c r="D24" i="43"/>
  <c r="C25" i="43"/>
  <c r="D25" i="43"/>
  <c r="D26" i="43"/>
  <c r="D33" i="43"/>
  <c r="AP143" i="1"/>
  <c r="AP145" i="1"/>
  <c r="AO148" i="1"/>
  <c r="AO147" i="1"/>
  <c r="AO141" i="1"/>
  <c r="AO146" i="1"/>
  <c r="AP147" i="1"/>
  <c r="AP148" i="1"/>
  <c r="P357" i="15"/>
  <c r="Q357" i="15"/>
  <c r="P359" i="15"/>
  <c r="Q359" i="15"/>
  <c r="Q360" i="15"/>
  <c r="P361" i="15"/>
  <c r="Q361" i="15"/>
  <c r="Q362" i="15"/>
  <c r="Q363" i="15"/>
  <c r="Q364" i="15"/>
  <c r="Q365" i="15"/>
  <c r="Q366" i="15"/>
  <c r="Q367" i="15"/>
  <c r="Q368" i="15"/>
  <c r="Q369" i="15"/>
  <c r="Q371" i="15"/>
  <c r="Q373" i="15"/>
  <c r="Q375" i="15"/>
  <c r="Q377" i="15"/>
  <c r="Q379" i="15"/>
  <c r="Q381" i="15"/>
  <c r="Q383" i="15"/>
  <c r="Q385" i="15"/>
  <c r="Q387" i="15"/>
  <c r="Q389" i="15"/>
  <c r="Q391" i="15"/>
  <c r="Q393" i="15"/>
  <c r="D143" i="1"/>
  <c r="D145" i="1"/>
  <c r="AS357" i="15"/>
  <c r="AT357" i="15"/>
  <c r="AT359" i="15"/>
  <c r="AT360" i="15"/>
  <c r="AT361" i="15"/>
  <c r="AT362" i="15"/>
  <c r="AT363" i="15"/>
  <c r="AT364" i="15"/>
  <c r="AT365" i="15"/>
  <c r="AT366" i="15"/>
  <c r="AT368" i="15"/>
  <c r="AT369" i="15"/>
  <c r="AT371" i="15"/>
  <c r="AT373" i="15"/>
  <c r="AT375" i="15"/>
  <c r="AT377" i="15"/>
  <c r="AT379" i="15"/>
  <c r="AT381" i="15"/>
  <c r="AT383" i="15"/>
  <c r="AT385" i="15"/>
  <c r="AT387" i="15"/>
  <c r="AT389" i="15"/>
  <c r="AT391" i="15"/>
  <c r="AT393" i="15"/>
  <c r="E143" i="1"/>
  <c r="E145" i="1"/>
  <c r="Z357" i="15"/>
  <c r="AA357" i="15"/>
  <c r="Z359" i="15"/>
  <c r="AA359" i="15"/>
  <c r="AA360" i="15"/>
  <c r="Z361" i="15"/>
  <c r="AA361" i="15"/>
  <c r="AA362" i="15"/>
  <c r="AA363" i="15"/>
  <c r="AA364" i="15"/>
  <c r="AA365" i="15"/>
  <c r="AA366" i="15"/>
  <c r="AA367" i="15"/>
  <c r="AA368" i="15"/>
  <c r="AA369" i="15"/>
  <c r="AA371" i="15"/>
  <c r="AA373" i="15"/>
  <c r="AA375" i="15"/>
  <c r="AA377" i="15"/>
  <c r="AA379" i="15"/>
  <c r="AA381" i="15"/>
  <c r="AA383" i="15"/>
  <c r="AA385" i="15"/>
  <c r="AA387" i="15"/>
  <c r="AA389" i="15"/>
  <c r="AA391" i="15"/>
  <c r="AA393" i="15"/>
  <c r="F143" i="1"/>
  <c r="F145" i="1"/>
  <c r="AF357" i="15"/>
  <c r="AG357" i="15"/>
  <c r="AG359" i="15"/>
  <c r="AG360" i="15"/>
  <c r="AG361" i="15"/>
  <c r="AG362" i="15"/>
  <c r="AG363" i="15"/>
  <c r="AG364" i="15"/>
  <c r="AG365" i="15"/>
  <c r="AG366" i="15"/>
  <c r="AG367" i="15"/>
  <c r="AG368" i="15"/>
  <c r="AG369" i="15"/>
  <c r="AG371" i="15"/>
  <c r="AG373" i="15"/>
  <c r="AG375" i="15"/>
  <c r="AG377" i="15"/>
  <c r="AG379" i="15"/>
  <c r="AG381" i="15"/>
  <c r="AG383" i="15"/>
  <c r="AG385" i="15"/>
  <c r="AG387" i="15"/>
  <c r="AG389" i="15"/>
  <c r="AG391" i="15"/>
  <c r="AG393" i="15"/>
  <c r="G143" i="1"/>
  <c r="G145" i="1"/>
  <c r="AL357" i="15"/>
  <c r="AM357" i="15"/>
  <c r="AL359" i="15"/>
  <c r="AM359" i="15"/>
  <c r="AM360" i="15"/>
  <c r="AL361" i="15"/>
  <c r="AM361" i="15"/>
  <c r="AM362" i="15"/>
  <c r="AM363" i="15"/>
  <c r="AM364" i="15"/>
  <c r="AM365" i="15"/>
  <c r="AM366" i="15"/>
  <c r="AM367" i="15"/>
  <c r="AM368" i="15"/>
  <c r="AM369" i="15"/>
  <c r="AM371" i="15"/>
  <c r="AM373" i="15"/>
  <c r="AM375" i="15"/>
  <c r="AM377" i="15"/>
  <c r="AM379" i="15"/>
  <c r="AM381" i="15"/>
  <c r="AM383" i="15"/>
  <c r="AM385" i="15"/>
  <c r="AM387" i="15"/>
  <c r="AM389" i="15"/>
  <c r="AM391" i="15"/>
  <c r="AM393" i="15"/>
  <c r="H143" i="1"/>
  <c r="H145" i="1"/>
  <c r="D136" i="17"/>
  <c r="E136" i="17"/>
  <c r="D137" i="17"/>
  <c r="E137" i="17"/>
  <c r="E138" i="17"/>
  <c r="E146" i="17"/>
  <c r="L143" i="1"/>
  <c r="L145" i="1"/>
  <c r="J136" i="17"/>
  <c r="K136" i="17"/>
  <c r="J137" i="17"/>
  <c r="K137" i="17"/>
  <c r="K138" i="17"/>
  <c r="K146" i="17"/>
  <c r="M143" i="1"/>
  <c r="M145" i="1"/>
  <c r="P139" i="19"/>
  <c r="Q139" i="19"/>
  <c r="S139" i="19"/>
  <c r="P140" i="19"/>
  <c r="Q140" i="19"/>
  <c r="S140" i="19"/>
  <c r="S152" i="19"/>
  <c r="N143" i="1"/>
  <c r="N145" i="1"/>
  <c r="E139" i="19"/>
  <c r="F139" i="19"/>
  <c r="H139" i="19"/>
  <c r="E140" i="19"/>
  <c r="F140" i="19"/>
  <c r="H140" i="19"/>
  <c r="H152" i="19"/>
  <c r="O143" i="1"/>
  <c r="O145" i="1"/>
  <c r="AA139" i="19"/>
  <c r="AB139" i="19"/>
  <c r="AA140" i="19"/>
  <c r="AB140" i="19"/>
  <c r="AB152" i="19"/>
  <c r="P143" i="1"/>
  <c r="P145" i="1"/>
  <c r="Q145" i="1"/>
  <c r="R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F145" i="1"/>
  <c r="BG145" i="1"/>
  <c r="BH145" i="1"/>
  <c r="BI145" i="1"/>
  <c r="BJ145" i="1"/>
  <c r="BK145" i="1"/>
  <c r="BE145" i="1"/>
  <c r="BL145" i="1"/>
  <c r="BM145" i="1"/>
  <c r="S145" i="1"/>
  <c r="BN145" i="1"/>
  <c r="BO145" i="1"/>
  <c r="BP145" i="1"/>
  <c r="BQ145" i="1"/>
  <c r="E357" i="15"/>
  <c r="F357" i="15"/>
  <c r="E358" i="15"/>
  <c r="F358" i="15"/>
  <c r="E359" i="15"/>
  <c r="F359" i="15"/>
  <c r="E360" i="15"/>
  <c r="F360" i="15"/>
  <c r="E361" i="15"/>
  <c r="F361" i="15"/>
  <c r="E362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C143" i="1"/>
  <c r="C145" i="1"/>
  <c r="E311" i="15"/>
  <c r="F311" i="15"/>
  <c r="E312" i="15"/>
  <c r="F312" i="15"/>
  <c r="E313" i="15"/>
  <c r="F313" i="15"/>
  <c r="E314" i="15"/>
  <c r="F314" i="15"/>
  <c r="E315" i="15"/>
  <c r="F315" i="15"/>
  <c r="E316" i="15"/>
  <c r="F316" i="15"/>
  <c r="E317" i="15"/>
  <c r="F317" i="15"/>
  <c r="E318" i="15"/>
  <c r="F318" i="15"/>
  <c r="E319" i="15"/>
  <c r="F319" i="15"/>
  <c r="E320" i="15"/>
  <c r="F320" i="15"/>
  <c r="E321" i="15"/>
  <c r="F321" i="15"/>
  <c r="E322" i="15"/>
  <c r="F322" i="15"/>
  <c r="E323" i="15"/>
  <c r="F323" i="15"/>
  <c r="E324" i="15"/>
  <c r="F324" i="15"/>
  <c r="E325" i="15"/>
  <c r="F325" i="15"/>
  <c r="E326" i="15"/>
  <c r="F326" i="15"/>
  <c r="E327" i="15"/>
  <c r="F327" i="15"/>
  <c r="E328" i="15"/>
  <c r="F328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C126" i="1"/>
  <c r="A131" i="1" a="1"/>
  <c r="A131" i="1"/>
  <c r="C128" i="1"/>
  <c r="P311" i="15"/>
  <c r="Q311" i="15"/>
  <c r="P313" i="15"/>
  <c r="Q313" i="15"/>
  <c r="P315" i="15"/>
  <c r="Q315" i="15"/>
  <c r="Q316" i="15"/>
  <c r="P317" i="15"/>
  <c r="Q317" i="15"/>
  <c r="Q318" i="15"/>
  <c r="P319" i="15"/>
  <c r="Q319" i="15"/>
  <c r="Q320" i="15"/>
  <c r="P321" i="15"/>
  <c r="Q321" i="15"/>
  <c r="Q322" i="15"/>
  <c r="P323" i="15"/>
  <c r="Q323" i="15"/>
  <c r="Q324" i="15"/>
  <c r="P325" i="15"/>
  <c r="Q325" i="15"/>
  <c r="Q333" i="15"/>
  <c r="Q335" i="15"/>
  <c r="Q337" i="15"/>
  <c r="Q339" i="15"/>
  <c r="Q341" i="15"/>
  <c r="Q343" i="15"/>
  <c r="Q345" i="15"/>
  <c r="Q347" i="15"/>
  <c r="Q349" i="15"/>
  <c r="D126" i="1"/>
  <c r="D141" i="1"/>
  <c r="T126" i="1"/>
  <c r="U141" i="1"/>
  <c r="U126" i="1"/>
  <c r="V141" i="1"/>
  <c r="V126" i="1"/>
  <c r="W141" i="1"/>
  <c r="W126" i="1"/>
  <c r="X141" i="1"/>
  <c r="X126" i="1"/>
  <c r="Y141" i="1"/>
  <c r="AB141" i="1"/>
  <c r="AD126" i="1"/>
  <c r="AE141" i="1"/>
  <c r="AR141" i="1"/>
  <c r="BF141" i="1"/>
  <c r="BG141" i="1"/>
  <c r="BH141" i="1"/>
  <c r="BI141" i="1"/>
  <c r="BE141" i="1"/>
  <c r="BP141" i="1"/>
  <c r="C327" i="15"/>
  <c r="B136" i="1"/>
  <c r="BR136" i="1"/>
  <c r="B140" i="1"/>
  <c r="B141" i="1"/>
  <c r="B143" i="1"/>
  <c r="B144" i="1"/>
  <c r="C144" i="1"/>
  <c r="D144" i="1"/>
  <c r="E144" i="1"/>
  <c r="F144" i="1"/>
  <c r="G144" i="1"/>
  <c r="H144" i="1"/>
  <c r="AN144" i="1"/>
  <c r="L144" i="1"/>
  <c r="M144" i="1"/>
  <c r="N144" i="1"/>
  <c r="O144" i="1"/>
  <c r="P144" i="1"/>
  <c r="Q144" i="1"/>
  <c r="R144" i="1"/>
  <c r="T144" i="1"/>
  <c r="U144" i="1"/>
  <c r="V144" i="1"/>
  <c r="W144" i="1"/>
  <c r="X144" i="1"/>
  <c r="Y144" i="1"/>
  <c r="Z144" i="1"/>
  <c r="AA144" i="1"/>
  <c r="AC144" i="1"/>
  <c r="AD144" i="1"/>
  <c r="AE144" i="1"/>
  <c r="AF144" i="1"/>
  <c r="AK144" i="1"/>
  <c r="AL144" i="1"/>
  <c r="AM144" i="1"/>
  <c r="AP144" i="1"/>
  <c r="AQ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F144" i="1"/>
  <c r="BG144" i="1"/>
  <c r="BH144" i="1"/>
  <c r="BI144" i="1"/>
  <c r="BJ144" i="1"/>
  <c r="BK144" i="1"/>
  <c r="BE144" i="1"/>
  <c r="BL144" i="1"/>
  <c r="BM144" i="1"/>
  <c r="S144" i="1"/>
  <c r="BN144" i="1"/>
  <c r="BO144" i="1"/>
  <c r="BQ144" i="1"/>
  <c r="BS144" i="1"/>
  <c r="A145" i="1"/>
  <c r="B145" i="1"/>
  <c r="B146" i="1"/>
  <c r="E146" i="1"/>
  <c r="L146" i="1"/>
  <c r="T146" i="1"/>
  <c r="AE146" i="1"/>
  <c r="BB146" i="1"/>
  <c r="BH146" i="1"/>
  <c r="BP146" i="1"/>
  <c r="F147" i="1"/>
  <c r="G147" i="1"/>
  <c r="L147" i="1"/>
  <c r="M147" i="1"/>
  <c r="T147" i="1"/>
  <c r="U147" i="1"/>
  <c r="AE147" i="1"/>
  <c r="AF147" i="1"/>
  <c r="AM147" i="1"/>
  <c r="BB147" i="1"/>
  <c r="BC147" i="1"/>
  <c r="BH147" i="1"/>
  <c r="BI147" i="1"/>
  <c r="BP147" i="1"/>
  <c r="BQ147" i="1"/>
  <c r="B148" i="1"/>
  <c r="L148" i="1"/>
  <c r="M148" i="1"/>
  <c r="T148" i="1"/>
  <c r="U148" i="1"/>
  <c r="AE148" i="1"/>
  <c r="AF148" i="1"/>
  <c r="AM148" i="1"/>
  <c r="BB148" i="1"/>
  <c r="BC148" i="1"/>
  <c r="BH148" i="1"/>
  <c r="BI148" i="1"/>
  <c r="BP148" i="1"/>
  <c r="BQ148" i="1"/>
  <c r="P115" i="22"/>
  <c r="E115" i="22"/>
  <c r="AD139" i="19"/>
  <c r="AD140" i="19"/>
  <c r="AA141" i="19"/>
  <c r="AB141" i="19"/>
  <c r="AD141" i="19"/>
  <c r="AA142" i="19"/>
  <c r="AB142" i="19"/>
  <c r="AD142" i="19"/>
  <c r="AA143" i="19"/>
  <c r="AB143" i="19"/>
  <c r="AD143" i="19"/>
  <c r="AA144" i="19"/>
  <c r="AB144" i="19"/>
  <c r="AD144" i="19"/>
  <c r="AA145" i="19"/>
  <c r="AB145" i="19"/>
  <c r="AD145" i="19"/>
  <c r="AA146" i="19"/>
  <c r="AB146" i="19"/>
  <c r="AD146" i="19"/>
  <c r="AA147" i="19"/>
  <c r="AB147" i="19"/>
  <c r="AD147" i="19"/>
  <c r="AA148" i="19"/>
  <c r="AB148" i="19"/>
  <c r="AD148" i="19"/>
  <c r="AA149" i="19"/>
  <c r="AB149" i="19"/>
  <c r="AD149" i="19"/>
  <c r="AA150" i="19"/>
  <c r="AB150" i="19"/>
  <c r="AD150" i="19"/>
  <c r="AA151" i="19"/>
  <c r="AB151" i="19"/>
  <c r="AD151" i="19"/>
  <c r="AD152" i="19"/>
  <c r="AC152" i="19"/>
  <c r="AF139" i="19"/>
  <c r="AF152" i="19"/>
  <c r="AG152" i="19"/>
  <c r="AH152" i="19"/>
  <c r="AE152" i="19"/>
  <c r="AA152" i="19"/>
  <c r="P141" i="19"/>
  <c r="Q141" i="19"/>
  <c r="S141" i="19"/>
  <c r="P142" i="19"/>
  <c r="Q142" i="19"/>
  <c r="S142" i="19"/>
  <c r="P143" i="19"/>
  <c r="Q143" i="19"/>
  <c r="S143" i="19"/>
  <c r="P144" i="19"/>
  <c r="Q144" i="19"/>
  <c r="S144" i="19"/>
  <c r="P145" i="19"/>
  <c r="Q145" i="19"/>
  <c r="S145" i="19"/>
  <c r="P146" i="19"/>
  <c r="Q146" i="19"/>
  <c r="S146" i="19"/>
  <c r="P147" i="19"/>
  <c r="Q147" i="19"/>
  <c r="S147" i="19"/>
  <c r="P148" i="19"/>
  <c r="Q148" i="19"/>
  <c r="S148" i="19"/>
  <c r="P149" i="19"/>
  <c r="Q149" i="19"/>
  <c r="S149" i="19"/>
  <c r="P150" i="19"/>
  <c r="Q150" i="19"/>
  <c r="S150" i="19"/>
  <c r="P151" i="19"/>
  <c r="Q151" i="19"/>
  <c r="S151" i="19"/>
  <c r="R152" i="19"/>
  <c r="U139" i="19"/>
  <c r="U152" i="19"/>
  <c r="V152" i="19"/>
  <c r="W152" i="19"/>
  <c r="T152" i="19"/>
  <c r="Q152" i="19"/>
  <c r="P152" i="19"/>
  <c r="E141" i="19"/>
  <c r="F141" i="19"/>
  <c r="H141" i="19"/>
  <c r="E142" i="19"/>
  <c r="F142" i="19"/>
  <c r="H142" i="19"/>
  <c r="E143" i="19"/>
  <c r="F143" i="19"/>
  <c r="H143" i="19"/>
  <c r="E144" i="19"/>
  <c r="F144" i="19"/>
  <c r="H144" i="19"/>
  <c r="E145" i="19"/>
  <c r="F145" i="19"/>
  <c r="H145" i="19"/>
  <c r="E146" i="19"/>
  <c r="F146" i="19"/>
  <c r="H146" i="19"/>
  <c r="E147" i="19"/>
  <c r="F147" i="19"/>
  <c r="H147" i="19"/>
  <c r="E148" i="19"/>
  <c r="F148" i="19"/>
  <c r="H148" i="19"/>
  <c r="E149" i="19"/>
  <c r="F149" i="19"/>
  <c r="H149" i="19"/>
  <c r="E150" i="19"/>
  <c r="F150" i="19"/>
  <c r="H150" i="19"/>
  <c r="E151" i="19"/>
  <c r="F151" i="19"/>
  <c r="H151" i="19"/>
  <c r="G152" i="19"/>
  <c r="J139" i="19"/>
  <c r="J152" i="19"/>
  <c r="K152" i="19"/>
  <c r="L152" i="19"/>
  <c r="I152" i="19"/>
  <c r="F152" i="19"/>
  <c r="E152" i="19"/>
  <c r="AF151" i="19"/>
  <c r="U151" i="19"/>
  <c r="J151" i="19"/>
  <c r="AF150" i="19"/>
  <c r="U150" i="19"/>
  <c r="J150" i="19"/>
  <c r="AF149" i="19"/>
  <c r="U149" i="19"/>
  <c r="J149" i="19"/>
  <c r="AF148" i="19"/>
  <c r="U148" i="19"/>
  <c r="J148" i="19"/>
  <c r="AF147" i="19"/>
  <c r="U147" i="19"/>
  <c r="J147" i="19"/>
  <c r="AF146" i="19"/>
  <c r="U146" i="19"/>
  <c r="J146" i="19"/>
  <c r="AF145" i="19"/>
  <c r="U145" i="19"/>
  <c r="J145" i="19"/>
  <c r="AF144" i="19"/>
  <c r="U144" i="19"/>
  <c r="J144" i="19"/>
  <c r="AF143" i="19"/>
  <c r="U143" i="19"/>
  <c r="J143" i="19"/>
  <c r="AF142" i="19"/>
  <c r="U142" i="19"/>
  <c r="J142" i="19"/>
  <c r="AF141" i="19"/>
  <c r="U141" i="19"/>
  <c r="J141" i="19"/>
  <c r="AF140" i="19"/>
  <c r="U140" i="19"/>
  <c r="J140" i="19"/>
  <c r="Q115" i="22"/>
  <c r="P117" i="22"/>
  <c r="P118" i="22"/>
  <c r="Q118" i="22"/>
  <c r="P119" i="22"/>
  <c r="Q119" i="22"/>
  <c r="P120" i="22"/>
  <c r="Q120" i="22"/>
  <c r="Q121" i="22"/>
  <c r="Q122" i="22"/>
  <c r="Q123" i="22"/>
  <c r="Q124" i="22"/>
  <c r="P121" i="22"/>
  <c r="P122" i="22"/>
  <c r="P123" i="22"/>
  <c r="P124" i="22"/>
  <c r="P125" i="22"/>
  <c r="F115" i="22"/>
  <c r="E117" i="22"/>
  <c r="E118" i="22"/>
  <c r="F118" i="22"/>
  <c r="E119" i="22"/>
  <c r="F119" i="22"/>
  <c r="E120" i="22"/>
  <c r="F120" i="22"/>
  <c r="F121" i="22"/>
  <c r="F122" i="22"/>
  <c r="F123" i="22"/>
  <c r="F124" i="22"/>
  <c r="E121" i="22"/>
  <c r="E122" i="22"/>
  <c r="E123" i="22"/>
  <c r="E124" i="22"/>
  <c r="E125" i="22"/>
  <c r="N124" i="22"/>
  <c r="M124" i="22"/>
  <c r="N123" i="22"/>
  <c r="M123" i="22"/>
  <c r="N122" i="22"/>
  <c r="M122" i="22"/>
  <c r="N121" i="22"/>
  <c r="M121" i="22"/>
  <c r="N120" i="22"/>
  <c r="M120" i="22"/>
  <c r="N119" i="22"/>
  <c r="M119" i="22"/>
  <c r="M118" i="22"/>
  <c r="M117" i="22"/>
  <c r="M116" i="22"/>
  <c r="M115" i="22"/>
  <c r="P125" i="23"/>
  <c r="E125" i="23"/>
  <c r="Q125" i="23"/>
  <c r="S125" i="23"/>
  <c r="S126" i="23"/>
  <c r="P127" i="23"/>
  <c r="S127" i="23"/>
  <c r="P128" i="23"/>
  <c r="Q128" i="23"/>
  <c r="S128" i="23"/>
  <c r="P129" i="23"/>
  <c r="Q129" i="23"/>
  <c r="S129" i="23"/>
  <c r="Q130" i="23"/>
  <c r="S130" i="23"/>
  <c r="Q131" i="23"/>
  <c r="S131" i="23"/>
  <c r="Q132" i="23"/>
  <c r="S132" i="23"/>
  <c r="Q133" i="23"/>
  <c r="S133" i="23"/>
  <c r="Q134" i="23"/>
  <c r="S134" i="23"/>
  <c r="Q135" i="23"/>
  <c r="S135" i="23"/>
  <c r="Q136" i="23"/>
  <c r="S136" i="23"/>
  <c r="S137" i="23"/>
  <c r="T137" i="23"/>
  <c r="U125" i="23"/>
  <c r="U137" i="23"/>
  <c r="R137" i="23"/>
  <c r="V137" i="23"/>
  <c r="P130" i="23"/>
  <c r="P131" i="23"/>
  <c r="P132" i="23"/>
  <c r="P133" i="23"/>
  <c r="P134" i="23"/>
  <c r="P135" i="23"/>
  <c r="P136" i="23"/>
  <c r="P137" i="23"/>
  <c r="F125" i="23"/>
  <c r="H125" i="23"/>
  <c r="H126" i="23"/>
  <c r="E127" i="23"/>
  <c r="H127" i="23"/>
  <c r="E128" i="23"/>
  <c r="F128" i="23"/>
  <c r="H128" i="23"/>
  <c r="F135" i="23"/>
  <c r="H135" i="23"/>
  <c r="F136" i="23"/>
  <c r="H136" i="23"/>
  <c r="H137" i="23"/>
  <c r="I137" i="23"/>
  <c r="J125" i="23"/>
  <c r="J137" i="23"/>
  <c r="G137" i="23"/>
  <c r="K137" i="23"/>
  <c r="E129" i="23"/>
  <c r="F129" i="23"/>
  <c r="F130" i="23"/>
  <c r="F131" i="23"/>
  <c r="F132" i="23"/>
  <c r="F133" i="23"/>
  <c r="F134" i="23"/>
  <c r="E130" i="23"/>
  <c r="E131" i="23"/>
  <c r="E132" i="23"/>
  <c r="E133" i="23"/>
  <c r="E134" i="23"/>
  <c r="E135" i="23"/>
  <c r="E136" i="23"/>
  <c r="E137" i="23"/>
  <c r="U136" i="23"/>
  <c r="J136" i="23"/>
  <c r="U135" i="23"/>
  <c r="J135" i="23"/>
  <c r="U128" i="23"/>
  <c r="J128" i="23"/>
  <c r="U127" i="23"/>
  <c r="J127" i="23"/>
  <c r="U126" i="23"/>
  <c r="J126" i="23"/>
  <c r="C20" i="43"/>
  <c r="C22" i="43"/>
  <c r="D22" i="43"/>
  <c r="C21" i="43"/>
  <c r="D21" i="43"/>
  <c r="D20" i="43"/>
  <c r="C27" i="43"/>
  <c r="C26" i="43"/>
  <c r="D27" i="43"/>
  <c r="C28" i="43"/>
  <c r="D28" i="43"/>
  <c r="D29" i="43"/>
  <c r="D30" i="43"/>
  <c r="D31" i="43"/>
  <c r="D32" i="43"/>
  <c r="C29" i="43"/>
  <c r="C30" i="43"/>
  <c r="C31" i="43"/>
  <c r="C32" i="43"/>
  <c r="C33" i="43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C37" i="7"/>
  <c r="G43" i="7"/>
  <c r="G44" i="7"/>
  <c r="G45" i="7"/>
  <c r="G46" i="7"/>
  <c r="I37" i="7"/>
  <c r="D37" i="7"/>
  <c r="G37" i="7"/>
  <c r="J37" i="7"/>
  <c r="G38" i="7"/>
  <c r="G39" i="7"/>
  <c r="C40" i="7"/>
  <c r="G40" i="7"/>
  <c r="I40" i="7"/>
  <c r="C41" i="7"/>
  <c r="D41" i="7"/>
  <c r="G41" i="7"/>
  <c r="I41" i="7"/>
  <c r="J41" i="7"/>
  <c r="C42" i="7"/>
  <c r="D42" i="7"/>
  <c r="G42" i="7"/>
  <c r="I42" i="7"/>
  <c r="J42" i="7"/>
  <c r="C43" i="7"/>
  <c r="D43" i="7"/>
  <c r="I43" i="7"/>
  <c r="J43" i="7"/>
  <c r="C44" i="7"/>
  <c r="D44" i="7"/>
  <c r="I44" i="7"/>
  <c r="J44" i="7"/>
  <c r="C45" i="7"/>
  <c r="D45" i="7"/>
  <c r="I45" i="7"/>
  <c r="J45" i="7"/>
  <c r="C46" i="7"/>
  <c r="D46" i="7"/>
  <c r="I46" i="7"/>
  <c r="J46" i="7"/>
  <c r="C47" i="7"/>
  <c r="D47" i="7"/>
  <c r="G47" i="7"/>
  <c r="I47" i="7"/>
  <c r="J47" i="7"/>
  <c r="C48" i="7"/>
  <c r="D48" i="7"/>
  <c r="G48" i="7"/>
  <c r="I48" i="7"/>
  <c r="J48" i="7"/>
  <c r="C49" i="7"/>
  <c r="D49" i="7"/>
  <c r="G49" i="7"/>
  <c r="I49" i="7"/>
  <c r="J49" i="7"/>
  <c r="C50" i="7"/>
  <c r="I50" i="7"/>
  <c r="AA8" i="21"/>
  <c r="F28" i="4"/>
  <c r="F30" i="4"/>
  <c r="F32" i="4"/>
  <c r="F34" i="4"/>
  <c r="F36" i="4"/>
  <c r="F38" i="4"/>
  <c r="F40" i="4"/>
  <c r="F46" i="4"/>
  <c r="F44" i="4"/>
  <c r="F42" i="4"/>
  <c r="F45" i="4"/>
  <c r="E41" i="4"/>
  <c r="F41" i="4"/>
  <c r="F39" i="4"/>
  <c r="F37" i="4"/>
  <c r="F35" i="4"/>
  <c r="F33" i="4"/>
  <c r="E139" i="14"/>
  <c r="F139" i="14"/>
  <c r="P7" i="24"/>
  <c r="Q7" i="24"/>
  <c r="P8" i="24"/>
  <c r="Q8" i="24"/>
  <c r="C4" i="43"/>
  <c r="C357" i="15"/>
  <c r="M357" i="15"/>
  <c r="AP357" i="15"/>
  <c r="X357" i="15"/>
  <c r="AD357" i="15"/>
  <c r="AJ357" i="15"/>
  <c r="C359" i="15"/>
  <c r="M359" i="15"/>
  <c r="AP359" i="15"/>
  <c r="AS359" i="15"/>
  <c r="X359" i="15"/>
  <c r="AD359" i="15"/>
  <c r="AF359" i="15"/>
  <c r="AJ359" i="15"/>
  <c r="M360" i="15"/>
  <c r="P360" i="15"/>
  <c r="AP360" i="15"/>
  <c r="AS360" i="15"/>
  <c r="X360" i="15"/>
  <c r="Z360" i="15"/>
  <c r="AD360" i="15"/>
  <c r="AF360" i="15"/>
  <c r="AJ360" i="15"/>
  <c r="AL360" i="15"/>
  <c r="C361" i="15"/>
  <c r="M361" i="15"/>
  <c r="AP361" i="15"/>
  <c r="AS361" i="15"/>
  <c r="X361" i="15"/>
  <c r="AD361" i="15"/>
  <c r="AF361" i="15"/>
  <c r="AJ361" i="15"/>
  <c r="M362" i="15"/>
  <c r="P362" i="15"/>
  <c r="AP362" i="15"/>
  <c r="AS362" i="15"/>
  <c r="X362" i="15"/>
  <c r="Z362" i="15"/>
  <c r="AD362" i="15"/>
  <c r="AF362" i="15"/>
  <c r="AJ362" i="15"/>
  <c r="AL362" i="15"/>
  <c r="C363" i="15"/>
  <c r="E363" i="15"/>
  <c r="M363" i="15"/>
  <c r="P363" i="15"/>
  <c r="AP363" i="15"/>
  <c r="AS363" i="15"/>
  <c r="X363" i="15"/>
  <c r="Z363" i="15"/>
  <c r="AD363" i="15"/>
  <c r="AF363" i="15"/>
  <c r="AJ363" i="15"/>
  <c r="AL363" i="15"/>
  <c r="E364" i="15"/>
  <c r="M364" i="15"/>
  <c r="P364" i="15"/>
  <c r="AP364" i="15"/>
  <c r="AS364" i="15"/>
  <c r="X364" i="15"/>
  <c r="Z364" i="15"/>
  <c r="AD364" i="15"/>
  <c r="AF364" i="15"/>
  <c r="AJ364" i="15"/>
  <c r="AL364" i="15"/>
  <c r="C365" i="15"/>
  <c r="E365" i="15"/>
  <c r="M365" i="15"/>
  <c r="P365" i="15"/>
  <c r="AP365" i="15"/>
  <c r="AS365" i="15"/>
  <c r="X365" i="15"/>
  <c r="Z365" i="15"/>
  <c r="AD365" i="15"/>
  <c r="AF365" i="15"/>
  <c r="AJ365" i="15"/>
  <c r="AL365" i="15"/>
  <c r="E366" i="15"/>
  <c r="M366" i="15"/>
  <c r="P366" i="15"/>
  <c r="AP366" i="15"/>
  <c r="AS366" i="15"/>
  <c r="X366" i="15"/>
  <c r="Z366" i="15"/>
  <c r="AD366" i="15"/>
  <c r="AF366" i="15"/>
  <c r="AJ366" i="15"/>
  <c r="AL366" i="15"/>
  <c r="C367" i="15"/>
  <c r="E367" i="15"/>
  <c r="M367" i="15"/>
  <c r="P367" i="15"/>
  <c r="AP367" i="15"/>
  <c r="AS367" i="15"/>
  <c r="X367" i="15"/>
  <c r="Z367" i="15"/>
  <c r="AD367" i="15"/>
  <c r="AF367" i="15"/>
  <c r="AJ367" i="15"/>
  <c r="AL367" i="15"/>
  <c r="E368" i="15"/>
  <c r="M368" i="15"/>
  <c r="P368" i="15"/>
  <c r="AP368" i="15"/>
  <c r="AS368" i="15"/>
  <c r="X368" i="15"/>
  <c r="Z368" i="15"/>
  <c r="AD368" i="15"/>
  <c r="AF368" i="15"/>
  <c r="AJ368" i="15"/>
  <c r="AL368" i="15"/>
  <c r="C369" i="15"/>
  <c r="E369" i="15"/>
  <c r="M369" i="15"/>
  <c r="P369" i="15"/>
  <c r="AP369" i="15"/>
  <c r="AS369" i="15"/>
  <c r="X369" i="15"/>
  <c r="Z369" i="15"/>
  <c r="AD369" i="15"/>
  <c r="AF369" i="15"/>
  <c r="AJ369" i="15"/>
  <c r="AL369" i="15"/>
  <c r="E370" i="15"/>
  <c r="C371" i="15"/>
  <c r="E371" i="15"/>
  <c r="M371" i="15"/>
  <c r="P371" i="15"/>
  <c r="AP371" i="15"/>
  <c r="AS371" i="15"/>
  <c r="X371" i="15"/>
  <c r="Z371" i="15"/>
  <c r="AD371" i="15"/>
  <c r="AF371" i="15"/>
  <c r="AJ371" i="15"/>
  <c r="AL371" i="15"/>
  <c r="E372" i="15"/>
  <c r="P372" i="15"/>
  <c r="AS372" i="15"/>
  <c r="Z372" i="15"/>
  <c r="AF372" i="15"/>
  <c r="AL372" i="15"/>
  <c r="C373" i="15"/>
  <c r="E373" i="15"/>
  <c r="M373" i="15"/>
  <c r="P373" i="15"/>
  <c r="AP373" i="15"/>
  <c r="AS373" i="15"/>
  <c r="X373" i="15"/>
  <c r="Z373" i="15"/>
  <c r="AD373" i="15"/>
  <c r="AF373" i="15"/>
  <c r="AJ373" i="15"/>
  <c r="AL373" i="15"/>
  <c r="E374" i="15"/>
  <c r="P374" i="15"/>
  <c r="AS374" i="15"/>
  <c r="Z374" i="15"/>
  <c r="AF374" i="15"/>
  <c r="AL374" i="15"/>
  <c r="C375" i="15"/>
  <c r="E375" i="15"/>
  <c r="M375" i="15"/>
  <c r="P375" i="15"/>
  <c r="AP375" i="15"/>
  <c r="AS375" i="15"/>
  <c r="X375" i="15"/>
  <c r="Z375" i="15"/>
  <c r="AD375" i="15"/>
  <c r="AF375" i="15"/>
  <c r="AJ375" i="15"/>
  <c r="AL375" i="15"/>
  <c r="E376" i="15"/>
  <c r="C377" i="15"/>
  <c r="E377" i="15"/>
  <c r="M377" i="15"/>
  <c r="P377" i="15"/>
  <c r="AP377" i="15"/>
  <c r="AS377" i="15"/>
  <c r="X377" i="15"/>
  <c r="Z377" i="15"/>
  <c r="AD377" i="15"/>
  <c r="AF377" i="15"/>
  <c r="AJ377" i="15"/>
  <c r="AL377" i="15"/>
  <c r="E378" i="15"/>
  <c r="M378" i="15"/>
  <c r="C379" i="15"/>
  <c r="E379" i="15"/>
  <c r="M379" i="15"/>
  <c r="P379" i="15"/>
  <c r="AP379" i="15"/>
  <c r="AS379" i="15"/>
  <c r="Z379" i="15"/>
  <c r="AD379" i="15"/>
  <c r="AF379" i="15"/>
  <c r="AJ379" i="15"/>
  <c r="AL379" i="15"/>
  <c r="E380" i="15"/>
  <c r="C381" i="15"/>
  <c r="E381" i="15"/>
  <c r="M381" i="15"/>
  <c r="P381" i="15"/>
  <c r="AP381" i="15"/>
  <c r="AS381" i="15"/>
  <c r="X381" i="15"/>
  <c r="Z381" i="15"/>
  <c r="AD381" i="15"/>
  <c r="AF381" i="15"/>
  <c r="AJ381" i="15"/>
  <c r="AL381" i="15"/>
  <c r="E382" i="15"/>
  <c r="C383" i="15"/>
  <c r="E383" i="15"/>
  <c r="M383" i="15"/>
  <c r="P383" i="15"/>
  <c r="AP383" i="15"/>
  <c r="AS383" i="15"/>
  <c r="X383" i="15"/>
  <c r="Z383" i="15"/>
  <c r="AD383" i="15"/>
  <c r="AF383" i="15"/>
  <c r="AJ383" i="15"/>
  <c r="AL383" i="15"/>
  <c r="E384" i="15"/>
  <c r="C385" i="15"/>
  <c r="E385" i="15"/>
  <c r="M385" i="15"/>
  <c r="P385" i="15"/>
  <c r="AP385" i="15"/>
  <c r="AS385" i="15"/>
  <c r="X385" i="15"/>
  <c r="Z385" i="15"/>
  <c r="AD385" i="15"/>
  <c r="AF385" i="15"/>
  <c r="AJ385" i="15"/>
  <c r="AL385" i="15"/>
  <c r="E386" i="15"/>
  <c r="C387" i="15"/>
  <c r="E387" i="15"/>
  <c r="M387" i="15"/>
  <c r="P387" i="15"/>
  <c r="AP387" i="15"/>
  <c r="AS387" i="15"/>
  <c r="X387" i="15"/>
  <c r="Z387" i="15"/>
  <c r="AD387" i="15"/>
  <c r="AF387" i="15"/>
  <c r="AJ387" i="15"/>
  <c r="AL387" i="15"/>
  <c r="E388" i="15"/>
  <c r="E389" i="15"/>
  <c r="M389" i="15"/>
  <c r="P389" i="15"/>
  <c r="AP389" i="15"/>
  <c r="AS389" i="15"/>
  <c r="X389" i="15"/>
  <c r="Z389" i="15"/>
  <c r="AD389" i="15"/>
  <c r="AF389" i="15"/>
  <c r="AJ389" i="15"/>
  <c r="AL389" i="15"/>
  <c r="E390" i="15"/>
  <c r="B391" i="15"/>
  <c r="E391" i="15"/>
  <c r="M391" i="15"/>
  <c r="P391" i="15"/>
  <c r="AP391" i="15"/>
  <c r="AS391" i="15"/>
  <c r="X391" i="15"/>
  <c r="Z391" i="15"/>
  <c r="AD391" i="15"/>
  <c r="AF391" i="15"/>
  <c r="AJ391" i="15"/>
  <c r="AL391" i="15"/>
  <c r="B392" i="15"/>
  <c r="E392" i="15"/>
  <c r="M392" i="15"/>
  <c r="AP392" i="15"/>
  <c r="X392" i="15"/>
  <c r="AD392" i="15"/>
  <c r="AJ392" i="15"/>
  <c r="C393" i="15"/>
  <c r="E393" i="15"/>
  <c r="G393" i="15"/>
  <c r="H393" i="15"/>
  <c r="I393" i="15"/>
  <c r="J393" i="15"/>
  <c r="P393" i="15"/>
  <c r="R393" i="15"/>
  <c r="S393" i="15"/>
  <c r="T393" i="15"/>
  <c r="U393" i="15"/>
  <c r="AS393" i="15"/>
  <c r="AU393" i="15"/>
  <c r="AV393" i="15"/>
  <c r="AW393" i="15"/>
  <c r="AX393" i="15"/>
  <c r="Z393" i="15"/>
  <c r="AF393" i="15"/>
  <c r="AL393" i="15"/>
  <c r="C395" i="15"/>
  <c r="D395" i="15"/>
  <c r="E395" i="15"/>
  <c r="F395" i="15"/>
  <c r="P395" i="15"/>
  <c r="Q395" i="15"/>
  <c r="AS395" i="15"/>
  <c r="AT395" i="15"/>
  <c r="Z395" i="15"/>
  <c r="AA395" i="15"/>
  <c r="AF395" i="15"/>
  <c r="AG395" i="15"/>
  <c r="AL395" i="15"/>
  <c r="AM395" i="15"/>
  <c r="E142" i="14"/>
  <c r="E143" i="14"/>
  <c r="F143" i="14"/>
  <c r="E144" i="14"/>
  <c r="F144" i="14"/>
  <c r="E145" i="14"/>
  <c r="F145" i="14"/>
  <c r="E146" i="14"/>
  <c r="F146" i="14"/>
  <c r="E147" i="14"/>
  <c r="F147" i="14"/>
  <c r="E148" i="14"/>
  <c r="F148" i="14"/>
  <c r="E149" i="14"/>
  <c r="F149" i="14"/>
  <c r="E150" i="14"/>
  <c r="F150" i="14"/>
  <c r="E151" i="14"/>
  <c r="F151" i="14"/>
  <c r="E152" i="14"/>
  <c r="H133" i="17"/>
  <c r="D134" i="17"/>
  <c r="E134" i="17"/>
  <c r="H134" i="17"/>
  <c r="J134" i="17"/>
  <c r="K134" i="17"/>
  <c r="D135" i="17"/>
  <c r="E135" i="17"/>
  <c r="H135" i="17"/>
  <c r="J135" i="17"/>
  <c r="K135" i="17"/>
  <c r="H136" i="17"/>
  <c r="H137" i="17"/>
  <c r="D138" i="17"/>
  <c r="H138" i="17"/>
  <c r="J138" i="17"/>
  <c r="D139" i="17"/>
  <c r="E139" i="17"/>
  <c r="H139" i="17"/>
  <c r="J139" i="17"/>
  <c r="K139" i="17"/>
  <c r="D140" i="17"/>
  <c r="E140" i="17"/>
  <c r="H140" i="17"/>
  <c r="J140" i="17"/>
  <c r="K140" i="17"/>
  <c r="D141" i="17"/>
  <c r="E141" i="17"/>
  <c r="H141" i="17"/>
  <c r="J141" i="17"/>
  <c r="K141" i="17"/>
  <c r="D142" i="17"/>
  <c r="E142" i="17"/>
  <c r="J142" i="17"/>
  <c r="K142" i="17"/>
  <c r="D143" i="17"/>
  <c r="E143" i="17"/>
  <c r="H143" i="17"/>
  <c r="J143" i="17"/>
  <c r="K143" i="17"/>
  <c r="D144" i="17"/>
  <c r="E144" i="17"/>
  <c r="H144" i="17"/>
  <c r="J144" i="17"/>
  <c r="K144" i="17"/>
  <c r="D145" i="17"/>
  <c r="E145" i="17"/>
  <c r="H145" i="17"/>
  <c r="J145" i="17"/>
  <c r="K145" i="17"/>
  <c r="D146" i="17"/>
  <c r="J146" i="17"/>
  <c r="AA5" i="21"/>
  <c r="AA6" i="21"/>
  <c r="AA7" i="21"/>
  <c r="D21" i="3"/>
  <c r="E21" i="3"/>
  <c r="D22" i="3"/>
  <c r="E22" i="3"/>
  <c r="D23" i="3"/>
  <c r="E23" i="3"/>
  <c r="D24" i="3"/>
  <c r="E24" i="3"/>
  <c r="D25" i="3"/>
  <c r="E25" i="3"/>
  <c r="E26" i="3"/>
  <c r="E27" i="3"/>
  <c r="E28" i="3"/>
  <c r="E29" i="3"/>
  <c r="E30" i="3"/>
  <c r="E31" i="3"/>
  <c r="D26" i="3"/>
  <c r="D27" i="3"/>
  <c r="D28" i="3"/>
  <c r="D29" i="3"/>
  <c r="D30" i="3"/>
  <c r="D31" i="3"/>
  <c r="B345" i="15"/>
  <c r="BR116" i="1"/>
  <c r="BR99" i="1"/>
  <c r="B99" i="1"/>
  <c r="B116" i="1"/>
  <c r="AS124" i="1"/>
  <c r="AU124" i="1"/>
  <c r="AV124" i="1"/>
  <c r="BA129" i="1"/>
  <c r="BA130" i="1"/>
  <c r="BB130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A131" i="1"/>
  <c r="BB131" i="1"/>
  <c r="BC128" i="1"/>
  <c r="BD128" i="1"/>
  <c r="BE128" i="1"/>
  <c r="BF128" i="1"/>
  <c r="BG128" i="1"/>
  <c r="BF131" i="1"/>
  <c r="BF130" i="1"/>
  <c r="BF129" i="1"/>
  <c r="BC111" i="1"/>
  <c r="BD111" i="1"/>
  <c r="BE111" i="1"/>
  <c r="BF111" i="1"/>
  <c r="BG111" i="1"/>
  <c r="BF114" i="1"/>
  <c r="BF113" i="1"/>
  <c r="BC107" i="1"/>
  <c r="BD107" i="1"/>
  <c r="BE107" i="1"/>
  <c r="BF107" i="1"/>
  <c r="BG107" i="1"/>
  <c r="BF112" i="1"/>
  <c r="AP111" i="1"/>
  <c r="AR111" i="1"/>
  <c r="AS111" i="1"/>
  <c r="AT111" i="1"/>
  <c r="AU111" i="1"/>
  <c r="AV111" i="1"/>
  <c r="AW111" i="1"/>
  <c r="AX111" i="1"/>
  <c r="AY111" i="1"/>
  <c r="AZ111" i="1"/>
  <c r="BA111" i="1"/>
  <c r="BB111" i="1"/>
  <c r="BA114" i="1"/>
  <c r="BA113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A112" i="1"/>
  <c r="BB113" i="1"/>
  <c r="BB114" i="1"/>
  <c r="F3" i="21"/>
  <c r="AB3" i="21"/>
  <c r="AB4" i="21"/>
  <c r="AB5" i="21"/>
  <c r="AB6" i="21"/>
  <c r="AB7" i="21"/>
  <c r="AB8" i="21"/>
  <c r="Q3" i="21"/>
  <c r="Q4" i="21"/>
  <c r="Q5" i="21"/>
  <c r="P6" i="21"/>
  <c r="Q6" i="21"/>
  <c r="P7" i="21"/>
  <c r="Q7" i="21"/>
  <c r="P8" i="21"/>
  <c r="Q8" i="21"/>
  <c r="H117" i="17"/>
  <c r="H118" i="17"/>
  <c r="H119" i="17"/>
  <c r="H120" i="17"/>
  <c r="H121" i="17"/>
  <c r="H122" i="17"/>
  <c r="H123" i="17"/>
  <c r="H124" i="17"/>
  <c r="D121" i="17"/>
  <c r="E121" i="17"/>
  <c r="D122" i="17"/>
  <c r="E122" i="17"/>
  <c r="D123" i="17"/>
  <c r="E123" i="17"/>
  <c r="D124" i="17"/>
  <c r="E124" i="17"/>
  <c r="E125" i="17"/>
  <c r="E129" i="17"/>
  <c r="L126" i="1"/>
  <c r="L128" i="1"/>
  <c r="J121" i="17"/>
  <c r="K121" i="17"/>
  <c r="J122" i="17"/>
  <c r="K122" i="17"/>
  <c r="J123" i="17"/>
  <c r="K123" i="17"/>
  <c r="J124" i="17"/>
  <c r="K124" i="17"/>
  <c r="K125" i="17"/>
  <c r="K129" i="17"/>
  <c r="M126" i="1"/>
  <c r="M128" i="1"/>
  <c r="P123" i="19"/>
  <c r="Q123" i="19"/>
  <c r="S123" i="19"/>
  <c r="P124" i="19"/>
  <c r="Q124" i="19"/>
  <c r="S124" i="19"/>
  <c r="P125" i="19"/>
  <c r="Q125" i="19"/>
  <c r="S125" i="19"/>
  <c r="P126" i="19"/>
  <c r="Q126" i="19"/>
  <c r="S126" i="19"/>
  <c r="S135" i="19"/>
  <c r="N126" i="1"/>
  <c r="N128" i="1"/>
  <c r="E123" i="19"/>
  <c r="F123" i="19"/>
  <c r="H123" i="19"/>
  <c r="E124" i="19"/>
  <c r="F124" i="19"/>
  <c r="H124" i="19"/>
  <c r="E125" i="19"/>
  <c r="F125" i="19"/>
  <c r="H125" i="19"/>
  <c r="E126" i="19"/>
  <c r="F126" i="19"/>
  <c r="H126" i="19"/>
  <c r="H135" i="19"/>
  <c r="O126" i="1"/>
  <c r="O128" i="1"/>
  <c r="AA123" i="19"/>
  <c r="AB123" i="19"/>
  <c r="AA124" i="19"/>
  <c r="AB124" i="19"/>
  <c r="AA125" i="19"/>
  <c r="AB125" i="19"/>
  <c r="AA126" i="19"/>
  <c r="AB126" i="19"/>
  <c r="AB135" i="19"/>
  <c r="P126" i="1"/>
  <c r="P128" i="1"/>
  <c r="E110" i="23"/>
  <c r="F110" i="23"/>
  <c r="E111" i="23"/>
  <c r="F111" i="23"/>
  <c r="E112" i="23"/>
  <c r="F112" i="23"/>
  <c r="E113" i="23"/>
  <c r="F113" i="23"/>
  <c r="F114" i="23"/>
  <c r="F121" i="23"/>
  <c r="Q126" i="1"/>
  <c r="Q128" i="1"/>
  <c r="P110" i="23"/>
  <c r="Q110" i="23"/>
  <c r="P111" i="23"/>
  <c r="Q111" i="23"/>
  <c r="P112" i="23"/>
  <c r="Q112" i="23"/>
  <c r="P113" i="23"/>
  <c r="Q113" i="23"/>
  <c r="Q114" i="23"/>
  <c r="Q121" i="23"/>
  <c r="R126" i="1"/>
  <c r="R128" i="1"/>
  <c r="E102" i="22"/>
  <c r="F102" i="22"/>
  <c r="E103" i="22"/>
  <c r="F103" i="22"/>
  <c r="E104" i="22"/>
  <c r="F104" i="22"/>
  <c r="E105" i="22"/>
  <c r="F105" i="22"/>
  <c r="E106" i="22"/>
  <c r="F106" i="22"/>
  <c r="F107" i="22"/>
  <c r="F111" i="22"/>
  <c r="S126" i="1"/>
  <c r="S128" i="1"/>
  <c r="P102" i="22"/>
  <c r="Q102" i="22"/>
  <c r="P103" i="22"/>
  <c r="Q103" i="22"/>
  <c r="P104" i="22"/>
  <c r="Q104" i="22"/>
  <c r="P105" i="22"/>
  <c r="Q105" i="22"/>
  <c r="P106" i="22"/>
  <c r="Q106" i="22"/>
  <c r="Q107" i="22"/>
  <c r="Q111" i="22"/>
  <c r="T128" i="1"/>
  <c r="E4" i="21"/>
  <c r="F4" i="21"/>
  <c r="E5" i="21"/>
  <c r="F5" i="21"/>
  <c r="E6" i="21"/>
  <c r="F6" i="21"/>
  <c r="E7" i="21"/>
  <c r="F7" i="21"/>
  <c r="E8" i="21"/>
  <c r="F8" i="21"/>
  <c r="F9" i="21"/>
  <c r="U128" i="1"/>
  <c r="P4" i="21"/>
  <c r="P5" i="21"/>
  <c r="Q9" i="21"/>
  <c r="V128" i="1"/>
  <c r="AA4" i="21"/>
  <c r="AB9" i="21"/>
  <c r="W128" i="1"/>
  <c r="E4" i="24"/>
  <c r="F4" i="24"/>
  <c r="E5" i="24"/>
  <c r="F5" i="24"/>
  <c r="E6" i="24"/>
  <c r="F6" i="24"/>
  <c r="E7" i="24"/>
  <c r="F7" i="24"/>
  <c r="E8" i="24"/>
  <c r="F8" i="24"/>
  <c r="F9" i="24"/>
  <c r="X128" i="1"/>
  <c r="Q3" i="24"/>
  <c r="P4" i="24"/>
  <c r="Q4" i="24"/>
  <c r="P5" i="24"/>
  <c r="Q5" i="24"/>
  <c r="P6" i="24"/>
  <c r="Q6" i="24"/>
  <c r="Q9" i="24"/>
  <c r="Y126" i="1"/>
  <c r="Y128" i="1"/>
  <c r="F3" i="20"/>
  <c r="E4" i="20"/>
  <c r="F4" i="20"/>
  <c r="E5" i="20"/>
  <c r="F5" i="20"/>
  <c r="E7" i="20"/>
  <c r="F7" i="20"/>
  <c r="E8" i="20"/>
  <c r="F8" i="20"/>
  <c r="E6" i="20"/>
  <c r="F6" i="20"/>
  <c r="F9" i="20"/>
  <c r="Z126" i="1"/>
  <c r="Z128" i="1"/>
  <c r="AA128" i="1"/>
  <c r="E4" i="25"/>
  <c r="F4" i="25"/>
  <c r="E5" i="25"/>
  <c r="F5" i="25"/>
  <c r="E6" i="25"/>
  <c r="F6" i="25"/>
  <c r="E7" i="25"/>
  <c r="F7" i="25"/>
  <c r="E8" i="25"/>
  <c r="F8" i="25"/>
  <c r="F9" i="25"/>
  <c r="AB126" i="1"/>
  <c r="AB128" i="1"/>
  <c r="E4" i="49"/>
  <c r="F4" i="49"/>
  <c r="E5" i="49"/>
  <c r="F5" i="49"/>
  <c r="E6" i="49"/>
  <c r="F6" i="49"/>
  <c r="F7" i="49"/>
  <c r="F8" i="49"/>
  <c r="F9" i="49"/>
  <c r="AC126" i="1"/>
  <c r="AC128" i="1"/>
  <c r="P4" i="49"/>
  <c r="Q4" i="49"/>
  <c r="P5" i="49"/>
  <c r="Q5" i="49"/>
  <c r="P6" i="49"/>
  <c r="Q6" i="49"/>
  <c r="Q7" i="49"/>
  <c r="Q8" i="49"/>
  <c r="Q9" i="49"/>
  <c r="AD128" i="1"/>
  <c r="AA4" i="49"/>
  <c r="AB4" i="49"/>
  <c r="AA5" i="49"/>
  <c r="AB5" i="49"/>
  <c r="AA6" i="49"/>
  <c r="AB6" i="49"/>
  <c r="AB7" i="49"/>
  <c r="AB8" i="49"/>
  <c r="AB9" i="49"/>
  <c r="AE126" i="1"/>
  <c r="AE128" i="1"/>
  <c r="AF128" i="1"/>
  <c r="AG128" i="1"/>
  <c r="AH128" i="1"/>
  <c r="D4" i="3"/>
  <c r="E4" i="3"/>
  <c r="D5" i="3"/>
  <c r="E5" i="3"/>
  <c r="D6" i="3"/>
  <c r="E6" i="3"/>
  <c r="E7" i="3"/>
  <c r="E8" i="3"/>
  <c r="E9" i="3"/>
  <c r="E10" i="3"/>
  <c r="E11" i="3"/>
  <c r="E12" i="3"/>
  <c r="E13" i="3"/>
  <c r="E14" i="3"/>
  <c r="E15" i="3"/>
  <c r="E16" i="3"/>
  <c r="AI128" i="1"/>
  <c r="E33" i="4"/>
  <c r="E35" i="4"/>
  <c r="E37" i="4"/>
  <c r="E39" i="4"/>
  <c r="F47" i="4"/>
  <c r="AJ128" i="1"/>
  <c r="AK128" i="1"/>
  <c r="C22" i="7"/>
  <c r="D22" i="7"/>
  <c r="C23" i="7"/>
  <c r="D23" i="7"/>
  <c r="C24" i="7"/>
  <c r="D24" i="7"/>
  <c r="C25" i="7"/>
  <c r="D25" i="7"/>
  <c r="C26" i="7"/>
  <c r="D26" i="7"/>
  <c r="D28" i="7"/>
  <c r="D33" i="7"/>
  <c r="AL126" i="1"/>
  <c r="AL128" i="1"/>
  <c r="I22" i="7"/>
  <c r="J22" i="7"/>
  <c r="I23" i="7"/>
  <c r="J23" i="7"/>
  <c r="I24" i="7"/>
  <c r="J24" i="7"/>
  <c r="I25" i="7"/>
  <c r="J25" i="7"/>
  <c r="I26" i="7"/>
  <c r="J26" i="7"/>
  <c r="J27" i="7"/>
  <c r="J33" i="7"/>
  <c r="AN126" i="1"/>
  <c r="AN128" i="1"/>
  <c r="C5" i="43"/>
  <c r="D5" i="43"/>
  <c r="C6" i="43"/>
  <c r="D6" i="43"/>
  <c r="C7" i="43"/>
  <c r="D7" i="43"/>
  <c r="D8" i="43"/>
  <c r="D4" i="43"/>
  <c r="D12" i="43"/>
  <c r="D16" i="43"/>
  <c r="AO126" i="1"/>
  <c r="AO128" i="1"/>
  <c r="BH128" i="1"/>
  <c r="BI128" i="1"/>
  <c r="BJ128" i="1"/>
  <c r="BK128" i="1"/>
  <c r="BL128" i="1"/>
  <c r="BM128" i="1"/>
  <c r="BN128" i="1"/>
  <c r="BO128" i="1"/>
  <c r="BP128" i="1"/>
  <c r="BQ128" i="1"/>
  <c r="E128" i="14"/>
  <c r="F128" i="14"/>
  <c r="E129" i="14"/>
  <c r="F129" i="14"/>
  <c r="E130" i="14"/>
  <c r="F130" i="14"/>
  <c r="E131" i="14"/>
  <c r="F131" i="14"/>
  <c r="E132" i="14"/>
  <c r="F132" i="14"/>
  <c r="F133" i="14"/>
  <c r="F135" i="14"/>
  <c r="I126" i="1"/>
  <c r="I128" i="1"/>
  <c r="D128" i="1"/>
  <c r="AS321" i="15"/>
  <c r="AT321" i="15"/>
  <c r="AS325" i="15"/>
  <c r="AT325" i="15"/>
  <c r="AT333" i="15"/>
  <c r="AS311" i="15"/>
  <c r="AT311" i="15"/>
  <c r="AS313" i="15"/>
  <c r="AT313" i="15"/>
  <c r="AS315" i="15"/>
  <c r="AT315" i="15"/>
  <c r="AT316" i="15"/>
  <c r="AS317" i="15"/>
  <c r="AT317" i="15"/>
  <c r="AT318" i="15"/>
  <c r="AS319" i="15"/>
  <c r="AT319" i="15"/>
  <c r="AT320" i="15"/>
  <c r="AT322" i="15"/>
  <c r="AT324" i="15"/>
  <c r="AT335" i="15"/>
  <c r="AT337" i="15"/>
  <c r="AT339" i="15"/>
  <c r="AT341" i="15"/>
  <c r="AT343" i="15"/>
  <c r="AT345" i="15"/>
  <c r="AT347" i="15"/>
  <c r="AT349" i="15"/>
  <c r="E126" i="1"/>
  <c r="E128" i="1"/>
  <c r="Z321" i="15"/>
  <c r="AA321" i="15"/>
  <c r="Z323" i="15"/>
  <c r="AA323" i="15"/>
  <c r="Z325" i="15"/>
  <c r="AA325" i="15"/>
  <c r="AA333" i="15"/>
  <c r="Z311" i="15"/>
  <c r="AA311" i="15"/>
  <c r="Z313" i="15"/>
  <c r="AA313" i="15"/>
  <c r="Z315" i="15"/>
  <c r="AA315" i="15"/>
  <c r="AA316" i="15"/>
  <c r="Z317" i="15"/>
  <c r="AA317" i="15"/>
  <c r="AA318" i="15"/>
  <c r="Z319" i="15"/>
  <c r="AA319" i="15"/>
  <c r="AA320" i="15"/>
  <c r="AA322" i="15"/>
  <c r="AA324" i="15"/>
  <c r="AA335" i="15"/>
  <c r="AA337" i="15"/>
  <c r="AA339" i="15"/>
  <c r="AA341" i="15"/>
  <c r="AA343" i="15"/>
  <c r="AA345" i="15"/>
  <c r="AA347" i="15"/>
  <c r="AA349" i="15"/>
  <c r="F126" i="1"/>
  <c r="F128" i="1"/>
  <c r="AF321" i="15"/>
  <c r="AG321" i="15"/>
  <c r="AF323" i="15"/>
  <c r="AG323" i="15"/>
  <c r="AF325" i="15"/>
  <c r="AG325" i="15"/>
  <c r="AG333" i="15"/>
  <c r="AF311" i="15"/>
  <c r="AG311" i="15"/>
  <c r="AF313" i="15"/>
  <c r="AG313" i="15"/>
  <c r="AF315" i="15"/>
  <c r="AG315" i="15"/>
  <c r="AG316" i="15"/>
  <c r="AF317" i="15"/>
  <c r="AG317" i="15"/>
  <c r="AG318" i="15"/>
  <c r="AF319" i="15"/>
  <c r="AG319" i="15"/>
  <c r="AG320" i="15"/>
  <c r="AG322" i="15"/>
  <c r="AG324" i="15"/>
  <c r="AG335" i="15"/>
  <c r="AG337" i="15"/>
  <c r="AG339" i="15"/>
  <c r="AG341" i="15"/>
  <c r="AG343" i="15"/>
  <c r="AG345" i="15"/>
  <c r="AG347" i="15"/>
  <c r="AG349" i="15"/>
  <c r="G126" i="1"/>
  <c r="G128" i="1"/>
  <c r="AL321" i="15"/>
  <c r="AM321" i="15"/>
  <c r="AL323" i="15"/>
  <c r="AM323" i="15"/>
  <c r="AL325" i="15"/>
  <c r="AM325" i="15"/>
  <c r="AM333" i="15"/>
  <c r="AL311" i="15"/>
  <c r="AM311" i="15"/>
  <c r="AL313" i="15"/>
  <c r="AM313" i="15"/>
  <c r="AL315" i="15"/>
  <c r="AM315" i="15"/>
  <c r="AM316" i="15"/>
  <c r="AL317" i="15"/>
  <c r="AM317" i="15"/>
  <c r="AM318" i="15"/>
  <c r="AL319" i="15"/>
  <c r="AM319" i="15"/>
  <c r="AM320" i="15"/>
  <c r="AM322" i="15"/>
  <c r="AM324" i="15"/>
  <c r="AM335" i="15"/>
  <c r="AM337" i="15"/>
  <c r="AM339" i="15"/>
  <c r="AM341" i="15"/>
  <c r="AM343" i="15"/>
  <c r="AM345" i="15"/>
  <c r="AM347" i="15"/>
  <c r="AM349" i="15"/>
  <c r="H126" i="1"/>
  <c r="H128" i="1"/>
  <c r="AA7" i="49"/>
  <c r="AA8" i="49"/>
  <c r="P7" i="49"/>
  <c r="P8" i="49"/>
  <c r="E7" i="49"/>
  <c r="E8" i="49"/>
  <c r="M5" i="24"/>
  <c r="M6" i="24"/>
  <c r="M7" i="24"/>
  <c r="M8" i="24"/>
  <c r="M4" i="24"/>
  <c r="X4" i="21"/>
  <c r="M4" i="21"/>
  <c r="E122" i="19"/>
  <c r="F122" i="19"/>
  <c r="H122" i="19"/>
  <c r="J122" i="19"/>
  <c r="P122" i="19"/>
  <c r="Q122" i="19"/>
  <c r="S122" i="19"/>
  <c r="U122" i="19"/>
  <c r="AA122" i="19"/>
  <c r="AB122" i="19"/>
  <c r="AD122" i="19"/>
  <c r="AF122" i="19"/>
  <c r="J123" i="19"/>
  <c r="U123" i="19"/>
  <c r="AD123" i="19"/>
  <c r="AF123" i="19"/>
  <c r="J124" i="19"/>
  <c r="U124" i="19"/>
  <c r="AD124" i="19"/>
  <c r="AF124" i="19"/>
  <c r="J125" i="19"/>
  <c r="U125" i="19"/>
  <c r="AD125" i="19"/>
  <c r="AF125" i="19"/>
  <c r="J126" i="19"/>
  <c r="U126" i="19"/>
  <c r="AD126" i="19"/>
  <c r="AF126" i="19"/>
  <c r="E127" i="19"/>
  <c r="F127" i="19"/>
  <c r="H127" i="19"/>
  <c r="J127" i="19"/>
  <c r="P127" i="19"/>
  <c r="Q127" i="19"/>
  <c r="S127" i="19"/>
  <c r="U127" i="19"/>
  <c r="AA127" i="19"/>
  <c r="AB127" i="19"/>
  <c r="AD127" i="19"/>
  <c r="AF127" i="19"/>
  <c r="E128" i="19"/>
  <c r="F128" i="19"/>
  <c r="H128" i="19"/>
  <c r="J128" i="19"/>
  <c r="P128" i="19"/>
  <c r="Q128" i="19"/>
  <c r="S128" i="19"/>
  <c r="U128" i="19"/>
  <c r="AA128" i="19"/>
  <c r="AB128" i="19"/>
  <c r="AD128" i="19"/>
  <c r="AF128" i="19"/>
  <c r="E129" i="19"/>
  <c r="F129" i="19"/>
  <c r="H129" i="19"/>
  <c r="J129" i="19"/>
  <c r="P129" i="19"/>
  <c r="Q129" i="19"/>
  <c r="S129" i="19"/>
  <c r="U129" i="19"/>
  <c r="AA129" i="19"/>
  <c r="AB129" i="19"/>
  <c r="AD129" i="19"/>
  <c r="AF129" i="19"/>
  <c r="E130" i="19"/>
  <c r="F130" i="19"/>
  <c r="H130" i="19"/>
  <c r="J130" i="19"/>
  <c r="P130" i="19"/>
  <c r="Q130" i="19"/>
  <c r="S130" i="19"/>
  <c r="U130" i="19"/>
  <c r="AA130" i="19"/>
  <c r="AB130" i="19"/>
  <c r="AD130" i="19"/>
  <c r="AF130" i="19"/>
  <c r="E131" i="19"/>
  <c r="F131" i="19"/>
  <c r="H131" i="19"/>
  <c r="J131" i="19"/>
  <c r="P131" i="19"/>
  <c r="Q131" i="19"/>
  <c r="S131" i="19"/>
  <c r="U131" i="19"/>
  <c r="AA131" i="19"/>
  <c r="AB131" i="19"/>
  <c r="AD131" i="19"/>
  <c r="AF131" i="19"/>
  <c r="E132" i="19"/>
  <c r="F132" i="19"/>
  <c r="H132" i="19"/>
  <c r="J132" i="19"/>
  <c r="P132" i="19"/>
  <c r="Q132" i="19"/>
  <c r="S132" i="19"/>
  <c r="U132" i="19"/>
  <c r="AA132" i="19"/>
  <c r="AB132" i="19"/>
  <c r="AD132" i="19"/>
  <c r="AF132" i="19"/>
  <c r="E133" i="19"/>
  <c r="F133" i="19"/>
  <c r="H133" i="19"/>
  <c r="J133" i="19"/>
  <c r="P133" i="19"/>
  <c r="Q133" i="19"/>
  <c r="S133" i="19"/>
  <c r="U133" i="19"/>
  <c r="AA133" i="19"/>
  <c r="AB133" i="19"/>
  <c r="AD133" i="19"/>
  <c r="AF133" i="19"/>
  <c r="E134" i="19"/>
  <c r="F134" i="19"/>
  <c r="H134" i="19"/>
  <c r="J134" i="19"/>
  <c r="P134" i="19"/>
  <c r="Q134" i="19"/>
  <c r="S134" i="19"/>
  <c r="U134" i="19"/>
  <c r="AA134" i="19"/>
  <c r="AB134" i="19"/>
  <c r="AD134" i="19"/>
  <c r="AF134" i="19"/>
  <c r="E135" i="19"/>
  <c r="F135" i="19"/>
  <c r="G135" i="19"/>
  <c r="I135" i="19"/>
  <c r="J135" i="19"/>
  <c r="K135" i="19"/>
  <c r="L135" i="19"/>
  <c r="P135" i="19"/>
  <c r="Q135" i="19"/>
  <c r="R135" i="19"/>
  <c r="T135" i="19"/>
  <c r="U135" i="19"/>
  <c r="V135" i="19"/>
  <c r="W135" i="19"/>
  <c r="AA135" i="19"/>
  <c r="AC135" i="19"/>
  <c r="AD135" i="19"/>
  <c r="AE135" i="19"/>
  <c r="AF135" i="19"/>
  <c r="AG135" i="19"/>
  <c r="AH135" i="19"/>
  <c r="I20" i="7"/>
  <c r="J20" i="7"/>
  <c r="I21" i="7"/>
  <c r="J21" i="7"/>
  <c r="J28" i="7"/>
  <c r="J29" i="7"/>
  <c r="J30" i="7"/>
  <c r="J31" i="7"/>
  <c r="J32" i="7"/>
  <c r="C20" i="7"/>
  <c r="D20" i="7"/>
  <c r="C21" i="7"/>
  <c r="D21" i="7"/>
  <c r="D29" i="7"/>
  <c r="D30" i="7"/>
  <c r="D31" i="7"/>
  <c r="D32" i="7"/>
  <c r="G20" i="7"/>
  <c r="G21" i="7"/>
  <c r="G22" i="7"/>
  <c r="G23" i="7"/>
  <c r="G24" i="7"/>
  <c r="G25" i="7"/>
  <c r="I27" i="7"/>
  <c r="C28" i="7"/>
  <c r="G28" i="7"/>
  <c r="I28" i="7"/>
  <c r="C29" i="7"/>
  <c r="G29" i="7"/>
  <c r="I29" i="7"/>
  <c r="C30" i="7"/>
  <c r="G30" i="7"/>
  <c r="I30" i="7"/>
  <c r="C31" i="7"/>
  <c r="G31" i="7"/>
  <c r="I31" i="7"/>
  <c r="C32" i="7"/>
  <c r="G32" i="7"/>
  <c r="I32" i="7"/>
  <c r="C33" i="7"/>
  <c r="I33" i="7"/>
  <c r="E27" i="4"/>
  <c r="F27" i="4"/>
  <c r="E29" i="4"/>
  <c r="F29" i="4"/>
  <c r="E31" i="4"/>
  <c r="F31" i="4"/>
  <c r="F18" i="4"/>
  <c r="F13" i="4"/>
  <c r="F11" i="4"/>
  <c r="F9" i="4"/>
  <c r="E28" i="4"/>
  <c r="E40" i="4"/>
  <c r="E30" i="4"/>
  <c r="E32" i="4"/>
  <c r="E34" i="4"/>
  <c r="E36" i="4"/>
  <c r="E38" i="4"/>
  <c r="E42" i="4"/>
  <c r="E44" i="4"/>
  <c r="E45" i="4"/>
  <c r="E46" i="4"/>
  <c r="E47" i="4"/>
  <c r="BP124" i="1"/>
  <c r="AK124" i="1"/>
  <c r="D3" i="43"/>
  <c r="C3" i="43"/>
  <c r="AB3" i="49"/>
  <c r="Q3" i="49"/>
  <c r="F3" i="49"/>
  <c r="M4" i="49"/>
  <c r="X4" i="49"/>
  <c r="M5" i="49"/>
  <c r="X5" i="49"/>
  <c r="M6" i="49"/>
  <c r="X6" i="49"/>
  <c r="M7" i="49"/>
  <c r="X7" i="49"/>
  <c r="M8" i="49"/>
  <c r="X8" i="49"/>
  <c r="M3" i="49"/>
  <c r="X3" i="49"/>
  <c r="F3" i="25"/>
  <c r="M3" i="24"/>
  <c r="F3" i="24"/>
  <c r="X3" i="21"/>
  <c r="M3" i="21"/>
  <c r="E9" i="49"/>
  <c r="AA9" i="49"/>
  <c r="P9" i="49"/>
  <c r="H8" i="25"/>
  <c r="J8" i="25"/>
  <c r="E9" i="25"/>
  <c r="H3" i="25"/>
  <c r="H4" i="25"/>
  <c r="H5" i="25"/>
  <c r="H9" i="25"/>
  <c r="I9" i="25"/>
  <c r="J3" i="25"/>
  <c r="J9" i="25"/>
  <c r="J4" i="25"/>
  <c r="J5" i="25"/>
  <c r="E109" i="23"/>
  <c r="F109" i="23"/>
  <c r="F115" i="23"/>
  <c r="F116" i="23"/>
  <c r="F117" i="23"/>
  <c r="F118" i="23"/>
  <c r="F119" i="23"/>
  <c r="F120" i="23"/>
  <c r="P109" i="23"/>
  <c r="Q109" i="23"/>
  <c r="Q115" i="23"/>
  <c r="Q116" i="23"/>
  <c r="Q117" i="23"/>
  <c r="Q118" i="23"/>
  <c r="Q119" i="23"/>
  <c r="Q120" i="23"/>
  <c r="E101" i="22"/>
  <c r="F101" i="22"/>
  <c r="F108" i="22"/>
  <c r="F109" i="22"/>
  <c r="F110" i="22"/>
  <c r="P101" i="22"/>
  <c r="Q101" i="22"/>
  <c r="Q108" i="22"/>
  <c r="Q109" i="22"/>
  <c r="Q110" i="22"/>
  <c r="P9" i="24"/>
  <c r="E9" i="24"/>
  <c r="E9" i="21"/>
  <c r="AA9" i="21"/>
  <c r="P9" i="21"/>
  <c r="M101" i="22"/>
  <c r="M102" i="22"/>
  <c r="M103" i="22"/>
  <c r="M104" i="22"/>
  <c r="M105" i="22"/>
  <c r="M106" i="22"/>
  <c r="M107" i="22"/>
  <c r="M108" i="22"/>
  <c r="M109" i="22"/>
  <c r="M110" i="22"/>
  <c r="N105" i="22"/>
  <c r="N106" i="22"/>
  <c r="E107" i="22"/>
  <c r="N107" i="22"/>
  <c r="P107" i="22"/>
  <c r="E108" i="22"/>
  <c r="N108" i="22"/>
  <c r="P108" i="22"/>
  <c r="E109" i="22"/>
  <c r="N109" i="22"/>
  <c r="P109" i="22"/>
  <c r="E110" i="22"/>
  <c r="N110" i="22"/>
  <c r="P110" i="22"/>
  <c r="E111" i="22"/>
  <c r="P111" i="22"/>
  <c r="H109" i="23"/>
  <c r="J109" i="23"/>
  <c r="S109" i="23"/>
  <c r="U109" i="23"/>
  <c r="H110" i="23"/>
  <c r="J110" i="23"/>
  <c r="S110" i="23"/>
  <c r="U110" i="23"/>
  <c r="H111" i="23"/>
  <c r="J111" i="23"/>
  <c r="S111" i="23"/>
  <c r="U111" i="23"/>
  <c r="H112" i="23"/>
  <c r="J112" i="23"/>
  <c r="S112" i="23"/>
  <c r="U112" i="23"/>
  <c r="S113" i="23"/>
  <c r="E114" i="23"/>
  <c r="P114" i="23"/>
  <c r="S114" i="23"/>
  <c r="E115" i="23"/>
  <c r="P115" i="23"/>
  <c r="S115" i="23"/>
  <c r="E116" i="23"/>
  <c r="P116" i="23"/>
  <c r="S116" i="23"/>
  <c r="E117" i="23"/>
  <c r="P117" i="23"/>
  <c r="S117" i="23"/>
  <c r="E118" i="23"/>
  <c r="P118" i="23"/>
  <c r="S118" i="23"/>
  <c r="E119" i="23"/>
  <c r="H119" i="23"/>
  <c r="J119" i="23"/>
  <c r="P119" i="23"/>
  <c r="S119" i="23"/>
  <c r="U119" i="23"/>
  <c r="E120" i="23"/>
  <c r="H120" i="23"/>
  <c r="J120" i="23"/>
  <c r="P120" i="23"/>
  <c r="S120" i="23"/>
  <c r="U120" i="23"/>
  <c r="E121" i="23"/>
  <c r="G121" i="23"/>
  <c r="H121" i="23"/>
  <c r="I121" i="23"/>
  <c r="J121" i="23"/>
  <c r="K121" i="23"/>
  <c r="P121" i="23"/>
  <c r="R121" i="23"/>
  <c r="S121" i="23"/>
  <c r="T121" i="23"/>
  <c r="U121" i="23"/>
  <c r="V121" i="23"/>
  <c r="J4" i="8"/>
  <c r="K4" i="8"/>
  <c r="D4" i="8"/>
  <c r="E4" i="8"/>
  <c r="D5" i="8"/>
  <c r="E5" i="8"/>
  <c r="J5" i="8"/>
  <c r="K5" i="8"/>
  <c r="D6" i="8"/>
  <c r="E6" i="8"/>
  <c r="J6" i="8"/>
  <c r="K6" i="8"/>
  <c r="D7" i="8"/>
  <c r="E7" i="8"/>
  <c r="J7" i="8"/>
  <c r="K7" i="8"/>
  <c r="D8" i="8"/>
  <c r="E8" i="8"/>
  <c r="J8" i="8"/>
  <c r="K8" i="8"/>
  <c r="D9" i="8"/>
  <c r="E9" i="8"/>
  <c r="J9" i="8"/>
  <c r="K9" i="8"/>
  <c r="D10" i="8"/>
  <c r="E10" i="8"/>
  <c r="J10" i="8"/>
  <c r="K10" i="8"/>
  <c r="D11" i="8"/>
  <c r="E11" i="8"/>
  <c r="J11" i="8"/>
  <c r="K11" i="8"/>
  <c r="D12" i="8"/>
  <c r="E12" i="8"/>
  <c r="J12" i="8"/>
  <c r="K12" i="8"/>
  <c r="D13" i="8"/>
  <c r="E13" i="8"/>
  <c r="H13" i="8"/>
  <c r="J13" i="8"/>
  <c r="K13" i="8"/>
  <c r="D14" i="8"/>
  <c r="E14" i="8"/>
  <c r="H14" i="8"/>
  <c r="J14" i="8"/>
  <c r="K14" i="8"/>
  <c r="D15" i="8"/>
  <c r="E15" i="8"/>
  <c r="H15" i="8"/>
  <c r="J15" i="8"/>
  <c r="K15" i="8"/>
  <c r="D16" i="8"/>
  <c r="E16" i="8"/>
  <c r="J16" i="8"/>
  <c r="K16" i="8"/>
  <c r="P267" i="15"/>
  <c r="Q267" i="15"/>
  <c r="P269" i="15"/>
  <c r="Q269" i="15"/>
  <c r="P271" i="15"/>
  <c r="Q271" i="15"/>
  <c r="Q272" i="15"/>
  <c r="P273" i="15"/>
  <c r="Q273" i="15"/>
  <c r="Q274" i="15"/>
  <c r="P275" i="15"/>
  <c r="Q275" i="15"/>
  <c r="Q276" i="15"/>
  <c r="P277" i="15"/>
  <c r="Q277" i="15"/>
  <c r="Q278" i="15"/>
  <c r="P279" i="15"/>
  <c r="Q279" i="15"/>
  <c r="Q280" i="15"/>
  <c r="P281" i="15"/>
  <c r="Q281" i="15"/>
  <c r="Q285" i="15"/>
  <c r="Q287" i="15"/>
  <c r="Q289" i="15"/>
  <c r="Q291" i="15"/>
  <c r="Q293" i="15"/>
  <c r="Q295" i="15"/>
  <c r="Q297" i="15"/>
  <c r="Q299" i="15"/>
  <c r="Q301" i="15"/>
  <c r="Q303" i="15"/>
  <c r="Q305" i="15"/>
  <c r="D109" i="1"/>
  <c r="D124" i="1"/>
  <c r="I109" i="1"/>
  <c r="I124" i="1"/>
  <c r="AA124" i="1"/>
  <c r="AF124" i="1"/>
  <c r="AG124" i="1"/>
  <c r="J118" i="17"/>
  <c r="K118" i="17"/>
  <c r="J119" i="17"/>
  <c r="K119" i="17"/>
  <c r="J120" i="17"/>
  <c r="K120" i="17"/>
  <c r="D118" i="17"/>
  <c r="E118" i="17"/>
  <c r="D119" i="17"/>
  <c r="E119" i="17"/>
  <c r="D120" i="17"/>
  <c r="E120" i="17"/>
  <c r="E125" i="14"/>
  <c r="F125" i="14"/>
  <c r="E126" i="14"/>
  <c r="F126" i="14"/>
  <c r="E127" i="14"/>
  <c r="F127" i="14"/>
  <c r="BQ111" i="1"/>
  <c r="BO111" i="1"/>
  <c r="BN111" i="1"/>
  <c r="BM111" i="1"/>
  <c r="BL111" i="1"/>
  <c r="BK111" i="1"/>
  <c r="BJ111" i="1"/>
  <c r="BI111" i="1"/>
  <c r="BH111" i="1"/>
  <c r="AO111" i="1"/>
  <c r="AN111" i="1"/>
  <c r="AL111" i="1"/>
  <c r="AJ111" i="1"/>
  <c r="AI111" i="1"/>
  <c r="AH111" i="1"/>
  <c r="AE111" i="1"/>
  <c r="AD111" i="1"/>
  <c r="AC111" i="1"/>
  <c r="AB111" i="1"/>
  <c r="Z111" i="1"/>
  <c r="Y111" i="1"/>
  <c r="X111" i="1"/>
  <c r="W111" i="1"/>
  <c r="V111" i="1"/>
  <c r="U111" i="1"/>
  <c r="T109" i="1"/>
  <c r="T111" i="1"/>
  <c r="S109" i="1"/>
  <c r="S111" i="1"/>
  <c r="R109" i="1"/>
  <c r="R111" i="1"/>
  <c r="Q109" i="1"/>
  <c r="Q111" i="1"/>
  <c r="AA112" i="19"/>
  <c r="AB112" i="19"/>
  <c r="AB118" i="19"/>
  <c r="P109" i="1"/>
  <c r="P111" i="1"/>
  <c r="E112" i="19"/>
  <c r="F112" i="19"/>
  <c r="H112" i="19"/>
  <c r="H118" i="19"/>
  <c r="O109" i="1"/>
  <c r="O111" i="1"/>
  <c r="P112" i="19"/>
  <c r="Q112" i="19"/>
  <c r="S112" i="19"/>
  <c r="S118" i="19"/>
  <c r="N109" i="1"/>
  <c r="N111" i="1"/>
  <c r="M109" i="1"/>
  <c r="M111" i="1"/>
  <c r="L109" i="1"/>
  <c r="L111" i="1"/>
  <c r="I111" i="1"/>
  <c r="AL267" i="15"/>
  <c r="AM267" i="15"/>
  <c r="AM268" i="15"/>
  <c r="AL269" i="15"/>
  <c r="AM269" i="15"/>
  <c r="AL271" i="15"/>
  <c r="AM271" i="15"/>
  <c r="AM272" i="15"/>
  <c r="AL273" i="15"/>
  <c r="AM273" i="15"/>
  <c r="AM274" i="15"/>
  <c r="AL275" i="15"/>
  <c r="AM275" i="15"/>
  <c r="AM276" i="15"/>
  <c r="AL277" i="15"/>
  <c r="AM277" i="15"/>
  <c r="AM278" i="15"/>
  <c r="AL279" i="15"/>
  <c r="AM279" i="15"/>
  <c r="AM280" i="15"/>
  <c r="AL281" i="15"/>
  <c r="AM281" i="15"/>
  <c r="AM285" i="15"/>
  <c r="AM287" i="15"/>
  <c r="AM289" i="15"/>
  <c r="AM291" i="15"/>
  <c r="AM293" i="15"/>
  <c r="AM295" i="15"/>
  <c r="AM297" i="15"/>
  <c r="AM299" i="15"/>
  <c r="AM301" i="15"/>
  <c r="AM303" i="15"/>
  <c r="AM305" i="15"/>
  <c r="H109" i="1"/>
  <c r="H111" i="1"/>
  <c r="AF267" i="15"/>
  <c r="AG267" i="15"/>
  <c r="AG268" i="15"/>
  <c r="AF269" i="15"/>
  <c r="AG269" i="15"/>
  <c r="AF271" i="15"/>
  <c r="AG271" i="15"/>
  <c r="AG272" i="15"/>
  <c r="AF273" i="15"/>
  <c r="AG273" i="15"/>
  <c r="AG274" i="15"/>
  <c r="AF275" i="15"/>
  <c r="AG275" i="15"/>
  <c r="AG276" i="15"/>
  <c r="AF277" i="15"/>
  <c r="AG277" i="15"/>
  <c r="AG278" i="15"/>
  <c r="AF279" i="15"/>
  <c r="AG279" i="15"/>
  <c r="AG280" i="15"/>
  <c r="AF281" i="15"/>
  <c r="AG281" i="15"/>
  <c r="AG285" i="15"/>
  <c r="AG287" i="15"/>
  <c r="AG289" i="15"/>
  <c r="AG291" i="15"/>
  <c r="AG293" i="15"/>
  <c r="AG295" i="15"/>
  <c r="AG297" i="15"/>
  <c r="AG299" i="15"/>
  <c r="AG301" i="15"/>
  <c r="AG303" i="15"/>
  <c r="AG305" i="15"/>
  <c r="G109" i="1"/>
  <c r="G111" i="1"/>
  <c r="Z267" i="15"/>
  <c r="AA267" i="15"/>
  <c r="AA268" i="15"/>
  <c r="Z269" i="15"/>
  <c r="AA269" i="15"/>
  <c r="Z271" i="15"/>
  <c r="AA271" i="15"/>
  <c r="AA272" i="15"/>
  <c r="Z273" i="15"/>
  <c r="AA273" i="15"/>
  <c r="AA274" i="15"/>
  <c r="Z275" i="15"/>
  <c r="AA275" i="15"/>
  <c r="AA276" i="15"/>
  <c r="Z277" i="15"/>
  <c r="AA277" i="15"/>
  <c r="AA278" i="15"/>
  <c r="Z279" i="15"/>
  <c r="AA279" i="15"/>
  <c r="AA280" i="15"/>
  <c r="Z281" i="15"/>
  <c r="AA281" i="15"/>
  <c r="AA285" i="15"/>
  <c r="AA287" i="15"/>
  <c r="AA289" i="15"/>
  <c r="AA291" i="15"/>
  <c r="AA293" i="15"/>
  <c r="AA295" i="15"/>
  <c r="AA297" i="15"/>
  <c r="AA299" i="15"/>
  <c r="AA301" i="15"/>
  <c r="AA303" i="15"/>
  <c r="AA305" i="15"/>
  <c r="F109" i="1"/>
  <c r="F111" i="1"/>
  <c r="AS267" i="15"/>
  <c r="AT267" i="15"/>
  <c r="AT268" i="15"/>
  <c r="AS269" i="15"/>
  <c r="AT269" i="15"/>
  <c r="AS271" i="15"/>
  <c r="AT271" i="15"/>
  <c r="AT272" i="15"/>
  <c r="AS273" i="15"/>
  <c r="AT273" i="15"/>
  <c r="AT274" i="15"/>
  <c r="AS275" i="15"/>
  <c r="AT275" i="15"/>
  <c r="AT276" i="15"/>
  <c r="AS277" i="15"/>
  <c r="AT277" i="15"/>
  <c r="AT278" i="15"/>
  <c r="AS279" i="15"/>
  <c r="AT279" i="15"/>
  <c r="AT280" i="15"/>
  <c r="AS281" i="15"/>
  <c r="AT281" i="15"/>
  <c r="AT285" i="15"/>
  <c r="AT287" i="15"/>
  <c r="AT289" i="15"/>
  <c r="AT291" i="15"/>
  <c r="AT293" i="15"/>
  <c r="AT295" i="15"/>
  <c r="AT297" i="15"/>
  <c r="AT299" i="15"/>
  <c r="AT301" i="15"/>
  <c r="AT303" i="15"/>
  <c r="AT305" i="15"/>
  <c r="E109" i="1"/>
  <c r="E111" i="1"/>
  <c r="D111" i="1"/>
  <c r="E267" i="15"/>
  <c r="F267" i="15"/>
  <c r="E268" i="15"/>
  <c r="F268" i="15"/>
  <c r="E269" i="15"/>
  <c r="F269" i="15"/>
  <c r="E270" i="15"/>
  <c r="F270" i="15"/>
  <c r="E271" i="15"/>
  <c r="F271" i="15"/>
  <c r="E272" i="15"/>
  <c r="F272" i="15"/>
  <c r="E273" i="15"/>
  <c r="F273" i="15"/>
  <c r="E274" i="15"/>
  <c r="F274" i="15"/>
  <c r="E275" i="15"/>
  <c r="F275" i="15"/>
  <c r="E276" i="15"/>
  <c r="F276" i="15"/>
  <c r="E277" i="15"/>
  <c r="F277" i="15"/>
  <c r="E278" i="15"/>
  <c r="F278" i="15"/>
  <c r="E279" i="15"/>
  <c r="F279" i="15"/>
  <c r="E280" i="15"/>
  <c r="F280" i="15"/>
  <c r="E281" i="15"/>
  <c r="F281" i="15"/>
  <c r="E282" i="15"/>
  <c r="F282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C109" i="1"/>
  <c r="C111" i="1"/>
  <c r="L114" i="1"/>
  <c r="E225" i="15"/>
  <c r="F225" i="15"/>
  <c r="E226" i="15"/>
  <c r="F226" i="15"/>
  <c r="E227" i="15"/>
  <c r="F227" i="15"/>
  <c r="E228" i="15"/>
  <c r="F228" i="15"/>
  <c r="E229" i="15"/>
  <c r="F229" i="15"/>
  <c r="E230" i="15"/>
  <c r="F230" i="15"/>
  <c r="E231" i="15"/>
  <c r="F231" i="15"/>
  <c r="E232" i="15"/>
  <c r="F232" i="15"/>
  <c r="E233" i="15"/>
  <c r="F233" i="15"/>
  <c r="E234" i="15"/>
  <c r="F234" i="15"/>
  <c r="E235" i="15"/>
  <c r="F235" i="15"/>
  <c r="E236" i="15"/>
  <c r="F236" i="15"/>
  <c r="E237" i="15"/>
  <c r="F237" i="15"/>
  <c r="E238" i="15"/>
  <c r="F238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C92" i="1"/>
  <c r="C107" i="1"/>
  <c r="P225" i="15"/>
  <c r="Q225" i="15"/>
  <c r="P227" i="15"/>
  <c r="Q227" i="15"/>
  <c r="Q228" i="15"/>
  <c r="P229" i="15"/>
  <c r="Q229" i="15"/>
  <c r="Q230" i="15"/>
  <c r="P231" i="15"/>
  <c r="Q231" i="15"/>
  <c r="Q232" i="15"/>
  <c r="P233" i="15"/>
  <c r="Q233" i="15"/>
  <c r="Q234" i="15"/>
  <c r="P235" i="15"/>
  <c r="Q235" i="15"/>
  <c r="Q236" i="15"/>
  <c r="P237" i="15"/>
  <c r="Q237" i="15"/>
  <c r="Q241" i="15"/>
  <c r="Q243" i="15"/>
  <c r="Q245" i="15"/>
  <c r="Q247" i="15"/>
  <c r="Q249" i="15"/>
  <c r="Q251" i="15"/>
  <c r="Q253" i="15"/>
  <c r="Q255" i="15"/>
  <c r="Q257" i="15"/>
  <c r="Q259" i="15"/>
  <c r="Q261" i="15"/>
  <c r="D92" i="1"/>
  <c r="D107" i="1"/>
  <c r="AS225" i="15"/>
  <c r="AT225" i="15"/>
  <c r="AS227" i="15"/>
  <c r="AT227" i="15"/>
  <c r="AT228" i="15"/>
  <c r="AS229" i="15"/>
  <c r="AT229" i="15"/>
  <c r="AT230" i="15"/>
  <c r="AS231" i="15"/>
  <c r="AT231" i="15"/>
  <c r="AT232" i="15"/>
  <c r="AS233" i="15"/>
  <c r="AT233" i="15"/>
  <c r="AT234" i="15"/>
  <c r="AS235" i="15"/>
  <c r="AT235" i="15"/>
  <c r="AT236" i="15"/>
  <c r="AS237" i="15"/>
  <c r="AT237" i="15"/>
  <c r="AT241" i="15"/>
  <c r="AT243" i="15"/>
  <c r="AT245" i="15"/>
  <c r="AT247" i="15"/>
  <c r="AT249" i="15"/>
  <c r="AT251" i="15"/>
  <c r="AT253" i="15"/>
  <c r="AT255" i="15"/>
  <c r="AT257" i="15"/>
  <c r="AT259" i="15"/>
  <c r="AT261" i="15"/>
  <c r="E92" i="1"/>
  <c r="E107" i="1"/>
  <c r="Z225" i="15"/>
  <c r="AA225" i="15"/>
  <c r="Z227" i="15"/>
  <c r="AA227" i="15"/>
  <c r="AA228" i="15"/>
  <c r="Z229" i="15"/>
  <c r="AA229" i="15"/>
  <c r="AA230" i="15"/>
  <c r="Z231" i="15"/>
  <c r="AA231" i="15"/>
  <c r="AA232" i="15"/>
  <c r="Z233" i="15"/>
  <c r="AA233" i="15"/>
  <c r="AA234" i="15"/>
  <c r="Z235" i="15"/>
  <c r="AA235" i="15"/>
  <c r="AA236" i="15"/>
  <c r="Z237" i="15"/>
  <c r="AA237" i="15"/>
  <c r="AA241" i="15"/>
  <c r="AA243" i="15"/>
  <c r="AA245" i="15"/>
  <c r="AA247" i="15"/>
  <c r="AA249" i="15"/>
  <c r="AA251" i="15"/>
  <c r="AA253" i="15"/>
  <c r="AA255" i="15"/>
  <c r="AA257" i="15"/>
  <c r="AA259" i="15"/>
  <c r="AA261" i="15"/>
  <c r="F92" i="1"/>
  <c r="F107" i="1"/>
  <c r="AL225" i="15"/>
  <c r="AM225" i="15"/>
  <c r="AL227" i="15"/>
  <c r="AM227" i="15"/>
  <c r="AM228" i="15"/>
  <c r="AL229" i="15"/>
  <c r="AM229" i="15"/>
  <c r="AM230" i="15"/>
  <c r="AL231" i="15"/>
  <c r="AM231" i="15"/>
  <c r="AM232" i="15"/>
  <c r="AL233" i="15"/>
  <c r="AM233" i="15"/>
  <c r="AM234" i="15"/>
  <c r="AL235" i="15"/>
  <c r="AM235" i="15"/>
  <c r="AM236" i="15"/>
  <c r="AL237" i="15"/>
  <c r="AM237" i="15"/>
  <c r="AM241" i="15"/>
  <c r="AM243" i="15"/>
  <c r="AM245" i="15"/>
  <c r="AM247" i="15"/>
  <c r="AM249" i="15"/>
  <c r="AM251" i="15"/>
  <c r="AM253" i="15"/>
  <c r="AM255" i="15"/>
  <c r="AM257" i="15"/>
  <c r="AM259" i="15"/>
  <c r="AM261" i="15"/>
  <c r="H92" i="1"/>
  <c r="H107" i="1"/>
  <c r="I92" i="1"/>
  <c r="I107" i="1"/>
  <c r="L112" i="1"/>
  <c r="M114" i="1"/>
  <c r="S114" i="1"/>
  <c r="N92" i="1"/>
  <c r="N107" i="1"/>
  <c r="O92" i="1"/>
  <c r="O107" i="1"/>
  <c r="Q92" i="1"/>
  <c r="Q107" i="1"/>
  <c r="S92" i="1"/>
  <c r="S107" i="1"/>
  <c r="S112" i="1"/>
  <c r="T114" i="1"/>
  <c r="AD114" i="1"/>
  <c r="U107" i="1"/>
  <c r="Z107" i="1"/>
  <c r="AA107" i="1"/>
  <c r="AB107" i="1"/>
  <c r="AD112" i="1"/>
  <c r="AE114" i="1"/>
  <c r="AG114" i="1"/>
  <c r="AF107" i="1"/>
  <c r="AG107" i="1"/>
  <c r="AG112" i="1"/>
  <c r="AH114" i="1"/>
  <c r="AN114" i="1"/>
  <c r="AK107" i="1"/>
  <c r="AN107" i="1"/>
  <c r="AN112" i="1"/>
  <c r="AO114" i="1"/>
  <c r="BG114" i="1"/>
  <c r="BP114" i="1"/>
  <c r="BI107" i="1"/>
  <c r="BJ107" i="1"/>
  <c r="BL107" i="1"/>
  <c r="BM107" i="1"/>
  <c r="BN107" i="1"/>
  <c r="BO107" i="1"/>
  <c r="BP107" i="1"/>
  <c r="BP112" i="1"/>
  <c r="BQ114" i="1"/>
  <c r="B119" i="1"/>
  <c r="BR119" i="1"/>
  <c r="B123" i="1"/>
  <c r="B124" i="1"/>
  <c r="B126" i="1"/>
  <c r="B127" i="1"/>
  <c r="C127" i="1"/>
  <c r="D127" i="1"/>
  <c r="E127" i="1"/>
  <c r="F127" i="1"/>
  <c r="G127" i="1"/>
  <c r="H127" i="1"/>
  <c r="I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B127" i="1"/>
  <c r="AC127" i="1"/>
  <c r="AD127" i="1"/>
  <c r="AE127" i="1"/>
  <c r="AH127" i="1"/>
  <c r="AI127" i="1"/>
  <c r="AJ127" i="1"/>
  <c r="AL127" i="1"/>
  <c r="AN127" i="1"/>
  <c r="AO127" i="1"/>
  <c r="AP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Q127" i="1"/>
  <c r="BS127" i="1"/>
  <c r="A128" i="1"/>
  <c r="B128" i="1"/>
  <c r="B129" i="1"/>
  <c r="E129" i="1"/>
  <c r="L129" i="1"/>
  <c r="S129" i="1"/>
  <c r="AD129" i="1"/>
  <c r="AG129" i="1"/>
  <c r="AN129" i="1"/>
  <c r="BP129" i="1"/>
  <c r="F130" i="1"/>
  <c r="G130" i="1"/>
  <c r="L130" i="1"/>
  <c r="M130" i="1"/>
  <c r="S130" i="1"/>
  <c r="T130" i="1"/>
  <c r="AD130" i="1"/>
  <c r="AE130" i="1"/>
  <c r="AG130" i="1"/>
  <c r="AH130" i="1"/>
  <c r="AN130" i="1"/>
  <c r="AO130" i="1"/>
  <c r="BG130" i="1"/>
  <c r="BP130" i="1"/>
  <c r="BQ130" i="1"/>
  <c r="L131" i="1"/>
  <c r="M131" i="1"/>
  <c r="S131" i="1"/>
  <c r="T131" i="1"/>
  <c r="AD131" i="1"/>
  <c r="AE131" i="1"/>
  <c r="AG131" i="1"/>
  <c r="AH131" i="1"/>
  <c r="AN131" i="1"/>
  <c r="AO131" i="1"/>
  <c r="BG131" i="1"/>
  <c r="BP131" i="1"/>
  <c r="BQ131" i="1"/>
  <c r="C325" i="15"/>
  <c r="C323" i="15"/>
  <c r="C321" i="15"/>
  <c r="C319" i="15"/>
  <c r="C317" i="15"/>
  <c r="C315" i="15"/>
  <c r="C313" i="15"/>
  <c r="M313" i="15"/>
  <c r="AP313" i="15"/>
  <c r="X313" i="15"/>
  <c r="AD313" i="15"/>
  <c r="AJ313" i="15"/>
  <c r="P314" i="15"/>
  <c r="AS314" i="15"/>
  <c r="Z314" i="15"/>
  <c r="AF314" i="15"/>
  <c r="AL314" i="15"/>
  <c r="M315" i="15"/>
  <c r="AP315" i="15"/>
  <c r="X315" i="15"/>
  <c r="AD315" i="15"/>
  <c r="AJ315" i="15"/>
  <c r="M316" i="15"/>
  <c r="AP316" i="15"/>
  <c r="X316" i="15"/>
  <c r="AD316" i="15"/>
  <c r="AJ316" i="15"/>
  <c r="P316" i="15"/>
  <c r="AS316" i="15"/>
  <c r="Z316" i="15"/>
  <c r="AF316" i="15"/>
  <c r="AL316" i="15"/>
  <c r="M317" i="15"/>
  <c r="AP317" i="15"/>
  <c r="X317" i="15"/>
  <c r="AD317" i="15"/>
  <c r="AJ317" i="15"/>
  <c r="M318" i="15"/>
  <c r="P318" i="15"/>
  <c r="AP318" i="15"/>
  <c r="X318" i="15"/>
  <c r="AD318" i="15"/>
  <c r="AJ318" i="15"/>
  <c r="AS318" i="15"/>
  <c r="Z318" i="15"/>
  <c r="AF318" i="15"/>
  <c r="AL318" i="15"/>
  <c r="M319" i="15"/>
  <c r="AP319" i="15"/>
  <c r="X319" i="15"/>
  <c r="AD319" i="15"/>
  <c r="AJ319" i="15"/>
  <c r="M320" i="15"/>
  <c r="P320" i="15"/>
  <c r="AP320" i="15"/>
  <c r="X320" i="15"/>
  <c r="AD320" i="15"/>
  <c r="AJ320" i="15"/>
  <c r="AS320" i="15"/>
  <c r="Z320" i="15"/>
  <c r="AF320" i="15"/>
  <c r="AL320" i="15"/>
  <c r="M321" i="15"/>
  <c r="AP321" i="15"/>
  <c r="X321" i="15"/>
  <c r="AD321" i="15"/>
  <c r="AJ321" i="15"/>
  <c r="M322" i="15"/>
  <c r="P322" i="15"/>
  <c r="AP322" i="15"/>
  <c r="AS322" i="15"/>
  <c r="X322" i="15"/>
  <c r="AD322" i="15"/>
  <c r="AJ322" i="15"/>
  <c r="Z322" i="15"/>
  <c r="AF322" i="15"/>
  <c r="AL322" i="15"/>
  <c r="M323" i="15"/>
  <c r="AP323" i="15"/>
  <c r="X323" i="15"/>
  <c r="AD323" i="15"/>
  <c r="AJ323" i="15"/>
  <c r="AS323" i="15"/>
  <c r="M324" i="15"/>
  <c r="AP324" i="15"/>
  <c r="X324" i="15"/>
  <c r="AD324" i="15"/>
  <c r="AJ324" i="15"/>
  <c r="P324" i="15"/>
  <c r="AS324" i="15"/>
  <c r="Z324" i="15"/>
  <c r="AF324" i="15"/>
  <c r="AL324" i="15"/>
  <c r="M325" i="15"/>
  <c r="AP325" i="15"/>
  <c r="X325" i="15"/>
  <c r="AD325" i="15"/>
  <c r="AJ325" i="15"/>
  <c r="E333" i="15"/>
  <c r="C333" i="15"/>
  <c r="M333" i="15"/>
  <c r="AP333" i="15"/>
  <c r="X333" i="15"/>
  <c r="AD333" i="15"/>
  <c r="AJ333" i="15"/>
  <c r="P333" i="15"/>
  <c r="AS333" i="15"/>
  <c r="Z333" i="15"/>
  <c r="AF333" i="15"/>
  <c r="AL333" i="15"/>
  <c r="E334" i="15"/>
  <c r="M334" i="15"/>
  <c r="E335" i="15"/>
  <c r="C335" i="15"/>
  <c r="M335" i="15"/>
  <c r="AP335" i="15"/>
  <c r="P335" i="15"/>
  <c r="AS335" i="15"/>
  <c r="Z335" i="15"/>
  <c r="AD335" i="15"/>
  <c r="AF335" i="15"/>
  <c r="AJ335" i="15"/>
  <c r="AL335" i="15"/>
  <c r="E336" i="15"/>
  <c r="C337" i="15"/>
  <c r="E337" i="15"/>
  <c r="M337" i="15"/>
  <c r="P337" i="15"/>
  <c r="AP337" i="15"/>
  <c r="AS337" i="15"/>
  <c r="X337" i="15"/>
  <c r="AD337" i="15"/>
  <c r="AJ337" i="15"/>
  <c r="Z337" i="15"/>
  <c r="AF337" i="15"/>
  <c r="AL337" i="15"/>
  <c r="E338" i="15"/>
  <c r="E339" i="15"/>
  <c r="C339" i="15"/>
  <c r="M339" i="15"/>
  <c r="AP339" i="15"/>
  <c r="X339" i="15"/>
  <c r="AD339" i="15"/>
  <c r="AJ339" i="15"/>
  <c r="P339" i="15"/>
  <c r="AS339" i="15"/>
  <c r="Z339" i="15"/>
  <c r="AF339" i="15"/>
  <c r="AL339" i="15"/>
  <c r="E340" i="15"/>
  <c r="E341" i="15"/>
  <c r="C341" i="15"/>
  <c r="M341" i="15"/>
  <c r="P341" i="15"/>
  <c r="AP341" i="15"/>
  <c r="AS341" i="15"/>
  <c r="X341" i="15"/>
  <c r="AD341" i="15"/>
  <c r="AJ341" i="15"/>
  <c r="Z341" i="15"/>
  <c r="AF341" i="15"/>
  <c r="AL341" i="15"/>
  <c r="E342" i="15"/>
  <c r="C343" i="15"/>
  <c r="E343" i="15"/>
  <c r="M343" i="15"/>
  <c r="P343" i="15"/>
  <c r="AP343" i="15"/>
  <c r="AS343" i="15"/>
  <c r="X343" i="15"/>
  <c r="AD343" i="15"/>
  <c r="AJ343" i="15"/>
  <c r="Z343" i="15"/>
  <c r="AF343" i="15"/>
  <c r="AL343" i="15"/>
  <c r="E344" i="15"/>
  <c r="M345" i="15"/>
  <c r="AP345" i="15"/>
  <c r="X345" i="15"/>
  <c r="AD345" i="15"/>
  <c r="AJ345" i="15"/>
  <c r="E345" i="15"/>
  <c r="P345" i="15"/>
  <c r="AS345" i="15"/>
  <c r="Z345" i="15"/>
  <c r="AF345" i="15"/>
  <c r="AL345" i="15"/>
  <c r="E346" i="15"/>
  <c r="B347" i="15"/>
  <c r="E347" i="15"/>
  <c r="M347" i="15"/>
  <c r="P347" i="15"/>
  <c r="AP347" i="15"/>
  <c r="AS347" i="15"/>
  <c r="X347" i="15"/>
  <c r="Z347" i="15"/>
  <c r="AD347" i="15"/>
  <c r="AF347" i="15"/>
  <c r="AJ347" i="15"/>
  <c r="AL347" i="15"/>
  <c r="B348" i="15"/>
  <c r="E348" i="15"/>
  <c r="M348" i="15"/>
  <c r="AP348" i="15"/>
  <c r="X348" i="15"/>
  <c r="AD348" i="15"/>
  <c r="AJ348" i="15"/>
  <c r="G349" i="15"/>
  <c r="H349" i="15"/>
  <c r="I349" i="15"/>
  <c r="J349" i="15"/>
  <c r="R349" i="15"/>
  <c r="S349" i="15"/>
  <c r="T349" i="15"/>
  <c r="U349" i="15"/>
  <c r="AU349" i="15"/>
  <c r="AV349" i="15"/>
  <c r="AW349" i="15"/>
  <c r="AX349" i="15"/>
  <c r="E123" i="14"/>
  <c r="F123" i="14"/>
  <c r="E124" i="14"/>
  <c r="F124" i="14"/>
  <c r="F134" i="14"/>
  <c r="E133" i="14"/>
  <c r="E134" i="14"/>
  <c r="E135" i="14"/>
  <c r="J117" i="17"/>
  <c r="K117" i="17"/>
  <c r="J125" i="17"/>
  <c r="K126" i="17"/>
  <c r="K127" i="17"/>
  <c r="K128" i="17"/>
  <c r="J126" i="17"/>
  <c r="J127" i="17"/>
  <c r="J128" i="17"/>
  <c r="J129" i="17"/>
  <c r="D117" i="17"/>
  <c r="E117" i="17"/>
  <c r="D125" i="17"/>
  <c r="E126" i="17"/>
  <c r="E127" i="17"/>
  <c r="E128" i="17"/>
  <c r="D126" i="17"/>
  <c r="D127" i="17"/>
  <c r="D128" i="17"/>
  <c r="D129" i="17"/>
  <c r="H128" i="17"/>
  <c r="H127" i="17"/>
  <c r="H126" i="17"/>
  <c r="M89" i="22"/>
  <c r="B301" i="15"/>
  <c r="E18" i="4"/>
  <c r="E7" i="4"/>
  <c r="F7" i="4"/>
  <c r="E5" i="4"/>
  <c r="F5" i="4"/>
  <c r="C12" i="43"/>
  <c r="C13" i="43"/>
  <c r="D13" i="43"/>
  <c r="C14" i="43"/>
  <c r="D14" i="43"/>
  <c r="C15" i="43"/>
  <c r="D15" i="43"/>
  <c r="C16" i="43"/>
  <c r="P87" i="22"/>
  <c r="E87" i="22"/>
  <c r="Q87" i="22"/>
  <c r="P88" i="22"/>
  <c r="Q88" i="22"/>
  <c r="P89" i="22"/>
  <c r="Q89" i="22"/>
  <c r="P90" i="22"/>
  <c r="Q90" i="22"/>
  <c r="Q91" i="22"/>
  <c r="Q92" i="22"/>
  <c r="Q93" i="22"/>
  <c r="Q94" i="22"/>
  <c r="Q95" i="22"/>
  <c r="Q96" i="22"/>
  <c r="Q97" i="22"/>
  <c r="F87" i="22"/>
  <c r="E88" i="22"/>
  <c r="F88" i="22"/>
  <c r="E89" i="22"/>
  <c r="F89" i="22"/>
  <c r="E90" i="22"/>
  <c r="F90" i="22"/>
  <c r="F91" i="22"/>
  <c r="F92" i="22"/>
  <c r="F93" i="22"/>
  <c r="F94" i="22"/>
  <c r="F95" i="22"/>
  <c r="F96" i="22"/>
  <c r="F97" i="22"/>
  <c r="M87" i="22"/>
  <c r="N87" i="22"/>
  <c r="N88" i="22"/>
  <c r="N89" i="22"/>
  <c r="M90" i="22"/>
  <c r="N90" i="22"/>
  <c r="E91" i="22"/>
  <c r="M91" i="22"/>
  <c r="N91" i="22"/>
  <c r="P91" i="22"/>
  <c r="E92" i="22"/>
  <c r="M92" i="22"/>
  <c r="N92" i="22"/>
  <c r="P92" i="22"/>
  <c r="E93" i="22"/>
  <c r="M93" i="22"/>
  <c r="N93" i="22"/>
  <c r="P93" i="22"/>
  <c r="E94" i="22"/>
  <c r="M94" i="22"/>
  <c r="N94" i="22"/>
  <c r="P94" i="22"/>
  <c r="E95" i="22"/>
  <c r="M95" i="22"/>
  <c r="N95" i="22"/>
  <c r="P95" i="22"/>
  <c r="E96" i="22"/>
  <c r="M96" i="22"/>
  <c r="N96" i="22"/>
  <c r="P96" i="22"/>
  <c r="E97" i="22"/>
  <c r="P97" i="22"/>
  <c r="P97" i="23"/>
  <c r="Q97" i="23"/>
  <c r="S97" i="23"/>
  <c r="Q98" i="23"/>
  <c r="S98" i="23"/>
  <c r="Q99" i="23"/>
  <c r="S99" i="23"/>
  <c r="Q100" i="23"/>
  <c r="S100" i="23"/>
  <c r="Q101" i="23"/>
  <c r="S101" i="23"/>
  <c r="Q102" i="23"/>
  <c r="S102" i="23"/>
  <c r="Q103" i="23"/>
  <c r="S103" i="23"/>
  <c r="Q104" i="23"/>
  <c r="S104" i="23"/>
  <c r="P96" i="23"/>
  <c r="Q96" i="23"/>
  <c r="S96" i="23"/>
  <c r="P95" i="23"/>
  <c r="Q95" i="23"/>
  <c r="S95" i="23"/>
  <c r="U95" i="23"/>
  <c r="P98" i="23"/>
  <c r="P99" i="23"/>
  <c r="P100" i="23"/>
  <c r="P101" i="23"/>
  <c r="P102" i="23"/>
  <c r="P103" i="23"/>
  <c r="P104" i="23"/>
  <c r="P94" i="23"/>
  <c r="P93" i="23"/>
  <c r="Q93" i="23"/>
  <c r="Q94" i="23"/>
  <c r="Q105" i="23"/>
  <c r="E93" i="23"/>
  <c r="F93" i="23"/>
  <c r="E94" i="23"/>
  <c r="F94" i="23"/>
  <c r="E95" i="23"/>
  <c r="F95" i="23"/>
  <c r="E96" i="23"/>
  <c r="F96" i="23"/>
  <c r="E97" i="23"/>
  <c r="F97" i="23"/>
  <c r="F98" i="23"/>
  <c r="F99" i="23"/>
  <c r="F100" i="23"/>
  <c r="F101" i="23"/>
  <c r="F102" i="23"/>
  <c r="F103" i="23"/>
  <c r="F104" i="23"/>
  <c r="F105" i="23"/>
  <c r="R110" i="1"/>
  <c r="S93" i="23"/>
  <c r="U93" i="23"/>
  <c r="S94" i="23"/>
  <c r="U94" i="23"/>
  <c r="U96" i="23"/>
  <c r="U103" i="23"/>
  <c r="U104" i="23"/>
  <c r="P105" i="23"/>
  <c r="R105" i="23"/>
  <c r="S105" i="23"/>
  <c r="T105" i="23"/>
  <c r="U105" i="23"/>
  <c r="V105" i="23"/>
  <c r="AA105" i="19"/>
  <c r="AB105" i="19"/>
  <c r="AA106" i="19"/>
  <c r="AB106" i="19"/>
  <c r="AA107" i="19"/>
  <c r="AB107" i="19"/>
  <c r="AA108" i="19"/>
  <c r="AB108" i="19"/>
  <c r="AA109" i="19"/>
  <c r="AB109" i="19"/>
  <c r="AA110" i="19"/>
  <c r="AB110" i="19"/>
  <c r="AA111" i="19"/>
  <c r="AB111" i="19"/>
  <c r="AA113" i="19"/>
  <c r="AB113" i="19"/>
  <c r="AA114" i="19"/>
  <c r="AB114" i="19"/>
  <c r="AA115" i="19"/>
  <c r="AB115" i="19"/>
  <c r="AA116" i="19"/>
  <c r="AB116" i="19"/>
  <c r="AA117" i="19"/>
  <c r="AB117" i="19"/>
  <c r="E105" i="19"/>
  <c r="F105" i="19"/>
  <c r="H105" i="19"/>
  <c r="E106" i="19"/>
  <c r="F106" i="19"/>
  <c r="H106" i="19"/>
  <c r="E107" i="19"/>
  <c r="F107" i="19"/>
  <c r="H107" i="19"/>
  <c r="E108" i="19"/>
  <c r="F108" i="19"/>
  <c r="H108" i="19"/>
  <c r="E109" i="19"/>
  <c r="F109" i="19"/>
  <c r="H109" i="19"/>
  <c r="E110" i="19"/>
  <c r="F110" i="19"/>
  <c r="H110" i="19"/>
  <c r="E111" i="19"/>
  <c r="F111" i="19"/>
  <c r="H111" i="19"/>
  <c r="E113" i="19"/>
  <c r="F113" i="19"/>
  <c r="H113" i="19"/>
  <c r="E114" i="19"/>
  <c r="F114" i="19"/>
  <c r="H114" i="19"/>
  <c r="E115" i="19"/>
  <c r="F115" i="19"/>
  <c r="H115" i="19"/>
  <c r="E116" i="19"/>
  <c r="F116" i="19"/>
  <c r="H116" i="19"/>
  <c r="E117" i="19"/>
  <c r="F117" i="19"/>
  <c r="H117" i="19"/>
  <c r="P105" i="19"/>
  <c r="Q105" i="19"/>
  <c r="S105" i="19"/>
  <c r="P106" i="19"/>
  <c r="Q106" i="19"/>
  <c r="S106" i="19"/>
  <c r="P107" i="19"/>
  <c r="Q107" i="19"/>
  <c r="S107" i="19"/>
  <c r="P108" i="19"/>
  <c r="Q108" i="19"/>
  <c r="S108" i="19"/>
  <c r="P109" i="19"/>
  <c r="Q109" i="19"/>
  <c r="S109" i="19"/>
  <c r="P110" i="19"/>
  <c r="Q110" i="19"/>
  <c r="S110" i="19"/>
  <c r="P111" i="19"/>
  <c r="Q111" i="19"/>
  <c r="S111" i="19"/>
  <c r="P113" i="19"/>
  <c r="Q113" i="19"/>
  <c r="S113" i="19"/>
  <c r="P114" i="19"/>
  <c r="Q114" i="19"/>
  <c r="S114" i="19"/>
  <c r="P115" i="19"/>
  <c r="Q115" i="19"/>
  <c r="S115" i="19"/>
  <c r="P116" i="19"/>
  <c r="Q116" i="19"/>
  <c r="S116" i="19"/>
  <c r="P117" i="19"/>
  <c r="Q117" i="19"/>
  <c r="S117" i="19"/>
  <c r="J105" i="19"/>
  <c r="U105" i="19"/>
  <c r="AD105" i="19"/>
  <c r="AF105" i="19"/>
  <c r="J106" i="19"/>
  <c r="U106" i="19"/>
  <c r="AD106" i="19"/>
  <c r="AF106" i="19"/>
  <c r="J107" i="19"/>
  <c r="U107" i="19"/>
  <c r="AD107" i="19"/>
  <c r="AF107" i="19"/>
  <c r="J108" i="19"/>
  <c r="U108" i="19"/>
  <c r="AD108" i="19"/>
  <c r="AF108" i="19"/>
  <c r="J109" i="19"/>
  <c r="U109" i="19"/>
  <c r="AD109" i="19"/>
  <c r="AF109" i="19"/>
  <c r="J110" i="19"/>
  <c r="U110" i="19"/>
  <c r="AD110" i="19"/>
  <c r="AF110" i="19"/>
  <c r="J111" i="19"/>
  <c r="U111" i="19"/>
  <c r="AD111" i="19"/>
  <c r="AF111" i="19"/>
  <c r="J112" i="19"/>
  <c r="U112" i="19"/>
  <c r="AD112" i="19"/>
  <c r="AF112" i="19"/>
  <c r="J113" i="19"/>
  <c r="U113" i="19"/>
  <c r="AD113" i="19"/>
  <c r="AF113" i="19"/>
  <c r="J114" i="19"/>
  <c r="U114" i="19"/>
  <c r="AD114" i="19"/>
  <c r="AF114" i="19"/>
  <c r="J115" i="19"/>
  <c r="U115" i="19"/>
  <c r="AD115" i="19"/>
  <c r="AF115" i="19"/>
  <c r="J116" i="19"/>
  <c r="U116" i="19"/>
  <c r="AD116" i="19"/>
  <c r="AF116" i="19"/>
  <c r="J117" i="19"/>
  <c r="U117" i="19"/>
  <c r="AD117" i="19"/>
  <c r="AF117" i="19"/>
  <c r="E118" i="19"/>
  <c r="F118" i="19"/>
  <c r="G118" i="19"/>
  <c r="I118" i="19"/>
  <c r="J118" i="19"/>
  <c r="K118" i="19"/>
  <c r="L118" i="19"/>
  <c r="P118" i="19"/>
  <c r="Q118" i="19"/>
  <c r="R118" i="19"/>
  <c r="T118" i="19"/>
  <c r="U118" i="19"/>
  <c r="V118" i="19"/>
  <c r="W118" i="19"/>
  <c r="AA118" i="19"/>
  <c r="AC118" i="19"/>
  <c r="AD118" i="19"/>
  <c r="AE118" i="19"/>
  <c r="AF118" i="19"/>
  <c r="AG118" i="19"/>
  <c r="AH118" i="19"/>
  <c r="P92" i="1"/>
  <c r="E77" i="23"/>
  <c r="F77" i="23"/>
  <c r="E78" i="23"/>
  <c r="F78" i="23"/>
  <c r="E79" i="23"/>
  <c r="F79" i="23"/>
  <c r="E80" i="23"/>
  <c r="F80" i="23"/>
  <c r="F81" i="23"/>
  <c r="F82" i="23"/>
  <c r="F83" i="23"/>
  <c r="F84" i="23"/>
  <c r="F85" i="23"/>
  <c r="F86" i="23"/>
  <c r="F87" i="23"/>
  <c r="F88" i="23"/>
  <c r="F89" i="23"/>
  <c r="T92" i="1"/>
  <c r="S96" i="1"/>
  <c r="BQ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P94" i="1"/>
  <c r="AO94" i="1"/>
  <c r="AN94" i="1"/>
  <c r="AL94" i="1"/>
  <c r="AJ94" i="1"/>
  <c r="AI94" i="1"/>
  <c r="AH94" i="1"/>
  <c r="AE94" i="1"/>
  <c r="AD94" i="1"/>
  <c r="AC94" i="1"/>
  <c r="AB94" i="1"/>
  <c r="Z94" i="1"/>
  <c r="Y94" i="1"/>
  <c r="X94" i="1"/>
  <c r="W94" i="1"/>
  <c r="V94" i="1"/>
  <c r="U94" i="1"/>
  <c r="T94" i="1"/>
  <c r="S94" i="1"/>
  <c r="Q94" i="1"/>
  <c r="P94" i="1"/>
  <c r="O94" i="1"/>
  <c r="N94" i="1"/>
  <c r="M92" i="1"/>
  <c r="M94" i="1"/>
  <c r="L92" i="1"/>
  <c r="L94" i="1"/>
  <c r="F95" i="14"/>
  <c r="F96" i="14"/>
  <c r="F101" i="14"/>
  <c r="I94" i="1"/>
  <c r="H93" i="1"/>
  <c r="H94" i="1"/>
  <c r="AF225" i="15"/>
  <c r="AG225" i="15"/>
  <c r="AF227" i="15"/>
  <c r="AG227" i="15"/>
  <c r="AG228" i="15"/>
  <c r="AF229" i="15"/>
  <c r="AG229" i="15"/>
  <c r="AG230" i="15"/>
  <c r="AF231" i="15"/>
  <c r="AG231" i="15"/>
  <c r="AG232" i="15"/>
  <c r="AF233" i="15"/>
  <c r="AG233" i="15"/>
  <c r="AG234" i="15"/>
  <c r="AF235" i="15"/>
  <c r="AG235" i="15"/>
  <c r="AG236" i="15"/>
  <c r="AF237" i="15"/>
  <c r="AG237" i="15"/>
  <c r="AG241" i="15"/>
  <c r="AG243" i="15"/>
  <c r="AG245" i="15"/>
  <c r="AG247" i="15"/>
  <c r="AG249" i="15"/>
  <c r="AG251" i="15"/>
  <c r="AG253" i="15"/>
  <c r="AG255" i="15"/>
  <c r="AG257" i="15"/>
  <c r="AG259" i="15"/>
  <c r="AG261" i="15"/>
  <c r="G92" i="1"/>
  <c r="G94" i="1"/>
  <c r="F94" i="1"/>
  <c r="E94" i="1"/>
  <c r="D93" i="1"/>
  <c r="C93" i="1"/>
  <c r="C94" i="1"/>
  <c r="L95" i="1"/>
  <c r="S97" i="1"/>
  <c r="S95" i="1"/>
  <c r="T97" i="1"/>
  <c r="AD97" i="1"/>
  <c r="U90" i="1"/>
  <c r="AA90" i="1"/>
  <c r="AC90" i="1"/>
  <c r="AD95" i="1"/>
  <c r="AE97" i="1"/>
  <c r="AG97" i="1"/>
  <c r="AF90" i="1"/>
  <c r="AG90" i="1"/>
  <c r="AG95" i="1"/>
  <c r="AH97" i="1"/>
  <c r="AN97" i="1"/>
  <c r="AJ90" i="1"/>
  <c r="AO90" i="1"/>
  <c r="AN95" i="1"/>
  <c r="AO97" i="1"/>
  <c r="BF97" i="1"/>
  <c r="AP90" i="1"/>
  <c r="AQ90" i="1"/>
  <c r="AS90" i="1"/>
  <c r="AT90" i="1"/>
  <c r="AU90" i="1"/>
  <c r="AV90" i="1"/>
  <c r="BD90" i="1"/>
  <c r="BF95" i="1"/>
  <c r="BG97" i="1"/>
  <c r="BP97" i="1"/>
  <c r="BJ90" i="1"/>
  <c r="BL90" i="1"/>
  <c r="BP90" i="1"/>
  <c r="BP95" i="1"/>
  <c r="BQ97" i="1"/>
  <c r="E181" i="15"/>
  <c r="F181" i="15"/>
  <c r="E182" i="15"/>
  <c r="F182" i="15"/>
  <c r="E183" i="15"/>
  <c r="F183" i="15"/>
  <c r="E184" i="15"/>
  <c r="F184" i="15"/>
  <c r="E185" i="15"/>
  <c r="F185" i="15"/>
  <c r="E186" i="15"/>
  <c r="F186" i="15"/>
  <c r="E187" i="15"/>
  <c r="F187" i="15"/>
  <c r="E188" i="15"/>
  <c r="F188" i="15"/>
  <c r="E189" i="15"/>
  <c r="F189" i="15"/>
  <c r="E190" i="15"/>
  <c r="F190" i="15"/>
  <c r="E191" i="15"/>
  <c r="F191" i="15"/>
  <c r="E192" i="15"/>
  <c r="F192" i="15"/>
  <c r="E193" i="15"/>
  <c r="F193" i="15"/>
  <c r="E194" i="15"/>
  <c r="F194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C76" i="1"/>
  <c r="C77" i="1"/>
  <c r="E110" i="1"/>
  <c r="G110" i="1"/>
  <c r="E106" i="14"/>
  <c r="F106" i="14"/>
  <c r="E107" i="14"/>
  <c r="F107" i="14"/>
  <c r="E108" i="14"/>
  <c r="F108" i="14"/>
  <c r="E109" i="14"/>
  <c r="F109" i="14"/>
  <c r="E110" i="14"/>
  <c r="F110" i="14"/>
  <c r="F112" i="14"/>
  <c r="F113" i="14"/>
  <c r="F114" i="14"/>
  <c r="F115" i="14"/>
  <c r="F116" i="14"/>
  <c r="F117" i="14"/>
  <c r="F118" i="14"/>
  <c r="D101" i="17"/>
  <c r="E101" i="17"/>
  <c r="D102" i="17"/>
  <c r="E102" i="17"/>
  <c r="D103" i="17"/>
  <c r="E103" i="17"/>
  <c r="D104" i="17"/>
  <c r="E104" i="17"/>
  <c r="D105" i="17"/>
  <c r="E105" i="17"/>
  <c r="D106" i="17"/>
  <c r="E106" i="17"/>
  <c r="D107" i="17"/>
  <c r="E107" i="17"/>
  <c r="E109" i="17"/>
  <c r="E111" i="17"/>
  <c r="E112" i="17"/>
  <c r="J101" i="17"/>
  <c r="K101" i="17"/>
  <c r="J102" i="17"/>
  <c r="K102" i="17"/>
  <c r="J103" i="17"/>
  <c r="K103" i="17"/>
  <c r="J104" i="17"/>
  <c r="K104" i="17"/>
  <c r="J105" i="17"/>
  <c r="K105" i="17"/>
  <c r="J106" i="17"/>
  <c r="K106" i="17"/>
  <c r="J107" i="17"/>
  <c r="K107" i="17"/>
  <c r="K109" i="17"/>
  <c r="K111" i="17"/>
  <c r="K112" i="17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7" i="15"/>
  <c r="F307" i="15"/>
  <c r="C269" i="15"/>
  <c r="C271" i="15"/>
  <c r="C275" i="15"/>
  <c r="C277" i="15"/>
  <c r="C279" i="15"/>
  <c r="C281" i="15"/>
  <c r="E112" i="14"/>
  <c r="E113" i="14"/>
  <c r="E114" i="14"/>
  <c r="E115" i="14"/>
  <c r="E116" i="14"/>
  <c r="E117" i="14"/>
  <c r="E118" i="14"/>
  <c r="H93" i="23"/>
  <c r="J93" i="23"/>
  <c r="H94" i="23"/>
  <c r="J94" i="23"/>
  <c r="H95" i="23"/>
  <c r="J95" i="23"/>
  <c r="H96" i="23"/>
  <c r="J96" i="23"/>
  <c r="E98" i="23"/>
  <c r="E99" i="23"/>
  <c r="E100" i="23"/>
  <c r="E101" i="23"/>
  <c r="E102" i="23"/>
  <c r="E103" i="23"/>
  <c r="H103" i="23"/>
  <c r="J103" i="23"/>
  <c r="E104" i="23"/>
  <c r="H104" i="23"/>
  <c r="J104" i="23"/>
  <c r="E105" i="23"/>
  <c r="G105" i="23"/>
  <c r="H105" i="23"/>
  <c r="I105" i="23"/>
  <c r="J105" i="23"/>
  <c r="K105" i="23"/>
  <c r="E89" i="14"/>
  <c r="F89" i="14"/>
  <c r="E90" i="14"/>
  <c r="F90" i="14"/>
  <c r="E91" i="14"/>
  <c r="F91" i="14"/>
  <c r="E92" i="14"/>
  <c r="F92" i="14"/>
  <c r="E93" i="14"/>
  <c r="F93" i="14"/>
  <c r="E94" i="14"/>
  <c r="F94" i="14"/>
  <c r="E95" i="14"/>
  <c r="F97" i="14"/>
  <c r="F98" i="14"/>
  <c r="F99" i="14"/>
  <c r="F100" i="14"/>
  <c r="P93" i="19"/>
  <c r="Q93" i="19"/>
  <c r="S93" i="19"/>
  <c r="S101" i="19"/>
  <c r="E93" i="19"/>
  <c r="F93" i="19"/>
  <c r="H93" i="19"/>
  <c r="H101" i="19"/>
  <c r="F77" i="22"/>
  <c r="F78" i="22"/>
  <c r="F83" i="22"/>
  <c r="B102" i="1"/>
  <c r="BR102" i="1"/>
  <c r="B106" i="1"/>
  <c r="I110" i="1"/>
  <c r="L110" i="1"/>
  <c r="M110" i="1"/>
  <c r="N110" i="1"/>
  <c r="O110" i="1"/>
  <c r="P110" i="1"/>
  <c r="Q110" i="1"/>
  <c r="S110" i="1"/>
  <c r="T110" i="1"/>
  <c r="U110" i="1"/>
  <c r="V110" i="1"/>
  <c r="W110" i="1"/>
  <c r="X110" i="1"/>
  <c r="Y110" i="1"/>
  <c r="Z110" i="1"/>
  <c r="AB110" i="1"/>
  <c r="AC110" i="1"/>
  <c r="AD110" i="1"/>
  <c r="AE110" i="1"/>
  <c r="AH110" i="1"/>
  <c r="AI110" i="1"/>
  <c r="AJ110" i="1"/>
  <c r="AL110" i="1"/>
  <c r="AN110" i="1"/>
  <c r="AO110" i="1"/>
  <c r="AP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Q110" i="1"/>
  <c r="BS110" i="1"/>
  <c r="S113" i="1"/>
  <c r="T113" i="1"/>
  <c r="AD113" i="1"/>
  <c r="AE113" i="1"/>
  <c r="AG113" i="1"/>
  <c r="AH113" i="1"/>
  <c r="AN113" i="1"/>
  <c r="AO113" i="1"/>
  <c r="BG113" i="1"/>
  <c r="BP113" i="1"/>
  <c r="BQ113" i="1"/>
  <c r="E6" i="4"/>
  <c r="F6" i="4"/>
  <c r="E8" i="4"/>
  <c r="F8" i="4"/>
  <c r="E9" i="4"/>
  <c r="E10" i="4"/>
  <c r="F10" i="4"/>
  <c r="E11" i="4"/>
  <c r="E13" i="4"/>
  <c r="F23" i="4"/>
  <c r="E12" i="4"/>
  <c r="F12" i="4"/>
  <c r="E14" i="4"/>
  <c r="F14" i="4"/>
  <c r="E19" i="4"/>
  <c r="F19" i="4"/>
  <c r="E20" i="4"/>
  <c r="F20" i="4"/>
  <c r="E21" i="4"/>
  <c r="F21" i="4"/>
  <c r="E22" i="4"/>
  <c r="F22" i="4"/>
  <c r="E23" i="4"/>
  <c r="D7" i="3"/>
  <c r="D8" i="3"/>
  <c r="D9" i="3"/>
  <c r="D10" i="3"/>
  <c r="D11" i="3"/>
  <c r="D12" i="3"/>
  <c r="D13" i="3"/>
  <c r="D14" i="3"/>
  <c r="D15" i="3"/>
  <c r="D16" i="3"/>
  <c r="G3" i="7"/>
  <c r="C4" i="7"/>
  <c r="D4" i="7"/>
  <c r="G4" i="7"/>
  <c r="I4" i="7"/>
  <c r="J4" i="7"/>
  <c r="C5" i="7"/>
  <c r="D5" i="7"/>
  <c r="G5" i="7"/>
  <c r="I5" i="7"/>
  <c r="J5" i="7"/>
  <c r="C6" i="7"/>
  <c r="D6" i="7"/>
  <c r="G6" i="7"/>
  <c r="I6" i="7"/>
  <c r="J6" i="7"/>
  <c r="C7" i="7"/>
  <c r="D7" i="7"/>
  <c r="G7" i="7"/>
  <c r="I7" i="7"/>
  <c r="J7" i="7"/>
  <c r="C8" i="7"/>
  <c r="D8" i="7"/>
  <c r="G8" i="7"/>
  <c r="I8" i="7"/>
  <c r="J8" i="7"/>
  <c r="C9" i="7"/>
  <c r="D9" i="7"/>
  <c r="G9" i="7"/>
  <c r="I9" i="7"/>
  <c r="J9" i="7"/>
  <c r="I10" i="7"/>
  <c r="J10" i="7"/>
  <c r="C11" i="7"/>
  <c r="D11" i="7"/>
  <c r="G11" i="7"/>
  <c r="I11" i="7"/>
  <c r="J11" i="7"/>
  <c r="C12" i="7"/>
  <c r="D12" i="7"/>
  <c r="G12" i="7"/>
  <c r="I12" i="7"/>
  <c r="J12" i="7"/>
  <c r="C13" i="7"/>
  <c r="D13" i="7"/>
  <c r="G13" i="7"/>
  <c r="I13" i="7"/>
  <c r="J13" i="7"/>
  <c r="C14" i="7"/>
  <c r="D14" i="7"/>
  <c r="G14" i="7"/>
  <c r="I14" i="7"/>
  <c r="J14" i="7"/>
  <c r="C15" i="7"/>
  <c r="D15" i="7"/>
  <c r="G15" i="7"/>
  <c r="I15" i="7"/>
  <c r="J15" i="7"/>
  <c r="C16" i="7"/>
  <c r="D16" i="7"/>
  <c r="I16" i="7"/>
  <c r="J16" i="7"/>
  <c r="AL268" i="15"/>
  <c r="AF268" i="15"/>
  <c r="AS268" i="15"/>
  <c r="Z268" i="15"/>
  <c r="C267" i="15"/>
  <c r="M269" i="15"/>
  <c r="AP269" i="15"/>
  <c r="X269" i="15"/>
  <c r="AD269" i="15"/>
  <c r="AJ269" i="15"/>
  <c r="P270" i="15"/>
  <c r="AS270" i="15"/>
  <c r="Z270" i="15"/>
  <c r="AF270" i="15"/>
  <c r="AL270" i="15"/>
  <c r="M271" i="15"/>
  <c r="AP271" i="15"/>
  <c r="X271" i="15"/>
  <c r="AD271" i="15"/>
  <c r="AJ271" i="15"/>
  <c r="M272" i="15"/>
  <c r="P272" i="15"/>
  <c r="AP272" i="15"/>
  <c r="AS272" i="15"/>
  <c r="X272" i="15"/>
  <c r="Z272" i="15"/>
  <c r="AD272" i="15"/>
  <c r="AF272" i="15"/>
  <c r="AJ272" i="15"/>
  <c r="AL272" i="15"/>
  <c r="M273" i="15"/>
  <c r="AP273" i="15"/>
  <c r="X273" i="15"/>
  <c r="AD273" i="15"/>
  <c r="AJ273" i="15"/>
  <c r="M274" i="15"/>
  <c r="P274" i="15"/>
  <c r="AP274" i="15"/>
  <c r="AS274" i="15"/>
  <c r="X274" i="15"/>
  <c r="Z274" i="15"/>
  <c r="AD274" i="15"/>
  <c r="AF274" i="15"/>
  <c r="AJ274" i="15"/>
  <c r="AL274" i="15"/>
  <c r="M275" i="15"/>
  <c r="AP275" i="15"/>
  <c r="X275" i="15"/>
  <c r="AD275" i="15"/>
  <c r="AJ275" i="15"/>
  <c r="M276" i="15"/>
  <c r="P276" i="15"/>
  <c r="AP276" i="15"/>
  <c r="AS276" i="15"/>
  <c r="X276" i="15"/>
  <c r="Z276" i="15"/>
  <c r="AD276" i="15"/>
  <c r="AF276" i="15"/>
  <c r="AJ276" i="15"/>
  <c r="AL276" i="15"/>
  <c r="M277" i="15"/>
  <c r="AP277" i="15"/>
  <c r="X277" i="15"/>
  <c r="AD277" i="15"/>
  <c r="AJ277" i="15"/>
  <c r="M278" i="15"/>
  <c r="P278" i="15"/>
  <c r="AP278" i="15"/>
  <c r="AS278" i="15"/>
  <c r="X278" i="15"/>
  <c r="Z278" i="15"/>
  <c r="AD278" i="15"/>
  <c r="AF278" i="15"/>
  <c r="AJ278" i="15"/>
  <c r="AL278" i="15"/>
  <c r="M279" i="15"/>
  <c r="AP279" i="15"/>
  <c r="X279" i="15"/>
  <c r="AD279" i="15"/>
  <c r="AJ279" i="15"/>
  <c r="M280" i="15"/>
  <c r="P280" i="15"/>
  <c r="AP280" i="15"/>
  <c r="AS280" i="15"/>
  <c r="X280" i="15"/>
  <c r="Z280" i="15"/>
  <c r="AD280" i="15"/>
  <c r="AF280" i="15"/>
  <c r="AJ280" i="15"/>
  <c r="AL280" i="15"/>
  <c r="M281" i="15"/>
  <c r="AP281" i="15"/>
  <c r="X281" i="15"/>
  <c r="AD281" i="15"/>
  <c r="AJ281" i="15"/>
  <c r="M311" i="15"/>
  <c r="P312" i="15"/>
  <c r="P349" i="15"/>
  <c r="P351" i="15"/>
  <c r="Q351" i="15"/>
  <c r="AP311" i="15"/>
  <c r="X311" i="15"/>
  <c r="AD311" i="15"/>
  <c r="AJ311" i="15"/>
  <c r="AL312" i="15"/>
  <c r="AL349" i="15"/>
  <c r="AL351" i="15"/>
  <c r="AM351" i="15"/>
  <c r="AS312" i="15"/>
  <c r="AS286" i="15"/>
  <c r="AP304" i="15"/>
  <c r="Z312" i="15"/>
  <c r="AF312" i="15"/>
  <c r="AF286" i="15"/>
  <c r="AD304" i="15"/>
  <c r="AL286" i="15"/>
  <c r="AJ304" i="15"/>
  <c r="H110" i="1"/>
  <c r="M285" i="15"/>
  <c r="P285" i="15"/>
  <c r="AP285" i="15"/>
  <c r="AS285" i="15"/>
  <c r="X285" i="15"/>
  <c r="Z285" i="15"/>
  <c r="AD285" i="15"/>
  <c r="AF285" i="15"/>
  <c r="AJ285" i="15"/>
  <c r="AL285" i="15"/>
  <c r="P286" i="15"/>
  <c r="Z286" i="15"/>
  <c r="Z287" i="15"/>
  <c r="Z289" i="15"/>
  <c r="Z291" i="15"/>
  <c r="Z293" i="15"/>
  <c r="Z295" i="15"/>
  <c r="Z297" i="15"/>
  <c r="Z299" i="15"/>
  <c r="Z301" i="15"/>
  <c r="Z303" i="15"/>
  <c r="Z305" i="15"/>
  <c r="M301" i="15"/>
  <c r="AP301" i="15"/>
  <c r="X301" i="15"/>
  <c r="Z307" i="15"/>
  <c r="AA307" i="15"/>
  <c r="AF287" i="15"/>
  <c r="AF289" i="15"/>
  <c r="AF291" i="15"/>
  <c r="AF293" i="15"/>
  <c r="AF295" i="15"/>
  <c r="AF297" i="15"/>
  <c r="AF299" i="15"/>
  <c r="AF301" i="15"/>
  <c r="AF303" i="15"/>
  <c r="AF305" i="15"/>
  <c r="AD301" i="15"/>
  <c r="AF307" i="15"/>
  <c r="AG307" i="15"/>
  <c r="C287" i="15"/>
  <c r="M287" i="15"/>
  <c r="P287" i="15"/>
  <c r="AP287" i="15"/>
  <c r="AS287" i="15"/>
  <c r="X287" i="15"/>
  <c r="AD287" i="15"/>
  <c r="AJ287" i="15"/>
  <c r="AL287" i="15"/>
  <c r="C289" i="15"/>
  <c r="M289" i="15"/>
  <c r="P289" i="15"/>
  <c r="AP289" i="15"/>
  <c r="AS289" i="15"/>
  <c r="X289" i="15"/>
  <c r="AD289" i="15"/>
  <c r="AJ289" i="15"/>
  <c r="AL289" i="15"/>
  <c r="M290" i="15"/>
  <c r="C291" i="15"/>
  <c r="M291" i="15"/>
  <c r="P291" i="15"/>
  <c r="AP291" i="15"/>
  <c r="AS291" i="15"/>
  <c r="AD291" i="15"/>
  <c r="AJ291" i="15"/>
  <c r="AL291" i="15"/>
  <c r="C293" i="15"/>
  <c r="M293" i="15"/>
  <c r="P293" i="15"/>
  <c r="AP293" i="15"/>
  <c r="AS293" i="15"/>
  <c r="X293" i="15"/>
  <c r="AD293" i="15"/>
  <c r="AJ293" i="15"/>
  <c r="AL293" i="15"/>
  <c r="C295" i="15"/>
  <c r="M295" i="15"/>
  <c r="P295" i="15"/>
  <c r="AP295" i="15"/>
  <c r="AS295" i="15"/>
  <c r="X295" i="15"/>
  <c r="AD295" i="15"/>
  <c r="AJ295" i="15"/>
  <c r="AL295" i="15"/>
  <c r="C297" i="15"/>
  <c r="B303" i="15"/>
  <c r="M297" i="15"/>
  <c r="P297" i="15"/>
  <c r="AP297" i="15"/>
  <c r="AS297" i="15"/>
  <c r="X297" i="15"/>
  <c r="AD297" i="15"/>
  <c r="AJ297" i="15"/>
  <c r="AL297" i="15"/>
  <c r="C299" i="15"/>
  <c r="M299" i="15"/>
  <c r="P299" i="15"/>
  <c r="AP299" i="15"/>
  <c r="AS299" i="15"/>
  <c r="X299" i="15"/>
  <c r="AD299" i="15"/>
  <c r="AJ299" i="15"/>
  <c r="AL299" i="15"/>
  <c r="P301" i="15"/>
  <c r="AS301" i="15"/>
  <c r="AJ301" i="15"/>
  <c r="AL301" i="15"/>
  <c r="P303" i="15"/>
  <c r="AS303" i="15"/>
  <c r="AP303" i="15"/>
  <c r="X303" i="15"/>
  <c r="AD303" i="15"/>
  <c r="AL303" i="15"/>
  <c r="AJ303" i="15"/>
  <c r="M304" i="15"/>
  <c r="X304" i="15"/>
  <c r="G305" i="15"/>
  <c r="H305" i="15"/>
  <c r="I305" i="15"/>
  <c r="J305" i="15"/>
  <c r="R305" i="15"/>
  <c r="S305" i="15"/>
  <c r="T305" i="15"/>
  <c r="U305" i="15"/>
  <c r="AS305" i="15"/>
  <c r="AU305" i="15"/>
  <c r="AV305" i="15"/>
  <c r="AW305" i="15"/>
  <c r="AX305" i="15"/>
  <c r="AL305" i="15"/>
  <c r="AS307" i="15"/>
  <c r="AT307" i="15"/>
  <c r="AL307" i="15"/>
  <c r="AM307" i="15"/>
  <c r="D99" i="17"/>
  <c r="E99" i="17"/>
  <c r="D100" i="17"/>
  <c r="E100" i="17"/>
  <c r="H100" i="17"/>
  <c r="J100" i="17"/>
  <c r="K100" i="17"/>
  <c r="H101" i="17"/>
  <c r="H102" i="17"/>
  <c r="H103" i="17"/>
  <c r="H104" i="17"/>
  <c r="H105" i="17"/>
  <c r="H106" i="17"/>
  <c r="H107" i="17"/>
  <c r="D109" i="17"/>
  <c r="H109" i="17"/>
  <c r="J109" i="17"/>
  <c r="D110" i="17"/>
  <c r="E110" i="17"/>
  <c r="H110" i="17"/>
  <c r="J110" i="17"/>
  <c r="K110" i="17"/>
  <c r="D111" i="17"/>
  <c r="H111" i="17"/>
  <c r="J111" i="17"/>
  <c r="D112" i="17"/>
  <c r="J112" i="17"/>
  <c r="BL93" i="1"/>
  <c r="B257" i="15"/>
  <c r="P73" i="22"/>
  <c r="P59" i="22"/>
  <c r="M82" i="22"/>
  <c r="N82" i="22"/>
  <c r="M73" i="22"/>
  <c r="N73" i="22"/>
  <c r="M74" i="22"/>
  <c r="N74" i="22"/>
  <c r="M75" i="22"/>
  <c r="N75" i="22"/>
  <c r="M76" i="22"/>
  <c r="N76" i="22"/>
  <c r="M77" i="22"/>
  <c r="N77" i="22"/>
  <c r="M78" i="22"/>
  <c r="N78" i="22"/>
  <c r="M79" i="22"/>
  <c r="N79" i="22"/>
  <c r="M80" i="22"/>
  <c r="N80" i="22"/>
  <c r="M81" i="22"/>
  <c r="N81" i="22"/>
  <c r="Q73" i="22"/>
  <c r="P74" i="22"/>
  <c r="Q74" i="22"/>
  <c r="P75" i="22"/>
  <c r="Q75" i="22"/>
  <c r="P76" i="22"/>
  <c r="Q76" i="22"/>
  <c r="Q77" i="22"/>
  <c r="Q78" i="22"/>
  <c r="Q79" i="22"/>
  <c r="Q80" i="22"/>
  <c r="Q81" i="22"/>
  <c r="Q82" i="22"/>
  <c r="Q83" i="22"/>
  <c r="E73" i="22"/>
  <c r="F73" i="22"/>
  <c r="E74" i="22"/>
  <c r="F74" i="22"/>
  <c r="E75" i="22"/>
  <c r="F75" i="22"/>
  <c r="E76" i="22"/>
  <c r="F76" i="22"/>
  <c r="F79" i="22"/>
  <c r="F80" i="22"/>
  <c r="F81" i="22"/>
  <c r="F82" i="22"/>
  <c r="E77" i="22"/>
  <c r="P77" i="22"/>
  <c r="E78" i="22"/>
  <c r="P78" i="22"/>
  <c r="E79" i="22"/>
  <c r="P79" i="22"/>
  <c r="E80" i="22"/>
  <c r="P80" i="22"/>
  <c r="E81" i="22"/>
  <c r="P81" i="22"/>
  <c r="E82" i="22"/>
  <c r="P82" i="22"/>
  <c r="E83" i="22"/>
  <c r="P83" i="22"/>
  <c r="H77" i="23"/>
  <c r="J77" i="23"/>
  <c r="H78" i="23"/>
  <c r="J78" i="23"/>
  <c r="H79" i="23"/>
  <c r="J79" i="23"/>
  <c r="H80" i="23"/>
  <c r="J80" i="23"/>
  <c r="E81" i="23"/>
  <c r="E82" i="23"/>
  <c r="E83" i="23"/>
  <c r="E84" i="23"/>
  <c r="E85" i="23"/>
  <c r="E86" i="23"/>
  <c r="E87" i="23"/>
  <c r="H87" i="23"/>
  <c r="J87" i="23"/>
  <c r="E88" i="23"/>
  <c r="H88" i="23"/>
  <c r="J88" i="23"/>
  <c r="E89" i="23"/>
  <c r="G89" i="23"/>
  <c r="H89" i="23"/>
  <c r="I89" i="23"/>
  <c r="J89" i="23"/>
  <c r="K89" i="23"/>
  <c r="AA88" i="19"/>
  <c r="AB88" i="19"/>
  <c r="AA89" i="19"/>
  <c r="AB89" i="19"/>
  <c r="AA90" i="19"/>
  <c r="AB90" i="19"/>
  <c r="AA91" i="19"/>
  <c r="AB91" i="19"/>
  <c r="AA92" i="19"/>
  <c r="AB92" i="19"/>
  <c r="AA93" i="19"/>
  <c r="AB93" i="19"/>
  <c r="AA94" i="19"/>
  <c r="AB94" i="19"/>
  <c r="AA95" i="19"/>
  <c r="AB95" i="19"/>
  <c r="AA96" i="19"/>
  <c r="AB96" i="19"/>
  <c r="AA97" i="19"/>
  <c r="AB97" i="19"/>
  <c r="AA98" i="19"/>
  <c r="AB98" i="19"/>
  <c r="AA99" i="19"/>
  <c r="AB99" i="19"/>
  <c r="AA100" i="19"/>
  <c r="AB100" i="19"/>
  <c r="AB101" i="19"/>
  <c r="E88" i="19"/>
  <c r="F88" i="19"/>
  <c r="H88" i="19"/>
  <c r="E89" i="19"/>
  <c r="F89" i="19"/>
  <c r="H89" i="19"/>
  <c r="E90" i="19"/>
  <c r="F90" i="19"/>
  <c r="H90" i="19"/>
  <c r="E91" i="19"/>
  <c r="F91" i="19"/>
  <c r="H91" i="19"/>
  <c r="E92" i="19"/>
  <c r="F92" i="19"/>
  <c r="H92" i="19"/>
  <c r="E94" i="19"/>
  <c r="F94" i="19"/>
  <c r="H94" i="19"/>
  <c r="E95" i="19"/>
  <c r="F95" i="19"/>
  <c r="H95" i="19"/>
  <c r="E96" i="19"/>
  <c r="F96" i="19"/>
  <c r="H96" i="19"/>
  <c r="E97" i="19"/>
  <c r="F97" i="19"/>
  <c r="H97" i="19"/>
  <c r="E98" i="19"/>
  <c r="F98" i="19"/>
  <c r="H98" i="19"/>
  <c r="E99" i="19"/>
  <c r="F99" i="19"/>
  <c r="H99" i="19"/>
  <c r="E100" i="19"/>
  <c r="F100" i="19"/>
  <c r="H100" i="19"/>
  <c r="P88" i="19"/>
  <c r="Q88" i="19"/>
  <c r="S88" i="19"/>
  <c r="P89" i="19"/>
  <c r="Q89" i="19"/>
  <c r="S89" i="19"/>
  <c r="P90" i="19"/>
  <c r="Q90" i="19"/>
  <c r="S90" i="19"/>
  <c r="P91" i="19"/>
  <c r="Q91" i="19"/>
  <c r="S91" i="19"/>
  <c r="P92" i="19"/>
  <c r="Q92" i="19"/>
  <c r="S92" i="19"/>
  <c r="P94" i="19"/>
  <c r="Q94" i="19"/>
  <c r="S94" i="19"/>
  <c r="P95" i="19"/>
  <c r="Q95" i="19"/>
  <c r="S95" i="19"/>
  <c r="P96" i="19"/>
  <c r="Q96" i="19"/>
  <c r="S96" i="19"/>
  <c r="P97" i="19"/>
  <c r="Q97" i="19"/>
  <c r="S97" i="19"/>
  <c r="P98" i="19"/>
  <c r="Q98" i="19"/>
  <c r="S98" i="19"/>
  <c r="P99" i="19"/>
  <c r="Q99" i="19"/>
  <c r="S99" i="19"/>
  <c r="P100" i="19"/>
  <c r="Q100" i="19"/>
  <c r="S100" i="19"/>
  <c r="J88" i="19"/>
  <c r="U88" i="19"/>
  <c r="AD88" i="19"/>
  <c r="AF88" i="19"/>
  <c r="J89" i="19"/>
  <c r="U89" i="19"/>
  <c r="AD89" i="19"/>
  <c r="AF89" i="19"/>
  <c r="J90" i="19"/>
  <c r="U90" i="19"/>
  <c r="AD90" i="19"/>
  <c r="AF90" i="19"/>
  <c r="J91" i="19"/>
  <c r="U91" i="19"/>
  <c r="AD91" i="19"/>
  <c r="AF91" i="19"/>
  <c r="J92" i="19"/>
  <c r="U92" i="19"/>
  <c r="AD92" i="19"/>
  <c r="AF92" i="19"/>
  <c r="J93" i="19"/>
  <c r="U93" i="19"/>
  <c r="AD93" i="19"/>
  <c r="AF93" i="19"/>
  <c r="J94" i="19"/>
  <c r="U94" i="19"/>
  <c r="AD94" i="19"/>
  <c r="AF94" i="19"/>
  <c r="J95" i="19"/>
  <c r="U95" i="19"/>
  <c r="AD95" i="19"/>
  <c r="AF95" i="19"/>
  <c r="J96" i="19"/>
  <c r="U96" i="19"/>
  <c r="AD96" i="19"/>
  <c r="AF96" i="19"/>
  <c r="J97" i="19"/>
  <c r="U97" i="19"/>
  <c r="AD97" i="19"/>
  <c r="AF97" i="19"/>
  <c r="J98" i="19"/>
  <c r="U98" i="19"/>
  <c r="AD98" i="19"/>
  <c r="AF98" i="19"/>
  <c r="J99" i="19"/>
  <c r="U99" i="19"/>
  <c r="AD99" i="19"/>
  <c r="AF99" i="19"/>
  <c r="J100" i="19"/>
  <c r="U100" i="19"/>
  <c r="AD100" i="19"/>
  <c r="AF100" i="19"/>
  <c r="E101" i="19"/>
  <c r="F101" i="19"/>
  <c r="G101" i="19"/>
  <c r="I101" i="19"/>
  <c r="J101" i="19"/>
  <c r="K101" i="19"/>
  <c r="L101" i="19"/>
  <c r="P101" i="19"/>
  <c r="Q101" i="19"/>
  <c r="R101" i="19"/>
  <c r="T101" i="19"/>
  <c r="U101" i="19"/>
  <c r="V101" i="19"/>
  <c r="W101" i="19"/>
  <c r="AA101" i="19"/>
  <c r="AC101" i="19"/>
  <c r="AD101" i="19"/>
  <c r="AE101" i="19"/>
  <c r="AF101" i="19"/>
  <c r="AG101" i="19"/>
  <c r="AH101" i="19"/>
  <c r="P181" i="15"/>
  <c r="Q181" i="15"/>
  <c r="P183" i="15"/>
  <c r="Q183" i="15"/>
  <c r="Q184" i="15"/>
  <c r="P185" i="15"/>
  <c r="Q185" i="15"/>
  <c r="Q186" i="15"/>
  <c r="P187" i="15"/>
  <c r="Q187" i="15"/>
  <c r="Q188" i="15"/>
  <c r="P189" i="15"/>
  <c r="Q189" i="15"/>
  <c r="Q190" i="15"/>
  <c r="P191" i="15"/>
  <c r="Q191" i="15"/>
  <c r="Q192" i="15"/>
  <c r="P193" i="15"/>
  <c r="Q193" i="15"/>
  <c r="Q199" i="15"/>
  <c r="Q201" i="15"/>
  <c r="Q203" i="15"/>
  <c r="Q205" i="15"/>
  <c r="Q207" i="15"/>
  <c r="Q209" i="15"/>
  <c r="Q211" i="15"/>
  <c r="Q213" i="15"/>
  <c r="Q215" i="15"/>
  <c r="Q217" i="15"/>
  <c r="D76" i="1"/>
  <c r="D77" i="1"/>
  <c r="AS181" i="15"/>
  <c r="AT181" i="15"/>
  <c r="AS183" i="15"/>
  <c r="AT183" i="15"/>
  <c r="AT184" i="15"/>
  <c r="AS185" i="15"/>
  <c r="AT185" i="15"/>
  <c r="AT186" i="15"/>
  <c r="AS187" i="15"/>
  <c r="AT187" i="15"/>
  <c r="AT188" i="15"/>
  <c r="AS189" i="15"/>
  <c r="AT189" i="15"/>
  <c r="AT190" i="15"/>
  <c r="AS191" i="15"/>
  <c r="AT191" i="15"/>
  <c r="AT192" i="15"/>
  <c r="AS193" i="15"/>
  <c r="AT193" i="15"/>
  <c r="AT199" i="15"/>
  <c r="AT201" i="15"/>
  <c r="AT203" i="15"/>
  <c r="AT205" i="15"/>
  <c r="AT207" i="15"/>
  <c r="AT209" i="15"/>
  <c r="AT211" i="15"/>
  <c r="AT213" i="15"/>
  <c r="AT215" i="15"/>
  <c r="AT217" i="15"/>
  <c r="E76" i="1"/>
  <c r="E77" i="1"/>
  <c r="Z181" i="15"/>
  <c r="AA181" i="15"/>
  <c r="Z183" i="15"/>
  <c r="AA183" i="15"/>
  <c r="AA184" i="15"/>
  <c r="Z185" i="15"/>
  <c r="AA185" i="15"/>
  <c r="AA186" i="15"/>
  <c r="Z187" i="15"/>
  <c r="AA187" i="15"/>
  <c r="AA188" i="15"/>
  <c r="Z189" i="15"/>
  <c r="AA189" i="15"/>
  <c r="AA190" i="15"/>
  <c r="Z191" i="15"/>
  <c r="AA191" i="15"/>
  <c r="AA192" i="15"/>
  <c r="Z193" i="15"/>
  <c r="AA193" i="15"/>
  <c r="AA199" i="15"/>
  <c r="AA201" i="15"/>
  <c r="AA203" i="15"/>
  <c r="AA205" i="15"/>
  <c r="AA207" i="15"/>
  <c r="AA209" i="15"/>
  <c r="AA211" i="15"/>
  <c r="AA213" i="15"/>
  <c r="AA215" i="15"/>
  <c r="AA217" i="15"/>
  <c r="F76" i="1"/>
  <c r="F77" i="1"/>
  <c r="AF181" i="15"/>
  <c r="AG181" i="15"/>
  <c r="AF183" i="15"/>
  <c r="AG183" i="15"/>
  <c r="AG184" i="15"/>
  <c r="AF185" i="15"/>
  <c r="AG185" i="15"/>
  <c r="AG186" i="15"/>
  <c r="AF187" i="15"/>
  <c r="AG187" i="15"/>
  <c r="AG188" i="15"/>
  <c r="AF189" i="15"/>
  <c r="AG189" i="15"/>
  <c r="AG190" i="15"/>
  <c r="AF191" i="15"/>
  <c r="AG191" i="15"/>
  <c r="AG192" i="15"/>
  <c r="AF193" i="15"/>
  <c r="AG193" i="15"/>
  <c r="AG199" i="15"/>
  <c r="AG201" i="15"/>
  <c r="AG203" i="15"/>
  <c r="AG205" i="15"/>
  <c r="AG207" i="15"/>
  <c r="AG209" i="15"/>
  <c r="AG211" i="15"/>
  <c r="AG213" i="15"/>
  <c r="AG215" i="15"/>
  <c r="AG217" i="15"/>
  <c r="G76" i="1"/>
  <c r="G77" i="1"/>
  <c r="AL181" i="15"/>
  <c r="AM181" i="15"/>
  <c r="AL183" i="15"/>
  <c r="AM183" i="15"/>
  <c r="AM184" i="15"/>
  <c r="AL185" i="15"/>
  <c r="AM185" i="15"/>
  <c r="AM186" i="15"/>
  <c r="AL187" i="15"/>
  <c r="AM187" i="15"/>
  <c r="AM188" i="15"/>
  <c r="AL189" i="15"/>
  <c r="AM189" i="15"/>
  <c r="AM190" i="15"/>
  <c r="AL191" i="15"/>
  <c r="AM191" i="15"/>
  <c r="AM192" i="15"/>
  <c r="AL193" i="15"/>
  <c r="AM193" i="15"/>
  <c r="AM199" i="15"/>
  <c r="AM201" i="15"/>
  <c r="AM203" i="15"/>
  <c r="AM205" i="15"/>
  <c r="AM207" i="15"/>
  <c r="AM209" i="15"/>
  <c r="AM211" i="15"/>
  <c r="AM213" i="15"/>
  <c r="AM215" i="15"/>
  <c r="AM217" i="15"/>
  <c r="H76" i="1"/>
  <c r="H77" i="1"/>
  <c r="F80" i="14"/>
  <c r="F81" i="14"/>
  <c r="E72" i="14"/>
  <c r="F72" i="14"/>
  <c r="E73" i="14"/>
  <c r="F73" i="14"/>
  <c r="E74" i="14"/>
  <c r="F74" i="14"/>
  <c r="E75" i="14"/>
  <c r="F75" i="14"/>
  <c r="E76" i="14"/>
  <c r="F76" i="14"/>
  <c r="E77" i="14"/>
  <c r="F77" i="14"/>
  <c r="E78" i="14"/>
  <c r="F78" i="14"/>
  <c r="E79" i="14"/>
  <c r="F79" i="14"/>
  <c r="F82" i="14"/>
  <c r="F83" i="14"/>
  <c r="F84" i="14"/>
  <c r="I76" i="1"/>
  <c r="E76" i="17"/>
  <c r="E77" i="17"/>
  <c r="E78" i="17"/>
  <c r="L76" i="1"/>
  <c r="K76" i="17"/>
  <c r="K77" i="17"/>
  <c r="K78" i="17"/>
  <c r="M76" i="1"/>
  <c r="P77" i="19"/>
  <c r="Q77" i="19"/>
  <c r="S77" i="19"/>
  <c r="S84" i="19"/>
  <c r="N76" i="1"/>
  <c r="E77" i="19"/>
  <c r="F77" i="19"/>
  <c r="H77" i="19"/>
  <c r="H84" i="19"/>
  <c r="O76" i="1"/>
  <c r="AA77" i="19"/>
  <c r="AB77" i="19"/>
  <c r="AB84" i="19"/>
  <c r="P76" i="1"/>
  <c r="E65" i="23"/>
  <c r="F65" i="23"/>
  <c r="F66" i="23"/>
  <c r="E62" i="23"/>
  <c r="F62" i="23"/>
  <c r="E63" i="23"/>
  <c r="F63" i="23"/>
  <c r="E64" i="23"/>
  <c r="F64" i="23"/>
  <c r="F67" i="23"/>
  <c r="F68" i="23"/>
  <c r="F69" i="23"/>
  <c r="F70" i="23"/>
  <c r="F71" i="23"/>
  <c r="F72" i="23"/>
  <c r="F73" i="23"/>
  <c r="F74" i="23"/>
  <c r="Q76" i="1"/>
  <c r="E62" i="22"/>
  <c r="F62" i="22"/>
  <c r="F63" i="22"/>
  <c r="F69" i="22"/>
  <c r="S76" i="1"/>
  <c r="P62" i="22"/>
  <c r="Q62" i="22"/>
  <c r="Q63" i="22"/>
  <c r="Q59" i="22"/>
  <c r="Q69" i="22"/>
  <c r="T76" i="1"/>
  <c r="D83" i="17"/>
  <c r="E83" i="17"/>
  <c r="D84" i="17"/>
  <c r="E84" i="17"/>
  <c r="D85" i="17"/>
  <c r="E85" i="17"/>
  <c r="D86" i="17"/>
  <c r="E86" i="17"/>
  <c r="D87" i="17"/>
  <c r="E87" i="17"/>
  <c r="E90" i="17"/>
  <c r="E91" i="17"/>
  <c r="E92" i="17"/>
  <c r="E93" i="17"/>
  <c r="E94" i="17"/>
  <c r="J83" i="17"/>
  <c r="K83" i="17"/>
  <c r="J84" i="17"/>
  <c r="K84" i="17"/>
  <c r="J85" i="17"/>
  <c r="K85" i="17"/>
  <c r="J86" i="17"/>
  <c r="K86" i="17"/>
  <c r="J87" i="17"/>
  <c r="K87" i="17"/>
  <c r="K88" i="17"/>
  <c r="K89" i="17"/>
  <c r="K95" i="17"/>
  <c r="M93" i="1"/>
  <c r="K90" i="17"/>
  <c r="K91" i="17"/>
  <c r="K92" i="17"/>
  <c r="K93" i="17"/>
  <c r="K94" i="17"/>
  <c r="B82" i="1"/>
  <c r="BR82" i="1"/>
  <c r="B85" i="1"/>
  <c r="BR85" i="1"/>
  <c r="B89" i="1"/>
  <c r="B90" i="1"/>
  <c r="E93" i="1"/>
  <c r="I93" i="1"/>
  <c r="N93" i="1"/>
  <c r="O93" i="1"/>
  <c r="P93" i="1"/>
  <c r="Q93" i="1"/>
  <c r="S93" i="1"/>
  <c r="T93" i="1"/>
  <c r="U93" i="1"/>
  <c r="V93" i="1"/>
  <c r="W93" i="1"/>
  <c r="X93" i="1"/>
  <c r="Y93" i="1"/>
  <c r="Z93" i="1"/>
  <c r="AB93" i="1"/>
  <c r="AC93" i="1"/>
  <c r="AD93" i="1"/>
  <c r="AE93" i="1"/>
  <c r="AH93" i="1"/>
  <c r="AI93" i="1"/>
  <c r="AJ93" i="1"/>
  <c r="AL93" i="1"/>
  <c r="AN93" i="1"/>
  <c r="AO93" i="1"/>
  <c r="AP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M93" i="1"/>
  <c r="BN93" i="1"/>
  <c r="BO93" i="1"/>
  <c r="BQ93" i="1"/>
  <c r="BS93" i="1"/>
  <c r="T96" i="1"/>
  <c r="AD96" i="1"/>
  <c r="AE96" i="1"/>
  <c r="AG96" i="1"/>
  <c r="AH96" i="1"/>
  <c r="AN96" i="1"/>
  <c r="AO96" i="1"/>
  <c r="BF96" i="1"/>
  <c r="BG96" i="1"/>
  <c r="BP96" i="1"/>
  <c r="BQ96" i="1"/>
  <c r="H83" i="17"/>
  <c r="H84" i="17"/>
  <c r="H85" i="17"/>
  <c r="H86" i="17"/>
  <c r="H87" i="17"/>
  <c r="D90" i="17"/>
  <c r="D95" i="17"/>
  <c r="H88" i="17"/>
  <c r="J88" i="17"/>
  <c r="H89" i="17"/>
  <c r="J89" i="17"/>
  <c r="H90" i="17"/>
  <c r="J90" i="17"/>
  <c r="D91" i="17"/>
  <c r="H91" i="17"/>
  <c r="J91" i="17"/>
  <c r="D92" i="17"/>
  <c r="H92" i="17"/>
  <c r="J92" i="17"/>
  <c r="D93" i="17"/>
  <c r="H93" i="17"/>
  <c r="J93" i="17"/>
  <c r="D94" i="17"/>
  <c r="H94" i="17"/>
  <c r="J94" i="17"/>
  <c r="J95" i="17"/>
  <c r="P228" i="15"/>
  <c r="P230" i="15"/>
  <c r="P232" i="15"/>
  <c r="P234" i="15"/>
  <c r="AS228" i="15"/>
  <c r="AS230" i="15"/>
  <c r="AS232" i="15"/>
  <c r="AS234" i="15"/>
  <c r="Z228" i="15"/>
  <c r="Z230" i="15"/>
  <c r="Z232" i="15"/>
  <c r="Z234" i="15"/>
  <c r="AL226" i="15"/>
  <c r="AL228" i="15"/>
  <c r="AL230" i="15"/>
  <c r="AL232" i="15"/>
  <c r="AL234" i="15"/>
  <c r="AL236" i="15"/>
  <c r="AL242" i="15"/>
  <c r="AJ260" i="15"/>
  <c r="AF228" i="15"/>
  <c r="AF230" i="15"/>
  <c r="AF232" i="15"/>
  <c r="AF234" i="15"/>
  <c r="AF236" i="15"/>
  <c r="C225" i="15"/>
  <c r="M225" i="15"/>
  <c r="AP225" i="15"/>
  <c r="X225" i="15"/>
  <c r="AD225" i="15"/>
  <c r="AJ225" i="15"/>
  <c r="P226" i="15"/>
  <c r="AS226" i="15"/>
  <c r="Z226" i="15"/>
  <c r="AF226" i="15"/>
  <c r="C227" i="15"/>
  <c r="M227" i="15"/>
  <c r="AP227" i="15"/>
  <c r="X227" i="15"/>
  <c r="AD227" i="15"/>
  <c r="AJ227" i="15"/>
  <c r="M228" i="15"/>
  <c r="AP228" i="15"/>
  <c r="X228" i="15"/>
  <c r="AD228" i="15"/>
  <c r="AJ228" i="15"/>
  <c r="C229" i="15"/>
  <c r="M229" i="15"/>
  <c r="AP229" i="15"/>
  <c r="X229" i="15"/>
  <c r="AD229" i="15"/>
  <c r="AJ229" i="15"/>
  <c r="M230" i="15"/>
  <c r="AP230" i="15"/>
  <c r="X230" i="15"/>
  <c r="AD230" i="15"/>
  <c r="AJ230" i="15"/>
  <c r="C231" i="15"/>
  <c r="M231" i="15"/>
  <c r="AP231" i="15"/>
  <c r="X231" i="15"/>
  <c r="AD231" i="15"/>
  <c r="AJ231" i="15"/>
  <c r="M232" i="15"/>
  <c r="AP232" i="15"/>
  <c r="X232" i="15"/>
  <c r="AD232" i="15"/>
  <c r="AJ232" i="15"/>
  <c r="C233" i="15"/>
  <c r="M233" i="15"/>
  <c r="AP233" i="15"/>
  <c r="X233" i="15"/>
  <c r="AD233" i="15"/>
  <c r="AJ233" i="15"/>
  <c r="M234" i="15"/>
  <c r="AP234" i="15"/>
  <c r="X234" i="15"/>
  <c r="AD234" i="15"/>
  <c r="AJ234" i="15"/>
  <c r="C235" i="15"/>
  <c r="M235" i="15"/>
  <c r="AP235" i="15"/>
  <c r="X235" i="15"/>
  <c r="AD235" i="15"/>
  <c r="AJ235" i="15"/>
  <c r="M236" i="15"/>
  <c r="P236" i="15"/>
  <c r="AP236" i="15"/>
  <c r="AS236" i="15"/>
  <c r="X236" i="15"/>
  <c r="Z236" i="15"/>
  <c r="AD236" i="15"/>
  <c r="AJ236" i="15"/>
  <c r="C237" i="15"/>
  <c r="M237" i="15"/>
  <c r="AP237" i="15"/>
  <c r="X237" i="15"/>
  <c r="AD237" i="15"/>
  <c r="AJ237" i="15"/>
  <c r="C241" i="15"/>
  <c r="E241" i="15"/>
  <c r="M241" i="15"/>
  <c r="P241" i="15"/>
  <c r="AP241" i="15"/>
  <c r="AS241" i="15"/>
  <c r="X241" i="15"/>
  <c r="Z241" i="15"/>
  <c r="AD241" i="15"/>
  <c r="AF241" i="15"/>
  <c r="AJ241" i="15"/>
  <c r="AL241" i="15"/>
  <c r="E242" i="15"/>
  <c r="P242" i="15"/>
  <c r="AS242" i="15"/>
  <c r="Z242" i="15"/>
  <c r="AF242" i="15"/>
  <c r="C243" i="15"/>
  <c r="E243" i="15"/>
  <c r="M243" i="15"/>
  <c r="P243" i="15"/>
  <c r="AP243" i="15"/>
  <c r="AS243" i="15"/>
  <c r="X243" i="15"/>
  <c r="Z243" i="15"/>
  <c r="AD243" i="15"/>
  <c r="AF243" i="15"/>
  <c r="AJ243" i="15"/>
  <c r="AL243" i="15"/>
  <c r="E244" i="15"/>
  <c r="C245" i="15"/>
  <c r="E245" i="15"/>
  <c r="M245" i="15"/>
  <c r="P245" i="15"/>
  <c r="AP245" i="15"/>
  <c r="AS245" i="15"/>
  <c r="X245" i="15"/>
  <c r="Z245" i="15"/>
  <c r="AD245" i="15"/>
  <c r="AF245" i="15"/>
  <c r="AJ245" i="15"/>
  <c r="AL245" i="15"/>
  <c r="E246" i="15"/>
  <c r="M246" i="15"/>
  <c r="C247" i="15"/>
  <c r="E247" i="15"/>
  <c r="M247" i="15"/>
  <c r="P247" i="15"/>
  <c r="AP247" i="15"/>
  <c r="AS247" i="15"/>
  <c r="Z247" i="15"/>
  <c r="AD247" i="15"/>
  <c r="AF247" i="15"/>
  <c r="AJ247" i="15"/>
  <c r="AL247" i="15"/>
  <c r="E248" i="15"/>
  <c r="C249" i="15"/>
  <c r="E249" i="15"/>
  <c r="M249" i="15"/>
  <c r="P249" i="15"/>
  <c r="AP249" i="15"/>
  <c r="AS249" i="15"/>
  <c r="X249" i="15"/>
  <c r="Z249" i="15"/>
  <c r="AD249" i="15"/>
  <c r="AF249" i="15"/>
  <c r="AJ249" i="15"/>
  <c r="AL249" i="15"/>
  <c r="E250" i="15"/>
  <c r="C251" i="15"/>
  <c r="E251" i="15"/>
  <c r="M251" i="15"/>
  <c r="P251" i="15"/>
  <c r="AP251" i="15"/>
  <c r="AS251" i="15"/>
  <c r="X251" i="15"/>
  <c r="Z251" i="15"/>
  <c r="AD251" i="15"/>
  <c r="AF251" i="15"/>
  <c r="AJ251" i="15"/>
  <c r="AL251" i="15"/>
  <c r="E252" i="15"/>
  <c r="C253" i="15"/>
  <c r="E253" i="15"/>
  <c r="M253" i="15"/>
  <c r="P253" i="15"/>
  <c r="AP253" i="15"/>
  <c r="AS253" i="15"/>
  <c r="X253" i="15"/>
  <c r="Z253" i="15"/>
  <c r="AD253" i="15"/>
  <c r="AF253" i="15"/>
  <c r="AJ253" i="15"/>
  <c r="AL253" i="15"/>
  <c r="E254" i="15"/>
  <c r="C255" i="15"/>
  <c r="E255" i="15"/>
  <c r="M255" i="15"/>
  <c r="P255" i="15"/>
  <c r="AP255" i="15"/>
  <c r="AS255" i="15"/>
  <c r="X255" i="15"/>
  <c r="Z255" i="15"/>
  <c r="AD255" i="15"/>
  <c r="AF255" i="15"/>
  <c r="AJ255" i="15"/>
  <c r="AL255" i="15"/>
  <c r="E256" i="15"/>
  <c r="E257" i="15"/>
  <c r="M257" i="15"/>
  <c r="P257" i="15"/>
  <c r="AP257" i="15"/>
  <c r="AS257" i="15"/>
  <c r="X257" i="15"/>
  <c r="Z257" i="15"/>
  <c r="AD257" i="15"/>
  <c r="AF257" i="15"/>
  <c r="AJ257" i="15"/>
  <c r="AL257" i="15"/>
  <c r="E258" i="15"/>
  <c r="E259" i="15"/>
  <c r="B259" i="15"/>
  <c r="P259" i="15"/>
  <c r="M259" i="15"/>
  <c r="AS259" i="15"/>
  <c r="AP259" i="15"/>
  <c r="Z259" i="15"/>
  <c r="X259" i="15"/>
  <c r="AF259" i="15"/>
  <c r="AD259" i="15"/>
  <c r="AL259" i="15"/>
  <c r="AJ259" i="15"/>
  <c r="E260" i="15"/>
  <c r="B260" i="15"/>
  <c r="M260" i="15"/>
  <c r="AP260" i="15"/>
  <c r="X260" i="15"/>
  <c r="AD260" i="15"/>
  <c r="C261" i="15"/>
  <c r="E261" i="15"/>
  <c r="G261" i="15"/>
  <c r="H261" i="15"/>
  <c r="I261" i="15"/>
  <c r="J261" i="15"/>
  <c r="P261" i="15"/>
  <c r="R261" i="15"/>
  <c r="S261" i="15"/>
  <c r="T261" i="15"/>
  <c r="U261" i="15"/>
  <c r="AS261" i="15"/>
  <c r="AU261" i="15"/>
  <c r="AV261" i="15"/>
  <c r="AW261" i="15"/>
  <c r="AX261" i="15"/>
  <c r="Z261" i="15"/>
  <c r="AF261" i="15"/>
  <c r="AL261" i="15"/>
  <c r="C263" i="15"/>
  <c r="D263" i="15"/>
  <c r="E263" i="15"/>
  <c r="F263" i="15"/>
  <c r="P263" i="15"/>
  <c r="Q263" i="15"/>
  <c r="AS263" i="15"/>
  <c r="AT263" i="15"/>
  <c r="Z263" i="15"/>
  <c r="AA263" i="15"/>
  <c r="AF263" i="15"/>
  <c r="AG263" i="15"/>
  <c r="AL263" i="15"/>
  <c r="AM263" i="15"/>
  <c r="E96" i="14"/>
  <c r="E97" i="14"/>
  <c r="E98" i="14"/>
  <c r="E99" i="14"/>
  <c r="E100" i="14"/>
  <c r="E101" i="14"/>
  <c r="E80" i="14"/>
  <c r="H76" i="17"/>
  <c r="H77" i="17"/>
  <c r="H67" i="17"/>
  <c r="H68" i="17"/>
  <c r="H69" i="17"/>
  <c r="H70" i="17"/>
  <c r="H71" i="17"/>
  <c r="H72" i="17"/>
  <c r="H66" i="17"/>
  <c r="B213" i="15"/>
  <c r="E59" i="22"/>
  <c r="H62" i="23"/>
  <c r="J62" i="23"/>
  <c r="H63" i="23"/>
  <c r="J63" i="23"/>
  <c r="H64" i="23"/>
  <c r="J64" i="23"/>
  <c r="H65" i="23"/>
  <c r="J65" i="23"/>
  <c r="E66" i="23"/>
  <c r="E67" i="23"/>
  <c r="E68" i="23"/>
  <c r="E69" i="23"/>
  <c r="E70" i="23"/>
  <c r="E71" i="23"/>
  <c r="E72" i="23"/>
  <c r="H72" i="23"/>
  <c r="J72" i="23"/>
  <c r="E73" i="23"/>
  <c r="H73" i="23"/>
  <c r="J73" i="23"/>
  <c r="E74" i="23"/>
  <c r="G74" i="23"/>
  <c r="H74" i="23"/>
  <c r="I74" i="23"/>
  <c r="J74" i="23"/>
  <c r="K74" i="23"/>
  <c r="P60" i="22"/>
  <c r="Q60" i="22"/>
  <c r="P61" i="22"/>
  <c r="Q61" i="22"/>
  <c r="Q64" i="22"/>
  <c r="Q65" i="22"/>
  <c r="Q66" i="22"/>
  <c r="Q67" i="22"/>
  <c r="Q68" i="22"/>
  <c r="F59" i="22"/>
  <c r="E60" i="22"/>
  <c r="F60" i="22"/>
  <c r="E61" i="22"/>
  <c r="F61" i="22"/>
  <c r="F64" i="22"/>
  <c r="F65" i="22"/>
  <c r="F66" i="22"/>
  <c r="F67" i="22"/>
  <c r="F68" i="22"/>
  <c r="M59" i="22"/>
  <c r="M60" i="22"/>
  <c r="M61" i="22"/>
  <c r="M62" i="22"/>
  <c r="E63" i="22"/>
  <c r="P63" i="22"/>
  <c r="E64" i="22"/>
  <c r="M64" i="22"/>
  <c r="P64" i="22"/>
  <c r="E65" i="22"/>
  <c r="M65" i="22"/>
  <c r="P65" i="22"/>
  <c r="E66" i="22"/>
  <c r="M66" i="22"/>
  <c r="P66" i="22"/>
  <c r="E67" i="22"/>
  <c r="M67" i="22"/>
  <c r="N67" i="22"/>
  <c r="P67" i="22"/>
  <c r="E68" i="22"/>
  <c r="M68" i="22"/>
  <c r="N68" i="22"/>
  <c r="P68" i="22"/>
  <c r="E69" i="22"/>
  <c r="P69" i="22"/>
  <c r="AA71" i="19"/>
  <c r="AB71" i="19"/>
  <c r="AA72" i="19"/>
  <c r="AB72" i="19"/>
  <c r="AA73" i="19"/>
  <c r="AB73" i="19"/>
  <c r="AA74" i="19"/>
  <c r="AB74" i="19"/>
  <c r="AA75" i="19"/>
  <c r="AB75" i="19"/>
  <c r="AA76" i="19"/>
  <c r="AB76" i="19"/>
  <c r="AA78" i="19"/>
  <c r="AB78" i="19"/>
  <c r="AA79" i="19"/>
  <c r="AB79" i="19"/>
  <c r="AA80" i="19"/>
  <c r="AB80" i="19"/>
  <c r="AA81" i="19"/>
  <c r="AB81" i="19"/>
  <c r="AA82" i="19"/>
  <c r="AB82" i="19"/>
  <c r="AA83" i="19"/>
  <c r="AB83" i="19"/>
  <c r="E71" i="19"/>
  <c r="F71" i="19"/>
  <c r="H71" i="19"/>
  <c r="E72" i="19"/>
  <c r="F72" i="19"/>
  <c r="H72" i="19"/>
  <c r="E73" i="19"/>
  <c r="F73" i="19"/>
  <c r="H73" i="19"/>
  <c r="E74" i="19"/>
  <c r="F74" i="19"/>
  <c r="H74" i="19"/>
  <c r="E75" i="19"/>
  <c r="F75" i="19"/>
  <c r="H75" i="19"/>
  <c r="E76" i="19"/>
  <c r="F76" i="19"/>
  <c r="H76" i="19"/>
  <c r="E78" i="19"/>
  <c r="F78" i="19"/>
  <c r="H78" i="19"/>
  <c r="E79" i="19"/>
  <c r="F79" i="19"/>
  <c r="H79" i="19"/>
  <c r="E80" i="19"/>
  <c r="F80" i="19"/>
  <c r="H80" i="19"/>
  <c r="E81" i="19"/>
  <c r="F81" i="19"/>
  <c r="H81" i="19"/>
  <c r="E82" i="19"/>
  <c r="F82" i="19"/>
  <c r="H82" i="19"/>
  <c r="E83" i="19"/>
  <c r="F83" i="19"/>
  <c r="H83" i="19"/>
  <c r="P71" i="19"/>
  <c r="Q71" i="19"/>
  <c r="S71" i="19"/>
  <c r="P72" i="19"/>
  <c r="Q72" i="19"/>
  <c r="S72" i="19"/>
  <c r="P73" i="19"/>
  <c r="Q73" i="19"/>
  <c r="S73" i="19"/>
  <c r="P74" i="19"/>
  <c r="Q74" i="19"/>
  <c r="S74" i="19"/>
  <c r="P75" i="19"/>
  <c r="Q75" i="19"/>
  <c r="S75" i="19"/>
  <c r="P76" i="19"/>
  <c r="Q76" i="19"/>
  <c r="S76" i="19"/>
  <c r="P78" i="19"/>
  <c r="Q78" i="19"/>
  <c r="S78" i="19"/>
  <c r="P79" i="19"/>
  <c r="Q79" i="19"/>
  <c r="S79" i="19"/>
  <c r="P80" i="19"/>
  <c r="Q80" i="19"/>
  <c r="S80" i="19"/>
  <c r="P81" i="19"/>
  <c r="Q81" i="19"/>
  <c r="S81" i="19"/>
  <c r="P82" i="19"/>
  <c r="Q82" i="19"/>
  <c r="S82" i="19"/>
  <c r="P83" i="19"/>
  <c r="Q83" i="19"/>
  <c r="S83" i="19"/>
  <c r="J71" i="19"/>
  <c r="U71" i="19"/>
  <c r="AD71" i="19"/>
  <c r="AF71" i="19"/>
  <c r="J72" i="19"/>
  <c r="U72" i="19"/>
  <c r="AD72" i="19"/>
  <c r="AF72" i="19"/>
  <c r="J73" i="19"/>
  <c r="U73" i="19"/>
  <c r="AD73" i="19"/>
  <c r="AF73" i="19"/>
  <c r="J74" i="19"/>
  <c r="U74" i="19"/>
  <c r="AD74" i="19"/>
  <c r="AF74" i="19"/>
  <c r="J75" i="19"/>
  <c r="U75" i="19"/>
  <c r="AD75" i="19"/>
  <c r="AF75" i="19"/>
  <c r="J76" i="19"/>
  <c r="U76" i="19"/>
  <c r="AD76" i="19"/>
  <c r="AF76" i="19"/>
  <c r="J77" i="19"/>
  <c r="U77" i="19"/>
  <c r="AD77" i="19"/>
  <c r="AF77" i="19"/>
  <c r="J78" i="19"/>
  <c r="U78" i="19"/>
  <c r="AD78" i="19"/>
  <c r="AF78" i="19"/>
  <c r="J79" i="19"/>
  <c r="U79" i="19"/>
  <c r="AD79" i="19"/>
  <c r="AF79" i="19"/>
  <c r="J80" i="19"/>
  <c r="U80" i="19"/>
  <c r="AD80" i="19"/>
  <c r="AF80" i="19"/>
  <c r="J81" i="19"/>
  <c r="U81" i="19"/>
  <c r="AD81" i="19"/>
  <c r="AF81" i="19"/>
  <c r="J82" i="19"/>
  <c r="U82" i="19"/>
  <c r="AD82" i="19"/>
  <c r="AF82" i="19"/>
  <c r="J83" i="19"/>
  <c r="U83" i="19"/>
  <c r="AD83" i="19"/>
  <c r="AF83" i="19"/>
  <c r="E84" i="19"/>
  <c r="F84" i="19"/>
  <c r="G84" i="19"/>
  <c r="I84" i="19"/>
  <c r="J84" i="19"/>
  <c r="K84" i="19"/>
  <c r="L84" i="19"/>
  <c r="P84" i="19"/>
  <c r="Q84" i="19"/>
  <c r="R84" i="19"/>
  <c r="T84" i="19"/>
  <c r="U84" i="19"/>
  <c r="V84" i="19"/>
  <c r="W84" i="19"/>
  <c r="AA84" i="19"/>
  <c r="AC84" i="19"/>
  <c r="AD84" i="19"/>
  <c r="AE84" i="19"/>
  <c r="AF84" i="19"/>
  <c r="AG84" i="19"/>
  <c r="AH84" i="19"/>
  <c r="J66" i="17"/>
  <c r="K66" i="17"/>
  <c r="J67" i="17"/>
  <c r="K67" i="17"/>
  <c r="J68" i="17"/>
  <c r="K68" i="17"/>
  <c r="J69" i="17"/>
  <c r="K69" i="17"/>
  <c r="J70" i="17"/>
  <c r="K70" i="17"/>
  <c r="J71" i="17"/>
  <c r="K71" i="17"/>
  <c r="J72" i="17"/>
  <c r="K72" i="17"/>
  <c r="D66" i="17"/>
  <c r="E66" i="17"/>
  <c r="D67" i="17"/>
  <c r="E67" i="17"/>
  <c r="D68" i="17"/>
  <c r="E68" i="17"/>
  <c r="D69" i="17"/>
  <c r="E69" i="17"/>
  <c r="D70" i="17"/>
  <c r="E70" i="17"/>
  <c r="D71" i="17"/>
  <c r="E71" i="17"/>
  <c r="D72" i="17"/>
  <c r="E72" i="17"/>
  <c r="L77" i="1"/>
  <c r="B66" i="1"/>
  <c r="BR66" i="1"/>
  <c r="B69" i="1"/>
  <c r="BR69" i="1"/>
  <c r="B73" i="1"/>
  <c r="B74" i="1"/>
  <c r="I77" i="1"/>
  <c r="M77" i="1"/>
  <c r="N77" i="1"/>
  <c r="O77" i="1"/>
  <c r="P77" i="1"/>
  <c r="Q77" i="1"/>
  <c r="S77" i="1"/>
  <c r="T77" i="1"/>
  <c r="U77" i="1"/>
  <c r="V77" i="1"/>
  <c r="W77" i="1"/>
  <c r="X77" i="1"/>
  <c r="Y77" i="1"/>
  <c r="Z77" i="1"/>
  <c r="AB77" i="1"/>
  <c r="AC77" i="1"/>
  <c r="AD77" i="1"/>
  <c r="AE77" i="1"/>
  <c r="AH77" i="1"/>
  <c r="AI77" i="1"/>
  <c r="AJ77" i="1"/>
  <c r="AK77" i="1"/>
  <c r="AL77" i="1"/>
  <c r="AN77" i="1"/>
  <c r="AO77" i="1"/>
  <c r="AP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Q77" i="1"/>
  <c r="BS77" i="1"/>
  <c r="L79" i="1"/>
  <c r="S79" i="1"/>
  <c r="AD79" i="1"/>
  <c r="AG79" i="1"/>
  <c r="AN79" i="1"/>
  <c r="BF79" i="1"/>
  <c r="BP79" i="1"/>
  <c r="S80" i="1"/>
  <c r="T80" i="1"/>
  <c r="AD80" i="1"/>
  <c r="AE80" i="1"/>
  <c r="AG80" i="1"/>
  <c r="AH80" i="1"/>
  <c r="AN80" i="1"/>
  <c r="AO80" i="1"/>
  <c r="BF80" i="1"/>
  <c r="BG80" i="1"/>
  <c r="BP80" i="1"/>
  <c r="BQ80" i="1"/>
  <c r="E65" i="14"/>
  <c r="F65" i="14"/>
  <c r="E81" i="14"/>
  <c r="E82" i="14"/>
  <c r="E83" i="14"/>
  <c r="E84" i="14"/>
  <c r="D65" i="17"/>
  <c r="D77" i="17"/>
  <c r="D76" i="17"/>
  <c r="D78" i="17"/>
  <c r="J65" i="17"/>
  <c r="J77" i="17"/>
  <c r="J76" i="17"/>
  <c r="J78" i="17"/>
  <c r="E65" i="17"/>
  <c r="K65" i="17"/>
  <c r="M60" i="1"/>
  <c r="L60" i="1"/>
  <c r="M181" i="15"/>
  <c r="AP181" i="15"/>
  <c r="P182" i="15"/>
  <c r="AS182" i="15"/>
  <c r="Z182" i="15"/>
  <c r="AF182" i="15"/>
  <c r="AL182" i="15"/>
  <c r="C183" i="15"/>
  <c r="E199" i="15"/>
  <c r="E201" i="15"/>
  <c r="E215" i="15"/>
  <c r="E203" i="15"/>
  <c r="E205" i="15"/>
  <c r="E207" i="15"/>
  <c r="E209" i="15"/>
  <c r="E211" i="15"/>
  <c r="E213" i="15"/>
  <c r="B215" i="15"/>
  <c r="M183" i="15"/>
  <c r="AP183" i="15"/>
  <c r="AS205" i="15"/>
  <c r="AS213" i="15"/>
  <c r="AS215" i="15"/>
  <c r="AP215" i="15"/>
  <c r="X183" i="15"/>
  <c r="AD183" i="15"/>
  <c r="AJ183" i="15"/>
  <c r="E200" i="15"/>
  <c r="E202" i="15"/>
  <c r="E216" i="15"/>
  <c r="E204" i="15"/>
  <c r="E206" i="15"/>
  <c r="E208" i="15"/>
  <c r="E210" i="15"/>
  <c r="E212" i="15"/>
  <c r="E214" i="15"/>
  <c r="B216" i="15"/>
  <c r="M184" i="15"/>
  <c r="P184" i="15"/>
  <c r="AP184" i="15"/>
  <c r="AS184" i="15"/>
  <c r="X184" i="15"/>
  <c r="Z184" i="15"/>
  <c r="AD184" i="15"/>
  <c r="AF184" i="15"/>
  <c r="AJ184" i="15"/>
  <c r="AL184" i="15"/>
  <c r="C185" i="15"/>
  <c r="M185" i="15"/>
  <c r="AP185" i="15"/>
  <c r="X185" i="15"/>
  <c r="AD185" i="15"/>
  <c r="AJ185" i="15"/>
  <c r="M186" i="15"/>
  <c r="P186" i="15"/>
  <c r="AP186" i="15"/>
  <c r="AS186" i="15"/>
  <c r="X186" i="15"/>
  <c r="Z186" i="15"/>
  <c r="AD186" i="15"/>
  <c r="AF186" i="15"/>
  <c r="AJ186" i="15"/>
  <c r="AL186" i="15"/>
  <c r="C187" i="15"/>
  <c r="M187" i="15"/>
  <c r="AP187" i="15"/>
  <c r="X187" i="15"/>
  <c r="AD187" i="15"/>
  <c r="AJ187" i="15"/>
  <c r="M188" i="15"/>
  <c r="P188" i="15"/>
  <c r="AP188" i="15"/>
  <c r="AS188" i="15"/>
  <c r="X188" i="15"/>
  <c r="Z188" i="15"/>
  <c r="AD188" i="15"/>
  <c r="AF188" i="15"/>
  <c r="AJ188" i="15"/>
  <c r="AL188" i="15"/>
  <c r="C189" i="15"/>
  <c r="M189" i="15"/>
  <c r="AP189" i="15"/>
  <c r="X189" i="15"/>
  <c r="AD189" i="15"/>
  <c r="AJ189" i="15"/>
  <c r="M190" i="15"/>
  <c r="P190" i="15"/>
  <c r="AP190" i="15"/>
  <c r="AS190" i="15"/>
  <c r="X190" i="15"/>
  <c r="Z190" i="15"/>
  <c r="AD190" i="15"/>
  <c r="AF190" i="15"/>
  <c r="AJ190" i="15"/>
  <c r="AL190" i="15"/>
  <c r="C191" i="15"/>
  <c r="M191" i="15"/>
  <c r="AP191" i="15"/>
  <c r="X191" i="15"/>
  <c r="AD191" i="15"/>
  <c r="AJ191" i="15"/>
  <c r="M192" i="15"/>
  <c r="P192" i="15"/>
  <c r="AP192" i="15"/>
  <c r="AS192" i="15"/>
  <c r="X192" i="15"/>
  <c r="Z192" i="15"/>
  <c r="AD192" i="15"/>
  <c r="AF192" i="15"/>
  <c r="AJ192" i="15"/>
  <c r="AL192" i="15"/>
  <c r="C193" i="15"/>
  <c r="M193" i="15"/>
  <c r="AP193" i="15"/>
  <c r="X193" i="15"/>
  <c r="AD193" i="15"/>
  <c r="AJ193" i="15"/>
  <c r="C199" i="15"/>
  <c r="M199" i="15"/>
  <c r="P199" i="15"/>
  <c r="AP199" i="15"/>
  <c r="AS199" i="15"/>
  <c r="X199" i="15"/>
  <c r="Z199" i="15"/>
  <c r="AD199" i="15"/>
  <c r="AF199" i="15"/>
  <c r="AJ199" i="15"/>
  <c r="AL199" i="15"/>
  <c r="C201" i="15"/>
  <c r="M201" i="15"/>
  <c r="P201" i="15"/>
  <c r="AP201" i="15"/>
  <c r="AS201" i="15"/>
  <c r="X201" i="15"/>
  <c r="Z201" i="15"/>
  <c r="AD201" i="15"/>
  <c r="AF201" i="15"/>
  <c r="AJ201" i="15"/>
  <c r="AL201" i="15"/>
  <c r="M202" i="15"/>
  <c r="C203" i="15"/>
  <c r="M203" i="15"/>
  <c r="P203" i="15"/>
  <c r="AP203" i="15"/>
  <c r="AS203" i="15"/>
  <c r="Z203" i="15"/>
  <c r="AD203" i="15"/>
  <c r="AF203" i="15"/>
  <c r="AJ203" i="15"/>
  <c r="AL203" i="15"/>
  <c r="C205" i="15"/>
  <c r="M205" i="15"/>
  <c r="P205" i="15"/>
  <c r="AP205" i="15"/>
  <c r="X205" i="15"/>
  <c r="Z205" i="15"/>
  <c r="AD205" i="15"/>
  <c r="AF205" i="15"/>
  <c r="AJ205" i="15"/>
  <c r="AL205" i="15"/>
  <c r="C207" i="15"/>
  <c r="M207" i="15"/>
  <c r="P207" i="15"/>
  <c r="AP207" i="15"/>
  <c r="AS207" i="15"/>
  <c r="X207" i="15"/>
  <c r="Z207" i="15"/>
  <c r="AD207" i="15"/>
  <c r="AF207" i="15"/>
  <c r="AJ207" i="15"/>
  <c r="AL207" i="15"/>
  <c r="C209" i="15"/>
  <c r="M209" i="15"/>
  <c r="P209" i="15"/>
  <c r="AP209" i="15"/>
  <c r="AS209" i="15"/>
  <c r="X209" i="15"/>
  <c r="Z209" i="15"/>
  <c r="AD209" i="15"/>
  <c r="AF209" i="15"/>
  <c r="AJ209" i="15"/>
  <c r="AL209" i="15"/>
  <c r="C211" i="15"/>
  <c r="M211" i="15"/>
  <c r="P211" i="15"/>
  <c r="AP211" i="15"/>
  <c r="AS211" i="15"/>
  <c r="X211" i="15"/>
  <c r="Z211" i="15"/>
  <c r="AD211" i="15"/>
  <c r="AF211" i="15"/>
  <c r="AJ211" i="15"/>
  <c r="AL211" i="15"/>
  <c r="M213" i="15"/>
  <c r="P213" i="15"/>
  <c r="AP213" i="15"/>
  <c r="X213" i="15"/>
  <c r="Z213" i="15"/>
  <c r="AD213" i="15"/>
  <c r="AF213" i="15"/>
  <c r="AJ213" i="15"/>
  <c r="AL213" i="15"/>
  <c r="P215" i="15"/>
  <c r="Z215" i="15"/>
  <c r="X215" i="15"/>
  <c r="AF215" i="15"/>
  <c r="AD215" i="15"/>
  <c r="AL215" i="15"/>
  <c r="AJ215" i="15"/>
  <c r="M216" i="15"/>
  <c r="AP216" i="15"/>
  <c r="X216" i="15"/>
  <c r="AD216" i="15"/>
  <c r="AJ216" i="15"/>
  <c r="G217" i="15"/>
  <c r="H217" i="15"/>
  <c r="I217" i="15"/>
  <c r="J217" i="15"/>
  <c r="R217" i="15"/>
  <c r="S217" i="15"/>
  <c r="T217" i="15"/>
  <c r="U217" i="15"/>
  <c r="AS217" i="15"/>
  <c r="AS219" i="15"/>
  <c r="AT219" i="15"/>
  <c r="AU217" i="15"/>
  <c r="AV217" i="15"/>
  <c r="AW217" i="15"/>
  <c r="AX217" i="15"/>
  <c r="Z217" i="15"/>
  <c r="AF217" i="15"/>
  <c r="AF219" i="15"/>
  <c r="AG219" i="15"/>
  <c r="AL217" i="15"/>
  <c r="Z219" i="15"/>
  <c r="AA219" i="15"/>
  <c r="AL219" i="15"/>
  <c r="AM219" i="15"/>
  <c r="M61" i="1"/>
  <c r="F159" i="15"/>
  <c r="F160" i="15"/>
  <c r="Q159" i="15"/>
  <c r="Q161" i="15"/>
  <c r="P137" i="15"/>
  <c r="Q137" i="15"/>
  <c r="P139" i="15"/>
  <c r="Q139" i="15"/>
  <c r="Q140" i="15"/>
  <c r="P141" i="15"/>
  <c r="Q141" i="15"/>
  <c r="Q142" i="15"/>
  <c r="P143" i="15"/>
  <c r="Q143" i="15"/>
  <c r="Q144" i="15"/>
  <c r="P145" i="15"/>
  <c r="Q145" i="15"/>
  <c r="Q146" i="15"/>
  <c r="P147" i="15"/>
  <c r="Q147" i="15"/>
  <c r="Q148" i="15"/>
  <c r="P149" i="15"/>
  <c r="Q149" i="15"/>
  <c r="P151" i="15"/>
  <c r="Q151" i="15"/>
  <c r="P153" i="15"/>
  <c r="Q153" i="15"/>
  <c r="P155" i="15"/>
  <c r="Q155" i="15"/>
  <c r="Q163" i="15"/>
  <c r="Q165" i="15"/>
  <c r="Q167" i="15"/>
  <c r="Q169" i="15"/>
  <c r="Q171" i="15"/>
  <c r="Q173" i="15"/>
  <c r="D60" i="1"/>
  <c r="D61" i="1"/>
  <c r="AT159" i="15"/>
  <c r="AA159" i="15"/>
  <c r="AG159" i="15"/>
  <c r="AM159" i="15"/>
  <c r="B169" i="15"/>
  <c r="J58" i="17"/>
  <c r="K58" i="17"/>
  <c r="J59" i="17"/>
  <c r="K59" i="17"/>
  <c r="D58" i="17"/>
  <c r="E58" i="17"/>
  <c r="D59" i="17"/>
  <c r="E59" i="17"/>
  <c r="J53" i="17"/>
  <c r="K53" i="17"/>
  <c r="J54" i="17"/>
  <c r="K54" i="17"/>
  <c r="J55" i="17"/>
  <c r="K55" i="17"/>
  <c r="J56" i="17"/>
  <c r="K56" i="17"/>
  <c r="J57" i="17"/>
  <c r="K57" i="17"/>
  <c r="J48" i="17"/>
  <c r="K48" i="17"/>
  <c r="J49" i="17"/>
  <c r="K49" i="17"/>
  <c r="J50" i="17"/>
  <c r="K50" i="17"/>
  <c r="J51" i="17"/>
  <c r="K51" i="17"/>
  <c r="J52" i="17"/>
  <c r="K52" i="17"/>
  <c r="J60" i="17"/>
  <c r="K60" i="17"/>
  <c r="K61" i="17"/>
  <c r="E59" i="14"/>
  <c r="E60" i="14"/>
  <c r="E61" i="14"/>
  <c r="E62" i="14"/>
  <c r="E63" i="14"/>
  <c r="E64" i="14"/>
  <c r="B50" i="1"/>
  <c r="AN64" i="1"/>
  <c r="AN63" i="1"/>
  <c r="AO64" i="1"/>
  <c r="AL61" i="1"/>
  <c r="AN61" i="1"/>
  <c r="L63" i="1"/>
  <c r="E55" i="14"/>
  <c r="F55" i="14"/>
  <c r="E56" i="14"/>
  <c r="F56" i="14"/>
  <c r="E57" i="14"/>
  <c r="F57" i="14"/>
  <c r="E58" i="14"/>
  <c r="F58" i="14"/>
  <c r="F59" i="14"/>
  <c r="F60" i="14"/>
  <c r="F61" i="14"/>
  <c r="F62" i="14"/>
  <c r="F63" i="14"/>
  <c r="F64" i="14"/>
  <c r="E66" i="14"/>
  <c r="E67" i="14"/>
  <c r="F66" i="14"/>
  <c r="F67" i="14"/>
  <c r="I60" i="1"/>
  <c r="I61" i="1"/>
  <c r="P45" i="22"/>
  <c r="Q45" i="22"/>
  <c r="P47" i="22"/>
  <c r="Q47" i="22"/>
  <c r="P48" i="22"/>
  <c r="Q48" i="22"/>
  <c r="Q50" i="22"/>
  <c r="Q51" i="22"/>
  <c r="Q52" i="22"/>
  <c r="Q53" i="22"/>
  <c r="Q54" i="22"/>
  <c r="E45" i="22"/>
  <c r="F45" i="22"/>
  <c r="E47" i="22"/>
  <c r="F47" i="22"/>
  <c r="E48" i="22"/>
  <c r="F48" i="22"/>
  <c r="F50" i="22"/>
  <c r="F51" i="22"/>
  <c r="F52" i="22"/>
  <c r="F53" i="22"/>
  <c r="F54" i="22"/>
  <c r="E47" i="23"/>
  <c r="F47" i="23"/>
  <c r="E48" i="23"/>
  <c r="F48" i="23"/>
  <c r="E49" i="23"/>
  <c r="F49" i="23"/>
  <c r="E50" i="23"/>
  <c r="F50" i="23"/>
  <c r="F52" i="23"/>
  <c r="F53" i="23"/>
  <c r="F54" i="23"/>
  <c r="F55" i="23"/>
  <c r="F56" i="23"/>
  <c r="F57" i="23"/>
  <c r="F58" i="23"/>
  <c r="M45" i="22"/>
  <c r="E46" i="22"/>
  <c r="F46" i="22"/>
  <c r="M46" i="22"/>
  <c r="P46" i="22"/>
  <c r="Q46" i="22"/>
  <c r="M47" i="22"/>
  <c r="M48" i="22"/>
  <c r="E49" i="22"/>
  <c r="E55" i="22"/>
  <c r="M49" i="22"/>
  <c r="P49" i="22"/>
  <c r="P55" i="22"/>
  <c r="E50" i="22"/>
  <c r="M50" i="22"/>
  <c r="P50" i="22"/>
  <c r="E51" i="22"/>
  <c r="M51" i="22"/>
  <c r="P51" i="22"/>
  <c r="E52" i="22"/>
  <c r="M52" i="22"/>
  <c r="P52" i="22"/>
  <c r="E53" i="22"/>
  <c r="M53" i="22"/>
  <c r="N53" i="22"/>
  <c r="P53" i="22"/>
  <c r="E54" i="22"/>
  <c r="M54" i="22"/>
  <c r="N54" i="22"/>
  <c r="P54" i="22"/>
  <c r="H47" i="23"/>
  <c r="J47" i="23"/>
  <c r="E51" i="23"/>
  <c r="F51" i="23"/>
  <c r="F59" i="23"/>
  <c r="Q60" i="1"/>
  <c r="H48" i="23"/>
  <c r="H49" i="23"/>
  <c r="H50" i="23"/>
  <c r="H57" i="23"/>
  <c r="H59" i="23"/>
  <c r="J59" i="23"/>
  <c r="I59" i="23"/>
  <c r="G59" i="23"/>
  <c r="K59" i="23"/>
  <c r="J48" i="23"/>
  <c r="J49" i="23"/>
  <c r="J50" i="23"/>
  <c r="E52" i="23"/>
  <c r="E53" i="23"/>
  <c r="E54" i="23"/>
  <c r="E55" i="23"/>
  <c r="E56" i="23"/>
  <c r="E57" i="23"/>
  <c r="J57" i="23"/>
  <c r="E58" i="23"/>
  <c r="H58" i="23"/>
  <c r="J58" i="23"/>
  <c r="AA54" i="19"/>
  <c r="AB54" i="19"/>
  <c r="AA55" i="19"/>
  <c r="AB55" i="19"/>
  <c r="AA56" i="19"/>
  <c r="AA57" i="19"/>
  <c r="AA58" i="19"/>
  <c r="AA59" i="19"/>
  <c r="AA60" i="19"/>
  <c r="AA61" i="19"/>
  <c r="AB57" i="19"/>
  <c r="AB58" i="19"/>
  <c r="AB59" i="19"/>
  <c r="AB60" i="19"/>
  <c r="AB61" i="19"/>
  <c r="AA62" i="19"/>
  <c r="AB62" i="19"/>
  <c r="AA63" i="19"/>
  <c r="AB63" i="19"/>
  <c r="AA64" i="19"/>
  <c r="AB64" i="19"/>
  <c r="AA65" i="19"/>
  <c r="AB65" i="19"/>
  <c r="AA66" i="19"/>
  <c r="AB66" i="19"/>
  <c r="E54" i="19"/>
  <c r="F54" i="19"/>
  <c r="H54" i="19"/>
  <c r="E55" i="19"/>
  <c r="F55" i="19"/>
  <c r="H55" i="19"/>
  <c r="E56" i="19"/>
  <c r="E57" i="19"/>
  <c r="E58" i="19"/>
  <c r="E59" i="19"/>
  <c r="E60" i="19"/>
  <c r="E61" i="19"/>
  <c r="F56" i="19"/>
  <c r="F57" i="19"/>
  <c r="F58" i="19"/>
  <c r="F59" i="19"/>
  <c r="F60" i="19"/>
  <c r="F61" i="19"/>
  <c r="H56" i="19"/>
  <c r="H57" i="19"/>
  <c r="H58" i="19"/>
  <c r="H59" i="19"/>
  <c r="H60" i="19"/>
  <c r="H61" i="19"/>
  <c r="E62" i="19"/>
  <c r="J62" i="19"/>
  <c r="F62" i="19"/>
  <c r="H62" i="19"/>
  <c r="H67" i="19"/>
  <c r="E63" i="19"/>
  <c r="F63" i="19"/>
  <c r="H63" i="19"/>
  <c r="E64" i="19"/>
  <c r="F64" i="19"/>
  <c r="H64" i="19"/>
  <c r="E65" i="19"/>
  <c r="F65" i="19"/>
  <c r="H65" i="19"/>
  <c r="E66" i="19"/>
  <c r="F66" i="19"/>
  <c r="H66" i="19"/>
  <c r="P54" i="19"/>
  <c r="Q54" i="19"/>
  <c r="S54" i="19"/>
  <c r="P55" i="19"/>
  <c r="Q55" i="19"/>
  <c r="S55" i="19"/>
  <c r="P56" i="19"/>
  <c r="Q56" i="19"/>
  <c r="P57" i="19"/>
  <c r="Q57" i="19"/>
  <c r="S57" i="19"/>
  <c r="P58" i="19"/>
  <c r="Q58" i="19"/>
  <c r="S58" i="19"/>
  <c r="P59" i="19"/>
  <c r="Q59" i="19"/>
  <c r="S59" i="19"/>
  <c r="P60" i="19"/>
  <c r="Q60" i="19"/>
  <c r="S60" i="19"/>
  <c r="P61" i="19"/>
  <c r="Q61" i="19"/>
  <c r="S61" i="19"/>
  <c r="P62" i="19"/>
  <c r="U62" i="19"/>
  <c r="P63" i="19"/>
  <c r="Q63" i="19"/>
  <c r="S63" i="19"/>
  <c r="P64" i="19"/>
  <c r="Q64" i="19"/>
  <c r="S64" i="19"/>
  <c r="P65" i="19"/>
  <c r="Q65" i="19"/>
  <c r="S65" i="19"/>
  <c r="P66" i="19"/>
  <c r="Q66" i="19"/>
  <c r="S66" i="19"/>
  <c r="J54" i="19"/>
  <c r="U54" i="19"/>
  <c r="AD54" i="19"/>
  <c r="AF54" i="19"/>
  <c r="J55" i="19"/>
  <c r="U55" i="19"/>
  <c r="AD55" i="19"/>
  <c r="AF55" i="19"/>
  <c r="J57" i="19"/>
  <c r="U57" i="19"/>
  <c r="AD57" i="19"/>
  <c r="AF57" i="19"/>
  <c r="J58" i="19"/>
  <c r="U58" i="19"/>
  <c r="AD58" i="19"/>
  <c r="AF58" i="19"/>
  <c r="J59" i="19"/>
  <c r="U59" i="19"/>
  <c r="AD59" i="19"/>
  <c r="AF59" i="19"/>
  <c r="J60" i="19"/>
  <c r="U60" i="19"/>
  <c r="AD60" i="19"/>
  <c r="AF60" i="19"/>
  <c r="J61" i="19"/>
  <c r="U61" i="19"/>
  <c r="AD61" i="19"/>
  <c r="AF61" i="19"/>
  <c r="AF62" i="19"/>
  <c r="J63" i="19"/>
  <c r="U63" i="19"/>
  <c r="AD63" i="19"/>
  <c r="AF63" i="19"/>
  <c r="J64" i="19"/>
  <c r="U64" i="19"/>
  <c r="AD64" i="19"/>
  <c r="AF64" i="19"/>
  <c r="J65" i="19"/>
  <c r="U65" i="19"/>
  <c r="AD65" i="19"/>
  <c r="AF65" i="19"/>
  <c r="J66" i="19"/>
  <c r="U66" i="19"/>
  <c r="AD66" i="19"/>
  <c r="AF66" i="19"/>
  <c r="G67" i="19"/>
  <c r="I67" i="19"/>
  <c r="J67" i="19"/>
  <c r="R67" i="19"/>
  <c r="T67" i="19"/>
  <c r="U67" i="19"/>
  <c r="AC67" i="19"/>
  <c r="AE67" i="19"/>
  <c r="AF67" i="19"/>
  <c r="E137" i="15"/>
  <c r="F137" i="15"/>
  <c r="E138" i="15"/>
  <c r="F138" i="15"/>
  <c r="AS137" i="15"/>
  <c r="AT137" i="15"/>
  <c r="Z137" i="15"/>
  <c r="AA137" i="15"/>
  <c r="AF137" i="15"/>
  <c r="AG137" i="15"/>
  <c r="AL137" i="15"/>
  <c r="AM137" i="15"/>
  <c r="C137" i="15"/>
  <c r="M137" i="15"/>
  <c r="AP137" i="15"/>
  <c r="X137" i="15"/>
  <c r="AD137" i="15"/>
  <c r="AJ137" i="15"/>
  <c r="P138" i="15"/>
  <c r="AS138" i="15"/>
  <c r="Z138" i="15"/>
  <c r="AF138" i="15"/>
  <c r="AL138" i="15"/>
  <c r="E139" i="15"/>
  <c r="F139" i="15"/>
  <c r="E140" i="15"/>
  <c r="F140" i="15"/>
  <c r="AS139" i="15"/>
  <c r="AT139" i="15"/>
  <c r="AF139" i="15"/>
  <c r="AG139" i="15"/>
  <c r="AL139" i="15"/>
  <c r="AM139" i="15"/>
  <c r="M139" i="15"/>
  <c r="AP139" i="15"/>
  <c r="X139" i="15"/>
  <c r="Z139" i="15"/>
  <c r="AA139" i="15"/>
  <c r="AD139" i="15"/>
  <c r="AJ139" i="15"/>
  <c r="M140" i="15"/>
  <c r="P140" i="15"/>
  <c r="AP140" i="15"/>
  <c r="AS140" i="15"/>
  <c r="AS144" i="15"/>
  <c r="AS146" i="15"/>
  <c r="AS142" i="15"/>
  <c r="AS148" i="15"/>
  <c r="AS152" i="15"/>
  <c r="AS154" i="15"/>
  <c r="AP172" i="15"/>
  <c r="AT140" i="15"/>
  <c r="X140" i="15"/>
  <c r="Z140" i="15"/>
  <c r="Z144" i="15"/>
  <c r="Z146" i="15"/>
  <c r="Z142" i="15"/>
  <c r="Z148" i="15"/>
  <c r="Z152" i="15"/>
  <c r="Z154" i="15"/>
  <c r="X172" i="15"/>
  <c r="AA140" i="15"/>
  <c r="AD140" i="15"/>
  <c r="AF140" i="15"/>
  <c r="AG140" i="15"/>
  <c r="AJ140" i="15"/>
  <c r="AL140" i="15"/>
  <c r="AM140" i="15"/>
  <c r="Z141" i="15"/>
  <c r="AA141" i="15"/>
  <c r="AF141" i="15"/>
  <c r="AG141" i="15"/>
  <c r="AL141" i="15"/>
  <c r="AM141" i="15"/>
  <c r="E141" i="15"/>
  <c r="F141" i="15"/>
  <c r="M141" i="15"/>
  <c r="P161" i="15"/>
  <c r="P169" i="15"/>
  <c r="P171" i="15"/>
  <c r="M171" i="15"/>
  <c r="AP141" i="15"/>
  <c r="X141" i="15"/>
  <c r="AD141" i="15"/>
  <c r="AJ141" i="15"/>
  <c r="AS141" i="15"/>
  <c r="AT141" i="15"/>
  <c r="E142" i="15"/>
  <c r="F142" i="15"/>
  <c r="M142" i="15"/>
  <c r="P142" i="15"/>
  <c r="P144" i="15"/>
  <c r="P146" i="15"/>
  <c r="P148" i="15"/>
  <c r="P152" i="15"/>
  <c r="P154" i="15"/>
  <c r="M172" i="15"/>
  <c r="AP142" i="15"/>
  <c r="AT142" i="15"/>
  <c r="X142" i="15"/>
  <c r="Z143" i="15"/>
  <c r="Z145" i="15"/>
  <c r="Z147" i="15"/>
  <c r="Z149" i="15"/>
  <c r="Z151" i="15"/>
  <c r="Z153" i="15"/>
  <c r="Z155" i="15"/>
  <c r="Z159" i="15"/>
  <c r="Z161" i="15"/>
  <c r="Z163" i="15"/>
  <c r="Z165" i="15"/>
  <c r="Z167" i="15"/>
  <c r="Z169" i="15"/>
  <c r="Z171" i="15"/>
  <c r="Z173" i="15"/>
  <c r="AA142" i="15"/>
  <c r="AD142" i="15"/>
  <c r="AF142" i="15"/>
  <c r="AG142" i="15"/>
  <c r="AJ142" i="15"/>
  <c r="AL142" i="15"/>
  <c r="AL144" i="15"/>
  <c r="AL146" i="15"/>
  <c r="AL148" i="15"/>
  <c r="AL152" i="15"/>
  <c r="AL154" i="15"/>
  <c r="AJ172" i="15"/>
  <c r="AM142" i="15"/>
  <c r="E144" i="15"/>
  <c r="F144" i="15"/>
  <c r="AS143" i="15"/>
  <c r="AT143" i="15"/>
  <c r="AA143" i="15"/>
  <c r="AF143" i="15"/>
  <c r="AG143" i="15"/>
  <c r="AL143" i="15"/>
  <c r="AM143" i="15"/>
  <c r="E143" i="15"/>
  <c r="F143" i="15"/>
  <c r="M143" i="15"/>
  <c r="AP143" i="15"/>
  <c r="X143" i="15"/>
  <c r="AD143" i="15"/>
  <c r="AJ143" i="15"/>
  <c r="M144" i="15"/>
  <c r="AP144" i="15"/>
  <c r="AT144" i="15"/>
  <c r="X144" i="15"/>
  <c r="AA144" i="15"/>
  <c r="AD144" i="15"/>
  <c r="AF144" i="15"/>
  <c r="AG144" i="15"/>
  <c r="AJ144" i="15"/>
  <c r="AM144" i="15"/>
  <c r="E145" i="15"/>
  <c r="F145" i="15"/>
  <c r="E146" i="15"/>
  <c r="F146" i="15"/>
  <c r="AS145" i="15"/>
  <c r="AT145" i="15"/>
  <c r="AA145" i="15"/>
  <c r="AF145" i="15"/>
  <c r="AG145" i="15"/>
  <c r="AL145" i="15"/>
  <c r="AM145" i="15"/>
  <c r="M145" i="15"/>
  <c r="AP145" i="15"/>
  <c r="X145" i="15"/>
  <c r="AD145" i="15"/>
  <c r="AJ145" i="15"/>
  <c r="M146" i="15"/>
  <c r="AP146" i="15"/>
  <c r="AT146" i="15"/>
  <c r="X146" i="15"/>
  <c r="AA146" i="15"/>
  <c r="AD146" i="15"/>
  <c r="AF146" i="15"/>
  <c r="AG146" i="15"/>
  <c r="AJ146" i="15"/>
  <c r="AM146" i="15"/>
  <c r="E147" i="15"/>
  <c r="F147" i="15"/>
  <c r="E148" i="15"/>
  <c r="F148" i="15"/>
  <c r="AS147" i="15"/>
  <c r="AT147" i="15"/>
  <c r="AA147" i="15"/>
  <c r="AF147" i="15"/>
  <c r="AG147" i="15"/>
  <c r="AL147" i="15"/>
  <c r="AM147" i="15"/>
  <c r="C147" i="15"/>
  <c r="M147" i="15"/>
  <c r="AP147" i="15"/>
  <c r="X147" i="15"/>
  <c r="AD147" i="15"/>
  <c r="AJ147" i="15"/>
  <c r="M148" i="15"/>
  <c r="AP148" i="15"/>
  <c r="AT148" i="15"/>
  <c r="X148" i="15"/>
  <c r="AA148" i="15"/>
  <c r="AD148" i="15"/>
  <c r="AF148" i="15"/>
  <c r="AG148" i="15"/>
  <c r="AJ148" i="15"/>
  <c r="AM148" i="15"/>
  <c r="E149" i="15"/>
  <c r="F149" i="15"/>
  <c r="E150" i="15"/>
  <c r="F150" i="15"/>
  <c r="AS149" i="15"/>
  <c r="AT149" i="15"/>
  <c r="AA149" i="15"/>
  <c r="AF149" i="15"/>
  <c r="AG149" i="15"/>
  <c r="AL149" i="15"/>
  <c r="AM149" i="15"/>
  <c r="C149" i="15"/>
  <c r="M149" i="15"/>
  <c r="AP149" i="15"/>
  <c r="X149" i="15"/>
  <c r="AD149" i="15"/>
  <c r="AJ149" i="15"/>
  <c r="E151" i="15"/>
  <c r="F151" i="15"/>
  <c r="E152" i="15"/>
  <c r="F152" i="15"/>
  <c r="AS151" i="15"/>
  <c r="AT151" i="15"/>
  <c r="AA151" i="15"/>
  <c r="AF151" i="15"/>
  <c r="AG151" i="15"/>
  <c r="AL151" i="15"/>
  <c r="AM151" i="15"/>
  <c r="C151" i="15"/>
  <c r="M151" i="15"/>
  <c r="AP151" i="15"/>
  <c r="X151" i="15"/>
  <c r="AD151" i="15"/>
  <c r="AJ151" i="15"/>
  <c r="AF152" i="15"/>
  <c r="E153" i="15"/>
  <c r="F153" i="15"/>
  <c r="E154" i="15"/>
  <c r="F154" i="15"/>
  <c r="AS153" i="15"/>
  <c r="AT153" i="15"/>
  <c r="AA153" i="15"/>
  <c r="AF153" i="15"/>
  <c r="AG153" i="15"/>
  <c r="AL153" i="15"/>
  <c r="AM153" i="15"/>
  <c r="C153" i="15"/>
  <c r="M153" i="15"/>
  <c r="AP153" i="15"/>
  <c r="X153" i="15"/>
  <c r="AD153" i="15"/>
  <c r="AJ153" i="15"/>
  <c r="AF154" i="15"/>
  <c r="E155" i="15"/>
  <c r="F155" i="15"/>
  <c r="E156" i="15"/>
  <c r="F156" i="15"/>
  <c r="AS155" i="15"/>
  <c r="AT155" i="15"/>
  <c r="AA155" i="15"/>
  <c r="AF155" i="15"/>
  <c r="AG155" i="15"/>
  <c r="AL155" i="15"/>
  <c r="AM155" i="15"/>
  <c r="C155" i="15"/>
  <c r="M155" i="15"/>
  <c r="AP155" i="15"/>
  <c r="X155" i="15"/>
  <c r="AD155" i="15"/>
  <c r="AJ155" i="15"/>
  <c r="E159" i="15"/>
  <c r="M159" i="15"/>
  <c r="P159" i="15"/>
  <c r="AP159" i="15"/>
  <c r="AS159" i="15"/>
  <c r="AD159" i="15"/>
  <c r="AF159" i="15"/>
  <c r="AJ159" i="15"/>
  <c r="AL159" i="15"/>
  <c r="E160" i="15"/>
  <c r="F161" i="15"/>
  <c r="F162" i="15"/>
  <c r="AT161" i="15"/>
  <c r="AA161" i="15"/>
  <c r="AG161" i="15"/>
  <c r="AM161" i="15"/>
  <c r="C161" i="15"/>
  <c r="E161" i="15"/>
  <c r="M161" i="15"/>
  <c r="AP161" i="15"/>
  <c r="AS161" i="15"/>
  <c r="X161" i="15"/>
  <c r="AD161" i="15"/>
  <c r="AF161" i="15"/>
  <c r="AJ161" i="15"/>
  <c r="AL161" i="15"/>
  <c r="E162" i="15"/>
  <c r="F163" i="15"/>
  <c r="F164" i="15"/>
  <c r="AT163" i="15"/>
  <c r="AA163" i="15"/>
  <c r="AG163" i="15"/>
  <c r="AM163" i="15"/>
  <c r="C163" i="15"/>
  <c r="E163" i="15"/>
  <c r="M163" i="15"/>
  <c r="P163" i="15"/>
  <c r="AP163" i="15"/>
  <c r="AS163" i="15"/>
  <c r="X163" i="15"/>
  <c r="AD163" i="15"/>
  <c r="AF163" i="15"/>
  <c r="AJ163" i="15"/>
  <c r="AL163" i="15"/>
  <c r="E164" i="15"/>
  <c r="F165" i="15"/>
  <c r="F166" i="15"/>
  <c r="AT165" i="15"/>
  <c r="AA165" i="15"/>
  <c r="AG165" i="15"/>
  <c r="AM165" i="15"/>
  <c r="C165" i="15"/>
  <c r="E165" i="15"/>
  <c r="M165" i="15"/>
  <c r="P165" i="15"/>
  <c r="AP165" i="15"/>
  <c r="AS165" i="15"/>
  <c r="X165" i="15"/>
  <c r="AD165" i="15"/>
  <c r="AF165" i="15"/>
  <c r="AJ165" i="15"/>
  <c r="AL165" i="15"/>
  <c r="E166" i="15"/>
  <c r="F167" i="15"/>
  <c r="F168" i="15"/>
  <c r="AT167" i="15"/>
  <c r="AA167" i="15"/>
  <c r="AG167" i="15"/>
  <c r="AM167" i="15"/>
  <c r="C167" i="15"/>
  <c r="E167" i="15"/>
  <c r="M167" i="15"/>
  <c r="P167" i="15"/>
  <c r="AP167" i="15"/>
  <c r="AS167" i="15"/>
  <c r="X167" i="15"/>
  <c r="AD167" i="15"/>
  <c r="AF167" i="15"/>
  <c r="AJ167" i="15"/>
  <c r="AL167" i="15"/>
  <c r="E168" i="15"/>
  <c r="E169" i="15"/>
  <c r="F169" i="15"/>
  <c r="M169" i="15"/>
  <c r="AP169" i="15"/>
  <c r="X169" i="15"/>
  <c r="AD169" i="15"/>
  <c r="AJ169" i="15"/>
  <c r="AS169" i="15"/>
  <c r="AT169" i="15"/>
  <c r="AA169" i="15"/>
  <c r="AF169" i="15"/>
  <c r="AG169" i="15"/>
  <c r="AL169" i="15"/>
  <c r="AM169" i="15"/>
  <c r="E170" i="15"/>
  <c r="F170" i="15"/>
  <c r="E171" i="15"/>
  <c r="F171" i="15"/>
  <c r="AS171" i="15"/>
  <c r="AT171" i="15"/>
  <c r="X171" i="15"/>
  <c r="AA171" i="15"/>
  <c r="AF171" i="15"/>
  <c r="AG171" i="15"/>
  <c r="AL171" i="15"/>
  <c r="AM171" i="15"/>
  <c r="E172" i="15"/>
  <c r="F172" i="15"/>
  <c r="G173" i="15"/>
  <c r="H173" i="15"/>
  <c r="I173" i="15"/>
  <c r="J173" i="15"/>
  <c r="P173" i="15"/>
  <c r="R173" i="15"/>
  <c r="S173" i="15"/>
  <c r="T173" i="15"/>
  <c r="U173" i="15"/>
  <c r="AU173" i="15"/>
  <c r="AV173" i="15"/>
  <c r="AW173" i="15"/>
  <c r="AX173" i="15"/>
  <c r="D48" i="17"/>
  <c r="E48" i="17"/>
  <c r="D49" i="17"/>
  <c r="E49" i="17"/>
  <c r="D50" i="17"/>
  <c r="E50" i="17"/>
  <c r="D51" i="17"/>
  <c r="E51" i="17"/>
  <c r="D52" i="17"/>
  <c r="E52" i="17"/>
  <c r="D53" i="17"/>
  <c r="E53" i="17"/>
  <c r="D54" i="17"/>
  <c r="E54" i="17"/>
  <c r="D55" i="17"/>
  <c r="E55" i="17"/>
  <c r="D56" i="17"/>
  <c r="E56" i="17"/>
  <c r="D57" i="17"/>
  <c r="E57" i="17"/>
  <c r="D60" i="17"/>
  <c r="E60" i="17"/>
  <c r="J61" i="17"/>
  <c r="J42" i="1"/>
  <c r="K42" i="1"/>
  <c r="L47" i="1"/>
  <c r="E45" i="14"/>
  <c r="F45" i="14"/>
  <c r="F46" i="14"/>
  <c r="E38" i="14"/>
  <c r="F38" i="14"/>
  <c r="E39" i="14"/>
  <c r="F39" i="14"/>
  <c r="E40" i="14"/>
  <c r="F40" i="14"/>
  <c r="E41" i="14"/>
  <c r="F41" i="14"/>
  <c r="E42" i="14"/>
  <c r="F42" i="14"/>
  <c r="E43" i="14"/>
  <c r="F43" i="14"/>
  <c r="E44" i="14"/>
  <c r="F44" i="14"/>
  <c r="F47" i="14"/>
  <c r="F48" i="14"/>
  <c r="F49" i="14"/>
  <c r="F50" i="14"/>
  <c r="I44" i="1"/>
  <c r="D41" i="17"/>
  <c r="E41" i="17"/>
  <c r="E43" i="17"/>
  <c r="D33" i="17"/>
  <c r="E33" i="17"/>
  <c r="D34" i="17"/>
  <c r="E34" i="17"/>
  <c r="D35" i="17"/>
  <c r="E35" i="17"/>
  <c r="D36" i="17"/>
  <c r="E36" i="17"/>
  <c r="D37" i="17"/>
  <c r="E37" i="17"/>
  <c r="D38" i="17"/>
  <c r="E38" i="17"/>
  <c r="D39" i="17"/>
  <c r="E39" i="17"/>
  <c r="D40" i="17"/>
  <c r="E40" i="17"/>
  <c r="E44" i="17"/>
  <c r="L44" i="1"/>
  <c r="E111" i="15"/>
  <c r="F111" i="15"/>
  <c r="E112" i="15"/>
  <c r="F112" i="15"/>
  <c r="F113" i="15"/>
  <c r="F114" i="15"/>
  <c r="E93" i="15"/>
  <c r="F93" i="15"/>
  <c r="E94" i="15"/>
  <c r="F94" i="15"/>
  <c r="E95" i="15"/>
  <c r="F95" i="15"/>
  <c r="E96" i="15"/>
  <c r="F96" i="15"/>
  <c r="E97" i="15"/>
  <c r="F97" i="15"/>
  <c r="E98" i="15"/>
  <c r="F98" i="15"/>
  <c r="E99" i="15"/>
  <c r="F99" i="15"/>
  <c r="E100" i="15"/>
  <c r="F100" i="15"/>
  <c r="E101" i="15"/>
  <c r="F101" i="15"/>
  <c r="E102" i="15"/>
  <c r="F102" i="15"/>
  <c r="E103" i="15"/>
  <c r="F103" i="15"/>
  <c r="E104" i="15"/>
  <c r="F104" i="15"/>
  <c r="E105" i="15"/>
  <c r="F105" i="15"/>
  <c r="E106" i="15"/>
  <c r="F106" i="15"/>
  <c r="E107" i="15"/>
  <c r="F107" i="15"/>
  <c r="E108" i="15"/>
  <c r="F108" i="15"/>
  <c r="E109" i="15"/>
  <c r="F109" i="15"/>
  <c r="E110" i="15"/>
  <c r="F110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C44" i="1"/>
  <c r="P111" i="15"/>
  <c r="Q111" i="15"/>
  <c r="Q113" i="15"/>
  <c r="P93" i="15"/>
  <c r="Q93" i="15"/>
  <c r="P95" i="15"/>
  <c r="Q95" i="15"/>
  <c r="Q96" i="15"/>
  <c r="P97" i="15"/>
  <c r="Q97" i="15"/>
  <c r="Q98" i="15"/>
  <c r="P99" i="15"/>
  <c r="Q99" i="15"/>
  <c r="Q100" i="15"/>
  <c r="P101" i="15"/>
  <c r="Q101" i="15"/>
  <c r="Q102" i="15"/>
  <c r="P103" i="15"/>
  <c r="Q103" i="15"/>
  <c r="Q104" i="15"/>
  <c r="P105" i="15"/>
  <c r="Q105" i="15"/>
  <c r="P107" i="15"/>
  <c r="Q107" i="15"/>
  <c r="P109" i="15"/>
  <c r="Q109" i="15"/>
  <c r="Q115" i="15"/>
  <c r="Q117" i="15"/>
  <c r="Q119" i="15"/>
  <c r="Q121" i="15"/>
  <c r="Q123" i="15"/>
  <c r="Q125" i="15"/>
  <c r="Q127" i="15"/>
  <c r="Q129" i="15"/>
  <c r="D44" i="1"/>
  <c r="D45" i="1"/>
  <c r="AS111" i="15"/>
  <c r="AT111" i="15"/>
  <c r="AT113" i="15"/>
  <c r="AS93" i="15"/>
  <c r="AT93" i="15"/>
  <c r="AS95" i="15"/>
  <c r="AT95" i="15"/>
  <c r="AT96" i="15"/>
  <c r="AS97" i="15"/>
  <c r="AT97" i="15"/>
  <c r="AT98" i="15"/>
  <c r="AS99" i="15"/>
  <c r="AT99" i="15"/>
  <c r="AT100" i="15"/>
  <c r="AS101" i="15"/>
  <c r="AT101" i="15"/>
  <c r="AT102" i="15"/>
  <c r="AS103" i="15"/>
  <c r="AT103" i="15"/>
  <c r="AT104" i="15"/>
  <c r="AS105" i="15"/>
  <c r="AT105" i="15"/>
  <c r="AS107" i="15"/>
  <c r="AT107" i="15"/>
  <c r="AS109" i="15"/>
  <c r="AT109" i="15"/>
  <c r="AT115" i="15"/>
  <c r="AT117" i="15"/>
  <c r="AT119" i="15"/>
  <c r="AT121" i="15"/>
  <c r="AT123" i="15"/>
  <c r="AT125" i="15"/>
  <c r="AT127" i="15"/>
  <c r="AT129" i="15"/>
  <c r="E44" i="1"/>
  <c r="Z111" i="15"/>
  <c r="AA111" i="15"/>
  <c r="AA113" i="15"/>
  <c r="Z93" i="15"/>
  <c r="AA93" i="15"/>
  <c r="Z95" i="15"/>
  <c r="AA95" i="15"/>
  <c r="AA96" i="15"/>
  <c r="Z97" i="15"/>
  <c r="AA97" i="15"/>
  <c r="AA98" i="15"/>
  <c r="Z99" i="15"/>
  <c r="AA99" i="15"/>
  <c r="AA100" i="15"/>
  <c r="Z101" i="15"/>
  <c r="AA101" i="15"/>
  <c r="AA102" i="15"/>
  <c r="Z103" i="15"/>
  <c r="AA103" i="15"/>
  <c r="AA104" i="15"/>
  <c r="Z105" i="15"/>
  <c r="AA105" i="15"/>
  <c r="Z107" i="15"/>
  <c r="AA107" i="15"/>
  <c r="Z109" i="15"/>
  <c r="AA109" i="15"/>
  <c r="AA115" i="15"/>
  <c r="AA117" i="15"/>
  <c r="AA119" i="15"/>
  <c r="AA121" i="15"/>
  <c r="AA123" i="15"/>
  <c r="AA125" i="15"/>
  <c r="AA127" i="15"/>
  <c r="AA129" i="15"/>
  <c r="F44" i="1"/>
  <c r="F45" i="1"/>
  <c r="AF111" i="15"/>
  <c r="AG111" i="15"/>
  <c r="AG113" i="15"/>
  <c r="AF93" i="15"/>
  <c r="AG93" i="15"/>
  <c r="AF95" i="15"/>
  <c r="AG95" i="15"/>
  <c r="AG96" i="15"/>
  <c r="AF97" i="15"/>
  <c r="AG97" i="15"/>
  <c r="AG98" i="15"/>
  <c r="AF99" i="15"/>
  <c r="AG99" i="15"/>
  <c r="AG100" i="15"/>
  <c r="AF101" i="15"/>
  <c r="AG101" i="15"/>
  <c r="AG102" i="15"/>
  <c r="AF103" i="15"/>
  <c r="AG103" i="15"/>
  <c r="AG104" i="15"/>
  <c r="AF105" i="15"/>
  <c r="AG105" i="15"/>
  <c r="AF107" i="15"/>
  <c r="AG107" i="15"/>
  <c r="AF109" i="15"/>
  <c r="AG109" i="15"/>
  <c r="AG115" i="15"/>
  <c r="AG117" i="15"/>
  <c r="AG119" i="15"/>
  <c r="AG121" i="15"/>
  <c r="AG123" i="15"/>
  <c r="AG125" i="15"/>
  <c r="AG127" i="15"/>
  <c r="AG129" i="15"/>
  <c r="G44" i="1"/>
  <c r="G45" i="1"/>
  <c r="AL111" i="15"/>
  <c r="AM111" i="15"/>
  <c r="AM113" i="15"/>
  <c r="AL93" i="15"/>
  <c r="AM93" i="15"/>
  <c r="AL95" i="15"/>
  <c r="AM95" i="15"/>
  <c r="AM96" i="15"/>
  <c r="AL97" i="15"/>
  <c r="AM97" i="15"/>
  <c r="AM98" i="15"/>
  <c r="AL99" i="15"/>
  <c r="AM99" i="15"/>
  <c r="AM100" i="15"/>
  <c r="AL101" i="15"/>
  <c r="AM101" i="15"/>
  <c r="AM102" i="15"/>
  <c r="AL103" i="15"/>
  <c r="AM103" i="15"/>
  <c r="AM104" i="15"/>
  <c r="AL105" i="15"/>
  <c r="AM105" i="15"/>
  <c r="AL107" i="15"/>
  <c r="AM107" i="15"/>
  <c r="AL109" i="15"/>
  <c r="AM109" i="15"/>
  <c r="AM115" i="15"/>
  <c r="AM117" i="15"/>
  <c r="AM119" i="15"/>
  <c r="AM121" i="15"/>
  <c r="AM123" i="15"/>
  <c r="AM125" i="15"/>
  <c r="AM127" i="15"/>
  <c r="AM129" i="15"/>
  <c r="H44" i="1"/>
  <c r="B125" i="15"/>
  <c r="J33" i="17"/>
  <c r="K33" i="17"/>
  <c r="J34" i="17"/>
  <c r="K34" i="17"/>
  <c r="J35" i="17"/>
  <c r="K35" i="17"/>
  <c r="J36" i="17"/>
  <c r="K36" i="17"/>
  <c r="J37" i="17"/>
  <c r="K37" i="17"/>
  <c r="J38" i="17"/>
  <c r="K38" i="17"/>
  <c r="K39" i="17"/>
  <c r="J40" i="17"/>
  <c r="K40" i="17"/>
  <c r="J42" i="17"/>
  <c r="K42" i="17"/>
  <c r="J43" i="17"/>
  <c r="K43" i="17"/>
  <c r="J44" i="17"/>
  <c r="K44" i="17"/>
  <c r="B34" i="1"/>
  <c r="L45" i="1"/>
  <c r="BP34" i="1"/>
  <c r="BD48" i="1"/>
  <c r="AO42" i="1"/>
  <c r="BD47" i="1"/>
  <c r="BR50" i="1"/>
  <c r="BF63" i="1"/>
  <c r="B53" i="1"/>
  <c r="BR53" i="1"/>
  <c r="B57" i="1"/>
  <c r="B58" i="1"/>
  <c r="U61" i="1"/>
  <c r="V61" i="1"/>
  <c r="W61" i="1"/>
  <c r="X61" i="1"/>
  <c r="Y61" i="1"/>
  <c r="Z61" i="1"/>
  <c r="AB61" i="1"/>
  <c r="AC61" i="1"/>
  <c r="AD61" i="1"/>
  <c r="AE61" i="1"/>
  <c r="AH61" i="1"/>
  <c r="AX61" i="1"/>
  <c r="AY61" i="1"/>
  <c r="AZ61" i="1"/>
  <c r="BA61" i="1"/>
  <c r="BB61" i="1"/>
  <c r="AI61" i="1"/>
  <c r="AJ61" i="1"/>
  <c r="AK61" i="1"/>
  <c r="AO61" i="1"/>
  <c r="BC61" i="1"/>
  <c r="AP61" i="1"/>
  <c r="AR61" i="1"/>
  <c r="AS61" i="1"/>
  <c r="AT61" i="1"/>
  <c r="AU61" i="1"/>
  <c r="AV61" i="1"/>
  <c r="AW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Q61" i="1"/>
  <c r="BS61" i="1"/>
  <c r="S63" i="1"/>
  <c r="AD63" i="1"/>
  <c r="AG63" i="1"/>
  <c r="BP63" i="1"/>
  <c r="AD64" i="1"/>
  <c r="AE64" i="1"/>
  <c r="AG64" i="1"/>
  <c r="AH64" i="1"/>
  <c r="BF64" i="1"/>
  <c r="BG64" i="1"/>
  <c r="BP64" i="1"/>
  <c r="BQ64" i="1"/>
  <c r="E31" i="22"/>
  <c r="P31" i="22"/>
  <c r="Q31" i="22"/>
  <c r="P32" i="22"/>
  <c r="Q32" i="22"/>
  <c r="P33" i="22"/>
  <c r="Q33" i="22"/>
  <c r="P34" i="22"/>
  <c r="Q34" i="22"/>
  <c r="Q35" i="22"/>
  <c r="Q41" i="22"/>
  <c r="T44" i="1"/>
  <c r="F31" i="22"/>
  <c r="E32" i="22"/>
  <c r="F32" i="22"/>
  <c r="E33" i="22"/>
  <c r="F33" i="22"/>
  <c r="E34" i="22"/>
  <c r="F34" i="22"/>
  <c r="F35" i="22"/>
  <c r="F41" i="22"/>
  <c r="S44" i="1"/>
  <c r="P35" i="22"/>
  <c r="Q36" i="22"/>
  <c r="Q37" i="22"/>
  <c r="Q38" i="22"/>
  <c r="Q39" i="22"/>
  <c r="Q40" i="22"/>
  <c r="P36" i="22"/>
  <c r="P37" i="22"/>
  <c r="P38" i="22"/>
  <c r="P39" i="22"/>
  <c r="P40" i="22"/>
  <c r="P41" i="22"/>
  <c r="E35" i="22"/>
  <c r="F36" i="22"/>
  <c r="F37" i="22"/>
  <c r="F38" i="22"/>
  <c r="F39" i="22"/>
  <c r="F40" i="22"/>
  <c r="E36" i="22"/>
  <c r="E37" i="22"/>
  <c r="E38" i="22"/>
  <c r="E39" i="22"/>
  <c r="E40" i="22"/>
  <c r="E41" i="22"/>
  <c r="N40" i="22"/>
  <c r="M40" i="22"/>
  <c r="N39" i="22"/>
  <c r="M39" i="22"/>
  <c r="M38" i="22"/>
  <c r="M37" i="22"/>
  <c r="M36" i="22"/>
  <c r="M35" i="22"/>
  <c r="M34" i="22"/>
  <c r="M33" i="22"/>
  <c r="M32" i="22"/>
  <c r="M31" i="22"/>
  <c r="E33" i="23"/>
  <c r="F33" i="23"/>
  <c r="E34" i="23"/>
  <c r="F34" i="23"/>
  <c r="E35" i="23"/>
  <c r="F35" i="23"/>
  <c r="F36" i="23"/>
  <c r="E32" i="23"/>
  <c r="F32" i="23"/>
  <c r="F37" i="23"/>
  <c r="F38" i="23"/>
  <c r="F39" i="23"/>
  <c r="F40" i="23"/>
  <c r="F41" i="23"/>
  <c r="F42" i="23"/>
  <c r="F43" i="23"/>
  <c r="F44" i="23"/>
  <c r="Q44" i="1"/>
  <c r="H32" i="23"/>
  <c r="H33" i="23"/>
  <c r="H34" i="23"/>
  <c r="H35" i="23"/>
  <c r="H42" i="23"/>
  <c r="H43" i="23"/>
  <c r="H44" i="23"/>
  <c r="I44" i="23"/>
  <c r="J32" i="23"/>
  <c r="J44" i="23"/>
  <c r="G44" i="23"/>
  <c r="K44" i="23"/>
  <c r="E36" i="23"/>
  <c r="E37" i="23"/>
  <c r="E38" i="23"/>
  <c r="E39" i="23"/>
  <c r="E40" i="23"/>
  <c r="E41" i="23"/>
  <c r="E42" i="23"/>
  <c r="E43" i="23"/>
  <c r="E44" i="23"/>
  <c r="J43" i="23"/>
  <c r="J42" i="23"/>
  <c r="J35" i="23"/>
  <c r="J34" i="23"/>
  <c r="J33" i="23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B50" i="19"/>
  <c r="P44" i="1"/>
  <c r="E38" i="19"/>
  <c r="F38" i="19"/>
  <c r="H38" i="19"/>
  <c r="E39" i="19"/>
  <c r="F39" i="19"/>
  <c r="H39" i="19"/>
  <c r="E40" i="19"/>
  <c r="F40" i="19"/>
  <c r="H40" i="19"/>
  <c r="E41" i="19"/>
  <c r="F41" i="19"/>
  <c r="H41" i="19"/>
  <c r="E42" i="19"/>
  <c r="F42" i="19"/>
  <c r="H42" i="19"/>
  <c r="E43" i="19"/>
  <c r="F43" i="19"/>
  <c r="H43" i="19"/>
  <c r="E44" i="19"/>
  <c r="F44" i="19"/>
  <c r="H44" i="19"/>
  <c r="H50" i="19"/>
  <c r="O44" i="1"/>
  <c r="P38" i="19"/>
  <c r="Q38" i="19"/>
  <c r="S38" i="19"/>
  <c r="P39" i="19"/>
  <c r="Q39" i="19"/>
  <c r="S39" i="19"/>
  <c r="P40" i="19"/>
  <c r="Q40" i="19"/>
  <c r="S40" i="19"/>
  <c r="P41" i="19"/>
  <c r="Q41" i="19"/>
  <c r="S41" i="19"/>
  <c r="P42" i="19"/>
  <c r="Q42" i="19"/>
  <c r="S42" i="19"/>
  <c r="P43" i="19"/>
  <c r="Q43" i="19"/>
  <c r="S43" i="19"/>
  <c r="P44" i="19"/>
  <c r="Q44" i="19"/>
  <c r="S44" i="19"/>
  <c r="S50" i="19"/>
  <c r="N44" i="1"/>
  <c r="AA37" i="19"/>
  <c r="AB37" i="19"/>
  <c r="AD37" i="19"/>
  <c r="AD38" i="19"/>
  <c r="AD39" i="19"/>
  <c r="AD40" i="19"/>
  <c r="AD41" i="19"/>
  <c r="AD42" i="19"/>
  <c r="AD43" i="19"/>
  <c r="AD44" i="19"/>
  <c r="AA45" i="19"/>
  <c r="AB45" i="19"/>
  <c r="AD45" i="19"/>
  <c r="AA46" i="19"/>
  <c r="AB46" i="19"/>
  <c r="AD46" i="19"/>
  <c r="AA47" i="19"/>
  <c r="AB47" i="19"/>
  <c r="AD47" i="19"/>
  <c r="AA48" i="19"/>
  <c r="AB48" i="19"/>
  <c r="AD48" i="19"/>
  <c r="AA49" i="19"/>
  <c r="AB49" i="19"/>
  <c r="AD49" i="19"/>
  <c r="AD50" i="19"/>
  <c r="AC50" i="19"/>
  <c r="AF37" i="19"/>
  <c r="AF50" i="19"/>
  <c r="AG50" i="19"/>
  <c r="AH50" i="19"/>
  <c r="AE50" i="19"/>
  <c r="AA50" i="19"/>
  <c r="P37" i="19"/>
  <c r="Q37" i="19"/>
  <c r="S37" i="19"/>
  <c r="P45" i="19"/>
  <c r="Q45" i="19"/>
  <c r="S45" i="19"/>
  <c r="P46" i="19"/>
  <c r="Q46" i="19"/>
  <c r="S46" i="19"/>
  <c r="P47" i="19"/>
  <c r="Q47" i="19"/>
  <c r="S47" i="19"/>
  <c r="P48" i="19"/>
  <c r="Q48" i="19"/>
  <c r="S48" i="19"/>
  <c r="P49" i="19"/>
  <c r="Q49" i="19"/>
  <c r="S49" i="19"/>
  <c r="R50" i="19"/>
  <c r="U37" i="19"/>
  <c r="U50" i="19"/>
  <c r="V50" i="19"/>
  <c r="W50" i="19"/>
  <c r="T50" i="19"/>
  <c r="Q50" i="19"/>
  <c r="P50" i="19"/>
  <c r="E37" i="19"/>
  <c r="F37" i="19"/>
  <c r="H37" i="19"/>
  <c r="E45" i="19"/>
  <c r="F45" i="19"/>
  <c r="H45" i="19"/>
  <c r="E46" i="19"/>
  <c r="F46" i="19"/>
  <c r="H46" i="19"/>
  <c r="E47" i="19"/>
  <c r="F47" i="19"/>
  <c r="H47" i="19"/>
  <c r="E48" i="19"/>
  <c r="F48" i="19"/>
  <c r="H48" i="19"/>
  <c r="E49" i="19"/>
  <c r="F49" i="19"/>
  <c r="H49" i="19"/>
  <c r="G50" i="19"/>
  <c r="J37" i="19"/>
  <c r="J50" i="19"/>
  <c r="K50" i="19"/>
  <c r="L50" i="19"/>
  <c r="I50" i="19"/>
  <c r="F50" i="19"/>
  <c r="E50" i="19"/>
  <c r="AF49" i="19"/>
  <c r="U49" i="19"/>
  <c r="J49" i="19"/>
  <c r="AF48" i="19"/>
  <c r="U48" i="19"/>
  <c r="J48" i="19"/>
  <c r="AF47" i="19"/>
  <c r="U47" i="19"/>
  <c r="J47" i="19"/>
  <c r="AF46" i="19"/>
  <c r="U46" i="19"/>
  <c r="J46" i="19"/>
  <c r="AF45" i="19"/>
  <c r="U45" i="19"/>
  <c r="J45" i="19"/>
  <c r="AF44" i="19"/>
  <c r="U44" i="19"/>
  <c r="J44" i="19"/>
  <c r="AF43" i="19"/>
  <c r="U43" i="19"/>
  <c r="J43" i="19"/>
  <c r="AF42" i="19"/>
  <c r="U42" i="19"/>
  <c r="J42" i="19"/>
  <c r="AF41" i="19"/>
  <c r="U41" i="19"/>
  <c r="J41" i="19"/>
  <c r="AF40" i="19"/>
  <c r="U40" i="19"/>
  <c r="J40" i="19"/>
  <c r="AF39" i="19"/>
  <c r="U39" i="19"/>
  <c r="J39" i="19"/>
  <c r="AF38" i="19"/>
  <c r="U38" i="19"/>
  <c r="J38" i="19"/>
  <c r="C93" i="15"/>
  <c r="M93" i="15"/>
  <c r="AP93" i="15"/>
  <c r="X93" i="15"/>
  <c r="AD93" i="15"/>
  <c r="AJ93" i="15"/>
  <c r="P94" i="15"/>
  <c r="AS94" i="15"/>
  <c r="Z94" i="15"/>
  <c r="AF94" i="15"/>
  <c r="AL94" i="15"/>
  <c r="C95" i="15"/>
  <c r="M95" i="15"/>
  <c r="AP95" i="15"/>
  <c r="X95" i="15"/>
  <c r="AD95" i="15"/>
  <c r="AJ95" i="15"/>
  <c r="M96" i="15"/>
  <c r="P96" i="15"/>
  <c r="AP96" i="15"/>
  <c r="AS96" i="15"/>
  <c r="X96" i="15"/>
  <c r="Z96" i="15"/>
  <c r="AD96" i="15"/>
  <c r="AF96" i="15"/>
  <c r="AJ96" i="15"/>
  <c r="AL96" i="15"/>
  <c r="C97" i="15"/>
  <c r="M97" i="15"/>
  <c r="AP97" i="15"/>
  <c r="X97" i="15"/>
  <c r="AD97" i="15"/>
  <c r="AJ97" i="15"/>
  <c r="M98" i="15"/>
  <c r="P98" i="15"/>
  <c r="AP98" i="15"/>
  <c r="AS98" i="15"/>
  <c r="X98" i="15"/>
  <c r="Z98" i="15"/>
  <c r="AD98" i="15"/>
  <c r="AF98" i="15"/>
  <c r="AJ98" i="15"/>
  <c r="AL98" i="15"/>
  <c r="C99" i="15"/>
  <c r="M99" i="15"/>
  <c r="AP99" i="15"/>
  <c r="X99" i="15"/>
  <c r="AD99" i="15"/>
  <c r="AJ99" i="15"/>
  <c r="M100" i="15"/>
  <c r="P100" i="15"/>
  <c r="AP100" i="15"/>
  <c r="AS100" i="15"/>
  <c r="X100" i="15"/>
  <c r="Z100" i="15"/>
  <c r="AD100" i="15"/>
  <c r="AF100" i="15"/>
  <c r="AJ100" i="15"/>
  <c r="AL100" i="15"/>
  <c r="C101" i="15"/>
  <c r="M101" i="15"/>
  <c r="AP101" i="15"/>
  <c r="X101" i="15"/>
  <c r="AD101" i="15"/>
  <c r="AJ101" i="15"/>
  <c r="M102" i="15"/>
  <c r="P102" i="15"/>
  <c r="AP102" i="15"/>
  <c r="AS102" i="15"/>
  <c r="X102" i="15"/>
  <c r="Z102" i="15"/>
  <c r="AD102" i="15"/>
  <c r="AF102" i="15"/>
  <c r="AJ102" i="15"/>
  <c r="AL102" i="15"/>
  <c r="C103" i="15"/>
  <c r="M103" i="15"/>
  <c r="AP103" i="15"/>
  <c r="X103" i="15"/>
  <c r="AD103" i="15"/>
  <c r="AJ103" i="15"/>
  <c r="M104" i="15"/>
  <c r="P104" i="15"/>
  <c r="AP104" i="15"/>
  <c r="AS104" i="15"/>
  <c r="X104" i="15"/>
  <c r="Z104" i="15"/>
  <c r="AD104" i="15"/>
  <c r="AF104" i="15"/>
  <c r="AJ104" i="15"/>
  <c r="AL104" i="15"/>
  <c r="C105" i="15"/>
  <c r="M105" i="15"/>
  <c r="AP105" i="15"/>
  <c r="X105" i="15"/>
  <c r="AD105" i="15"/>
  <c r="AJ105" i="15"/>
  <c r="C107" i="15"/>
  <c r="M107" i="15"/>
  <c r="AP107" i="15"/>
  <c r="X107" i="15"/>
  <c r="AD107" i="15"/>
  <c r="AJ107" i="15"/>
  <c r="P108" i="15"/>
  <c r="AS108" i="15"/>
  <c r="Z108" i="15"/>
  <c r="AF108" i="15"/>
  <c r="AL108" i="15"/>
  <c r="C109" i="15"/>
  <c r="M109" i="15"/>
  <c r="AP109" i="15"/>
  <c r="X109" i="15"/>
  <c r="AD109" i="15"/>
  <c r="AJ109" i="15"/>
  <c r="P110" i="15"/>
  <c r="AS110" i="15"/>
  <c r="Z110" i="15"/>
  <c r="AF110" i="15"/>
  <c r="AL110" i="15"/>
  <c r="C111" i="15"/>
  <c r="M111" i="15"/>
  <c r="AP111" i="15"/>
  <c r="X111" i="15"/>
  <c r="AD111" i="15"/>
  <c r="AJ111" i="15"/>
  <c r="C113" i="15"/>
  <c r="E113" i="15"/>
  <c r="M113" i="15"/>
  <c r="P113" i="15"/>
  <c r="AP113" i="15"/>
  <c r="AS113" i="15"/>
  <c r="X113" i="15"/>
  <c r="Z113" i="15"/>
  <c r="AD113" i="15"/>
  <c r="AF113" i="15"/>
  <c r="AJ113" i="15"/>
  <c r="AL113" i="15"/>
  <c r="E114" i="15"/>
  <c r="M114" i="15"/>
  <c r="C115" i="15"/>
  <c r="E115" i="15"/>
  <c r="M115" i="15"/>
  <c r="P115" i="15"/>
  <c r="AP115" i="15"/>
  <c r="AS115" i="15"/>
  <c r="Z115" i="15"/>
  <c r="AD115" i="15"/>
  <c r="AF115" i="15"/>
  <c r="AJ115" i="15"/>
  <c r="AL115" i="15"/>
  <c r="E116" i="15"/>
  <c r="C117" i="15"/>
  <c r="E117" i="15"/>
  <c r="M117" i="15"/>
  <c r="P117" i="15"/>
  <c r="AP117" i="15"/>
  <c r="AS117" i="15"/>
  <c r="X117" i="15"/>
  <c r="Z117" i="15"/>
  <c r="AD117" i="15"/>
  <c r="AF117" i="15"/>
  <c r="AJ117" i="15"/>
  <c r="AL117" i="15"/>
  <c r="E118" i="15"/>
  <c r="C119" i="15"/>
  <c r="E119" i="15"/>
  <c r="M119" i="15"/>
  <c r="P119" i="15"/>
  <c r="AP119" i="15"/>
  <c r="AS119" i="15"/>
  <c r="X119" i="15"/>
  <c r="Z119" i="15"/>
  <c r="AD119" i="15"/>
  <c r="AF119" i="15"/>
  <c r="AJ119" i="15"/>
  <c r="AL119" i="15"/>
  <c r="E120" i="15"/>
  <c r="C121" i="15"/>
  <c r="E121" i="15"/>
  <c r="M121" i="15"/>
  <c r="P121" i="15"/>
  <c r="AP121" i="15"/>
  <c r="AS121" i="15"/>
  <c r="X121" i="15"/>
  <c r="Z121" i="15"/>
  <c r="AD121" i="15"/>
  <c r="AF121" i="15"/>
  <c r="AJ121" i="15"/>
  <c r="AL121" i="15"/>
  <c r="E122" i="15"/>
  <c r="C123" i="15"/>
  <c r="E123" i="15"/>
  <c r="M123" i="15"/>
  <c r="P123" i="15"/>
  <c r="AP123" i="15"/>
  <c r="AS123" i="15"/>
  <c r="X123" i="15"/>
  <c r="Z123" i="15"/>
  <c r="AD123" i="15"/>
  <c r="AF123" i="15"/>
  <c r="AJ123" i="15"/>
  <c r="AL123" i="15"/>
  <c r="E124" i="15"/>
  <c r="E125" i="15"/>
  <c r="M125" i="15"/>
  <c r="P125" i="15"/>
  <c r="AP125" i="15"/>
  <c r="AS125" i="15"/>
  <c r="X125" i="15"/>
  <c r="Z125" i="15"/>
  <c r="AD125" i="15"/>
  <c r="AF125" i="15"/>
  <c r="AJ125" i="15"/>
  <c r="AL125" i="15"/>
  <c r="E126" i="15"/>
  <c r="E127" i="15"/>
  <c r="B127" i="15"/>
  <c r="P127" i="15"/>
  <c r="M127" i="15"/>
  <c r="AS127" i="15"/>
  <c r="AP127" i="15"/>
  <c r="Z127" i="15"/>
  <c r="X127" i="15"/>
  <c r="AF127" i="15"/>
  <c r="AD127" i="15"/>
  <c r="AL127" i="15"/>
  <c r="AJ127" i="15"/>
  <c r="E128" i="15"/>
  <c r="B128" i="15"/>
  <c r="M128" i="15"/>
  <c r="AP128" i="15"/>
  <c r="X128" i="15"/>
  <c r="AD128" i="15"/>
  <c r="AJ128" i="15"/>
  <c r="C129" i="15"/>
  <c r="E129" i="15"/>
  <c r="G129" i="15"/>
  <c r="H129" i="15"/>
  <c r="I129" i="15"/>
  <c r="J129" i="15"/>
  <c r="P129" i="15"/>
  <c r="R129" i="15"/>
  <c r="S129" i="15"/>
  <c r="T129" i="15"/>
  <c r="U129" i="15"/>
  <c r="AS129" i="15"/>
  <c r="AU129" i="15"/>
  <c r="AV129" i="15"/>
  <c r="AW129" i="15"/>
  <c r="AX129" i="15"/>
  <c r="Z129" i="15"/>
  <c r="AF129" i="15"/>
  <c r="AL129" i="15"/>
  <c r="C131" i="15"/>
  <c r="D131" i="15"/>
  <c r="E131" i="15"/>
  <c r="F131" i="15"/>
  <c r="P131" i="15"/>
  <c r="Q131" i="15"/>
  <c r="AS131" i="15"/>
  <c r="AT131" i="15"/>
  <c r="Z131" i="15"/>
  <c r="AA131" i="15"/>
  <c r="AF131" i="15"/>
  <c r="AG131" i="15"/>
  <c r="AL131" i="15"/>
  <c r="AM131" i="15"/>
  <c r="D43" i="17"/>
  <c r="D44" i="17"/>
  <c r="AA42" i="1"/>
  <c r="AL42" i="1"/>
  <c r="BN42" i="1"/>
  <c r="M45" i="1"/>
  <c r="C45" i="1"/>
  <c r="BN48" i="1"/>
  <c r="AK48" i="1"/>
  <c r="AK47" i="1"/>
  <c r="AL48" i="1"/>
  <c r="AG48" i="1"/>
  <c r="AD48" i="1"/>
  <c r="S48" i="1"/>
  <c r="AG47" i="1"/>
  <c r="S47" i="1"/>
  <c r="BQ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AU45" i="1"/>
  <c r="AT45" i="1"/>
  <c r="AS45" i="1"/>
  <c r="AR45" i="1"/>
  <c r="AQ45" i="1"/>
  <c r="AP45" i="1"/>
  <c r="AN45" i="1"/>
  <c r="BA45" i="1"/>
  <c r="AL45" i="1"/>
  <c r="AK45" i="1"/>
  <c r="AJ45" i="1"/>
  <c r="AI45" i="1"/>
  <c r="AZ45" i="1"/>
  <c r="AY45" i="1"/>
  <c r="AX45" i="1"/>
  <c r="AW45" i="1"/>
  <c r="AV45" i="1"/>
  <c r="AH45" i="1"/>
  <c r="AG45" i="1"/>
  <c r="AF45" i="1"/>
  <c r="AE45" i="1"/>
  <c r="AD45" i="1"/>
  <c r="AC45" i="1"/>
  <c r="AB45" i="1"/>
  <c r="Z45" i="1"/>
  <c r="Y45" i="1"/>
  <c r="X45" i="1"/>
  <c r="W45" i="1"/>
  <c r="V45" i="1"/>
  <c r="U45" i="1"/>
  <c r="T45" i="1"/>
  <c r="S45" i="1"/>
  <c r="Q45" i="1"/>
  <c r="P45" i="1"/>
  <c r="O45" i="1"/>
  <c r="N45" i="1"/>
  <c r="I45" i="1"/>
  <c r="H45" i="1"/>
  <c r="E45" i="1"/>
  <c r="BO45" i="1"/>
  <c r="BN47" i="1"/>
  <c r="AD47" i="1"/>
  <c r="B42" i="1"/>
  <c r="B41" i="1"/>
  <c r="BP37" i="1"/>
  <c r="B37" i="1"/>
  <c r="T48" i="1"/>
  <c r="BE48" i="1"/>
  <c r="AH48" i="1"/>
  <c r="AE48" i="1"/>
  <c r="BO48" i="1"/>
  <c r="E46" i="14"/>
  <c r="E47" i="14"/>
  <c r="E48" i="14"/>
  <c r="E49" i="14"/>
  <c r="E50" i="14"/>
  <c r="M21" i="22"/>
  <c r="E59" i="15"/>
  <c r="F59" i="15"/>
  <c r="E60" i="15"/>
  <c r="F60" i="15"/>
  <c r="F63" i="15"/>
  <c r="F64" i="15"/>
  <c r="E49" i="15"/>
  <c r="F49" i="15"/>
  <c r="E50" i="15"/>
  <c r="F50" i="15"/>
  <c r="E51" i="15"/>
  <c r="F51" i="15"/>
  <c r="E52" i="15"/>
  <c r="F52" i="15"/>
  <c r="E53" i="15"/>
  <c r="F53" i="15"/>
  <c r="E54" i="15"/>
  <c r="F54" i="15"/>
  <c r="E55" i="15"/>
  <c r="F55" i="15"/>
  <c r="E56" i="15"/>
  <c r="F56" i="15"/>
  <c r="E57" i="15"/>
  <c r="F57" i="15"/>
  <c r="E58" i="15"/>
  <c r="F58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C28" i="1"/>
  <c r="Q63" i="15"/>
  <c r="P49" i="15"/>
  <c r="Q49" i="15"/>
  <c r="P51" i="15"/>
  <c r="Q51" i="15"/>
  <c r="Q52" i="15"/>
  <c r="P53" i="15"/>
  <c r="Q53" i="15"/>
  <c r="Q54" i="15"/>
  <c r="P55" i="15"/>
  <c r="Q55" i="15"/>
  <c r="Q56" i="15"/>
  <c r="P57" i="15"/>
  <c r="Q57" i="15"/>
  <c r="Q58" i="15"/>
  <c r="P59" i="15"/>
  <c r="Q59" i="15"/>
  <c r="Q60" i="15"/>
  <c r="Q65" i="15"/>
  <c r="Q67" i="15"/>
  <c r="Q69" i="15"/>
  <c r="Q71" i="15"/>
  <c r="Q73" i="15"/>
  <c r="Q75" i="15"/>
  <c r="Q77" i="15"/>
  <c r="Q79" i="15"/>
  <c r="Q81" i="15"/>
  <c r="Q83" i="15"/>
  <c r="Q85" i="15"/>
  <c r="D28" i="1"/>
  <c r="AT63" i="15"/>
  <c r="AS49" i="15"/>
  <c r="AT49" i="15"/>
  <c r="AS51" i="15"/>
  <c r="AT51" i="15"/>
  <c r="AT52" i="15"/>
  <c r="AS53" i="15"/>
  <c r="AT53" i="15"/>
  <c r="AT54" i="15"/>
  <c r="AS55" i="15"/>
  <c r="AT55" i="15"/>
  <c r="AT56" i="15"/>
  <c r="AS57" i="15"/>
  <c r="AT57" i="15"/>
  <c r="AT58" i="15"/>
  <c r="AS59" i="15"/>
  <c r="AT59" i="15"/>
  <c r="AT60" i="15"/>
  <c r="AT65" i="15"/>
  <c r="AT67" i="15"/>
  <c r="AT69" i="15"/>
  <c r="AT71" i="15"/>
  <c r="AT73" i="15"/>
  <c r="AT75" i="15"/>
  <c r="AT77" i="15"/>
  <c r="AT79" i="15"/>
  <c r="AT81" i="15"/>
  <c r="AT83" i="15"/>
  <c r="AT85" i="15"/>
  <c r="E28" i="1"/>
  <c r="AA63" i="15"/>
  <c r="Z49" i="15"/>
  <c r="AA49" i="15"/>
  <c r="Z51" i="15"/>
  <c r="AA51" i="15"/>
  <c r="AA52" i="15"/>
  <c r="Z53" i="15"/>
  <c r="AA53" i="15"/>
  <c r="AA54" i="15"/>
  <c r="Z55" i="15"/>
  <c r="AA55" i="15"/>
  <c r="AA56" i="15"/>
  <c r="Z57" i="15"/>
  <c r="AA57" i="15"/>
  <c r="AA58" i="15"/>
  <c r="Z59" i="15"/>
  <c r="AA59" i="15"/>
  <c r="AA60" i="15"/>
  <c r="AA65" i="15"/>
  <c r="AA67" i="15"/>
  <c r="AA69" i="15"/>
  <c r="AA71" i="15"/>
  <c r="AA73" i="15"/>
  <c r="AA75" i="15"/>
  <c r="AA77" i="15"/>
  <c r="AA79" i="15"/>
  <c r="AA81" i="15"/>
  <c r="AA83" i="15"/>
  <c r="AA85" i="15"/>
  <c r="F28" i="1"/>
  <c r="AG63" i="15"/>
  <c r="AF49" i="15"/>
  <c r="AG49" i="15"/>
  <c r="AF51" i="15"/>
  <c r="AG51" i="15"/>
  <c r="AG52" i="15"/>
  <c r="AF53" i="15"/>
  <c r="AG53" i="15"/>
  <c r="AG54" i="15"/>
  <c r="AF55" i="15"/>
  <c r="AG55" i="15"/>
  <c r="AG56" i="15"/>
  <c r="AF57" i="15"/>
  <c r="AG57" i="15"/>
  <c r="AG58" i="15"/>
  <c r="AF59" i="15"/>
  <c r="AG59" i="15"/>
  <c r="AG60" i="15"/>
  <c r="AG65" i="15"/>
  <c r="AG67" i="15"/>
  <c r="AG69" i="15"/>
  <c r="AG71" i="15"/>
  <c r="AG73" i="15"/>
  <c r="AG75" i="15"/>
  <c r="AG77" i="15"/>
  <c r="AG79" i="15"/>
  <c r="AG81" i="15"/>
  <c r="AG83" i="15"/>
  <c r="AG85" i="15"/>
  <c r="G28" i="1"/>
  <c r="G29" i="1"/>
  <c r="AM63" i="15"/>
  <c r="AL49" i="15"/>
  <c r="AM49" i="15"/>
  <c r="AL51" i="15"/>
  <c r="AM51" i="15"/>
  <c r="AM52" i="15"/>
  <c r="AL53" i="15"/>
  <c r="AM53" i="15"/>
  <c r="AM54" i="15"/>
  <c r="AL55" i="15"/>
  <c r="AM55" i="15"/>
  <c r="AM56" i="15"/>
  <c r="AL57" i="15"/>
  <c r="AM57" i="15"/>
  <c r="AM58" i="15"/>
  <c r="AL59" i="15"/>
  <c r="AM59" i="15"/>
  <c r="AM60" i="15"/>
  <c r="AM65" i="15"/>
  <c r="AM67" i="15"/>
  <c r="AM69" i="15"/>
  <c r="AM71" i="15"/>
  <c r="AM73" i="15"/>
  <c r="AM75" i="15"/>
  <c r="AM77" i="15"/>
  <c r="AM79" i="15"/>
  <c r="AM81" i="15"/>
  <c r="AM83" i="15"/>
  <c r="AM85" i="15"/>
  <c r="H28" i="1"/>
  <c r="E21" i="14"/>
  <c r="F21" i="14"/>
  <c r="E22" i="14"/>
  <c r="F22" i="14"/>
  <c r="E23" i="14"/>
  <c r="F23" i="14"/>
  <c r="E24" i="14"/>
  <c r="F24" i="14"/>
  <c r="F25" i="14"/>
  <c r="F26" i="14"/>
  <c r="F27" i="14"/>
  <c r="F28" i="14"/>
  <c r="F29" i="14"/>
  <c r="F30" i="14"/>
  <c r="F31" i="14"/>
  <c r="F32" i="14"/>
  <c r="F33" i="14"/>
  <c r="I28" i="1"/>
  <c r="E25" i="17"/>
  <c r="E26" i="17"/>
  <c r="D18" i="17"/>
  <c r="E18" i="17"/>
  <c r="D19" i="17"/>
  <c r="E19" i="17"/>
  <c r="D20" i="17"/>
  <c r="E20" i="17"/>
  <c r="D21" i="17"/>
  <c r="E21" i="17"/>
  <c r="D22" i="17"/>
  <c r="E22" i="17"/>
  <c r="D23" i="17"/>
  <c r="E23" i="17"/>
  <c r="D24" i="17"/>
  <c r="E24" i="17"/>
  <c r="E27" i="17"/>
  <c r="E28" i="17"/>
  <c r="E29" i="17"/>
  <c r="M28" i="1"/>
  <c r="L32" i="1"/>
  <c r="L31" i="1"/>
  <c r="M32" i="1"/>
  <c r="AR29" i="1"/>
  <c r="B81" i="15"/>
  <c r="D25" i="17"/>
  <c r="M29" i="1"/>
  <c r="E64" i="15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B33" i="19"/>
  <c r="P28" i="1"/>
  <c r="P29" i="1"/>
  <c r="E20" i="19"/>
  <c r="F20" i="19"/>
  <c r="H20" i="19"/>
  <c r="E21" i="19"/>
  <c r="F21" i="19"/>
  <c r="H21" i="19"/>
  <c r="E22" i="19"/>
  <c r="F22" i="19"/>
  <c r="H22" i="19"/>
  <c r="E23" i="19"/>
  <c r="F23" i="19"/>
  <c r="H23" i="19"/>
  <c r="E24" i="19"/>
  <c r="F24" i="19"/>
  <c r="H24" i="19"/>
  <c r="E25" i="19"/>
  <c r="F25" i="19"/>
  <c r="H25" i="19"/>
  <c r="E26" i="19"/>
  <c r="F26" i="19"/>
  <c r="H26" i="19"/>
  <c r="E27" i="19"/>
  <c r="F27" i="19"/>
  <c r="H27" i="19"/>
  <c r="E28" i="19"/>
  <c r="F28" i="19"/>
  <c r="H28" i="19"/>
  <c r="E29" i="19"/>
  <c r="F29" i="19"/>
  <c r="H29" i="19"/>
  <c r="E30" i="19"/>
  <c r="F30" i="19"/>
  <c r="H30" i="19"/>
  <c r="E31" i="19"/>
  <c r="F31" i="19"/>
  <c r="H31" i="19"/>
  <c r="E32" i="19"/>
  <c r="F32" i="19"/>
  <c r="H32" i="19"/>
  <c r="H33" i="19"/>
  <c r="O28" i="1"/>
  <c r="O29" i="1"/>
  <c r="P20" i="19"/>
  <c r="Q20" i="19"/>
  <c r="S20" i="19"/>
  <c r="P21" i="19"/>
  <c r="Q21" i="19"/>
  <c r="S21" i="19"/>
  <c r="P22" i="19"/>
  <c r="Q22" i="19"/>
  <c r="S22" i="19"/>
  <c r="P23" i="19"/>
  <c r="Q23" i="19"/>
  <c r="S23" i="19"/>
  <c r="P24" i="19"/>
  <c r="Q24" i="19"/>
  <c r="S24" i="19"/>
  <c r="P25" i="19"/>
  <c r="Q25" i="19"/>
  <c r="S25" i="19"/>
  <c r="P26" i="19"/>
  <c r="Q26" i="19"/>
  <c r="S26" i="19"/>
  <c r="P27" i="19"/>
  <c r="Q27" i="19"/>
  <c r="S27" i="19"/>
  <c r="P28" i="19"/>
  <c r="Q28" i="19"/>
  <c r="S28" i="19"/>
  <c r="P29" i="19"/>
  <c r="Q29" i="19"/>
  <c r="S29" i="19"/>
  <c r="P30" i="19"/>
  <c r="Q30" i="19"/>
  <c r="S30" i="19"/>
  <c r="P31" i="19"/>
  <c r="Q31" i="19"/>
  <c r="S31" i="19"/>
  <c r="P32" i="19"/>
  <c r="Q32" i="19"/>
  <c r="S32" i="19"/>
  <c r="S33" i="19"/>
  <c r="N28" i="1"/>
  <c r="J20" i="19"/>
  <c r="U20" i="19"/>
  <c r="AD20" i="19"/>
  <c r="AF20" i="19"/>
  <c r="J21" i="19"/>
  <c r="U21" i="19"/>
  <c r="AD21" i="19"/>
  <c r="AF21" i="19"/>
  <c r="J22" i="19"/>
  <c r="U22" i="19"/>
  <c r="AD22" i="19"/>
  <c r="AF22" i="19"/>
  <c r="J23" i="19"/>
  <c r="U23" i="19"/>
  <c r="AD23" i="19"/>
  <c r="AF23" i="19"/>
  <c r="J24" i="19"/>
  <c r="U24" i="19"/>
  <c r="AD24" i="19"/>
  <c r="AF24" i="19"/>
  <c r="J25" i="19"/>
  <c r="U25" i="19"/>
  <c r="AD25" i="19"/>
  <c r="AF25" i="19"/>
  <c r="J26" i="19"/>
  <c r="U26" i="19"/>
  <c r="AD26" i="19"/>
  <c r="AF26" i="19"/>
  <c r="J27" i="19"/>
  <c r="U27" i="19"/>
  <c r="AD27" i="19"/>
  <c r="AF27" i="19"/>
  <c r="J28" i="19"/>
  <c r="U28" i="19"/>
  <c r="AD28" i="19"/>
  <c r="AF28" i="19"/>
  <c r="J29" i="19"/>
  <c r="U29" i="19"/>
  <c r="AD29" i="19"/>
  <c r="AF29" i="19"/>
  <c r="J30" i="19"/>
  <c r="U30" i="19"/>
  <c r="AD30" i="19"/>
  <c r="AF30" i="19"/>
  <c r="J31" i="19"/>
  <c r="U31" i="19"/>
  <c r="AD31" i="19"/>
  <c r="AF31" i="19"/>
  <c r="J32" i="19"/>
  <c r="U32" i="19"/>
  <c r="AD32" i="19"/>
  <c r="AF32" i="19"/>
  <c r="E33" i="19"/>
  <c r="F33" i="19"/>
  <c r="G33" i="19"/>
  <c r="I33" i="19"/>
  <c r="J33" i="19"/>
  <c r="K33" i="19"/>
  <c r="L33" i="19"/>
  <c r="P33" i="19"/>
  <c r="Q33" i="19"/>
  <c r="R33" i="19"/>
  <c r="T33" i="19"/>
  <c r="U33" i="19"/>
  <c r="V33" i="19"/>
  <c r="W33" i="19"/>
  <c r="AA33" i="19"/>
  <c r="AC33" i="19"/>
  <c r="AD33" i="19"/>
  <c r="AE33" i="19"/>
  <c r="AF33" i="19"/>
  <c r="AG33" i="19"/>
  <c r="AH33" i="19"/>
  <c r="P17" i="22"/>
  <c r="Q17" i="22"/>
  <c r="P18" i="22"/>
  <c r="Q18" i="22"/>
  <c r="P19" i="22"/>
  <c r="Q19" i="22"/>
  <c r="P20" i="22"/>
  <c r="Q20" i="22"/>
  <c r="P21" i="22"/>
  <c r="Q21" i="22"/>
  <c r="Q22" i="22"/>
  <c r="Q23" i="22"/>
  <c r="Q24" i="22"/>
  <c r="Q25" i="22"/>
  <c r="Q26" i="22"/>
  <c r="Q27" i="22"/>
  <c r="T28" i="1"/>
  <c r="T29" i="1"/>
  <c r="E17" i="22"/>
  <c r="F17" i="22"/>
  <c r="E18" i="22"/>
  <c r="F18" i="22"/>
  <c r="E19" i="22"/>
  <c r="F19" i="22"/>
  <c r="E20" i="22"/>
  <c r="F20" i="22"/>
  <c r="E21" i="22"/>
  <c r="F21" i="22"/>
  <c r="F22" i="22"/>
  <c r="F23" i="22"/>
  <c r="F24" i="22"/>
  <c r="F25" i="22"/>
  <c r="F26" i="22"/>
  <c r="F27" i="22"/>
  <c r="S28" i="1"/>
  <c r="E17" i="23"/>
  <c r="F17" i="23"/>
  <c r="E18" i="23"/>
  <c r="F18" i="23"/>
  <c r="E19" i="23"/>
  <c r="F19" i="23"/>
  <c r="E20" i="23"/>
  <c r="F20" i="23"/>
  <c r="E21" i="23"/>
  <c r="F21" i="23"/>
  <c r="F22" i="23"/>
  <c r="F23" i="23"/>
  <c r="F24" i="23"/>
  <c r="F25" i="23"/>
  <c r="F26" i="23"/>
  <c r="F27" i="23"/>
  <c r="F28" i="23"/>
  <c r="F29" i="23"/>
  <c r="Q28" i="1"/>
  <c r="P22" i="22"/>
  <c r="P23" i="22"/>
  <c r="P24" i="22"/>
  <c r="P25" i="22"/>
  <c r="P26" i="22"/>
  <c r="P27" i="22"/>
  <c r="E22" i="22"/>
  <c r="E23" i="22"/>
  <c r="E24" i="22"/>
  <c r="E25" i="22"/>
  <c r="E26" i="22"/>
  <c r="E27" i="22"/>
  <c r="N26" i="22"/>
  <c r="M26" i="22"/>
  <c r="N25" i="22"/>
  <c r="M25" i="22"/>
  <c r="M24" i="22"/>
  <c r="M23" i="22"/>
  <c r="M22" i="22"/>
  <c r="M20" i="22"/>
  <c r="M19" i="22"/>
  <c r="M18" i="22"/>
  <c r="M17" i="22"/>
  <c r="H17" i="23"/>
  <c r="H18" i="23"/>
  <c r="H19" i="23"/>
  <c r="H20" i="23"/>
  <c r="H27" i="23"/>
  <c r="H28" i="23"/>
  <c r="H29" i="23"/>
  <c r="I29" i="23"/>
  <c r="J17" i="23"/>
  <c r="J18" i="23"/>
  <c r="J19" i="23"/>
  <c r="J20" i="23"/>
  <c r="E27" i="23"/>
  <c r="J27" i="23"/>
  <c r="E28" i="23"/>
  <c r="J28" i="23"/>
  <c r="J29" i="23"/>
  <c r="G29" i="23"/>
  <c r="K29" i="23"/>
  <c r="E22" i="23"/>
  <c r="E23" i="23"/>
  <c r="E24" i="23"/>
  <c r="E25" i="23"/>
  <c r="E26" i="23"/>
  <c r="E29" i="23"/>
  <c r="E5" i="15"/>
  <c r="F5" i="15"/>
  <c r="E6" i="15"/>
  <c r="F6" i="15"/>
  <c r="E7" i="15"/>
  <c r="F7" i="15"/>
  <c r="E8" i="15"/>
  <c r="F8" i="15"/>
  <c r="E9" i="15"/>
  <c r="F9" i="15"/>
  <c r="E10" i="15"/>
  <c r="F10" i="15"/>
  <c r="E11" i="15"/>
  <c r="F11" i="15"/>
  <c r="E12" i="15"/>
  <c r="F12" i="15"/>
  <c r="E13" i="15"/>
  <c r="F13" i="15"/>
  <c r="E14" i="15"/>
  <c r="F14" i="15"/>
  <c r="E15" i="15"/>
  <c r="F15" i="15"/>
  <c r="E16" i="15"/>
  <c r="F16" i="15"/>
  <c r="E17" i="15"/>
  <c r="F17" i="15"/>
  <c r="E18" i="15"/>
  <c r="F18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C12" i="1"/>
  <c r="P5" i="15"/>
  <c r="Q5" i="15"/>
  <c r="P7" i="15"/>
  <c r="Q7" i="15"/>
  <c r="Q8" i="15"/>
  <c r="P9" i="15"/>
  <c r="Q9" i="15"/>
  <c r="Q10" i="15"/>
  <c r="P11" i="15"/>
  <c r="Q11" i="15"/>
  <c r="Q12" i="15"/>
  <c r="P13" i="15"/>
  <c r="Q13" i="15"/>
  <c r="Q14" i="15"/>
  <c r="P15" i="15"/>
  <c r="Q15" i="15"/>
  <c r="Q16" i="15"/>
  <c r="P17" i="15"/>
  <c r="Q17" i="15"/>
  <c r="Q21" i="15"/>
  <c r="Q23" i="15"/>
  <c r="Q25" i="15"/>
  <c r="Q27" i="15"/>
  <c r="Q29" i="15"/>
  <c r="Q31" i="15"/>
  <c r="Q33" i="15"/>
  <c r="Q35" i="15"/>
  <c r="Q37" i="15"/>
  <c r="Q39" i="15"/>
  <c r="Q41" i="15"/>
  <c r="D12" i="1"/>
  <c r="AS5" i="15"/>
  <c r="AT5" i="15"/>
  <c r="AS7" i="15"/>
  <c r="AT7" i="15"/>
  <c r="AT8" i="15"/>
  <c r="AS9" i="15"/>
  <c r="AT9" i="15"/>
  <c r="AT10" i="15"/>
  <c r="AS11" i="15"/>
  <c r="AT11" i="15"/>
  <c r="AT12" i="15"/>
  <c r="AS13" i="15"/>
  <c r="AT13" i="15"/>
  <c r="AT14" i="15"/>
  <c r="AS15" i="15"/>
  <c r="AT15" i="15"/>
  <c r="AT16" i="15"/>
  <c r="AS17" i="15"/>
  <c r="AT17" i="15"/>
  <c r="AT21" i="15"/>
  <c r="AT23" i="15"/>
  <c r="AT25" i="15"/>
  <c r="AT27" i="15"/>
  <c r="AT29" i="15"/>
  <c r="AT31" i="15"/>
  <c r="AT33" i="15"/>
  <c r="AT35" i="15"/>
  <c r="AT37" i="15"/>
  <c r="AT39" i="15"/>
  <c r="AT41" i="15"/>
  <c r="E12" i="1"/>
  <c r="Z5" i="15"/>
  <c r="AA5" i="15"/>
  <c r="Z7" i="15"/>
  <c r="AA7" i="15"/>
  <c r="AA8" i="15"/>
  <c r="Z9" i="15"/>
  <c r="AA9" i="15"/>
  <c r="AA10" i="15"/>
  <c r="Z11" i="15"/>
  <c r="AA11" i="15"/>
  <c r="AA12" i="15"/>
  <c r="Z13" i="15"/>
  <c r="AA13" i="15"/>
  <c r="AA14" i="15"/>
  <c r="Z15" i="15"/>
  <c r="AA15" i="15"/>
  <c r="AA16" i="15"/>
  <c r="Z17" i="15"/>
  <c r="AA17" i="15"/>
  <c r="AA21" i="15"/>
  <c r="AA23" i="15"/>
  <c r="AA25" i="15"/>
  <c r="AA27" i="15"/>
  <c r="AA29" i="15"/>
  <c r="AA31" i="15"/>
  <c r="AA33" i="15"/>
  <c r="AA35" i="15"/>
  <c r="AA37" i="15"/>
  <c r="AA39" i="15"/>
  <c r="AA41" i="15"/>
  <c r="F12" i="1"/>
  <c r="AF5" i="15"/>
  <c r="AG5" i="15"/>
  <c r="AF7" i="15"/>
  <c r="AG7" i="15"/>
  <c r="AG8" i="15"/>
  <c r="AF9" i="15"/>
  <c r="AG9" i="15"/>
  <c r="AG10" i="15"/>
  <c r="AF11" i="15"/>
  <c r="AG11" i="15"/>
  <c r="AG12" i="15"/>
  <c r="AF13" i="15"/>
  <c r="AG13" i="15"/>
  <c r="AG14" i="15"/>
  <c r="AF15" i="15"/>
  <c r="AG15" i="15"/>
  <c r="AG16" i="15"/>
  <c r="AF17" i="15"/>
  <c r="AG17" i="15"/>
  <c r="AG21" i="15"/>
  <c r="AG23" i="15"/>
  <c r="AG25" i="15"/>
  <c r="AG27" i="15"/>
  <c r="AG29" i="15"/>
  <c r="AG31" i="15"/>
  <c r="AG33" i="15"/>
  <c r="AG35" i="15"/>
  <c r="AG37" i="15"/>
  <c r="AG39" i="15"/>
  <c r="AG41" i="15"/>
  <c r="G12" i="1"/>
  <c r="AL5" i="15"/>
  <c r="AM5" i="15"/>
  <c r="AL7" i="15"/>
  <c r="AM7" i="15"/>
  <c r="AM8" i="15"/>
  <c r="AL9" i="15"/>
  <c r="AM9" i="15"/>
  <c r="AM10" i="15"/>
  <c r="AL11" i="15"/>
  <c r="AM11" i="15"/>
  <c r="AM12" i="15"/>
  <c r="AL13" i="15"/>
  <c r="AM13" i="15"/>
  <c r="AM14" i="15"/>
  <c r="AL15" i="15"/>
  <c r="AM15" i="15"/>
  <c r="AM16" i="15"/>
  <c r="AL17" i="15"/>
  <c r="AM17" i="15"/>
  <c r="AM21" i="15"/>
  <c r="AM23" i="15"/>
  <c r="AM25" i="15"/>
  <c r="AM27" i="15"/>
  <c r="AM29" i="15"/>
  <c r="AM31" i="15"/>
  <c r="AM33" i="15"/>
  <c r="AM35" i="15"/>
  <c r="AM37" i="15"/>
  <c r="AM39" i="15"/>
  <c r="AM41" i="15"/>
  <c r="H12" i="1"/>
  <c r="I12" i="1"/>
  <c r="M12" i="1"/>
  <c r="N12" i="1"/>
  <c r="O12" i="1"/>
  <c r="P12" i="1"/>
  <c r="Q12" i="1"/>
  <c r="S12" i="1"/>
  <c r="T12" i="1"/>
  <c r="B12" i="1"/>
  <c r="D13" i="1"/>
  <c r="E13" i="1"/>
  <c r="F13" i="1"/>
  <c r="G13" i="1"/>
  <c r="H13" i="1"/>
  <c r="E4" i="14"/>
  <c r="F4" i="14"/>
  <c r="E5" i="14"/>
  <c r="F5" i="14"/>
  <c r="E6" i="14"/>
  <c r="F6" i="14"/>
  <c r="E7" i="14"/>
  <c r="F7" i="14"/>
  <c r="E8" i="14"/>
  <c r="F8" i="14"/>
  <c r="E9" i="14"/>
  <c r="F9" i="14"/>
  <c r="F10" i="14"/>
  <c r="F11" i="14"/>
  <c r="F12" i="14"/>
  <c r="F13" i="14"/>
  <c r="F14" i="14"/>
  <c r="F15" i="14"/>
  <c r="F16" i="14"/>
  <c r="D4" i="17"/>
  <c r="E4" i="17"/>
  <c r="D5" i="17"/>
  <c r="E5" i="17"/>
  <c r="D6" i="17"/>
  <c r="E6" i="17"/>
  <c r="D7" i="17"/>
  <c r="E7" i="17"/>
  <c r="D8" i="17"/>
  <c r="E8" i="17"/>
  <c r="D9" i="17"/>
  <c r="E9" i="17"/>
  <c r="D10" i="17"/>
  <c r="E10" i="17"/>
  <c r="D11" i="17"/>
  <c r="E11" i="17"/>
  <c r="D12" i="17"/>
  <c r="E12" i="17"/>
  <c r="E13" i="17"/>
  <c r="E14" i="17"/>
  <c r="M13" i="1"/>
  <c r="E3" i="23"/>
  <c r="F3" i="23"/>
  <c r="E4" i="23"/>
  <c r="F4" i="23"/>
  <c r="E5" i="23"/>
  <c r="F5" i="23"/>
  <c r="F6" i="23"/>
  <c r="F7" i="23"/>
  <c r="F8" i="23"/>
  <c r="F9" i="23"/>
  <c r="F10" i="23"/>
  <c r="F11" i="23"/>
  <c r="F12" i="23"/>
  <c r="F13" i="23"/>
  <c r="F14" i="23"/>
  <c r="F13" i="22"/>
  <c r="Q13" i="22"/>
  <c r="T13" i="1"/>
  <c r="BO26" i="1"/>
  <c r="BN26" i="1"/>
  <c r="BJ26" i="1"/>
  <c r="AA26" i="1"/>
  <c r="B26" i="1"/>
  <c r="D29" i="1"/>
  <c r="D26" i="17"/>
  <c r="D27" i="17"/>
  <c r="D28" i="17"/>
  <c r="D29" i="17"/>
  <c r="E32" i="14"/>
  <c r="E31" i="14"/>
  <c r="E30" i="14"/>
  <c r="E29" i="14"/>
  <c r="E28" i="14"/>
  <c r="E27" i="14"/>
  <c r="E26" i="14"/>
  <c r="E25" i="14"/>
  <c r="M81" i="15"/>
  <c r="AP81" i="15"/>
  <c r="X81" i="15"/>
  <c r="AD81" i="15"/>
  <c r="AJ81" i="15"/>
  <c r="AX85" i="15"/>
  <c r="AW85" i="15"/>
  <c r="AV85" i="15"/>
  <c r="AU85" i="15"/>
  <c r="U85" i="15"/>
  <c r="T85" i="15"/>
  <c r="S85" i="15"/>
  <c r="R85" i="15"/>
  <c r="J85" i="15"/>
  <c r="I85" i="15"/>
  <c r="H85" i="15"/>
  <c r="G85" i="15"/>
  <c r="E84" i="15"/>
  <c r="AL83" i="15"/>
  <c r="AF83" i="15"/>
  <c r="Z83" i="15"/>
  <c r="AS83" i="15"/>
  <c r="P83" i="15"/>
  <c r="E83" i="15"/>
  <c r="E82" i="15"/>
  <c r="AL81" i="15"/>
  <c r="AF81" i="15"/>
  <c r="Z81" i="15"/>
  <c r="AS81" i="15"/>
  <c r="P81" i="15"/>
  <c r="E81" i="15"/>
  <c r="E80" i="15"/>
  <c r="AL79" i="15"/>
  <c r="AF79" i="15"/>
  <c r="C79" i="15"/>
  <c r="Z79" i="15"/>
  <c r="M79" i="15"/>
  <c r="AP79" i="15"/>
  <c r="X79" i="15"/>
  <c r="AD79" i="15"/>
  <c r="AJ79" i="15"/>
  <c r="AS79" i="15"/>
  <c r="P79" i="15"/>
  <c r="E79" i="15"/>
  <c r="E78" i="15"/>
  <c r="AL77" i="15"/>
  <c r="AF77" i="15"/>
  <c r="Z77" i="15"/>
  <c r="AS77" i="15"/>
  <c r="M77" i="15"/>
  <c r="AP77" i="15"/>
  <c r="X77" i="15"/>
  <c r="AD77" i="15"/>
  <c r="AJ77" i="15"/>
  <c r="P77" i="15"/>
  <c r="E77" i="15"/>
  <c r="E76" i="15"/>
  <c r="AL75" i="15"/>
  <c r="AF75" i="15"/>
  <c r="Z75" i="15"/>
  <c r="AS75" i="15"/>
  <c r="P75" i="15"/>
  <c r="M75" i="15"/>
  <c r="AP75" i="15"/>
  <c r="X75" i="15"/>
  <c r="AD75" i="15"/>
  <c r="AJ75" i="15"/>
  <c r="C75" i="15"/>
  <c r="E75" i="15"/>
  <c r="E74" i="15"/>
  <c r="AL73" i="15"/>
  <c r="AF73" i="15"/>
  <c r="C73" i="15"/>
  <c r="Z73" i="15"/>
  <c r="M73" i="15"/>
  <c r="AP73" i="15"/>
  <c r="X73" i="15"/>
  <c r="AD73" i="15"/>
  <c r="AJ73" i="15"/>
  <c r="AS73" i="15"/>
  <c r="P73" i="15"/>
  <c r="E73" i="15"/>
  <c r="C71" i="15"/>
  <c r="E72" i="15"/>
  <c r="AL71" i="15"/>
  <c r="AF71" i="15"/>
  <c r="AD71" i="15"/>
  <c r="AJ71" i="15"/>
  <c r="Z71" i="15"/>
  <c r="AS71" i="15"/>
  <c r="M71" i="15"/>
  <c r="AP71" i="15"/>
  <c r="P71" i="15"/>
  <c r="E71" i="15"/>
  <c r="M70" i="15"/>
  <c r="E70" i="15"/>
  <c r="AL69" i="15"/>
  <c r="AF69" i="15"/>
  <c r="Z69" i="15"/>
  <c r="AS69" i="15"/>
  <c r="P69" i="15"/>
  <c r="M69" i="15"/>
  <c r="AP69" i="15"/>
  <c r="X69" i="15"/>
  <c r="AD69" i="15"/>
  <c r="AJ69" i="15"/>
  <c r="C69" i="15"/>
  <c r="E69" i="15"/>
  <c r="E68" i="15"/>
  <c r="AL67" i="15"/>
  <c r="AF67" i="15"/>
  <c r="Z67" i="15"/>
  <c r="M67" i="15"/>
  <c r="AP67" i="15"/>
  <c r="X67" i="15"/>
  <c r="AD67" i="15"/>
  <c r="AJ67" i="15"/>
  <c r="AS67" i="15"/>
  <c r="P67" i="15"/>
  <c r="E67" i="15"/>
  <c r="AL66" i="15"/>
  <c r="AF66" i="15"/>
  <c r="Z66" i="15"/>
  <c r="AS66" i="15"/>
  <c r="P66" i="15"/>
  <c r="E66" i="15"/>
  <c r="AL65" i="15"/>
  <c r="AF65" i="15"/>
  <c r="C65" i="15"/>
  <c r="Z65" i="15"/>
  <c r="AS65" i="15"/>
  <c r="P65" i="15"/>
  <c r="M65" i="15"/>
  <c r="AP65" i="15"/>
  <c r="X65" i="15"/>
  <c r="AD65" i="15"/>
  <c r="AJ65" i="15"/>
  <c r="E65" i="15"/>
  <c r="AL64" i="15"/>
  <c r="AF64" i="15"/>
  <c r="Z64" i="15"/>
  <c r="AS64" i="15"/>
  <c r="P64" i="15"/>
  <c r="AL63" i="15"/>
  <c r="AF63" i="15"/>
  <c r="Z63" i="15"/>
  <c r="AS63" i="15"/>
  <c r="P63" i="15"/>
  <c r="M63" i="15"/>
  <c r="AP63" i="15"/>
  <c r="X63" i="15"/>
  <c r="AD63" i="15"/>
  <c r="AJ63" i="15"/>
  <c r="E63" i="15"/>
  <c r="AL60" i="15"/>
  <c r="AF60" i="15"/>
  <c r="Z60" i="15"/>
  <c r="AS60" i="15"/>
  <c r="P60" i="15"/>
  <c r="M60" i="15"/>
  <c r="AP60" i="15"/>
  <c r="X60" i="15"/>
  <c r="AD60" i="15"/>
  <c r="AJ60" i="15"/>
  <c r="E29" i="1"/>
  <c r="M59" i="15"/>
  <c r="AP59" i="15"/>
  <c r="X59" i="15"/>
  <c r="AD59" i="15"/>
  <c r="AJ59" i="15"/>
  <c r="AL58" i="15"/>
  <c r="AF58" i="15"/>
  <c r="Z58" i="15"/>
  <c r="AS58" i="15"/>
  <c r="P58" i="15"/>
  <c r="M58" i="15"/>
  <c r="AP58" i="15"/>
  <c r="X58" i="15"/>
  <c r="AD58" i="15"/>
  <c r="AJ58" i="15"/>
  <c r="M57" i="15"/>
  <c r="AP57" i="15"/>
  <c r="X57" i="15"/>
  <c r="AD57" i="15"/>
  <c r="AJ57" i="15"/>
  <c r="AL56" i="15"/>
  <c r="AF56" i="15"/>
  <c r="Z56" i="15"/>
  <c r="AS56" i="15"/>
  <c r="P56" i="15"/>
  <c r="M56" i="15"/>
  <c r="AP56" i="15"/>
  <c r="X56" i="15"/>
  <c r="AD56" i="15"/>
  <c r="AJ56" i="15"/>
  <c r="M55" i="15"/>
  <c r="AP55" i="15"/>
  <c r="X55" i="15"/>
  <c r="AD55" i="15"/>
  <c r="AJ55" i="15"/>
  <c r="C55" i="15"/>
  <c r="AL54" i="15"/>
  <c r="AF54" i="15"/>
  <c r="Z54" i="15"/>
  <c r="AS54" i="15"/>
  <c r="P54" i="15"/>
  <c r="M54" i="15"/>
  <c r="AP54" i="15"/>
  <c r="X54" i="15"/>
  <c r="AD54" i="15"/>
  <c r="AJ54" i="15"/>
  <c r="M53" i="15"/>
  <c r="AP53" i="15"/>
  <c r="X53" i="15"/>
  <c r="AD53" i="15"/>
  <c r="AJ53" i="15"/>
  <c r="AL52" i="15"/>
  <c r="AF52" i="15"/>
  <c r="Z52" i="15"/>
  <c r="M52" i="15"/>
  <c r="AP52" i="15"/>
  <c r="X52" i="15"/>
  <c r="AD52" i="15"/>
  <c r="AJ52" i="15"/>
  <c r="AS52" i="15"/>
  <c r="P52" i="15"/>
  <c r="M51" i="15"/>
  <c r="AP51" i="15"/>
  <c r="X51" i="15"/>
  <c r="AD51" i="15"/>
  <c r="AJ51" i="15"/>
  <c r="AL50" i="15"/>
  <c r="AF50" i="15"/>
  <c r="Z50" i="15"/>
  <c r="AS50" i="15"/>
  <c r="AP84" i="15"/>
  <c r="P50" i="15"/>
  <c r="M49" i="15"/>
  <c r="AP49" i="15"/>
  <c r="BN32" i="1"/>
  <c r="BN31" i="1"/>
  <c r="BO32" i="1"/>
  <c r="BD32" i="1"/>
  <c r="BD31" i="1"/>
  <c r="BE32" i="1"/>
  <c r="AQ32" i="1"/>
  <c r="AL32" i="1"/>
  <c r="AG32" i="1"/>
  <c r="AD32" i="1"/>
  <c r="AQ31" i="1"/>
  <c r="AL31" i="1"/>
  <c r="AG31" i="1"/>
  <c r="AH32" i="1"/>
  <c r="AD31" i="1"/>
  <c r="AE32" i="1"/>
  <c r="S31" i="1"/>
  <c r="BQ29" i="1"/>
  <c r="BO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T29" i="1"/>
  <c r="AS29" i="1"/>
  <c r="AQ29" i="1"/>
  <c r="AP29" i="1"/>
  <c r="AO29" i="1"/>
  <c r="AN29" i="1"/>
  <c r="AL29" i="1"/>
  <c r="AK29" i="1"/>
  <c r="AJ29" i="1"/>
  <c r="AI29" i="1"/>
  <c r="AH29" i="1"/>
  <c r="AG29" i="1"/>
  <c r="AF29" i="1"/>
  <c r="AE29" i="1"/>
  <c r="AD29" i="1"/>
  <c r="AC29" i="1"/>
  <c r="AB29" i="1"/>
  <c r="Z29" i="1"/>
  <c r="Y29" i="1"/>
  <c r="X29" i="1"/>
  <c r="W29" i="1"/>
  <c r="V29" i="1"/>
  <c r="U29" i="1"/>
  <c r="S29" i="1"/>
  <c r="Q29" i="1"/>
  <c r="N29" i="1"/>
  <c r="I29" i="1"/>
  <c r="H29" i="1"/>
  <c r="B25" i="1"/>
  <c r="BP21" i="1"/>
  <c r="B21" i="1"/>
  <c r="BP18" i="1"/>
  <c r="B18" i="1"/>
  <c r="B37" i="15"/>
  <c r="BP2" i="1"/>
  <c r="M6" i="22"/>
  <c r="I13" i="1"/>
  <c r="P6" i="19"/>
  <c r="Q6" i="19"/>
  <c r="S6" i="19"/>
  <c r="P7" i="19"/>
  <c r="Q7" i="19"/>
  <c r="S7" i="19"/>
  <c r="P8" i="19"/>
  <c r="Q8" i="19"/>
  <c r="S8" i="19"/>
  <c r="P9" i="19"/>
  <c r="Q9" i="19"/>
  <c r="S9" i="19"/>
  <c r="P10" i="19"/>
  <c r="Q10" i="19"/>
  <c r="S10" i="19"/>
  <c r="P11" i="19"/>
  <c r="Q11" i="19"/>
  <c r="S11" i="19"/>
  <c r="P3" i="19"/>
  <c r="Q3" i="19"/>
  <c r="S3" i="19"/>
  <c r="P4" i="19"/>
  <c r="Q4" i="19"/>
  <c r="S4" i="19"/>
  <c r="P5" i="19"/>
  <c r="Q5" i="19"/>
  <c r="S5" i="19"/>
  <c r="P12" i="19"/>
  <c r="Q12" i="19"/>
  <c r="S12" i="19"/>
  <c r="P13" i="19"/>
  <c r="Q13" i="19"/>
  <c r="S13" i="19"/>
  <c r="P14" i="19"/>
  <c r="Q14" i="19"/>
  <c r="S14" i="19"/>
  <c r="P15" i="19"/>
  <c r="Q15" i="19"/>
  <c r="S15" i="19"/>
  <c r="S16" i="19"/>
  <c r="S16" i="1"/>
  <c r="S15" i="1"/>
  <c r="T16" i="1"/>
  <c r="N13" i="1"/>
  <c r="E6" i="19"/>
  <c r="F6" i="19"/>
  <c r="H6" i="19"/>
  <c r="E7" i="19"/>
  <c r="F7" i="19"/>
  <c r="H7" i="19"/>
  <c r="E8" i="19"/>
  <c r="F8" i="19"/>
  <c r="H8" i="19"/>
  <c r="E9" i="19"/>
  <c r="F9" i="19"/>
  <c r="H9" i="19"/>
  <c r="E10" i="19"/>
  <c r="F10" i="19"/>
  <c r="H10" i="19"/>
  <c r="E11" i="19"/>
  <c r="F11" i="19"/>
  <c r="H11" i="19"/>
  <c r="E3" i="19"/>
  <c r="F3" i="19"/>
  <c r="H3" i="19"/>
  <c r="E4" i="19"/>
  <c r="F4" i="19"/>
  <c r="H4" i="19"/>
  <c r="E5" i="19"/>
  <c r="F5" i="19"/>
  <c r="H5" i="19"/>
  <c r="E12" i="19"/>
  <c r="F12" i="19"/>
  <c r="H12" i="19"/>
  <c r="E13" i="19"/>
  <c r="F13" i="19"/>
  <c r="H13" i="19"/>
  <c r="E14" i="19"/>
  <c r="F14" i="19"/>
  <c r="H14" i="19"/>
  <c r="E15" i="19"/>
  <c r="F15" i="19"/>
  <c r="H15" i="19"/>
  <c r="H16" i="19"/>
  <c r="O13" i="1"/>
  <c r="AA6" i="19"/>
  <c r="AB6" i="19"/>
  <c r="AA7" i="19"/>
  <c r="AB7" i="19"/>
  <c r="AA8" i="19"/>
  <c r="AB8" i="19"/>
  <c r="AA9" i="19"/>
  <c r="AB9" i="19"/>
  <c r="AA10" i="19"/>
  <c r="AB10" i="19"/>
  <c r="AA11" i="19"/>
  <c r="AB11" i="19"/>
  <c r="AA3" i="19"/>
  <c r="AB3" i="19"/>
  <c r="AA4" i="19"/>
  <c r="AB4" i="19"/>
  <c r="AA5" i="19"/>
  <c r="AB5" i="19"/>
  <c r="AA12" i="19"/>
  <c r="AB12" i="19"/>
  <c r="AA13" i="19"/>
  <c r="AB13" i="19"/>
  <c r="AA14" i="19"/>
  <c r="AB14" i="19"/>
  <c r="AA15" i="19"/>
  <c r="AB15" i="19"/>
  <c r="AB16" i="19"/>
  <c r="P13" i="1"/>
  <c r="E4" i="22"/>
  <c r="F4" i="22"/>
  <c r="E5" i="22"/>
  <c r="F5" i="22"/>
  <c r="E6" i="22"/>
  <c r="F6" i="22"/>
  <c r="E7" i="22"/>
  <c r="F7" i="22"/>
  <c r="F8" i="22"/>
  <c r="S13" i="1"/>
  <c r="P4" i="22"/>
  <c r="Q4" i="22"/>
  <c r="P5" i="22"/>
  <c r="Q5" i="22"/>
  <c r="P6" i="22"/>
  <c r="Q6" i="22"/>
  <c r="P7" i="22"/>
  <c r="Q7" i="22"/>
  <c r="Q8" i="22"/>
  <c r="Q13" i="1"/>
  <c r="BD16" i="1"/>
  <c r="Q9" i="22"/>
  <c r="Q10" i="22"/>
  <c r="Q11" i="22"/>
  <c r="Q12" i="22"/>
  <c r="P8" i="22"/>
  <c r="P9" i="22"/>
  <c r="P10" i="22"/>
  <c r="P11" i="22"/>
  <c r="P12" i="22"/>
  <c r="P13" i="22"/>
  <c r="F9" i="22"/>
  <c r="F10" i="22"/>
  <c r="F11" i="22"/>
  <c r="F12" i="22"/>
  <c r="E8" i="22"/>
  <c r="E9" i="22"/>
  <c r="E10" i="22"/>
  <c r="E11" i="22"/>
  <c r="E12" i="22"/>
  <c r="E13" i="22"/>
  <c r="N12" i="22"/>
  <c r="M12" i="22"/>
  <c r="N11" i="22"/>
  <c r="M11" i="22"/>
  <c r="M10" i="22"/>
  <c r="M9" i="22"/>
  <c r="M8" i="22"/>
  <c r="M7" i="22"/>
  <c r="M5" i="22"/>
  <c r="M4" i="22"/>
  <c r="H2" i="23"/>
  <c r="H3" i="23"/>
  <c r="H4" i="23"/>
  <c r="H5" i="23"/>
  <c r="H12" i="23"/>
  <c r="H13" i="23"/>
  <c r="H14" i="23"/>
  <c r="I14" i="23"/>
  <c r="J2" i="23"/>
  <c r="J3" i="23"/>
  <c r="J4" i="23"/>
  <c r="J5" i="23"/>
  <c r="E12" i="23"/>
  <c r="J12" i="23"/>
  <c r="E13" i="23"/>
  <c r="J13" i="23"/>
  <c r="J14" i="23"/>
  <c r="G14" i="23"/>
  <c r="K14" i="23"/>
  <c r="E6" i="23"/>
  <c r="E7" i="23"/>
  <c r="E8" i="23"/>
  <c r="E9" i="23"/>
  <c r="E10" i="23"/>
  <c r="E11" i="23"/>
  <c r="E14" i="23"/>
  <c r="AD3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C16" i="19"/>
  <c r="AF3" i="19"/>
  <c r="AF4" i="19"/>
  <c r="AF5" i="19"/>
  <c r="AF6" i="19"/>
  <c r="AF7" i="19"/>
  <c r="AF8" i="19"/>
  <c r="AF9" i="19"/>
  <c r="AF10" i="19"/>
  <c r="AF11" i="19"/>
  <c r="AF12" i="19"/>
  <c r="AF13" i="19"/>
  <c r="AF14" i="19"/>
  <c r="AF15" i="19"/>
  <c r="AF16" i="19"/>
  <c r="AG16" i="19"/>
  <c r="AH16" i="19"/>
  <c r="AE16" i="19"/>
  <c r="AA16" i="19"/>
  <c r="R16" i="19"/>
  <c r="U3" i="19"/>
  <c r="U4" i="19"/>
  <c r="U5" i="19"/>
  <c r="U6" i="19"/>
  <c r="U7" i="19"/>
  <c r="U8" i="19"/>
  <c r="U9" i="19"/>
  <c r="U10" i="19"/>
  <c r="U11" i="19"/>
  <c r="U12" i="19"/>
  <c r="U13" i="19"/>
  <c r="U14" i="19"/>
  <c r="U15" i="19"/>
  <c r="U16" i="19"/>
  <c r="V16" i="19"/>
  <c r="W16" i="19"/>
  <c r="T16" i="19"/>
  <c r="Q16" i="19"/>
  <c r="P16" i="19"/>
  <c r="G16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K16" i="19"/>
  <c r="L16" i="19"/>
  <c r="I16" i="19"/>
  <c r="F16" i="19"/>
  <c r="E16" i="19"/>
  <c r="B2" i="1"/>
  <c r="AQ15" i="1"/>
  <c r="BD15" i="1"/>
  <c r="BE16" i="1"/>
  <c r="AL16" i="1"/>
  <c r="AL15" i="1"/>
  <c r="AN16" i="1"/>
  <c r="BN16" i="1"/>
  <c r="BN15" i="1"/>
  <c r="BO16" i="1"/>
  <c r="AQ16" i="1"/>
  <c r="AG16" i="1"/>
  <c r="AG15" i="1"/>
  <c r="AD15" i="1"/>
  <c r="AD16" i="1"/>
  <c r="AE16" i="1"/>
  <c r="L15" i="1"/>
  <c r="BQ13" i="1"/>
  <c r="BO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AS13" i="1"/>
  <c r="AQ13" i="1"/>
  <c r="AP13" i="1"/>
  <c r="AO13" i="1"/>
  <c r="BA13" i="1"/>
  <c r="AZ13" i="1"/>
  <c r="AY13" i="1"/>
  <c r="AN13" i="1"/>
  <c r="AL13" i="1"/>
  <c r="AK13" i="1"/>
  <c r="AX13" i="1"/>
  <c r="AW13" i="1"/>
  <c r="AV13" i="1"/>
  <c r="AJ13" i="1"/>
  <c r="AI13" i="1"/>
  <c r="AT13" i="1"/>
  <c r="AH13" i="1"/>
  <c r="AG13" i="1"/>
  <c r="AF13" i="1"/>
  <c r="AE13" i="1"/>
  <c r="AD13" i="1"/>
  <c r="AC13" i="1"/>
  <c r="Z13" i="1"/>
  <c r="Y13" i="1"/>
  <c r="X13" i="1"/>
  <c r="W13" i="1"/>
  <c r="V13" i="1"/>
  <c r="U13" i="1"/>
  <c r="B10" i="1"/>
  <c r="B9" i="1"/>
  <c r="BP5" i="1"/>
  <c r="B5" i="1"/>
  <c r="AB13" i="1"/>
  <c r="E15" i="14"/>
  <c r="E14" i="14"/>
  <c r="E13" i="14"/>
  <c r="E12" i="14"/>
  <c r="E11" i="14"/>
  <c r="E10" i="14"/>
  <c r="E16" i="14"/>
  <c r="M37" i="15"/>
  <c r="AP37" i="15"/>
  <c r="X37" i="15"/>
  <c r="AD37" i="15"/>
  <c r="AJ37" i="15"/>
  <c r="R41" i="15"/>
  <c r="AX41" i="15"/>
  <c r="AW41" i="15"/>
  <c r="AV41" i="15"/>
  <c r="AU41" i="15"/>
  <c r="U41" i="15"/>
  <c r="T41" i="15"/>
  <c r="S41" i="15"/>
  <c r="J41" i="15"/>
  <c r="I41" i="15"/>
  <c r="H41" i="15"/>
  <c r="E40" i="15"/>
  <c r="AL39" i="15"/>
  <c r="AF39" i="15"/>
  <c r="Z39" i="15"/>
  <c r="AS39" i="15"/>
  <c r="P39" i="15"/>
  <c r="E39" i="15"/>
  <c r="E38" i="15"/>
  <c r="AL37" i="15"/>
  <c r="AF37" i="15"/>
  <c r="Z37" i="15"/>
  <c r="AS37" i="15"/>
  <c r="P37" i="15"/>
  <c r="E37" i="15"/>
  <c r="E36" i="15"/>
  <c r="AL35" i="15"/>
  <c r="AF35" i="15"/>
  <c r="C35" i="15"/>
  <c r="Z35" i="15"/>
  <c r="M35" i="15"/>
  <c r="AP35" i="15"/>
  <c r="X35" i="15"/>
  <c r="AD35" i="15"/>
  <c r="AJ35" i="15"/>
  <c r="AS35" i="15"/>
  <c r="P35" i="15"/>
  <c r="E35" i="15"/>
  <c r="C33" i="15"/>
  <c r="E34" i="15"/>
  <c r="AL33" i="15"/>
  <c r="AF33" i="15"/>
  <c r="Z33" i="15"/>
  <c r="AS33" i="15"/>
  <c r="M33" i="15"/>
  <c r="AP33" i="15"/>
  <c r="X33" i="15"/>
  <c r="AD33" i="15"/>
  <c r="AJ33" i="15"/>
  <c r="P33" i="15"/>
  <c r="E33" i="15"/>
  <c r="E32" i="15"/>
  <c r="AL31" i="15"/>
  <c r="AF31" i="15"/>
  <c r="Z31" i="15"/>
  <c r="AS31" i="15"/>
  <c r="P31" i="15"/>
  <c r="M31" i="15"/>
  <c r="AP31" i="15"/>
  <c r="X31" i="15"/>
  <c r="AD31" i="15"/>
  <c r="AJ31" i="15"/>
  <c r="C31" i="15"/>
  <c r="E31" i="15"/>
  <c r="E30" i="15"/>
  <c r="AL29" i="15"/>
  <c r="AF29" i="15"/>
  <c r="C29" i="15"/>
  <c r="Z29" i="15"/>
  <c r="M29" i="15"/>
  <c r="AP29" i="15"/>
  <c r="X29" i="15"/>
  <c r="AD29" i="15"/>
  <c r="AJ29" i="15"/>
  <c r="AS29" i="15"/>
  <c r="P29" i="15"/>
  <c r="E29" i="15"/>
  <c r="E28" i="15"/>
  <c r="AL27" i="15"/>
  <c r="AF27" i="15"/>
  <c r="AD27" i="15"/>
  <c r="AJ27" i="15"/>
  <c r="Z27" i="15"/>
  <c r="AS27" i="15"/>
  <c r="M27" i="15"/>
  <c r="AP27" i="15"/>
  <c r="P27" i="15"/>
  <c r="E27" i="15"/>
  <c r="M26" i="15"/>
  <c r="E26" i="15"/>
  <c r="AL25" i="15"/>
  <c r="AF25" i="15"/>
  <c r="Z25" i="15"/>
  <c r="AS25" i="15"/>
  <c r="P25" i="15"/>
  <c r="M25" i="15"/>
  <c r="AP25" i="15"/>
  <c r="X25" i="15"/>
  <c r="AD25" i="15"/>
  <c r="AJ25" i="15"/>
  <c r="E25" i="15"/>
  <c r="E24" i="15"/>
  <c r="AL23" i="15"/>
  <c r="AF23" i="15"/>
  <c r="Z23" i="15"/>
  <c r="AS23" i="15"/>
  <c r="P23" i="15"/>
  <c r="M23" i="15"/>
  <c r="AP23" i="15"/>
  <c r="X23" i="15"/>
  <c r="AD23" i="15"/>
  <c r="AJ23" i="15"/>
  <c r="E23" i="15"/>
  <c r="AL22" i="15"/>
  <c r="AL6" i="15"/>
  <c r="AL8" i="15"/>
  <c r="AL10" i="15"/>
  <c r="AL12" i="15"/>
  <c r="AL14" i="15"/>
  <c r="AL16" i="15"/>
  <c r="AJ40" i="15"/>
  <c r="AF22" i="15"/>
  <c r="Z22" i="15"/>
  <c r="Z6" i="15"/>
  <c r="Z8" i="15"/>
  <c r="Z10" i="15"/>
  <c r="Z12" i="15"/>
  <c r="Z14" i="15"/>
  <c r="Z16" i="15"/>
  <c r="Z21" i="15"/>
  <c r="Z41" i="15"/>
  <c r="Z43" i="15"/>
  <c r="AA43" i="15"/>
  <c r="AS22" i="15"/>
  <c r="AS6" i="15"/>
  <c r="AS8" i="15"/>
  <c r="AS10" i="15"/>
  <c r="AS12" i="15"/>
  <c r="AS14" i="15"/>
  <c r="AS16" i="15"/>
  <c r="AS21" i="15"/>
  <c r="AS41" i="15"/>
  <c r="AS43" i="15"/>
  <c r="AT43" i="15"/>
  <c r="P22" i="15"/>
  <c r="P6" i="15"/>
  <c r="P8" i="15"/>
  <c r="P10" i="15"/>
  <c r="P12" i="15"/>
  <c r="P14" i="15"/>
  <c r="P16" i="15"/>
  <c r="M40" i="15"/>
  <c r="E22" i="15"/>
  <c r="AL21" i="15"/>
  <c r="AF21" i="15"/>
  <c r="AD39" i="15"/>
  <c r="AP39" i="15"/>
  <c r="M21" i="15"/>
  <c r="AP21" i="15"/>
  <c r="X21" i="15"/>
  <c r="AD21" i="15"/>
  <c r="AJ21" i="15"/>
  <c r="P21" i="15"/>
  <c r="M39" i="15"/>
  <c r="E21" i="15"/>
  <c r="B39" i="15"/>
  <c r="M17" i="15"/>
  <c r="AP17" i="15"/>
  <c r="X17" i="15"/>
  <c r="AD17" i="15"/>
  <c r="AJ17" i="15"/>
  <c r="AF16" i="15"/>
  <c r="M16" i="15"/>
  <c r="AP16" i="15"/>
  <c r="X16" i="15"/>
  <c r="AD16" i="15"/>
  <c r="AJ16" i="15"/>
  <c r="M15" i="15"/>
  <c r="AP15" i="15"/>
  <c r="X15" i="15"/>
  <c r="AD15" i="15"/>
  <c r="AJ15" i="15"/>
  <c r="AF14" i="15"/>
  <c r="M14" i="15"/>
  <c r="AP14" i="15"/>
  <c r="X14" i="15"/>
  <c r="AD14" i="15"/>
  <c r="AJ14" i="15"/>
  <c r="M13" i="15"/>
  <c r="AP13" i="15"/>
  <c r="X13" i="15"/>
  <c r="AD13" i="15"/>
  <c r="AJ13" i="15"/>
  <c r="AF12" i="15"/>
  <c r="M12" i="15"/>
  <c r="AP12" i="15"/>
  <c r="X12" i="15"/>
  <c r="AD12" i="15"/>
  <c r="AJ12" i="15"/>
  <c r="M11" i="15"/>
  <c r="AP11" i="15"/>
  <c r="X11" i="15"/>
  <c r="AD11" i="15"/>
  <c r="AJ11" i="15"/>
  <c r="AF10" i="15"/>
  <c r="M10" i="15"/>
  <c r="AP10" i="15"/>
  <c r="X10" i="15"/>
  <c r="AD10" i="15"/>
  <c r="AJ10" i="15"/>
  <c r="M9" i="15"/>
  <c r="AP9" i="15"/>
  <c r="X9" i="15"/>
  <c r="AD9" i="15"/>
  <c r="AJ9" i="15"/>
  <c r="AF8" i="15"/>
  <c r="M8" i="15"/>
  <c r="AP8" i="15"/>
  <c r="X8" i="15"/>
  <c r="AD8" i="15"/>
  <c r="AJ8" i="15"/>
  <c r="M7" i="15"/>
  <c r="AP7" i="15"/>
  <c r="X7" i="15"/>
  <c r="AD7" i="15"/>
  <c r="AJ7" i="15"/>
  <c r="AF6" i="15"/>
  <c r="M5" i="15"/>
  <c r="AP5" i="15"/>
  <c r="D13" i="17"/>
  <c r="D14" i="17"/>
  <c r="I9" i="20"/>
  <c r="H8" i="20"/>
  <c r="J8" i="20"/>
  <c r="H5" i="20"/>
  <c r="J5" i="20"/>
  <c r="E126" i="26"/>
  <c r="F126" i="26"/>
  <c r="E127" i="26"/>
  <c r="F127" i="26"/>
  <c r="E128" i="26"/>
  <c r="F128" i="26"/>
  <c r="E129" i="26"/>
  <c r="F129" i="26"/>
  <c r="F130" i="26"/>
  <c r="E131" i="26"/>
  <c r="F131" i="26"/>
  <c r="F134" i="26"/>
  <c r="F135" i="26"/>
  <c r="E135" i="26"/>
  <c r="E134" i="26"/>
  <c r="E133" i="26"/>
  <c r="F133" i="26"/>
  <c r="F136" i="26"/>
  <c r="E132" i="26"/>
  <c r="F132" i="26"/>
  <c r="E130" i="26"/>
  <c r="E116" i="26"/>
  <c r="F116" i="26"/>
  <c r="D136" i="41"/>
  <c r="E136" i="41"/>
  <c r="D137" i="41"/>
  <c r="E137" i="41"/>
  <c r="D131" i="41"/>
  <c r="E131" i="41"/>
  <c r="D132" i="41"/>
  <c r="E132" i="41"/>
  <c r="D133" i="41"/>
  <c r="E133" i="41"/>
  <c r="D134" i="41"/>
  <c r="E134" i="41"/>
  <c r="D135" i="41"/>
  <c r="E135" i="41"/>
  <c r="E138" i="41"/>
  <c r="E143" i="41"/>
  <c r="E139" i="41"/>
  <c r="E140" i="41"/>
  <c r="E141" i="41"/>
  <c r="E142" i="41"/>
  <c r="D115" i="41"/>
  <c r="E115" i="41"/>
  <c r="D116" i="41"/>
  <c r="E116" i="41"/>
  <c r="D117" i="41"/>
  <c r="E117" i="41"/>
  <c r="D118" i="41"/>
  <c r="E118" i="41"/>
  <c r="D119" i="41"/>
  <c r="E119" i="41"/>
  <c r="D120" i="41"/>
  <c r="E120" i="41"/>
  <c r="D121" i="41"/>
  <c r="E121" i="41"/>
  <c r="D122" i="41"/>
  <c r="E122" i="41"/>
  <c r="D123" i="41"/>
  <c r="E123" i="41"/>
  <c r="D124" i="41"/>
  <c r="E124" i="41"/>
  <c r="D125" i="41"/>
  <c r="E125" i="41"/>
  <c r="E126" i="41"/>
  <c r="E127" i="41"/>
  <c r="E113" i="26"/>
  <c r="F113" i="26"/>
  <c r="E114" i="26"/>
  <c r="F114" i="26"/>
  <c r="E115" i="26"/>
  <c r="F115" i="26"/>
  <c r="E112" i="26"/>
  <c r="F112" i="26"/>
  <c r="F118" i="26"/>
  <c r="F119" i="26"/>
  <c r="F120" i="26"/>
  <c r="F121" i="26"/>
  <c r="F105" i="26"/>
  <c r="F106" i="26"/>
  <c r="E98" i="26"/>
  <c r="F98" i="26"/>
  <c r="F99" i="26"/>
  <c r="F100" i="26"/>
  <c r="F101" i="26"/>
  <c r="F102" i="26"/>
  <c r="F103" i="26"/>
  <c r="F104" i="26"/>
  <c r="F108" i="26"/>
  <c r="E105" i="26"/>
  <c r="E106" i="26"/>
  <c r="E107" i="26"/>
  <c r="E117" i="26"/>
  <c r="F117" i="26"/>
  <c r="F122" i="26"/>
  <c r="E118" i="26"/>
  <c r="E119" i="26"/>
  <c r="E120" i="26"/>
  <c r="E121" i="26"/>
  <c r="D141" i="41"/>
  <c r="D142" i="41"/>
  <c r="D138" i="41"/>
  <c r="D143" i="41"/>
  <c r="D139" i="41"/>
  <c r="D140" i="41"/>
  <c r="F107" i="26"/>
  <c r="E99" i="26"/>
  <c r="E100" i="26"/>
  <c r="E101" i="26"/>
  <c r="E102" i="26"/>
  <c r="E103" i="26"/>
  <c r="E104" i="26"/>
  <c r="J94" i="6"/>
  <c r="F94" i="6"/>
  <c r="J91" i="6"/>
  <c r="I91" i="6"/>
  <c r="E91" i="6"/>
  <c r="F91" i="6"/>
  <c r="E409" i="16"/>
  <c r="F409" i="16"/>
  <c r="E410" i="16"/>
  <c r="F410" i="16"/>
  <c r="E411" i="16"/>
  <c r="F411" i="16"/>
  <c r="E412" i="16"/>
  <c r="F412" i="16"/>
  <c r="F413" i="16"/>
  <c r="F416" i="16"/>
  <c r="P408" i="16"/>
  <c r="Q408" i="16"/>
  <c r="P409" i="16"/>
  <c r="Q409" i="16"/>
  <c r="P410" i="16"/>
  <c r="Q410" i="16"/>
  <c r="P411" i="16"/>
  <c r="Q411" i="16"/>
  <c r="P412" i="16"/>
  <c r="Q412" i="16"/>
  <c r="Q413" i="16"/>
  <c r="Q416" i="16"/>
  <c r="D99" i="41"/>
  <c r="E99" i="41"/>
  <c r="D100" i="41"/>
  <c r="E100" i="41"/>
  <c r="D101" i="41"/>
  <c r="E101" i="41"/>
  <c r="D102" i="41"/>
  <c r="E102" i="41"/>
  <c r="D103" i="41"/>
  <c r="E103" i="41"/>
  <c r="D104" i="41"/>
  <c r="E104" i="41"/>
  <c r="D105" i="41"/>
  <c r="E105" i="41"/>
  <c r="D106" i="41"/>
  <c r="E106" i="41"/>
  <c r="D107" i="41"/>
  <c r="E107" i="41"/>
  <c r="D108" i="41"/>
  <c r="E108" i="41"/>
  <c r="D109" i="41"/>
  <c r="E109" i="41"/>
  <c r="D110" i="41"/>
  <c r="E110" i="41"/>
  <c r="E111" i="41"/>
  <c r="E68" i="26"/>
  <c r="F68" i="26"/>
  <c r="H68" i="26"/>
  <c r="E69" i="26"/>
  <c r="F69" i="26"/>
  <c r="H69" i="26"/>
  <c r="E70" i="26"/>
  <c r="F70" i="26"/>
  <c r="H70" i="26"/>
  <c r="E71" i="26"/>
  <c r="F71" i="26"/>
  <c r="H71" i="26"/>
  <c r="E72" i="26"/>
  <c r="F72" i="26"/>
  <c r="H72" i="26"/>
  <c r="E73" i="26"/>
  <c r="F73" i="26"/>
  <c r="H73" i="26"/>
  <c r="H74" i="26"/>
  <c r="E78" i="26"/>
  <c r="F78" i="26"/>
  <c r="H78" i="26"/>
  <c r="E79" i="26"/>
  <c r="F79" i="26"/>
  <c r="H79" i="26"/>
  <c r="E80" i="26"/>
  <c r="F80" i="26"/>
  <c r="H80" i="26"/>
  <c r="E81" i="26"/>
  <c r="F81" i="26"/>
  <c r="H81" i="26"/>
  <c r="E82" i="26"/>
  <c r="F82" i="26"/>
  <c r="H82" i="26"/>
  <c r="E83" i="26"/>
  <c r="F83" i="26"/>
  <c r="H83" i="26"/>
  <c r="H84" i="26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E26" i="41"/>
  <c r="E27" i="41"/>
  <c r="E28" i="41"/>
  <c r="E29" i="41"/>
  <c r="D33" i="41"/>
  <c r="E33" i="41"/>
  <c r="D34" i="41"/>
  <c r="E34" i="41"/>
  <c r="D35" i="41"/>
  <c r="E35" i="41"/>
  <c r="D36" i="41"/>
  <c r="E36" i="41"/>
  <c r="D37" i="41"/>
  <c r="E37" i="41"/>
  <c r="D38" i="41"/>
  <c r="E38" i="41"/>
  <c r="E39" i="41"/>
  <c r="E40" i="41"/>
  <c r="E41" i="41"/>
  <c r="E42" i="41"/>
  <c r="E43" i="41"/>
  <c r="D47" i="41"/>
  <c r="E47" i="41"/>
  <c r="D48" i="41"/>
  <c r="E48" i="41"/>
  <c r="D49" i="41"/>
  <c r="E49" i="41"/>
  <c r="D50" i="41"/>
  <c r="E50" i="41"/>
  <c r="D51" i="41"/>
  <c r="E51" i="41"/>
  <c r="D52" i="41"/>
  <c r="E52" i="41"/>
  <c r="E53" i="41"/>
  <c r="E54" i="41"/>
  <c r="E55" i="41"/>
  <c r="E56" i="41"/>
  <c r="E57" i="41"/>
  <c r="D61" i="41"/>
  <c r="E61" i="41"/>
  <c r="D62" i="41"/>
  <c r="E62" i="41"/>
  <c r="D63" i="41"/>
  <c r="E63" i="41"/>
  <c r="D64" i="41"/>
  <c r="E64" i="41"/>
  <c r="D65" i="41"/>
  <c r="E65" i="41"/>
  <c r="D66" i="41"/>
  <c r="E66" i="41"/>
  <c r="D67" i="41"/>
  <c r="E67" i="41"/>
  <c r="D68" i="41"/>
  <c r="E68" i="41"/>
  <c r="E69" i="41"/>
  <c r="E70" i="41"/>
  <c r="E71" i="41"/>
  <c r="E38" i="26"/>
  <c r="F38" i="26"/>
  <c r="H38" i="26"/>
  <c r="E39" i="26"/>
  <c r="F39" i="26"/>
  <c r="H39" i="26"/>
  <c r="E40" i="26"/>
  <c r="F40" i="26"/>
  <c r="H40" i="26"/>
  <c r="E41" i="26"/>
  <c r="F41" i="26"/>
  <c r="H41" i="26"/>
  <c r="E42" i="26"/>
  <c r="F42" i="26"/>
  <c r="H42" i="26"/>
  <c r="E43" i="26"/>
  <c r="F43" i="26"/>
  <c r="H43" i="26"/>
  <c r="H44" i="26"/>
  <c r="D75" i="41"/>
  <c r="E75" i="41"/>
  <c r="D76" i="41"/>
  <c r="E76" i="41"/>
  <c r="D77" i="41"/>
  <c r="E77" i="41"/>
  <c r="D78" i="41"/>
  <c r="E78" i="41"/>
  <c r="D79" i="41"/>
  <c r="E79" i="41"/>
  <c r="E80" i="41"/>
  <c r="E81" i="41"/>
  <c r="E82" i="41"/>
  <c r="E83" i="41"/>
  <c r="D87" i="41"/>
  <c r="E87" i="41"/>
  <c r="D88" i="41"/>
  <c r="E88" i="41"/>
  <c r="D89" i="41"/>
  <c r="E89" i="41"/>
  <c r="D90" i="41"/>
  <c r="E90" i="41"/>
  <c r="D91" i="41"/>
  <c r="E91" i="41"/>
  <c r="D92" i="41"/>
  <c r="E92" i="41"/>
  <c r="D93" i="41"/>
  <c r="E93" i="41"/>
  <c r="D94" i="41"/>
  <c r="E94" i="41"/>
  <c r="E95" i="41"/>
  <c r="E58" i="26"/>
  <c r="F58" i="26"/>
  <c r="H58" i="26"/>
  <c r="E59" i="26"/>
  <c r="F59" i="26"/>
  <c r="H59" i="26"/>
  <c r="E60" i="26"/>
  <c r="F60" i="26"/>
  <c r="H60" i="26"/>
  <c r="E61" i="26"/>
  <c r="F61" i="26"/>
  <c r="H61" i="26"/>
  <c r="E62" i="26"/>
  <c r="F62" i="26"/>
  <c r="H62" i="26"/>
  <c r="E63" i="26"/>
  <c r="F63" i="26"/>
  <c r="H63" i="26"/>
  <c r="H64" i="26"/>
  <c r="E408" i="16"/>
  <c r="F408" i="16"/>
  <c r="M408" i="16"/>
  <c r="M409" i="16"/>
  <c r="M410" i="16"/>
  <c r="M411" i="16"/>
  <c r="M412" i="16"/>
  <c r="E413" i="16"/>
  <c r="M413" i="16"/>
  <c r="P413" i="16"/>
  <c r="E414" i="16"/>
  <c r="F414" i="16"/>
  <c r="M414" i="16"/>
  <c r="P414" i="16"/>
  <c r="Q414" i="16"/>
  <c r="E415" i="16"/>
  <c r="F415" i="16"/>
  <c r="M415" i="16"/>
  <c r="P415" i="16"/>
  <c r="Q415" i="16"/>
  <c r="E416" i="16"/>
  <c r="P416" i="16"/>
  <c r="D126" i="41"/>
  <c r="D127" i="41"/>
  <c r="E401" i="16"/>
  <c r="F401" i="16"/>
  <c r="F402" i="16"/>
  <c r="F404" i="16"/>
  <c r="P401" i="16"/>
  <c r="Q401" i="16"/>
  <c r="Q402" i="16"/>
  <c r="Q404" i="16"/>
  <c r="D111" i="41"/>
  <c r="E399" i="16"/>
  <c r="F399" i="16"/>
  <c r="P399" i="16"/>
  <c r="Q399" i="16"/>
  <c r="P396" i="16"/>
  <c r="Q396" i="16"/>
  <c r="P397" i="16"/>
  <c r="Q397" i="16"/>
  <c r="P398" i="16"/>
  <c r="Q398" i="16"/>
  <c r="E396" i="16"/>
  <c r="F396" i="16"/>
  <c r="E397" i="16"/>
  <c r="F397" i="16"/>
  <c r="E398" i="16"/>
  <c r="F398" i="16"/>
  <c r="Q403" i="16"/>
  <c r="P403" i="16"/>
  <c r="M403" i="16"/>
  <c r="F403" i="16"/>
  <c r="E403" i="16"/>
  <c r="P402" i="16"/>
  <c r="M402" i="16"/>
  <c r="E402" i="16"/>
  <c r="P404" i="16"/>
  <c r="M401" i="16"/>
  <c r="P400" i="16"/>
  <c r="Q400" i="16"/>
  <c r="M400" i="16"/>
  <c r="E400" i="16"/>
  <c r="F400" i="16"/>
  <c r="M399" i="16"/>
  <c r="M398" i="16"/>
  <c r="M397" i="16"/>
  <c r="M396" i="16"/>
  <c r="E388" i="16"/>
  <c r="F388" i="16"/>
  <c r="F389" i="16"/>
  <c r="F392" i="16"/>
  <c r="P388" i="16"/>
  <c r="Q388" i="16"/>
  <c r="Q389" i="16"/>
  <c r="Q392" i="16"/>
  <c r="D26" i="41"/>
  <c r="D27" i="41"/>
  <c r="D28" i="41"/>
  <c r="D29" i="41"/>
  <c r="D39" i="41"/>
  <c r="D40" i="41"/>
  <c r="D41" i="41"/>
  <c r="D42" i="41"/>
  <c r="D43" i="41"/>
  <c r="E385" i="16"/>
  <c r="F385" i="16"/>
  <c r="E386" i="16"/>
  <c r="F386" i="16"/>
  <c r="E387" i="16"/>
  <c r="F387" i="16"/>
  <c r="P385" i="16"/>
  <c r="Q385" i="16"/>
  <c r="P386" i="16"/>
  <c r="Q386" i="16"/>
  <c r="P387" i="16"/>
  <c r="Q387" i="16"/>
  <c r="D53" i="41"/>
  <c r="D54" i="41"/>
  <c r="D55" i="41"/>
  <c r="D56" i="41"/>
  <c r="D57" i="41"/>
  <c r="D69" i="41"/>
  <c r="D70" i="41"/>
  <c r="D71" i="41"/>
  <c r="D80" i="41"/>
  <c r="D81" i="41"/>
  <c r="D82" i="41"/>
  <c r="D83" i="41"/>
  <c r="E18" i="26"/>
  <c r="F18" i="26"/>
  <c r="H18" i="26"/>
  <c r="E19" i="26"/>
  <c r="F19" i="26"/>
  <c r="H19" i="26"/>
  <c r="E20" i="26"/>
  <c r="F20" i="26"/>
  <c r="H20" i="26"/>
  <c r="E21" i="26"/>
  <c r="F21" i="26"/>
  <c r="H21" i="26"/>
  <c r="E22" i="26"/>
  <c r="F22" i="26"/>
  <c r="H22" i="26"/>
  <c r="E23" i="26"/>
  <c r="F23" i="26"/>
  <c r="H23" i="26"/>
  <c r="H24" i="26"/>
  <c r="E28" i="26"/>
  <c r="F28" i="26"/>
  <c r="H28" i="26"/>
  <c r="E29" i="26"/>
  <c r="F29" i="26"/>
  <c r="H29" i="26"/>
  <c r="E30" i="26"/>
  <c r="F30" i="26"/>
  <c r="H30" i="26"/>
  <c r="E31" i="26"/>
  <c r="F31" i="26"/>
  <c r="H31" i="26"/>
  <c r="E32" i="26"/>
  <c r="F32" i="26"/>
  <c r="H32" i="26"/>
  <c r="E33" i="26"/>
  <c r="F33" i="26"/>
  <c r="H33" i="26"/>
  <c r="H34" i="26"/>
  <c r="P384" i="16"/>
  <c r="E384" i="16"/>
  <c r="E372" i="16"/>
  <c r="F372" i="16"/>
  <c r="E373" i="16"/>
  <c r="F373" i="16"/>
  <c r="E374" i="16"/>
  <c r="F374" i="16"/>
  <c r="E375" i="16"/>
  <c r="F375" i="16"/>
  <c r="E376" i="16"/>
  <c r="F376" i="16"/>
  <c r="E377" i="16"/>
  <c r="F377" i="16"/>
  <c r="E378" i="16"/>
  <c r="F378" i="16"/>
  <c r="F379" i="16"/>
  <c r="F380" i="16"/>
  <c r="P372" i="16"/>
  <c r="Q372" i="16"/>
  <c r="P373" i="16"/>
  <c r="Q373" i="16"/>
  <c r="P374" i="16"/>
  <c r="Q374" i="16"/>
  <c r="P375" i="16"/>
  <c r="Q375" i="16"/>
  <c r="P376" i="16"/>
  <c r="Q376" i="16"/>
  <c r="P377" i="16"/>
  <c r="Q377" i="16"/>
  <c r="P378" i="16"/>
  <c r="Q378" i="16"/>
  <c r="Q379" i="16"/>
  <c r="Q380" i="16"/>
  <c r="Q384" i="16"/>
  <c r="Q390" i="16"/>
  <c r="Q391" i="16"/>
  <c r="F384" i="16"/>
  <c r="F390" i="16"/>
  <c r="F391" i="16"/>
  <c r="P391" i="16"/>
  <c r="M391" i="16"/>
  <c r="E391" i="16"/>
  <c r="P390" i="16"/>
  <c r="M390" i="16"/>
  <c r="E390" i="16"/>
  <c r="P389" i="16"/>
  <c r="M389" i="16"/>
  <c r="E389" i="16"/>
  <c r="M388" i="16"/>
  <c r="M387" i="16"/>
  <c r="M386" i="16"/>
  <c r="M385" i="16"/>
  <c r="M384" i="16"/>
  <c r="P392" i="16"/>
  <c r="E392" i="16"/>
  <c r="D95" i="41"/>
  <c r="E360" i="16"/>
  <c r="F360" i="16"/>
  <c r="E361" i="16"/>
  <c r="F361" i="16"/>
  <c r="E362" i="16"/>
  <c r="F362" i="16"/>
  <c r="E363" i="16"/>
  <c r="F363" i="16"/>
  <c r="F365" i="16"/>
  <c r="F366" i="16"/>
  <c r="F367" i="16"/>
  <c r="F368" i="16"/>
  <c r="P360" i="16"/>
  <c r="Q360" i="16"/>
  <c r="P361" i="16"/>
  <c r="Q361" i="16"/>
  <c r="P362" i="16"/>
  <c r="Q362" i="16"/>
  <c r="P363" i="16"/>
  <c r="Q363" i="16"/>
  <c r="P364" i="16"/>
  <c r="Q364" i="16"/>
  <c r="Q365" i="16"/>
  <c r="Q366" i="16"/>
  <c r="Q367" i="16"/>
  <c r="Q368" i="16"/>
  <c r="E234" i="16"/>
  <c r="F234" i="16"/>
  <c r="H234" i="16"/>
  <c r="E235" i="16"/>
  <c r="F235" i="16"/>
  <c r="H235" i="16"/>
  <c r="E236" i="16"/>
  <c r="F236" i="16"/>
  <c r="H236" i="16"/>
  <c r="E237" i="16"/>
  <c r="F237" i="16"/>
  <c r="H237" i="16"/>
  <c r="E238" i="16"/>
  <c r="F238" i="16"/>
  <c r="H238" i="16"/>
  <c r="E239" i="16"/>
  <c r="F239" i="16"/>
  <c r="H239" i="16"/>
  <c r="H240" i="16"/>
  <c r="P234" i="16"/>
  <c r="Q234" i="16"/>
  <c r="S234" i="16"/>
  <c r="P235" i="16"/>
  <c r="Q235" i="16"/>
  <c r="S235" i="16"/>
  <c r="P236" i="16"/>
  <c r="Q236" i="16"/>
  <c r="S236" i="16"/>
  <c r="P237" i="16"/>
  <c r="Q237" i="16"/>
  <c r="S237" i="16"/>
  <c r="P238" i="16"/>
  <c r="Q238" i="16"/>
  <c r="S238" i="16"/>
  <c r="P239" i="16"/>
  <c r="Q239" i="16"/>
  <c r="S239" i="16"/>
  <c r="S240" i="16"/>
  <c r="M372" i="16"/>
  <c r="M373" i="16"/>
  <c r="M374" i="16"/>
  <c r="M375" i="16"/>
  <c r="M376" i="16"/>
  <c r="M377" i="16"/>
  <c r="M378" i="16"/>
  <c r="E379" i="16"/>
  <c r="M379" i="16"/>
  <c r="P379" i="16"/>
  <c r="E380" i="16"/>
  <c r="P380" i="16"/>
  <c r="E364" i="16"/>
  <c r="P367" i="16"/>
  <c r="M367" i="16"/>
  <c r="E367" i="16"/>
  <c r="P366" i="16"/>
  <c r="M366" i="16"/>
  <c r="E366" i="16"/>
  <c r="P365" i="16"/>
  <c r="M365" i="16"/>
  <c r="E365" i="16"/>
  <c r="M364" i="16"/>
  <c r="M363" i="16"/>
  <c r="M362" i="16"/>
  <c r="P368" i="16"/>
  <c r="M361" i="16"/>
  <c r="M360" i="16"/>
  <c r="P348" i="16"/>
  <c r="E348" i="16"/>
  <c r="Q348" i="16"/>
  <c r="P349" i="16"/>
  <c r="Q349" i="16"/>
  <c r="P350" i="16"/>
  <c r="Q350" i="16"/>
  <c r="P351" i="16"/>
  <c r="Q351" i="16"/>
  <c r="P352" i="16"/>
  <c r="Q352" i="16"/>
  <c r="P353" i="16"/>
  <c r="Q353" i="16"/>
  <c r="P354" i="16"/>
  <c r="Q354" i="16"/>
  <c r="Q355" i="16"/>
  <c r="Q356" i="16"/>
  <c r="F348" i="16"/>
  <c r="E349" i="16"/>
  <c r="F349" i="16"/>
  <c r="E350" i="16"/>
  <c r="F350" i="16"/>
  <c r="E351" i="16"/>
  <c r="F351" i="16"/>
  <c r="E352" i="16"/>
  <c r="F352" i="16"/>
  <c r="E353" i="16"/>
  <c r="F353" i="16"/>
  <c r="E354" i="16"/>
  <c r="F354" i="16"/>
  <c r="F355" i="16"/>
  <c r="F356" i="16"/>
  <c r="P355" i="16"/>
  <c r="M355" i="16"/>
  <c r="E355" i="16"/>
  <c r="M354" i="16"/>
  <c r="M353" i="16"/>
  <c r="M352" i="16"/>
  <c r="M351" i="16"/>
  <c r="M350" i="16"/>
  <c r="P356" i="16"/>
  <c r="M349" i="16"/>
  <c r="M348" i="16"/>
  <c r="P312" i="16"/>
  <c r="Q312" i="16"/>
  <c r="P313" i="16"/>
  <c r="Q313" i="16"/>
  <c r="P314" i="16"/>
  <c r="Q314" i="16"/>
  <c r="P315" i="16"/>
  <c r="Q315" i="16"/>
  <c r="P316" i="16"/>
  <c r="Q316" i="16"/>
  <c r="P317" i="16"/>
  <c r="Q317" i="16"/>
  <c r="P318" i="16"/>
  <c r="Q318" i="16"/>
  <c r="P319" i="16"/>
  <c r="Q319" i="16"/>
  <c r="Q320" i="16"/>
  <c r="P336" i="16"/>
  <c r="Q336" i="16"/>
  <c r="P337" i="16"/>
  <c r="Q337" i="16"/>
  <c r="P338" i="16"/>
  <c r="Q338" i="16"/>
  <c r="P339" i="16"/>
  <c r="Q339" i="16"/>
  <c r="P340" i="16"/>
  <c r="Q340" i="16"/>
  <c r="P341" i="16"/>
  <c r="Q341" i="16"/>
  <c r="P342" i="16"/>
  <c r="Q342" i="16"/>
  <c r="Q343" i="16"/>
  <c r="Q344" i="16"/>
  <c r="E336" i="16"/>
  <c r="F336" i="16"/>
  <c r="E337" i="16"/>
  <c r="F337" i="16"/>
  <c r="E338" i="16"/>
  <c r="F338" i="16"/>
  <c r="E339" i="16"/>
  <c r="F339" i="16"/>
  <c r="E340" i="16"/>
  <c r="F340" i="16"/>
  <c r="E341" i="16"/>
  <c r="F341" i="16"/>
  <c r="E342" i="16"/>
  <c r="F342" i="16"/>
  <c r="F343" i="16"/>
  <c r="F344" i="16"/>
  <c r="P343" i="16"/>
  <c r="M343" i="16"/>
  <c r="E343" i="16"/>
  <c r="M342" i="16"/>
  <c r="M341" i="16"/>
  <c r="M340" i="16"/>
  <c r="M339" i="16"/>
  <c r="M338" i="16"/>
  <c r="M337" i="16"/>
  <c r="M336" i="16"/>
  <c r="P331" i="16"/>
  <c r="Q331" i="16"/>
  <c r="E331" i="16"/>
  <c r="F331" i="16"/>
  <c r="P330" i="16"/>
  <c r="Q330" i="16"/>
  <c r="E330" i="16"/>
  <c r="F330" i="16"/>
  <c r="E14" i="41"/>
  <c r="D14" i="41"/>
  <c r="D13" i="41"/>
  <c r="E13" i="41"/>
  <c r="D12" i="41"/>
  <c r="E12" i="41"/>
  <c r="D11" i="41"/>
  <c r="E11" i="41"/>
  <c r="D10" i="41"/>
  <c r="E10" i="41"/>
  <c r="D6" i="41"/>
  <c r="D7" i="41"/>
  <c r="D8" i="41"/>
  <c r="D9" i="41"/>
  <c r="D15" i="41"/>
  <c r="E7" i="41"/>
  <c r="E9" i="41"/>
  <c r="E8" i="41"/>
  <c r="E5" i="41"/>
  <c r="P329" i="16"/>
  <c r="Q329" i="16"/>
  <c r="P327" i="16"/>
  <c r="Q327" i="16"/>
  <c r="P328" i="16"/>
  <c r="Q328" i="16"/>
  <c r="P326" i="16"/>
  <c r="Q326" i="16"/>
  <c r="P325" i="16"/>
  <c r="Q325" i="16"/>
  <c r="P324" i="16"/>
  <c r="Q324" i="16"/>
  <c r="E324" i="16"/>
  <c r="E329" i="16"/>
  <c r="F329" i="16"/>
  <c r="E328" i="16"/>
  <c r="F328" i="16"/>
  <c r="E327" i="16"/>
  <c r="F327" i="16"/>
  <c r="E326" i="16"/>
  <c r="F326" i="16"/>
  <c r="E325" i="16"/>
  <c r="F325" i="16"/>
  <c r="F324" i="16"/>
  <c r="M325" i="16"/>
  <c r="M326" i="16"/>
  <c r="M327" i="16"/>
  <c r="M328" i="16"/>
  <c r="M329" i="16"/>
  <c r="M330" i="16"/>
  <c r="M331" i="16"/>
  <c r="M324" i="16"/>
  <c r="F332" i="16"/>
  <c r="Q332" i="16"/>
  <c r="U313" i="16"/>
  <c r="S313" i="16"/>
  <c r="E313" i="16"/>
  <c r="J313" i="16"/>
  <c r="F313" i="16"/>
  <c r="E315" i="16"/>
  <c r="F315" i="16"/>
  <c r="H315" i="16"/>
  <c r="E316" i="16"/>
  <c r="F316" i="16"/>
  <c r="H316" i="16"/>
  <c r="E317" i="16"/>
  <c r="E318" i="16"/>
  <c r="E319" i="16"/>
  <c r="F319" i="16"/>
  <c r="H319" i="16"/>
  <c r="E312" i="16"/>
  <c r="J312" i="16"/>
  <c r="F312" i="16"/>
  <c r="E314" i="16"/>
  <c r="F314" i="16"/>
  <c r="H314" i="16"/>
  <c r="S318" i="16"/>
  <c r="U319" i="16"/>
  <c r="S312" i="16"/>
  <c r="U314" i="16"/>
  <c r="S314" i="16"/>
  <c r="S315" i="16"/>
  <c r="U316" i="16"/>
  <c r="S316" i="16"/>
  <c r="U318" i="16"/>
  <c r="U312" i="16"/>
  <c r="T320" i="16"/>
  <c r="R320" i="16"/>
  <c r="H312" i="16"/>
  <c r="H313" i="16"/>
  <c r="J314" i="16"/>
  <c r="J315" i="16"/>
  <c r="I320" i="16"/>
  <c r="G320" i="16"/>
  <c r="P306" i="16"/>
  <c r="U306" i="16"/>
  <c r="Q306" i="16"/>
  <c r="S306" i="16"/>
  <c r="E306" i="16"/>
  <c r="J306" i="16"/>
  <c r="F306" i="16"/>
  <c r="H306" i="16"/>
  <c r="E289" i="16"/>
  <c r="F289" i="16"/>
  <c r="H289" i="16"/>
  <c r="E290" i="16"/>
  <c r="E291" i="16"/>
  <c r="E292" i="16"/>
  <c r="F292" i="16"/>
  <c r="H292" i="16"/>
  <c r="E293" i="16"/>
  <c r="F293" i="16"/>
  <c r="H293" i="16"/>
  <c r="E294" i="16"/>
  <c r="F294" i="16"/>
  <c r="H294" i="16"/>
  <c r="E295" i="16"/>
  <c r="F295" i="16"/>
  <c r="H295" i="16"/>
  <c r="P304" i="16"/>
  <c r="Q304" i="16"/>
  <c r="S304" i="16"/>
  <c r="P300" i="16"/>
  <c r="Q300" i="16"/>
  <c r="P301" i="16"/>
  <c r="U301" i="16"/>
  <c r="P302" i="16"/>
  <c r="U302" i="16"/>
  <c r="Q302" i="16"/>
  <c r="S302" i="16"/>
  <c r="P303" i="16"/>
  <c r="Q303" i="16"/>
  <c r="P305" i="16"/>
  <c r="U305" i="16"/>
  <c r="Q305" i="16"/>
  <c r="S305" i="16"/>
  <c r="P307" i="16"/>
  <c r="Q307" i="16"/>
  <c r="S307" i="16"/>
  <c r="U307" i="16"/>
  <c r="U303" i="16"/>
  <c r="E300" i="16"/>
  <c r="F300" i="16"/>
  <c r="H300" i="16"/>
  <c r="E301" i="16"/>
  <c r="J301" i="16"/>
  <c r="F301" i="16"/>
  <c r="H301" i="16"/>
  <c r="E302" i="16"/>
  <c r="E303" i="16"/>
  <c r="F303" i="16"/>
  <c r="H303" i="16"/>
  <c r="E304" i="16"/>
  <c r="F304" i="16"/>
  <c r="H304" i="16"/>
  <c r="E305" i="16"/>
  <c r="E307" i="16"/>
  <c r="F307" i="16"/>
  <c r="H307" i="16"/>
  <c r="J307" i="16"/>
  <c r="J303" i="16"/>
  <c r="J304" i="16"/>
  <c r="I308" i="16"/>
  <c r="G308" i="16"/>
  <c r="S303" i="16"/>
  <c r="R308" i="16"/>
  <c r="T308" i="16"/>
  <c r="P289" i="16"/>
  <c r="P290" i="16"/>
  <c r="U290" i="16"/>
  <c r="Q290" i="16"/>
  <c r="P291" i="16"/>
  <c r="P292" i="16"/>
  <c r="Q292" i="16"/>
  <c r="S292" i="16"/>
  <c r="P293" i="16"/>
  <c r="Q293" i="16"/>
  <c r="S293" i="16"/>
  <c r="P294" i="16"/>
  <c r="Q294" i="16"/>
  <c r="S294" i="16"/>
  <c r="P295" i="16"/>
  <c r="Q295" i="16"/>
  <c r="S295" i="16"/>
  <c r="S290" i="16"/>
  <c r="T296" i="16"/>
  <c r="U289" i="16"/>
  <c r="U292" i="16"/>
  <c r="U294" i="16"/>
  <c r="R296" i="16"/>
  <c r="I296" i="16"/>
  <c r="J292" i="16"/>
  <c r="J293" i="16"/>
  <c r="J294" i="16"/>
  <c r="J295" i="16"/>
  <c r="G296" i="16"/>
  <c r="E88" i="26"/>
  <c r="F88" i="26"/>
  <c r="E91" i="26"/>
  <c r="F91" i="26"/>
  <c r="E93" i="26"/>
  <c r="F93" i="26"/>
  <c r="E89" i="26"/>
  <c r="F89" i="26"/>
  <c r="E90" i="26"/>
  <c r="F90" i="26"/>
  <c r="E92" i="26"/>
  <c r="F92" i="26"/>
  <c r="F94" i="26"/>
  <c r="E278" i="16"/>
  <c r="F278" i="16"/>
  <c r="H278" i="16"/>
  <c r="E279" i="16"/>
  <c r="F279" i="16"/>
  <c r="H279" i="16"/>
  <c r="E280" i="16"/>
  <c r="E281" i="16"/>
  <c r="J281" i="16"/>
  <c r="F281" i="16"/>
  <c r="H281" i="16"/>
  <c r="E282" i="16"/>
  <c r="J282" i="16"/>
  <c r="F282" i="16"/>
  <c r="H282" i="16"/>
  <c r="E283" i="16"/>
  <c r="J283" i="16"/>
  <c r="F283" i="16"/>
  <c r="H283" i="16"/>
  <c r="E284" i="16"/>
  <c r="F284" i="16"/>
  <c r="H284" i="16"/>
  <c r="P278" i="16"/>
  <c r="P279" i="16"/>
  <c r="Q279" i="16"/>
  <c r="S279" i="16"/>
  <c r="P280" i="16"/>
  <c r="Q280" i="16"/>
  <c r="S280" i="16"/>
  <c r="P281" i="16"/>
  <c r="U281" i="16"/>
  <c r="P282" i="16"/>
  <c r="Q282" i="16"/>
  <c r="P283" i="16"/>
  <c r="U283" i="16"/>
  <c r="Q283" i="16"/>
  <c r="P284" i="16"/>
  <c r="Q284" i="16"/>
  <c r="S284" i="16"/>
  <c r="I64" i="29"/>
  <c r="E63" i="29"/>
  <c r="E62" i="29"/>
  <c r="E61" i="29"/>
  <c r="E60" i="29"/>
  <c r="T87" i="28"/>
  <c r="I87" i="28"/>
  <c r="P86" i="28"/>
  <c r="E86" i="28"/>
  <c r="P85" i="28"/>
  <c r="E85" i="28"/>
  <c r="P84" i="28"/>
  <c r="E84" i="28"/>
  <c r="P83" i="28"/>
  <c r="E83" i="28"/>
  <c r="I84" i="27"/>
  <c r="E83" i="27"/>
  <c r="E82" i="27"/>
  <c r="E81" i="27"/>
  <c r="E80" i="27"/>
  <c r="I94" i="26"/>
  <c r="S282" i="16"/>
  <c r="U282" i="16"/>
  <c r="S283" i="16"/>
  <c r="U279" i="16"/>
  <c r="T285" i="16"/>
  <c r="R285" i="16"/>
  <c r="I285" i="16"/>
  <c r="J278" i="16"/>
  <c r="J279" i="16"/>
  <c r="G285" i="16"/>
  <c r="I56" i="29"/>
  <c r="E55" i="29"/>
  <c r="E54" i="29"/>
  <c r="E53" i="29"/>
  <c r="E52" i="29"/>
  <c r="T79" i="28"/>
  <c r="I79" i="28"/>
  <c r="P78" i="28"/>
  <c r="E78" i="28"/>
  <c r="P77" i="28"/>
  <c r="E77" i="28"/>
  <c r="P76" i="28"/>
  <c r="E76" i="28"/>
  <c r="P75" i="28"/>
  <c r="E75" i="28"/>
  <c r="I76" i="27"/>
  <c r="E75" i="27"/>
  <c r="E74" i="27"/>
  <c r="E73" i="27"/>
  <c r="E72" i="27"/>
  <c r="I84" i="26"/>
  <c r="T274" i="16"/>
  <c r="R274" i="16"/>
  <c r="I274" i="16"/>
  <c r="G274" i="16"/>
  <c r="P273" i="16"/>
  <c r="E273" i="16"/>
  <c r="P272" i="16"/>
  <c r="E272" i="16"/>
  <c r="P271" i="16"/>
  <c r="E271" i="16"/>
  <c r="P270" i="16"/>
  <c r="E270" i="16"/>
  <c r="J270" i="16"/>
  <c r="F64" i="27"/>
  <c r="F65" i="27"/>
  <c r="E66" i="27"/>
  <c r="F66" i="27"/>
  <c r="F67" i="27"/>
  <c r="E68" i="27"/>
  <c r="F68" i="27"/>
  <c r="T266" i="16"/>
  <c r="R266" i="16"/>
  <c r="I266" i="16"/>
  <c r="G266" i="16"/>
  <c r="P265" i="16"/>
  <c r="U265" i="16"/>
  <c r="E265" i="16"/>
  <c r="P264" i="16"/>
  <c r="E264" i="16"/>
  <c r="J264" i="16"/>
  <c r="P263" i="16"/>
  <c r="E263" i="16"/>
  <c r="P262" i="16"/>
  <c r="Q262" i="16"/>
  <c r="E262" i="16"/>
  <c r="I48" i="29"/>
  <c r="E47" i="29"/>
  <c r="E46" i="29"/>
  <c r="E45" i="29"/>
  <c r="E44" i="29"/>
  <c r="T71" i="28"/>
  <c r="I71" i="28"/>
  <c r="P70" i="28"/>
  <c r="E70" i="28"/>
  <c r="P69" i="28"/>
  <c r="E69" i="28"/>
  <c r="P68" i="28"/>
  <c r="E68" i="28"/>
  <c r="P67" i="28"/>
  <c r="E67" i="28"/>
  <c r="I68" i="27"/>
  <c r="E67" i="27"/>
  <c r="E65" i="27"/>
  <c r="E64" i="27"/>
  <c r="I74" i="26"/>
  <c r="F59" i="27"/>
  <c r="I40" i="29"/>
  <c r="E39" i="29"/>
  <c r="E38" i="29"/>
  <c r="E37" i="29"/>
  <c r="E36" i="29"/>
  <c r="T63" i="28"/>
  <c r="I63" i="28"/>
  <c r="P62" i="28"/>
  <c r="E62" i="28"/>
  <c r="P61" i="28"/>
  <c r="E61" i="28"/>
  <c r="P60" i="28"/>
  <c r="E60" i="28"/>
  <c r="P59" i="28"/>
  <c r="E59" i="28"/>
  <c r="I60" i="27"/>
  <c r="E59" i="27"/>
  <c r="E58" i="27"/>
  <c r="E57" i="27"/>
  <c r="E56" i="27"/>
  <c r="I64" i="26"/>
  <c r="E48" i="26"/>
  <c r="F48" i="26"/>
  <c r="H48" i="26"/>
  <c r="J48" i="26"/>
  <c r="E49" i="26"/>
  <c r="F49" i="26"/>
  <c r="H49" i="26"/>
  <c r="J49" i="26"/>
  <c r="E50" i="26"/>
  <c r="F50" i="26"/>
  <c r="H50" i="26"/>
  <c r="J50" i="26"/>
  <c r="E51" i="26"/>
  <c r="F51" i="26"/>
  <c r="H51" i="26"/>
  <c r="J51" i="26"/>
  <c r="E52" i="26"/>
  <c r="F52" i="26"/>
  <c r="H52" i="26"/>
  <c r="J52" i="26"/>
  <c r="E53" i="26"/>
  <c r="F53" i="26"/>
  <c r="H53" i="26"/>
  <c r="J53" i="26"/>
  <c r="T258" i="16"/>
  <c r="R258" i="16"/>
  <c r="I258" i="16"/>
  <c r="G258" i="16"/>
  <c r="P257" i="16"/>
  <c r="Q257" i="16"/>
  <c r="S257" i="16"/>
  <c r="P254" i="16"/>
  <c r="Q254" i="16"/>
  <c r="S254" i="16"/>
  <c r="P255" i="16"/>
  <c r="P256" i="16"/>
  <c r="P258" i="16"/>
  <c r="E257" i="16"/>
  <c r="F257" i="16"/>
  <c r="H257" i="16"/>
  <c r="E256" i="16"/>
  <c r="E255" i="16"/>
  <c r="E254" i="16"/>
  <c r="J254" i="16"/>
  <c r="E244" i="16"/>
  <c r="F244" i="16"/>
  <c r="H244" i="16"/>
  <c r="E245" i="16"/>
  <c r="E246" i="16"/>
  <c r="F246" i="16"/>
  <c r="H246" i="16"/>
  <c r="P244" i="16"/>
  <c r="P245" i="16"/>
  <c r="P246" i="16"/>
  <c r="E28" i="29"/>
  <c r="F28" i="29"/>
  <c r="H28" i="29"/>
  <c r="E29" i="29"/>
  <c r="F29" i="29"/>
  <c r="H29" i="29"/>
  <c r="E30" i="29"/>
  <c r="F30" i="29"/>
  <c r="H30" i="29"/>
  <c r="E31" i="29"/>
  <c r="F31" i="29"/>
  <c r="H31" i="29"/>
  <c r="H32" i="29"/>
  <c r="P51" i="28"/>
  <c r="Q51" i="28"/>
  <c r="S51" i="28"/>
  <c r="P52" i="28"/>
  <c r="Q52" i="28"/>
  <c r="S52" i="28"/>
  <c r="P53" i="28"/>
  <c r="Q53" i="28"/>
  <c r="S53" i="28"/>
  <c r="P54" i="28"/>
  <c r="Q54" i="28"/>
  <c r="S54" i="28"/>
  <c r="S55" i="28"/>
  <c r="E51" i="28"/>
  <c r="F51" i="28"/>
  <c r="H51" i="28"/>
  <c r="E52" i="28"/>
  <c r="F52" i="28"/>
  <c r="H52" i="28"/>
  <c r="E53" i="28"/>
  <c r="F53" i="28"/>
  <c r="H53" i="28"/>
  <c r="E54" i="28"/>
  <c r="F54" i="28"/>
  <c r="H54" i="28"/>
  <c r="H55" i="28"/>
  <c r="E48" i="27"/>
  <c r="F48" i="27"/>
  <c r="H48" i="27"/>
  <c r="E49" i="27"/>
  <c r="F49" i="27"/>
  <c r="H49" i="27"/>
  <c r="E50" i="27"/>
  <c r="F50" i="27"/>
  <c r="H50" i="27"/>
  <c r="E51" i="27"/>
  <c r="F51" i="27"/>
  <c r="H51" i="27"/>
  <c r="H52" i="27"/>
  <c r="P247" i="16"/>
  <c r="P248" i="16"/>
  <c r="Q248" i="16"/>
  <c r="S248" i="16"/>
  <c r="P249" i="16"/>
  <c r="U249" i="16"/>
  <c r="Q249" i="16"/>
  <c r="S249" i="16"/>
  <c r="E247" i="16"/>
  <c r="J247" i="16"/>
  <c r="F247" i="16"/>
  <c r="H247" i="16"/>
  <c r="E248" i="16"/>
  <c r="J248" i="16"/>
  <c r="F248" i="16"/>
  <c r="H248" i="16"/>
  <c r="E249" i="16"/>
  <c r="J249" i="16"/>
  <c r="J28" i="29"/>
  <c r="J29" i="29"/>
  <c r="J30" i="29"/>
  <c r="I32" i="29"/>
  <c r="J31" i="29"/>
  <c r="J32" i="29"/>
  <c r="L30" i="29"/>
  <c r="E32" i="29"/>
  <c r="F32" i="29"/>
  <c r="K32" i="29"/>
  <c r="L32" i="29"/>
  <c r="J51" i="28"/>
  <c r="U51" i="28"/>
  <c r="J52" i="28"/>
  <c r="U52" i="28"/>
  <c r="J53" i="28"/>
  <c r="I55" i="28"/>
  <c r="J54" i="28"/>
  <c r="J55" i="28"/>
  <c r="L53" i="28"/>
  <c r="U53" i="28"/>
  <c r="T55" i="28"/>
  <c r="U54" i="28"/>
  <c r="U55" i="28"/>
  <c r="W53" i="28"/>
  <c r="E55" i="28"/>
  <c r="F55" i="28"/>
  <c r="K55" i="28"/>
  <c r="L55" i="28"/>
  <c r="P55" i="28"/>
  <c r="Q55" i="28"/>
  <c r="V55" i="28"/>
  <c r="W55" i="28"/>
  <c r="J48" i="27"/>
  <c r="J49" i="27"/>
  <c r="J50" i="27"/>
  <c r="I52" i="27"/>
  <c r="J51" i="27"/>
  <c r="J52" i="27"/>
  <c r="L50" i="27"/>
  <c r="E52" i="27"/>
  <c r="F52" i="27"/>
  <c r="K52" i="27"/>
  <c r="L52" i="27"/>
  <c r="I54" i="26"/>
  <c r="J244" i="16"/>
  <c r="J246" i="16"/>
  <c r="I250" i="16"/>
  <c r="T250" i="16"/>
  <c r="G250" i="16"/>
  <c r="R250" i="16"/>
  <c r="I24" i="29"/>
  <c r="E23" i="29"/>
  <c r="F23" i="29"/>
  <c r="H23" i="29"/>
  <c r="J23" i="29"/>
  <c r="E22" i="29"/>
  <c r="J22" i="29"/>
  <c r="F22" i="29"/>
  <c r="H22" i="29"/>
  <c r="E21" i="29"/>
  <c r="J21" i="29"/>
  <c r="E20" i="29"/>
  <c r="J20" i="29"/>
  <c r="E19" i="29"/>
  <c r="J19" i="29"/>
  <c r="F19" i="29"/>
  <c r="H19" i="29"/>
  <c r="E18" i="29"/>
  <c r="J18" i="29"/>
  <c r="I14" i="29"/>
  <c r="E13" i="29"/>
  <c r="J13" i="29"/>
  <c r="F13" i="29"/>
  <c r="H13" i="29"/>
  <c r="E12" i="29"/>
  <c r="J12" i="29"/>
  <c r="E11" i="29"/>
  <c r="J11" i="29"/>
  <c r="F11" i="29"/>
  <c r="H11" i="29"/>
  <c r="E10" i="29"/>
  <c r="J10" i="29"/>
  <c r="E9" i="29"/>
  <c r="E8" i="29"/>
  <c r="E14" i="29"/>
  <c r="J8" i="29"/>
  <c r="F8" i="29"/>
  <c r="H8" i="29"/>
  <c r="T47" i="28"/>
  <c r="I47" i="28"/>
  <c r="P46" i="28"/>
  <c r="E46" i="28"/>
  <c r="F46" i="28"/>
  <c r="H46" i="28"/>
  <c r="J46" i="28"/>
  <c r="P45" i="28"/>
  <c r="U45" i="28"/>
  <c r="Q45" i="28"/>
  <c r="S45" i="28"/>
  <c r="E45" i="28"/>
  <c r="J45" i="28"/>
  <c r="P44" i="28"/>
  <c r="U44" i="28"/>
  <c r="Q44" i="28"/>
  <c r="S44" i="28"/>
  <c r="E44" i="28"/>
  <c r="J44" i="28"/>
  <c r="P43" i="28"/>
  <c r="U43" i="28"/>
  <c r="E43" i="28"/>
  <c r="J43" i="28"/>
  <c r="F43" i="28"/>
  <c r="H43" i="28"/>
  <c r="P42" i="28"/>
  <c r="U42" i="28"/>
  <c r="E42" i="28"/>
  <c r="E40" i="28"/>
  <c r="E41" i="28"/>
  <c r="E47" i="28"/>
  <c r="J42" i="28"/>
  <c r="P41" i="28"/>
  <c r="U41" i="28"/>
  <c r="Q41" i="28"/>
  <c r="S41" i="28"/>
  <c r="J41" i="28"/>
  <c r="P40" i="28"/>
  <c r="J40" i="28"/>
  <c r="F40" i="28"/>
  <c r="H40" i="28"/>
  <c r="T36" i="28"/>
  <c r="I36" i="28"/>
  <c r="E29" i="28"/>
  <c r="E30" i="28"/>
  <c r="E31" i="28"/>
  <c r="E32" i="28"/>
  <c r="E33" i="28"/>
  <c r="E34" i="28"/>
  <c r="E35" i="28"/>
  <c r="E36" i="28"/>
  <c r="P35" i="28"/>
  <c r="J35" i="28"/>
  <c r="P34" i="28"/>
  <c r="U34" i="28"/>
  <c r="Q34" i="28"/>
  <c r="S34" i="28"/>
  <c r="P33" i="28"/>
  <c r="U33" i="28"/>
  <c r="Q33" i="28"/>
  <c r="S33" i="28"/>
  <c r="J33" i="28"/>
  <c r="P32" i="28"/>
  <c r="J32" i="28"/>
  <c r="F32" i="28"/>
  <c r="H32" i="28"/>
  <c r="P31" i="28"/>
  <c r="U31" i="28"/>
  <c r="P30" i="28"/>
  <c r="U30" i="28"/>
  <c r="Q30" i="28"/>
  <c r="S30" i="28"/>
  <c r="J30" i="28"/>
  <c r="P29" i="28"/>
  <c r="J29" i="28"/>
  <c r="F29" i="28"/>
  <c r="T25" i="28"/>
  <c r="I25" i="28"/>
  <c r="P24" i="28"/>
  <c r="E24" i="28"/>
  <c r="F24" i="28"/>
  <c r="H24" i="28"/>
  <c r="J24" i="28"/>
  <c r="P23" i="28"/>
  <c r="U23" i="28"/>
  <c r="Q23" i="28"/>
  <c r="S23" i="28"/>
  <c r="E23" i="28"/>
  <c r="P22" i="28"/>
  <c r="U22" i="28"/>
  <c r="Q22" i="28"/>
  <c r="S22" i="28"/>
  <c r="E22" i="28"/>
  <c r="J22" i="28"/>
  <c r="P21" i="28"/>
  <c r="E21" i="28"/>
  <c r="J21" i="28"/>
  <c r="F21" i="28"/>
  <c r="H21" i="28"/>
  <c r="P20" i="28"/>
  <c r="U20" i="28"/>
  <c r="E20" i="28"/>
  <c r="P19" i="28"/>
  <c r="U19" i="28"/>
  <c r="Q19" i="28"/>
  <c r="S19" i="28"/>
  <c r="E19" i="28"/>
  <c r="J19" i="28"/>
  <c r="P18" i="28"/>
  <c r="E18" i="28"/>
  <c r="J18" i="28"/>
  <c r="F18" i="28"/>
  <c r="T14" i="28"/>
  <c r="I14" i="28"/>
  <c r="P13" i="28"/>
  <c r="E13" i="28"/>
  <c r="J13" i="28"/>
  <c r="P12" i="28"/>
  <c r="U12" i="28"/>
  <c r="Q12" i="28"/>
  <c r="S12" i="28"/>
  <c r="E12" i="28"/>
  <c r="P11" i="28"/>
  <c r="U11" i="28"/>
  <c r="Q11" i="28"/>
  <c r="S11" i="28"/>
  <c r="E11" i="28"/>
  <c r="J11" i="28"/>
  <c r="P10" i="28"/>
  <c r="E10" i="28"/>
  <c r="J10" i="28"/>
  <c r="F10" i="28"/>
  <c r="H10" i="28"/>
  <c r="P9" i="28"/>
  <c r="U9" i="28"/>
  <c r="E9" i="28"/>
  <c r="P8" i="28"/>
  <c r="U8" i="28"/>
  <c r="Q8" i="28"/>
  <c r="S8" i="28"/>
  <c r="E8" i="28"/>
  <c r="J8" i="28"/>
  <c r="P7" i="28"/>
  <c r="E7" i="28"/>
  <c r="J7" i="28"/>
  <c r="F7" i="28"/>
  <c r="H7" i="28"/>
  <c r="I44" i="27"/>
  <c r="E43" i="27"/>
  <c r="F43" i="27"/>
  <c r="H43" i="27"/>
  <c r="E42" i="27"/>
  <c r="J42" i="27"/>
  <c r="E41" i="27"/>
  <c r="E40" i="27"/>
  <c r="E39" i="27"/>
  <c r="J39" i="27"/>
  <c r="E38" i="27"/>
  <c r="I34" i="27"/>
  <c r="E33" i="27"/>
  <c r="J33" i="27"/>
  <c r="F33" i="27"/>
  <c r="H33" i="27"/>
  <c r="E32" i="27"/>
  <c r="J32" i="27"/>
  <c r="F32" i="27"/>
  <c r="H32" i="27"/>
  <c r="E31" i="27"/>
  <c r="J31" i="27"/>
  <c r="E30" i="27"/>
  <c r="E29" i="27"/>
  <c r="J29" i="27"/>
  <c r="F29" i="27"/>
  <c r="H29" i="27"/>
  <c r="E28" i="27"/>
  <c r="J28" i="27"/>
  <c r="I24" i="27"/>
  <c r="E23" i="27"/>
  <c r="J23" i="27"/>
  <c r="F23" i="27"/>
  <c r="H23" i="27"/>
  <c r="E22" i="27"/>
  <c r="E21" i="27"/>
  <c r="J21" i="27"/>
  <c r="F21" i="27"/>
  <c r="H21" i="27"/>
  <c r="E20" i="27"/>
  <c r="J20" i="27"/>
  <c r="E19" i="27"/>
  <c r="E18" i="27"/>
  <c r="J18" i="27"/>
  <c r="F18" i="27"/>
  <c r="I14" i="27"/>
  <c r="E13" i="27"/>
  <c r="F13" i="27"/>
  <c r="H13" i="27"/>
  <c r="J13" i="27"/>
  <c r="E12" i="27"/>
  <c r="J12" i="27"/>
  <c r="E11" i="27"/>
  <c r="E10" i="27"/>
  <c r="J10" i="27"/>
  <c r="F10" i="27"/>
  <c r="H10" i="27"/>
  <c r="E9" i="27"/>
  <c r="J9" i="27"/>
  <c r="E8" i="27"/>
  <c r="I44" i="26"/>
  <c r="J43" i="26"/>
  <c r="J41" i="26"/>
  <c r="J39" i="26"/>
  <c r="J38" i="26"/>
  <c r="I34" i="26"/>
  <c r="E34" i="26"/>
  <c r="J33" i="26"/>
  <c r="J31" i="26"/>
  <c r="J30" i="26"/>
  <c r="J28" i="26"/>
  <c r="I24" i="26"/>
  <c r="J23" i="26"/>
  <c r="J22" i="26"/>
  <c r="J20" i="26"/>
  <c r="J19" i="26"/>
  <c r="I14" i="26"/>
  <c r="E13" i="26"/>
  <c r="J13" i="26"/>
  <c r="F13" i="26"/>
  <c r="H13" i="26"/>
  <c r="E12" i="26"/>
  <c r="J12" i="26"/>
  <c r="F12" i="26"/>
  <c r="H12" i="26"/>
  <c r="E11" i="26"/>
  <c r="J11" i="26"/>
  <c r="E10" i="26"/>
  <c r="E9" i="26"/>
  <c r="J9" i="26"/>
  <c r="F9" i="26"/>
  <c r="H9" i="26"/>
  <c r="E8" i="26"/>
  <c r="J8" i="26"/>
  <c r="T240" i="16"/>
  <c r="R240" i="16"/>
  <c r="I240" i="16"/>
  <c r="G240" i="16"/>
  <c r="U239" i="16"/>
  <c r="J239" i="16"/>
  <c r="U238" i="16"/>
  <c r="U236" i="16"/>
  <c r="J236" i="16"/>
  <c r="U235" i="16"/>
  <c r="J235" i="16"/>
  <c r="J234" i="16"/>
  <c r="T230" i="16"/>
  <c r="R230" i="16"/>
  <c r="I230" i="16"/>
  <c r="G230" i="16"/>
  <c r="P229" i="16"/>
  <c r="E229" i="16"/>
  <c r="F229" i="16"/>
  <c r="H229" i="16"/>
  <c r="P228" i="16"/>
  <c r="Q228" i="16"/>
  <c r="E228" i="16"/>
  <c r="J228" i="16"/>
  <c r="F228" i="16"/>
  <c r="H228" i="16"/>
  <c r="P227" i="16"/>
  <c r="Q227" i="16"/>
  <c r="S227" i="16"/>
  <c r="E227" i="16"/>
  <c r="E224" i="16"/>
  <c r="E225" i="16"/>
  <c r="J225" i="16"/>
  <c r="E226" i="16"/>
  <c r="F226" i="16"/>
  <c r="H226" i="16"/>
  <c r="P226" i="16"/>
  <c r="P225" i="16"/>
  <c r="U225" i="16"/>
  <c r="F225" i="16"/>
  <c r="H225" i="16"/>
  <c r="P224" i="16"/>
  <c r="Q224" i="16"/>
  <c r="S224" i="16"/>
  <c r="T220" i="16"/>
  <c r="R220" i="16"/>
  <c r="I220" i="16"/>
  <c r="G220" i="16"/>
  <c r="P219" i="16"/>
  <c r="P214" i="16"/>
  <c r="U214" i="16"/>
  <c r="P215" i="16"/>
  <c r="P216" i="16"/>
  <c r="P217" i="16"/>
  <c r="P218" i="16"/>
  <c r="P220" i="16"/>
  <c r="E219" i="16"/>
  <c r="F219" i="16"/>
  <c r="H219" i="16"/>
  <c r="E218" i="16"/>
  <c r="J218" i="16"/>
  <c r="E217" i="16"/>
  <c r="E216" i="16"/>
  <c r="J216" i="16"/>
  <c r="U215" i="16"/>
  <c r="E215" i="16"/>
  <c r="F215" i="16"/>
  <c r="H215" i="16"/>
  <c r="E214" i="16"/>
  <c r="T210" i="16"/>
  <c r="R210" i="16"/>
  <c r="I210" i="16"/>
  <c r="G210" i="16"/>
  <c r="P209" i="16"/>
  <c r="E209" i="16"/>
  <c r="F209" i="16"/>
  <c r="H209" i="16"/>
  <c r="P208" i="16"/>
  <c r="U208" i="16"/>
  <c r="P204" i="16"/>
  <c r="P205" i="16"/>
  <c r="Q205" i="16"/>
  <c r="S205" i="16"/>
  <c r="U205" i="16"/>
  <c r="P206" i="16"/>
  <c r="Q206" i="16"/>
  <c r="S206" i="16"/>
  <c r="U206" i="16"/>
  <c r="P207" i="16"/>
  <c r="Q207" i="16"/>
  <c r="S207" i="16"/>
  <c r="U207" i="16"/>
  <c r="E208" i="16"/>
  <c r="J208" i="16"/>
  <c r="E207" i="16"/>
  <c r="E206" i="16"/>
  <c r="E205" i="16"/>
  <c r="F205" i="16"/>
  <c r="H205" i="16"/>
  <c r="E204" i="16"/>
  <c r="I200" i="16"/>
  <c r="G200" i="16"/>
  <c r="E199" i="16"/>
  <c r="E198" i="16"/>
  <c r="F198" i="16"/>
  <c r="H198" i="16"/>
  <c r="J198" i="16"/>
  <c r="E197" i="16"/>
  <c r="F197" i="16"/>
  <c r="H197" i="16"/>
  <c r="E196" i="16"/>
  <c r="J196" i="16"/>
  <c r="F196" i="16"/>
  <c r="H196" i="16"/>
  <c r="E195" i="16"/>
  <c r="E194" i="16"/>
  <c r="J194" i="16"/>
  <c r="J199" i="16"/>
  <c r="I190" i="16"/>
  <c r="G190" i="16"/>
  <c r="E189" i="16"/>
  <c r="J189" i="16"/>
  <c r="E188" i="16"/>
  <c r="J188" i="16"/>
  <c r="E187" i="16"/>
  <c r="F187" i="16"/>
  <c r="H187" i="16"/>
  <c r="J187" i="16"/>
  <c r="E186" i="16"/>
  <c r="E185" i="16"/>
  <c r="E184" i="16"/>
  <c r="I180" i="16"/>
  <c r="G180" i="16"/>
  <c r="E179" i="16"/>
  <c r="J179" i="16"/>
  <c r="E178" i="16"/>
  <c r="F178" i="16"/>
  <c r="H178" i="16"/>
  <c r="J178" i="16"/>
  <c r="E177" i="16"/>
  <c r="F177" i="16"/>
  <c r="H177" i="16"/>
  <c r="J177" i="16"/>
  <c r="E176" i="16"/>
  <c r="E175" i="16"/>
  <c r="J175" i="16"/>
  <c r="E174" i="16"/>
  <c r="I170" i="16"/>
  <c r="G170" i="16"/>
  <c r="E169" i="16"/>
  <c r="J169" i="16"/>
  <c r="E168" i="16"/>
  <c r="F168" i="16"/>
  <c r="H168" i="16"/>
  <c r="J168" i="16"/>
  <c r="E167" i="16"/>
  <c r="J167" i="16"/>
  <c r="E166" i="16"/>
  <c r="E165" i="16"/>
  <c r="F165" i="16"/>
  <c r="H165" i="16"/>
  <c r="E164" i="16"/>
  <c r="F164" i="16"/>
  <c r="I160" i="16"/>
  <c r="G160" i="16"/>
  <c r="E159" i="16"/>
  <c r="E158" i="16"/>
  <c r="F158" i="16"/>
  <c r="H158" i="16"/>
  <c r="J158" i="16"/>
  <c r="E157" i="16"/>
  <c r="E156" i="16"/>
  <c r="J156" i="16"/>
  <c r="F156" i="16"/>
  <c r="H156" i="16"/>
  <c r="E155" i="16"/>
  <c r="F155" i="16"/>
  <c r="H155" i="16"/>
  <c r="J155" i="16"/>
  <c r="E154" i="16"/>
  <c r="F154" i="16"/>
  <c r="H154" i="16"/>
  <c r="I150" i="16"/>
  <c r="G150" i="16"/>
  <c r="E149" i="16"/>
  <c r="F149" i="16"/>
  <c r="H149" i="16"/>
  <c r="J149" i="16"/>
  <c r="E148" i="16"/>
  <c r="E147" i="16"/>
  <c r="J147" i="16"/>
  <c r="E146" i="16"/>
  <c r="J146" i="16"/>
  <c r="E144" i="16"/>
  <c r="J144" i="16"/>
  <c r="E145" i="16"/>
  <c r="J145" i="16"/>
  <c r="J148" i="16"/>
  <c r="F146" i="16"/>
  <c r="H146" i="16"/>
  <c r="I140" i="16"/>
  <c r="G140" i="16"/>
  <c r="E139" i="16"/>
  <c r="F139" i="16"/>
  <c r="H139" i="16"/>
  <c r="E138" i="16"/>
  <c r="E137" i="16"/>
  <c r="E136" i="16"/>
  <c r="J136" i="16"/>
  <c r="F136" i="16"/>
  <c r="H136" i="16"/>
  <c r="E135" i="16"/>
  <c r="J135" i="16"/>
  <c r="F135" i="16"/>
  <c r="H135" i="16"/>
  <c r="E134" i="16"/>
  <c r="I130" i="16"/>
  <c r="G130" i="16"/>
  <c r="E129" i="16"/>
  <c r="F129" i="16"/>
  <c r="H129" i="16"/>
  <c r="E128" i="16"/>
  <c r="F128" i="16"/>
  <c r="H128" i="16"/>
  <c r="E127" i="16"/>
  <c r="E126" i="16"/>
  <c r="E125" i="16"/>
  <c r="F125" i="16"/>
  <c r="H125" i="16"/>
  <c r="E124" i="16"/>
  <c r="I120" i="16"/>
  <c r="G120" i="16"/>
  <c r="E119" i="16"/>
  <c r="E118" i="16"/>
  <c r="E117" i="16"/>
  <c r="E116" i="16"/>
  <c r="J116" i="16"/>
  <c r="E114" i="16"/>
  <c r="J114" i="16"/>
  <c r="E115" i="16"/>
  <c r="J115" i="16"/>
  <c r="F115" i="16"/>
  <c r="H115" i="16"/>
  <c r="I110" i="16"/>
  <c r="G110" i="16"/>
  <c r="E109" i="16"/>
  <c r="F109" i="16"/>
  <c r="H109" i="16"/>
  <c r="E108" i="16"/>
  <c r="E104" i="16"/>
  <c r="E105" i="16"/>
  <c r="F105" i="16"/>
  <c r="H105" i="16"/>
  <c r="E106" i="16"/>
  <c r="J106" i="16"/>
  <c r="E107" i="16"/>
  <c r="I100" i="16"/>
  <c r="G100" i="16"/>
  <c r="E99" i="16"/>
  <c r="F99" i="16"/>
  <c r="H99" i="16"/>
  <c r="E98" i="16"/>
  <c r="E97" i="16"/>
  <c r="E96" i="16"/>
  <c r="E95" i="16"/>
  <c r="E94" i="16"/>
  <c r="E93" i="16"/>
  <c r="F93" i="16"/>
  <c r="H93" i="16"/>
  <c r="E92" i="16"/>
  <c r="I88" i="16"/>
  <c r="G88" i="16"/>
  <c r="E87" i="16"/>
  <c r="F87" i="16"/>
  <c r="H87" i="16"/>
  <c r="E86" i="16"/>
  <c r="J86" i="16"/>
  <c r="E85" i="16"/>
  <c r="F85" i="16"/>
  <c r="H85" i="16"/>
  <c r="J85" i="16"/>
  <c r="E84" i="16"/>
  <c r="E83" i="16"/>
  <c r="E82" i="16"/>
  <c r="J82" i="16"/>
  <c r="F82" i="16"/>
  <c r="H82" i="16"/>
  <c r="E81" i="16"/>
  <c r="E80" i="16"/>
  <c r="F80" i="16"/>
  <c r="H80" i="16"/>
  <c r="J80" i="16"/>
  <c r="E79" i="16"/>
  <c r="E78" i="16"/>
  <c r="F78" i="16"/>
  <c r="H78" i="16"/>
  <c r="J78" i="16"/>
  <c r="E77" i="16"/>
  <c r="I73" i="16"/>
  <c r="G73" i="16"/>
  <c r="E72" i="16"/>
  <c r="J72" i="16"/>
  <c r="E71" i="16"/>
  <c r="F71" i="16"/>
  <c r="H71" i="16"/>
  <c r="E70" i="16"/>
  <c r="E69" i="16"/>
  <c r="E68" i="16"/>
  <c r="J68" i="16"/>
  <c r="F68" i="16"/>
  <c r="H68" i="16"/>
  <c r="E67" i="16"/>
  <c r="J67" i="16"/>
  <c r="E66" i="16"/>
  <c r="E65" i="16"/>
  <c r="J65" i="16"/>
  <c r="E64" i="16"/>
  <c r="E63" i="16"/>
  <c r="J63" i="16"/>
  <c r="F63" i="16"/>
  <c r="I59" i="16"/>
  <c r="G59" i="16"/>
  <c r="E58" i="16"/>
  <c r="J58" i="16"/>
  <c r="F58" i="16"/>
  <c r="H58" i="16"/>
  <c r="E57" i="16"/>
  <c r="F57" i="16"/>
  <c r="H57" i="16"/>
  <c r="E56" i="16"/>
  <c r="F56" i="16"/>
  <c r="H56" i="16"/>
  <c r="E55" i="16"/>
  <c r="J55" i="16"/>
  <c r="E54" i="16"/>
  <c r="J54" i="16"/>
  <c r="E53" i="16"/>
  <c r="F53" i="16"/>
  <c r="H53" i="16"/>
  <c r="E52" i="16"/>
  <c r="E59" i="16"/>
  <c r="F52" i="16"/>
  <c r="H52" i="16"/>
  <c r="I48" i="16"/>
  <c r="G48" i="16"/>
  <c r="E47" i="16"/>
  <c r="F47" i="16"/>
  <c r="H47" i="16"/>
  <c r="E46" i="16"/>
  <c r="E45" i="16"/>
  <c r="J45" i="16"/>
  <c r="E44" i="16"/>
  <c r="F44" i="16"/>
  <c r="H44" i="16"/>
  <c r="E43" i="16"/>
  <c r="F43" i="16"/>
  <c r="H43" i="16"/>
  <c r="E42" i="16"/>
  <c r="J42" i="16"/>
  <c r="E41" i="16"/>
  <c r="E40" i="16"/>
  <c r="E39" i="16"/>
  <c r="F39" i="16"/>
  <c r="H39" i="16"/>
  <c r="E38" i="16"/>
  <c r="E37" i="16"/>
  <c r="I33" i="16"/>
  <c r="G33" i="16"/>
  <c r="E32" i="16"/>
  <c r="F32" i="16"/>
  <c r="H32" i="16"/>
  <c r="E31" i="16"/>
  <c r="J31" i="16"/>
  <c r="E30" i="16"/>
  <c r="F30" i="16"/>
  <c r="H30" i="16"/>
  <c r="E29" i="16"/>
  <c r="F29" i="16"/>
  <c r="H29" i="16"/>
  <c r="E28" i="16"/>
  <c r="F28" i="16"/>
  <c r="H28" i="16"/>
  <c r="J28" i="16"/>
  <c r="E27" i="16"/>
  <c r="F27" i="16"/>
  <c r="H27" i="16"/>
  <c r="E26" i="16"/>
  <c r="J26" i="16"/>
  <c r="E25" i="16"/>
  <c r="J25" i="16"/>
  <c r="E24" i="16"/>
  <c r="F24" i="16"/>
  <c r="H24" i="16"/>
  <c r="E23" i="16"/>
  <c r="F23" i="16"/>
  <c r="H23" i="16"/>
  <c r="J23" i="16"/>
  <c r="E22" i="16"/>
  <c r="F22" i="16"/>
  <c r="H22" i="16"/>
  <c r="J22" i="16"/>
  <c r="I19" i="16"/>
  <c r="G19" i="16"/>
  <c r="E18" i="16"/>
  <c r="E17" i="16"/>
  <c r="F17" i="16"/>
  <c r="H17" i="16"/>
  <c r="E16" i="16"/>
  <c r="E15" i="16"/>
  <c r="F15" i="16"/>
  <c r="H15" i="16"/>
  <c r="J15" i="16"/>
  <c r="E14" i="16"/>
  <c r="F14" i="16"/>
  <c r="H14" i="16"/>
  <c r="E13" i="16"/>
  <c r="E12" i="16"/>
  <c r="J12" i="16"/>
  <c r="F12" i="16"/>
  <c r="H12" i="16"/>
  <c r="E11" i="16"/>
  <c r="E10" i="16"/>
  <c r="J10" i="16"/>
  <c r="E9" i="16"/>
  <c r="J9" i="16"/>
  <c r="F9" i="16"/>
  <c r="H9" i="16"/>
  <c r="E8" i="16"/>
  <c r="F8" i="16"/>
  <c r="H8" i="16"/>
  <c r="J8" i="16"/>
  <c r="C7" i="16"/>
  <c r="E7" i="16"/>
  <c r="E6" i="16"/>
  <c r="F6" i="16"/>
  <c r="Z11" i="13"/>
  <c r="Y11" i="13"/>
  <c r="W11" i="13"/>
  <c r="I11" i="13"/>
  <c r="G11" i="13"/>
  <c r="G2" i="13"/>
  <c r="Z10" i="13"/>
  <c r="U10" i="13"/>
  <c r="V10" i="13"/>
  <c r="X10" i="13"/>
  <c r="AD10" i="13"/>
  <c r="J10" i="13"/>
  <c r="H10" i="13"/>
  <c r="L10" i="13"/>
  <c r="Z9" i="13"/>
  <c r="X9" i="13"/>
  <c r="U9" i="13"/>
  <c r="V9" i="13"/>
  <c r="E9" i="13"/>
  <c r="V8" i="13"/>
  <c r="X8" i="13"/>
  <c r="AB8" i="13"/>
  <c r="U8" i="13"/>
  <c r="Z8" i="13"/>
  <c r="N8" i="13"/>
  <c r="J8" i="13"/>
  <c r="L8" i="13"/>
  <c r="H8" i="13"/>
  <c r="M8" i="13"/>
  <c r="E8" i="13"/>
  <c r="F8" i="13"/>
  <c r="Z7" i="13"/>
  <c r="U7" i="13"/>
  <c r="V7" i="13"/>
  <c r="X7" i="13"/>
  <c r="J7" i="13"/>
  <c r="F7" i="13"/>
  <c r="E7" i="13"/>
  <c r="Z6" i="13"/>
  <c r="U6" i="13"/>
  <c r="U11" i="13"/>
  <c r="J6" i="13"/>
  <c r="E6" i="13"/>
  <c r="F6" i="13"/>
  <c r="H6" i="13"/>
  <c r="M6" i="13"/>
  <c r="N5" i="13"/>
  <c r="M5" i="13"/>
  <c r="L5" i="13"/>
  <c r="I2" i="13"/>
  <c r="Y91" i="12"/>
  <c r="W91" i="12"/>
  <c r="I91" i="12"/>
  <c r="G91" i="12"/>
  <c r="U90" i="12"/>
  <c r="T90" i="12"/>
  <c r="M90" i="12"/>
  <c r="L90" i="12"/>
  <c r="J90" i="12"/>
  <c r="N90" i="12"/>
  <c r="H90" i="12"/>
  <c r="D90" i="12"/>
  <c r="Y89" i="12"/>
  <c r="U89" i="12"/>
  <c r="Z89" i="12"/>
  <c r="T89" i="12"/>
  <c r="J89" i="12"/>
  <c r="N89" i="12"/>
  <c r="D89" i="12"/>
  <c r="E89" i="12"/>
  <c r="F89" i="12"/>
  <c r="H89" i="12"/>
  <c r="M89" i="12"/>
  <c r="U88" i="12"/>
  <c r="T88" i="12"/>
  <c r="J88" i="12"/>
  <c r="L88" i="12"/>
  <c r="H88" i="12"/>
  <c r="E88" i="12"/>
  <c r="F88" i="12"/>
  <c r="D88" i="12"/>
  <c r="U87" i="12"/>
  <c r="J87" i="12"/>
  <c r="L87" i="12"/>
  <c r="H87" i="12"/>
  <c r="M87" i="12"/>
  <c r="D87" i="12"/>
  <c r="E87" i="12"/>
  <c r="F87" i="12"/>
  <c r="Y86" i="12"/>
  <c r="T86" i="12"/>
  <c r="U86" i="12"/>
  <c r="J86" i="12"/>
  <c r="F86" i="12"/>
  <c r="H86" i="12"/>
  <c r="E86" i="12"/>
  <c r="D86" i="12"/>
  <c r="F85" i="12"/>
  <c r="E85" i="12"/>
  <c r="J85" i="12"/>
  <c r="D85" i="12"/>
  <c r="Y81" i="12"/>
  <c r="W81" i="12"/>
  <c r="I81" i="12"/>
  <c r="G81" i="12"/>
  <c r="T80" i="12"/>
  <c r="U80" i="12"/>
  <c r="J80" i="12"/>
  <c r="H80" i="12"/>
  <c r="D80" i="12"/>
  <c r="Z79" i="12"/>
  <c r="AB79" i="12"/>
  <c r="Y79" i="12"/>
  <c r="U79" i="12"/>
  <c r="V79" i="12"/>
  <c r="X79" i="12"/>
  <c r="T79" i="12"/>
  <c r="N79" i="12"/>
  <c r="M79" i="12"/>
  <c r="L79" i="12"/>
  <c r="J79" i="12"/>
  <c r="F79" i="12"/>
  <c r="H79" i="12"/>
  <c r="E79" i="12"/>
  <c r="D79" i="12"/>
  <c r="U78" i="12"/>
  <c r="T78" i="12"/>
  <c r="D78" i="12"/>
  <c r="E78" i="12"/>
  <c r="J78" i="12"/>
  <c r="U77" i="12"/>
  <c r="Z77" i="12"/>
  <c r="D77" i="12"/>
  <c r="E77" i="12"/>
  <c r="Y76" i="12"/>
  <c r="T76" i="12"/>
  <c r="U76" i="12"/>
  <c r="E76" i="12"/>
  <c r="F76" i="12"/>
  <c r="H76" i="12"/>
  <c r="D76" i="12"/>
  <c r="J75" i="12"/>
  <c r="E75" i="12"/>
  <c r="E81" i="12"/>
  <c r="D75" i="12"/>
  <c r="Y71" i="12"/>
  <c r="W71" i="12"/>
  <c r="G71" i="12"/>
  <c r="T70" i="12"/>
  <c r="U70" i="12"/>
  <c r="J70" i="12"/>
  <c r="H70" i="12"/>
  <c r="D70" i="12"/>
  <c r="AB69" i="12"/>
  <c r="Z69" i="12"/>
  <c r="Y69" i="12"/>
  <c r="V69" i="12"/>
  <c r="X69" i="12"/>
  <c r="AD69" i="12"/>
  <c r="T69" i="12"/>
  <c r="U69" i="12"/>
  <c r="E69" i="12"/>
  <c r="J69" i="12"/>
  <c r="D69" i="12"/>
  <c r="U68" i="12"/>
  <c r="T68" i="12"/>
  <c r="D68" i="12"/>
  <c r="E68" i="12"/>
  <c r="J68" i="12"/>
  <c r="V67" i="12"/>
  <c r="X67" i="12"/>
  <c r="U67" i="12"/>
  <c r="Z67" i="12"/>
  <c r="E67" i="12"/>
  <c r="J67" i="12"/>
  <c r="D67" i="12"/>
  <c r="Y66" i="12"/>
  <c r="V66" i="12"/>
  <c r="T66" i="12"/>
  <c r="U66" i="12"/>
  <c r="Z66" i="12"/>
  <c r="I66" i="12"/>
  <c r="I71" i="12"/>
  <c r="D66" i="12"/>
  <c r="E66" i="12"/>
  <c r="F66" i="12"/>
  <c r="H66" i="12"/>
  <c r="J65" i="12"/>
  <c r="F65" i="12"/>
  <c r="H65" i="12"/>
  <c r="E65" i="12"/>
  <c r="E71" i="12"/>
  <c r="Y61" i="12"/>
  <c r="W61" i="12"/>
  <c r="I61" i="12"/>
  <c r="G61" i="12"/>
  <c r="X60" i="12"/>
  <c r="V60" i="12"/>
  <c r="U60" i="12"/>
  <c r="Z60" i="12"/>
  <c r="T60" i="12"/>
  <c r="J60" i="12"/>
  <c r="H60" i="12"/>
  <c r="M60" i="12"/>
  <c r="D60" i="12"/>
  <c r="Z59" i="12"/>
  <c r="Y59" i="12"/>
  <c r="U59" i="12"/>
  <c r="V59" i="12"/>
  <c r="X59" i="12"/>
  <c r="AD59" i="12"/>
  <c r="T59" i="12"/>
  <c r="E59" i="12"/>
  <c r="F59" i="12"/>
  <c r="H59" i="12"/>
  <c r="D59" i="12"/>
  <c r="T58" i="12"/>
  <c r="U58" i="12"/>
  <c r="J58" i="12"/>
  <c r="L58" i="12"/>
  <c r="H58" i="12"/>
  <c r="M58" i="12"/>
  <c r="E58" i="12"/>
  <c r="F58" i="12"/>
  <c r="D58" i="12"/>
  <c r="U57" i="12"/>
  <c r="N57" i="12"/>
  <c r="M57" i="12"/>
  <c r="J57" i="12"/>
  <c r="L57" i="12"/>
  <c r="F57" i="12"/>
  <c r="H57" i="12"/>
  <c r="E57" i="12"/>
  <c r="D57" i="12"/>
  <c r="Y56" i="12"/>
  <c r="U56" i="12"/>
  <c r="Z56" i="12"/>
  <c r="T56" i="12"/>
  <c r="D56" i="12"/>
  <c r="E56" i="12"/>
  <c r="J55" i="12"/>
  <c r="D55" i="12"/>
  <c r="E55" i="12"/>
  <c r="W51" i="12"/>
  <c r="U51" i="12"/>
  <c r="I51" i="12"/>
  <c r="G51" i="12"/>
  <c r="U50" i="12"/>
  <c r="Z50" i="12"/>
  <c r="T50" i="12"/>
  <c r="N50" i="12"/>
  <c r="M50" i="12"/>
  <c r="L50" i="12"/>
  <c r="J50" i="12"/>
  <c r="H50" i="12"/>
  <c r="D50" i="12"/>
  <c r="T49" i="12"/>
  <c r="U49" i="12"/>
  <c r="D49" i="12"/>
  <c r="E49" i="12"/>
  <c r="AD48" i="12"/>
  <c r="Z48" i="12"/>
  <c r="X48" i="12"/>
  <c r="U48" i="12"/>
  <c r="V48" i="12"/>
  <c r="T48" i="12"/>
  <c r="D48" i="12"/>
  <c r="E48" i="12"/>
  <c r="Y47" i="12"/>
  <c r="U47" i="12"/>
  <c r="T47" i="12"/>
  <c r="M47" i="12"/>
  <c r="D47" i="12"/>
  <c r="E47" i="12"/>
  <c r="F47" i="12"/>
  <c r="H47" i="12"/>
  <c r="Y46" i="12"/>
  <c r="T46" i="12"/>
  <c r="U46" i="12"/>
  <c r="I46" i="12"/>
  <c r="H46" i="12"/>
  <c r="D46" i="12"/>
  <c r="E46" i="12"/>
  <c r="F46" i="12"/>
  <c r="J45" i="12"/>
  <c r="E45" i="12"/>
  <c r="D45" i="12"/>
  <c r="Y41" i="12"/>
  <c r="W41" i="12"/>
  <c r="I41" i="12"/>
  <c r="G41" i="12"/>
  <c r="U40" i="12"/>
  <c r="T40" i="12"/>
  <c r="M40" i="12"/>
  <c r="J40" i="12"/>
  <c r="L40" i="12"/>
  <c r="H40" i="12"/>
  <c r="N40" i="12"/>
  <c r="D40" i="12"/>
  <c r="V39" i="12"/>
  <c r="X39" i="12"/>
  <c r="AD39" i="12"/>
  <c r="T39" i="12"/>
  <c r="U39" i="12"/>
  <c r="Z39" i="12"/>
  <c r="M39" i="12"/>
  <c r="J39" i="12"/>
  <c r="L39" i="12"/>
  <c r="F39" i="12"/>
  <c r="H39" i="12"/>
  <c r="N39" i="12"/>
  <c r="E39" i="12"/>
  <c r="D39" i="12"/>
  <c r="Z38" i="12"/>
  <c r="Y38" i="12"/>
  <c r="X38" i="12"/>
  <c r="U38" i="12"/>
  <c r="V38" i="12"/>
  <c r="T38" i="12"/>
  <c r="D38" i="12"/>
  <c r="E38" i="12"/>
  <c r="Y37" i="12"/>
  <c r="T37" i="12"/>
  <c r="U37" i="12"/>
  <c r="J37" i="12"/>
  <c r="L37" i="12"/>
  <c r="I37" i="12"/>
  <c r="E37" i="12"/>
  <c r="F37" i="12"/>
  <c r="H37" i="12"/>
  <c r="D37" i="12"/>
  <c r="Y36" i="12"/>
  <c r="U36" i="12"/>
  <c r="T36" i="12"/>
  <c r="I36" i="12"/>
  <c r="E36" i="12"/>
  <c r="D36" i="12"/>
  <c r="I35" i="12"/>
  <c r="E35" i="12"/>
  <c r="D35" i="12"/>
  <c r="W31" i="12"/>
  <c r="I31" i="12"/>
  <c r="G31" i="12"/>
  <c r="X30" i="12"/>
  <c r="V30" i="12"/>
  <c r="T30" i="12"/>
  <c r="U30" i="12"/>
  <c r="Z30" i="12"/>
  <c r="M30" i="12"/>
  <c r="J30" i="12"/>
  <c r="L30" i="12"/>
  <c r="H30" i="12"/>
  <c r="D30" i="12"/>
  <c r="Z29" i="12"/>
  <c r="AB29" i="12"/>
  <c r="Y29" i="12"/>
  <c r="V29" i="12"/>
  <c r="X29" i="12"/>
  <c r="U29" i="12"/>
  <c r="T29" i="12"/>
  <c r="F29" i="12"/>
  <c r="H29" i="12"/>
  <c r="M29" i="12"/>
  <c r="E29" i="12"/>
  <c r="J29" i="12"/>
  <c r="D29" i="12"/>
  <c r="AD28" i="12"/>
  <c r="AC28" i="12"/>
  <c r="Z28" i="12"/>
  <c r="Y28" i="12"/>
  <c r="AB28" i="12"/>
  <c r="V28" i="12"/>
  <c r="X28" i="12"/>
  <c r="U28" i="12"/>
  <c r="T28" i="12"/>
  <c r="I28" i="12"/>
  <c r="E28" i="12"/>
  <c r="D28" i="12"/>
  <c r="Z27" i="12"/>
  <c r="Y27" i="12"/>
  <c r="T27" i="12"/>
  <c r="U27" i="12"/>
  <c r="V27" i="12"/>
  <c r="X27" i="12"/>
  <c r="I27" i="12"/>
  <c r="E27" i="12"/>
  <c r="J27" i="12"/>
  <c r="D27" i="12"/>
  <c r="Y26" i="12"/>
  <c r="Y31" i="12"/>
  <c r="U26" i="12"/>
  <c r="T26" i="12"/>
  <c r="I26" i="12"/>
  <c r="D26" i="12"/>
  <c r="E26" i="12"/>
  <c r="I25" i="12"/>
  <c r="F25" i="12"/>
  <c r="E25" i="12"/>
  <c r="J25" i="12"/>
  <c r="D25" i="12"/>
  <c r="W21" i="12"/>
  <c r="I21" i="12"/>
  <c r="G21" i="12"/>
  <c r="X20" i="12"/>
  <c r="V20" i="12"/>
  <c r="T20" i="12"/>
  <c r="U20" i="12"/>
  <c r="Z20" i="12"/>
  <c r="J20" i="12"/>
  <c r="H20" i="12"/>
  <c r="D20" i="12"/>
  <c r="Y19" i="12"/>
  <c r="Y21" i="12"/>
  <c r="U19" i="12"/>
  <c r="T19" i="12"/>
  <c r="F19" i="12"/>
  <c r="H19" i="12"/>
  <c r="N19" i="12"/>
  <c r="E19" i="12"/>
  <c r="J19" i="12"/>
  <c r="D19" i="12"/>
  <c r="Y18" i="12"/>
  <c r="V18" i="12"/>
  <c r="X18" i="12"/>
  <c r="T18" i="12"/>
  <c r="U18" i="12"/>
  <c r="Z18" i="12"/>
  <c r="I18" i="12"/>
  <c r="H18" i="12"/>
  <c r="M18" i="12"/>
  <c r="D18" i="12"/>
  <c r="E18" i="12"/>
  <c r="F18" i="12"/>
  <c r="U17" i="12"/>
  <c r="T17" i="12"/>
  <c r="E17" i="12"/>
  <c r="D17" i="12"/>
  <c r="T16" i="12"/>
  <c r="U16" i="12"/>
  <c r="D16" i="12"/>
  <c r="E16" i="12"/>
  <c r="D15" i="12"/>
  <c r="E15" i="12"/>
  <c r="Y11" i="12"/>
  <c r="W11" i="12"/>
  <c r="U11" i="12"/>
  <c r="G11" i="12"/>
  <c r="V10" i="12"/>
  <c r="X10" i="12"/>
  <c r="U10" i="12"/>
  <c r="Z10" i="12"/>
  <c r="M10" i="12"/>
  <c r="J10" i="12"/>
  <c r="H10" i="12"/>
  <c r="U9" i="12"/>
  <c r="Z9" i="12"/>
  <c r="E9" i="12"/>
  <c r="AD8" i="12"/>
  <c r="AB8" i="12"/>
  <c r="Z8" i="12"/>
  <c r="Y8" i="12"/>
  <c r="V8" i="12"/>
  <c r="X8" i="12"/>
  <c r="AC8" i="12"/>
  <c r="U8" i="12"/>
  <c r="E8" i="12"/>
  <c r="F8" i="12"/>
  <c r="H8" i="12"/>
  <c r="AC7" i="12"/>
  <c r="Z7" i="12"/>
  <c r="V7" i="12"/>
  <c r="X7" i="12"/>
  <c r="AD7" i="12"/>
  <c r="U7" i="12"/>
  <c r="I7" i="12"/>
  <c r="F7" i="12"/>
  <c r="H7" i="12"/>
  <c r="E7" i="12"/>
  <c r="J7" i="12"/>
  <c r="Z6" i="12"/>
  <c r="V6" i="12"/>
  <c r="X6" i="12"/>
  <c r="U6" i="12"/>
  <c r="I6" i="12"/>
  <c r="E6" i="12"/>
  <c r="J6" i="12"/>
  <c r="E5" i="12"/>
  <c r="G2" i="12"/>
  <c r="I46" i="11"/>
  <c r="G46" i="11"/>
  <c r="N45" i="11"/>
  <c r="F45" i="11"/>
  <c r="H45" i="11"/>
  <c r="M45" i="11"/>
  <c r="E45" i="11"/>
  <c r="J45" i="11"/>
  <c r="D45" i="11"/>
  <c r="E44" i="11"/>
  <c r="F44" i="11"/>
  <c r="H44" i="11"/>
  <c r="D44" i="11"/>
  <c r="E43" i="11"/>
  <c r="D43" i="11"/>
  <c r="E42" i="11"/>
  <c r="J42" i="11"/>
  <c r="D42" i="11"/>
  <c r="J41" i="11"/>
  <c r="F41" i="11"/>
  <c r="E41" i="11"/>
  <c r="E46" i="11"/>
  <c r="D41" i="11"/>
  <c r="I37" i="11"/>
  <c r="G37" i="11"/>
  <c r="D36" i="11"/>
  <c r="E36" i="11"/>
  <c r="N35" i="11"/>
  <c r="J35" i="11"/>
  <c r="L35" i="11"/>
  <c r="H35" i="11"/>
  <c r="M35" i="11"/>
  <c r="E35" i="11"/>
  <c r="F35" i="11"/>
  <c r="D35" i="11"/>
  <c r="F34" i="11"/>
  <c r="H34" i="11"/>
  <c r="E34" i="11"/>
  <c r="J34" i="11"/>
  <c r="D34" i="11"/>
  <c r="D33" i="11"/>
  <c r="E33" i="11"/>
  <c r="J32" i="11"/>
  <c r="D32" i="11"/>
  <c r="E32" i="11"/>
  <c r="I28" i="11"/>
  <c r="G28" i="11"/>
  <c r="D27" i="11"/>
  <c r="E27" i="11"/>
  <c r="E26" i="11"/>
  <c r="D26" i="11"/>
  <c r="F25" i="11"/>
  <c r="H25" i="11"/>
  <c r="D25" i="11"/>
  <c r="E25" i="11"/>
  <c r="J25" i="11"/>
  <c r="E24" i="11"/>
  <c r="D24" i="11"/>
  <c r="E23" i="11"/>
  <c r="D23" i="11"/>
  <c r="I19" i="11"/>
  <c r="G19" i="11"/>
  <c r="F18" i="11"/>
  <c r="H18" i="11"/>
  <c r="E18" i="11"/>
  <c r="J18" i="11"/>
  <c r="D18" i="11"/>
  <c r="E17" i="11"/>
  <c r="D17" i="11"/>
  <c r="J16" i="11"/>
  <c r="L16" i="11"/>
  <c r="D16" i="11"/>
  <c r="E16" i="11"/>
  <c r="F16" i="11"/>
  <c r="H16" i="11"/>
  <c r="E15" i="11"/>
  <c r="D15" i="11"/>
  <c r="J14" i="11"/>
  <c r="I14" i="11"/>
  <c r="H14" i="11"/>
  <c r="F14" i="11"/>
  <c r="E14" i="11"/>
  <c r="D14" i="11"/>
  <c r="I10" i="11"/>
  <c r="G10" i="11"/>
  <c r="G2" i="11"/>
  <c r="D9" i="11"/>
  <c r="E9" i="11"/>
  <c r="M8" i="11"/>
  <c r="L8" i="11"/>
  <c r="J8" i="11"/>
  <c r="F8" i="11"/>
  <c r="H8" i="11"/>
  <c r="E8" i="11"/>
  <c r="D8" i="11"/>
  <c r="D7" i="11"/>
  <c r="E7" i="11"/>
  <c r="E10" i="11"/>
  <c r="E6" i="11"/>
  <c r="J5" i="11"/>
  <c r="E5" i="11"/>
  <c r="F5" i="11"/>
  <c r="I55" i="10"/>
  <c r="G55" i="10"/>
  <c r="J54" i="10"/>
  <c r="H54" i="10"/>
  <c r="F54" i="10"/>
  <c r="E54" i="10"/>
  <c r="D54" i="10"/>
  <c r="D53" i="10"/>
  <c r="E53" i="10"/>
  <c r="J52" i="10"/>
  <c r="L52" i="10"/>
  <c r="F52" i="10"/>
  <c r="H52" i="10"/>
  <c r="E52" i="10"/>
  <c r="D52" i="10"/>
  <c r="D51" i="10"/>
  <c r="E51" i="10"/>
  <c r="D50" i="10"/>
  <c r="E50" i="10"/>
  <c r="I46" i="10"/>
  <c r="G46" i="10"/>
  <c r="E45" i="10"/>
  <c r="D45" i="10"/>
  <c r="E44" i="10"/>
  <c r="J44" i="10"/>
  <c r="D44" i="10"/>
  <c r="N43" i="10"/>
  <c r="M43" i="10"/>
  <c r="L43" i="10"/>
  <c r="J43" i="10"/>
  <c r="F43" i="10"/>
  <c r="H43" i="10"/>
  <c r="E43" i="10"/>
  <c r="D43" i="10"/>
  <c r="D42" i="10"/>
  <c r="E42" i="10"/>
  <c r="J42" i="10"/>
  <c r="D41" i="10"/>
  <c r="E41" i="10"/>
  <c r="G37" i="10"/>
  <c r="D36" i="10"/>
  <c r="E36" i="10"/>
  <c r="D35" i="10"/>
  <c r="E35" i="10"/>
  <c r="N34" i="10"/>
  <c r="J34" i="10"/>
  <c r="L34" i="10"/>
  <c r="F34" i="10"/>
  <c r="H34" i="10"/>
  <c r="M34" i="10"/>
  <c r="E34" i="10"/>
  <c r="D34" i="10"/>
  <c r="J33" i="10"/>
  <c r="I33" i="10"/>
  <c r="H33" i="10"/>
  <c r="F33" i="10"/>
  <c r="E33" i="10"/>
  <c r="D33" i="10"/>
  <c r="J32" i="10"/>
  <c r="I32" i="10"/>
  <c r="D32" i="10"/>
  <c r="E32" i="10"/>
  <c r="G28" i="10"/>
  <c r="F27" i="10"/>
  <c r="H27" i="10"/>
  <c r="D27" i="10"/>
  <c r="E27" i="10"/>
  <c r="J27" i="10"/>
  <c r="L27" i="10"/>
  <c r="I26" i="10"/>
  <c r="D26" i="10"/>
  <c r="E26" i="10"/>
  <c r="D25" i="10"/>
  <c r="E25" i="10"/>
  <c r="J24" i="10"/>
  <c r="I24" i="10"/>
  <c r="F24" i="10"/>
  <c r="H24" i="10"/>
  <c r="M24" i="10"/>
  <c r="E24" i="10"/>
  <c r="D24" i="10"/>
  <c r="I23" i="10"/>
  <c r="F23" i="10"/>
  <c r="H23" i="10"/>
  <c r="E23" i="10"/>
  <c r="D23" i="10"/>
  <c r="G19" i="10"/>
  <c r="D18" i="10"/>
  <c r="E18" i="10"/>
  <c r="I17" i="10"/>
  <c r="D17" i="10"/>
  <c r="E17" i="10"/>
  <c r="I16" i="10"/>
  <c r="F16" i="10"/>
  <c r="H16" i="10"/>
  <c r="D16" i="10"/>
  <c r="E16" i="10"/>
  <c r="J16" i="10"/>
  <c r="I15" i="10"/>
  <c r="E15" i="10"/>
  <c r="J15" i="10"/>
  <c r="D15" i="10"/>
  <c r="I14" i="10"/>
  <c r="I19" i="10"/>
  <c r="D14" i="10"/>
  <c r="E14" i="10"/>
  <c r="J14" i="10"/>
  <c r="I10" i="10"/>
  <c r="I2" i="10"/>
  <c r="G10" i="10"/>
  <c r="G2" i="10"/>
  <c r="D9" i="10"/>
  <c r="E9" i="10"/>
  <c r="F9" i="10"/>
  <c r="H9" i="10"/>
  <c r="M9" i="10"/>
  <c r="D8" i="10"/>
  <c r="E8" i="10"/>
  <c r="I7" i="10"/>
  <c r="F7" i="10"/>
  <c r="H7" i="10"/>
  <c r="D7" i="10"/>
  <c r="E7" i="10"/>
  <c r="J7" i="10"/>
  <c r="D6" i="10"/>
  <c r="E6" i="10"/>
  <c r="F6" i="10"/>
  <c r="H6" i="10"/>
  <c r="J5" i="10"/>
  <c r="E5" i="10"/>
  <c r="W110" i="9"/>
  <c r="T110" i="9"/>
  <c r="I110" i="9"/>
  <c r="G110" i="9"/>
  <c r="U109" i="9"/>
  <c r="T109" i="9"/>
  <c r="N109" i="9"/>
  <c r="F109" i="9"/>
  <c r="H109" i="9"/>
  <c r="M109" i="9"/>
  <c r="E109" i="9"/>
  <c r="J109" i="9"/>
  <c r="D109" i="9"/>
  <c r="T108" i="9"/>
  <c r="U108" i="9"/>
  <c r="F108" i="9"/>
  <c r="H108" i="9"/>
  <c r="E108" i="9"/>
  <c r="J108" i="9"/>
  <c r="D108" i="9"/>
  <c r="T107" i="9"/>
  <c r="U107" i="9"/>
  <c r="V107" i="9"/>
  <c r="X107" i="9"/>
  <c r="D107" i="9"/>
  <c r="E107" i="9"/>
  <c r="Y106" i="9"/>
  <c r="X106" i="9"/>
  <c r="V106" i="9"/>
  <c r="T106" i="9"/>
  <c r="U106" i="9"/>
  <c r="J106" i="9"/>
  <c r="L106" i="9"/>
  <c r="H106" i="9"/>
  <c r="D106" i="9"/>
  <c r="E106" i="9"/>
  <c r="F106" i="9"/>
  <c r="Z105" i="9"/>
  <c r="Y105" i="9"/>
  <c r="V105" i="9"/>
  <c r="U105" i="9"/>
  <c r="T105" i="9"/>
  <c r="J105" i="9"/>
  <c r="L105" i="9"/>
  <c r="D105" i="9"/>
  <c r="E105" i="9"/>
  <c r="F105" i="9"/>
  <c r="H105" i="9"/>
  <c r="H104" i="9"/>
  <c r="F104" i="9"/>
  <c r="E104" i="9"/>
  <c r="J104" i="9"/>
  <c r="D104" i="9"/>
  <c r="W100" i="9"/>
  <c r="T100" i="9"/>
  <c r="G100" i="9"/>
  <c r="U99" i="9"/>
  <c r="Z99" i="9"/>
  <c r="T99" i="9"/>
  <c r="J99" i="9"/>
  <c r="L99" i="9"/>
  <c r="D99" i="9"/>
  <c r="E99" i="9"/>
  <c r="F99" i="9"/>
  <c r="H99" i="9"/>
  <c r="T98" i="9"/>
  <c r="U98" i="9"/>
  <c r="L98" i="9"/>
  <c r="J98" i="9"/>
  <c r="E98" i="9"/>
  <c r="F98" i="9"/>
  <c r="H98" i="9"/>
  <c r="D98" i="9"/>
  <c r="Z97" i="9"/>
  <c r="X97" i="9"/>
  <c r="V97" i="9"/>
  <c r="U97" i="9"/>
  <c r="T97" i="9"/>
  <c r="D97" i="9"/>
  <c r="E97" i="9"/>
  <c r="Y96" i="9"/>
  <c r="T96" i="9"/>
  <c r="U96" i="9"/>
  <c r="E96" i="9"/>
  <c r="D96" i="9"/>
  <c r="Z95" i="9"/>
  <c r="Y95" i="9"/>
  <c r="V95" i="9"/>
  <c r="U95" i="9"/>
  <c r="T95" i="9"/>
  <c r="D95" i="9"/>
  <c r="E95" i="9"/>
  <c r="I94" i="9"/>
  <c r="I100" i="9"/>
  <c r="F94" i="9"/>
  <c r="E94" i="9"/>
  <c r="D94" i="9"/>
  <c r="W90" i="9"/>
  <c r="T90" i="9"/>
  <c r="G90" i="9"/>
  <c r="AD89" i="9"/>
  <c r="AC89" i="9"/>
  <c r="Z89" i="9"/>
  <c r="T89" i="9"/>
  <c r="U89" i="9"/>
  <c r="V89" i="9"/>
  <c r="X89" i="9"/>
  <c r="D89" i="9"/>
  <c r="E89" i="9"/>
  <c r="T88" i="9"/>
  <c r="U88" i="9"/>
  <c r="D88" i="9"/>
  <c r="E88" i="9"/>
  <c r="T87" i="9"/>
  <c r="U87" i="9"/>
  <c r="J87" i="9"/>
  <c r="L87" i="9"/>
  <c r="D87" i="9"/>
  <c r="E87" i="9"/>
  <c r="F87" i="9"/>
  <c r="H87" i="9"/>
  <c r="M87" i="9"/>
  <c r="Y86" i="9"/>
  <c r="U86" i="9"/>
  <c r="Z86" i="9"/>
  <c r="T86" i="9"/>
  <c r="E86" i="9"/>
  <c r="J86" i="9"/>
  <c r="D86" i="9"/>
  <c r="T85" i="9"/>
  <c r="U85" i="9"/>
  <c r="F85" i="9"/>
  <c r="H85" i="9"/>
  <c r="M85" i="9"/>
  <c r="E85" i="9"/>
  <c r="J85" i="9"/>
  <c r="D85" i="9"/>
  <c r="I84" i="9"/>
  <c r="D84" i="9"/>
  <c r="E84" i="9"/>
  <c r="W80" i="9"/>
  <c r="T80" i="9"/>
  <c r="I80" i="9"/>
  <c r="G80" i="9"/>
  <c r="Z79" i="9"/>
  <c r="X79" i="9"/>
  <c r="U79" i="9"/>
  <c r="V79" i="9"/>
  <c r="T79" i="9"/>
  <c r="M79" i="9"/>
  <c r="J79" i="9"/>
  <c r="L79" i="9"/>
  <c r="H79" i="9"/>
  <c r="D79" i="9"/>
  <c r="Y78" i="9"/>
  <c r="T78" i="9"/>
  <c r="U78" i="9"/>
  <c r="D78" i="9"/>
  <c r="E78" i="9"/>
  <c r="J78" i="9"/>
  <c r="T77" i="9"/>
  <c r="U77" i="9"/>
  <c r="I77" i="9"/>
  <c r="E77" i="9"/>
  <c r="D77" i="9"/>
  <c r="U76" i="9"/>
  <c r="V76" i="9"/>
  <c r="X76" i="9"/>
  <c r="T76" i="9"/>
  <c r="D76" i="9"/>
  <c r="E76" i="9"/>
  <c r="Y75" i="9"/>
  <c r="V75" i="9"/>
  <c r="T75" i="9"/>
  <c r="U75" i="9"/>
  <c r="Z75" i="9"/>
  <c r="M75" i="9"/>
  <c r="J75" i="9"/>
  <c r="E75" i="9"/>
  <c r="F75" i="9"/>
  <c r="H75" i="9"/>
  <c r="N75" i="9"/>
  <c r="D75" i="9"/>
  <c r="F74" i="9"/>
  <c r="D74" i="9"/>
  <c r="E74" i="9"/>
  <c r="J74" i="9"/>
  <c r="W70" i="9"/>
  <c r="T70" i="9"/>
  <c r="I70" i="9"/>
  <c r="G70" i="9"/>
  <c r="Y69" i="9"/>
  <c r="T69" i="9"/>
  <c r="U69" i="9"/>
  <c r="M69" i="9"/>
  <c r="J69" i="9"/>
  <c r="L69" i="9"/>
  <c r="H69" i="9"/>
  <c r="D69" i="9"/>
  <c r="Y68" i="9"/>
  <c r="T68" i="9"/>
  <c r="U68" i="9"/>
  <c r="H68" i="9"/>
  <c r="F68" i="9"/>
  <c r="D68" i="9"/>
  <c r="E68" i="9"/>
  <c r="J68" i="9"/>
  <c r="L68" i="9"/>
  <c r="Y67" i="9"/>
  <c r="T67" i="9"/>
  <c r="U67" i="9"/>
  <c r="Z67" i="9"/>
  <c r="I67" i="9"/>
  <c r="F67" i="9"/>
  <c r="H67" i="9"/>
  <c r="E67" i="9"/>
  <c r="J67" i="9"/>
  <c r="L67" i="9"/>
  <c r="D67" i="9"/>
  <c r="U66" i="9"/>
  <c r="Z66" i="9"/>
  <c r="E66" i="9"/>
  <c r="J66" i="9"/>
  <c r="D66" i="9"/>
  <c r="U65" i="9"/>
  <c r="T65" i="9"/>
  <c r="D65" i="9"/>
  <c r="E65" i="9"/>
  <c r="I64" i="9"/>
  <c r="D64" i="9"/>
  <c r="E64" i="9"/>
  <c r="W60" i="9"/>
  <c r="T60" i="9"/>
  <c r="I60" i="9"/>
  <c r="G60" i="9"/>
  <c r="AC59" i="9"/>
  <c r="AB59" i="9"/>
  <c r="Z59" i="9"/>
  <c r="AD59" i="9"/>
  <c r="V59" i="9"/>
  <c r="U59" i="9"/>
  <c r="T59" i="9"/>
  <c r="M59" i="9"/>
  <c r="J59" i="9"/>
  <c r="H59" i="9"/>
  <c r="N59" i="9"/>
  <c r="D59" i="9"/>
  <c r="U58" i="9"/>
  <c r="T58" i="9"/>
  <c r="D58" i="9"/>
  <c r="E58" i="9"/>
  <c r="J58" i="9"/>
  <c r="Y57" i="9"/>
  <c r="V57" i="9"/>
  <c r="X57" i="9"/>
  <c r="U57" i="9"/>
  <c r="Z57" i="9"/>
  <c r="AB57" i="9"/>
  <c r="T57" i="9"/>
  <c r="E57" i="9"/>
  <c r="J57" i="9"/>
  <c r="D57" i="9"/>
  <c r="T56" i="9"/>
  <c r="U56" i="9"/>
  <c r="Z56" i="9"/>
  <c r="E56" i="9"/>
  <c r="J56" i="9"/>
  <c r="D56" i="9"/>
  <c r="Y55" i="9"/>
  <c r="T55" i="9"/>
  <c r="U55" i="9"/>
  <c r="I55" i="9"/>
  <c r="F55" i="9"/>
  <c r="H55" i="9"/>
  <c r="D55" i="9"/>
  <c r="E55" i="9"/>
  <c r="J55" i="9"/>
  <c r="E54" i="9"/>
  <c r="D54" i="9"/>
  <c r="W50" i="9"/>
  <c r="T50" i="9"/>
  <c r="I50" i="9"/>
  <c r="G50" i="9"/>
  <c r="AC49" i="9"/>
  <c r="T49" i="9"/>
  <c r="U49" i="9"/>
  <c r="J49" i="9"/>
  <c r="L49" i="9"/>
  <c r="H49" i="9"/>
  <c r="M49" i="9"/>
  <c r="D49" i="9"/>
  <c r="Y48" i="9"/>
  <c r="T48" i="9"/>
  <c r="U48" i="9"/>
  <c r="Z48" i="9"/>
  <c r="N48" i="9"/>
  <c r="I48" i="9"/>
  <c r="L48" i="9"/>
  <c r="F48" i="9"/>
  <c r="H48" i="9"/>
  <c r="M48" i="9"/>
  <c r="E48" i="9"/>
  <c r="J48" i="9"/>
  <c r="D48" i="9"/>
  <c r="Z47" i="9"/>
  <c r="Y47" i="9"/>
  <c r="U47" i="9"/>
  <c r="V47" i="9"/>
  <c r="X47" i="9"/>
  <c r="T47" i="9"/>
  <c r="I47" i="9"/>
  <c r="D47" i="9"/>
  <c r="E47" i="9"/>
  <c r="Y46" i="9"/>
  <c r="T46" i="9"/>
  <c r="U46" i="9"/>
  <c r="Z46" i="9"/>
  <c r="I46" i="9"/>
  <c r="E46" i="9"/>
  <c r="D46" i="9"/>
  <c r="Y45" i="9"/>
  <c r="T45" i="9"/>
  <c r="U45" i="9"/>
  <c r="N45" i="9"/>
  <c r="M45" i="9"/>
  <c r="J45" i="9"/>
  <c r="I45" i="9"/>
  <c r="F45" i="9"/>
  <c r="H45" i="9"/>
  <c r="D45" i="9"/>
  <c r="E45" i="9"/>
  <c r="D44" i="9"/>
  <c r="E44" i="9"/>
  <c r="W40" i="9"/>
  <c r="T40" i="9"/>
  <c r="G40" i="9"/>
  <c r="AB39" i="9"/>
  <c r="Y39" i="9"/>
  <c r="V39" i="9"/>
  <c r="X39" i="9"/>
  <c r="T39" i="9"/>
  <c r="U39" i="9"/>
  <c r="Z39" i="9"/>
  <c r="M39" i="9"/>
  <c r="J39" i="9"/>
  <c r="L39" i="9"/>
  <c r="H39" i="9"/>
  <c r="D39" i="9"/>
  <c r="T38" i="9"/>
  <c r="U38" i="9"/>
  <c r="J38" i="9"/>
  <c r="L38" i="9"/>
  <c r="H38" i="9"/>
  <c r="E38" i="9"/>
  <c r="F38" i="9"/>
  <c r="D38" i="9"/>
  <c r="T37" i="9"/>
  <c r="U37" i="9"/>
  <c r="Z37" i="9"/>
  <c r="I37" i="9"/>
  <c r="E37" i="9"/>
  <c r="J37" i="9"/>
  <c r="D37" i="9"/>
  <c r="Y36" i="9"/>
  <c r="V36" i="9"/>
  <c r="X36" i="9"/>
  <c r="T36" i="9"/>
  <c r="U36" i="9"/>
  <c r="Z36" i="9"/>
  <c r="AB36" i="9"/>
  <c r="J36" i="9"/>
  <c r="L36" i="9"/>
  <c r="E36" i="9"/>
  <c r="F36" i="9"/>
  <c r="H36" i="9"/>
  <c r="N36" i="9"/>
  <c r="D36" i="9"/>
  <c r="Y35" i="9"/>
  <c r="Y40" i="9"/>
  <c r="T35" i="9"/>
  <c r="U35" i="9"/>
  <c r="M35" i="9"/>
  <c r="J35" i="9"/>
  <c r="I35" i="9"/>
  <c r="I40" i="9"/>
  <c r="F35" i="9"/>
  <c r="H35" i="9"/>
  <c r="E35" i="9"/>
  <c r="D35" i="9"/>
  <c r="E34" i="9"/>
  <c r="D34" i="9"/>
  <c r="W30" i="9"/>
  <c r="G30" i="9"/>
  <c r="E30" i="9"/>
  <c r="AC29" i="9"/>
  <c r="V29" i="9"/>
  <c r="X29" i="9"/>
  <c r="AD29" i="9"/>
  <c r="U29" i="9"/>
  <c r="Z29" i="9"/>
  <c r="J29" i="9"/>
  <c r="H29" i="9"/>
  <c r="X28" i="9"/>
  <c r="AD28" i="9"/>
  <c r="V28" i="9"/>
  <c r="U28" i="9"/>
  <c r="Z28" i="9"/>
  <c r="E28" i="9"/>
  <c r="J28" i="9"/>
  <c r="AD27" i="9"/>
  <c r="Z27" i="9"/>
  <c r="AB27" i="9"/>
  <c r="U27" i="9"/>
  <c r="V27" i="9"/>
  <c r="X27" i="9"/>
  <c r="AC27" i="9"/>
  <c r="N27" i="9"/>
  <c r="J27" i="9"/>
  <c r="F27" i="9"/>
  <c r="H27" i="9"/>
  <c r="E27" i="9"/>
  <c r="Y26" i="9"/>
  <c r="U26" i="9"/>
  <c r="I26" i="9"/>
  <c r="I30" i="9"/>
  <c r="E26" i="9"/>
  <c r="J26" i="9"/>
  <c r="Y25" i="9"/>
  <c r="U25" i="9"/>
  <c r="M25" i="9"/>
  <c r="J25" i="9"/>
  <c r="L25" i="9"/>
  <c r="H25" i="9"/>
  <c r="E25" i="9"/>
  <c r="F25" i="9"/>
  <c r="J24" i="9"/>
  <c r="E24" i="9"/>
  <c r="F24" i="9"/>
  <c r="W20" i="9"/>
  <c r="G20" i="9"/>
  <c r="E20" i="9"/>
  <c r="Y19" i="9"/>
  <c r="U19" i="9"/>
  <c r="Z19" i="9"/>
  <c r="M19" i="9"/>
  <c r="J19" i="9"/>
  <c r="H19" i="9"/>
  <c r="N19" i="9"/>
  <c r="Y18" i="9"/>
  <c r="U18" i="9"/>
  <c r="N18" i="9"/>
  <c r="J18" i="9"/>
  <c r="I18" i="9"/>
  <c r="L18" i="9"/>
  <c r="H18" i="9"/>
  <c r="M18" i="9"/>
  <c r="E18" i="9"/>
  <c r="F18" i="9"/>
  <c r="Z17" i="9"/>
  <c r="X17" i="9"/>
  <c r="U17" i="9"/>
  <c r="V17" i="9"/>
  <c r="I17" i="9"/>
  <c r="E17" i="9"/>
  <c r="J17" i="9"/>
  <c r="Z16" i="9"/>
  <c r="Y16" i="9"/>
  <c r="X16" i="9"/>
  <c r="AC16" i="9"/>
  <c r="V16" i="9"/>
  <c r="U16" i="9"/>
  <c r="I16" i="9"/>
  <c r="E16" i="9"/>
  <c r="Z15" i="9"/>
  <c r="V15" i="9"/>
  <c r="U15" i="9"/>
  <c r="M15" i="9"/>
  <c r="J15" i="9"/>
  <c r="I15" i="9"/>
  <c r="H15" i="9"/>
  <c r="E15" i="9"/>
  <c r="F15" i="9"/>
  <c r="F14" i="9"/>
  <c r="E14" i="9"/>
  <c r="J14" i="9"/>
  <c r="G10" i="9"/>
  <c r="J9" i="9"/>
  <c r="I9" i="9"/>
  <c r="H9" i="9"/>
  <c r="F9" i="9"/>
  <c r="E9" i="9"/>
  <c r="E8" i="9"/>
  <c r="J8" i="9"/>
  <c r="J7" i="9"/>
  <c r="L7" i="9"/>
  <c r="H7" i="9"/>
  <c r="M7" i="9"/>
  <c r="F7" i="9"/>
  <c r="E7" i="9"/>
  <c r="E6" i="9"/>
  <c r="F5" i="9"/>
  <c r="E5" i="9"/>
  <c r="E10" i="9"/>
  <c r="G2" i="9"/>
  <c r="I86" i="6"/>
  <c r="G86" i="6"/>
  <c r="D85" i="6"/>
  <c r="E85" i="6"/>
  <c r="D84" i="6"/>
  <c r="E84" i="6"/>
  <c r="D83" i="6"/>
  <c r="E83" i="6"/>
  <c r="D82" i="6"/>
  <c r="E82" i="6"/>
  <c r="J82" i="6"/>
  <c r="D81" i="6"/>
  <c r="E81" i="6"/>
  <c r="D80" i="6"/>
  <c r="E80" i="6"/>
  <c r="F80" i="6"/>
  <c r="H80" i="6"/>
  <c r="D79" i="6"/>
  <c r="E79" i="6"/>
  <c r="F79" i="6"/>
  <c r="H79" i="6"/>
  <c r="I75" i="6"/>
  <c r="G75" i="6"/>
  <c r="J74" i="6"/>
  <c r="E74" i="6"/>
  <c r="F74" i="6"/>
  <c r="H74" i="6"/>
  <c r="D74" i="6"/>
  <c r="M73" i="6"/>
  <c r="D73" i="6"/>
  <c r="E73" i="6"/>
  <c r="F73" i="6"/>
  <c r="H73" i="6"/>
  <c r="J73" i="6"/>
  <c r="D72" i="6"/>
  <c r="E72" i="6"/>
  <c r="J72" i="6"/>
  <c r="D71" i="6"/>
  <c r="E71" i="6"/>
  <c r="D70" i="6"/>
  <c r="E70" i="6"/>
  <c r="F70" i="6"/>
  <c r="H70" i="6"/>
  <c r="E69" i="6"/>
  <c r="J69" i="6"/>
  <c r="D69" i="6"/>
  <c r="D68" i="6"/>
  <c r="E68" i="6"/>
  <c r="I64" i="6"/>
  <c r="G64" i="6"/>
  <c r="D63" i="6"/>
  <c r="E63" i="6"/>
  <c r="F62" i="6"/>
  <c r="H62" i="6"/>
  <c r="E62" i="6"/>
  <c r="J62" i="6"/>
  <c r="D62" i="6"/>
  <c r="D61" i="6"/>
  <c r="E61" i="6"/>
  <c r="D60" i="6"/>
  <c r="E60" i="6"/>
  <c r="M59" i="6"/>
  <c r="J59" i="6"/>
  <c r="L59" i="6"/>
  <c r="D59" i="6"/>
  <c r="E59" i="6"/>
  <c r="F59" i="6"/>
  <c r="H59" i="6"/>
  <c r="D58" i="6"/>
  <c r="E58" i="6"/>
  <c r="J58" i="6"/>
  <c r="F58" i="6"/>
  <c r="H58" i="6"/>
  <c r="D57" i="6"/>
  <c r="E57" i="6"/>
  <c r="I53" i="6"/>
  <c r="G53" i="6"/>
  <c r="D52" i="6"/>
  <c r="E52" i="6"/>
  <c r="F52" i="6"/>
  <c r="H52" i="6"/>
  <c r="D51" i="6"/>
  <c r="E51" i="6"/>
  <c r="E50" i="6"/>
  <c r="F50" i="6"/>
  <c r="H50" i="6"/>
  <c r="D50" i="6"/>
  <c r="D49" i="6"/>
  <c r="E49" i="6"/>
  <c r="F49" i="6"/>
  <c r="H49" i="6"/>
  <c r="D48" i="6"/>
  <c r="E48" i="6"/>
  <c r="E47" i="6"/>
  <c r="J47" i="6"/>
  <c r="F47" i="6"/>
  <c r="H47" i="6"/>
  <c r="D47" i="6"/>
  <c r="D46" i="6"/>
  <c r="E46" i="6"/>
  <c r="G42" i="6"/>
  <c r="D41" i="6"/>
  <c r="E41" i="6"/>
  <c r="J41" i="6"/>
  <c r="D40" i="6"/>
  <c r="E40" i="6"/>
  <c r="E39" i="6"/>
  <c r="D39" i="6"/>
  <c r="J38" i="6"/>
  <c r="D38" i="6"/>
  <c r="E38" i="6"/>
  <c r="F38" i="6"/>
  <c r="H38" i="6"/>
  <c r="I37" i="6"/>
  <c r="E37" i="6"/>
  <c r="D37" i="6"/>
  <c r="D36" i="6"/>
  <c r="E36" i="6"/>
  <c r="J36" i="6"/>
  <c r="I35" i="6"/>
  <c r="I42" i="6"/>
  <c r="D35" i="6"/>
  <c r="E35" i="6"/>
  <c r="E42" i="6"/>
  <c r="I31" i="6"/>
  <c r="G31" i="6"/>
  <c r="D30" i="6"/>
  <c r="E30" i="6"/>
  <c r="E29" i="6"/>
  <c r="D29" i="6"/>
  <c r="D28" i="6"/>
  <c r="E28" i="6"/>
  <c r="F28" i="6"/>
  <c r="H28" i="6"/>
  <c r="D27" i="6"/>
  <c r="E27" i="6"/>
  <c r="J26" i="6"/>
  <c r="H26" i="6"/>
  <c r="E26" i="6"/>
  <c r="F26" i="6"/>
  <c r="D26" i="6"/>
  <c r="D25" i="6"/>
  <c r="E25" i="6"/>
  <c r="D24" i="6"/>
  <c r="E24" i="6"/>
  <c r="G20" i="6"/>
  <c r="D19" i="6"/>
  <c r="E19" i="6"/>
  <c r="D18" i="6"/>
  <c r="E18" i="6"/>
  <c r="D17" i="6"/>
  <c r="E17" i="6"/>
  <c r="J17" i="6"/>
  <c r="I16" i="6"/>
  <c r="D16" i="6"/>
  <c r="E16" i="6"/>
  <c r="I15" i="6"/>
  <c r="D15" i="6"/>
  <c r="E15" i="6"/>
  <c r="F15" i="6"/>
  <c r="H15" i="6"/>
  <c r="I14" i="6"/>
  <c r="D14" i="6"/>
  <c r="E14" i="6"/>
  <c r="F14" i="6"/>
  <c r="H14" i="6"/>
  <c r="M14" i="6"/>
  <c r="D13" i="6"/>
  <c r="E13" i="6"/>
  <c r="I9" i="6"/>
  <c r="I2" i="6"/>
  <c r="G9" i="6"/>
  <c r="D8" i="6"/>
  <c r="E8" i="6"/>
  <c r="F8" i="6"/>
  <c r="H8" i="6"/>
  <c r="D7" i="6"/>
  <c r="E7" i="6"/>
  <c r="I6" i="6"/>
  <c r="D6" i="6"/>
  <c r="E6" i="6"/>
  <c r="F5" i="6"/>
  <c r="H5" i="6"/>
  <c r="E5" i="6"/>
  <c r="G2" i="6"/>
  <c r="I135" i="5"/>
  <c r="J134" i="5"/>
  <c r="D134" i="5"/>
  <c r="E134" i="5"/>
  <c r="F134" i="5"/>
  <c r="H134" i="5"/>
  <c r="D133" i="5"/>
  <c r="E133" i="5"/>
  <c r="M132" i="5"/>
  <c r="J132" i="5"/>
  <c r="L132" i="5"/>
  <c r="D132" i="5"/>
  <c r="E132" i="5"/>
  <c r="F132" i="5"/>
  <c r="H132" i="5"/>
  <c r="N132" i="5"/>
  <c r="D131" i="5"/>
  <c r="E131" i="5"/>
  <c r="F130" i="5"/>
  <c r="D130" i="5"/>
  <c r="E130" i="5"/>
  <c r="J130" i="5"/>
  <c r="I126" i="5"/>
  <c r="E125" i="5"/>
  <c r="D125" i="5"/>
  <c r="D124" i="5"/>
  <c r="E124" i="5"/>
  <c r="F123" i="5"/>
  <c r="H123" i="5"/>
  <c r="D123" i="5"/>
  <c r="E123" i="5"/>
  <c r="J123" i="5"/>
  <c r="E122" i="5"/>
  <c r="D122" i="5"/>
  <c r="J121" i="5"/>
  <c r="E121" i="5"/>
  <c r="D121" i="5"/>
  <c r="I117" i="5"/>
  <c r="N116" i="5"/>
  <c r="J116" i="5"/>
  <c r="F116" i="5"/>
  <c r="H116" i="5"/>
  <c r="M116" i="5"/>
  <c r="E116" i="5"/>
  <c r="D116" i="5"/>
  <c r="D115" i="5"/>
  <c r="E115" i="5"/>
  <c r="D114" i="5"/>
  <c r="E114" i="5"/>
  <c r="J113" i="5"/>
  <c r="L113" i="5"/>
  <c r="E113" i="5"/>
  <c r="F113" i="5"/>
  <c r="H113" i="5"/>
  <c r="D113" i="5"/>
  <c r="D112" i="5"/>
  <c r="E112" i="5"/>
  <c r="I108" i="5"/>
  <c r="D107" i="5"/>
  <c r="E107" i="5"/>
  <c r="M106" i="5"/>
  <c r="D106" i="5"/>
  <c r="E106" i="5"/>
  <c r="J106" i="5"/>
  <c r="N106" i="5"/>
  <c r="I105" i="5"/>
  <c r="L105" i="5"/>
  <c r="F105" i="5"/>
  <c r="H105" i="5"/>
  <c r="D105" i="5"/>
  <c r="E105" i="5"/>
  <c r="J105" i="5"/>
  <c r="D104" i="5"/>
  <c r="E104" i="5"/>
  <c r="F103" i="5"/>
  <c r="H103" i="5"/>
  <c r="E103" i="5"/>
  <c r="D103" i="5"/>
  <c r="E99" i="5"/>
  <c r="D98" i="5"/>
  <c r="E98" i="5"/>
  <c r="H97" i="5"/>
  <c r="F97" i="5"/>
  <c r="D97" i="5"/>
  <c r="E97" i="5"/>
  <c r="J97" i="5"/>
  <c r="L97" i="5"/>
  <c r="I96" i="5"/>
  <c r="D96" i="5"/>
  <c r="E96" i="5"/>
  <c r="J96" i="5"/>
  <c r="D95" i="5"/>
  <c r="E95" i="5"/>
  <c r="F95" i="5"/>
  <c r="H95" i="5"/>
  <c r="M95" i="5"/>
  <c r="L94" i="5"/>
  <c r="J94" i="5"/>
  <c r="H94" i="5"/>
  <c r="D94" i="5"/>
  <c r="E94" i="5"/>
  <c r="F94" i="5"/>
  <c r="I90" i="5"/>
  <c r="E89" i="5"/>
  <c r="D89" i="5"/>
  <c r="I88" i="5"/>
  <c r="F88" i="5"/>
  <c r="H88" i="5"/>
  <c r="N88" i="5"/>
  <c r="D88" i="5"/>
  <c r="E88" i="5"/>
  <c r="J88" i="5"/>
  <c r="F87" i="5"/>
  <c r="H87" i="5"/>
  <c r="E87" i="5"/>
  <c r="J87" i="5"/>
  <c r="D87" i="5"/>
  <c r="I86" i="5"/>
  <c r="E86" i="5"/>
  <c r="D86" i="5"/>
  <c r="D85" i="5"/>
  <c r="E85" i="5"/>
  <c r="J80" i="5"/>
  <c r="F80" i="5"/>
  <c r="H80" i="5"/>
  <c r="D80" i="5"/>
  <c r="E80" i="5"/>
  <c r="J79" i="5"/>
  <c r="L79" i="5"/>
  <c r="I79" i="5"/>
  <c r="E79" i="5"/>
  <c r="F79" i="5"/>
  <c r="H79" i="5"/>
  <c r="M79" i="5"/>
  <c r="D79" i="5"/>
  <c r="I78" i="5"/>
  <c r="D78" i="5"/>
  <c r="E78" i="5"/>
  <c r="F78" i="5"/>
  <c r="H78" i="5"/>
  <c r="M78" i="5"/>
  <c r="I77" i="5"/>
  <c r="D77" i="5"/>
  <c r="E77" i="5"/>
  <c r="I76" i="5"/>
  <c r="F76" i="5"/>
  <c r="D76" i="5"/>
  <c r="E76" i="5"/>
  <c r="E71" i="5"/>
  <c r="D71" i="5"/>
  <c r="I70" i="5"/>
  <c r="F70" i="5"/>
  <c r="H70" i="5"/>
  <c r="E70" i="5"/>
  <c r="J70" i="5"/>
  <c r="D70" i="5"/>
  <c r="I69" i="5"/>
  <c r="D69" i="5"/>
  <c r="E69" i="5"/>
  <c r="I68" i="5"/>
  <c r="D68" i="5"/>
  <c r="E68" i="5"/>
  <c r="J67" i="5"/>
  <c r="I67" i="5"/>
  <c r="I72" i="5"/>
  <c r="E67" i="5"/>
  <c r="D67" i="5"/>
  <c r="F62" i="5"/>
  <c r="H62" i="5"/>
  <c r="E62" i="5"/>
  <c r="J62" i="5"/>
  <c r="M61" i="5"/>
  <c r="L61" i="5"/>
  <c r="J61" i="5"/>
  <c r="N61" i="5"/>
  <c r="I61" i="5"/>
  <c r="F61" i="5"/>
  <c r="H61" i="5"/>
  <c r="E61" i="5"/>
  <c r="I60" i="5"/>
  <c r="H60" i="5"/>
  <c r="F60" i="5"/>
  <c r="E60" i="5"/>
  <c r="J60" i="5"/>
  <c r="L59" i="5"/>
  <c r="I59" i="5"/>
  <c r="F59" i="5"/>
  <c r="H59" i="5"/>
  <c r="E59" i="5"/>
  <c r="J59" i="5"/>
  <c r="J58" i="5"/>
  <c r="I58" i="5"/>
  <c r="F58" i="5"/>
  <c r="E58" i="5"/>
  <c r="E63" i="5"/>
  <c r="I53" i="5"/>
  <c r="F53" i="5"/>
  <c r="H53" i="5"/>
  <c r="E53" i="5"/>
  <c r="J53" i="5"/>
  <c r="I52" i="5"/>
  <c r="E52" i="5"/>
  <c r="J52" i="5"/>
  <c r="J51" i="5"/>
  <c r="L51" i="5"/>
  <c r="H51" i="5"/>
  <c r="E51" i="5"/>
  <c r="F51" i="5"/>
  <c r="I50" i="5"/>
  <c r="E50" i="5"/>
  <c r="J50" i="5"/>
  <c r="E49" i="5"/>
  <c r="E44" i="5"/>
  <c r="M43" i="5"/>
  <c r="J43" i="5"/>
  <c r="I43" i="5"/>
  <c r="E43" i="5"/>
  <c r="F43" i="5"/>
  <c r="H43" i="5"/>
  <c r="F42" i="5"/>
  <c r="H42" i="5"/>
  <c r="E42" i="5"/>
  <c r="J42" i="5"/>
  <c r="L42" i="5"/>
  <c r="E41" i="5"/>
  <c r="J41" i="5"/>
  <c r="F37" i="5"/>
  <c r="J36" i="5"/>
  <c r="H36" i="5"/>
  <c r="M36" i="5"/>
  <c r="E36" i="5"/>
  <c r="M35" i="5"/>
  <c r="J35" i="5"/>
  <c r="I35" i="5"/>
  <c r="H35" i="5"/>
  <c r="E35" i="5"/>
  <c r="J34" i="5"/>
  <c r="I34" i="5"/>
  <c r="H34" i="5"/>
  <c r="E34" i="5"/>
  <c r="J33" i="5"/>
  <c r="H33" i="5"/>
  <c r="H37" i="5"/>
  <c r="E33" i="5"/>
  <c r="I29" i="5"/>
  <c r="E28" i="5"/>
  <c r="J27" i="5"/>
  <c r="I27" i="5"/>
  <c r="F27" i="5"/>
  <c r="H27" i="5"/>
  <c r="E27" i="5"/>
  <c r="J26" i="5"/>
  <c r="L26" i="5"/>
  <c r="F26" i="5"/>
  <c r="H26" i="5"/>
  <c r="E26" i="5"/>
  <c r="I25" i="5"/>
  <c r="E25" i="5"/>
  <c r="J25" i="5"/>
  <c r="J24" i="5"/>
  <c r="E24" i="5"/>
  <c r="I20" i="5"/>
  <c r="L19" i="5"/>
  <c r="F19" i="5"/>
  <c r="H19" i="5"/>
  <c r="E19" i="5"/>
  <c r="J19" i="5"/>
  <c r="N18" i="5"/>
  <c r="J18" i="5"/>
  <c r="L18" i="5"/>
  <c r="E18" i="5"/>
  <c r="F18" i="5"/>
  <c r="H18" i="5"/>
  <c r="M18" i="5"/>
  <c r="F17" i="5"/>
  <c r="H17" i="5"/>
  <c r="M17" i="5"/>
  <c r="E17" i="5"/>
  <c r="E20" i="5"/>
  <c r="I16" i="5"/>
  <c r="E16" i="5"/>
  <c r="J16" i="5"/>
  <c r="I12" i="5"/>
  <c r="G12" i="5"/>
  <c r="F11" i="5"/>
  <c r="H11" i="5"/>
  <c r="E11" i="5"/>
  <c r="J11" i="5"/>
  <c r="E10" i="5"/>
  <c r="J9" i="5"/>
  <c r="H9" i="5"/>
  <c r="E9" i="5"/>
  <c r="F9" i="5"/>
  <c r="J8" i="5"/>
  <c r="E8" i="5"/>
  <c r="F8" i="5"/>
  <c r="H8" i="5"/>
  <c r="L7" i="5"/>
  <c r="J7" i="5"/>
  <c r="H7" i="5"/>
  <c r="N7" i="5"/>
  <c r="E7" i="5"/>
  <c r="F7" i="5"/>
  <c r="E6" i="5"/>
  <c r="F5" i="5"/>
  <c r="E5" i="5"/>
  <c r="G2" i="5"/>
  <c r="I63" i="5"/>
  <c r="L60" i="5"/>
  <c r="J77" i="5"/>
  <c r="F77" i="5"/>
  <c r="H77" i="5"/>
  <c r="J69" i="5"/>
  <c r="F69" i="5"/>
  <c r="H69" i="5"/>
  <c r="F131" i="5"/>
  <c r="H131" i="5"/>
  <c r="J131" i="5"/>
  <c r="L131" i="5"/>
  <c r="J114" i="5"/>
  <c r="L114" i="5"/>
  <c r="F114" i="5"/>
  <c r="H114" i="5"/>
  <c r="N87" i="5"/>
  <c r="M87" i="5"/>
  <c r="N62" i="5"/>
  <c r="M62" i="5"/>
  <c r="L35" i="5"/>
  <c r="N35" i="5"/>
  <c r="N53" i="5"/>
  <c r="M53" i="5"/>
  <c r="N8" i="5"/>
  <c r="M8" i="5"/>
  <c r="N80" i="5"/>
  <c r="M80" i="5"/>
  <c r="N26" i="5"/>
  <c r="M26" i="5"/>
  <c r="J44" i="5"/>
  <c r="F44" i="5"/>
  <c r="H44" i="5"/>
  <c r="N51" i="5"/>
  <c r="M51" i="5"/>
  <c r="N60" i="5"/>
  <c r="M60" i="5"/>
  <c r="I81" i="5"/>
  <c r="L87" i="5"/>
  <c r="N105" i="5"/>
  <c r="M105" i="5"/>
  <c r="H130" i="5"/>
  <c r="F135" i="5"/>
  <c r="J48" i="6"/>
  <c r="L48" i="6"/>
  <c r="F48" i="6"/>
  <c r="H48" i="6"/>
  <c r="L80" i="5"/>
  <c r="J35" i="10"/>
  <c r="F35" i="10"/>
  <c r="H35" i="10"/>
  <c r="M7" i="5"/>
  <c r="H58" i="5"/>
  <c r="F63" i="5"/>
  <c r="N70" i="5"/>
  <c r="M70" i="5"/>
  <c r="L88" i="5"/>
  <c r="L106" i="5"/>
  <c r="J115" i="5"/>
  <c r="F115" i="5"/>
  <c r="H115" i="5"/>
  <c r="E29" i="5"/>
  <c r="N27" i="5"/>
  <c r="M27" i="5"/>
  <c r="L27" i="5"/>
  <c r="M33" i="5"/>
  <c r="E54" i="5"/>
  <c r="F49" i="5"/>
  <c r="J17" i="5"/>
  <c r="L17" i="5"/>
  <c r="N33" i="5"/>
  <c r="N42" i="5"/>
  <c r="M42" i="5"/>
  <c r="J49" i="5"/>
  <c r="L58" i="5"/>
  <c r="L70" i="5"/>
  <c r="J107" i="5"/>
  <c r="F107" i="5"/>
  <c r="H107" i="5"/>
  <c r="H108" i="5"/>
  <c r="M123" i="5"/>
  <c r="N123" i="5"/>
  <c r="L8" i="5"/>
  <c r="N17" i="5"/>
  <c r="L36" i="5"/>
  <c r="J68" i="5"/>
  <c r="F68" i="5"/>
  <c r="H68" i="5"/>
  <c r="J78" i="5"/>
  <c r="L78" i="5"/>
  <c r="M88" i="5"/>
  <c r="F124" i="5"/>
  <c r="H124" i="5"/>
  <c r="J124" i="5"/>
  <c r="J133" i="5"/>
  <c r="L133" i="5"/>
  <c r="F133" i="5"/>
  <c r="H133" i="5"/>
  <c r="J28" i="5"/>
  <c r="L28" i="5"/>
  <c r="F28" i="5"/>
  <c r="H28" i="5"/>
  <c r="N34" i="5"/>
  <c r="M34" i="5"/>
  <c r="N36" i="5"/>
  <c r="N59" i="5"/>
  <c r="M59" i="5"/>
  <c r="F71" i="5"/>
  <c r="H71" i="5"/>
  <c r="J71" i="5"/>
  <c r="L71" i="5"/>
  <c r="F96" i="5"/>
  <c r="H96" i="5"/>
  <c r="N103" i="5"/>
  <c r="M103" i="5"/>
  <c r="N9" i="5"/>
  <c r="M9" i="5"/>
  <c r="I37" i="5"/>
  <c r="L34" i="5"/>
  <c r="L43" i="5"/>
  <c r="I45" i="5"/>
  <c r="L62" i="5"/>
  <c r="J86" i="5"/>
  <c r="F86" i="5"/>
  <c r="H86" i="5"/>
  <c r="L86" i="5"/>
  <c r="I99" i="5"/>
  <c r="J104" i="5"/>
  <c r="L104" i="5"/>
  <c r="F104" i="5"/>
  <c r="H104" i="5"/>
  <c r="N134" i="5"/>
  <c r="M134" i="5"/>
  <c r="H5" i="5"/>
  <c r="F25" i="5"/>
  <c r="H25" i="5"/>
  <c r="J37" i="5"/>
  <c r="J6" i="5"/>
  <c r="F6" i="5"/>
  <c r="H6" i="5"/>
  <c r="L9" i="5"/>
  <c r="L53" i="5"/>
  <c r="I54" i="5"/>
  <c r="E81" i="5"/>
  <c r="J76" i="5"/>
  <c r="L134" i="5"/>
  <c r="J15" i="6"/>
  <c r="L15" i="6"/>
  <c r="F10" i="5"/>
  <c r="H10" i="5"/>
  <c r="J10" i="5"/>
  <c r="L10" i="5"/>
  <c r="N19" i="5"/>
  <c r="M19" i="5"/>
  <c r="N43" i="5"/>
  <c r="J63" i="5"/>
  <c r="F81" i="5"/>
  <c r="H76" i="5"/>
  <c r="M97" i="5"/>
  <c r="N97" i="5"/>
  <c r="E126" i="5"/>
  <c r="F121" i="5"/>
  <c r="J135" i="5"/>
  <c r="L130" i="5"/>
  <c r="E135" i="5"/>
  <c r="I2" i="5"/>
  <c r="L33" i="5"/>
  <c r="N113" i="5"/>
  <c r="M113" i="5"/>
  <c r="L116" i="5"/>
  <c r="L123" i="5"/>
  <c r="F39" i="6"/>
  <c r="H39" i="6"/>
  <c r="J39" i="6"/>
  <c r="L39" i="6"/>
  <c r="L73" i="6"/>
  <c r="E12" i="5"/>
  <c r="E37" i="5"/>
  <c r="F67" i="5"/>
  <c r="E72" i="5"/>
  <c r="L69" i="5"/>
  <c r="H99" i="5"/>
  <c r="N94" i="5"/>
  <c r="J49" i="6"/>
  <c r="L49" i="6"/>
  <c r="J20" i="5"/>
  <c r="M94" i="5"/>
  <c r="E108" i="5"/>
  <c r="J103" i="5"/>
  <c r="J112" i="5"/>
  <c r="F112" i="5"/>
  <c r="E117" i="5"/>
  <c r="F125" i="5"/>
  <c r="H125" i="5"/>
  <c r="J125" i="5"/>
  <c r="L125" i="5"/>
  <c r="M28" i="6"/>
  <c r="L77" i="5"/>
  <c r="J89" i="5"/>
  <c r="L89" i="5"/>
  <c r="F89" i="5"/>
  <c r="H89" i="5"/>
  <c r="F122" i="5"/>
  <c r="H122" i="5"/>
  <c r="J122" i="5"/>
  <c r="L122" i="5"/>
  <c r="E45" i="5"/>
  <c r="J85" i="5"/>
  <c r="F85" i="5"/>
  <c r="J95" i="5"/>
  <c r="L95" i="5"/>
  <c r="F106" i="5"/>
  <c r="F108" i="5"/>
  <c r="F50" i="5"/>
  <c r="H50" i="5"/>
  <c r="L68" i="5"/>
  <c r="N79" i="5"/>
  <c r="E90" i="5"/>
  <c r="N95" i="5"/>
  <c r="J98" i="5"/>
  <c r="L98" i="5"/>
  <c r="F98" i="5"/>
  <c r="H98" i="5"/>
  <c r="J52" i="6"/>
  <c r="L14" i="9"/>
  <c r="V58" i="9"/>
  <c r="X58" i="9"/>
  <c r="Z58" i="9"/>
  <c r="AB66" i="9"/>
  <c r="F23" i="11"/>
  <c r="E28" i="11"/>
  <c r="J23" i="11"/>
  <c r="AD79" i="9"/>
  <c r="AC79" i="9"/>
  <c r="J15" i="11"/>
  <c r="F15" i="11"/>
  <c r="E19" i="11"/>
  <c r="V77" i="9"/>
  <c r="X77" i="9"/>
  <c r="Z77" i="9"/>
  <c r="AB77" i="9"/>
  <c r="AB79" i="9"/>
  <c r="N29" i="9"/>
  <c r="M29" i="9"/>
  <c r="L29" i="9"/>
  <c r="M67" i="9"/>
  <c r="N67" i="9"/>
  <c r="M6" i="10"/>
  <c r="J9" i="11"/>
  <c r="F9" i="11"/>
  <c r="H9" i="11"/>
  <c r="N25" i="11"/>
  <c r="M25" i="11"/>
  <c r="Y51" i="12"/>
  <c r="F56" i="12"/>
  <c r="H56" i="12"/>
  <c r="J56" i="12"/>
  <c r="J14" i="6"/>
  <c r="L15" i="9"/>
  <c r="I20" i="9"/>
  <c r="N15" i="9"/>
  <c r="J30" i="9"/>
  <c r="L24" i="9"/>
  <c r="AC39" i="12"/>
  <c r="AD16" i="9"/>
  <c r="L37" i="9"/>
  <c r="F47" i="9"/>
  <c r="H47" i="9"/>
  <c r="J47" i="9"/>
  <c r="V80" i="9"/>
  <c r="X75" i="9"/>
  <c r="F16" i="5"/>
  <c r="F41" i="5"/>
  <c r="F52" i="5"/>
  <c r="H52" i="5"/>
  <c r="F37" i="9"/>
  <c r="H37" i="9"/>
  <c r="J65" i="9"/>
  <c r="F65" i="9"/>
  <c r="H65" i="9"/>
  <c r="AC106" i="9"/>
  <c r="M80" i="6"/>
  <c r="V35" i="9"/>
  <c r="Z35" i="9"/>
  <c r="U40" i="9"/>
  <c r="N24" i="10"/>
  <c r="L24" i="10"/>
  <c r="F24" i="5"/>
  <c r="U60" i="9"/>
  <c r="Z55" i="9"/>
  <c r="Z60" i="9"/>
  <c r="V55" i="9"/>
  <c r="L85" i="9"/>
  <c r="N85" i="9"/>
  <c r="J25" i="10"/>
  <c r="F25" i="10"/>
  <c r="J36" i="11"/>
  <c r="L36" i="11"/>
  <c r="F36" i="11"/>
  <c r="H36" i="11"/>
  <c r="N44" i="11"/>
  <c r="M44" i="11"/>
  <c r="J26" i="12"/>
  <c r="J31" i="12"/>
  <c r="E31" i="12"/>
  <c r="F26" i="12"/>
  <c r="H26" i="12"/>
  <c r="N25" i="9"/>
  <c r="M27" i="9"/>
  <c r="L27" i="9"/>
  <c r="AC28" i="9"/>
  <c r="V38" i="9"/>
  <c r="X38" i="9"/>
  <c r="Z38" i="9"/>
  <c r="AB46" i="9"/>
  <c r="M55" i="9"/>
  <c r="N55" i="9"/>
  <c r="J95" i="9"/>
  <c r="F95" i="9"/>
  <c r="H95" i="9"/>
  <c r="M99" i="9"/>
  <c r="N99" i="9"/>
  <c r="N104" i="9"/>
  <c r="M104" i="9"/>
  <c r="J51" i="10"/>
  <c r="L51" i="10"/>
  <c r="F51" i="10"/>
  <c r="H51" i="10"/>
  <c r="F43" i="11"/>
  <c r="H43" i="11"/>
  <c r="J43" i="11"/>
  <c r="V68" i="12"/>
  <c r="X68" i="12"/>
  <c r="Z68" i="12"/>
  <c r="AB68" i="12"/>
  <c r="N7" i="9"/>
  <c r="V18" i="9"/>
  <c r="X18" i="9"/>
  <c r="Z18" i="9"/>
  <c r="Z20" i="9"/>
  <c r="U30" i="9"/>
  <c r="Z25" i="9"/>
  <c r="V25" i="9"/>
  <c r="AB29" i="9"/>
  <c r="Z45" i="9"/>
  <c r="Z50" i="9"/>
  <c r="U50" i="9"/>
  <c r="V45" i="9"/>
  <c r="N69" i="9"/>
  <c r="J76" i="9"/>
  <c r="F76" i="9"/>
  <c r="H76" i="9"/>
  <c r="X95" i="9"/>
  <c r="J36" i="10"/>
  <c r="F36" i="10"/>
  <c r="H36" i="10"/>
  <c r="H5" i="11"/>
  <c r="H10" i="11"/>
  <c r="N16" i="11"/>
  <c r="M16" i="11"/>
  <c r="F32" i="11"/>
  <c r="E37" i="11"/>
  <c r="F16" i="9"/>
  <c r="H16" i="9"/>
  <c r="J16" i="9"/>
  <c r="J20" i="9"/>
  <c r="AB18" i="9"/>
  <c r="E40" i="9"/>
  <c r="J34" i="9"/>
  <c r="F34" i="9"/>
  <c r="AB48" i="9"/>
  <c r="Z87" i="9"/>
  <c r="AB87" i="9"/>
  <c r="V87" i="9"/>
  <c r="X87" i="9"/>
  <c r="AC97" i="9"/>
  <c r="AD97" i="9"/>
  <c r="N7" i="10"/>
  <c r="M7" i="10"/>
  <c r="AB37" i="9"/>
  <c r="AD76" i="9"/>
  <c r="AC76" i="9"/>
  <c r="F88" i="9"/>
  <c r="H88" i="9"/>
  <c r="J88" i="9"/>
  <c r="X105" i="9"/>
  <c r="X110" i="9"/>
  <c r="V110" i="9"/>
  <c r="AC107" i="9"/>
  <c r="AD107" i="9"/>
  <c r="N33" i="10"/>
  <c r="M33" i="10"/>
  <c r="U41" i="12"/>
  <c r="Z36" i="12"/>
  <c r="V36" i="12"/>
  <c r="N46" i="12"/>
  <c r="AD60" i="12"/>
  <c r="AC60" i="12"/>
  <c r="M36" i="9"/>
  <c r="V37" i="9"/>
  <c r="X37" i="9"/>
  <c r="N39" i="9"/>
  <c r="V67" i="9"/>
  <c r="X67" i="9"/>
  <c r="AB67" i="9"/>
  <c r="V69" i="9"/>
  <c r="X69" i="9"/>
  <c r="Z69" i="9"/>
  <c r="AB69" i="9"/>
  <c r="H74" i="9"/>
  <c r="Z76" i="9"/>
  <c r="AB76" i="9"/>
  <c r="Z107" i="9"/>
  <c r="AB107" i="9"/>
  <c r="L7" i="10"/>
  <c r="E28" i="10"/>
  <c r="M59" i="12"/>
  <c r="H5" i="9"/>
  <c r="E50" i="9"/>
  <c r="F44" i="9"/>
  <c r="J44" i="9"/>
  <c r="J46" i="9"/>
  <c r="F46" i="9"/>
  <c r="H46" i="9"/>
  <c r="L46" i="9"/>
  <c r="AC47" i="9"/>
  <c r="AD47" i="9"/>
  <c r="AC57" i="9"/>
  <c r="AD57" i="9"/>
  <c r="U80" i="9"/>
  <c r="V88" i="9"/>
  <c r="X88" i="9"/>
  <c r="Z88" i="9"/>
  <c r="AB88" i="9"/>
  <c r="N27" i="10"/>
  <c r="M27" i="10"/>
  <c r="L42" i="10"/>
  <c r="F45" i="10"/>
  <c r="H45" i="10"/>
  <c r="J45" i="10"/>
  <c r="J7" i="11"/>
  <c r="L7" i="11"/>
  <c r="F7" i="11"/>
  <c r="H7" i="11"/>
  <c r="F46" i="11"/>
  <c r="H41" i="11"/>
  <c r="J6" i="9"/>
  <c r="F6" i="9"/>
  <c r="H6" i="9"/>
  <c r="N9" i="9"/>
  <c r="AC17" i="9"/>
  <c r="AD17" i="9"/>
  <c r="AD39" i="9"/>
  <c r="AC39" i="9"/>
  <c r="N49" i="9"/>
  <c r="F66" i="9"/>
  <c r="H66" i="9"/>
  <c r="F77" i="9"/>
  <c r="H77" i="9"/>
  <c r="J77" i="9"/>
  <c r="L77" i="9"/>
  <c r="F86" i="9"/>
  <c r="H86" i="9"/>
  <c r="V96" i="9"/>
  <c r="X96" i="9"/>
  <c r="U100" i="9"/>
  <c r="Z96" i="9"/>
  <c r="Z100" i="9"/>
  <c r="L16" i="10"/>
  <c r="F42" i="10"/>
  <c r="H42" i="10"/>
  <c r="L18" i="11"/>
  <c r="N34" i="11"/>
  <c r="M34" i="11"/>
  <c r="L34" i="11"/>
  <c r="N7" i="12"/>
  <c r="M7" i="12"/>
  <c r="L7" i="12"/>
  <c r="V40" i="12"/>
  <c r="X40" i="12"/>
  <c r="Z40" i="12"/>
  <c r="I10" i="9"/>
  <c r="L9" i="9"/>
  <c r="H24" i="9"/>
  <c r="Z26" i="9"/>
  <c r="AB26" i="9"/>
  <c r="V26" i="9"/>
  <c r="X26" i="9"/>
  <c r="AD36" i="9"/>
  <c r="AC36" i="9"/>
  <c r="N38" i="9"/>
  <c r="AB47" i="9"/>
  <c r="Z49" i="9"/>
  <c r="V49" i="9"/>
  <c r="F54" i="9"/>
  <c r="E60" i="9"/>
  <c r="J54" i="9"/>
  <c r="J89" i="9"/>
  <c r="L89" i="9"/>
  <c r="F89" i="9"/>
  <c r="H89" i="9"/>
  <c r="N108" i="9"/>
  <c r="M108" i="9"/>
  <c r="N16" i="10"/>
  <c r="M16" i="10"/>
  <c r="M18" i="11"/>
  <c r="N18" i="11"/>
  <c r="E21" i="12"/>
  <c r="F15" i="12"/>
  <c r="J15" i="12"/>
  <c r="AD20" i="12"/>
  <c r="AC20" i="12"/>
  <c r="L58" i="9"/>
  <c r="J64" i="9"/>
  <c r="F64" i="9"/>
  <c r="E70" i="9"/>
  <c r="M68" i="9"/>
  <c r="N68" i="9"/>
  <c r="J84" i="9"/>
  <c r="J90" i="9"/>
  <c r="F84" i="9"/>
  <c r="E90" i="9"/>
  <c r="H94" i="9"/>
  <c r="Z98" i="9"/>
  <c r="V98" i="9"/>
  <c r="X98" i="9"/>
  <c r="Z108" i="9"/>
  <c r="AB108" i="9"/>
  <c r="V108" i="9"/>
  <c r="X108" i="9"/>
  <c r="N54" i="10"/>
  <c r="M54" i="10"/>
  <c r="J27" i="11"/>
  <c r="F27" i="11"/>
  <c r="H27" i="11"/>
  <c r="J16" i="12"/>
  <c r="F16" i="12"/>
  <c r="H16" i="12"/>
  <c r="M9" i="9"/>
  <c r="AB28" i="9"/>
  <c r="L35" i="9"/>
  <c r="M38" i="9"/>
  <c r="V46" i="9"/>
  <c r="X46" i="9"/>
  <c r="V56" i="9"/>
  <c r="X56" i="9"/>
  <c r="F58" i="9"/>
  <c r="H58" i="9"/>
  <c r="U110" i="9"/>
  <c r="J17" i="10"/>
  <c r="L17" i="10"/>
  <c r="F17" i="10"/>
  <c r="H17" i="10"/>
  <c r="F35" i="12"/>
  <c r="J35" i="12"/>
  <c r="E41" i="12"/>
  <c r="Z37" i="12"/>
  <c r="V37" i="12"/>
  <c r="X37" i="12"/>
  <c r="L75" i="9"/>
  <c r="Z78" i="9"/>
  <c r="AB78" i="9"/>
  <c r="V78" i="9"/>
  <c r="X78" i="9"/>
  <c r="AB89" i="9"/>
  <c r="L104" i="9"/>
  <c r="N106" i="9"/>
  <c r="M106" i="9"/>
  <c r="J18" i="10"/>
  <c r="F18" i="10"/>
  <c r="H18" i="10"/>
  <c r="L26" i="10"/>
  <c r="J50" i="10"/>
  <c r="F50" i="10"/>
  <c r="E55" i="10"/>
  <c r="L25" i="11"/>
  <c r="AD10" i="12"/>
  <c r="AC10" i="12"/>
  <c r="AC18" i="12"/>
  <c r="AD18" i="12"/>
  <c r="AB20" i="12"/>
  <c r="AC27" i="12"/>
  <c r="AD27" i="12"/>
  <c r="AB60" i="12"/>
  <c r="V78" i="12"/>
  <c r="X78" i="12"/>
  <c r="Z78" i="12"/>
  <c r="H7" i="13"/>
  <c r="Z71" i="12"/>
  <c r="M80" i="12"/>
  <c r="N80" i="12"/>
  <c r="L80" i="12"/>
  <c r="AC7" i="13"/>
  <c r="AD7" i="13"/>
  <c r="L74" i="9"/>
  <c r="N87" i="9"/>
  <c r="J94" i="9"/>
  <c r="J100" i="9"/>
  <c r="E100" i="9"/>
  <c r="M105" i="9"/>
  <c r="N105" i="9"/>
  <c r="L108" i="9"/>
  <c r="Z109" i="9"/>
  <c r="AB109" i="9"/>
  <c r="V109" i="9"/>
  <c r="X109" i="9"/>
  <c r="E19" i="10"/>
  <c r="J6" i="11"/>
  <c r="L6" i="11"/>
  <c r="F6" i="11"/>
  <c r="H6" i="11"/>
  <c r="F17" i="12"/>
  <c r="H17" i="12"/>
  <c r="J17" i="12"/>
  <c r="L17" i="12"/>
  <c r="L19" i="12"/>
  <c r="F48" i="12"/>
  <c r="H48" i="12"/>
  <c r="J48" i="12"/>
  <c r="L48" i="12"/>
  <c r="X66" i="12"/>
  <c r="F9" i="12"/>
  <c r="H9" i="12"/>
  <c r="J9" i="12"/>
  <c r="F28" i="12"/>
  <c r="H28" i="12"/>
  <c r="J28" i="12"/>
  <c r="L28" i="12"/>
  <c r="J36" i="12"/>
  <c r="L36" i="12"/>
  <c r="F36" i="12"/>
  <c r="H36" i="12"/>
  <c r="AB37" i="12"/>
  <c r="V57" i="12"/>
  <c r="X57" i="12"/>
  <c r="Z57" i="12"/>
  <c r="AB57" i="12"/>
  <c r="M86" i="12"/>
  <c r="N86" i="12"/>
  <c r="Y20" i="9"/>
  <c r="AB16" i="9"/>
  <c r="AB17" i="9"/>
  <c r="E80" i="9"/>
  <c r="I37" i="10"/>
  <c r="L33" i="10"/>
  <c r="L54" i="10"/>
  <c r="F26" i="11"/>
  <c r="H26" i="11"/>
  <c r="J26" i="11"/>
  <c r="L26" i="11"/>
  <c r="J33" i="11"/>
  <c r="L33" i="11"/>
  <c r="F33" i="11"/>
  <c r="H33" i="11"/>
  <c r="M19" i="12"/>
  <c r="AD30" i="12"/>
  <c r="AC30" i="12"/>
  <c r="F38" i="12"/>
  <c r="H38" i="12"/>
  <c r="J38" i="12"/>
  <c r="M46" i="12"/>
  <c r="L86" i="12"/>
  <c r="F8" i="9"/>
  <c r="H8" i="9"/>
  <c r="H14" i="9"/>
  <c r="X15" i="9"/>
  <c r="Y30" i="9"/>
  <c r="F28" i="9"/>
  <c r="H28" i="9"/>
  <c r="V48" i="9"/>
  <c r="X48" i="9"/>
  <c r="F57" i="9"/>
  <c r="H57" i="9"/>
  <c r="V66" i="9"/>
  <c r="X66" i="9"/>
  <c r="Z68" i="9"/>
  <c r="AB68" i="9"/>
  <c r="V68" i="9"/>
  <c r="X68" i="9"/>
  <c r="J96" i="9"/>
  <c r="F96" i="9"/>
  <c r="H96" i="9"/>
  <c r="E110" i="9"/>
  <c r="L42" i="11"/>
  <c r="F6" i="12"/>
  <c r="H6" i="12"/>
  <c r="V17" i="12"/>
  <c r="X17" i="12"/>
  <c r="Z17" i="12"/>
  <c r="AB17" i="12"/>
  <c r="AC48" i="12"/>
  <c r="AB48" i="12"/>
  <c r="AC59" i="12"/>
  <c r="AC10" i="13"/>
  <c r="L19" i="9"/>
  <c r="F56" i="9"/>
  <c r="H56" i="9"/>
  <c r="L59" i="9"/>
  <c r="F78" i="9"/>
  <c r="H78" i="9"/>
  <c r="N79" i="9"/>
  <c r="V86" i="9"/>
  <c r="X86" i="9"/>
  <c r="AB86" i="9"/>
  <c r="N52" i="10"/>
  <c r="M52" i="10"/>
  <c r="I2" i="11"/>
  <c r="L45" i="11"/>
  <c r="AB7" i="12"/>
  <c r="V19" i="12"/>
  <c r="X19" i="12"/>
  <c r="Z19" i="12"/>
  <c r="AB19" i="12"/>
  <c r="AD29" i="12"/>
  <c r="AC29" i="12"/>
  <c r="Z46" i="12"/>
  <c r="V46" i="12"/>
  <c r="AB50" i="12"/>
  <c r="Z61" i="12"/>
  <c r="Z90" i="12"/>
  <c r="AB90" i="12"/>
  <c r="V90" i="12"/>
  <c r="X90" i="12"/>
  <c r="U20" i="9"/>
  <c r="L55" i="9"/>
  <c r="U70" i="9"/>
  <c r="J80" i="9"/>
  <c r="U90" i="9"/>
  <c r="Z85" i="9"/>
  <c r="Z90" i="9"/>
  <c r="AB97" i="9"/>
  <c r="M8" i="12"/>
  <c r="AD38" i="12"/>
  <c r="AC38" i="12"/>
  <c r="J49" i="12"/>
  <c r="L49" i="12"/>
  <c r="F49" i="12"/>
  <c r="H49" i="12"/>
  <c r="Z58" i="12"/>
  <c r="V58" i="12"/>
  <c r="X58" i="12"/>
  <c r="AD67" i="12"/>
  <c r="AC67" i="12"/>
  <c r="V77" i="12"/>
  <c r="X77" i="12"/>
  <c r="L89" i="12"/>
  <c r="L16" i="9"/>
  <c r="L45" i="9"/>
  <c r="V65" i="9"/>
  <c r="V85" i="9"/>
  <c r="Z110" i="9"/>
  <c r="AB110" i="9"/>
  <c r="J26" i="10"/>
  <c r="F26" i="10"/>
  <c r="H26" i="10"/>
  <c r="E37" i="10"/>
  <c r="F32" i="10"/>
  <c r="J53" i="10"/>
  <c r="F53" i="10"/>
  <c r="H53" i="10"/>
  <c r="N8" i="11"/>
  <c r="F17" i="11"/>
  <c r="H17" i="11"/>
  <c r="J17" i="11"/>
  <c r="L17" i="11"/>
  <c r="N20" i="12"/>
  <c r="L20" i="12"/>
  <c r="M20" i="12"/>
  <c r="F27" i="12"/>
  <c r="H27" i="12"/>
  <c r="AB38" i="12"/>
  <c r="M65" i="12"/>
  <c r="N65" i="12"/>
  <c r="AC79" i="12"/>
  <c r="AD79" i="12"/>
  <c r="E11" i="13"/>
  <c r="J9" i="13"/>
  <c r="F9" i="13"/>
  <c r="H9" i="13"/>
  <c r="N35" i="9"/>
  <c r="Z65" i="9"/>
  <c r="I90" i="9"/>
  <c r="M98" i="9"/>
  <c r="N98" i="9"/>
  <c r="V99" i="9"/>
  <c r="X99" i="9"/>
  <c r="L109" i="9"/>
  <c r="J6" i="10"/>
  <c r="J9" i="10"/>
  <c r="F15" i="10"/>
  <c r="H15" i="10"/>
  <c r="I28" i="10"/>
  <c r="J24" i="11"/>
  <c r="L24" i="11"/>
  <c r="F24" i="11"/>
  <c r="H24" i="11"/>
  <c r="AB10" i="12"/>
  <c r="AB18" i="12"/>
  <c r="L27" i="12"/>
  <c r="N37" i="12"/>
  <c r="M37" i="12"/>
  <c r="V49" i="12"/>
  <c r="X49" i="12"/>
  <c r="Z49" i="12"/>
  <c r="V87" i="12"/>
  <c r="X87" i="12"/>
  <c r="Z87" i="12"/>
  <c r="J8" i="10"/>
  <c r="L8" i="10"/>
  <c r="F8" i="10"/>
  <c r="H8" i="10"/>
  <c r="I11" i="12"/>
  <c r="L10" i="12"/>
  <c r="N10" i="12"/>
  <c r="AB39" i="12"/>
  <c r="J46" i="12"/>
  <c r="Z47" i="12"/>
  <c r="AB47" i="12"/>
  <c r="V47" i="12"/>
  <c r="X47" i="12"/>
  <c r="N58" i="12"/>
  <c r="AB59" i="12"/>
  <c r="J77" i="12"/>
  <c r="L77" i="12"/>
  <c r="F77" i="12"/>
  <c r="H77" i="12"/>
  <c r="N87" i="12"/>
  <c r="Z106" i="9"/>
  <c r="AD106" i="9"/>
  <c r="J23" i="10"/>
  <c r="J28" i="10"/>
  <c r="L26" i="12"/>
  <c r="E51" i="12"/>
  <c r="F45" i="12"/>
  <c r="L65" i="12"/>
  <c r="AC69" i="12"/>
  <c r="E91" i="12"/>
  <c r="L44" i="10"/>
  <c r="E11" i="12"/>
  <c r="J5" i="12"/>
  <c r="Z11" i="12"/>
  <c r="M66" i="12"/>
  <c r="N66" i="12"/>
  <c r="M76" i="12"/>
  <c r="N88" i="12"/>
  <c r="M88" i="12"/>
  <c r="J97" i="9"/>
  <c r="F97" i="9"/>
  <c r="H97" i="9"/>
  <c r="F44" i="10"/>
  <c r="H44" i="10"/>
  <c r="F42" i="11"/>
  <c r="H42" i="11"/>
  <c r="F5" i="12"/>
  <c r="U21" i="12"/>
  <c r="L29" i="12"/>
  <c r="V50" i="12"/>
  <c r="X50" i="12"/>
  <c r="V56" i="12"/>
  <c r="N60" i="12"/>
  <c r="L60" i="12"/>
  <c r="AB67" i="12"/>
  <c r="J76" i="12"/>
  <c r="L76" i="12"/>
  <c r="Z86" i="12"/>
  <c r="V86" i="12"/>
  <c r="U91" i="12"/>
  <c r="V89" i="12"/>
  <c r="X89" i="12"/>
  <c r="E10" i="10"/>
  <c r="F5" i="10"/>
  <c r="J44" i="11"/>
  <c r="L44" i="11"/>
  <c r="J8" i="12"/>
  <c r="L8" i="12"/>
  <c r="V9" i="12"/>
  <c r="V16" i="12"/>
  <c r="N29" i="12"/>
  <c r="N30" i="12"/>
  <c r="N47" i="12"/>
  <c r="J59" i="12"/>
  <c r="L59" i="12"/>
  <c r="U61" i="12"/>
  <c r="J66" i="12"/>
  <c r="J71" i="12"/>
  <c r="F69" i="12"/>
  <c r="H69" i="12"/>
  <c r="M70" i="12"/>
  <c r="N70" i="12"/>
  <c r="U81" i="12"/>
  <c r="Z80" i="12"/>
  <c r="AB80" i="12"/>
  <c r="V80" i="12"/>
  <c r="X80" i="12"/>
  <c r="J91" i="12"/>
  <c r="AB7" i="13"/>
  <c r="F17" i="9"/>
  <c r="H17" i="9"/>
  <c r="V19" i="9"/>
  <c r="X19" i="9"/>
  <c r="AB19" i="9"/>
  <c r="F26" i="9"/>
  <c r="H26" i="9"/>
  <c r="J107" i="9"/>
  <c r="L107" i="9"/>
  <c r="F107" i="9"/>
  <c r="H107" i="9"/>
  <c r="H110" i="9"/>
  <c r="F14" i="10"/>
  <c r="Z16" i="12"/>
  <c r="U31" i="12"/>
  <c r="V26" i="12"/>
  <c r="AB30" i="12"/>
  <c r="J47" i="12"/>
  <c r="L47" i="12"/>
  <c r="L66" i="12"/>
  <c r="L70" i="12"/>
  <c r="V76" i="12"/>
  <c r="F78" i="12"/>
  <c r="H78" i="12"/>
  <c r="L78" i="12"/>
  <c r="L6" i="13"/>
  <c r="J11" i="13"/>
  <c r="J2" i="13"/>
  <c r="N6" i="13"/>
  <c r="AC9" i="13"/>
  <c r="AD9" i="13"/>
  <c r="H25" i="12"/>
  <c r="L25" i="12"/>
  <c r="F31" i="12"/>
  <c r="AB27" i="12"/>
  <c r="F55" i="12"/>
  <c r="E61" i="12"/>
  <c r="U71" i="12"/>
  <c r="V70" i="12"/>
  <c r="X70" i="12"/>
  <c r="Z70" i="12"/>
  <c r="AB70" i="12"/>
  <c r="V88" i="12"/>
  <c r="X88" i="12"/>
  <c r="Z88" i="12"/>
  <c r="AB88" i="12"/>
  <c r="F91" i="12"/>
  <c r="H85" i="12"/>
  <c r="N10" i="13"/>
  <c r="M10" i="13"/>
  <c r="J41" i="10"/>
  <c r="J46" i="10"/>
  <c r="F41" i="10"/>
  <c r="E46" i="10"/>
  <c r="J18" i="12"/>
  <c r="Z26" i="12"/>
  <c r="Z31" i="12"/>
  <c r="Z76" i="12"/>
  <c r="F67" i="12"/>
  <c r="F68" i="12"/>
  <c r="H68" i="12"/>
  <c r="F75" i="12"/>
  <c r="V6" i="13"/>
  <c r="AB89" i="12"/>
  <c r="AB10" i="13"/>
  <c r="AB9" i="13"/>
  <c r="AD8" i="13"/>
  <c r="AC8" i="13"/>
  <c r="J11" i="16"/>
  <c r="F11" i="16"/>
  <c r="H11" i="16"/>
  <c r="J57" i="16"/>
  <c r="J129" i="16"/>
  <c r="F69" i="16"/>
  <c r="H69" i="16"/>
  <c r="J69" i="16"/>
  <c r="U227" i="16"/>
  <c r="J56" i="16"/>
  <c r="J205" i="16"/>
  <c r="J99" i="16"/>
  <c r="J52" i="16"/>
  <c r="J126" i="16"/>
  <c r="U218" i="16"/>
  <c r="Q218" i="16"/>
  <c r="S218" i="16"/>
  <c r="F126" i="16"/>
  <c r="H126" i="16"/>
  <c r="J24" i="16"/>
  <c r="F147" i="16"/>
  <c r="H147" i="16"/>
  <c r="F189" i="16"/>
  <c r="H189" i="16"/>
  <c r="Q226" i="16"/>
  <c r="S226" i="16"/>
  <c r="U226" i="16"/>
  <c r="J30" i="16"/>
  <c r="J128" i="16"/>
  <c r="F194" i="16"/>
  <c r="H194" i="16"/>
  <c r="J94" i="16"/>
  <c r="F94" i="16"/>
  <c r="H94" i="16"/>
  <c r="F144" i="16"/>
  <c r="H144" i="16"/>
  <c r="Q215" i="16"/>
  <c r="S215" i="16"/>
  <c r="F31" i="16"/>
  <c r="H31" i="16"/>
  <c r="F72" i="16"/>
  <c r="H72" i="16"/>
  <c r="F159" i="16"/>
  <c r="H159" i="16"/>
  <c r="F175" i="16"/>
  <c r="H175" i="16"/>
  <c r="Q208" i="16"/>
  <c r="S208" i="16"/>
  <c r="J137" i="16"/>
  <c r="F137" i="16"/>
  <c r="H137" i="16"/>
  <c r="U224" i="16"/>
  <c r="F169" i="16"/>
  <c r="H169" i="16"/>
  <c r="F174" i="16"/>
  <c r="H18" i="28"/>
  <c r="J18" i="26"/>
  <c r="E24" i="26"/>
  <c r="U24" i="28"/>
  <c r="Q24" i="28"/>
  <c r="S24" i="28"/>
  <c r="H18" i="27"/>
  <c r="F13" i="28"/>
  <c r="H13" i="28"/>
  <c r="J47" i="28"/>
  <c r="J24" i="29"/>
  <c r="F30" i="28"/>
  <c r="F31" i="28"/>
  <c r="F33" i="28"/>
  <c r="F34" i="28"/>
  <c r="F35" i="28"/>
  <c r="F36" i="28"/>
  <c r="U40" i="28"/>
  <c r="P47" i="28"/>
  <c r="Q40" i="28"/>
  <c r="J10" i="26"/>
  <c r="J14" i="26"/>
  <c r="J20" i="28"/>
  <c r="F20" i="28"/>
  <c r="H20" i="28"/>
  <c r="E25" i="28"/>
  <c r="H29" i="28"/>
  <c r="J11" i="27"/>
  <c r="F11" i="27"/>
  <c r="H11" i="27"/>
  <c r="J29" i="26"/>
  <c r="J40" i="26"/>
  <c r="J22" i="27"/>
  <c r="F22" i="27"/>
  <c r="H22" i="27"/>
  <c r="J43" i="27"/>
  <c r="U10" i="28"/>
  <c r="Q10" i="28"/>
  <c r="S10" i="28"/>
  <c r="J31" i="28"/>
  <c r="H31" i="28"/>
  <c r="U35" i="28"/>
  <c r="Q35" i="28"/>
  <c r="S35" i="28"/>
  <c r="J19" i="27"/>
  <c r="J24" i="27"/>
  <c r="F19" i="27"/>
  <c r="H19" i="27"/>
  <c r="J30" i="27"/>
  <c r="J34" i="27"/>
  <c r="F30" i="27"/>
  <c r="H30" i="27"/>
  <c r="J9" i="28"/>
  <c r="J12" i="28"/>
  <c r="J14" i="28"/>
  <c r="F9" i="28"/>
  <c r="H9" i="28"/>
  <c r="F8" i="28"/>
  <c r="H8" i="28"/>
  <c r="F11" i="28"/>
  <c r="H11" i="28"/>
  <c r="F12" i="28"/>
  <c r="H12" i="28"/>
  <c r="H14" i="28"/>
  <c r="U29" i="28"/>
  <c r="P36" i="28"/>
  <c r="Q29" i="28"/>
  <c r="J34" i="28"/>
  <c r="H34" i="28"/>
  <c r="J8" i="27"/>
  <c r="J14" i="27"/>
  <c r="E14" i="27"/>
  <c r="F8" i="27"/>
  <c r="E24" i="27"/>
  <c r="J41" i="27"/>
  <c r="F41" i="27"/>
  <c r="H41" i="27"/>
  <c r="U13" i="28"/>
  <c r="Q13" i="28"/>
  <c r="S13" i="28"/>
  <c r="E14" i="28"/>
  <c r="U18" i="28"/>
  <c r="P25" i="28"/>
  <c r="Q18" i="28"/>
  <c r="J23" i="28"/>
  <c r="F23" i="28"/>
  <c r="H23" i="28"/>
  <c r="F10" i="26"/>
  <c r="H10" i="26"/>
  <c r="J32" i="26"/>
  <c r="U7" i="28"/>
  <c r="P14" i="28"/>
  <c r="Q7" i="28"/>
  <c r="U32" i="28"/>
  <c r="Q32" i="28"/>
  <c r="S32" i="28"/>
  <c r="U46" i="28"/>
  <c r="Q46" i="28"/>
  <c r="S46" i="28"/>
  <c r="J21" i="26"/>
  <c r="J38" i="27"/>
  <c r="E44" i="27"/>
  <c r="F38" i="27"/>
  <c r="U21" i="28"/>
  <c r="Q21" i="28"/>
  <c r="S21" i="28"/>
  <c r="H35" i="28"/>
  <c r="J34" i="26"/>
  <c r="F42" i="28"/>
  <c r="F41" i="28"/>
  <c r="F44" i="28"/>
  <c r="F45" i="28"/>
  <c r="F47" i="28"/>
  <c r="H42" i="28"/>
  <c r="Q43" i="28"/>
  <c r="S43" i="28"/>
  <c r="H45" i="28"/>
  <c r="F9" i="29"/>
  <c r="F12" i="29"/>
  <c r="H12" i="29"/>
  <c r="F20" i="29"/>
  <c r="H20" i="29"/>
  <c r="J9" i="29"/>
  <c r="J14" i="29"/>
  <c r="F8" i="26"/>
  <c r="F11" i="26"/>
  <c r="H11" i="26"/>
  <c r="E14" i="26"/>
  <c r="E44" i="26"/>
  <c r="F9" i="27"/>
  <c r="H9" i="27"/>
  <c r="F12" i="27"/>
  <c r="H12" i="27"/>
  <c r="F20" i="27"/>
  <c r="H20" i="27"/>
  <c r="F28" i="27"/>
  <c r="F31" i="27"/>
  <c r="H31" i="27"/>
  <c r="E34" i="27"/>
  <c r="F39" i="27"/>
  <c r="H39" i="27"/>
  <c r="F42" i="27"/>
  <c r="H42" i="27"/>
  <c r="Q9" i="28"/>
  <c r="S9" i="28"/>
  <c r="F19" i="28"/>
  <c r="H19" i="28"/>
  <c r="Q20" i="28"/>
  <c r="S20" i="28"/>
  <c r="F22" i="28"/>
  <c r="H22" i="28"/>
  <c r="H30" i="28"/>
  <c r="Q31" i="28"/>
  <c r="S31" i="28"/>
  <c r="H33" i="28"/>
  <c r="H41" i="28"/>
  <c r="H44" i="28"/>
  <c r="H47" i="28"/>
  <c r="Q42" i="28"/>
  <c r="S42" i="28"/>
  <c r="F10" i="29"/>
  <c r="H10" i="29"/>
  <c r="F18" i="29"/>
  <c r="F21" i="29"/>
  <c r="H21" i="29"/>
  <c r="E24" i="29"/>
  <c r="K14" i="28"/>
  <c r="L14" i="28"/>
  <c r="L12" i="28"/>
  <c r="K47" i="28"/>
  <c r="L47" i="28"/>
  <c r="L45" i="28"/>
  <c r="K111" i="9"/>
  <c r="L32" i="26"/>
  <c r="F34" i="26"/>
  <c r="Q25" i="28"/>
  <c r="S18" i="28"/>
  <c r="S25" i="28"/>
  <c r="U36" i="28"/>
  <c r="F24" i="27"/>
  <c r="AC70" i="12"/>
  <c r="AD70" i="12"/>
  <c r="V81" i="12"/>
  <c r="X76" i="12"/>
  <c r="X81" i="12"/>
  <c r="N26" i="9"/>
  <c r="M26" i="9"/>
  <c r="AC47" i="12"/>
  <c r="AD47" i="12"/>
  <c r="AB49" i="12"/>
  <c r="L6" i="10"/>
  <c r="J10" i="10"/>
  <c r="N17" i="11"/>
  <c r="M17" i="11"/>
  <c r="AD19" i="12"/>
  <c r="AC19" i="12"/>
  <c r="N56" i="9"/>
  <c r="M56" i="9"/>
  <c r="L56" i="9"/>
  <c r="AC17" i="12"/>
  <c r="AD17" i="12"/>
  <c r="AD48" i="9"/>
  <c r="AC48" i="9"/>
  <c r="M36" i="12"/>
  <c r="N36" i="12"/>
  <c r="M48" i="12"/>
  <c r="N48" i="12"/>
  <c r="J55" i="10"/>
  <c r="L27" i="11"/>
  <c r="F21" i="12"/>
  <c r="H15" i="12"/>
  <c r="H54" i="9"/>
  <c r="F60" i="9"/>
  <c r="N86" i="9"/>
  <c r="M86" i="9"/>
  <c r="L45" i="10"/>
  <c r="AC69" i="9"/>
  <c r="AD69" i="9"/>
  <c r="L26" i="9"/>
  <c r="F10" i="11"/>
  <c r="F2" i="11"/>
  <c r="AB38" i="9"/>
  <c r="M36" i="11"/>
  <c r="N36" i="11"/>
  <c r="AB106" i="9"/>
  <c r="L47" i="9"/>
  <c r="AC77" i="9"/>
  <c r="AD77" i="9"/>
  <c r="L135" i="5"/>
  <c r="M135" i="5"/>
  <c r="J81" i="5"/>
  <c r="N28" i="5"/>
  <c r="M28" i="5"/>
  <c r="AC58" i="12"/>
  <c r="AD58" i="12"/>
  <c r="M46" i="9"/>
  <c r="N46" i="9"/>
  <c r="H85" i="5"/>
  <c r="F90" i="5"/>
  <c r="H121" i="5"/>
  <c r="F126" i="5"/>
  <c r="Z81" i="12"/>
  <c r="AB81" i="12"/>
  <c r="N17" i="9"/>
  <c r="L17" i="9"/>
  <c r="M17" i="9"/>
  <c r="N69" i="12"/>
  <c r="L69" i="12"/>
  <c r="M69" i="12"/>
  <c r="F10" i="10"/>
  <c r="F2" i="10"/>
  <c r="H5" i="10"/>
  <c r="H10" i="10"/>
  <c r="AD50" i="12"/>
  <c r="AC50" i="12"/>
  <c r="L46" i="12"/>
  <c r="J51" i="12"/>
  <c r="AD99" i="9"/>
  <c r="AC99" i="9"/>
  <c r="AB99" i="9"/>
  <c r="N53" i="10"/>
  <c r="M53" i="10"/>
  <c r="AB58" i="12"/>
  <c r="N18" i="10"/>
  <c r="M18" i="10"/>
  <c r="L35" i="12"/>
  <c r="J41" i="12"/>
  <c r="AD49" i="9"/>
  <c r="AB49" i="9"/>
  <c r="J46" i="11"/>
  <c r="M77" i="9"/>
  <c r="N77" i="9"/>
  <c r="AA111" i="9"/>
  <c r="AA110" i="9"/>
  <c r="AB111" i="9"/>
  <c r="J37" i="11"/>
  <c r="L36" i="10"/>
  <c r="Z30" i="9"/>
  <c r="H25" i="10"/>
  <c r="F28" i="10"/>
  <c r="L65" i="9"/>
  <c r="J90" i="5"/>
  <c r="N10" i="5"/>
  <c r="M10" i="5"/>
  <c r="N68" i="5"/>
  <c r="M68" i="5"/>
  <c r="J54" i="5"/>
  <c r="L115" i="5"/>
  <c r="L35" i="10"/>
  <c r="N28" i="9"/>
  <c r="M28" i="9"/>
  <c r="L28" i="9"/>
  <c r="AC38" i="9"/>
  <c r="AD38" i="9"/>
  <c r="N115" i="5"/>
  <c r="M115" i="5"/>
  <c r="N35" i="10"/>
  <c r="M35" i="10"/>
  <c r="U25" i="28"/>
  <c r="W23" i="28"/>
  <c r="J36" i="28"/>
  <c r="H55" i="12"/>
  <c r="F61" i="12"/>
  <c r="J11" i="12"/>
  <c r="J2" i="12"/>
  <c r="L53" i="10"/>
  <c r="M49" i="12"/>
  <c r="N49" i="12"/>
  <c r="J19" i="10"/>
  <c r="X20" i="9"/>
  <c r="M33" i="11"/>
  <c r="N33" i="11"/>
  <c r="F20" i="9"/>
  <c r="N28" i="12"/>
  <c r="M28" i="12"/>
  <c r="M17" i="12"/>
  <c r="N17" i="12"/>
  <c r="L18" i="10"/>
  <c r="H35" i="12"/>
  <c r="F41" i="12"/>
  <c r="AD108" i="9"/>
  <c r="AC108" i="9"/>
  <c r="N66" i="9"/>
  <c r="M66" i="9"/>
  <c r="J50" i="9"/>
  <c r="N59" i="12"/>
  <c r="AD37" i="9"/>
  <c r="AC37" i="9"/>
  <c r="N16" i="9"/>
  <c r="M16" i="9"/>
  <c r="L66" i="9"/>
  <c r="L25" i="10"/>
  <c r="F29" i="5"/>
  <c r="H24" i="5"/>
  <c r="M37" i="9"/>
  <c r="N37" i="9"/>
  <c r="M98" i="5"/>
  <c r="N98" i="5"/>
  <c r="N125" i="5"/>
  <c r="M125" i="5"/>
  <c r="N49" i="6"/>
  <c r="M49" i="6"/>
  <c r="M96" i="5"/>
  <c r="N96" i="5"/>
  <c r="H135" i="5"/>
  <c r="K135" i="5"/>
  <c r="L136" i="5"/>
  <c r="M130" i="5"/>
  <c r="N130" i="5"/>
  <c r="N44" i="5"/>
  <c r="M44" i="5"/>
  <c r="N114" i="5"/>
  <c r="M114" i="5"/>
  <c r="AC89" i="12"/>
  <c r="AD89" i="12"/>
  <c r="F37" i="10"/>
  <c r="H32" i="10"/>
  <c r="H37" i="10"/>
  <c r="N14" i="9"/>
  <c r="H20" i="9"/>
  <c r="M14" i="9"/>
  <c r="L9" i="12"/>
  <c r="N6" i="11"/>
  <c r="M6" i="11"/>
  <c r="F11" i="13"/>
  <c r="F2" i="13"/>
  <c r="M17" i="10"/>
  <c r="N17" i="10"/>
  <c r="F70" i="9"/>
  <c r="H64" i="9"/>
  <c r="F50" i="9"/>
  <c r="H44" i="9"/>
  <c r="L44" i="9"/>
  <c r="L88" i="9"/>
  <c r="V100" i="9"/>
  <c r="N78" i="5"/>
  <c r="J99" i="5"/>
  <c r="J126" i="5"/>
  <c r="L44" i="5"/>
  <c r="J45" i="5"/>
  <c r="F99" i="5"/>
  <c r="N85" i="12"/>
  <c r="M85" i="12"/>
  <c r="H91" i="12"/>
  <c r="L18" i="12"/>
  <c r="N18" i="12"/>
  <c r="X26" i="12"/>
  <c r="X31" i="12"/>
  <c r="AB31" i="12"/>
  <c r="V31" i="12"/>
  <c r="H5" i="12"/>
  <c r="L5" i="12"/>
  <c r="F11" i="12"/>
  <c r="F2" i="12"/>
  <c r="N96" i="9"/>
  <c r="M96" i="9"/>
  <c r="M8" i="9"/>
  <c r="N8" i="9"/>
  <c r="L8" i="9"/>
  <c r="N9" i="12"/>
  <c r="M9" i="12"/>
  <c r="N7" i="13"/>
  <c r="L7" i="13"/>
  <c r="H11" i="13"/>
  <c r="M7" i="13"/>
  <c r="AC98" i="9"/>
  <c r="AD98" i="9"/>
  <c r="J70" i="9"/>
  <c r="L64" i="9"/>
  <c r="N88" i="9"/>
  <c r="M88" i="9"/>
  <c r="X100" i="9"/>
  <c r="AD18" i="9"/>
  <c r="AC18" i="9"/>
  <c r="N95" i="9"/>
  <c r="M95" i="9"/>
  <c r="L52" i="5"/>
  <c r="N52" i="5"/>
  <c r="M52" i="5"/>
  <c r="F117" i="5"/>
  <c r="H112" i="5"/>
  <c r="N6" i="5"/>
  <c r="M6" i="5"/>
  <c r="L37" i="5"/>
  <c r="N77" i="5"/>
  <c r="M77" i="5"/>
  <c r="AC49" i="12"/>
  <c r="AD49" i="12"/>
  <c r="X25" i="9"/>
  <c r="X30" i="9"/>
  <c r="V30" i="9"/>
  <c r="V11" i="13"/>
  <c r="X6" i="13"/>
  <c r="F81" i="12"/>
  <c r="H75" i="12"/>
  <c r="N25" i="12"/>
  <c r="M25" i="12"/>
  <c r="H31" i="12"/>
  <c r="V91" i="12"/>
  <c r="X86" i="12"/>
  <c r="X91" i="12"/>
  <c r="M42" i="11"/>
  <c r="N42" i="11"/>
  <c r="I2" i="12"/>
  <c r="N27" i="12"/>
  <c r="M27" i="12"/>
  <c r="N26" i="10"/>
  <c r="M26" i="10"/>
  <c r="V51" i="12"/>
  <c r="X46" i="12"/>
  <c r="X51" i="12"/>
  <c r="L96" i="9"/>
  <c r="N26" i="11"/>
  <c r="M26" i="11"/>
  <c r="L85" i="12"/>
  <c r="AB98" i="9"/>
  <c r="H10" i="9"/>
  <c r="V41" i="12"/>
  <c r="X36" i="12"/>
  <c r="X41" i="12"/>
  <c r="N76" i="9"/>
  <c r="M76" i="9"/>
  <c r="AD68" i="12"/>
  <c r="AC68" i="12"/>
  <c r="L95" i="9"/>
  <c r="V60" i="9"/>
  <c r="X55" i="9"/>
  <c r="X60" i="9"/>
  <c r="AB60" i="9"/>
  <c r="F45" i="5"/>
  <c r="H41" i="5"/>
  <c r="N9" i="11"/>
  <c r="M9" i="11"/>
  <c r="J28" i="11"/>
  <c r="J117" i="5"/>
  <c r="L112" i="5"/>
  <c r="H67" i="5"/>
  <c r="F72" i="5"/>
  <c r="H81" i="5"/>
  <c r="M76" i="5"/>
  <c r="N76" i="5"/>
  <c r="L6" i="5"/>
  <c r="J12" i="5"/>
  <c r="M25" i="5"/>
  <c r="N25" i="5"/>
  <c r="L25" i="5"/>
  <c r="N71" i="5"/>
  <c r="M71" i="5"/>
  <c r="N131" i="5"/>
  <c r="M131" i="5"/>
  <c r="F14" i="27"/>
  <c r="H8" i="27"/>
  <c r="H14" i="27"/>
  <c r="X56" i="12"/>
  <c r="X61" i="12"/>
  <c r="AB61" i="12"/>
  <c r="V61" i="12"/>
  <c r="M36" i="10"/>
  <c r="N36" i="10"/>
  <c r="H24" i="27"/>
  <c r="L22" i="27"/>
  <c r="S40" i="28"/>
  <c r="S47" i="28"/>
  <c r="Q47" i="28"/>
  <c r="H28" i="27"/>
  <c r="H34" i="27"/>
  <c r="F34" i="27"/>
  <c r="F14" i="26"/>
  <c r="H8" i="26"/>
  <c r="H14" i="26"/>
  <c r="L12" i="26"/>
  <c r="Q14" i="28"/>
  <c r="S7" i="28"/>
  <c r="S14" i="28"/>
  <c r="H36" i="28"/>
  <c r="N68" i="12"/>
  <c r="L68" i="12"/>
  <c r="M68" i="12"/>
  <c r="F46" i="10"/>
  <c r="H41" i="10"/>
  <c r="H46" i="10"/>
  <c r="Z21" i="12"/>
  <c r="Z91" i="12"/>
  <c r="N8" i="10"/>
  <c r="M8" i="10"/>
  <c r="M24" i="11"/>
  <c r="N24" i="11"/>
  <c r="Z70" i="9"/>
  <c r="N8" i="12"/>
  <c r="Z51" i="12"/>
  <c r="AB51" i="12"/>
  <c r="L94" i="9"/>
  <c r="V71" i="12"/>
  <c r="AB78" i="12"/>
  <c r="F110" i="9"/>
  <c r="N94" i="9"/>
  <c r="M94" i="9"/>
  <c r="H100" i="9"/>
  <c r="L100" i="9"/>
  <c r="N42" i="10"/>
  <c r="M42" i="10"/>
  <c r="AD88" i="9"/>
  <c r="AC88" i="9"/>
  <c r="F10" i="9"/>
  <c r="F2" i="9"/>
  <c r="Z41" i="12"/>
  <c r="AB41" i="12"/>
  <c r="AD87" i="9"/>
  <c r="AC87" i="9"/>
  <c r="L76" i="9"/>
  <c r="L43" i="11"/>
  <c r="M26" i="12"/>
  <c r="N26" i="12"/>
  <c r="Z40" i="9"/>
  <c r="H16" i="5"/>
  <c r="F20" i="5"/>
  <c r="L20" i="9"/>
  <c r="L9" i="11"/>
  <c r="M122" i="5"/>
  <c r="N122" i="5"/>
  <c r="L103" i="5"/>
  <c r="J108" i="5"/>
  <c r="L108" i="5"/>
  <c r="H12" i="5"/>
  <c r="N104" i="5"/>
  <c r="M104" i="5"/>
  <c r="N69" i="5"/>
  <c r="M69" i="5"/>
  <c r="F24" i="29"/>
  <c r="H18" i="29"/>
  <c r="H24" i="29"/>
  <c r="N6" i="12"/>
  <c r="M6" i="12"/>
  <c r="L6" i="12"/>
  <c r="AC67" i="9"/>
  <c r="AD67" i="9"/>
  <c r="N65" i="9"/>
  <c r="M65" i="9"/>
  <c r="F25" i="28"/>
  <c r="H38" i="27"/>
  <c r="U47" i="28"/>
  <c r="F24" i="26"/>
  <c r="H67" i="12"/>
  <c r="F71" i="12"/>
  <c r="L46" i="10"/>
  <c r="AD80" i="12"/>
  <c r="AC80" i="12"/>
  <c r="N44" i="10"/>
  <c r="M44" i="10"/>
  <c r="N77" i="12"/>
  <c r="M77" i="12"/>
  <c r="AD90" i="12"/>
  <c r="AC90" i="12"/>
  <c r="AD86" i="9"/>
  <c r="AC86" i="9"/>
  <c r="AD68" i="9"/>
  <c r="AC68" i="9"/>
  <c r="X71" i="12"/>
  <c r="AB71" i="12"/>
  <c r="AC109" i="9"/>
  <c r="AD109" i="9"/>
  <c r="AD78" i="12"/>
  <c r="AC78" i="12"/>
  <c r="AD78" i="9"/>
  <c r="AC78" i="9"/>
  <c r="N58" i="9"/>
  <c r="M58" i="9"/>
  <c r="F100" i="9"/>
  <c r="M89" i="9"/>
  <c r="N89" i="9"/>
  <c r="AD26" i="9"/>
  <c r="AC26" i="9"/>
  <c r="AB40" i="12"/>
  <c r="H46" i="11"/>
  <c r="F37" i="11"/>
  <c r="H32" i="11"/>
  <c r="H37" i="11"/>
  <c r="N43" i="11"/>
  <c r="M43" i="11"/>
  <c r="Z80" i="9"/>
  <c r="AB80" i="9"/>
  <c r="X35" i="9"/>
  <c r="X40" i="9"/>
  <c r="V40" i="9"/>
  <c r="J10" i="11"/>
  <c r="H23" i="11"/>
  <c r="H28" i="11"/>
  <c r="F28" i="11"/>
  <c r="N89" i="5"/>
  <c r="M89" i="5"/>
  <c r="M133" i="5"/>
  <c r="N133" i="5"/>
  <c r="F14" i="28"/>
  <c r="F19" i="10"/>
  <c r="H14" i="10"/>
  <c r="H19" i="10"/>
  <c r="X16" i="12"/>
  <c r="X21" i="12"/>
  <c r="V21" i="12"/>
  <c r="M97" i="9"/>
  <c r="N97" i="9"/>
  <c r="N9" i="13"/>
  <c r="M9" i="13"/>
  <c r="J110" i="9"/>
  <c r="L110" i="9"/>
  <c r="L37" i="10"/>
  <c r="J61" i="12"/>
  <c r="AD56" i="9"/>
  <c r="AC56" i="9"/>
  <c r="AB56" i="9"/>
  <c r="N16" i="12"/>
  <c r="M16" i="12"/>
  <c r="AD40" i="12"/>
  <c r="AC40" i="12"/>
  <c r="AB96" i="9"/>
  <c r="H80" i="9"/>
  <c r="N74" i="9"/>
  <c r="M74" i="9"/>
  <c r="V50" i="9"/>
  <c r="X45" i="9"/>
  <c r="X50" i="9"/>
  <c r="J19" i="11"/>
  <c r="V20" i="9"/>
  <c r="J37" i="10"/>
  <c r="N6" i="10"/>
  <c r="L86" i="9"/>
  <c r="N50" i="5"/>
  <c r="M50" i="5"/>
  <c r="L50" i="5"/>
  <c r="L99" i="5"/>
  <c r="F12" i="5"/>
  <c r="F2" i="5"/>
  <c r="N107" i="5"/>
  <c r="M107" i="5"/>
  <c r="J72" i="5"/>
  <c r="H63" i="5"/>
  <c r="K63" i="5"/>
  <c r="L64" i="5"/>
  <c r="N58" i="5"/>
  <c r="M58" i="5"/>
  <c r="L81" i="5"/>
  <c r="F14" i="29"/>
  <c r="H9" i="29"/>
  <c r="H14" i="29"/>
  <c r="AD19" i="9"/>
  <c r="AC19" i="9"/>
  <c r="I2" i="9"/>
  <c r="N45" i="10"/>
  <c r="M45" i="10"/>
  <c r="N47" i="9"/>
  <c r="M47" i="9"/>
  <c r="H25" i="28"/>
  <c r="U14" i="28"/>
  <c r="W12" i="28"/>
  <c r="Q36" i="28"/>
  <c r="S29" i="28"/>
  <c r="S36" i="28"/>
  <c r="J25" i="28"/>
  <c r="J24" i="26"/>
  <c r="L22" i="26"/>
  <c r="AD88" i="12"/>
  <c r="AC88" i="12"/>
  <c r="M107" i="9"/>
  <c r="N107" i="9"/>
  <c r="X9" i="12"/>
  <c r="V11" i="12"/>
  <c r="L97" i="9"/>
  <c r="N76" i="12"/>
  <c r="AB87" i="12"/>
  <c r="M15" i="10"/>
  <c r="N15" i="10"/>
  <c r="L15" i="10"/>
  <c r="L9" i="13"/>
  <c r="X85" i="9"/>
  <c r="X90" i="9"/>
  <c r="V90" i="9"/>
  <c r="AD77" i="12"/>
  <c r="AC77" i="12"/>
  <c r="AB77" i="12"/>
  <c r="M78" i="9"/>
  <c r="N78" i="9"/>
  <c r="AD66" i="9"/>
  <c r="AC66" i="9"/>
  <c r="L38" i="12"/>
  <c r="AC57" i="12"/>
  <c r="AD57" i="12"/>
  <c r="J81" i="12"/>
  <c r="AD46" i="9"/>
  <c r="AC46" i="9"/>
  <c r="L16" i="12"/>
  <c r="H84" i="9"/>
  <c r="F90" i="9"/>
  <c r="J60" i="9"/>
  <c r="L54" i="9"/>
  <c r="N24" i="9"/>
  <c r="M24" i="9"/>
  <c r="H30" i="9"/>
  <c r="N6" i="9"/>
  <c r="M6" i="9"/>
  <c r="M7" i="11"/>
  <c r="N7" i="11"/>
  <c r="F80" i="9"/>
  <c r="F40" i="9"/>
  <c r="H34" i="9"/>
  <c r="L34" i="9"/>
  <c r="M51" i="10"/>
  <c r="N51" i="10"/>
  <c r="X80" i="9"/>
  <c r="L56" i="12"/>
  <c r="L78" i="9"/>
  <c r="AB58" i="9"/>
  <c r="L96" i="5"/>
  <c r="L124" i="5"/>
  <c r="L107" i="5"/>
  <c r="H49" i="5"/>
  <c r="F54" i="5"/>
  <c r="L76" i="5"/>
  <c r="K37" i="5"/>
  <c r="L38" i="5"/>
  <c r="H15" i="11"/>
  <c r="L15" i="11"/>
  <c r="F19" i="11"/>
  <c r="N78" i="12"/>
  <c r="M78" i="12"/>
  <c r="F51" i="12"/>
  <c r="H45" i="12"/>
  <c r="AC87" i="12"/>
  <c r="AD87" i="12"/>
  <c r="L9" i="10"/>
  <c r="N9" i="10"/>
  <c r="X65" i="9"/>
  <c r="X70" i="9"/>
  <c r="V70" i="9"/>
  <c r="AB90" i="9"/>
  <c r="N57" i="9"/>
  <c r="M57" i="9"/>
  <c r="L57" i="9"/>
  <c r="M38" i="12"/>
  <c r="N38" i="12"/>
  <c r="F55" i="10"/>
  <c r="H50" i="10"/>
  <c r="H55" i="10"/>
  <c r="AC37" i="12"/>
  <c r="AD37" i="12"/>
  <c r="M27" i="11"/>
  <c r="N27" i="11"/>
  <c r="L15" i="12"/>
  <c r="J21" i="12"/>
  <c r="F30" i="9"/>
  <c r="AC96" i="9"/>
  <c r="AD96" i="9"/>
  <c r="L6" i="9"/>
  <c r="J10" i="9"/>
  <c r="J2" i="9"/>
  <c r="J40" i="9"/>
  <c r="K11" i="11"/>
  <c r="H2" i="11"/>
  <c r="K10" i="11"/>
  <c r="L11" i="11"/>
  <c r="M56" i="12"/>
  <c r="N56" i="12"/>
  <c r="AD58" i="9"/>
  <c r="AC58" i="9"/>
  <c r="K99" i="5"/>
  <c r="L100" i="5"/>
  <c r="N86" i="5"/>
  <c r="M86" i="5"/>
  <c r="N124" i="5"/>
  <c r="M124" i="5"/>
  <c r="J29" i="5"/>
  <c r="AA50" i="9"/>
  <c r="AB51" i="9"/>
  <c r="AA51" i="9"/>
  <c r="L21" i="12"/>
  <c r="K19" i="10"/>
  <c r="L20" i="10"/>
  <c r="K20" i="10"/>
  <c r="AB40" i="9"/>
  <c r="K32" i="12"/>
  <c r="K31" i="12"/>
  <c r="L32" i="12"/>
  <c r="M37" i="5"/>
  <c r="N64" i="9"/>
  <c r="H70" i="9"/>
  <c r="M64" i="9"/>
  <c r="H21" i="12"/>
  <c r="N15" i="12"/>
  <c r="M15" i="12"/>
  <c r="H90" i="5"/>
  <c r="N85" i="5"/>
  <c r="M85" i="5"/>
  <c r="H90" i="9"/>
  <c r="M84" i="9"/>
  <c r="N84" i="9"/>
  <c r="K36" i="28"/>
  <c r="L36" i="28"/>
  <c r="K24" i="27"/>
  <c r="L24" i="27"/>
  <c r="AD6" i="13"/>
  <c r="X11" i="13"/>
  <c r="AC6" i="13"/>
  <c r="AB6" i="13"/>
  <c r="L85" i="5"/>
  <c r="AA70" i="9"/>
  <c r="AB71" i="9"/>
  <c r="AA71" i="9"/>
  <c r="AA80" i="9"/>
  <c r="AB81" i="9"/>
  <c r="AA81" i="9"/>
  <c r="K80" i="9"/>
  <c r="L81" i="9"/>
  <c r="K81" i="9"/>
  <c r="K38" i="11"/>
  <c r="K37" i="11"/>
  <c r="L38" i="11"/>
  <c r="K13" i="5"/>
  <c r="K12" i="5"/>
  <c r="L13" i="5"/>
  <c r="AB70" i="9"/>
  <c r="J2" i="5"/>
  <c r="L12" i="5"/>
  <c r="N75" i="12"/>
  <c r="H81" i="12"/>
  <c r="M75" i="12"/>
  <c r="L75" i="12"/>
  <c r="AA100" i="9"/>
  <c r="AB101" i="9"/>
  <c r="AA101" i="9"/>
  <c r="H2" i="13"/>
  <c r="K2" i="13"/>
  <c r="K11" i="13"/>
  <c r="L12" i="13"/>
  <c r="K12" i="13"/>
  <c r="M25" i="10"/>
  <c r="N25" i="10"/>
  <c r="H28" i="10"/>
  <c r="L55" i="10"/>
  <c r="AA82" i="12"/>
  <c r="AA81" i="12"/>
  <c r="AB82" i="12"/>
  <c r="L80" i="9"/>
  <c r="M80" i="9"/>
  <c r="K24" i="29"/>
  <c r="L24" i="29"/>
  <c r="V47" i="28"/>
  <c r="W47" i="28"/>
  <c r="L84" i="9"/>
  <c r="W34" i="28"/>
  <c r="K108" i="5"/>
  <c r="L109" i="5"/>
  <c r="K37" i="10"/>
  <c r="L38" i="10"/>
  <c r="K38" i="10"/>
  <c r="M15" i="11"/>
  <c r="N15" i="11"/>
  <c r="H19" i="11"/>
  <c r="M99" i="5"/>
  <c r="K47" i="11"/>
  <c r="K46" i="11"/>
  <c r="L47" i="11"/>
  <c r="N67" i="12"/>
  <c r="M67" i="12"/>
  <c r="L67" i="12"/>
  <c r="H71" i="12"/>
  <c r="K24" i="26"/>
  <c r="L24" i="26"/>
  <c r="K101" i="9"/>
  <c r="K100" i="9"/>
  <c r="L101" i="9"/>
  <c r="M100" i="9"/>
  <c r="V14" i="28"/>
  <c r="W14" i="28"/>
  <c r="AA30" i="9"/>
  <c r="AB31" i="9"/>
  <c r="AA31" i="9"/>
  <c r="M5" i="12"/>
  <c r="N5" i="12"/>
  <c r="H11" i="12"/>
  <c r="L11" i="12"/>
  <c r="AA21" i="9"/>
  <c r="AA20" i="9"/>
  <c r="AB21" i="9"/>
  <c r="H61" i="12"/>
  <c r="N55" i="12"/>
  <c r="M55" i="12"/>
  <c r="L55" i="12"/>
  <c r="AB20" i="9"/>
  <c r="L11" i="13"/>
  <c r="V25" i="28"/>
  <c r="W25" i="28"/>
  <c r="K110" i="9"/>
  <c r="L111" i="9"/>
  <c r="M110" i="9"/>
  <c r="H54" i="5"/>
  <c r="K54" i="5"/>
  <c r="L55" i="5"/>
  <c r="N49" i="5"/>
  <c r="M49" i="5"/>
  <c r="K25" i="28"/>
  <c r="L25" i="28"/>
  <c r="K14" i="29"/>
  <c r="L14" i="29"/>
  <c r="AA40" i="9"/>
  <c r="AB41" i="9"/>
  <c r="AA41" i="9"/>
  <c r="L28" i="11"/>
  <c r="N41" i="5"/>
  <c r="M41" i="5"/>
  <c r="H45" i="5"/>
  <c r="K45" i="5"/>
  <c r="L46" i="5"/>
  <c r="L41" i="5"/>
  <c r="H50" i="9"/>
  <c r="M44" i="9"/>
  <c r="N44" i="9"/>
  <c r="L19" i="10"/>
  <c r="M19" i="10"/>
  <c r="AB30" i="9"/>
  <c r="K11" i="10"/>
  <c r="K10" i="10"/>
  <c r="L11" i="10"/>
  <c r="H2" i="10"/>
  <c r="AD9" i="12"/>
  <c r="AC9" i="12"/>
  <c r="AB9" i="12"/>
  <c r="X11" i="12"/>
  <c r="L81" i="12"/>
  <c r="L23" i="28"/>
  <c r="N16" i="5"/>
  <c r="H20" i="5"/>
  <c r="M16" i="5"/>
  <c r="L16" i="5"/>
  <c r="K14" i="26"/>
  <c r="L14" i="26"/>
  <c r="AA42" i="12"/>
  <c r="AA41" i="12"/>
  <c r="AB42" i="12"/>
  <c r="H117" i="5"/>
  <c r="N112" i="5"/>
  <c r="M112" i="5"/>
  <c r="AA32" i="12"/>
  <c r="AA31" i="12"/>
  <c r="AB32" i="12"/>
  <c r="L46" i="11"/>
  <c r="J2" i="10"/>
  <c r="K2" i="10"/>
  <c r="L10" i="10"/>
  <c r="M10" i="10"/>
  <c r="K34" i="26"/>
  <c r="L34" i="26"/>
  <c r="L40" i="9"/>
  <c r="AA91" i="9"/>
  <c r="AA90" i="9"/>
  <c r="AB91" i="9"/>
  <c r="M45" i="12"/>
  <c r="N45" i="12"/>
  <c r="H51" i="12"/>
  <c r="L45" i="12"/>
  <c r="K31" i="9"/>
  <c r="K30" i="9"/>
  <c r="L31" i="9"/>
  <c r="L10" i="9"/>
  <c r="L63" i="5"/>
  <c r="M63" i="5"/>
  <c r="M108" i="5"/>
  <c r="AB91" i="12"/>
  <c r="K14" i="27"/>
  <c r="L14" i="27"/>
  <c r="K81" i="5"/>
  <c r="L82" i="5"/>
  <c r="M81" i="5"/>
  <c r="H41" i="12"/>
  <c r="N35" i="12"/>
  <c r="M35" i="12"/>
  <c r="L22" i="29"/>
  <c r="AA61" i="12"/>
  <c r="AB62" i="12"/>
  <c r="AA62" i="12"/>
  <c r="J2" i="11"/>
  <c r="K2" i="11"/>
  <c r="L10" i="11"/>
  <c r="M10" i="11"/>
  <c r="K56" i="10"/>
  <c r="K55" i="10"/>
  <c r="L56" i="10"/>
  <c r="V36" i="28"/>
  <c r="W36" i="28"/>
  <c r="K2" i="9"/>
  <c r="L19" i="11"/>
  <c r="W45" i="28"/>
  <c r="K10" i="9"/>
  <c r="L11" i="9"/>
  <c r="H2" i="9"/>
  <c r="K11" i="9"/>
  <c r="K21" i="9"/>
  <c r="K20" i="9"/>
  <c r="L21" i="9"/>
  <c r="M20" i="9"/>
  <c r="L34" i="28"/>
  <c r="N121" i="5"/>
  <c r="M121" i="5"/>
  <c r="H126" i="5"/>
  <c r="L121" i="5"/>
  <c r="AA21" i="12"/>
  <c r="AB22" i="12"/>
  <c r="AA22" i="12"/>
  <c r="K28" i="11"/>
  <c r="L29" i="11"/>
  <c r="K29" i="11"/>
  <c r="AB21" i="12"/>
  <c r="K34" i="27"/>
  <c r="L34" i="27"/>
  <c r="AA61" i="9"/>
  <c r="AA60" i="9"/>
  <c r="AB61" i="9"/>
  <c r="AA52" i="12"/>
  <c r="AA51" i="12"/>
  <c r="AB52" i="12"/>
  <c r="AA92" i="12"/>
  <c r="AA91" i="12"/>
  <c r="AB92" i="12"/>
  <c r="L30" i="9"/>
  <c r="M30" i="9"/>
  <c r="F199" i="16"/>
  <c r="H199" i="16"/>
  <c r="L12" i="27"/>
  <c r="L49" i="5"/>
  <c r="L37" i="11"/>
  <c r="M37" i="11"/>
  <c r="AB100" i="9"/>
  <c r="L32" i="27"/>
  <c r="M37" i="10"/>
  <c r="H40" i="9"/>
  <c r="N34" i="9"/>
  <c r="M34" i="9"/>
  <c r="AB50" i="9"/>
  <c r="AA72" i="12"/>
  <c r="AA71" i="12"/>
  <c r="AB72" i="12"/>
  <c r="K47" i="10"/>
  <c r="K46" i="10"/>
  <c r="L47" i="10"/>
  <c r="M46" i="10"/>
  <c r="N67" i="5"/>
  <c r="H72" i="5"/>
  <c r="L72" i="5"/>
  <c r="M67" i="5"/>
  <c r="L67" i="5"/>
  <c r="L70" i="9"/>
  <c r="K92" i="12"/>
  <c r="K91" i="12"/>
  <c r="L92" i="12"/>
  <c r="L91" i="12"/>
  <c r="M91" i="12"/>
  <c r="M24" i="5"/>
  <c r="H29" i="5"/>
  <c r="K29" i="5"/>
  <c r="L30" i="5"/>
  <c r="N24" i="5"/>
  <c r="L24" i="5"/>
  <c r="L50" i="9"/>
  <c r="M54" i="9"/>
  <c r="H60" i="9"/>
  <c r="L60" i="9"/>
  <c r="N54" i="9"/>
  <c r="L31" i="12"/>
  <c r="M31" i="12"/>
  <c r="L12" i="29"/>
  <c r="K117" i="5"/>
  <c r="L118" i="5"/>
  <c r="L117" i="5"/>
  <c r="M117" i="5"/>
  <c r="K20" i="11"/>
  <c r="K19" i="11"/>
  <c r="L20" i="11"/>
  <c r="M12" i="5"/>
  <c r="K2" i="5"/>
  <c r="K90" i="5"/>
  <c r="L91" i="5"/>
  <c r="K41" i="9"/>
  <c r="K40" i="9"/>
  <c r="L41" i="9"/>
  <c r="M40" i="9"/>
  <c r="K62" i="12"/>
  <c r="K61" i="12"/>
  <c r="L62" i="12"/>
  <c r="K91" i="9"/>
  <c r="K90" i="9"/>
  <c r="L91" i="9"/>
  <c r="L90" i="9"/>
  <c r="M90" i="9"/>
  <c r="K22" i="12"/>
  <c r="K21" i="12"/>
  <c r="L22" i="12"/>
  <c r="M21" i="12"/>
  <c r="M70" i="9"/>
  <c r="K61" i="9"/>
  <c r="K60" i="9"/>
  <c r="L61" i="9"/>
  <c r="M60" i="9"/>
  <c r="K126" i="5"/>
  <c r="L127" i="5"/>
  <c r="K41" i="12"/>
  <c r="L42" i="12"/>
  <c r="K42" i="12"/>
  <c r="AA12" i="12"/>
  <c r="AA11" i="12"/>
  <c r="AB12" i="12"/>
  <c r="AB11" i="12"/>
  <c r="K72" i="12"/>
  <c r="K71" i="12"/>
  <c r="L72" i="12"/>
  <c r="L71" i="12"/>
  <c r="M50" i="9"/>
  <c r="M19" i="11"/>
  <c r="L29" i="5"/>
  <c r="M29" i="5"/>
  <c r="M11" i="13"/>
  <c r="M55" i="10"/>
  <c r="L41" i="12"/>
  <c r="L54" i="5"/>
  <c r="M54" i="5"/>
  <c r="K52" i="12"/>
  <c r="K51" i="12"/>
  <c r="L52" i="12"/>
  <c r="L90" i="5"/>
  <c r="M90" i="5"/>
  <c r="K71" i="9"/>
  <c r="K70" i="9"/>
  <c r="L71" i="9"/>
  <c r="K72" i="5"/>
  <c r="L73" i="5"/>
  <c r="M72" i="5"/>
  <c r="M10" i="9"/>
  <c r="M46" i="11"/>
  <c r="K21" i="5"/>
  <c r="K20" i="5"/>
  <c r="L21" i="5"/>
  <c r="L20" i="5"/>
  <c r="M20" i="5"/>
  <c r="L51" i="12"/>
  <c r="K28" i="10"/>
  <c r="L29" i="10"/>
  <c r="K29" i="10"/>
  <c r="L28" i="10"/>
  <c r="M28" i="10"/>
  <c r="L126" i="5"/>
  <c r="AA11" i="13"/>
  <c r="AB12" i="13"/>
  <c r="AA12" i="13"/>
  <c r="AB11" i="13"/>
  <c r="K11" i="12"/>
  <c r="L12" i="12"/>
  <c r="M11" i="12"/>
  <c r="K12" i="12"/>
  <c r="H2" i="12"/>
  <c r="K2" i="12"/>
  <c r="K51" i="9"/>
  <c r="K50" i="9"/>
  <c r="L51" i="9"/>
  <c r="L61" i="12"/>
  <c r="M28" i="11"/>
  <c r="K82" i="12"/>
  <c r="K81" i="12"/>
  <c r="L82" i="12"/>
  <c r="M81" i="12"/>
  <c r="H2" i="5"/>
  <c r="L45" i="5"/>
  <c r="M45" i="5"/>
  <c r="M126" i="5"/>
  <c r="M41" i="12"/>
  <c r="M71" i="12"/>
  <c r="M61" i="12"/>
  <c r="M51" i="12"/>
  <c r="J40" i="27"/>
  <c r="J44" i="27"/>
  <c r="F40" i="27"/>
  <c r="J42" i="26"/>
  <c r="J44" i="26"/>
  <c r="H40" i="27"/>
  <c r="H44" i="27"/>
  <c r="F44" i="27"/>
  <c r="L42" i="27"/>
  <c r="F44" i="26"/>
  <c r="L42" i="26"/>
  <c r="K44" i="27"/>
  <c r="L44" i="27"/>
  <c r="K44" i="26"/>
  <c r="L44" i="26"/>
  <c r="E40" i="29"/>
  <c r="J36" i="29"/>
  <c r="F36" i="29"/>
  <c r="J37" i="29"/>
  <c r="F37" i="29"/>
  <c r="H37" i="29"/>
  <c r="J38" i="29"/>
  <c r="F38" i="29"/>
  <c r="H38" i="29"/>
  <c r="J39" i="29"/>
  <c r="F39" i="29"/>
  <c r="H39" i="29"/>
  <c r="E63" i="28"/>
  <c r="J59" i="28"/>
  <c r="F59" i="28"/>
  <c r="P63" i="28"/>
  <c r="U59" i="28"/>
  <c r="Q59" i="28"/>
  <c r="J60" i="28"/>
  <c r="F60" i="28"/>
  <c r="H60" i="28"/>
  <c r="U60" i="28"/>
  <c r="Q60" i="28"/>
  <c r="S60" i="28"/>
  <c r="J61" i="28"/>
  <c r="F61" i="28"/>
  <c r="H61" i="28"/>
  <c r="U61" i="28"/>
  <c r="Q61" i="28"/>
  <c r="S61" i="28"/>
  <c r="J62" i="28"/>
  <c r="F62" i="28"/>
  <c r="H62" i="28"/>
  <c r="U62" i="28"/>
  <c r="Q62" i="28"/>
  <c r="S62" i="28"/>
  <c r="E60" i="27"/>
  <c r="J56" i="27"/>
  <c r="F56" i="27"/>
  <c r="J57" i="27"/>
  <c r="F57" i="27"/>
  <c r="H57" i="27"/>
  <c r="J58" i="27"/>
  <c r="F58" i="27"/>
  <c r="H58" i="27"/>
  <c r="J59" i="27"/>
  <c r="H59" i="27"/>
  <c r="E64" i="26"/>
  <c r="J58" i="26"/>
  <c r="J59" i="26"/>
  <c r="J60" i="26"/>
  <c r="J61" i="26"/>
  <c r="J62" i="26"/>
  <c r="J63" i="26"/>
  <c r="E54" i="26"/>
  <c r="J32" i="16"/>
  <c r="J37" i="16"/>
  <c r="F37" i="16"/>
  <c r="J39" i="16"/>
  <c r="J43" i="16"/>
  <c r="F45" i="16"/>
  <c r="H45" i="16"/>
  <c r="J64" i="16"/>
  <c r="F64" i="16"/>
  <c r="H64" i="16"/>
  <c r="J70" i="16"/>
  <c r="F70" i="16"/>
  <c r="H70" i="16"/>
  <c r="J87" i="16"/>
  <c r="J93" i="16"/>
  <c r="J124" i="16"/>
  <c r="J127" i="16"/>
  <c r="F124" i="16"/>
  <c r="F127" i="16"/>
  <c r="H127" i="16"/>
  <c r="J138" i="16"/>
  <c r="F138" i="16"/>
  <c r="H138" i="16"/>
  <c r="F148" i="16"/>
  <c r="H148" i="16"/>
  <c r="J159" i="16"/>
  <c r="F167" i="16"/>
  <c r="H167" i="16"/>
  <c r="F188" i="16"/>
  <c r="H188" i="16"/>
  <c r="J204" i="16"/>
  <c r="F204" i="16"/>
  <c r="H204" i="16"/>
  <c r="F218" i="16"/>
  <c r="H218" i="16"/>
  <c r="J219" i="16"/>
  <c r="U229" i="16"/>
  <c r="Q229" i="16"/>
  <c r="S229" i="16"/>
  <c r="U237" i="16"/>
  <c r="F254" i="16"/>
  <c r="H254" i="16"/>
  <c r="U254" i="16"/>
  <c r="J255" i="16"/>
  <c r="F255" i="16"/>
  <c r="H255" i="16"/>
  <c r="U255" i="16"/>
  <c r="Q255" i="16"/>
  <c r="F40" i="29"/>
  <c r="H36" i="29"/>
  <c r="H40" i="29"/>
  <c r="J40" i="29"/>
  <c r="L38" i="29"/>
  <c r="Q63" i="28"/>
  <c r="S59" i="28"/>
  <c r="S63" i="28"/>
  <c r="U63" i="28"/>
  <c r="W61" i="28"/>
  <c r="F63" i="28"/>
  <c r="H59" i="28"/>
  <c r="H63" i="28"/>
  <c r="J63" i="28"/>
  <c r="L61" i="28"/>
  <c r="F60" i="27"/>
  <c r="H56" i="27"/>
  <c r="H60" i="27"/>
  <c r="J60" i="27"/>
  <c r="L58" i="27"/>
  <c r="F64" i="26"/>
  <c r="J64" i="26"/>
  <c r="L62" i="26"/>
  <c r="F54" i="26"/>
  <c r="J54" i="26"/>
  <c r="F256" i="16"/>
  <c r="F258" i="16"/>
  <c r="Q256" i="16"/>
  <c r="Q258" i="16"/>
  <c r="K40" i="29"/>
  <c r="L40" i="29"/>
  <c r="K63" i="28"/>
  <c r="L63" i="28"/>
  <c r="V63" i="28"/>
  <c r="W63" i="28"/>
  <c r="K60" i="27"/>
  <c r="L60" i="27"/>
  <c r="K64" i="26"/>
  <c r="L64" i="26"/>
  <c r="H54" i="26"/>
  <c r="K54" i="26"/>
  <c r="L54" i="26"/>
  <c r="L52" i="26"/>
  <c r="U263" i="16"/>
  <c r="U264" i="16"/>
  <c r="Q263" i="16"/>
  <c r="S263" i="16"/>
  <c r="Q264" i="16"/>
  <c r="S264" i="16"/>
  <c r="J265" i="16"/>
  <c r="F265" i="16"/>
  <c r="H265" i="16"/>
  <c r="Q265" i="16"/>
  <c r="S265" i="16"/>
  <c r="E48" i="29"/>
  <c r="J44" i="29"/>
  <c r="F44" i="29"/>
  <c r="J45" i="29"/>
  <c r="F45" i="29"/>
  <c r="H45" i="29"/>
  <c r="J46" i="29"/>
  <c r="F46" i="29"/>
  <c r="H46" i="29"/>
  <c r="J47" i="29"/>
  <c r="F47" i="29"/>
  <c r="H47" i="29"/>
  <c r="E71" i="28"/>
  <c r="J67" i="28"/>
  <c r="F67" i="28"/>
  <c r="P71" i="28"/>
  <c r="U67" i="28"/>
  <c r="Q67" i="28"/>
  <c r="J68" i="28"/>
  <c r="F68" i="28"/>
  <c r="H68" i="28"/>
  <c r="U68" i="28"/>
  <c r="Q68" i="28"/>
  <c r="S68" i="28"/>
  <c r="J69" i="28"/>
  <c r="F69" i="28"/>
  <c r="H69" i="28"/>
  <c r="U69" i="28"/>
  <c r="Q69" i="28"/>
  <c r="S69" i="28"/>
  <c r="J70" i="28"/>
  <c r="F70" i="28"/>
  <c r="H70" i="28"/>
  <c r="U70" i="28"/>
  <c r="Q70" i="28"/>
  <c r="S70" i="28"/>
  <c r="J64" i="27"/>
  <c r="J65" i="27"/>
  <c r="H65" i="27"/>
  <c r="J66" i="27"/>
  <c r="H66" i="27"/>
  <c r="J67" i="27"/>
  <c r="H67" i="27"/>
  <c r="E74" i="26"/>
  <c r="J68" i="26"/>
  <c r="J69" i="26"/>
  <c r="J70" i="26"/>
  <c r="J71" i="26"/>
  <c r="J72" i="26"/>
  <c r="J73" i="26"/>
  <c r="F48" i="29"/>
  <c r="H44" i="29"/>
  <c r="H48" i="29"/>
  <c r="J48" i="29"/>
  <c r="L46" i="29"/>
  <c r="Q71" i="28"/>
  <c r="S67" i="28"/>
  <c r="S71" i="28"/>
  <c r="U71" i="28"/>
  <c r="W69" i="28"/>
  <c r="F71" i="28"/>
  <c r="H67" i="28"/>
  <c r="H71" i="28"/>
  <c r="J71" i="28"/>
  <c r="L69" i="28"/>
  <c r="H64" i="27"/>
  <c r="H68" i="27"/>
  <c r="J68" i="27"/>
  <c r="L66" i="27"/>
  <c r="F74" i="26"/>
  <c r="J74" i="26"/>
  <c r="L72" i="26"/>
  <c r="K48" i="29"/>
  <c r="L48" i="29"/>
  <c r="K71" i="28"/>
  <c r="L71" i="28"/>
  <c r="V71" i="28"/>
  <c r="W71" i="28"/>
  <c r="K68" i="27"/>
  <c r="L68" i="27"/>
  <c r="K74" i="26"/>
  <c r="L74" i="26"/>
  <c r="E84" i="26"/>
  <c r="J78" i="26"/>
  <c r="J79" i="26"/>
  <c r="J80" i="26"/>
  <c r="J81" i="26"/>
  <c r="J82" i="26"/>
  <c r="J83" i="26"/>
  <c r="J271" i="16"/>
  <c r="F270" i="16"/>
  <c r="F271" i="16"/>
  <c r="H271" i="16"/>
  <c r="U273" i="16"/>
  <c r="Q273" i="16"/>
  <c r="S273" i="16"/>
  <c r="F84" i="26"/>
  <c r="J84" i="26"/>
  <c r="L82" i="26"/>
  <c r="K84" i="26"/>
  <c r="L84" i="26"/>
  <c r="E56" i="29"/>
  <c r="J52" i="29"/>
  <c r="F52" i="29"/>
  <c r="J53" i="29"/>
  <c r="F53" i="29"/>
  <c r="H53" i="29"/>
  <c r="J54" i="29"/>
  <c r="F54" i="29"/>
  <c r="H54" i="29"/>
  <c r="J55" i="29"/>
  <c r="F55" i="29"/>
  <c r="H55" i="29"/>
  <c r="E79" i="28"/>
  <c r="J75" i="28"/>
  <c r="F75" i="28"/>
  <c r="P79" i="28"/>
  <c r="U75" i="28"/>
  <c r="Q75" i="28"/>
  <c r="J76" i="28"/>
  <c r="F76" i="28"/>
  <c r="H76" i="28"/>
  <c r="U76" i="28"/>
  <c r="Q76" i="28"/>
  <c r="S76" i="28"/>
  <c r="J77" i="28"/>
  <c r="F77" i="28"/>
  <c r="H77" i="28"/>
  <c r="U77" i="28"/>
  <c r="Q77" i="28"/>
  <c r="S77" i="28"/>
  <c r="J78" i="28"/>
  <c r="F78" i="28"/>
  <c r="H78" i="28"/>
  <c r="U78" i="28"/>
  <c r="Q78" i="28"/>
  <c r="S78" i="28"/>
  <c r="E76" i="27"/>
  <c r="F76" i="27"/>
  <c r="J72" i="27"/>
  <c r="F72" i="27"/>
  <c r="H72" i="27"/>
  <c r="J73" i="27"/>
  <c r="F73" i="27"/>
  <c r="H73" i="27"/>
  <c r="J74" i="27"/>
  <c r="F74" i="27"/>
  <c r="H74" i="27"/>
  <c r="J75" i="27"/>
  <c r="F75" i="27"/>
  <c r="H75" i="27"/>
  <c r="F56" i="29"/>
  <c r="H52" i="29"/>
  <c r="H56" i="29"/>
  <c r="J56" i="29"/>
  <c r="L54" i="29"/>
  <c r="Q79" i="28"/>
  <c r="S75" i="28"/>
  <c r="S79" i="28"/>
  <c r="U79" i="28"/>
  <c r="W77" i="28"/>
  <c r="F79" i="28"/>
  <c r="H75" i="28"/>
  <c r="H79" i="28"/>
  <c r="J79" i="28"/>
  <c r="L77" i="28"/>
  <c r="H76" i="27"/>
  <c r="J76" i="27"/>
  <c r="L74" i="27"/>
  <c r="K56" i="29"/>
  <c r="L56" i="29"/>
  <c r="K79" i="28"/>
  <c r="L79" i="28"/>
  <c r="V79" i="28"/>
  <c r="W79" i="28"/>
  <c r="K76" i="27"/>
  <c r="L76" i="27"/>
  <c r="F108" i="16"/>
  <c r="H108" i="16"/>
  <c r="H63" i="16"/>
  <c r="H6" i="16"/>
  <c r="Q219" i="16"/>
  <c r="S219" i="16"/>
  <c r="J226" i="16"/>
  <c r="J227" i="16"/>
  <c r="J229" i="16"/>
  <c r="U219" i="16"/>
  <c r="J108" i="16"/>
  <c r="F227" i="16"/>
  <c r="H227" i="16"/>
  <c r="F249" i="16"/>
  <c r="H249" i="16"/>
  <c r="J44" i="16"/>
  <c r="J47" i="16"/>
  <c r="U257" i="16"/>
  <c r="F26" i="16"/>
  <c r="H26" i="16"/>
  <c r="J139" i="16"/>
  <c r="J29" i="16"/>
  <c r="F116" i="16"/>
  <c r="H116" i="16"/>
  <c r="E64" i="29"/>
  <c r="J60" i="29"/>
  <c r="F60" i="29"/>
  <c r="J61" i="29"/>
  <c r="F61" i="29"/>
  <c r="H61" i="29"/>
  <c r="J62" i="29"/>
  <c r="F62" i="29"/>
  <c r="H62" i="29"/>
  <c r="J63" i="29"/>
  <c r="F63" i="29"/>
  <c r="H63" i="29"/>
  <c r="E87" i="28"/>
  <c r="J83" i="28"/>
  <c r="F83" i="28"/>
  <c r="P87" i="28"/>
  <c r="U83" i="28"/>
  <c r="Q83" i="28"/>
  <c r="J84" i="28"/>
  <c r="F84" i="28"/>
  <c r="H84" i="28"/>
  <c r="U84" i="28"/>
  <c r="Q84" i="28"/>
  <c r="S84" i="28"/>
  <c r="J85" i="28"/>
  <c r="F85" i="28"/>
  <c r="H85" i="28"/>
  <c r="U85" i="28"/>
  <c r="Q85" i="28"/>
  <c r="S85" i="28"/>
  <c r="J86" i="28"/>
  <c r="F86" i="28"/>
  <c r="H86" i="28"/>
  <c r="U86" i="28"/>
  <c r="Q86" i="28"/>
  <c r="S86" i="28"/>
  <c r="E84" i="27"/>
  <c r="F84" i="27"/>
  <c r="J80" i="27"/>
  <c r="F80" i="27"/>
  <c r="H80" i="27"/>
  <c r="J81" i="27"/>
  <c r="F81" i="27"/>
  <c r="H81" i="27"/>
  <c r="J82" i="27"/>
  <c r="F82" i="27"/>
  <c r="H82" i="27"/>
  <c r="J83" i="27"/>
  <c r="F83" i="27"/>
  <c r="H83" i="27"/>
  <c r="E94" i="26"/>
  <c r="J88" i="26"/>
  <c r="J89" i="26"/>
  <c r="H89" i="26"/>
  <c r="J90" i="26"/>
  <c r="H90" i="26"/>
  <c r="J91" i="26"/>
  <c r="H91" i="26"/>
  <c r="J92" i="26"/>
  <c r="H92" i="26"/>
  <c r="J93" i="26"/>
  <c r="H93" i="26"/>
  <c r="F64" i="29"/>
  <c r="H60" i="29"/>
  <c r="H64" i="29"/>
  <c r="J64" i="29"/>
  <c r="L62" i="29"/>
  <c r="Q87" i="28"/>
  <c r="S83" i="28"/>
  <c r="S87" i="28"/>
  <c r="U87" i="28"/>
  <c r="W85" i="28"/>
  <c r="F87" i="28"/>
  <c r="H83" i="28"/>
  <c r="H87" i="28"/>
  <c r="J87" i="28"/>
  <c r="L85" i="28"/>
  <c r="H84" i="27"/>
  <c r="J84" i="27"/>
  <c r="L82" i="27"/>
  <c r="H88" i="26"/>
  <c r="H94" i="26"/>
  <c r="J94" i="26"/>
  <c r="L92" i="26"/>
  <c r="K64" i="29"/>
  <c r="L64" i="29"/>
  <c r="K87" i="28"/>
  <c r="L87" i="28"/>
  <c r="V87" i="28"/>
  <c r="W87" i="28"/>
  <c r="K84" i="27"/>
  <c r="L84" i="27"/>
  <c r="K94" i="26"/>
  <c r="L94" i="26"/>
  <c r="F83" i="16"/>
  <c r="H83" i="16"/>
  <c r="J83" i="16"/>
  <c r="F272" i="16"/>
  <c r="H272" i="16"/>
  <c r="J272" i="16"/>
  <c r="E210" i="16"/>
  <c r="F84" i="16"/>
  <c r="H84" i="16"/>
  <c r="J84" i="16"/>
  <c r="J97" i="16"/>
  <c r="F97" i="16"/>
  <c r="H97" i="16"/>
  <c r="J245" i="16"/>
  <c r="J250" i="16"/>
  <c r="E258" i="16"/>
  <c r="J66" i="16"/>
  <c r="J71" i="16"/>
  <c r="J73" i="16"/>
  <c r="F66" i="16"/>
  <c r="H66" i="16"/>
  <c r="J98" i="16"/>
  <c r="F98" i="16"/>
  <c r="H98" i="16"/>
  <c r="Q246" i="16"/>
  <c r="S246" i="16"/>
  <c r="U246" i="16"/>
  <c r="E266" i="16"/>
  <c r="J154" i="16"/>
  <c r="Q291" i="16"/>
  <c r="S291" i="16"/>
  <c r="U291" i="16"/>
  <c r="J237" i="16"/>
  <c r="J238" i="16"/>
  <c r="J240" i="16"/>
  <c r="J291" i="16"/>
  <c r="F291" i="16"/>
  <c r="H291" i="16"/>
  <c r="J257" i="16"/>
  <c r="E48" i="16"/>
  <c r="F38" i="16"/>
  <c r="H38" i="16"/>
  <c r="J38" i="16"/>
  <c r="U304" i="16"/>
  <c r="Q301" i="16"/>
  <c r="S301" i="16"/>
  <c r="F96" i="16"/>
  <c r="H96" i="16"/>
  <c r="J96" i="16"/>
  <c r="J262" i="16"/>
  <c r="F262" i="16"/>
  <c r="H262" i="16"/>
  <c r="J164" i="16"/>
  <c r="J165" i="16"/>
  <c r="J166" i="16"/>
  <c r="J170" i="16"/>
  <c r="J217" i="16"/>
  <c r="F217" i="16"/>
  <c r="H217" i="16"/>
  <c r="F195" i="16"/>
  <c r="H195" i="16"/>
  <c r="H200" i="16"/>
  <c r="E200" i="16"/>
  <c r="J195" i="16"/>
  <c r="J207" i="16"/>
  <c r="F207" i="16"/>
  <c r="H207" i="16"/>
  <c r="F263" i="16"/>
  <c r="H263" i="16"/>
  <c r="J185" i="16"/>
  <c r="F185" i="16"/>
  <c r="H185" i="16"/>
  <c r="F208" i="16"/>
  <c r="H208" i="16"/>
  <c r="U209" i="16"/>
  <c r="Q209" i="16"/>
  <c r="S209" i="16"/>
  <c r="J209" i="16"/>
  <c r="J14" i="16"/>
  <c r="J95" i="16"/>
  <c r="F95" i="16"/>
  <c r="H95" i="16"/>
  <c r="J118" i="16"/>
  <c r="F118" i="16"/>
  <c r="H118" i="16"/>
  <c r="E150" i="16"/>
  <c r="Q271" i="16"/>
  <c r="S271" i="16"/>
  <c r="U271" i="16"/>
  <c r="F305" i="16"/>
  <c r="H305" i="16"/>
  <c r="J305" i="16"/>
  <c r="J316" i="16"/>
  <c r="E250" i="16"/>
  <c r="Q225" i="16"/>
  <c r="S225" i="16"/>
  <c r="J53" i="16"/>
  <c r="J59" i="16"/>
  <c r="U293" i="16"/>
  <c r="F264" i="16"/>
  <c r="H264" i="16"/>
  <c r="H266" i="16"/>
  <c r="U280" i="16"/>
  <c r="J17" i="16"/>
  <c r="F25" i="16"/>
  <c r="H25" i="16"/>
  <c r="J300" i="16"/>
  <c r="J319" i="16"/>
  <c r="E130" i="16"/>
  <c r="P240" i="16"/>
  <c r="J215" i="16"/>
  <c r="Q214" i="16"/>
  <c r="S214" i="16"/>
  <c r="F10" i="16"/>
  <c r="H10" i="16"/>
  <c r="F106" i="16"/>
  <c r="H106" i="16"/>
  <c r="J27" i="16"/>
  <c r="F55" i="16"/>
  <c r="H55" i="16"/>
  <c r="J150" i="16"/>
  <c r="F86" i="16"/>
  <c r="H86" i="16"/>
  <c r="J125" i="16"/>
  <c r="J130" i="16"/>
  <c r="F54" i="16"/>
  <c r="H54" i="16"/>
  <c r="H59" i="16"/>
  <c r="F245" i="16"/>
  <c r="H245" i="16"/>
  <c r="H250" i="16"/>
  <c r="K250" i="16"/>
  <c r="S319" i="16"/>
  <c r="Q266" i="16"/>
  <c r="S262" i="16"/>
  <c r="S266" i="16"/>
  <c r="H33" i="16"/>
  <c r="H124" i="16"/>
  <c r="H130" i="16"/>
  <c r="F130" i="16"/>
  <c r="J18" i="16"/>
  <c r="F18" i="16"/>
  <c r="H18" i="16"/>
  <c r="J46" i="16"/>
  <c r="F46" i="16"/>
  <c r="H46" i="16"/>
  <c r="F65" i="16"/>
  <c r="H65" i="16"/>
  <c r="E73" i="16"/>
  <c r="F280" i="16"/>
  <c r="J280" i="16"/>
  <c r="S300" i="16"/>
  <c r="F290" i="16"/>
  <c r="H290" i="16"/>
  <c r="H296" i="16"/>
  <c r="S228" i="16"/>
  <c r="S230" i="16"/>
  <c r="U256" i="16"/>
  <c r="U258" i="16"/>
  <c r="S256" i="16"/>
  <c r="F273" i="16"/>
  <c r="H273" i="16"/>
  <c r="J273" i="16"/>
  <c r="J317" i="16"/>
  <c r="F317" i="16"/>
  <c r="H317" i="16"/>
  <c r="E320" i="16"/>
  <c r="U244" i="16"/>
  <c r="Q244" i="16"/>
  <c r="P250" i="16"/>
  <c r="S317" i="16"/>
  <c r="S320" i="16"/>
  <c r="U317" i="16"/>
  <c r="J92" i="16"/>
  <c r="J100" i="16"/>
  <c r="F92" i="16"/>
  <c r="E100" i="16"/>
  <c r="H270" i="16"/>
  <c r="J7" i="16"/>
  <c r="F7" i="16"/>
  <c r="E19" i="16"/>
  <c r="J13" i="16"/>
  <c r="F13" i="16"/>
  <c r="H13" i="16"/>
  <c r="E296" i="16"/>
  <c r="J289" i="16"/>
  <c r="J263" i="16"/>
  <c r="J266" i="16"/>
  <c r="S255" i="16"/>
  <c r="S258" i="16"/>
  <c r="U228" i="16"/>
  <c r="U217" i="16"/>
  <c r="Q217" i="16"/>
  <c r="S217" i="16"/>
  <c r="J81" i="16"/>
  <c r="F81" i="16"/>
  <c r="H81" i="16"/>
  <c r="F107" i="16"/>
  <c r="H107" i="16"/>
  <c r="J107" i="16"/>
  <c r="Q247" i="16"/>
  <c r="S247" i="16"/>
  <c r="U247" i="16"/>
  <c r="F157" i="16"/>
  <c r="H157" i="16"/>
  <c r="H160" i="16"/>
  <c r="J157" i="16"/>
  <c r="J160" i="16"/>
  <c r="J117" i="16"/>
  <c r="F117" i="16"/>
  <c r="H117" i="16"/>
  <c r="E190" i="16"/>
  <c r="J184" i="16"/>
  <c r="J186" i="16"/>
  <c r="J190" i="16"/>
  <c r="F184" i="16"/>
  <c r="U278" i="16"/>
  <c r="U284" i="16"/>
  <c r="U285" i="16"/>
  <c r="Q278" i="16"/>
  <c r="P285" i="16"/>
  <c r="F200" i="16"/>
  <c r="F134" i="16"/>
  <c r="J134" i="16"/>
  <c r="J140" i="16"/>
  <c r="E140" i="16"/>
  <c r="H37" i="16"/>
  <c r="F176" i="16"/>
  <c r="H176" i="16"/>
  <c r="J176" i="16"/>
  <c r="U230" i="16"/>
  <c r="F160" i="16"/>
  <c r="F166" i="16"/>
  <c r="H166" i="16"/>
  <c r="E170" i="16"/>
  <c r="Q245" i="16"/>
  <c r="S245" i="16"/>
  <c r="U245" i="16"/>
  <c r="P266" i="16"/>
  <c r="U262" i="16"/>
  <c r="U266" i="16"/>
  <c r="Q272" i="16"/>
  <c r="S272" i="16"/>
  <c r="U272" i="16"/>
  <c r="J318" i="16"/>
  <c r="F318" i="16"/>
  <c r="H318" i="16"/>
  <c r="H320" i="16"/>
  <c r="F179" i="16"/>
  <c r="F180" i="16"/>
  <c r="H174" i="16"/>
  <c r="F119" i="16"/>
  <c r="H119" i="16"/>
  <c r="J119" i="16"/>
  <c r="F186" i="16"/>
  <c r="H186" i="16"/>
  <c r="F302" i="16"/>
  <c r="H302" i="16"/>
  <c r="H308" i="16"/>
  <c r="J302" i="16"/>
  <c r="J206" i="16"/>
  <c r="F206" i="16"/>
  <c r="H206" i="16"/>
  <c r="H210" i="16"/>
  <c r="J214" i="16"/>
  <c r="E220" i="16"/>
  <c r="U216" i="16"/>
  <c r="U220" i="16"/>
  <c r="Q216" i="16"/>
  <c r="S216" i="16"/>
  <c r="S220" i="16"/>
  <c r="E308" i="16"/>
  <c r="J77" i="16"/>
  <c r="F77" i="16"/>
  <c r="Q204" i="16"/>
  <c r="P210" i="16"/>
  <c r="U204" i="16"/>
  <c r="U210" i="16"/>
  <c r="J284" i="16"/>
  <c r="J285" i="16"/>
  <c r="U234" i="16"/>
  <c r="U240" i="16"/>
  <c r="E240" i="16"/>
  <c r="H164" i="16"/>
  <c r="J224" i="16"/>
  <c r="J230" i="16"/>
  <c r="E230" i="16"/>
  <c r="F224" i="16"/>
  <c r="E274" i="16"/>
  <c r="P320" i="16"/>
  <c r="F145" i="16"/>
  <c r="H145" i="16"/>
  <c r="H150" i="16"/>
  <c r="K150" i="16"/>
  <c r="J105" i="16"/>
  <c r="F42" i="16"/>
  <c r="H42" i="16"/>
  <c r="E160" i="16"/>
  <c r="J109" i="16"/>
  <c r="F114" i="16"/>
  <c r="E120" i="16"/>
  <c r="E180" i="16"/>
  <c r="J174" i="16"/>
  <c r="U248" i="16"/>
  <c r="P274" i="16"/>
  <c r="U270" i="16"/>
  <c r="Q270" i="16"/>
  <c r="Q281" i="16"/>
  <c r="S281" i="16"/>
  <c r="P308" i="16"/>
  <c r="J16" i="16"/>
  <c r="F16" i="16"/>
  <c r="H16" i="16"/>
  <c r="J79" i="16"/>
  <c r="F79" i="16"/>
  <c r="H79" i="16"/>
  <c r="U295" i="16"/>
  <c r="P296" i="16"/>
  <c r="Q289" i="16"/>
  <c r="U300" i="16"/>
  <c r="J33" i="16"/>
  <c r="F214" i="16"/>
  <c r="E33" i="16"/>
  <c r="J40" i="16"/>
  <c r="F40" i="16"/>
  <c r="H40" i="16"/>
  <c r="E110" i="16"/>
  <c r="J104" i="16"/>
  <c r="F104" i="16"/>
  <c r="E285" i="16"/>
  <c r="U315" i="16"/>
  <c r="F41" i="16"/>
  <c r="H41" i="16"/>
  <c r="J41" i="16"/>
  <c r="J48" i="16"/>
  <c r="F216" i="16"/>
  <c r="H216" i="16"/>
  <c r="E88" i="16"/>
  <c r="J256" i="16"/>
  <c r="H256" i="16"/>
  <c r="H258" i="16"/>
  <c r="F67" i="16"/>
  <c r="H67" i="16"/>
  <c r="H73" i="16"/>
  <c r="J197" i="16"/>
  <c r="J200" i="16"/>
  <c r="P230" i="16"/>
  <c r="J290" i="16"/>
  <c r="H179" i="16"/>
  <c r="P332" i="16"/>
  <c r="E332" i="16"/>
  <c r="K73" i="16"/>
  <c r="K59" i="16"/>
  <c r="U308" i="16"/>
  <c r="J220" i="16"/>
  <c r="U296" i="16"/>
  <c r="F210" i="16"/>
  <c r="J308" i="16"/>
  <c r="K308" i="16"/>
  <c r="S308" i="16"/>
  <c r="J110" i="16"/>
  <c r="J258" i="16"/>
  <c r="K258" i="16"/>
  <c r="J180" i="16"/>
  <c r="F240" i="16"/>
  <c r="F250" i="16"/>
  <c r="K200" i="16"/>
  <c r="H170" i="16"/>
  <c r="J320" i="16"/>
  <c r="K320" i="16"/>
  <c r="Q230" i="16"/>
  <c r="U274" i="16"/>
  <c r="J210" i="16"/>
  <c r="K210" i="16"/>
  <c r="K130" i="16"/>
  <c r="Q308" i="16"/>
  <c r="F73" i="16"/>
  <c r="H274" i="16"/>
  <c r="F59" i="16"/>
  <c r="F266" i="16"/>
  <c r="F33" i="16"/>
  <c r="F274" i="16"/>
  <c r="J274" i="16"/>
  <c r="K274" i="16"/>
  <c r="V220" i="16"/>
  <c r="H104" i="16"/>
  <c r="H110" i="16"/>
  <c r="F110" i="16"/>
  <c r="V230" i="16"/>
  <c r="F320" i="16"/>
  <c r="H7" i="16"/>
  <c r="H19" i="16"/>
  <c r="F19" i="16"/>
  <c r="Q285" i="16"/>
  <c r="S278" i="16"/>
  <c r="S285" i="16"/>
  <c r="V285" i="16"/>
  <c r="K160" i="16"/>
  <c r="F48" i="16"/>
  <c r="F190" i="16"/>
  <c r="H184" i="16"/>
  <c r="H190" i="16"/>
  <c r="V258" i="16"/>
  <c r="F150" i="16"/>
  <c r="Q240" i="16"/>
  <c r="H114" i="16"/>
  <c r="H120" i="16"/>
  <c r="F120" i="16"/>
  <c r="H224" i="16"/>
  <c r="H230" i="16"/>
  <c r="F230" i="16"/>
  <c r="S204" i="16"/>
  <c r="S210" i="16"/>
  <c r="Q210" i="16"/>
  <c r="H48" i="16"/>
  <c r="K48" i="16"/>
  <c r="Q220" i="16"/>
  <c r="F220" i="16"/>
  <c r="H214" i="16"/>
  <c r="H220" i="16"/>
  <c r="F88" i="16"/>
  <c r="H77" i="16"/>
  <c r="H88" i="16"/>
  <c r="K240" i="16"/>
  <c r="J296" i="16"/>
  <c r="K296" i="16"/>
  <c r="F308" i="16"/>
  <c r="J88" i="16"/>
  <c r="K33" i="16"/>
  <c r="J19" i="16"/>
  <c r="U250" i="16"/>
  <c r="F296" i="16"/>
  <c r="F170" i="16"/>
  <c r="J120" i="16"/>
  <c r="F100" i="16"/>
  <c r="H92" i="16"/>
  <c r="H100" i="16"/>
  <c r="K100" i="16"/>
  <c r="V266" i="16"/>
  <c r="Q250" i="16"/>
  <c r="S244" i="16"/>
  <c r="S250" i="16"/>
  <c r="K266" i="16"/>
  <c r="H280" i="16"/>
  <c r="H285" i="16"/>
  <c r="F285" i="16"/>
  <c r="U320" i="16"/>
  <c r="V320" i="16"/>
  <c r="Q296" i="16"/>
  <c r="S289" i="16"/>
  <c r="S296" i="16"/>
  <c r="V296" i="16"/>
  <c r="Q274" i="16"/>
  <c r="S270" i="16"/>
  <c r="S274" i="16"/>
  <c r="K170" i="16"/>
  <c r="H180" i="16"/>
  <c r="H134" i="16"/>
  <c r="H140" i="16"/>
  <c r="K140" i="16"/>
  <c r="F140" i="16"/>
  <c r="K19" i="16"/>
  <c r="V250" i="16"/>
  <c r="V274" i="16"/>
  <c r="K120" i="16"/>
  <c r="K110" i="16"/>
  <c r="K180" i="16"/>
  <c r="K230" i="16"/>
  <c r="V240" i="16"/>
  <c r="K190" i="16"/>
  <c r="K88" i="16"/>
  <c r="K220" i="16"/>
  <c r="V210" i="16"/>
  <c r="K285" i="16"/>
  <c r="K4" i="16"/>
  <c r="E344" i="16"/>
  <c r="P344" i="16"/>
  <c r="E356" i="16"/>
  <c r="E368" i="16"/>
  <c r="E404" i="16"/>
  <c r="E6" i="41"/>
  <c r="E15" i="41"/>
  <c r="F13" i="6"/>
  <c r="E20" i="6"/>
  <c r="J19" i="6"/>
  <c r="F19" i="6"/>
  <c r="H19" i="6"/>
  <c r="J71" i="6"/>
  <c r="F71" i="6"/>
  <c r="H71" i="6"/>
  <c r="N58" i="6"/>
  <c r="M58" i="6"/>
  <c r="L82" i="6"/>
  <c r="F85" i="6"/>
  <c r="H85" i="6"/>
  <c r="J85" i="6"/>
  <c r="J16" i="6"/>
  <c r="J20" i="6"/>
  <c r="F16" i="6"/>
  <c r="H16" i="6"/>
  <c r="N47" i="6"/>
  <c r="M47" i="6"/>
  <c r="L47" i="6"/>
  <c r="F81" i="6"/>
  <c r="J81" i="6"/>
  <c r="E86" i="6"/>
  <c r="F84" i="6"/>
  <c r="H84" i="6"/>
  <c r="J84" i="6"/>
  <c r="L84" i="6"/>
  <c r="J27" i="6"/>
  <c r="L27" i="6"/>
  <c r="F27" i="6"/>
  <c r="H27" i="6"/>
  <c r="J51" i="6"/>
  <c r="F51" i="6"/>
  <c r="H51" i="6"/>
  <c r="F72" i="6"/>
  <c r="H72" i="6"/>
  <c r="F82" i="6"/>
  <c r="H82" i="6"/>
  <c r="N48" i="6"/>
  <c r="M48" i="6"/>
  <c r="I20" i="6"/>
  <c r="L38" i="6"/>
  <c r="J50" i="6"/>
  <c r="L50" i="6"/>
  <c r="N73" i="6"/>
  <c r="J80" i="6"/>
  <c r="L80" i="6"/>
  <c r="F24" i="6"/>
  <c r="E31" i="6"/>
  <c r="J30" i="6"/>
  <c r="F30" i="6"/>
  <c r="H30" i="6"/>
  <c r="E53" i="6"/>
  <c r="J63" i="6"/>
  <c r="F63" i="6"/>
  <c r="H63" i="6"/>
  <c r="L72" i="6"/>
  <c r="F35" i="6"/>
  <c r="J25" i="6"/>
  <c r="F25" i="6"/>
  <c r="H25" i="6"/>
  <c r="L58" i="6"/>
  <c r="N80" i="6"/>
  <c r="F17" i="6"/>
  <c r="H17" i="6"/>
  <c r="N59" i="6"/>
  <c r="L17" i="6"/>
  <c r="N26" i="6"/>
  <c r="M26" i="6"/>
  <c r="E75" i="6"/>
  <c r="J68" i="6"/>
  <c r="F68" i="6"/>
  <c r="F41" i="6"/>
  <c r="H41" i="6"/>
  <c r="J61" i="6"/>
  <c r="L61" i="6"/>
  <c r="F61" i="6"/>
  <c r="H61" i="6"/>
  <c r="M50" i="6"/>
  <c r="M15" i="6"/>
  <c r="N15" i="6"/>
  <c r="J37" i="6"/>
  <c r="L37" i="6"/>
  <c r="F37" i="6"/>
  <c r="H37" i="6"/>
  <c r="E64" i="6"/>
  <c r="L26" i="6"/>
  <c r="F40" i="6"/>
  <c r="H40" i="6"/>
  <c r="J40" i="6"/>
  <c r="L40" i="6"/>
  <c r="L14" i="6"/>
  <c r="F18" i="6"/>
  <c r="H18" i="6"/>
  <c r="J18" i="6"/>
  <c r="L18" i="6"/>
  <c r="J60" i="6"/>
  <c r="F60" i="6"/>
  <c r="H60" i="6"/>
  <c r="L69" i="6"/>
  <c r="N14" i="6"/>
  <c r="N39" i="6"/>
  <c r="M39" i="6"/>
  <c r="J8" i="6"/>
  <c r="L8" i="6"/>
  <c r="E9" i="6"/>
  <c r="J6" i="6"/>
  <c r="F6" i="6"/>
  <c r="H6" i="6"/>
  <c r="F36" i="6"/>
  <c r="H36" i="6"/>
  <c r="N70" i="6"/>
  <c r="M70" i="6"/>
  <c r="J83" i="6"/>
  <c r="L83" i="6"/>
  <c r="F83" i="6"/>
  <c r="H83" i="6"/>
  <c r="J70" i="6"/>
  <c r="L70" i="6"/>
  <c r="J7" i="6"/>
  <c r="F7" i="6"/>
  <c r="H7" i="6"/>
  <c r="F57" i="6"/>
  <c r="L62" i="6"/>
  <c r="J79" i="6"/>
  <c r="M8" i="6"/>
  <c r="N8" i="6"/>
  <c r="F29" i="6"/>
  <c r="H29" i="6"/>
  <c r="J29" i="6"/>
  <c r="L29" i="6"/>
  <c r="N38" i="6"/>
  <c r="M38" i="6"/>
  <c r="N62" i="6"/>
  <c r="M62" i="6"/>
  <c r="M79" i="6"/>
  <c r="J28" i="6"/>
  <c r="F46" i="6"/>
  <c r="F69" i="6"/>
  <c r="H69" i="6"/>
  <c r="H13" i="6"/>
  <c r="F20" i="6"/>
  <c r="N60" i="6"/>
  <c r="M60" i="6"/>
  <c r="N84" i="6"/>
  <c r="M84" i="6"/>
  <c r="F42" i="6"/>
  <c r="H35" i="6"/>
  <c r="N16" i="6"/>
  <c r="M16" i="6"/>
  <c r="M29" i="6"/>
  <c r="N29" i="6"/>
  <c r="L60" i="6"/>
  <c r="L16" i="6"/>
  <c r="M69" i="6"/>
  <c r="N69" i="6"/>
  <c r="N36" i="6"/>
  <c r="M36" i="6"/>
  <c r="J42" i="6"/>
  <c r="F53" i="6"/>
  <c r="H46" i="6"/>
  <c r="N6" i="6"/>
  <c r="M6" i="6"/>
  <c r="N18" i="6"/>
  <c r="M18" i="6"/>
  <c r="N50" i="6"/>
  <c r="L81" i="6"/>
  <c r="L28" i="6"/>
  <c r="N28" i="6"/>
  <c r="L79" i="6"/>
  <c r="J86" i="6"/>
  <c r="J9" i="6"/>
  <c r="L6" i="6"/>
  <c r="M61" i="6"/>
  <c r="N61" i="6"/>
  <c r="N17" i="6"/>
  <c r="M17" i="6"/>
  <c r="H81" i="6"/>
  <c r="F86" i="6"/>
  <c r="N82" i="6"/>
  <c r="M82" i="6"/>
  <c r="J53" i="6"/>
  <c r="N79" i="6"/>
  <c r="H57" i="6"/>
  <c r="F64" i="6"/>
  <c r="N40" i="6"/>
  <c r="M40" i="6"/>
  <c r="J64" i="6"/>
  <c r="N72" i="6"/>
  <c r="M72" i="6"/>
  <c r="M71" i="6"/>
  <c r="N71" i="6"/>
  <c r="M7" i="6"/>
  <c r="N7" i="6"/>
  <c r="F75" i="6"/>
  <c r="H68" i="6"/>
  <c r="M51" i="6"/>
  <c r="N51" i="6"/>
  <c r="H9" i="6"/>
  <c r="L71" i="6"/>
  <c r="L7" i="6"/>
  <c r="J75" i="6"/>
  <c r="N25" i="6"/>
  <c r="M25" i="6"/>
  <c r="H24" i="6"/>
  <c r="F31" i="6"/>
  <c r="L51" i="6"/>
  <c r="F9" i="6"/>
  <c r="F2" i="6"/>
  <c r="L25" i="6"/>
  <c r="J31" i="6"/>
  <c r="N83" i="6"/>
  <c r="M83" i="6"/>
  <c r="N37" i="6"/>
  <c r="M37" i="6"/>
  <c r="M27" i="6"/>
  <c r="N27" i="6"/>
  <c r="L36" i="6"/>
  <c r="L64" i="6"/>
  <c r="H20" i="6"/>
  <c r="N13" i="6"/>
  <c r="M13" i="6"/>
  <c r="L13" i="6"/>
  <c r="H2" i="6"/>
  <c r="K10" i="6"/>
  <c r="K9" i="6"/>
  <c r="L10" i="6"/>
  <c r="L46" i="6"/>
  <c r="M46" i="6"/>
  <c r="N46" i="6"/>
  <c r="H53" i="6"/>
  <c r="M68" i="6"/>
  <c r="H75" i="6"/>
  <c r="N68" i="6"/>
  <c r="N57" i="6"/>
  <c r="L57" i="6"/>
  <c r="H64" i="6"/>
  <c r="M57" i="6"/>
  <c r="J2" i="6"/>
  <c r="K2" i="6"/>
  <c r="L9" i="6"/>
  <c r="M9" i="6"/>
  <c r="H42" i="6"/>
  <c r="L35" i="6"/>
  <c r="M35" i="6"/>
  <c r="N35" i="6"/>
  <c r="M24" i="6"/>
  <c r="H31" i="6"/>
  <c r="L24" i="6"/>
  <c r="N24" i="6"/>
  <c r="L75" i="6"/>
  <c r="L68" i="6"/>
  <c r="N81" i="6"/>
  <c r="M81" i="6"/>
  <c r="H86" i="6"/>
  <c r="K87" i="6"/>
  <c r="K86" i="6"/>
  <c r="L87" i="6"/>
  <c r="K53" i="6"/>
  <c r="L54" i="6"/>
  <c r="K54" i="6"/>
  <c r="K20" i="6"/>
  <c r="L21" i="6"/>
  <c r="K21" i="6"/>
  <c r="L20" i="6"/>
  <c r="M20" i="6"/>
  <c r="K43" i="6"/>
  <c r="K42" i="6"/>
  <c r="L43" i="6"/>
  <c r="M64" i="6"/>
  <c r="L86" i="6"/>
  <c r="M86" i="6"/>
  <c r="M75" i="6"/>
  <c r="L42" i="6"/>
  <c r="L53" i="6"/>
  <c r="M53" i="6"/>
  <c r="K65" i="6"/>
  <c r="K64" i="6"/>
  <c r="L65" i="6"/>
  <c r="K31" i="6"/>
  <c r="L32" i="6"/>
  <c r="K32" i="6"/>
  <c r="L31" i="6"/>
  <c r="M31" i="6"/>
  <c r="K75" i="6"/>
  <c r="L76" i="6"/>
  <c r="K76" i="6"/>
  <c r="M42" i="6"/>
  <c r="E122" i="26"/>
  <c r="E136" i="26"/>
  <c r="E9" i="20"/>
  <c r="J3" i="20"/>
  <c r="J4" i="20"/>
  <c r="H4" i="20"/>
  <c r="H3" i="20"/>
  <c r="H9" i="20"/>
  <c r="J9" i="20"/>
  <c r="C25" i="15"/>
  <c r="C27" i="15"/>
  <c r="AP40" i="15"/>
  <c r="AD40" i="15"/>
  <c r="B40" i="15"/>
  <c r="G41" i="15"/>
  <c r="C15" i="15"/>
  <c r="C21" i="15"/>
  <c r="C5" i="15"/>
  <c r="C7" i="15"/>
  <c r="C9" i="15"/>
  <c r="C11" i="15"/>
  <c r="C13" i="15"/>
  <c r="C17" i="15"/>
  <c r="C23" i="15"/>
  <c r="C41" i="15"/>
  <c r="C43" i="15"/>
  <c r="D43" i="15"/>
  <c r="AD5" i="15"/>
  <c r="AJ5" i="15"/>
  <c r="X5" i="15"/>
  <c r="X39" i="15"/>
  <c r="AJ39" i="15"/>
  <c r="AL41" i="15"/>
  <c r="AL43" i="15"/>
  <c r="AM43" i="15"/>
  <c r="AF41" i="15"/>
  <c r="AF43" i="15"/>
  <c r="AG43" i="15"/>
  <c r="AN32" i="1"/>
  <c r="AR16" i="1"/>
  <c r="AH16" i="1"/>
  <c r="AR32" i="1"/>
  <c r="S32" i="1"/>
  <c r="T32" i="1"/>
  <c r="E33" i="14"/>
  <c r="E41" i="15"/>
  <c r="E43" i="15"/>
  <c r="F43" i="15"/>
  <c r="P41" i="15"/>
  <c r="P43" i="15"/>
  <c r="Q43" i="15"/>
  <c r="X40" i="15"/>
  <c r="AJ83" i="15"/>
  <c r="AJ84" i="15"/>
  <c r="X83" i="15"/>
  <c r="AS85" i="15"/>
  <c r="AS87" i="15"/>
  <c r="AT87" i="15"/>
  <c r="M83" i="15"/>
  <c r="M84" i="15"/>
  <c r="C51" i="15"/>
  <c r="C67" i="15"/>
  <c r="Z85" i="15"/>
  <c r="Z87" i="15"/>
  <c r="AA87" i="15"/>
  <c r="C63" i="15"/>
  <c r="AD83" i="15"/>
  <c r="C57" i="15"/>
  <c r="AD84" i="15"/>
  <c r="AD49" i="15"/>
  <c r="AJ49" i="15"/>
  <c r="X49" i="15"/>
  <c r="B83" i="15"/>
  <c r="C53" i="15"/>
  <c r="C49" i="15"/>
  <c r="X84" i="15"/>
  <c r="C77" i="15"/>
  <c r="F29" i="1"/>
  <c r="AF85" i="15"/>
  <c r="AF87" i="15"/>
  <c r="AG87" i="15"/>
  <c r="AL85" i="15"/>
  <c r="AL87" i="15"/>
  <c r="AM87" i="15"/>
  <c r="P85" i="15"/>
  <c r="P87" i="15"/>
  <c r="Q87" i="15"/>
  <c r="E85" i="15"/>
  <c r="E87" i="15"/>
  <c r="F87" i="15"/>
  <c r="AP83" i="15"/>
  <c r="B84" i="15"/>
  <c r="C59" i="15"/>
  <c r="C29" i="1"/>
  <c r="B28" i="1"/>
  <c r="E31" i="1"/>
  <c r="G32" i="1"/>
  <c r="C85" i="15"/>
  <c r="C87" i="15"/>
  <c r="D87" i="15"/>
  <c r="F32" i="1"/>
  <c r="L16" i="1"/>
  <c r="M16" i="1"/>
  <c r="B29" i="1"/>
  <c r="A30" i="1"/>
  <c r="C145" i="15"/>
  <c r="AB56" i="19"/>
  <c r="AF56" i="19"/>
  <c r="S56" i="19"/>
  <c r="U56" i="19"/>
  <c r="P67" i="19"/>
  <c r="J56" i="19"/>
  <c r="D61" i="17"/>
  <c r="E61" i="17"/>
  <c r="L61" i="1"/>
  <c r="AT173" i="15"/>
  <c r="E60" i="1"/>
  <c r="E61" i="1"/>
  <c r="AP171" i="15"/>
  <c r="AJ171" i="15"/>
  <c r="AD171" i="15"/>
  <c r="F173" i="15"/>
  <c r="C60" i="1"/>
  <c r="C61" i="1"/>
  <c r="B172" i="15"/>
  <c r="E173" i="15"/>
  <c r="E175" i="15"/>
  <c r="F175" i="15"/>
  <c r="B171" i="15"/>
  <c r="P175" i="15"/>
  <c r="Q175" i="15"/>
  <c r="Z175" i="15"/>
  <c r="AA175" i="15"/>
  <c r="C141" i="15"/>
  <c r="AM173" i="15"/>
  <c r="H60" i="1"/>
  <c r="H61" i="1"/>
  <c r="C143" i="15"/>
  <c r="AG173" i="15"/>
  <c r="G60" i="1"/>
  <c r="G61" i="1"/>
  <c r="AD172" i="15"/>
  <c r="AL173" i="15"/>
  <c r="AL175" i="15"/>
  <c r="AM175" i="15"/>
  <c r="AF173" i="15"/>
  <c r="AF175" i="15"/>
  <c r="AG175" i="15"/>
  <c r="AA173" i="15"/>
  <c r="F60" i="1"/>
  <c r="F61" i="1"/>
  <c r="C139" i="15"/>
  <c r="AS173" i="15"/>
  <c r="AS175" i="15"/>
  <c r="AT175" i="15"/>
  <c r="AD56" i="19"/>
  <c r="O60" i="1"/>
  <c r="O61" i="1"/>
  <c r="K67" i="19"/>
  <c r="L67" i="19"/>
  <c r="AD62" i="19"/>
  <c r="AD67" i="19"/>
  <c r="AG67" i="19"/>
  <c r="AH67" i="19"/>
  <c r="AB67" i="19"/>
  <c r="P60" i="1"/>
  <c r="P61" i="1"/>
  <c r="AA67" i="19"/>
  <c r="F67" i="19"/>
  <c r="Q62" i="19"/>
  <c r="E67" i="19"/>
  <c r="X181" i="15"/>
  <c r="AD181" i="15"/>
  <c r="AJ181" i="15"/>
  <c r="C181" i="15"/>
  <c r="C217" i="15"/>
  <c r="C219" i="15"/>
  <c r="D219" i="15"/>
  <c r="Q61" i="1"/>
  <c r="E59" i="23"/>
  <c r="P217" i="15"/>
  <c r="P219" i="15"/>
  <c r="Q219" i="15"/>
  <c r="F49" i="22"/>
  <c r="F55" i="22"/>
  <c r="S60" i="1"/>
  <c r="S61" i="1"/>
  <c r="Q49" i="22"/>
  <c r="Q55" i="22"/>
  <c r="T60" i="1"/>
  <c r="T61" i="1"/>
  <c r="C159" i="15"/>
  <c r="C173" i="15"/>
  <c r="C175" i="15"/>
  <c r="D175" i="15"/>
  <c r="M215" i="15"/>
  <c r="E217" i="15"/>
  <c r="E219" i="15"/>
  <c r="F219" i="15"/>
  <c r="Q67" i="19"/>
  <c r="S62" i="19"/>
  <c r="S67" i="19"/>
  <c r="N60" i="1"/>
  <c r="V67" i="19"/>
  <c r="W67" i="19"/>
  <c r="N61" i="1"/>
  <c r="S64" i="1"/>
  <c r="T64" i="1"/>
  <c r="E95" i="17"/>
  <c r="L93" i="1"/>
  <c r="G16" i="1"/>
  <c r="F16" i="1"/>
  <c r="B13" i="1"/>
  <c r="A14" i="1"/>
  <c r="E15" i="1"/>
  <c r="C273" i="15"/>
  <c r="L48" i="1"/>
  <c r="M48" i="1"/>
  <c r="L64" i="1"/>
  <c r="M64" i="1"/>
  <c r="F110" i="1"/>
  <c r="E349" i="15"/>
  <c r="E351" i="15"/>
  <c r="F351" i="15"/>
  <c r="B44" i="1"/>
  <c r="B92" i="1"/>
  <c r="B60" i="1"/>
  <c r="G93" i="1"/>
  <c r="B76" i="1"/>
  <c r="B304" i="15"/>
  <c r="F93" i="1"/>
  <c r="D94" i="1"/>
  <c r="L96" i="1"/>
  <c r="M96" i="1"/>
  <c r="C13" i="1"/>
  <c r="L80" i="1"/>
  <c r="M80" i="1"/>
  <c r="AF349" i="15"/>
  <c r="AF351" i="15"/>
  <c r="AG351" i="15"/>
  <c r="Z349" i="15"/>
  <c r="Z351" i="15"/>
  <c r="AA351" i="15"/>
  <c r="AS349" i="15"/>
  <c r="AS351" i="15"/>
  <c r="AT351" i="15"/>
  <c r="M303" i="15"/>
  <c r="P305" i="15"/>
  <c r="P307" i="15"/>
  <c r="Q307" i="15"/>
  <c r="C285" i="15"/>
  <c r="B94" i="1"/>
  <c r="B95" i="1"/>
  <c r="L97" i="1"/>
  <c r="M97" i="1"/>
  <c r="D110" i="1"/>
  <c r="B107" i="1"/>
  <c r="C311" i="15"/>
  <c r="G80" i="1"/>
  <c r="F80" i="1"/>
  <c r="E79" i="1"/>
  <c r="B77" i="1"/>
  <c r="A78" i="1"/>
  <c r="F64" i="1"/>
  <c r="B61" i="1"/>
  <c r="A62" i="1"/>
  <c r="E63" i="1"/>
  <c r="G64" i="1"/>
  <c r="F96" i="1"/>
  <c r="E95" i="1"/>
  <c r="G96" i="1"/>
  <c r="B93" i="1"/>
  <c r="A94" i="1"/>
  <c r="F48" i="1"/>
  <c r="E47" i="1"/>
  <c r="G48" i="1"/>
  <c r="B45" i="1"/>
  <c r="A46" i="1"/>
  <c r="C110" i="1"/>
  <c r="C305" i="15"/>
  <c r="C307" i="15"/>
  <c r="D307" i="15"/>
  <c r="C349" i="15"/>
  <c r="C351" i="15"/>
  <c r="D351" i="15"/>
  <c r="B109" i="1"/>
  <c r="B110" i="1"/>
  <c r="A111" i="1"/>
  <c r="L113" i="1"/>
  <c r="M113" i="1"/>
  <c r="E112" i="1"/>
  <c r="F113" i="1"/>
  <c r="G113" i="1"/>
  <c r="B111" i="1"/>
  <c r="B1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<sst xmlns="http://schemas.openxmlformats.org/spreadsheetml/2006/main" count="6448" uniqueCount="396">
  <si>
    <t>設置店舗数</t>
    <rPh sb="0" eb="2">
      <t>セッチ</t>
    </rPh>
    <phoneticPr fontId="35"/>
  </si>
  <si>
    <t>店舗</t>
  </si>
  <si>
    <t>合計</t>
  </si>
  <si>
    <t>福重</t>
  </si>
  <si>
    <t>福重②</t>
  </si>
  <si>
    <t>福重③</t>
    <phoneticPr fontId="35"/>
  </si>
  <si>
    <t>福重④</t>
    <phoneticPr fontId="35"/>
  </si>
  <si>
    <t>福重⑤</t>
    <phoneticPr fontId="35"/>
  </si>
  <si>
    <t>福重⑥</t>
    <phoneticPr fontId="35"/>
  </si>
  <si>
    <t>那珂川</t>
  </si>
  <si>
    <t>西新</t>
    <rPh sb="0" eb="2">
      <t>ニシジン</t>
    </rPh>
    <phoneticPr fontId="35"/>
  </si>
  <si>
    <t>唐津</t>
    <rPh sb="0" eb="2">
      <t>カラツ</t>
    </rPh>
    <phoneticPr fontId="35"/>
  </si>
  <si>
    <t>飯塚</t>
  </si>
  <si>
    <t>飯塚②</t>
  </si>
  <si>
    <t>飯塚③</t>
    <phoneticPr fontId="35"/>
  </si>
  <si>
    <t>小倉</t>
  </si>
  <si>
    <t>黒崎</t>
  </si>
  <si>
    <t>黒崎②</t>
  </si>
  <si>
    <t>宗像</t>
  </si>
  <si>
    <t>宗像②</t>
    <phoneticPr fontId="35"/>
  </si>
  <si>
    <t>宗像③</t>
    <phoneticPr fontId="35"/>
  </si>
  <si>
    <t>魚町</t>
  </si>
  <si>
    <t>魚町②</t>
  </si>
  <si>
    <t>鞍手</t>
  </si>
  <si>
    <t>長府②</t>
  </si>
  <si>
    <t>宇部①</t>
  </si>
  <si>
    <t>宇部②</t>
  </si>
  <si>
    <t>宇部③</t>
  </si>
  <si>
    <t>佐賀①</t>
    <phoneticPr fontId="35"/>
  </si>
  <si>
    <t>佐賀②</t>
  </si>
  <si>
    <t>八女</t>
  </si>
  <si>
    <t>都城①</t>
    <rPh sb="0" eb="2">
      <t>ミヤコノジョウ</t>
    </rPh>
    <phoneticPr fontId="35"/>
  </si>
  <si>
    <t>都城②</t>
    <rPh sb="0" eb="2">
      <t>ミヤコノジョウ</t>
    </rPh>
    <phoneticPr fontId="35"/>
  </si>
  <si>
    <t>鹿屋①</t>
    <rPh sb="0" eb="2">
      <t>カノヤ</t>
    </rPh>
    <phoneticPr fontId="35"/>
  </si>
  <si>
    <t>鹿屋②</t>
    <rPh sb="0" eb="2">
      <t>カノヤ</t>
    </rPh>
    <phoneticPr fontId="35"/>
  </si>
  <si>
    <t>鹿屋500</t>
    <rPh sb="0" eb="2">
      <t>カノヤ</t>
    </rPh>
    <phoneticPr fontId="35"/>
  </si>
  <si>
    <t>浜町</t>
  </si>
  <si>
    <t>時津</t>
  </si>
  <si>
    <t>大村</t>
  </si>
  <si>
    <t>菊陽②</t>
  </si>
  <si>
    <t>宇宿①</t>
    <rPh sb="0" eb="2">
      <t>ウスキ</t>
    </rPh>
    <phoneticPr fontId="35"/>
  </si>
  <si>
    <t>霧島①</t>
    <rPh sb="0" eb="2">
      <t>キリシマ</t>
    </rPh>
    <phoneticPr fontId="35"/>
  </si>
  <si>
    <t>霧島②</t>
    <rPh sb="0" eb="2">
      <t>キリシマ</t>
    </rPh>
    <phoneticPr fontId="35"/>
  </si>
  <si>
    <t>霧島500</t>
    <rPh sb="0" eb="2">
      <t>キリシマ</t>
    </rPh>
    <phoneticPr fontId="35"/>
  </si>
  <si>
    <t>川内①</t>
    <phoneticPr fontId="35"/>
  </si>
  <si>
    <t>川内②</t>
  </si>
  <si>
    <t>川内500</t>
    <phoneticPr fontId="35"/>
  </si>
  <si>
    <t>合志</t>
  </si>
  <si>
    <t>南熊本</t>
    <rPh sb="0" eb="1">
      <t>ミナミ</t>
    </rPh>
    <rPh sb="1" eb="3">
      <t>クマモト</t>
    </rPh>
    <phoneticPr fontId="35"/>
  </si>
  <si>
    <t>下通</t>
  </si>
  <si>
    <t>今宿</t>
  </si>
  <si>
    <t>今宿➁</t>
  </si>
  <si>
    <t>八代</t>
    <phoneticPr fontId="35"/>
  </si>
  <si>
    <t>佐世保</t>
  </si>
  <si>
    <t>別府</t>
  </si>
  <si>
    <t>行橋</t>
  </si>
  <si>
    <t>延岡①</t>
    <rPh sb="0" eb="2">
      <t>ノベオカ</t>
    </rPh>
    <phoneticPr fontId="35"/>
  </si>
  <si>
    <t>延岡②</t>
    <rPh sb="0" eb="2">
      <t>ノベオカ</t>
    </rPh>
    <phoneticPr fontId="35"/>
  </si>
  <si>
    <t>光吉</t>
  </si>
  <si>
    <t>設置台数</t>
    <rPh sb="0" eb="2">
      <t>セッチ</t>
    </rPh>
    <rPh sb="2" eb="4">
      <t>ダイスウ</t>
    </rPh>
    <phoneticPr fontId="35"/>
  </si>
  <si>
    <t>500GACHA</t>
    <phoneticPr fontId="35"/>
  </si>
  <si>
    <t>1000GACHA</t>
  </si>
  <si>
    <t>ティアラ</t>
  </si>
  <si>
    <t>デカプセル</t>
  </si>
  <si>
    <t>ガチャコロ1</t>
  </si>
  <si>
    <t>500GATCHA</t>
  </si>
  <si>
    <t>ガチャコロ2</t>
  </si>
  <si>
    <t>1000GACHA</t>
    <phoneticPr fontId="35"/>
  </si>
  <si>
    <t>ガチャコロ２</t>
  </si>
  <si>
    <t>500GATCHA</t>
    <phoneticPr fontId="35"/>
  </si>
  <si>
    <t>ガチャコロ2</t>
    <phoneticPr fontId="35"/>
  </si>
  <si>
    <t>ロッカー台数</t>
    <rPh sb="4" eb="5">
      <t>ダイ</t>
    </rPh>
    <phoneticPr fontId="35"/>
  </si>
  <si>
    <t>ロッカー</t>
    <phoneticPr fontId="35"/>
  </si>
  <si>
    <t>カプセル容量</t>
    <rPh sb="4" eb="6">
      <t>ヨウリョウ</t>
    </rPh>
    <phoneticPr fontId="35"/>
  </si>
  <si>
    <t>ガチャの種類</t>
  </si>
  <si>
    <t>バラエティー</t>
  </si>
  <si>
    <t>スニーカー</t>
    <phoneticPr fontId="35"/>
  </si>
  <si>
    <t>ゲームソフト</t>
    <phoneticPr fontId="35"/>
  </si>
  <si>
    <t>ブランド</t>
    <phoneticPr fontId="35"/>
  </si>
  <si>
    <t>ゲーム機</t>
    <rPh sb="3" eb="4">
      <t>キ</t>
    </rPh>
    <phoneticPr fontId="35"/>
  </si>
  <si>
    <t>ポケモン</t>
  </si>
  <si>
    <t>バラエティー(ポケモン）</t>
  </si>
  <si>
    <t>バラエティー</t>
    <phoneticPr fontId="35"/>
  </si>
  <si>
    <t>ティアラ</t>
    <phoneticPr fontId="35"/>
  </si>
  <si>
    <t>プレイ料金</t>
    <phoneticPr fontId="35"/>
  </si>
  <si>
    <t>1000＆2000</t>
  </si>
  <si>
    <t>ガチャコロ1</t>
    <phoneticPr fontId="35"/>
  </si>
  <si>
    <t>前年度</t>
    <rPh sb="0" eb="2">
      <t>ゼンネン</t>
    </rPh>
    <rPh sb="2" eb="3">
      <t>ド</t>
    </rPh>
    <phoneticPr fontId="35"/>
  </si>
  <si>
    <t>目標</t>
  </si>
  <si>
    <t>デカプセル</t>
    <phoneticPr fontId="35"/>
  </si>
  <si>
    <t>売上実績</t>
  </si>
  <si>
    <t>目標対比</t>
    <rPh sb="0" eb="2">
      <t>モクヒョウ</t>
    </rPh>
    <rPh sb="2" eb="4">
      <t>タイヒ</t>
    </rPh>
    <phoneticPr fontId="35"/>
  </si>
  <si>
    <t>予測達成率</t>
    <rPh sb="0" eb="2">
      <t>ヨソク</t>
    </rPh>
    <rPh sb="2" eb="4">
      <t>タッセイ</t>
    </rPh>
    <rPh sb="4" eb="5">
      <t>リツ</t>
    </rPh>
    <phoneticPr fontId="35"/>
  </si>
  <si>
    <t>開始日</t>
    <rPh sb="0" eb="3">
      <t>カイシビ</t>
    </rPh>
    <phoneticPr fontId="35"/>
  </si>
  <si>
    <t>全台AVE</t>
    <rPh sb="0" eb="1">
      <t>ゼン</t>
    </rPh>
    <phoneticPr fontId="35"/>
  </si>
  <si>
    <t>ガチャ</t>
    <phoneticPr fontId="35"/>
  </si>
  <si>
    <t>プライズ</t>
    <phoneticPr fontId="35"/>
  </si>
  <si>
    <t>売上目標</t>
  </si>
  <si>
    <t>新</t>
    <rPh sb="0" eb="1">
      <t>シン</t>
    </rPh>
    <phoneticPr fontId="35"/>
  </si>
  <si>
    <t>進捗率</t>
    <rPh sb="0" eb="2">
      <t>シンチョク</t>
    </rPh>
    <rPh sb="2" eb="3">
      <t>リツ</t>
    </rPh>
    <phoneticPr fontId="35"/>
  </si>
  <si>
    <t>経過日数</t>
    <rPh sb="0" eb="2">
      <t>ケイカ</t>
    </rPh>
    <rPh sb="2" eb="4">
      <t>ニッスウ</t>
    </rPh>
    <phoneticPr fontId="35"/>
  </si>
  <si>
    <t>総売上</t>
    <rPh sb="0" eb="3">
      <t>ソウウリアゲ</t>
    </rPh>
    <phoneticPr fontId="35"/>
  </si>
  <si>
    <t>進捗</t>
  </si>
  <si>
    <t>博多駅南</t>
    <rPh sb="0" eb="2">
      <t>ハカタ</t>
    </rPh>
    <rPh sb="2" eb="4">
      <t>エキミナミ</t>
    </rPh>
    <phoneticPr fontId="35"/>
  </si>
  <si>
    <t>中州</t>
  </si>
  <si>
    <t>宇宿②</t>
    <rPh sb="0" eb="2">
      <t>ウスキ</t>
    </rPh>
    <phoneticPr fontId="35"/>
  </si>
  <si>
    <t>Dプラ</t>
    <phoneticPr fontId="35"/>
  </si>
  <si>
    <t>佐賀①</t>
  </si>
  <si>
    <r>
      <rPr>
        <sz val="14"/>
        <color theme="1"/>
        <rFont val="Calibri"/>
        <family val="3"/>
        <charset val="128"/>
        <scheme val="major"/>
      </rPr>
      <t>５００円</t>
    </r>
    <phoneticPr fontId="35"/>
  </si>
  <si>
    <r>
      <rPr>
        <sz val="14"/>
        <color theme="1"/>
        <rFont val="Calibri"/>
        <family val="3"/>
        <charset val="128"/>
        <scheme val="major"/>
      </rPr>
      <t>２０００円</t>
    </r>
  </si>
  <si>
    <r>
      <t>2000</t>
    </r>
    <r>
      <rPr>
        <sz val="14"/>
        <color theme="1"/>
        <rFont val="Calibri"/>
        <family val="3"/>
        <charset val="128"/>
        <scheme val="major"/>
      </rPr>
      <t>円スニーカー</t>
    </r>
  </si>
  <si>
    <r>
      <t>1000</t>
    </r>
    <r>
      <rPr>
        <sz val="14"/>
        <color theme="1"/>
        <rFont val="Calibri"/>
        <family val="3"/>
        <charset val="128"/>
        <scheme val="major"/>
      </rPr>
      <t>円ソフト</t>
    </r>
  </si>
  <si>
    <r>
      <t>2000</t>
    </r>
    <r>
      <rPr>
        <sz val="14"/>
        <color theme="1"/>
        <rFont val="Calibri"/>
        <family val="3"/>
        <charset val="128"/>
        <scheme val="major"/>
      </rPr>
      <t>円ブランド</t>
    </r>
  </si>
  <si>
    <r>
      <t>2000</t>
    </r>
    <r>
      <rPr>
        <sz val="14"/>
        <color theme="1"/>
        <rFont val="Calibri"/>
        <family val="3"/>
        <charset val="128"/>
        <scheme val="major"/>
      </rPr>
      <t>円ゲーム</t>
    </r>
  </si>
  <si>
    <r>
      <rPr>
        <b/>
        <sz val="11"/>
        <color theme="1"/>
        <rFont val="Calibri"/>
        <family val="3"/>
        <charset val="128"/>
        <scheme val="major"/>
      </rPr>
      <t>日付</t>
    </r>
  </si>
  <si>
    <r>
      <rPr>
        <b/>
        <sz val="11"/>
        <color theme="1"/>
        <rFont val="Calibri"/>
        <family val="3"/>
        <charset val="128"/>
        <scheme val="major"/>
      </rPr>
      <t>今回ﾒｰﾀｰ</t>
    </r>
  </si>
  <si>
    <r>
      <rPr>
        <b/>
        <sz val="11"/>
        <color theme="1"/>
        <rFont val="Calibri"/>
        <family val="3"/>
        <charset val="128"/>
        <scheme val="major"/>
      </rPr>
      <t>ﾒｰﾀｰ差</t>
    </r>
  </si>
  <si>
    <r>
      <rPr>
        <b/>
        <sz val="11"/>
        <color theme="1"/>
        <rFont val="Calibri"/>
        <family val="3"/>
        <charset val="128"/>
        <scheme val="major"/>
      </rPr>
      <t>売上</t>
    </r>
  </si>
  <si>
    <r>
      <rPr>
        <b/>
        <sz val="8"/>
        <color theme="1"/>
        <rFont val="Calibri"/>
        <family val="3"/>
        <charset val="128"/>
        <scheme val="major"/>
      </rPr>
      <t>備考</t>
    </r>
  </si>
  <si>
    <r>
      <rPr>
        <b/>
        <sz val="11"/>
        <color theme="1"/>
        <rFont val="Calibri"/>
        <family val="3"/>
        <charset val="128"/>
        <scheme val="major"/>
      </rPr>
      <t>備考</t>
    </r>
  </si>
  <si>
    <t>上段リセット済み</t>
  </si>
  <si>
    <t>下段電源落とした</t>
  </si>
  <si>
    <t>上段電源切られてた</t>
  </si>
  <si>
    <t>下段リセット済み</t>
  </si>
  <si>
    <t>止まってた</t>
  </si>
  <si>
    <t>10/12リセット</t>
    <phoneticPr fontId="35"/>
  </si>
  <si>
    <t>今月の日数</t>
    <rPh sb="0" eb="2">
      <t>コンゲツ</t>
    </rPh>
    <rPh sb="3" eb="5">
      <t>ニッスウ</t>
    </rPh>
    <phoneticPr fontId="35"/>
  </si>
  <si>
    <t>全台日売AVE</t>
  </si>
  <si>
    <t>売上予想合計</t>
    <rPh sb="0" eb="2">
      <t>ウリアゲ</t>
    </rPh>
    <rPh sb="2" eb="4">
      <t>ヨソウ</t>
    </rPh>
    <rPh sb="4" eb="6">
      <t>ゴウケイ</t>
    </rPh>
    <phoneticPr fontId="35"/>
  </si>
  <si>
    <t>AVE</t>
    <phoneticPr fontId="35"/>
  </si>
  <si>
    <t>売上予想</t>
    <rPh sb="0" eb="2">
      <t>ウリアゲ</t>
    </rPh>
    <rPh sb="2" eb="4">
      <t>ヨソウ</t>
    </rPh>
    <phoneticPr fontId="35"/>
  </si>
  <si>
    <t>リセット</t>
  </si>
  <si>
    <t/>
  </si>
  <si>
    <t>リセット待ち</t>
  </si>
  <si>
    <t>軽くリセット</t>
  </si>
  <si>
    <t>リセット済み</t>
  </si>
  <si>
    <t>玉補充済み</t>
  </si>
  <si>
    <t>ドラクエ1＆2 ちょい足し</t>
  </si>
  <si>
    <t>60玉補充</t>
  </si>
  <si>
    <t>30玉補充</t>
  </si>
  <si>
    <t>補充いる</t>
  </si>
  <si>
    <t>２０００円</t>
    <phoneticPr fontId="35"/>
  </si>
  <si>
    <t>日付</t>
  </si>
  <si>
    <t>今回ﾒｰﾀｰ</t>
  </si>
  <si>
    <t>ﾒｰﾀｰ差</t>
  </si>
  <si>
    <t>売上</t>
  </si>
  <si>
    <t>備考</t>
  </si>
  <si>
    <t>カメラから</t>
  </si>
  <si>
    <t>1000円ガチャ</t>
  </si>
  <si>
    <t>要、玉補充！！</t>
  </si>
  <si>
    <t>ロッカー残り6箇所</t>
  </si>
  <si>
    <t>ロッカー残り6 60玉補充</t>
  </si>
  <si>
    <t>ロッカー残り6 更に60玉補充</t>
  </si>
  <si>
    <t>ロッカー空き1箇所　残り9箇所</t>
  </si>
  <si>
    <t>2000円ガチャ</t>
    <phoneticPr fontId="35"/>
  </si>
  <si>
    <t>設置</t>
    <rPh sb="0" eb="2">
      <t>セッチ</t>
    </rPh>
    <phoneticPr fontId="35"/>
  </si>
  <si>
    <t>カプセル264補充した</t>
  </si>
  <si>
    <t>リセットしたい</t>
  </si>
  <si>
    <t>4番でた</t>
  </si>
  <si>
    <t>4と9出た</t>
  </si>
  <si>
    <t>66玉補充した</t>
  </si>
  <si>
    <t>次玉補充！！！</t>
  </si>
  <si>
    <t>前回ﾒｰﾀｰ</t>
  </si>
  <si>
    <t>立替金</t>
  </si>
  <si>
    <t>総売上</t>
  </si>
  <si>
    <t>ＢＯＸ払出</t>
  </si>
  <si>
    <t>ＣＰ払出</t>
  </si>
  <si>
    <r>
      <t>2000</t>
    </r>
    <r>
      <rPr>
        <sz val="14"/>
        <color theme="1"/>
        <rFont val="Calibri"/>
        <family val="3"/>
        <charset val="128"/>
        <scheme val="minor"/>
      </rPr>
      <t>円</t>
    </r>
    <rPh sb="4" eb="5">
      <t>エン</t>
    </rPh>
    <phoneticPr fontId="35"/>
  </si>
  <si>
    <r>
      <t>1000</t>
    </r>
    <r>
      <rPr>
        <sz val="12"/>
        <color theme="1"/>
        <rFont val="Calibri"/>
        <family val="3"/>
        <charset val="128"/>
        <scheme val="minor"/>
      </rPr>
      <t>円</t>
    </r>
    <rPh sb="4" eb="5">
      <t>エン</t>
    </rPh>
    <phoneticPr fontId="35"/>
  </si>
  <si>
    <r>
      <rPr>
        <b/>
        <sz val="11"/>
        <color theme="1"/>
        <rFont val="Calibri"/>
        <family val="3"/>
        <charset val="128"/>
        <scheme val="minor"/>
      </rPr>
      <t>日付</t>
    </r>
  </si>
  <si>
    <r>
      <rPr>
        <b/>
        <sz val="11"/>
        <color theme="1"/>
        <rFont val="Calibri"/>
        <family val="3"/>
        <charset val="128"/>
        <scheme val="minor"/>
      </rPr>
      <t>今回ﾒｰﾀｰ</t>
    </r>
  </si>
  <si>
    <r>
      <rPr>
        <b/>
        <sz val="11"/>
        <color theme="1"/>
        <rFont val="Calibri"/>
        <family val="3"/>
        <charset val="128"/>
        <scheme val="minor"/>
      </rPr>
      <t>ﾒｰﾀｰ差</t>
    </r>
  </si>
  <si>
    <r>
      <rPr>
        <b/>
        <sz val="11"/>
        <color theme="1"/>
        <rFont val="Calibri"/>
        <family val="3"/>
        <charset val="128"/>
        <scheme val="minor"/>
      </rPr>
      <t>売上</t>
    </r>
  </si>
  <si>
    <r>
      <rPr>
        <b/>
        <sz val="11"/>
        <color theme="1"/>
        <rFont val="Calibri"/>
        <family val="3"/>
        <charset val="128"/>
        <scheme val="minor"/>
      </rPr>
      <t>備考</t>
    </r>
  </si>
  <si>
    <t>1000円/2000円</t>
  </si>
  <si>
    <t>2000円</t>
  </si>
  <si>
    <t>店番00309</t>
    <rPh sb="0" eb="2">
      <t>ミセバン</t>
    </rPh>
    <phoneticPr fontId="1"/>
  </si>
  <si>
    <t>1000円</t>
  </si>
  <si>
    <t>ティアラ2000円</t>
  </si>
  <si>
    <t>景品原価</t>
  </si>
  <si>
    <t>利益率</t>
  </si>
  <si>
    <t>a2/20</t>
  </si>
  <si>
    <t>ＣＰ単価</t>
  </si>
  <si>
    <t>IN</t>
  </si>
  <si>
    <t>電マ</t>
  </si>
  <si>
    <t>電マ・マイク</t>
  </si>
  <si>
    <t>ヘリ</t>
  </si>
  <si>
    <t>累計</t>
  </si>
  <si>
    <t>今回M</t>
  </si>
  <si>
    <t>前回M</t>
  </si>
  <si>
    <t>M差</t>
  </si>
  <si>
    <t>日AVE</t>
  </si>
  <si>
    <t>利益/日</t>
  </si>
  <si>
    <t>２０００円</t>
  </si>
  <si>
    <t>日AVE利益</t>
  </si>
  <si>
    <t>店舗名 ：ドン・キホーテ大村</t>
  </si>
  <si>
    <t>ｽﾋﾟｰｶｰ・レトロミキサー・トランポ・SWL黒・カクテル・スケボー・ダーツ</t>
  </si>
  <si>
    <t>ムーミン・空清・クーラー</t>
  </si>
  <si>
    <t>デンマ・スケボ・ポップ・ミニファン・首</t>
  </si>
  <si>
    <t>NSコントローラー・ハンモック</t>
  </si>
  <si>
    <t>DB・ワイイヤ・スマプロ・トランポリン</t>
  </si>
  <si>
    <t>NSコントローラー・ドーナッツ・カクテル</t>
  </si>
  <si>
    <t>ワッフル・荷物・ゴミ箱</t>
  </si>
  <si>
    <t>コンパクトファン</t>
  </si>
  <si>
    <t>サウンドバー・ハンディプロ</t>
  </si>
  <si>
    <t>トローリー・スペースジャグラー</t>
  </si>
  <si>
    <t>音波歯ブラシ・DB</t>
  </si>
  <si>
    <t>いつどこ・リングドーナツ</t>
  </si>
  <si>
    <t>地球グミ</t>
  </si>
  <si>
    <t>じゃぐどん</t>
  </si>
  <si>
    <t>店舗名 ：ドン・キホーテ八代</t>
  </si>
  <si>
    <t>店舗名 ：ドン・キホーテ菊陽</t>
  </si>
  <si>
    <t>10/20IN</t>
  </si>
  <si>
    <t>店舗名 ：ドン・キホーテ合志</t>
  </si>
  <si>
    <t>2000円ガチャ</t>
  </si>
  <si>
    <t>店舗名 ：ドン・キホーテ下通り</t>
  </si>
  <si>
    <t>店舗名 ：ドン・キホーテ今宿</t>
  </si>
  <si>
    <t>inメーター</t>
  </si>
  <si>
    <t>LEDリングライト</t>
  </si>
  <si>
    <t>LEDリングライト/エアソファー</t>
  </si>
  <si>
    <t>チューブスリマー・布団掃除機・コードレス掃除機・景品スピーカー・電気毛布</t>
  </si>
  <si>
    <t>景品加湿器</t>
  </si>
  <si>
    <t>五条FG五条クッション・加湿器、ミニ加湿器</t>
  </si>
  <si>
    <t>ＳＮティセット・ＬＥＤライト・マッサージ器・ＮＴＤクラッシックミニ</t>
  </si>
  <si>
    <t>ＳＮティーセット・</t>
  </si>
  <si>
    <t>マッサージ器・ＷＬイヤホン型ＳＰ</t>
  </si>
  <si>
    <t>札識別機テスト</t>
  </si>
  <si>
    <t>アイマスク・WLBTSP</t>
  </si>
  <si>
    <t>グリル</t>
  </si>
  <si>
    <t>イルミ・電気鍋</t>
  </si>
  <si>
    <t>ドラレコ3000・電鍋・スツール</t>
  </si>
  <si>
    <t>歯ブラシ・シャワー・アイマスクミニ加湿・ファイアスティック</t>
  </si>
  <si>
    <t>焼き鳥・ドラレコ・スツール・シャワー</t>
  </si>
  <si>
    <t>ランタン・ミニ加湿</t>
  </si>
  <si>
    <t>電鍋</t>
  </si>
  <si>
    <t>歯ブラシ・バンク・ドラレコ</t>
  </si>
  <si>
    <t>ハブラシ・マイク・スツール・シャワー</t>
  </si>
  <si>
    <t>カークリーナー</t>
  </si>
  <si>
    <t>ウルバリン・ドラレコ・ＵＳＢ座布団</t>
  </si>
  <si>
    <t>ランタン・ミニ加湿ハブラシ・ドラレコ</t>
  </si>
  <si>
    <t>マイク・はぶらし・ポップコーン・座布団</t>
  </si>
  <si>
    <t>ファミコン</t>
  </si>
  <si>
    <t>ポップ・ゴミ箱</t>
  </si>
  <si>
    <t>ゴミ箱</t>
  </si>
  <si>
    <t>デンマ・マイク・エアチェア2個・</t>
  </si>
  <si>
    <t>ヒーター・空清・プロジェクタ・座布団</t>
  </si>
  <si>
    <t>デンマ・ケトル</t>
  </si>
  <si>
    <t>スピーカー・エアチェ1・ポップ・ゴミ箱</t>
  </si>
  <si>
    <t>ファミコン・マクラ</t>
  </si>
  <si>
    <t>スピーカー</t>
  </si>
  <si>
    <t>ﾍｯﾄﾞﾌｫﾝ・スピーカー・ケトル</t>
  </si>
  <si>
    <t>ｸｰﾙﾌｧﾝ・ムーミン・ゴミ箱</t>
  </si>
  <si>
    <t>ｸｰﾙﾌｧﾝ</t>
  </si>
  <si>
    <t>ムーミン・ゴミ箱</t>
  </si>
  <si>
    <t>クーラー</t>
  </si>
  <si>
    <t>DB・ｻｳﾝﾄﾞﾊﾞｰ・バスピロー</t>
  </si>
  <si>
    <t>DB・ｻｳﾝﾄﾞﾊﾞｰ・クーラー・バスピロー</t>
  </si>
  <si>
    <t>ハブラシ・口腔・ワイイヤ・ミニファン・首・スツール</t>
  </si>
  <si>
    <t>スマプロ・ＮＳコン・カクテル</t>
  </si>
  <si>
    <t>せんっぷうき・ミニファン・いつどこ・ケトル・クーラー</t>
  </si>
  <si>
    <t>スピーカー・スマプロ・つり</t>
  </si>
  <si>
    <t>エアソ・冷蔵庫・カクテル・地球セット</t>
  </si>
  <si>
    <t>エアチェ・ＮＳコン・シャワー・シェーバー</t>
  </si>
  <si>
    <t>扇風・水</t>
  </si>
  <si>
    <t>エアソ・ペン釣り</t>
  </si>
  <si>
    <t>ｎｓコン・スマプロ・ゴミ箱</t>
  </si>
  <si>
    <t>口腔洗浄器、メイフェアイヤホン、たいやき、ポップコーン、リセットなし</t>
  </si>
  <si>
    <t>ポータブル扇風機、流しそうめん、LIVEサウンドカード</t>
  </si>
  <si>
    <t>アルセウス、ポケカ、B、C、800.800.800.800</t>
  </si>
  <si>
    <t>エコー、800，800，800，800</t>
  </si>
  <si>
    <t>エアベッド・ラジコン</t>
  </si>
  <si>
    <t>ＲＣヘリ・ワタアメ・キッズバイク</t>
  </si>
  <si>
    <t>フォンデュ・エアソ・プロコム・キャリー</t>
  </si>
  <si>
    <t>エアソ・いつどこ・ゴミ箱・RC・レベッカ</t>
  </si>
  <si>
    <t>ライブ・UV・プロコム・</t>
  </si>
  <si>
    <t>プロコム・ホテル・シャワー</t>
  </si>
  <si>
    <t>ペンツリ・レベッカ・JEEP・ポケカ</t>
  </si>
  <si>
    <t>マイク・ゴミ箱</t>
  </si>
  <si>
    <t>サンド・スイッチソフト</t>
  </si>
  <si>
    <t>エアベット・ポリッシャ</t>
  </si>
  <si>
    <t>ポリシ・TV・あったか・</t>
  </si>
  <si>
    <t>加湿・ボーロ</t>
  </si>
  <si>
    <t>レヴァー・レベッカ</t>
  </si>
  <si>
    <t>ファミコン・グリル・グラス・ライブ・マイク</t>
  </si>
  <si>
    <t>ﾍｯﾄﾞﾌｫﾝ・スピーカー・ケトル・洗濯・ゴミ箱・レバー</t>
  </si>
  <si>
    <t>ヘッド・加湿・ライブ・マイク・グリル・テーブル</t>
  </si>
  <si>
    <t>加湿・ケトル・・テーブル・グリル・ヘッド</t>
  </si>
  <si>
    <t>体重・ジョッキ</t>
  </si>
  <si>
    <t>デンマ・ドンペン・貯金</t>
  </si>
  <si>
    <t>加湿・体重・貯金rc</t>
  </si>
  <si>
    <t>デンマ・ジャグ</t>
  </si>
  <si>
    <t>デンマ・加湿</t>
  </si>
  <si>
    <t>加湿</t>
  </si>
  <si>
    <t>1000・2000円ガチャ</t>
  </si>
  <si>
    <t>キメツ・ヘッド</t>
  </si>
  <si>
    <t>ガチャコロ1000・2000</t>
  </si>
  <si>
    <t>サムライ</t>
  </si>
  <si>
    <t>3/27　ポケモンガチャ変更</t>
  </si>
  <si>
    <t>ポケモン2000</t>
  </si>
  <si>
    <t>モンコレ</t>
  </si>
  <si>
    <t>ヘッド</t>
  </si>
  <si>
    <t>NG</t>
  </si>
  <si>
    <t>RC2エアベネック</t>
  </si>
  <si>
    <t>売上金届かんくて左手前に収納した</t>
  </si>
  <si>
    <t>2000リセット</t>
  </si>
  <si>
    <t>ポケモン1000</t>
  </si>
  <si>
    <t>2000円リセット</t>
  </si>
  <si>
    <t>両方リセット</t>
  </si>
  <si>
    <t>次リセット</t>
  </si>
  <si>
    <t>少し補充</t>
  </si>
  <si>
    <t>1000円</t>
    <rPh sb="4" eb="5">
      <t>エン</t>
    </rPh>
    <phoneticPr fontId="35"/>
  </si>
  <si>
    <t>リセット済</t>
  </si>
  <si>
    <t>2000円のみリセット</t>
  </si>
  <si>
    <t>1000円を2000円に変更</t>
  </si>
  <si>
    <t>左側ロッカーのコンセントスイッチがオフになっとった</t>
  </si>
  <si>
    <t>リセット、150</t>
  </si>
  <si>
    <t>、300</t>
  </si>
  <si>
    <t>店舗名 ：ドン・キホーテ佐世保</t>
  </si>
  <si>
    <t>ガチャクレ</t>
    <phoneticPr fontId="35"/>
  </si>
  <si>
    <t>店舗名 ：ドン・キホーテ別府</t>
  </si>
  <si>
    <t>スタート</t>
  </si>
  <si>
    <t>店舗名 ：ドン・キホーテＤプラザ</t>
  </si>
  <si>
    <t>1000円・2000円ガチャ</t>
  </si>
  <si>
    <t>店舗名 ：ドン・キホーテ光吉</t>
  </si>
  <si>
    <t>店舗名 ：ドン・キホーテ行橋</t>
  </si>
  <si>
    <t>2000円/1000円</t>
  </si>
  <si>
    <t>店舗名 ：ドン・キホーテ博多駅南</t>
    <rPh sb="12" eb="16">
      <t>ハカタエキミナミ</t>
    </rPh>
    <phoneticPr fontId="35"/>
  </si>
  <si>
    <t>経理</t>
  </si>
  <si>
    <t>内田さん</t>
  </si>
  <si>
    <t>関さん</t>
    <rPh sb="0" eb="1">
      <t>セキ</t>
    </rPh>
    <phoneticPr fontId="35"/>
  </si>
  <si>
    <t>内田14時</t>
  </si>
  <si>
    <t>なるせ16時</t>
  </si>
  <si>
    <t>リセット済み補充必要</t>
  </si>
  <si>
    <t>オレンジ袋！</t>
  </si>
  <si>
    <t>玉60補充　残Switchライト1個と靴2個　当3個補充</t>
  </si>
  <si>
    <t>コンセント抜けで止まってた</t>
  </si>
  <si>
    <t>リセット済み。200</t>
  </si>
  <si>
    <t>エラー1で止まってた</t>
  </si>
  <si>
    <t>カプセル66個補充</t>
  </si>
  <si>
    <t>カメラ</t>
  </si>
  <si>
    <t>カメラ</t>
    <phoneticPr fontId="35"/>
  </si>
  <si>
    <r>
      <rPr>
        <sz val="9"/>
        <color theme="1"/>
        <rFont val="MS PGothic"/>
        <family val="3"/>
        <charset val="128"/>
      </rPr>
      <t>・福重 ・ 那珂川</t>
    </r>
    <r>
      <rPr>
        <sz val="9"/>
        <color theme="1"/>
        <rFont val="Meiryo UI"/>
        <family val="3"/>
        <charset val="128"/>
      </rPr>
      <t>・</t>
    </r>
    <r>
      <rPr>
        <sz val="9"/>
        <color theme="1"/>
        <rFont val="MS PGothic"/>
        <family val="3"/>
        <charset val="128"/>
      </rPr>
      <t xml:space="preserve"> </t>
    </r>
    <r>
      <rPr>
        <sz val="9"/>
        <color theme="1"/>
        <rFont val="Meiryo UI"/>
        <family val="3"/>
        <charset val="128"/>
      </rPr>
      <t>今宿</t>
    </r>
    <r>
      <rPr>
        <sz val="9"/>
        <color theme="1"/>
        <rFont val="MS PGothic"/>
        <family val="3"/>
        <charset val="128"/>
      </rPr>
      <t xml:space="preserve"> </t>
    </r>
    <r>
      <rPr>
        <sz val="9"/>
        <color theme="1"/>
        <rFont val="Meiryo UI"/>
        <family val="3"/>
        <charset val="128"/>
      </rPr>
      <t>・</t>
    </r>
    <r>
      <rPr>
        <sz val="9"/>
        <color theme="1"/>
        <rFont val="MS PGothic"/>
        <family val="3"/>
        <charset val="128"/>
      </rPr>
      <t xml:space="preserve"> </t>
    </r>
    <r>
      <rPr>
        <sz val="9"/>
        <color theme="1"/>
        <rFont val="Meiryo UI"/>
        <family val="3"/>
        <charset val="128"/>
      </rPr>
      <t>佐賀</t>
    </r>
    <r>
      <rPr>
        <sz val="9"/>
        <color theme="1"/>
        <rFont val="MS PGothic"/>
        <family val="3"/>
        <charset val="128"/>
      </rPr>
      <t xml:space="preserve"> </t>
    </r>
  </si>
  <si>
    <t>払出景品</t>
  </si>
  <si>
    <t>投入景品</t>
  </si>
  <si>
    <r>
      <rPr>
        <sz val="9"/>
        <color theme="1"/>
        <rFont val="MS PGothic"/>
        <family val="3"/>
        <charset val="128"/>
      </rPr>
      <t xml:space="preserve">　・飯塚 ・小倉・ </t>
    </r>
    <r>
      <rPr>
        <sz val="9"/>
        <color theme="1"/>
        <rFont val="Meiryo UI"/>
        <family val="3"/>
        <charset val="128"/>
      </rPr>
      <t>鞍手・</t>
    </r>
    <r>
      <rPr>
        <sz val="9"/>
        <color theme="1"/>
        <rFont val="MS PGothic"/>
        <family val="3"/>
        <charset val="128"/>
      </rPr>
      <t xml:space="preserve"> </t>
    </r>
    <r>
      <rPr>
        <sz val="9"/>
        <color theme="1"/>
        <rFont val="MS PGothic"/>
        <family val="3"/>
        <charset val="128"/>
      </rPr>
      <t>時津 ・大村 ・ 浜町</t>
    </r>
  </si>
  <si>
    <t>①</t>
  </si>
  <si>
    <t>￥1000 ｉｎ</t>
  </si>
  <si>
    <t>回収/札</t>
  </si>
  <si>
    <t>売上累計/千円</t>
  </si>
  <si>
    <t>②</t>
  </si>
  <si>
    <t>③</t>
  </si>
  <si>
    <t>④</t>
  </si>
  <si>
    <t>カプセルOUT</t>
  </si>
  <si>
    <t>払出数</t>
  </si>
  <si>
    <t>追加投入</t>
  </si>
  <si>
    <t>⑤</t>
  </si>
  <si>
    <t>⑥</t>
  </si>
  <si>
    <t>⑦</t>
  </si>
  <si>
    <t>PRIZE OUT</t>
  </si>
  <si>
    <t>⑧</t>
  </si>
  <si>
    <t>A</t>
  </si>
  <si>
    <t>B</t>
  </si>
  <si>
    <t>２０００円ガチャ</t>
  </si>
  <si>
    <t xml:space="preserve"> ・福重　・那珂川　・黒崎　・長府</t>
  </si>
  <si>
    <t>売上予想</t>
    <rPh sb="2" eb="4">
      <t>ヨソウ</t>
    </rPh>
    <phoneticPr fontId="35"/>
  </si>
  <si>
    <r>
      <t>1000</t>
    </r>
    <r>
      <rPr>
        <sz val="12"/>
        <color theme="1"/>
        <rFont val="ＭＳ ゴシック"/>
        <family val="3"/>
        <charset val="128"/>
      </rPr>
      <t>円</t>
    </r>
    <r>
      <rPr>
        <sz val="12"/>
        <color theme="1"/>
        <rFont val="Calibri"/>
        <family val="3"/>
      </rPr>
      <t>2000</t>
    </r>
    <r>
      <rPr>
        <sz val="12"/>
        <color theme="1"/>
        <rFont val="ＭＳ Ｐゴシック"/>
        <family val="3"/>
        <charset val="128"/>
      </rPr>
      <t>円</t>
    </r>
    <r>
      <rPr>
        <sz val="12"/>
        <color theme="1"/>
        <rFont val="ＭＳ ゴシック"/>
        <family val="3"/>
        <charset val="128"/>
      </rPr>
      <t>ガチャ</t>
    </r>
    <rPh sb="9" eb="10">
      <t>エン</t>
    </rPh>
    <phoneticPr fontId="35"/>
  </si>
  <si>
    <t>3/20</t>
  </si>
  <si>
    <t>売上進捗</t>
    <rPh sb="2" eb="4">
      <t>シンチョク</t>
    </rPh>
    <phoneticPr fontId="35"/>
  </si>
  <si>
    <t>3/23</t>
  </si>
  <si>
    <t>3/30</t>
  </si>
  <si>
    <t>3/18/金</t>
  </si>
  <si>
    <t>4/3/金</t>
  </si>
  <si>
    <t>3/30/月</t>
  </si>
  <si>
    <t>4/06</t>
  </si>
  <si>
    <t>4/11たまごっち</t>
  </si>
  <si>
    <t>ブロックシール投入</t>
  </si>
  <si>
    <t>ポケモン1000円</t>
  </si>
  <si>
    <t>ポケモン2000円</t>
  </si>
  <si>
    <t>3.7補充</t>
  </si>
  <si>
    <t>19.20補充</t>
  </si>
  <si>
    <t>リセット、背景変更</t>
  </si>
  <si>
    <t>Switch2入れた</t>
  </si>
  <si>
    <t>エラー1停止</t>
  </si>
  <si>
    <t>リセット21日</t>
  </si>
  <si>
    <t>メーター交換999800</t>
  </si>
  <si>
    <t>たまごっちパラダイス、スタンレー</t>
  </si>
  <si>
    <t>浴衣</t>
  </si>
  <si>
    <t>たまごっちブロックシール8個投入</t>
  </si>
  <si>
    <t>ハンディファン、keenサンダル</t>
  </si>
  <si>
    <t>メーター見れず</t>
  </si>
  <si>
    <t>撤去</t>
    <rPh sb="0" eb="2">
      <t>テッキョ</t>
    </rPh>
    <phoneticPr fontId="35"/>
  </si>
  <si>
    <t>🏟️変えた</t>
  </si>
  <si>
    <t>場所かえた</t>
  </si>
  <si>
    <t>1個もロッカー空いてない</t>
  </si>
  <si>
    <t>ポケカ抜き</t>
  </si>
  <si>
    <t>sk2抜き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</si>
</sst>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¥&quot;#,##0;&quot;¥&quot;\-#,##0"/>
    <numFmt numFmtId="6" formatCode="&quot;¥&quot;#,##0;[Red]&quot;¥&quot;\-#,##0"/>
    <numFmt numFmtId="8" formatCode="&quot;¥&quot;#,##0.00;[Red]&quot;¥&quot;\-#,##0.00"/>
    <numFmt numFmtId="176" formatCode="0_ ;[Red]\-0\ "/>
    <numFmt numFmtId="177" formatCode="0.0%"/>
    <numFmt numFmtId="178" formatCode="m/d"/>
    <numFmt numFmtId="179" formatCode="&quot;¥&quot;#,##0.0;&quot;¥&quot;\-#,##0.0"/>
    <numFmt numFmtId="180" formatCode="&quot;¥&quot;#,##0_);[Red]\(&quot;¥&quot;#,##0\)"/>
    <numFmt numFmtId="181" formatCode="m/d\(aaa\)"/>
    <numFmt numFmtId="182" formatCode="m/d/aaa"/>
    <numFmt numFmtId="183" formatCode="m&quot;月&quot;d&quot;日&quot;;@"/>
    <numFmt numFmtId="184" formatCode="0_);[Red]\(0\)"/>
    <numFmt numFmtId="185" formatCode="[$¥-411]#,##0_);[Red]\([$¥-411]#,##0\)"/>
    <numFmt numFmtId="186" formatCode="yyyy&quot;年&quot;m&quot;月&quot;;@"/>
  </numFmts>
  <fonts count="90" x14ac:knownFonts="1">
    <font>
      <sz val="11"/>
      <color theme="1"/>
      <name val="Calibri"/>
      <scheme val="minor"/>
    </font>
    <font>
      <sz val="10"/>
      <color theme="1"/>
      <name val="Meiryo"/>
      <family val="3"/>
      <charset val="128"/>
    </font>
    <font>
      <b/>
      <sz val="10"/>
      <color rgb="FFFF0000"/>
      <name val="Meiryo"/>
      <family val="3"/>
      <charset val="128"/>
    </font>
    <font>
      <sz val="11"/>
      <color theme="1"/>
      <name val="Calibri"/>
      <family val="2"/>
    </font>
    <font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8"/>
      <color theme="1"/>
      <name val="MS PGothic"/>
      <family val="3"/>
      <charset val="128"/>
    </font>
    <font>
      <b/>
      <sz val="10"/>
      <color rgb="FF0070C0"/>
      <name val="Meiryo"/>
      <family val="3"/>
      <charset val="128"/>
    </font>
    <font>
      <sz val="9"/>
      <color theme="1"/>
      <name val="Meiryo"/>
      <family val="3"/>
      <charset val="128"/>
    </font>
    <font>
      <sz val="9"/>
      <color theme="1"/>
      <name val="Calibri"/>
      <family val="2"/>
    </font>
    <font>
      <b/>
      <sz val="9"/>
      <color rgb="FFFF0000"/>
      <name val="Meiryo"/>
      <family val="3"/>
      <charset val="128"/>
    </font>
    <font>
      <b/>
      <sz val="9"/>
      <color theme="1"/>
      <name val="Meiryo"/>
      <family val="3"/>
      <charset val="128"/>
    </font>
    <font>
      <b/>
      <u/>
      <sz val="9"/>
      <color theme="1"/>
      <name val="Meiryo"/>
      <family val="3"/>
      <charset val="128"/>
    </font>
    <font>
      <b/>
      <u/>
      <sz val="9"/>
      <color rgb="FFFF0000"/>
      <name val="Meiryo"/>
      <family val="3"/>
      <charset val="128"/>
    </font>
    <font>
      <sz val="9"/>
      <color rgb="FF202124"/>
      <name val="Meiryo"/>
      <family val="3"/>
      <charset val="128"/>
    </font>
    <font>
      <b/>
      <sz val="9"/>
      <color rgb="FF0070C0"/>
      <name val="Meiryo"/>
      <family val="3"/>
      <charset val="128"/>
    </font>
    <font>
      <sz val="11"/>
      <color theme="1"/>
      <name val="Meiryo"/>
      <family val="3"/>
      <charset val="128"/>
    </font>
    <font>
      <b/>
      <u/>
      <sz val="14"/>
      <color theme="1"/>
      <name val="Meiryo"/>
      <family val="3"/>
      <charset val="128"/>
    </font>
    <font>
      <sz val="12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sz val="11"/>
      <color rgb="FFFF0000"/>
      <name val="Meiryo"/>
      <family val="3"/>
      <charset val="128"/>
    </font>
    <font>
      <sz val="14"/>
      <color theme="1"/>
      <name val="Meiryo"/>
      <family val="3"/>
      <charset val="128"/>
    </font>
    <font>
      <sz val="6"/>
      <color theme="1"/>
      <name val="Meiryo"/>
      <family val="3"/>
      <charset val="128"/>
    </font>
    <font>
      <b/>
      <sz val="11"/>
      <color rgb="FF0070C0"/>
      <name val="Meiryo"/>
      <family val="3"/>
      <charset val="128"/>
    </font>
    <font>
      <b/>
      <u/>
      <sz val="11"/>
      <color theme="1"/>
      <name val="Meiryo"/>
      <family val="3"/>
      <charset val="128"/>
    </font>
    <font>
      <b/>
      <u/>
      <sz val="11"/>
      <color rgb="FFFF0000"/>
      <name val="Meiryo"/>
      <family val="3"/>
      <charset val="128"/>
    </font>
    <font>
      <sz val="9"/>
      <color rgb="FFFF0000"/>
      <name val="Meiryo"/>
      <family val="3"/>
      <charset val="128"/>
    </font>
    <font>
      <sz val="6"/>
      <color rgb="FFFF0000"/>
      <name val="Meiryo"/>
      <family val="3"/>
      <charset val="128"/>
    </font>
    <font>
      <b/>
      <sz val="6"/>
      <color theme="1"/>
      <name val="Meiryo"/>
      <family val="3"/>
      <charset val="128"/>
    </font>
    <font>
      <sz val="8"/>
      <color theme="1"/>
      <name val="Meiryo"/>
      <family val="3"/>
      <charset val="128"/>
    </font>
    <font>
      <b/>
      <sz val="6"/>
      <color rgb="FFFF0000"/>
      <name val="Meiryo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MS PGothic"/>
      <family val="3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Meiryo"/>
      <family val="3"/>
      <charset val="128"/>
    </font>
    <font>
      <sz val="11"/>
      <color theme="1"/>
      <name val="Calibri"/>
      <family val="2"/>
      <scheme val="maj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ajor"/>
    </font>
    <font>
      <b/>
      <sz val="8"/>
      <color theme="1"/>
      <name val="Calibri"/>
      <family val="2"/>
      <scheme val="major"/>
    </font>
    <font>
      <b/>
      <sz val="8"/>
      <color theme="1"/>
      <name val="Calibri"/>
      <family val="3"/>
      <charset val="128"/>
      <scheme val="major"/>
    </font>
    <font>
      <b/>
      <sz val="11"/>
      <color theme="1"/>
      <name val="Calibri"/>
      <family val="2"/>
      <scheme val="major"/>
    </font>
    <font>
      <sz val="9"/>
      <color theme="1"/>
      <name val="Calibri"/>
      <family val="2"/>
      <scheme val="major"/>
    </font>
    <font>
      <b/>
      <sz val="11"/>
      <color theme="1"/>
      <name val="Calibri"/>
      <family val="3"/>
      <charset val="128"/>
      <scheme val="major"/>
    </font>
    <font>
      <sz val="14"/>
      <color theme="1"/>
      <name val="Calibri"/>
      <family val="3"/>
      <charset val="128"/>
      <scheme val="major"/>
    </font>
    <font>
      <sz val="14"/>
      <color theme="1"/>
      <name val="Calibri"/>
      <family val="2"/>
      <scheme val="major"/>
    </font>
    <font>
      <b/>
      <sz val="11"/>
      <color rgb="FFFF0000"/>
      <name val="Calibri"/>
      <family val="2"/>
      <scheme val="major"/>
    </font>
    <font>
      <b/>
      <sz val="11"/>
      <color rgb="FF0070C0"/>
      <name val="Calibri"/>
      <family val="2"/>
      <scheme val="major"/>
    </font>
    <font>
      <b/>
      <sz val="14"/>
      <color theme="1"/>
      <name val="Calibri"/>
      <family val="2"/>
      <scheme val="major"/>
    </font>
    <font>
      <b/>
      <sz val="10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8"/>
      <color theme="1"/>
      <name val="ＭＳ Ｐゴシック"/>
      <family val="3"/>
      <charset val="128"/>
    </font>
    <font>
      <b/>
      <sz val="8"/>
      <color rgb="FF0070C0"/>
      <name val="Calibri"/>
      <family val="2"/>
      <scheme val="major"/>
    </font>
    <font>
      <sz val="8"/>
      <color theme="1"/>
      <name val="ＭＳ Ｐゴシック"/>
      <family val="2"/>
      <charset val="128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1"/>
      <color theme="1"/>
      <name val="Calibri"/>
      <family val="2"/>
      <scheme val="minor"/>
    </font>
    <font>
      <b/>
      <sz val="12"/>
      <color theme="0" tint="-0.89999084444715716"/>
      <name val="Meiryo UI"/>
      <family val="3"/>
      <charset val="128"/>
    </font>
    <font>
      <sz val="10"/>
      <color theme="1"/>
      <name val="Calibri"/>
      <family val="2"/>
      <scheme val="major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2"/>
      <color theme="1"/>
      <name val="ＭＳ ゴシック"/>
      <family val="3"/>
      <charset val="128"/>
    </font>
    <font>
      <sz val="12"/>
      <color theme="1"/>
      <name val="Calibri"/>
      <family val="3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charset val="128"/>
    </font>
    <font>
      <sz val="11"/>
      <color theme="1"/>
      <name val="ＭＳ Ｐゴシック"/>
      <family val="2"/>
      <charset val="128"/>
    </font>
    <font>
      <b/>
      <sz val="11"/>
      <color rgb="FFFF0000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FFFF99"/>
        <bgColor rgb="FFFFFF99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A9F3"/>
        <bgColor rgb="FFFBE4D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rgb="FFC5E0B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FBE4D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C5E0B3"/>
      </patternFill>
    </fill>
    <fill>
      <patternFill patternType="solid">
        <fgColor theme="9" tint="0.39997558519241921"/>
        <bgColor rgb="FFFBE4D5"/>
      </patternFill>
    </fill>
    <fill>
      <patternFill patternType="solid">
        <fgColor rgb="FFFFFF00"/>
        <bgColor rgb="FFB4C6E7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F7CAAC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rgb="FFFBE4D5"/>
      </patternFill>
    </fill>
    <fill>
      <patternFill patternType="solid">
        <fgColor rgb="FFFF3399"/>
        <bgColor rgb="FFFBE4D5"/>
      </patternFill>
    </fill>
    <fill>
      <patternFill patternType="solid">
        <fgColor rgb="FFFF3399"/>
        <bgColor rgb="FF9CC2E5"/>
      </patternFill>
    </fill>
  </fills>
  <borders count="1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50505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505050"/>
      </bottom>
      <diagonal/>
    </border>
    <border>
      <left style="thin">
        <color rgb="FF000000"/>
      </left>
      <right/>
      <top/>
      <bottom style="medium">
        <color rgb="FF505050"/>
      </bottom>
      <diagonal/>
    </border>
    <border>
      <left style="thin">
        <color rgb="FF000000"/>
      </left>
      <right style="medium">
        <color rgb="FF000000"/>
      </right>
      <top/>
      <bottom style="medium">
        <color rgb="FF50505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50505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indexed="64"/>
      </right>
      <top/>
      <bottom style="hair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rgb="FF505050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7">
    <xf numFmtId="0" fontId="0" fillId="0" borderId="0"/>
    <xf numFmtId="38" fontId="3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41" fillId="0" borderId="46"/>
    <xf numFmtId="0" fontId="36" fillId="0" borderId="46"/>
    <xf numFmtId="38" fontId="36" fillId="0" borderId="46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</cellStyleXfs>
  <cellXfs count="85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shrinkToFit="1"/>
    </xf>
    <xf numFmtId="38" fontId="8" fillId="0" borderId="0" xfId="0" applyNumberFormat="1" applyFont="1" applyAlignment="1">
      <alignment shrinkToFit="1"/>
    </xf>
    <xf numFmtId="0" fontId="9" fillId="0" borderId="0" xfId="0" applyFont="1" applyAlignment="1">
      <alignment vertical="center"/>
    </xf>
    <xf numFmtId="0" fontId="8" fillId="0" borderId="0" xfId="0" applyFont="1"/>
    <xf numFmtId="179" fontId="10" fillId="0" borderId="0" xfId="0" applyNumberFormat="1" applyFont="1" applyAlignment="1">
      <alignment horizontal="center"/>
    </xf>
    <xf numFmtId="0" fontId="11" fillId="9" borderId="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180" fontId="8" fillId="0" borderId="20" xfId="0" applyNumberFormat="1" applyFont="1" applyBorder="1" applyAlignment="1">
      <alignment shrinkToFit="1"/>
    </xf>
    <xf numFmtId="38" fontId="9" fillId="0" borderId="0" xfId="0" applyNumberFormat="1" applyFont="1" applyAlignment="1">
      <alignment vertical="center"/>
    </xf>
    <xf numFmtId="14" fontId="8" fillId="0" borderId="22" xfId="0" applyNumberFormat="1" applyFont="1" applyBorder="1" applyAlignment="1">
      <alignment horizontal="center" shrinkToFit="1"/>
    </xf>
    <xf numFmtId="0" fontId="8" fillId="0" borderId="23" xfId="0" applyFont="1" applyBorder="1" applyAlignment="1">
      <alignment shrinkToFit="1"/>
    </xf>
    <xf numFmtId="9" fontId="9" fillId="0" borderId="0" xfId="0" applyNumberFormat="1" applyFont="1" applyAlignment="1">
      <alignment vertical="center"/>
    </xf>
    <xf numFmtId="0" fontId="8" fillId="0" borderId="25" xfId="0" applyFont="1" applyBorder="1" applyAlignment="1">
      <alignment shrinkToFit="1"/>
    </xf>
    <xf numFmtId="0" fontId="8" fillId="0" borderId="14" xfId="0" applyFont="1" applyBorder="1" applyAlignment="1">
      <alignment shrinkToFit="1"/>
    </xf>
    <xf numFmtId="38" fontId="8" fillId="0" borderId="14" xfId="0" applyNumberFormat="1" applyFont="1" applyBorder="1" applyAlignment="1">
      <alignment shrinkToFit="1"/>
    </xf>
    <xf numFmtId="38" fontId="8" fillId="0" borderId="26" xfId="0" applyNumberFormat="1" applyFont="1" applyBorder="1" applyAlignment="1">
      <alignment shrinkToFit="1"/>
    </xf>
    <xf numFmtId="177" fontId="9" fillId="0" borderId="0" xfId="0" applyNumberFormat="1" applyFont="1" applyAlignment="1">
      <alignment vertical="center"/>
    </xf>
    <xf numFmtId="0" fontId="12" fillId="0" borderId="0" xfId="0" applyFont="1"/>
    <xf numFmtId="0" fontId="8" fillId="0" borderId="0" xfId="0" applyFont="1" applyAlignment="1">
      <alignment vertical="center"/>
    </xf>
    <xf numFmtId="0" fontId="11" fillId="0" borderId="0" xfId="0" applyFont="1"/>
    <xf numFmtId="0" fontId="8" fillId="0" borderId="0" xfId="0" applyFont="1" applyAlignment="1">
      <alignment horizontal="center" vertical="center"/>
    </xf>
    <xf numFmtId="0" fontId="13" fillId="0" borderId="0" xfId="0" applyFont="1"/>
    <xf numFmtId="38" fontId="11" fillId="0" borderId="0" xfId="0" applyNumberFormat="1" applyFont="1"/>
    <xf numFmtId="177" fontId="10" fillId="0" borderId="0" xfId="0" applyNumberFormat="1" applyFont="1" applyAlignment="1">
      <alignment horizontal="center" vertical="center"/>
    </xf>
    <xf numFmtId="178" fontId="11" fillId="0" borderId="0" xfId="0" applyNumberFormat="1" applyFont="1"/>
    <xf numFmtId="178" fontId="11" fillId="9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80" fontId="8" fillId="0" borderId="21" xfId="0" applyNumberFormat="1" applyFont="1" applyBorder="1" applyAlignment="1">
      <alignment horizontal="center" shrinkToFit="1"/>
    </xf>
    <xf numFmtId="177" fontId="8" fillId="0" borderId="0" xfId="0" applyNumberFormat="1" applyFont="1"/>
    <xf numFmtId="178" fontId="8" fillId="0" borderId="22" xfId="0" applyNumberFormat="1" applyFont="1" applyBorder="1" applyAlignment="1">
      <alignment horizontal="center" shrinkToFit="1"/>
    </xf>
    <xf numFmtId="180" fontId="8" fillId="0" borderId="23" xfId="0" applyNumberFormat="1" applyFont="1" applyBorder="1" applyAlignment="1">
      <alignment shrinkToFit="1"/>
    </xf>
    <xf numFmtId="180" fontId="14" fillId="0" borderId="24" xfId="0" applyNumberFormat="1" applyFont="1" applyBorder="1" applyAlignment="1">
      <alignment vertical="center"/>
    </xf>
    <xf numFmtId="38" fontId="8" fillId="0" borderId="0" xfId="0" applyNumberFormat="1" applyFont="1"/>
    <xf numFmtId="180" fontId="8" fillId="0" borderId="24" xfId="0" applyNumberFormat="1" applyFont="1" applyBorder="1" applyAlignment="1">
      <alignment shrinkToFit="1"/>
    </xf>
    <xf numFmtId="177" fontId="8" fillId="0" borderId="0" xfId="0" applyNumberFormat="1" applyFont="1" applyAlignment="1">
      <alignment vertical="center"/>
    </xf>
    <xf numFmtId="178" fontId="8" fillId="0" borderId="27" xfId="0" applyNumberFormat="1" applyFont="1" applyBorder="1" applyAlignment="1">
      <alignment horizontal="center" shrinkToFit="1"/>
    </xf>
    <xf numFmtId="0" fontId="8" fillId="0" borderId="28" xfId="0" applyFont="1" applyBorder="1" applyAlignment="1">
      <alignment shrinkToFit="1"/>
    </xf>
    <xf numFmtId="180" fontId="8" fillId="0" borderId="26" xfId="0" applyNumberFormat="1" applyFont="1" applyBorder="1" applyAlignment="1">
      <alignment shrinkToFit="1"/>
    </xf>
    <xf numFmtId="178" fontId="8" fillId="0" borderId="25" xfId="0" applyNumberFormat="1" applyFont="1" applyBorder="1" applyAlignment="1">
      <alignment shrinkToFit="1"/>
    </xf>
    <xf numFmtId="177" fontId="10" fillId="0" borderId="0" xfId="0" applyNumberFormat="1" applyFont="1" applyAlignment="1">
      <alignment horizontal="center"/>
    </xf>
    <xf numFmtId="177" fontId="15" fillId="0" borderId="0" xfId="0" applyNumberFormat="1" applyFont="1"/>
    <xf numFmtId="38" fontId="8" fillId="0" borderId="0" xfId="0" applyNumberFormat="1" applyFont="1" applyAlignment="1">
      <alignment vertical="center"/>
    </xf>
    <xf numFmtId="178" fontId="8" fillId="0" borderId="30" xfId="0" applyNumberFormat="1" applyFont="1" applyBorder="1" applyAlignment="1">
      <alignment horizontal="center" shrinkToFit="1"/>
    </xf>
    <xf numFmtId="0" fontId="8" fillId="0" borderId="31" xfId="0" applyFont="1" applyBorder="1" applyAlignment="1">
      <alignment shrinkToFit="1"/>
    </xf>
    <xf numFmtId="0" fontId="8" fillId="0" borderId="19" xfId="0" applyFont="1" applyBorder="1" applyAlignment="1">
      <alignment shrinkToFit="1"/>
    </xf>
    <xf numFmtId="38" fontId="8" fillId="0" borderId="19" xfId="0" applyNumberFormat="1" applyFont="1" applyBorder="1" applyAlignment="1">
      <alignment shrinkToFit="1"/>
    </xf>
    <xf numFmtId="180" fontId="8" fillId="0" borderId="31" xfId="0" applyNumberFormat="1" applyFont="1" applyBorder="1" applyAlignment="1">
      <alignment shrinkToFit="1"/>
    </xf>
    <xf numFmtId="180" fontId="8" fillId="0" borderId="33" xfId="0" applyNumberFormat="1" applyFont="1" applyBorder="1" applyAlignment="1">
      <alignment shrinkToFit="1"/>
    </xf>
    <xf numFmtId="38" fontId="8" fillId="0" borderId="32" xfId="0" applyNumberFormat="1" applyFont="1" applyBorder="1" applyAlignment="1">
      <alignment shrinkToFit="1"/>
    </xf>
    <xf numFmtId="178" fontId="8" fillId="0" borderId="5" xfId="0" applyNumberFormat="1" applyFont="1" applyBorder="1" applyAlignment="1">
      <alignment shrinkToFit="1"/>
    </xf>
    <xf numFmtId="0" fontId="8" fillId="0" borderId="2" xfId="0" applyFont="1" applyBorder="1" applyAlignment="1">
      <alignment shrinkToFit="1"/>
    </xf>
    <xf numFmtId="38" fontId="8" fillId="0" borderId="2" xfId="0" applyNumberFormat="1" applyFont="1" applyBorder="1" applyAlignment="1">
      <alignment shrinkToFit="1"/>
    </xf>
    <xf numFmtId="38" fontId="8" fillId="0" borderId="17" xfId="0" applyNumberFormat="1" applyFont="1" applyBorder="1" applyAlignment="1">
      <alignment shrinkToFit="1"/>
    </xf>
    <xf numFmtId="38" fontId="8" fillId="0" borderId="6" xfId="0" applyNumberFormat="1" applyFont="1" applyBorder="1" applyAlignment="1">
      <alignment shrinkToFit="1"/>
    </xf>
    <xf numFmtId="9" fontId="8" fillId="0" borderId="0" xfId="0" applyNumberFormat="1" applyFont="1"/>
    <xf numFmtId="178" fontId="8" fillId="0" borderId="0" xfId="0" applyNumberFormat="1" applyFont="1"/>
    <xf numFmtId="180" fontId="8" fillId="0" borderId="32" xfId="0" applyNumberFormat="1" applyFont="1" applyBorder="1" applyAlignment="1">
      <alignment shrinkToFit="1"/>
    </xf>
    <xf numFmtId="0" fontId="8" fillId="0" borderId="27" xfId="0" applyFont="1" applyBorder="1" applyAlignment="1">
      <alignment horizontal="center" shrinkToFit="1"/>
    </xf>
    <xf numFmtId="14" fontId="8" fillId="0" borderId="30" xfId="0" applyNumberFormat="1" applyFont="1" applyBorder="1" applyAlignment="1">
      <alignment horizontal="center" shrinkToFit="1"/>
    </xf>
    <xf numFmtId="14" fontId="8" fillId="0" borderId="27" xfId="0" applyNumberFormat="1" applyFont="1" applyBorder="1" applyAlignment="1">
      <alignment horizontal="center" shrinkToFit="1"/>
    </xf>
    <xf numFmtId="0" fontId="8" fillId="0" borderId="5" xfId="0" applyFont="1" applyBorder="1" applyAlignment="1">
      <alignment shrinkToFit="1"/>
    </xf>
    <xf numFmtId="0" fontId="8" fillId="0" borderId="0" xfId="0" applyFont="1" applyAlignment="1">
      <alignment horizontal="center" vertical="center" shrinkToFit="1"/>
    </xf>
    <xf numFmtId="177" fontId="10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11" fillId="9" borderId="6" xfId="0" applyFont="1" applyFill="1" applyBorder="1" applyAlignment="1">
      <alignment horizontal="center" vertical="center" shrinkToFit="1"/>
    </xf>
    <xf numFmtId="14" fontId="8" fillId="0" borderId="25" xfId="0" applyNumberFormat="1" applyFont="1" applyBorder="1" applyAlignment="1">
      <alignment shrinkToFit="1"/>
    </xf>
    <xf numFmtId="0" fontId="16" fillId="0" borderId="0" xfId="0" applyFont="1"/>
    <xf numFmtId="0" fontId="16" fillId="0" borderId="0" xfId="0" applyFont="1" applyAlignment="1">
      <alignment vertical="top"/>
    </xf>
    <xf numFmtId="0" fontId="18" fillId="0" borderId="0" xfId="0" applyFont="1" applyAlignment="1">
      <alignment vertical="top" shrinkToFit="1"/>
    </xf>
    <xf numFmtId="0" fontId="19" fillId="0" borderId="0" xfId="0" applyFont="1"/>
    <xf numFmtId="0" fontId="16" fillId="0" borderId="0" xfId="0" applyFont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21" fillId="0" borderId="23" xfId="0" applyFont="1" applyBorder="1" applyAlignment="1">
      <alignment shrinkToFit="1"/>
    </xf>
    <xf numFmtId="0" fontId="16" fillId="0" borderId="0" xfId="0" applyFont="1" applyAlignment="1">
      <alignment horizontal="center"/>
    </xf>
    <xf numFmtId="38" fontId="21" fillId="0" borderId="14" xfId="0" applyNumberFormat="1" applyFont="1" applyBorder="1" applyAlignment="1">
      <alignment shrinkToFit="1"/>
    </xf>
    <xf numFmtId="177" fontId="23" fillId="0" borderId="0" xfId="0" applyNumberFormat="1" applyFont="1"/>
    <xf numFmtId="179" fontId="20" fillId="0" borderId="0" xfId="0" applyNumberFormat="1" applyFont="1" applyAlignment="1">
      <alignment horizontal="center"/>
    </xf>
    <xf numFmtId="177" fontId="20" fillId="0" borderId="0" xfId="0" applyNumberFormat="1" applyFont="1" applyAlignment="1">
      <alignment horizontal="center"/>
    </xf>
    <xf numFmtId="0" fontId="19" fillId="9" borderId="1" xfId="0" applyFont="1" applyFill="1" applyBorder="1" applyAlignment="1">
      <alignment horizontal="center" vertical="center"/>
    </xf>
    <xf numFmtId="0" fontId="21" fillId="0" borderId="31" xfId="0" applyFont="1" applyBorder="1" applyAlignment="1">
      <alignment shrinkToFit="1"/>
    </xf>
    <xf numFmtId="38" fontId="21" fillId="0" borderId="19" xfId="0" applyNumberFormat="1" applyFont="1" applyBorder="1" applyAlignment="1">
      <alignment shrinkToFit="1"/>
    </xf>
    <xf numFmtId="180" fontId="21" fillId="0" borderId="32" xfId="0" applyNumberFormat="1" applyFont="1" applyBorder="1" applyAlignment="1">
      <alignment shrinkToFit="1"/>
    </xf>
    <xf numFmtId="38" fontId="22" fillId="0" borderId="24" xfId="0" applyNumberFormat="1" applyFont="1" applyBorder="1" applyAlignment="1">
      <alignment shrinkToFit="1"/>
    </xf>
    <xf numFmtId="0" fontId="19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6" fillId="0" borderId="0" xfId="0" applyFont="1" applyAlignment="1">
      <alignment vertical="top" shrinkToFit="1"/>
    </xf>
    <xf numFmtId="0" fontId="16" fillId="0" borderId="0" xfId="0" applyFont="1" applyAlignment="1">
      <alignment horizontal="center" vertical="top" shrinkToFit="1"/>
    </xf>
    <xf numFmtId="0" fontId="22" fillId="0" borderId="0" xfId="0" applyFont="1" applyAlignment="1">
      <alignment vertical="top" shrinkToFit="1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top" shrinkToFit="1"/>
    </xf>
    <xf numFmtId="0" fontId="8" fillId="0" borderId="0" xfId="0" applyFont="1" applyAlignment="1">
      <alignment horizontal="center" vertical="top" shrinkToFit="1"/>
    </xf>
    <xf numFmtId="179" fontId="26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shrinkToFit="1"/>
    </xf>
    <xf numFmtId="0" fontId="11" fillId="9" borderId="5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6" fontId="8" fillId="0" borderId="20" xfId="0" applyNumberFormat="1" applyFont="1" applyBorder="1" applyAlignment="1">
      <alignment shrinkToFit="1"/>
    </xf>
    <xf numFmtId="5" fontId="14" fillId="0" borderId="24" xfId="0" applyNumberFormat="1" applyFont="1" applyBorder="1" applyAlignment="1">
      <alignment vertical="center"/>
    </xf>
    <xf numFmtId="6" fontId="8" fillId="0" borderId="23" xfId="0" applyNumberFormat="1" applyFont="1" applyBorder="1" applyAlignment="1">
      <alignment shrinkToFit="1"/>
    </xf>
    <xf numFmtId="6" fontId="8" fillId="0" borderId="26" xfId="0" applyNumberFormat="1" applyFont="1" applyBorder="1" applyAlignment="1">
      <alignment shrinkToFit="1"/>
    </xf>
    <xf numFmtId="5" fontId="14" fillId="0" borderId="29" xfId="0" applyNumberFormat="1" applyFont="1" applyBorder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38" fontId="8" fillId="3" borderId="37" xfId="0" applyNumberFormat="1" applyFont="1" applyFill="1" applyBorder="1" applyAlignment="1">
      <alignment shrinkToFit="1"/>
    </xf>
    <xf numFmtId="38" fontId="16" fillId="0" borderId="0" xfId="0" applyNumberFormat="1" applyFont="1" applyAlignment="1">
      <alignment horizontal="center" shrinkToFit="1"/>
    </xf>
    <xf numFmtId="0" fontId="22" fillId="0" borderId="0" xfId="0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80" fontId="16" fillId="0" borderId="20" xfId="0" applyNumberFormat="1" applyFont="1" applyBorder="1" applyAlignment="1">
      <alignment shrinkToFit="1"/>
    </xf>
    <xf numFmtId="178" fontId="16" fillId="0" borderId="22" xfId="0" applyNumberFormat="1" applyFont="1" applyBorder="1" applyAlignment="1">
      <alignment horizontal="center" shrinkToFit="1"/>
    </xf>
    <xf numFmtId="0" fontId="16" fillId="0" borderId="23" xfId="0" applyFont="1" applyBorder="1" applyAlignment="1">
      <alignment shrinkToFit="1"/>
    </xf>
    <xf numFmtId="180" fontId="16" fillId="0" borderId="24" xfId="0" applyNumberFormat="1" applyFont="1" applyBorder="1" applyAlignment="1">
      <alignment shrinkToFit="1"/>
    </xf>
    <xf numFmtId="178" fontId="16" fillId="0" borderId="27" xfId="0" applyNumberFormat="1" applyFont="1" applyBorder="1" applyAlignment="1">
      <alignment horizontal="center" shrinkToFit="1"/>
    </xf>
    <xf numFmtId="0" fontId="16" fillId="0" borderId="28" xfId="0" applyFont="1" applyBorder="1" applyAlignment="1">
      <alignment shrinkToFit="1"/>
    </xf>
    <xf numFmtId="0" fontId="16" fillId="0" borderId="14" xfId="0" applyFont="1" applyBorder="1" applyAlignment="1">
      <alignment shrinkToFit="1"/>
    </xf>
    <xf numFmtId="38" fontId="16" fillId="0" borderId="14" xfId="0" applyNumberFormat="1" applyFont="1" applyBorder="1" applyAlignment="1">
      <alignment shrinkToFit="1"/>
    </xf>
    <xf numFmtId="180" fontId="16" fillId="0" borderId="26" xfId="0" applyNumberFormat="1" applyFont="1" applyBorder="1" applyAlignment="1">
      <alignment shrinkToFit="1"/>
    </xf>
    <xf numFmtId="0" fontId="16" fillId="0" borderId="25" xfId="0" applyFont="1" applyBorder="1" applyAlignment="1">
      <alignment shrinkToFit="1"/>
    </xf>
    <xf numFmtId="38" fontId="16" fillId="0" borderId="26" xfId="0" applyNumberFormat="1" applyFont="1" applyBorder="1" applyAlignment="1">
      <alignment shrinkToFit="1"/>
    </xf>
    <xf numFmtId="0" fontId="28" fillId="0" borderId="0" xfId="0" applyFont="1"/>
    <xf numFmtId="0" fontId="28" fillId="9" borderId="6" xfId="0" applyFont="1" applyFill="1" applyBorder="1" applyAlignment="1">
      <alignment horizontal="center" vertical="center"/>
    </xf>
    <xf numFmtId="38" fontId="16" fillId="0" borderId="23" xfId="0" applyNumberFormat="1" applyFont="1" applyBorder="1" applyAlignment="1">
      <alignment shrinkToFit="1"/>
    </xf>
    <xf numFmtId="180" fontId="16" fillId="0" borderId="35" xfId="0" applyNumberFormat="1" applyFont="1" applyBorder="1" applyAlignment="1">
      <alignment shrinkToFit="1"/>
    </xf>
    <xf numFmtId="177" fontId="30" fillId="0" borderId="0" xfId="0" applyNumberFormat="1" applyFont="1" applyAlignment="1">
      <alignment horizontal="center" vertical="center"/>
    </xf>
    <xf numFmtId="0" fontId="4" fillId="0" borderId="48" xfId="0" applyFont="1" applyBorder="1"/>
    <xf numFmtId="0" fontId="32" fillId="0" borderId="7" xfId="0" applyFont="1" applyBorder="1" applyAlignment="1">
      <alignment horizontal="left"/>
    </xf>
    <xf numFmtId="0" fontId="32" fillId="0" borderId="49" xfId="0" applyFont="1" applyBorder="1"/>
    <xf numFmtId="0" fontId="4" fillId="4" borderId="50" xfId="0" applyFont="1" applyFill="1" applyBorder="1" applyAlignment="1">
      <alignment horizontal="center"/>
    </xf>
    <xf numFmtId="0" fontId="4" fillId="4" borderId="5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0" borderId="0" xfId="0" applyFont="1"/>
    <xf numFmtId="0" fontId="32" fillId="0" borderId="12" xfId="0" applyFont="1" applyBorder="1" applyAlignment="1">
      <alignment horizontal="left"/>
    </xf>
    <xf numFmtId="49" fontId="4" fillId="0" borderId="52" xfId="0" applyNumberFormat="1" applyFont="1" applyBorder="1" applyAlignment="1">
      <alignment vertical="center"/>
    </xf>
    <xf numFmtId="49" fontId="4" fillId="0" borderId="53" xfId="0" applyNumberFormat="1" applyFont="1" applyBorder="1" applyAlignment="1">
      <alignment vertical="center"/>
    </xf>
    <xf numFmtId="49" fontId="4" fillId="0" borderId="49" xfId="0" applyNumberFormat="1" applyFont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49" fontId="4" fillId="0" borderId="54" xfId="0" applyNumberFormat="1" applyFont="1" applyBorder="1" applyAlignment="1">
      <alignment vertical="center"/>
    </xf>
    <xf numFmtId="49" fontId="4" fillId="0" borderId="55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49" fontId="6" fillId="0" borderId="8" xfId="0" applyNumberFormat="1" applyFont="1" applyBorder="1" applyAlignment="1">
      <alignment vertical="top"/>
    </xf>
    <xf numFmtId="0" fontId="4" fillId="0" borderId="18" xfId="0" applyFont="1" applyBorder="1"/>
    <xf numFmtId="0" fontId="4" fillId="0" borderId="8" xfId="0" applyFont="1" applyBorder="1"/>
    <xf numFmtId="0" fontId="4" fillId="0" borderId="12" xfId="0" applyFont="1" applyBorder="1"/>
    <xf numFmtId="0" fontId="4" fillId="0" borderId="14" xfId="0" applyFont="1" applyBorder="1" applyAlignment="1">
      <alignment horizontal="center"/>
    </xf>
    <xf numFmtId="49" fontId="4" fillId="0" borderId="56" xfId="0" applyNumberFormat="1" applyFont="1" applyBorder="1" applyAlignment="1">
      <alignment vertical="center"/>
    </xf>
    <xf numFmtId="49" fontId="4" fillId="0" borderId="57" xfId="0" applyNumberFormat="1" applyFont="1" applyBorder="1" applyAlignment="1">
      <alignment vertical="center"/>
    </xf>
    <xf numFmtId="0" fontId="4" fillId="2" borderId="50" xfId="0" applyFont="1" applyFill="1" applyBorder="1" applyAlignment="1">
      <alignment horizontal="center"/>
    </xf>
    <xf numFmtId="0" fontId="4" fillId="2" borderId="5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 vertical="center"/>
    </xf>
    <xf numFmtId="0" fontId="21" fillId="0" borderId="38" xfId="0" applyFont="1" applyBorder="1" applyAlignment="1">
      <alignment shrinkToFit="1"/>
    </xf>
    <xf numFmtId="38" fontId="21" fillId="0" borderId="38" xfId="0" applyNumberFormat="1" applyFont="1" applyBorder="1" applyAlignment="1">
      <alignment shrinkToFit="1"/>
    </xf>
    <xf numFmtId="38" fontId="22" fillId="0" borderId="37" xfId="0" applyNumberFormat="1" applyFont="1" applyBorder="1" applyAlignment="1">
      <alignment shrinkToFit="1"/>
    </xf>
    <xf numFmtId="180" fontId="21" fillId="0" borderId="42" xfId="0" applyNumberFormat="1" applyFont="1" applyBorder="1" applyAlignment="1">
      <alignment shrinkToFit="1"/>
    </xf>
    <xf numFmtId="180" fontId="21" fillId="0" borderId="37" xfId="0" applyNumberFormat="1" applyFont="1" applyBorder="1" applyAlignment="1">
      <alignment shrinkToFit="1"/>
    </xf>
    <xf numFmtId="38" fontId="22" fillId="0" borderId="43" xfId="0" applyNumberFormat="1" applyFont="1" applyBorder="1" applyAlignment="1">
      <alignment shrinkToFit="1"/>
    </xf>
    <xf numFmtId="38" fontId="16" fillId="0" borderId="37" xfId="0" applyNumberFormat="1" applyFont="1" applyBorder="1" applyAlignment="1">
      <alignment shrinkToFit="1"/>
    </xf>
    <xf numFmtId="180" fontId="21" fillId="0" borderId="45" xfId="0" applyNumberFormat="1" applyFont="1" applyBorder="1" applyAlignment="1">
      <alignment shrinkToFit="1"/>
    </xf>
    <xf numFmtId="0" fontId="11" fillId="9" borderId="17" xfId="0" applyFont="1" applyFill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shrinkToFit="1"/>
    </xf>
    <xf numFmtId="0" fontId="8" fillId="0" borderId="38" xfId="0" applyFont="1" applyBorder="1" applyAlignment="1">
      <alignment shrinkToFit="1"/>
    </xf>
    <xf numFmtId="38" fontId="8" fillId="0" borderId="38" xfId="0" applyNumberFormat="1" applyFont="1" applyBorder="1" applyAlignment="1">
      <alignment shrinkToFit="1"/>
    </xf>
    <xf numFmtId="38" fontId="8" fillId="0" borderId="37" xfId="0" applyNumberFormat="1" applyFont="1" applyBorder="1" applyAlignment="1">
      <alignment shrinkToFit="1"/>
    </xf>
    <xf numFmtId="180" fontId="8" fillId="0" borderId="42" xfId="0" applyNumberFormat="1" applyFont="1" applyBorder="1" applyAlignment="1">
      <alignment shrinkToFit="1"/>
    </xf>
    <xf numFmtId="180" fontId="8" fillId="0" borderId="37" xfId="0" applyNumberFormat="1" applyFont="1" applyBorder="1" applyAlignment="1">
      <alignment shrinkToFit="1"/>
    </xf>
    <xf numFmtId="180" fontId="8" fillId="0" borderId="43" xfId="0" applyNumberFormat="1" applyFont="1" applyBorder="1" applyAlignment="1">
      <alignment shrinkToFit="1"/>
    </xf>
    <xf numFmtId="38" fontId="8" fillId="0" borderId="43" xfId="0" applyNumberFormat="1" applyFont="1" applyBorder="1" applyAlignment="1">
      <alignment shrinkToFit="1"/>
    </xf>
    <xf numFmtId="6" fontId="8" fillId="0" borderId="42" xfId="0" applyNumberFormat="1" applyFont="1" applyBorder="1" applyAlignment="1">
      <alignment shrinkToFit="1"/>
    </xf>
    <xf numFmtId="178" fontId="8" fillId="0" borderId="41" xfId="0" applyNumberFormat="1" applyFont="1" applyBorder="1" applyAlignment="1">
      <alignment horizontal="center" shrinkToFit="1"/>
    </xf>
    <xf numFmtId="0" fontId="11" fillId="2" borderId="46" xfId="0" applyFont="1" applyFill="1" applyBorder="1"/>
    <xf numFmtId="0" fontId="8" fillId="2" borderId="46" xfId="0" applyFont="1" applyFill="1" applyBorder="1"/>
    <xf numFmtId="0" fontId="16" fillId="2" borderId="46" xfId="0" applyFont="1" applyFill="1" applyBorder="1"/>
    <xf numFmtId="178" fontId="16" fillId="0" borderId="41" xfId="0" applyNumberFormat="1" applyFont="1" applyBorder="1" applyAlignment="1">
      <alignment horizontal="center" shrinkToFit="1"/>
    </xf>
    <xf numFmtId="0" fontId="16" fillId="0" borderId="38" xfId="0" applyFont="1" applyBorder="1" applyAlignment="1">
      <alignment shrinkToFit="1"/>
    </xf>
    <xf numFmtId="38" fontId="16" fillId="0" borderId="38" xfId="0" applyNumberFormat="1" applyFont="1" applyBorder="1" applyAlignment="1">
      <alignment shrinkToFit="1"/>
    </xf>
    <xf numFmtId="180" fontId="16" fillId="0" borderId="42" xfId="0" applyNumberFormat="1" applyFont="1" applyBorder="1" applyAlignment="1">
      <alignment shrinkToFit="1"/>
    </xf>
    <xf numFmtId="180" fontId="16" fillId="0" borderId="37" xfId="0" applyNumberFormat="1" applyFont="1" applyBorder="1" applyAlignment="1">
      <alignment shrinkToFit="1"/>
    </xf>
    <xf numFmtId="180" fontId="16" fillId="0" borderId="43" xfId="0" applyNumberFormat="1" applyFont="1" applyBorder="1" applyAlignment="1">
      <alignment shrinkToFit="1"/>
    </xf>
    <xf numFmtId="38" fontId="16" fillId="0" borderId="43" xfId="0" applyNumberFormat="1" applyFont="1" applyBorder="1" applyAlignment="1">
      <alignment shrinkToFit="1"/>
    </xf>
    <xf numFmtId="0" fontId="19" fillId="2" borderId="46" xfId="0" applyFont="1" applyFill="1" applyBorder="1"/>
    <xf numFmtId="0" fontId="19" fillId="10" borderId="46" xfId="0" applyFont="1" applyFill="1" applyBorder="1"/>
    <xf numFmtId="38" fontId="1" fillId="0" borderId="37" xfId="0" applyNumberFormat="1" applyFont="1" applyBorder="1" applyAlignment="1">
      <alignment shrinkToFit="1"/>
    </xf>
    <xf numFmtId="0" fontId="8" fillId="3" borderId="46" xfId="0" applyFont="1" applyFill="1" applyBorder="1" applyAlignment="1">
      <alignment shrinkToFit="1"/>
    </xf>
    <xf numFmtId="180" fontId="8" fillId="0" borderId="45" xfId="0" applyNumberFormat="1" applyFont="1" applyBorder="1" applyAlignment="1">
      <alignment shrinkToFit="1"/>
    </xf>
    <xf numFmtId="38" fontId="11" fillId="0" borderId="37" xfId="0" applyNumberFormat="1" applyFont="1" applyBorder="1" applyAlignment="1">
      <alignment shrinkToFit="1"/>
    </xf>
    <xf numFmtId="0" fontId="32" fillId="0" borderId="40" xfId="0" applyFont="1" applyBorder="1"/>
    <xf numFmtId="0" fontId="32" fillId="0" borderId="15" xfId="0" applyFont="1" applyBorder="1"/>
    <xf numFmtId="0" fontId="4" fillId="4" borderId="16" xfId="0" applyFont="1" applyFill="1" applyBorder="1" applyAlignment="1">
      <alignment horizontal="center"/>
    </xf>
    <xf numFmtId="0" fontId="4" fillId="0" borderId="15" xfId="0" applyFont="1" applyBorder="1"/>
    <xf numFmtId="49" fontId="4" fillId="0" borderId="15" xfId="0" applyNumberFormat="1" applyFont="1" applyBorder="1" applyAlignment="1">
      <alignment vertical="center"/>
    </xf>
    <xf numFmtId="0" fontId="4" fillId="2" borderId="16" xfId="0" applyFont="1" applyFill="1" applyBorder="1" applyAlignment="1">
      <alignment horizontal="center"/>
    </xf>
    <xf numFmtId="0" fontId="11" fillId="2" borderId="0" xfId="0" applyFont="1" applyFill="1"/>
    <xf numFmtId="0" fontId="8" fillId="2" borderId="0" xfId="0" applyFont="1" applyFill="1"/>
    <xf numFmtId="0" fontId="19" fillId="2" borderId="0" xfId="0" applyFont="1" applyFill="1"/>
    <xf numFmtId="0" fontId="16" fillId="2" borderId="0" xfId="0" applyFont="1" applyFill="1"/>
    <xf numFmtId="0" fontId="19" fillId="10" borderId="0" xfId="0" applyFont="1" applyFill="1"/>
    <xf numFmtId="38" fontId="21" fillId="0" borderId="15" xfId="0" applyNumberFormat="1" applyFont="1" applyBorder="1" applyAlignment="1">
      <alignment shrinkToFit="1"/>
    </xf>
    <xf numFmtId="38" fontId="21" fillId="0" borderId="29" xfId="0" applyNumberFormat="1" applyFont="1" applyBorder="1" applyAlignment="1">
      <alignment shrinkToFit="1"/>
    </xf>
    <xf numFmtId="0" fontId="19" fillId="12" borderId="0" xfId="0" applyFont="1" applyFill="1"/>
    <xf numFmtId="0" fontId="16" fillId="12" borderId="0" xfId="0" applyFont="1" applyFill="1"/>
    <xf numFmtId="181" fontId="8" fillId="0" borderId="41" xfId="0" applyNumberFormat="1" applyFont="1" applyBorder="1" applyAlignment="1">
      <alignment horizontal="center" shrinkToFit="1"/>
    </xf>
    <xf numFmtId="181" fontId="8" fillId="0" borderId="63" xfId="0" applyNumberFormat="1" applyFont="1" applyBorder="1" applyAlignment="1">
      <alignment horizontal="center" shrinkToFit="1"/>
    </xf>
    <xf numFmtId="181" fontId="8" fillId="0" borderId="22" xfId="0" applyNumberFormat="1" applyFont="1" applyBorder="1" applyAlignment="1">
      <alignment horizontal="center" shrinkToFit="1"/>
    </xf>
    <xf numFmtId="181" fontId="8" fillId="0" borderId="30" xfId="0" applyNumberFormat="1" applyFont="1" applyBorder="1" applyAlignment="1">
      <alignment horizontal="center" shrinkToFit="1"/>
    </xf>
    <xf numFmtId="181" fontId="8" fillId="0" borderId="27" xfId="0" applyNumberFormat="1" applyFont="1" applyBorder="1" applyAlignment="1">
      <alignment horizontal="center" shrinkToFit="1"/>
    </xf>
    <xf numFmtId="0" fontId="0" fillId="0" borderId="46" xfId="0" applyBorder="1" applyAlignment="1">
      <alignment vertical="center"/>
    </xf>
    <xf numFmtId="181" fontId="8" fillId="0" borderId="34" xfId="0" applyNumberFormat="1" applyFont="1" applyBorder="1" applyAlignment="1">
      <alignment horizontal="center" shrinkToFit="1"/>
    </xf>
    <xf numFmtId="0" fontId="0" fillId="0" borderId="58" xfId="0" applyBorder="1" applyAlignment="1">
      <alignment vertical="center"/>
    </xf>
    <xf numFmtId="182" fontId="8" fillId="0" borderId="22" xfId="0" applyNumberFormat="1" applyFont="1" applyBorder="1" applyAlignment="1">
      <alignment horizontal="center" shrinkToFit="1"/>
    </xf>
    <xf numFmtId="182" fontId="8" fillId="0" borderId="30" xfId="0" applyNumberFormat="1" applyFont="1" applyBorder="1" applyAlignment="1">
      <alignment horizontal="center" shrinkToFit="1"/>
    </xf>
    <xf numFmtId="182" fontId="8" fillId="0" borderId="27" xfId="0" applyNumberFormat="1" applyFont="1" applyBorder="1" applyAlignment="1">
      <alignment horizontal="center" shrinkToFit="1"/>
    </xf>
    <xf numFmtId="0" fontId="8" fillId="0" borderId="67" xfId="0" applyFont="1" applyBorder="1" applyAlignment="1">
      <alignment shrinkToFit="1"/>
    </xf>
    <xf numFmtId="38" fontId="8" fillId="0" borderId="67" xfId="0" applyNumberFormat="1" applyFont="1" applyBorder="1" applyAlignment="1">
      <alignment shrinkToFit="1"/>
    </xf>
    <xf numFmtId="38" fontId="8" fillId="0" borderId="68" xfId="0" applyNumberFormat="1" applyFont="1" applyBorder="1" applyAlignment="1">
      <alignment shrinkToFit="1"/>
    </xf>
    <xf numFmtId="0" fontId="21" fillId="0" borderId="72" xfId="0" applyFont="1" applyBorder="1" applyAlignment="1">
      <alignment shrinkToFit="1"/>
    </xf>
    <xf numFmtId="38" fontId="39" fillId="0" borderId="37" xfId="0" applyNumberFormat="1" applyFont="1" applyBorder="1" applyAlignment="1">
      <alignment shrinkToFit="1"/>
    </xf>
    <xf numFmtId="38" fontId="8" fillId="13" borderId="37" xfId="0" applyNumberFormat="1" applyFont="1" applyFill="1" applyBorder="1" applyAlignment="1">
      <alignment shrinkToFit="1"/>
    </xf>
    <xf numFmtId="0" fontId="17" fillId="0" borderId="46" xfId="0" applyFont="1" applyBorder="1"/>
    <xf numFmtId="0" fontId="16" fillId="0" borderId="35" xfId="0" applyFont="1" applyBorder="1" applyAlignment="1">
      <alignment shrinkToFit="1"/>
    </xf>
    <xf numFmtId="0" fontId="16" fillId="0" borderId="26" xfId="0" applyFont="1" applyBorder="1" applyAlignment="1">
      <alignment shrinkToFit="1"/>
    </xf>
    <xf numFmtId="0" fontId="16" fillId="0" borderId="74" xfId="0" applyFont="1" applyBorder="1" applyAlignment="1">
      <alignment shrinkToFit="1"/>
    </xf>
    <xf numFmtId="0" fontId="0" fillId="0" borderId="59" xfId="0" applyBorder="1" applyAlignment="1">
      <alignment vertical="center"/>
    </xf>
    <xf numFmtId="0" fontId="16" fillId="0" borderId="67" xfId="0" applyFont="1" applyBorder="1" applyAlignment="1">
      <alignment shrinkToFit="1"/>
    </xf>
    <xf numFmtId="178" fontId="16" fillId="0" borderId="30" xfId="0" applyNumberFormat="1" applyFont="1" applyBorder="1" applyAlignment="1">
      <alignment horizontal="center" shrinkToFit="1"/>
    </xf>
    <xf numFmtId="0" fontId="16" fillId="0" borderId="31" xfId="0" applyFont="1" applyBorder="1" applyAlignment="1">
      <alignment shrinkToFit="1"/>
    </xf>
    <xf numFmtId="0" fontId="40" fillId="0" borderId="0" xfId="0" applyFont="1" applyAlignment="1">
      <alignment vertical="center"/>
    </xf>
    <xf numFmtId="38" fontId="40" fillId="0" borderId="0" xfId="1" applyFont="1" applyAlignment="1">
      <alignment vertical="center"/>
    </xf>
    <xf numFmtId="56" fontId="0" fillId="0" borderId="0" xfId="0" applyNumberFormat="1" applyAlignment="1">
      <alignment vertical="center"/>
    </xf>
    <xf numFmtId="184" fontId="40" fillId="0" borderId="0" xfId="0" applyNumberFormat="1" applyFont="1" applyAlignment="1">
      <alignment vertical="center"/>
    </xf>
    <xf numFmtId="0" fontId="8" fillId="0" borderId="74" xfId="0" applyFont="1" applyBorder="1" applyAlignment="1">
      <alignment shrinkToFit="1"/>
    </xf>
    <xf numFmtId="0" fontId="8" fillId="0" borderId="68" xfId="0" applyFont="1" applyBorder="1" applyAlignment="1">
      <alignment shrinkToFit="1"/>
    </xf>
    <xf numFmtId="38" fontId="0" fillId="0" borderId="0" xfId="1" applyFont="1" applyAlignment="1">
      <alignment vertical="center"/>
    </xf>
    <xf numFmtId="178" fontId="11" fillId="0" borderId="59" xfId="0" applyNumberFormat="1" applyFont="1" applyBorder="1"/>
    <xf numFmtId="0" fontId="8" fillId="0" borderId="59" xfId="0" applyFont="1" applyBorder="1"/>
    <xf numFmtId="56" fontId="0" fillId="0" borderId="59" xfId="0" applyNumberFormat="1" applyBorder="1" applyAlignment="1">
      <alignment vertical="center"/>
    </xf>
    <xf numFmtId="38" fontId="0" fillId="0" borderId="59" xfId="1" applyFont="1" applyBorder="1" applyAlignment="1">
      <alignment vertical="center"/>
    </xf>
    <xf numFmtId="0" fontId="8" fillId="0" borderId="59" xfId="0" applyFont="1" applyBorder="1" applyAlignment="1">
      <alignment horizontal="center" vertical="center"/>
    </xf>
    <xf numFmtId="38" fontId="8" fillId="0" borderId="0" xfId="1" applyFont="1" applyAlignment="1">
      <alignment vertical="center"/>
    </xf>
    <xf numFmtId="38" fontId="11" fillId="0" borderId="0" xfId="1" applyFont="1" applyAlignment="1"/>
    <xf numFmtId="38" fontId="8" fillId="0" borderId="0" xfId="1" applyFont="1" applyAlignment="1"/>
    <xf numFmtId="38" fontId="11" fillId="9" borderId="2" xfId="1" applyFont="1" applyFill="1" applyBorder="1" applyAlignment="1">
      <alignment horizontal="center" vertical="center"/>
    </xf>
    <xf numFmtId="38" fontId="8" fillId="0" borderId="38" xfId="1" applyFont="1" applyBorder="1" applyAlignment="1">
      <alignment shrinkToFit="1"/>
    </xf>
    <xf numFmtId="38" fontId="8" fillId="0" borderId="14" xfId="1" applyFont="1" applyBorder="1" applyAlignment="1">
      <alignment shrinkToFit="1"/>
    </xf>
    <xf numFmtId="38" fontId="8" fillId="0" borderId="59" xfId="1" applyFont="1" applyBorder="1" applyAlignment="1"/>
    <xf numFmtId="38" fontId="11" fillId="0" borderId="0" xfId="1" applyFont="1" applyAlignment="1">
      <alignment horizontal="center"/>
    </xf>
    <xf numFmtId="38" fontId="10" fillId="0" borderId="0" xfId="1" applyFont="1" applyAlignment="1">
      <alignment horizontal="center"/>
    </xf>
    <xf numFmtId="38" fontId="11" fillId="9" borderId="6" xfId="1" applyFont="1" applyFill="1" applyBorder="1" applyAlignment="1">
      <alignment horizontal="center" vertical="center"/>
    </xf>
    <xf numFmtId="38" fontId="8" fillId="0" borderId="21" xfId="1" applyFont="1" applyBorder="1" applyAlignment="1">
      <alignment horizontal="center" shrinkToFit="1"/>
    </xf>
    <xf numFmtId="38" fontId="14" fillId="0" borderId="24" xfId="1" applyFont="1" applyBorder="1" applyAlignment="1">
      <alignment vertical="center"/>
    </xf>
    <xf numFmtId="38" fontId="8" fillId="0" borderId="24" xfId="1" applyFont="1" applyBorder="1" applyAlignment="1">
      <alignment shrinkToFit="1"/>
    </xf>
    <xf numFmtId="38" fontId="8" fillId="0" borderId="26" xfId="1" applyFont="1" applyBorder="1" applyAlignment="1">
      <alignment shrinkToFit="1"/>
    </xf>
    <xf numFmtId="38" fontId="9" fillId="0" borderId="0" xfId="1" applyFont="1" applyAlignment="1">
      <alignment vertical="center"/>
    </xf>
    <xf numFmtId="38" fontId="8" fillId="0" borderId="37" xfId="1" applyFont="1" applyBorder="1" applyAlignment="1">
      <alignment shrinkToFit="1"/>
    </xf>
    <xf numFmtId="38" fontId="8" fillId="0" borderId="43" xfId="1" applyFont="1" applyBorder="1" applyAlignment="1">
      <alignment shrinkToFit="1"/>
    </xf>
    <xf numFmtId="38" fontId="9" fillId="0" borderId="59" xfId="1" applyFont="1" applyBorder="1" applyAlignment="1">
      <alignment vertical="center"/>
    </xf>
    <xf numFmtId="0" fontId="36" fillId="0" borderId="0" xfId="0" applyFont="1" applyAlignment="1">
      <alignment vertical="center"/>
    </xf>
    <xf numFmtId="179" fontId="45" fillId="0" borderId="0" xfId="0" applyNumberFormat="1" applyFont="1" applyAlignment="1">
      <alignment horizontal="center"/>
    </xf>
    <xf numFmtId="0" fontId="44" fillId="9" borderId="1" xfId="0" applyFont="1" applyFill="1" applyBorder="1" applyAlignment="1">
      <alignment horizontal="center" vertical="center"/>
    </xf>
    <xf numFmtId="0" fontId="44" fillId="9" borderId="2" xfId="0" applyFont="1" applyFill="1" applyBorder="1" applyAlignment="1">
      <alignment horizontal="center" vertical="center"/>
    </xf>
    <xf numFmtId="0" fontId="44" fillId="9" borderId="17" xfId="0" applyFont="1" applyFill="1" applyBorder="1" applyAlignment="1">
      <alignment horizontal="center" vertical="center"/>
    </xf>
    <xf numFmtId="0" fontId="44" fillId="9" borderId="6" xfId="0" applyFont="1" applyFill="1" applyBorder="1" applyAlignment="1">
      <alignment horizontal="center" vertical="center"/>
    </xf>
    <xf numFmtId="177" fontId="45" fillId="0" borderId="0" xfId="0" applyNumberFormat="1" applyFont="1" applyAlignment="1">
      <alignment horizontal="center"/>
    </xf>
    <xf numFmtId="178" fontId="47" fillId="3" borderId="0" xfId="0" applyNumberFormat="1" applyFont="1" applyFill="1" applyAlignment="1">
      <alignment shrinkToFit="1"/>
    </xf>
    <xf numFmtId="178" fontId="44" fillId="9" borderId="1" xfId="0" applyNumberFormat="1" applyFont="1" applyFill="1" applyBorder="1" applyAlignment="1">
      <alignment horizontal="center" vertical="center"/>
    </xf>
    <xf numFmtId="181" fontId="47" fillId="0" borderId="41" xfId="0" applyNumberFormat="1" applyFont="1" applyBorder="1" applyAlignment="1">
      <alignment horizontal="center" shrinkToFit="1"/>
    </xf>
    <xf numFmtId="0" fontId="47" fillId="0" borderId="38" xfId="0" applyFont="1" applyBorder="1" applyAlignment="1">
      <alignment shrinkToFit="1"/>
    </xf>
    <xf numFmtId="38" fontId="47" fillId="0" borderId="38" xfId="0" applyNumberFormat="1" applyFont="1" applyBorder="1" applyAlignment="1">
      <alignment shrinkToFit="1"/>
    </xf>
    <xf numFmtId="180" fontId="47" fillId="0" borderId="20" xfId="0" applyNumberFormat="1" applyFont="1" applyBorder="1" applyAlignment="1">
      <alignment shrinkToFit="1"/>
    </xf>
    <xf numFmtId="180" fontId="47" fillId="0" borderId="37" xfId="0" applyNumberFormat="1" applyFont="1" applyBorder="1" applyAlignment="1">
      <alignment shrinkToFit="1"/>
    </xf>
    <xf numFmtId="181" fontId="47" fillId="0" borderId="22" xfId="0" applyNumberFormat="1" applyFont="1" applyBorder="1" applyAlignment="1">
      <alignment horizontal="center" shrinkToFit="1"/>
    </xf>
    <xf numFmtId="0" fontId="47" fillId="0" borderId="23" xfId="0" applyFont="1" applyBorder="1" applyAlignment="1">
      <alignment shrinkToFit="1"/>
    </xf>
    <xf numFmtId="180" fontId="47" fillId="0" borderId="42" xfId="0" applyNumberFormat="1" applyFont="1" applyBorder="1" applyAlignment="1">
      <alignment shrinkToFit="1"/>
    </xf>
    <xf numFmtId="38" fontId="48" fillId="0" borderId="37" xfId="0" applyNumberFormat="1" applyFont="1" applyBorder="1" applyAlignment="1">
      <alignment shrinkToFit="1"/>
    </xf>
    <xf numFmtId="0" fontId="47" fillId="0" borderId="31" xfId="0" applyFont="1" applyBorder="1" applyAlignment="1">
      <alignment shrinkToFit="1"/>
    </xf>
    <xf numFmtId="0" fontId="47" fillId="0" borderId="19" xfId="0" applyFont="1" applyBorder="1" applyAlignment="1">
      <alignment shrinkToFit="1"/>
    </xf>
    <xf numFmtId="38" fontId="47" fillId="0" borderId="19" xfId="0" applyNumberFormat="1" applyFont="1" applyBorder="1" applyAlignment="1">
      <alignment shrinkToFit="1"/>
    </xf>
    <xf numFmtId="180" fontId="47" fillId="0" borderId="45" xfId="0" applyNumberFormat="1" applyFont="1" applyBorder="1" applyAlignment="1">
      <alignment shrinkToFit="1"/>
    </xf>
    <xf numFmtId="180" fontId="47" fillId="0" borderId="32" xfId="0" applyNumberFormat="1" applyFont="1" applyBorder="1" applyAlignment="1">
      <alignment shrinkToFit="1"/>
    </xf>
    <xf numFmtId="38" fontId="47" fillId="0" borderId="23" xfId="0" applyNumberFormat="1" applyFont="1" applyBorder="1" applyAlignment="1">
      <alignment shrinkToFit="1"/>
    </xf>
    <xf numFmtId="180" fontId="47" fillId="0" borderId="35" xfId="0" applyNumberFormat="1" applyFont="1" applyBorder="1" applyAlignment="1">
      <alignment shrinkToFit="1"/>
    </xf>
    <xf numFmtId="180" fontId="47" fillId="0" borderId="24" xfId="0" applyNumberFormat="1" applyFont="1" applyBorder="1" applyAlignment="1">
      <alignment shrinkToFit="1"/>
    </xf>
    <xf numFmtId="181" fontId="47" fillId="0" borderId="71" xfId="0" applyNumberFormat="1" applyFont="1" applyBorder="1" applyAlignment="1">
      <alignment horizontal="center" shrinkToFit="1"/>
    </xf>
    <xf numFmtId="0" fontId="47" fillId="0" borderId="72" xfId="0" applyFont="1" applyBorder="1" applyAlignment="1">
      <alignment shrinkToFit="1"/>
    </xf>
    <xf numFmtId="38" fontId="47" fillId="0" borderId="14" xfId="0" applyNumberFormat="1" applyFont="1" applyBorder="1" applyAlignment="1">
      <alignment shrinkToFit="1"/>
    </xf>
    <xf numFmtId="38" fontId="47" fillId="0" borderId="29" xfId="0" applyNumberFormat="1" applyFont="1" applyBorder="1" applyAlignment="1">
      <alignment shrinkToFit="1"/>
    </xf>
    <xf numFmtId="38" fontId="47" fillId="0" borderId="15" xfId="0" applyNumberFormat="1" applyFont="1" applyBorder="1" applyAlignment="1">
      <alignment shrinkToFit="1"/>
    </xf>
    <xf numFmtId="38" fontId="46" fillId="0" borderId="0" xfId="0" applyNumberFormat="1" applyFont="1"/>
    <xf numFmtId="38" fontId="47" fillId="0" borderId="25" xfId="0" applyNumberFormat="1" applyFont="1" applyBorder="1" applyAlignment="1">
      <alignment shrinkToFit="1"/>
    </xf>
    <xf numFmtId="38" fontId="47" fillId="0" borderId="68" xfId="0" applyNumberFormat="1" applyFont="1" applyBorder="1" applyAlignment="1">
      <alignment shrinkToFit="1"/>
    </xf>
    <xf numFmtId="180" fontId="47" fillId="0" borderId="69" xfId="0" applyNumberFormat="1" applyFont="1" applyBorder="1" applyAlignment="1">
      <alignment shrinkToFit="1"/>
    </xf>
    <xf numFmtId="180" fontId="47" fillId="0" borderId="70" xfId="0" applyNumberFormat="1" applyFont="1" applyBorder="1" applyAlignment="1">
      <alignment shrinkToFit="1"/>
    </xf>
    <xf numFmtId="0" fontId="0" fillId="0" borderId="0" xfId="0"/>
    <xf numFmtId="38" fontId="0" fillId="0" borderId="37" xfId="0" applyNumberFormat="1" applyBorder="1" applyAlignment="1">
      <alignment shrinkToFit="1"/>
    </xf>
    <xf numFmtId="0" fontId="0" fillId="0" borderId="0" xfId="0" applyAlignment="1">
      <alignment horizontal="center"/>
    </xf>
    <xf numFmtId="38" fontId="0" fillId="0" borderId="32" xfId="0" applyNumberFormat="1" applyBorder="1" applyAlignment="1">
      <alignment shrinkToFit="1"/>
    </xf>
    <xf numFmtId="38" fontId="0" fillId="0" borderId="24" xfId="0" applyNumberFormat="1" applyBorder="1" applyAlignment="1">
      <alignment shrinkToFit="1"/>
    </xf>
    <xf numFmtId="0" fontId="0" fillId="0" borderId="36" xfId="0" applyBorder="1" applyAlignment="1">
      <alignment horizontal="center"/>
    </xf>
    <xf numFmtId="38" fontId="0" fillId="0" borderId="70" xfId="0" applyNumberFormat="1" applyBorder="1" applyAlignment="1">
      <alignment shrinkToFit="1"/>
    </xf>
    <xf numFmtId="181" fontId="47" fillId="0" borderId="78" xfId="0" applyNumberFormat="1" applyFont="1" applyBorder="1" applyAlignment="1">
      <alignment horizontal="center" shrinkToFit="1"/>
    </xf>
    <xf numFmtId="181" fontId="47" fillId="0" borderId="79" xfId="0" applyNumberFormat="1" applyFont="1" applyBorder="1" applyAlignment="1">
      <alignment horizontal="center" shrinkToFit="1"/>
    </xf>
    <xf numFmtId="181" fontId="47" fillId="0" borderId="80" xfId="0" applyNumberFormat="1" applyFont="1" applyBorder="1" applyAlignment="1">
      <alignment horizontal="center" shrinkToFit="1"/>
    </xf>
    <xf numFmtId="181" fontId="47" fillId="0" borderId="34" xfId="0" applyNumberFormat="1" applyFont="1" applyBorder="1" applyAlignment="1">
      <alignment horizontal="center" shrinkToFit="1"/>
    </xf>
    <xf numFmtId="0" fontId="50" fillId="3" borderId="0" xfId="0" applyFont="1" applyFill="1" applyAlignment="1">
      <alignment shrinkToFit="1"/>
    </xf>
    <xf numFmtId="0" fontId="21" fillId="0" borderId="35" xfId="0" applyFont="1" applyBorder="1" applyAlignment="1">
      <alignment shrinkToFit="1"/>
    </xf>
    <xf numFmtId="38" fontId="16" fillId="0" borderId="13" xfId="0" applyNumberFormat="1" applyFont="1" applyBorder="1" applyAlignment="1">
      <alignment shrinkToFit="1"/>
    </xf>
    <xf numFmtId="38" fontId="29" fillId="0" borderId="37" xfId="0" applyNumberFormat="1" applyFont="1" applyBorder="1" applyAlignment="1">
      <alignment shrinkToFit="1"/>
    </xf>
    <xf numFmtId="0" fontId="51" fillId="0" borderId="0" xfId="0" applyFont="1" applyAlignment="1">
      <alignment vertical="center"/>
    </xf>
    <xf numFmtId="0" fontId="51" fillId="0" borderId="0" xfId="0" applyFont="1" applyAlignment="1">
      <alignment horizontal="center" vertical="center"/>
    </xf>
    <xf numFmtId="38" fontId="40" fillId="0" borderId="0" xfId="1" applyFont="1" applyAlignment="1">
      <alignment horizontal="center" vertical="center"/>
    </xf>
    <xf numFmtId="0" fontId="40" fillId="0" borderId="0" xfId="0" applyFont="1"/>
    <xf numFmtId="179" fontId="59" fillId="0" borderId="0" xfId="0" applyNumberFormat="1" applyFont="1" applyAlignment="1">
      <alignment horizontal="center"/>
    </xf>
    <xf numFmtId="0" fontId="51" fillId="0" borderId="0" xfId="0" applyFont="1"/>
    <xf numFmtId="177" fontId="60" fillId="0" borderId="0" xfId="0" applyNumberFormat="1" applyFont="1"/>
    <xf numFmtId="0" fontId="40" fillId="0" borderId="0" xfId="0" applyFont="1" applyAlignment="1">
      <alignment horizontal="center"/>
    </xf>
    <xf numFmtId="177" fontId="59" fillId="0" borderId="0" xfId="0" applyNumberFormat="1" applyFont="1" applyAlignment="1">
      <alignment horizontal="center"/>
    </xf>
    <xf numFmtId="0" fontId="54" fillId="9" borderId="3" xfId="0" applyFont="1" applyFill="1" applyBorder="1" applyAlignment="1">
      <alignment horizontal="center"/>
    </xf>
    <xf numFmtId="0" fontId="52" fillId="9" borderId="3" xfId="0" applyFont="1" applyFill="1" applyBorder="1" applyAlignment="1">
      <alignment horizontal="center"/>
    </xf>
    <xf numFmtId="0" fontId="58" fillId="0" borderId="3" xfId="0" applyFont="1" applyBorder="1" applyAlignment="1">
      <alignment shrinkToFit="1"/>
    </xf>
    <xf numFmtId="38" fontId="58" fillId="0" borderId="3" xfId="0" applyNumberFormat="1" applyFont="1" applyBorder="1" applyAlignment="1">
      <alignment shrinkToFit="1"/>
    </xf>
    <xf numFmtId="180" fontId="58" fillId="0" borderId="3" xfId="0" applyNumberFormat="1" applyFont="1" applyBorder="1" applyAlignment="1">
      <alignment shrinkToFit="1"/>
    </xf>
    <xf numFmtId="38" fontId="51" fillId="0" borderId="3" xfId="0" applyNumberFormat="1" applyFont="1" applyBorder="1" applyAlignment="1">
      <alignment shrinkToFit="1"/>
    </xf>
    <xf numFmtId="38" fontId="40" fillId="0" borderId="3" xfId="0" applyNumberFormat="1" applyFont="1" applyBorder="1" applyAlignment="1">
      <alignment shrinkToFit="1"/>
    </xf>
    <xf numFmtId="0" fontId="58" fillId="3" borderId="0" xfId="0" applyFont="1" applyFill="1" applyAlignment="1">
      <alignment shrinkToFit="1"/>
    </xf>
    <xf numFmtId="181" fontId="58" fillId="0" borderId="3" xfId="0" applyNumberFormat="1" applyFont="1" applyBorder="1" applyAlignment="1">
      <alignment horizontal="center" shrinkToFit="1"/>
    </xf>
    <xf numFmtId="0" fontId="58" fillId="0" borderId="59" xfId="0" applyFont="1" applyBorder="1" applyAlignment="1">
      <alignment vertical="center"/>
    </xf>
    <xf numFmtId="185" fontId="58" fillId="0" borderId="3" xfId="0" applyNumberFormat="1" applyFont="1" applyBorder="1" applyAlignment="1">
      <alignment horizontal="center" shrinkToFit="1"/>
    </xf>
    <xf numFmtId="38" fontId="61" fillId="0" borderId="0" xfId="1" applyFont="1" applyAlignment="1">
      <alignment vertical="center"/>
    </xf>
    <xf numFmtId="184" fontId="58" fillId="0" borderId="3" xfId="0" applyNumberFormat="1" applyFont="1" applyBorder="1" applyAlignment="1">
      <alignment horizontal="center" shrinkToFit="1"/>
    </xf>
    <xf numFmtId="184" fontId="58" fillId="0" borderId="3" xfId="0" applyNumberFormat="1" applyFont="1" applyBorder="1" applyAlignment="1">
      <alignment shrinkToFit="1"/>
    </xf>
    <xf numFmtId="184" fontId="51" fillId="0" borderId="3" xfId="0" applyNumberFormat="1" applyFont="1" applyBorder="1" applyAlignment="1">
      <alignment shrinkToFit="1"/>
    </xf>
    <xf numFmtId="184" fontId="40" fillId="0" borderId="0" xfId="0" applyNumberFormat="1" applyFont="1" applyAlignment="1">
      <alignment horizontal="center"/>
    </xf>
    <xf numFmtId="184" fontId="40" fillId="0" borderId="3" xfId="0" applyNumberFormat="1" applyFont="1" applyBorder="1" applyAlignment="1">
      <alignment shrinkToFit="1"/>
    </xf>
    <xf numFmtId="0" fontId="47" fillId="0" borderId="95" xfId="0" applyFont="1" applyBorder="1" applyAlignment="1">
      <alignment shrinkToFit="1"/>
    </xf>
    <xf numFmtId="38" fontId="16" fillId="0" borderId="96" xfId="0" applyNumberFormat="1" applyFont="1" applyBorder="1" applyAlignment="1">
      <alignment shrinkToFit="1"/>
    </xf>
    <xf numFmtId="0" fontId="47" fillId="0" borderId="35" xfId="0" applyFont="1" applyBorder="1" applyAlignment="1">
      <alignment shrinkToFit="1"/>
    </xf>
    <xf numFmtId="38" fontId="16" fillId="0" borderId="97" xfId="0" applyNumberFormat="1" applyFont="1" applyBorder="1" applyAlignment="1">
      <alignment shrinkToFit="1"/>
    </xf>
    <xf numFmtId="0" fontId="62" fillId="5" borderId="0" xfId="0" applyFont="1" applyFill="1"/>
    <xf numFmtId="0" fontId="63" fillId="0" borderId="0" xfId="0" applyFont="1"/>
    <xf numFmtId="8" fontId="2" fillId="0" borderId="0" xfId="0" applyNumberFormat="1" applyFont="1" applyAlignment="1">
      <alignment horizontal="center"/>
    </xf>
    <xf numFmtId="0" fontId="62" fillId="28" borderId="0" xfId="0" applyFont="1" applyFill="1"/>
    <xf numFmtId="0" fontId="62" fillId="9" borderId="98" xfId="0" applyFont="1" applyFill="1" applyBorder="1" applyAlignment="1">
      <alignment horizontal="center" vertical="center"/>
    </xf>
    <xf numFmtId="0" fontId="62" fillId="9" borderId="99" xfId="0" applyFont="1" applyFill="1" applyBorder="1" applyAlignment="1">
      <alignment horizontal="center" vertical="center"/>
    </xf>
    <xf numFmtId="0" fontId="62" fillId="9" borderId="100" xfId="0" applyFont="1" applyFill="1" applyBorder="1" applyAlignment="1">
      <alignment horizontal="center" vertical="center"/>
    </xf>
    <xf numFmtId="0" fontId="62" fillId="9" borderId="101" xfId="0" applyFont="1" applyFill="1" applyBorder="1" applyAlignment="1">
      <alignment horizontal="center" vertical="center"/>
    </xf>
    <xf numFmtId="0" fontId="62" fillId="9" borderId="9" xfId="0" applyFont="1" applyFill="1" applyBorder="1" applyAlignment="1">
      <alignment horizontal="center" vertical="center"/>
    </xf>
    <xf numFmtId="56" fontId="63" fillId="0" borderId="102" xfId="0" applyNumberFormat="1" applyFont="1" applyBorder="1" applyAlignment="1">
      <alignment horizontal="center"/>
    </xf>
    <xf numFmtId="176" fontId="63" fillId="0" borderId="38" xfId="0" applyNumberFormat="1" applyFont="1" applyBorder="1"/>
    <xf numFmtId="176" fontId="63" fillId="0" borderId="20" xfId="0" applyNumberFormat="1" applyFont="1" applyBorder="1"/>
    <xf numFmtId="176" fontId="63" fillId="0" borderId="103" xfId="0" applyNumberFormat="1" applyFont="1" applyBorder="1"/>
    <xf numFmtId="0" fontId="63" fillId="0" borderId="39" xfId="0" applyFont="1" applyBorder="1"/>
    <xf numFmtId="176" fontId="63" fillId="0" borderId="23" xfId="0" applyNumberFormat="1" applyFont="1" applyBorder="1"/>
    <xf numFmtId="176" fontId="63" fillId="0" borderId="35" xfId="0" applyNumberFormat="1" applyFont="1" applyBorder="1"/>
    <xf numFmtId="0" fontId="63" fillId="0" borderId="0" xfId="0" applyFont="1" applyAlignment="1">
      <alignment vertical="center"/>
    </xf>
    <xf numFmtId="0" fontId="63" fillId="0" borderId="44" xfId="0" applyFont="1" applyBorder="1"/>
    <xf numFmtId="0" fontId="63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56" fontId="63" fillId="0" borderId="104" xfId="0" applyNumberFormat="1" applyFont="1" applyBorder="1" applyAlignment="1">
      <alignment horizontal="center"/>
    </xf>
    <xf numFmtId="176" fontId="63" fillId="0" borderId="28" xfId="0" applyNumberFormat="1" applyFont="1" applyBorder="1"/>
    <xf numFmtId="176" fontId="63" fillId="0" borderId="14" xfId="0" applyNumberFormat="1" applyFont="1" applyBorder="1"/>
    <xf numFmtId="176" fontId="63" fillId="0" borderId="26" xfId="0" applyNumberFormat="1" applyFont="1" applyBorder="1"/>
    <xf numFmtId="176" fontId="63" fillId="0" borderId="105" xfId="0" applyNumberFormat="1" applyFont="1" applyBorder="1"/>
    <xf numFmtId="0" fontId="63" fillId="0" borderId="15" xfId="0" applyFont="1" applyBorder="1"/>
    <xf numFmtId="56" fontId="63" fillId="0" borderId="106" xfId="0" applyNumberFormat="1" applyFont="1" applyBorder="1" applyAlignment="1">
      <alignment horizontal="center"/>
    </xf>
    <xf numFmtId="176" fontId="63" fillId="0" borderId="96" xfId="0" applyNumberFormat="1" applyFont="1" applyBorder="1"/>
    <xf numFmtId="176" fontId="63" fillId="0" borderId="95" xfId="0" applyNumberFormat="1" applyFont="1" applyBorder="1"/>
    <xf numFmtId="176" fontId="63" fillId="0" borderId="107" xfId="0" applyNumberFormat="1" applyFont="1" applyBorder="1"/>
    <xf numFmtId="0" fontId="63" fillId="0" borderId="25" xfId="0" applyFont="1" applyBorder="1"/>
    <xf numFmtId="3" fontId="63" fillId="0" borderId="15" xfId="0" applyNumberFormat="1" applyFont="1" applyBorder="1"/>
    <xf numFmtId="10" fontId="7" fillId="0" borderId="0" xfId="0" applyNumberFormat="1" applyFont="1"/>
    <xf numFmtId="38" fontId="16" fillId="0" borderId="67" xfId="0" applyNumberFormat="1" applyFont="1" applyBorder="1" applyAlignment="1">
      <alignment shrinkToFit="1"/>
    </xf>
    <xf numFmtId="184" fontId="58" fillId="0" borderId="59" xfId="0" applyNumberFormat="1" applyFont="1" applyBorder="1" applyAlignment="1">
      <alignment horizontal="right" vertical="center"/>
    </xf>
    <xf numFmtId="177" fontId="65" fillId="0" borderId="0" xfId="0" applyNumberFormat="1" applyFont="1" applyAlignment="1">
      <alignment horizontal="center"/>
    </xf>
    <xf numFmtId="0" fontId="66" fillId="0" borderId="0" xfId="0" applyFont="1" applyAlignment="1">
      <alignment horizontal="center" shrinkToFit="1"/>
    </xf>
    <xf numFmtId="0" fontId="19" fillId="13" borderId="2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181" fontId="64" fillId="0" borderId="0" xfId="0" applyNumberFormat="1" applyFont="1" applyAlignment="1">
      <alignment horizontal="center" shrinkToFit="1"/>
    </xf>
    <xf numFmtId="38" fontId="64" fillId="0" borderId="0" xfId="0" applyNumberFormat="1" applyFont="1" applyAlignment="1">
      <alignment horizontal="center" shrinkToFit="1"/>
    </xf>
    <xf numFmtId="0" fontId="64" fillId="0" borderId="0" xfId="0" applyFont="1" applyAlignment="1">
      <alignment horizontal="center" shrinkToFit="1"/>
    </xf>
    <xf numFmtId="38" fontId="51" fillId="0" borderId="0" xfId="0" applyNumberFormat="1" applyFont="1" applyAlignment="1">
      <alignment horizontal="center" shrinkToFit="1"/>
    </xf>
    <xf numFmtId="0" fontId="51" fillId="0" borderId="0" xfId="0" applyFont="1" applyAlignment="1">
      <alignment horizontal="center" shrinkToFit="1"/>
    </xf>
    <xf numFmtId="38" fontId="55" fillId="0" borderId="3" xfId="0" applyNumberFormat="1" applyFont="1" applyBorder="1" applyAlignment="1">
      <alignment shrinkToFit="1"/>
    </xf>
    <xf numFmtId="38" fontId="51" fillId="0" borderId="0" xfId="0" applyNumberFormat="1" applyFont="1" applyAlignment="1">
      <alignment horizontal="right" shrinkToFit="1"/>
    </xf>
    <xf numFmtId="184" fontId="58" fillId="25" borderId="3" xfId="0" applyNumberFormat="1" applyFont="1" applyFill="1" applyBorder="1" applyAlignment="1">
      <alignment horizontal="center" shrinkToFit="1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vertical="center"/>
    </xf>
    <xf numFmtId="5" fontId="68" fillId="0" borderId="0" xfId="0" applyNumberFormat="1" applyFont="1" applyAlignment="1">
      <alignment horizontal="center" vertical="center"/>
    </xf>
    <xf numFmtId="38" fontId="68" fillId="0" borderId="3" xfId="0" applyNumberFormat="1" applyFont="1" applyBorder="1" applyAlignment="1">
      <alignment horizontal="center" vertical="center"/>
    </xf>
    <xf numFmtId="38" fontId="68" fillId="0" borderId="0" xfId="1" applyFont="1" applyAlignment="1">
      <alignment horizontal="center" vertical="center"/>
    </xf>
    <xf numFmtId="9" fontId="68" fillId="0" borderId="0" xfId="2" applyFont="1" applyAlignment="1">
      <alignment horizontal="left" vertical="center"/>
    </xf>
    <xf numFmtId="38" fontId="68" fillId="0" borderId="59" xfId="0" applyNumberFormat="1" applyFont="1" applyBorder="1" applyAlignment="1">
      <alignment horizontal="center" vertical="center"/>
    </xf>
    <xf numFmtId="0" fontId="68" fillId="0" borderId="59" xfId="0" applyFont="1" applyBorder="1" applyAlignment="1">
      <alignment horizontal="center" vertical="center"/>
    </xf>
    <xf numFmtId="38" fontId="68" fillId="0" borderId="64" xfId="0" applyNumberFormat="1" applyFont="1" applyBorder="1" applyAlignment="1">
      <alignment horizontal="center" vertical="center"/>
    </xf>
    <xf numFmtId="38" fontId="68" fillId="15" borderId="3" xfId="0" applyNumberFormat="1" applyFont="1" applyFill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38" fontId="67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38" fontId="67" fillId="0" borderId="3" xfId="0" applyNumberFormat="1" applyFont="1" applyBorder="1" applyAlignment="1">
      <alignment horizontal="center" vertical="center"/>
    </xf>
    <xf numFmtId="38" fontId="67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38" fontId="67" fillId="0" borderId="59" xfId="0" applyNumberFormat="1" applyFont="1" applyBorder="1" applyAlignment="1">
      <alignment horizontal="center" vertical="center"/>
    </xf>
    <xf numFmtId="38" fontId="67" fillId="0" borderId="60" xfId="0" applyNumberFormat="1" applyFont="1" applyBorder="1" applyAlignment="1">
      <alignment horizontal="center" vertical="center"/>
    </xf>
    <xf numFmtId="38" fontId="67" fillId="0" borderId="46" xfId="0" applyNumberFormat="1" applyFont="1" applyBorder="1" applyAlignment="1">
      <alignment horizontal="center" vertical="center"/>
    </xf>
    <xf numFmtId="38" fontId="67" fillId="0" borderId="59" xfId="1" applyFont="1" applyBorder="1" applyAlignment="1">
      <alignment vertical="center"/>
    </xf>
    <xf numFmtId="38" fontId="67" fillId="0" borderId="59" xfId="0" applyNumberFormat="1" applyFont="1" applyBorder="1" applyAlignment="1">
      <alignment vertical="center"/>
    </xf>
    <xf numFmtId="3" fontId="71" fillId="0" borderId="59" xfId="0" applyNumberFormat="1" applyFont="1" applyBorder="1" applyAlignment="1">
      <alignment vertical="center" wrapText="1"/>
    </xf>
    <xf numFmtId="3" fontId="67" fillId="0" borderId="59" xfId="0" applyNumberFormat="1" applyFont="1" applyBorder="1" applyAlignment="1">
      <alignment vertical="center" wrapText="1" readingOrder="1"/>
    </xf>
    <xf numFmtId="38" fontId="72" fillId="0" borderId="0" xfId="0" applyNumberFormat="1" applyFont="1" applyAlignment="1">
      <alignment horizontal="right" vertical="center"/>
    </xf>
    <xf numFmtId="177" fontId="67" fillId="0" borderId="0" xfId="2" applyNumberFormat="1" applyFont="1" applyAlignment="1">
      <alignment vertical="center"/>
    </xf>
    <xf numFmtId="38" fontId="33" fillId="0" borderId="59" xfId="1" applyFont="1" applyBorder="1" applyAlignment="1">
      <alignment vertical="center"/>
    </xf>
    <xf numFmtId="38" fontId="67" fillId="8" borderId="59" xfId="0" applyNumberFormat="1" applyFont="1" applyFill="1" applyBorder="1" applyAlignment="1">
      <alignment horizontal="center" vertical="center"/>
    </xf>
    <xf numFmtId="38" fontId="67" fillId="16" borderId="59" xfId="0" applyNumberFormat="1" applyFont="1" applyFill="1" applyBorder="1" applyAlignment="1">
      <alignment horizontal="center" vertical="center"/>
    </xf>
    <xf numFmtId="38" fontId="67" fillId="7" borderId="59" xfId="0" applyNumberFormat="1" applyFont="1" applyFill="1" applyBorder="1" applyAlignment="1">
      <alignment horizontal="center" vertical="center"/>
    </xf>
    <xf numFmtId="38" fontId="67" fillId="18" borderId="59" xfId="0" applyNumberFormat="1" applyFont="1" applyFill="1" applyBorder="1" applyAlignment="1">
      <alignment horizontal="center" vertical="center"/>
    </xf>
    <xf numFmtId="38" fontId="67" fillId="14" borderId="59" xfId="0" applyNumberFormat="1" applyFont="1" applyFill="1" applyBorder="1" applyAlignment="1">
      <alignment horizontal="center" vertical="center"/>
    </xf>
    <xf numFmtId="38" fontId="67" fillId="26" borderId="59" xfId="0" applyNumberFormat="1" applyFont="1" applyFill="1" applyBorder="1" applyAlignment="1">
      <alignment horizontal="center" vertical="center"/>
    </xf>
    <xf numFmtId="38" fontId="67" fillId="27" borderId="59" xfId="0" applyNumberFormat="1" applyFont="1" applyFill="1" applyBorder="1" applyAlignment="1">
      <alignment horizontal="center" vertical="center"/>
    </xf>
    <xf numFmtId="0" fontId="33" fillId="0" borderId="46" xfId="0" applyFont="1" applyBorder="1" applyAlignment="1">
      <alignment vertical="center"/>
    </xf>
    <xf numFmtId="38" fontId="68" fillId="20" borderId="59" xfId="0" applyNumberFormat="1" applyFont="1" applyFill="1" applyBorder="1" applyAlignment="1">
      <alignment horizontal="center" vertical="center"/>
    </xf>
    <xf numFmtId="38" fontId="68" fillId="19" borderId="59" xfId="0" applyNumberFormat="1" applyFont="1" applyFill="1" applyBorder="1" applyAlignment="1">
      <alignment horizontal="center" vertical="center"/>
    </xf>
    <xf numFmtId="38" fontId="68" fillId="15" borderId="59" xfId="0" applyNumberFormat="1" applyFont="1" applyFill="1" applyBorder="1" applyAlignment="1">
      <alignment horizontal="center" vertical="center"/>
    </xf>
    <xf numFmtId="38" fontId="68" fillId="11" borderId="59" xfId="0" applyNumberFormat="1" applyFont="1" applyFill="1" applyBorder="1" applyAlignment="1">
      <alignment horizontal="center" vertical="center"/>
    </xf>
    <xf numFmtId="38" fontId="68" fillId="22" borderId="59" xfId="0" applyNumberFormat="1" applyFont="1" applyFill="1" applyBorder="1" applyAlignment="1">
      <alignment horizontal="center" vertical="center"/>
    </xf>
    <xf numFmtId="183" fontId="68" fillId="0" borderId="0" xfId="1" applyNumberFormat="1" applyFont="1" applyAlignment="1">
      <alignment horizontal="center" vertical="center"/>
    </xf>
    <xf numFmtId="38" fontId="67" fillId="21" borderId="61" xfId="0" applyNumberFormat="1" applyFont="1" applyFill="1" applyBorder="1" applyAlignment="1">
      <alignment horizontal="center" vertical="center"/>
    </xf>
    <xf numFmtId="38" fontId="67" fillId="26" borderId="75" xfId="0" applyNumberFormat="1" applyFont="1" applyFill="1" applyBorder="1" applyAlignment="1">
      <alignment horizontal="center" vertical="center"/>
    </xf>
    <xf numFmtId="38" fontId="68" fillId="15" borderId="61" xfId="0" applyNumberFormat="1" applyFont="1" applyFill="1" applyBorder="1" applyAlignment="1">
      <alignment horizontal="center" vertical="center"/>
    </xf>
    <xf numFmtId="38" fontId="68" fillId="11" borderId="61" xfId="0" applyNumberFormat="1" applyFont="1" applyFill="1" applyBorder="1" applyAlignment="1">
      <alignment horizontal="center" vertical="center"/>
    </xf>
    <xf numFmtId="38" fontId="68" fillId="11" borderId="83" xfId="0" applyNumberFormat="1" applyFont="1" applyFill="1" applyBorder="1" applyAlignment="1">
      <alignment horizontal="center" vertical="center"/>
    </xf>
    <xf numFmtId="38" fontId="68" fillId="19" borderId="75" xfId="0" applyNumberFormat="1" applyFont="1" applyFill="1" applyBorder="1" applyAlignment="1">
      <alignment horizontal="center" vertical="center"/>
    </xf>
    <xf numFmtId="38" fontId="68" fillId="15" borderId="83" xfId="0" applyNumberFormat="1" applyFont="1" applyFill="1" applyBorder="1" applyAlignment="1">
      <alignment horizontal="center" vertical="center"/>
    </xf>
    <xf numFmtId="38" fontId="67" fillId="0" borderId="61" xfId="0" applyNumberFormat="1" applyFont="1" applyBorder="1" applyAlignment="1">
      <alignment horizontal="center" vertical="center"/>
    </xf>
    <xf numFmtId="38" fontId="67" fillId="0" borderId="82" xfId="0" applyNumberFormat="1" applyFont="1" applyBorder="1" applyAlignment="1">
      <alignment horizontal="center" vertical="center"/>
    </xf>
    <xf numFmtId="38" fontId="67" fillId="0" borderId="83" xfId="0" applyNumberFormat="1" applyFont="1" applyBorder="1" applyAlignment="1">
      <alignment horizontal="center" vertical="center"/>
    </xf>
    <xf numFmtId="38" fontId="67" fillId="0" borderId="75" xfId="0" applyNumberFormat="1" applyFont="1" applyBorder="1" applyAlignment="1">
      <alignment horizontal="center" vertical="center"/>
    </xf>
    <xf numFmtId="38" fontId="68" fillId="0" borderId="61" xfId="0" applyNumberFormat="1" applyFont="1" applyBorder="1" applyAlignment="1">
      <alignment horizontal="center" vertical="center"/>
    </xf>
    <xf numFmtId="38" fontId="68" fillId="0" borderId="82" xfId="0" applyNumberFormat="1" applyFont="1" applyBorder="1" applyAlignment="1">
      <alignment horizontal="center" vertical="center"/>
    </xf>
    <xf numFmtId="38" fontId="68" fillId="0" borderId="83" xfId="0" applyNumberFormat="1" applyFont="1" applyBorder="1" applyAlignment="1">
      <alignment horizontal="center" vertical="center"/>
    </xf>
    <xf numFmtId="38" fontId="68" fillId="0" borderId="75" xfId="0" applyNumberFormat="1" applyFont="1" applyBorder="1" applyAlignment="1">
      <alignment horizontal="center" vertical="center"/>
    </xf>
    <xf numFmtId="5" fontId="67" fillId="0" borderId="59" xfId="0" applyNumberFormat="1" applyFont="1" applyBorder="1" applyAlignment="1">
      <alignment horizontal="center" vertical="center"/>
    </xf>
    <xf numFmtId="38" fontId="67" fillId="0" borderId="61" xfId="1" applyFont="1" applyBorder="1" applyAlignment="1">
      <alignment vertical="center"/>
    </xf>
    <xf numFmtId="38" fontId="67" fillId="0" borderId="82" xfId="1" applyFont="1" applyBorder="1" applyAlignment="1">
      <alignment vertical="center"/>
    </xf>
    <xf numFmtId="38" fontId="67" fillId="0" borderId="83" xfId="1" applyFont="1" applyBorder="1" applyAlignment="1">
      <alignment vertical="center"/>
    </xf>
    <xf numFmtId="38" fontId="67" fillId="0" borderId="75" xfId="1" applyFont="1" applyBorder="1" applyAlignment="1">
      <alignment vertical="center"/>
    </xf>
    <xf numFmtId="5" fontId="33" fillId="0" borderId="76" xfId="0" applyNumberFormat="1" applyFont="1" applyBorder="1" applyAlignment="1">
      <alignment horizontal="center" vertical="center"/>
    </xf>
    <xf numFmtId="38" fontId="33" fillId="23" borderId="76" xfId="0" applyNumberFormat="1" applyFont="1" applyFill="1" applyBorder="1"/>
    <xf numFmtId="38" fontId="33" fillId="23" borderId="77" xfId="0" applyNumberFormat="1" applyFont="1" applyFill="1" applyBorder="1"/>
    <xf numFmtId="38" fontId="33" fillId="23" borderId="81" xfId="0" applyNumberFormat="1" applyFont="1" applyFill="1" applyBorder="1"/>
    <xf numFmtId="5" fontId="67" fillId="0" borderId="64" xfId="0" applyNumberFormat="1" applyFont="1" applyBorder="1" applyAlignment="1">
      <alignment horizontal="center" vertical="center"/>
    </xf>
    <xf numFmtId="0" fontId="75" fillId="0" borderId="0" xfId="0" applyFont="1" applyAlignment="1">
      <alignment vertical="center"/>
    </xf>
    <xf numFmtId="177" fontId="67" fillId="0" borderId="64" xfId="2" applyNumberFormat="1" applyFont="1" applyBorder="1" applyAlignment="1">
      <alignment horizontal="center" vertical="center"/>
    </xf>
    <xf numFmtId="177" fontId="67" fillId="0" borderId="64" xfId="2" applyNumberFormat="1" applyFont="1" applyBorder="1" applyAlignment="1">
      <alignment vertical="center"/>
    </xf>
    <xf numFmtId="177" fontId="67" fillId="0" borderId="86" xfId="2" applyNumberFormat="1" applyFont="1" applyBorder="1" applyAlignment="1">
      <alignment vertical="center"/>
    </xf>
    <xf numFmtId="177" fontId="67" fillId="0" borderId="61" xfId="2" applyNumberFormat="1" applyFont="1" applyBorder="1" applyAlignment="1">
      <alignment vertical="center"/>
    </xf>
    <xf numFmtId="177" fontId="67" fillId="0" borderId="87" xfId="2" applyNumberFormat="1" applyFont="1" applyBorder="1" applyAlignment="1">
      <alignment vertical="center"/>
    </xf>
    <xf numFmtId="0" fontId="67" fillId="0" borderId="89" xfId="0" applyFont="1" applyBorder="1" applyAlignment="1">
      <alignment vertical="center"/>
    </xf>
    <xf numFmtId="0" fontId="67" fillId="0" borderId="88" xfId="0" applyFont="1" applyBorder="1" applyAlignment="1">
      <alignment horizontal="center" vertical="center"/>
    </xf>
    <xf numFmtId="38" fontId="72" fillId="0" borderId="65" xfId="0" applyNumberFormat="1" applyFont="1" applyBorder="1" applyAlignment="1">
      <alignment horizontal="right" vertical="center"/>
    </xf>
    <xf numFmtId="0" fontId="67" fillId="0" borderId="65" xfId="0" applyFont="1" applyBorder="1" applyAlignment="1">
      <alignment vertical="center"/>
    </xf>
    <xf numFmtId="0" fontId="33" fillId="0" borderId="88" xfId="0" applyFont="1" applyBorder="1" applyAlignment="1">
      <alignment vertical="center"/>
    </xf>
    <xf numFmtId="0" fontId="33" fillId="0" borderId="65" xfId="0" applyFont="1" applyBorder="1" applyAlignment="1">
      <alignment vertical="center"/>
    </xf>
    <xf numFmtId="38" fontId="67" fillId="0" borderId="65" xfId="0" applyNumberFormat="1" applyFont="1" applyBorder="1" applyAlignment="1">
      <alignment vertical="center"/>
    </xf>
    <xf numFmtId="0" fontId="67" fillId="0" borderId="65" xfId="0" applyFont="1" applyBorder="1" applyAlignment="1">
      <alignment horizontal="center" vertical="center"/>
    </xf>
    <xf numFmtId="0" fontId="33" fillId="0" borderId="89" xfId="0" applyFont="1" applyBorder="1" applyAlignment="1">
      <alignment vertical="center"/>
    </xf>
    <xf numFmtId="177" fontId="75" fillId="0" borderId="91" xfId="0" applyNumberFormat="1" applyFont="1" applyBorder="1" applyAlignment="1">
      <alignment horizontal="left" vertical="center"/>
    </xf>
    <xf numFmtId="177" fontId="75" fillId="0" borderId="0" xfId="0" applyNumberFormat="1" applyFont="1" applyAlignment="1">
      <alignment horizontal="left" vertical="center"/>
    </xf>
    <xf numFmtId="0" fontId="67" fillId="0" borderId="90" xfId="0" applyFont="1" applyBorder="1" applyAlignment="1">
      <alignment horizontal="center" vertical="center"/>
    </xf>
    <xf numFmtId="38" fontId="72" fillId="0" borderId="46" xfId="0" applyNumberFormat="1" applyFont="1" applyBorder="1" applyAlignment="1">
      <alignment horizontal="right" vertical="center"/>
    </xf>
    <xf numFmtId="177" fontId="75" fillId="0" borderId="46" xfId="0" applyNumberFormat="1" applyFont="1" applyBorder="1" applyAlignment="1">
      <alignment horizontal="left" vertical="center"/>
    </xf>
    <xf numFmtId="0" fontId="33" fillId="0" borderId="90" xfId="0" applyFont="1" applyBorder="1" applyAlignment="1">
      <alignment vertical="center"/>
    </xf>
    <xf numFmtId="38" fontId="67" fillId="0" borderId="93" xfId="0" applyNumberFormat="1" applyFont="1" applyBorder="1" applyAlignment="1">
      <alignment horizontal="center" vertical="center"/>
    </xf>
    <xf numFmtId="0" fontId="67" fillId="0" borderId="93" xfId="0" applyFont="1" applyBorder="1" applyAlignment="1">
      <alignment horizontal="center" vertical="center"/>
    </xf>
    <xf numFmtId="38" fontId="67" fillId="0" borderId="92" xfId="0" applyNumberFormat="1" applyFont="1" applyBorder="1" applyAlignment="1">
      <alignment horizontal="center" vertical="center"/>
    </xf>
    <xf numFmtId="38" fontId="67" fillId="0" borderId="94" xfId="0" applyNumberFormat="1" applyFont="1" applyBorder="1" applyAlignment="1">
      <alignment horizontal="center" vertical="center"/>
    </xf>
    <xf numFmtId="38" fontId="67" fillId="14" borderId="76" xfId="0" applyNumberFormat="1" applyFont="1" applyFill="1" applyBorder="1" applyAlignment="1">
      <alignment horizontal="center" vertical="center"/>
    </xf>
    <xf numFmtId="38" fontId="67" fillId="14" borderId="85" xfId="0" applyNumberFormat="1" applyFont="1" applyFill="1" applyBorder="1" applyAlignment="1">
      <alignment horizontal="center" vertical="center"/>
    </xf>
    <xf numFmtId="38" fontId="67" fillId="26" borderId="85" xfId="0" applyNumberFormat="1" applyFont="1" applyFill="1" applyBorder="1" applyAlignment="1">
      <alignment horizontal="center" vertical="center"/>
    </xf>
    <xf numFmtId="38" fontId="33" fillId="23" borderId="82" xfId="0" applyNumberFormat="1" applyFont="1" applyFill="1" applyBorder="1"/>
    <xf numFmtId="38" fontId="33" fillId="23" borderId="59" xfId="0" applyNumberFormat="1" applyFont="1" applyFill="1" applyBorder="1"/>
    <xf numFmtId="38" fontId="33" fillId="23" borderId="83" xfId="0" applyNumberFormat="1" applyFont="1" applyFill="1" applyBorder="1"/>
    <xf numFmtId="38" fontId="67" fillId="0" borderId="64" xfId="0" applyNumberFormat="1" applyFont="1" applyBorder="1" applyAlignment="1">
      <alignment horizontal="center"/>
    </xf>
    <xf numFmtId="38" fontId="67" fillId="20" borderId="61" xfId="0" applyNumberFormat="1" applyFont="1" applyFill="1" applyBorder="1" applyAlignment="1">
      <alignment horizontal="center" vertical="center"/>
    </xf>
    <xf numFmtId="38" fontId="67" fillId="6" borderId="108" xfId="0" applyNumberFormat="1" applyFont="1" applyFill="1" applyBorder="1" applyAlignment="1">
      <alignment horizontal="center" vertical="center"/>
    </xf>
    <xf numFmtId="38" fontId="67" fillId="6" borderId="60" xfId="0" applyNumberFormat="1" applyFont="1" applyFill="1" applyBorder="1" applyAlignment="1">
      <alignment horizontal="center" vertical="center"/>
    </xf>
    <xf numFmtId="38" fontId="68" fillId="11" borderId="64" xfId="0" applyNumberFormat="1" applyFont="1" applyFill="1" applyBorder="1" applyAlignment="1">
      <alignment horizontal="center" vertical="center"/>
    </xf>
    <xf numFmtId="38" fontId="67" fillId="0" borderId="84" xfId="0" applyNumberFormat="1" applyFont="1" applyBorder="1" applyAlignment="1">
      <alignment horizontal="center" vertical="center"/>
    </xf>
    <xf numFmtId="38" fontId="67" fillId="0" borderId="76" xfId="0" applyNumberFormat="1" applyFont="1" applyBorder="1" applyAlignment="1">
      <alignment horizontal="center" vertical="center"/>
    </xf>
    <xf numFmtId="38" fontId="67" fillId="0" borderId="86" xfId="0" applyNumberFormat="1" applyFont="1" applyBorder="1" applyAlignment="1">
      <alignment horizontal="center"/>
    </xf>
    <xf numFmtId="38" fontId="67" fillId="0" borderId="64" xfId="0" applyNumberFormat="1" applyFont="1" applyBorder="1" applyAlignment="1">
      <alignment horizontal="center" vertical="center"/>
    </xf>
    <xf numFmtId="38" fontId="67" fillId="0" borderId="87" xfId="0" applyNumberFormat="1" applyFont="1" applyBorder="1" applyAlignment="1">
      <alignment horizontal="center"/>
    </xf>
    <xf numFmtId="38" fontId="67" fillId="0" borderId="92" xfId="0" applyNumberFormat="1" applyFont="1" applyBorder="1" applyAlignment="1">
      <alignment horizontal="center"/>
    </xf>
    <xf numFmtId="177" fontId="67" fillId="0" borderId="92" xfId="2" applyNumberFormat="1" applyFont="1" applyBorder="1" applyAlignment="1">
      <alignment vertical="center"/>
    </xf>
    <xf numFmtId="0" fontId="67" fillId="24" borderId="59" xfId="0" applyFont="1" applyFill="1" applyBorder="1" applyAlignment="1">
      <alignment horizontal="center" vertical="center"/>
    </xf>
    <xf numFmtId="5" fontId="68" fillId="0" borderId="0" xfId="0" applyNumberFormat="1" applyFont="1" applyAlignment="1">
      <alignment vertical="center"/>
    </xf>
    <xf numFmtId="38" fontId="77" fillId="0" borderId="86" xfId="0" applyNumberFormat="1" applyFont="1" applyBorder="1" applyAlignment="1">
      <alignment horizontal="center"/>
    </xf>
    <xf numFmtId="38" fontId="77" fillId="0" borderId="64" xfId="0" applyNumberFormat="1" applyFont="1" applyBorder="1" applyAlignment="1">
      <alignment horizontal="center"/>
    </xf>
    <xf numFmtId="38" fontId="77" fillId="0" borderId="87" xfId="0" applyNumberFormat="1" applyFont="1" applyBorder="1" applyAlignment="1">
      <alignment horizontal="center"/>
    </xf>
    <xf numFmtId="38" fontId="69" fillId="0" borderId="64" xfId="0" applyNumberFormat="1" applyFont="1" applyBorder="1" applyAlignment="1">
      <alignment horizontal="center"/>
    </xf>
    <xf numFmtId="38" fontId="67" fillId="0" borderId="0" xfId="1" applyFont="1" applyAlignment="1">
      <alignment horizontal="center" vertical="center"/>
    </xf>
    <xf numFmtId="38" fontId="67" fillId="7" borderId="75" xfId="0" applyNumberFormat="1" applyFont="1" applyFill="1" applyBorder="1" applyAlignment="1">
      <alignment horizontal="center" vertical="center"/>
    </xf>
    <xf numFmtId="38" fontId="68" fillId="11" borderId="75" xfId="0" applyNumberFormat="1" applyFont="1" applyFill="1" applyBorder="1" applyAlignment="1">
      <alignment horizontal="center" vertical="center"/>
    </xf>
    <xf numFmtId="0" fontId="69" fillId="0" borderId="65" xfId="0" applyFont="1" applyBorder="1" applyAlignment="1">
      <alignment horizontal="center" vertical="center"/>
    </xf>
    <xf numFmtId="0" fontId="21" fillId="0" borderId="78" xfId="0" applyFont="1" applyBorder="1" applyAlignment="1">
      <alignment shrinkToFit="1"/>
    </xf>
    <xf numFmtId="181" fontId="58" fillId="0" borderId="10" xfId="0" applyNumberFormat="1" applyFont="1" applyBorder="1" applyAlignment="1">
      <alignment horizontal="center" shrinkToFit="1"/>
    </xf>
    <xf numFmtId="0" fontId="54" fillId="9" borderId="11" xfId="0" applyFont="1" applyFill="1" applyBorder="1" applyAlignment="1">
      <alignment horizontal="center"/>
    </xf>
    <xf numFmtId="38" fontId="61" fillId="0" borderId="110" xfId="1" applyFont="1" applyBorder="1" applyAlignment="1">
      <alignment vertical="center"/>
    </xf>
    <xf numFmtId="38" fontId="61" fillId="0" borderId="11" xfId="1" applyFont="1" applyBorder="1" applyAlignment="1">
      <alignment vertical="center"/>
    </xf>
    <xf numFmtId="38" fontId="68" fillId="15" borderId="111" xfId="0" applyNumberFormat="1" applyFont="1" applyFill="1" applyBorder="1" applyAlignment="1">
      <alignment horizontal="center" vertical="center"/>
    </xf>
    <xf numFmtId="38" fontId="67" fillId="0" borderId="112" xfId="0" applyNumberFormat="1" applyFont="1" applyBorder="1" applyAlignment="1">
      <alignment horizontal="center" vertical="center"/>
    </xf>
    <xf numFmtId="38" fontId="68" fillId="0" borderId="112" xfId="0" applyNumberFormat="1" applyFont="1" applyBorder="1" applyAlignment="1">
      <alignment horizontal="center" vertical="center"/>
    </xf>
    <xf numFmtId="38" fontId="67" fillId="0" borderId="113" xfId="1" applyFont="1" applyBorder="1" applyAlignment="1">
      <alignment vertical="center"/>
    </xf>
    <xf numFmtId="38" fontId="68" fillId="19" borderId="61" xfId="0" applyNumberFormat="1" applyFont="1" applyFill="1" applyBorder="1" applyAlignment="1">
      <alignment horizontal="center" vertical="center"/>
    </xf>
    <xf numFmtId="38" fontId="67" fillId="0" borderId="64" xfId="1" applyFont="1" applyBorder="1" applyAlignment="1">
      <alignment vertical="center"/>
    </xf>
    <xf numFmtId="38" fontId="67" fillId="21" borderId="62" xfId="0" applyNumberFormat="1" applyFont="1" applyFill="1" applyBorder="1" applyAlignment="1">
      <alignment horizontal="center" vertical="center"/>
    </xf>
    <xf numFmtId="38" fontId="68" fillId="19" borderId="83" xfId="0" applyNumberFormat="1" applyFont="1" applyFill="1" applyBorder="1" applyAlignment="1">
      <alignment horizontal="center" vertical="center"/>
    </xf>
    <xf numFmtId="38" fontId="67" fillId="16" borderId="62" xfId="0" applyNumberFormat="1" applyFont="1" applyFill="1" applyBorder="1" applyAlignment="1">
      <alignment horizontal="center" vertical="center"/>
    </xf>
    <xf numFmtId="0" fontId="76" fillId="0" borderId="59" xfId="0" applyFont="1" applyBorder="1" applyAlignment="1">
      <alignment horizontal="center" vertical="center"/>
    </xf>
    <xf numFmtId="38" fontId="67" fillId="0" borderId="77" xfId="0" applyNumberFormat="1" applyFont="1" applyBorder="1" applyAlignment="1">
      <alignment horizontal="center" vertical="center"/>
    </xf>
    <xf numFmtId="5" fontId="73" fillId="25" borderId="59" xfId="0" applyNumberFormat="1" applyFont="1" applyFill="1" applyBorder="1" applyAlignment="1">
      <alignment horizontal="center" vertical="center"/>
    </xf>
    <xf numFmtId="38" fontId="73" fillId="25" borderId="59" xfId="0" applyNumberFormat="1" applyFont="1" applyFill="1" applyBorder="1" applyAlignment="1">
      <alignment vertical="center"/>
    </xf>
    <xf numFmtId="3" fontId="78" fillId="25" borderId="59" xfId="0" applyNumberFormat="1" applyFont="1" applyFill="1" applyBorder="1" applyAlignment="1">
      <alignment vertical="center" wrapText="1"/>
    </xf>
    <xf numFmtId="3" fontId="78" fillId="25" borderId="83" xfId="0" applyNumberFormat="1" applyFont="1" applyFill="1" applyBorder="1" applyAlignment="1">
      <alignment vertical="center" wrapText="1"/>
    </xf>
    <xf numFmtId="0" fontId="67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38" fontId="33" fillId="0" borderId="0" xfId="0" applyNumberFormat="1" applyFont="1" applyAlignment="1">
      <alignment horizontal="left" vertical="center"/>
    </xf>
    <xf numFmtId="38" fontId="67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38" fontId="73" fillId="11" borderId="59" xfId="0" applyNumberFormat="1" applyFont="1" applyFill="1" applyBorder="1" applyAlignment="1">
      <alignment vertical="center"/>
    </xf>
    <xf numFmtId="38" fontId="73" fillId="11" borderId="82" xfId="0" applyNumberFormat="1" applyFont="1" applyFill="1" applyBorder="1" applyAlignment="1">
      <alignment vertical="center"/>
    </xf>
    <xf numFmtId="38" fontId="73" fillId="11" borderId="75" xfId="0" applyNumberFormat="1" applyFont="1" applyFill="1" applyBorder="1" applyAlignment="1">
      <alignment vertical="center"/>
    </xf>
    <xf numFmtId="38" fontId="73" fillId="11" borderId="61" xfId="0" applyNumberFormat="1" applyFont="1" applyFill="1" applyBorder="1" applyAlignment="1">
      <alignment vertical="center"/>
    </xf>
    <xf numFmtId="3" fontId="78" fillId="11" borderId="82" xfId="0" applyNumberFormat="1" applyFont="1" applyFill="1" applyBorder="1" applyAlignment="1">
      <alignment vertical="center" wrapText="1"/>
    </xf>
    <xf numFmtId="3" fontId="78" fillId="11" borderId="59" xfId="0" applyNumberFormat="1" applyFont="1" applyFill="1" applyBorder="1" applyAlignment="1">
      <alignment vertical="center" wrapText="1"/>
    </xf>
    <xf numFmtId="3" fontId="78" fillId="11" borderId="61" xfId="0" applyNumberFormat="1" applyFont="1" applyFill="1" applyBorder="1" applyAlignment="1">
      <alignment vertical="center" wrapText="1"/>
    </xf>
    <xf numFmtId="3" fontId="78" fillId="11" borderId="83" xfId="0" applyNumberFormat="1" applyFont="1" applyFill="1" applyBorder="1" applyAlignment="1">
      <alignment vertical="center" wrapText="1"/>
    </xf>
    <xf numFmtId="177" fontId="73" fillId="0" borderId="59" xfId="2" applyNumberFormat="1" applyFont="1" applyBorder="1" applyAlignment="1">
      <alignment horizontal="center" vertical="center"/>
    </xf>
    <xf numFmtId="177" fontId="73" fillId="0" borderId="59" xfId="2" applyNumberFormat="1" applyFont="1" applyBorder="1" applyAlignment="1">
      <alignment vertical="center"/>
    </xf>
    <xf numFmtId="177" fontId="73" fillId="0" borderId="61" xfId="2" applyNumberFormat="1" applyFont="1" applyBorder="1" applyAlignment="1">
      <alignment vertical="center"/>
    </xf>
    <xf numFmtId="177" fontId="73" fillId="0" borderId="83" xfId="2" applyNumberFormat="1" applyFont="1" applyBorder="1" applyAlignment="1">
      <alignment vertical="center"/>
    </xf>
    <xf numFmtId="177" fontId="73" fillId="0" borderId="64" xfId="2" applyNumberFormat="1" applyFont="1" applyBorder="1" applyAlignment="1">
      <alignment vertical="center"/>
    </xf>
    <xf numFmtId="177" fontId="73" fillId="0" borderId="82" xfId="2" applyNumberFormat="1" applyFont="1" applyBorder="1" applyAlignment="1">
      <alignment vertical="center"/>
    </xf>
    <xf numFmtId="177" fontId="73" fillId="0" borderId="75" xfId="2" applyNumberFormat="1" applyFont="1" applyBorder="1" applyAlignment="1">
      <alignment vertical="center"/>
    </xf>
    <xf numFmtId="0" fontId="68" fillId="0" borderId="0" xfId="0" applyFont="1" applyAlignment="1">
      <alignment vertical="center" shrinkToFit="1"/>
    </xf>
    <xf numFmtId="0" fontId="68" fillId="0" borderId="0" xfId="0" applyFont="1" applyAlignment="1">
      <alignment horizontal="center" vertical="center" shrinkToFit="1"/>
    </xf>
    <xf numFmtId="38" fontId="68" fillId="0" borderId="59" xfId="0" applyNumberFormat="1" applyFont="1" applyBorder="1" applyAlignment="1">
      <alignment horizontal="center" vertical="center" shrinkToFit="1"/>
    </xf>
    <xf numFmtId="0" fontId="67" fillId="0" borderId="0" xfId="0" applyFont="1" applyAlignment="1">
      <alignment horizontal="center" vertical="center" shrinkToFit="1"/>
    </xf>
    <xf numFmtId="0" fontId="68" fillId="0" borderId="59" xfId="0" applyFont="1" applyBorder="1" applyAlignment="1">
      <alignment horizontal="center" vertical="center" shrinkToFit="1"/>
    </xf>
    <xf numFmtId="0" fontId="33" fillId="0" borderId="76" xfId="0" applyFont="1" applyBorder="1" applyAlignment="1">
      <alignment horizontal="center" vertical="center" shrinkToFit="1"/>
    </xf>
    <xf numFmtId="0" fontId="68" fillId="0" borderId="64" xfId="0" applyFont="1" applyBorder="1" applyAlignment="1">
      <alignment horizontal="center" vertical="center" shrinkToFit="1"/>
    </xf>
    <xf numFmtId="0" fontId="73" fillId="0" borderId="59" xfId="0" applyFont="1" applyBorder="1" applyAlignment="1">
      <alignment horizontal="center" vertical="center" shrinkToFit="1"/>
    </xf>
    <xf numFmtId="186" fontId="68" fillId="0" borderId="59" xfId="0" applyNumberFormat="1" applyFont="1" applyBorder="1" applyAlignment="1">
      <alignment horizontal="center" vertical="center" shrinkToFit="1"/>
    </xf>
    <xf numFmtId="0" fontId="73" fillId="24" borderId="59" xfId="0" applyFont="1" applyFill="1" applyBorder="1" applyAlignment="1">
      <alignment horizontal="center" vertical="center" shrinkToFit="1"/>
    </xf>
    <xf numFmtId="0" fontId="70" fillId="0" borderId="59" xfId="0" applyFont="1" applyBorder="1" applyAlignment="1">
      <alignment horizontal="center" vertical="center" shrinkToFit="1"/>
    </xf>
    <xf numFmtId="38" fontId="73" fillId="11" borderId="62" xfId="0" applyNumberFormat="1" applyFont="1" applyFill="1" applyBorder="1" applyAlignment="1">
      <alignment vertical="center"/>
    </xf>
    <xf numFmtId="38" fontId="33" fillId="23" borderId="3" xfId="0" applyNumberFormat="1" applyFont="1" applyFill="1" applyBorder="1"/>
    <xf numFmtId="38" fontId="67" fillId="0" borderId="11" xfId="1" applyFont="1" applyBorder="1" applyAlignment="1">
      <alignment vertical="center"/>
    </xf>
    <xf numFmtId="38" fontId="73" fillId="11" borderId="3" xfId="0" applyNumberFormat="1" applyFont="1" applyFill="1" applyBorder="1" applyAlignment="1">
      <alignment vertical="center"/>
    </xf>
    <xf numFmtId="177" fontId="73" fillId="0" borderId="3" xfId="2" applyNumberFormat="1" applyFont="1" applyBorder="1" applyAlignment="1">
      <alignment vertical="center"/>
    </xf>
    <xf numFmtId="38" fontId="67" fillId="17" borderId="84" xfId="0" applyNumberFormat="1" applyFont="1" applyFill="1" applyBorder="1" applyAlignment="1">
      <alignment horizontal="center" vertical="center"/>
    </xf>
    <xf numFmtId="38" fontId="67" fillId="17" borderId="59" xfId="0" applyNumberFormat="1" applyFont="1" applyFill="1" applyBorder="1" applyAlignment="1">
      <alignment horizontal="center" vertical="center"/>
    </xf>
    <xf numFmtId="38" fontId="67" fillId="17" borderId="61" xfId="0" applyNumberFormat="1" applyFont="1" applyFill="1" applyBorder="1" applyAlignment="1">
      <alignment horizontal="center" vertical="center"/>
    </xf>
    <xf numFmtId="38" fontId="67" fillId="17" borderId="3" xfId="0" applyNumberFormat="1" applyFont="1" applyFill="1" applyBorder="1" applyAlignment="1">
      <alignment horizontal="center" vertical="center"/>
    </xf>
    <xf numFmtId="38" fontId="67" fillId="0" borderId="114" xfId="0" applyNumberFormat="1" applyFont="1" applyBorder="1" applyAlignment="1">
      <alignment horizontal="center" vertical="center"/>
    </xf>
    <xf numFmtId="38" fontId="67" fillId="17" borderId="115" xfId="0" applyNumberFormat="1" applyFont="1" applyFill="1" applyBorder="1" applyAlignment="1">
      <alignment horizontal="center" vertical="center"/>
    </xf>
    <xf numFmtId="38" fontId="68" fillId="19" borderId="115" xfId="0" applyNumberFormat="1" applyFont="1" applyFill="1" applyBorder="1" applyAlignment="1">
      <alignment horizontal="center" vertical="center"/>
    </xf>
    <xf numFmtId="38" fontId="67" fillId="0" borderId="115" xfId="0" applyNumberFormat="1" applyFont="1" applyBorder="1" applyAlignment="1">
      <alignment horizontal="center" vertical="center"/>
    </xf>
    <xf numFmtId="38" fontId="68" fillId="0" borderId="115" xfId="0" applyNumberFormat="1" applyFont="1" applyBorder="1" applyAlignment="1">
      <alignment horizontal="center" vertical="center"/>
    </xf>
    <xf numFmtId="38" fontId="67" fillId="0" borderId="115" xfId="1" applyFont="1" applyBorder="1" applyAlignment="1">
      <alignment vertical="center"/>
    </xf>
    <xf numFmtId="38" fontId="33" fillId="23" borderId="116" xfId="0" applyNumberFormat="1" applyFont="1" applyFill="1" applyBorder="1"/>
    <xf numFmtId="38" fontId="67" fillId="0" borderId="115" xfId="0" applyNumberFormat="1" applyFont="1" applyBorder="1" applyAlignment="1">
      <alignment horizontal="center"/>
    </xf>
    <xf numFmtId="38" fontId="73" fillId="11" borderId="115" xfId="0" applyNumberFormat="1" applyFont="1" applyFill="1" applyBorder="1" applyAlignment="1">
      <alignment vertical="center"/>
    </xf>
    <xf numFmtId="177" fontId="73" fillId="0" borderId="115" xfId="2" applyNumberFormat="1" applyFont="1" applyBorder="1" applyAlignment="1">
      <alignment vertical="center"/>
    </xf>
    <xf numFmtId="177" fontId="67" fillId="0" borderId="115" xfId="2" applyNumberFormat="1" applyFont="1" applyBorder="1" applyAlignment="1">
      <alignment vertical="center"/>
    </xf>
    <xf numFmtId="38" fontId="67" fillId="0" borderId="0" xfId="0" applyNumberFormat="1" applyFont="1" applyAlignment="1">
      <alignment horizontal="center"/>
    </xf>
    <xf numFmtId="0" fontId="67" fillId="0" borderId="92" xfId="0" applyFont="1" applyBorder="1" applyAlignment="1">
      <alignment horizontal="center" vertical="center"/>
    </xf>
    <xf numFmtId="38" fontId="68" fillId="19" borderId="64" xfId="0" applyNumberFormat="1" applyFont="1" applyFill="1" applyBorder="1" applyAlignment="1">
      <alignment horizontal="center" vertical="center"/>
    </xf>
    <xf numFmtId="0" fontId="67" fillId="0" borderId="117" xfId="0" applyFont="1" applyBorder="1" applyAlignment="1">
      <alignment vertical="center"/>
    </xf>
    <xf numFmtId="177" fontId="75" fillId="0" borderId="114" xfId="0" applyNumberFormat="1" applyFont="1" applyBorder="1" applyAlignment="1">
      <alignment horizontal="left" vertical="center"/>
    </xf>
    <xf numFmtId="38" fontId="67" fillId="0" borderId="118" xfId="1" applyFont="1" applyBorder="1" applyAlignment="1">
      <alignment vertical="center"/>
    </xf>
    <xf numFmtId="177" fontId="73" fillId="0" borderId="0" xfId="2" applyNumberFormat="1" applyFont="1" applyAlignment="1">
      <alignment horizontal="center" vertical="center"/>
    </xf>
    <xf numFmtId="0" fontId="75" fillId="0" borderId="0" xfId="0" applyFont="1" applyAlignment="1">
      <alignment vertical="center" shrinkToFit="1"/>
    </xf>
    <xf numFmtId="177" fontId="73" fillId="11" borderId="82" xfId="2" applyNumberFormat="1" applyFont="1" applyFill="1" applyBorder="1" applyAlignment="1">
      <alignment vertical="center"/>
    </xf>
    <xf numFmtId="38" fontId="67" fillId="0" borderId="83" xfId="0" applyNumberFormat="1" applyFont="1" applyBorder="1" applyAlignment="1">
      <alignment horizontal="center"/>
    </xf>
    <xf numFmtId="177" fontId="67" fillId="0" borderId="83" xfId="2" applyNumberFormat="1" applyFont="1" applyBorder="1" applyAlignment="1">
      <alignment vertical="center"/>
    </xf>
    <xf numFmtId="38" fontId="67" fillId="30" borderId="84" xfId="0" applyNumberFormat="1" applyFont="1" applyFill="1" applyBorder="1" applyAlignment="1">
      <alignment horizontal="center" vertical="center"/>
    </xf>
    <xf numFmtId="38" fontId="67" fillId="30" borderId="76" xfId="0" applyNumberFormat="1" applyFont="1" applyFill="1" applyBorder="1" applyAlignment="1">
      <alignment horizontal="center" vertical="center"/>
    </xf>
    <xf numFmtId="38" fontId="67" fillId="30" borderId="77" xfId="0" applyNumberFormat="1" applyFont="1" applyFill="1" applyBorder="1" applyAlignment="1">
      <alignment horizontal="center" vertical="center"/>
    </xf>
    <xf numFmtId="38" fontId="67" fillId="30" borderId="83" xfId="0" applyNumberFormat="1" applyFont="1" applyFill="1" applyBorder="1" applyAlignment="1">
      <alignment horizontal="center" vertical="center"/>
    </xf>
    <xf numFmtId="177" fontId="73" fillId="11" borderId="59" xfId="2" applyNumberFormat="1" applyFont="1" applyFill="1" applyBorder="1" applyAlignment="1">
      <alignment vertical="center"/>
    </xf>
    <xf numFmtId="3" fontId="80" fillId="11" borderId="82" xfId="0" applyNumberFormat="1" applyFont="1" applyFill="1" applyBorder="1" applyAlignment="1">
      <alignment vertical="center" wrapText="1"/>
    </xf>
    <xf numFmtId="3" fontId="78" fillId="11" borderId="75" xfId="0" applyNumberFormat="1" applyFont="1" applyFill="1" applyBorder="1" applyAlignment="1">
      <alignment vertical="center" wrapText="1"/>
    </xf>
    <xf numFmtId="0" fontId="24" fillId="0" borderId="0" xfId="0" applyFont="1" applyAlignment="1">
      <alignment horizontal="center"/>
    </xf>
    <xf numFmtId="38" fontId="67" fillId="18" borderId="75" xfId="0" applyNumberFormat="1" applyFont="1" applyFill="1" applyBorder="1" applyAlignment="1">
      <alignment horizontal="center" vertical="center"/>
    </xf>
    <xf numFmtId="38" fontId="68" fillId="15" borderId="75" xfId="0" applyNumberFormat="1" applyFont="1" applyFill="1" applyBorder="1" applyAlignment="1">
      <alignment horizontal="center" vertical="center"/>
    </xf>
    <xf numFmtId="3" fontId="71" fillId="0" borderId="75" xfId="0" applyNumberFormat="1" applyFont="1" applyBorder="1" applyAlignment="1">
      <alignment vertical="center" wrapText="1"/>
    </xf>
    <xf numFmtId="38" fontId="67" fillId="6" borderId="83" xfId="0" applyNumberFormat="1" applyFont="1" applyFill="1" applyBorder="1" applyAlignment="1">
      <alignment horizontal="center" vertical="center"/>
    </xf>
    <xf numFmtId="38" fontId="68" fillId="11" borderId="87" xfId="0" applyNumberFormat="1" applyFont="1" applyFill="1" applyBorder="1" applyAlignment="1">
      <alignment horizontal="center" vertical="center"/>
    </xf>
    <xf numFmtId="38" fontId="67" fillId="14" borderId="62" xfId="0" applyNumberFormat="1" applyFont="1" applyFill="1" applyBorder="1" applyAlignment="1">
      <alignment horizontal="center" vertical="center"/>
    </xf>
    <xf numFmtId="38" fontId="67" fillId="14" borderId="64" xfId="0" applyNumberFormat="1" applyFont="1" applyFill="1" applyBorder="1" applyAlignment="1">
      <alignment horizontal="center" vertical="center"/>
    </xf>
    <xf numFmtId="38" fontId="33" fillId="23" borderId="64" xfId="0" applyNumberFormat="1" applyFont="1" applyFill="1" applyBorder="1"/>
    <xf numFmtId="38" fontId="67" fillId="0" borderId="77" xfId="0" applyNumberFormat="1" applyFont="1" applyBorder="1" applyAlignment="1">
      <alignment horizontal="center"/>
    </xf>
    <xf numFmtId="6" fontId="33" fillId="0" borderId="65" xfId="6" applyFont="1" applyBorder="1" applyAlignment="1">
      <alignment vertical="center"/>
    </xf>
    <xf numFmtId="6" fontId="33" fillId="0" borderId="46" xfId="6" applyFont="1" applyBorder="1" applyAlignment="1">
      <alignment vertical="center"/>
    </xf>
    <xf numFmtId="38" fontId="68" fillId="20" borderId="66" xfId="0" applyNumberFormat="1" applyFont="1" applyFill="1" applyBorder="1" applyAlignment="1">
      <alignment horizontal="center" vertical="center"/>
    </xf>
    <xf numFmtId="177" fontId="74" fillId="31" borderId="64" xfId="0" applyNumberFormat="1" applyFont="1" applyFill="1" applyBorder="1" applyAlignment="1">
      <alignment horizontal="center" vertical="center" shrinkToFit="1"/>
    </xf>
    <xf numFmtId="3" fontId="78" fillId="11" borderId="64" xfId="0" applyNumberFormat="1" applyFont="1" applyFill="1" applyBorder="1" applyAlignment="1">
      <alignment vertical="center" wrapText="1"/>
    </xf>
    <xf numFmtId="38" fontId="73" fillId="11" borderId="83" xfId="0" applyNumberFormat="1" applyFont="1" applyFill="1" applyBorder="1" applyAlignment="1">
      <alignment vertical="center"/>
    </xf>
    <xf numFmtId="3" fontId="73" fillId="11" borderId="59" xfId="0" applyNumberFormat="1" applyFont="1" applyFill="1" applyBorder="1" applyAlignment="1">
      <alignment vertical="center" wrapText="1" readingOrder="1"/>
    </xf>
    <xf numFmtId="38" fontId="81" fillId="0" borderId="3" xfId="0" applyNumberFormat="1" applyFont="1" applyBorder="1" applyAlignment="1">
      <alignment shrinkToFit="1"/>
    </xf>
    <xf numFmtId="38" fontId="31" fillId="24" borderId="3" xfId="0" applyNumberFormat="1" applyFont="1" applyFill="1" applyBorder="1" applyAlignment="1">
      <alignment shrinkToFit="1"/>
    </xf>
    <xf numFmtId="38" fontId="73" fillId="29" borderId="59" xfId="0" applyNumberFormat="1" applyFont="1" applyFill="1" applyBorder="1" applyAlignment="1">
      <alignment vertical="center"/>
    </xf>
    <xf numFmtId="3" fontId="78" fillId="29" borderId="82" xfId="0" applyNumberFormat="1" applyFont="1" applyFill="1" applyBorder="1" applyAlignment="1">
      <alignment vertical="center" wrapText="1"/>
    </xf>
    <xf numFmtId="3" fontId="78" fillId="29" borderId="59" xfId="0" applyNumberFormat="1" applyFont="1" applyFill="1" applyBorder="1" applyAlignment="1">
      <alignment vertical="center" wrapText="1"/>
    </xf>
    <xf numFmtId="0" fontId="33" fillId="0" borderId="59" xfId="0" applyFont="1" applyBorder="1" applyAlignment="1">
      <alignment vertical="center"/>
    </xf>
    <xf numFmtId="6" fontId="33" fillId="0" borderId="0" xfId="6" applyFont="1" applyAlignment="1">
      <alignment vertical="center"/>
    </xf>
    <xf numFmtId="38" fontId="67" fillId="14" borderId="75" xfId="0" applyNumberFormat="1" applyFont="1" applyFill="1" applyBorder="1" applyAlignment="1">
      <alignment horizontal="center" vertical="center"/>
    </xf>
    <xf numFmtId="38" fontId="68" fillId="20" borderId="73" xfId="0" applyNumberFormat="1" applyFont="1" applyFill="1" applyBorder="1" applyAlignment="1">
      <alignment horizontal="center" vertical="center"/>
    </xf>
    <xf numFmtId="38" fontId="77" fillId="0" borderId="46" xfId="0" applyNumberFormat="1" applyFont="1" applyBorder="1" applyAlignment="1">
      <alignment horizontal="center"/>
    </xf>
    <xf numFmtId="38" fontId="67" fillId="14" borderId="61" xfId="0" applyNumberFormat="1" applyFont="1" applyFill="1" applyBorder="1" applyAlignment="1">
      <alignment horizontal="center" vertical="center"/>
    </xf>
    <xf numFmtId="38" fontId="68" fillId="20" borderId="61" xfId="0" applyNumberFormat="1" applyFont="1" applyFill="1" applyBorder="1" applyAlignment="1">
      <alignment horizontal="center" vertical="center"/>
    </xf>
    <xf numFmtId="38" fontId="33" fillId="23" borderId="61" xfId="0" applyNumberFormat="1" applyFont="1" applyFill="1" applyBorder="1"/>
    <xf numFmtId="38" fontId="68" fillId="20" borderId="75" xfId="0" applyNumberFormat="1" applyFont="1" applyFill="1" applyBorder="1" applyAlignment="1">
      <alignment horizontal="center" vertical="center"/>
    </xf>
    <xf numFmtId="38" fontId="67" fillId="0" borderId="119" xfId="1" applyFont="1" applyBorder="1" applyAlignment="1">
      <alignment vertical="center"/>
    </xf>
    <xf numFmtId="38" fontId="67" fillId="0" borderId="85" xfId="0" applyNumberFormat="1" applyFont="1" applyBorder="1" applyAlignment="1">
      <alignment horizontal="center"/>
    </xf>
    <xf numFmtId="177" fontId="67" fillId="0" borderId="85" xfId="2" applyNumberFormat="1" applyFont="1" applyBorder="1" applyAlignment="1">
      <alignment vertical="center"/>
    </xf>
    <xf numFmtId="0" fontId="67" fillId="0" borderId="91" xfId="0" applyFont="1" applyBorder="1" applyAlignment="1">
      <alignment vertical="center"/>
    </xf>
    <xf numFmtId="38" fontId="67" fillId="14" borderId="120" xfId="0" applyNumberFormat="1" applyFont="1" applyFill="1" applyBorder="1" applyAlignment="1">
      <alignment horizontal="center" vertical="center"/>
    </xf>
    <xf numFmtId="38" fontId="67" fillId="0" borderId="81" xfId="0" applyNumberFormat="1" applyFont="1" applyBorder="1" applyAlignment="1">
      <alignment horizontal="center" vertical="center"/>
    </xf>
    <xf numFmtId="38" fontId="33" fillId="23" borderId="75" xfId="0" applyNumberFormat="1" applyFont="1" applyFill="1" applyBorder="1"/>
    <xf numFmtId="0" fontId="11" fillId="32" borderId="0" xfId="0" applyFont="1" applyFill="1"/>
    <xf numFmtId="38" fontId="73" fillId="11" borderId="109" xfId="0" applyNumberFormat="1" applyFont="1" applyFill="1" applyBorder="1" applyAlignment="1">
      <alignment vertical="center"/>
    </xf>
    <xf numFmtId="0" fontId="54" fillId="9" borderId="66" xfId="0" applyFont="1" applyFill="1" applyBorder="1" applyAlignment="1">
      <alignment horizontal="center"/>
    </xf>
    <xf numFmtId="0" fontId="54" fillId="9" borderId="10" xfId="0" applyFont="1" applyFill="1" applyBorder="1" applyAlignment="1">
      <alignment horizontal="center"/>
    </xf>
    <xf numFmtId="0" fontId="54" fillId="9" borderId="121" xfId="0" applyFont="1" applyFill="1" applyBorder="1" applyAlignment="1">
      <alignment horizontal="center"/>
    </xf>
    <xf numFmtId="0" fontId="40" fillId="0" borderId="46" xfId="0" applyFont="1" applyBorder="1"/>
    <xf numFmtId="38" fontId="61" fillId="0" borderId="46" xfId="1" applyFont="1" applyBorder="1" applyAlignment="1">
      <alignment vertical="center"/>
    </xf>
    <xf numFmtId="177" fontId="73" fillId="0" borderId="81" xfId="2" applyNumberFormat="1" applyFont="1" applyBorder="1" applyAlignment="1">
      <alignment vertical="center"/>
    </xf>
    <xf numFmtId="38" fontId="67" fillId="14" borderId="60" xfId="0" applyNumberFormat="1" applyFont="1" applyFill="1" applyBorder="1" applyAlignment="1">
      <alignment horizontal="center" vertical="center"/>
    </xf>
    <xf numFmtId="38" fontId="77" fillId="0" borderId="0" xfId="0" applyNumberFormat="1" applyFont="1" applyAlignment="1">
      <alignment horizontal="center"/>
    </xf>
    <xf numFmtId="38" fontId="73" fillId="25" borderId="62" xfId="0" applyNumberFormat="1" applyFont="1" applyFill="1" applyBorder="1" applyAlignment="1">
      <alignment vertical="center"/>
    </xf>
    <xf numFmtId="38" fontId="73" fillId="25" borderId="75" xfId="0" applyNumberFormat="1" applyFont="1" applyFill="1" applyBorder="1" applyAlignment="1">
      <alignment vertical="center"/>
    </xf>
    <xf numFmtId="3" fontId="78" fillId="25" borderId="82" xfId="0" applyNumberFormat="1" applyFont="1" applyFill="1" applyBorder="1" applyAlignment="1">
      <alignment vertical="center" wrapText="1"/>
    </xf>
    <xf numFmtId="3" fontId="80" fillId="25" borderId="82" xfId="0" applyNumberFormat="1" applyFont="1" applyFill="1" applyBorder="1" applyAlignment="1">
      <alignment vertical="center" wrapText="1"/>
    </xf>
    <xf numFmtId="3" fontId="78" fillId="25" borderId="61" xfId="0" applyNumberFormat="1" applyFont="1" applyFill="1" applyBorder="1" applyAlignment="1">
      <alignment vertical="center" wrapText="1"/>
    </xf>
    <xf numFmtId="3" fontId="73" fillId="25" borderId="59" xfId="0" applyNumberFormat="1" applyFont="1" applyFill="1" applyBorder="1" applyAlignment="1">
      <alignment vertical="center" wrapText="1" readingOrder="1"/>
    </xf>
    <xf numFmtId="38" fontId="73" fillId="25" borderId="83" xfId="0" applyNumberFormat="1" applyFont="1" applyFill="1" applyBorder="1" applyAlignment="1">
      <alignment vertical="center"/>
    </xf>
    <xf numFmtId="177" fontId="73" fillId="0" borderId="60" xfId="2" applyNumberFormat="1" applyFont="1" applyBorder="1" applyAlignment="1">
      <alignment vertical="center"/>
    </xf>
    <xf numFmtId="0" fontId="8" fillId="0" borderId="97" xfId="0" applyFont="1" applyBorder="1" applyAlignment="1">
      <alignment shrinkToFit="1"/>
    </xf>
    <xf numFmtId="181" fontId="34" fillId="0" borderId="22" xfId="0" applyNumberFormat="1" applyFont="1" applyBorder="1" applyAlignment="1">
      <alignment horizontal="center" shrinkToFit="1"/>
    </xf>
    <xf numFmtId="181" fontId="34" fillId="0" borderId="63" xfId="0" applyNumberFormat="1" applyFont="1" applyBorder="1" applyAlignment="1">
      <alignment horizontal="center" shrinkToFit="1"/>
    </xf>
    <xf numFmtId="0" fontId="8" fillId="0" borderId="122" xfId="0" applyFont="1" applyBorder="1" applyAlignment="1">
      <alignment shrinkToFit="1"/>
    </xf>
    <xf numFmtId="181" fontId="34" fillId="0" borderId="30" xfId="0" applyNumberFormat="1" applyFont="1" applyBorder="1" applyAlignment="1">
      <alignment horizontal="center" shrinkToFit="1"/>
    </xf>
    <xf numFmtId="3" fontId="78" fillId="25" borderId="75" xfId="0" applyNumberFormat="1" applyFont="1" applyFill="1" applyBorder="1" applyAlignment="1">
      <alignment vertical="center" wrapText="1"/>
    </xf>
    <xf numFmtId="38" fontId="8" fillId="33" borderId="37" xfId="0" applyNumberFormat="1" applyFont="1" applyFill="1" applyBorder="1" applyAlignment="1">
      <alignment shrinkToFit="1"/>
    </xf>
    <xf numFmtId="0" fontId="11" fillId="0" borderId="0" xfId="0" applyFont="1" applyAlignment="1">
      <alignment horizontal="center"/>
    </xf>
    <xf numFmtId="9" fontId="82" fillId="24" borderId="59" xfId="2" applyFont="1" applyFill="1" applyBorder="1" applyAlignment="1">
      <alignment horizontal="center" vertical="center" shrinkToFit="1"/>
    </xf>
    <xf numFmtId="38" fontId="83" fillId="24" borderId="59" xfId="5" applyFont="1" applyFill="1" applyBorder="1" applyAlignment="1">
      <alignment horizontal="center" vertical="center"/>
    </xf>
    <xf numFmtId="38" fontId="67" fillId="0" borderId="64" xfId="1" applyFont="1" applyBorder="1" applyAlignment="1">
      <alignment horizontal="center" vertical="center"/>
    </xf>
    <xf numFmtId="38" fontId="67" fillId="0" borderId="92" xfId="1" applyFont="1" applyBorder="1" applyAlignment="1">
      <alignment vertical="center"/>
    </xf>
    <xf numFmtId="38" fontId="67" fillId="0" borderId="85" xfId="1" applyFont="1" applyBorder="1" applyAlignment="1">
      <alignment vertical="center"/>
    </xf>
    <xf numFmtId="38" fontId="67" fillId="0" borderId="86" xfId="1" applyFont="1" applyBorder="1" applyAlignment="1">
      <alignment vertical="center"/>
    </xf>
    <xf numFmtId="38" fontId="67" fillId="0" borderId="0" xfId="1" applyFont="1" applyAlignment="1">
      <alignment vertical="center"/>
    </xf>
    <xf numFmtId="38" fontId="67" fillId="0" borderId="87" xfId="1" applyFont="1" applyBorder="1" applyAlignment="1">
      <alignment vertical="center"/>
    </xf>
    <xf numFmtId="38" fontId="71" fillId="0" borderId="59" xfId="1" applyFont="1" applyBorder="1" applyAlignment="1">
      <alignment vertical="center" wrapText="1"/>
    </xf>
    <xf numFmtId="5" fontId="72" fillId="0" borderId="59" xfId="0" applyNumberFormat="1" applyFont="1" applyBorder="1" applyAlignment="1">
      <alignment horizontal="center" vertical="center"/>
    </xf>
    <xf numFmtId="38" fontId="33" fillId="0" borderId="0" xfId="0" applyNumberFormat="1" applyFont="1" applyAlignment="1">
      <alignment vertical="center"/>
    </xf>
    <xf numFmtId="38" fontId="68" fillId="11" borderId="66" xfId="0" applyNumberFormat="1" applyFont="1" applyFill="1" applyBorder="1" applyAlignment="1">
      <alignment horizontal="center" vertical="center"/>
    </xf>
    <xf numFmtId="38" fontId="67" fillId="0" borderId="66" xfId="0" applyNumberFormat="1" applyFont="1" applyBorder="1" applyAlignment="1">
      <alignment horizontal="center" vertical="center"/>
    </xf>
    <xf numFmtId="38" fontId="68" fillId="0" borderId="66" xfId="0" applyNumberFormat="1" applyFont="1" applyBorder="1" applyAlignment="1">
      <alignment horizontal="center" vertical="center"/>
    </xf>
    <xf numFmtId="38" fontId="67" fillId="0" borderId="66" xfId="1" applyFont="1" applyBorder="1" applyAlignment="1">
      <alignment vertical="center"/>
    </xf>
    <xf numFmtId="38" fontId="33" fillId="23" borderId="66" xfId="0" applyNumberFormat="1" applyFont="1" applyFill="1" applyBorder="1"/>
    <xf numFmtId="38" fontId="67" fillId="0" borderId="66" xfId="0" applyNumberFormat="1" applyFont="1" applyBorder="1" applyAlignment="1">
      <alignment horizontal="center"/>
    </xf>
    <xf numFmtId="3" fontId="78" fillId="25" borderId="66" xfId="0" applyNumberFormat="1" applyFont="1" applyFill="1" applyBorder="1" applyAlignment="1">
      <alignment vertical="center" wrapText="1"/>
    </xf>
    <xf numFmtId="177" fontId="73" fillId="11" borderId="66" xfId="2" applyNumberFormat="1" applyFont="1" applyFill="1" applyBorder="1" applyAlignment="1">
      <alignment vertical="center"/>
    </xf>
    <xf numFmtId="38" fontId="67" fillId="27" borderId="61" xfId="0" applyNumberFormat="1" applyFont="1" applyFill="1" applyBorder="1" applyAlignment="1">
      <alignment horizontal="center" vertical="center"/>
    </xf>
    <xf numFmtId="38" fontId="67" fillId="20" borderId="64" xfId="0" applyNumberFormat="1" applyFont="1" applyFill="1" applyBorder="1" applyAlignment="1">
      <alignment horizontal="center" vertical="center"/>
    </xf>
    <xf numFmtId="38" fontId="33" fillId="23" borderId="92" xfId="0" applyNumberFormat="1" applyFont="1" applyFill="1" applyBorder="1"/>
    <xf numFmtId="181" fontId="8" fillId="13" borderId="22" xfId="0" applyNumberFormat="1" applyFont="1" applyFill="1" applyBorder="1" applyAlignment="1">
      <alignment horizontal="center" shrinkToFit="1"/>
    </xf>
    <xf numFmtId="0" fontId="8" fillId="13" borderId="23" xfId="0" applyFont="1" applyFill="1" applyBorder="1" applyAlignment="1">
      <alignment shrinkToFit="1"/>
    </xf>
    <xf numFmtId="0" fontId="8" fillId="13" borderId="38" xfId="0" applyFont="1" applyFill="1" applyBorder="1" applyAlignment="1">
      <alignment shrinkToFit="1"/>
    </xf>
    <xf numFmtId="38" fontId="8" fillId="13" borderId="38" xfId="0" applyNumberFormat="1" applyFont="1" applyFill="1" applyBorder="1" applyAlignment="1">
      <alignment shrinkToFit="1"/>
    </xf>
    <xf numFmtId="177" fontId="73" fillId="11" borderId="61" xfId="2" applyNumberFormat="1" applyFont="1" applyFill="1" applyBorder="1" applyAlignment="1">
      <alignment vertical="center"/>
    </xf>
    <xf numFmtId="181" fontId="58" fillId="0" borderId="3" xfId="0" quotePrefix="1" applyNumberFormat="1" applyFont="1" applyBorder="1" applyAlignment="1">
      <alignment horizontal="center" shrinkToFit="1"/>
    </xf>
    <xf numFmtId="38" fontId="67" fillId="27" borderId="66" xfId="0" applyNumberFormat="1" applyFont="1" applyFill="1" applyBorder="1" applyAlignment="1">
      <alignment horizontal="center" vertical="center"/>
    </xf>
    <xf numFmtId="3" fontId="78" fillId="11" borderId="66" xfId="0" applyNumberFormat="1" applyFont="1" applyFill="1" applyBorder="1" applyAlignment="1">
      <alignment vertical="center" wrapText="1"/>
    </xf>
    <xf numFmtId="38" fontId="73" fillId="11" borderId="64" xfId="0" applyNumberFormat="1" applyFont="1" applyFill="1" applyBorder="1" applyAlignment="1">
      <alignment vertical="center"/>
    </xf>
    <xf numFmtId="178" fontId="21" fillId="3" borderId="0" xfId="0" applyNumberFormat="1" applyFont="1" applyFill="1" applyAlignment="1">
      <alignment shrinkToFit="1"/>
    </xf>
    <xf numFmtId="178" fontId="19" fillId="13" borderId="1" xfId="0" applyNumberFormat="1" applyFont="1" applyFill="1" applyBorder="1" applyAlignment="1">
      <alignment horizontal="center" vertical="center"/>
    </xf>
    <xf numFmtId="181" fontId="21" fillId="0" borderId="22" xfId="0" applyNumberFormat="1" applyFont="1" applyBorder="1" applyAlignment="1">
      <alignment horizontal="center" shrinkToFit="1"/>
    </xf>
    <xf numFmtId="56" fontId="21" fillId="0" borderId="22" xfId="0" applyNumberFormat="1" applyFont="1" applyBorder="1" applyAlignment="1">
      <alignment horizontal="center" shrinkToFit="1"/>
    </xf>
    <xf numFmtId="181" fontId="21" fillId="0" borderId="71" xfId="0" applyNumberFormat="1" applyFont="1" applyBorder="1" applyAlignment="1">
      <alignment horizontal="center" shrinkToFit="1"/>
    </xf>
    <xf numFmtId="0" fontId="16" fillId="0" borderId="46" xfId="0" applyFont="1" applyBorder="1" applyAlignment="1">
      <alignment shrinkToFit="1"/>
    </xf>
    <xf numFmtId="38" fontId="16" fillId="0" borderId="46" xfId="0" applyNumberFormat="1" applyFont="1" applyBorder="1" applyAlignment="1">
      <alignment shrinkToFit="1"/>
    </xf>
    <xf numFmtId="0" fontId="67" fillId="0" borderId="46" xfId="0" applyFont="1" applyBorder="1" applyAlignment="1">
      <alignment horizontal="center" vertical="center"/>
    </xf>
    <xf numFmtId="38" fontId="67" fillId="17" borderId="46" xfId="0" applyNumberFormat="1" applyFont="1" applyFill="1" applyBorder="1" applyAlignment="1">
      <alignment horizontal="center" vertical="center"/>
    </xf>
    <xf numFmtId="38" fontId="68" fillId="15" borderId="46" xfId="0" applyNumberFormat="1" applyFont="1" applyFill="1" applyBorder="1" applyAlignment="1">
      <alignment horizontal="center" vertical="center"/>
    </xf>
    <xf numFmtId="38" fontId="68" fillId="0" borderId="46" xfId="0" applyNumberFormat="1" applyFont="1" applyBorder="1" applyAlignment="1">
      <alignment horizontal="center" vertical="center"/>
    </xf>
    <xf numFmtId="38" fontId="67" fillId="0" borderId="46" xfId="1" applyFont="1" applyBorder="1" applyAlignment="1">
      <alignment vertical="center"/>
    </xf>
    <xf numFmtId="38" fontId="33" fillId="23" borderId="46" xfId="0" applyNumberFormat="1" applyFont="1" applyFill="1" applyBorder="1"/>
    <xf numFmtId="38" fontId="67" fillId="0" borderId="46" xfId="0" applyNumberFormat="1" applyFont="1" applyBorder="1" applyAlignment="1">
      <alignment horizontal="center"/>
    </xf>
    <xf numFmtId="38" fontId="73" fillId="11" borderId="46" xfId="0" applyNumberFormat="1" applyFont="1" applyFill="1" applyBorder="1" applyAlignment="1">
      <alignment vertical="center"/>
    </xf>
    <xf numFmtId="177" fontId="73" fillId="0" borderId="46" xfId="2" applyNumberFormat="1" applyFont="1" applyBorder="1" applyAlignment="1">
      <alignment vertical="center"/>
    </xf>
    <xf numFmtId="177" fontId="67" fillId="0" borderId="46" xfId="2" applyNumberFormat="1" applyFont="1" applyBorder="1" applyAlignment="1">
      <alignment vertical="center"/>
    </xf>
    <xf numFmtId="0" fontId="40" fillId="0" borderId="66" xfId="0" applyFont="1" applyBorder="1" applyAlignment="1">
      <alignment vertical="center"/>
    </xf>
    <xf numFmtId="0" fontId="51" fillId="0" borderId="66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32" borderId="0" xfId="0" applyFont="1" applyFill="1" applyAlignment="1"/>
    <xf numFmtId="38" fontId="33" fillId="23" borderId="76" xfId="0" applyNumberFormat="1" applyFont="1" applyFill="1" applyBorder="1" applyAlignment="1"/>
    <xf numFmtId="38" fontId="33" fillId="23" borderId="77" xfId="0" applyNumberFormat="1" applyFont="1" applyFill="1" applyBorder="1" applyAlignment="1"/>
    <xf numFmtId="38" fontId="33" fillId="23" borderId="59" xfId="0" applyNumberFormat="1" applyFont="1" applyFill="1" applyBorder="1" applyAlignment="1"/>
    <xf numFmtId="38" fontId="33" fillId="23" borderId="64" xfId="0" applyNumberFormat="1" applyFont="1" applyFill="1" applyBorder="1" applyAlignment="1"/>
    <xf numFmtId="38" fontId="33" fillId="23" borderId="83" xfId="0" applyNumberFormat="1" applyFont="1" applyFill="1" applyBorder="1" applyAlignment="1"/>
    <xf numFmtId="38" fontId="33" fillId="23" borderId="81" xfId="0" applyNumberFormat="1" applyFont="1" applyFill="1" applyBorder="1" applyAlignment="1"/>
    <xf numFmtId="38" fontId="33" fillId="23" borderId="3" xfId="0" applyNumberFormat="1" applyFont="1" applyFill="1" applyBorder="1" applyAlignment="1"/>
    <xf numFmtId="38" fontId="33" fillId="23" borderId="116" xfId="0" applyNumberFormat="1" applyFont="1" applyFill="1" applyBorder="1" applyAlignment="1"/>
    <xf numFmtId="38" fontId="33" fillId="23" borderId="82" xfId="0" applyNumberFormat="1" applyFont="1" applyFill="1" applyBorder="1" applyAlignment="1"/>
    <xf numFmtId="38" fontId="33" fillId="23" borderId="61" xfId="0" applyNumberFormat="1" applyFont="1" applyFill="1" applyBorder="1" applyAlignment="1"/>
    <xf numFmtId="38" fontId="33" fillId="23" borderId="66" xfId="0" applyNumberFormat="1" applyFont="1" applyFill="1" applyBorder="1" applyAlignment="1"/>
    <xf numFmtId="38" fontId="33" fillId="23" borderId="92" xfId="0" applyNumberFormat="1" applyFont="1" applyFill="1" applyBorder="1" applyAlignment="1"/>
    <xf numFmtId="38" fontId="73" fillId="25" borderId="109" xfId="0" applyNumberFormat="1" applyFont="1" applyFill="1" applyBorder="1" applyAlignment="1">
      <alignment vertical="center"/>
    </xf>
    <xf numFmtId="38" fontId="33" fillId="23" borderId="75" xfId="0" applyNumberFormat="1" applyFont="1" applyFill="1" applyBorder="1" applyAlignment="1"/>
    <xf numFmtId="38" fontId="73" fillId="11" borderId="60" xfId="0" applyNumberFormat="1" applyFont="1" applyFill="1" applyBorder="1" applyAlignment="1">
      <alignment vertical="center"/>
    </xf>
    <xf numFmtId="0" fontId="11" fillId="2" borderId="0" xfId="0" applyFont="1" applyFill="1" applyAlignment="1"/>
    <xf numFmtId="0" fontId="8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/>
    <xf numFmtId="38" fontId="46" fillId="0" borderId="0" xfId="0" applyNumberFormat="1" applyFont="1" applyAlignment="1"/>
    <xf numFmtId="0" fontId="40" fillId="0" borderId="0" xfId="0" applyFont="1" applyAlignment="1"/>
    <xf numFmtId="0" fontId="51" fillId="0" borderId="0" xfId="0" applyFont="1" applyAlignment="1"/>
    <xf numFmtId="0" fontId="36" fillId="0" borderId="46" xfId="0" applyFont="1" applyBorder="1" applyAlignment="1">
      <alignment vertical="center"/>
    </xf>
    <xf numFmtId="181" fontId="58" fillId="0" borderId="11" xfId="0" applyNumberFormat="1" applyFont="1" applyBorder="1" applyAlignment="1">
      <alignment horizontal="center" shrinkToFit="1"/>
    </xf>
    <xf numFmtId="0" fontId="58" fillId="0" borderId="11" xfId="0" applyFont="1" applyBorder="1" applyAlignment="1">
      <alignment shrinkToFit="1"/>
    </xf>
    <xf numFmtId="38" fontId="58" fillId="0" borderId="11" xfId="0" applyNumberFormat="1" applyFont="1" applyBorder="1" applyAlignment="1">
      <alignment shrinkToFit="1"/>
    </xf>
    <xf numFmtId="180" fontId="58" fillId="0" borderId="11" xfId="0" applyNumberFormat="1" applyFont="1" applyBorder="1" applyAlignment="1">
      <alignment shrinkToFit="1"/>
    </xf>
    <xf numFmtId="38" fontId="51" fillId="0" borderId="11" xfId="0" applyNumberFormat="1" applyFont="1" applyBorder="1" applyAlignment="1">
      <alignment shrinkToFit="1"/>
    </xf>
    <xf numFmtId="38" fontId="40" fillId="0" borderId="11" xfId="0" applyNumberFormat="1" applyFont="1" applyBorder="1" applyAlignment="1">
      <alignment shrinkToFit="1"/>
    </xf>
    <xf numFmtId="0" fontId="36" fillId="0" borderId="5" xfId="0" applyFont="1" applyBorder="1" applyAlignment="1">
      <alignment vertical="center"/>
    </xf>
    <xf numFmtId="0" fontId="36" fillId="0" borderId="2" xfId="0" applyFont="1" applyBorder="1" applyAlignment="1">
      <alignment vertical="center"/>
    </xf>
    <xf numFmtId="38" fontId="36" fillId="0" borderId="2" xfId="0" applyNumberFormat="1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16" fillId="9" borderId="6" xfId="0" applyFont="1" applyFill="1" applyBorder="1" applyAlignment="1">
      <alignment horizontal="center" vertical="center"/>
    </xf>
    <xf numFmtId="0" fontId="16" fillId="12" borderId="0" xfId="0" applyFont="1" applyFill="1" applyAlignment="1"/>
    <xf numFmtId="0" fontId="16" fillId="0" borderId="0" xfId="0" applyFont="1" applyAlignment="1"/>
    <xf numFmtId="0" fontId="19" fillId="11" borderId="0" xfId="0" applyFont="1" applyFill="1" applyAlignment="1"/>
    <xf numFmtId="0" fontId="0" fillId="0" borderId="0" xfId="0" applyAlignment="1">
      <alignment vertical="center"/>
    </xf>
    <xf numFmtId="0" fontId="62" fillId="5" borderId="0" xfId="0" applyFont="1" applyFill="1" applyAlignment="1"/>
    <xf numFmtId="0" fontId="63" fillId="0" borderId="0" xfId="0" applyFont="1" applyAlignment="1"/>
    <xf numFmtId="0" fontId="62" fillId="28" borderId="0" xfId="0" applyFont="1" applyFill="1" applyAlignment="1"/>
    <xf numFmtId="176" fontId="63" fillId="0" borderId="38" xfId="0" applyNumberFormat="1" applyFont="1" applyBorder="1" applyAlignment="1"/>
    <xf numFmtId="176" fontId="63" fillId="0" borderId="20" xfId="0" applyNumberFormat="1" applyFont="1" applyBorder="1" applyAlignment="1"/>
    <xf numFmtId="176" fontId="63" fillId="0" borderId="103" xfId="0" applyNumberFormat="1" applyFont="1" applyBorder="1" applyAlignment="1"/>
    <xf numFmtId="0" fontId="63" fillId="0" borderId="39" xfId="0" applyFont="1" applyBorder="1" applyAlignment="1"/>
    <xf numFmtId="176" fontId="63" fillId="0" borderId="23" xfId="0" applyNumberFormat="1" applyFont="1" applyBorder="1" applyAlignment="1"/>
    <xf numFmtId="176" fontId="63" fillId="0" borderId="35" xfId="0" applyNumberFormat="1" applyFont="1" applyBorder="1" applyAlignment="1"/>
    <xf numFmtId="0" fontId="63" fillId="0" borderId="44" xfId="0" applyFont="1" applyBorder="1" applyAlignment="1"/>
    <xf numFmtId="176" fontId="63" fillId="0" borderId="28" xfId="0" applyNumberFormat="1" applyFont="1" applyBorder="1" applyAlignment="1"/>
    <xf numFmtId="176" fontId="63" fillId="0" borderId="14" xfId="0" applyNumberFormat="1" applyFont="1" applyBorder="1" applyAlignment="1"/>
    <xf numFmtId="176" fontId="63" fillId="0" borderId="26" xfId="0" applyNumberFormat="1" applyFont="1" applyBorder="1" applyAlignment="1"/>
    <xf numFmtId="176" fontId="63" fillId="0" borderId="105" xfId="0" applyNumberFormat="1" applyFont="1" applyBorder="1" applyAlignment="1"/>
    <xf numFmtId="0" fontId="63" fillId="0" borderId="15" xfId="0" applyFont="1" applyBorder="1" applyAlignment="1"/>
    <xf numFmtId="176" fontId="63" fillId="0" borderId="96" xfId="0" applyNumberFormat="1" applyFont="1" applyBorder="1" applyAlignment="1"/>
    <xf numFmtId="176" fontId="63" fillId="0" borderId="95" xfId="0" applyNumberFormat="1" applyFont="1" applyBorder="1" applyAlignment="1"/>
    <xf numFmtId="176" fontId="63" fillId="0" borderId="107" xfId="0" applyNumberFormat="1" applyFont="1" applyBorder="1" applyAlignment="1"/>
    <xf numFmtId="0" fontId="63" fillId="0" borderId="25" xfId="0" applyFont="1" applyBorder="1" applyAlignment="1"/>
    <xf numFmtId="3" fontId="63" fillId="0" borderId="15" xfId="0" applyNumberFormat="1" applyFont="1" applyBorder="1" applyAlignment="1"/>
    <xf numFmtId="10" fontId="7" fillId="0" borderId="0" xfId="0" applyNumberFormat="1" applyFont="1" applyAlignment="1"/>
    <xf numFmtId="38" fontId="51" fillId="12" borderId="3" xfId="0" applyNumberFormat="1" applyFont="1" applyFill="1" applyBorder="1" applyAlignment="1">
      <alignment shrinkToFit="1"/>
    </xf>
    <xf numFmtId="38" fontId="67" fillId="0" borderId="91" xfId="0" applyNumberFormat="1" applyFont="1" applyBorder="1" applyAlignment="1">
      <alignment horizontal="center" vertical="center"/>
    </xf>
    <xf numFmtId="38" fontId="68" fillId="20" borderId="83" xfId="0" applyNumberFormat="1" applyFont="1" applyFill="1" applyBorder="1" applyAlignment="1">
      <alignment horizontal="center" vertical="center"/>
    </xf>
    <xf numFmtId="38" fontId="67" fillId="0" borderId="85" xfId="0" applyNumberFormat="1" applyFont="1" applyBorder="1" applyAlignment="1">
      <alignment horizontal="center" vertical="center"/>
    </xf>
    <xf numFmtId="38" fontId="33" fillId="23" borderId="85" xfId="0" applyNumberFormat="1" applyFont="1" applyFill="1" applyBorder="1"/>
    <xf numFmtId="38" fontId="67" fillId="34" borderId="59" xfId="0" applyNumberFormat="1" applyFont="1" applyFill="1" applyBorder="1" applyAlignment="1">
      <alignment horizontal="center" vertical="center"/>
    </xf>
    <xf numFmtId="38" fontId="67" fillId="34" borderId="62" xfId="0" applyNumberFormat="1" applyFont="1" applyFill="1" applyBorder="1" applyAlignment="1">
      <alignment horizontal="center" vertical="center"/>
    </xf>
    <xf numFmtId="38" fontId="67" fillId="34" borderId="75" xfId="0" applyNumberFormat="1" applyFont="1" applyFill="1" applyBorder="1" applyAlignment="1">
      <alignment horizontal="center" vertical="center"/>
    </xf>
    <xf numFmtId="38" fontId="67" fillId="34" borderId="83" xfId="0" applyNumberFormat="1" applyFont="1" applyFill="1" applyBorder="1" applyAlignment="1">
      <alignment horizontal="center" vertical="center"/>
    </xf>
    <xf numFmtId="3" fontId="78" fillId="25" borderId="64" xfId="0" applyNumberFormat="1" applyFont="1" applyFill="1" applyBorder="1" applyAlignment="1">
      <alignment vertical="center" wrapText="1"/>
    </xf>
    <xf numFmtId="38" fontId="33" fillId="23" borderId="85" xfId="0" applyNumberFormat="1" applyFont="1" applyFill="1" applyBorder="1" applyAlignment="1"/>
    <xf numFmtId="38" fontId="67" fillId="0" borderId="89" xfId="1" applyFont="1" applyBorder="1" applyAlignment="1">
      <alignment vertical="center"/>
    </xf>
    <xf numFmtId="0" fontId="0" fillId="0" borderId="0" xfId="0" applyAlignment="1">
      <alignment vertical="center"/>
    </xf>
    <xf numFmtId="177" fontId="60" fillId="0" borderId="0" xfId="0" applyNumberFormat="1" applyFont="1" applyAlignment="1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58" fillId="0" borderId="121" xfId="0" applyFont="1" applyBorder="1" applyAlignment="1">
      <alignment shrinkToFit="1"/>
    </xf>
    <xf numFmtId="0" fontId="58" fillId="0" borderId="123" xfId="0" applyFont="1" applyBorder="1" applyAlignment="1">
      <alignment shrinkToFit="1"/>
    </xf>
    <xf numFmtId="38" fontId="61" fillId="0" borderId="59" xfId="1" applyFont="1" applyBorder="1" applyAlignment="1">
      <alignment vertical="center"/>
    </xf>
    <xf numFmtId="181" fontId="58" fillId="0" borderId="3" xfId="0" applyNumberFormat="1" applyFont="1" applyFill="1" applyBorder="1" applyAlignment="1">
      <alignment horizontal="center" shrinkToFit="1"/>
    </xf>
    <xf numFmtId="0" fontId="58" fillId="24" borderId="121" xfId="0" applyFont="1" applyFill="1" applyBorder="1" applyAlignment="1">
      <alignment shrinkToFit="1"/>
    </xf>
    <xf numFmtId="0" fontId="58" fillId="24" borderId="3" xfId="0" applyFont="1" applyFill="1" applyBorder="1" applyAlignment="1">
      <alignment shrinkToFit="1"/>
    </xf>
    <xf numFmtId="0" fontId="58" fillId="0" borderId="3" xfId="0" applyFont="1" applyFill="1" applyBorder="1" applyAlignment="1">
      <alignment shrinkToFit="1"/>
    </xf>
    <xf numFmtId="0" fontId="58" fillId="0" borderId="121" xfId="0" applyFont="1" applyFill="1" applyBorder="1" applyAlignment="1">
      <alignment shrinkToFit="1"/>
    </xf>
    <xf numFmtId="38" fontId="87" fillId="0" borderId="3" xfId="0" applyNumberFormat="1" applyFont="1" applyBorder="1" applyAlignment="1">
      <alignment shrinkToFit="1"/>
    </xf>
    <xf numFmtId="38" fontId="88" fillId="0" borderId="3" xfId="0" applyNumberFormat="1" applyFont="1" applyBorder="1" applyAlignment="1">
      <alignment shrinkToFit="1"/>
    </xf>
    <xf numFmtId="38" fontId="67" fillId="0" borderId="59" xfId="1" applyFont="1" applyBorder="1" applyAlignment="1">
      <alignment horizontal="center" vertical="center"/>
    </xf>
    <xf numFmtId="38" fontId="67" fillId="0" borderId="94" xfId="1" applyFont="1" applyBorder="1" applyAlignment="1">
      <alignment vertical="center"/>
    </xf>
    <xf numFmtId="177" fontId="73" fillId="0" borderId="62" xfId="2" applyNumberFormat="1" applyFont="1" applyBorder="1" applyAlignment="1">
      <alignment vertical="center"/>
    </xf>
    <xf numFmtId="5" fontId="68" fillId="0" borderId="46" xfId="0" applyNumberFormat="1" applyFont="1" applyBorder="1" applyAlignment="1">
      <alignment horizontal="center" vertical="center"/>
    </xf>
    <xf numFmtId="38" fontId="67" fillId="0" borderId="46" xfId="1" applyFont="1" applyBorder="1" applyAlignment="1">
      <alignment horizontal="center" vertical="center"/>
    </xf>
    <xf numFmtId="9" fontId="68" fillId="0" borderId="46" xfId="2" applyFont="1" applyBorder="1" applyAlignment="1">
      <alignment horizontal="left" vertical="center"/>
    </xf>
    <xf numFmtId="38" fontId="67" fillId="0" borderId="76" xfId="1" applyFont="1" applyBorder="1" applyAlignment="1">
      <alignment vertical="center"/>
    </xf>
    <xf numFmtId="38" fontId="67" fillId="0" borderId="46" xfId="0" applyNumberFormat="1" applyFont="1" applyBorder="1" applyAlignment="1">
      <alignment vertical="center"/>
    </xf>
    <xf numFmtId="177" fontId="73" fillId="11" borderId="60" xfId="2" applyNumberFormat="1" applyFont="1" applyFill="1" applyBorder="1" applyAlignment="1">
      <alignment vertical="center"/>
    </xf>
    <xf numFmtId="177" fontId="73" fillId="0" borderId="120" xfId="2" applyNumberFormat="1" applyFont="1" applyBorder="1" applyAlignment="1">
      <alignment vertical="center"/>
    </xf>
    <xf numFmtId="0" fontId="67" fillId="0" borderId="46" xfId="0" applyFont="1" applyBorder="1" applyAlignment="1">
      <alignment vertical="center"/>
    </xf>
    <xf numFmtId="0" fontId="69" fillId="0" borderId="46" xfId="0" applyFont="1" applyBorder="1" applyAlignment="1">
      <alignment horizontal="center" vertical="center"/>
    </xf>
    <xf numFmtId="177" fontId="73" fillId="11" borderId="124" xfId="2" applyNumberFormat="1" applyFont="1" applyFill="1" applyBorder="1" applyAlignment="1">
      <alignment vertical="center"/>
    </xf>
    <xf numFmtId="38" fontId="67" fillId="30" borderId="61" xfId="0" applyNumberFormat="1" applyFont="1" applyFill="1" applyBorder="1" applyAlignment="1">
      <alignment horizontal="center" vertical="center"/>
    </xf>
    <xf numFmtId="38" fontId="67" fillId="0" borderId="62" xfId="0" applyNumberFormat="1" applyFont="1" applyBorder="1" applyAlignment="1">
      <alignment horizontal="center" vertical="center"/>
    </xf>
    <xf numFmtId="38" fontId="67" fillId="30" borderId="85" xfId="0" applyNumberFormat="1" applyFont="1" applyFill="1" applyBorder="1" applyAlignment="1">
      <alignment horizontal="center" vertical="center"/>
    </xf>
    <xf numFmtId="177" fontId="73" fillId="11" borderId="109" xfId="2" applyNumberFormat="1" applyFont="1" applyFill="1" applyBorder="1" applyAlignment="1">
      <alignment vertical="center"/>
    </xf>
    <xf numFmtId="38" fontId="67" fillId="35" borderId="83" xfId="0" applyNumberFormat="1" applyFont="1" applyFill="1" applyBorder="1" applyAlignment="1">
      <alignment horizontal="center" vertical="center"/>
    </xf>
    <xf numFmtId="38" fontId="67" fillId="17" borderId="121" xfId="0" applyNumberFormat="1" applyFont="1" applyFill="1" applyBorder="1" applyAlignment="1">
      <alignment horizontal="center" vertical="center"/>
    </xf>
    <xf numFmtId="38" fontId="68" fillId="11" borderId="77" xfId="0" applyNumberFormat="1" applyFont="1" applyFill="1" applyBorder="1" applyAlignment="1">
      <alignment horizontal="center" vertical="center"/>
    </xf>
    <xf numFmtId="38" fontId="67" fillId="0" borderId="77" xfId="1" applyFont="1" applyBorder="1" applyAlignment="1">
      <alignment vertical="center"/>
    </xf>
    <xf numFmtId="38" fontId="73" fillId="25" borderId="61" xfId="0" applyNumberFormat="1" applyFont="1" applyFill="1" applyBorder="1" applyAlignment="1">
      <alignment vertical="center"/>
    </xf>
    <xf numFmtId="0" fontId="68" fillId="0" borderId="46" xfId="0" applyFont="1" applyBorder="1" applyAlignment="1">
      <alignment horizontal="center" vertical="center"/>
    </xf>
    <xf numFmtId="38" fontId="89" fillId="0" borderId="64" xfId="0" applyNumberFormat="1" applyFont="1" applyBorder="1" applyAlignment="1">
      <alignment horizontal="center"/>
    </xf>
    <xf numFmtId="38" fontId="70" fillId="0" borderId="64" xfId="0" applyNumberFormat="1" applyFont="1" applyBorder="1" applyAlignment="1">
      <alignment horizontal="center"/>
    </xf>
    <xf numFmtId="38" fontId="67" fillId="36" borderId="59" xfId="0" applyNumberFormat="1" applyFont="1" applyFill="1" applyBorder="1" applyAlignment="1">
      <alignment horizontal="center" vertical="center"/>
    </xf>
    <xf numFmtId="38" fontId="67" fillId="16" borderId="75" xfId="0" applyNumberFormat="1" applyFont="1" applyFill="1" applyBorder="1" applyAlignment="1">
      <alignment horizontal="center" vertical="center"/>
    </xf>
    <xf numFmtId="38" fontId="33" fillId="0" borderId="46" xfId="0" applyNumberFormat="1" applyFont="1" applyBorder="1" applyAlignment="1">
      <alignment vertical="center"/>
    </xf>
    <xf numFmtId="0" fontId="33" fillId="0" borderId="46" xfId="0" applyFont="1" applyBorder="1" applyAlignment="1">
      <alignment horizontal="center" vertical="center"/>
    </xf>
    <xf numFmtId="38" fontId="73" fillId="25" borderId="82" xfId="0" applyNumberFormat="1" applyFont="1" applyFill="1" applyBorder="1" applyAlignment="1">
      <alignment vertical="center"/>
    </xf>
    <xf numFmtId="38" fontId="73" fillId="25" borderId="3" xfId="0" applyNumberFormat="1" applyFont="1" applyFill="1" applyBorder="1" applyAlignment="1">
      <alignment vertical="center"/>
    </xf>
    <xf numFmtId="38" fontId="73" fillId="25" borderId="115" xfId="0" applyNumberFormat="1" applyFont="1" applyFill="1" applyBorder="1" applyAlignment="1">
      <alignment vertical="center"/>
    </xf>
    <xf numFmtId="0" fontId="58" fillId="3" borderId="47" xfId="0" applyFont="1" applyFill="1" applyBorder="1" applyAlignment="1">
      <alignment horizontal="center" shrinkToFit="1"/>
    </xf>
    <xf numFmtId="0" fontId="19" fillId="0" borderId="0" xfId="0" applyFont="1" applyAlignment="1">
      <alignment horizontal="left"/>
    </xf>
    <xf numFmtId="0" fontId="0" fillId="0" borderId="0" xfId="0" applyAlignment="1">
      <alignment vertical="center"/>
    </xf>
    <xf numFmtId="0" fontId="11" fillId="2" borderId="40" xfId="0" applyFont="1" applyFill="1" applyBorder="1" applyAlignment="1">
      <alignment horizontal="center"/>
    </xf>
    <xf numFmtId="0" fontId="85" fillId="3" borderId="0" xfId="0" applyFont="1" applyFill="1" applyAlignment="1">
      <alignment horizontal="center" shrinkToFit="1"/>
    </xf>
    <xf numFmtId="0" fontId="11" fillId="32" borderId="4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40" xfId="0" applyFont="1" applyBorder="1" applyAlignment="1">
      <alignment horizontal="center"/>
    </xf>
    <xf numFmtId="0" fontId="24" fillId="0" borderId="46" xfId="0" applyFont="1" applyBorder="1" applyAlignment="1">
      <alignment horizontal="center"/>
    </xf>
  </cellXfs>
  <cellStyles count="7">
    <cellStyle name="パーセント" xfId="2" builtinId="5"/>
    <cellStyle name="桁区切り" xfId="1" builtinId="6"/>
    <cellStyle name="桁区切り 2" xfId="5" xr:uid="{A7E97978-8D09-494E-9F15-5ED7CE79D3E0}"/>
    <cellStyle name="通貨" xfId="6" builtinId="7"/>
    <cellStyle name="標準" xfId="0" builtinId="0"/>
    <cellStyle name="標準 2" xfId="4" xr:uid="{32873778-8AE1-4338-8485-691069259C71}"/>
    <cellStyle name="標準 2 2 2" xfId="3" xr:uid="{BDAD718E-941D-42E7-9DDD-011AB3542C52}"/>
  </cellStyles>
  <dxfs count="0"/>
  <tableStyles count="0" defaultTableStyle="TableStyleMedium2" defaultPivotStyle="PivotStyleLight16"/>
  <colors>
    <mruColors>
      <color rgb="FFC3A9F3"/>
      <color rgb="FFFF3399"/>
      <color rgb="FFBD75DD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7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customschemas.google.com/relationships/workbookmetadata" Target="metadata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149"/>
  <sheetViews>
    <sheetView tabSelected="1" topLeftCell="A113" zoomScale="85" zoomScaleNormal="85" workbookViewId="0">
      <pane xSplit="1" topLeftCell="S113" activePane="topRight" state="frozen"/>
      <selection activeCell="A370" sqref="A370"/>
      <selection pane="topRight" activeCell="R142" sqref="R142"/>
    </sheetView>
  </sheetViews>
  <sheetFormatPr defaultColWidth="11.97265625" defaultRowHeight="15.75" x14ac:dyDescent="0.2"/>
  <cols>
    <col min="1" max="1" width="14.52734375" style="555" bestFit="1" customWidth="1"/>
    <col min="2" max="2" width="18.4296875" style="394" customWidth="1"/>
    <col min="3" max="15" width="14.9296875" style="408" bestFit="1" customWidth="1"/>
    <col min="16" max="16" width="13.1796875" style="408" bestFit="1" customWidth="1"/>
    <col min="17" max="17" width="14.9296875" style="408" bestFit="1" customWidth="1"/>
    <col min="18" max="18" width="14.9296875" style="408" customWidth="1"/>
    <col min="19" max="20" width="14.2578125" style="408" bestFit="1" customWidth="1"/>
    <col min="21" max="21" width="15.19921875" style="408" bestFit="1" customWidth="1"/>
    <col min="22" max="22" width="14.9296875" style="408" bestFit="1" customWidth="1"/>
    <col min="23" max="23" width="13.1796875" style="408" bestFit="1" customWidth="1"/>
    <col min="24" max="26" width="15.19921875" style="408" bestFit="1" customWidth="1"/>
    <col min="27" max="28" width="14.9296875" style="408" bestFit="1" customWidth="1"/>
    <col min="29" max="30" width="15.19921875" style="408" bestFit="1" customWidth="1"/>
    <col min="31" max="31" width="16.41015625" style="408" bestFit="1" customWidth="1"/>
    <col min="32" max="35" width="15.19921875" style="408" bestFit="1" customWidth="1"/>
    <col min="36" max="36" width="14.9296875" style="408" bestFit="1" customWidth="1"/>
    <col min="37" max="38" width="15.19921875" style="408" bestFit="1" customWidth="1"/>
    <col min="39" max="39" width="15.19921875" style="408" customWidth="1"/>
    <col min="40" max="41" width="15.19921875" style="408" bestFit="1" customWidth="1"/>
    <col min="42" max="42" width="14.9296875" style="408" bestFit="1" customWidth="1"/>
    <col min="43" max="47" width="15.19921875" style="408" bestFit="1" customWidth="1"/>
    <col min="48" max="48" width="14.9296875" style="408" bestFit="1" customWidth="1"/>
    <col min="49" max="50" width="15.19921875" style="408" bestFit="1" customWidth="1"/>
    <col min="51" max="51" width="16.27734375" style="408" bestFit="1" customWidth="1"/>
    <col min="52" max="52" width="14.9296875" style="408" bestFit="1" customWidth="1"/>
    <col min="53" max="54" width="15.19921875" style="408" bestFit="1" customWidth="1"/>
    <col min="55" max="55" width="14.9296875" style="408" bestFit="1" customWidth="1"/>
    <col min="56" max="57" width="15.19921875" style="408" bestFit="1" customWidth="1"/>
    <col min="58" max="58" width="14.9296875" style="408" bestFit="1" customWidth="1"/>
    <col min="59" max="60" width="15.19921875" style="408" bestFit="1" customWidth="1"/>
    <col min="61" max="61" width="14.9296875" style="408" bestFit="1" customWidth="1"/>
    <col min="62" max="62" width="14.2578125" style="408" bestFit="1" customWidth="1"/>
    <col min="63" max="64" width="15.19921875" style="408" bestFit="1" customWidth="1"/>
    <col min="65" max="65" width="15.33203125" style="535" bestFit="1" customWidth="1"/>
    <col min="66" max="66" width="13.1796875" style="408" bestFit="1" customWidth="1"/>
    <col min="67" max="67" width="12.375" style="408" bestFit="1" customWidth="1"/>
    <col min="68" max="68" width="12.10546875" style="408" bestFit="1" customWidth="1"/>
    <col min="69" max="69" width="12.5078125" style="408" customWidth="1"/>
    <col min="70" max="72" width="11.97265625" style="408"/>
    <col min="73" max="73" width="11.97265625" style="408" bestFit="1" customWidth="1"/>
    <col min="74" max="16384" width="11.97265625" style="408"/>
  </cols>
  <sheetData>
    <row r="1" spans="1:69" x14ac:dyDescent="0.2">
      <c r="AZ1" s="429"/>
    </row>
    <row r="2" spans="1:69" x14ac:dyDescent="0.2">
      <c r="A2" s="556" t="s">
        <v>0</v>
      </c>
      <c r="B2" s="406">
        <f>M2+AE2+BE2+BO2+AN2+AH2+T2+AQ2</f>
        <v>32</v>
      </c>
      <c r="C2" s="406">
        <v>1</v>
      </c>
      <c r="D2" s="406">
        <v>1</v>
      </c>
      <c r="E2" s="406">
        <v>1</v>
      </c>
      <c r="F2" s="406">
        <v>1</v>
      </c>
      <c r="G2" s="406">
        <v>1</v>
      </c>
      <c r="H2" s="406">
        <v>1</v>
      </c>
      <c r="I2" s="406">
        <v>2</v>
      </c>
      <c r="J2" s="406"/>
      <c r="K2" s="406"/>
      <c r="L2" s="406"/>
      <c r="M2" s="406">
        <v>3</v>
      </c>
      <c r="N2" s="482">
        <v>1</v>
      </c>
      <c r="O2" s="406">
        <v>1</v>
      </c>
      <c r="P2" s="406">
        <v>1</v>
      </c>
      <c r="Q2" s="587">
        <v>2</v>
      </c>
      <c r="R2" s="706"/>
      <c r="S2" s="405">
        <v>3</v>
      </c>
      <c r="T2" s="575">
        <v>3</v>
      </c>
      <c r="U2" s="406">
        <v>1</v>
      </c>
      <c r="V2" s="406">
        <v>1</v>
      </c>
      <c r="W2" s="406">
        <v>1</v>
      </c>
      <c r="X2" s="406">
        <v>2</v>
      </c>
      <c r="Y2" s="406">
        <v>2</v>
      </c>
      <c r="Z2" s="405">
        <v>3</v>
      </c>
      <c r="AA2" s="406"/>
      <c r="AB2" s="405">
        <v>4</v>
      </c>
      <c r="AC2" s="406"/>
      <c r="AD2" s="407">
        <v>5</v>
      </c>
      <c r="AE2" s="406">
        <v>5</v>
      </c>
      <c r="AF2" s="483">
        <v>1</v>
      </c>
      <c r="AG2" s="484">
        <v>1</v>
      </c>
      <c r="AH2" s="485">
        <v>2</v>
      </c>
      <c r="AI2" s="414">
        <v>1</v>
      </c>
      <c r="AJ2" s="406">
        <v>1</v>
      </c>
      <c r="AK2" s="406">
        <v>2</v>
      </c>
      <c r="AL2" s="406">
        <v>2</v>
      </c>
      <c r="AM2" s="406"/>
      <c r="AN2" s="406">
        <v>2</v>
      </c>
      <c r="AO2" s="482">
        <v>1</v>
      </c>
      <c r="AP2" s="484">
        <v>2</v>
      </c>
      <c r="AQ2" s="484">
        <v>3</v>
      </c>
      <c r="AR2" s="485"/>
      <c r="AS2" s="484">
        <v>1</v>
      </c>
      <c r="AT2" s="406">
        <v>2</v>
      </c>
      <c r="AU2" s="406">
        <v>2</v>
      </c>
      <c r="AV2" s="406">
        <v>3</v>
      </c>
      <c r="AW2" s="406">
        <v>3</v>
      </c>
      <c r="AX2" s="406">
        <v>3</v>
      </c>
      <c r="AY2" s="406">
        <v>4</v>
      </c>
      <c r="AZ2" s="406">
        <v>4</v>
      </c>
      <c r="BA2" s="406">
        <v>4</v>
      </c>
      <c r="BB2" s="484">
        <v>5</v>
      </c>
      <c r="BC2" s="484">
        <v>5</v>
      </c>
      <c r="BD2" s="484">
        <v>6</v>
      </c>
      <c r="BE2" s="485">
        <v>7</v>
      </c>
      <c r="BF2" s="406">
        <v>1</v>
      </c>
      <c r="BG2" s="407">
        <v>1</v>
      </c>
      <c r="BH2" s="406">
        <v>2</v>
      </c>
      <c r="BI2" s="406">
        <v>3</v>
      </c>
      <c r="BJ2" s="406">
        <v>4</v>
      </c>
      <c r="BK2" s="406">
        <v>5</v>
      </c>
      <c r="BL2" s="406">
        <v>6</v>
      </c>
      <c r="BM2" s="406">
        <v>6</v>
      </c>
      <c r="BN2" s="406"/>
      <c r="BO2" s="485">
        <v>7</v>
      </c>
      <c r="BP2" s="537">
        <f>M2+AE2+AH2+AN2+AQ2+BE2+BO2+T2</f>
        <v>32</v>
      </c>
      <c r="BQ2" s="408" t="s">
        <v>1</v>
      </c>
    </row>
    <row r="3" spans="1:69" x14ac:dyDescent="0.2">
      <c r="A3" s="563">
        <v>45931</v>
      </c>
      <c r="B3" s="528" t="s">
        <v>2</v>
      </c>
      <c r="C3" s="422" t="s">
        <v>3</v>
      </c>
      <c r="D3" s="422" t="s">
        <v>4</v>
      </c>
      <c r="E3" s="422" t="s">
        <v>5</v>
      </c>
      <c r="F3" s="422" t="s">
        <v>6</v>
      </c>
      <c r="G3" s="422" t="s">
        <v>7</v>
      </c>
      <c r="H3" s="422" t="s">
        <v>8</v>
      </c>
      <c r="I3" s="422" t="s">
        <v>9</v>
      </c>
      <c r="J3" s="422"/>
      <c r="K3" s="423" t="s">
        <v>10</v>
      </c>
      <c r="L3" s="423"/>
      <c r="M3" s="527" t="s">
        <v>11</v>
      </c>
      <c r="N3" s="571" t="s">
        <v>12</v>
      </c>
      <c r="O3" s="572" t="s">
        <v>13</v>
      </c>
      <c r="P3" s="572" t="s">
        <v>14</v>
      </c>
      <c r="Q3" s="573" t="s">
        <v>15</v>
      </c>
      <c r="R3" s="707"/>
      <c r="S3" s="574" t="s">
        <v>16</v>
      </c>
      <c r="T3" s="576" t="s">
        <v>17</v>
      </c>
      <c r="U3" s="511" t="s">
        <v>18</v>
      </c>
      <c r="V3" s="424" t="s">
        <v>19</v>
      </c>
      <c r="W3" s="424" t="s">
        <v>20</v>
      </c>
      <c r="X3" s="424" t="s">
        <v>21</v>
      </c>
      <c r="Y3" s="424" t="s">
        <v>22</v>
      </c>
      <c r="Z3" s="424" t="s">
        <v>23</v>
      </c>
      <c r="AA3" s="424"/>
      <c r="AB3" s="424" t="s">
        <v>24</v>
      </c>
      <c r="AC3" s="525" t="s">
        <v>25</v>
      </c>
      <c r="AD3" s="436" t="s">
        <v>26</v>
      </c>
      <c r="AE3" s="525" t="s">
        <v>27</v>
      </c>
      <c r="AF3" s="494" t="s">
        <v>28</v>
      </c>
      <c r="AG3" s="495" t="s">
        <v>29</v>
      </c>
      <c r="AH3" s="608" t="s">
        <v>30</v>
      </c>
      <c r="AI3" s="605" t="s">
        <v>31</v>
      </c>
      <c r="AJ3" s="425" t="s">
        <v>32</v>
      </c>
      <c r="AK3" s="425" t="s">
        <v>33</v>
      </c>
      <c r="AL3" s="425" t="s">
        <v>34</v>
      </c>
      <c r="AM3" s="425"/>
      <c r="AN3" s="425" t="s">
        <v>35</v>
      </c>
      <c r="AO3" s="597" t="s">
        <v>36</v>
      </c>
      <c r="AP3" s="598" t="s">
        <v>37</v>
      </c>
      <c r="AQ3" s="599" t="s">
        <v>38</v>
      </c>
      <c r="AR3" s="600"/>
      <c r="AS3" s="611" t="s">
        <v>39</v>
      </c>
      <c r="AT3" s="426" t="s">
        <v>40</v>
      </c>
      <c r="AU3" s="426"/>
      <c r="AV3" s="426" t="s">
        <v>41</v>
      </c>
      <c r="AW3" s="426" t="s">
        <v>42</v>
      </c>
      <c r="AX3" s="426" t="s">
        <v>43</v>
      </c>
      <c r="AY3" s="426" t="s">
        <v>44</v>
      </c>
      <c r="AZ3" s="426" t="s">
        <v>45</v>
      </c>
      <c r="BA3" s="610" t="s">
        <v>46</v>
      </c>
      <c r="BB3" s="426" t="s">
        <v>47</v>
      </c>
      <c r="BC3" s="486" t="s">
        <v>47</v>
      </c>
      <c r="BD3" s="486" t="s">
        <v>48</v>
      </c>
      <c r="BE3" s="487" t="s">
        <v>49</v>
      </c>
      <c r="BF3" s="437" t="s">
        <v>50</v>
      </c>
      <c r="BG3" s="427" t="s">
        <v>51</v>
      </c>
      <c r="BH3" s="428" t="s">
        <v>52</v>
      </c>
      <c r="BI3" s="428" t="s">
        <v>53</v>
      </c>
      <c r="BJ3" s="427" t="s">
        <v>54</v>
      </c>
      <c r="BK3" s="493" t="s">
        <v>55</v>
      </c>
      <c r="BL3" s="428" t="s">
        <v>56</v>
      </c>
      <c r="BM3" s="428" t="s">
        <v>57</v>
      </c>
      <c r="BN3" s="427"/>
      <c r="BO3" s="488" t="s">
        <v>58</v>
      </c>
      <c r="BP3" s="535"/>
    </row>
    <row r="4" spans="1:69" x14ac:dyDescent="0.2">
      <c r="A4" s="557" t="s">
        <v>59</v>
      </c>
      <c r="B4" s="407">
        <v>57</v>
      </c>
      <c r="C4" s="430" t="s">
        <v>60</v>
      </c>
      <c r="D4" s="431" t="s">
        <v>61</v>
      </c>
      <c r="E4" s="432" t="s">
        <v>62</v>
      </c>
      <c r="F4" s="432" t="s">
        <v>62</v>
      </c>
      <c r="G4" s="432" t="s">
        <v>62</v>
      </c>
      <c r="H4" s="432" t="s">
        <v>62</v>
      </c>
      <c r="I4" s="431" t="s">
        <v>61</v>
      </c>
      <c r="J4" s="432"/>
      <c r="K4" s="432"/>
      <c r="L4" s="438"/>
      <c r="M4" s="526" t="s">
        <v>61</v>
      </c>
      <c r="N4" s="441" t="s">
        <v>61</v>
      </c>
      <c r="O4" s="434" t="s">
        <v>63</v>
      </c>
      <c r="P4" s="438" t="s">
        <v>62</v>
      </c>
      <c r="Q4" s="438" t="s">
        <v>62</v>
      </c>
      <c r="R4" s="708"/>
      <c r="S4" s="403" t="s">
        <v>62</v>
      </c>
      <c r="T4" s="577" t="s">
        <v>61</v>
      </c>
      <c r="U4" s="512" t="s">
        <v>64</v>
      </c>
      <c r="V4" s="432" t="s">
        <v>65</v>
      </c>
      <c r="W4" s="432" t="s">
        <v>65</v>
      </c>
      <c r="X4" s="432" t="s">
        <v>62</v>
      </c>
      <c r="Y4" s="431" t="s">
        <v>61</v>
      </c>
      <c r="Z4" s="433" t="s">
        <v>66</v>
      </c>
      <c r="AA4" s="432"/>
      <c r="AB4" s="523" t="s">
        <v>61</v>
      </c>
      <c r="AC4" s="519" t="s">
        <v>62</v>
      </c>
      <c r="AD4" s="588" t="s">
        <v>61</v>
      </c>
      <c r="AE4" s="526" t="s">
        <v>61</v>
      </c>
      <c r="AF4" s="441" t="s">
        <v>67</v>
      </c>
      <c r="AG4" s="433" t="s">
        <v>66</v>
      </c>
      <c r="AH4" s="609" t="s">
        <v>68</v>
      </c>
      <c r="AI4" s="606" t="s">
        <v>62</v>
      </c>
      <c r="AJ4" s="431" t="s">
        <v>61</v>
      </c>
      <c r="AK4" s="431" t="s">
        <v>61</v>
      </c>
      <c r="AL4" s="431" t="s">
        <v>61</v>
      </c>
      <c r="AM4" s="431"/>
      <c r="AN4" s="430" t="s">
        <v>69</v>
      </c>
      <c r="AO4" s="441" t="s">
        <v>61</v>
      </c>
      <c r="AP4" s="433" t="s">
        <v>68</v>
      </c>
      <c r="AQ4" s="439" t="s">
        <v>68</v>
      </c>
      <c r="AR4" s="442"/>
      <c r="AS4" s="496" t="s">
        <v>68</v>
      </c>
      <c r="AT4" s="431" t="s">
        <v>61</v>
      </c>
      <c r="AU4" s="432"/>
      <c r="AV4" s="431" t="s">
        <v>61</v>
      </c>
      <c r="AW4" s="432" t="s">
        <v>62</v>
      </c>
      <c r="AX4" s="430" t="s">
        <v>69</v>
      </c>
      <c r="AY4" s="441" t="s">
        <v>61</v>
      </c>
      <c r="AZ4" s="438" t="s">
        <v>62</v>
      </c>
      <c r="BA4" s="616" t="s">
        <v>69</v>
      </c>
      <c r="BB4" s="512" t="s">
        <v>68</v>
      </c>
      <c r="BC4" s="430" t="s">
        <v>60</v>
      </c>
      <c r="BD4" s="438" t="s">
        <v>62</v>
      </c>
      <c r="BE4" s="440" t="s">
        <v>68</v>
      </c>
      <c r="BF4" s="441" t="s">
        <v>61</v>
      </c>
      <c r="BG4" s="433" t="s">
        <v>66</v>
      </c>
      <c r="BH4" s="433" t="s">
        <v>68</v>
      </c>
      <c r="BI4" s="432" t="s">
        <v>62</v>
      </c>
      <c r="BJ4" s="432" t="s">
        <v>62</v>
      </c>
      <c r="BK4" s="439" t="s">
        <v>70</v>
      </c>
      <c r="BL4" s="431" t="s">
        <v>61</v>
      </c>
      <c r="BM4" s="431" t="s">
        <v>61</v>
      </c>
      <c r="BN4" s="432"/>
      <c r="BO4" s="442" t="s">
        <v>62</v>
      </c>
      <c r="BP4" s="535"/>
    </row>
    <row r="5" spans="1:69" x14ac:dyDescent="0.2">
      <c r="A5" s="557" t="s">
        <v>71</v>
      </c>
      <c r="B5" s="400">
        <f>SUM(C5:BO5)</f>
        <v>146</v>
      </c>
      <c r="C5" s="412">
        <v>2</v>
      </c>
      <c r="D5" s="412">
        <v>2</v>
      </c>
      <c r="E5" s="412">
        <v>3</v>
      </c>
      <c r="F5" s="412">
        <v>3</v>
      </c>
      <c r="G5" s="412">
        <v>3</v>
      </c>
      <c r="H5" s="412">
        <v>3</v>
      </c>
      <c r="I5" s="412">
        <v>2</v>
      </c>
      <c r="J5" s="412"/>
      <c r="K5" s="412"/>
      <c r="L5" s="443"/>
      <c r="M5" s="445">
        <v>2</v>
      </c>
      <c r="N5" s="446">
        <v>2</v>
      </c>
      <c r="O5" s="412">
        <v>4</v>
      </c>
      <c r="P5" s="443">
        <v>3</v>
      </c>
      <c r="Q5" s="443">
        <v>2</v>
      </c>
      <c r="R5" s="414"/>
      <c r="S5" s="409">
        <v>2</v>
      </c>
      <c r="T5" s="578">
        <v>2</v>
      </c>
      <c r="U5" s="446">
        <v>3</v>
      </c>
      <c r="V5" s="412">
        <v>2</v>
      </c>
      <c r="W5" s="412">
        <v>0</v>
      </c>
      <c r="X5" s="412">
        <v>6</v>
      </c>
      <c r="Y5" s="412">
        <v>2</v>
      </c>
      <c r="Z5" s="412">
        <v>4</v>
      </c>
      <c r="AA5" s="412"/>
      <c r="AB5" s="443">
        <v>2</v>
      </c>
      <c r="AC5" s="520">
        <v>2</v>
      </c>
      <c r="AD5" s="446">
        <v>2</v>
      </c>
      <c r="AE5" s="498">
        <v>2</v>
      </c>
      <c r="AF5" s="497">
        <v>3</v>
      </c>
      <c r="AG5" s="498">
        <v>2</v>
      </c>
      <c r="AH5" s="445">
        <v>4</v>
      </c>
      <c r="AI5" s="446">
        <v>2</v>
      </c>
      <c r="AJ5" s="412">
        <v>2</v>
      </c>
      <c r="AK5" s="412">
        <v>3</v>
      </c>
      <c r="AL5" s="412">
        <v>3</v>
      </c>
      <c r="AM5" s="529"/>
      <c r="AN5" s="529">
        <v>2</v>
      </c>
      <c r="AO5" s="444">
        <v>2</v>
      </c>
      <c r="AP5" s="412">
        <v>4</v>
      </c>
      <c r="AQ5" s="443">
        <v>2</v>
      </c>
      <c r="AR5" s="445"/>
      <c r="AS5" s="500">
        <v>4</v>
      </c>
      <c r="AT5" s="412">
        <v>1</v>
      </c>
      <c r="AU5" s="412"/>
      <c r="AV5" s="412">
        <v>3</v>
      </c>
      <c r="AW5" s="412">
        <v>3</v>
      </c>
      <c r="AX5" s="412">
        <v>2</v>
      </c>
      <c r="AY5" s="412">
        <v>3</v>
      </c>
      <c r="AZ5" s="412">
        <v>3</v>
      </c>
      <c r="BA5" s="529">
        <v>2</v>
      </c>
      <c r="BB5" s="412">
        <v>4</v>
      </c>
      <c r="BC5" s="412">
        <v>3</v>
      </c>
      <c r="BD5" s="412">
        <v>2</v>
      </c>
      <c r="BE5" s="445">
        <v>3</v>
      </c>
      <c r="BF5" s="446">
        <v>2</v>
      </c>
      <c r="BG5" s="412">
        <v>4</v>
      </c>
      <c r="BH5" s="412">
        <v>4</v>
      </c>
      <c r="BI5" s="412">
        <v>2</v>
      </c>
      <c r="BJ5" s="412">
        <v>2</v>
      </c>
      <c r="BK5" s="443">
        <v>4</v>
      </c>
      <c r="BL5" s="412">
        <v>2</v>
      </c>
      <c r="BM5" s="412">
        <v>2</v>
      </c>
      <c r="BN5" s="412"/>
      <c r="BO5" s="445">
        <v>2</v>
      </c>
      <c r="BP5" s="538">
        <f>SUM(C5:BO5)</f>
        <v>146</v>
      </c>
      <c r="BQ5" s="395" t="s">
        <v>72</v>
      </c>
    </row>
    <row r="6" spans="1:69" x14ac:dyDescent="0.2">
      <c r="A6" s="557" t="s">
        <v>73</v>
      </c>
      <c r="B6" s="400"/>
      <c r="C6" s="412">
        <v>300</v>
      </c>
      <c r="D6" s="412">
        <v>300</v>
      </c>
      <c r="E6" s="412">
        <v>300</v>
      </c>
      <c r="F6" s="412">
        <v>300</v>
      </c>
      <c r="G6" s="412">
        <v>300</v>
      </c>
      <c r="H6" s="412">
        <v>300</v>
      </c>
      <c r="I6" s="412">
        <v>300</v>
      </c>
      <c r="J6" s="412"/>
      <c r="K6" s="412"/>
      <c r="L6" s="443"/>
      <c r="M6" s="445">
        <v>300</v>
      </c>
      <c r="N6" s="446">
        <v>300</v>
      </c>
      <c r="O6" s="412">
        <v>300</v>
      </c>
      <c r="P6" s="443">
        <v>300</v>
      </c>
      <c r="Q6" s="443">
        <v>300</v>
      </c>
      <c r="R6" s="414"/>
      <c r="S6" s="409">
        <v>300</v>
      </c>
      <c r="T6" s="578">
        <v>300</v>
      </c>
      <c r="U6" s="446">
        <v>400</v>
      </c>
      <c r="V6" s="412">
        <v>150</v>
      </c>
      <c r="W6" s="412">
        <v>150</v>
      </c>
      <c r="X6" s="412">
        <v>150</v>
      </c>
      <c r="Y6" s="412">
        <v>300</v>
      </c>
      <c r="Z6" s="412">
        <v>400</v>
      </c>
      <c r="AA6" s="412"/>
      <c r="AB6" s="443">
        <v>300</v>
      </c>
      <c r="AC6" s="520">
        <v>300</v>
      </c>
      <c r="AD6" s="446">
        <v>300</v>
      </c>
      <c r="AE6" s="412">
        <v>300</v>
      </c>
      <c r="AF6" s="444">
        <v>300</v>
      </c>
      <c r="AG6" s="412">
        <v>400</v>
      </c>
      <c r="AH6" s="445">
        <v>400</v>
      </c>
      <c r="AI6" s="446">
        <v>300</v>
      </c>
      <c r="AJ6" s="412">
        <v>300</v>
      </c>
      <c r="AK6" s="412">
        <v>300</v>
      </c>
      <c r="AL6" s="412">
        <v>300</v>
      </c>
      <c r="AM6" s="443"/>
      <c r="AN6" s="443">
        <v>300</v>
      </c>
      <c r="AO6" s="444">
        <v>300</v>
      </c>
      <c r="AP6" s="412">
        <v>400</v>
      </c>
      <c r="AQ6" s="443">
        <v>400</v>
      </c>
      <c r="AR6" s="445"/>
      <c r="AS6" s="500">
        <v>400</v>
      </c>
      <c r="AT6" s="412">
        <v>300</v>
      </c>
      <c r="AU6" s="412"/>
      <c r="AV6" s="412">
        <v>300</v>
      </c>
      <c r="AW6" s="412">
        <v>300</v>
      </c>
      <c r="AX6" s="412">
        <v>300</v>
      </c>
      <c r="AY6" s="412">
        <v>300</v>
      </c>
      <c r="AZ6" s="412">
        <v>300</v>
      </c>
      <c r="BA6" s="443">
        <v>300</v>
      </c>
      <c r="BB6" s="412">
        <v>400</v>
      </c>
      <c r="BC6" s="412">
        <v>300</v>
      </c>
      <c r="BD6" s="412">
        <v>300</v>
      </c>
      <c r="BE6" s="445">
        <v>400</v>
      </c>
      <c r="BF6" s="446">
        <v>300</v>
      </c>
      <c r="BG6" s="412">
        <v>400</v>
      </c>
      <c r="BH6" s="412">
        <v>400</v>
      </c>
      <c r="BI6" s="412">
        <v>300</v>
      </c>
      <c r="BJ6" s="412">
        <v>300</v>
      </c>
      <c r="BK6" s="443">
        <v>400</v>
      </c>
      <c r="BL6" s="412">
        <v>300</v>
      </c>
      <c r="BM6" s="412">
        <v>300</v>
      </c>
      <c r="BN6" s="412"/>
      <c r="BO6" s="445">
        <v>300</v>
      </c>
      <c r="BP6" s="535"/>
    </row>
    <row r="7" spans="1:69" x14ac:dyDescent="0.2">
      <c r="A7" s="557" t="s">
        <v>74</v>
      </c>
      <c r="B7" s="401"/>
      <c r="C7" s="400" t="s">
        <v>75</v>
      </c>
      <c r="D7" s="400" t="s">
        <v>75</v>
      </c>
      <c r="E7" s="400" t="s">
        <v>76</v>
      </c>
      <c r="F7" s="400" t="s">
        <v>77</v>
      </c>
      <c r="G7" s="400" t="s">
        <v>78</v>
      </c>
      <c r="H7" s="400" t="s">
        <v>79</v>
      </c>
      <c r="I7" s="400" t="s">
        <v>75</v>
      </c>
      <c r="J7" s="400"/>
      <c r="K7" s="400"/>
      <c r="L7" s="447"/>
      <c r="M7" s="449" t="s">
        <v>75</v>
      </c>
      <c r="N7" s="450" t="s">
        <v>75</v>
      </c>
      <c r="O7" s="400" t="s">
        <v>75</v>
      </c>
      <c r="P7" s="447" t="s">
        <v>76</v>
      </c>
      <c r="Q7" s="447" t="s">
        <v>75</v>
      </c>
      <c r="R7" s="709"/>
      <c r="S7" s="397" t="s">
        <v>75</v>
      </c>
      <c r="T7" s="579" t="s">
        <v>75</v>
      </c>
      <c r="U7" s="450" t="s">
        <v>75</v>
      </c>
      <c r="V7" s="400" t="s">
        <v>75</v>
      </c>
      <c r="W7" s="400" t="s">
        <v>75</v>
      </c>
      <c r="X7" s="400" t="s">
        <v>75</v>
      </c>
      <c r="Y7" s="400" t="s">
        <v>80</v>
      </c>
      <c r="Z7" s="400" t="s">
        <v>75</v>
      </c>
      <c r="AA7" s="400"/>
      <c r="AB7" s="447" t="s">
        <v>75</v>
      </c>
      <c r="AC7" s="521" t="s">
        <v>75</v>
      </c>
      <c r="AD7" s="450" t="s">
        <v>75</v>
      </c>
      <c r="AE7" s="400" t="s">
        <v>81</v>
      </c>
      <c r="AF7" s="448" t="s">
        <v>75</v>
      </c>
      <c r="AG7" s="400" t="s">
        <v>75</v>
      </c>
      <c r="AH7" s="449" t="s">
        <v>75</v>
      </c>
      <c r="AI7" s="450" t="s">
        <v>75</v>
      </c>
      <c r="AJ7" s="400" t="s">
        <v>75</v>
      </c>
      <c r="AK7" s="400" t="s">
        <v>75</v>
      </c>
      <c r="AL7" s="400" t="s">
        <v>75</v>
      </c>
      <c r="AM7" s="400"/>
      <c r="AN7" s="400" t="s">
        <v>75</v>
      </c>
      <c r="AO7" s="448" t="s">
        <v>75</v>
      </c>
      <c r="AP7" s="400" t="s">
        <v>75</v>
      </c>
      <c r="AQ7" s="447" t="s">
        <v>75</v>
      </c>
      <c r="AR7" s="449"/>
      <c r="AS7" s="402" t="s">
        <v>75</v>
      </c>
      <c r="AT7" s="400" t="s">
        <v>75</v>
      </c>
      <c r="AU7" s="400"/>
      <c r="AV7" s="400" t="s">
        <v>75</v>
      </c>
      <c r="AW7" s="400" t="s">
        <v>75</v>
      </c>
      <c r="AX7" s="400" t="s">
        <v>80</v>
      </c>
      <c r="AY7" s="400" t="s">
        <v>75</v>
      </c>
      <c r="AZ7" s="400" t="s">
        <v>75</v>
      </c>
      <c r="BA7" s="447" t="s">
        <v>80</v>
      </c>
      <c r="BB7" s="400" t="s">
        <v>75</v>
      </c>
      <c r="BC7" s="400" t="s">
        <v>75</v>
      </c>
      <c r="BD7" s="400" t="s">
        <v>75</v>
      </c>
      <c r="BE7" s="449" t="s">
        <v>75</v>
      </c>
      <c r="BF7" s="450" t="s">
        <v>82</v>
      </c>
      <c r="BG7" s="400" t="s">
        <v>75</v>
      </c>
      <c r="BH7" s="400" t="s">
        <v>75</v>
      </c>
      <c r="BI7" s="400" t="s">
        <v>75</v>
      </c>
      <c r="BJ7" s="400" t="s">
        <v>75</v>
      </c>
      <c r="BK7" s="447" t="s">
        <v>75</v>
      </c>
      <c r="BL7" s="400" t="s">
        <v>75</v>
      </c>
      <c r="BM7" s="400" t="s">
        <v>75</v>
      </c>
      <c r="BN7" s="400"/>
      <c r="BO7" s="449" t="s">
        <v>75</v>
      </c>
      <c r="BP7" s="539" t="s">
        <v>83</v>
      </c>
      <c r="BQ7" s="395">
        <v>26</v>
      </c>
    </row>
    <row r="8" spans="1:69" x14ac:dyDescent="0.2">
      <c r="A8" s="557" t="s">
        <v>84</v>
      </c>
      <c r="B8" s="401"/>
      <c r="C8" s="412">
        <v>500</v>
      </c>
      <c r="D8" s="412">
        <v>2000</v>
      </c>
      <c r="E8" s="412">
        <v>2000</v>
      </c>
      <c r="F8" s="412">
        <v>1000</v>
      </c>
      <c r="G8" s="412">
        <v>2000</v>
      </c>
      <c r="H8" s="412">
        <v>2000</v>
      </c>
      <c r="I8" s="412">
        <v>2000</v>
      </c>
      <c r="J8" s="412"/>
      <c r="K8" s="412"/>
      <c r="L8" s="443"/>
      <c r="M8" s="445">
        <v>1000</v>
      </c>
      <c r="N8" s="446">
        <v>1000</v>
      </c>
      <c r="O8" s="412">
        <v>2000</v>
      </c>
      <c r="P8" s="443">
        <v>2000</v>
      </c>
      <c r="Q8" s="443">
        <v>1000</v>
      </c>
      <c r="R8" s="414"/>
      <c r="S8" s="409">
        <v>2000</v>
      </c>
      <c r="T8" s="578">
        <v>1000</v>
      </c>
      <c r="U8" s="446">
        <v>2000</v>
      </c>
      <c r="V8" s="412">
        <v>500</v>
      </c>
      <c r="W8" s="412">
        <v>500</v>
      </c>
      <c r="X8" s="412">
        <v>2000</v>
      </c>
      <c r="Y8" s="412">
        <v>1000</v>
      </c>
      <c r="Z8" s="412">
        <v>2000</v>
      </c>
      <c r="AA8" s="412"/>
      <c r="AB8" s="443">
        <v>1000</v>
      </c>
      <c r="AC8" s="520">
        <v>1000</v>
      </c>
      <c r="AD8" s="446">
        <v>2000</v>
      </c>
      <c r="AE8" s="412">
        <v>2000</v>
      </c>
      <c r="AF8" s="444">
        <v>1000</v>
      </c>
      <c r="AG8" s="412">
        <v>2000</v>
      </c>
      <c r="AH8" s="445" t="s">
        <v>85</v>
      </c>
      <c r="AI8" s="446">
        <v>1000</v>
      </c>
      <c r="AJ8" s="412">
        <v>2000</v>
      </c>
      <c r="AK8" s="412">
        <v>1000</v>
      </c>
      <c r="AL8" s="412">
        <v>2000</v>
      </c>
      <c r="AM8" s="443"/>
      <c r="AN8" s="443">
        <v>500</v>
      </c>
      <c r="AO8" s="444">
        <v>1000</v>
      </c>
      <c r="AP8" s="412" t="s">
        <v>85</v>
      </c>
      <c r="AQ8" s="443" t="s">
        <v>85</v>
      </c>
      <c r="AR8" s="445"/>
      <c r="AS8" s="500">
        <v>2000</v>
      </c>
      <c r="AT8" s="413">
        <v>2000</v>
      </c>
      <c r="AU8" s="412"/>
      <c r="AV8" s="412">
        <v>1000</v>
      </c>
      <c r="AW8" s="412">
        <v>2000</v>
      </c>
      <c r="AX8" s="412">
        <v>500</v>
      </c>
      <c r="AY8" s="412">
        <v>1000</v>
      </c>
      <c r="AZ8" s="412">
        <v>2000</v>
      </c>
      <c r="BA8" s="443">
        <v>500</v>
      </c>
      <c r="BB8" s="412">
        <v>2000</v>
      </c>
      <c r="BC8" s="412">
        <v>500</v>
      </c>
      <c r="BD8" s="412">
        <v>1000</v>
      </c>
      <c r="BE8" s="445" t="s">
        <v>85</v>
      </c>
      <c r="BF8" s="446">
        <v>1000</v>
      </c>
      <c r="BG8" s="412">
        <v>2000</v>
      </c>
      <c r="BH8" s="412" t="s">
        <v>85</v>
      </c>
      <c r="BI8" s="412">
        <v>1000</v>
      </c>
      <c r="BJ8" s="412">
        <v>2000</v>
      </c>
      <c r="BK8" s="443" t="s">
        <v>85</v>
      </c>
      <c r="BL8" s="412">
        <v>1000</v>
      </c>
      <c r="BM8" s="412">
        <v>2000</v>
      </c>
      <c r="BN8" s="412"/>
      <c r="BO8" s="445">
        <v>2000</v>
      </c>
      <c r="BP8" s="539" t="s">
        <v>86</v>
      </c>
      <c r="BQ8" s="395">
        <v>2</v>
      </c>
    </row>
    <row r="9" spans="1:69" x14ac:dyDescent="0.2">
      <c r="A9" s="559" t="s">
        <v>87</v>
      </c>
      <c r="B9" s="451">
        <f>SUM(C9:BO9)</f>
        <v>7025100</v>
      </c>
      <c r="C9" s="415">
        <v>74500</v>
      </c>
      <c r="D9" s="415">
        <v>306000</v>
      </c>
      <c r="E9" s="415"/>
      <c r="F9" s="415"/>
      <c r="G9" s="415"/>
      <c r="H9" s="415"/>
      <c r="I9" s="415">
        <v>109000</v>
      </c>
      <c r="J9" s="415">
        <v>240000</v>
      </c>
      <c r="K9" s="415">
        <v>223000</v>
      </c>
      <c r="L9" s="416">
        <v>222000</v>
      </c>
      <c r="M9" s="591">
        <v>123000</v>
      </c>
      <c r="N9" s="453">
        <v>94000</v>
      </c>
      <c r="O9" s="415">
        <v>244000</v>
      </c>
      <c r="P9" s="452"/>
      <c r="Q9" s="452">
        <v>119000</v>
      </c>
      <c r="R9" s="710"/>
      <c r="S9" s="568">
        <v>158000</v>
      </c>
      <c r="T9" s="580">
        <v>110000</v>
      </c>
      <c r="U9" s="455">
        <v>224000</v>
      </c>
      <c r="V9" s="416">
        <v>23000</v>
      </c>
      <c r="W9" s="416">
        <v>22000</v>
      </c>
      <c r="X9" s="415">
        <v>86000</v>
      </c>
      <c r="Y9" s="415">
        <v>84000</v>
      </c>
      <c r="Z9" s="421">
        <v>124000</v>
      </c>
      <c r="AA9" s="415"/>
      <c r="AB9" s="452">
        <v>156000</v>
      </c>
      <c r="AC9" s="522"/>
      <c r="AD9" s="524"/>
      <c r="AE9" s="452"/>
      <c r="AF9" s="453">
        <v>61000</v>
      </c>
      <c r="AG9" s="415">
        <v>272000</v>
      </c>
      <c r="AH9" s="454">
        <v>151000</v>
      </c>
      <c r="AI9" s="607">
        <v>111000</v>
      </c>
      <c r="AJ9" s="417">
        <v>148000</v>
      </c>
      <c r="AK9" s="415"/>
      <c r="AL9" s="415"/>
      <c r="AM9" s="452"/>
      <c r="AN9" s="452"/>
      <c r="AO9" s="453">
        <v>118000</v>
      </c>
      <c r="AP9" s="415">
        <v>118000</v>
      </c>
      <c r="AQ9" s="452">
        <v>139000</v>
      </c>
      <c r="AR9" s="454"/>
      <c r="AS9" s="524">
        <v>470000</v>
      </c>
      <c r="AT9" s="415">
        <v>56000</v>
      </c>
      <c r="AU9" s="455">
        <v>103000</v>
      </c>
      <c r="AV9" s="417">
        <v>166000</v>
      </c>
      <c r="AW9" s="417">
        <v>154000</v>
      </c>
      <c r="AX9" s="417">
        <v>65300</v>
      </c>
      <c r="AY9" s="415">
        <v>206000</v>
      </c>
      <c r="AZ9" s="415">
        <v>188000</v>
      </c>
      <c r="BA9" s="452">
        <v>112800</v>
      </c>
      <c r="BB9" s="415">
        <v>125000</v>
      </c>
      <c r="BC9" s="417">
        <v>61500</v>
      </c>
      <c r="BD9" s="417"/>
      <c r="BE9" s="454">
        <v>631000</v>
      </c>
      <c r="BF9" s="455">
        <v>55000</v>
      </c>
      <c r="BG9" s="415">
        <v>106000</v>
      </c>
      <c r="BH9" s="415">
        <v>61000</v>
      </c>
      <c r="BI9" s="415">
        <v>75000</v>
      </c>
      <c r="BJ9" s="415">
        <v>108000</v>
      </c>
      <c r="BK9" s="452">
        <v>195000</v>
      </c>
      <c r="BL9" s="418">
        <v>87000</v>
      </c>
      <c r="BM9" s="418">
        <v>80000</v>
      </c>
      <c r="BN9" s="415"/>
      <c r="BO9" s="454">
        <v>60000</v>
      </c>
      <c r="BP9" s="539" t="s">
        <v>66</v>
      </c>
      <c r="BQ9" s="395">
        <v>10</v>
      </c>
    </row>
    <row r="10" spans="1:69" x14ac:dyDescent="0.2">
      <c r="A10" s="560" t="s">
        <v>88</v>
      </c>
      <c r="B10" s="456">
        <f>SUM(C10:BO10)</f>
        <v>9310000</v>
      </c>
      <c r="C10" s="457">
        <v>90000</v>
      </c>
      <c r="D10" s="457">
        <v>300000</v>
      </c>
      <c r="E10" s="457">
        <v>110000</v>
      </c>
      <c r="F10" s="457">
        <v>150000</v>
      </c>
      <c r="G10" s="457">
        <v>100000</v>
      </c>
      <c r="H10" s="457">
        <v>150000</v>
      </c>
      <c r="I10" s="457">
        <v>300000</v>
      </c>
      <c r="J10" s="457"/>
      <c r="K10" s="457"/>
      <c r="L10" s="458"/>
      <c r="M10" s="491">
        <v>200000</v>
      </c>
      <c r="N10" s="459">
        <v>140000</v>
      </c>
      <c r="O10" s="457">
        <v>250000</v>
      </c>
      <c r="P10" s="458">
        <v>200000</v>
      </c>
      <c r="Q10" s="458">
        <v>140000</v>
      </c>
      <c r="R10" s="711"/>
      <c r="S10" s="567">
        <v>250000</v>
      </c>
      <c r="T10" s="581">
        <v>250000</v>
      </c>
      <c r="U10" s="459">
        <v>350000</v>
      </c>
      <c r="V10" s="457">
        <v>40000</v>
      </c>
      <c r="W10" s="457">
        <v>40000</v>
      </c>
      <c r="X10" s="457">
        <v>120000</v>
      </c>
      <c r="Y10" s="457">
        <v>150000</v>
      </c>
      <c r="Z10" s="457">
        <v>300000</v>
      </c>
      <c r="AA10" s="457"/>
      <c r="AB10" s="457">
        <v>200000</v>
      </c>
      <c r="AC10" s="457">
        <v>100000</v>
      </c>
      <c r="AD10" s="457">
        <v>180000</v>
      </c>
      <c r="AE10" s="458">
        <v>110000</v>
      </c>
      <c r="AF10" s="489">
        <v>320000</v>
      </c>
      <c r="AG10" s="490">
        <v>400000</v>
      </c>
      <c r="AH10" s="491">
        <v>240000</v>
      </c>
      <c r="AI10" s="459">
        <v>130000</v>
      </c>
      <c r="AJ10" s="457">
        <v>150000</v>
      </c>
      <c r="AK10" s="457">
        <v>110000</v>
      </c>
      <c r="AL10" s="457">
        <v>170000</v>
      </c>
      <c r="AM10" s="458"/>
      <c r="AN10" s="458">
        <v>80000</v>
      </c>
      <c r="AO10" s="489">
        <v>100000</v>
      </c>
      <c r="AP10" s="490">
        <v>160000</v>
      </c>
      <c r="AQ10" s="490">
        <v>180000</v>
      </c>
      <c r="AR10" s="491"/>
      <c r="AS10" s="612">
        <v>400000</v>
      </c>
      <c r="AT10" s="457">
        <v>160000</v>
      </c>
      <c r="AU10" s="457"/>
      <c r="AV10" s="457">
        <v>120000</v>
      </c>
      <c r="AW10" s="457">
        <v>160000</v>
      </c>
      <c r="AX10" s="457">
        <v>60000</v>
      </c>
      <c r="AY10" s="457">
        <v>160000</v>
      </c>
      <c r="AZ10" s="457">
        <v>200000</v>
      </c>
      <c r="BA10" s="458">
        <v>80000</v>
      </c>
      <c r="BB10" s="490">
        <v>180000</v>
      </c>
      <c r="BC10" s="490">
        <v>50000</v>
      </c>
      <c r="BD10" s="490">
        <v>150000</v>
      </c>
      <c r="BE10" s="491">
        <v>400000</v>
      </c>
      <c r="BF10" s="459">
        <v>100000</v>
      </c>
      <c r="BG10" s="457">
        <v>100000</v>
      </c>
      <c r="BH10" s="457">
        <v>120000</v>
      </c>
      <c r="BI10" s="457">
        <v>100000</v>
      </c>
      <c r="BJ10" s="457">
        <v>100000</v>
      </c>
      <c r="BK10" s="458">
        <v>150000</v>
      </c>
      <c r="BL10" s="457">
        <v>100000</v>
      </c>
      <c r="BM10" s="457">
        <v>100000</v>
      </c>
      <c r="BN10" s="457"/>
      <c r="BO10" s="491">
        <v>60000</v>
      </c>
      <c r="BP10" s="539" t="s">
        <v>67</v>
      </c>
      <c r="BQ10" s="395">
        <v>15</v>
      </c>
    </row>
    <row r="11" spans="1:69" x14ac:dyDescent="0.2">
      <c r="A11" s="561"/>
      <c r="B11" s="460"/>
      <c r="C11" s="492"/>
      <c r="D11" s="492"/>
      <c r="E11" s="492"/>
      <c r="F11" s="492"/>
      <c r="G11" s="492"/>
      <c r="H11" s="492"/>
      <c r="I11" s="407"/>
      <c r="J11" s="492"/>
      <c r="K11" s="492"/>
      <c r="L11" s="492"/>
      <c r="M11" s="502"/>
      <c r="N11" s="499"/>
      <c r="O11" s="492"/>
      <c r="P11" s="492"/>
      <c r="Q11" s="492"/>
      <c r="R11" s="712"/>
      <c r="S11" s="586"/>
      <c r="T11" s="582"/>
      <c r="U11" s="492"/>
      <c r="V11" s="492"/>
      <c r="W11" s="492"/>
      <c r="X11" s="509"/>
      <c r="Y11" s="492"/>
      <c r="Z11" s="492"/>
      <c r="AA11" s="509"/>
      <c r="AB11" s="492"/>
      <c r="AC11" s="500"/>
      <c r="AD11" s="500"/>
      <c r="AE11" s="500"/>
      <c r="AF11" s="506"/>
      <c r="AG11" s="492"/>
      <c r="AH11" s="501"/>
      <c r="AI11" s="507"/>
      <c r="AJ11" s="492"/>
      <c r="AK11" s="492"/>
      <c r="AL11" s="492"/>
      <c r="AM11" s="492"/>
      <c r="AN11" s="492"/>
      <c r="AO11" s="506"/>
      <c r="AP11" s="492"/>
      <c r="AQ11" s="492"/>
      <c r="AR11" s="595"/>
      <c r="AS11" s="492"/>
      <c r="AT11" s="613"/>
      <c r="AU11" s="492"/>
      <c r="AV11" s="492"/>
      <c r="AW11" s="507"/>
      <c r="AX11" s="492"/>
      <c r="AY11" s="492"/>
      <c r="AZ11" s="507"/>
      <c r="BA11" s="492"/>
      <c r="BB11" s="492"/>
      <c r="BC11" s="417"/>
      <c r="BD11" s="492"/>
      <c r="BE11" s="501"/>
      <c r="BF11" s="502"/>
      <c r="BG11" s="492"/>
      <c r="BH11" s="492"/>
      <c r="BI11" s="507"/>
      <c r="BJ11" s="507"/>
      <c r="BK11" s="500"/>
      <c r="BL11" s="492"/>
      <c r="BM11" s="492"/>
      <c r="BN11" s="500"/>
      <c r="BO11" s="508"/>
      <c r="BP11" s="539" t="s">
        <v>89</v>
      </c>
      <c r="BQ11" s="395">
        <v>1</v>
      </c>
    </row>
    <row r="12" spans="1:69" s="461" customFormat="1" ht="16.5" x14ac:dyDescent="0.2">
      <c r="A12" s="565" t="s">
        <v>90</v>
      </c>
      <c r="B12" s="530">
        <f>SUM(C12:BO12)</f>
        <v>11380100</v>
      </c>
      <c r="C12" s="540">
        <f>福重!F41-100</f>
        <v>154000</v>
      </c>
      <c r="D12" s="540">
        <f>福重!Q41</f>
        <v>120000</v>
      </c>
      <c r="E12" s="540">
        <f>福重!AT41</f>
        <v>56000</v>
      </c>
      <c r="F12" s="540">
        <f>福重!AA41</f>
        <v>108000</v>
      </c>
      <c r="G12" s="540">
        <f>福重!AG41</f>
        <v>94000</v>
      </c>
      <c r="H12" s="540">
        <f>福重!AM41</f>
        <v>106000</v>
      </c>
      <c r="I12" s="540">
        <f>那珂川!F16</f>
        <v>306000</v>
      </c>
      <c r="J12" s="531"/>
      <c r="K12" s="531"/>
      <c r="L12" s="531"/>
      <c r="M12" s="566">
        <f>唐津!E14-22000</f>
        <v>228000</v>
      </c>
      <c r="N12" s="541">
        <f>飯塚!S16</f>
        <v>384000</v>
      </c>
      <c r="O12" s="540">
        <f>飯塚!H16</f>
        <v>475000</v>
      </c>
      <c r="P12" s="540">
        <f>飯塚!AB16</f>
        <v>152000</v>
      </c>
      <c r="Q12" s="566">
        <f>小倉!F14</f>
        <v>254000</v>
      </c>
      <c r="R12" s="713"/>
      <c r="S12" s="569">
        <f>+黒崎!F13</f>
        <v>466000</v>
      </c>
      <c r="T12" s="583">
        <f>+黒崎!Q13</f>
        <v>343000</v>
      </c>
      <c r="U12" s="542">
        <v>335000</v>
      </c>
      <c r="V12" s="540">
        <v>16000</v>
      </c>
      <c r="W12" s="540">
        <v>37000</v>
      </c>
      <c r="X12" s="540">
        <v>196000</v>
      </c>
      <c r="Y12" s="540">
        <v>172000</v>
      </c>
      <c r="Z12" s="540">
        <v>321000</v>
      </c>
      <c r="AA12" s="531"/>
      <c r="AB12" s="540">
        <v>214000</v>
      </c>
      <c r="AC12" s="540">
        <v>120000</v>
      </c>
      <c r="AD12" s="543">
        <v>336000</v>
      </c>
      <c r="AE12" s="543">
        <v>104000</v>
      </c>
      <c r="AF12" s="544">
        <v>94000</v>
      </c>
      <c r="AG12" s="545">
        <v>462000</v>
      </c>
      <c r="AH12" s="547">
        <v>317000</v>
      </c>
      <c r="AI12" s="603">
        <v>70000</v>
      </c>
      <c r="AJ12" s="545">
        <v>138000</v>
      </c>
      <c r="AK12" s="545">
        <v>173000</v>
      </c>
      <c r="AL12" s="545">
        <v>188000</v>
      </c>
      <c r="AM12" s="545"/>
      <c r="AN12" s="545">
        <v>114200</v>
      </c>
      <c r="AO12" s="602">
        <v>334000</v>
      </c>
      <c r="AP12" s="545">
        <v>360000</v>
      </c>
      <c r="AQ12" s="546">
        <v>294000</v>
      </c>
      <c r="AR12" s="533"/>
      <c r="AS12" s="618">
        <v>561000</v>
      </c>
      <c r="AT12" s="545">
        <v>250000</v>
      </c>
      <c r="AU12" s="532"/>
      <c r="AV12" s="545">
        <v>129000</v>
      </c>
      <c r="AW12" s="545">
        <v>200000</v>
      </c>
      <c r="AX12" s="545">
        <v>219300</v>
      </c>
      <c r="AY12" s="545">
        <v>176000</v>
      </c>
      <c r="AZ12" s="545">
        <v>139000</v>
      </c>
      <c r="BA12" s="546">
        <v>208300</v>
      </c>
      <c r="BB12" s="545">
        <v>150000</v>
      </c>
      <c r="BC12" s="545">
        <v>89300</v>
      </c>
      <c r="BD12" s="545">
        <v>144000</v>
      </c>
      <c r="BE12" s="547">
        <v>452000</v>
      </c>
      <c r="BF12" s="542">
        <v>59000</v>
      </c>
      <c r="BG12" s="540">
        <v>40000</v>
      </c>
      <c r="BH12" s="545">
        <v>308000</v>
      </c>
      <c r="BI12" s="545">
        <v>56000</v>
      </c>
      <c r="BJ12" s="540">
        <v>182000</v>
      </c>
      <c r="BK12" s="543">
        <v>137000</v>
      </c>
      <c r="BL12" s="620">
        <v>121000</v>
      </c>
      <c r="BM12" s="620">
        <v>78000</v>
      </c>
      <c r="BN12" s="531"/>
      <c r="BO12" s="619">
        <v>40000</v>
      </c>
      <c r="BP12" s="539" t="s">
        <v>60</v>
      </c>
      <c r="BQ12" s="411">
        <v>4</v>
      </c>
    </row>
    <row r="13" spans="1:69" s="461" customFormat="1" ht="16.5" x14ac:dyDescent="0.2">
      <c r="A13" s="562" t="s">
        <v>91</v>
      </c>
      <c r="B13" s="548">
        <f>B12/B10</f>
        <v>1.2223523093447906</v>
      </c>
      <c r="C13" s="549">
        <f t="shared" ref="C13:I13" si="0">C12/C10</f>
        <v>1.711111111111111</v>
      </c>
      <c r="D13" s="549">
        <f t="shared" si="0"/>
        <v>0.4</v>
      </c>
      <c r="E13" s="549">
        <f t="shared" si="0"/>
        <v>0.50909090909090904</v>
      </c>
      <c r="F13" s="549">
        <f t="shared" si="0"/>
        <v>0.72</v>
      </c>
      <c r="G13" s="549">
        <f t="shared" si="0"/>
        <v>0.94</v>
      </c>
      <c r="H13" s="549">
        <f t="shared" si="0"/>
        <v>0.70666666666666667</v>
      </c>
      <c r="I13" s="549">
        <f t="shared" si="0"/>
        <v>1.02</v>
      </c>
      <c r="J13" s="549"/>
      <c r="K13" s="549"/>
      <c r="L13" s="550"/>
      <c r="M13" s="551">
        <f t="shared" ref="M13:Z13" si="1">M12/M10</f>
        <v>1.1399999999999999</v>
      </c>
      <c r="N13" s="552">
        <f t="shared" si="1"/>
        <v>2.7428571428571429</v>
      </c>
      <c r="O13" s="550">
        <f t="shared" si="1"/>
        <v>1.9</v>
      </c>
      <c r="P13" s="550">
        <f t="shared" si="1"/>
        <v>0.76</v>
      </c>
      <c r="Q13" s="550">
        <f t="shared" si="1"/>
        <v>1.8142857142857143</v>
      </c>
      <c r="R13" s="714"/>
      <c r="S13" s="570">
        <f t="shared" si="1"/>
        <v>1.8640000000000001</v>
      </c>
      <c r="T13" s="584">
        <f t="shared" si="1"/>
        <v>1.3720000000000001</v>
      </c>
      <c r="U13" s="552">
        <f t="shared" si="1"/>
        <v>0.95714285714285718</v>
      </c>
      <c r="V13" s="550">
        <f t="shared" si="1"/>
        <v>0.4</v>
      </c>
      <c r="W13" s="550">
        <f t="shared" si="1"/>
        <v>0.92500000000000004</v>
      </c>
      <c r="X13" s="550">
        <f t="shared" si="1"/>
        <v>1.6333333333333333</v>
      </c>
      <c r="Y13" s="550">
        <f t="shared" si="1"/>
        <v>1.1466666666666667</v>
      </c>
      <c r="Z13" s="550">
        <f t="shared" si="1"/>
        <v>1.07</v>
      </c>
      <c r="AA13" s="550"/>
      <c r="AB13" s="550">
        <f>AB12/AB10</f>
        <v>1.07</v>
      </c>
      <c r="AC13" s="550">
        <f t="shared" ref="AC13" si="2">AC12/AC10</f>
        <v>1.2</v>
      </c>
      <c r="AD13" s="550">
        <f>AD12/AD10</f>
        <v>1.8666666666666667</v>
      </c>
      <c r="AE13" s="550">
        <f>AE12/AE10</f>
        <v>0.94545454545454544</v>
      </c>
      <c r="AF13" s="553">
        <f>IFERROR(AF12/AF10,"-")</f>
        <v>0.29375000000000001</v>
      </c>
      <c r="AG13" s="549">
        <f>IFERROR(AG12/AG10,"-")</f>
        <v>1.155</v>
      </c>
      <c r="AH13" s="551">
        <f>IFERROR(AH12/AH10,"-")</f>
        <v>1.3208333333333333</v>
      </c>
      <c r="AI13" s="554">
        <f t="shared" ref="AI13:AQ13" si="3">IFERROR(AI12/AI10,"-")</f>
        <v>0.53846153846153844</v>
      </c>
      <c r="AJ13" s="549">
        <f t="shared" si="3"/>
        <v>0.92</v>
      </c>
      <c r="AK13" s="549">
        <f t="shared" si="3"/>
        <v>1.5727272727272728</v>
      </c>
      <c r="AL13" s="549">
        <f t="shared" si="3"/>
        <v>1.1058823529411765</v>
      </c>
      <c r="AM13" s="549"/>
      <c r="AN13" s="549">
        <f t="shared" si="3"/>
        <v>1.4275</v>
      </c>
      <c r="AO13" s="594">
        <f t="shared" si="3"/>
        <v>3.34</v>
      </c>
      <c r="AP13" s="601">
        <f t="shared" si="3"/>
        <v>2.25</v>
      </c>
      <c r="AQ13" s="601">
        <f t="shared" si="3"/>
        <v>1.6333333333333333</v>
      </c>
      <c r="AR13" s="551"/>
      <c r="AS13" s="552">
        <f>IFERROR(AS12/AS10,"-")</f>
        <v>1.4025000000000001</v>
      </c>
      <c r="AT13" s="549">
        <f>IFERROR(AT12/AT10,"-")</f>
        <v>1.5625</v>
      </c>
      <c r="AU13" s="549"/>
      <c r="AV13" s="549">
        <f t="shared" ref="AV13:BE13" si="4">IFERROR(AV12/AV10,"-")</f>
        <v>1.075</v>
      </c>
      <c r="AW13" s="549">
        <f t="shared" si="4"/>
        <v>1.25</v>
      </c>
      <c r="AX13" s="549">
        <f t="shared" si="4"/>
        <v>3.6549999999999998</v>
      </c>
      <c r="AY13" s="549">
        <f t="shared" si="4"/>
        <v>1.1000000000000001</v>
      </c>
      <c r="AZ13" s="549">
        <f t="shared" si="4"/>
        <v>0.69499999999999995</v>
      </c>
      <c r="BA13" s="550">
        <f t="shared" si="4"/>
        <v>2.6037499999999998</v>
      </c>
      <c r="BB13" s="549">
        <f t="shared" si="4"/>
        <v>0.83333333333333337</v>
      </c>
      <c r="BC13" s="549">
        <f t="shared" si="4"/>
        <v>1.786</v>
      </c>
      <c r="BD13" s="549">
        <f t="shared" si="4"/>
        <v>0.96</v>
      </c>
      <c r="BE13" s="551">
        <f t="shared" si="4"/>
        <v>1.1299999999999999</v>
      </c>
      <c r="BF13" s="554">
        <f t="shared" ref="BF13:BM13" si="5">IFERROR(BF12/BF10,"-")</f>
        <v>0.59</v>
      </c>
      <c r="BG13" s="549">
        <f t="shared" si="5"/>
        <v>0.4</v>
      </c>
      <c r="BH13" s="549">
        <f t="shared" si="5"/>
        <v>2.5666666666666669</v>
      </c>
      <c r="BI13" s="549">
        <f t="shared" si="5"/>
        <v>0.56000000000000005</v>
      </c>
      <c r="BJ13" s="549">
        <f t="shared" si="5"/>
        <v>1.82</v>
      </c>
      <c r="BK13" s="549">
        <f t="shared" si="5"/>
        <v>0.91333333333333333</v>
      </c>
      <c r="BL13" s="549">
        <f t="shared" si="5"/>
        <v>1.21</v>
      </c>
      <c r="BM13" s="549">
        <f t="shared" si="5"/>
        <v>0.78</v>
      </c>
      <c r="BN13" s="549"/>
      <c r="BO13" s="551">
        <f>IFERROR(BO12/BO10,"-")</f>
        <v>0.66666666666666663</v>
      </c>
      <c r="BP13" s="536"/>
      <c r="BQ13" s="461">
        <f>SUM(BQ4:BQ12)</f>
        <v>58</v>
      </c>
    </row>
    <row r="14" spans="1:69" ht="19.5" x14ac:dyDescent="0.2">
      <c r="A14" s="617">
        <f>B13</f>
        <v>1.2223523093447906</v>
      </c>
      <c r="B14" s="462"/>
      <c r="C14" s="463"/>
      <c r="D14" s="463"/>
      <c r="E14" s="463"/>
      <c r="F14" s="463"/>
      <c r="G14" s="463"/>
      <c r="H14" s="463"/>
      <c r="I14" s="463"/>
      <c r="J14" s="463"/>
      <c r="K14" s="462"/>
      <c r="L14" s="463"/>
      <c r="M14" s="503"/>
      <c r="N14" s="464"/>
      <c r="O14" s="463"/>
      <c r="P14" s="463"/>
      <c r="Q14" s="503"/>
      <c r="R14" s="715"/>
      <c r="S14" s="420"/>
      <c r="T14" s="585"/>
      <c r="U14" s="463"/>
      <c r="V14" s="463"/>
      <c r="W14" s="463"/>
      <c r="X14" s="463"/>
      <c r="Y14" s="463"/>
      <c r="Z14" s="463"/>
      <c r="AA14" s="463"/>
      <c r="AB14" s="463"/>
      <c r="AC14" s="463"/>
      <c r="AD14" s="463"/>
      <c r="AE14" s="463"/>
      <c r="AF14" s="464"/>
      <c r="AG14" s="463"/>
      <c r="AH14" s="466"/>
      <c r="AI14" s="463"/>
      <c r="AJ14" s="463"/>
      <c r="AK14" s="463"/>
      <c r="AL14" s="463"/>
      <c r="AM14" s="463"/>
      <c r="AN14" s="463"/>
      <c r="AO14" s="464"/>
      <c r="AP14" s="463"/>
      <c r="AQ14" s="463"/>
      <c r="AR14" s="596"/>
      <c r="AS14" s="463"/>
      <c r="AT14" s="465"/>
      <c r="AU14" s="463"/>
      <c r="AV14" s="463"/>
      <c r="AW14" s="463"/>
      <c r="AX14" s="463"/>
      <c r="AY14" s="463"/>
      <c r="AZ14" s="463"/>
      <c r="BA14" s="463"/>
      <c r="BB14" s="463"/>
      <c r="BC14" s="417"/>
      <c r="BD14" s="463"/>
      <c r="BE14" s="466"/>
      <c r="BF14" s="463"/>
      <c r="BG14" s="463"/>
      <c r="BH14" s="463"/>
      <c r="BI14" s="463"/>
      <c r="BJ14" s="463"/>
      <c r="BK14" s="463"/>
      <c r="BL14" s="463"/>
      <c r="BM14" s="463"/>
      <c r="BN14" s="463"/>
      <c r="BO14" s="466"/>
      <c r="BP14" s="534"/>
    </row>
    <row r="15" spans="1:69" ht="16.5" x14ac:dyDescent="0.2">
      <c r="A15" s="593" t="s">
        <v>92</v>
      </c>
      <c r="B15" s="592"/>
      <c r="C15" s="558" t="s">
        <v>93</v>
      </c>
      <c r="D15" s="394" t="s">
        <v>94</v>
      </c>
      <c r="E15" s="396">
        <f>B12/B4</f>
        <v>199650.87719298244</v>
      </c>
      <c r="F15" s="405" t="s">
        <v>95</v>
      </c>
      <c r="G15" s="510" t="s">
        <v>96</v>
      </c>
      <c r="H15" s="399"/>
      <c r="K15" s="405" t="s">
        <v>97</v>
      </c>
      <c r="L15" s="419">
        <f>SUM(C10:M10)</f>
        <v>1400000</v>
      </c>
      <c r="M15" s="467"/>
      <c r="N15" s="410"/>
      <c r="O15" s="410"/>
      <c r="Q15" s="474" t="s">
        <v>97</v>
      </c>
      <c r="R15" s="474"/>
      <c r="S15" s="469">
        <f>SUM(N10:T10)</f>
        <v>1230000</v>
      </c>
      <c r="T15" s="589"/>
      <c r="W15" s="410"/>
      <c r="X15" s="410"/>
      <c r="Y15" s="410"/>
      <c r="Z15" s="410"/>
      <c r="AA15" s="410"/>
      <c r="AC15" s="405" t="s">
        <v>97</v>
      </c>
      <c r="AD15" s="419">
        <f>SUM(U10:AE10)</f>
        <v>1590000</v>
      </c>
      <c r="AE15" s="419"/>
      <c r="AF15" s="468" t="s">
        <v>97</v>
      </c>
      <c r="AG15" s="469">
        <f>SUM(AF10:AH10)</f>
        <v>960000</v>
      </c>
      <c r="AH15" s="467"/>
      <c r="AI15" s="472"/>
      <c r="AJ15" s="513" t="s">
        <v>98</v>
      </c>
      <c r="AK15" s="474" t="s">
        <v>97</v>
      </c>
      <c r="AL15" s="469">
        <f>SUM(AI10:AN10)</f>
        <v>640000</v>
      </c>
      <c r="AM15" s="469"/>
      <c r="AN15" s="475"/>
      <c r="AO15" s="405"/>
      <c r="AP15" s="405" t="s">
        <v>97</v>
      </c>
      <c r="AQ15" s="479">
        <f>SUM(AO10:AR10)</f>
        <v>440000</v>
      </c>
      <c r="AR15" s="475"/>
      <c r="AS15" s="429"/>
      <c r="AT15" s="614"/>
      <c r="AU15" s="472"/>
      <c r="AV15" s="470"/>
      <c r="AW15" s="513" t="s">
        <v>98</v>
      </c>
      <c r="AX15" s="473"/>
      <c r="BC15" s="405" t="s">
        <v>97</v>
      </c>
      <c r="BD15" s="419">
        <f>SUM(AS10:BE10)</f>
        <v>2120000</v>
      </c>
      <c r="BF15" s="471"/>
      <c r="BG15" s="472"/>
      <c r="BH15" s="472"/>
      <c r="BI15" s="473"/>
      <c r="BJ15" s="472"/>
      <c r="BL15" s="472"/>
      <c r="BM15" s="474" t="s">
        <v>97</v>
      </c>
      <c r="BN15" s="469">
        <f>SUM(BF10:BO10)</f>
        <v>930000</v>
      </c>
      <c r="BO15" s="475"/>
      <c r="BP15" s="535"/>
      <c r="BQ15" s="404"/>
    </row>
    <row r="16" spans="1:69" ht="16.5" x14ac:dyDescent="0.2">
      <c r="A16" s="564" t="s">
        <v>99</v>
      </c>
      <c r="B16" s="504" t="s">
        <v>100</v>
      </c>
      <c r="C16" s="435">
        <v>45917</v>
      </c>
      <c r="D16" s="394" t="s">
        <v>101</v>
      </c>
      <c r="E16" s="398">
        <v>37083200</v>
      </c>
      <c r="F16" s="505">
        <f>B12</f>
        <v>11380100</v>
      </c>
      <c r="G16" s="398">
        <f>E16-B12</f>
        <v>25703100</v>
      </c>
      <c r="H16" s="399"/>
      <c r="K16" s="405" t="s">
        <v>102</v>
      </c>
      <c r="L16" s="419">
        <f>SUM(C12:M12)</f>
        <v>1172000</v>
      </c>
      <c r="M16" s="476">
        <f>L16/L15</f>
        <v>0.83714285714285719</v>
      </c>
      <c r="N16" s="410"/>
      <c r="O16" s="410"/>
      <c r="Q16" s="405" t="s">
        <v>102</v>
      </c>
      <c r="R16" s="405"/>
      <c r="S16" s="419">
        <f>SUM(N12:T12)</f>
        <v>2074000</v>
      </c>
      <c r="T16" s="590">
        <f>S16/S15</f>
        <v>1.686178861788618</v>
      </c>
      <c r="W16" s="410"/>
      <c r="X16" s="410"/>
      <c r="Y16" s="410"/>
      <c r="Z16" s="410"/>
      <c r="AA16" s="410"/>
      <c r="AC16" s="405" t="s">
        <v>102</v>
      </c>
      <c r="AD16" s="419">
        <f>SUM(U12:AE12)</f>
        <v>1851000</v>
      </c>
      <c r="AE16" s="477">
        <f>AD16/AD15</f>
        <v>1.1641509433962265</v>
      </c>
      <c r="AF16" s="478" t="s">
        <v>102</v>
      </c>
      <c r="AG16" s="419">
        <f>SUM(AF12:AH12)</f>
        <v>873000</v>
      </c>
      <c r="AH16" s="476">
        <f>AG16/AG15</f>
        <v>0.90937500000000004</v>
      </c>
      <c r="AI16" s="429"/>
      <c r="AK16" s="405" t="s">
        <v>102</v>
      </c>
      <c r="AL16" s="419">
        <f>SUM(AI12:AN12)</f>
        <v>683200</v>
      </c>
      <c r="AM16" s="419"/>
      <c r="AN16" s="476">
        <f>AL16/AL15</f>
        <v>1.0674999999999999</v>
      </c>
      <c r="AO16" s="405"/>
      <c r="AP16" s="405" t="s">
        <v>102</v>
      </c>
      <c r="AQ16" s="479">
        <f>SUM(AO12:AR12)</f>
        <v>988000</v>
      </c>
      <c r="AR16" s="476">
        <f>AQ16/AQ15</f>
        <v>2.2454545454545456</v>
      </c>
      <c r="AS16" s="480"/>
      <c r="AT16" s="615"/>
      <c r="AV16" s="404"/>
      <c r="AW16" s="404"/>
      <c r="AX16" s="410"/>
      <c r="BB16" s="477"/>
      <c r="BC16" s="405" t="s">
        <v>102</v>
      </c>
      <c r="BD16" s="419">
        <f>SUM(AS12:BE12)</f>
        <v>2717900</v>
      </c>
      <c r="BE16" s="477">
        <f>BD16/BD15</f>
        <v>1.2820283018867924</v>
      </c>
      <c r="BF16" s="481"/>
      <c r="BM16" s="405" t="s">
        <v>102</v>
      </c>
      <c r="BN16" s="419">
        <f>SUM(BF12:BO12)</f>
        <v>1021000</v>
      </c>
      <c r="BO16" s="476">
        <f>BN16/BN15</f>
        <v>1.0978494623655914</v>
      </c>
      <c r="BP16" s="535"/>
    </row>
    <row r="18" spans="1:69" x14ac:dyDescent="0.2">
      <c r="A18" s="556" t="s">
        <v>0</v>
      </c>
      <c r="B18" s="406">
        <f>M18+AE18+BE18+BO18+AN18+AH18+T18+AQ18</f>
        <v>32</v>
      </c>
      <c r="C18" s="406">
        <v>1</v>
      </c>
      <c r="D18" s="406">
        <v>1</v>
      </c>
      <c r="E18" s="406">
        <v>1</v>
      </c>
      <c r="F18" s="406">
        <v>1</v>
      </c>
      <c r="G18" s="406">
        <v>1</v>
      </c>
      <c r="H18" s="406">
        <v>1</v>
      </c>
      <c r="I18" s="406">
        <v>2</v>
      </c>
      <c r="J18" s="406"/>
      <c r="K18" s="406"/>
      <c r="L18" s="406"/>
      <c r="M18" s="406">
        <v>3</v>
      </c>
      <c r="N18" s="482">
        <v>1</v>
      </c>
      <c r="O18" s="406">
        <v>1</v>
      </c>
      <c r="P18" s="406">
        <v>1</v>
      </c>
      <c r="Q18" s="587">
        <v>2</v>
      </c>
      <c r="R18" s="706"/>
      <c r="S18" s="405">
        <v>3</v>
      </c>
      <c r="T18" s="575">
        <v>3</v>
      </c>
      <c r="U18" s="406">
        <v>1</v>
      </c>
      <c r="V18" s="406">
        <v>1</v>
      </c>
      <c r="W18" s="406">
        <v>1</v>
      </c>
      <c r="X18" s="406">
        <v>2</v>
      </c>
      <c r="Y18" s="406">
        <v>2</v>
      </c>
      <c r="Z18" s="405">
        <v>3</v>
      </c>
      <c r="AA18" s="406"/>
      <c r="AB18" s="405">
        <v>4</v>
      </c>
      <c r="AC18" s="406"/>
      <c r="AD18" s="407">
        <v>5</v>
      </c>
      <c r="AE18" s="406">
        <v>5</v>
      </c>
      <c r="AF18" s="483">
        <v>1</v>
      </c>
      <c r="AG18" s="484">
        <v>1</v>
      </c>
      <c r="AH18" s="485">
        <v>2</v>
      </c>
      <c r="AI18" s="414">
        <v>1</v>
      </c>
      <c r="AJ18" s="406">
        <v>1</v>
      </c>
      <c r="AK18" s="406">
        <v>2</v>
      </c>
      <c r="AL18" s="406">
        <v>2</v>
      </c>
      <c r="AM18" s="406"/>
      <c r="AN18" s="406">
        <v>2</v>
      </c>
      <c r="AO18" s="482">
        <v>1</v>
      </c>
      <c r="AP18" s="484">
        <v>2</v>
      </c>
      <c r="AQ18" s="484">
        <v>3</v>
      </c>
      <c r="AR18" s="485">
        <v>4</v>
      </c>
      <c r="AS18" s="484">
        <v>1</v>
      </c>
      <c r="AT18" s="406">
        <v>2</v>
      </c>
      <c r="AU18" s="406"/>
      <c r="AV18" s="406">
        <v>3</v>
      </c>
      <c r="AW18" s="406">
        <v>3</v>
      </c>
      <c r="AX18" s="406">
        <v>3</v>
      </c>
      <c r="AY18" s="406">
        <v>4</v>
      </c>
      <c r="AZ18" s="406">
        <v>4</v>
      </c>
      <c r="BA18" s="406">
        <v>4</v>
      </c>
      <c r="BB18" s="484">
        <v>5</v>
      </c>
      <c r="BC18" s="484">
        <v>5</v>
      </c>
      <c r="BD18" s="484">
        <v>6</v>
      </c>
      <c r="BE18" s="485">
        <v>7</v>
      </c>
      <c r="BF18" s="406">
        <v>1</v>
      </c>
      <c r="BG18" s="407">
        <v>1</v>
      </c>
      <c r="BH18" s="406">
        <v>2</v>
      </c>
      <c r="BI18" s="406">
        <v>3</v>
      </c>
      <c r="BJ18" s="406">
        <v>4</v>
      </c>
      <c r="BK18" s="406">
        <v>5</v>
      </c>
      <c r="BL18" s="406">
        <v>6</v>
      </c>
      <c r="BM18" s="406">
        <v>6</v>
      </c>
      <c r="BN18" s="406"/>
      <c r="BO18" s="485">
        <v>7</v>
      </c>
      <c r="BP18" s="537">
        <f>M18+AE18+AH18+AN18+AQ18+BE18+BO18+T18</f>
        <v>32</v>
      </c>
      <c r="BQ18" s="408" t="s">
        <v>1</v>
      </c>
    </row>
    <row r="19" spans="1:69" x14ac:dyDescent="0.2">
      <c r="A19" s="563">
        <v>45962</v>
      </c>
      <c r="B19" s="528" t="s">
        <v>2</v>
      </c>
      <c r="C19" s="422" t="s">
        <v>3</v>
      </c>
      <c r="D19" s="422" t="s">
        <v>4</v>
      </c>
      <c r="E19" s="422" t="s">
        <v>5</v>
      </c>
      <c r="F19" s="422" t="s">
        <v>6</v>
      </c>
      <c r="G19" s="422" t="s">
        <v>7</v>
      </c>
      <c r="H19" s="422" t="s">
        <v>8</v>
      </c>
      <c r="I19" s="422" t="s">
        <v>9</v>
      </c>
      <c r="J19" s="422" t="s">
        <v>9</v>
      </c>
      <c r="K19" s="423" t="s">
        <v>10</v>
      </c>
      <c r="L19" s="423" t="s">
        <v>103</v>
      </c>
      <c r="M19" s="527" t="s">
        <v>11</v>
      </c>
      <c r="N19" s="571" t="s">
        <v>12</v>
      </c>
      <c r="O19" s="572" t="s">
        <v>13</v>
      </c>
      <c r="P19" s="572" t="s">
        <v>14</v>
      </c>
      <c r="Q19" s="573" t="s">
        <v>15</v>
      </c>
      <c r="R19" s="707"/>
      <c r="S19" s="574" t="s">
        <v>16</v>
      </c>
      <c r="T19" s="576" t="s">
        <v>17</v>
      </c>
      <c r="U19" s="511" t="s">
        <v>18</v>
      </c>
      <c r="V19" s="424" t="s">
        <v>19</v>
      </c>
      <c r="W19" s="424" t="s">
        <v>20</v>
      </c>
      <c r="X19" s="424" t="s">
        <v>21</v>
      </c>
      <c r="Y19" s="424" t="s">
        <v>22</v>
      </c>
      <c r="Z19" s="424" t="s">
        <v>23</v>
      </c>
      <c r="AA19" s="424"/>
      <c r="AB19" s="424" t="s">
        <v>24</v>
      </c>
      <c r="AC19" s="525" t="s">
        <v>25</v>
      </c>
      <c r="AD19" s="436" t="s">
        <v>26</v>
      </c>
      <c r="AE19" s="525" t="s">
        <v>27</v>
      </c>
      <c r="AF19" s="494" t="s">
        <v>28</v>
      </c>
      <c r="AG19" s="495" t="s">
        <v>29</v>
      </c>
      <c r="AH19" s="608" t="s">
        <v>30</v>
      </c>
      <c r="AI19" s="605" t="s">
        <v>31</v>
      </c>
      <c r="AJ19" s="425" t="s">
        <v>32</v>
      </c>
      <c r="AK19" s="425" t="s">
        <v>33</v>
      </c>
      <c r="AL19" s="425" t="s">
        <v>34</v>
      </c>
      <c r="AM19" s="425"/>
      <c r="AN19" s="425" t="s">
        <v>35</v>
      </c>
      <c r="AO19" s="597" t="s">
        <v>36</v>
      </c>
      <c r="AP19" s="598" t="s">
        <v>37</v>
      </c>
      <c r="AQ19" s="599" t="s">
        <v>38</v>
      </c>
      <c r="AR19" s="600" t="s">
        <v>104</v>
      </c>
      <c r="AS19" s="611" t="s">
        <v>39</v>
      </c>
      <c r="AT19" s="426" t="s">
        <v>40</v>
      </c>
      <c r="AU19" s="426"/>
      <c r="AV19" s="426" t="s">
        <v>41</v>
      </c>
      <c r="AW19" s="426" t="s">
        <v>42</v>
      </c>
      <c r="AX19" s="426" t="s">
        <v>43</v>
      </c>
      <c r="AY19" s="426" t="s">
        <v>44</v>
      </c>
      <c r="AZ19" s="426" t="s">
        <v>45</v>
      </c>
      <c r="BA19" s="610" t="s">
        <v>46</v>
      </c>
      <c r="BB19" s="426" t="s">
        <v>47</v>
      </c>
      <c r="BC19" s="486" t="s">
        <v>47</v>
      </c>
      <c r="BD19" s="486" t="s">
        <v>48</v>
      </c>
      <c r="BE19" s="487" t="s">
        <v>49</v>
      </c>
      <c r="BF19" s="437" t="s">
        <v>50</v>
      </c>
      <c r="BG19" s="427" t="s">
        <v>51</v>
      </c>
      <c r="BH19" s="428" t="s">
        <v>52</v>
      </c>
      <c r="BI19" s="428" t="s">
        <v>53</v>
      </c>
      <c r="BJ19" s="427" t="s">
        <v>54</v>
      </c>
      <c r="BK19" s="493" t="s">
        <v>55</v>
      </c>
      <c r="BL19" s="428" t="s">
        <v>56</v>
      </c>
      <c r="BM19" s="428" t="s">
        <v>57</v>
      </c>
      <c r="BN19" s="427"/>
      <c r="BO19" s="488" t="s">
        <v>58</v>
      </c>
      <c r="BP19" s="535"/>
    </row>
    <row r="20" spans="1:69" x14ac:dyDescent="0.2">
      <c r="A20" s="557" t="s">
        <v>59</v>
      </c>
      <c r="B20" s="407">
        <v>57</v>
      </c>
      <c r="C20" s="430" t="s">
        <v>60</v>
      </c>
      <c r="D20" s="431" t="s">
        <v>61</v>
      </c>
      <c r="E20" s="432" t="s">
        <v>62</v>
      </c>
      <c r="F20" s="432" t="s">
        <v>62</v>
      </c>
      <c r="G20" s="432" t="s">
        <v>62</v>
      </c>
      <c r="H20" s="432" t="s">
        <v>62</v>
      </c>
      <c r="I20" s="431" t="s">
        <v>61</v>
      </c>
      <c r="J20" s="432"/>
      <c r="K20" s="432"/>
      <c r="L20" s="438"/>
      <c r="M20" s="526" t="s">
        <v>61</v>
      </c>
      <c r="N20" s="441" t="s">
        <v>61</v>
      </c>
      <c r="O20" s="434" t="s">
        <v>63</v>
      </c>
      <c r="P20" s="438" t="s">
        <v>62</v>
      </c>
      <c r="Q20" s="438" t="s">
        <v>62</v>
      </c>
      <c r="R20" s="708"/>
      <c r="S20" s="403" t="s">
        <v>62</v>
      </c>
      <c r="T20" s="577" t="s">
        <v>61</v>
      </c>
      <c r="U20" s="512" t="s">
        <v>64</v>
      </c>
      <c r="V20" s="432" t="s">
        <v>65</v>
      </c>
      <c r="W20" s="432" t="s">
        <v>65</v>
      </c>
      <c r="X20" s="432" t="s">
        <v>62</v>
      </c>
      <c r="Y20" s="431" t="s">
        <v>61</v>
      </c>
      <c r="Z20" s="433" t="s">
        <v>66</v>
      </c>
      <c r="AA20" s="432"/>
      <c r="AB20" s="523" t="s">
        <v>61</v>
      </c>
      <c r="AC20" s="519" t="s">
        <v>62</v>
      </c>
      <c r="AD20" s="588" t="s">
        <v>61</v>
      </c>
      <c r="AE20" s="526" t="s">
        <v>61</v>
      </c>
      <c r="AF20" s="441" t="s">
        <v>67</v>
      </c>
      <c r="AG20" s="433" t="s">
        <v>66</v>
      </c>
      <c r="AH20" s="609" t="s">
        <v>68</v>
      </c>
      <c r="AI20" s="606" t="s">
        <v>62</v>
      </c>
      <c r="AJ20" s="431" t="s">
        <v>61</v>
      </c>
      <c r="AK20" s="431" t="s">
        <v>61</v>
      </c>
      <c r="AL20" s="431" t="s">
        <v>61</v>
      </c>
      <c r="AM20" s="431"/>
      <c r="AN20" s="430" t="s">
        <v>69</v>
      </c>
      <c r="AO20" s="441" t="s">
        <v>61</v>
      </c>
      <c r="AP20" s="433" t="s">
        <v>68</v>
      </c>
      <c r="AQ20" s="439" t="s">
        <v>68</v>
      </c>
      <c r="AR20" s="526" t="s">
        <v>61</v>
      </c>
      <c r="AS20" s="496" t="s">
        <v>68</v>
      </c>
      <c r="AT20" s="431" t="s">
        <v>61</v>
      </c>
      <c r="AU20" s="432"/>
      <c r="AV20" s="431" t="s">
        <v>61</v>
      </c>
      <c r="AW20" s="432" t="s">
        <v>62</v>
      </c>
      <c r="AX20" s="430" t="s">
        <v>69</v>
      </c>
      <c r="AY20" s="441" t="s">
        <v>61</v>
      </c>
      <c r="AZ20" s="438" t="s">
        <v>62</v>
      </c>
      <c r="BA20" s="616" t="s">
        <v>69</v>
      </c>
      <c r="BB20" s="512" t="s">
        <v>68</v>
      </c>
      <c r="BC20" s="430" t="s">
        <v>60</v>
      </c>
      <c r="BD20" s="438" t="s">
        <v>62</v>
      </c>
      <c r="BE20" s="440" t="s">
        <v>68</v>
      </c>
      <c r="BF20" s="441" t="s">
        <v>61</v>
      </c>
      <c r="BG20" s="433" t="s">
        <v>66</v>
      </c>
      <c r="BH20" s="433" t="s">
        <v>68</v>
      </c>
      <c r="BI20" s="432" t="s">
        <v>62</v>
      </c>
      <c r="BJ20" s="432" t="s">
        <v>62</v>
      </c>
      <c r="BK20" s="439" t="s">
        <v>70</v>
      </c>
      <c r="BL20" s="431" t="s">
        <v>61</v>
      </c>
      <c r="BM20" s="431" t="s">
        <v>61</v>
      </c>
      <c r="BN20" s="432"/>
      <c r="BO20" s="442" t="s">
        <v>62</v>
      </c>
      <c r="BP20" s="535"/>
    </row>
    <row r="21" spans="1:69" x14ac:dyDescent="0.2">
      <c r="A21" s="557" t="s">
        <v>71</v>
      </c>
      <c r="B21" s="400">
        <f>SUM(C21:BO21)</f>
        <v>147</v>
      </c>
      <c r="C21" s="412">
        <v>2</v>
      </c>
      <c r="D21" s="412">
        <v>2</v>
      </c>
      <c r="E21" s="412">
        <v>3</v>
      </c>
      <c r="F21" s="412">
        <v>3</v>
      </c>
      <c r="G21" s="412">
        <v>3</v>
      </c>
      <c r="H21" s="412">
        <v>3</v>
      </c>
      <c r="I21" s="412">
        <v>2</v>
      </c>
      <c r="J21" s="412"/>
      <c r="K21" s="412"/>
      <c r="L21" s="443"/>
      <c r="M21" s="445">
        <v>2</v>
      </c>
      <c r="N21" s="446">
        <v>2</v>
      </c>
      <c r="O21" s="412">
        <v>4</v>
      </c>
      <c r="P21" s="443">
        <v>3</v>
      </c>
      <c r="Q21" s="443">
        <v>2</v>
      </c>
      <c r="R21" s="414"/>
      <c r="S21" s="409">
        <v>2</v>
      </c>
      <c r="T21" s="578">
        <v>2</v>
      </c>
      <c r="U21" s="446">
        <v>3</v>
      </c>
      <c r="V21" s="412">
        <v>2</v>
      </c>
      <c r="W21" s="412">
        <v>0</v>
      </c>
      <c r="X21" s="412">
        <v>6</v>
      </c>
      <c r="Y21" s="412">
        <v>2</v>
      </c>
      <c r="Z21" s="412">
        <v>4</v>
      </c>
      <c r="AA21" s="412"/>
      <c r="AB21" s="443">
        <v>2</v>
      </c>
      <c r="AC21" s="520">
        <v>2</v>
      </c>
      <c r="AD21" s="446">
        <v>2</v>
      </c>
      <c r="AE21" s="498">
        <v>2</v>
      </c>
      <c r="AF21" s="497">
        <v>3</v>
      </c>
      <c r="AG21" s="498">
        <v>2</v>
      </c>
      <c r="AH21" s="445">
        <v>4</v>
      </c>
      <c r="AI21" s="446">
        <v>2</v>
      </c>
      <c r="AJ21" s="412">
        <v>2</v>
      </c>
      <c r="AK21" s="412">
        <v>3</v>
      </c>
      <c r="AL21" s="412">
        <v>3</v>
      </c>
      <c r="AM21" s="529"/>
      <c r="AN21" s="529">
        <v>2</v>
      </c>
      <c r="AO21" s="444">
        <v>2</v>
      </c>
      <c r="AP21" s="412">
        <v>4</v>
      </c>
      <c r="AQ21" s="443">
        <v>2</v>
      </c>
      <c r="AR21" s="445">
        <v>1</v>
      </c>
      <c r="AS21" s="500">
        <v>4</v>
      </c>
      <c r="AT21" s="412">
        <v>1</v>
      </c>
      <c r="AU21" s="412"/>
      <c r="AV21" s="412">
        <v>3</v>
      </c>
      <c r="AW21" s="412">
        <v>3</v>
      </c>
      <c r="AX21" s="412">
        <v>2</v>
      </c>
      <c r="AY21" s="412">
        <v>3</v>
      </c>
      <c r="AZ21" s="412">
        <v>3</v>
      </c>
      <c r="BA21" s="529">
        <v>2</v>
      </c>
      <c r="BB21" s="412">
        <v>4</v>
      </c>
      <c r="BC21" s="412">
        <v>3</v>
      </c>
      <c r="BD21" s="412">
        <v>2</v>
      </c>
      <c r="BE21" s="445">
        <v>3</v>
      </c>
      <c r="BF21" s="446">
        <v>2</v>
      </c>
      <c r="BG21" s="412">
        <v>4</v>
      </c>
      <c r="BH21" s="412">
        <v>4</v>
      </c>
      <c r="BI21" s="412">
        <v>2</v>
      </c>
      <c r="BJ21" s="412">
        <v>2</v>
      </c>
      <c r="BK21" s="443">
        <v>4</v>
      </c>
      <c r="BL21" s="412">
        <v>2</v>
      </c>
      <c r="BM21" s="412">
        <v>2</v>
      </c>
      <c r="BN21" s="412"/>
      <c r="BO21" s="445">
        <v>2</v>
      </c>
      <c r="BP21" s="538">
        <f>SUM(C21:BO21)</f>
        <v>147</v>
      </c>
      <c r="BQ21" s="395" t="s">
        <v>72</v>
      </c>
    </row>
    <row r="22" spans="1:69" x14ac:dyDescent="0.2">
      <c r="A22" s="557" t="s">
        <v>73</v>
      </c>
      <c r="B22" s="400"/>
      <c r="C22" s="412">
        <v>300</v>
      </c>
      <c r="D22" s="412">
        <v>300</v>
      </c>
      <c r="E22" s="412">
        <v>300</v>
      </c>
      <c r="F22" s="412">
        <v>300</v>
      </c>
      <c r="G22" s="412">
        <v>300</v>
      </c>
      <c r="H22" s="412">
        <v>300</v>
      </c>
      <c r="I22" s="412">
        <v>300</v>
      </c>
      <c r="J22" s="412"/>
      <c r="K22" s="412"/>
      <c r="L22" s="443"/>
      <c r="M22" s="445">
        <v>300</v>
      </c>
      <c r="N22" s="446">
        <v>300</v>
      </c>
      <c r="O22" s="412">
        <v>300</v>
      </c>
      <c r="P22" s="443">
        <v>300</v>
      </c>
      <c r="Q22" s="443">
        <v>300</v>
      </c>
      <c r="R22" s="414"/>
      <c r="S22" s="409">
        <v>300</v>
      </c>
      <c r="T22" s="578">
        <v>300</v>
      </c>
      <c r="U22" s="446">
        <v>400</v>
      </c>
      <c r="V22" s="412">
        <v>150</v>
      </c>
      <c r="W22" s="412">
        <v>150</v>
      </c>
      <c r="X22" s="412">
        <v>150</v>
      </c>
      <c r="Y22" s="412">
        <v>300</v>
      </c>
      <c r="Z22" s="412">
        <v>400</v>
      </c>
      <c r="AA22" s="412"/>
      <c r="AB22" s="443">
        <v>300</v>
      </c>
      <c r="AC22" s="520">
        <v>300</v>
      </c>
      <c r="AD22" s="446">
        <v>300</v>
      </c>
      <c r="AE22" s="412">
        <v>300</v>
      </c>
      <c r="AF22" s="444">
        <v>300</v>
      </c>
      <c r="AG22" s="412">
        <v>400</v>
      </c>
      <c r="AH22" s="445">
        <v>400</v>
      </c>
      <c r="AI22" s="446">
        <v>300</v>
      </c>
      <c r="AJ22" s="412">
        <v>300</v>
      </c>
      <c r="AK22" s="412">
        <v>300</v>
      </c>
      <c r="AL22" s="412">
        <v>300</v>
      </c>
      <c r="AM22" s="443"/>
      <c r="AN22" s="443">
        <v>300</v>
      </c>
      <c r="AO22" s="444">
        <v>300</v>
      </c>
      <c r="AP22" s="412">
        <v>400</v>
      </c>
      <c r="AQ22" s="443">
        <v>400</v>
      </c>
      <c r="AR22" s="445">
        <v>300</v>
      </c>
      <c r="AS22" s="500">
        <v>400</v>
      </c>
      <c r="AT22" s="412">
        <v>300</v>
      </c>
      <c r="AU22" s="412"/>
      <c r="AV22" s="412">
        <v>300</v>
      </c>
      <c r="AW22" s="412">
        <v>300</v>
      </c>
      <c r="AX22" s="412">
        <v>300</v>
      </c>
      <c r="AY22" s="412">
        <v>300</v>
      </c>
      <c r="AZ22" s="412">
        <v>300</v>
      </c>
      <c r="BA22" s="443">
        <v>300</v>
      </c>
      <c r="BB22" s="412">
        <v>400</v>
      </c>
      <c r="BC22" s="412">
        <v>300</v>
      </c>
      <c r="BD22" s="412">
        <v>300</v>
      </c>
      <c r="BE22" s="445">
        <v>400</v>
      </c>
      <c r="BF22" s="446">
        <v>300</v>
      </c>
      <c r="BG22" s="412">
        <v>400</v>
      </c>
      <c r="BH22" s="412">
        <v>400</v>
      </c>
      <c r="BI22" s="412">
        <v>300</v>
      </c>
      <c r="BJ22" s="412">
        <v>300</v>
      </c>
      <c r="BK22" s="443">
        <v>400</v>
      </c>
      <c r="BL22" s="412">
        <v>300</v>
      </c>
      <c r="BM22" s="412">
        <v>300</v>
      </c>
      <c r="BN22" s="412"/>
      <c r="BO22" s="445">
        <v>300</v>
      </c>
      <c r="BP22" s="535"/>
    </row>
    <row r="23" spans="1:69" x14ac:dyDescent="0.2">
      <c r="A23" s="557" t="s">
        <v>74</v>
      </c>
      <c r="B23" s="401"/>
      <c r="C23" s="400" t="s">
        <v>75</v>
      </c>
      <c r="D23" s="400" t="s">
        <v>75</v>
      </c>
      <c r="E23" s="400" t="s">
        <v>76</v>
      </c>
      <c r="F23" s="400" t="s">
        <v>77</v>
      </c>
      <c r="G23" s="400" t="s">
        <v>78</v>
      </c>
      <c r="H23" s="400" t="s">
        <v>79</v>
      </c>
      <c r="I23" s="400" t="s">
        <v>75</v>
      </c>
      <c r="J23" s="400"/>
      <c r="K23" s="400"/>
      <c r="L23" s="447"/>
      <c r="M23" s="449" t="s">
        <v>75</v>
      </c>
      <c r="N23" s="450" t="s">
        <v>75</v>
      </c>
      <c r="O23" s="400" t="s">
        <v>75</v>
      </c>
      <c r="P23" s="447" t="s">
        <v>76</v>
      </c>
      <c r="Q23" s="447" t="s">
        <v>75</v>
      </c>
      <c r="R23" s="709"/>
      <c r="S23" s="397" t="s">
        <v>75</v>
      </c>
      <c r="T23" s="579" t="s">
        <v>75</v>
      </c>
      <c r="U23" s="450" t="s">
        <v>75</v>
      </c>
      <c r="V23" s="400" t="s">
        <v>75</v>
      </c>
      <c r="W23" s="400" t="s">
        <v>75</v>
      </c>
      <c r="X23" s="400" t="s">
        <v>75</v>
      </c>
      <c r="Y23" s="400" t="s">
        <v>80</v>
      </c>
      <c r="Z23" s="400" t="s">
        <v>75</v>
      </c>
      <c r="AA23" s="400"/>
      <c r="AB23" s="447" t="s">
        <v>75</v>
      </c>
      <c r="AC23" s="521" t="s">
        <v>75</v>
      </c>
      <c r="AD23" s="450" t="s">
        <v>75</v>
      </c>
      <c r="AE23" s="400" t="s">
        <v>81</v>
      </c>
      <c r="AF23" s="448" t="s">
        <v>75</v>
      </c>
      <c r="AG23" s="400" t="s">
        <v>75</v>
      </c>
      <c r="AH23" s="449" t="s">
        <v>75</v>
      </c>
      <c r="AI23" s="450" t="s">
        <v>75</v>
      </c>
      <c r="AJ23" s="400" t="s">
        <v>75</v>
      </c>
      <c r="AK23" s="400" t="s">
        <v>75</v>
      </c>
      <c r="AL23" s="400" t="s">
        <v>75</v>
      </c>
      <c r="AM23" s="400"/>
      <c r="AN23" s="400" t="s">
        <v>75</v>
      </c>
      <c r="AO23" s="448" t="s">
        <v>75</v>
      </c>
      <c r="AP23" s="400" t="s">
        <v>75</v>
      </c>
      <c r="AQ23" s="447" t="s">
        <v>75</v>
      </c>
      <c r="AR23" s="449" t="s">
        <v>75</v>
      </c>
      <c r="AS23" s="402" t="s">
        <v>75</v>
      </c>
      <c r="AT23" s="400" t="s">
        <v>75</v>
      </c>
      <c r="AU23" s="400"/>
      <c r="AV23" s="400" t="s">
        <v>75</v>
      </c>
      <c r="AW23" s="400" t="s">
        <v>75</v>
      </c>
      <c r="AX23" s="400" t="s">
        <v>80</v>
      </c>
      <c r="AY23" s="400" t="s">
        <v>75</v>
      </c>
      <c r="AZ23" s="400" t="s">
        <v>75</v>
      </c>
      <c r="BA23" s="447" t="s">
        <v>80</v>
      </c>
      <c r="BB23" s="400" t="s">
        <v>75</v>
      </c>
      <c r="BC23" s="400" t="s">
        <v>75</v>
      </c>
      <c r="BD23" s="400" t="s">
        <v>75</v>
      </c>
      <c r="BE23" s="449" t="s">
        <v>75</v>
      </c>
      <c r="BF23" s="450" t="s">
        <v>82</v>
      </c>
      <c r="BG23" s="400" t="s">
        <v>75</v>
      </c>
      <c r="BH23" s="400" t="s">
        <v>75</v>
      </c>
      <c r="BI23" s="400" t="s">
        <v>75</v>
      </c>
      <c r="BJ23" s="400" t="s">
        <v>75</v>
      </c>
      <c r="BK23" s="447" t="s">
        <v>75</v>
      </c>
      <c r="BL23" s="400" t="s">
        <v>75</v>
      </c>
      <c r="BM23" s="400" t="s">
        <v>75</v>
      </c>
      <c r="BN23" s="400"/>
      <c r="BO23" s="449" t="s">
        <v>75</v>
      </c>
      <c r="BP23" s="539" t="s">
        <v>83</v>
      </c>
      <c r="BQ23" s="395">
        <v>26</v>
      </c>
    </row>
    <row r="24" spans="1:69" x14ac:dyDescent="0.2">
      <c r="A24" s="557" t="s">
        <v>84</v>
      </c>
      <c r="B24" s="401"/>
      <c r="C24" s="412">
        <v>500</v>
      </c>
      <c r="D24" s="412">
        <v>2000</v>
      </c>
      <c r="E24" s="412">
        <v>2000</v>
      </c>
      <c r="F24" s="412">
        <v>1000</v>
      </c>
      <c r="G24" s="412">
        <v>2000</v>
      </c>
      <c r="H24" s="412">
        <v>2000</v>
      </c>
      <c r="I24" s="412">
        <v>2000</v>
      </c>
      <c r="J24" s="412"/>
      <c r="K24" s="412"/>
      <c r="L24" s="443"/>
      <c r="M24" s="445">
        <v>1000</v>
      </c>
      <c r="N24" s="446">
        <v>1000</v>
      </c>
      <c r="O24" s="412">
        <v>2000</v>
      </c>
      <c r="P24" s="443">
        <v>2000</v>
      </c>
      <c r="Q24" s="443">
        <v>1000</v>
      </c>
      <c r="R24" s="414"/>
      <c r="S24" s="409">
        <v>2000</v>
      </c>
      <c r="T24" s="578">
        <v>1000</v>
      </c>
      <c r="U24" s="446">
        <v>2000</v>
      </c>
      <c r="V24" s="412">
        <v>500</v>
      </c>
      <c r="W24" s="412">
        <v>500</v>
      </c>
      <c r="X24" s="412">
        <v>2000</v>
      </c>
      <c r="Y24" s="412">
        <v>1000</v>
      </c>
      <c r="Z24" s="412">
        <v>2000</v>
      </c>
      <c r="AA24" s="412"/>
      <c r="AB24" s="443">
        <v>1000</v>
      </c>
      <c r="AC24" s="520">
        <v>1000</v>
      </c>
      <c r="AD24" s="446">
        <v>2000</v>
      </c>
      <c r="AE24" s="412">
        <v>2000</v>
      </c>
      <c r="AF24" s="444">
        <v>1000</v>
      </c>
      <c r="AG24" s="412">
        <v>2000</v>
      </c>
      <c r="AH24" s="445" t="s">
        <v>85</v>
      </c>
      <c r="AI24" s="446">
        <v>1000</v>
      </c>
      <c r="AJ24" s="412">
        <v>2000</v>
      </c>
      <c r="AK24" s="412">
        <v>1000</v>
      </c>
      <c r="AL24" s="412">
        <v>2000</v>
      </c>
      <c r="AM24" s="443"/>
      <c r="AN24" s="443">
        <v>500</v>
      </c>
      <c r="AO24" s="444">
        <v>1000</v>
      </c>
      <c r="AP24" s="412" t="s">
        <v>85</v>
      </c>
      <c r="AQ24" s="443" t="s">
        <v>85</v>
      </c>
      <c r="AR24" s="445">
        <v>3000</v>
      </c>
      <c r="AS24" s="500">
        <v>2000</v>
      </c>
      <c r="AT24" s="413">
        <v>2000</v>
      </c>
      <c r="AU24" s="412"/>
      <c r="AV24" s="412">
        <v>1000</v>
      </c>
      <c r="AW24" s="412">
        <v>2000</v>
      </c>
      <c r="AX24" s="412">
        <v>500</v>
      </c>
      <c r="AY24" s="412">
        <v>1000</v>
      </c>
      <c r="AZ24" s="412">
        <v>2000</v>
      </c>
      <c r="BA24" s="443">
        <v>500</v>
      </c>
      <c r="BB24" s="412">
        <v>2000</v>
      </c>
      <c r="BC24" s="412">
        <v>500</v>
      </c>
      <c r="BD24" s="412">
        <v>1000</v>
      </c>
      <c r="BE24" s="445" t="s">
        <v>85</v>
      </c>
      <c r="BF24" s="446">
        <v>1000</v>
      </c>
      <c r="BG24" s="412">
        <v>2000</v>
      </c>
      <c r="BH24" s="412" t="s">
        <v>85</v>
      </c>
      <c r="BI24" s="412">
        <v>1000</v>
      </c>
      <c r="BJ24" s="412">
        <v>2000</v>
      </c>
      <c r="BK24" s="443" t="s">
        <v>85</v>
      </c>
      <c r="BL24" s="412">
        <v>1000</v>
      </c>
      <c r="BM24" s="412">
        <v>2000</v>
      </c>
      <c r="BN24" s="412"/>
      <c r="BO24" s="445">
        <v>2000</v>
      </c>
      <c r="BP24" s="539" t="s">
        <v>86</v>
      </c>
      <c r="BQ24" s="395">
        <v>2</v>
      </c>
    </row>
    <row r="25" spans="1:69" x14ac:dyDescent="0.2">
      <c r="A25" s="559" t="s">
        <v>87</v>
      </c>
      <c r="B25" s="451">
        <f>SUM(C25:BO25)</f>
        <v>7672400</v>
      </c>
      <c r="C25" s="415">
        <v>93000</v>
      </c>
      <c r="D25" s="415">
        <v>232000</v>
      </c>
      <c r="E25" s="415"/>
      <c r="F25" s="415"/>
      <c r="G25" s="415"/>
      <c r="H25" s="415"/>
      <c r="I25" s="415">
        <v>216000</v>
      </c>
      <c r="J25" s="415">
        <v>120000</v>
      </c>
      <c r="K25" s="415">
        <v>343000</v>
      </c>
      <c r="L25" s="416">
        <v>195000</v>
      </c>
      <c r="M25" s="591">
        <v>176000</v>
      </c>
      <c r="N25" s="453">
        <v>96000</v>
      </c>
      <c r="O25" s="415">
        <v>264000</v>
      </c>
      <c r="P25" s="452"/>
      <c r="Q25" s="452">
        <v>130000</v>
      </c>
      <c r="R25" s="710"/>
      <c r="S25" s="568">
        <v>138000</v>
      </c>
      <c r="T25" s="580">
        <v>122000</v>
      </c>
      <c r="U25" s="455">
        <v>262000</v>
      </c>
      <c r="V25" s="416">
        <v>29000</v>
      </c>
      <c r="W25" s="416">
        <v>17000</v>
      </c>
      <c r="X25" s="415">
        <v>86000</v>
      </c>
      <c r="Y25" s="415">
        <v>98000</v>
      </c>
      <c r="Z25" s="421">
        <v>176000</v>
      </c>
      <c r="AA25" s="415"/>
      <c r="AB25" s="452">
        <v>70000</v>
      </c>
      <c r="AC25" s="522"/>
      <c r="AD25" s="524"/>
      <c r="AE25" s="452"/>
      <c r="AF25" s="453">
        <v>135000</v>
      </c>
      <c r="AG25" s="415">
        <v>275000</v>
      </c>
      <c r="AH25" s="454">
        <v>284000</v>
      </c>
      <c r="AI25" s="607">
        <v>94000</v>
      </c>
      <c r="AJ25" s="417">
        <v>68000</v>
      </c>
      <c r="AK25" s="415"/>
      <c r="AL25" s="415"/>
      <c r="AM25" s="452"/>
      <c r="AN25" s="452"/>
      <c r="AO25" s="453">
        <v>120000</v>
      </c>
      <c r="AP25" s="415">
        <v>159000</v>
      </c>
      <c r="AQ25" s="452">
        <v>81000</v>
      </c>
      <c r="AR25" s="454"/>
      <c r="AS25" s="524">
        <v>513000</v>
      </c>
      <c r="AT25" s="415">
        <v>138000</v>
      </c>
      <c r="AU25" s="455">
        <v>131000</v>
      </c>
      <c r="AV25" s="417">
        <v>140000</v>
      </c>
      <c r="AW25" s="417">
        <v>138000</v>
      </c>
      <c r="AX25" s="417">
        <v>85100</v>
      </c>
      <c r="AY25" s="415">
        <v>210000</v>
      </c>
      <c r="AZ25" s="415">
        <v>228000</v>
      </c>
      <c r="BA25" s="452">
        <v>70700</v>
      </c>
      <c r="BB25" s="415">
        <v>193000</v>
      </c>
      <c r="BC25" s="417">
        <v>46600</v>
      </c>
      <c r="BD25" s="417"/>
      <c r="BE25" s="454">
        <v>699000</v>
      </c>
      <c r="BF25" s="455">
        <v>103000</v>
      </c>
      <c r="BG25" s="415">
        <v>138000</v>
      </c>
      <c r="BH25" s="415">
        <v>94000</v>
      </c>
      <c r="BI25" s="415">
        <v>72000</v>
      </c>
      <c r="BJ25" s="415">
        <v>138000</v>
      </c>
      <c r="BK25" s="452">
        <v>147000</v>
      </c>
      <c r="BL25" s="418">
        <v>97000</v>
      </c>
      <c r="BM25" s="418">
        <v>132000</v>
      </c>
      <c r="BN25" s="415"/>
      <c r="BO25" s="454">
        <v>80000</v>
      </c>
      <c r="BP25" s="539" t="s">
        <v>66</v>
      </c>
      <c r="BQ25" s="395">
        <v>10</v>
      </c>
    </row>
    <row r="26" spans="1:69" x14ac:dyDescent="0.2">
      <c r="A26" s="560" t="s">
        <v>88</v>
      </c>
      <c r="B26" s="456">
        <f>SUM(C26:BO26)</f>
        <v>10280000</v>
      </c>
      <c r="C26" s="457">
        <v>120000</v>
      </c>
      <c r="D26" s="457">
        <v>200000</v>
      </c>
      <c r="E26" s="457">
        <v>120000</v>
      </c>
      <c r="F26" s="457">
        <v>120000</v>
      </c>
      <c r="G26" s="457">
        <v>120000</v>
      </c>
      <c r="H26" s="457">
        <v>120000</v>
      </c>
      <c r="I26" s="457">
        <v>250000</v>
      </c>
      <c r="J26" s="457"/>
      <c r="K26" s="457"/>
      <c r="L26" s="458"/>
      <c r="M26" s="491">
        <v>200000</v>
      </c>
      <c r="N26" s="459">
        <v>250000</v>
      </c>
      <c r="O26" s="457">
        <v>400000</v>
      </c>
      <c r="P26" s="458">
        <v>120000</v>
      </c>
      <c r="Q26" s="458">
        <v>200000</v>
      </c>
      <c r="R26" s="711"/>
      <c r="S26" s="567">
        <v>300000</v>
      </c>
      <c r="T26" s="581">
        <v>250000</v>
      </c>
      <c r="U26" s="459">
        <v>280000</v>
      </c>
      <c r="V26" s="457">
        <v>40000</v>
      </c>
      <c r="W26" s="457">
        <v>40000</v>
      </c>
      <c r="X26" s="457">
        <v>140000</v>
      </c>
      <c r="Y26" s="457">
        <v>130000</v>
      </c>
      <c r="Z26" s="457">
        <v>250000</v>
      </c>
      <c r="AA26" s="457">
        <f t="shared" ref="AA26:BO26" si="6">(AA25+AA12)/2</f>
        <v>0</v>
      </c>
      <c r="AB26" s="457">
        <v>150000</v>
      </c>
      <c r="AC26" s="457">
        <v>100000</v>
      </c>
      <c r="AD26" s="457">
        <v>250000</v>
      </c>
      <c r="AE26" s="458">
        <v>100000</v>
      </c>
      <c r="AF26" s="489">
        <v>140000</v>
      </c>
      <c r="AG26" s="490">
        <v>350000</v>
      </c>
      <c r="AH26" s="491">
        <v>290000</v>
      </c>
      <c r="AI26" s="459">
        <v>120000</v>
      </c>
      <c r="AJ26" s="457">
        <v>150000</v>
      </c>
      <c r="AK26" s="457">
        <v>150000</v>
      </c>
      <c r="AL26" s="457">
        <v>200000</v>
      </c>
      <c r="AM26" s="458"/>
      <c r="AN26" s="458">
        <v>100000</v>
      </c>
      <c r="AO26" s="489">
        <v>230000</v>
      </c>
      <c r="AP26" s="490">
        <v>260000</v>
      </c>
      <c r="AQ26" s="490">
        <v>190000</v>
      </c>
      <c r="AR26" s="491">
        <v>300000</v>
      </c>
      <c r="AS26" s="612">
        <v>500000</v>
      </c>
      <c r="AT26" s="457">
        <v>200000</v>
      </c>
      <c r="AU26" s="457"/>
      <c r="AV26" s="457">
        <v>130000</v>
      </c>
      <c r="AW26" s="457">
        <v>150000</v>
      </c>
      <c r="AX26" s="457">
        <v>120000</v>
      </c>
      <c r="AY26" s="457">
        <v>190000</v>
      </c>
      <c r="AZ26" s="457">
        <v>200000</v>
      </c>
      <c r="BA26" s="458">
        <v>140000</v>
      </c>
      <c r="BB26" s="490">
        <v>170000</v>
      </c>
      <c r="BC26" s="490">
        <v>70000</v>
      </c>
      <c r="BD26" s="490">
        <v>120000</v>
      </c>
      <c r="BE26" s="491">
        <v>450000</v>
      </c>
      <c r="BF26" s="459">
        <v>100000</v>
      </c>
      <c r="BG26" s="457">
        <v>140000</v>
      </c>
      <c r="BH26" s="457">
        <v>200000</v>
      </c>
      <c r="BI26" s="457">
        <v>70000</v>
      </c>
      <c r="BJ26" s="457">
        <f t="shared" si="6"/>
        <v>160000</v>
      </c>
      <c r="BK26" s="458">
        <v>140000</v>
      </c>
      <c r="BL26" s="457">
        <v>110000</v>
      </c>
      <c r="BM26" s="457">
        <v>130000</v>
      </c>
      <c r="BN26" s="457">
        <f t="shared" si="6"/>
        <v>0</v>
      </c>
      <c r="BO26" s="491">
        <f t="shared" si="6"/>
        <v>60000</v>
      </c>
      <c r="BP26" s="539" t="s">
        <v>67</v>
      </c>
      <c r="BQ26" s="395">
        <v>15</v>
      </c>
    </row>
    <row r="27" spans="1:69" x14ac:dyDescent="0.2">
      <c r="A27" s="561"/>
      <c r="B27" s="460"/>
      <c r="C27" s="492"/>
      <c r="D27" s="492"/>
      <c r="E27" s="492"/>
      <c r="F27" s="492"/>
      <c r="G27" s="492"/>
      <c r="H27" s="492"/>
      <c r="I27" s="407"/>
      <c r="J27" s="492"/>
      <c r="K27" s="492"/>
      <c r="L27" s="492"/>
      <c r="M27" s="502"/>
      <c r="N27" s="499"/>
      <c r="O27" s="492"/>
      <c r="P27" s="492"/>
      <c r="Q27" s="492"/>
      <c r="R27" s="712"/>
      <c r="S27" s="586"/>
      <c r="T27" s="582"/>
      <c r="U27" s="492"/>
      <c r="V27" s="492"/>
      <c r="W27" s="492"/>
      <c r="X27" s="509"/>
      <c r="Y27" s="492"/>
      <c r="Z27" s="492"/>
      <c r="AA27" s="509"/>
      <c r="AB27" s="492"/>
      <c r="AC27" s="500"/>
      <c r="AD27" s="500"/>
      <c r="AE27" s="500"/>
      <c r="AF27" s="506"/>
      <c r="AG27" s="492"/>
      <c r="AH27" s="501"/>
      <c r="AI27" s="507"/>
      <c r="AJ27" s="492"/>
      <c r="AK27" s="492"/>
      <c r="AL27" s="492"/>
      <c r="AM27" s="492"/>
      <c r="AN27" s="492"/>
      <c r="AO27" s="506"/>
      <c r="AP27" s="492"/>
      <c r="AQ27" s="492"/>
      <c r="AR27" s="595"/>
      <c r="AS27" s="492"/>
      <c r="AT27" s="613"/>
      <c r="AU27" s="492"/>
      <c r="AV27" s="492"/>
      <c r="AW27" s="507"/>
      <c r="AX27" s="492"/>
      <c r="AY27" s="492"/>
      <c r="AZ27" s="507"/>
      <c r="BA27" s="492"/>
      <c r="BB27" s="492"/>
      <c r="BC27" s="417"/>
      <c r="BD27" s="492"/>
      <c r="BE27" s="501"/>
      <c r="BF27" s="502"/>
      <c r="BG27" s="492"/>
      <c r="BH27" s="492"/>
      <c r="BI27" s="507"/>
      <c r="BJ27" s="507"/>
      <c r="BK27" s="500"/>
      <c r="BL27" s="492"/>
      <c r="BM27" s="492"/>
      <c r="BN27" s="500"/>
      <c r="BO27" s="508"/>
      <c r="BP27" s="539" t="s">
        <v>89</v>
      </c>
      <c r="BQ27" s="395">
        <v>1</v>
      </c>
    </row>
    <row r="28" spans="1:69" s="461" customFormat="1" ht="16.5" x14ac:dyDescent="0.2">
      <c r="A28" s="565" t="s">
        <v>90</v>
      </c>
      <c r="B28" s="530">
        <f>SUM(C28:BO28)</f>
        <v>9423800</v>
      </c>
      <c r="C28" s="540">
        <f>福重!F85-200</f>
        <v>175000</v>
      </c>
      <c r="D28" s="540">
        <f>福重!Q85</f>
        <v>151000</v>
      </c>
      <c r="E28" s="540">
        <f>福重!AT85</f>
        <v>126000</v>
      </c>
      <c r="F28" s="540">
        <f>福重!AA85</f>
        <v>98000</v>
      </c>
      <c r="G28" s="540">
        <f>福重!AG85</f>
        <v>190000</v>
      </c>
      <c r="H28" s="540">
        <f>福重!AM85</f>
        <v>108000</v>
      </c>
      <c r="I28" s="540">
        <f>那珂川!F33</f>
        <v>208000</v>
      </c>
      <c r="J28" s="531"/>
      <c r="K28" s="531"/>
      <c r="L28" s="531"/>
      <c r="M28" s="566">
        <f>唐津!E29+36000</f>
        <v>184000</v>
      </c>
      <c r="N28" s="541">
        <f>飯塚!S33</f>
        <v>115000</v>
      </c>
      <c r="O28" s="540">
        <f>飯塚!H33</f>
        <v>218000</v>
      </c>
      <c r="P28" s="540">
        <f>飯塚!AB33</f>
        <v>70000</v>
      </c>
      <c r="Q28" s="566">
        <f>小倉!F29</f>
        <v>209000</v>
      </c>
      <c r="R28" s="713"/>
      <c r="S28" s="569">
        <f>+黒崎!F27</f>
        <v>282000</v>
      </c>
      <c r="T28" s="583">
        <f>+黒崎!Q27</f>
        <v>274000</v>
      </c>
      <c r="U28" s="542">
        <v>268000</v>
      </c>
      <c r="V28" s="540">
        <v>30000</v>
      </c>
      <c r="W28" s="540">
        <v>38500</v>
      </c>
      <c r="X28" s="540">
        <v>192000</v>
      </c>
      <c r="Y28" s="540">
        <v>163000</v>
      </c>
      <c r="Z28" s="540">
        <v>215000</v>
      </c>
      <c r="AA28" s="531"/>
      <c r="AB28" s="540">
        <v>258000</v>
      </c>
      <c r="AC28" s="540">
        <v>115000</v>
      </c>
      <c r="AD28" s="543">
        <v>204000</v>
      </c>
      <c r="AE28" s="543">
        <v>94000</v>
      </c>
      <c r="AF28" s="544">
        <v>135000</v>
      </c>
      <c r="AG28" s="545">
        <v>351000</v>
      </c>
      <c r="AH28" s="547">
        <v>202000</v>
      </c>
      <c r="AI28" s="603">
        <v>76000</v>
      </c>
      <c r="AJ28" s="545">
        <v>112000</v>
      </c>
      <c r="AK28" s="545">
        <v>149000</v>
      </c>
      <c r="AL28" s="545">
        <v>166000</v>
      </c>
      <c r="AM28" s="545"/>
      <c r="AN28" s="545">
        <v>125900</v>
      </c>
      <c r="AO28" s="602">
        <v>219000</v>
      </c>
      <c r="AP28" s="545">
        <v>294000</v>
      </c>
      <c r="AQ28" s="546">
        <v>327000</v>
      </c>
      <c r="AR28" s="547">
        <v>402000</v>
      </c>
      <c r="AS28" s="618">
        <v>484000</v>
      </c>
      <c r="AT28" s="545">
        <v>210000</v>
      </c>
      <c r="AU28" s="545"/>
      <c r="AV28" s="545">
        <v>124000</v>
      </c>
      <c r="AW28" s="545">
        <v>190000</v>
      </c>
      <c r="AX28" s="545">
        <v>70400</v>
      </c>
      <c r="AY28" s="545">
        <v>257000</v>
      </c>
      <c r="AZ28" s="545">
        <v>142000</v>
      </c>
      <c r="BA28" s="546">
        <v>127800</v>
      </c>
      <c r="BB28" s="545">
        <v>158000</v>
      </c>
      <c r="BC28" s="545">
        <v>90200</v>
      </c>
      <c r="BD28" s="545">
        <v>131000</v>
      </c>
      <c r="BE28" s="547">
        <v>255000</v>
      </c>
      <c r="BF28" s="542">
        <v>41000</v>
      </c>
      <c r="BG28" s="540">
        <v>111000</v>
      </c>
      <c r="BH28" s="545">
        <v>92000</v>
      </c>
      <c r="BI28" s="545">
        <v>66000</v>
      </c>
      <c r="BJ28" s="540">
        <v>106000</v>
      </c>
      <c r="BK28" s="543">
        <v>103000</v>
      </c>
      <c r="BL28" s="620">
        <v>55000</v>
      </c>
      <c r="BM28" s="620">
        <v>46000</v>
      </c>
      <c r="BN28" s="531"/>
      <c r="BO28" s="619">
        <v>20000</v>
      </c>
      <c r="BP28" s="539" t="s">
        <v>60</v>
      </c>
      <c r="BQ28" s="411">
        <v>4</v>
      </c>
    </row>
    <row r="29" spans="1:69" s="461" customFormat="1" ht="16.5" x14ac:dyDescent="0.2">
      <c r="A29" s="562" t="s">
        <v>91</v>
      </c>
      <c r="B29" s="548">
        <f t="shared" ref="B29:I29" si="7">B28/B26</f>
        <v>0.91671206225680935</v>
      </c>
      <c r="C29" s="549">
        <f t="shared" si="7"/>
        <v>1.4583333333333333</v>
      </c>
      <c r="D29" s="549">
        <f t="shared" si="7"/>
        <v>0.755</v>
      </c>
      <c r="E29" s="549">
        <f t="shared" si="7"/>
        <v>1.05</v>
      </c>
      <c r="F29" s="549">
        <f t="shared" si="7"/>
        <v>0.81666666666666665</v>
      </c>
      <c r="G29" s="549">
        <f t="shared" si="7"/>
        <v>1.5833333333333333</v>
      </c>
      <c r="H29" s="549">
        <f t="shared" si="7"/>
        <v>0.9</v>
      </c>
      <c r="I29" s="549">
        <f t="shared" si="7"/>
        <v>0.83199999999999996</v>
      </c>
      <c r="J29" s="549"/>
      <c r="K29" s="549"/>
      <c r="L29" s="550"/>
      <c r="M29" s="551">
        <f t="shared" ref="M29:Z29" si="8">M28/M26</f>
        <v>0.92</v>
      </c>
      <c r="N29" s="552">
        <f t="shared" si="8"/>
        <v>0.46</v>
      </c>
      <c r="O29" s="550">
        <f t="shared" si="8"/>
        <v>0.54500000000000004</v>
      </c>
      <c r="P29" s="550">
        <f t="shared" si="8"/>
        <v>0.58333333333333337</v>
      </c>
      <c r="Q29" s="550">
        <f t="shared" si="8"/>
        <v>1.0449999999999999</v>
      </c>
      <c r="R29" s="714"/>
      <c r="S29" s="570">
        <f t="shared" si="8"/>
        <v>0.94</v>
      </c>
      <c r="T29" s="584">
        <f>T28/T26</f>
        <v>1.0960000000000001</v>
      </c>
      <c r="U29" s="552">
        <f t="shared" si="8"/>
        <v>0.95714285714285718</v>
      </c>
      <c r="V29" s="550">
        <f t="shared" si="8"/>
        <v>0.75</v>
      </c>
      <c r="W29" s="550">
        <f t="shared" si="8"/>
        <v>0.96250000000000002</v>
      </c>
      <c r="X29" s="550">
        <f t="shared" si="8"/>
        <v>1.3714285714285714</v>
      </c>
      <c r="Y29" s="550">
        <f t="shared" si="8"/>
        <v>1.2538461538461538</v>
      </c>
      <c r="Z29" s="550">
        <f t="shared" si="8"/>
        <v>0.86</v>
      </c>
      <c r="AA29" s="550"/>
      <c r="AB29" s="550">
        <f>AB28/AB26</f>
        <v>1.72</v>
      </c>
      <c r="AC29" s="550">
        <f t="shared" ref="AC29" si="9">AC28/AC26</f>
        <v>1.1499999999999999</v>
      </c>
      <c r="AD29" s="550">
        <f>AD28/AD26</f>
        <v>0.81599999999999995</v>
      </c>
      <c r="AE29" s="550">
        <f>AE28/AE26</f>
        <v>0.94</v>
      </c>
      <c r="AF29" s="553">
        <f>IFERROR(AF28/AF26,"-")</f>
        <v>0.9642857142857143</v>
      </c>
      <c r="AG29" s="549">
        <f>IFERROR(AG28/AG26,"-")</f>
        <v>1.0028571428571429</v>
      </c>
      <c r="AH29" s="551">
        <f>IFERROR(AH28/AH26,"-")</f>
        <v>0.69655172413793098</v>
      </c>
      <c r="AI29" s="554">
        <f t="shared" ref="AI29:AQ29" si="10">IFERROR(AI28/AI26,"-")</f>
        <v>0.6333333333333333</v>
      </c>
      <c r="AJ29" s="549">
        <f t="shared" si="10"/>
        <v>0.7466666666666667</v>
      </c>
      <c r="AK29" s="549">
        <f t="shared" si="10"/>
        <v>0.99333333333333329</v>
      </c>
      <c r="AL29" s="549">
        <f t="shared" si="10"/>
        <v>0.83</v>
      </c>
      <c r="AM29" s="549"/>
      <c r="AN29" s="549">
        <f t="shared" si="10"/>
        <v>1.2589999999999999</v>
      </c>
      <c r="AO29" s="594">
        <f t="shared" si="10"/>
        <v>0.95217391304347831</v>
      </c>
      <c r="AP29" s="601">
        <f t="shared" si="10"/>
        <v>1.1307692307692307</v>
      </c>
      <c r="AQ29" s="601">
        <f t="shared" si="10"/>
        <v>1.7210526315789474</v>
      </c>
      <c r="AR29" s="551">
        <f>IFERROR(AR28/AR26,"-")</f>
        <v>1.34</v>
      </c>
      <c r="AS29" s="552">
        <f>IFERROR(AS28/AS26,"-")</f>
        <v>0.96799999999999997</v>
      </c>
      <c r="AT29" s="549">
        <f>IFERROR(AT28/AT26,"-")</f>
        <v>1.05</v>
      </c>
      <c r="AU29" s="549"/>
      <c r="AV29" s="549">
        <f t="shared" ref="AV29:BM29" si="11">IFERROR(AV28/AV26,"-")</f>
        <v>0.9538461538461539</v>
      </c>
      <c r="AW29" s="549">
        <f t="shared" si="11"/>
        <v>1.2666666666666666</v>
      </c>
      <c r="AX29" s="549">
        <f t="shared" si="11"/>
        <v>0.58666666666666667</v>
      </c>
      <c r="AY29" s="549">
        <f t="shared" si="11"/>
        <v>1.3526315789473684</v>
      </c>
      <c r="AZ29" s="549">
        <f t="shared" si="11"/>
        <v>0.71</v>
      </c>
      <c r="BA29" s="550">
        <f t="shared" si="11"/>
        <v>0.91285714285714281</v>
      </c>
      <c r="BB29" s="549">
        <f t="shared" si="11"/>
        <v>0.92941176470588238</v>
      </c>
      <c r="BC29" s="549">
        <f t="shared" si="11"/>
        <v>1.2885714285714285</v>
      </c>
      <c r="BD29" s="549">
        <f t="shared" si="11"/>
        <v>1.0916666666666666</v>
      </c>
      <c r="BE29" s="551">
        <f t="shared" si="11"/>
        <v>0.56666666666666665</v>
      </c>
      <c r="BF29" s="554">
        <f t="shared" si="11"/>
        <v>0.41</v>
      </c>
      <c r="BG29" s="549">
        <f t="shared" si="11"/>
        <v>0.79285714285714282</v>
      </c>
      <c r="BH29" s="549">
        <f t="shared" si="11"/>
        <v>0.46</v>
      </c>
      <c r="BI29" s="549">
        <f t="shared" si="11"/>
        <v>0.94285714285714284</v>
      </c>
      <c r="BJ29" s="549">
        <f t="shared" si="11"/>
        <v>0.66249999999999998</v>
      </c>
      <c r="BK29" s="549">
        <f t="shared" si="11"/>
        <v>0.73571428571428577</v>
      </c>
      <c r="BL29" s="549">
        <f t="shared" si="11"/>
        <v>0.5</v>
      </c>
      <c r="BM29" s="549">
        <f t="shared" si="11"/>
        <v>0.35384615384615387</v>
      </c>
      <c r="BN29" s="549"/>
      <c r="BO29" s="551">
        <f>IFERROR(BO28/BO26,"-")</f>
        <v>0.33333333333333331</v>
      </c>
      <c r="BP29" s="536"/>
      <c r="BQ29" s="461">
        <f>SUM(BQ20:BQ28)</f>
        <v>58</v>
      </c>
    </row>
    <row r="30" spans="1:69" ht="19.5" x14ac:dyDescent="0.2">
      <c r="A30" s="617">
        <f>B29</f>
        <v>0.91671206225680935</v>
      </c>
      <c r="B30" s="462"/>
      <c r="C30" s="463"/>
      <c r="D30" s="463"/>
      <c r="E30" s="463"/>
      <c r="F30" s="463"/>
      <c r="G30" s="463"/>
      <c r="H30" s="463"/>
      <c r="I30" s="463"/>
      <c r="J30" s="463"/>
      <c r="K30" s="462"/>
      <c r="L30" s="463"/>
      <c r="M30" s="503"/>
      <c r="N30" s="464"/>
      <c r="O30" s="463"/>
      <c r="P30" s="463"/>
      <c r="Q30" s="503"/>
      <c r="R30" s="715"/>
      <c r="S30" s="420"/>
      <c r="T30" s="585"/>
      <c r="U30" s="463"/>
      <c r="V30" s="463"/>
      <c r="W30" s="463"/>
      <c r="X30" s="463"/>
      <c r="Y30" s="463"/>
      <c r="Z30" s="463"/>
      <c r="AA30" s="463"/>
      <c r="AB30" s="463"/>
      <c r="AC30" s="463"/>
      <c r="AD30" s="463"/>
      <c r="AE30" s="463"/>
      <c r="AF30" s="464"/>
      <c r="AG30" s="463"/>
      <c r="AH30" s="466"/>
      <c r="AI30" s="463"/>
      <c r="AJ30" s="463"/>
      <c r="AK30" s="463"/>
      <c r="AL30" s="463"/>
      <c r="AM30" s="463"/>
      <c r="AN30" s="463"/>
      <c r="AO30" s="464"/>
      <c r="AP30" s="463"/>
      <c r="AQ30" s="463"/>
      <c r="AR30" s="596"/>
      <c r="AS30" s="463"/>
      <c r="AT30" s="465"/>
      <c r="AU30" s="463"/>
      <c r="AV30" s="463"/>
      <c r="AW30" s="463"/>
      <c r="AX30" s="463"/>
      <c r="AY30" s="463"/>
      <c r="AZ30" s="463"/>
      <c r="BA30" s="463"/>
      <c r="BB30" s="463"/>
      <c r="BC30" s="417"/>
      <c r="BD30" s="463"/>
      <c r="BE30" s="466"/>
      <c r="BF30" s="463"/>
      <c r="BG30" s="463"/>
      <c r="BH30" s="463"/>
      <c r="BI30" s="463"/>
      <c r="BJ30" s="463"/>
      <c r="BK30" s="463"/>
      <c r="BL30" s="463"/>
      <c r="BM30" s="463"/>
      <c r="BN30" s="463"/>
      <c r="BO30" s="466"/>
      <c r="BP30" s="534"/>
    </row>
    <row r="31" spans="1:69" ht="16.5" x14ac:dyDescent="0.2">
      <c r="A31" s="593" t="s">
        <v>92</v>
      </c>
      <c r="B31" s="592"/>
      <c r="C31" s="558" t="s">
        <v>93</v>
      </c>
      <c r="D31" s="394" t="s">
        <v>94</v>
      </c>
      <c r="E31" s="396">
        <f>B28/B20</f>
        <v>165329.82456140351</v>
      </c>
      <c r="F31" s="405" t="s">
        <v>95</v>
      </c>
      <c r="G31" s="510" t="s">
        <v>96</v>
      </c>
      <c r="H31" s="399"/>
      <c r="K31" s="405" t="s">
        <v>97</v>
      </c>
      <c r="L31" s="419">
        <f>SUM(C26:M26)</f>
        <v>1250000</v>
      </c>
      <c r="M31" s="467"/>
      <c r="N31" s="410"/>
      <c r="O31" s="410"/>
      <c r="Q31" s="474" t="s">
        <v>97</v>
      </c>
      <c r="R31" s="474"/>
      <c r="S31" s="469">
        <f>SUM(N26:T26)</f>
        <v>1520000</v>
      </c>
      <c r="T31" s="589"/>
      <c r="W31" s="410"/>
      <c r="X31" s="410"/>
      <c r="Y31" s="410"/>
      <c r="Z31" s="410"/>
      <c r="AA31" s="410"/>
      <c r="AC31" s="405" t="s">
        <v>97</v>
      </c>
      <c r="AD31" s="419">
        <f>SUM(U26:AE26)</f>
        <v>1480000</v>
      </c>
      <c r="AE31" s="419"/>
      <c r="AF31" s="468" t="s">
        <v>97</v>
      </c>
      <c r="AG31" s="469">
        <f>SUM(AF26:AH26)</f>
        <v>780000</v>
      </c>
      <c r="AH31" s="467"/>
      <c r="AI31" s="472"/>
      <c r="AJ31" s="513" t="s">
        <v>98</v>
      </c>
      <c r="AK31" s="474" t="s">
        <v>97</v>
      </c>
      <c r="AL31" s="469">
        <f>SUM(AI26:AN26)</f>
        <v>720000</v>
      </c>
      <c r="AM31" s="469"/>
      <c r="AN31" s="475"/>
      <c r="AO31" s="405"/>
      <c r="AP31" s="405" t="s">
        <v>97</v>
      </c>
      <c r="AQ31" s="479">
        <f>SUM(AO26:AR26)</f>
        <v>980000</v>
      </c>
      <c r="AR31" s="475"/>
      <c r="AS31" s="429"/>
      <c r="AT31" s="614"/>
      <c r="AU31" s="472"/>
      <c r="AV31" s="470"/>
      <c r="AW31" s="513" t="s">
        <v>98</v>
      </c>
      <c r="AX31" s="473"/>
      <c r="BC31" s="405" t="s">
        <v>97</v>
      </c>
      <c r="BD31" s="419">
        <f>SUM(AS26:BE26)</f>
        <v>2440000</v>
      </c>
      <c r="BF31" s="471"/>
      <c r="BG31" s="472"/>
      <c r="BH31" s="472"/>
      <c r="BI31" s="473"/>
      <c r="BJ31" s="472"/>
      <c r="BL31" s="472"/>
      <c r="BM31" s="474" t="s">
        <v>97</v>
      </c>
      <c r="BN31" s="469">
        <f>SUM(BF26:BO26)</f>
        <v>1110000</v>
      </c>
      <c r="BO31" s="475"/>
      <c r="BP31" s="535"/>
      <c r="BQ31" s="404"/>
    </row>
    <row r="32" spans="1:69" ht="16.5" x14ac:dyDescent="0.2">
      <c r="A32" s="564" t="s">
        <v>99</v>
      </c>
      <c r="B32" s="504" t="s">
        <v>100</v>
      </c>
      <c r="C32" s="435">
        <v>45947</v>
      </c>
      <c r="D32" s="394" t="s">
        <v>101</v>
      </c>
      <c r="E32" s="398">
        <v>33818900</v>
      </c>
      <c r="F32" s="505">
        <f>B28</f>
        <v>9423800</v>
      </c>
      <c r="G32" s="398">
        <f>E32-B28</f>
        <v>24395100</v>
      </c>
      <c r="H32" s="399"/>
      <c r="K32" s="405" t="s">
        <v>102</v>
      </c>
      <c r="L32" s="419">
        <f>SUM(C28:M28)</f>
        <v>1240000</v>
      </c>
      <c r="M32" s="476">
        <f>L32/L31</f>
        <v>0.99199999999999999</v>
      </c>
      <c r="N32" s="410"/>
      <c r="O32" s="410"/>
      <c r="Q32" s="405" t="s">
        <v>102</v>
      </c>
      <c r="R32" s="405"/>
      <c r="S32" s="419">
        <f>SUM(N28:T28)</f>
        <v>1168000</v>
      </c>
      <c r="T32" s="590">
        <f>S32/S31</f>
        <v>0.76842105263157889</v>
      </c>
      <c r="W32" s="410"/>
      <c r="X32" s="410"/>
      <c r="Y32" s="410"/>
      <c r="Z32" s="410"/>
      <c r="AA32" s="410"/>
      <c r="AC32" s="405" t="s">
        <v>102</v>
      </c>
      <c r="AD32" s="419">
        <f>SUM(U28:AE28)</f>
        <v>1577500</v>
      </c>
      <c r="AE32" s="477">
        <f>AD32/AD31</f>
        <v>1.0658783783783783</v>
      </c>
      <c r="AF32" s="478" t="s">
        <v>102</v>
      </c>
      <c r="AG32" s="419">
        <f>SUM(AF28:AH28)</f>
        <v>688000</v>
      </c>
      <c r="AH32" s="476">
        <f>AG32/AG31</f>
        <v>0.88205128205128203</v>
      </c>
      <c r="AI32" s="429"/>
      <c r="AK32" s="405" t="s">
        <v>102</v>
      </c>
      <c r="AL32" s="419">
        <f>SUM(AI28:AN28)</f>
        <v>628900</v>
      </c>
      <c r="AM32" s="419"/>
      <c r="AN32" s="476">
        <f>AL32/AL31</f>
        <v>0.87347222222222221</v>
      </c>
      <c r="AO32" s="405"/>
      <c r="AP32" s="405" t="s">
        <v>102</v>
      </c>
      <c r="AQ32" s="479">
        <f>SUM(AO28:AR28)</f>
        <v>1242000</v>
      </c>
      <c r="AR32" s="476">
        <f>AQ32/AQ31</f>
        <v>1.2673469387755103</v>
      </c>
      <c r="AS32" s="480"/>
      <c r="AT32" s="615"/>
      <c r="AV32" s="404"/>
      <c r="AW32" s="404"/>
      <c r="AX32" s="410"/>
      <c r="BB32" s="477"/>
      <c r="BC32" s="405" t="s">
        <v>102</v>
      </c>
      <c r="BD32" s="419">
        <f>SUM(AS28:BE28)</f>
        <v>2239400</v>
      </c>
      <c r="BE32" s="477">
        <f>BD32/BD31</f>
        <v>0.91778688524590168</v>
      </c>
      <c r="BF32" s="481"/>
      <c r="BM32" s="405" t="s">
        <v>102</v>
      </c>
      <c r="BN32" s="419">
        <f>SUM(BF28:BO28)</f>
        <v>640000</v>
      </c>
      <c r="BO32" s="476">
        <f>BN32/BN31</f>
        <v>0.57657657657657657</v>
      </c>
      <c r="BP32" s="535"/>
    </row>
    <row r="34" spans="1:69" x14ac:dyDescent="0.2">
      <c r="A34" s="556" t="s">
        <v>0</v>
      </c>
      <c r="B34" s="406">
        <f>M34+AE34+BE34+BO34+AH34+T34+AL34</f>
        <v>33</v>
      </c>
      <c r="C34" s="406">
        <v>1</v>
      </c>
      <c r="D34" s="406">
        <v>1</v>
      </c>
      <c r="E34" s="406">
        <v>1</v>
      </c>
      <c r="F34" s="406">
        <v>1</v>
      </c>
      <c r="G34" s="406">
        <v>1</v>
      </c>
      <c r="H34" s="406">
        <v>1</v>
      </c>
      <c r="I34" s="406">
        <v>2</v>
      </c>
      <c r="J34" s="406"/>
      <c r="K34" s="406"/>
      <c r="L34" s="406">
        <v>3</v>
      </c>
      <c r="M34" s="406">
        <v>3</v>
      </c>
      <c r="N34" s="482">
        <v>1</v>
      </c>
      <c r="O34" s="406">
        <v>1</v>
      </c>
      <c r="P34" s="406">
        <v>1</v>
      </c>
      <c r="Q34" s="587">
        <v>2</v>
      </c>
      <c r="R34" s="706"/>
      <c r="S34" s="405">
        <v>3</v>
      </c>
      <c r="T34" s="575">
        <v>3</v>
      </c>
      <c r="U34" s="406">
        <v>1</v>
      </c>
      <c r="V34" s="406">
        <v>1</v>
      </c>
      <c r="W34" s="406">
        <v>1</v>
      </c>
      <c r="X34" s="406">
        <v>2</v>
      </c>
      <c r="Y34" s="406">
        <v>2</v>
      </c>
      <c r="Z34" s="405">
        <v>3</v>
      </c>
      <c r="AA34" s="406"/>
      <c r="AB34" s="405">
        <v>4</v>
      </c>
      <c r="AC34" s="406"/>
      <c r="AD34" s="407">
        <v>5</v>
      </c>
      <c r="AE34" s="406">
        <v>5</v>
      </c>
      <c r="AF34" s="483">
        <v>1</v>
      </c>
      <c r="AG34" s="484">
        <v>1</v>
      </c>
      <c r="AH34" s="485">
        <v>2</v>
      </c>
      <c r="AI34" s="482">
        <v>1</v>
      </c>
      <c r="AJ34" s="484">
        <v>2</v>
      </c>
      <c r="AK34" s="484">
        <v>3</v>
      </c>
      <c r="AL34" s="485">
        <v>4</v>
      </c>
      <c r="AM34" s="414"/>
      <c r="AN34" s="406">
        <v>1</v>
      </c>
      <c r="AO34" s="406">
        <v>1</v>
      </c>
      <c r="AP34" s="406">
        <v>2</v>
      </c>
      <c r="AQ34" s="406">
        <v>2</v>
      </c>
      <c r="AR34" s="406">
        <v>2</v>
      </c>
      <c r="AS34" s="406">
        <v>3</v>
      </c>
      <c r="AT34" s="406">
        <v>3</v>
      </c>
      <c r="AU34" s="406">
        <v>3</v>
      </c>
      <c r="AV34" s="414">
        <v>4</v>
      </c>
      <c r="AW34" s="406">
        <v>4</v>
      </c>
      <c r="AX34" s="406">
        <v>5</v>
      </c>
      <c r="AY34" s="406">
        <v>5</v>
      </c>
      <c r="AZ34" s="406">
        <v>5</v>
      </c>
      <c r="BA34" s="414">
        <v>6</v>
      </c>
      <c r="BB34" s="484">
        <v>7</v>
      </c>
      <c r="BC34" s="484">
        <v>7</v>
      </c>
      <c r="BD34" s="484">
        <v>8</v>
      </c>
      <c r="BE34" s="485">
        <v>9</v>
      </c>
      <c r="BF34" s="406">
        <v>1</v>
      </c>
      <c r="BG34" s="407">
        <v>1</v>
      </c>
      <c r="BH34" s="406">
        <v>2</v>
      </c>
      <c r="BI34" s="406">
        <v>3</v>
      </c>
      <c r="BJ34" s="406">
        <v>4</v>
      </c>
      <c r="BK34" s="406">
        <v>5</v>
      </c>
      <c r="BL34" s="406">
        <v>6</v>
      </c>
      <c r="BM34" s="406">
        <v>6</v>
      </c>
      <c r="BN34" s="406"/>
      <c r="BO34" s="485">
        <v>7</v>
      </c>
      <c r="BP34" s="537">
        <f>M34+AE34+AH34+AL34+BE34+BO34+T34</f>
        <v>33</v>
      </c>
      <c r="BQ34" s="408" t="s">
        <v>1</v>
      </c>
    </row>
    <row r="35" spans="1:69" x14ac:dyDescent="0.2">
      <c r="A35" s="563">
        <v>45992</v>
      </c>
      <c r="B35" s="528" t="s">
        <v>2</v>
      </c>
      <c r="C35" s="422" t="s">
        <v>3</v>
      </c>
      <c r="D35" s="422" t="s">
        <v>4</v>
      </c>
      <c r="E35" s="422" t="s">
        <v>5</v>
      </c>
      <c r="F35" s="422" t="s">
        <v>6</v>
      </c>
      <c r="G35" s="422" t="s">
        <v>7</v>
      </c>
      <c r="H35" s="422" t="s">
        <v>8</v>
      </c>
      <c r="I35" s="422" t="s">
        <v>9</v>
      </c>
      <c r="J35" s="422" t="s">
        <v>9</v>
      </c>
      <c r="K35" s="423" t="s">
        <v>10</v>
      </c>
      <c r="L35" s="423" t="s">
        <v>11</v>
      </c>
      <c r="M35" s="527" t="s">
        <v>11</v>
      </c>
      <c r="N35" s="571" t="s">
        <v>12</v>
      </c>
      <c r="O35" s="572" t="s">
        <v>13</v>
      </c>
      <c r="P35" s="572" t="s">
        <v>14</v>
      </c>
      <c r="Q35" s="573" t="s">
        <v>15</v>
      </c>
      <c r="R35" s="707"/>
      <c r="S35" s="574" t="s">
        <v>16</v>
      </c>
      <c r="T35" s="576" t="s">
        <v>17</v>
      </c>
      <c r="U35" s="511" t="s">
        <v>18</v>
      </c>
      <c r="V35" s="424" t="s">
        <v>19</v>
      </c>
      <c r="W35" s="424" t="s">
        <v>20</v>
      </c>
      <c r="X35" s="424" t="s">
        <v>21</v>
      </c>
      <c r="Y35" s="424" t="s">
        <v>22</v>
      </c>
      <c r="Z35" s="424" t="s">
        <v>23</v>
      </c>
      <c r="AA35" s="424"/>
      <c r="AB35" s="424" t="s">
        <v>24</v>
      </c>
      <c r="AC35" s="525" t="s">
        <v>25</v>
      </c>
      <c r="AD35" s="436" t="s">
        <v>26</v>
      </c>
      <c r="AE35" s="525" t="s">
        <v>27</v>
      </c>
      <c r="AF35" s="494" t="s">
        <v>28</v>
      </c>
      <c r="AG35" s="495" t="s">
        <v>29</v>
      </c>
      <c r="AH35" s="608" t="s">
        <v>30</v>
      </c>
      <c r="AI35" s="597" t="s">
        <v>36</v>
      </c>
      <c r="AJ35" s="598" t="s">
        <v>37</v>
      </c>
      <c r="AK35" s="599" t="s">
        <v>38</v>
      </c>
      <c r="AL35" s="600" t="s">
        <v>104</v>
      </c>
      <c r="AM35" s="825"/>
      <c r="AN35" s="426" t="s">
        <v>40</v>
      </c>
      <c r="AO35" s="426" t="s">
        <v>105</v>
      </c>
      <c r="AP35" s="426" t="s">
        <v>41</v>
      </c>
      <c r="AQ35" s="426" t="s">
        <v>42</v>
      </c>
      <c r="AR35" s="426" t="s">
        <v>43</v>
      </c>
      <c r="AS35" s="426" t="s">
        <v>44</v>
      </c>
      <c r="AT35" s="426" t="s">
        <v>45</v>
      </c>
      <c r="AU35" s="610" t="s">
        <v>46</v>
      </c>
      <c r="AV35" s="426" t="s">
        <v>31</v>
      </c>
      <c r="AW35" s="628" t="s">
        <v>32</v>
      </c>
      <c r="AX35" s="426" t="s">
        <v>33</v>
      </c>
      <c r="AY35" s="426" t="s">
        <v>34</v>
      </c>
      <c r="AZ35" s="631" t="s">
        <v>35</v>
      </c>
      <c r="BA35" s="426" t="s">
        <v>39</v>
      </c>
      <c r="BB35" s="639" t="s">
        <v>47</v>
      </c>
      <c r="BC35" s="486" t="s">
        <v>47</v>
      </c>
      <c r="BD35" s="486" t="s">
        <v>48</v>
      </c>
      <c r="BE35" s="487" t="s">
        <v>49</v>
      </c>
      <c r="BF35" s="437" t="s">
        <v>50</v>
      </c>
      <c r="BG35" s="427" t="s">
        <v>51</v>
      </c>
      <c r="BH35" s="428" t="s">
        <v>52</v>
      </c>
      <c r="BI35" s="428" t="s">
        <v>53</v>
      </c>
      <c r="BJ35" s="427" t="s">
        <v>54</v>
      </c>
      <c r="BK35" s="493" t="s">
        <v>55</v>
      </c>
      <c r="BL35" s="428" t="s">
        <v>56</v>
      </c>
      <c r="BM35" s="428" t="s">
        <v>57</v>
      </c>
      <c r="BN35" s="427" t="s">
        <v>106</v>
      </c>
      <c r="BO35" s="488" t="s">
        <v>58</v>
      </c>
      <c r="BP35" s="535"/>
    </row>
    <row r="36" spans="1:69" x14ac:dyDescent="0.2">
      <c r="A36" s="557" t="s">
        <v>59</v>
      </c>
      <c r="B36" s="407">
        <v>57</v>
      </c>
      <c r="C36" s="430" t="s">
        <v>60</v>
      </c>
      <c r="D36" s="431" t="s">
        <v>61</v>
      </c>
      <c r="E36" s="432" t="s">
        <v>62</v>
      </c>
      <c r="F36" s="432" t="s">
        <v>62</v>
      </c>
      <c r="G36" s="432" t="s">
        <v>62</v>
      </c>
      <c r="H36" s="432" t="s">
        <v>62</v>
      </c>
      <c r="I36" s="431" t="s">
        <v>61</v>
      </c>
      <c r="J36" s="432"/>
      <c r="K36" s="432"/>
      <c r="L36" s="523" t="s">
        <v>61</v>
      </c>
      <c r="M36" s="442" t="s">
        <v>83</v>
      </c>
      <c r="N36" s="441" t="s">
        <v>61</v>
      </c>
      <c r="O36" s="434" t="s">
        <v>63</v>
      </c>
      <c r="P36" s="438" t="s">
        <v>62</v>
      </c>
      <c r="Q36" s="438" t="s">
        <v>62</v>
      </c>
      <c r="R36" s="708"/>
      <c r="S36" s="403" t="s">
        <v>62</v>
      </c>
      <c r="T36" s="577" t="s">
        <v>61</v>
      </c>
      <c r="U36" s="512" t="s">
        <v>64</v>
      </c>
      <c r="V36" s="432" t="s">
        <v>65</v>
      </c>
      <c r="W36" s="432" t="s">
        <v>65</v>
      </c>
      <c r="X36" s="432" t="s">
        <v>62</v>
      </c>
      <c r="Y36" s="431" t="s">
        <v>61</v>
      </c>
      <c r="Z36" s="433" t="s">
        <v>66</v>
      </c>
      <c r="AA36" s="432"/>
      <c r="AB36" s="523" t="s">
        <v>61</v>
      </c>
      <c r="AC36" s="519" t="s">
        <v>62</v>
      </c>
      <c r="AD36" s="588" t="s">
        <v>61</v>
      </c>
      <c r="AE36" s="526" t="s">
        <v>61</v>
      </c>
      <c r="AF36" s="441" t="s">
        <v>67</v>
      </c>
      <c r="AG36" s="433" t="s">
        <v>66</v>
      </c>
      <c r="AH36" s="609" t="s">
        <v>68</v>
      </c>
      <c r="AI36" s="441" t="s">
        <v>61</v>
      </c>
      <c r="AJ36" s="433" t="s">
        <v>68</v>
      </c>
      <c r="AK36" s="439" t="s">
        <v>68</v>
      </c>
      <c r="AL36" s="526" t="s">
        <v>61</v>
      </c>
      <c r="AM36" s="523"/>
      <c r="AN36" s="431" t="s">
        <v>61</v>
      </c>
      <c r="AO36" s="432"/>
      <c r="AP36" s="431" t="s">
        <v>61</v>
      </c>
      <c r="AQ36" s="432" t="s">
        <v>62</v>
      </c>
      <c r="AR36" s="430" t="s">
        <v>69</v>
      </c>
      <c r="AS36" s="441" t="s">
        <v>61</v>
      </c>
      <c r="AT36" s="438" t="s">
        <v>62</v>
      </c>
      <c r="AU36" s="629" t="s">
        <v>69</v>
      </c>
      <c r="AV36" s="432" t="s">
        <v>62</v>
      </c>
      <c r="AW36" s="441" t="s">
        <v>61</v>
      </c>
      <c r="AX36" s="431" t="s">
        <v>61</v>
      </c>
      <c r="AY36" s="431" t="s">
        <v>61</v>
      </c>
      <c r="AZ36" s="632" t="s">
        <v>69</v>
      </c>
      <c r="BA36" s="433" t="s">
        <v>68</v>
      </c>
      <c r="BB36" s="512" t="s">
        <v>68</v>
      </c>
      <c r="BC36" s="634" t="s">
        <v>60</v>
      </c>
      <c r="BD36" s="438" t="s">
        <v>62</v>
      </c>
      <c r="BE36" s="440" t="s">
        <v>68</v>
      </c>
      <c r="BF36" s="441" t="s">
        <v>61</v>
      </c>
      <c r="BG36" s="433" t="s">
        <v>66</v>
      </c>
      <c r="BH36" s="433" t="s">
        <v>68</v>
      </c>
      <c r="BI36" s="432" t="s">
        <v>62</v>
      </c>
      <c r="BJ36" s="432" t="s">
        <v>62</v>
      </c>
      <c r="BK36" s="439" t="s">
        <v>70</v>
      </c>
      <c r="BL36" s="431" t="s">
        <v>61</v>
      </c>
      <c r="BM36" s="431" t="s">
        <v>61</v>
      </c>
      <c r="BN36" s="432"/>
      <c r="BO36" s="442" t="s">
        <v>62</v>
      </c>
      <c r="BP36" s="535"/>
    </row>
    <row r="37" spans="1:69" x14ac:dyDescent="0.2">
      <c r="A37" s="557" t="s">
        <v>71</v>
      </c>
      <c r="B37" s="400">
        <f>SUM(C37:BO37)</f>
        <v>148</v>
      </c>
      <c r="C37" s="412">
        <v>2</v>
      </c>
      <c r="D37" s="412">
        <v>2</v>
      </c>
      <c r="E37" s="412">
        <v>3</v>
      </c>
      <c r="F37" s="412">
        <v>3</v>
      </c>
      <c r="G37" s="412">
        <v>3</v>
      </c>
      <c r="H37" s="412">
        <v>3</v>
      </c>
      <c r="I37" s="412">
        <v>2</v>
      </c>
      <c r="J37" s="412"/>
      <c r="K37" s="412"/>
      <c r="L37" s="443">
        <v>2</v>
      </c>
      <c r="M37" s="445">
        <v>2</v>
      </c>
      <c r="N37" s="446">
        <v>2</v>
      </c>
      <c r="O37" s="412">
        <v>4</v>
      </c>
      <c r="P37" s="443">
        <v>3</v>
      </c>
      <c r="Q37" s="443">
        <v>2</v>
      </c>
      <c r="R37" s="414"/>
      <c r="S37" s="409">
        <v>2</v>
      </c>
      <c r="T37" s="578">
        <v>2</v>
      </c>
      <c r="U37" s="446">
        <v>3</v>
      </c>
      <c r="V37" s="412">
        <v>2</v>
      </c>
      <c r="W37" s="412">
        <v>0</v>
      </c>
      <c r="X37" s="412">
        <v>6</v>
      </c>
      <c r="Y37" s="412">
        <v>2</v>
      </c>
      <c r="Z37" s="412">
        <v>4</v>
      </c>
      <c r="AA37" s="412"/>
      <c r="AB37" s="443">
        <v>2</v>
      </c>
      <c r="AC37" s="520">
        <v>2</v>
      </c>
      <c r="AD37" s="446">
        <v>2</v>
      </c>
      <c r="AE37" s="498">
        <v>2</v>
      </c>
      <c r="AF37" s="497">
        <v>3</v>
      </c>
      <c r="AG37" s="498">
        <v>2</v>
      </c>
      <c r="AH37" s="445">
        <v>4</v>
      </c>
      <c r="AI37" s="444">
        <v>2</v>
      </c>
      <c r="AJ37" s="412">
        <v>4</v>
      </c>
      <c r="AK37" s="443">
        <v>2</v>
      </c>
      <c r="AL37" s="445">
        <v>1</v>
      </c>
      <c r="AM37" s="443"/>
      <c r="AN37" s="412">
        <v>1</v>
      </c>
      <c r="AO37" s="412"/>
      <c r="AP37" s="412">
        <v>3</v>
      </c>
      <c r="AQ37" s="412">
        <v>3</v>
      </c>
      <c r="AR37" s="412">
        <v>2</v>
      </c>
      <c r="AS37" s="412">
        <v>3</v>
      </c>
      <c r="AT37" s="412">
        <v>3</v>
      </c>
      <c r="AU37" s="529">
        <v>2</v>
      </c>
      <c r="AV37" s="412">
        <v>2</v>
      </c>
      <c r="AW37" s="446">
        <v>2</v>
      </c>
      <c r="AX37" s="412">
        <v>3</v>
      </c>
      <c r="AY37" s="412">
        <v>3</v>
      </c>
      <c r="AZ37" s="529">
        <v>2</v>
      </c>
      <c r="BA37" s="412">
        <v>4</v>
      </c>
      <c r="BB37" s="640">
        <v>4</v>
      </c>
      <c r="BC37" s="412">
        <v>3</v>
      </c>
      <c r="BD37" s="412">
        <v>2</v>
      </c>
      <c r="BE37" s="445">
        <v>3</v>
      </c>
      <c r="BF37" s="446">
        <v>2</v>
      </c>
      <c r="BG37" s="412">
        <v>4</v>
      </c>
      <c r="BH37" s="412">
        <v>3</v>
      </c>
      <c r="BI37" s="412">
        <v>2</v>
      </c>
      <c r="BJ37" s="412">
        <v>2</v>
      </c>
      <c r="BK37" s="443">
        <v>4</v>
      </c>
      <c r="BL37" s="412">
        <v>2</v>
      </c>
      <c r="BM37" s="412">
        <v>2</v>
      </c>
      <c r="BN37" s="412"/>
      <c r="BO37" s="445">
        <v>2</v>
      </c>
      <c r="BP37" s="538">
        <f>SUM(C37:BO37)</f>
        <v>148</v>
      </c>
      <c r="BQ37" s="395" t="s">
        <v>72</v>
      </c>
    </row>
    <row r="38" spans="1:69" x14ac:dyDescent="0.2">
      <c r="A38" s="557" t="s">
        <v>73</v>
      </c>
      <c r="B38" s="400"/>
      <c r="C38" s="412">
        <v>300</v>
      </c>
      <c r="D38" s="412">
        <v>300</v>
      </c>
      <c r="E38" s="412">
        <v>300</v>
      </c>
      <c r="F38" s="412">
        <v>300</v>
      </c>
      <c r="G38" s="412">
        <v>300</v>
      </c>
      <c r="H38" s="412">
        <v>300</v>
      </c>
      <c r="I38" s="412">
        <v>300</v>
      </c>
      <c r="J38" s="412"/>
      <c r="K38" s="412"/>
      <c r="L38" s="443">
        <v>300</v>
      </c>
      <c r="M38" s="445">
        <v>300</v>
      </c>
      <c r="N38" s="446">
        <v>300</v>
      </c>
      <c r="O38" s="412">
        <v>300</v>
      </c>
      <c r="P38" s="443">
        <v>300</v>
      </c>
      <c r="Q38" s="443">
        <v>300</v>
      </c>
      <c r="R38" s="414"/>
      <c r="S38" s="409">
        <v>300</v>
      </c>
      <c r="T38" s="578">
        <v>300</v>
      </c>
      <c r="U38" s="446">
        <v>400</v>
      </c>
      <c r="V38" s="412">
        <v>150</v>
      </c>
      <c r="W38" s="412">
        <v>150</v>
      </c>
      <c r="X38" s="412">
        <v>150</v>
      </c>
      <c r="Y38" s="412">
        <v>300</v>
      </c>
      <c r="Z38" s="412">
        <v>400</v>
      </c>
      <c r="AA38" s="412"/>
      <c r="AB38" s="443">
        <v>300</v>
      </c>
      <c r="AC38" s="520">
        <v>300</v>
      </c>
      <c r="AD38" s="446">
        <v>300</v>
      </c>
      <c r="AE38" s="412">
        <v>300</v>
      </c>
      <c r="AF38" s="444">
        <v>300</v>
      </c>
      <c r="AG38" s="412">
        <v>400</v>
      </c>
      <c r="AH38" s="445">
        <v>400</v>
      </c>
      <c r="AI38" s="444">
        <v>300</v>
      </c>
      <c r="AJ38" s="412">
        <v>400</v>
      </c>
      <c r="AK38" s="443">
        <v>400</v>
      </c>
      <c r="AL38" s="445">
        <v>300</v>
      </c>
      <c r="AM38" s="443"/>
      <c r="AN38" s="412">
        <v>300</v>
      </c>
      <c r="AO38" s="412"/>
      <c r="AP38" s="412">
        <v>300</v>
      </c>
      <c r="AQ38" s="412">
        <v>300</v>
      </c>
      <c r="AR38" s="412">
        <v>300</v>
      </c>
      <c r="AS38" s="412">
        <v>300</v>
      </c>
      <c r="AT38" s="412">
        <v>300</v>
      </c>
      <c r="AU38" s="443">
        <v>300</v>
      </c>
      <c r="AV38" s="412">
        <v>300</v>
      </c>
      <c r="AW38" s="446">
        <v>300</v>
      </c>
      <c r="AX38" s="412">
        <v>300</v>
      </c>
      <c r="AY38" s="412">
        <v>300</v>
      </c>
      <c r="AZ38" s="443">
        <v>300</v>
      </c>
      <c r="BA38" s="412">
        <v>400</v>
      </c>
      <c r="BB38" s="446">
        <v>400</v>
      </c>
      <c r="BC38" s="412">
        <v>300</v>
      </c>
      <c r="BD38" s="412">
        <v>300</v>
      </c>
      <c r="BE38" s="445">
        <v>400</v>
      </c>
      <c r="BF38" s="446">
        <v>300</v>
      </c>
      <c r="BG38" s="412">
        <v>400</v>
      </c>
      <c r="BH38" s="412">
        <v>400</v>
      </c>
      <c r="BI38" s="412">
        <v>300</v>
      </c>
      <c r="BJ38" s="412">
        <v>300</v>
      </c>
      <c r="BK38" s="443">
        <v>400</v>
      </c>
      <c r="BL38" s="412">
        <v>300</v>
      </c>
      <c r="BM38" s="412">
        <v>300</v>
      </c>
      <c r="BN38" s="412"/>
      <c r="BO38" s="445">
        <v>300</v>
      </c>
      <c r="BP38" s="535"/>
    </row>
    <row r="39" spans="1:69" x14ac:dyDescent="0.2">
      <c r="A39" s="557" t="s">
        <v>74</v>
      </c>
      <c r="B39" s="401"/>
      <c r="C39" s="400" t="s">
        <v>75</v>
      </c>
      <c r="D39" s="400" t="s">
        <v>75</v>
      </c>
      <c r="E39" s="400" t="s">
        <v>76</v>
      </c>
      <c r="F39" s="400" t="s">
        <v>77</v>
      </c>
      <c r="G39" s="400" t="s">
        <v>78</v>
      </c>
      <c r="H39" s="400" t="s">
        <v>79</v>
      </c>
      <c r="I39" s="400" t="s">
        <v>75</v>
      </c>
      <c r="J39" s="400"/>
      <c r="K39" s="400"/>
      <c r="L39" s="447" t="s">
        <v>75</v>
      </c>
      <c r="M39" s="449" t="s">
        <v>75</v>
      </c>
      <c r="N39" s="450" t="s">
        <v>75</v>
      </c>
      <c r="O39" s="400" t="s">
        <v>75</v>
      </c>
      <c r="P39" s="447" t="s">
        <v>76</v>
      </c>
      <c r="Q39" s="447" t="s">
        <v>75</v>
      </c>
      <c r="R39" s="709"/>
      <c r="S39" s="397" t="s">
        <v>75</v>
      </c>
      <c r="T39" s="579" t="s">
        <v>75</v>
      </c>
      <c r="U39" s="450" t="s">
        <v>75</v>
      </c>
      <c r="V39" s="400" t="s">
        <v>75</v>
      </c>
      <c r="W39" s="400" t="s">
        <v>75</v>
      </c>
      <c r="X39" s="400" t="s">
        <v>75</v>
      </c>
      <c r="Y39" s="400" t="s">
        <v>80</v>
      </c>
      <c r="Z39" s="400" t="s">
        <v>75</v>
      </c>
      <c r="AA39" s="400"/>
      <c r="AB39" s="447" t="s">
        <v>75</v>
      </c>
      <c r="AC39" s="521" t="s">
        <v>75</v>
      </c>
      <c r="AD39" s="450" t="s">
        <v>75</v>
      </c>
      <c r="AE39" s="400" t="s">
        <v>81</v>
      </c>
      <c r="AF39" s="448" t="s">
        <v>75</v>
      </c>
      <c r="AG39" s="400" t="s">
        <v>75</v>
      </c>
      <c r="AH39" s="449" t="s">
        <v>75</v>
      </c>
      <c r="AI39" s="448" t="s">
        <v>75</v>
      </c>
      <c r="AJ39" s="400" t="s">
        <v>75</v>
      </c>
      <c r="AK39" s="447" t="s">
        <v>75</v>
      </c>
      <c r="AL39" s="449" t="s">
        <v>75</v>
      </c>
      <c r="AM39" s="447"/>
      <c r="AN39" s="400" t="s">
        <v>75</v>
      </c>
      <c r="AO39" s="400"/>
      <c r="AP39" s="400" t="s">
        <v>75</v>
      </c>
      <c r="AQ39" s="400" t="s">
        <v>75</v>
      </c>
      <c r="AR39" s="400" t="s">
        <v>80</v>
      </c>
      <c r="AS39" s="400" t="s">
        <v>75</v>
      </c>
      <c r="AT39" s="400" t="s">
        <v>75</v>
      </c>
      <c r="AU39" s="447" t="s">
        <v>80</v>
      </c>
      <c r="AV39" s="400" t="s">
        <v>75</v>
      </c>
      <c r="AW39" s="450" t="s">
        <v>75</v>
      </c>
      <c r="AX39" s="400" t="s">
        <v>75</v>
      </c>
      <c r="AY39" s="400" t="s">
        <v>75</v>
      </c>
      <c r="AZ39" s="447" t="s">
        <v>75</v>
      </c>
      <c r="BA39" s="400" t="s">
        <v>75</v>
      </c>
      <c r="BB39" s="450" t="s">
        <v>75</v>
      </c>
      <c r="BC39" s="400" t="s">
        <v>75</v>
      </c>
      <c r="BD39" s="400" t="s">
        <v>75</v>
      </c>
      <c r="BE39" s="449" t="s">
        <v>75</v>
      </c>
      <c r="BF39" s="450" t="s">
        <v>82</v>
      </c>
      <c r="BG39" s="400" t="s">
        <v>75</v>
      </c>
      <c r="BH39" s="400" t="s">
        <v>75</v>
      </c>
      <c r="BI39" s="400" t="s">
        <v>75</v>
      </c>
      <c r="BJ39" s="400" t="s">
        <v>75</v>
      </c>
      <c r="BK39" s="447" t="s">
        <v>75</v>
      </c>
      <c r="BL39" s="400" t="s">
        <v>75</v>
      </c>
      <c r="BM39" s="400" t="s">
        <v>75</v>
      </c>
      <c r="BN39" s="400"/>
      <c r="BO39" s="449" t="s">
        <v>75</v>
      </c>
      <c r="BP39" s="539" t="s">
        <v>83</v>
      </c>
      <c r="BQ39" s="395">
        <v>26</v>
      </c>
    </row>
    <row r="40" spans="1:69" x14ac:dyDescent="0.2">
      <c r="A40" s="557" t="s">
        <v>84</v>
      </c>
      <c r="B40" s="401"/>
      <c r="C40" s="412">
        <v>500</v>
      </c>
      <c r="D40" s="412">
        <v>2000</v>
      </c>
      <c r="E40" s="412">
        <v>2000</v>
      </c>
      <c r="F40" s="412">
        <v>1000</v>
      </c>
      <c r="G40" s="412">
        <v>2000</v>
      </c>
      <c r="H40" s="412">
        <v>2000</v>
      </c>
      <c r="I40" s="412">
        <v>2000</v>
      </c>
      <c r="J40" s="412"/>
      <c r="K40" s="412"/>
      <c r="L40" s="443">
        <v>1000</v>
      </c>
      <c r="M40" s="445">
        <v>2000</v>
      </c>
      <c r="N40" s="446">
        <v>1000</v>
      </c>
      <c r="O40" s="412">
        <v>2000</v>
      </c>
      <c r="P40" s="443">
        <v>2000</v>
      </c>
      <c r="Q40" s="443">
        <v>1000</v>
      </c>
      <c r="R40" s="414"/>
      <c r="S40" s="409">
        <v>2000</v>
      </c>
      <c r="T40" s="578">
        <v>1000</v>
      </c>
      <c r="U40" s="446">
        <v>2000</v>
      </c>
      <c r="V40" s="412">
        <v>500</v>
      </c>
      <c r="W40" s="412">
        <v>500</v>
      </c>
      <c r="X40" s="412">
        <v>2000</v>
      </c>
      <c r="Y40" s="412">
        <v>1000</v>
      </c>
      <c r="Z40" s="412">
        <v>2000</v>
      </c>
      <c r="AA40" s="412"/>
      <c r="AB40" s="443">
        <v>1000</v>
      </c>
      <c r="AC40" s="520">
        <v>1000</v>
      </c>
      <c r="AD40" s="446">
        <v>2000</v>
      </c>
      <c r="AE40" s="412">
        <v>2000</v>
      </c>
      <c r="AF40" s="444">
        <v>1000</v>
      </c>
      <c r="AG40" s="412">
        <v>2000</v>
      </c>
      <c r="AH40" s="445" t="s">
        <v>85</v>
      </c>
      <c r="AI40" s="444">
        <v>1000</v>
      </c>
      <c r="AJ40" s="412" t="s">
        <v>85</v>
      </c>
      <c r="AK40" s="443" t="s">
        <v>85</v>
      </c>
      <c r="AL40" s="445">
        <v>3000</v>
      </c>
      <c r="AM40" s="826"/>
      <c r="AN40" s="413">
        <v>2000</v>
      </c>
      <c r="AO40" s="412"/>
      <c r="AP40" s="412">
        <v>1000</v>
      </c>
      <c r="AQ40" s="412">
        <v>2000</v>
      </c>
      <c r="AR40" s="412">
        <v>500</v>
      </c>
      <c r="AS40" s="412">
        <v>1000</v>
      </c>
      <c r="AT40" s="412">
        <v>2000</v>
      </c>
      <c r="AU40" s="443">
        <v>500</v>
      </c>
      <c r="AV40" s="412">
        <v>1000</v>
      </c>
      <c r="AW40" s="446">
        <v>2000</v>
      </c>
      <c r="AX40" s="412">
        <v>1000</v>
      </c>
      <c r="AY40" s="412">
        <v>2000</v>
      </c>
      <c r="AZ40" s="443">
        <v>500</v>
      </c>
      <c r="BA40" s="412">
        <v>2000</v>
      </c>
      <c r="BB40" s="446">
        <v>2000</v>
      </c>
      <c r="BC40" s="412">
        <v>500</v>
      </c>
      <c r="BD40" s="412">
        <v>1000</v>
      </c>
      <c r="BE40" s="445" t="s">
        <v>85</v>
      </c>
      <c r="BF40" s="446">
        <v>1000</v>
      </c>
      <c r="BG40" s="412">
        <v>2000</v>
      </c>
      <c r="BH40" s="412" t="s">
        <v>85</v>
      </c>
      <c r="BI40" s="412">
        <v>1000</v>
      </c>
      <c r="BJ40" s="412">
        <v>2000</v>
      </c>
      <c r="BK40" s="443" t="s">
        <v>85</v>
      </c>
      <c r="BL40" s="412">
        <v>1000</v>
      </c>
      <c r="BM40" s="412">
        <v>2000</v>
      </c>
      <c r="BN40" s="412"/>
      <c r="BO40" s="445">
        <v>2000</v>
      </c>
      <c r="BP40" s="539" t="s">
        <v>86</v>
      </c>
      <c r="BQ40" s="395">
        <v>2</v>
      </c>
    </row>
    <row r="41" spans="1:69" x14ac:dyDescent="0.2">
      <c r="A41" s="559" t="s">
        <v>87</v>
      </c>
      <c r="B41" s="451">
        <f>SUM(C41:BO41)</f>
        <v>8951700</v>
      </c>
      <c r="C41" s="415">
        <v>72700</v>
      </c>
      <c r="D41" s="415">
        <v>140000</v>
      </c>
      <c r="E41" s="415">
        <v>213000</v>
      </c>
      <c r="F41" s="415">
        <v>141000</v>
      </c>
      <c r="G41" s="415">
        <v>105000</v>
      </c>
      <c r="H41" s="415">
        <v>158000</v>
      </c>
      <c r="I41" s="415">
        <v>228000</v>
      </c>
      <c r="J41" s="626">
        <v>173000</v>
      </c>
      <c r="K41" s="415">
        <v>114000</v>
      </c>
      <c r="L41" s="591">
        <v>154000</v>
      </c>
      <c r="M41" s="635"/>
      <c r="N41" s="455">
        <v>71000</v>
      </c>
      <c r="O41" s="415">
        <v>244000</v>
      </c>
      <c r="P41" s="452"/>
      <c r="Q41" s="452">
        <v>121000</v>
      </c>
      <c r="R41" s="710"/>
      <c r="S41" s="568">
        <v>214000</v>
      </c>
      <c r="T41" s="580">
        <v>126000</v>
      </c>
      <c r="U41" s="455">
        <v>654000</v>
      </c>
      <c r="V41" s="416">
        <v>22000</v>
      </c>
      <c r="W41" s="416">
        <v>35100</v>
      </c>
      <c r="X41" s="415">
        <v>96000</v>
      </c>
      <c r="Y41" s="415">
        <v>137000</v>
      </c>
      <c r="Z41" s="421">
        <v>256000</v>
      </c>
      <c r="AA41" s="415"/>
      <c r="AB41" s="452">
        <v>94000</v>
      </c>
      <c r="AC41" s="522"/>
      <c r="AD41" s="524"/>
      <c r="AE41" s="452"/>
      <c r="AF41" s="453">
        <v>221000</v>
      </c>
      <c r="AG41" s="415">
        <v>380000</v>
      </c>
      <c r="AH41" s="454">
        <v>112000</v>
      </c>
      <c r="AI41" s="453">
        <v>136000</v>
      </c>
      <c r="AJ41" s="415">
        <v>263000</v>
      </c>
      <c r="AK41" s="452">
        <v>101000</v>
      </c>
      <c r="AL41" s="454">
        <v>500000</v>
      </c>
      <c r="AM41" s="452"/>
      <c r="AN41" s="415">
        <v>63000</v>
      </c>
      <c r="AO41" s="455">
        <v>66000</v>
      </c>
      <c r="AP41" s="417">
        <v>154000</v>
      </c>
      <c r="AQ41" s="417">
        <v>260000</v>
      </c>
      <c r="AR41" s="417">
        <v>77600</v>
      </c>
      <c r="AS41" s="415">
        <v>159000</v>
      </c>
      <c r="AT41" s="415">
        <v>282000</v>
      </c>
      <c r="AU41" s="452">
        <v>124100</v>
      </c>
      <c r="AV41" s="417">
        <v>156000</v>
      </c>
      <c r="AW41" s="607">
        <v>90000</v>
      </c>
      <c r="AX41" s="415"/>
      <c r="AY41" s="415"/>
      <c r="AZ41" s="452"/>
      <c r="BA41" s="415">
        <v>493000</v>
      </c>
      <c r="BB41" s="455">
        <v>221000</v>
      </c>
      <c r="BC41" s="417">
        <v>54200</v>
      </c>
      <c r="BD41" s="417"/>
      <c r="BE41" s="454">
        <v>340000</v>
      </c>
      <c r="BF41" s="455">
        <v>74000</v>
      </c>
      <c r="BG41" s="415">
        <v>192000</v>
      </c>
      <c r="BH41" s="415">
        <v>85000</v>
      </c>
      <c r="BI41" s="415">
        <v>91000</v>
      </c>
      <c r="BJ41" s="415">
        <v>192000</v>
      </c>
      <c r="BK41" s="452">
        <v>234000</v>
      </c>
      <c r="BL41" s="418">
        <v>78000</v>
      </c>
      <c r="BM41" s="418">
        <v>58000</v>
      </c>
      <c r="BN41" s="415">
        <v>44000</v>
      </c>
      <c r="BO41" s="454">
        <v>82000</v>
      </c>
      <c r="BP41" s="539" t="s">
        <v>66</v>
      </c>
      <c r="BQ41" s="395">
        <v>10</v>
      </c>
    </row>
    <row r="42" spans="1:69" x14ac:dyDescent="0.2">
      <c r="A42" s="560" t="s">
        <v>88</v>
      </c>
      <c r="B42" s="456">
        <f>SUM(C42:BO42)</f>
        <v>9171800</v>
      </c>
      <c r="C42" s="457">
        <v>150000</v>
      </c>
      <c r="D42" s="457">
        <v>150000</v>
      </c>
      <c r="E42" s="457">
        <v>150000</v>
      </c>
      <c r="F42" s="457">
        <v>120000</v>
      </c>
      <c r="G42" s="457">
        <v>150000</v>
      </c>
      <c r="H42" s="457">
        <v>120000</v>
      </c>
      <c r="I42" s="457">
        <v>200000</v>
      </c>
      <c r="J42" s="457">
        <f>J28*0.9</f>
        <v>0</v>
      </c>
      <c r="K42" s="457">
        <f>K28*0.9</f>
        <v>0</v>
      </c>
      <c r="L42" s="633">
        <v>170000</v>
      </c>
      <c r="M42" s="491">
        <v>0</v>
      </c>
      <c r="N42" s="459">
        <v>100000</v>
      </c>
      <c r="O42" s="457">
        <v>200000</v>
      </c>
      <c r="P42" s="458">
        <v>100000</v>
      </c>
      <c r="Q42" s="458">
        <v>180000</v>
      </c>
      <c r="R42" s="711"/>
      <c r="S42" s="567">
        <v>200000</v>
      </c>
      <c r="T42" s="581">
        <v>200000</v>
      </c>
      <c r="U42" s="459">
        <v>300000</v>
      </c>
      <c r="V42" s="457">
        <v>30000</v>
      </c>
      <c r="W42" s="457">
        <v>30000</v>
      </c>
      <c r="X42" s="457">
        <v>160000</v>
      </c>
      <c r="Y42" s="457">
        <v>140000</v>
      </c>
      <c r="Z42" s="457">
        <v>190000</v>
      </c>
      <c r="AA42" s="457">
        <f>AA28*0.9</f>
        <v>0</v>
      </c>
      <c r="AB42" s="457">
        <v>200000</v>
      </c>
      <c r="AC42" s="457">
        <v>120000</v>
      </c>
      <c r="AD42" s="457">
        <v>170000</v>
      </c>
      <c r="AE42" s="458">
        <v>120000</v>
      </c>
      <c r="AF42" s="489">
        <v>180000</v>
      </c>
      <c r="AG42" s="490">
        <v>350000</v>
      </c>
      <c r="AH42" s="491">
        <v>150000</v>
      </c>
      <c r="AI42" s="489">
        <v>170000</v>
      </c>
      <c r="AJ42" s="490">
        <v>250000</v>
      </c>
      <c r="AK42" s="490">
        <v>270000</v>
      </c>
      <c r="AL42" s="491">
        <f>AR28*0.9</f>
        <v>361800</v>
      </c>
      <c r="AM42" s="458"/>
      <c r="AN42" s="457">
        <v>150000</v>
      </c>
      <c r="AO42" s="457">
        <f>AU28*0.9</f>
        <v>0</v>
      </c>
      <c r="AP42" s="457">
        <v>130000</v>
      </c>
      <c r="AQ42" s="457">
        <v>210000</v>
      </c>
      <c r="AR42" s="457">
        <v>70000</v>
      </c>
      <c r="AS42" s="457">
        <v>200000</v>
      </c>
      <c r="AT42" s="457">
        <v>200000</v>
      </c>
      <c r="AU42" s="458">
        <v>110000</v>
      </c>
      <c r="AV42" s="457">
        <v>120000</v>
      </c>
      <c r="AW42" s="459">
        <v>120000</v>
      </c>
      <c r="AX42" s="457">
        <v>150000</v>
      </c>
      <c r="AY42" s="457">
        <v>160000</v>
      </c>
      <c r="AZ42" s="458">
        <v>100000</v>
      </c>
      <c r="BA42" s="490">
        <v>450000</v>
      </c>
      <c r="BB42" s="641">
        <v>150000</v>
      </c>
      <c r="BC42" s="490">
        <v>70000</v>
      </c>
      <c r="BD42" s="490">
        <v>120000</v>
      </c>
      <c r="BE42" s="491">
        <v>280000</v>
      </c>
      <c r="BF42" s="459">
        <v>100000</v>
      </c>
      <c r="BG42" s="457">
        <v>120000</v>
      </c>
      <c r="BH42" s="457">
        <v>100000</v>
      </c>
      <c r="BI42" s="457">
        <v>100000</v>
      </c>
      <c r="BJ42" s="457">
        <v>150000</v>
      </c>
      <c r="BK42" s="458">
        <v>150000</v>
      </c>
      <c r="BL42" s="457">
        <v>100000</v>
      </c>
      <c r="BM42" s="457">
        <v>100000</v>
      </c>
      <c r="BN42" s="457">
        <f>BN28*0.9</f>
        <v>0</v>
      </c>
      <c r="BO42" s="491">
        <v>80000</v>
      </c>
      <c r="BP42" s="539" t="s">
        <v>67</v>
      </c>
      <c r="BQ42" s="395">
        <v>15</v>
      </c>
    </row>
    <row r="43" spans="1:69" x14ac:dyDescent="0.2">
      <c r="A43" s="561"/>
      <c r="B43" s="460"/>
      <c r="C43" s="492"/>
      <c r="D43" s="492"/>
      <c r="E43" s="492"/>
      <c r="F43" s="492"/>
      <c r="G43" s="492"/>
      <c r="H43" s="492"/>
      <c r="I43" s="407"/>
      <c r="J43" s="492"/>
      <c r="K43" s="492"/>
      <c r="L43" s="502"/>
      <c r="M43" s="636"/>
      <c r="N43" s="492"/>
      <c r="O43" s="492"/>
      <c r="P43" s="492"/>
      <c r="Q43" s="492"/>
      <c r="R43" s="712"/>
      <c r="S43" s="586"/>
      <c r="T43" s="582"/>
      <c r="U43" s="492"/>
      <c r="V43" s="492"/>
      <c r="W43" s="492"/>
      <c r="X43" s="509"/>
      <c r="Y43" s="492"/>
      <c r="Z43" s="492"/>
      <c r="AA43" s="509"/>
      <c r="AB43" s="492"/>
      <c r="AC43" s="500"/>
      <c r="AD43" s="500"/>
      <c r="AE43" s="500"/>
      <c r="AF43" s="506"/>
      <c r="AG43" s="492"/>
      <c r="AH43" s="501"/>
      <c r="AI43" s="506"/>
      <c r="AJ43" s="492"/>
      <c r="AK43" s="492"/>
      <c r="AL43" s="595"/>
      <c r="AM43" s="613"/>
      <c r="AN43" s="613"/>
      <c r="AO43" s="492"/>
      <c r="AP43" s="492"/>
      <c r="AQ43" s="507"/>
      <c r="AR43" s="492"/>
      <c r="AS43" s="492"/>
      <c r="AT43" s="507"/>
      <c r="AU43" s="492"/>
      <c r="AV43" s="630"/>
      <c r="AW43" s="492"/>
      <c r="AX43" s="492"/>
      <c r="AY43" s="492"/>
      <c r="AZ43" s="492"/>
      <c r="BA43" s="502"/>
      <c r="BB43" s="492"/>
      <c r="BC43" s="417"/>
      <c r="BD43" s="492"/>
      <c r="BE43" s="501"/>
      <c r="BF43" s="502"/>
      <c r="BG43" s="492"/>
      <c r="BH43" s="492"/>
      <c r="BI43" s="507"/>
      <c r="BJ43" s="507"/>
      <c r="BK43" s="500"/>
      <c r="BL43" s="492"/>
      <c r="BM43" s="492"/>
      <c r="BN43" s="500"/>
      <c r="BO43" s="508"/>
      <c r="BP43" s="539" t="s">
        <v>89</v>
      </c>
      <c r="BQ43" s="395">
        <v>1</v>
      </c>
    </row>
    <row r="44" spans="1:69" s="461" customFormat="1" ht="16.5" x14ac:dyDescent="0.2">
      <c r="A44" s="565" t="s">
        <v>90</v>
      </c>
      <c r="B44" s="530">
        <f>SUM(C44:BO44)</f>
        <v>8969010</v>
      </c>
      <c r="C44" s="540">
        <f>福重!F129</f>
        <v>136500</v>
      </c>
      <c r="D44" s="540">
        <f>福重!Q129</f>
        <v>184000</v>
      </c>
      <c r="E44" s="540">
        <f>福重!AT129</f>
        <v>140000</v>
      </c>
      <c r="F44" s="540">
        <f>福重!AA129</f>
        <v>138000</v>
      </c>
      <c r="G44" s="540">
        <f>福重!AG129</f>
        <v>132000</v>
      </c>
      <c r="H44" s="540">
        <f>福重!AM129</f>
        <v>158000</v>
      </c>
      <c r="I44" s="540">
        <f>那珂川!F50</f>
        <v>228000</v>
      </c>
      <c r="J44" s="623"/>
      <c r="K44" s="623"/>
      <c r="L44" s="566">
        <f>唐津!E44-1000</f>
        <v>205000</v>
      </c>
      <c r="M44" s="643">
        <v>46000</v>
      </c>
      <c r="N44" s="542">
        <f>飯塚!S50</f>
        <v>118000</v>
      </c>
      <c r="O44" s="540">
        <f>飯塚!H50</f>
        <v>232000</v>
      </c>
      <c r="P44" s="540">
        <f>飯塚!AB50</f>
        <v>106000</v>
      </c>
      <c r="Q44" s="566">
        <f>小倉!F44</f>
        <v>186000</v>
      </c>
      <c r="R44" s="713"/>
      <c r="S44" s="569">
        <f>+黒崎!F41</f>
        <v>260000</v>
      </c>
      <c r="T44" s="583">
        <f>+黒崎!Q41</f>
        <v>334000</v>
      </c>
      <c r="U44" s="542">
        <v>248000</v>
      </c>
      <c r="V44" s="540">
        <v>18500</v>
      </c>
      <c r="W44" s="540">
        <v>25000</v>
      </c>
      <c r="X44" s="540">
        <v>116000</v>
      </c>
      <c r="Y44" s="540">
        <v>210000</v>
      </c>
      <c r="Z44" s="540">
        <v>209000</v>
      </c>
      <c r="AA44" s="623"/>
      <c r="AB44" s="540">
        <v>98000</v>
      </c>
      <c r="AC44" s="540">
        <v>59000</v>
      </c>
      <c r="AD44" s="543">
        <v>246000</v>
      </c>
      <c r="AE44" s="543">
        <v>100000</v>
      </c>
      <c r="AF44" s="544">
        <v>110000</v>
      </c>
      <c r="AG44" s="545">
        <v>253000</v>
      </c>
      <c r="AH44" s="547">
        <v>186000</v>
      </c>
      <c r="AI44" s="602">
        <v>127000</v>
      </c>
      <c r="AJ44" s="545">
        <v>185000</v>
      </c>
      <c r="AK44" s="546">
        <v>168000</v>
      </c>
      <c r="AL44" s="547">
        <v>730000</v>
      </c>
      <c r="AM44" s="546"/>
      <c r="AN44" s="545">
        <v>184000</v>
      </c>
      <c r="AO44" s="545"/>
      <c r="AP44" s="545">
        <v>129000</v>
      </c>
      <c r="AQ44" s="545">
        <v>142000</v>
      </c>
      <c r="AR44" s="545">
        <v>81100</v>
      </c>
      <c r="AS44" s="545">
        <v>211000</v>
      </c>
      <c r="AT44" s="545">
        <v>172000</v>
      </c>
      <c r="AU44" s="546">
        <v>139310</v>
      </c>
      <c r="AV44" s="545">
        <v>95000</v>
      </c>
      <c r="AW44" s="603">
        <v>80000</v>
      </c>
      <c r="AX44" s="545">
        <v>78000</v>
      </c>
      <c r="AY44" s="545">
        <v>96000</v>
      </c>
      <c r="AZ44" s="545">
        <v>140300</v>
      </c>
      <c r="BA44" s="618">
        <v>295000</v>
      </c>
      <c r="BB44" s="545">
        <v>157000</v>
      </c>
      <c r="BC44" s="545">
        <v>63300</v>
      </c>
      <c r="BD44" s="545">
        <v>94000</v>
      </c>
      <c r="BE44" s="547">
        <v>289000</v>
      </c>
      <c r="BF44" s="542">
        <v>86000</v>
      </c>
      <c r="BG44" s="540">
        <v>124000</v>
      </c>
      <c r="BH44" s="545">
        <v>100000</v>
      </c>
      <c r="BI44" s="545">
        <v>96000</v>
      </c>
      <c r="BJ44" s="540">
        <v>78000</v>
      </c>
      <c r="BK44" s="543">
        <v>126000</v>
      </c>
      <c r="BL44" s="620">
        <v>91000</v>
      </c>
      <c r="BM44" s="620">
        <v>100000</v>
      </c>
      <c r="BN44" s="623"/>
      <c r="BO44" s="619">
        <v>30000</v>
      </c>
      <c r="BP44" s="539" t="s">
        <v>60</v>
      </c>
      <c r="BQ44" s="411">
        <v>4</v>
      </c>
    </row>
    <row r="45" spans="1:69" s="461" customFormat="1" ht="16.5" x14ac:dyDescent="0.2">
      <c r="A45" s="562" t="s">
        <v>91</v>
      </c>
      <c r="B45" s="548">
        <f t="shared" ref="B45:I45" si="12">B44/B42</f>
        <v>0.97788983623716175</v>
      </c>
      <c r="C45" s="549">
        <f t="shared" si="12"/>
        <v>0.91</v>
      </c>
      <c r="D45" s="549">
        <f t="shared" si="12"/>
        <v>1.2266666666666666</v>
      </c>
      <c r="E45" s="549">
        <f t="shared" si="12"/>
        <v>0.93333333333333335</v>
      </c>
      <c r="F45" s="549">
        <f t="shared" si="12"/>
        <v>1.1499999999999999</v>
      </c>
      <c r="G45" s="549">
        <f t="shared" si="12"/>
        <v>0.88</v>
      </c>
      <c r="H45" s="549">
        <f t="shared" si="12"/>
        <v>1.3166666666666667</v>
      </c>
      <c r="I45" s="549">
        <f t="shared" si="12"/>
        <v>1.1399999999999999</v>
      </c>
      <c r="J45" s="549"/>
      <c r="K45" s="549"/>
      <c r="L45" s="550">
        <f>L44/L42</f>
        <v>1.2058823529411764</v>
      </c>
      <c r="M45" s="551" t="e">
        <f t="shared" ref="M45:S45" si="13">M44/M42</f>
        <v>#DIV/0!</v>
      </c>
      <c r="N45" s="552">
        <f t="shared" si="13"/>
        <v>1.18</v>
      </c>
      <c r="O45" s="550">
        <f t="shared" si="13"/>
        <v>1.1599999999999999</v>
      </c>
      <c r="P45" s="550">
        <f t="shared" si="13"/>
        <v>1.06</v>
      </c>
      <c r="Q45" s="550">
        <f t="shared" si="13"/>
        <v>1.0333333333333334</v>
      </c>
      <c r="R45" s="714"/>
      <c r="S45" s="570">
        <f t="shared" si="13"/>
        <v>1.3</v>
      </c>
      <c r="T45" s="584">
        <f>T44/T42</f>
        <v>1.67</v>
      </c>
      <c r="U45" s="552">
        <f t="shared" ref="U45:Z45" si="14">U44/U42</f>
        <v>0.82666666666666666</v>
      </c>
      <c r="V45" s="550">
        <f t="shared" si="14"/>
        <v>0.6166666666666667</v>
      </c>
      <c r="W45" s="550">
        <f t="shared" si="14"/>
        <v>0.83333333333333337</v>
      </c>
      <c r="X45" s="550">
        <f t="shared" si="14"/>
        <v>0.72499999999999998</v>
      </c>
      <c r="Y45" s="550">
        <f t="shared" si="14"/>
        <v>1.5</v>
      </c>
      <c r="Z45" s="550">
        <f t="shared" si="14"/>
        <v>1.1000000000000001</v>
      </c>
      <c r="AA45" s="550"/>
      <c r="AB45" s="550">
        <f>AB44/AB42</f>
        <v>0.49</v>
      </c>
      <c r="AC45" s="550">
        <f t="shared" ref="AC45" si="15">AC44/AC42</f>
        <v>0.49166666666666664</v>
      </c>
      <c r="AD45" s="550">
        <f>AD44/AD42</f>
        <v>1.4470588235294117</v>
      </c>
      <c r="AE45" s="550">
        <f>AE44/AE42</f>
        <v>0.83333333333333337</v>
      </c>
      <c r="AF45" s="553">
        <f>IFERROR(AF44/AF42,"-")</f>
        <v>0.61111111111111116</v>
      </c>
      <c r="AG45" s="549">
        <f>IFERROR(AG44/AG42,"-")</f>
        <v>0.72285714285714286</v>
      </c>
      <c r="AH45" s="551">
        <f>IFERROR(AH44/AH42,"-")</f>
        <v>1.24</v>
      </c>
      <c r="AI45" s="594">
        <f t="shared" ref="AI45:AK45" si="16">IFERROR(AI44/AI42,"-")</f>
        <v>0.74705882352941178</v>
      </c>
      <c r="AJ45" s="601">
        <f t="shared" si="16"/>
        <v>0.74</v>
      </c>
      <c r="AK45" s="601">
        <f t="shared" si="16"/>
        <v>0.62222222222222223</v>
      </c>
      <c r="AL45" s="551">
        <f>IFERROR(AL44/AL42,"-")</f>
        <v>2.0176893311221669</v>
      </c>
      <c r="AM45" s="550"/>
      <c r="AN45" s="549">
        <f>IFERROR(AN44/AN42,"-")</f>
        <v>1.2266666666666666</v>
      </c>
      <c r="AO45" s="549"/>
      <c r="AP45" s="549">
        <f t="shared" ref="AP45:BM45" si="17">IFERROR(AP44/AP42,"-")</f>
        <v>0.99230769230769234</v>
      </c>
      <c r="AQ45" s="549">
        <f t="shared" si="17"/>
        <v>0.67619047619047623</v>
      </c>
      <c r="AR45" s="549">
        <f t="shared" si="17"/>
        <v>1.1585714285714286</v>
      </c>
      <c r="AS45" s="549">
        <f t="shared" si="17"/>
        <v>1.0549999999999999</v>
      </c>
      <c r="AT45" s="549">
        <f t="shared" si="17"/>
        <v>0.86</v>
      </c>
      <c r="AU45" s="550">
        <f t="shared" si="17"/>
        <v>1.2664545454545455</v>
      </c>
      <c r="AV45" s="649">
        <f t="shared" ref="AV45:BA45" si="18">IFERROR(AV44/AV42,"-")</f>
        <v>0.79166666666666663</v>
      </c>
      <c r="AW45" s="549">
        <f t="shared" si="18"/>
        <v>0.66666666666666663</v>
      </c>
      <c r="AX45" s="549">
        <f t="shared" si="18"/>
        <v>0.52</v>
      </c>
      <c r="AY45" s="549">
        <f t="shared" si="18"/>
        <v>0.6</v>
      </c>
      <c r="AZ45" s="549">
        <f t="shared" si="18"/>
        <v>1.403</v>
      </c>
      <c r="BA45" s="552">
        <f t="shared" si="18"/>
        <v>0.65555555555555556</v>
      </c>
      <c r="BB45" s="549">
        <f t="shared" si="17"/>
        <v>1.0466666666666666</v>
      </c>
      <c r="BC45" s="549">
        <f t="shared" si="17"/>
        <v>0.90428571428571425</v>
      </c>
      <c r="BD45" s="549">
        <f t="shared" si="17"/>
        <v>0.78333333333333333</v>
      </c>
      <c r="BE45" s="551">
        <f t="shared" si="17"/>
        <v>1.0321428571428573</v>
      </c>
      <c r="BF45" s="554">
        <f t="shared" si="17"/>
        <v>0.86</v>
      </c>
      <c r="BG45" s="549">
        <f t="shared" si="17"/>
        <v>1.0333333333333334</v>
      </c>
      <c r="BH45" s="549">
        <f t="shared" si="17"/>
        <v>1</v>
      </c>
      <c r="BI45" s="549">
        <f t="shared" si="17"/>
        <v>0.96</v>
      </c>
      <c r="BJ45" s="549">
        <f t="shared" si="17"/>
        <v>0.52</v>
      </c>
      <c r="BK45" s="549">
        <f t="shared" si="17"/>
        <v>0.84</v>
      </c>
      <c r="BL45" s="549">
        <f t="shared" si="17"/>
        <v>0.91</v>
      </c>
      <c r="BM45" s="549">
        <f t="shared" si="17"/>
        <v>1</v>
      </c>
      <c r="BN45" s="549"/>
      <c r="BO45" s="551">
        <f>IFERROR(BO44/BO42,"-")</f>
        <v>0.375</v>
      </c>
      <c r="BP45" s="536"/>
      <c r="BQ45" s="461">
        <f>SUM(BQ36:BQ44)</f>
        <v>58</v>
      </c>
    </row>
    <row r="46" spans="1:69" ht="19.5" x14ac:dyDescent="0.2">
      <c r="A46" s="617">
        <f>B45</f>
        <v>0.97788983623716175</v>
      </c>
      <c r="B46" s="462"/>
      <c r="C46" s="463"/>
      <c r="D46" s="463"/>
      <c r="E46" s="463"/>
      <c r="F46" s="463"/>
      <c r="G46" s="463"/>
      <c r="H46" s="463"/>
      <c r="I46" s="463"/>
      <c r="J46" s="463"/>
      <c r="K46" s="462"/>
      <c r="L46" s="503"/>
      <c r="M46" s="637"/>
      <c r="N46" s="463"/>
      <c r="O46" s="463"/>
      <c r="P46" s="463"/>
      <c r="Q46" s="503"/>
      <c r="R46" s="715"/>
      <c r="S46" s="420"/>
      <c r="T46" s="585"/>
      <c r="U46" s="463"/>
      <c r="V46" s="463"/>
      <c r="W46" s="463"/>
      <c r="X46" s="463"/>
      <c r="Y46" s="463"/>
      <c r="Z46" s="463"/>
      <c r="AA46" s="463"/>
      <c r="AB46" s="463"/>
      <c r="AC46" s="463"/>
      <c r="AD46" s="463"/>
      <c r="AE46" s="463"/>
      <c r="AF46" s="464"/>
      <c r="AG46" s="463"/>
      <c r="AH46" s="466"/>
      <c r="AI46" s="464"/>
      <c r="AJ46" s="463"/>
      <c r="AK46" s="463"/>
      <c r="AL46" s="596"/>
      <c r="AM46" s="465"/>
      <c r="AN46" s="465"/>
      <c r="AO46" s="463"/>
      <c r="AP46" s="463"/>
      <c r="AQ46" s="463"/>
      <c r="AR46" s="463"/>
      <c r="AS46" s="463"/>
      <c r="AT46" s="463"/>
      <c r="AU46" s="463"/>
      <c r="AV46" s="463"/>
      <c r="AW46" s="463"/>
      <c r="AX46" s="463"/>
      <c r="AY46" s="463"/>
      <c r="AZ46" s="463"/>
      <c r="BA46" s="463"/>
      <c r="BB46" s="463"/>
      <c r="BC46" s="417"/>
      <c r="BD46" s="463"/>
      <c r="BE46" s="466"/>
      <c r="BF46" s="463"/>
      <c r="BG46" s="463"/>
      <c r="BH46" s="463"/>
      <c r="BI46" s="463"/>
      <c r="BJ46" s="463"/>
      <c r="BK46" s="463"/>
      <c r="BL46" s="463"/>
      <c r="BM46" s="463"/>
      <c r="BN46" s="463"/>
      <c r="BO46" s="466"/>
      <c r="BP46" s="534"/>
    </row>
    <row r="47" spans="1:69" ht="16.5" x14ac:dyDescent="0.2">
      <c r="A47" s="593" t="s">
        <v>92</v>
      </c>
      <c r="B47" s="592"/>
      <c r="C47" s="558" t="s">
        <v>93</v>
      </c>
      <c r="D47" s="394" t="s">
        <v>94</v>
      </c>
      <c r="E47" s="396">
        <f>B44/B36</f>
        <v>157351.05263157896</v>
      </c>
      <c r="F47" s="405" t="s">
        <v>95</v>
      </c>
      <c r="G47" s="510" t="s">
        <v>96</v>
      </c>
      <c r="H47" s="399"/>
      <c r="K47" s="405" t="s">
        <v>97</v>
      </c>
      <c r="L47" s="419">
        <f>SUM(C42:M42)</f>
        <v>1210000</v>
      </c>
      <c r="M47" s="638"/>
      <c r="N47" s="410"/>
      <c r="O47" s="410"/>
      <c r="Q47" s="474" t="s">
        <v>97</v>
      </c>
      <c r="R47" s="474"/>
      <c r="S47" s="469">
        <f>SUM(N42:T42)</f>
        <v>980000</v>
      </c>
      <c r="T47" s="589"/>
      <c r="W47" s="410"/>
      <c r="X47" s="410"/>
      <c r="Y47" s="410"/>
      <c r="Z47" s="410"/>
      <c r="AA47" s="410"/>
      <c r="AC47" s="405" t="s">
        <v>97</v>
      </c>
      <c r="AD47" s="419">
        <f>SUM(U42:AE42)</f>
        <v>1460000</v>
      </c>
      <c r="AE47" s="419"/>
      <c r="AF47" s="468" t="s">
        <v>97</v>
      </c>
      <c r="AG47" s="469">
        <f>SUM(AF42:AH42)</f>
        <v>680000</v>
      </c>
      <c r="AH47" s="467"/>
      <c r="AI47" s="405"/>
      <c r="AJ47" s="405" t="s">
        <v>97</v>
      </c>
      <c r="AK47" s="479">
        <f>SUM(AI42:AL42)</f>
        <v>1051800</v>
      </c>
      <c r="AL47" s="475"/>
      <c r="AM47" s="472"/>
      <c r="AN47" s="614"/>
      <c r="AO47" s="472"/>
      <c r="AP47" s="470"/>
      <c r="AQ47" s="513" t="s">
        <v>98</v>
      </c>
      <c r="AR47" s="473"/>
      <c r="AV47" s="472"/>
      <c r="AW47" s="513" t="s">
        <v>98</v>
      </c>
      <c r="BC47" s="405" t="s">
        <v>97</v>
      </c>
      <c r="BD47" s="419">
        <f>SUM(AN42:BE42)</f>
        <v>2790000</v>
      </c>
      <c r="BF47" s="471"/>
      <c r="BG47" s="472"/>
      <c r="BH47" s="472"/>
      <c r="BI47" s="473"/>
      <c r="BJ47" s="472"/>
      <c r="BL47" s="472"/>
      <c r="BM47" s="474" t="s">
        <v>97</v>
      </c>
      <c r="BN47" s="469">
        <f>SUM(BF42:BO42)</f>
        <v>1000000</v>
      </c>
      <c r="BO47" s="475"/>
      <c r="BP47" s="535"/>
      <c r="BQ47" s="404"/>
    </row>
    <row r="48" spans="1:69" ht="16.5" x14ac:dyDescent="0.2">
      <c r="A48" s="564" t="s">
        <v>99</v>
      </c>
      <c r="B48" s="504" t="s">
        <v>100</v>
      </c>
      <c r="C48" s="435">
        <v>45978</v>
      </c>
      <c r="D48" s="394" t="s">
        <v>101</v>
      </c>
      <c r="E48" s="398">
        <v>30032010</v>
      </c>
      <c r="F48" s="505">
        <f>B44</f>
        <v>8969010</v>
      </c>
      <c r="G48" s="398">
        <f>E48-B44</f>
        <v>21063000</v>
      </c>
      <c r="H48" s="399"/>
      <c r="K48" s="405" t="s">
        <v>102</v>
      </c>
      <c r="L48" s="419">
        <f>SUM(C44:M44)</f>
        <v>1367500</v>
      </c>
      <c r="M48" s="476">
        <f>L48/L47</f>
        <v>1.1301652892561984</v>
      </c>
      <c r="N48" s="410"/>
      <c r="O48" s="410"/>
      <c r="Q48" s="405" t="s">
        <v>102</v>
      </c>
      <c r="R48" s="405"/>
      <c r="S48" s="419">
        <f>SUM(N44:T44)</f>
        <v>1236000</v>
      </c>
      <c r="T48" s="590">
        <f>S48/S47</f>
        <v>1.2612244897959184</v>
      </c>
      <c r="W48" s="410"/>
      <c r="X48" s="410"/>
      <c r="Y48" s="410"/>
      <c r="Z48" s="410"/>
      <c r="AA48" s="410"/>
      <c r="AC48" s="405" t="s">
        <v>102</v>
      </c>
      <c r="AD48" s="419">
        <f>SUM(U44:AE44)</f>
        <v>1329500</v>
      </c>
      <c r="AE48" s="477">
        <f>AD48/AD47</f>
        <v>0.91061643835616435</v>
      </c>
      <c r="AF48" s="478" t="s">
        <v>102</v>
      </c>
      <c r="AG48" s="419">
        <f>SUM(AF44:AH44)</f>
        <v>549000</v>
      </c>
      <c r="AH48" s="476">
        <f>AG48/AG47</f>
        <v>0.80735294117647061</v>
      </c>
      <c r="AI48" s="405"/>
      <c r="AJ48" s="405" t="s">
        <v>102</v>
      </c>
      <c r="AK48" s="479">
        <f>SUM(AI44:AL44)</f>
        <v>1210000</v>
      </c>
      <c r="AL48" s="476">
        <f>AK48/AK47</f>
        <v>1.1504088229701463</v>
      </c>
      <c r="AM48" s="480"/>
      <c r="AN48" s="615"/>
      <c r="AP48" s="404"/>
      <c r="AQ48" s="404"/>
      <c r="AR48" s="410"/>
      <c r="AV48" s="429"/>
      <c r="AX48" s="477"/>
      <c r="AY48" s="477"/>
      <c r="AZ48" s="477"/>
      <c r="BA48" s="477"/>
      <c r="BB48" s="477"/>
      <c r="BC48" s="405" t="s">
        <v>102</v>
      </c>
      <c r="BD48" s="419">
        <f>SUM(AN44:BE44)</f>
        <v>2446010</v>
      </c>
      <c r="BE48" s="477">
        <f>BD48/BD47</f>
        <v>0.87670609318996418</v>
      </c>
      <c r="BF48" s="481"/>
      <c r="BM48" s="405" t="s">
        <v>102</v>
      </c>
      <c r="BN48" s="419">
        <f>SUM(BF44:BO44)</f>
        <v>831000</v>
      </c>
      <c r="BO48" s="476">
        <f>BN48/BN47</f>
        <v>0.83099999999999996</v>
      </c>
      <c r="BP48" s="535"/>
    </row>
    <row r="50" spans="1:71" x14ac:dyDescent="0.2">
      <c r="A50" s="556" t="s">
        <v>0</v>
      </c>
      <c r="B50" s="406">
        <f>M50+AE50+BG50+BQ50+AH50+T50+AO50</f>
        <v>33</v>
      </c>
      <c r="C50" s="406">
        <v>1</v>
      </c>
      <c r="D50" s="406">
        <v>1</v>
      </c>
      <c r="E50" s="406">
        <v>1</v>
      </c>
      <c r="F50" s="406">
        <v>1</v>
      </c>
      <c r="G50" s="406">
        <v>1</v>
      </c>
      <c r="H50" s="406">
        <v>1</v>
      </c>
      <c r="I50" s="406">
        <v>2</v>
      </c>
      <c r="J50" s="406"/>
      <c r="K50" s="406"/>
      <c r="L50" s="406">
        <v>3</v>
      </c>
      <c r="M50" s="406">
        <v>3</v>
      </c>
      <c r="N50" s="482">
        <v>1</v>
      </c>
      <c r="O50" s="406">
        <v>1</v>
      </c>
      <c r="P50" s="406">
        <v>1</v>
      </c>
      <c r="Q50" s="587">
        <v>2</v>
      </c>
      <c r="R50" s="706"/>
      <c r="S50" s="405">
        <v>3</v>
      </c>
      <c r="T50" s="575">
        <v>3</v>
      </c>
      <c r="U50" s="406">
        <v>1</v>
      </c>
      <c r="V50" s="406">
        <v>1</v>
      </c>
      <c r="W50" s="406">
        <v>1</v>
      </c>
      <c r="X50" s="406">
        <v>2</v>
      </c>
      <c r="Y50" s="406">
        <v>2</v>
      </c>
      <c r="Z50" s="405">
        <v>3</v>
      </c>
      <c r="AA50" s="406"/>
      <c r="AB50" s="405">
        <v>4</v>
      </c>
      <c r="AC50" s="406"/>
      <c r="AD50" s="407">
        <v>5</v>
      </c>
      <c r="AE50" s="406">
        <v>5</v>
      </c>
      <c r="AF50" s="483"/>
      <c r="AG50" s="484"/>
      <c r="AH50" s="485">
        <v>1</v>
      </c>
      <c r="AI50" s="482">
        <v>1</v>
      </c>
      <c r="AJ50" s="484">
        <v>2</v>
      </c>
      <c r="AK50" s="484">
        <v>3</v>
      </c>
      <c r="AL50" s="484">
        <v>4</v>
      </c>
      <c r="AM50" s="484"/>
      <c r="AN50" s="484">
        <v>4</v>
      </c>
      <c r="AO50" s="485">
        <v>5</v>
      </c>
      <c r="AP50" s="406">
        <v>1</v>
      </c>
      <c r="AQ50" s="406">
        <v>1</v>
      </c>
      <c r="AR50" s="406">
        <v>2</v>
      </c>
      <c r="AS50" s="406">
        <v>2</v>
      </c>
      <c r="AT50" s="406">
        <v>2</v>
      </c>
      <c r="AU50" s="406">
        <v>3</v>
      </c>
      <c r="AV50" s="406">
        <v>3</v>
      </c>
      <c r="AW50" s="406">
        <v>3</v>
      </c>
      <c r="AX50" s="414">
        <v>4</v>
      </c>
      <c r="AY50" s="406">
        <v>4</v>
      </c>
      <c r="AZ50" s="406">
        <v>5</v>
      </c>
      <c r="BA50" s="406">
        <v>5</v>
      </c>
      <c r="BB50" s="406">
        <v>5</v>
      </c>
      <c r="BC50" s="414">
        <v>6</v>
      </c>
      <c r="BD50" s="484">
        <v>7</v>
      </c>
      <c r="BE50" s="484">
        <v>7</v>
      </c>
      <c r="BF50" s="484">
        <v>8</v>
      </c>
      <c r="BG50" s="485">
        <v>9</v>
      </c>
      <c r="BH50" s="406">
        <v>1</v>
      </c>
      <c r="BI50" s="407">
        <v>1</v>
      </c>
      <c r="BJ50" s="406">
        <v>2</v>
      </c>
      <c r="BK50" s="406">
        <v>3</v>
      </c>
      <c r="BL50" s="406">
        <v>4</v>
      </c>
      <c r="BM50" s="406">
        <v>5</v>
      </c>
      <c r="BN50" s="406">
        <v>6</v>
      </c>
      <c r="BO50" s="406">
        <v>6</v>
      </c>
      <c r="BP50" s="406"/>
      <c r="BQ50" s="485">
        <v>7</v>
      </c>
      <c r="BR50" s="537">
        <f>M50+AE50+AH50+AO50+BG50+BQ50+T50</f>
        <v>33</v>
      </c>
      <c r="BS50" s="408" t="s">
        <v>1</v>
      </c>
    </row>
    <row r="51" spans="1:71" x14ac:dyDescent="0.2">
      <c r="A51" s="563">
        <v>46023</v>
      </c>
      <c r="B51" s="528" t="s">
        <v>2</v>
      </c>
      <c r="C51" s="422" t="s">
        <v>3</v>
      </c>
      <c r="D51" s="422" t="s">
        <v>4</v>
      </c>
      <c r="E51" s="422" t="s">
        <v>5</v>
      </c>
      <c r="F51" s="422" t="s">
        <v>6</v>
      </c>
      <c r="G51" s="422" t="s">
        <v>7</v>
      </c>
      <c r="H51" s="422" t="s">
        <v>8</v>
      </c>
      <c r="I51" s="422" t="s">
        <v>9</v>
      </c>
      <c r="J51" s="422" t="s">
        <v>9</v>
      </c>
      <c r="K51" s="423" t="s">
        <v>10</v>
      </c>
      <c r="L51" s="423" t="s">
        <v>11</v>
      </c>
      <c r="M51" s="527" t="s">
        <v>11</v>
      </c>
      <c r="N51" s="571" t="s">
        <v>12</v>
      </c>
      <c r="O51" s="572" t="s">
        <v>13</v>
      </c>
      <c r="P51" s="572" t="s">
        <v>14</v>
      </c>
      <c r="Q51" s="573" t="s">
        <v>15</v>
      </c>
      <c r="R51" s="707"/>
      <c r="S51" s="574" t="s">
        <v>16</v>
      </c>
      <c r="T51" s="576" t="s">
        <v>17</v>
      </c>
      <c r="U51" s="511" t="s">
        <v>18</v>
      </c>
      <c r="V51" s="424" t="s">
        <v>19</v>
      </c>
      <c r="W51" s="424" t="s">
        <v>20</v>
      </c>
      <c r="X51" s="424" t="s">
        <v>21</v>
      </c>
      <c r="Y51" s="424" t="s">
        <v>22</v>
      </c>
      <c r="Z51" s="424" t="s">
        <v>23</v>
      </c>
      <c r="AA51" s="424"/>
      <c r="AB51" s="424" t="s">
        <v>24</v>
      </c>
      <c r="AC51" s="525" t="s">
        <v>25</v>
      </c>
      <c r="AD51" s="436" t="s">
        <v>26</v>
      </c>
      <c r="AE51" s="525" t="s">
        <v>27</v>
      </c>
      <c r="AF51" s="494"/>
      <c r="AG51" s="495"/>
      <c r="AH51" s="608" t="s">
        <v>30</v>
      </c>
      <c r="AI51" s="597" t="s">
        <v>36</v>
      </c>
      <c r="AJ51" s="598" t="s">
        <v>37</v>
      </c>
      <c r="AK51" s="599" t="s">
        <v>38</v>
      </c>
      <c r="AL51" s="599" t="s">
        <v>107</v>
      </c>
      <c r="AM51" s="599"/>
      <c r="AN51" s="599" t="s">
        <v>29</v>
      </c>
      <c r="AO51" s="600" t="s">
        <v>104</v>
      </c>
      <c r="AP51" s="426" t="s">
        <v>40</v>
      </c>
      <c r="AQ51" s="426" t="s">
        <v>105</v>
      </c>
      <c r="AR51" s="426" t="s">
        <v>41</v>
      </c>
      <c r="AS51" s="426" t="s">
        <v>42</v>
      </c>
      <c r="AT51" s="426" t="s">
        <v>43</v>
      </c>
      <c r="AU51" s="426" t="s">
        <v>44</v>
      </c>
      <c r="AV51" s="426" t="s">
        <v>45</v>
      </c>
      <c r="AW51" s="610" t="s">
        <v>46</v>
      </c>
      <c r="AX51" s="426" t="s">
        <v>31</v>
      </c>
      <c r="AY51" s="628" t="s">
        <v>32</v>
      </c>
      <c r="AZ51" s="426" t="s">
        <v>33</v>
      </c>
      <c r="BA51" s="426" t="s">
        <v>34</v>
      </c>
      <c r="BB51" s="631" t="s">
        <v>35</v>
      </c>
      <c r="BC51" s="631" t="s">
        <v>39</v>
      </c>
      <c r="BD51" s="650" t="s">
        <v>47</v>
      </c>
      <c r="BE51" s="486" t="s">
        <v>47</v>
      </c>
      <c r="BF51" s="486" t="s">
        <v>48</v>
      </c>
      <c r="BG51" s="487" t="s">
        <v>49</v>
      </c>
      <c r="BH51" s="437" t="s">
        <v>50</v>
      </c>
      <c r="BI51" s="427" t="s">
        <v>51</v>
      </c>
      <c r="BJ51" s="428" t="s">
        <v>52</v>
      </c>
      <c r="BK51" s="428" t="s">
        <v>53</v>
      </c>
      <c r="BL51" s="427" t="s">
        <v>54</v>
      </c>
      <c r="BM51" s="493" t="s">
        <v>55</v>
      </c>
      <c r="BN51" s="428" t="s">
        <v>56</v>
      </c>
      <c r="BO51" s="428" t="s">
        <v>57</v>
      </c>
      <c r="BP51" s="427" t="s">
        <v>106</v>
      </c>
      <c r="BQ51" s="488" t="s">
        <v>58</v>
      </c>
      <c r="BR51" s="535"/>
    </row>
    <row r="52" spans="1:71" x14ac:dyDescent="0.2">
      <c r="A52" s="557" t="s">
        <v>59</v>
      </c>
      <c r="B52" s="407">
        <v>57</v>
      </c>
      <c r="C52" s="430" t="s">
        <v>60</v>
      </c>
      <c r="D52" s="431" t="s">
        <v>61</v>
      </c>
      <c r="E52" s="432" t="s">
        <v>62</v>
      </c>
      <c r="F52" s="432" t="s">
        <v>62</v>
      </c>
      <c r="G52" s="432" t="s">
        <v>62</v>
      </c>
      <c r="H52" s="432" t="s">
        <v>62</v>
      </c>
      <c r="I52" s="431" t="s">
        <v>61</v>
      </c>
      <c r="J52" s="432"/>
      <c r="K52" s="432"/>
      <c r="L52" s="523" t="s">
        <v>61</v>
      </c>
      <c r="M52" s="442" t="s">
        <v>83</v>
      </c>
      <c r="N52" s="441" t="s">
        <v>61</v>
      </c>
      <c r="O52" s="434" t="s">
        <v>63</v>
      </c>
      <c r="P52" s="438" t="s">
        <v>62</v>
      </c>
      <c r="Q52" s="438" t="s">
        <v>62</v>
      </c>
      <c r="R52" s="708"/>
      <c r="S52" s="403" t="s">
        <v>62</v>
      </c>
      <c r="T52" s="577" t="s">
        <v>61</v>
      </c>
      <c r="U52" s="512" t="s">
        <v>64</v>
      </c>
      <c r="V52" s="432" t="s">
        <v>65</v>
      </c>
      <c r="W52" s="432" t="s">
        <v>65</v>
      </c>
      <c r="X52" s="432" t="s">
        <v>62</v>
      </c>
      <c r="Y52" s="431" t="s">
        <v>61</v>
      </c>
      <c r="Z52" s="433" t="s">
        <v>66</v>
      </c>
      <c r="AA52" s="432"/>
      <c r="AB52" s="523" t="s">
        <v>61</v>
      </c>
      <c r="AC52" s="519" t="s">
        <v>62</v>
      </c>
      <c r="AD52" s="588" t="s">
        <v>61</v>
      </c>
      <c r="AE52" s="526" t="s">
        <v>61</v>
      </c>
      <c r="AF52" s="441"/>
      <c r="AG52" s="433"/>
      <c r="AH52" s="609" t="s">
        <v>68</v>
      </c>
      <c r="AI52" s="441" t="s">
        <v>61</v>
      </c>
      <c r="AJ52" s="433" t="s">
        <v>68</v>
      </c>
      <c r="AK52" s="439" t="s">
        <v>68</v>
      </c>
      <c r="AL52" s="523" t="s">
        <v>61</v>
      </c>
      <c r="AM52" s="523"/>
      <c r="AN52" s="439" t="s">
        <v>66</v>
      </c>
      <c r="AO52" s="526" t="s">
        <v>61</v>
      </c>
      <c r="AP52" s="431" t="s">
        <v>61</v>
      </c>
      <c r="AQ52" s="432"/>
      <c r="AR52" s="431" t="s">
        <v>61</v>
      </c>
      <c r="AS52" s="432" t="s">
        <v>62</v>
      </c>
      <c r="AT52" s="430" t="s">
        <v>69</v>
      </c>
      <c r="AU52" s="441" t="s">
        <v>61</v>
      </c>
      <c r="AV52" s="438" t="s">
        <v>62</v>
      </c>
      <c r="AW52" s="629" t="s">
        <v>69</v>
      </c>
      <c r="AX52" s="432" t="s">
        <v>62</v>
      </c>
      <c r="AY52" s="441" t="s">
        <v>61</v>
      </c>
      <c r="AZ52" s="431" t="s">
        <v>61</v>
      </c>
      <c r="BA52" s="431" t="s">
        <v>61</v>
      </c>
      <c r="BB52" s="632" t="s">
        <v>69</v>
      </c>
      <c r="BC52" s="439" t="s">
        <v>68</v>
      </c>
      <c r="BD52" s="433" t="s">
        <v>68</v>
      </c>
      <c r="BE52" s="634" t="s">
        <v>60</v>
      </c>
      <c r="BF52" s="438" t="s">
        <v>62</v>
      </c>
      <c r="BG52" s="440" t="s">
        <v>68</v>
      </c>
      <c r="BH52" s="441" t="s">
        <v>61</v>
      </c>
      <c r="BI52" s="433" t="s">
        <v>66</v>
      </c>
      <c r="BJ52" s="431" t="s">
        <v>61</v>
      </c>
      <c r="BK52" s="432" t="s">
        <v>62</v>
      </c>
      <c r="BL52" s="432" t="s">
        <v>62</v>
      </c>
      <c r="BM52" s="439" t="s">
        <v>70</v>
      </c>
      <c r="BN52" s="431" t="s">
        <v>61</v>
      </c>
      <c r="BO52" s="431" t="s">
        <v>61</v>
      </c>
      <c r="BP52" s="432"/>
      <c r="BQ52" s="442" t="s">
        <v>62</v>
      </c>
      <c r="BR52" s="535"/>
    </row>
    <row r="53" spans="1:71" x14ac:dyDescent="0.2">
      <c r="A53" s="557" t="s">
        <v>71</v>
      </c>
      <c r="B53" s="400">
        <f>SUM(C53:BQ53)</f>
        <v>148</v>
      </c>
      <c r="C53" s="412">
        <v>2</v>
      </c>
      <c r="D53" s="412">
        <v>2</v>
      </c>
      <c r="E53" s="412">
        <v>3</v>
      </c>
      <c r="F53" s="412">
        <v>3</v>
      </c>
      <c r="G53" s="412">
        <v>3</v>
      </c>
      <c r="H53" s="412">
        <v>3</v>
      </c>
      <c r="I53" s="412">
        <v>2</v>
      </c>
      <c r="J53" s="412"/>
      <c r="K53" s="412"/>
      <c r="L53" s="443">
        <v>2</v>
      </c>
      <c r="M53" s="445">
        <v>2</v>
      </c>
      <c r="N53" s="446">
        <v>2</v>
      </c>
      <c r="O53" s="412">
        <v>4</v>
      </c>
      <c r="P53" s="443">
        <v>3</v>
      </c>
      <c r="Q53" s="443">
        <v>2</v>
      </c>
      <c r="R53" s="414"/>
      <c r="S53" s="409">
        <v>2</v>
      </c>
      <c r="T53" s="578">
        <v>2</v>
      </c>
      <c r="U53" s="446">
        <v>3</v>
      </c>
      <c r="V53" s="412">
        <v>2</v>
      </c>
      <c r="W53" s="412">
        <v>0</v>
      </c>
      <c r="X53" s="412">
        <v>6</v>
      </c>
      <c r="Y53" s="412">
        <v>2</v>
      </c>
      <c r="Z53" s="412">
        <v>4</v>
      </c>
      <c r="AA53" s="412"/>
      <c r="AB53" s="443">
        <v>2</v>
      </c>
      <c r="AC53" s="520">
        <v>2</v>
      </c>
      <c r="AD53" s="446">
        <v>2</v>
      </c>
      <c r="AE53" s="498">
        <v>2</v>
      </c>
      <c r="AF53" s="497"/>
      <c r="AG53" s="498"/>
      <c r="AH53" s="445">
        <v>4</v>
      </c>
      <c r="AI53" s="444">
        <v>2</v>
      </c>
      <c r="AJ53" s="412">
        <v>4</v>
      </c>
      <c r="AK53" s="443">
        <v>2</v>
      </c>
      <c r="AL53" s="443">
        <v>3</v>
      </c>
      <c r="AM53" s="443"/>
      <c r="AN53" s="443">
        <v>2</v>
      </c>
      <c r="AO53" s="445">
        <v>1</v>
      </c>
      <c r="AP53" s="412">
        <v>1</v>
      </c>
      <c r="AQ53" s="412"/>
      <c r="AR53" s="412">
        <v>3</v>
      </c>
      <c r="AS53" s="412">
        <v>3</v>
      </c>
      <c r="AT53" s="412">
        <v>2</v>
      </c>
      <c r="AU53" s="412">
        <v>3</v>
      </c>
      <c r="AV53" s="412">
        <v>3</v>
      </c>
      <c r="AW53" s="529">
        <v>2</v>
      </c>
      <c r="AX53" s="412">
        <v>2</v>
      </c>
      <c r="AY53" s="446">
        <v>2</v>
      </c>
      <c r="AZ53" s="412">
        <v>3</v>
      </c>
      <c r="BA53" s="412">
        <v>3</v>
      </c>
      <c r="BB53" s="529">
        <v>2</v>
      </c>
      <c r="BC53" s="443">
        <v>4</v>
      </c>
      <c r="BD53" s="498">
        <v>4</v>
      </c>
      <c r="BE53" s="412">
        <v>3</v>
      </c>
      <c r="BF53" s="412">
        <v>2</v>
      </c>
      <c r="BG53" s="445">
        <v>3</v>
      </c>
      <c r="BH53" s="446">
        <v>2</v>
      </c>
      <c r="BI53" s="412">
        <v>4</v>
      </c>
      <c r="BJ53" s="412">
        <v>3</v>
      </c>
      <c r="BK53" s="412">
        <v>2</v>
      </c>
      <c r="BL53" s="412">
        <v>2</v>
      </c>
      <c r="BM53" s="443">
        <v>4</v>
      </c>
      <c r="BN53" s="412">
        <v>2</v>
      </c>
      <c r="BO53" s="412">
        <v>2</v>
      </c>
      <c r="BP53" s="412"/>
      <c r="BQ53" s="445">
        <v>2</v>
      </c>
      <c r="BR53" s="538">
        <f>SUM(C53:BQ53)</f>
        <v>148</v>
      </c>
      <c r="BS53" s="395" t="s">
        <v>72</v>
      </c>
    </row>
    <row r="54" spans="1:71" x14ac:dyDescent="0.2">
      <c r="A54" s="557" t="s">
        <v>73</v>
      </c>
      <c r="B54" s="400"/>
      <c r="C54" s="412">
        <v>300</v>
      </c>
      <c r="D54" s="412">
        <v>300</v>
      </c>
      <c r="E54" s="412">
        <v>300</v>
      </c>
      <c r="F54" s="412">
        <v>300</v>
      </c>
      <c r="G54" s="412">
        <v>300</v>
      </c>
      <c r="H54" s="412">
        <v>300</v>
      </c>
      <c r="I54" s="412">
        <v>300</v>
      </c>
      <c r="J54" s="412"/>
      <c r="K54" s="412"/>
      <c r="L54" s="443">
        <v>300</v>
      </c>
      <c r="M54" s="445">
        <v>300</v>
      </c>
      <c r="N54" s="446">
        <v>300</v>
      </c>
      <c r="O54" s="412">
        <v>300</v>
      </c>
      <c r="P54" s="443">
        <v>300</v>
      </c>
      <c r="Q54" s="443">
        <v>300</v>
      </c>
      <c r="R54" s="414"/>
      <c r="S54" s="409">
        <v>300</v>
      </c>
      <c r="T54" s="578">
        <v>300</v>
      </c>
      <c r="U54" s="446">
        <v>400</v>
      </c>
      <c r="V54" s="412">
        <v>150</v>
      </c>
      <c r="W54" s="412">
        <v>150</v>
      </c>
      <c r="X54" s="412">
        <v>150</v>
      </c>
      <c r="Y54" s="412">
        <v>300</v>
      </c>
      <c r="Z54" s="412">
        <v>400</v>
      </c>
      <c r="AA54" s="412"/>
      <c r="AB54" s="443">
        <v>300</v>
      </c>
      <c r="AC54" s="520">
        <v>300</v>
      </c>
      <c r="AD54" s="446">
        <v>300</v>
      </c>
      <c r="AE54" s="412">
        <v>300</v>
      </c>
      <c r="AF54" s="444"/>
      <c r="AG54" s="412"/>
      <c r="AH54" s="445">
        <v>400</v>
      </c>
      <c r="AI54" s="444">
        <v>300</v>
      </c>
      <c r="AJ54" s="412">
        <v>400</v>
      </c>
      <c r="AK54" s="443">
        <v>400</v>
      </c>
      <c r="AL54" s="443">
        <v>300</v>
      </c>
      <c r="AM54" s="443"/>
      <c r="AN54" s="443">
        <v>400</v>
      </c>
      <c r="AO54" s="445">
        <v>300</v>
      </c>
      <c r="AP54" s="412">
        <v>300</v>
      </c>
      <c r="AQ54" s="412"/>
      <c r="AR54" s="412">
        <v>300</v>
      </c>
      <c r="AS54" s="412">
        <v>300</v>
      </c>
      <c r="AT54" s="412">
        <v>300</v>
      </c>
      <c r="AU54" s="412">
        <v>300</v>
      </c>
      <c r="AV54" s="412">
        <v>300</v>
      </c>
      <c r="AW54" s="443">
        <v>300</v>
      </c>
      <c r="AX54" s="412">
        <v>300</v>
      </c>
      <c r="AY54" s="446">
        <v>300</v>
      </c>
      <c r="AZ54" s="412">
        <v>300</v>
      </c>
      <c r="BA54" s="412">
        <v>300</v>
      </c>
      <c r="BB54" s="443">
        <v>300</v>
      </c>
      <c r="BC54" s="443">
        <v>400</v>
      </c>
      <c r="BD54" s="412">
        <v>400</v>
      </c>
      <c r="BE54" s="412">
        <v>300</v>
      </c>
      <c r="BF54" s="412">
        <v>300</v>
      </c>
      <c r="BG54" s="445">
        <v>400</v>
      </c>
      <c r="BH54" s="446">
        <v>300</v>
      </c>
      <c r="BI54" s="412">
        <v>400</v>
      </c>
      <c r="BJ54" s="412">
        <v>300</v>
      </c>
      <c r="BK54" s="412">
        <v>300</v>
      </c>
      <c r="BL54" s="412">
        <v>300</v>
      </c>
      <c r="BM54" s="443">
        <v>400</v>
      </c>
      <c r="BN54" s="412">
        <v>300</v>
      </c>
      <c r="BO54" s="412">
        <v>300</v>
      </c>
      <c r="BP54" s="412"/>
      <c r="BQ54" s="445">
        <v>300</v>
      </c>
      <c r="BR54" s="535"/>
    </row>
    <row r="55" spans="1:71" x14ac:dyDescent="0.2">
      <c r="A55" s="557" t="s">
        <v>74</v>
      </c>
      <c r="B55" s="401"/>
      <c r="C55" s="400" t="s">
        <v>75</v>
      </c>
      <c r="D55" s="400" t="s">
        <v>75</v>
      </c>
      <c r="E55" s="400" t="s">
        <v>76</v>
      </c>
      <c r="F55" s="400" t="s">
        <v>77</v>
      </c>
      <c r="G55" s="400" t="s">
        <v>78</v>
      </c>
      <c r="H55" s="400" t="s">
        <v>79</v>
      </c>
      <c r="I55" s="400" t="s">
        <v>75</v>
      </c>
      <c r="J55" s="400"/>
      <c r="K55" s="400"/>
      <c r="L55" s="447" t="s">
        <v>75</v>
      </c>
      <c r="M55" s="449" t="s">
        <v>75</v>
      </c>
      <c r="N55" s="450" t="s">
        <v>75</v>
      </c>
      <c r="O55" s="400" t="s">
        <v>75</v>
      </c>
      <c r="P55" s="447" t="s">
        <v>76</v>
      </c>
      <c r="Q55" s="447" t="s">
        <v>75</v>
      </c>
      <c r="R55" s="709"/>
      <c r="S55" s="397" t="s">
        <v>75</v>
      </c>
      <c r="T55" s="579" t="s">
        <v>75</v>
      </c>
      <c r="U55" s="450" t="s">
        <v>75</v>
      </c>
      <c r="V55" s="400" t="s">
        <v>75</v>
      </c>
      <c r="W55" s="400" t="s">
        <v>75</v>
      </c>
      <c r="X55" s="400" t="s">
        <v>75</v>
      </c>
      <c r="Y55" s="400" t="s">
        <v>80</v>
      </c>
      <c r="Z55" s="400" t="s">
        <v>75</v>
      </c>
      <c r="AA55" s="400"/>
      <c r="AB55" s="447" t="s">
        <v>75</v>
      </c>
      <c r="AC55" s="521" t="s">
        <v>75</v>
      </c>
      <c r="AD55" s="450" t="s">
        <v>75</v>
      </c>
      <c r="AE55" s="400" t="s">
        <v>81</v>
      </c>
      <c r="AF55" s="448"/>
      <c r="AG55" s="400"/>
      <c r="AH55" s="449" t="s">
        <v>75</v>
      </c>
      <c r="AI55" s="448" t="s">
        <v>75</v>
      </c>
      <c r="AJ55" s="400" t="s">
        <v>75</v>
      </c>
      <c r="AK55" s="447" t="s">
        <v>75</v>
      </c>
      <c r="AL55" s="447" t="s">
        <v>75</v>
      </c>
      <c r="AM55" s="447"/>
      <c r="AN55" s="447" t="s">
        <v>75</v>
      </c>
      <c r="AO55" s="449" t="s">
        <v>75</v>
      </c>
      <c r="AP55" s="400" t="s">
        <v>75</v>
      </c>
      <c r="AQ55" s="400"/>
      <c r="AR55" s="400" t="s">
        <v>75</v>
      </c>
      <c r="AS55" s="400" t="s">
        <v>75</v>
      </c>
      <c r="AT55" s="400" t="s">
        <v>80</v>
      </c>
      <c r="AU55" s="400" t="s">
        <v>75</v>
      </c>
      <c r="AV55" s="400" t="s">
        <v>75</v>
      </c>
      <c r="AW55" s="447" t="s">
        <v>80</v>
      </c>
      <c r="AX55" s="400" t="s">
        <v>75</v>
      </c>
      <c r="AY55" s="450" t="s">
        <v>75</v>
      </c>
      <c r="AZ55" s="400" t="s">
        <v>75</v>
      </c>
      <c r="BA55" s="400" t="s">
        <v>75</v>
      </c>
      <c r="BB55" s="447" t="s">
        <v>75</v>
      </c>
      <c r="BC55" s="447" t="s">
        <v>75</v>
      </c>
      <c r="BD55" s="400" t="s">
        <v>75</v>
      </c>
      <c r="BE55" s="400" t="s">
        <v>75</v>
      </c>
      <c r="BF55" s="400" t="s">
        <v>75</v>
      </c>
      <c r="BG55" s="449" t="s">
        <v>75</v>
      </c>
      <c r="BH55" s="450" t="s">
        <v>82</v>
      </c>
      <c r="BI55" s="400" t="s">
        <v>75</v>
      </c>
      <c r="BJ55" s="400" t="s">
        <v>75</v>
      </c>
      <c r="BK55" s="400" t="s">
        <v>75</v>
      </c>
      <c r="BL55" s="400" t="s">
        <v>75</v>
      </c>
      <c r="BM55" s="447" t="s">
        <v>75</v>
      </c>
      <c r="BN55" s="400" t="s">
        <v>75</v>
      </c>
      <c r="BO55" s="400" t="s">
        <v>75</v>
      </c>
      <c r="BP55" s="400"/>
      <c r="BQ55" s="449" t="s">
        <v>75</v>
      </c>
      <c r="BR55" s="539" t="s">
        <v>83</v>
      </c>
      <c r="BS55" s="395">
        <v>26</v>
      </c>
    </row>
    <row r="56" spans="1:71" x14ac:dyDescent="0.2">
      <c r="A56" s="557" t="s">
        <v>84</v>
      </c>
      <c r="B56" s="401"/>
      <c r="C56" s="412">
        <v>500</v>
      </c>
      <c r="D56" s="412">
        <v>2000</v>
      </c>
      <c r="E56" s="412">
        <v>2000</v>
      </c>
      <c r="F56" s="412">
        <v>1000</v>
      </c>
      <c r="G56" s="412">
        <v>2000</v>
      </c>
      <c r="H56" s="412">
        <v>2000</v>
      </c>
      <c r="I56" s="412">
        <v>2000</v>
      </c>
      <c r="J56" s="412"/>
      <c r="K56" s="412"/>
      <c r="L56" s="443">
        <v>1000</v>
      </c>
      <c r="M56" s="445">
        <v>2000</v>
      </c>
      <c r="N56" s="446">
        <v>1000</v>
      </c>
      <c r="O56" s="412">
        <v>2000</v>
      </c>
      <c r="P56" s="443">
        <v>2000</v>
      </c>
      <c r="Q56" s="443">
        <v>1000</v>
      </c>
      <c r="R56" s="414"/>
      <c r="S56" s="409">
        <v>2000</v>
      </c>
      <c r="T56" s="578">
        <v>1000</v>
      </c>
      <c r="U56" s="446">
        <v>2000</v>
      </c>
      <c r="V56" s="412">
        <v>500</v>
      </c>
      <c r="W56" s="412">
        <v>500</v>
      </c>
      <c r="X56" s="412">
        <v>2000</v>
      </c>
      <c r="Y56" s="412">
        <v>1000</v>
      </c>
      <c r="Z56" s="412">
        <v>2000</v>
      </c>
      <c r="AA56" s="412"/>
      <c r="AB56" s="443">
        <v>1000</v>
      </c>
      <c r="AC56" s="520">
        <v>1000</v>
      </c>
      <c r="AD56" s="446">
        <v>2000</v>
      </c>
      <c r="AE56" s="412">
        <v>2000</v>
      </c>
      <c r="AF56" s="444"/>
      <c r="AG56" s="412"/>
      <c r="AH56" s="445" t="s">
        <v>85</v>
      </c>
      <c r="AI56" s="444">
        <v>1000</v>
      </c>
      <c r="AJ56" s="412" t="s">
        <v>85</v>
      </c>
      <c r="AK56" s="443" t="s">
        <v>85</v>
      </c>
      <c r="AL56" s="443">
        <v>1000</v>
      </c>
      <c r="AM56" s="443"/>
      <c r="AN56" s="443">
        <v>2000</v>
      </c>
      <c r="AO56" s="445">
        <v>2000</v>
      </c>
      <c r="AP56" s="413">
        <v>2000</v>
      </c>
      <c r="AQ56" s="412"/>
      <c r="AR56" s="412">
        <v>1000</v>
      </c>
      <c r="AS56" s="412">
        <v>2000</v>
      </c>
      <c r="AT56" s="412">
        <v>500</v>
      </c>
      <c r="AU56" s="412">
        <v>1000</v>
      </c>
      <c r="AV56" s="412">
        <v>2000</v>
      </c>
      <c r="AW56" s="443">
        <v>500</v>
      </c>
      <c r="AX56" s="412">
        <v>1000</v>
      </c>
      <c r="AY56" s="446">
        <v>2000</v>
      </c>
      <c r="AZ56" s="412">
        <v>1000</v>
      </c>
      <c r="BA56" s="412">
        <v>2000</v>
      </c>
      <c r="BB56" s="443">
        <v>500</v>
      </c>
      <c r="BC56" s="443">
        <v>2000</v>
      </c>
      <c r="BD56" s="412">
        <v>2000</v>
      </c>
      <c r="BE56" s="412">
        <v>500</v>
      </c>
      <c r="BF56" s="412">
        <v>1000</v>
      </c>
      <c r="BG56" s="445" t="s">
        <v>85</v>
      </c>
      <c r="BH56" s="446">
        <v>1000</v>
      </c>
      <c r="BI56" s="412">
        <v>2000</v>
      </c>
      <c r="BJ56" s="412">
        <v>2000</v>
      </c>
      <c r="BK56" s="412">
        <v>1000</v>
      </c>
      <c r="BL56" s="412">
        <v>2000</v>
      </c>
      <c r="BM56" s="443" t="s">
        <v>85</v>
      </c>
      <c r="BN56" s="412">
        <v>1000</v>
      </c>
      <c r="BO56" s="412">
        <v>2000</v>
      </c>
      <c r="BP56" s="412"/>
      <c r="BQ56" s="445">
        <v>2000</v>
      </c>
      <c r="BR56" s="539" t="s">
        <v>86</v>
      </c>
      <c r="BS56" s="395">
        <v>2</v>
      </c>
    </row>
    <row r="57" spans="1:71" x14ac:dyDescent="0.2">
      <c r="A57" s="559" t="s">
        <v>87</v>
      </c>
      <c r="B57" s="451">
        <f>SUM(C57:BQ57)</f>
        <v>14608200</v>
      </c>
      <c r="C57" s="415">
        <v>139000</v>
      </c>
      <c r="D57" s="415">
        <v>370000</v>
      </c>
      <c r="E57" s="415">
        <v>422000</v>
      </c>
      <c r="F57" s="415">
        <v>289000</v>
      </c>
      <c r="G57" s="415">
        <v>156000</v>
      </c>
      <c r="H57" s="415">
        <v>222000</v>
      </c>
      <c r="I57" s="415">
        <v>606000</v>
      </c>
      <c r="J57" s="626">
        <v>15000</v>
      </c>
      <c r="K57" s="415">
        <v>218000</v>
      </c>
      <c r="L57" s="591">
        <v>154000</v>
      </c>
      <c r="M57" s="635"/>
      <c r="N57" s="453">
        <v>117000</v>
      </c>
      <c r="O57" s="415">
        <v>492000</v>
      </c>
      <c r="P57" s="452"/>
      <c r="Q57" s="452">
        <v>337000</v>
      </c>
      <c r="R57" s="710"/>
      <c r="S57" s="568">
        <v>358000</v>
      </c>
      <c r="T57" s="580">
        <v>332000</v>
      </c>
      <c r="U57" s="455">
        <v>496000</v>
      </c>
      <c r="V57" s="416">
        <v>31600</v>
      </c>
      <c r="W57" s="416">
        <v>36000</v>
      </c>
      <c r="X57" s="415">
        <v>94000</v>
      </c>
      <c r="Y57" s="415">
        <v>381000</v>
      </c>
      <c r="Z57" s="421">
        <v>376000</v>
      </c>
      <c r="AA57" s="415">
        <v>114000</v>
      </c>
      <c r="AB57" s="452">
        <v>182000</v>
      </c>
      <c r="AC57" s="522"/>
      <c r="AD57" s="524"/>
      <c r="AE57" s="452"/>
      <c r="AF57" s="453"/>
      <c r="AG57" s="415"/>
      <c r="AH57" s="454">
        <v>243000</v>
      </c>
      <c r="AI57" s="453">
        <v>221000</v>
      </c>
      <c r="AJ57" s="415">
        <v>407000</v>
      </c>
      <c r="AK57" s="452">
        <v>331000</v>
      </c>
      <c r="AL57" s="452">
        <v>250000</v>
      </c>
      <c r="AM57" s="452"/>
      <c r="AN57" s="452">
        <v>668000</v>
      </c>
      <c r="AO57" s="454"/>
      <c r="AP57" s="415">
        <v>283000</v>
      </c>
      <c r="AQ57" s="455">
        <v>50000</v>
      </c>
      <c r="AR57" s="417">
        <v>336000</v>
      </c>
      <c r="AS57" s="417">
        <v>246000</v>
      </c>
      <c r="AT57" s="417">
        <v>133200</v>
      </c>
      <c r="AU57" s="415">
        <v>418000</v>
      </c>
      <c r="AV57" s="415">
        <v>403000</v>
      </c>
      <c r="AW57" s="452">
        <v>156800</v>
      </c>
      <c r="AX57" s="417">
        <v>217000</v>
      </c>
      <c r="AY57" s="607">
        <v>164000</v>
      </c>
      <c r="AZ57" s="415"/>
      <c r="BA57" s="415"/>
      <c r="BB57" s="452"/>
      <c r="BC57" s="452">
        <v>876000</v>
      </c>
      <c r="BD57" s="415">
        <v>315000</v>
      </c>
      <c r="BE57" s="417">
        <v>110600</v>
      </c>
      <c r="BF57" s="417"/>
      <c r="BG57" s="454">
        <v>550000</v>
      </c>
      <c r="BH57" s="455">
        <v>200000</v>
      </c>
      <c r="BI57" s="415">
        <v>314000</v>
      </c>
      <c r="BJ57" s="415">
        <v>370000</v>
      </c>
      <c r="BK57" s="415">
        <v>261000</v>
      </c>
      <c r="BL57" s="415">
        <v>254000</v>
      </c>
      <c r="BM57" s="452">
        <v>370000</v>
      </c>
      <c r="BN57" s="418">
        <v>199000</v>
      </c>
      <c r="BO57" s="418">
        <v>190000</v>
      </c>
      <c r="BP57" s="415">
        <v>4000</v>
      </c>
      <c r="BQ57" s="454">
        <v>130000</v>
      </c>
      <c r="BR57" s="539" t="s">
        <v>66</v>
      </c>
      <c r="BS57" s="395">
        <v>10</v>
      </c>
    </row>
    <row r="58" spans="1:71" x14ac:dyDescent="0.2">
      <c r="A58" s="560" t="s">
        <v>88</v>
      </c>
      <c r="B58" s="456">
        <f>SUM(C58:BQ58)</f>
        <v>14240000</v>
      </c>
      <c r="C58" s="457">
        <v>150000</v>
      </c>
      <c r="D58" s="457">
        <v>300000</v>
      </c>
      <c r="E58" s="457">
        <v>250000</v>
      </c>
      <c r="F58" s="457">
        <v>200000</v>
      </c>
      <c r="G58" s="457">
        <v>150000</v>
      </c>
      <c r="H58" s="457">
        <v>200000</v>
      </c>
      <c r="I58" s="457">
        <v>400000</v>
      </c>
      <c r="J58" s="457"/>
      <c r="K58" s="457"/>
      <c r="L58" s="633">
        <v>150000</v>
      </c>
      <c r="M58" s="491">
        <v>200000</v>
      </c>
      <c r="N58" s="459">
        <v>150000</v>
      </c>
      <c r="O58" s="457">
        <v>400000</v>
      </c>
      <c r="P58" s="458">
        <v>150000</v>
      </c>
      <c r="Q58" s="458">
        <v>300000</v>
      </c>
      <c r="R58" s="711"/>
      <c r="S58" s="567">
        <v>300000</v>
      </c>
      <c r="T58" s="581">
        <v>350000</v>
      </c>
      <c r="U58" s="459">
        <v>400000</v>
      </c>
      <c r="V58" s="457">
        <v>60000</v>
      </c>
      <c r="W58" s="457">
        <v>60000</v>
      </c>
      <c r="X58" s="457">
        <v>100000</v>
      </c>
      <c r="Y58" s="457">
        <v>300000</v>
      </c>
      <c r="Z58" s="457">
        <v>300000</v>
      </c>
      <c r="AA58" s="457"/>
      <c r="AB58" s="457">
        <v>180000</v>
      </c>
      <c r="AC58" s="457">
        <v>150000</v>
      </c>
      <c r="AD58" s="457">
        <v>250000</v>
      </c>
      <c r="AE58" s="458">
        <v>200000</v>
      </c>
      <c r="AF58" s="489"/>
      <c r="AG58" s="490"/>
      <c r="AH58" s="491">
        <v>220000</v>
      </c>
      <c r="AI58" s="489">
        <v>220000</v>
      </c>
      <c r="AJ58" s="490">
        <v>400000</v>
      </c>
      <c r="AK58" s="490">
        <v>300000</v>
      </c>
      <c r="AL58" s="633">
        <v>200000</v>
      </c>
      <c r="AM58" s="633"/>
      <c r="AN58" s="633">
        <v>500000</v>
      </c>
      <c r="AO58" s="491">
        <v>1000000</v>
      </c>
      <c r="AP58" s="457">
        <v>250000</v>
      </c>
      <c r="AQ58" s="457"/>
      <c r="AR58" s="457">
        <v>300000</v>
      </c>
      <c r="AS58" s="457">
        <v>220000</v>
      </c>
      <c r="AT58" s="457">
        <v>130000</v>
      </c>
      <c r="AU58" s="457">
        <v>350000</v>
      </c>
      <c r="AV58" s="457">
        <v>350000</v>
      </c>
      <c r="AW58" s="458">
        <v>150000</v>
      </c>
      <c r="AX58" s="457">
        <v>200000</v>
      </c>
      <c r="AY58" s="459">
        <v>150000</v>
      </c>
      <c r="AZ58" s="457">
        <v>150000</v>
      </c>
      <c r="BA58" s="457">
        <v>150000</v>
      </c>
      <c r="BB58" s="458">
        <v>150000</v>
      </c>
      <c r="BC58" s="633">
        <v>600000</v>
      </c>
      <c r="BD58" s="490">
        <v>250000</v>
      </c>
      <c r="BE58" s="490">
        <v>100000</v>
      </c>
      <c r="BF58" s="490">
        <v>200000</v>
      </c>
      <c r="BG58" s="491">
        <v>500000</v>
      </c>
      <c r="BH58" s="459">
        <v>150000</v>
      </c>
      <c r="BI58" s="457">
        <v>250000</v>
      </c>
      <c r="BJ58" s="457">
        <v>300000</v>
      </c>
      <c r="BK58" s="457">
        <v>200000</v>
      </c>
      <c r="BL58" s="457"/>
      <c r="BM58" s="458">
        <v>250000</v>
      </c>
      <c r="BN58" s="457">
        <v>150000</v>
      </c>
      <c r="BO58" s="457">
        <v>150000</v>
      </c>
      <c r="BP58" s="457"/>
      <c r="BQ58" s="491">
        <v>100000</v>
      </c>
      <c r="BR58" s="539" t="s">
        <v>67</v>
      </c>
      <c r="BS58" s="395">
        <v>15</v>
      </c>
    </row>
    <row r="59" spans="1:71" x14ac:dyDescent="0.2">
      <c r="A59" s="561"/>
      <c r="B59" s="460"/>
      <c r="C59" s="492"/>
      <c r="D59" s="492"/>
      <c r="E59" s="492"/>
      <c r="F59" s="492"/>
      <c r="G59" s="492"/>
      <c r="H59" s="492"/>
      <c r="I59" s="407"/>
      <c r="J59" s="492"/>
      <c r="K59" s="492"/>
      <c r="L59" s="502"/>
      <c r="M59" s="636"/>
      <c r="N59" s="499"/>
      <c r="O59" s="492"/>
      <c r="P59" s="492"/>
      <c r="Q59" s="492"/>
      <c r="R59" s="712"/>
      <c r="S59" s="586"/>
      <c r="T59" s="582"/>
      <c r="U59" s="492"/>
      <c r="V59" s="492"/>
      <c r="W59" s="492"/>
      <c r="X59" s="509"/>
      <c r="Y59" s="492"/>
      <c r="Z59" s="492"/>
      <c r="AA59" s="509"/>
      <c r="AB59" s="492"/>
      <c r="AC59" s="500"/>
      <c r="AD59" s="500"/>
      <c r="AE59" s="500"/>
      <c r="AF59" s="506"/>
      <c r="AG59" s="492"/>
      <c r="AH59" s="501"/>
      <c r="AI59" s="506"/>
      <c r="AJ59" s="492"/>
      <c r="AK59" s="492"/>
      <c r="AL59" s="492"/>
      <c r="AM59" s="492"/>
      <c r="AN59" s="492"/>
      <c r="AO59" s="595"/>
      <c r="AP59" s="613"/>
      <c r="AQ59" s="492"/>
      <c r="AR59" s="492"/>
      <c r="AS59" s="507"/>
      <c r="AT59" s="492"/>
      <c r="AU59" s="492"/>
      <c r="AV59" s="507"/>
      <c r="AW59" s="492"/>
      <c r="AX59" s="630"/>
      <c r="AY59" s="492"/>
      <c r="AZ59" s="492"/>
      <c r="BA59" s="492"/>
      <c r="BB59" s="492"/>
      <c r="BC59" s="502"/>
      <c r="BD59" s="492"/>
      <c r="BE59" s="417"/>
      <c r="BF59" s="492"/>
      <c r="BG59" s="501"/>
      <c r="BH59" s="502"/>
      <c r="BI59" s="492"/>
      <c r="BJ59" s="492"/>
      <c r="BK59" s="507"/>
      <c r="BL59" s="507"/>
      <c r="BM59" s="500"/>
      <c r="BN59" s="492"/>
      <c r="BO59" s="492"/>
      <c r="BP59" s="500"/>
      <c r="BQ59" s="508"/>
      <c r="BR59" s="539" t="s">
        <v>89</v>
      </c>
      <c r="BS59" s="395">
        <v>1</v>
      </c>
    </row>
    <row r="60" spans="1:71" s="461" customFormat="1" ht="16.5" x14ac:dyDescent="0.2">
      <c r="A60" s="565" t="s">
        <v>90</v>
      </c>
      <c r="B60" s="530">
        <f>SUM(C60:BQ60)</f>
        <v>16326300</v>
      </c>
      <c r="C60" s="540">
        <f>福重!F173</f>
        <v>235700</v>
      </c>
      <c r="D60" s="540">
        <f>福重!Q173</f>
        <v>224000</v>
      </c>
      <c r="E60" s="540">
        <f>福重!AT173</f>
        <v>188000</v>
      </c>
      <c r="F60" s="540">
        <f>福重!AA173</f>
        <v>181000</v>
      </c>
      <c r="G60" s="540">
        <f>福重!AG173</f>
        <v>152000</v>
      </c>
      <c r="H60" s="540">
        <f>福重!AM173</f>
        <v>342000</v>
      </c>
      <c r="I60" s="540">
        <f>那珂川!F67</f>
        <v>452000</v>
      </c>
      <c r="J60" s="623"/>
      <c r="K60" s="623"/>
      <c r="L60" s="566">
        <f>唐津!E61-47000</f>
        <v>303000</v>
      </c>
      <c r="M60" s="643">
        <f>唐津!K61-12000</f>
        <v>172000</v>
      </c>
      <c r="N60" s="541">
        <f>飯塚!S67</f>
        <v>352000</v>
      </c>
      <c r="O60" s="540">
        <f>飯塚!H67</f>
        <v>450000</v>
      </c>
      <c r="P60" s="540">
        <f>飯塚!AB67</f>
        <v>152000</v>
      </c>
      <c r="Q60" s="566">
        <f>小倉!F59</f>
        <v>277000</v>
      </c>
      <c r="R60" s="713"/>
      <c r="S60" s="569">
        <f>+黒崎!F55</f>
        <v>426000</v>
      </c>
      <c r="T60" s="583">
        <f>+黒崎!Q55</f>
        <v>386000</v>
      </c>
      <c r="U60" s="542">
        <v>472000</v>
      </c>
      <c r="V60" s="540">
        <v>63000</v>
      </c>
      <c r="W60" s="540">
        <v>56500</v>
      </c>
      <c r="X60" s="540">
        <v>238000</v>
      </c>
      <c r="Y60" s="540">
        <v>486000</v>
      </c>
      <c r="Z60" s="540">
        <v>635000</v>
      </c>
      <c r="AA60" s="623"/>
      <c r="AB60" s="540">
        <v>252000</v>
      </c>
      <c r="AC60" s="540">
        <v>179000</v>
      </c>
      <c r="AD60" s="543">
        <v>292000</v>
      </c>
      <c r="AE60" s="543">
        <v>228000</v>
      </c>
      <c r="AF60" s="624"/>
      <c r="AG60" s="625"/>
      <c r="AH60" s="547">
        <v>289000</v>
      </c>
      <c r="AI60" s="602">
        <v>107000</v>
      </c>
      <c r="AJ60" s="545">
        <v>314000</v>
      </c>
      <c r="AK60" s="546">
        <v>581000</v>
      </c>
      <c r="AL60" s="546">
        <v>207000</v>
      </c>
      <c r="AM60" s="546"/>
      <c r="AN60" s="546">
        <v>558000</v>
      </c>
      <c r="AO60" s="547">
        <v>725000</v>
      </c>
      <c r="AP60" s="545">
        <v>230000</v>
      </c>
      <c r="AQ60" s="545"/>
      <c r="AR60" s="545">
        <v>245000</v>
      </c>
      <c r="AS60" s="545">
        <v>282000</v>
      </c>
      <c r="AT60" s="545">
        <v>152800</v>
      </c>
      <c r="AU60" s="545">
        <v>345000</v>
      </c>
      <c r="AV60" s="545">
        <v>332000</v>
      </c>
      <c r="AW60" s="546">
        <v>272100</v>
      </c>
      <c r="AX60" s="545">
        <v>202000</v>
      </c>
      <c r="AY60" s="603">
        <v>202000</v>
      </c>
      <c r="AZ60" s="545">
        <v>127000</v>
      </c>
      <c r="BA60" s="545">
        <v>229000</v>
      </c>
      <c r="BB60" s="545">
        <v>181600</v>
      </c>
      <c r="BC60" s="618">
        <v>647000</v>
      </c>
      <c r="BD60" s="545">
        <v>258000</v>
      </c>
      <c r="BE60" s="545">
        <v>133600</v>
      </c>
      <c r="BF60" s="545">
        <v>143000</v>
      </c>
      <c r="BG60" s="547">
        <v>742000</v>
      </c>
      <c r="BH60" s="542">
        <v>144000</v>
      </c>
      <c r="BI60" s="540">
        <v>288000</v>
      </c>
      <c r="BJ60" s="545">
        <v>182000</v>
      </c>
      <c r="BK60" s="545">
        <v>228000</v>
      </c>
      <c r="BL60" s="540"/>
      <c r="BM60" s="543">
        <v>305000</v>
      </c>
      <c r="BN60" s="620">
        <v>158000</v>
      </c>
      <c r="BO60" s="620">
        <v>230000</v>
      </c>
      <c r="BP60" s="540"/>
      <c r="BQ60" s="619">
        <v>92000</v>
      </c>
      <c r="BR60" s="539" t="s">
        <v>60</v>
      </c>
      <c r="BS60" s="411">
        <v>4</v>
      </c>
    </row>
    <row r="61" spans="1:71" s="461" customFormat="1" ht="16.5" x14ac:dyDescent="0.2">
      <c r="A61" s="562" t="s">
        <v>91</v>
      </c>
      <c r="B61" s="548">
        <f>B60/B58</f>
        <v>1.1465098314606741</v>
      </c>
      <c r="C61" s="549">
        <f t="shared" ref="C61:I61" si="19">C60/C58</f>
        <v>1.5713333333333332</v>
      </c>
      <c r="D61" s="549">
        <f t="shared" si="19"/>
        <v>0.7466666666666667</v>
      </c>
      <c r="E61" s="549">
        <f t="shared" si="19"/>
        <v>0.752</v>
      </c>
      <c r="F61" s="549">
        <f t="shared" si="19"/>
        <v>0.90500000000000003</v>
      </c>
      <c r="G61" s="549">
        <f t="shared" si="19"/>
        <v>1.0133333333333334</v>
      </c>
      <c r="H61" s="549">
        <f t="shared" si="19"/>
        <v>1.71</v>
      </c>
      <c r="I61" s="549">
        <f t="shared" si="19"/>
        <v>1.1299999999999999</v>
      </c>
      <c r="J61" s="549"/>
      <c r="K61" s="549"/>
      <c r="L61" s="550">
        <f t="shared" ref="L61:Z61" si="20">L60/L58</f>
        <v>2.02</v>
      </c>
      <c r="M61" s="550">
        <f>M60/M58</f>
        <v>0.86</v>
      </c>
      <c r="N61" s="552">
        <f t="shared" si="20"/>
        <v>2.3466666666666667</v>
      </c>
      <c r="O61" s="550">
        <f t="shared" si="20"/>
        <v>1.125</v>
      </c>
      <c r="P61" s="550">
        <f t="shared" si="20"/>
        <v>1.0133333333333334</v>
      </c>
      <c r="Q61" s="550">
        <f t="shared" si="20"/>
        <v>0.92333333333333334</v>
      </c>
      <c r="R61" s="714"/>
      <c r="S61" s="570">
        <f t="shared" si="20"/>
        <v>1.42</v>
      </c>
      <c r="T61" s="584">
        <f t="shared" si="20"/>
        <v>1.1028571428571428</v>
      </c>
      <c r="U61" s="552">
        <f t="shared" si="20"/>
        <v>1.18</v>
      </c>
      <c r="V61" s="550">
        <f t="shared" si="20"/>
        <v>1.05</v>
      </c>
      <c r="W61" s="550">
        <f t="shared" si="20"/>
        <v>0.94166666666666665</v>
      </c>
      <c r="X61" s="550">
        <f t="shared" si="20"/>
        <v>2.38</v>
      </c>
      <c r="Y61" s="550">
        <f t="shared" si="20"/>
        <v>1.62</v>
      </c>
      <c r="Z61" s="550">
        <f t="shared" si="20"/>
        <v>2.1166666666666667</v>
      </c>
      <c r="AA61" s="550"/>
      <c r="AB61" s="550">
        <f>AB60/AB58</f>
        <v>1.4</v>
      </c>
      <c r="AC61" s="550">
        <f>AC60/AC58</f>
        <v>1.1933333333333334</v>
      </c>
      <c r="AD61" s="550">
        <f>AD60/AD58</f>
        <v>1.1679999999999999</v>
      </c>
      <c r="AE61" s="550">
        <f>AE60/AE58</f>
        <v>1.1399999999999999</v>
      </c>
      <c r="AF61" s="553"/>
      <c r="AG61" s="549"/>
      <c r="AH61" s="551">
        <f t="shared" ref="AH61:AP61" si="21">IFERROR(AH60/AH58,"-")</f>
        <v>1.3136363636363637</v>
      </c>
      <c r="AI61" s="594">
        <f t="shared" si="21"/>
        <v>0.48636363636363639</v>
      </c>
      <c r="AJ61" s="601">
        <f t="shared" si="21"/>
        <v>0.78500000000000003</v>
      </c>
      <c r="AK61" s="601">
        <f t="shared" si="21"/>
        <v>1.9366666666666668</v>
      </c>
      <c r="AL61" s="601">
        <f>IFERROR(AL60/AL58,"-")</f>
        <v>1.0349999999999999</v>
      </c>
      <c r="AM61" s="601"/>
      <c r="AN61" s="601">
        <f>IFERROR(AN60/AN58,"-")</f>
        <v>1.1160000000000001</v>
      </c>
      <c r="AO61" s="551">
        <f t="shared" si="21"/>
        <v>0.72499999999999998</v>
      </c>
      <c r="AP61" s="549">
        <f t="shared" si="21"/>
        <v>0.92</v>
      </c>
      <c r="AQ61" s="549"/>
      <c r="AR61" s="549">
        <f t="shared" ref="AR61:BO61" si="22">IFERROR(AR60/AR58,"-")</f>
        <v>0.81666666666666665</v>
      </c>
      <c r="AS61" s="549">
        <f t="shared" si="22"/>
        <v>1.2818181818181817</v>
      </c>
      <c r="AT61" s="549">
        <f t="shared" si="22"/>
        <v>1.1753846153846155</v>
      </c>
      <c r="AU61" s="549">
        <f t="shared" si="22"/>
        <v>0.98571428571428577</v>
      </c>
      <c r="AV61" s="549">
        <f t="shared" si="22"/>
        <v>0.94857142857142862</v>
      </c>
      <c r="AW61" s="550">
        <f t="shared" si="22"/>
        <v>1.8140000000000001</v>
      </c>
      <c r="AX61" s="659">
        <f t="shared" si="22"/>
        <v>1.01</v>
      </c>
      <c r="AY61" s="554">
        <f t="shared" si="22"/>
        <v>1.3466666666666667</v>
      </c>
      <c r="AZ61" s="549">
        <f t="shared" si="22"/>
        <v>0.84666666666666668</v>
      </c>
      <c r="BA61" s="549">
        <f t="shared" si="22"/>
        <v>1.5266666666666666</v>
      </c>
      <c r="BB61" s="549">
        <f t="shared" si="22"/>
        <v>1.2106666666666666</v>
      </c>
      <c r="BC61" s="552">
        <f t="shared" si="22"/>
        <v>1.0783333333333334</v>
      </c>
      <c r="BD61" s="549">
        <f t="shared" si="22"/>
        <v>1.032</v>
      </c>
      <c r="BE61" s="549">
        <f t="shared" si="22"/>
        <v>1.3360000000000001</v>
      </c>
      <c r="BF61" s="549">
        <f t="shared" si="22"/>
        <v>0.71499999999999997</v>
      </c>
      <c r="BG61" s="551">
        <f t="shared" si="22"/>
        <v>1.484</v>
      </c>
      <c r="BH61" s="554">
        <f t="shared" si="22"/>
        <v>0.96</v>
      </c>
      <c r="BI61" s="549">
        <f t="shared" si="22"/>
        <v>1.1519999999999999</v>
      </c>
      <c r="BJ61" s="549">
        <f t="shared" si="22"/>
        <v>0.60666666666666669</v>
      </c>
      <c r="BK61" s="549">
        <f t="shared" si="22"/>
        <v>1.1399999999999999</v>
      </c>
      <c r="BL61" s="549" t="str">
        <f t="shared" si="22"/>
        <v>-</v>
      </c>
      <c r="BM61" s="549">
        <f t="shared" si="22"/>
        <v>1.22</v>
      </c>
      <c r="BN61" s="549">
        <f t="shared" si="22"/>
        <v>1.0533333333333332</v>
      </c>
      <c r="BO61" s="549">
        <f t="shared" si="22"/>
        <v>1.5333333333333334</v>
      </c>
      <c r="BP61" s="549"/>
      <c r="BQ61" s="551">
        <f>IFERROR(BQ60/BQ58,"-")</f>
        <v>0.92</v>
      </c>
      <c r="BR61" s="536"/>
      <c r="BS61" s="461">
        <f>SUM(BS52:BS60)</f>
        <v>58</v>
      </c>
    </row>
    <row r="62" spans="1:71" ht="19.5" x14ac:dyDescent="0.2">
      <c r="A62" s="617">
        <f>B61</f>
        <v>1.1465098314606741</v>
      </c>
      <c r="B62" s="462"/>
      <c r="C62" s="463"/>
      <c r="D62" s="463"/>
      <c r="E62" s="463"/>
      <c r="F62" s="463"/>
      <c r="G62" s="463"/>
      <c r="H62" s="463"/>
      <c r="I62" s="463"/>
      <c r="J62" s="463"/>
      <c r="K62" s="462"/>
      <c r="L62" s="503"/>
      <c r="M62" s="637"/>
      <c r="N62" s="464"/>
      <c r="O62" s="463"/>
      <c r="P62" s="463"/>
      <c r="Q62" s="503"/>
      <c r="R62" s="715"/>
      <c r="S62" s="420"/>
      <c r="T62" s="585"/>
      <c r="U62" s="463"/>
      <c r="V62" s="463"/>
      <c r="W62" s="463"/>
      <c r="X62" s="463"/>
      <c r="Y62" s="463"/>
      <c r="Z62" s="463"/>
      <c r="AA62" s="463"/>
      <c r="AB62" s="463"/>
      <c r="AC62" s="463"/>
      <c r="AD62" s="463"/>
      <c r="AE62" s="463"/>
      <c r="AF62" s="464"/>
      <c r="AG62" s="463"/>
      <c r="AH62" s="466"/>
      <c r="AI62" s="464"/>
      <c r="AJ62" s="463"/>
      <c r="AK62" s="463"/>
      <c r="AL62" s="463"/>
      <c r="AM62" s="463"/>
      <c r="AN62" s="463"/>
      <c r="AO62" s="596"/>
      <c r="AP62" s="465"/>
      <c r="AQ62" s="463"/>
      <c r="AR62" s="463"/>
      <c r="AS62" s="463"/>
      <c r="AT62" s="463"/>
      <c r="AU62" s="463"/>
      <c r="AV62" s="463"/>
      <c r="AW62" s="463"/>
      <c r="AX62" s="463"/>
      <c r="AY62" s="463"/>
      <c r="AZ62" s="463"/>
      <c r="BA62" s="463"/>
      <c r="BB62" s="463"/>
      <c r="BC62" s="463"/>
      <c r="BD62" s="463"/>
      <c r="BE62" s="417"/>
      <c r="BF62" s="463"/>
      <c r="BG62" s="466"/>
      <c r="BH62" s="463"/>
      <c r="BI62" s="463"/>
      <c r="BJ62" s="463"/>
      <c r="BK62" s="463"/>
      <c r="BL62" s="463"/>
      <c r="BM62" s="463"/>
      <c r="BN62" s="463"/>
      <c r="BO62" s="463"/>
      <c r="BP62" s="463"/>
      <c r="BQ62" s="466"/>
      <c r="BR62" s="534"/>
    </row>
    <row r="63" spans="1:71" ht="16.5" x14ac:dyDescent="0.2">
      <c r="A63" s="593" t="s">
        <v>92</v>
      </c>
      <c r="B63" s="592"/>
      <c r="C63" s="558" t="s">
        <v>93</v>
      </c>
      <c r="D63" s="394" t="s">
        <v>94</v>
      </c>
      <c r="E63" s="396">
        <f>B60/B52</f>
        <v>286426.31578947371</v>
      </c>
      <c r="F63" s="405" t="s">
        <v>95</v>
      </c>
      <c r="G63" s="510" t="s">
        <v>96</v>
      </c>
      <c r="H63" s="399"/>
      <c r="K63" s="405" t="s">
        <v>97</v>
      </c>
      <c r="L63" s="419">
        <f>SUM(C58:M58)</f>
        <v>2000000</v>
      </c>
      <c r="M63" s="467"/>
      <c r="N63" s="410"/>
      <c r="O63" s="410"/>
      <c r="Q63" s="474" t="s">
        <v>97</v>
      </c>
      <c r="R63" s="474"/>
      <c r="S63" s="469">
        <f>SUM(N58:T58)</f>
        <v>1650000</v>
      </c>
      <c r="T63" s="589"/>
      <c r="W63" s="410"/>
      <c r="X63" s="410"/>
      <c r="Y63" s="410"/>
      <c r="Z63" s="410"/>
      <c r="AA63" s="410"/>
      <c r="AC63" s="405" t="s">
        <v>97</v>
      </c>
      <c r="AD63" s="419">
        <f>SUM(U58:AE58)</f>
        <v>2000000</v>
      </c>
      <c r="AE63" s="419"/>
      <c r="AF63" s="468" t="s">
        <v>97</v>
      </c>
      <c r="AG63" s="469">
        <f>SUM(AF58:AH58)</f>
        <v>220000</v>
      </c>
      <c r="AH63" s="467"/>
      <c r="AI63" s="405"/>
      <c r="AL63" s="405" t="s">
        <v>97</v>
      </c>
      <c r="AM63" s="405"/>
      <c r="AN63" s="419">
        <f>SUM(AI58:AO58)</f>
        <v>2620000</v>
      </c>
      <c r="AO63" s="475"/>
      <c r="AP63" s="614"/>
      <c r="AQ63" s="472"/>
      <c r="AR63" s="470"/>
      <c r="AS63" s="513" t="s">
        <v>98</v>
      </c>
      <c r="AT63" s="473"/>
      <c r="AX63" s="429"/>
      <c r="AY63" s="513" t="s">
        <v>98</v>
      </c>
      <c r="AZ63" s="474"/>
      <c r="BA63" s="469"/>
      <c r="BB63" s="472"/>
      <c r="BC63" s="429"/>
      <c r="BE63" s="405" t="s">
        <v>97</v>
      </c>
      <c r="BF63" s="419">
        <f>SUM(AP58:BG58)</f>
        <v>4200000</v>
      </c>
      <c r="BH63" s="471"/>
      <c r="BI63" s="472"/>
      <c r="BJ63" s="472"/>
      <c r="BK63" s="473"/>
      <c r="BL63" s="472"/>
      <c r="BM63" s="408"/>
      <c r="BN63" s="472"/>
      <c r="BO63" s="474" t="s">
        <v>97</v>
      </c>
      <c r="BP63" s="469">
        <f>SUM(BH58:BQ58)</f>
        <v>1550000</v>
      </c>
      <c r="BQ63" s="475"/>
      <c r="BR63" s="535"/>
      <c r="BS63" s="404"/>
    </row>
    <row r="64" spans="1:71" ht="16.5" x14ac:dyDescent="0.2">
      <c r="A64" s="564" t="s">
        <v>99</v>
      </c>
      <c r="B64" s="504" t="s">
        <v>100</v>
      </c>
      <c r="C64" s="435">
        <v>46008</v>
      </c>
      <c r="D64" s="394" t="s">
        <v>101</v>
      </c>
      <c r="E64" s="398">
        <v>46762400</v>
      </c>
      <c r="F64" s="505">
        <f>B60</f>
        <v>16326300</v>
      </c>
      <c r="G64" s="398">
        <f>E64-B60</f>
        <v>30436100</v>
      </c>
      <c r="H64" s="399"/>
      <c r="K64" s="405" t="s">
        <v>102</v>
      </c>
      <c r="L64" s="419">
        <f>SUM(C60:M60)</f>
        <v>2249700</v>
      </c>
      <c r="M64" s="476">
        <f>L64/L63</f>
        <v>1.1248499999999999</v>
      </c>
      <c r="N64" s="410"/>
      <c r="O64" s="410"/>
      <c r="Q64" s="405" t="s">
        <v>102</v>
      </c>
      <c r="R64" s="405"/>
      <c r="S64" s="419">
        <f>SUM(N60:T60)</f>
        <v>2043000</v>
      </c>
      <c r="T64" s="590">
        <f>S64/S63</f>
        <v>1.2381818181818183</v>
      </c>
      <c r="W64" s="410"/>
      <c r="X64" s="410"/>
      <c r="Y64" s="410"/>
      <c r="Z64" s="410"/>
      <c r="AA64" s="410"/>
      <c r="AC64" s="405" t="s">
        <v>102</v>
      </c>
      <c r="AD64" s="419">
        <f>SUM(U60:AE60)</f>
        <v>2901500</v>
      </c>
      <c r="AE64" s="477">
        <f>AD64/AD63</f>
        <v>1.45075</v>
      </c>
      <c r="AF64" s="478" t="s">
        <v>102</v>
      </c>
      <c r="AG64" s="419">
        <f>SUM(AF60:AH60)</f>
        <v>289000</v>
      </c>
      <c r="AH64" s="476">
        <f>AG64/AG63</f>
        <v>1.3136363636363637</v>
      </c>
      <c r="AI64" s="405"/>
      <c r="AL64" s="405" t="s">
        <v>102</v>
      </c>
      <c r="AM64" s="405"/>
      <c r="AN64" s="419">
        <f>SUM(AI60:AO60)</f>
        <v>2492000</v>
      </c>
      <c r="AO64" s="476">
        <f>AN64/AN63</f>
        <v>0.95114503816793894</v>
      </c>
      <c r="AP64" s="627"/>
      <c r="AR64" s="404"/>
      <c r="AS64" s="404"/>
      <c r="AT64" s="410"/>
      <c r="AZ64" s="405"/>
      <c r="BA64" s="479"/>
      <c r="BB64" s="480"/>
      <c r="BC64" s="480"/>
      <c r="BD64" s="477"/>
      <c r="BE64" s="405" t="s">
        <v>102</v>
      </c>
      <c r="BF64" s="419">
        <f>SUM(AP60:BG60)</f>
        <v>4724100</v>
      </c>
      <c r="BG64" s="477">
        <f>BF64/BF63</f>
        <v>1.1247857142857143</v>
      </c>
      <c r="BH64" s="481"/>
      <c r="BM64" s="408"/>
      <c r="BO64" s="405" t="s">
        <v>102</v>
      </c>
      <c r="BP64" s="419">
        <f>SUM(BH60:BQ60)</f>
        <v>1627000</v>
      </c>
      <c r="BQ64" s="476">
        <f>BP64/BP63</f>
        <v>1.0496774193548386</v>
      </c>
      <c r="BR64" s="535"/>
    </row>
    <row r="66" spans="1:71" x14ac:dyDescent="0.2">
      <c r="A66" s="556" t="s">
        <v>0</v>
      </c>
      <c r="B66" s="406">
        <f>M66+AE66+BG66+BQ66+AH66+T66+AO66</f>
        <v>32</v>
      </c>
      <c r="C66" s="406">
        <v>1</v>
      </c>
      <c r="D66" s="406">
        <v>1</v>
      </c>
      <c r="E66" s="406">
        <v>1</v>
      </c>
      <c r="F66" s="406">
        <v>1</v>
      </c>
      <c r="G66" s="406">
        <v>1</v>
      </c>
      <c r="H66" s="406">
        <v>1</v>
      </c>
      <c r="I66" s="406">
        <v>2</v>
      </c>
      <c r="J66" s="406"/>
      <c r="K66" s="406"/>
      <c r="L66" s="406">
        <v>3</v>
      </c>
      <c r="M66" s="406">
        <v>3</v>
      </c>
      <c r="N66" s="482">
        <v>1</v>
      </c>
      <c r="O66" s="406">
        <v>1</v>
      </c>
      <c r="P66" s="406">
        <v>1</v>
      </c>
      <c r="Q66" s="587">
        <v>2</v>
      </c>
      <c r="R66" s="706"/>
      <c r="S66" s="405">
        <v>3</v>
      </c>
      <c r="T66" s="575">
        <v>3</v>
      </c>
      <c r="U66" s="406">
        <v>1</v>
      </c>
      <c r="V66" s="406">
        <v>1</v>
      </c>
      <c r="W66" s="406">
        <v>1</v>
      </c>
      <c r="X66" s="406">
        <v>2</v>
      </c>
      <c r="Y66" s="406">
        <v>2</v>
      </c>
      <c r="Z66" s="405">
        <v>3</v>
      </c>
      <c r="AA66" s="406"/>
      <c r="AB66" s="405">
        <v>4</v>
      </c>
      <c r="AC66" s="406"/>
      <c r="AD66" s="407">
        <v>5</v>
      </c>
      <c r="AE66" s="406">
        <v>5</v>
      </c>
      <c r="AF66" s="483"/>
      <c r="AG66" s="484"/>
      <c r="AH66" s="485">
        <v>1</v>
      </c>
      <c r="AI66" s="482">
        <v>1</v>
      </c>
      <c r="AJ66" s="484">
        <v>2</v>
      </c>
      <c r="AK66" s="484">
        <v>3</v>
      </c>
      <c r="AL66" s="484">
        <v>4</v>
      </c>
      <c r="AM66" s="484"/>
      <c r="AN66" s="484">
        <v>4</v>
      </c>
      <c r="AO66" s="485">
        <v>5</v>
      </c>
      <c r="AP66" s="406">
        <v>1</v>
      </c>
      <c r="AQ66" s="406">
        <v>1</v>
      </c>
      <c r="AR66" s="406">
        <v>2</v>
      </c>
      <c r="AS66" s="406">
        <v>2</v>
      </c>
      <c r="AT66" s="406">
        <v>2</v>
      </c>
      <c r="AU66" s="406">
        <v>3</v>
      </c>
      <c r="AV66" s="406">
        <v>3</v>
      </c>
      <c r="AW66" s="406">
        <v>3</v>
      </c>
      <c r="AX66" s="406">
        <v>4</v>
      </c>
      <c r="AY66" s="406">
        <v>4</v>
      </c>
      <c r="AZ66" s="406">
        <v>5</v>
      </c>
      <c r="BA66" s="406">
        <v>5</v>
      </c>
      <c r="BB66" s="406">
        <v>5</v>
      </c>
      <c r="BC66" s="406">
        <v>6</v>
      </c>
      <c r="BD66" s="484">
        <v>7</v>
      </c>
      <c r="BE66" s="484">
        <v>7</v>
      </c>
      <c r="BF66" s="484">
        <v>8</v>
      </c>
      <c r="BG66" s="485">
        <v>9</v>
      </c>
      <c r="BH66" s="406">
        <v>1</v>
      </c>
      <c r="BI66" s="407">
        <v>1</v>
      </c>
      <c r="BJ66" s="406">
        <v>2</v>
      </c>
      <c r="BK66" s="406">
        <v>3</v>
      </c>
      <c r="BL66" s="406"/>
      <c r="BM66" s="406">
        <v>4</v>
      </c>
      <c r="BN66" s="406">
        <v>5</v>
      </c>
      <c r="BO66" s="406">
        <v>5</v>
      </c>
      <c r="BP66" s="406"/>
      <c r="BQ66" s="485">
        <v>6</v>
      </c>
      <c r="BR66" s="537">
        <f>M66+AE66+AH66+AO66+BG66+BQ66+T66</f>
        <v>32</v>
      </c>
      <c r="BS66" s="408" t="s">
        <v>1</v>
      </c>
    </row>
    <row r="67" spans="1:71" x14ac:dyDescent="0.2">
      <c r="A67" s="563">
        <v>46054</v>
      </c>
      <c r="B67" s="528" t="s">
        <v>2</v>
      </c>
      <c r="C67" s="422" t="s">
        <v>3</v>
      </c>
      <c r="D67" s="422" t="s">
        <v>4</v>
      </c>
      <c r="E67" s="422" t="s">
        <v>5</v>
      </c>
      <c r="F67" s="422" t="s">
        <v>6</v>
      </c>
      <c r="G67" s="422" t="s">
        <v>7</v>
      </c>
      <c r="H67" s="422" t="s">
        <v>8</v>
      </c>
      <c r="I67" s="422" t="s">
        <v>9</v>
      </c>
      <c r="J67" s="422" t="s">
        <v>9</v>
      </c>
      <c r="K67" s="423" t="s">
        <v>10</v>
      </c>
      <c r="L67" s="423" t="s">
        <v>11</v>
      </c>
      <c r="M67" s="527" t="s">
        <v>11</v>
      </c>
      <c r="N67" s="571" t="s">
        <v>12</v>
      </c>
      <c r="O67" s="572" t="s">
        <v>13</v>
      </c>
      <c r="P67" s="572" t="s">
        <v>14</v>
      </c>
      <c r="Q67" s="573" t="s">
        <v>15</v>
      </c>
      <c r="R67" s="707"/>
      <c r="S67" s="574" t="s">
        <v>16</v>
      </c>
      <c r="T67" s="576" t="s">
        <v>17</v>
      </c>
      <c r="U67" s="511" t="s">
        <v>18</v>
      </c>
      <c r="V67" s="424" t="s">
        <v>19</v>
      </c>
      <c r="W67" s="424" t="s">
        <v>20</v>
      </c>
      <c r="X67" s="424" t="s">
        <v>21</v>
      </c>
      <c r="Y67" s="424" t="s">
        <v>22</v>
      </c>
      <c r="Z67" s="424" t="s">
        <v>23</v>
      </c>
      <c r="AA67" s="424"/>
      <c r="AB67" s="424" t="s">
        <v>24</v>
      </c>
      <c r="AC67" s="525" t="s">
        <v>25</v>
      </c>
      <c r="AD67" s="436" t="s">
        <v>26</v>
      </c>
      <c r="AE67" s="525" t="s">
        <v>27</v>
      </c>
      <c r="AF67" s="494"/>
      <c r="AG67" s="495"/>
      <c r="AH67" s="608" t="s">
        <v>30</v>
      </c>
      <c r="AI67" s="597" t="s">
        <v>36</v>
      </c>
      <c r="AJ67" s="598" t="s">
        <v>37</v>
      </c>
      <c r="AK67" s="599" t="s">
        <v>38</v>
      </c>
      <c r="AL67" s="599" t="s">
        <v>107</v>
      </c>
      <c r="AM67" s="599"/>
      <c r="AN67" s="599" t="s">
        <v>29</v>
      </c>
      <c r="AO67" s="600" t="s">
        <v>104</v>
      </c>
      <c r="AP67" s="426" t="s">
        <v>40</v>
      </c>
      <c r="AQ67" s="426" t="s">
        <v>105</v>
      </c>
      <c r="AR67" s="426" t="s">
        <v>41</v>
      </c>
      <c r="AS67" s="426" t="s">
        <v>42</v>
      </c>
      <c r="AT67" s="426" t="s">
        <v>43</v>
      </c>
      <c r="AU67" s="426" t="s">
        <v>44</v>
      </c>
      <c r="AV67" s="426" t="s">
        <v>45</v>
      </c>
      <c r="AW67" s="610" t="s">
        <v>46</v>
      </c>
      <c r="AX67" s="426" t="s">
        <v>31</v>
      </c>
      <c r="AY67" s="628" t="s">
        <v>32</v>
      </c>
      <c r="AZ67" s="426" t="s">
        <v>33</v>
      </c>
      <c r="BA67" s="426" t="s">
        <v>34</v>
      </c>
      <c r="BB67" s="631" t="s">
        <v>35</v>
      </c>
      <c r="BC67" s="631" t="s">
        <v>39</v>
      </c>
      <c r="BD67" s="650" t="s">
        <v>47</v>
      </c>
      <c r="BE67" s="486" t="s">
        <v>47</v>
      </c>
      <c r="BF67" s="486" t="s">
        <v>48</v>
      </c>
      <c r="BG67" s="487" t="s">
        <v>49</v>
      </c>
      <c r="BH67" s="437" t="s">
        <v>50</v>
      </c>
      <c r="BI67" s="427" t="s">
        <v>51</v>
      </c>
      <c r="BJ67" s="428" t="s">
        <v>52</v>
      </c>
      <c r="BK67" s="428" t="s">
        <v>53</v>
      </c>
      <c r="BL67" s="427"/>
      <c r="BM67" s="493" t="s">
        <v>55</v>
      </c>
      <c r="BN67" s="428" t="s">
        <v>56</v>
      </c>
      <c r="BO67" s="428" t="s">
        <v>57</v>
      </c>
      <c r="BP67" s="427" t="s">
        <v>106</v>
      </c>
      <c r="BQ67" s="488" t="s">
        <v>58</v>
      </c>
      <c r="BR67" s="535"/>
    </row>
    <row r="68" spans="1:71" x14ac:dyDescent="0.2">
      <c r="A68" s="557" t="s">
        <v>59</v>
      </c>
      <c r="B68" s="407">
        <v>57</v>
      </c>
      <c r="C68" s="430" t="s">
        <v>60</v>
      </c>
      <c r="D68" s="431" t="s">
        <v>61</v>
      </c>
      <c r="E68" s="432" t="s">
        <v>62</v>
      </c>
      <c r="F68" s="432" t="s">
        <v>62</v>
      </c>
      <c r="G68" s="432" t="s">
        <v>62</v>
      </c>
      <c r="H68" s="432" t="s">
        <v>62</v>
      </c>
      <c r="I68" s="431" t="s">
        <v>61</v>
      </c>
      <c r="J68" s="432"/>
      <c r="K68" s="432"/>
      <c r="L68" s="523" t="s">
        <v>61</v>
      </c>
      <c r="M68" s="442" t="s">
        <v>83</v>
      </c>
      <c r="N68" s="441" t="s">
        <v>61</v>
      </c>
      <c r="O68" s="434" t="s">
        <v>63</v>
      </c>
      <c r="P68" s="438" t="s">
        <v>62</v>
      </c>
      <c r="Q68" s="438" t="s">
        <v>62</v>
      </c>
      <c r="R68" s="708"/>
      <c r="S68" s="403" t="s">
        <v>62</v>
      </c>
      <c r="T68" s="577" t="s">
        <v>61</v>
      </c>
      <c r="U68" s="512" t="s">
        <v>64</v>
      </c>
      <c r="V68" s="432" t="s">
        <v>65</v>
      </c>
      <c r="W68" s="432" t="s">
        <v>65</v>
      </c>
      <c r="X68" s="432" t="s">
        <v>62</v>
      </c>
      <c r="Y68" s="431" t="s">
        <v>61</v>
      </c>
      <c r="Z68" s="433" t="s">
        <v>66</v>
      </c>
      <c r="AA68" s="432"/>
      <c r="AB68" s="523" t="s">
        <v>61</v>
      </c>
      <c r="AC68" s="519" t="s">
        <v>62</v>
      </c>
      <c r="AD68" s="588" t="s">
        <v>61</v>
      </c>
      <c r="AE68" s="526" t="s">
        <v>61</v>
      </c>
      <c r="AF68" s="441"/>
      <c r="AG68" s="433"/>
      <c r="AH68" s="609" t="s">
        <v>68</v>
      </c>
      <c r="AI68" s="441" t="s">
        <v>61</v>
      </c>
      <c r="AJ68" s="433" t="s">
        <v>68</v>
      </c>
      <c r="AK68" s="439" t="s">
        <v>68</v>
      </c>
      <c r="AL68" s="523" t="s">
        <v>61</v>
      </c>
      <c r="AM68" s="523"/>
      <c r="AN68" s="439" t="s">
        <v>66</v>
      </c>
      <c r="AO68" s="526" t="s">
        <v>61</v>
      </c>
      <c r="AP68" s="431" t="s">
        <v>61</v>
      </c>
      <c r="AQ68" s="432"/>
      <c r="AR68" s="431" t="s">
        <v>61</v>
      </c>
      <c r="AS68" s="432" t="s">
        <v>62</v>
      </c>
      <c r="AT68" s="430" t="s">
        <v>69</v>
      </c>
      <c r="AU68" s="441" t="s">
        <v>61</v>
      </c>
      <c r="AV68" s="438" t="s">
        <v>62</v>
      </c>
      <c r="AW68" s="629" t="s">
        <v>69</v>
      </c>
      <c r="AX68" s="432" t="s">
        <v>62</v>
      </c>
      <c r="AY68" s="441" t="s">
        <v>61</v>
      </c>
      <c r="AZ68" s="431" t="s">
        <v>61</v>
      </c>
      <c r="BA68" s="431" t="s">
        <v>61</v>
      </c>
      <c r="BB68" s="632" t="s">
        <v>69</v>
      </c>
      <c r="BC68" s="439" t="s">
        <v>68</v>
      </c>
      <c r="BD68" s="433" t="s">
        <v>68</v>
      </c>
      <c r="BE68" s="634" t="s">
        <v>60</v>
      </c>
      <c r="BF68" s="438" t="s">
        <v>62</v>
      </c>
      <c r="BG68" s="440" t="s">
        <v>68</v>
      </c>
      <c r="BH68" s="441" t="s">
        <v>61</v>
      </c>
      <c r="BI68" s="433" t="s">
        <v>66</v>
      </c>
      <c r="BJ68" s="431" t="s">
        <v>61</v>
      </c>
      <c r="BK68" s="432" t="s">
        <v>62</v>
      </c>
      <c r="BL68" s="432"/>
      <c r="BM68" s="439" t="s">
        <v>70</v>
      </c>
      <c r="BN68" s="431" t="s">
        <v>61</v>
      </c>
      <c r="BO68" s="431" t="s">
        <v>61</v>
      </c>
      <c r="BP68" s="432"/>
      <c r="BQ68" s="442" t="s">
        <v>62</v>
      </c>
      <c r="BR68" s="535"/>
    </row>
    <row r="69" spans="1:71" x14ac:dyDescent="0.2">
      <c r="A69" s="557" t="s">
        <v>71</v>
      </c>
      <c r="B69" s="400">
        <f>SUM(C69:BQ69)</f>
        <v>146</v>
      </c>
      <c r="C69" s="412">
        <v>2</v>
      </c>
      <c r="D69" s="412">
        <v>2</v>
      </c>
      <c r="E69" s="412">
        <v>3</v>
      </c>
      <c r="F69" s="412">
        <v>3</v>
      </c>
      <c r="G69" s="412">
        <v>3</v>
      </c>
      <c r="H69" s="412">
        <v>3</v>
      </c>
      <c r="I69" s="412">
        <v>2</v>
      </c>
      <c r="J69" s="412"/>
      <c r="K69" s="412"/>
      <c r="L69" s="443">
        <v>2</v>
      </c>
      <c r="M69" s="445">
        <v>2</v>
      </c>
      <c r="N69" s="446">
        <v>2</v>
      </c>
      <c r="O69" s="412">
        <v>4</v>
      </c>
      <c r="P69" s="443">
        <v>3</v>
      </c>
      <c r="Q69" s="443">
        <v>2</v>
      </c>
      <c r="R69" s="414"/>
      <c r="S69" s="409">
        <v>2</v>
      </c>
      <c r="T69" s="578">
        <v>2</v>
      </c>
      <c r="U69" s="446">
        <v>3</v>
      </c>
      <c r="V69" s="412">
        <v>2</v>
      </c>
      <c r="W69" s="412">
        <v>0</v>
      </c>
      <c r="X69" s="412">
        <v>6</v>
      </c>
      <c r="Y69" s="412">
        <v>2</v>
      </c>
      <c r="Z69" s="412">
        <v>4</v>
      </c>
      <c r="AA69" s="412"/>
      <c r="AB69" s="443">
        <v>2</v>
      </c>
      <c r="AC69" s="520">
        <v>2</v>
      </c>
      <c r="AD69" s="446">
        <v>2</v>
      </c>
      <c r="AE69" s="498">
        <v>2</v>
      </c>
      <c r="AF69" s="497"/>
      <c r="AG69" s="498"/>
      <c r="AH69" s="445">
        <v>4</v>
      </c>
      <c r="AI69" s="444">
        <v>2</v>
      </c>
      <c r="AJ69" s="412">
        <v>4</v>
      </c>
      <c r="AK69" s="443">
        <v>2</v>
      </c>
      <c r="AL69" s="443">
        <v>3</v>
      </c>
      <c r="AM69" s="443"/>
      <c r="AN69" s="443">
        <v>2</v>
      </c>
      <c r="AO69" s="445">
        <v>1</v>
      </c>
      <c r="AP69" s="412">
        <v>1</v>
      </c>
      <c r="AQ69" s="412"/>
      <c r="AR69" s="412">
        <v>3</v>
      </c>
      <c r="AS69" s="412">
        <v>3</v>
      </c>
      <c r="AT69" s="412">
        <v>2</v>
      </c>
      <c r="AU69" s="412">
        <v>3</v>
      </c>
      <c r="AV69" s="412">
        <v>3</v>
      </c>
      <c r="AW69" s="529">
        <v>2</v>
      </c>
      <c r="AX69" s="412">
        <v>2</v>
      </c>
      <c r="AY69" s="446">
        <v>2</v>
      </c>
      <c r="AZ69" s="412">
        <v>3</v>
      </c>
      <c r="BA69" s="412">
        <v>3</v>
      </c>
      <c r="BB69" s="529">
        <v>2</v>
      </c>
      <c r="BC69" s="443">
        <v>4</v>
      </c>
      <c r="BD69" s="498">
        <v>4</v>
      </c>
      <c r="BE69" s="412">
        <v>3</v>
      </c>
      <c r="BF69" s="412">
        <v>2</v>
      </c>
      <c r="BG69" s="445">
        <v>3</v>
      </c>
      <c r="BH69" s="446">
        <v>2</v>
      </c>
      <c r="BI69" s="412">
        <v>4</v>
      </c>
      <c r="BJ69" s="412">
        <v>3</v>
      </c>
      <c r="BK69" s="412">
        <v>2</v>
      </c>
      <c r="BL69" s="412"/>
      <c r="BM69" s="443">
        <v>4</v>
      </c>
      <c r="BN69" s="412">
        <v>2</v>
      </c>
      <c r="BO69" s="412">
        <v>2</v>
      </c>
      <c r="BP69" s="412"/>
      <c r="BQ69" s="445">
        <v>2</v>
      </c>
      <c r="BR69" s="538">
        <f>SUM(C69:BQ69)</f>
        <v>146</v>
      </c>
      <c r="BS69" s="395" t="s">
        <v>72</v>
      </c>
    </row>
    <row r="70" spans="1:71" x14ac:dyDescent="0.2">
      <c r="A70" s="557" t="s">
        <v>73</v>
      </c>
      <c r="B70" s="400"/>
      <c r="C70" s="412">
        <v>300</v>
      </c>
      <c r="D70" s="412">
        <v>300</v>
      </c>
      <c r="E70" s="412">
        <v>300</v>
      </c>
      <c r="F70" s="412">
        <v>300</v>
      </c>
      <c r="G70" s="412">
        <v>300</v>
      </c>
      <c r="H70" s="412">
        <v>300</v>
      </c>
      <c r="I70" s="412">
        <v>300</v>
      </c>
      <c r="J70" s="412"/>
      <c r="K70" s="412"/>
      <c r="L70" s="443">
        <v>300</v>
      </c>
      <c r="M70" s="445">
        <v>300</v>
      </c>
      <c r="N70" s="446">
        <v>300</v>
      </c>
      <c r="O70" s="412">
        <v>300</v>
      </c>
      <c r="P70" s="443">
        <v>300</v>
      </c>
      <c r="Q70" s="443">
        <v>300</v>
      </c>
      <c r="R70" s="414"/>
      <c r="S70" s="409">
        <v>300</v>
      </c>
      <c r="T70" s="578">
        <v>300</v>
      </c>
      <c r="U70" s="446">
        <v>400</v>
      </c>
      <c r="V70" s="412">
        <v>150</v>
      </c>
      <c r="W70" s="412">
        <v>150</v>
      </c>
      <c r="X70" s="412">
        <v>150</v>
      </c>
      <c r="Y70" s="412">
        <v>300</v>
      </c>
      <c r="Z70" s="412">
        <v>400</v>
      </c>
      <c r="AA70" s="412"/>
      <c r="AB70" s="443">
        <v>300</v>
      </c>
      <c r="AC70" s="520">
        <v>300</v>
      </c>
      <c r="AD70" s="446">
        <v>300</v>
      </c>
      <c r="AE70" s="412">
        <v>300</v>
      </c>
      <c r="AF70" s="444"/>
      <c r="AG70" s="412"/>
      <c r="AH70" s="445">
        <v>400</v>
      </c>
      <c r="AI70" s="444">
        <v>300</v>
      </c>
      <c r="AJ70" s="412">
        <v>400</v>
      </c>
      <c r="AK70" s="443">
        <v>400</v>
      </c>
      <c r="AL70" s="443">
        <v>300</v>
      </c>
      <c r="AM70" s="443"/>
      <c r="AN70" s="443">
        <v>400</v>
      </c>
      <c r="AO70" s="445">
        <v>300</v>
      </c>
      <c r="AP70" s="412">
        <v>300</v>
      </c>
      <c r="AQ70" s="412"/>
      <c r="AR70" s="412">
        <v>300</v>
      </c>
      <c r="AS70" s="412">
        <v>300</v>
      </c>
      <c r="AT70" s="412">
        <v>300</v>
      </c>
      <c r="AU70" s="412">
        <v>300</v>
      </c>
      <c r="AV70" s="412">
        <v>300</v>
      </c>
      <c r="AW70" s="443">
        <v>300</v>
      </c>
      <c r="AX70" s="412">
        <v>300</v>
      </c>
      <c r="AY70" s="446">
        <v>300</v>
      </c>
      <c r="AZ70" s="412">
        <v>300</v>
      </c>
      <c r="BA70" s="412">
        <v>300</v>
      </c>
      <c r="BB70" s="443">
        <v>300</v>
      </c>
      <c r="BC70" s="443">
        <v>400</v>
      </c>
      <c r="BD70" s="412">
        <v>400</v>
      </c>
      <c r="BE70" s="412">
        <v>300</v>
      </c>
      <c r="BF70" s="412">
        <v>300</v>
      </c>
      <c r="BG70" s="445">
        <v>400</v>
      </c>
      <c r="BH70" s="446">
        <v>300</v>
      </c>
      <c r="BI70" s="412">
        <v>400</v>
      </c>
      <c r="BJ70" s="412">
        <v>300</v>
      </c>
      <c r="BK70" s="412">
        <v>300</v>
      </c>
      <c r="BL70" s="412"/>
      <c r="BM70" s="443">
        <v>400</v>
      </c>
      <c r="BN70" s="412">
        <v>300</v>
      </c>
      <c r="BO70" s="412">
        <v>300</v>
      </c>
      <c r="BP70" s="412"/>
      <c r="BQ70" s="445">
        <v>300</v>
      </c>
      <c r="BR70" s="535"/>
    </row>
    <row r="71" spans="1:71" x14ac:dyDescent="0.2">
      <c r="A71" s="557" t="s">
        <v>74</v>
      </c>
      <c r="B71" s="401"/>
      <c r="C71" s="400" t="s">
        <v>75</v>
      </c>
      <c r="D71" s="400" t="s">
        <v>75</v>
      </c>
      <c r="E71" s="400" t="s">
        <v>76</v>
      </c>
      <c r="F71" s="400" t="s">
        <v>77</v>
      </c>
      <c r="G71" s="400" t="s">
        <v>78</v>
      </c>
      <c r="H71" s="400" t="s">
        <v>79</v>
      </c>
      <c r="I71" s="400" t="s">
        <v>75</v>
      </c>
      <c r="J71" s="400"/>
      <c r="K71" s="400"/>
      <c r="L71" s="447" t="s">
        <v>75</v>
      </c>
      <c r="M71" s="449" t="s">
        <v>75</v>
      </c>
      <c r="N71" s="450" t="s">
        <v>75</v>
      </c>
      <c r="O71" s="400" t="s">
        <v>75</v>
      </c>
      <c r="P71" s="447" t="s">
        <v>76</v>
      </c>
      <c r="Q71" s="447" t="s">
        <v>75</v>
      </c>
      <c r="R71" s="709"/>
      <c r="S71" s="397" t="s">
        <v>75</v>
      </c>
      <c r="T71" s="579" t="s">
        <v>75</v>
      </c>
      <c r="U71" s="450" t="s">
        <v>75</v>
      </c>
      <c r="V71" s="400" t="s">
        <v>75</v>
      </c>
      <c r="W71" s="400" t="s">
        <v>75</v>
      </c>
      <c r="X71" s="400" t="s">
        <v>75</v>
      </c>
      <c r="Y71" s="400" t="s">
        <v>80</v>
      </c>
      <c r="Z71" s="400" t="s">
        <v>75</v>
      </c>
      <c r="AA71" s="400"/>
      <c r="AB71" s="447" t="s">
        <v>75</v>
      </c>
      <c r="AC71" s="521" t="s">
        <v>75</v>
      </c>
      <c r="AD71" s="450" t="s">
        <v>75</v>
      </c>
      <c r="AE71" s="400" t="s">
        <v>81</v>
      </c>
      <c r="AF71" s="448"/>
      <c r="AG71" s="400"/>
      <c r="AH71" s="449" t="s">
        <v>75</v>
      </c>
      <c r="AI71" s="448" t="s">
        <v>75</v>
      </c>
      <c r="AJ71" s="400" t="s">
        <v>75</v>
      </c>
      <c r="AK71" s="447" t="s">
        <v>75</v>
      </c>
      <c r="AL71" s="447" t="s">
        <v>75</v>
      </c>
      <c r="AM71" s="447"/>
      <c r="AN71" s="447" t="s">
        <v>75</v>
      </c>
      <c r="AO71" s="449" t="s">
        <v>75</v>
      </c>
      <c r="AP71" s="400" t="s">
        <v>75</v>
      </c>
      <c r="AQ71" s="400"/>
      <c r="AR71" s="400" t="s">
        <v>75</v>
      </c>
      <c r="AS71" s="400" t="s">
        <v>75</v>
      </c>
      <c r="AT71" s="400" t="s">
        <v>80</v>
      </c>
      <c r="AU71" s="400" t="s">
        <v>75</v>
      </c>
      <c r="AV71" s="400" t="s">
        <v>75</v>
      </c>
      <c r="AW71" s="447" t="s">
        <v>80</v>
      </c>
      <c r="AX71" s="400" t="s">
        <v>75</v>
      </c>
      <c r="AY71" s="450" t="s">
        <v>75</v>
      </c>
      <c r="AZ71" s="400" t="s">
        <v>75</v>
      </c>
      <c r="BA71" s="400" t="s">
        <v>75</v>
      </c>
      <c r="BB71" s="447" t="s">
        <v>75</v>
      </c>
      <c r="BC71" s="447" t="s">
        <v>75</v>
      </c>
      <c r="BD71" s="400" t="s">
        <v>75</v>
      </c>
      <c r="BE71" s="400" t="s">
        <v>75</v>
      </c>
      <c r="BF71" s="400" t="s">
        <v>75</v>
      </c>
      <c r="BG71" s="449" t="s">
        <v>75</v>
      </c>
      <c r="BH71" s="450" t="s">
        <v>82</v>
      </c>
      <c r="BI71" s="400" t="s">
        <v>75</v>
      </c>
      <c r="BJ71" s="400" t="s">
        <v>75</v>
      </c>
      <c r="BK71" s="400" t="s">
        <v>75</v>
      </c>
      <c r="BL71" s="400"/>
      <c r="BM71" s="447" t="s">
        <v>75</v>
      </c>
      <c r="BN71" s="400" t="s">
        <v>75</v>
      </c>
      <c r="BO71" s="400" t="s">
        <v>75</v>
      </c>
      <c r="BP71" s="400"/>
      <c r="BQ71" s="449" t="s">
        <v>75</v>
      </c>
      <c r="BR71" s="539" t="s">
        <v>83</v>
      </c>
      <c r="BS71" s="395">
        <v>26</v>
      </c>
    </row>
    <row r="72" spans="1:71" x14ac:dyDescent="0.2">
      <c r="A72" s="557" t="s">
        <v>84</v>
      </c>
      <c r="B72" s="401"/>
      <c r="C72" s="412">
        <v>500</v>
      </c>
      <c r="D72" s="412">
        <v>2000</v>
      </c>
      <c r="E72" s="412">
        <v>2000</v>
      </c>
      <c r="F72" s="412">
        <v>1000</v>
      </c>
      <c r="G72" s="412">
        <v>2000</v>
      </c>
      <c r="H72" s="412">
        <v>2000</v>
      </c>
      <c r="I72" s="412">
        <v>2000</v>
      </c>
      <c r="J72" s="412"/>
      <c r="K72" s="412"/>
      <c r="L72" s="443">
        <v>1000</v>
      </c>
      <c r="M72" s="445">
        <v>2000</v>
      </c>
      <c r="N72" s="446">
        <v>1000</v>
      </c>
      <c r="O72" s="412">
        <v>2000</v>
      </c>
      <c r="P72" s="443">
        <v>2000</v>
      </c>
      <c r="Q72" s="443">
        <v>1000</v>
      </c>
      <c r="R72" s="414"/>
      <c r="S72" s="409">
        <v>2000</v>
      </c>
      <c r="T72" s="578">
        <v>1000</v>
      </c>
      <c r="U72" s="446">
        <v>2000</v>
      </c>
      <c r="V72" s="412">
        <v>500</v>
      </c>
      <c r="W72" s="412">
        <v>500</v>
      </c>
      <c r="X72" s="412">
        <v>2000</v>
      </c>
      <c r="Y72" s="412">
        <v>1000</v>
      </c>
      <c r="Z72" s="412">
        <v>2000</v>
      </c>
      <c r="AA72" s="412"/>
      <c r="AB72" s="443">
        <v>1000</v>
      </c>
      <c r="AC72" s="520">
        <v>1000</v>
      </c>
      <c r="AD72" s="446">
        <v>2000</v>
      </c>
      <c r="AE72" s="412">
        <v>2000</v>
      </c>
      <c r="AF72" s="444"/>
      <c r="AG72" s="412"/>
      <c r="AH72" s="445" t="s">
        <v>85</v>
      </c>
      <c r="AI72" s="444">
        <v>1000</v>
      </c>
      <c r="AJ72" s="412" t="s">
        <v>85</v>
      </c>
      <c r="AK72" s="443" t="s">
        <v>85</v>
      </c>
      <c r="AL72" s="443">
        <v>1000</v>
      </c>
      <c r="AM72" s="443"/>
      <c r="AN72" s="443">
        <v>2000</v>
      </c>
      <c r="AO72" s="445">
        <v>2000</v>
      </c>
      <c r="AP72" s="413">
        <v>2000</v>
      </c>
      <c r="AQ72" s="412"/>
      <c r="AR72" s="412">
        <v>1000</v>
      </c>
      <c r="AS72" s="412">
        <v>2000</v>
      </c>
      <c r="AT72" s="412">
        <v>500</v>
      </c>
      <c r="AU72" s="412">
        <v>1000</v>
      </c>
      <c r="AV72" s="412">
        <v>2000</v>
      </c>
      <c r="AW72" s="443">
        <v>500</v>
      </c>
      <c r="AX72" s="412">
        <v>1000</v>
      </c>
      <c r="AY72" s="446">
        <v>2000</v>
      </c>
      <c r="AZ72" s="412">
        <v>1000</v>
      </c>
      <c r="BA72" s="412">
        <v>2000</v>
      </c>
      <c r="BB72" s="443">
        <v>500</v>
      </c>
      <c r="BC72" s="443">
        <v>2000</v>
      </c>
      <c r="BD72" s="412">
        <v>2000</v>
      </c>
      <c r="BE72" s="412">
        <v>500</v>
      </c>
      <c r="BF72" s="412">
        <v>1000</v>
      </c>
      <c r="BG72" s="445" t="s">
        <v>85</v>
      </c>
      <c r="BH72" s="446">
        <v>1000</v>
      </c>
      <c r="BI72" s="412">
        <v>2000</v>
      </c>
      <c r="BJ72" s="412">
        <v>2000</v>
      </c>
      <c r="BK72" s="412">
        <v>1000</v>
      </c>
      <c r="BL72" s="412"/>
      <c r="BM72" s="443" t="s">
        <v>85</v>
      </c>
      <c r="BN72" s="412">
        <v>1000</v>
      </c>
      <c r="BO72" s="412">
        <v>2000</v>
      </c>
      <c r="BP72" s="412"/>
      <c r="BQ72" s="445">
        <v>2000</v>
      </c>
      <c r="BR72" s="539" t="s">
        <v>86</v>
      </c>
      <c r="BS72" s="395">
        <v>2</v>
      </c>
    </row>
    <row r="73" spans="1:71" x14ac:dyDescent="0.2">
      <c r="A73" s="559" t="s">
        <v>87</v>
      </c>
      <c r="B73" s="451">
        <f>SUM(C73:BQ73)</f>
        <v>10026400</v>
      </c>
      <c r="C73" s="415">
        <v>112500</v>
      </c>
      <c r="D73" s="415">
        <v>266000</v>
      </c>
      <c r="E73" s="415">
        <v>214000</v>
      </c>
      <c r="F73" s="415">
        <v>111000</v>
      </c>
      <c r="G73" s="415">
        <v>88000</v>
      </c>
      <c r="H73" s="415">
        <v>188000</v>
      </c>
      <c r="I73" s="415">
        <v>496000</v>
      </c>
      <c r="J73" s="626"/>
      <c r="K73" s="415">
        <v>149000</v>
      </c>
      <c r="L73" s="591"/>
      <c r="M73" s="635"/>
      <c r="N73" s="453">
        <v>167000</v>
      </c>
      <c r="O73" s="415">
        <v>438000</v>
      </c>
      <c r="P73" s="452"/>
      <c r="Q73" s="452">
        <v>247000</v>
      </c>
      <c r="R73" s="710"/>
      <c r="S73" s="568">
        <v>230000</v>
      </c>
      <c r="T73" s="580">
        <v>309000</v>
      </c>
      <c r="U73" s="455">
        <v>440000</v>
      </c>
      <c r="V73" s="416">
        <v>45200</v>
      </c>
      <c r="W73" s="416">
        <v>40000</v>
      </c>
      <c r="X73" s="415">
        <v>128000</v>
      </c>
      <c r="Y73" s="415">
        <v>274000</v>
      </c>
      <c r="Z73" s="421">
        <v>291000</v>
      </c>
      <c r="AA73" s="415"/>
      <c r="AB73" s="452">
        <v>102000</v>
      </c>
      <c r="AC73" s="522">
        <v>132000</v>
      </c>
      <c r="AD73" s="524"/>
      <c r="AE73" s="452"/>
      <c r="AF73" s="453"/>
      <c r="AG73" s="415"/>
      <c r="AH73" s="454">
        <v>261000</v>
      </c>
      <c r="AI73" s="453">
        <v>168000</v>
      </c>
      <c r="AJ73" s="415">
        <v>266000</v>
      </c>
      <c r="AK73" s="452">
        <v>166000</v>
      </c>
      <c r="AL73" s="452">
        <v>221000</v>
      </c>
      <c r="AM73" s="452"/>
      <c r="AN73" s="452">
        <v>712000</v>
      </c>
      <c r="AO73" s="454"/>
      <c r="AP73" s="415">
        <v>143000</v>
      </c>
      <c r="AQ73" s="455"/>
      <c r="AR73" s="417">
        <v>150000</v>
      </c>
      <c r="AS73" s="417">
        <v>190000</v>
      </c>
      <c r="AT73" s="417">
        <v>51500</v>
      </c>
      <c r="AU73" s="415">
        <v>160000</v>
      </c>
      <c r="AV73" s="415">
        <v>174000</v>
      </c>
      <c r="AW73" s="452">
        <v>78700</v>
      </c>
      <c r="AX73" s="417">
        <v>140000</v>
      </c>
      <c r="AY73" s="607">
        <v>78000</v>
      </c>
      <c r="AZ73" s="415"/>
      <c r="BA73" s="415"/>
      <c r="BB73" s="452"/>
      <c r="BC73" s="452">
        <v>548000</v>
      </c>
      <c r="BD73" s="415">
        <v>438000</v>
      </c>
      <c r="BE73" s="417">
        <v>33500</v>
      </c>
      <c r="BF73" s="417"/>
      <c r="BG73" s="454">
        <v>397000</v>
      </c>
      <c r="BH73" s="455">
        <v>93000</v>
      </c>
      <c r="BI73" s="415">
        <v>169000</v>
      </c>
      <c r="BJ73" s="415">
        <v>145000</v>
      </c>
      <c r="BK73" s="415">
        <v>70000</v>
      </c>
      <c r="BL73" s="415">
        <v>182000</v>
      </c>
      <c r="BM73" s="452">
        <v>246000</v>
      </c>
      <c r="BN73" s="418">
        <v>134000</v>
      </c>
      <c r="BO73" s="418">
        <v>86000</v>
      </c>
      <c r="BP73" s="415"/>
      <c r="BQ73" s="454">
        <v>58000</v>
      </c>
      <c r="BR73" s="539" t="s">
        <v>66</v>
      </c>
      <c r="BS73" s="395">
        <v>10</v>
      </c>
    </row>
    <row r="74" spans="1:71" x14ac:dyDescent="0.2">
      <c r="A74" s="560" t="s">
        <v>88</v>
      </c>
      <c r="B74" s="456">
        <f>SUM(C74:BQ74)</f>
        <v>11930000</v>
      </c>
      <c r="C74" s="457">
        <v>150000</v>
      </c>
      <c r="D74" s="457">
        <v>200000</v>
      </c>
      <c r="E74" s="457">
        <v>180000</v>
      </c>
      <c r="F74" s="457">
        <v>150000</v>
      </c>
      <c r="G74" s="457">
        <v>120000</v>
      </c>
      <c r="H74" s="457">
        <v>180000</v>
      </c>
      <c r="I74" s="457">
        <v>450000</v>
      </c>
      <c r="J74" s="457"/>
      <c r="K74" s="457"/>
      <c r="L74" s="633">
        <v>200000</v>
      </c>
      <c r="M74" s="491">
        <v>200000</v>
      </c>
      <c r="N74" s="459">
        <v>200000</v>
      </c>
      <c r="O74" s="457">
        <v>400000</v>
      </c>
      <c r="P74" s="458">
        <v>130000</v>
      </c>
      <c r="Q74" s="458">
        <v>200000</v>
      </c>
      <c r="R74" s="711"/>
      <c r="S74" s="567">
        <v>300000</v>
      </c>
      <c r="T74" s="581">
        <v>250000</v>
      </c>
      <c r="U74" s="459">
        <v>400000</v>
      </c>
      <c r="V74" s="457">
        <v>50000</v>
      </c>
      <c r="W74" s="457">
        <v>50000</v>
      </c>
      <c r="X74" s="457">
        <v>150000</v>
      </c>
      <c r="Y74" s="457">
        <v>400000</v>
      </c>
      <c r="Z74" s="457">
        <v>280000</v>
      </c>
      <c r="AA74" s="457"/>
      <c r="AB74" s="457">
        <v>150000</v>
      </c>
      <c r="AC74" s="457">
        <v>150000</v>
      </c>
      <c r="AD74" s="457">
        <v>200000</v>
      </c>
      <c r="AE74" s="458">
        <v>150000</v>
      </c>
      <c r="AF74" s="489"/>
      <c r="AG74" s="490"/>
      <c r="AH74" s="491">
        <v>250000</v>
      </c>
      <c r="AI74" s="489">
        <v>150000</v>
      </c>
      <c r="AJ74" s="490">
        <v>270000</v>
      </c>
      <c r="AK74" s="490">
        <v>200000</v>
      </c>
      <c r="AL74" s="633">
        <v>200000</v>
      </c>
      <c r="AM74" s="633"/>
      <c r="AN74" s="633">
        <v>500000</v>
      </c>
      <c r="AO74" s="491">
        <v>500000</v>
      </c>
      <c r="AP74" s="457">
        <v>160000</v>
      </c>
      <c r="AQ74" s="457"/>
      <c r="AR74" s="457">
        <v>150000</v>
      </c>
      <c r="AS74" s="457">
        <v>200000</v>
      </c>
      <c r="AT74" s="457">
        <v>100000</v>
      </c>
      <c r="AU74" s="457">
        <v>250000</v>
      </c>
      <c r="AV74" s="457">
        <v>250000</v>
      </c>
      <c r="AW74" s="458">
        <v>150000</v>
      </c>
      <c r="AX74" s="457">
        <v>150000</v>
      </c>
      <c r="AY74" s="459">
        <v>150000</v>
      </c>
      <c r="AZ74" s="457">
        <v>120000</v>
      </c>
      <c r="BA74" s="457">
        <v>200000</v>
      </c>
      <c r="BB74" s="458">
        <v>100000</v>
      </c>
      <c r="BC74" s="633">
        <v>500000</v>
      </c>
      <c r="BD74" s="490">
        <v>400000</v>
      </c>
      <c r="BE74" s="490">
        <v>70000</v>
      </c>
      <c r="BF74" s="490">
        <v>120000</v>
      </c>
      <c r="BG74" s="491">
        <v>350000</v>
      </c>
      <c r="BH74" s="459">
        <v>100000</v>
      </c>
      <c r="BI74" s="457">
        <v>150000</v>
      </c>
      <c r="BJ74" s="457">
        <v>140000</v>
      </c>
      <c r="BK74" s="457">
        <v>120000</v>
      </c>
      <c r="BL74" s="457"/>
      <c r="BM74" s="458">
        <v>240000</v>
      </c>
      <c r="BN74" s="457">
        <v>120000</v>
      </c>
      <c r="BO74" s="457">
        <v>200000</v>
      </c>
      <c r="BP74" s="457"/>
      <c r="BQ74" s="491">
        <v>80000</v>
      </c>
      <c r="BR74" s="539" t="s">
        <v>67</v>
      </c>
      <c r="BS74" s="395">
        <v>15</v>
      </c>
    </row>
    <row r="75" spans="1:71" x14ac:dyDescent="0.2">
      <c r="A75" s="561"/>
      <c r="B75" s="460"/>
      <c r="C75" s="492"/>
      <c r="D75" s="492"/>
      <c r="E75" s="492"/>
      <c r="F75" s="492"/>
      <c r="G75" s="492"/>
      <c r="H75" s="492"/>
      <c r="I75" s="407"/>
      <c r="J75" s="492"/>
      <c r="K75" s="492"/>
      <c r="L75" s="502"/>
      <c r="M75" s="636"/>
      <c r="N75" s="499"/>
      <c r="O75" s="492"/>
      <c r="P75" s="492"/>
      <c r="Q75" s="492"/>
      <c r="R75" s="712"/>
      <c r="S75" s="586"/>
      <c r="T75" s="582"/>
      <c r="U75" s="492"/>
      <c r="V75" s="492"/>
      <c r="W75" s="492"/>
      <c r="X75" s="509"/>
      <c r="Y75" s="492"/>
      <c r="Z75" s="492"/>
      <c r="AA75" s="509"/>
      <c r="AB75" s="492"/>
      <c r="AC75" s="500"/>
      <c r="AD75" s="500"/>
      <c r="AE75" s="500"/>
      <c r="AF75" s="506"/>
      <c r="AG75" s="492"/>
      <c r="AH75" s="501"/>
      <c r="AI75" s="506"/>
      <c r="AJ75" s="492"/>
      <c r="AK75" s="492"/>
      <c r="AL75" s="492"/>
      <c r="AM75" s="492"/>
      <c r="AN75" s="492"/>
      <c r="AO75" s="595"/>
      <c r="AP75" s="613"/>
      <c r="AQ75" s="492"/>
      <c r="AR75" s="492"/>
      <c r="AS75" s="507"/>
      <c r="AT75" s="492"/>
      <c r="AU75" s="492"/>
      <c r="AV75" s="507"/>
      <c r="AW75" s="492"/>
      <c r="AX75" s="651"/>
      <c r="AY75" s="492"/>
      <c r="AZ75" s="492"/>
      <c r="BA75" s="492"/>
      <c r="BB75" s="492"/>
      <c r="BC75" s="502"/>
      <c r="BD75" s="492"/>
      <c r="BE75" s="417"/>
      <c r="BF75" s="492"/>
      <c r="BG75" s="501"/>
      <c r="BH75" s="502"/>
      <c r="BI75" s="492"/>
      <c r="BJ75" s="492"/>
      <c r="BK75" s="507"/>
      <c r="BL75" s="507"/>
      <c r="BM75" s="500"/>
      <c r="BN75" s="492"/>
      <c r="BO75" s="492"/>
      <c r="BP75" s="500"/>
      <c r="BQ75" s="508"/>
      <c r="BR75" s="539" t="s">
        <v>89</v>
      </c>
      <c r="BS75" s="395">
        <v>1</v>
      </c>
    </row>
    <row r="76" spans="1:71" s="461" customFormat="1" ht="16.5" x14ac:dyDescent="0.2">
      <c r="A76" s="565" t="s">
        <v>90</v>
      </c>
      <c r="B76" s="530">
        <f>SUM(C76:BQ76)</f>
        <v>8962800</v>
      </c>
      <c r="C76" s="540">
        <f>福重!F217-200</f>
        <v>138000</v>
      </c>
      <c r="D76" s="540">
        <f>福重!Q217</f>
        <v>134000</v>
      </c>
      <c r="E76" s="540">
        <f>福重!AT217</f>
        <v>126000</v>
      </c>
      <c r="F76" s="540">
        <f>福重!AA217</f>
        <v>128000</v>
      </c>
      <c r="G76" s="540">
        <f>福重!AG217</f>
        <v>64000</v>
      </c>
      <c r="H76" s="540">
        <f>福重!AM217</f>
        <v>76000</v>
      </c>
      <c r="I76" s="540">
        <f>那珂川!F84+2000</f>
        <v>272000</v>
      </c>
      <c r="J76" s="531"/>
      <c r="K76" s="531"/>
      <c r="L76" s="566">
        <f>唐津!E78-24000</f>
        <v>132000</v>
      </c>
      <c r="M76" s="643">
        <f>唐津!K78-2000</f>
        <v>48000</v>
      </c>
      <c r="N76" s="541">
        <f>飯塚!S84</f>
        <v>215000</v>
      </c>
      <c r="O76" s="540">
        <f>飯塚!H84</f>
        <v>212000</v>
      </c>
      <c r="P76" s="540">
        <f>飯塚!AB84</f>
        <v>44000</v>
      </c>
      <c r="Q76" s="566">
        <f>小倉!F74</f>
        <v>195000</v>
      </c>
      <c r="R76" s="713"/>
      <c r="S76" s="569">
        <f>+黒崎!F69</f>
        <v>242000</v>
      </c>
      <c r="T76" s="583">
        <f>+黒崎!Q69</f>
        <v>359000</v>
      </c>
      <c r="U76" s="542">
        <v>248000</v>
      </c>
      <c r="V76" s="540">
        <v>24000</v>
      </c>
      <c r="W76" s="540">
        <v>27500</v>
      </c>
      <c r="X76" s="540">
        <v>264000</v>
      </c>
      <c r="Y76" s="540">
        <v>474000</v>
      </c>
      <c r="Z76" s="540">
        <v>237000</v>
      </c>
      <c r="AA76" s="531"/>
      <c r="AB76" s="540">
        <v>157000</v>
      </c>
      <c r="AC76" s="540">
        <v>119000</v>
      </c>
      <c r="AD76" s="543">
        <v>138000</v>
      </c>
      <c r="AE76" s="543">
        <v>238000</v>
      </c>
      <c r="AF76" s="654"/>
      <c r="AG76" s="532"/>
      <c r="AH76" s="547">
        <v>251000</v>
      </c>
      <c r="AI76" s="602">
        <v>37000</v>
      </c>
      <c r="AJ76" s="545">
        <v>152000</v>
      </c>
      <c r="AK76" s="546">
        <v>113000</v>
      </c>
      <c r="AL76" s="546">
        <v>102000</v>
      </c>
      <c r="AM76" s="546"/>
      <c r="AN76" s="546">
        <v>283000</v>
      </c>
      <c r="AO76" s="547">
        <v>418000</v>
      </c>
      <c r="AP76" s="545">
        <v>177000</v>
      </c>
      <c r="AQ76" s="532"/>
      <c r="AR76" s="545">
        <v>86000</v>
      </c>
      <c r="AS76" s="545">
        <v>118000</v>
      </c>
      <c r="AT76" s="545">
        <v>74500</v>
      </c>
      <c r="AU76" s="545">
        <v>234000</v>
      </c>
      <c r="AV76" s="545">
        <v>226000</v>
      </c>
      <c r="AW76" s="546">
        <v>128700</v>
      </c>
      <c r="AX76" s="545">
        <v>83000</v>
      </c>
      <c r="AY76" s="603">
        <v>85000</v>
      </c>
      <c r="AZ76" s="545">
        <v>74000</v>
      </c>
      <c r="BA76" s="545">
        <v>66000</v>
      </c>
      <c r="BB76" s="545">
        <v>52600</v>
      </c>
      <c r="BC76" s="618">
        <v>333000</v>
      </c>
      <c r="BD76" s="545">
        <v>129000</v>
      </c>
      <c r="BE76" s="545">
        <v>185500</v>
      </c>
      <c r="BF76" s="545">
        <v>80000</v>
      </c>
      <c r="BG76" s="547">
        <v>288000</v>
      </c>
      <c r="BH76" s="542">
        <v>50000</v>
      </c>
      <c r="BI76" s="540">
        <v>136000</v>
      </c>
      <c r="BJ76" s="545">
        <v>104000</v>
      </c>
      <c r="BK76" s="545">
        <v>83000</v>
      </c>
      <c r="BL76" s="540"/>
      <c r="BM76" s="543">
        <v>186000</v>
      </c>
      <c r="BN76" s="620">
        <v>100000</v>
      </c>
      <c r="BO76" s="620">
        <v>120000</v>
      </c>
      <c r="BP76" s="540"/>
      <c r="BQ76" s="619">
        <v>96000</v>
      </c>
      <c r="BR76" s="539" t="s">
        <v>60</v>
      </c>
      <c r="BS76" s="411">
        <v>4</v>
      </c>
    </row>
    <row r="77" spans="1:71" s="461" customFormat="1" ht="16.5" x14ac:dyDescent="0.2">
      <c r="A77" s="562" t="s">
        <v>91</v>
      </c>
      <c r="B77" s="548">
        <f t="shared" ref="B77:I77" si="23">B76/B74</f>
        <v>0.75128248113998319</v>
      </c>
      <c r="C77" s="549">
        <f>C76/C74</f>
        <v>0.92</v>
      </c>
      <c r="D77" s="549">
        <f t="shared" si="23"/>
        <v>0.67</v>
      </c>
      <c r="E77" s="549">
        <f t="shared" si="23"/>
        <v>0.7</v>
      </c>
      <c r="F77" s="549">
        <f t="shared" si="23"/>
        <v>0.85333333333333339</v>
      </c>
      <c r="G77" s="549">
        <f t="shared" si="23"/>
        <v>0.53333333333333333</v>
      </c>
      <c r="H77" s="549">
        <f t="shared" si="23"/>
        <v>0.42222222222222222</v>
      </c>
      <c r="I77" s="549">
        <f t="shared" si="23"/>
        <v>0.60444444444444445</v>
      </c>
      <c r="J77" s="549"/>
      <c r="K77" s="549"/>
      <c r="L77" s="550">
        <f t="shared" ref="L77:Z77" si="24">L76/L74</f>
        <v>0.66</v>
      </c>
      <c r="M77" s="551">
        <f t="shared" si="24"/>
        <v>0.24</v>
      </c>
      <c r="N77" s="552">
        <f t="shared" si="24"/>
        <v>1.075</v>
      </c>
      <c r="O77" s="550">
        <f t="shared" si="24"/>
        <v>0.53</v>
      </c>
      <c r="P77" s="550">
        <f t="shared" si="24"/>
        <v>0.33846153846153848</v>
      </c>
      <c r="Q77" s="550">
        <f t="shared" si="24"/>
        <v>0.97499999999999998</v>
      </c>
      <c r="R77" s="714"/>
      <c r="S77" s="570">
        <f t="shared" si="24"/>
        <v>0.80666666666666664</v>
      </c>
      <c r="T77" s="584">
        <f t="shared" si="24"/>
        <v>1.4359999999999999</v>
      </c>
      <c r="U77" s="552">
        <f t="shared" si="24"/>
        <v>0.62</v>
      </c>
      <c r="V77" s="550">
        <f t="shared" si="24"/>
        <v>0.48</v>
      </c>
      <c r="W77" s="550">
        <f t="shared" si="24"/>
        <v>0.55000000000000004</v>
      </c>
      <c r="X77" s="550">
        <f t="shared" si="24"/>
        <v>1.76</v>
      </c>
      <c r="Y77" s="550">
        <f t="shared" si="24"/>
        <v>1.1850000000000001</v>
      </c>
      <c r="Z77" s="550">
        <f t="shared" si="24"/>
        <v>0.84642857142857142</v>
      </c>
      <c r="AA77" s="550"/>
      <c r="AB77" s="550">
        <f>AB76/AB74</f>
        <v>1.0466666666666666</v>
      </c>
      <c r="AC77" s="550">
        <f>AC76/AC74</f>
        <v>0.79333333333333333</v>
      </c>
      <c r="AD77" s="550">
        <f>AD76/AD74</f>
        <v>0.69</v>
      </c>
      <c r="AE77" s="550">
        <f>AE76/AE74</f>
        <v>1.5866666666666667</v>
      </c>
      <c r="AF77" s="553"/>
      <c r="AG77" s="549"/>
      <c r="AH77" s="551">
        <f t="shared" ref="AH77:AP77" si="25">IFERROR(AH76/AH74,"-")</f>
        <v>1.004</v>
      </c>
      <c r="AI77" s="594">
        <f t="shared" si="25"/>
        <v>0.24666666666666667</v>
      </c>
      <c r="AJ77" s="601">
        <f t="shared" si="25"/>
        <v>0.562962962962963</v>
      </c>
      <c r="AK77" s="601">
        <f t="shared" si="25"/>
        <v>0.56499999999999995</v>
      </c>
      <c r="AL77" s="601">
        <f t="shared" si="25"/>
        <v>0.51</v>
      </c>
      <c r="AM77" s="601"/>
      <c r="AN77" s="601">
        <f t="shared" si="25"/>
        <v>0.56599999999999995</v>
      </c>
      <c r="AO77" s="551">
        <f t="shared" si="25"/>
        <v>0.83599999999999997</v>
      </c>
      <c r="AP77" s="549">
        <f t="shared" si="25"/>
        <v>1.10625</v>
      </c>
      <c r="AQ77" s="549"/>
      <c r="AR77" s="549">
        <f t="shared" ref="AR77:BO77" si="26">IFERROR(AR76/AR74,"-")</f>
        <v>0.57333333333333336</v>
      </c>
      <c r="AS77" s="549">
        <f t="shared" si="26"/>
        <v>0.59</v>
      </c>
      <c r="AT77" s="549">
        <f t="shared" si="26"/>
        <v>0.745</v>
      </c>
      <c r="AU77" s="549">
        <f t="shared" si="26"/>
        <v>0.93600000000000005</v>
      </c>
      <c r="AV77" s="549">
        <f t="shared" si="26"/>
        <v>0.90400000000000003</v>
      </c>
      <c r="AW77" s="550">
        <f t="shared" si="26"/>
        <v>0.85799999999999998</v>
      </c>
      <c r="AX77" s="549">
        <f t="shared" si="26"/>
        <v>0.55333333333333334</v>
      </c>
      <c r="AY77" s="554">
        <f t="shared" si="26"/>
        <v>0.56666666666666665</v>
      </c>
      <c r="AZ77" s="549">
        <f t="shared" si="26"/>
        <v>0.6166666666666667</v>
      </c>
      <c r="BA77" s="549">
        <f t="shared" si="26"/>
        <v>0.33</v>
      </c>
      <c r="BB77" s="549">
        <f t="shared" si="26"/>
        <v>0.52600000000000002</v>
      </c>
      <c r="BC77" s="552">
        <f t="shared" si="26"/>
        <v>0.66600000000000004</v>
      </c>
      <c r="BD77" s="549">
        <f t="shared" si="26"/>
        <v>0.32250000000000001</v>
      </c>
      <c r="BE77" s="549">
        <f t="shared" si="26"/>
        <v>2.65</v>
      </c>
      <c r="BF77" s="549">
        <f t="shared" si="26"/>
        <v>0.66666666666666663</v>
      </c>
      <c r="BG77" s="551">
        <f t="shared" si="26"/>
        <v>0.82285714285714284</v>
      </c>
      <c r="BH77" s="554">
        <f t="shared" si="26"/>
        <v>0.5</v>
      </c>
      <c r="BI77" s="549">
        <f t="shared" si="26"/>
        <v>0.90666666666666662</v>
      </c>
      <c r="BJ77" s="549">
        <f t="shared" si="26"/>
        <v>0.74285714285714288</v>
      </c>
      <c r="BK77" s="549">
        <f t="shared" si="26"/>
        <v>0.69166666666666665</v>
      </c>
      <c r="BL77" s="549" t="str">
        <f t="shared" si="26"/>
        <v>-</v>
      </c>
      <c r="BM77" s="549">
        <f t="shared" si="26"/>
        <v>0.77500000000000002</v>
      </c>
      <c r="BN77" s="549">
        <f t="shared" si="26"/>
        <v>0.83333333333333337</v>
      </c>
      <c r="BO77" s="549">
        <f t="shared" si="26"/>
        <v>0.6</v>
      </c>
      <c r="BP77" s="549"/>
      <c r="BQ77" s="551">
        <f>IFERROR(BQ76/BQ74,"-")</f>
        <v>1.2</v>
      </c>
      <c r="BR77" s="536"/>
      <c r="BS77" s="461">
        <f>SUM(BS68:BS76)</f>
        <v>58</v>
      </c>
    </row>
    <row r="78" spans="1:71" ht="19.5" x14ac:dyDescent="0.2">
      <c r="A78" s="617">
        <f>B77</f>
        <v>0.75128248113998319</v>
      </c>
      <c r="B78" s="462"/>
      <c r="C78" s="463"/>
      <c r="D78" s="463"/>
      <c r="E78" s="463"/>
      <c r="F78" s="463"/>
      <c r="G78" s="463"/>
      <c r="H78" s="463"/>
      <c r="I78" s="463"/>
      <c r="J78" s="463"/>
      <c r="K78" s="462"/>
      <c r="L78" s="503"/>
      <c r="M78" s="637"/>
      <c r="N78" s="464"/>
      <c r="O78" s="463"/>
      <c r="P78" s="463"/>
      <c r="Q78" s="503"/>
      <c r="R78" s="715"/>
      <c r="S78" s="420"/>
      <c r="T78" s="585"/>
      <c r="U78" s="463"/>
      <c r="V78" s="463"/>
      <c r="W78" s="463"/>
      <c r="X78" s="463"/>
      <c r="Y78" s="463"/>
      <c r="Z78" s="463"/>
      <c r="AA78" s="463"/>
      <c r="AB78" s="463"/>
      <c r="AC78" s="463"/>
      <c r="AD78" s="463"/>
      <c r="AE78" s="463"/>
      <c r="AF78" s="464"/>
      <c r="AG78" s="463"/>
      <c r="AH78" s="466"/>
      <c r="AI78" s="464"/>
      <c r="AJ78" s="463"/>
      <c r="AK78" s="463"/>
      <c r="AL78" s="463"/>
      <c r="AM78" s="463"/>
      <c r="AN78" s="463"/>
      <c r="AO78" s="596"/>
      <c r="AP78" s="465"/>
      <c r="AQ78" s="463"/>
      <c r="AR78" s="463"/>
      <c r="AS78" s="463"/>
      <c r="AT78" s="463"/>
      <c r="AU78" s="463"/>
      <c r="AV78" s="463"/>
      <c r="AW78" s="463"/>
      <c r="AX78" s="420"/>
      <c r="AY78" s="463"/>
      <c r="AZ78" s="463"/>
      <c r="BA78" s="463"/>
      <c r="BB78" s="463"/>
      <c r="BC78" s="463"/>
      <c r="BD78" s="463"/>
      <c r="BE78" s="417"/>
      <c r="BF78" s="463"/>
      <c r="BG78" s="466"/>
      <c r="BH78" s="463"/>
      <c r="BI78" s="463"/>
      <c r="BJ78" s="463"/>
      <c r="BK78" s="463"/>
      <c r="BL78" s="463"/>
      <c r="BM78" s="463"/>
      <c r="BN78" s="463"/>
      <c r="BO78" s="463"/>
      <c r="BP78" s="463"/>
      <c r="BQ78" s="466"/>
      <c r="BR78" s="534"/>
    </row>
    <row r="79" spans="1:71" ht="16.5" x14ac:dyDescent="0.2">
      <c r="A79" s="593" t="s">
        <v>92</v>
      </c>
      <c r="B79" s="592"/>
      <c r="C79" s="558" t="s">
        <v>93</v>
      </c>
      <c r="D79" s="394" t="s">
        <v>94</v>
      </c>
      <c r="E79" s="396">
        <f>B76/B68</f>
        <v>157242.10526315789</v>
      </c>
      <c r="F79" s="405" t="s">
        <v>95</v>
      </c>
      <c r="G79" s="510" t="s">
        <v>96</v>
      </c>
      <c r="H79" s="399"/>
      <c r="K79" s="405" t="s">
        <v>97</v>
      </c>
      <c r="L79" s="419">
        <f>SUM(C74:M74)</f>
        <v>1830000</v>
      </c>
      <c r="M79" s="467"/>
      <c r="N79" s="410"/>
      <c r="O79" s="410"/>
      <c r="Q79" s="474" t="s">
        <v>97</v>
      </c>
      <c r="R79" s="474"/>
      <c r="S79" s="469">
        <f>SUM(N74:T74)</f>
        <v>1480000</v>
      </c>
      <c r="T79" s="589"/>
      <c r="W79" s="410"/>
      <c r="X79" s="410"/>
      <c r="Y79" s="410"/>
      <c r="Z79" s="410"/>
      <c r="AA79" s="410"/>
      <c r="AC79" s="405" t="s">
        <v>97</v>
      </c>
      <c r="AD79" s="419">
        <f>SUM(U74:AE74)</f>
        <v>1980000</v>
      </c>
      <c r="AE79" s="419"/>
      <c r="AF79" s="468" t="s">
        <v>97</v>
      </c>
      <c r="AG79" s="469">
        <f>SUM(AF74:AH74)</f>
        <v>250000</v>
      </c>
      <c r="AH79" s="467"/>
      <c r="AI79" s="405"/>
      <c r="AL79" s="405" t="s">
        <v>97</v>
      </c>
      <c r="AM79" s="405"/>
      <c r="AN79" s="419">
        <f>SUM(AI74:AO74)</f>
        <v>1820000</v>
      </c>
      <c r="AO79" s="475"/>
      <c r="AP79" s="614"/>
      <c r="AQ79" s="472"/>
      <c r="AR79" s="470"/>
      <c r="AS79" s="513" t="s">
        <v>98</v>
      </c>
      <c r="AT79" s="473"/>
      <c r="AY79" s="513" t="s">
        <v>98</v>
      </c>
      <c r="AZ79" s="474"/>
      <c r="BA79" s="469"/>
      <c r="BB79" s="472"/>
      <c r="BE79" s="405" t="s">
        <v>97</v>
      </c>
      <c r="BF79" s="419">
        <f>SUM(AP74:BG74)</f>
        <v>3420000</v>
      </c>
      <c r="BH79" s="471"/>
      <c r="BI79" s="472"/>
      <c r="BJ79" s="472"/>
      <c r="BK79" s="473"/>
      <c r="BL79" s="472"/>
      <c r="BM79" s="408"/>
      <c r="BN79" s="472"/>
      <c r="BO79" s="474" t="s">
        <v>97</v>
      </c>
      <c r="BP79" s="469">
        <f>SUM(BH74:BQ74)</f>
        <v>1150000</v>
      </c>
      <c r="BQ79" s="475"/>
      <c r="BR79" s="535"/>
      <c r="BS79" s="404"/>
    </row>
    <row r="80" spans="1:71" ht="16.5" x14ac:dyDescent="0.2">
      <c r="A80" s="564" t="s">
        <v>99</v>
      </c>
      <c r="B80" s="504" t="s">
        <v>100</v>
      </c>
      <c r="C80" s="435">
        <v>46039</v>
      </c>
      <c r="D80" s="394" t="s">
        <v>101</v>
      </c>
      <c r="E80" s="398">
        <v>36558400</v>
      </c>
      <c r="F80" s="505">
        <f>B76</f>
        <v>8962800</v>
      </c>
      <c r="G80" s="398">
        <f>E80-B76</f>
        <v>27595600</v>
      </c>
      <c r="H80" s="399"/>
      <c r="K80" s="405" t="s">
        <v>102</v>
      </c>
      <c r="L80" s="419">
        <f>SUM(C76:M76)</f>
        <v>1118000</v>
      </c>
      <c r="M80" s="476">
        <f>L80/L79</f>
        <v>0.61092896174863387</v>
      </c>
      <c r="N80" s="410"/>
      <c r="O80" s="410"/>
      <c r="Q80" s="405" t="s">
        <v>102</v>
      </c>
      <c r="R80" s="405"/>
      <c r="S80" s="419">
        <f>SUM(N76:T76)</f>
        <v>1267000</v>
      </c>
      <c r="T80" s="590">
        <f>S80/S79</f>
        <v>0.85608108108108105</v>
      </c>
      <c r="W80" s="410"/>
      <c r="X80" s="410"/>
      <c r="Y80" s="410"/>
      <c r="Z80" s="410"/>
      <c r="AA80" s="410"/>
      <c r="AC80" s="405" t="s">
        <v>102</v>
      </c>
      <c r="AD80" s="419">
        <f>SUM(U76:AE76)</f>
        <v>1926500</v>
      </c>
      <c r="AE80" s="477">
        <f>AD80/AD79</f>
        <v>0.97297979797979794</v>
      </c>
      <c r="AF80" s="478" t="s">
        <v>102</v>
      </c>
      <c r="AG80" s="419">
        <f>SUM(AF76:AH76)</f>
        <v>251000</v>
      </c>
      <c r="AH80" s="476">
        <f>AG80/AG79</f>
        <v>1.004</v>
      </c>
      <c r="AI80" s="405"/>
      <c r="AL80" s="405" t="s">
        <v>102</v>
      </c>
      <c r="AM80" s="405"/>
      <c r="AN80" s="419">
        <f>SUM(AI76:AO76)</f>
        <v>1105000</v>
      </c>
      <c r="AO80" s="476">
        <f>AN80/AN79</f>
        <v>0.6071428571428571</v>
      </c>
      <c r="AP80" s="627"/>
      <c r="AR80" s="404"/>
      <c r="AS80" s="404"/>
      <c r="AT80" s="410"/>
      <c r="AZ80" s="405"/>
      <c r="BA80" s="419"/>
      <c r="BB80" s="477"/>
      <c r="BC80" s="477"/>
      <c r="BD80" s="477"/>
      <c r="BE80" s="405" t="s">
        <v>102</v>
      </c>
      <c r="BF80" s="419">
        <f>SUM(AP76:BG76)</f>
        <v>2420300</v>
      </c>
      <c r="BG80" s="477">
        <f>BF80/BF79</f>
        <v>0.70769005847953215</v>
      </c>
      <c r="BH80" s="481"/>
      <c r="BM80" s="408"/>
      <c r="BO80" s="405" t="s">
        <v>102</v>
      </c>
      <c r="BP80" s="419">
        <f>SUM(BH76:BQ76)</f>
        <v>875000</v>
      </c>
      <c r="BQ80" s="476">
        <f>BP80/BP79</f>
        <v>0.76086956521739135</v>
      </c>
      <c r="BR80" s="535"/>
    </row>
    <row r="82" spans="1:71" x14ac:dyDescent="0.2">
      <c r="A82" s="556" t="s">
        <v>0</v>
      </c>
      <c r="B82" s="406">
        <f>M82+AE82+BG82+BQ82+AH82+T82+AO82</f>
        <v>32</v>
      </c>
      <c r="C82" s="406">
        <v>1</v>
      </c>
      <c r="D82" s="406">
        <v>1</v>
      </c>
      <c r="E82" s="406">
        <v>1</v>
      </c>
      <c r="F82" s="406">
        <v>1</v>
      </c>
      <c r="G82" s="406">
        <v>1</v>
      </c>
      <c r="H82" s="406">
        <v>1</v>
      </c>
      <c r="I82" s="406">
        <v>2</v>
      </c>
      <c r="J82" s="406"/>
      <c r="K82" s="406"/>
      <c r="L82" s="406">
        <v>3</v>
      </c>
      <c r="M82" s="406">
        <v>3</v>
      </c>
      <c r="N82" s="482">
        <v>1</v>
      </c>
      <c r="O82" s="406">
        <v>1</v>
      </c>
      <c r="P82" s="406">
        <v>1</v>
      </c>
      <c r="Q82" s="706">
        <v>2</v>
      </c>
      <c r="R82" s="706"/>
      <c r="S82" s="405">
        <v>3</v>
      </c>
      <c r="T82" s="575">
        <v>3</v>
      </c>
      <c r="U82" s="406">
        <v>1</v>
      </c>
      <c r="V82" s="406">
        <v>1</v>
      </c>
      <c r="W82" s="406">
        <v>1</v>
      </c>
      <c r="X82" s="406">
        <v>2</v>
      </c>
      <c r="Y82" s="406">
        <v>2</v>
      </c>
      <c r="Z82" s="405">
        <v>3</v>
      </c>
      <c r="AA82" s="406"/>
      <c r="AB82" s="405">
        <v>4</v>
      </c>
      <c r="AC82" s="406"/>
      <c r="AD82" s="407">
        <v>5</v>
      </c>
      <c r="AE82" s="406">
        <v>5</v>
      </c>
      <c r="AF82" s="483"/>
      <c r="AG82" s="484"/>
      <c r="AH82" s="485">
        <v>1</v>
      </c>
      <c r="AI82" s="482">
        <v>1</v>
      </c>
      <c r="AJ82" s="484">
        <v>2</v>
      </c>
      <c r="AK82" s="484"/>
      <c r="AL82" s="484">
        <v>3</v>
      </c>
      <c r="AM82" s="484"/>
      <c r="AN82" s="484">
        <v>3</v>
      </c>
      <c r="AO82" s="485">
        <v>4</v>
      </c>
      <c r="AP82" s="406">
        <v>1</v>
      </c>
      <c r="AQ82" s="406">
        <v>1</v>
      </c>
      <c r="AR82" s="406">
        <v>2</v>
      </c>
      <c r="AS82" s="406">
        <v>2</v>
      </c>
      <c r="AT82" s="406">
        <v>2</v>
      </c>
      <c r="AU82" s="406">
        <v>3</v>
      </c>
      <c r="AV82" s="406">
        <v>3</v>
      </c>
      <c r="AW82" s="406">
        <v>3</v>
      </c>
      <c r="AX82" s="406">
        <v>4</v>
      </c>
      <c r="AY82" s="406">
        <v>4</v>
      </c>
      <c r="AZ82" s="406">
        <v>5</v>
      </c>
      <c r="BA82" s="406">
        <v>5</v>
      </c>
      <c r="BB82" s="406">
        <v>5</v>
      </c>
      <c r="BC82" s="406">
        <v>6</v>
      </c>
      <c r="BD82" s="484">
        <v>7</v>
      </c>
      <c r="BE82" s="484">
        <v>7</v>
      </c>
      <c r="BF82" s="484">
        <v>8</v>
      </c>
      <c r="BG82" s="485">
        <v>9</v>
      </c>
      <c r="BH82" s="406">
        <v>1</v>
      </c>
      <c r="BI82" s="407">
        <v>1</v>
      </c>
      <c r="BJ82" s="406">
        <v>2</v>
      </c>
      <c r="BK82" s="406">
        <v>3</v>
      </c>
      <c r="BL82" s="414">
        <v>4</v>
      </c>
      <c r="BM82" s="406">
        <v>5</v>
      </c>
      <c r="BN82" s="406">
        <v>6</v>
      </c>
      <c r="BO82" s="406">
        <v>6</v>
      </c>
      <c r="BP82" s="406"/>
      <c r="BQ82" s="485">
        <v>7</v>
      </c>
      <c r="BR82" s="537">
        <f>M82+AE82+AH82+AO82+BG82+BQ82+T82</f>
        <v>32</v>
      </c>
      <c r="BS82" s="408" t="s">
        <v>1</v>
      </c>
    </row>
    <row r="83" spans="1:71" x14ac:dyDescent="0.2">
      <c r="A83" s="563">
        <v>46082</v>
      </c>
      <c r="B83" s="528" t="s">
        <v>2</v>
      </c>
      <c r="C83" s="422" t="s">
        <v>3</v>
      </c>
      <c r="D83" s="422" t="s">
        <v>4</v>
      </c>
      <c r="E83" s="422" t="s">
        <v>5</v>
      </c>
      <c r="F83" s="422" t="s">
        <v>6</v>
      </c>
      <c r="G83" s="422" t="s">
        <v>7</v>
      </c>
      <c r="H83" s="422" t="s">
        <v>8</v>
      </c>
      <c r="I83" s="422" t="s">
        <v>9</v>
      </c>
      <c r="J83" s="422" t="s">
        <v>9</v>
      </c>
      <c r="K83" s="423" t="s">
        <v>10</v>
      </c>
      <c r="L83" s="423" t="s">
        <v>11</v>
      </c>
      <c r="M83" s="527" t="s">
        <v>11</v>
      </c>
      <c r="N83" s="571" t="s">
        <v>12</v>
      </c>
      <c r="O83" s="572" t="s">
        <v>13</v>
      </c>
      <c r="P83" s="572" t="s">
        <v>14</v>
      </c>
      <c r="Q83" s="572" t="s">
        <v>15</v>
      </c>
      <c r="R83" s="707"/>
      <c r="S83" s="574" t="s">
        <v>16</v>
      </c>
      <c r="T83" s="576" t="s">
        <v>17</v>
      </c>
      <c r="U83" s="511" t="s">
        <v>18</v>
      </c>
      <c r="V83" s="424" t="s">
        <v>19</v>
      </c>
      <c r="W83" s="424" t="s">
        <v>20</v>
      </c>
      <c r="X83" s="424" t="s">
        <v>21</v>
      </c>
      <c r="Y83" s="424" t="s">
        <v>22</v>
      </c>
      <c r="Z83" s="424" t="s">
        <v>23</v>
      </c>
      <c r="AA83" s="424"/>
      <c r="AB83" s="424" t="s">
        <v>24</v>
      </c>
      <c r="AC83" s="525" t="s">
        <v>25</v>
      </c>
      <c r="AD83" s="436" t="s">
        <v>26</v>
      </c>
      <c r="AE83" s="525" t="s">
        <v>27</v>
      </c>
      <c r="AF83" s="494"/>
      <c r="AG83" s="495"/>
      <c r="AH83" s="608" t="s">
        <v>30</v>
      </c>
      <c r="AI83" s="597" t="s">
        <v>36</v>
      </c>
      <c r="AJ83" s="598" t="s">
        <v>37</v>
      </c>
      <c r="AK83" s="599"/>
      <c r="AL83" s="599" t="s">
        <v>107</v>
      </c>
      <c r="AM83" s="599"/>
      <c r="AN83" s="599" t="s">
        <v>29</v>
      </c>
      <c r="AO83" s="600" t="s">
        <v>104</v>
      </c>
      <c r="AP83" s="426" t="s">
        <v>40</v>
      </c>
      <c r="AQ83" s="426" t="s">
        <v>105</v>
      </c>
      <c r="AR83" s="426" t="s">
        <v>41</v>
      </c>
      <c r="AS83" s="426" t="s">
        <v>42</v>
      </c>
      <c r="AT83" s="426" t="s">
        <v>43</v>
      </c>
      <c r="AU83" s="426" t="s">
        <v>44</v>
      </c>
      <c r="AV83" s="426" t="s">
        <v>45</v>
      </c>
      <c r="AW83" s="610" t="s">
        <v>46</v>
      </c>
      <c r="AX83" s="426" t="s">
        <v>31</v>
      </c>
      <c r="AY83" s="628" t="s">
        <v>32</v>
      </c>
      <c r="AZ83" s="426" t="s">
        <v>33</v>
      </c>
      <c r="BA83" s="426" t="s">
        <v>34</v>
      </c>
      <c r="BB83" s="631" t="s">
        <v>35</v>
      </c>
      <c r="BC83" s="631" t="s">
        <v>39</v>
      </c>
      <c r="BD83" s="650" t="s">
        <v>47</v>
      </c>
      <c r="BE83" s="486" t="s">
        <v>47</v>
      </c>
      <c r="BF83" s="486" t="s">
        <v>48</v>
      </c>
      <c r="BG83" s="487" t="s">
        <v>49</v>
      </c>
      <c r="BH83" s="437" t="s">
        <v>50</v>
      </c>
      <c r="BI83" s="427" t="s">
        <v>51</v>
      </c>
      <c r="BJ83" s="428" t="s">
        <v>52</v>
      </c>
      <c r="BK83" s="687" t="s">
        <v>53</v>
      </c>
      <c r="BL83" s="696" t="s">
        <v>38</v>
      </c>
      <c r="BM83" s="688" t="s">
        <v>55</v>
      </c>
      <c r="BN83" s="428" t="s">
        <v>56</v>
      </c>
      <c r="BO83" s="428" t="s">
        <v>57</v>
      </c>
      <c r="BP83" s="427" t="s">
        <v>106</v>
      </c>
      <c r="BQ83" s="488" t="s">
        <v>58</v>
      </c>
      <c r="BR83" s="535"/>
    </row>
    <row r="84" spans="1:71" x14ac:dyDescent="0.2">
      <c r="A84" s="557" t="s">
        <v>59</v>
      </c>
      <c r="B84" s="407">
        <v>57</v>
      </c>
      <c r="C84" s="430" t="s">
        <v>60</v>
      </c>
      <c r="D84" s="431" t="s">
        <v>61</v>
      </c>
      <c r="E84" s="432" t="s">
        <v>62</v>
      </c>
      <c r="F84" s="432" t="s">
        <v>62</v>
      </c>
      <c r="G84" s="432" t="s">
        <v>62</v>
      </c>
      <c r="H84" s="432" t="s">
        <v>62</v>
      </c>
      <c r="I84" s="431" t="s">
        <v>61</v>
      </c>
      <c r="J84" s="432"/>
      <c r="K84" s="432"/>
      <c r="L84" s="523" t="s">
        <v>61</v>
      </c>
      <c r="M84" s="442" t="s">
        <v>83</v>
      </c>
      <c r="N84" s="441" t="s">
        <v>61</v>
      </c>
      <c r="O84" s="434" t="s">
        <v>63</v>
      </c>
      <c r="P84" s="438" t="s">
        <v>62</v>
      </c>
      <c r="Q84" s="432" t="s">
        <v>62</v>
      </c>
      <c r="R84" s="708"/>
      <c r="S84" s="403" t="s">
        <v>62</v>
      </c>
      <c r="T84" s="577" t="s">
        <v>61</v>
      </c>
      <c r="U84" s="512" t="s">
        <v>64</v>
      </c>
      <c r="V84" s="432" t="s">
        <v>65</v>
      </c>
      <c r="W84" s="432" t="s">
        <v>65</v>
      </c>
      <c r="X84" s="432" t="s">
        <v>62</v>
      </c>
      <c r="Y84" s="431" t="s">
        <v>61</v>
      </c>
      <c r="Z84" s="433" t="s">
        <v>66</v>
      </c>
      <c r="AA84" s="432"/>
      <c r="AB84" s="523" t="s">
        <v>61</v>
      </c>
      <c r="AC84" s="519" t="s">
        <v>62</v>
      </c>
      <c r="AD84" s="588" t="s">
        <v>61</v>
      </c>
      <c r="AE84" s="526" t="s">
        <v>61</v>
      </c>
      <c r="AF84" s="441"/>
      <c r="AG84" s="433"/>
      <c r="AH84" s="609" t="s">
        <v>68</v>
      </c>
      <c r="AI84" s="441" t="s">
        <v>61</v>
      </c>
      <c r="AJ84" s="433" t="s">
        <v>68</v>
      </c>
      <c r="AK84" s="439"/>
      <c r="AL84" s="523" t="s">
        <v>61</v>
      </c>
      <c r="AM84" s="523"/>
      <c r="AN84" s="439" t="s">
        <v>66</v>
      </c>
      <c r="AO84" s="526" t="s">
        <v>61</v>
      </c>
      <c r="AP84" s="431" t="s">
        <v>61</v>
      </c>
      <c r="AQ84" s="432"/>
      <c r="AR84" s="431" t="s">
        <v>61</v>
      </c>
      <c r="AS84" s="432" t="s">
        <v>62</v>
      </c>
      <c r="AT84" s="430" t="s">
        <v>69</v>
      </c>
      <c r="AU84" s="441" t="s">
        <v>61</v>
      </c>
      <c r="AV84" s="438" t="s">
        <v>62</v>
      </c>
      <c r="AW84" s="629" t="s">
        <v>69</v>
      </c>
      <c r="AX84" s="432" t="s">
        <v>62</v>
      </c>
      <c r="AY84" s="441" t="s">
        <v>61</v>
      </c>
      <c r="AZ84" s="431" t="s">
        <v>61</v>
      </c>
      <c r="BA84" s="431" t="s">
        <v>61</v>
      </c>
      <c r="BB84" s="632" t="s">
        <v>69</v>
      </c>
      <c r="BC84" s="439" t="s">
        <v>68</v>
      </c>
      <c r="BD84" s="433" t="s">
        <v>68</v>
      </c>
      <c r="BE84" s="634" t="s">
        <v>60</v>
      </c>
      <c r="BF84" s="438" t="s">
        <v>62</v>
      </c>
      <c r="BG84" s="440" t="s">
        <v>68</v>
      </c>
      <c r="BH84" s="441" t="s">
        <v>61</v>
      </c>
      <c r="BI84" s="433" t="s">
        <v>66</v>
      </c>
      <c r="BJ84" s="431" t="s">
        <v>61</v>
      </c>
      <c r="BK84" s="438" t="s">
        <v>62</v>
      </c>
      <c r="BL84" s="679" t="s">
        <v>68</v>
      </c>
      <c r="BM84" s="496" t="s">
        <v>70</v>
      </c>
      <c r="BN84" s="431" t="s">
        <v>61</v>
      </c>
      <c r="BO84" s="431" t="s">
        <v>61</v>
      </c>
      <c r="BP84" s="432"/>
      <c r="BQ84" s="442" t="s">
        <v>62</v>
      </c>
      <c r="BR84" s="535"/>
    </row>
    <row r="85" spans="1:71" x14ac:dyDescent="0.2">
      <c r="A85" s="557" t="s">
        <v>71</v>
      </c>
      <c r="B85" s="400">
        <f>SUM(C85:BQ85)</f>
        <v>146</v>
      </c>
      <c r="C85" s="412">
        <v>2</v>
      </c>
      <c r="D85" s="412">
        <v>2</v>
      </c>
      <c r="E85" s="412">
        <v>3</v>
      </c>
      <c r="F85" s="412">
        <v>3</v>
      </c>
      <c r="G85" s="412">
        <v>3</v>
      </c>
      <c r="H85" s="412">
        <v>3</v>
      </c>
      <c r="I85" s="412">
        <v>2</v>
      </c>
      <c r="J85" s="412"/>
      <c r="K85" s="412"/>
      <c r="L85" s="443">
        <v>2</v>
      </c>
      <c r="M85" s="445">
        <v>2</v>
      </c>
      <c r="N85" s="446">
        <v>2</v>
      </c>
      <c r="O85" s="412">
        <v>4</v>
      </c>
      <c r="P85" s="443">
        <v>3</v>
      </c>
      <c r="Q85" s="412">
        <v>2</v>
      </c>
      <c r="R85" s="414"/>
      <c r="S85" s="409">
        <v>2</v>
      </c>
      <c r="T85" s="578">
        <v>2</v>
      </c>
      <c r="U85" s="446">
        <v>3</v>
      </c>
      <c r="V85" s="412">
        <v>2</v>
      </c>
      <c r="W85" s="412">
        <v>0</v>
      </c>
      <c r="X85" s="412">
        <v>6</v>
      </c>
      <c r="Y85" s="412">
        <v>2</v>
      </c>
      <c r="Z85" s="412">
        <v>4</v>
      </c>
      <c r="AA85" s="412"/>
      <c r="AB85" s="443">
        <v>2</v>
      </c>
      <c r="AC85" s="520">
        <v>2</v>
      </c>
      <c r="AD85" s="446">
        <v>2</v>
      </c>
      <c r="AE85" s="498">
        <v>2</v>
      </c>
      <c r="AF85" s="497"/>
      <c r="AG85" s="498"/>
      <c r="AH85" s="445">
        <v>4</v>
      </c>
      <c r="AI85" s="444">
        <v>2</v>
      </c>
      <c r="AJ85" s="412">
        <v>4</v>
      </c>
      <c r="AK85" s="443"/>
      <c r="AL85" s="443">
        <v>3</v>
      </c>
      <c r="AM85" s="443"/>
      <c r="AN85" s="443">
        <v>2</v>
      </c>
      <c r="AO85" s="445">
        <v>1</v>
      </c>
      <c r="AP85" s="412">
        <v>1</v>
      </c>
      <c r="AQ85" s="412"/>
      <c r="AR85" s="412">
        <v>3</v>
      </c>
      <c r="AS85" s="412">
        <v>3</v>
      </c>
      <c r="AT85" s="412">
        <v>2</v>
      </c>
      <c r="AU85" s="412">
        <v>3</v>
      </c>
      <c r="AV85" s="412">
        <v>3</v>
      </c>
      <c r="AW85" s="529">
        <v>2</v>
      </c>
      <c r="AX85" s="412">
        <v>2</v>
      </c>
      <c r="AY85" s="446">
        <v>2</v>
      </c>
      <c r="AZ85" s="412">
        <v>3</v>
      </c>
      <c r="BA85" s="412">
        <v>3</v>
      </c>
      <c r="BB85" s="529">
        <v>2</v>
      </c>
      <c r="BC85" s="443">
        <v>4</v>
      </c>
      <c r="BD85" s="498">
        <v>4</v>
      </c>
      <c r="BE85" s="412">
        <v>3</v>
      </c>
      <c r="BF85" s="412">
        <v>2</v>
      </c>
      <c r="BG85" s="445">
        <v>3</v>
      </c>
      <c r="BH85" s="446">
        <v>2</v>
      </c>
      <c r="BI85" s="412">
        <v>4</v>
      </c>
      <c r="BJ85" s="412">
        <v>3</v>
      </c>
      <c r="BK85" s="443">
        <v>2</v>
      </c>
      <c r="BL85" s="680">
        <v>2</v>
      </c>
      <c r="BM85" s="500">
        <v>4</v>
      </c>
      <c r="BN85" s="412">
        <v>2</v>
      </c>
      <c r="BO85" s="412">
        <v>2</v>
      </c>
      <c r="BP85" s="412"/>
      <c r="BQ85" s="445">
        <v>2</v>
      </c>
      <c r="BR85" s="538">
        <f>SUM(C85:BQ85)</f>
        <v>146</v>
      </c>
      <c r="BS85" s="395" t="s">
        <v>72</v>
      </c>
    </row>
    <row r="86" spans="1:71" x14ac:dyDescent="0.2">
      <c r="A86" s="557" t="s">
        <v>73</v>
      </c>
      <c r="B86" s="400"/>
      <c r="C86" s="412">
        <v>300</v>
      </c>
      <c r="D86" s="412">
        <v>300</v>
      </c>
      <c r="E86" s="412">
        <v>300</v>
      </c>
      <c r="F86" s="412">
        <v>300</v>
      </c>
      <c r="G86" s="412">
        <v>300</v>
      </c>
      <c r="H86" s="412">
        <v>300</v>
      </c>
      <c r="I86" s="412">
        <v>300</v>
      </c>
      <c r="J86" s="412"/>
      <c r="K86" s="412"/>
      <c r="L86" s="443">
        <v>300</v>
      </c>
      <c r="M86" s="445">
        <v>300</v>
      </c>
      <c r="N86" s="446">
        <v>300</v>
      </c>
      <c r="O86" s="412">
        <v>300</v>
      </c>
      <c r="P86" s="443">
        <v>300</v>
      </c>
      <c r="Q86" s="412">
        <v>300</v>
      </c>
      <c r="R86" s="414"/>
      <c r="S86" s="409">
        <v>300</v>
      </c>
      <c r="T86" s="578">
        <v>300</v>
      </c>
      <c r="U86" s="446">
        <v>400</v>
      </c>
      <c r="V86" s="412">
        <v>150</v>
      </c>
      <c r="W86" s="412">
        <v>150</v>
      </c>
      <c r="X86" s="412">
        <v>150</v>
      </c>
      <c r="Y86" s="412">
        <v>300</v>
      </c>
      <c r="Z86" s="412">
        <v>400</v>
      </c>
      <c r="AA86" s="412"/>
      <c r="AB86" s="443">
        <v>300</v>
      </c>
      <c r="AC86" s="520">
        <v>300</v>
      </c>
      <c r="AD86" s="446">
        <v>300</v>
      </c>
      <c r="AE86" s="412">
        <v>300</v>
      </c>
      <c r="AF86" s="444"/>
      <c r="AG86" s="412"/>
      <c r="AH86" s="445">
        <v>400</v>
      </c>
      <c r="AI86" s="444">
        <v>300</v>
      </c>
      <c r="AJ86" s="412">
        <v>400</v>
      </c>
      <c r="AK86" s="443"/>
      <c r="AL86" s="443">
        <v>300</v>
      </c>
      <c r="AM86" s="443"/>
      <c r="AN86" s="443">
        <v>400</v>
      </c>
      <c r="AO86" s="445">
        <v>300</v>
      </c>
      <c r="AP86" s="412">
        <v>300</v>
      </c>
      <c r="AQ86" s="412"/>
      <c r="AR86" s="412">
        <v>300</v>
      </c>
      <c r="AS86" s="412">
        <v>300</v>
      </c>
      <c r="AT86" s="412">
        <v>300</v>
      </c>
      <c r="AU86" s="412">
        <v>300</v>
      </c>
      <c r="AV86" s="412">
        <v>300</v>
      </c>
      <c r="AW86" s="443">
        <v>300</v>
      </c>
      <c r="AX86" s="412">
        <v>300</v>
      </c>
      <c r="AY86" s="446">
        <v>300</v>
      </c>
      <c r="AZ86" s="412">
        <v>300</v>
      </c>
      <c r="BA86" s="412">
        <v>300</v>
      </c>
      <c r="BB86" s="443">
        <v>300</v>
      </c>
      <c r="BC86" s="443">
        <v>400</v>
      </c>
      <c r="BD86" s="412">
        <v>400</v>
      </c>
      <c r="BE86" s="412">
        <v>300</v>
      </c>
      <c r="BF86" s="412">
        <v>300</v>
      </c>
      <c r="BG86" s="445">
        <v>400</v>
      </c>
      <c r="BH86" s="446">
        <v>300</v>
      </c>
      <c r="BI86" s="412">
        <v>400</v>
      </c>
      <c r="BJ86" s="412">
        <v>300</v>
      </c>
      <c r="BK86" s="443">
        <v>300</v>
      </c>
      <c r="BL86" s="680">
        <v>400</v>
      </c>
      <c r="BM86" s="500">
        <v>400</v>
      </c>
      <c r="BN86" s="412">
        <v>300</v>
      </c>
      <c r="BO86" s="412">
        <v>300</v>
      </c>
      <c r="BP86" s="412"/>
      <c r="BQ86" s="445">
        <v>300</v>
      </c>
      <c r="BR86" s="535"/>
    </row>
    <row r="87" spans="1:71" x14ac:dyDescent="0.2">
      <c r="A87" s="557" t="s">
        <v>74</v>
      </c>
      <c r="B87" s="401"/>
      <c r="C87" s="400" t="s">
        <v>75</v>
      </c>
      <c r="D87" s="400" t="s">
        <v>75</v>
      </c>
      <c r="E87" s="400" t="s">
        <v>76</v>
      </c>
      <c r="F87" s="400" t="s">
        <v>77</v>
      </c>
      <c r="G87" s="400" t="s">
        <v>78</v>
      </c>
      <c r="H87" s="400" t="s">
        <v>79</v>
      </c>
      <c r="I87" s="400" t="s">
        <v>75</v>
      </c>
      <c r="J87" s="400"/>
      <c r="K87" s="400"/>
      <c r="L87" s="447" t="s">
        <v>75</v>
      </c>
      <c r="M87" s="449" t="s">
        <v>75</v>
      </c>
      <c r="N87" s="450" t="s">
        <v>75</v>
      </c>
      <c r="O87" s="400" t="s">
        <v>75</v>
      </c>
      <c r="P87" s="447" t="s">
        <v>76</v>
      </c>
      <c r="Q87" s="400" t="s">
        <v>75</v>
      </c>
      <c r="R87" s="709"/>
      <c r="S87" s="397" t="s">
        <v>75</v>
      </c>
      <c r="T87" s="579" t="s">
        <v>75</v>
      </c>
      <c r="U87" s="450" t="s">
        <v>75</v>
      </c>
      <c r="V87" s="400" t="s">
        <v>75</v>
      </c>
      <c r="W87" s="400" t="s">
        <v>75</v>
      </c>
      <c r="X87" s="400" t="s">
        <v>75</v>
      </c>
      <c r="Y87" s="400" t="s">
        <v>80</v>
      </c>
      <c r="Z87" s="400" t="s">
        <v>75</v>
      </c>
      <c r="AA87" s="400"/>
      <c r="AB87" s="447" t="s">
        <v>75</v>
      </c>
      <c r="AC87" s="521" t="s">
        <v>75</v>
      </c>
      <c r="AD87" s="450" t="s">
        <v>75</v>
      </c>
      <c r="AE87" s="400" t="s">
        <v>81</v>
      </c>
      <c r="AF87" s="448"/>
      <c r="AG87" s="400"/>
      <c r="AH87" s="449" t="s">
        <v>75</v>
      </c>
      <c r="AI87" s="448" t="s">
        <v>75</v>
      </c>
      <c r="AJ87" s="400" t="s">
        <v>75</v>
      </c>
      <c r="AK87" s="447"/>
      <c r="AL87" s="447" t="s">
        <v>75</v>
      </c>
      <c r="AM87" s="447"/>
      <c r="AN87" s="447" t="s">
        <v>75</v>
      </c>
      <c r="AO87" s="449" t="s">
        <v>75</v>
      </c>
      <c r="AP87" s="400" t="s">
        <v>75</v>
      </c>
      <c r="AQ87" s="400"/>
      <c r="AR87" s="400" t="s">
        <v>75</v>
      </c>
      <c r="AS87" s="400" t="s">
        <v>75</v>
      </c>
      <c r="AT87" s="400" t="s">
        <v>80</v>
      </c>
      <c r="AU87" s="400" t="s">
        <v>75</v>
      </c>
      <c r="AV87" s="400" t="s">
        <v>75</v>
      </c>
      <c r="AW87" s="447" t="s">
        <v>80</v>
      </c>
      <c r="AX87" s="400" t="s">
        <v>75</v>
      </c>
      <c r="AY87" s="450" t="s">
        <v>75</v>
      </c>
      <c r="AZ87" s="400" t="s">
        <v>75</v>
      </c>
      <c r="BA87" s="400" t="s">
        <v>75</v>
      </c>
      <c r="BB87" s="447" t="s">
        <v>75</v>
      </c>
      <c r="BC87" s="447" t="s">
        <v>75</v>
      </c>
      <c r="BD87" s="400" t="s">
        <v>75</v>
      </c>
      <c r="BE87" s="400" t="s">
        <v>75</v>
      </c>
      <c r="BF87" s="400" t="s">
        <v>75</v>
      </c>
      <c r="BG87" s="449" t="s">
        <v>75</v>
      </c>
      <c r="BH87" s="450" t="s">
        <v>82</v>
      </c>
      <c r="BI87" s="400" t="s">
        <v>75</v>
      </c>
      <c r="BJ87" s="400" t="s">
        <v>75</v>
      </c>
      <c r="BK87" s="447" t="s">
        <v>75</v>
      </c>
      <c r="BL87" s="681" t="s">
        <v>75</v>
      </c>
      <c r="BM87" s="402" t="s">
        <v>75</v>
      </c>
      <c r="BN87" s="400" t="s">
        <v>75</v>
      </c>
      <c r="BO87" s="400" t="s">
        <v>75</v>
      </c>
      <c r="BP87" s="400"/>
      <c r="BQ87" s="449" t="s">
        <v>75</v>
      </c>
      <c r="BR87" s="539" t="s">
        <v>83</v>
      </c>
      <c r="BS87" s="395">
        <v>26</v>
      </c>
    </row>
    <row r="88" spans="1:71" x14ac:dyDescent="0.2">
      <c r="A88" s="557" t="s">
        <v>84</v>
      </c>
      <c r="B88" s="401"/>
      <c r="C88" s="412">
        <v>500</v>
      </c>
      <c r="D88" s="412">
        <v>2000</v>
      </c>
      <c r="E88" s="412">
        <v>2000</v>
      </c>
      <c r="F88" s="412">
        <v>1000</v>
      </c>
      <c r="G88" s="412">
        <v>2000</v>
      </c>
      <c r="H88" s="412">
        <v>2000</v>
      </c>
      <c r="I88" s="412">
        <v>2000</v>
      </c>
      <c r="J88" s="412"/>
      <c r="K88" s="412"/>
      <c r="L88" s="443">
        <v>1000</v>
      </c>
      <c r="M88" s="445">
        <v>2000</v>
      </c>
      <c r="N88" s="446">
        <v>1000</v>
      </c>
      <c r="O88" s="412">
        <v>2000</v>
      </c>
      <c r="P88" s="443">
        <v>2000</v>
      </c>
      <c r="Q88" s="412">
        <v>1000</v>
      </c>
      <c r="R88" s="414"/>
      <c r="S88" s="409">
        <v>2000</v>
      </c>
      <c r="T88" s="578">
        <v>1000</v>
      </c>
      <c r="U88" s="446">
        <v>2000</v>
      </c>
      <c r="V88" s="412">
        <v>500</v>
      </c>
      <c r="W88" s="412">
        <v>500</v>
      </c>
      <c r="X88" s="412">
        <v>2000</v>
      </c>
      <c r="Y88" s="412">
        <v>1000</v>
      </c>
      <c r="Z88" s="412">
        <v>2000</v>
      </c>
      <c r="AA88" s="412"/>
      <c r="AB88" s="443">
        <v>1000</v>
      </c>
      <c r="AC88" s="520">
        <v>1000</v>
      </c>
      <c r="AD88" s="446">
        <v>2000</v>
      </c>
      <c r="AE88" s="412">
        <v>2000</v>
      </c>
      <c r="AF88" s="444"/>
      <c r="AG88" s="412"/>
      <c r="AH88" s="445" t="s">
        <v>85</v>
      </c>
      <c r="AI88" s="444">
        <v>1000</v>
      </c>
      <c r="AJ88" s="412" t="s">
        <v>85</v>
      </c>
      <c r="AK88" s="443"/>
      <c r="AL88" s="443">
        <v>1000</v>
      </c>
      <c r="AM88" s="443"/>
      <c r="AN88" s="443">
        <v>2000</v>
      </c>
      <c r="AO88" s="445">
        <v>2000</v>
      </c>
      <c r="AP88" s="413">
        <v>2000</v>
      </c>
      <c r="AQ88" s="412"/>
      <c r="AR88" s="412">
        <v>1000</v>
      </c>
      <c r="AS88" s="412">
        <v>2000</v>
      </c>
      <c r="AT88" s="412">
        <v>500</v>
      </c>
      <c r="AU88" s="412">
        <v>1000</v>
      </c>
      <c r="AV88" s="412">
        <v>2000</v>
      </c>
      <c r="AW88" s="443">
        <v>500</v>
      </c>
      <c r="AX88" s="412">
        <v>1000</v>
      </c>
      <c r="AY88" s="446">
        <v>2000</v>
      </c>
      <c r="AZ88" s="412">
        <v>1000</v>
      </c>
      <c r="BA88" s="412">
        <v>2000</v>
      </c>
      <c r="BB88" s="443">
        <v>500</v>
      </c>
      <c r="BC88" s="443">
        <v>2000</v>
      </c>
      <c r="BD88" s="412">
        <v>2000</v>
      </c>
      <c r="BE88" s="412">
        <v>500</v>
      </c>
      <c r="BF88" s="412">
        <v>1000</v>
      </c>
      <c r="BG88" s="445" t="s">
        <v>85</v>
      </c>
      <c r="BH88" s="446">
        <v>1000</v>
      </c>
      <c r="BI88" s="412">
        <v>2000</v>
      </c>
      <c r="BJ88" s="412">
        <v>2000</v>
      </c>
      <c r="BK88" s="443">
        <v>1000</v>
      </c>
      <c r="BL88" s="680" t="s">
        <v>85</v>
      </c>
      <c r="BM88" s="500" t="s">
        <v>85</v>
      </c>
      <c r="BN88" s="412">
        <v>1000</v>
      </c>
      <c r="BO88" s="412">
        <v>2000</v>
      </c>
      <c r="BP88" s="412"/>
      <c r="BQ88" s="445">
        <v>2000</v>
      </c>
      <c r="BR88" s="539" t="s">
        <v>86</v>
      </c>
      <c r="BS88" s="395">
        <v>2</v>
      </c>
    </row>
    <row r="89" spans="1:71" x14ac:dyDescent="0.2">
      <c r="A89" s="559" t="s">
        <v>87</v>
      </c>
      <c r="B89" s="451">
        <f>SUM(C89:BQ89)</f>
        <v>7327800</v>
      </c>
      <c r="C89" s="415">
        <v>130500</v>
      </c>
      <c r="D89" s="415">
        <v>100000</v>
      </c>
      <c r="E89" s="415">
        <v>104000</v>
      </c>
      <c r="F89" s="415">
        <v>93000</v>
      </c>
      <c r="G89" s="415">
        <v>108000</v>
      </c>
      <c r="H89" s="415">
        <v>128000</v>
      </c>
      <c r="I89" s="415">
        <v>224000</v>
      </c>
      <c r="J89" s="626"/>
      <c r="K89" s="429">
        <v>130000</v>
      </c>
      <c r="L89" s="591"/>
      <c r="M89" s="635"/>
      <c r="N89" s="453">
        <v>107000</v>
      </c>
      <c r="O89" s="415">
        <v>262000</v>
      </c>
      <c r="P89" s="452"/>
      <c r="Q89" s="415">
        <v>135000</v>
      </c>
      <c r="R89" s="710"/>
      <c r="S89" s="568">
        <v>240000</v>
      </c>
      <c r="T89" s="580">
        <v>100000</v>
      </c>
      <c r="U89" s="455">
        <v>186000</v>
      </c>
      <c r="V89" s="416">
        <v>38500</v>
      </c>
      <c r="W89" s="416">
        <v>38500</v>
      </c>
      <c r="X89" s="415">
        <v>88000</v>
      </c>
      <c r="Y89" s="415">
        <v>425000</v>
      </c>
      <c r="Z89" s="421">
        <v>143000</v>
      </c>
      <c r="AA89" s="415"/>
      <c r="AB89" s="452">
        <v>98000</v>
      </c>
      <c r="AC89" s="522">
        <v>123000</v>
      </c>
      <c r="AD89" s="524"/>
      <c r="AE89" s="452"/>
      <c r="AF89" s="453"/>
      <c r="AG89" s="415"/>
      <c r="AH89" s="454">
        <v>96000</v>
      </c>
      <c r="AI89" s="453">
        <v>105000</v>
      </c>
      <c r="AJ89" s="415">
        <v>218000</v>
      </c>
      <c r="AK89" s="452"/>
      <c r="AL89" s="452">
        <v>101000</v>
      </c>
      <c r="AM89" s="452"/>
      <c r="AN89" s="452">
        <v>245000</v>
      </c>
      <c r="AO89" s="454"/>
      <c r="AP89" s="415">
        <v>184000</v>
      </c>
      <c r="AQ89" s="455"/>
      <c r="AR89" s="417">
        <v>83000</v>
      </c>
      <c r="AS89" s="417">
        <v>162000</v>
      </c>
      <c r="AT89" s="417">
        <v>35500</v>
      </c>
      <c r="AU89" s="415">
        <v>253000</v>
      </c>
      <c r="AV89" s="415">
        <v>276000</v>
      </c>
      <c r="AW89" s="452">
        <v>74200</v>
      </c>
      <c r="AX89" s="417">
        <v>103000</v>
      </c>
      <c r="AY89" s="607">
        <v>136000</v>
      </c>
      <c r="AZ89" s="415"/>
      <c r="BA89" s="415"/>
      <c r="BB89" s="452"/>
      <c r="BC89" s="452">
        <v>524000</v>
      </c>
      <c r="BD89" s="415">
        <v>279000</v>
      </c>
      <c r="BE89" s="417">
        <v>34600</v>
      </c>
      <c r="BF89" s="417"/>
      <c r="BG89" s="454">
        <v>310000</v>
      </c>
      <c r="BH89" s="455">
        <v>51000</v>
      </c>
      <c r="BI89" s="415">
        <v>275000</v>
      </c>
      <c r="BJ89" s="415">
        <v>178000</v>
      </c>
      <c r="BK89" s="452">
        <v>68000</v>
      </c>
      <c r="BL89" s="682">
        <v>138000</v>
      </c>
      <c r="BM89" s="524">
        <v>151000</v>
      </c>
      <c r="BN89" s="418">
        <v>103000</v>
      </c>
      <c r="BO89" s="418">
        <v>82000</v>
      </c>
      <c r="BP89" s="415"/>
      <c r="BQ89" s="454">
        <v>61000</v>
      </c>
      <c r="BR89" s="539" t="s">
        <v>66</v>
      </c>
      <c r="BS89" s="395">
        <v>10</v>
      </c>
    </row>
    <row r="90" spans="1:71" x14ac:dyDescent="0.2">
      <c r="A90" s="560" t="s">
        <v>88</v>
      </c>
      <c r="B90" s="456">
        <f>SUM(C90:BQ90)</f>
        <v>8508000</v>
      </c>
      <c r="C90" s="457">
        <v>130000</v>
      </c>
      <c r="D90" s="457">
        <v>120000</v>
      </c>
      <c r="E90" s="457">
        <v>110000</v>
      </c>
      <c r="F90" s="457">
        <v>100000</v>
      </c>
      <c r="G90" s="457">
        <v>100000</v>
      </c>
      <c r="H90" s="457">
        <v>100000</v>
      </c>
      <c r="I90" s="457">
        <v>250000</v>
      </c>
      <c r="J90" s="458"/>
      <c r="K90" s="490"/>
      <c r="L90" s="612">
        <v>100000</v>
      </c>
      <c r="M90" s="491">
        <v>100000</v>
      </c>
      <c r="N90" s="459">
        <v>150000</v>
      </c>
      <c r="O90" s="457">
        <v>230000</v>
      </c>
      <c r="P90" s="458">
        <v>100000</v>
      </c>
      <c r="Q90" s="457">
        <v>160000</v>
      </c>
      <c r="R90" s="711"/>
      <c r="S90" s="567">
        <v>240000</v>
      </c>
      <c r="T90" s="581">
        <v>230000</v>
      </c>
      <c r="U90" s="459">
        <f>(U76+U89)/2</f>
        <v>217000</v>
      </c>
      <c r="V90" s="457">
        <v>35000</v>
      </c>
      <c r="W90" s="457">
        <v>35000</v>
      </c>
      <c r="X90" s="457">
        <v>180000</v>
      </c>
      <c r="Y90" s="457">
        <v>450000</v>
      </c>
      <c r="Z90" s="457">
        <v>190000</v>
      </c>
      <c r="AA90" s="457">
        <f>(AA76+AA89)/2</f>
        <v>0</v>
      </c>
      <c r="AB90" s="457">
        <v>128000</v>
      </c>
      <c r="AC90" s="457">
        <f>(AC76+AC89)/2</f>
        <v>121000</v>
      </c>
      <c r="AD90" s="457">
        <v>100000</v>
      </c>
      <c r="AE90" s="458">
        <v>120000</v>
      </c>
      <c r="AF90" s="489">
        <f>(AF76+AF89)/2</f>
        <v>0</v>
      </c>
      <c r="AG90" s="490">
        <f>(AG76+AG89)/2</f>
        <v>0</v>
      </c>
      <c r="AH90" s="491">
        <v>175000</v>
      </c>
      <c r="AI90" s="489">
        <v>100000</v>
      </c>
      <c r="AJ90" s="490">
        <f>(AJ76+AJ89)/2</f>
        <v>185000</v>
      </c>
      <c r="AK90" s="490"/>
      <c r="AL90" s="633">
        <v>100000</v>
      </c>
      <c r="AM90" s="633"/>
      <c r="AN90" s="633">
        <v>230000</v>
      </c>
      <c r="AO90" s="491">
        <f>(AO76+AO89)/2</f>
        <v>209000</v>
      </c>
      <c r="AP90" s="457">
        <f>(AP76+AP89)/2</f>
        <v>180500</v>
      </c>
      <c r="AQ90" s="457">
        <f>(AQ76+AQ89)/2</f>
        <v>0</v>
      </c>
      <c r="AR90" s="457">
        <v>100000</v>
      </c>
      <c r="AS90" s="457">
        <f>(AS76+AS89)/2</f>
        <v>140000</v>
      </c>
      <c r="AT90" s="457">
        <f>(AT76+AT89)/2</f>
        <v>55000</v>
      </c>
      <c r="AU90" s="457">
        <f>(AU76+AU89)/2</f>
        <v>243500</v>
      </c>
      <c r="AV90" s="457">
        <f>(AV76+AV89)/2</f>
        <v>251000</v>
      </c>
      <c r="AW90" s="458">
        <v>99000</v>
      </c>
      <c r="AX90" s="457">
        <v>100000</v>
      </c>
      <c r="AY90" s="459">
        <v>120000</v>
      </c>
      <c r="AZ90" s="457">
        <v>100000</v>
      </c>
      <c r="BA90" s="457">
        <v>100000</v>
      </c>
      <c r="BB90" s="458">
        <v>60000</v>
      </c>
      <c r="BC90" s="633">
        <v>430000</v>
      </c>
      <c r="BD90" s="490">
        <f>(BD76+BD89)/2</f>
        <v>204000</v>
      </c>
      <c r="BE90" s="490">
        <v>92000</v>
      </c>
      <c r="BF90" s="490">
        <v>100000</v>
      </c>
      <c r="BG90" s="491">
        <v>300000</v>
      </c>
      <c r="BH90" s="459">
        <v>100000</v>
      </c>
      <c r="BI90" s="457">
        <v>200000</v>
      </c>
      <c r="BJ90" s="457">
        <f>(BJ76+BJ89)/2</f>
        <v>141000</v>
      </c>
      <c r="BK90" s="458">
        <v>80000</v>
      </c>
      <c r="BL90" s="683">
        <f>(BL76+BL89)/2</f>
        <v>69000</v>
      </c>
      <c r="BM90" s="689">
        <v>170000</v>
      </c>
      <c r="BN90" s="457">
        <v>100000</v>
      </c>
      <c r="BO90" s="457">
        <v>100000</v>
      </c>
      <c r="BP90" s="457">
        <f>(BP76+BP89)/2</f>
        <v>0</v>
      </c>
      <c r="BQ90" s="491">
        <v>78000</v>
      </c>
      <c r="BR90" s="539" t="s">
        <v>67</v>
      </c>
      <c r="BS90" s="395">
        <v>15</v>
      </c>
    </row>
    <row r="91" spans="1:71" x14ac:dyDescent="0.2">
      <c r="A91" s="561"/>
      <c r="B91" s="460"/>
      <c r="C91" s="492"/>
      <c r="D91" s="492"/>
      <c r="E91" s="492"/>
      <c r="F91" s="492"/>
      <c r="G91" s="492"/>
      <c r="H91" s="492"/>
      <c r="I91" s="407"/>
      <c r="J91" s="492"/>
      <c r="K91" s="502"/>
      <c r="L91" s="502"/>
      <c r="M91" s="636"/>
      <c r="N91" s="499"/>
      <c r="O91" s="492"/>
      <c r="P91" s="492"/>
      <c r="Q91" s="492"/>
      <c r="R91" s="712"/>
      <c r="S91" s="712"/>
      <c r="T91" s="582"/>
      <c r="U91" s="492"/>
      <c r="V91" s="492"/>
      <c r="W91" s="492"/>
      <c r="X91" s="509"/>
      <c r="Y91" s="492"/>
      <c r="Z91" s="492"/>
      <c r="AA91" s="509"/>
      <c r="AB91" s="492"/>
      <c r="AC91" s="500"/>
      <c r="AD91" s="500"/>
      <c r="AE91" s="500"/>
      <c r="AF91" s="506"/>
      <c r="AG91" s="492"/>
      <c r="AH91" s="501"/>
      <c r="AI91" s="506"/>
      <c r="AJ91" s="492"/>
      <c r="AK91" s="492"/>
      <c r="AL91" s="492"/>
      <c r="AM91" s="492"/>
      <c r="AN91" s="492"/>
      <c r="AO91" s="595"/>
      <c r="AP91" s="613"/>
      <c r="AQ91" s="492"/>
      <c r="AR91" s="492"/>
      <c r="AS91" s="507"/>
      <c r="AT91" s="492"/>
      <c r="AU91" s="492"/>
      <c r="AV91" s="507"/>
      <c r="AW91" s="492"/>
      <c r="AX91" s="651"/>
      <c r="AY91" s="492"/>
      <c r="AZ91" s="492"/>
      <c r="BA91" s="492"/>
      <c r="BB91" s="492"/>
      <c r="BC91" s="502"/>
      <c r="BD91" s="492"/>
      <c r="BE91" s="417"/>
      <c r="BF91" s="492"/>
      <c r="BG91" s="501"/>
      <c r="BH91" s="502"/>
      <c r="BI91" s="492"/>
      <c r="BJ91" s="492"/>
      <c r="BK91" s="507"/>
      <c r="BL91" s="684"/>
      <c r="BM91" s="500"/>
      <c r="BN91" s="492"/>
      <c r="BO91" s="492"/>
      <c r="BP91" s="500"/>
      <c r="BQ91" s="508"/>
      <c r="BR91" s="539" t="s">
        <v>89</v>
      </c>
      <c r="BS91" s="395">
        <v>1</v>
      </c>
    </row>
    <row r="92" spans="1:71" s="461" customFormat="1" ht="16.5" x14ac:dyDescent="0.2">
      <c r="A92" s="565" t="s">
        <v>90</v>
      </c>
      <c r="B92" s="530">
        <f>SUM(C92:BQ92)</f>
        <v>6869800</v>
      </c>
      <c r="C92" s="540">
        <f>福重!F261-5800</f>
        <v>92000</v>
      </c>
      <c r="D92" s="540">
        <f>福重!Q261</f>
        <v>98000</v>
      </c>
      <c r="E92" s="540">
        <f>福重!AT261</f>
        <v>124000</v>
      </c>
      <c r="F92" s="540">
        <f>福重!AA261</f>
        <v>76000</v>
      </c>
      <c r="G92" s="540">
        <f>福重!AG261</f>
        <v>42000</v>
      </c>
      <c r="H92" s="540">
        <f>福重!AM261</f>
        <v>90000</v>
      </c>
      <c r="I92" s="540">
        <f>那珂川!F101+16000</f>
        <v>298000</v>
      </c>
      <c r="J92" s="531"/>
      <c r="K92" s="531"/>
      <c r="L92" s="566">
        <f>唐津!E95</f>
        <v>93000</v>
      </c>
      <c r="M92" s="643">
        <f>唐津!K95</f>
        <v>58000</v>
      </c>
      <c r="N92" s="541">
        <f>飯塚!S101</f>
        <v>111000</v>
      </c>
      <c r="O92" s="540">
        <f>飯塚!H101</f>
        <v>122000</v>
      </c>
      <c r="P92" s="540">
        <f>飯塚!AB101</f>
        <v>42000</v>
      </c>
      <c r="Q92" s="734">
        <f>小倉!F89</f>
        <v>150000</v>
      </c>
      <c r="R92" s="713"/>
      <c r="S92" s="569">
        <f>+黒崎!F83</f>
        <v>178000</v>
      </c>
      <c r="T92" s="583">
        <f>+黒崎!Q83</f>
        <v>197000</v>
      </c>
      <c r="U92" s="542">
        <v>282000</v>
      </c>
      <c r="V92" s="540">
        <v>20000</v>
      </c>
      <c r="W92" s="540">
        <v>26000</v>
      </c>
      <c r="X92" s="540">
        <v>116000</v>
      </c>
      <c r="Y92" s="540">
        <v>130000</v>
      </c>
      <c r="Z92" s="540">
        <v>161000</v>
      </c>
      <c r="AA92" s="531"/>
      <c r="AB92" s="540">
        <v>160000</v>
      </c>
      <c r="AC92" s="540">
        <v>64000</v>
      </c>
      <c r="AD92" s="543">
        <v>106000</v>
      </c>
      <c r="AE92" s="543">
        <v>66000</v>
      </c>
      <c r="AF92" s="654"/>
      <c r="AG92" s="532"/>
      <c r="AH92" s="547">
        <v>245000</v>
      </c>
      <c r="AI92" s="602">
        <v>41000</v>
      </c>
      <c r="AJ92" s="545">
        <v>217000</v>
      </c>
      <c r="AK92" s="656"/>
      <c r="AL92" s="546">
        <v>48000</v>
      </c>
      <c r="AM92" s="546"/>
      <c r="AN92" s="546">
        <v>242000</v>
      </c>
      <c r="AO92" s="547">
        <v>337000</v>
      </c>
      <c r="AP92" s="545">
        <v>45000</v>
      </c>
      <c r="AQ92" s="545"/>
      <c r="AR92" s="545">
        <v>48000</v>
      </c>
      <c r="AS92" s="545">
        <v>194000</v>
      </c>
      <c r="AT92" s="545">
        <v>74800</v>
      </c>
      <c r="AU92" s="545">
        <v>137000</v>
      </c>
      <c r="AV92" s="545">
        <v>116000</v>
      </c>
      <c r="AW92" s="546">
        <v>76700</v>
      </c>
      <c r="AX92" s="545">
        <v>123000</v>
      </c>
      <c r="AY92" s="603">
        <v>64000</v>
      </c>
      <c r="AZ92" s="545">
        <v>72000</v>
      </c>
      <c r="BA92" s="545">
        <v>58000</v>
      </c>
      <c r="BB92" s="545">
        <v>86300</v>
      </c>
      <c r="BC92" s="618">
        <v>308000</v>
      </c>
      <c r="BD92" s="545">
        <v>206000</v>
      </c>
      <c r="BE92" s="545">
        <v>107000</v>
      </c>
      <c r="BF92" s="545">
        <v>102000</v>
      </c>
      <c r="BG92" s="547">
        <v>314000</v>
      </c>
      <c r="BH92" s="542">
        <v>37000</v>
      </c>
      <c r="BI92" s="540">
        <v>137000</v>
      </c>
      <c r="BJ92" s="545">
        <v>62000</v>
      </c>
      <c r="BK92" s="546">
        <v>50000</v>
      </c>
      <c r="BL92" s="697">
        <v>86000</v>
      </c>
      <c r="BM92" s="698">
        <v>166000</v>
      </c>
      <c r="BN92" s="620">
        <v>24000</v>
      </c>
      <c r="BO92" s="620">
        <v>94000</v>
      </c>
      <c r="BP92" s="531"/>
      <c r="BQ92" s="619">
        <v>50000</v>
      </c>
      <c r="BR92" s="539" t="s">
        <v>60</v>
      </c>
      <c r="BS92" s="411">
        <v>4</v>
      </c>
    </row>
    <row r="93" spans="1:71" s="461" customFormat="1" ht="16.5" x14ac:dyDescent="0.2">
      <c r="A93" s="562" t="s">
        <v>91</v>
      </c>
      <c r="B93" s="548">
        <f>B92/B90</f>
        <v>0.80745181006111899</v>
      </c>
      <c r="C93" s="549">
        <f t="shared" ref="C93:I93" si="27">C92/C90</f>
        <v>0.70769230769230773</v>
      </c>
      <c r="D93" s="549">
        <f t="shared" si="27"/>
        <v>0.81666666666666665</v>
      </c>
      <c r="E93" s="549">
        <f t="shared" si="27"/>
        <v>1.1272727272727272</v>
      </c>
      <c r="F93" s="549">
        <f t="shared" si="27"/>
        <v>0.76</v>
      </c>
      <c r="G93" s="549">
        <f t="shared" si="27"/>
        <v>0.42</v>
      </c>
      <c r="H93" s="549">
        <f t="shared" si="27"/>
        <v>0.9</v>
      </c>
      <c r="I93" s="549">
        <f t="shared" si="27"/>
        <v>1.1919999999999999</v>
      </c>
      <c r="J93" s="549"/>
      <c r="K93" s="549"/>
      <c r="L93" s="550">
        <f t="shared" ref="L93:Z93" si="28">L92/L90</f>
        <v>0.93</v>
      </c>
      <c r="M93" s="551">
        <f t="shared" si="28"/>
        <v>0.57999999999999996</v>
      </c>
      <c r="N93" s="552">
        <f t="shared" si="28"/>
        <v>0.74</v>
      </c>
      <c r="O93" s="550">
        <f t="shared" si="28"/>
        <v>0.5304347826086957</v>
      </c>
      <c r="P93" s="550">
        <f t="shared" si="28"/>
        <v>0.42</v>
      </c>
      <c r="Q93" s="549">
        <f t="shared" si="28"/>
        <v>0.9375</v>
      </c>
      <c r="R93" s="714"/>
      <c r="S93" s="570">
        <f t="shared" si="28"/>
        <v>0.7416666666666667</v>
      </c>
      <c r="T93" s="584">
        <f t="shared" si="28"/>
        <v>0.85652173913043483</v>
      </c>
      <c r="U93" s="552">
        <f t="shared" si="28"/>
        <v>1.2995391705069124</v>
      </c>
      <c r="V93" s="550">
        <f t="shared" si="28"/>
        <v>0.5714285714285714</v>
      </c>
      <c r="W93" s="550">
        <f t="shared" si="28"/>
        <v>0.74285714285714288</v>
      </c>
      <c r="X93" s="550">
        <f t="shared" si="28"/>
        <v>0.64444444444444449</v>
      </c>
      <c r="Y93" s="550">
        <f t="shared" si="28"/>
        <v>0.28888888888888886</v>
      </c>
      <c r="Z93" s="550">
        <f t="shared" si="28"/>
        <v>0.84736842105263155</v>
      </c>
      <c r="AA93" s="550"/>
      <c r="AB93" s="694">
        <f>AB92/AB90</f>
        <v>1.25</v>
      </c>
      <c r="AC93" s="550">
        <f>AC92/AC90</f>
        <v>0.52892561983471076</v>
      </c>
      <c r="AD93" s="550">
        <f>AD92/AD90</f>
        <v>1.06</v>
      </c>
      <c r="AE93" s="550">
        <f>AE92/AE90</f>
        <v>0.55000000000000004</v>
      </c>
      <c r="AF93" s="553"/>
      <c r="AG93" s="549"/>
      <c r="AH93" s="551">
        <f t="shared" ref="AH93:AP93" si="29">IFERROR(AH92/AH90,"-")</f>
        <v>1.4</v>
      </c>
      <c r="AI93" s="594">
        <f t="shared" si="29"/>
        <v>0.41</v>
      </c>
      <c r="AJ93" s="601">
        <f t="shared" si="29"/>
        <v>1.172972972972973</v>
      </c>
      <c r="AK93" s="601"/>
      <c r="AL93" s="601">
        <f t="shared" si="29"/>
        <v>0.48</v>
      </c>
      <c r="AM93" s="601"/>
      <c r="AN93" s="601">
        <f t="shared" si="29"/>
        <v>1.0521739130434782</v>
      </c>
      <c r="AO93" s="551">
        <f t="shared" si="29"/>
        <v>1.6124401913875599</v>
      </c>
      <c r="AP93" s="549">
        <f t="shared" si="29"/>
        <v>0.24930747922437674</v>
      </c>
      <c r="AQ93" s="549"/>
      <c r="AR93" s="549">
        <f t="shared" ref="AR93:BO93" si="30">IFERROR(AR92/AR90,"-")</f>
        <v>0.48</v>
      </c>
      <c r="AS93" s="549">
        <f t="shared" si="30"/>
        <v>1.3857142857142857</v>
      </c>
      <c r="AT93" s="549">
        <f t="shared" si="30"/>
        <v>1.36</v>
      </c>
      <c r="AU93" s="549">
        <f t="shared" si="30"/>
        <v>0.56262833675564683</v>
      </c>
      <c r="AV93" s="549">
        <f t="shared" si="30"/>
        <v>0.46215139442231074</v>
      </c>
      <c r="AW93" s="550">
        <f t="shared" si="30"/>
        <v>0.77474747474747474</v>
      </c>
      <c r="AX93" s="549">
        <f t="shared" si="30"/>
        <v>1.23</v>
      </c>
      <c r="AY93" s="554">
        <f t="shared" si="30"/>
        <v>0.53333333333333333</v>
      </c>
      <c r="AZ93" s="549">
        <f t="shared" si="30"/>
        <v>0.72</v>
      </c>
      <c r="BA93" s="549">
        <f t="shared" si="30"/>
        <v>0.57999999999999996</v>
      </c>
      <c r="BB93" s="549">
        <f t="shared" si="30"/>
        <v>1.4383333333333332</v>
      </c>
      <c r="BC93" s="552">
        <f t="shared" si="30"/>
        <v>0.71627906976744182</v>
      </c>
      <c r="BD93" s="549">
        <f t="shared" si="30"/>
        <v>1.0098039215686274</v>
      </c>
      <c r="BE93" s="549">
        <f t="shared" si="30"/>
        <v>1.1630434782608696</v>
      </c>
      <c r="BF93" s="549">
        <f t="shared" si="30"/>
        <v>1.02</v>
      </c>
      <c r="BG93" s="551">
        <f t="shared" si="30"/>
        <v>1.0466666666666666</v>
      </c>
      <c r="BH93" s="554">
        <f t="shared" si="30"/>
        <v>0.37</v>
      </c>
      <c r="BI93" s="549">
        <f t="shared" si="30"/>
        <v>0.68500000000000005</v>
      </c>
      <c r="BJ93" s="549">
        <f t="shared" si="30"/>
        <v>0.43971631205673761</v>
      </c>
      <c r="BK93" s="550">
        <f t="shared" si="30"/>
        <v>0.625</v>
      </c>
      <c r="BL93" s="686">
        <f>IFERROR(BL92/BL90,"-")</f>
        <v>1.2463768115942029</v>
      </c>
      <c r="BM93" s="554">
        <f t="shared" si="30"/>
        <v>0.97647058823529409</v>
      </c>
      <c r="BN93" s="549">
        <f t="shared" si="30"/>
        <v>0.24</v>
      </c>
      <c r="BO93" s="549">
        <f t="shared" si="30"/>
        <v>0.94</v>
      </c>
      <c r="BP93" s="549"/>
      <c r="BQ93" s="551">
        <f>IFERROR(BQ92/BQ90,"-")</f>
        <v>0.64102564102564108</v>
      </c>
      <c r="BR93" s="536"/>
      <c r="BS93" s="461">
        <f>SUM(BS84:BS92)</f>
        <v>58</v>
      </c>
    </row>
    <row r="94" spans="1:71" ht="19.5" x14ac:dyDescent="0.2">
      <c r="A94" s="617">
        <f>B93</f>
        <v>0.80745181006111899</v>
      </c>
      <c r="B94" s="677">
        <f>SUM(C94:BQ94)</f>
        <v>6869800</v>
      </c>
      <c r="C94" s="524">
        <f t="shared" ref="C94:I94" si="31">C92/$A$97</f>
        <v>92000</v>
      </c>
      <c r="D94" s="524">
        <f t="shared" si="31"/>
        <v>98000</v>
      </c>
      <c r="E94" s="524">
        <f t="shared" si="31"/>
        <v>124000</v>
      </c>
      <c r="F94" s="524">
        <f t="shared" si="31"/>
        <v>76000</v>
      </c>
      <c r="G94" s="524">
        <f t="shared" si="31"/>
        <v>42000</v>
      </c>
      <c r="H94" s="524">
        <f t="shared" si="31"/>
        <v>90000</v>
      </c>
      <c r="I94" s="524">
        <f t="shared" si="31"/>
        <v>298000</v>
      </c>
      <c r="J94" s="524"/>
      <c r="K94" s="670"/>
      <c r="L94" s="671">
        <f t="shared" ref="L94:Q94" si="32">L92/$A$97</f>
        <v>93000</v>
      </c>
      <c r="M94" s="672">
        <f t="shared" si="32"/>
        <v>58000</v>
      </c>
      <c r="N94" s="673">
        <f t="shared" si="32"/>
        <v>111000</v>
      </c>
      <c r="O94" s="524">
        <f t="shared" si="32"/>
        <v>122000</v>
      </c>
      <c r="P94" s="524">
        <f t="shared" si="32"/>
        <v>42000</v>
      </c>
      <c r="Q94" s="671">
        <f t="shared" si="32"/>
        <v>150000</v>
      </c>
      <c r="R94" s="710"/>
      <c r="S94" s="674">
        <f t="shared" ref="S94:Z94" si="33">S92/$A$97</f>
        <v>178000</v>
      </c>
      <c r="T94" s="580">
        <f t="shared" si="33"/>
        <v>197000</v>
      </c>
      <c r="U94" s="524">
        <f t="shared" si="33"/>
        <v>282000</v>
      </c>
      <c r="V94" s="524">
        <f t="shared" si="33"/>
        <v>20000</v>
      </c>
      <c r="W94" s="524">
        <f t="shared" si="33"/>
        <v>26000</v>
      </c>
      <c r="X94" s="524">
        <f t="shared" si="33"/>
        <v>116000</v>
      </c>
      <c r="Y94" s="524">
        <f t="shared" si="33"/>
        <v>130000</v>
      </c>
      <c r="Z94" s="524">
        <f t="shared" si="33"/>
        <v>161000</v>
      </c>
      <c r="AA94" s="524"/>
      <c r="AB94" s="524">
        <f>AB92/$A$97</f>
        <v>160000</v>
      </c>
      <c r="AC94" s="524">
        <f>AC92/$A$97</f>
        <v>64000</v>
      </c>
      <c r="AD94" s="524">
        <f>AD92/$A$97</f>
        <v>106000</v>
      </c>
      <c r="AE94" s="524">
        <f>AE92/$A$97</f>
        <v>66000</v>
      </c>
      <c r="AF94" s="673"/>
      <c r="AG94" s="524"/>
      <c r="AH94" s="675">
        <f>AH92/$A$97</f>
        <v>245000</v>
      </c>
      <c r="AI94" s="673">
        <f>AI92/$A$97</f>
        <v>41000</v>
      </c>
      <c r="AJ94" s="524">
        <f>AJ92/$A$97</f>
        <v>217000</v>
      </c>
      <c r="AK94" s="524"/>
      <c r="AL94" s="524">
        <f>AL92/$A$97</f>
        <v>48000</v>
      </c>
      <c r="AM94" s="524"/>
      <c r="AN94" s="524">
        <f>AN92/$A$97</f>
        <v>242000</v>
      </c>
      <c r="AO94" s="454">
        <f>AO92/$A$97</f>
        <v>337000</v>
      </c>
      <c r="AP94" s="452">
        <f>AP92/$A$97</f>
        <v>45000</v>
      </c>
      <c r="AQ94" s="524"/>
      <c r="AR94" s="524">
        <f t="shared" ref="AR94:BO94" si="34">AR92/$A$97</f>
        <v>48000</v>
      </c>
      <c r="AS94" s="524">
        <f t="shared" si="34"/>
        <v>194000</v>
      </c>
      <c r="AT94" s="524">
        <f t="shared" si="34"/>
        <v>74800</v>
      </c>
      <c r="AU94" s="524">
        <f t="shared" si="34"/>
        <v>137000</v>
      </c>
      <c r="AV94" s="524">
        <f t="shared" si="34"/>
        <v>116000</v>
      </c>
      <c r="AW94" s="524">
        <f t="shared" si="34"/>
        <v>76700</v>
      </c>
      <c r="AX94" s="524">
        <f t="shared" si="34"/>
        <v>123000</v>
      </c>
      <c r="AY94" s="524">
        <f t="shared" si="34"/>
        <v>64000</v>
      </c>
      <c r="AZ94" s="524">
        <f t="shared" si="34"/>
        <v>72000</v>
      </c>
      <c r="BA94" s="524">
        <f t="shared" si="34"/>
        <v>58000</v>
      </c>
      <c r="BB94" s="524">
        <f t="shared" si="34"/>
        <v>86300</v>
      </c>
      <c r="BC94" s="524">
        <f t="shared" si="34"/>
        <v>308000</v>
      </c>
      <c r="BD94" s="524">
        <f t="shared" si="34"/>
        <v>206000</v>
      </c>
      <c r="BE94" s="676">
        <f t="shared" si="34"/>
        <v>107000</v>
      </c>
      <c r="BF94" s="524">
        <f t="shared" si="34"/>
        <v>102000</v>
      </c>
      <c r="BG94" s="675">
        <f t="shared" si="34"/>
        <v>314000</v>
      </c>
      <c r="BH94" s="524">
        <f t="shared" si="34"/>
        <v>37000</v>
      </c>
      <c r="BI94" s="524">
        <f t="shared" si="34"/>
        <v>137000</v>
      </c>
      <c r="BJ94" s="524">
        <f t="shared" si="34"/>
        <v>62000</v>
      </c>
      <c r="BK94" s="524">
        <f t="shared" si="34"/>
        <v>50000</v>
      </c>
      <c r="BL94" s="682">
        <f t="shared" si="34"/>
        <v>86000</v>
      </c>
      <c r="BM94" s="524">
        <f t="shared" si="34"/>
        <v>166000</v>
      </c>
      <c r="BN94" s="524">
        <f t="shared" si="34"/>
        <v>24000</v>
      </c>
      <c r="BO94" s="524">
        <f t="shared" si="34"/>
        <v>94000</v>
      </c>
      <c r="BP94" s="524"/>
      <c r="BQ94" s="675">
        <f>BQ92/$A$97</f>
        <v>50000</v>
      </c>
      <c r="BR94" s="534"/>
    </row>
    <row r="95" spans="1:71" ht="16.5" x14ac:dyDescent="0.2">
      <c r="A95" s="593" t="s">
        <v>92</v>
      </c>
      <c r="B95" s="592">
        <f>B94/B90</f>
        <v>0.80745181006111899</v>
      </c>
      <c r="C95" s="558" t="s">
        <v>93</v>
      </c>
      <c r="D95" s="394" t="s">
        <v>94</v>
      </c>
      <c r="E95" s="396">
        <f>B92/B84</f>
        <v>120522.80701754386</v>
      </c>
      <c r="F95" s="405" t="s">
        <v>95</v>
      </c>
      <c r="G95" s="510" t="s">
        <v>96</v>
      </c>
      <c r="H95" s="399"/>
      <c r="K95" s="405" t="s">
        <v>97</v>
      </c>
      <c r="L95" s="419">
        <f>SUM(C90:M90)</f>
        <v>1110000</v>
      </c>
      <c r="M95" s="467"/>
      <c r="N95" s="410"/>
      <c r="O95" s="410"/>
      <c r="Q95" s="474" t="s">
        <v>97</v>
      </c>
      <c r="R95" s="474"/>
      <c r="S95" s="469">
        <f>SUM(N90:T90)</f>
        <v>1110000</v>
      </c>
      <c r="T95" s="589"/>
      <c r="W95" s="410"/>
      <c r="X95" s="410"/>
      <c r="Y95" s="410"/>
      <c r="Z95" s="410"/>
      <c r="AA95" s="410"/>
      <c r="AC95" s="405" t="s">
        <v>97</v>
      </c>
      <c r="AD95" s="419">
        <f>SUM(U90:AE90)</f>
        <v>1576000</v>
      </c>
      <c r="AE95" s="419"/>
      <c r="AF95" s="468" t="s">
        <v>97</v>
      </c>
      <c r="AG95" s="469">
        <f>SUM(AF90:AH90)</f>
        <v>175000</v>
      </c>
      <c r="AH95" s="467"/>
      <c r="AI95" s="405"/>
      <c r="AL95" s="405" t="s">
        <v>97</v>
      </c>
      <c r="AM95" s="405"/>
      <c r="AN95" s="419">
        <f>SUM(AI90:AO90)</f>
        <v>824000</v>
      </c>
      <c r="AO95" s="475"/>
      <c r="AP95" s="614"/>
      <c r="AQ95" s="472"/>
      <c r="AR95" s="470"/>
      <c r="AS95" s="513" t="s">
        <v>98</v>
      </c>
      <c r="AT95" s="473"/>
      <c r="AY95" s="513" t="s">
        <v>98</v>
      </c>
      <c r="AZ95" s="474"/>
      <c r="BA95" s="469"/>
      <c r="BB95" s="472"/>
      <c r="BE95" s="405" t="s">
        <v>97</v>
      </c>
      <c r="BF95" s="419">
        <f>SUM(AP90:BG90)</f>
        <v>2675000</v>
      </c>
      <c r="BH95" s="471"/>
      <c r="BI95" s="472"/>
      <c r="BJ95" s="472"/>
      <c r="BK95" s="473"/>
      <c r="BL95" s="429"/>
      <c r="BM95" s="408"/>
      <c r="BN95" s="472"/>
      <c r="BO95" s="474" t="s">
        <v>97</v>
      </c>
      <c r="BP95" s="469">
        <f>SUM(BH90:BQ90)</f>
        <v>1038000</v>
      </c>
      <c r="BQ95" s="475"/>
      <c r="BR95" s="535"/>
      <c r="BS95" s="404"/>
    </row>
    <row r="96" spans="1:71" ht="16.5" x14ac:dyDescent="0.2">
      <c r="A96" s="564" t="s">
        <v>99</v>
      </c>
      <c r="B96" s="504" t="s">
        <v>100</v>
      </c>
      <c r="C96" s="435">
        <v>46070</v>
      </c>
      <c r="D96" s="394" t="s">
        <v>101</v>
      </c>
      <c r="E96" s="398">
        <v>35643100</v>
      </c>
      <c r="F96" s="505">
        <f>B92</f>
        <v>6869800</v>
      </c>
      <c r="G96" s="398">
        <f>E96-B92</f>
        <v>28773300</v>
      </c>
      <c r="H96" s="399"/>
      <c r="K96" s="405" t="s">
        <v>102</v>
      </c>
      <c r="L96" s="419">
        <f>SUM(C92:M92)</f>
        <v>971000</v>
      </c>
      <c r="M96" s="476">
        <f>L96/L95</f>
        <v>0.87477477477477472</v>
      </c>
      <c r="N96" s="410"/>
      <c r="O96" s="410"/>
      <c r="Q96" s="405" t="s">
        <v>102</v>
      </c>
      <c r="R96" s="405"/>
      <c r="S96" s="419">
        <f>SUM(N92:T92)</f>
        <v>800000</v>
      </c>
      <c r="T96" s="590">
        <f>S96/S95</f>
        <v>0.72072072072072069</v>
      </c>
      <c r="W96" s="410"/>
      <c r="X96" s="410"/>
      <c r="Y96" s="410"/>
      <c r="Z96" s="410"/>
      <c r="AA96" s="410"/>
      <c r="AC96" s="405" t="s">
        <v>102</v>
      </c>
      <c r="AD96" s="419">
        <f>SUM(U92:AE92)</f>
        <v>1131000</v>
      </c>
      <c r="AE96" s="477">
        <f>AD96/AD95</f>
        <v>0.71763959390862941</v>
      </c>
      <c r="AF96" s="478" t="s">
        <v>102</v>
      </c>
      <c r="AG96" s="419">
        <f>SUM(AF92:AH92)</f>
        <v>245000</v>
      </c>
      <c r="AH96" s="476">
        <f>AG96/AG95</f>
        <v>1.4</v>
      </c>
      <c r="AI96" s="405"/>
      <c r="AL96" s="405" t="s">
        <v>102</v>
      </c>
      <c r="AM96" s="405"/>
      <c r="AN96" s="419">
        <f>SUM(AI92:AO92)</f>
        <v>885000</v>
      </c>
      <c r="AO96" s="476">
        <f>AN96/AN95</f>
        <v>1.0740291262135921</v>
      </c>
      <c r="AP96" s="627"/>
      <c r="AR96" s="404"/>
      <c r="AS96" s="404"/>
      <c r="AT96" s="410"/>
      <c r="AZ96" s="405"/>
      <c r="BA96" s="419"/>
      <c r="BB96" s="477"/>
      <c r="BC96" s="477"/>
      <c r="BD96" s="477"/>
      <c r="BE96" s="405" t="s">
        <v>102</v>
      </c>
      <c r="BF96" s="419">
        <f>SUM(AP92:BG92)</f>
        <v>2131800</v>
      </c>
      <c r="BG96" s="477">
        <f>BF96/BF95</f>
        <v>0.79693457943925239</v>
      </c>
      <c r="BH96" s="481"/>
      <c r="BM96" s="408"/>
      <c r="BO96" s="405" t="s">
        <v>102</v>
      </c>
      <c r="BP96" s="419">
        <f>SUM(BH92:BQ92)</f>
        <v>706000</v>
      </c>
      <c r="BQ96" s="476">
        <f>BP96/BP95</f>
        <v>0.68015414258188822</v>
      </c>
      <c r="BR96" s="535"/>
    </row>
    <row r="97" spans="1:71" ht="22.5" x14ac:dyDescent="0.2">
      <c r="A97" s="668">
        <v>1</v>
      </c>
      <c r="B97" s="669"/>
      <c r="K97" s="407" t="s">
        <v>364</v>
      </c>
      <c r="L97" s="678">
        <f>SUM(C94:M94)</f>
        <v>971000</v>
      </c>
      <c r="M97" s="477">
        <f>L97/L95</f>
        <v>0.87477477477477472</v>
      </c>
      <c r="Q97" s="407" t="s">
        <v>364</v>
      </c>
      <c r="R97" s="407"/>
      <c r="S97" s="678">
        <f>SUM(N94:T94)</f>
        <v>800000</v>
      </c>
      <c r="T97" s="477">
        <f>S97/S95</f>
        <v>0.72072072072072069</v>
      </c>
      <c r="AC97" s="407" t="s">
        <v>364</v>
      </c>
      <c r="AD97" s="678">
        <f>SUM(U94:AE94)</f>
        <v>1131000</v>
      </c>
      <c r="AE97" s="477">
        <f>AD97/AD95</f>
        <v>0.71763959390862941</v>
      </c>
      <c r="AF97" s="407" t="s">
        <v>364</v>
      </c>
      <c r="AG97" s="678">
        <f>SUM(AH94)</f>
        <v>245000</v>
      </c>
      <c r="AH97" s="477">
        <f>AG97/AG95</f>
        <v>1.4</v>
      </c>
      <c r="AL97" s="407" t="s">
        <v>364</v>
      </c>
      <c r="AM97" s="407"/>
      <c r="AN97" s="678">
        <f>SUM(AI94:AO94)</f>
        <v>885000</v>
      </c>
      <c r="AO97" s="477">
        <f>AN97/AN95</f>
        <v>1.0740291262135921</v>
      </c>
      <c r="BE97" s="407" t="s">
        <v>364</v>
      </c>
      <c r="BF97" s="678">
        <f>SUM(AP94:BG94)</f>
        <v>2131800</v>
      </c>
      <c r="BG97" s="477">
        <f>BF97/BF95</f>
        <v>0.79693457943925239</v>
      </c>
      <c r="BO97" s="407" t="s">
        <v>364</v>
      </c>
      <c r="BP97" s="678">
        <f>SUM(BH94:BQ94)</f>
        <v>706000</v>
      </c>
      <c r="BQ97" s="477">
        <f>BP97/BP95</f>
        <v>0.68015414258188822</v>
      </c>
    </row>
    <row r="98" spans="1:71" x14ac:dyDescent="0.2">
      <c r="BB98" s="429"/>
    </row>
    <row r="99" spans="1:71" x14ac:dyDescent="0.2">
      <c r="A99" s="556" t="s">
        <v>0</v>
      </c>
      <c r="B99" s="406">
        <f>M99+AE99+BG99+BQ99+AH99+T99+AO99+BB99</f>
        <v>32</v>
      </c>
      <c r="C99" s="406">
        <v>1</v>
      </c>
      <c r="D99" s="406">
        <v>1</v>
      </c>
      <c r="E99" s="406">
        <v>1</v>
      </c>
      <c r="F99" s="406">
        <v>1</v>
      </c>
      <c r="G99" s="406">
        <v>1</v>
      </c>
      <c r="H99" s="406">
        <v>1</v>
      </c>
      <c r="I99" s="406">
        <v>2</v>
      </c>
      <c r="J99" s="406"/>
      <c r="K99" s="406"/>
      <c r="L99" s="406">
        <v>3</v>
      </c>
      <c r="M99" s="406">
        <v>3</v>
      </c>
      <c r="N99" s="482">
        <v>1</v>
      </c>
      <c r="O99" s="406">
        <v>1</v>
      </c>
      <c r="P99" s="406">
        <v>1</v>
      </c>
      <c r="Q99" s="587">
        <v>2</v>
      </c>
      <c r="R99" s="587">
        <v>2</v>
      </c>
      <c r="S99" s="405">
        <v>3</v>
      </c>
      <c r="T99" s="575">
        <v>3</v>
      </c>
      <c r="U99" s="406">
        <v>1</v>
      </c>
      <c r="V99" s="406">
        <v>1</v>
      </c>
      <c r="W99" s="406">
        <v>1</v>
      </c>
      <c r="X99" s="406">
        <v>2</v>
      </c>
      <c r="Y99" s="406">
        <v>2</v>
      </c>
      <c r="Z99" s="405">
        <v>3</v>
      </c>
      <c r="AA99" s="406"/>
      <c r="AB99" s="405">
        <v>4</v>
      </c>
      <c r="AC99" s="406"/>
      <c r="AD99" s="407">
        <v>5</v>
      </c>
      <c r="AE99" s="406">
        <v>5</v>
      </c>
      <c r="AF99" s="483"/>
      <c r="AG99" s="484"/>
      <c r="AH99" s="485">
        <v>1</v>
      </c>
      <c r="AI99" s="482">
        <v>1</v>
      </c>
      <c r="AJ99" s="484">
        <v>2</v>
      </c>
      <c r="AK99" s="484"/>
      <c r="AL99" s="484">
        <v>3</v>
      </c>
      <c r="AM99" s="484"/>
      <c r="AN99" s="484">
        <v>3</v>
      </c>
      <c r="AO99" s="485">
        <v>4</v>
      </c>
      <c r="AP99" s="406">
        <v>1</v>
      </c>
      <c r="AQ99" s="406">
        <v>1</v>
      </c>
      <c r="AR99" s="406">
        <v>2</v>
      </c>
      <c r="AS99" s="406">
        <v>2</v>
      </c>
      <c r="AT99" s="406">
        <v>2</v>
      </c>
      <c r="AU99" s="406">
        <v>3</v>
      </c>
      <c r="AV99" s="406">
        <v>3</v>
      </c>
      <c r="AW99" s="406">
        <v>3</v>
      </c>
      <c r="AX99" s="406">
        <v>4</v>
      </c>
      <c r="AY99" s="406">
        <v>4</v>
      </c>
      <c r="AZ99" s="406">
        <v>5</v>
      </c>
      <c r="BA99" s="406">
        <v>5</v>
      </c>
      <c r="BB99" s="784">
        <v>5</v>
      </c>
      <c r="BC99" s="414">
        <v>1</v>
      </c>
      <c r="BD99" s="484">
        <v>2</v>
      </c>
      <c r="BE99" s="484">
        <v>2</v>
      </c>
      <c r="BF99" s="484">
        <v>3</v>
      </c>
      <c r="BG99" s="485">
        <v>4</v>
      </c>
      <c r="BH99" s="406">
        <v>1</v>
      </c>
      <c r="BI99" s="407">
        <v>1</v>
      </c>
      <c r="BJ99" s="406">
        <v>2</v>
      </c>
      <c r="BK99" s="406">
        <v>3</v>
      </c>
      <c r="BL99" s="406">
        <v>4</v>
      </c>
      <c r="BM99" s="406">
        <v>5</v>
      </c>
      <c r="BN99" s="406">
        <v>6</v>
      </c>
      <c r="BO99" s="406">
        <v>6</v>
      </c>
      <c r="BP99" s="406"/>
      <c r="BQ99" s="485">
        <v>7</v>
      </c>
      <c r="BR99" s="537">
        <f>M99+AE99+AH99+AO99+BG99+BQ99+T99+BB99</f>
        <v>32</v>
      </c>
      <c r="BS99" s="408" t="s">
        <v>1</v>
      </c>
    </row>
    <row r="100" spans="1:71" x14ac:dyDescent="0.2">
      <c r="A100" s="563">
        <v>46113</v>
      </c>
      <c r="B100" s="528" t="s">
        <v>2</v>
      </c>
      <c r="C100" s="422" t="s">
        <v>3</v>
      </c>
      <c r="D100" s="422" t="s">
        <v>4</v>
      </c>
      <c r="E100" s="422" t="s">
        <v>5</v>
      </c>
      <c r="F100" s="422" t="s">
        <v>6</v>
      </c>
      <c r="G100" s="422" t="s">
        <v>7</v>
      </c>
      <c r="H100" s="422" t="s">
        <v>8</v>
      </c>
      <c r="I100" s="422" t="s">
        <v>9</v>
      </c>
      <c r="J100" s="422" t="s">
        <v>9</v>
      </c>
      <c r="K100" s="423" t="s">
        <v>10</v>
      </c>
      <c r="L100" s="423" t="s">
        <v>11</v>
      </c>
      <c r="M100" s="527" t="s">
        <v>11</v>
      </c>
      <c r="N100" s="571" t="s">
        <v>12</v>
      </c>
      <c r="O100" s="572" t="s">
        <v>13</v>
      </c>
      <c r="P100" s="572" t="s">
        <v>14</v>
      </c>
      <c r="Q100" s="573" t="s">
        <v>15</v>
      </c>
      <c r="R100" s="573" t="s">
        <v>15</v>
      </c>
      <c r="S100" s="574" t="s">
        <v>16</v>
      </c>
      <c r="T100" s="576" t="s">
        <v>17</v>
      </c>
      <c r="U100" s="511" t="s">
        <v>18</v>
      </c>
      <c r="V100" s="424" t="s">
        <v>19</v>
      </c>
      <c r="W100" s="424" t="s">
        <v>20</v>
      </c>
      <c r="X100" s="424" t="s">
        <v>21</v>
      </c>
      <c r="Y100" s="424" t="s">
        <v>22</v>
      </c>
      <c r="Z100" s="424" t="s">
        <v>23</v>
      </c>
      <c r="AA100" s="424"/>
      <c r="AB100" s="424" t="s">
        <v>24</v>
      </c>
      <c r="AC100" s="525" t="s">
        <v>25</v>
      </c>
      <c r="AD100" s="436" t="s">
        <v>26</v>
      </c>
      <c r="AE100" s="525" t="s">
        <v>27</v>
      </c>
      <c r="AF100" s="494"/>
      <c r="AG100" s="495"/>
      <c r="AH100" s="608" t="s">
        <v>30</v>
      </c>
      <c r="AI100" s="597" t="s">
        <v>36</v>
      </c>
      <c r="AJ100" s="598" t="s">
        <v>37</v>
      </c>
      <c r="AK100" s="599"/>
      <c r="AL100" s="599" t="s">
        <v>107</v>
      </c>
      <c r="AM100" s="599"/>
      <c r="AN100" s="599" t="s">
        <v>29</v>
      </c>
      <c r="AO100" s="600" t="s">
        <v>104</v>
      </c>
      <c r="AP100" s="788" t="s">
        <v>40</v>
      </c>
      <c r="AQ100" s="788" t="s">
        <v>105</v>
      </c>
      <c r="AR100" s="788" t="s">
        <v>41</v>
      </c>
      <c r="AS100" s="788" t="s">
        <v>42</v>
      </c>
      <c r="AT100" s="788" t="s">
        <v>43</v>
      </c>
      <c r="AU100" s="788" t="s">
        <v>44</v>
      </c>
      <c r="AV100" s="788" t="s">
        <v>45</v>
      </c>
      <c r="AW100" s="789" t="s">
        <v>46</v>
      </c>
      <c r="AX100" s="788" t="s">
        <v>31</v>
      </c>
      <c r="AY100" s="790" t="s">
        <v>32</v>
      </c>
      <c r="AZ100" s="788" t="s">
        <v>33</v>
      </c>
      <c r="BA100" s="788" t="s">
        <v>34</v>
      </c>
      <c r="BB100" s="791" t="s">
        <v>35</v>
      </c>
      <c r="BC100" s="611" t="s">
        <v>39</v>
      </c>
      <c r="BD100" s="650" t="s">
        <v>47</v>
      </c>
      <c r="BE100" s="486" t="s">
        <v>47</v>
      </c>
      <c r="BF100" s="486" t="s">
        <v>48</v>
      </c>
      <c r="BG100" s="487" t="s">
        <v>49</v>
      </c>
      <c r="BH100" s="437" t="s">
        <v>50</v>
      </c>
      <c r="BI100" s="427" t="s">
        <v>51</v>
      </c>
      <c r="BJ100" s="428" t="s">
        <v>52</v>
      </c>
      <c r="BK100" s="687" t="s">
        <v>53</v>
      </c>
      <c r="BL100" s="696" t="s">
        <v>38</v>
      </c>
      <c r="BM100" s="688" t="s">
        <v>55</v>
      </c>
      <c r="BN100" s="428" t="s">
        <v>56</v>
      </c>
      <c r="BO100" s="428" t="s">
        <v>57</v>
      </c>
      <c r="BP100" s="427" t="s">
        <v>106</v>
      </c>
      <c r="BQ100" s="488" t="s">
        <v>58</v>
      </c>
      <c r="BR100" s="535"/>
    </row>
    <row r="101" spans="1:71" x14ac:dyDescent="0.2">
      <c r="A101" s="557" t="s">
        <v>59</v>
      </c>
      <c r="B101" s="407">
        <v>57</v>
      </c>
      <c r="C101" s="430" t="s">
        <v>60</v>
      </c>
      <c r="D101" s="431" t="s">
        <v>61</v>
      </c>
      <c r="E101" s="432" t="s">
        <v>62</v>
      </c>
      <c r="F101" s="432" t="s">
        <v>62</v>
      </c>
      <c r="G101" s="432" t="s">
        <v>62</v>
      </c>
      <c r="H101" s="432" t="s">
        <v>62</v>
      </c>
      <c r="I101" s="431" t="s">
        <v>61</v>
      </c>
      <c r="J101" s="432"/>
      <c r="K101" s="432"/>
      <c r="L101" s="523" t="s">
        <v>61</v>
      </c>
      <c r="M101" s="442" t="s">
        <v>83</v>
      </c>
      <c r="N101" s="441" t="s">
        <v>61</v>
      </c>
      <c r="O101" s="434" t="s">
        <v>63</v>
      </c>
      <c r="P101" s="438" t="s">
        <v>62</v>
      </c>
      <c r="Q101" s="438" t="s">
        <v>62</v>
      </c>
      <c r="R101" s="438" t="s">
        <v>62</v>
      </c>
      <c r="S101" s="403" t="s">
        <v>62</v>
      </c>
      <c r="T101" s="577" t="s">
        <v>61</v>
      </c>
      <c r="U101" s="512" t="s">
        <v>64</v>
      </c>
      <c r="V101" s="432" t="s">
        <v>65</v>
      </c>
      <c r="W101" s="432" t="s">
        <v>65</v>
      </c>
      <c r="X101" s="432" t="s">
        <v>62</v>
      </c>
      <c r="Y101" s="431" t="s">
        <v>61</v>
      </c>
      <c r="Z101" s="433" t="s">
        <v>66</v>
      </c>
      <c r="AA101" s="432"/>
      <c r="AB101" s="523" t="s">
        <v>61</v>
      </c>
      <c r="AC101" s="519" t="s">
        <v>62</v>
      </c>
      <c r="AD101" s="588" t="s">
        <v>61</v>
      </c>
      <c r="AE101" s="526" t="s">
        <v>61</v>
      </c>
      <c r="AF101" s="441"/>
      <c r="AG101" s="433"/>
      <c r="AH101" s="609" t="s">
        <v>68</v>
      </c>
      <c r="AI101" s="441" t="s">
        <v>61</v>
      </c>
      <c r="AJ101" s="433" t="s">
        <v>68</v>
      </c>
      <c r="AK101" s="439"/>
      <c r="AL101" s="523" t="s">
        <v>61</v>
      </c>
      <c r="AM101" s="523"/>
      <c r="AN101" s="439" t="s">
        <v>66</v>
      </c>
      <c r="AO101" s="526" t="s">
        <v>61</v>
      </c>
      <c r="AP101" s="431" t="s">
        <v>61</v>
      </c>
      <c r="AQ101" s="432"/>
      <c r="AR101" s="431" t="s">
        <v>61</v>
      </c>
      <c r="AS101" s="432" t="s">
        <v>62</v>
      </c>
      <c r="AT101" s="430" t="s">
        <v>69</v>
      </c>
      <c r="AU101" s="441" t="s">
        <v>61</v>
      </c>
      <c r="AV101" s="438" t="s">
        <v>62</v>
      </c>
      <c r="AW101" s="629" t="s">
        <v>69</v>
      </c>
      <c r="AX101" s="432" t="s">
        <v>62</v>
      </c>
      <c r="AY101" s="441" t="s">
        <v>61</v>
      </c>
      <c r="AZ101" s="431" t="s">
        <v>61</v>
      </c>
      <c r="BA101" s="431" t="s">
        <v>61</v>
      </c>
      <c r="BB101" s="785" t="s">
        <v>69</v>
      </c>
      <c r="BC101" s="496" t="s">
        <v>68</v>
      </c>
      <c r="BD101" s="433" t="s">
        <v>68</v>
      </c>
      <c r="BE101" s="634" t="s">
        <v>60</v>
      </c>
      <c r="BF101" s="438" t="s">
        <v>62</v>
      </c>
      <c r="BG101" s="440" t="s">
        <v>68</v>
      </c>
      <c r="BH101" s="441" t="s">
        <v>61</v>
      </c>
      <c r="BI101" s="433" t="s">
        <v>66</v>
      </c>
      <c r="BJ101" s="431" t="s">
        <v>61</v>
      </c>
      <c r="BK101" s="438" t="s">
        <v>62</v>
      </c>
      <c r="BL101" s="679" t="s">
        <v>68</v>
      </c>
      <c r="BM101" s="496" t="s">
        <v>70</v>
      </c>
      <c r="BN101" s="431" t="s">
        <v>61</v>
      </c>
      <c r="BO101" s="431" t="s">
        <v>61</v>
      </c>
      <c r="BP101" s="432"/>
      <c r="BQ101" s="442" t="s">
        <v>62</v>
      </c>
      <c r="BR101" s="535"/>
    </row>
    <row r="102" spans="1:71" x14ac:dyDescent="0.2">
      <c r="A102" s="557" t="s">
        <v>71</v>
      </c>
      <c r="B102" s="400">
        <f>SUM(C102:BQ102)</f>
        <v>148</v>
      </c>
      <c r="C102" s="412">
        <v>2</v>
      </c>
      <c r="D102" s="412">
        <v>2</v>
      </c>
      <c r="E102" s="412">
        <v>3</v>
      </c>
      <c r="F102" s="412">
        <v>3</v>
      </c>
      <c r="G102" s="412">
        <v>3</v>
      </c>
      <c r="H102" s="412">
        <v>3</v>
      </c>
      <c r="I102" s="412">
        <v>2</v>
      </c>
      <c r="J102" s="412"/>
      <c r="K102" s="412"/>
      <c r="L102" s="443">
        <v>2</v>
      </c>
      <c r="M102" s="445">
        <v>2</v>
      </c>
      <c r="N102" s="446">
        <v>2</v>
      </c>
      <c r="O102" s="412">
        <v>4</v>
      </c>
      <c r="P102" s="443">
        <v>3</v>
      </c>
      <c r="Q102" s="443">
        <v>2</v>
      </c>
      <c r="R102" s="443">
        <v>2</v>
      </c>
      <c r="S102" s="409">
        <v>2</v>
      </c>
      <c r="T102" s="578">
        <v>2</v>
      </c>
      <c r="U102" s="446">
        <v>3</v>
      </c>
      <c r="V102" s="412">
        <v>2</v>
      </c>
      <c r="W102" s="412">
        <v>0</v>
      </c>
      <c r="X102" s="412">
        <v>6</v>
      </c>
      <c r="Y102" s="412">
        <v>2</v>
      </c>
      <c r="Z102" s="412">
        <v>4</v>
      </c>
      <c r="AA102" s="412"/>
      <c r="AB102" s="443">
        <v>2</v>
      </c>
      <c r="AC102" s="520">
        <v>2</v>
      </c>
      <c r="AD102" s="446">
        <v>2</v>
      </c>
      <c r="AE102" s="498">
        <v>2</v>
      </c>
      <c r="AF102" s="497"/>
      <c r="AG102" s="498"/>
      <c r="AH102" s="445">
        <v>4</v>
      </c>
      <c r="AI102" s="444">
        <v>2</v>
      </c>
      <c r="AJ102" s="412">
        <v>4</v>
      </c>
      <c r="AK102" s="443"/>
      <c r="AL102" s="443">
        <v>3</v>
      </c>
      <c r="AM102" s="443"/>
      <c r="AN102" s="443">
        <v>2</v>
      </c>
      <c r="AO102" s="445">
        <v>1</v>
      </c>
      <c r="AP102" s="412">
        <v>1</v>
      </c>
      <c r="AQ102" s="412"/>
      <c r="AR102" s="412">
        <v>3</v>
      </c>
      <c r="AS102" s="412">
        <v>3</v>
      </c>
      <c r="AT102" s="412">
        <v>2</v>
      </c>
      <c r="AU102" s="412">
        <v>3</v>
      </c>
      <c r="AV102" s="412">
        <v>3</v>
      </c>
      <c r="AW102" s="529">
        <v>2</v>
      </c>
      <c r="AX102" s="412">
        <v>2</v>
      </c>
      <c r="AY102" s="446">
        <v>2</v>
      </c>
      <c r="AZ102" s="412">
        <v>3</v>
      </c>
      <c r="BA102" s="412">
        <v>3</v>
      </c>
      <c r="BB102" s="786">
        <v>2</v>
      </c>
      <c r="BC102" s="500">
        <v>4</v>
      </c>
      <c r="BD102" s="498">
        <v>4</v>
      </c>
      <c r="BE102" s="412">
        <v>3</v>
      </c>
      <c r="BF102" s="412">
        <v>2</v>
      </c>
      <c r="BG102" s="445">
        <v>3</v>
      </c>
      <c r="BH102" s="446">
        <v>2</v>
      </c>
      <c r="BI102" s="412">
        <v>4</v>
      </c>
      <c r="BJ102" s="412">
        <v>3</v>
      </c>
      <c r="BK102" s="443">
        <v>2</v>
      </c>
      <c r="BL102" s="680">
        <v>2</v>
      </c>
      <c r="BM102" s="500">
        <v>4</v>
      </c>
      <c r="BN102" s="412">
        <v>2</v>
      </c>
      <c r="BO102" s="412">
        <v>2</v>
      </c>
      <c r="BP102" s="412"/>
      <c r="BQ102" s="445">
        <v>2</v>
      </c>
      <c r="BR102" s="538">
        <f>SUM(C102:BQ102)</f>
        <v>148</v>
      </c>
      <c r="BS102" s="395" t="s">
        <v>72</v>
      </c>
    </row>
    <row r="103" spans="1:71" x14ac:dyDescent="0.2">
      <c r="A103" s="557" t="s">
        <v>73</v>
      </c>
      <c r="B103" s="400"/>
      <c r="C103" s="412">
        <v>300</v>
      </c>
      <c r="D103" s="412">
        <v>300</v>
      </c>
      <c r="E103" s="412">
        <v>300</v>
      </c>
      <c r="F103" s="412">
        <v>300</v>
      </c>
      <c r="G103" s="412">
        <v>300</v>
      </c>
      <c r="H103" s="412">
        <v>300</v>
      </c>
      <c r="I103" s="412">
        <v>300</v>
      </c>
      <c r="J103" s="412"/>
      <c r="K103" s="412"/>
      <c r="L103" s="443">
        <v>300</v>
      </c>
      <c r="M103" s="445">
        <v>300</v>
      </c>
      <c r="N103" s="446">
        <v>300</v>
      </c>
      <c r="O103" s="412">
        <v>300</v>
      </c>
      <c r="P103" s="443">
        <v>300</v>
      </c>
      <c r="Q103" s="443">
        <v>300</v>
      </c>
      <c r="R103" s="443">
        <v>300</v>
      </c>
      <c r="S103" s="409">
        <v>300</v>
      </c>
      <c r="T103" s="578">
        <v>300</v>
      </c>
      <c r="U103" s="446">
        <v>400</v>
      </c>
      <c r="V103" s="412">
        <v>150</v>
      </c>
      <c r="W103" s="412">
        <v>150</v>
      </c>
      <c r="X103" s="412">
        <v>150</v>
      </c>
      <c r="Y103" s="412">
        <v>300</v>
      </c>
      <c r="Z103" s="412">
        <v>400</v>
      </c>
      <c r="AA103" s="412"/>
      <c r="AB103" s="443">
        <v>300</v>
      </c>
      <c r="AC103" s="520">
        <v>300</v>
      </c>
      <c r="AD103" s="446">
        <v>300</v>
      </c>
      <c r="AE103" s="412">
        <v>300</v>
      </c>
      <c r="AF103" s="444"/>
      <c r="AG103" s="412"/>
      <c r="AH103" s="445">
        <v>400</v>
      </c>
      <c r="AI103" s="444">
        <v>300</v>
      </c>
      <c r="AJ103" s="412">
        <v>400</v>
      </c>
      <c r="AK103" s="443"/>
      <c r="AL103" s="443">
        <v>300</v>
      </c>
      <c r="AM103" s="443"/>
      <c r="AN103" s="443">
        <v>400</v>
      </c>
      <c r="AO103" s="445">
        <v>300</v>
      </c>
      <c r="AP103" s="412">
        <v>300</v>
      </c>
      <c r="AQ103" s="412"/>
      <c r="AR103" s="412">
        <v>300</v>
      </c>
      <c r="AS103" s="412">
        <v>300</v>
      </c>
      <c r="AT103" s="412">
        <v>300</v>
      </c>
      <c r="AU103" s="412">
        <v>300</v>
      </c>
      <c r="AV103" s="412">
        <v>300</v>
      </c>
      <c r="AW103" s="443">
        <v>300</v>
      </c>
      <c r="AX103" s="412">
        <v>300</v>
      </c>
      <c r="AY103" s="446">
        <v>300</v>
      </c>
      <c r="AZ103" s="412">
        <v>300</v>
      </c>
      <c r="BA103" s="412">
        <v>300</v>
      </c>
      <c r="BB103" s="445">
        <v>300</v>
      </c>
      <c r="BC103" s="500">
        <v>400</v>
      </c>
      <c r="BD103" s="412">
        <v>400</v>
      </c>
      <c r="BE103" s="412">
        <v>300</v>
      </c>
      <c r="BF103" s="412">
        <v>300</v>
      </c>
      <c r="BG103" s="445">
        <v>400</v>
      </c>
      <c r="BH103" s="446">
        <v>300</v>
      </c>
      <c r="BI103" s="412">
        <v>400</v>
      </c>
      <c r="BJ103" s="412">
        <v>300</v>
      </c>
      <c r="BK103" s="443">
        <v>300</v>
      </c>
      <c r="BL103" s="680">
        <v>400</v>
      </c>
      <c r="BM103" s="500">
        <v>400</v>
      </c>
      <c r="BN103" s="412">
        <v>300</v>
      </c>
      <c r="BO103" s="412">
        <v>300</v>
      </c>
      <c r="BP103" s="412"/>
      <c r="BQ103" s="445">
        <v>300</v>
      </c>
      <c r="BR103" s="535"/>
    </row>
    <row r="104" spans="1:71" x14ac:dyDescent="0.2">
      <c r="A104" s="557" t="s">
        <v>74</v>
      </c>
      <c r="B104" s="401"/>
      <c r="C104" s="400" t="s">
        <v>75</v>
      </c>
      <c r="D104" s="400" t="s">
        <v>75</v>
      </c>
      <c r="E104" s="400" t="s">
        <v>76</v>
      </c>
      <c r="F104" s="400" t="s">
        <v>77</v>
      </c>
      <c r="G104" s="400" t="s">
        <v>78</v>
      </c>
      <c r="H104" s="400" t="s">
        <v>79</v>
      </c>
      <c r="I104" s="400" t="s">
        <v>75</v>
      </c>
      <c r="J104" s="400"/>
      <c r="K104" s="400"/>
      <c r="L104" s="447" t="s">
        <v>75</v>
      </c>
      <c r="M104" s="449" t="s">
        <v>75</v>
      </c>
      <c r="N104" s="450" t="s">
        <v>75</v>
      </c>
      <c r="O104" s="400" t="s">
        <v>75</v>
      </c>
      <c r="P104" s="447" t="s">
        <v>76</v>
      </c>
      <c r="Q104" s="447" t="s">
        <v>75</v>
      </c>
      <c r="R104" s="447" t="s">
        <v>75</v>
      </c>
      <c r="S104" s="397" t="s">
        <v>75</v>
      </c>
      <c r="T104" s="579" t="s">
        <v>75</v>
      </c>
      <c r="U104" s="450" t="s">
        <v>75</v>
      </c>
      <c r="V104" s="400" t="s">
        <v>75</v>
      </c>
      <c r="W104" s="400" t="s">
        <v>75</v>
      </c>
      <c r="X104" s="400" t="s">
        <v>75</v>
      </c>
      <c r="Y104" s="400" t="s">
        <v>80</v>
      </c>
      <c r="Z104" s="400" t="s">
        <v>75</v>
      </c>
      <c r="AA104" s="400"/>
      <c r="AB104" s="447" t="s">
        <v>75</v>
      </c>
      <c r="AC104" s="521" t="s">
        <v>75</v>
      </c>
      <c r="AD104" s="450" t="s">
        <v>75</v>
      </c>
      <c r="AE104" s="400" t="s">
        <v>81</v>
      </c>
      <c r="AF104" s="448"/>
      <c r="AG104" s="400"/>
      <c r="AH104" s="449" t="s">
        <v>75</v>
      </c>
      <c r="AI104" s="448" t="s">
        <v>75</v>
      </c>
      <c r="AJ104" s="400" t="s">
        <v>75</v>
      </c>
      <c r="AK104" s="447"/>
      <c r="AL104" s="447" t="s">
        <v>75</v>
      </c>
      <c r="AM104" s="447"/>
      <c r="AN104" s="447" t="s">
        <v>75</v>
      </c>
      <c r="AO104" s="449" t="s">
        <v>75</v>
      </c>
      <c r="AP104" s="400" t="s">
        <v>75</v>
      </c>
      <c r="AQ104" s="400"/>
      <c r="AR104" s="400" t="s">
        <v>75</v>
      </c>
      <c r="AS104" s="400" t="s">
        <v>75</v>
      </c>
      <c r="AT104" s="400" t="s">
        <v>80</v>
      </c>
      <c r="AU104" s="400" t="s">
        <v>75</v>
      </c>
      <c r="AV104" s="400" t="s">
        <v>75</v>
      </c>
      <c r="AW104" s="447" t="s">
        <v>80</v>
      </c>
      <c r="AX104" s="400" t="s">
        <v>75</v>
      </c>
      <c r="AY104" s="450" t="s">
        <v>75</v>
      </c>
      <c r="AZ104" s="400" t="s">
        <v>75</v>
      </c>
      <c r="BA104" s="400" t="s">
        <v>75</v>
      </c>
      <c r="BB104" s="449" t="s">
        <v>75</v>
      </c>
      <c r="BC104" s="402" t="s">
        <v>75</v>
      </c>
      <c r="BD104" s="400" t="s">
        <v>75</v>
      </c>
      <c r="BE104" s="400" t="s">
        <v>75</v>
      </c>
      <c r="BF104" s="400" t="s">
        <v>75</v>
      </c>
      <c r="BG104" s="449" t="s">
        <v>75</v>
      </c>
      <c r="BH104" s="450" t="s">
        <v>82</v>
      </c>
      <c r="BI104" s="400" t="s">
        <v>75</v>
      </c>
      <c r="BJ104" s="400" t="s">
        <v>75</v>
      </c>
      <c r="BK104" s="447" t="s">
        <v>75</v>
      </c>
      <c r="BL104" s="681" t="s">
        <v>75</v>
      </c>
      <c r="BM104" s="402" t="s">
        <v>75</v>
      </c>
      <c r="BN104" s="400" t="s">
        <v>75</v>
      </c>
      <c r="BO104" s="400" t="s">
        <v>75</v>
      </c>
      <c r="BP104" s="400"/>
      <c r="BQ104" s="449" t="s">
        <v>75</v>
      </c>
      <c r="BR104" s="539" t="s">
        <v>83</v>
      </c>
      <c r="BS104" s="395">
        <v>26</v>
      </c>
    </row>
    <row r="105" spans="1:71" x14ac:dyDescent="0.2">
      <c r="A105" s="557" t="s">
        <v>84</v>
      </c>
      <c r="B105" s="401"/>
      <c r="C105" s="412">
        <v>500</v>
      </c>
      <c r="D105" s="412">
        <v>2000</v>
      </c>
      <c r="E105" s="412">
        <v>2000</v>
      </c>
      <c r="F105" s="412">
        <v>1000</v>
      </c>
      <c r="G105" s="412">
        <v>2000</v>
      </c>
      <c r="H105" s="412">
        <v>2000</v>
      </c>
      <c r="I105" s="412">
        <v>2000</v>
      </c>
      <c r="J105" s="412"/>
      <c r="K105" s="412"/>
      <c r="L105" s="443">
        <v>1000</v>
      </c>
      <c r="M105" s="445">
        <v>2000</v>
      </c>
      <c r="N105" s="446">
        <v>1000</v>
      </c>
      <c r="O105" s="412">
        <v>2000</v>
      </c>
      <c r="P105" s="443">
        <v>2000</v>
      </c>
      <c r="Q105" s="443">
        <v>1000</v>
      </c>
      <c r="R105" s="443">
        <v>2000</v>
      </c>
      <c r="S105" s="409">
        <v>2000</v>
      </c>
      <c r="T105" s="578">
        <v>1000</v>
      </c>
      <c r="U105" s="446">
        <v>2000</v>
      </c>
      <c r="V105" s="412">
        <v>500</v>
      </c>
      <c r="W105" s="412">
        <v>500</v>
      </c>
      <c r="X105" s="412">
        <v>2000</v>
      </c>
      <c r="Y105" s="412">
        <v>1000</v>
      </c>
      <c r="Z105" s="412">
        <v>2000</v>
      </c>
      <c r="AA105" s="412"/>
      <c r="AB105" s="443">
        <v>1000</v>
      </c>
      <c r="AC105" s="520">
        <v>1000</v>
      </c>
      <c r="AD105" s="446">
        <v>2000</v>
      </c>
      <c r="AE105" s="412">
        <v>2000</v>
      </c>
      <c r="AF105" s="444"/>
      <c r="AG105" s="412"/>
      <c r="AH105" s="445" t="s">
        <v>85</v>
      </c>
      <c r="AI105" s="444">
        <v>1000</v>
      </c>
      <c r="AJ105" s="412" t="s">
        <v>85</v>
      </c>
      <c r="AK105" s="443"/>
      <c r="AL105" s="443">
        <v>1000</v>
      </c>
      <c r="AM105" s="443"/>
      <c r="AN105" s="443">
        <v>2000</v>
      </c>
      <c r="AO105" s="445">
        <v>2000</v>
      </c>
      <c r="AP105" s="413">
        <v>2000</v>
      </c>
      <c r="AQ105" s="412"/>
      <c r="AR105" s="412">
        <v>1000</v>
      </c>
      <c r="AS105" s="412">
        <v>2000</v>
      </c>
      <c r="AT105" s="412">
        <v>500</v>
      </c>
      <c r="AU105" s="412">
        <v>1000</v>
      </c>
      <c r="AV105" s="412">
        <v>2000</v>
      </c>
      <c r="AW105" s="443">
        <v>500</v>
      </c>
      <c r="AX105" s="412">
        <v>1000</v>
      </c>
      <c r="AY105" s="446">
        <v>2000</v>
      </c>
      <c r="AZ105" s="412">
        <v>1000</v>
      </c>
      <c r="BA105" s="412">
        <v>2000</v>
      </c>
      <c r="BB105" s="445">
        <v>500</v>
      </c>
      <c r="BC105" s="500">
        <v>2000</v>
      </c>
      <c r="BD105" s="412">
        <v>2000</v>
      </c>
      <c r="BE105" s="412">
        <v>500</v>
      </c>
      <c r="BF105" s="412">
        <v>1000</v>
      </c>
      <c r="BG105" s="445" t="s">
        <v>85</v>
      </c>
      <c r="BH105" s="446">
        <v>1000</v>
      </c>
      <c r="BI105" s="412">
        <v>2000</v>
      </c>
      <c r="BJ105" s="412">
        <v>2000</v>
      </c>
      <c r="BK105" s="443">
        <v>1000</v>
      </c>
      <c r="BL105" s="680" t="s">
        <v>85</v>
      </c>
      <c r="BM105" s="500" t="s">
        <v>85</v>
      </c>
      <c r="BN105" s="412">
        <v>1000</v>
      </c>
      <c r="BO105" s="412">
        <v>2000</v>
      </c>
      <c r="BP105" s="412"/>
      <c r="BQ105" s="445">
        <v>2000</v>
      </c>
      <c r="BR105" s="539" t="s">
        <v>86</v>
      </c>
      <c r="BS105" s="395">
        <v>2</v>
      </c>
    </row>
    <row r="106" spans="1:71" x14ac:dyDescent="0.2">
      <c r="A106" s="559" t="s">
        <v>87</v>
      </c>
      <c r="B106" s="451">
        <f>SUM(C106:BQ106)</f>
        <v>7500900</v>
      </c>
      <c r="C106" s="415">
        <v>160000</v>
      </c>
      <c r="D106" s="415">
        <v>278000</v>
      </c>
      <c r="E106" s="415">
        <v>92000</v>
      </c>
      <c r="F106" s="415">
        <v>124000</v>
      </c>
      <c r="G106" s="415">
        <v>108000</v>
      </c>
      <c r="H106" s="415">
        <v>134000</v>
      </c>
      <c r="I106" s="415">
        <v>302000</v>
      </c>
      <c r="J106" s="626"/>
      <c r="K106" s="408">
        <v>153000</v>
      </c>
      <c r="L106" s="591"/>
      <c r="M106" s="635"/>
      <c r="N106" s="453">
        <v>127000</v>
      </c>
      <c r="O106" s="415">
        <v>156000</v>
      </c>
      <c r="P106" s="452"/>
      <c r="Q106" s="452">
        <v>156000</v>
      </c>
      <c r="R106" s="452"/>
      <c r="S106" s="568">
        <v>222000</v>
      </c>
      <c r="T106" s="580">
        <v>117000</v>
      </c>
      <c r="U106" s="455">
        <v>226000</v>
      </c>
      <c r="V106" s="416">
        <v>37600</v>
      </c>
      <c r="W106" s="416">
        <v>66000</v>
      </c>
      <c r="X106" s="415">
        <v>112000</v>
      </c>
      <c r="Y106" s="415">
        <v>135000</v>
      </c>
      <c r="Z106" s="421">
        <v>216000</v>
      </c>
      <c r="AA106" s="415"/>
      <c r="AB106" s="452">
        <v>76000</v>
      </c>
      <c r="AC106" s="522">
        <v>98000</v>
      </c>
      <c r="AD106" s="524"/>
      <c r="AE106" s="452"/>
      <c r="AF106" s="453"/>
      <c r="AG106" s="415"/>
      <c r="AH106" s="454">
        <v>275000</v>
      </c>
      <c r="AI106" s="453">
        <v>99000</v>
      </c>
      <c r="AJ106" s="415">
        <v>143000</v>
      </c>
      <c r="AK106" s="452"/>
      <c r="AL106" s="452">
        <v>63000</v>
      </c>
      <c r="AM106" s="452"/>
      <c r="AN106" s="452">
        <v>320000</v>
      </c>
      <c r="AO106" s="454"/>
      <c r="AP106" s="415">
        <v>160000</v>
      </c>
      <c r="AQ106" s="455"/>
      <c r="AR106" s="417">
        <v>214000</v>
      </c>
      <c r="AS106" s="417">
        <v>100000</v>
      </c>
      <c r="AT106" s="417">
        <v>81600</v>
      </c>
      <c r="AU106" s="415">
        <v>145000</v>
      </c>
      <c r="AV106" s="415">
        <v>276000</v>
      </c>
      <c r="AW106" s="452">
        <v>101200</v>
      </c>
      <c r="AX106" s="417">
        <v>108000</v>
      </c>
      <c r="AY106" s="607">
        <v>82000</v>
      </c>
      <c r="AZ106" s="415"/>
      <c r="BA106" s="415"/>
      <c r="BB106" s="454"/>
      <c r="BC106" s="524">
        <v>419000</v>
      </c>
      <c r="BD106" s="415">
        <v>267000</v>
      </c>
      <c r="BE106" s="417">
        <v>136500</v>
      </c>
      <c r="BF106" s="417"/>
      <c r="BG106" s="454">
        <v>435000</v>
      </c>
      <c r="BH106" s="455">
        <v>38000</v>
      </c>
      <c r="BI106" s="415">
        <v>130000</v>
      </c>
      <c r="BJ106" s="415">
        <v>234000</v>
      </c>
      <c r="BK106" s="452">
        <v>50000</v>
      </c>
      <c r="BL106" s="682">
        <v>137000</v>
      </c>
      <c r="BM106" s="524">
        <v>189000</v>
      </c>
      <c r="BN106" s="418">
        <v>84000</v>
      </c>
      <c r="BO106" s="418">
        <v>82000</v>
      </c>
      <c r="BP106" s="415"/>
      <c r="BQ106" s="454">
        <v>36000</v>
      </c>
      <c r="BR106" s="539" t="s">
        <v>66</v>
      </c>
      <c r="BS106" s="395">
        <v>10</v>
      </c>
    </row>
    <row r="107" spans="1:71" x14ac:dyDescent="0.2">
      <c r="A107" s="560" t="s">
        <v>88</v>
      </c>
      <c r="B107" s="456">
        <f>SUM(C107:BQ107)</f>
        <v>8125050</v>
      </c>
      <c r="C107" s="457">
        <f>(C92+C106)/2</f>
        <v>126000</v>
      </c>
      <c r="D107" s="457">
        <f>(D92+D106)/2</f>
        <v>188000</v>
      </c>
      <c r="E107" s="457">
        <f>(E92+E106)/2</f>
        <v>108000</v>
      </c>
      <c r="F107" s="457">
        <f>(F92+F106)/2</f>
        <v>100000</v>
      </c>
      <c r="G107" s="457">
        <v>100000</v>
      </c>
      <c r="H107" s="457">
        <f>(H92+H106)/2</f>
        <v>112000</v>
      </c>
      <c r="I107" s="457">
        <f>(I92+I106)/2</f>
        <v>300000</v>
      </c>
      <c r="J107" s="458"/>
      <c r="K107" s="490"/>
      <c r="L107" s="612">
        <v>100000</v>
      </c>
      <c r="M107" s="491">
        <v>100000</v>
      </c>
      <c r="N107" s="459">
        <f>(N92+N106)/2</f>
        <v>119000</v>
      </c>
      <c r="O107" s="457">
        <f>(O92+O106)/2</f>
        <v>139000</v>
      </c>
      <c r="P107" s="458">
        <v>100000</v>
      </c>
      <c r="Q107" s="458">
        <f>(Q92+Q106)/2</f>
        <v>153000</v>
      </c>
      <c r="R107" s="458">
        <v>100000</v>
      </c>
      <c r="S107" s="567">
        <f>(S92+S106)/2</f>
        <v>200000</v>
      </c>
      <c r="T107" s="581">
        <v>200000</v>
      </c>
      <c r="U107" s="459">
        <f>(U92+U106)/2</f>
        <v>254000</v>
      </c>
      <c r="V107" s="457">
        <v>50000</v>
      </c>
      <c r="W107" s="457">
        <v>50000</v>
      </c>
      <c r="X107" s="457">
        <v>100000</v>
      </c>
      <c r="Y107" s="457">
        <v>100000</v>
      </c>
      <c r="Z107" s="457">
        <f>(Z92+Z106)/2</f>
        <v>188500</v>
      </c>
      <c r="AA107" s="457">
        <f>(AA92+AA106)/2</f>
        <v>0</v>
      </c>
      <c r="AB107" s="457">
        <f>(AB92+AB106)/2</f>
        <v>118000</v>
      </c>
      <c r="AC107" s="457">
        <v>100000</v>
      </c>
      <c r="AD107" s="457">
        <v>100000</v>
      </c>
      <c r="AE107" s="458">
        <v>100000</v>
      </c>
      <c r="AF107" s="489">
        <f>(AF92+AF106)/2</f>
        <v>0</v>
      </c>
      <c r="AG107" s="490">
        <f>(AG92+AG106)/2</f>
        <v>0</v>
      </c>
      <c r="AH107" s="491">
        <v>280000</v>
      </c>
      <c r="AI107" s="489">
        <v>100000</v>
      </c>
      <c r="AJ107" s="490">
        <v>220000</v>
      </c>
      <c r="AK107" s="490">
        <f>(AK92+AK106)/2</f>
        <v>0</v>
      </c>
      <c r="AL107" s="633">
        <v>100000</v>
      </c>
      <c r="AM107" s="633"/>
      <c r="AN107" s="633">
        <f>(AN92+AN106)/2</f>
        <v>281000</v>
      </c>
      <c r="AO107" s="491">
        <v>400000</v>
      </c>
      <c r="AP107" s="457">
        <v>150000</v>
      </c>
      <c r="AQ107" s="457">
        <f t="shared" ref="AQ107:BQ107" si="35">(AQ92+AQ106)/2</f>
        <v>0</v>
      </c>
      <c r="AR107" s="457">
        <f t="shared" si="35"/>
        <v>131000</v>
      </c>
      <c r="AS107" s="457">
        <f t="shared" si="35"/>
        <v>147000</v>
      </c>
      <c r="AT107" s="457">
        <f t="shared" si="35"/>
        <v>78200</v>
      </c>
      <c r="AU107" s="457">
        <f t="shared" si="35"/>
        <v>141000</v>
      </c>
      <c r="AV107" s="457">
        <f t="shared" si="35"/>
        <v>196000</v>
      </c>
      <c r="AW107" s="458">
        <f t="shared" si="35"/>
        <v>88950</v>
      </c>
      <c r="AX107" s="457">
        <f t="shared" si="35"/>
        <v>115500</v>
      </c>
      <c r="AY107" s="459">
        <f t="shared" si="35"/>
        <v>73000</v>
      </c>
      <c r="AZ107" s="457">
        <f t="shared" si="35"/>
        <v>36000</v>
      </c>
      <c r="BA107" s="457">
        <f t="shared" si="35"/>
        <v>29000</v>
      </c>
      <c r="BB107" s="787">
        <f t="shared" si="35"/>
        <v>43150</v>
      </c>
      <c r="BC107" s="612">
        <f t="shared" si="35"/>
        <v>363500</v>
      </c>
      <c r="BD107" s="490">
        <f t="shared" si="35"/>
        <v>236500</v>
      </c>
      <c r="BE107" s="490">
        <f t="shared" si="35"/>
        <v>121750</v>
      </c>
      <c r="BF107" s="490">
        <f t="shared" si="35"/>
        <v>51000</v>
      </c>
      <c r="BG107" s="491">
        <f t="shared" si="35"/>
        <v>374500</v>
      </c>
      <c r="BH107" s="459">
        <v>100000</v>
      </c>
      <c r="BI107" s="457">
        <f t="shared" si="35"/>
        <v>133500</v>
      </c>
      <c r="BJ107" s="457">
        <f t="shared" si="35"/>
        <v>148000</v>
      </c>
      <c r="BK107" s="458">
        <v>100000</v>
      </c>
      <c r="BL107" s="683">
        <f t="shared" si="35"/>
        <v>111500</v>
      </c>
      <c r="BM107" s="689">
        <f t="shared" si="35"/>
        <v>177500</v>
      </c>
      <c r="BN107" s="457">
        <f t="shared" si="35"/>
        <v>54000</v>
      </c>
      <c r="BO107" s="457">
        <f t="shared" si="35"/>
        <v>88000</v>
      </c>
      <c r="BP107" s="457">
        <f t="shared" si="35"/>
        <v>0</v>
      </c>
      <c r="BQ107" s="491">
        <v>50000</v>
      </c>
      <c r="BR107" s="539" t="s">
        <v>67</v>
      </c>
      <c r="BS107" s="395">
        <v>15</v>
      </c>
    </row>
    <row r="108" spans="1:71" x14ac:dyDescent="0.2">
      <c r="A108" s="561"/>
      <c r="B108" s="460"/>
      <c r="C108" s="492"/>
      <c r="D108" s="492"/>
      <c r="E108" s="492"/>
      <c r="F108" s="492"/>
      <c r="G108" s="492"/>
      <c r="H108" s="492"/>
      <c r="I108" s="407"/>
      <c r="J108" s="492"/>
      <c r="K108" s="502"/>
      <c r="L108" s="502"/>
      <c r="M108" s="636"/>
      <c r="N108" s="499"/>
      <c r="O108" s="492"/>
      <c r="P108" s="492"/>
      <c r="Q108" s="492"/>
      <c r="R108" s="492"/>
      <c r="S108" s="586"/>
      <c r="T108" s="582"/>
      <c r="U108" s="492"/>
      <c r="V108" s="492"/>
      <c r="W108" s="492"/>
      <c r="X108" s="509"/>
      <c r="Y108" s="492"/>
      <c r="Z108" s="492"/>
      <c r="AA108" s="509"/>
      <c r="AB108" s="492"/>
      <c r="AC108" s="500"/>
      <c r="AD108" s="500"/>
      <c r="AE108" s="500"/>
      <c r="AF108" s="506"/>
      <c r="AG108" s="492"/>
      <c r="AH108" s="501"/>
      <c r="AI108" s="506"/>
      <c r="AJ108" s="492"/>
      <c r="AK108" s="492"/>
      <c r="AL108" s="492"/>
      <c r="AM108" s="492"/>
      <c r="AN108" s="492"/>
      <c r="AO108" s="595"/>
      <c r="AP108" s="613"/>
      <c r="AQ108" s="492"/>
      <c r="AR108" s="492"/>
      <c r="AS108" s="507"/>
      <c r="AT108" s="492"/>
      <c r="AU108" s="492"/>
      <c r="AV108" s="507"/>
      <c r="AW108" s="492"/>
      <c r="AX108" s="651"/>
      <c r="AY108" s="492"/>
      <c r="AZ108" s="492"/>
      <c r="BA108" s="492"/>
      <c r="BB108" s="501"/>
      <c r="BC108" s="502"/>
      <c r="BD108" s="492"/>
      <c r="BE108" s="417"/>
      <c r="BF108" s="492"/>
      <c r="BG108" s="501"/>
      <c r="BH108" s="502"/>
      <c r="BI108" s="492"/>
      <c r="BJ108" s="492"/>
      <c r="BK108" s="507"/>
      <c r="BL108" s="684"/>
      <c r="BM108" s="500"/>
      <c r="BN108" s="492"/>
      <c r="BO108" s="492"/>
      <c r="BP108" s="500"/>
      <c r="BQ108" s="508"/>
      <c r="BR108" s="539" t="s">
        <v>89</v>
      </c>
      <c r="BS108" s="395">
        <v>1</v>
      </c>
    </row>
    <row r="109" spans="1:71" s="461" customFormat="1" ht="16.5" x14ac:dyDescent="0.2">
      <c r="A109" s="565" t="s">
        <v>367</v>
      </c>
      <c r="B109" s="530">
        <f>SUM(C109:BQ109)</f>
        <v>6764500</v>
      </c>
      <c r="C109" s="540">
        <f>福重!F305-200</f>
        <v>169000</v>
      </c>
      <c r="D109" s="540">
        <f>福重!Q305</f>
        <v>132000</v>
      </c>
      <c r="E109" s="540">
        <f>福重!AT305</f>
        <v>106000</v>
      </c>
      <c r="F109" s="540">
        <f>福重!AA305</f>
        <v>69000</v>
      </c>
      <c r="G109" s="540">
        <f>福重!AG305</f>
        <v>42000</v>
      </c>
      <c r="H109" s="540">
        <f>福重!AM305</f>
        <v>96000</v>
      </c>
      <c r="I109" s="540">
        <f>那珂川!F118</f>
        <v>248000</v>
      </c>
      <c r="J109" s="531"/>
      <c r="K109" s="531"/>
      <c r="L109" s="566">
        <f>唐津!E112</f>
        <v>65000</v>
      </c>
      <c r="M109" s="643">
        <f>唐津!K112</f>
        <v>74000</v>
      </c>
      <c r="N109" s="541">
        <f>飯塚!S118</f>
        <v>112000</v>
      </c>
      <c r="O109" s="540">
        <f>飯塚!H118</f>
        <v>196000</v>
      </c>
      <c r="P109" s="540">
        <f>飯塚!AB118</f>
        <v>94000</v>
      </c>
      <c r="Q109" s="566">
        <f>小倉!F105</f>
        <v>118000</v>
      </c>
      <c r="R109" s="566">
        <f>小倉!Q105</f>
        <v>42000</v>
      </c>
      <c r="S109" s="569">
        <f>+黒崎!F97</f>
        <v>222000</v>
      </c>
      <c r="T109" s="583">
        <f>+黒崎!Q97</f>
        <v>175000</v>
      </c>
      <c r="U109" s="542">
        <v>202000</v>
      </c>
      <c r="V109" s="540">
        <v>15500</v>
      </c>
      <c r="W109" s="540">
        <v>22000</v>
      </c>
      <c r="X109" s="540">
        <v>136000</v>
      </c>
      <c r="Y109" s="540">
        <v>155000</v>
      </c>
      <c r="Z109" s="540">
        <v>177000</v>
      </c>
      <c r="AA109" s="531"/>
      <c r="AB109" s="540">
        <v>99000</v>
      </c>
      <c r="AC109" s="540">
        <v>67000</v>
      </c>
      <c r="AD109" s="543">
        <v>86000</v>
      </c>
      <c r="AE109" s="543">
        <v>120000</v>
      </c>
      <c r="AF109" s="654"/>
      <c r="AG109" s="532"/>
      <c r="AH109" s="547">
        <v>280000</v>
      </c>
      <c r="AI109" s="602">
        <v>43000</v>
      </c>
      <c r="AJ109" s="545">
        <v>121000</v>
      </c>
      <c r="AK109" s="656"/>
      <c r="AL109" s="546">
        <v>48000</v>
      </c>
      <c r="AM109" s="546"/>
      <c r="AN109" s="546">
        <v>180000</v>
      </c>
      <c r="AO109" s="547">
        <v>288000</v>
      </c>
      <c r="AP109" s="545">
        <v>44000</v>
      </c>
      <c r="AQ109" s="545"/>
      <c r="AR109" s="545">
        <v>46000</v>
      </c>
      <c r="AS109" s="545">
        <v>110000</v>
      </c>
      <c r="AT109" s="545">
        <v>67300</v>
      </c>
      <c r="AU109" s="545">
        <v>182000</v>
      </c>
      <c r="AV109" s="545">
        <v>146000</v>
      </c>
      <c r="AW109" s="546">
        <v>83600</v>
      </c>
      <c r="AX109" s="545">
        <v>77000</v>
      </c>
      <c r="AY109" s="603">
        <v>62000</v>
      </c>
      <c r="AZ109" s="545">
        <v>44000</v>
      </c>
      <c r="BA109" s="545">
        <v>66000</v>
      </c>
      <c r="BB109" s="547">
        <v>47800</v>
      </c>
      <c r="BC109" s="618">
        <v>192000</v>
      </c>
      <c r="BD109" s="545">
        <v>301000</v>
      </c>
      <c r="BE109" s="545">
        <v>71300</v>
      </c>
      <c r="BF109" s="545">
        <v>84000</v>
      </c>
      <c r="BG109" s="547">
        <v>254000</v>
      </c>
      <c r="BH109" s="542">
        <v>49000</v>
      </c>
      <c r="BI109" s="540">
        <v>154000</v>
      </c>
      <c r="BJ109" s="545">
        <v>157000</v>
      </c>
      <c r="BK109" s="546">
        <v>54000</v>
      </c>
      <c r="BL109" s="697">
        <v>140000</v>
      </c>
      <c r="BM109" s="698">
        <v>160000</v>
      </c>
      <c r="BN109" s="620">
        <v>48000</v>
      </c>
      <c r="BO109" s="620">
        <v>75000</v>
      </c>
      <c r="BP109" s="531"/>
      <c r="BQ109" s="619">
        <v>50000</v>
      </c>
      <c r="BR109" s="539" t="s">
        <v>60</v>
      </c>
      <c r="BS109" s="411">
        <v>4</v>
      </c>
    </row>
    <row r="110" spans="1:71" s="461" customFormat="1" ht="16.5" x14ac:dyDescent="0.2">
      <c r="A110" s="562" t="s">
        <v>91</v>
      </c>
      <c r="B110" s="548">
        <f t="shared" ref="B110:I110" si="36">B109/B107</f>
        <v>0.83254872277709058</v>
      </c>
      <c r="C110" s="549">
        <f t="shared" si="36"/>
        <v>1.3412698412698412</v>
      </c>
      <c r="D110" s="549">
        <f t="shared" si="36"/>
        <v>0.7021276595744681</v>
      </c>
      <c r="E110" s="549">
        <f t="shared" si="36"/>
        <v>0.98148148148148151</v>
      </c>
      <c r="F110" s="549">
        <f t="shared" si="36"/>
        <v>0.69</v>
      </c>
      <c r="G110" s="549">
        <f t="shared" si="36"/>
        <v>0.42</v>
      </c>
      <c r="H110" s="549">
        <f t="shared" si="36"/>
        <v>0.8571428571428571</v>
      </c>
      <c r="I110" s="549">
        <f t="shared" si="36"/>
        <v>0.82666666666666666</v>
      </c>
      <c r="J110" s="549"/>
      <c r="K110" s="549"/>
      <c r="L110" s="550">
        <f t="shared" ref="L110:Z110" si="37">L109/L107</f>
        <v>0.65</v>
      </c>
      <c r="M110" s="551">
        <f t="shared" si="37"/>
        <v>0.74</v>
      </c>
      <c r="N110" s="552">
        <f t="shared" si="37"/>
        <v>0.94117647058823528</v>
      </c>
      <c r="O110" s="550">
        <f t="shared" si="37"/>
        <v>1.4100719424460431</v>
      </c>
      <c r="P110" s="550">
        <f t="shared" si="37"/>
        <v>0.94</v>
      </c>
      <c r="Q110" s="550">
        <f t="shared" si="37"/>
        <v>0.77124183006535951</v>
      </c>
      <c r="R110" s="550">
        <f t="shared" si="37"/>
        <v>0.42</v>
      </c>
      <c r="S110" s="570">
        <f t="shared" si="37"/>
        <v>1.1100000000000001</v>
      </c>
      <c r="T110" s="584">
        <f t="shared" si="37"/>
        <v>0.875</v>
      </c>
      <c r="U110" s="552">
        <f t="shared" si="37"/>
        <v>0.79527559055118113</v>
      </c>
      <c r="V110" s="550">
        <f t="shared" si="37"/>
        <v>0.31</v>
      </c>
      <c r="W110" s="550">
        <f t="shared" si="37"/>
        <v>0.44</v>
      </c>
      <c r="X110" s="550">
        <f t="shared" si="37"/>
        <v>1.36</v>
      </c>
      <c r="Y110" s="550">
        <f t="shared" si="37"/>
        <v>1.55</v>
      </c>
      <c r="Z110" s="550">
        <f t="shared" si="37"/>
        <v>0.93899204244031831</v>
      </c>
      <c r="AA110" s="550"/>
      <c r="AB110" s="550">
        <f>AB109/AB107</f>
        <v>0.83898305084745761</v>
      </c>
      <c r="AC110" s="550">
        <f>AC109/AC107</f>
        <v>0.67</v>
      </c>
      <c r="AD110" s="550">
        <f>AD109/AD107</f>
        <v>0.86</v>
      </c>
      <c r="AE110" s="550">
        <f>AE109/AE107</f>
        <v>1.2</v>
      </c>
      <c r="AF110" s="553"/>
      <c r="AG110" s="549"/>
      <c r="AH110" s="551">
        <f>IFERROR(AH109/AH107,"-")</f>
        <v>1</v>
      </c>
      <c r="AI110" s="594">
        <f>IFERROR(AI109/AI107,"-")</f>
        <v>0.43</v>
      </c>
      <c r="AJ110" s="601">
        <f>IFERROR(AJ109/AJ107,"-")</f>
        <v>0.55000000000000004</v>
      </c>
      <c r="AK110" s="601"/>
      <c r="AL110" s="601">
        <f>IFERROR(AL109/AL107,"-")</f>
        <v>0.48</v>
      </c>
      <c r="AM110" s="601"/>
      <c r="AN110" s="601">
        <f>IFERROR(AN109/AN107,"-")</f>
        <v>0.64056939501779364</v>
      </c>
      <c r="AO110" s="551">
        <f>IFERROR(AO109/AO107,"-")</f>
        <v>0.72</v>
      </c>
      <c r="AP110" s="549">
        <f>IFERROR(AP109/AP107,"-")</f>
        <v>0.29333333333333333</v>
      </c>
      <c r="AQ110" s="549"/>
      <c r="AR110" s="549">
        <f t="shared" ref="AR110:BO110" si="38">IFERROR(AR109/AR107,"-")</f>
        <v>0.35114503816793891</v>
      </c>
      <c r="AS110" s="549">
        <f t="shared" si="38"/>
        <v>0.74829931972789121</v>
      </c>
      <c r="AT110" s="549">
        <f t="shared" si="38"/>
        <v>0.86061381074168797</v>
      </c>
      <c r="AU110" s="549">
        <f t="shared" si="38"/>
        <v>1.2907801418439717</v>
      </c>
      <c r="AV110" s="549">
        <f t="shared" si="38"/>
        <v>0.74489795918367352</v>
      </c>
      <c r="AW110" s="550">
        <f t="shared" si="38"/>
        <v>0.93985385047779646</v>
      </c>
      <c r="AX110" s="549">
        <f t="shared" si="38"/>
        <v>0.66666666666666663</v>
      </c>
      <c r="AY110" s="554">
        <f t="shared" si="38"/>
        <v>0.84931506849315064</v>
      </c>
      <c r="AZ110" s="549">
        <f t="shared" si="38"/>
        <v>1.2222222222222223</v>
      </c>
      <c r="BA110" s="549">
        <f t="shared" si="38"/>
        <v>2.2758620689655173</v>
      </c>
      <c r="BB110" s="551">
        <f t="shared" si="38"/>
        <v>1.1077636152954808</v>
      </c>
      <c r="BC110" s="552">
        <f t="shared" si="38"/>
        <v>0.52819807427785415</v>
      </c>
      <c r="BD110" s="549">
        <f t="shared" si="38"/>
        <v>1.2727272727272727</v>
      </c>
      <c r="BE110" s="549">
        <f t="shared" si="38"/>
        <v>0.58562628336755651</v>
      </c>
      <c r="BF110" s="549">
        <f t="shared" si="38"/>
        <v>1.6470588235294117</v>
      </c>
      <c r="BG110" s="551">
        <f t="shared" si="38"/>
        <v>0.67823765020026705</v>
      </c>
      <c r="BH110" s="554">
        <f t="shared" si="38"/>
        <v>0.49</v>
      </c>
      <c r="BI110" s="549">
        <f t="shared" si="38"/>
        <v>1.1535580524344569</v>
      </c>
      <c r="BJ110" s="549">
        <f t="shared" si="38"/>
        <v>1.0608108108108107</v>
      </c>
      <c r="BK110" s="550">
        <f t="shared" si="38"/>
        <v>0.54</v>
      </c>
      <c r="BL110" s="686">
        <f t="shared" si="38"/>
        <v>1.2556053811659194</v>
      </c>
      <c r="BM110" s="554">
        <f t="shared" si="38"/>
        <v>0.90140845070422537</v>
      </c>
      <c r="BN110" s="549">
        <f t="shared" si="38"/>
        <v>0.88888888888888884</v>
      </c>
      <c r="BO110" s="549">
        <f t="shared" si="38"/>
        <v>0.85227272727272729</v>
      </c>
      <c r="BP110" s="549"/>
      <c r="BQ110" s="551">
        <f>IFERROR(BQ109/BQ107,"-")</f>
        <v>1</v>
      </c>
      <c r="BR110" s="536"/>
      <c r="BS110" s="461">
        <f>SUM(BS101:BS109)</f>
        <v>58</v>
      </c>
    </row>
    <row r="111" spans="1:71" ht="19.5" x14ac:dyDescent="0.2">
      <c r="A111" s="617">
        <f>B110</f>
        <v>0.83254872277709058</v>
      </c>
      <c r="B111" s="677">
        <f>SUM(C111:BQ111)</f>
        <v>6764500</v>
      </c>
      <c r="C111" s="524">
        <f>C109/$A$114</f>
        <v>169000</v>
      </c>
      <c r="D111" s="524">
        <f>D109/$A$114</f>
        <v>132000</v>
      </c>
      <c r="E111" s="524">
        <f>E109/$A$114</f>
        <v>106000</v>
      </c>
      <c r="F111" s="524">
        <f>F109/$A$114</f>
        <v>69000</v>
      </c>
      <c r="G111" s="524">
        <f>G109/$A$114</f>
        <v>42000</v>
      </c>
      <c r="H111" s="524">
        <f>H109/$A$114</f>
        <v>96000</v>
      </c>
      <c r="I111" s="524">
        <f>I109/$A$114</f>
        <v>248000</v>
      </c>
      <c r="J111" s="524"/>
      <c r="K111" s="670"/>
      <c r="L111" s="671">
        <f>L109/$A$114</f>
        <v>65000</v>
      </c>
      <c r="M111" s="672">
        <f>M109/$A$114</f>
        <v>74000</v>
      </c>
      <c r="N111" s="673">
        <f>N109/$A$114</f>
        <v>112000</v>
      </c>
      <c r="O111" s="524">
        <f>O109/$A$114</f>
        <v>196000</v>
      </c>
      <c r="P111" s="524">
        <f>P109/$A$114</f>
        <v>94000</v>
      </c>
      <c r="Q111" s="671">
        <f>Q109/$A$114</f>
        <v>118000</v>
      </c>
      <c r="R111" s="671">
        <f>R109/$A$114</f>
        <v>42000</v>
      </c>
      <c r="S111" s="674">
        <f>S109/$A$114</f>
        <v>222000</v>
      </c>
      <c r="T111" s="580">
        <f>T109/$A$114</f>
        <v>175000</v>
      </c>
      <c r="U111" s="524">
        <f>U109/$A$114</f>
        <v>202000</v>
      </c>
      <c r="V111" s="524">
        <f>V109/$A$114</f>
        <v>15500</v>
      </c>
      <c r="W111" s="524">
        <f>W109/$A$114</f>
        <v>22000</v>
      </c>
      <c r="X111" s="524">
        <f>X109/$A$114</f>
        <v>136000</v>
      </c>
      <c r="Y111" s="524">
        <f>Y109/$A$114</f>
        <v>155000</v>
      </c>
      <c r="Z111" s="524">
        <f>Z109/$A$114</f>
        <v>177000</v>
      </c>
      <c r="AA111" s="524"/>
      <c r="AB111" s="524">
        <f>AB109/$A$114</f>
        <v>99000</v>
      </c>
      <c r="AC111" s="524">
        <f>AC109/$A$114</f>
        <v>67000</v>
      </c>
      <c r="AD111" s="524">
        <f>AD109/$A$114</f>
        <v>86000</v>
      </c>
      <c r="AE111" s="524">
        <f>AE109/$A$114</f>
        <v>120000</v>
      </c>
      <c r="AF111" s="673"/>
      <c r="AG111" s="524"/>
      <c r="AH111" s="675">
        <f>AH109/$A$114</f>
        <v>280000</v>
      </c>
      <c r="AI111" s="673">
        <f>AI109/$A$114</f>
        <v>43000</v>
      </c>
      <c r="AJ111" s="524">
        <f>AJ109/$A$114</f>
        <v>121000</v>
      </c>
      <c r="AK111" s="524"/>
      <c r="AL111" s="524">
        <f>AL109/$A$114</f>
        <v>48000</v>
      </c>
      <c r="AM111" s="524"/>
      <c r="AN111" s="524">
        <f>AN109/$A$114</f>
        <v>180000</v>
      </c>
      <c r="AO111" s="454">
        <f>AO109/$A$114</f>
        <v>288000</v>
      </c>
      <c r="AP111" s="452">
        <f>AP109/$A$114</f>
        <v>44000</v>
      </c>
      <c r="AQ111" s="524"/>
      <c r="AR111" s="524">
        <f>AR109/$A$114</f>
        <v>46000</v>
      </c>
      <c r="AS111" s="524">
        <f>AS109/$A$114</f>
        <v>110000</v>
      </c>
      <c r="AT111" s="524">
        <f>AT109/$A$114</f>
        <v>67300</v>
      </c>
      <c r="AU111" s="524">
        <f>AU109/$A$114</f>
        <v>182000</v>
      </c>
      <c r="AV111" s="524">
        <f>AV109/$A$114</f>
        <v>146000</v>
      </c>
      <c r="AW111" s="524">
        <f>AW109/$A$114</f>
        <v>83600</v>
      </c>
      <c r="AX111" s="524">
        <f>AX109/$A$114</f>
        <v>77000</v>
      </c>
      <c r="AY111" s="524">
        <f>AY109/$A$114</f>
        <v>62000</v>
      </c>
      <c r="AZ111" s="524">
        <f>AZ109/$A$114</f>
        <v>44000</v>
      </c>
      <c r="BA111" s="524">
        <f>BA109/$A$114</f>
        <v>66000</v>
      </c>
      <c r="BB111" s="794">
        <f>BB109/$A$114</f>
        <v>47800</v>
      </c>
      <c r="BC111" s="524">
        <f>BC109/$A$114</f>
        <v>192000</v>
      </c>
      <c r="BD111" s="524">
        <f>BD109/$A$114</f>
        <v>301000</v>
      </c>
      <c r="BE111" s="676">
        <f>BE109/$A$114</f>
        <v>71300</v>
      </c>
      <c r="BF111" s="524">
        <f>BF109/$A$114</f>
        <v>84000</v>
      </c>
      <c r="BG111" s="675">
        <f>BG109/$A$114</f>
        <v>254000</v>
      </c>
      <c r="BH111" s="524">
        <f>BH109/$A$114</f>
        <v>49000</v>
      </c>
      <c r="BI111" s="524">
        <f>BI109/$A$114</f>
        <v>154000</v>
      </c>
      <c r="BJ111" s="524">
        <f>BJ109/$A$114</f>
        <v>157000</v>
      </c>
      <c r="BK111" s="524">
        <f>BK109/$A$114</f>
        <v>54000</v>
      </c>
      <c r="BL111" s="682">
        <f>BL109/$A$114</f>
        <v>140000</v>
      </c>
      <c r="BM111" s="524">
        <f>BM109/$A$114</f>
        <v>160000</v>
      </c>
      <c r="BN111" s="524">
        <f>BN109/$A$114</f>
        <v>48000</v>
      </c>
      <c r="BO111" s="524">
        <f>BO109/$A$114</f>
        <v>75000</v>
      </c>
      <c r="BP111" s="524"/>
      <c r="BQ111" s="675">
        <f>BQ109/$A$114</f>
        <v>50000</v>
      </c>
      <c r="BR111" s="534"/>
    </row>
    <row r="112" spans="1:71" ht="16.5" x14ac:dyDescent="0.2">
      <c r="A112" s="593" t="s">
        <v>92</v>
      </c>
      <c r="B112" s="592">
        <f>B111/B107</f>
        <v>0.83254872277709058</v>
      </c>
      <c r="C112" s="558" t="s">
        <v>93</v>
      </c>
      <c r="D112" s="394" t="s">
        <v>94</v>
      </c>
      <c r="E112" s="396">
        <f>B109/B101</f>
        <v>118675.43859649122</v>
      </c>
      <c r="F112" s="405" t="s">
        <v>95</v>
      </c>
      <c r="G112" s="510" t="s">
        <v>96</v>
      </c>
      <c r="H112" s="399"/>
      <c r="K112" s="405" t="s">
        <v>97</v>
      </c>
      <c r="L112" s="419">
        <f>SUM(C107:M107)</f>
        <v>1234000</v>
      </c>
      <c r="M112" s="467"/>
      <c r="N112" s="410"/>
      <c r="O112" s="410"/>
      <c r="Q112" s="474" t="s">
        <v>97</v>
      </c>
      <c r="R112" s="474"/>
      <c r="S112" s="469">
        <f>SUM(N107:T107)</f>
        <v>1011000</v>
      </c>
      <c r="T112" s="589"/>
      <c r="W112" s="410"/>
      <c r="X112" s="410"/>
      <c r="Y112" s="410"/>
      <c r="Z112" s="410"/>
      <c r="AA112" s="410"/>
      <c r="AC112" s="405" t="s">
        <v>97</v>
      </c>
      <c r="AD112" s="419">
        <f>SUM(U107:AE107)</f>
        <v>1160500</v>
      </c>
      <c r="AE112" s="419"/>
      <c r="AF112" s="468" t="s">
        <v>97</v>
      </c>
      <c r="AG112" s="469">
        <f>SUM(AF107:AH107)</f>
        <v>280000</v>
      </c>
      <c r="AH112" s="467"/>
      <c r="AI112" s="405"/>
      <c r="AL112" s="405" t="s">
        <v>97</v>
      </c>
      <c r="AM112" s="405"/>
      <c r="AN112" s="419">
        <f>SUM(AI107:AO107)</f>
        <v>1101000</v>
      </c>
      <c r="AO112" s="475"/>
      <c r="AP112" s="614"/>
      <c r="AQ112" s="472"/>
      <c r="AR112" s="470"/>
      <c r="AS112" s="513" t="s">
        <v>98</v>
      </c>
      <c r="AT112" s="473"/>
      <c r="AY112" s="513" t="s">
        <v>98</v>
      </c>
      <c r="AZ112" s="405" t="s">
        <v>97</v>
      </c>
      <c r="BA112" s="479">
        <f>SUM(AP107:BB107)</f>
        <v>1228800</v>
      </c>
      <c r="BB112" s="475"/>
      <c r="BC112" s="429"/>
      <c r="BE112" s="405" t="s">
        <v>97</v>
      </c>
      <c r="BF112" s="419">
        <f>SUM(BC107:BG107)</f>
        <v>1147250</v>
      </c>
      <c r="BH112" s="471"/>
      <c r="BI112" s="472"/>
      <c r="BJ112" s="472"/>
      <c r="BK112" s="473"/>
      <c r="BM112" s="408"/>
      <c r="BN112" s="472"/>
      <c r="BO112" s="474" t="s">
        <v>97</v>
      </c>
      <c r="BP112" s="469">
        <f>SUM(BH107:BQ107)</f>
        <v>962500</v>
      </c>
      <c r="BQ112" s="475"/>
      <c r="BR112" s="535"/>
      <c r="BS112" s="404"/>
    </row>
    <row r="113" spans="1:71" ht="16.5" x14ac:dyDescent="0.2">
      <c r="A113" s="564" t="s">
        <v>99</v>
      </c>
      <c r="B113" s="504" t="s">
        <v>100</v>
      </c>
      <c r="C113" s="435">
        <v>46098</v>
      </c>
      <c r="D113" s="394" t="s">
        <v>101</v>
      </c>
      <c r="E113" s="398">
        <v>38669700</v>
      </c>
      <c r="F113" s="505">
        <f>B109</f>
        <v>6764500</v>
      </c>
      <c r="G113" s="398">
        <f>E113-B109</f>
        <v>31905200</v>
      </c>
      <c r="H113" s="399"/>
      <c r="K113" s="405" t="s">
        <v>102</v>
      </c>
      <c r="L113" s="419">
        <f>SUM(C109:M109)</f>
        <v>1001000</v>
      </c>
      <c r="M113" s="476">
        <f>L113/L112</f>
        <v>0.81118314424635329</v>
      </c>
      <c r="N113" s="410"/>
      <c r="O113" s="410"/>
      <c r="Q113" s="405" t="s">
        <v>102</v>
      </c>
      <c r="R113" s="405"/>
      <c r="S113" s="419">
        <f>SUM(N109:T109)</f>
        <v>959000</v>
      </c>
      <c r="T113" s="590">
        <f>S113/S112</f>
        <v>0.94856577645895157</v>
      </c>
      <c r="W113" s="410"/>
      <c r="X113" s="410"/>
      <c r="Y113" s="410"/>
      <c r="Z113" s="410"/>
      <c r="AA113" s="410"/>
      <c r="AC113" s="405" t="s">
        <v>102</v>
      </c>
      <c r="AD113" s="419">
        <f>SUM(U109:AE109)</f>
        <v>1079500</v>
      </c>
      <c r="AE113" s="477">
        <f>AD113/AD112</f>
        <v>0.9302024989228781</v>
      </c>
      <c r="AF113" s="478" t="s">
        <v>102</v>
      </c>
      <c r="AG113" s="419">
        <f>SUM(AF109:AH109)</f>
        <v>280000</v>
      </c>
      <c r="AH113" s="476">
        <f>AG113/AG112</f>
        <v>1</v>
      </c>
      <c r="AI113" s="405"/>
      <c r="AL113" s="405" t="s">
        <v>102</v>
      </c>
      <c r="AM113" s="405"/>
      <c r="AN113" s="419">
        <f>SUM(AI109:AO109)</f>
        <v>680000</v>
      </c>
      <c r="AO113" s="476">
        <f>AN113/AN112</f>
        <v>0.61762034514078112</v>
      </c>
      <c r="AP113" s="627"/>
      <c r="AR113" s="404"/>
      <c r="AS113" s="404"/>
      <c r="AT113" s="410"/>
      <c r="AZ113" s="405" t="s">
        <v>102</v>
      </c>
      <c r="BA113" s="479">
        <f>SUM(AP109:BB109)</f>
        <v>975700</v>
      </c>
      <c r="BB113" s="476">
        <f>BA113/BA112</f>
        <v>0.79402669270833337</v>
      </c>
      <c r="BC113" s="480"/>
      <c r="BD113" s="477"/>
      <c r="BE113" s="405" t="s">
        <v>102</v>
      </c>
      <c r="BF113" s="419">
        <f>SUM(BC109:BG109)</f>
        <v>902300</v>
      </c>
      <c r="BG113" s="477">
        <f>BF113/BF112</f>
        <v>0.78648943124863802</v>
      </c>
      <c r="BH113" s="481"/>
      <c r="BM113" s="408"/>
      <c r="BO113" s="405" t="s">
        <v>102</v>
      </c>
      <c r="BP113" s="419">
        <f>SUM(BH109:BQ109)</f>
        <v>887000</v>
      </c>
      <c r="BQ113" s="476">
        <f>BP113/BP112</f>
        <v>0.92155844155844158</v>
      </c>
      <c r="BR113" s="535"/>
    </row>
    <row r="114" spans="1:71" ht="22.5" x14ac:dyDescent="0.2">
      <c r="A114" s="668">
        <v>1</v>
      </c>
      <c r="B114" s="669"/>
      <c r="K114" s="407" t="s">
        <v>364</v>
      </c>
      <c r="L114" s="678">
        <f>SUM(C111:M111)</f>
        <v>1001000</v>
      </c>
      <c r="M114" s="477">
        <f>L114/L112</f>
        <v>0.81118314424635329</v>
      </c>
      <c r="Q114" s="407" t="s">
        <v>364</v>
      </c>
      <c r="R114" s="407"/>
      <c r="S114" s="678">
        <f>SUM(N111:T111)</f>
        <v>959000</v>
      </c>
      <c r="T114" s="477">
        <f>S114/S112</f>
        <v>0.94856577645895157</v>
      </c>
      <c r="AC114" s="407" t="s">
        <v>364</v>
      </c>
      <c r="AD114" s="678">
        <f>SUM(U111:AE111)</f>
        <v>1079500</v>
      </c>
      <c r="AE114" s="477">
        <f>AD114/AD112</f>
        <v>0.9302024989228781</v>
      </c>
      <c r="AF114" s="407" t="s">
        <v>364</v>
      </c>
      <c r="AG114" s="678">
        <f>SUM(AH111)</f>
        <v>280000</v>
      </c>
      <c r="AH114" s="477">
        <f>AG114/AG112</f>
        <v>1</v>
      </c>
      <c r="AL114" s="407" t="s">
        <v>364</v>
      </c>
      <c r="AM114" s="407"/>
      <c r="AN114" s="678">
        <f>SUM(AI111:AO111)</f>
        <v>680000</v>
      </c>
      <c r="AO114" s="477">
        <f>AN114/AN112</f>
        <v>0.61762034514078112</v>
      </c>
      <c r="AZ114" s="407" t="s">
        <v>364</v>
      </c>
      <c r="BA114" s="678">
        <f>SUM(AP111:BB111)</f>
        <v>975700</v>
      </c>
      <c r="BB114" s="480">
        <f>BA114/BA112</f>
        <v>0.79402669270833337</v>
      </c>
      <c r="BE114" s="407" t="s">
        <v>364</v>
      </c>
      <c r="BF114" s="678">
        <f>SUM(BC111:BG111)</f>
        <v>902300</v>
      </c>
      <c r="BG114" s="477">
        <f>BF114/BF112</f>
        <v>0.78648943124863802</v>
      </c>
      <c r="BO114" s="407" t="s">
        <v>364</v>
      </c>
      <c r="BP114" s="678">
        <f>SUM(BH111:BQ111)</f>
        <v>887000</v>
      </c>
      <c r="BQ114" s="477">
        <f>BP114/BP112</f>
        <v>0.92155844155844158</v>
      </c>
    </row>
    <row r="115" spans="1:71" x14ac:dyDescent="0.2">
      <c r="BB115" s="429"/>
      <c r="BC115" s="429"/>
    </row>
    <row r="116" spans="1:71" x14ac:dyDescent="0.2">
      <c r="A116" s="556" t="s">
        <v>0</v>
      </c>
      <c r="B116" s="406">
        <f>M116+AE116+BG116+BQ116+AH116+T116+AO116+BB116</f>
        <v>32</v>
      </c>
      <c r="C116" s="406">
        <v>1</v>
      </c>
      <c r="D116" s="406">
        <v>1</v>
      </c>
      <c r="E116" s="406">
        <v>1</v>
      </c>
      <c r="F116" s="406">
        <v>1</v>
      </c>
      <c r="G116" s="406">
        <v>1</v>
      </c>
      <c r="H116" s="406">
        <v>1</v>
      </c>
      <c r="I116" s="406">
        <v>2</v>
      </c>
      <c r="J116" s="406"/>
      <c r="K116" s="406"/>
      <c r="L116" s="406">
        <v>3</v>
      </c>
      <c r="M116" s="406">
        <v>3</v>
      </c>
      <c r="N116" s="482">
        <v>1</v>
      </c>
      <c r="O116" s="406">
        <v>1</v>
      </c>
      <c r="P116" s="406">
        <v>1</v>
      </c>
      <c r="Q116" s="587">
        <v>2</v>
      </c>
      <c r="R116" s="587">
        <v>2</v>
      </c>
      <c r="S116" s="405">
        <v>3</v>
      </c>
      <c r="T116" s="575">
        <v>3</v>
      </c>
      <c r="U116" s="406">
        <v>1</v>
      </c>
      <c r="V116" s="406">
        <v>1</v>
      </c>
      <c r="W116" s="406">
        <v>1</v>
      </c>
      <c r="X116" s="406">
        <v>2</v>
      </c>
      <c r="Y116" s="406">
        <v>2</v>
      </c>
      <c r="Z116" s="405">
        <v>3</v>
      </c>
      <c r="AA116" s="406"/>
      <c r="AB116" s="405">
        <v>4</v>
      </c>
      <c r="AC116" s="406"/>
      <c r="AD116" s="407">
        <v>5</v>
      </c>
      <c r="AE116" s="406">
        <v>5</v>
      </c>
      <c r="AF116" s="483"/>
      <c r="AG116" s="484"/>
      <c r="AH116" s="485">
        <v>1</v>
      </c>
      <c r="AI116" s="482">
        <v>1</v>
      </c>
      <c r="AJ116" s="484">
        <v>2</v>
      </c>
      <c r="AK116" s="484"/>
      <c r="AL116" s="484">
        <v>3</v>
      </c>
      <c r="AM116" s="484"/>
      <c r="AN116" s="484">
        <v>3</v>
      </c>
      <c r="AO116" s="485">
        <v>4</v>
      </c>
      <c r="AP116" s="406">
        <v>1</v>
      </c>
      <c r="AQ116" s="406">
        <v>1</v>
      </c>
      <c r="AR116" s="406">
        <v>2</v>
      </c>
      <c r="AS116" s="406">
        <v>2</v>
      </c>
      <c r="AT116" s="406">
        <v>2</v>
      </c>
      <c r="AU116" s="406">
        <v>3</v>
      </c>
      <c r="AV116" s="406">
        <v>3</v>
      </c>
      <c r="AW116" s="406">
        <v>3</v>
      </c>
      <c r="AX116" s="406">
        <v>4</v>
      </c>
      <c r="AY116" s="406">
        <v>4</v>
      </c>
      <c r="AZ116" s="406">
        <v>5</v>
      </c>
      <c r="BA116" s="406">
        <v>5</v>
      </c>
      <c r="BB116" s="784">
        <v>5</v>
      </c>
      <c r="BC116" s="414">
        <v>1</v>
      </c>
      <c r="BD116" s="484">
        <v>2</v>
      </c>
      <c r="BE116" s="484">
        <v>2</v>
      </c>
      <c r="BF116" s="484">
        <v>3</v>
      </c>
      <c r="BG116" s="485">
        <v>4</v>
      </c>
      <c r="BH116" s="406">
        <v>1</v>
      </c>
      <c r="BI116" s="407">
        <v>1</v>
      </c>
      <c r="BJ116" s="406">
        <v>2</v>
      </c>
      <c r="BK116" s="406">
        <v>3</v>
      </c>
      <c r="BL116" s="406">
        <v>4</v>
      </c>
      <c r="BM116" s="406">
        <v>5</v>
      </c>
      <c r="BN116" s="406">
        <v>6</v>
      </c>
      <c r="BO116" s="406">
        <v>6</v>
      </c>
      <c r="BP116" s="406"/>
      <c r="BQ116" s="485">
        <v>7</v>
      </c>
      <c r="BR116" s="537">
        <f>M116+AE116+AH116+AO116+BG116+BQ116+T116+BB116</f>
        <v>32</v>
      </c>
      <c r="BS116" s="408" t="s">
        <v>1</v>
      </c>
    </row>
    <row r="117" spans="1:71" x14ac:dyDescent="0.2">
      <c r="A117" s="563">
        <v>46143</v>
      </c>
      <c r="B117" s="528" t="s">
        <v>2</v>
      </c>
      <c r="C117" s="422" t="s">
        <v>3</v>
      </c>
      <c r="D117" s="422" t="s">
        <v>4</v>
      </c>
      <c r="E117" s="422" t="s">
        <v>5</v>
      </c>
      <c r="F117" s="422" t="s">
        <v>6</v>
      </c>
      <c r="G117" s="422" t="s">
        <v>7</v>
      </c>
      <c r="H117" s="422" t="s">
        <v>8</v>
      </c>
      <c r="I117" s="422" t="s">
        <v>9</v>
      </c>
      <c r="J117" s="422" t="s">
        <v>9</v>
      </c>
      <c r="K117" s="423" t="s">
        <v>10</v>
      </c>
      <c r="L117" s="423" t="s">
        <v>11</v>
      </c>
      <c r="M117" s="527" t="s">
        <v>11</v>
      </c>
      <c r="N117" s="571" t="s">
        <v>12</v>
      </c>
      <c r="O117" s="572" t="s">
        <v>13</v>
      </c>
      <c r="P117" s="572" t="s">
        <v>14</v>
      </c>
      <c r="Q117" s="573" t="s">
        <v>15</v>
      </c>
      <c r="R117" s="573" t="s">
        <v>15</v>
      </c>
      <c r="S117" s="574" t="s">
        <v>16</v>
      </c>
      <c r="T117" s="576" t="s">
        <v>17</v>
      </c>
      <c r="U117" s="511" t="s">
        <v>18</v>
      </c>
      <c r="V117" s="424" t="s">
        <v>19</v>
      </c>
      <c r="W117" s="424" t="s">
        <v>20</v>
      </c>
      <c r="X117" s="424" t="s">
        <v>21</v>
      </c>
      <c r="Y117" s="424" t="s">
        <v>22</v>
      </c>
      <c r="Z117" s="424" t="s">
        <v>23</v>
      </c>
      <c r="AA117" s="424"/>
      <c r="AB117" s="424" t="s">
        <v>24</v>
      </c>
      <c r="AC117" s="525" t="s">
        <v>25</v>
      </c>
      <c r="AD117" s="436" t="s">
        <v>26</v>
      </c>
      <c r="AE117" s="525" t="s">
        <v>27</v>
      </c>
      <c r="AF117" s="494"/>
      <c r="AG117" s="495"/>
      <c r="AH117" s="608" t="s">
        <v>30</v>
      </c>
      <c r="AI117" s="597" t="s">
        <v>36</v>
      </c>
      <c r="AJ117" s="598" t="s">
        <v>37</v>
      </c>
      <c r="AK117" s="599"/>
      <c r="AL117" s="599" t="s">
        <v>107</v>
      </c>
      <c r="AM117" s="599"/>
      <c r="AN117" s="599" t="s">
        <v>29</v>
      </c>
      <c r="AO117" s="600" t="s">
        <v>104</v>
      </c>
      <c r="AP117" s="788" t="s">
        <v>40</v>
      </c>
      <c r="AQ117" s="788" t="s">
        <v>105</v>
      </c>
      <c r="AR117" s="788" t="s">
        <v>41</v>
      </c>
      <c r="AS117" s="788" t="s">
        <v>42</v>
      </c>
      <c r="AT117" s="788" t="s">
        <v>43</v>
      </c>
      <c r="AU117" s="788" t="s">
        <v>44</v>
      </c>
      <c r="AV117" s="788" t="s">
        <v>45</v>
      </c>
      <c r="AW117" s="789" t="s">
        <v>46</v>
      </c>
      <c r="AX117" s="788" t="s">
        <v>31</v>
      </c>
      <c r="AY117" s="790" t="s">
        <v>32</v>
      </c>
      <c r="AZ117" s="788" t="s">
        <v>33</v>
      </c>
      <c r="BA117" s="788" t="s">
        <v>34</v>
      </c>
      <c r="BB117" s="791" t="s">
        <v>35</v>
      </c>
      <c r="BC117" s="628" t="s">
        <v>39</v>
      </c>
      <c r="BD117" s="639" t="s">
        <v>47</v>
      </c>
      <c r="BE117" s="486" t="s">
        <v>47</v>
      </c>
      <c r="BF117" s="486" t="s">
        <v>48</v>
      </c>
      <c r="BG117" s="487" t="s">
        <v>49</v>
      </c>
      <c r="BH117" s="437" t="s">
        <v>50</v>
      </c>
      <c r="BI117" s="427" t="s">
        <v>51</v>
      </c>
      <c r="BJ117" s="428" t="s">
        <v>52</v>
      </c>
      <c r="BK117" s="687" t="s">
        <v>53</v>
      </c>
      <c r="BL117" s="696" t="s">
        <v>38</v>
      </c>
      <c r="BM117" s="688" t="s">
        <v>55</v>
      </c>
      <c r="BN117" s="428" t="s">
        <v>56</v>
      </c>
      <c r="BO117" s="428" t="s">
        <v>57</v>
      </c>
      <c r="BP117" s="427" t="s">
        <v>106</v>
      </c>
      <c r="BQ117" s="488" t="s">
        <v>58</v>
      </c>
      <c r="BR117" s="535"/>
    </row>
    <row r="118" spans="1:71" x14ac:dyDescent="0.2">
      <c r="A118" s="557" t="s">
        <v>59</v>
      </c>
      <c r="B118" s="407">
        <v>57</v>
      </c>
      <c r="C118" s="430" t="s">
        <v>60</v>
      </c>
      <c r="D118" s="431" t="s">
        <v>61</v>
      </c>
      <c r="E118" s="432" t="s">
        <v>62</v>
      </c>
      <c r="F118" s="432" t="s">
        <v>62</v>
      </c>
      <c r="G118" s="432" t="s">
        <v>62</v>
      </c>
      <c r="H118" s="432" t="s">
        <v>62</v>
      </c>
      <c r="I118" s="431" t="s">
        <v>61</v>
      </c>
      <c r="J118" s="432"/>
      <c r="K118" s="432"/>
      <c r="L118" s="523" t="s">
        <v>61</v>
      </c>
      <c r="M118" s="442" t="s">
        <v>83</v>
      </c>
      <c r="N118" s="441" t="s">
        <v>61</v>
      </c>
      <c r="O118" s="434" t="s">
        <v>63</v>
      </c>
      <c r="P118" s="438" t="s">
        <v>62</v>
      </c>
      <c r="Q118" s="438" t="s">
        <v>62</v>
      </c>
      <c r="R118" s="438" t="s">
        <v>62</v>
      </c>
      <c r="S118" s="403" t="s">
        <v>62</v>
      </c>
      <c r="T118" s="577" t="s">
        <v>61</v>
      </c>
      <c r="U118" s="512" t="s">
        <v>64</v>
      </c>
      <c r="V118" s="432" t="s">
        <v>65</v>
      </c>
      <c r="W118" s="432" t="s">
        <v>65</v>
      </c>
      <c r="X118" s="432" t="s">
        <v>62</v>
      </c>
      <c r="Y118" s="431" t="s">
        <v>61</v>
      </c>
      <c r="Z118" s="433" t="s">
        <v>66</v>
      </c>
      <c r="AA118" s="432"/>
      <c r="AB118" s="523" t="s">
        <v>61</v>
      </c>
      <c r="AC118" s="519" t="s">
        <v>62</v>
      </c>
      <c r="AD118" s="588" t="s">
        <v>61</v>
      </c>
      <c r="AE118" s="526" t="s">
        <v>61</v>
      </c>
      <c r="AF118" s="441"/>
      <c r="AG118" s="433"/>
      <c r="AH118" s="609" t="s">
        <v>68</v>
      </c>
      <c r="AI118" s="441" t="s">
        <v>61</v>
      </c>
      <c r="AJ118" s="433" t="s">
        <v>68</v>
      </c>
      <c r="AK118" s="439"/>
      <c r="AL118" s="523" t="s">
        <v>61</v>
      </c>
      <c r="AM118" s="523"/>
      <c r="AN118" s="439" t="s">
        <v>66</v>
      </c>
      <c r="AO118" s="526" t="s">
        <v>61</v>
      </c>
      <c r="AP118" s="431" t="s">
        <v>61</v>
      </c>
      <c r="AQ118" s="432"/>
      <c r="AR118" s="431" t="s">
        <v>61</v>
      </c>
      <c r="AS118" s="432" t="s">
        <v>62</v>
      </c>
      <c r="AT118" s="430" t="s">
        <v>69</v>
      </c>
      <c r="AU118" s="441" t="s">
        <v>61</v>
      </c>
      <c r="AV118" s="438" t="s">
        <v>62</v>
      </c>
      <c r="AW118" s="629" t="s">
        <v>69</v>
      </c>
      <c r="AX118" s="432" t="s">
        <v>62</v>
      </c>
      <c r="AY118" s="441" t="s">
        <v>61</v>
      </c>
      <c r="AZ118" s="431" t="s">
        <v>61</v>
      </c>
      <c r="BA118" s="431" t="s">
        <v>61</v>
      </c>
      <c r="BB118" s="785" t="s">
        <v>69</v>
      </c>
      <c r="BC118" s="512" t="s">
        <v>68</v>
      </c>
      <c r="BD118" s="512" t="s">
        <v>68</v>
      </c>
      <c r="BE118" s="634" t="s">
        <v>60</v>
      </c>
      <c r="BF118" s="438" t="s">
        <v>62</v>
      </c>
      <c r="BG118" s="440" t="s">
        <v>68</v>
      </c>
      <c r="BH118" s="441" t="s">
        <v>61</v>
      </c>
      <c r="BI118" s="433" t="s">
        <v>66</v>
      </c>
      <c r="BJ118" s="431" t="s">
        <v>61</v>
      </c>
      <c r="BK118" s="438" t="s">
        <v>62</v>
      </c>
      <c r="BL118" s="679" t="s">
        <v>68</v>
      </c>
      <c r="BM118" s="496" t="s">
        <v>70</v>
      </c>
      <c r="BN118" s="431" t="s">
        <v>61</v>
      </c>
      <c r="BO118" s="431" t="s">
        <v>61</v>
      </c>
      <c r="BP118" s="432"/>
      <c r="BQ118" s="442" t="s">
        <v>62</v>
      </c>
      <c r="BR118" s="535"/>
    </row>
    <row r="119" spans="1:71" x14ac:dyDescent="0.2">
      <c r="A119" s="557" t="s">
        <v>71</v>
      </c>
      <c r="B119" s="400">
        <f>SUM(C119:BQ119)</f>
        <v>148</v>
      </c>
      <c r="C119" s="412">
        <v>2</v>
      </c>
      <c r="D119" s="412">
        <v>2</v>
      </c>
      <c r="E119" s="412">
        <v>3</v>
      </c>
      <c r="F119" s="412">
        <v>3</v>
      </c>
      <c r="G119" s="412">
        <v>3</v>
      </c>
      <c r="H119" s="412">
        <v>3</v>
      </c>
      <c r="I119" s="412">
        <v>2</v>
      </c>
      <c r="J119" s="412"/>
      <c r="K119" s="412"/>
      <c r="L119" s="443">
        <v>2</v>
      </c>
      <c r="M119" s="445">
        <v>2</v>
      </c>
      <c r="N119" s="446">
        <v>2</v>
      </c>
      <c r="O119" s="412">
        <v>4</v>
      </c>
      <c r="P119" s="443">
        <v>3</v>
      </c>
      <c r="Q119" s="443">
        <v>2</v>
      </c>
      <c r="R119" s="443">
        <v>2</v>
      </c>
      <c r="S119" s="409">
        <v>2</v>
      </c>
      <c r="T119" s="578">
        <v>2</v>
      </c>
      <c r="U119" s="446">
        <v>3</v>
      </c>
      <c r="V119" s="412">
        <v>2</v>
      </c>
      <c r="W119" s="412">
        <v>0</v>
      </c>
      <c r="X119" s="412">
        <v>6</v>
      </c>
      <c r="Y119" s="412">
        <v>2</v>
      </c>
      <c r="Z119" s="412">
        <v>4</v>
      </c>
      <c r="AA119" s="412"/>
      <c r="AB119" s="443">
        <v>2</v>
      </c>
      <c r="AC119" s="520">
        <v>2</v>
      </c>
      <c r="AD119" s="446">
        <v>2</v>
      </c>
      <c r="AE119" s="498">
        <v>2</v>
      </c>
      <c r="AF119" s="497"/>
      <c r="AG119" s="498"/>
      <c r="AH119" s="445">
        <v>4</v>
      </c>
      <c r="AI119" s="444">
        <v>2</v>
      </c>
      <c r="AJ119" s="412">
        <v>4</v>
      </c>
      <c r="AK119" s="443"/>
      <c r="AL119" s="443">
        <v>3</v>
      </c>
      <c r="AM119" s="443"/>
      <c r="AN119" s="443">
        <v>2</v>
      </c>
      <c r="AO119" s="445">
        <v>1</v>
      </c>
      <c r="AP119" s="412">
        <v>1</v>
      </c>
      <c r="AQ119" s="412"/>
      <c r="AR119" s="412">
        <v>3</v>
      </c>
      <c r="AS119" s="412">
        <v>3</v>
      </c>
      <c r="AT119" s="412">
        <v>2</v>
      </c>
      <c r="AU119" s="412">
        <v>3</v>
      </c>
      <c r="AV119" s="412">
        <v>3</v>
      </c>
      <c r="AW119" s="529">
        <v>2</v>
      </c>
      <c r="AX119" s="412">
        <v>2</v>
      </c>
      <c r="AY119" s="446">
        <v>2</v>
      </c>
      <c r="AZ119" s="412">
        <v>3</v>
      </c>
      <c r="BA119" s="412">
        <v>3</v>
      </c>
      <c r="BB119" s="786">
        <v>2</v>
      </c>
      <c r="BC119" s="446">
        <v>4</v>
      </c>
      <c r="BD119" s="640">
        <v>4</v>
      </c>
      <c r="BE119" s="412">
        <v>3</v>
      </c>
      <c r="BF119" s="412">
        <v>2</v>
      </c>
      <c r="BG119" s="445">
        <v>3</v>
      </c>
      <c r="BH119" s="446">
        <v>2</v>
      </c>
      <c r="BI119" s="412">
        <v>4</v>
      </c>
      <c r="BJ119" s="412">
        <v>3</v>
      </c>
      <c r="BK119" s="443">
        <v>2</v>
      </c>
      <c r="BL119" s="680">
        <v>2</v>
      </c>
      <c r="BM119" s="500">
        <v>4</v>
      </c>
      <c r="BN119" s="412">
        <v>2</v>
      </c>
      <c r="BO119" s="412">
        <v>2</v>
      </c>
      <c r="BP119" s="412"/>
      <c r="BQ119" s="445">
        <v>2</v>
      </c>
      <c r="BR119" s="538">
        <f>SUM(C119:BQ119)</f>
        <v>148</v>
      </c>
      <c r="BS119" s="395" t="s">
        <v>72</v>
      </c>
    </row>
    <row r="120" spans="1:71" x14ac:dyDescent="0.2">
      <c r="A120" s="557" t="s">
        <v>73</v>
      </c>
      <c r="B120" s="400"/>
      <c r="C120" s="412">
        <v>300</v>
      </c>
      <c r="D120" s="412">
        <v>300</v>
      </c>
      <c r="E120" s="412">
        <v>300</v>
      </c>
      <c r="F120" s="412">
        <v>300</v>
      </c>
      <c r="G120" s="412">
        <v>300</v>
      </c>
      <c r="H120" s="412">
        <v>300</v>
      </c>
      <c r="I120" s="412">
        <v>300</v>
      </c>
      <c r="J120" s="412"/>
      <c r="K120" s="412"/>
      <c r="L120" s="443">
        <v>300</v>
      </c>
      <c r="M120" s="445">
        <v>300</v>
      </c>
      <c r="N120" s="446">
        <v>300</v>
      </c>
      <c r="O120" s="412">
        <v>300</v>
      </c>
      <c r="P120" s="443">
        <v>300</v>
      </c>
      <c r="Q120" s="443">
        <v>300</v>
      </c>
      <c r="R120" s="443">
        <v>300</v>
      </c>
      <c r="S120" s="409">
        <v>300</v>
      </c>
      <c r="T120" s="578">
        <v>300</v>
      </c>
      <c r="U120" s="446">
        <v>400</v>
      </c>
      <c r="V120" s="412">
        <v>150</v>
      </c>
      <c r="W120" s="412">
        <v>150</v>
      </c>
      <c r="X120" s="412">
        <v>150</v>
      </c>
      <c r="Y120" s="412">
        <v>300</v>
      </c>
      <c r="Z120" s="412">
        <v>400</v>
      </c>
      <c r="AA120" s="412"/>
      <c r="AB120" s="443">
        <v>300</v>
      </c>
      <c r="AC120" s="520">
        <v>300</v>
      </c>
      <c r="AD120" s="446">
        <v>300</v>
      </c>
      <c r="AE120" s="412">
        <v>300</v>
      </c>
      <c r="AF120" s="444"/>
      <c r="AG120" s="412"/>
      <c r="AH120" s="445">
        <v>400</v>
      </c>
      <c r="AI120" s="444">
        <v>300</v>
      </c>
      <c r="AJ120" s="412">
        <v>400</v>
      </c>
      <c r="AK120" s="443"/>
      <c r="AL120" s="443">
        <v>300</v>
      </c>
      <c r="AM120" s="443"/>
      <c r="AN120" s="443">
        <v>400</v>
      </c>
      <c r="AO120" s="445">
        <v>300</v>
      </c>
      <c r="AP120" s="412">
        <v>300</v>
      </c>
      <c r="AQ120" s="412"/>
      <c r="AR120" s="412">
        <v>300</v>
      </c>
      <c r="AS120" s="412">
        <v>300</v>
      </c>
      <c r="AT120" s="412">
        <v>300</v>
      </c>
      <c r="AU120" s="412">
        <v>300</v>
      </c>
      <c r="AV120" s="412">
        <v>300</v>
      </c>
      <c r="AW120" s="443">
        <v>300</v>
      </c>
      <c r="AX120" s="412">
        <v>300</v>
      </c>
      <c r="AY120" s="446">
        <v>300</v>
      </c>
      <c r="AZ120" s="412">
        <v>300</v>
      </c>
      <c r="BA120" s="412">
        <v>300</v>
      </c>
      <c r="BB120" s="445">
        <v>300</v>
      </c>
      <c r="BC120" s="446">
        <v>400</v>
      </c>
      <c r="BD120" s="446">
        <v>400</v>
      </c>
      <c r="BE120" s="412">
        <v>300</v>
      </c>
      <c r="BF120" s="412">
        <v>300</v>
      </c>
      <c r="BG120" s="445">
        <v>400</v>
      </c>
      <c r="BH120" s="446">
        <v>300</v>
      </c>
      <c r="BI120" s="412">
        <v>400</v>
      </c>
      <c r="BJ120" s="412">
        <v>300</v>
      </c>
      <c r="BK120" s="443">
        <v>300</v>
      </c>
      <c r="BL120" s="680">
        <v>400</v>
      </c>
      <c r="BM120" s="500">
        <v>400</v>
      </c>
      <c r="BN120" s="412">
        <v>300</v>
      </c>
      <c r="BO120" s="412">
        <v>300</v>
      </c>
      <c r="BP120" s="412"/>
      <c r="BQ120" s="445">
        <v>300</v>
      </c>
      <c r="BR120" s="535"/>
    </row>
    <row r="121" spans="1:71" x14ac:dyDescent="0.2">
      <c r="A121" s="557" t="s">
        <v>74</v>
      </c>
      <c r="B121" s="401"/>
      <c r="C121" s="400" t="s">
        <v>75</v>
      </c>
      <c r="D121" s="400" t="s">
        <v>75</v>
      </c>
      <c r="E121" s="400" t="s">
        <v>76</v>
      </c>
      <c r="F121" s="400" t="s">
        <v>77</v>
      </c>
      <c r="G121" s="400" t="s">
        <v>78</v>
      </c>
      <c r="H121" s="400" t="s">
        <v>79</v>
      </c>
      <c r="I121" s="400" t="s">
        <v>75</v>
      </c>
      <c r="J121" s="400"/>
      <c r="K121" s="400"/>
      <c r="L121" s="447" t="s">
        <v>75</v>
      </c>
      <c r="M121" s="449" t="s">
        <v>75</v>
      </c>
      <c r="N121" s="450" t="s">
        <v>75</v>
      </c>
      <c r="O121" s="400" t="s">
        <v>75</v>
      </c>
      <c r="P121" s="447" t="s">
        <v>76</v>
      </c>
      <c r="Q121" s="447" t="s">
        <v>75</v>
      </c>
      <c r="R121" s="447" t="s">
        <v>75</v>
      </c>
      <c r="S121" s="397" t="s">
        <v>75</v>
      </c>
      <c r="T121" s="579" t="s">
        <v>75</v>
      </c>
      <c r="U121" s="450" t="s">
        <v>75</v>
      </c>
      <c r="V121" s="400" t="s">
        <v>75</v>
      </c>
      <c r="W121" s="400" t="s">
        <v>75</v>
      </c>
      <c r="X121" s="400" t="s">
        <v>75</v>
      </c>
      <c r="Y121" s="400" t="s">
        <v>80</v>
      </c>
      <c r="Z121" s="400" t="s">
        <v>75</v>
      </c>
      <c r="AA121" s="400"/>
      <c r="AB121" s="447" t="s">
        <v>75</v>
      </c>
      <c r="AC121" s="521" t="s">
        <v>75</v>
      </c>
      <c r="AD121" s="450" t="s">
        <v>75</v>
      </c>
      <c r="AE121" s="400" t="s">
        <v>81</v>
      </c>
      <c r="AF121" s="448"/>
      <c r="AG121" s="400"/>
      <c r="AH121" s="449" t="s">
        <v>75</v>
      </c>
      <c r="AI121" s="448" t="s">
        <v>75</v>
      </c>
      <c r="AJ121" s="400" t="s">
        <v>75</v>
      </c>
      <c r="AK121" s="447"/>
      <c r="AL121" s="447" t="s">
        <v>75</v>
      </c>
      <c r="AM121" s="447"/>
      <c r="AN121" s="447" t="s">
        <v>75</v>
      </c>
      <c r="AO121" s="449" t="s">
        <v>75</v>
      </c>
      <c r="AP121" s="400" t="s">
        <v>75</v>
      </c>
      <c r="AQ121" s="400"/>
      <c r="AR121" s="400" t="s">
        <v>75</v>
      </c>
      <c r="AS121" s="400" t="s">
        <v>75</v>
      </c>
      <c r="AT121" s="400" t="s">
        <v>80</v>
      </c>
      <c r="AU121" s="400" t="s">
        <v>75</v>
      </c>
      <c r="AV121" s="400" t="s">
        <v>75</v>
      </c>
      <c r="AW121" s="447" t="s">
        <v>80</v>
      </c>
      <c r="AX121" s="400" t="s">
        <v>75</v>
      </c>
      <c r="AY121" s="450" t="s">
        <v>75</v>
      </c>
      <c r="AZ121" s="400" t="s">
        <v>75</v>
      </c>
      <c r="BA121" s="400" t="s">
        <v>75</v>
      </c>
      <c r="BB121" s="449" t="s">
        <v>75</v>
      </c>
      <c r="BC121" s="450" t="s">
        <v>75</v>
      </c>
      <c r="BD121" s="450" t="s">
        <v>75</v>
      </c>
      <c r="BE121" s="400" t="s">
        <v>75</v>
      </c>
      <c r="BF121" s="400" t="s">
        <v>75</v>
      </c>
      <c r="BG121" s="449" t="s">
        <v>75</v>
      </c>
      <c r="BH121" s="450" t="s">
        <v>82</v>
      </c>
      <c r="BI121" s="400" t="s">
        <v>75</v>
      </c>
      <c r="BJ121" s="400" t="s">
        <v>75</v>
      </c>
      <c r="BK121" s="447" t="s">
        <v>75</v>
      </c>
      <c r="BL121" s="681" t="s">
        <v>75</v>
      </c>
      <c r="BM121" s="402" t="s">
        <v>75</v>
      </c>
      <c r="BN121" s="400" t="s">
        <v>75</v>
      </c>
      <c r="BO121" s="400" t="s">
        <v>75</v>
      </c>
      <c r="BP121" s="400"/>
      <c r="BQ121" s="449" t="s">
        <v>75</v>
      </c>
      <c r="BR121" s="539" t="s">
        <v>83</v>
      </c>
      <c r="BS121" s="395">
        <v>26</v>
      </c>
    </row>
    <row r="122" spans="1:71" x14ac:dyDescent="0.2">
      <c r="A122" s="557" t="s">
        <v>84</v>
      </c>
      <c r="B122" s="401"/>
      <c r="C122" s="412">
        <v>500</v>
      </c>
      <c r="D122" s="412">
        <v>2000</v>
      </c>
      <c r="E122" s="412">
        <v>2000</v>
      </c>
      <c r="F122" s="412">
        <v>1000</v>
      </c>
      <c r="G122" s="412">
        <v>2000</v>
      </c>
      <c r="H122" s="412">
        <v>2000</v>
      </c>
      <c r="I122" s="412">
        <v>2000</v>
      </c>
      <c r="J122" s="412"/>
      <c r="K122" s="412"/>
      <c r="L122" s="443">
        <v>1000</v>
      </c>
      <c r="M122" s="445">
        <v>2000</v>
      </c>
      <c r="N122" s="446">
        <v>1000</v>
      </c>
      <c r="O122" s="412">
        <v>2000</v>
      </c>
      <c r="P122" s="443">
        <v>2000</v>
      </c>
      <c r="Q122" s="443">
        <v>1000</v>
      </c>
      <c r="R122" s="443">
        <v>2000</v>
      </c>
      <c r="S122" s="409">
        <v>2000</v>
      </c>
      <c r="T122" s="578">
        <v>1000</v>
      </c>
      <c r="U122" s="446">
        <v>2000</v>
      </c>
      <c r="V122" s="412">
        <v>500</v>
      </c>
      <c r="W122" s="412">
        <v>500</v>
      </c>
      <c r="X122" s="412">
        <v>2000</v>
      </c>
      <c r="Y122" s="412">
        <v>1000</v>
      </c>
      <c r="Z122" s="412">
        <v>2000</v>
      </c>
      <c r="AA122" s="412"/>
      <c r="AB122" s="443">
        <v>1000</v>
      </c>
      <c r="AC122" s="520">
        <v>1000</v>
      </c>
      <c r="AD122" s="446">
        <v>2000</v>
      </c>
      <c r="AE122" s="412">
        <v>2000</v>
      </c>
      <c r="AF122" s="444"/>
      <c r="AG122" s="412"/>
      <c r="AH122" s="445" t="s">
        <v>85</v>
      </c>
      <c r="AI122" s="444">
        <v>1000</v>
      </c>
      <c r="AJ122" s="412" t="s">
        <v>85</v>
      </c>
      <c r="AK122" s="443"/>
      <c r="AL122" s="443">
        <v>1000</v>
      </c>
      <c r="AM122" s="443"/>
      <c r="AN122" s="443">
        <v>2000</v>
      </c>
      <c r="AO122" s="445">
        <v>2000</v>
      </c>
      <c r="AP122" s="413">
        <v>2000</v>
      </c>
      <c r="AQ122" s="412"/>
      <c r="AR122" s="412">
        <v>1000</v>
      </c>
      <c r="AS122" s="412">
        <v>2000</v>
      </c>
      <c r="AT122" s="412">
        <v>500</v>
      </c>
      <c r="AU122" s="412">
        <v>1000</v>
      </c>
      <c r="AV122" s="412">
        <v>2000</v>
      </c>
      <c r="AW122" s="443">
        <v>500</v>
      </c>
      <c r="AX122" s="412">
        <v>1000</v>
      </c>
      <c r="AY122" s="446">
        <v>2000</v>
      </c>
      <c r="AZ122" s="412">
        <v>1000</v>
      </c>
      <c r="BA122" s="412">
        <v>2000</v>
      </c>
      <c r="BB122" s="445">
        <v>500</v>
      </c>
      <c r="BC122" s="446">
        <v>2000</v>
      </c>
      <c r="BD122" s="446">
        <v>2000</v>
      </c>
      <c r="BE122" s="412">
        <v>500</v>
      </c>
      <c r="BF122" s="412">
        <v>1000</v>
      </c>
      <c r="BG122" s="445" t="s">
        <v>85</v>
      </c>
      <c r="BH122" s="446">
        <v>1000</v>
      </c>
      <c r="BI122" s="412">
        <v>2000</v>
      </c>
      <c r="BJ122" s="412">
        <v>2000</v>
      </c>
      <c r="BK122" s="443">
        <v>1000</v>
      </c>
      <c r="BL122" s="680" t="s">
        <v>85</v>
      </c>
      <c r="BM122" s="500" t="s">
        <v>85</v>
      </c>
      <c r="BN122" s="412">
        <v>1000</v>
      </c>
      <c r="BO122" s="412">
        <v>2000</v>
      </c>
      <c r="BP122" s="412"/>
      <c r="BQ122" s="445">
        <v>2000</v>
      </c>
      <c r="BR122" s="539" t="s">
        <v>86</v>
      </c>
      <c r="BS122" s="395">
        <v>2</v>
      </c>
    </row>
    <row r="123" spans="1:71" x14ac:dyDescent="0.2">
      <c r="A123" s="559" t="s">
        <v>87</v>
      </c>
      <c r="B123" s="451">
        <f>SUM(C123:BQ123)</f>
        <v>6982500</v>
      </c>
      <c r="C123" s="415">
        <v>103500</v>
      </c>
      <c r="D123" s="415">
        <v>188000</v>
      </c>
      <c r="E123" s="415">
        <v>112000</v>
      </c>
      <c r="F123" s="415">
        <v>63000</v>
      </c>
      <c r="G123" s="415">
        <v>66000</v>
      </c>
      <c r="H123" s="415">
        <v>98000</v>
      </c>
      <c r="I123" s="415">
        <v>356000</v>
      </c>
      <c r="J123" s="626"/>
      <c r="K123" s="408">
        <v>163000</v>
      </c>
      <c r="L123" s="591"/>
      <c r="M123" s="635"/>
      <c r="N123" s="453">
        <v>123000</v>
      </c>
      <c r="O123" s="415">
        <v>392000</v>
      </c>
      <c r="P123" s="452"/>
      <c r="Q123" s="452">
        <v>147000</v>
      </c>
      <c r="R123" s="452"/>
      <c r="S123" s="568">
        <v>176000</v>
      </c>
      <c r="T123" s="580">
        <v>98000</v>
      </c>
      <c r="U123" s="455">
        <v>264000</v>
      </c>
      <c r="V123" s="416">
        <v>21600</v>
      </c>
      <c r="W123" s="416">
        <v>30000</v>
      </c>
      <c r="X123" s="415">
        <v>98000</v>
      </c>
      <c r="Y123" s="415">
        <v>131000</v>
      </c>
      <c r="Z123" s="421">
        <v>150000</v>
      </c>
      <c r="AA123" s="415"/>
      <c r="AB123" s="452">
        <v>86000</v>
      </c>
      <c r="AC123" s="522">
        <v>60000</v>
      </c>
      <c r="AD123" s="524">
        <v>140000</v>
      </c>
      <c r="AE123" s="452">
        <v>92000</v>
      </c>
      <c r="AF123" s="453"/>
      <c r="AG123" s="415"/>
      <c r="AH123" s="454">
        <v>116000</v>
      </c>
      <c r="AI123" s="453">
        <v>136000</v>
      </c>
      <c r="AJ123" s="415">
        <v>307000</v>
      </c>
      <c r="AK123" s="452"/>
      <c r="AL123" s="452">
        <v>104000</v>
      </c>
      <c r="AM123" s="452"/>
      <c r="AN123" s="452">
        <v>266000</v>
      </c>
      <c r="AO123" s="454"/>
      <c r="AP123" s="415">
        <v>116000</v>
      </c>
      <c r="AQ123" s="455"/>
      <c r="AR123" s="417">
        <v>116000</v>
      </c>
      <c r="AS123" s="417">
        <v>190000</v>
      </c>
      <c r="AT123" s="417">
        <v>56900</v>
      </c>
      <c r="AU123" s="415">
        <v>124000</v>
      </c>
      <c r="AV123" s="415">
        <v>228000</v>
      </c>
      <c r="AW123" s="452">
        <v>96900</v>
      </c>
      <c r="AX123" s="417">
        <v>65000</v>
      </c>
      <c r="AY123" s="607">
        <v>88000</v>
      </c>
      <c r="AZ123" s="415"/>
      <c r="BA123" s="415"/>
      <c r="BB123" s="454"/>
      <c r="BC123" s="455">
        <v>363000</v>
      </c>
      <c r="BD123" s="455">
        <v>124000</v>
      </c>
      <c r="BE123" s="417">
        <v>90600</v>
      </c>
      <c r="BF123" s="417"/>
      <c r="BG123" s="454">
        <v>302000</v>
      </c>
      <c r="BH123" s="455">
        <v>47000</v>
      </c>
      <c r="BI123" s="415">
        <v>156000</v>
      </c>
      <c r="BJ123" s="415">
        <v>162000</v>
      </c>
      <c r="BK123" s="452">
        <v>96000</v>
      </c>
      <c r="BL123" s="682">
        <v>117000</v>
      </c>
      <c r="BM123" s="524">
        <v>150000</v>
      </c>
      <c r="BN123" s="418">
        <v>99000</v>
      </c>
      <c r="BO123" s="418">
        <v>76000</v>
      </c>
      <c r="BP123" s="415"/>
      <c r="BQ123" s="454">
        <v>32000</v>
      </c>
      <c r="BR123" s="539" t="s">
        <v>66</v>
      </c>
      <c r="BS123" s="395">
        <v>10</v>
      </c>
    </row>
    <row r="124" spans="1:71" x14ac:dyDescent="0.2">
      <c r="A124" s="560" t="s">
        <v>88</v>
      </c>
      <c r="B124" s="456">
        <f>SUM(C124:BQ124)</f>
        <v>8622000</v>
      </c>
      <c r="C124" s="720">
        <v>140000</v>
      </c>
      <c r="D124" s="720">
        <f>(D109+D123)/2</f>
        <v>160000</v>
      </c>
      <c r="E124" s="720">
        <v>110000</v>
      </c>
      <c r="F124" s="720">
        <v>100000</v>
      </c>
      <c r="G124" s="720">
        <v>100000</v>
      </c>
      <c r="H124" s="720">
        <v>100000</v>
      </c>
      <c r="I124" s="720">
        <f>(I109+I123)/2</f>
        <v>302000</v>
      </c>
      <c r="J124" s="721"/>
      <c r="K124" s="722"/>
      <c r="L124" s="723">
        <v>100000</v>
      </c>
      <c r="M124" s="724">
        <v>100000</v>
      </c>
      <c r="N124" s="725">
        <v>120000</v>
      </c>
      <c r="O124" s="720">
        <v>300000</v>
      </c>
      <c r="P124" s="721">
        <v>100000</v>
      </c>
      <c r="Q124" s="721">
        <v>130000</v>
      </c>
      <c r="R124" s="721">
        <v>150000</v>
      </c>
      <c r="S124" s="726">
        <v>230000</v>
      </c>
      <c r="T124" s="727">
        <v>200000</v>
      </c>
      <c r="U124" s="725">
        <v>240000</v>
      </c>
      <c r="V124" s="720">
        <v>50000</v>
      </c>
      <c r="W124" s="720">
        <v>50000</v>
      </c>
      <c r="X124" s="720">
        <v>120000</v>
      </c>
      <c r="Y124" s="720">
        <v>150000</v>
      </c>
      <c r="Z124" s="720">
        <v>170000</v>
      </c>
      <c r="AA124" s="720">
        <f>(AA109+AA123)/2</f>
        <v>0</v>
      </c>
      <c r="AB124" s="720">
        <v>100000</v>
      </c>
      <c r="AC124" s="720">
        <v>100000</v>
      </c>
      <c r="AD124" s="720">
        <v>120000</v>
      </c>
      <c r="AE124" s="721">
        <v>110000</v>
      </c>
      <c r="AF124" s="728">
        <f>(AF109+AF123)/2</f>
        <v>0</v>
      </c>
      <c r="AG124" s="722">
        <f>(AG109+AG123)/2</f>
        <v>0</v>
      </c>
      <c r="AH124" s="724">
        <v>250000</v>
      </c>
      <c r="AI124" s="728">
        <v>150000</v>
      </c>
      <c r="AJ124" s="722">
        <v>250000</v>
      </c>
      <c r="AK124" s="722">
        <f>(AK109+AK123)/2</f>
        <v>0</v>
      </c>
      <c r="AL124" s="729">
        <v>150000</v>
      </c>
      <c r="AM124" s="729"/>
      <c r="AN124" s="729">
        <v>250000</v>
      </c>
      <c r="AO124" s="724">
        <v>500000</v>
      </c>
      <c r="AP124" s="720">
        <v>110000</v>
      </c>
      <c r="AQ124" s="720"/>
      <c r="AR124" s="720">
        <v>110000</v>
      </c>
      <c r="AS124" s="720">
        <f>(AS109+AS123)/2</f>
        <v>150000</v>
      </c>
      <c r="AT124" s="720">
        <v>70000</v>
      </c>
      <c r="AU124" s="720">
        <f>(AU109+AU123)/2</f>
        <v>153000</v>
      </c>
      <c r="AV124" s="720">
        <f>(AV109+AV123)/2</f>
        <v>187000</v>
      </c>
      <c r="AW124" s="721">
        <v>91000</v>
      </c>
      <c r="AX124" s="720">
        <v>100000</v>
      </c>
      <c r="AY124" s="725">
        <v>100000</v>
      </c>
      <c r="AZ124" s="720">
        <v>100000</v>
      </c>
      <c r="BA124" s="720">
        <v>100000</v>
      </c>
      <c r="BB124" s="793">
        <v>48000</v>
      </c>
      <c r="BC124" s="733">
        <v>280000</v>
      </c>
      <c r="BD124" s="733">
        <v>220000</v>
      </c>
      <c r="BE124" s="722">
        <v>81000</v>
      </c>
      <c r="BF124" s="722">
        <v>100000</v>
      </c>
      <c r="BG124" s="724">
        <v>280000</v>
      </c>
      <c r="BH124" s="725">
        <v>120000</v>
      </c>
      <c r="BI124" s="720">
        <v>200000</v>
      </c>
      <c r="BJ124" s="720">
        <v>160000</v>
      </c>
      <c r="BK124" s="721">
        <v>100000</v>
      </c>
      <c r="BL124" s="730">
        <v>150000</v>
      </c>
      <c r="BM124" s="731">
        <v>160000</v>
      </c>
      <c r="BN124" s="720">
        <v>100000</v>
      </c>
      <c r="BO124" s="720">
        <v>100000</v>
      </c>
      <c r="BP124" s="720">
        <f>(BP109+BP123)/2</f>
        <v>0</v>
      </c>
      <c r="BQ124" s="724">
        <v>50000</v>
      </c>
      <c r="BR124" s="539" t="s">
        <v>67</v>
      </c>
      <c r="BS124" s="395">
        <v>15</v>
      </c>
    </row>
    <row r="125" spans="1:71" x14ac:dyDescent="0.2">
      <c r="A125" s="561"/>
      <c r="B125" s="460"/>
      <c r="C125" s="492"/>
      <c r="D125" s="492"/>
      <c r="E125" s="492"/>
      <c r="F125" s="492"/>
      <c r="G125" s="492"/>
      <c r="H125" s="492"/>
      <c r="I125" s="407"/>
      <c r="J125" s="492"/>
      <c r="K125" s="502"/>
      <c r="L125" s="502"/>
      <c r="M125" s="636"/>
      <c r="N125" s="499"/>
      <c r="O125" s="492"/>
      <c r="P125" s="492"/>
      <c r="Q125" s="492"/>
      <c r="R125" s="492"/>
      <c r="S125" s="586"/>
      <c r="T125" s="582"/>
      <c r="U125" s="492"/>
      <c r="V125" s="492"/>
      <c r="W125" s="492"/>
      <c r="X125" s="509"/>
      <c r="Y125" s="492"/>
      <c r="Z125" s="492"/>
      <c r="AA125" s="509"/>
      <c r="AB125" s="492"/>
      <c r="AC125" s="500"/>
      <c r="AD125" s="500"/>
      <c r="AE125" s="500"/>
      <c r="AF125" s="506"/>
      <c r="AG125" s="492"/>
      <c r="AH125" s="501"/>
      <c r="AI125" s="506"/>
      <c r="AJ125" s="492"/>
      <c r="AK125" s="492"/>
      <c r="AL125" s="492"/>
      <c r="AM125" s="492"/>
      <c r="AN125" s="492"/>
      <c r="AO125" s="595"/>
      <c r="AP125" s="613"/>
      <c r="AQ125" s="492"/>
      <c r="AR125" s="492"/>
      <c r="AS125" s="507"/>
      <c r="AT125" s="492"/>
      <c r="AU125" s="492"/>
      <c r="AV125" s="507"/>
      <c r="AW125" s="492"/>
      <c r="AX125" s="651"/>
      <c r="AY125" s="492"/>
      <c r="AZ125" s="492"/>
      <c r="BA125" s="492"/>
      <c r="BB125" s="501"/>
      <c r="BC125" s="712"/>
      <c r="BD125" s="492"/>
      <c r="BE125" s="417"/>
      <c r="BF125" s="492"/>
      <c r="BG125" s="501"/>
      <c r="BH125" s="502"/>
      <c r="BI125" s="492"/>
      <c r="BJ125" s="492"/>
      <c r="BK125" s="507"/>
      <c r="BL125" s="684"/>
      <c r="BM125" s="500"/>
      <c r="BN125" s="492"/>
      <c r="BO125" s="492"/>
      <c r="BP125" s="500"/>
      <c r="BQ125" s="508"/>
      <c r="BR125" s="539" t="s">
        <v>89</v>
      </c>
      <c r="BS125" s="395">
        <v>1</v>
      </c>
    </row>
    <row r="126" spans="1:71" s="461" customFormat="1" ht="16.5" x14ac:dyDescent="0.2">
      <c r="A126" s="565" t="s">
        <v>367</v>
      </c>
      <c r="B126" s="530">
        <f>SUM(C126:BQ126)</f>
        <v>7052900</v>
      </c>
      <c r="C126" s="540">
        <f>福重!F349</f>
        <v>159300</v>
      </c>
      <c r="D126" s="540">
        <f>福重!Q349</f>
        <v>142000</v>
      </c>
      <c r="E126" s="540">
        <f>福重!AT349</f>
        <v>102000</v>
      </c>
      <c r="F126" s="540">
        <f>福重!AA349</f>
        <v>130000</v>
      </c>
      <c r="G126" s="540">
        <f>福重!AG349</f>
        <v>22000</v>
      </c>
      <c r="H126" s="540">
        <f>福重!AM349</f>
        <v>94000</v>
      </c>
      <c r="I126" s="540">
        <f>那珂川!F135</f>
        <v>154000</v>
      </c>
      <c r="J126" s="540"/>
      <c r="K126" s="540"/>
      <c r="L126" s="566">
        <f>唐津!E129</f>
        <v>74000</v>
      </c>
      <c r="M126" s="643">
        <f>唐津!K129</f>
        <v>90000</v>
      </c>
      <c r="N126" s="541">
        <f>飯塚!S135</f>
        <v>153000</v>
      </c>
      <c r="O126" s="540">
        <f>飯塚!H135</f>
        <v>198000</v>
      </c>
      <c r="P126" s="540">
        <f>飯塚!AB135</f>
        <v>36000</v>
      </c>
      <c r="Q126" s="566">
        <f>小倉!F121</f>
        <v>102000</v>
      </c>
      <c r="R126" s="566">
        <f>小倉!Q121</f>
        <v>70000</v>
      </c>
      <c r="S126" s="569">
        <f>+黒崎!F111</f>
        <v>334000</v>
      </c>
      <c r="T126" s="583">
        <f>+黒崎!Q111</f>
        <v>229000</v>
      </c>
      <c r="U126" s="542">
        <f>+宗像!F9</f>
        <v>184000</v>
      </c>
      <c r="V126" s="540">
        <f>+宗像!Q9</f>
        <v>13500</v>
      </c>
      <c r="W126" s="540">
        <f>+宗像!AB9</f>
        <v>13500</v>
      </c>
      <c r="X126" s="540">
        <f>+魚町!F9</f>
        <v>190000</v>
      </c>
      <c r="Y126" s="540">
        <f>+魚町!Q9</f>
        <v>309000</v>
      </c>
      <c r="Z126" s="540">
        <f>+鞍手!F9</f>
        <v>155000</v>
      </c>
      <c r="AA126" s="531"/>
      <c r="AB126" s="540">
        <f>+長府!F9</f>
        <v>85000</v>
      </c>
      <c r="AC126" s="540">
        <f>+宇部!F9</f>
        <v>55000</v>
      </c>
      <c r="AD126" s="543">
        <f>+宇部!Q9</f>
        <v>138000</v>
      </c>
      <c r="AE126" s="543">
        <f>+宇部!AB9</f>
        <v>224000</v>
      </c>
      <c r="AF126" s="654"/>
      <c r="AG126" s="532"/>
      <c r="AH126" s="547">
        <v>193000</v>
      </c>
      <c r="AI126" s="655">
        <v>45000</v>
      </c>
      <c r="AJ126" s="532">
        <v>175000</v>
      </c>
      <c r="AK126" s="656"/>
      <c r="AL126" s="656">
        <f>佐賀!D33</f>
        <v>28000</v>
      </c>
      <c r="AM126" s="656"/>
      <c r="AN126" s="656">
        <f>佐賀!J33</f>
        <v>190000</v>
      </c>
      <c r="AO126" s="533">
        <f>中洲!D16</f>
        <v>470000</v>
      </c>
      <c r="AP126" s="545">
        <v>63000</v>
      </c>
      <c r="AQ126" s="545"/>
      <c r="AR126" s="545">
        <v>41000</v>
      </c>
      <c r="AS126" s="545">
        <v>134000</v>
      </c>
      <c r="AT126" s="545">
        <v>29600</v>
      </c>
      <c r="AU126" s="545">
        <v>116000</v>
      </c>
      <c r="AV126" s="545">
        <v>124000</v>
      </c>
      <c r="AW126" s="546">
        <v>45500</v>
      </c>
      <c r="AX126" s="545">
        <v>51000</v>
      </c>
      <c r="AY126" s="603">
        <v>88000</v>
      </c>
      <c r="AZ126" s="545">
        <v>22000</v>
      </c>
      <c r="BA126" s="545">
        <v>98000</v>
      </c>
      <c r="BB126" s="547">
        <v>22000</v>
      </c>
      <c r="BC126" s="618">
        <v>254000</v>
      </c>
      <c r="BD126" s="545">
        <v>165000</v>
      </c>
      <c r="BE126" s="545">
        <v>41500</v>
      </c>
      <c r="BF126" s="545">
        <v>65000</v>
      </c>
      <c r="BG126" s="547">
        <v>265000</v>
      </c>
      <c r="BH126" s="542">
        <v>43000</v>
      </c>
      <c r="BI126" s="540">
        <v>117000</v>
      </c>
      <c r="BJ126" s="545">
        <v>84000</v>
      </c>
      <c r="BK126" s="546">
        <v>78000</v>
      </c>
      <c r="BL126" s="697">
        <v>195000</v>
      </c>
      <c r="BM126" s="698">
        <v>74000</v>
      </c>
      <c r="BN126" s="620">
        <v>165000</v>
      </c>
      <c r="BO126" s="620">
        <v>75000</v>
      </c>
      <c r="BP126" s="540"/>
      <c r="BQ126" s="619">
        <v>40000</v>
      </c>
      <c r="BR126" s="539" t="s">
        <v>60</v>
      </c>
      <c r="BS126" s="411">
        <v>4</v>
      </c>
    </row>
    <row r="127" spans="1:71" s="461" customFormat="1" ht="16.5" x14ac:dyDescent="0.2">
      <c r="A127" s="562" t="s">
        <v>91</v>
      </c>
      <c r="B127" s="548">
        <f>B126/B124</f>
        <v>0.81801206216655065</v>
      </c>
      <c r="C127" s="549">
        <f>C126/C124</f>
        <v>1.1378571428571429</v>
      </c>
      <c r="D127" s="549">
        <f>D126/D124</f>
        <v>0.88749999999999996</v>
      </c>
      <c r="E127" s="549">
        <f>E126/E124</f>
        <v>0.92727272727272725</v>
      </c>
      <c r="F127" s="549">
        <f>F126/F124</f>
        <v>1.3</v>
      </c>
      <c r="G127" s="549">
        <f>G126/G124</f>
        <v>0.22</v>
      </c>
      <c r="H127" s="549">
        <f>H126/H124</f>
        <v>0.94</v>
      </c>
      <c r="I127" s="549">
        <f>I126/I124</f>
        <v>0.50993377483443714</v>
      </c>
      <c r="J127" s="549"/>
      <c r="K127" s="549"/>
      <c r="L127" s="550">
        <f>L126/L124</f>
        <v>0.74</v>
      </c>
      <c r="M127" s="551">
        <f>M126/M124</f>
        <v>0.9</v>
      </c>
      <c r="N127" s="552">
        <f>N126/N124</f>
        <v>1.2749999999999999</v>
      </c>
      <c r="O127" s="550">
        <f>O126/O124</f>
        <v>0.66</v>
      </c>
      <c r="P127" s="550">
        <f>P126/P124</f>
        <v>0.36</v>
      </c>
      <c r="Q127" s="550">
        <f>Q126/Q124</f>
        <v>0.7846153846153846</v>
      </c>
      <c r="R127" s="550">
        <f>R126/R124</f>
        <v>0.46666666666666667</v>
      </c>
      <c r="S127" s="570">
        <f>S126/S124</f>
        <v>1.4521739130434783</v>
      </c>
      <c r="T127" s="584">
        <f>T126/T124</f>
        <v>1.145</v>
      </c>
      <c r="U127" s="552">
        <f>U126/U124</f>
        <v>0.76666666666666672</v>
      </c>
      <c r="V127" s="550">
        <f>V126/V124</f>
        <v>0.27</v>
      </c>
      <c r="W127" s="550">
        <f>W126/W124</f>
        <v>0.27</v>
      </c>
      <c r="X127" s="550">
        <f>X126/X124</f>
        <v>1.5833333333333333</v>
      </c>
      <c r="Y127" s="550">
        <f>Y126/Y124</f>
        <v>2.06</v>
      </c>
      <c r="Z127" s="550">
        <f>Z126/Z124</f>
        <v>0.91176470588235292</v>
      </c>
      <c r="AA127" s="550"/>
      <c r="AB127" s="550">
        <f>AB126/AB124</f>
        <v>0.85</v>
      </c>
      <c r="AC127" s="550">
        <f>AC126/AC124</f>
        <v>0.55000000000000004</v>
      </c>
      <c r="AD127" s="550">
        <f>AD126/AD124</f>
        <v>1.1499999999999999</v>
      </c>
      <c r="AE127" s="550">
        <f>AE126/AE124</f>
        <v>2.0363636363636362</v>
      </c>
      <c r="AF127" s="553"/>
      <c r="AG127" s="549"/>
      <c r="AH127" s="551">
        <f>IFERROR(AH126/AH124,"-")</f>
        <v>0.77200000000000002</v>
      </c>
      <c r="AI127" s="594">
        <f>IFERROR(AI126/AI124,"-")</f>
        <v>0.3</v>
      </c>
      <c r="AJ127" s="601">
        <f>IFERROR(AJ126/AJ124,"-")</f>
        <v>0.7</v>
      </c>
      <c r="AK127" s="601"/>
      <c r="AL127" s="601">
        <f>IFERROR(AL126/AL124,"-")</f>
        <v>0.18666666666666668</v>
      </c>
      <c r="AM127" s="601"/>
      <c r="AN127" s="601">
        <f>IFERROR(AN126/AN124,"-")</f>
        <v>0.76</v>
      </c>
      <c r="AO127" s="551">
        <f>IFERROR(AO126/AO124,"-")</f>
        <v>0.94</v>
      </c>
      <c r="AP127" s="549">
        <f>IFERROR(AP126/AP124,"-")</f>
        <v>0.57272727272727275</v>
      </c>
      <c r="AQ127" s="549"/>
      <c r="AR127" s="549">
        <f>IFERROR(AR126/AR124,"-")</f>
        <v>0.37272727272727274</v>
      </c>
      <c r="AS127" s="549">
        <f>IFERROR(AS126/AS124,"-")</f>
        <v>0.89333333333333331</v>
      </c>
      <c r="AT127" s="549">
        <f>IFERROR(AT126/AT124,"-")</f>
        <v>0.42285714285714288</v>
      </c>
      <c r="AU127" s="549">
        <f>IFERROR(AU126/AU124,"-")</f>
        <v>0.75816993464052285</v>
      </c>
      <c r="AV127" s="549">
        <f>IFERROR(AV126/AV124,"-")</f>
        <v>0.66310160427807485</v>
      </c>
      <c r="AW127" s="550">
        <f>IFERROR(AW126/AW124,"-")</f>
        <v>0.5</v>
      </c>
      <c r="AX127" s="549">
        <f>IFERROR(AX126/AX124,"-")</f>
        <v>0.51</v>
      </c>
      <c r="AY127" s="554">
        <f>IFERROR(AY126/AY124,"-")</f>
        <v>0.88</v>
      </c>
      <c r="AZ127" s="549">
        <f>IFERROR(AZ126/AZ124,"-")</f>
        <v>0.22</v>
      </c>
      <c r="BA127" s="549">
        <f>IFERROR(BA126/BA124,"-")</f>
        <v>0.98</v>
      </c>
      <c r="BB127" s="551">
        <f>IFERROR(BB126/BB124,"-")</f>
        <v>0.45833333333333331</v>
      </c>
      <c r="BC127" s="552">
        <f>IFERROR(BC126/BC124,"-")</f>
        <v>0.90714285714285714</v>
      </c>
      <c r="BD127" s="549">
        <f>IFERROR(BD126/BD124,"-")</f>
        <v>0.75</v>
      </c>
      <c r="BE127" s="549">
        <f>IFERROR(BE126/BE124,"-")</f>
        <v>0.51234567901234573</v>
      </c>
      <c r="BF127" s="549">
        <f>IFERROR(BF126/BF124,"-")</f>
        <v>0.65</v>
      </c>
      <c r="BG127" s="551">
        <f>IFERROR(BG126/BG124,"-")</f>
        <v>0.9464285714285714</v>
      </c>
      <c r="BH127" s="554">
        <f>IFERROR(BH126/BH124,"-")</f>
        <v>0.35833333333333334</v>
      </c>
      <c r="BI127" s="549">
        <f>IFERROR(BI126/BI124,"-")</f>
        <v>0.58499999999999996</v>
      </c>
      <c r="BJ127" s="549">
        <f>IFERROR(BJ126/BJ124,"-")</f>
        <v>0.52500000000000002</v>
      </c>
      <c r="BK127" s="550">
        <f>IFERROR(BK126/BK124,"-")</f>
        <v>0.78</v>
      </c>
      <c r="BL127" s="686">
        <f>IFERROR(BL126/BL124,"-")</f>
        <v>1.3</v>
      </c>
      <c r="BM127" s="554">
        <f>IFERROR(BM126/BM124,"-")</f>
        <v>0.46250000000000002</v>
      </c>
      <c r="BN127" s="549">
        <f>IFERROR(BN126/BN124,"-")</f>
        <v>1.65</v>
      </c>
      <c r="BO127" s="549">
        <f>IFERROR(BO126/BO124,"-")</f>
        <v>0.75</v>
      </c>
      <c r="BP127" s="549"/>
      <c r="BQ127" s="551">
        <f>IFERROR(BQ126/BQ124,"-")</f>
        <v>0.8</v>
      </c>
      <c r="BR127" s="536"/>
      <c r="BS127" s="461">
        <f>SUM(BS118:BS126)</f>
        <v>58</v>
      </c>
    </row>
    <row r="128" spans="1:71" ht="19.5" x14ac:dyDescent="0.2">
      <c r="A128" s="617">
        <f>B127</f>
        <v>0.81801206216655065</v>
      </c>
      <c r="B128" s="677">
        <f ca="1">SUM(C128:BQ128)</f>
        <v>4897847.2222222202</v>
      </c>
      <c r="C128" s="524">
        <f ca="1">C126/$A$131</f>
        <v>110624.99999999994</v>
      </c>
      <c r="D128" s="524">
        <f ca="1">D126/$A$131</f>
        <v>98611.111111111051</v>
      </c>
      <c r="E128" s="524">
        <f ca="1">E126/$A$131</f>
        <v>70833.333333333299</v>
      </c>
      <c r="F128" s="524">
        <f ca="1">F126/$A$131</f>
        <v>90277.777777777723</v>
      </c>
      <c r="G128" s="524">
        <f ca="1">G126/$A$131</f>
        <v>15277.777777777768</v>
      </c>
      <c r="H128" s="524">
        <f ca="1">H126/$A$131</f>
        <v>65277.777777777737</v>
      </c>
      <c r="I128" s="524">
        <f ca="1">I126/$A$131</f>
        <v>106944.44444444438</v>
      </c>
      <c r="J128" s="524"/>
      <c r="K128" s="670"/>
      <c r="L128" s="671">
        <f ca="1">L126/$A$131</f>
        <v>51388.888888888861</v>
      </c>
      <c r="M128" s="672">
        <f ca="1">M126/$A$131</f>
        <v>62499.999999999964</v>
      </c>
      <c r="N128" s="673">
        <f ca="1">N126/$A$131</f>
        <v>106249.99999999994</v>
      </c>
      <c r="O128" s="524">
        <f ca="1">O126/$A$131</f>
        <v>137499.99999999991</v>
      </c>
      <c r="P128" s="524">
        <f ca="1">P126/$A$131</f>
        <v>24999.999999999985</v>
      </c>
      <c r="Q128" s="671">
        <f ca="1">Q126/$A$131</f>
        <v>70833.333333333299</v>
      </c>
      <c r="R128" s="671">
        <f ca="1">R126/$A$131</f>
        <v>48611.11111111108</v>
      </c>
      <c r="S128" s="674">
        <f ca="1">S126/$A$131</f>
        <v>231944.44444444432</v>
      </c>
      <c r="T128" s="580">
        <f ca="1">T126/$A$131</f>
        <v>159027.77777777769</v>
      </c>
      <c r="U128" s="524">
        <f ca="1">U126/$A$131</f>
        <v>127777.77777777771</v>
      </c>
      <c r="V128" s="524">
        <f ca="1">V126/$A$131</f>
        <v>9374.9999999999945</v>
      </c>
      <c r="W128" s="524">
        <f ca="1">W126/$A$131</f>
        <v>9374.9999999999945</v>
      </c>
      <c r="X128" s="524">
        <f ca="1">X126/$A$131</f>
        <v>131944.44444444438</v>
      </c>
      <c r="Y128" s="524">
        <f ca="1">Y126/$A$131</f>
        <v>214583.3333333332</v>
      </c>
      <c r="Z128" s="524">
        <f ca="1">Z126/$A$131</f>
        <v>107638.88888888883</v>
      </c>
      <c r="AA128" s="524">
        <f ca="1">AA126/$A$131</f>
        <v>0</v>
      </c>
      <c r="AB128" s="524">
        <f ca="1">AB126/$A$131</f>
        <v>59027.777777777745</v>
      </c>
      <c r="AC128" s="524">
        <f ca="1">AC126/$A$131</f>
        <v>38194.444444444423</v>
      </c>
      <c r="AD128" s="524">
        <f ca="1">AD126/$A$131</f>
        <v>95833.333333333285</v>
      </c>
      <c r="AE128" s="524">
        <f ca="1">AE126/$A$131</f>
        <v>155555.55555555547</v>
      </c>
      <c r="AF128" s="673">
        <f ca="1">AF126/$A$131</f>
        <v>0</v>
      </c>
      <c r="AG128" s="524">
        <f ca="1">AG126/$A$131</f>
        <v>0</v>
      </c>
      <c r="AH128" s="675">
        <f ca="1">AH126/$A$131</f>
        <v>134027.77777777769</v>
      </c>
      <c r="AI128" s="673">
        <f ca="1">AI126/$A$131</f>
        <v>31249.999999999982</v>
      </c>
      <c r="AJ128" s="524">
        <f ca="1">AJ126/$A$131</f>
        <v>121527.77777777771</v>
      </c>
      <c r="AK128" s="524">
        <f ca="1">AK126/$A$131</f>
        <v>0</v>
      </c>
      <c r="AL128" s="524">
        <f ca="1">AL126/$A$131</f>
        <v>19444.444444444434</v>
      </c>
      <c r="AM128" s="524"/>
      <c r="AN128" s="524">
        <f ca="1">AN126/$A$131</f>
        <v>131944.44444444438</v>
      </c>
      <c r="AO128" s="454">
        <f ca="1">AO126/$A$131</f>
        <v>326388.8888888887</v>
      </c>
      <c r="AP128" s="452">
        <f ca="1">AP126/$A$131</f>
        <v>43749.999999999978</v>
      </c>
      <c r="AQ128" s="524">
        <f ca="1">AQ126/$A$131</f>
        <v>0</v>
      </c>
      <c r="AR128" s="524">
        <f ca="1">AR126/$A$131</f>
        <v>28472.222222222204</v>
      </c>
      <c r="AS128" s="524">
        <f ca="1">AS126/$A$131</f>
        <v>93055.555555555504</v>
      </c>
      <c r="AT128" s="524">
        <f ca="1">AT126/$A$131</f>
        <v>20555.555555555544</v>
      </c>
      <c r="AU128" s="524">
        <f ca="1">AU126/$A$131</f>
        <v>80555.555555555504</v>
      </c>
      <c r="AV128" s="524">
        <f ca="1">AV126/$A$131</f>
        <v>86111.111111111066</v>
      </c>
      <c r="AW128" s="524">
        <f ca="1">AW126/$A$131</f>
        <v>31597.222222222204</v>
      </c>
      <c r="AX128" s="524">
        <f ca="1">AX126/$A$131</f>
        <v>35416.66666666665</v>
      </c>
      <c r="AY128" s="524">
        <f ca="1">AY126/$A$131</f>
        <v>61111.111111111073</v>
      </c>
      <c r="AZ128" s="524">
        <f ca="1">AZ126/$A$131</f>
        <v>15277.777777777768</v>
      </c>
      <c r="BA128" s="524">
        <f ca="1">BA126/$A$131</f>
        <v>68055.555555555518</v>
      </c>
      <c r="BB128" s="675">
        <f ca="1">BB126/$A$131</f>
        <v>15277.777777777768</v>
      </c>
      <c r="BC128" s="524">
        <f ca="1">BC126/$A$131</f>
        <v>176388.88888888879</v>
      </c>
      <c r="BD128" s="524">
        <f ca="1">BD126/$A$131</f>
        <v>114583.33333333327</v>
      </c>
      <c r="BE128" s="676">
        <f ca="1">BE126/$A$131</f>
        <v>28819.444444444427</v>
      </c>
      <c r="BF128" s="524">
        <f ca="1">BF126/$A$131</f>
        <v>45138.888888888861</v>
      </c>
      <c r="BG128" s="675">
        <f ca="1">BG126/$A$131</f>
        <v>184027.77777777766</v>
      </c>
      <c r="BH128" s="524">
        <f ca="1">BH126/$A$131</f>
        <v>29861.111111111095</v>
      </c>
      <c r="BI128" s="524">
        <f ca="1">BI126/$A$131</f>
        <v>81249.999999999956</v>
      </c>
      <c r="BJ128" s="524">
        <f ca="1">BJ126/$A$131</f>
        <v>58333.333333333299</v>
      </c>
      <c r="BK128" s="524">
        <f ca="1">BK126/$A$131</f>
        <v>54166.666666666635</v>
      </c>
      <c r="BL128" s="682">
        <f ca="1">BL126/$A$131</f>
        <v>135416.6666666666</v>
      </c>
      <c r="BM128" s="524">
        <f ca="1">BM126/$A$131</f>
        <v>51388.888888888861</v>
      </c>
      <c r="BN128" s="524">
        <f ca="1">BN126/$A$131</f>
        <v>114583.33333333327</v>
      </c>
      <c r="BO128" s="524">
        <f ca="1">BO126/$A$131</f>
        <v>52083.333333333307</v>
      </c>
      <c r="BP128" s="524">
        <f ca="1">BP126/$A$131</f>
        <v>0</v>
      </c>
      <c r="BQ128" s="675">
        <f ca="1">BQ126/$A$131</f>
        <v>27777.777777777763</v>
      </c>
      <c r="BR128" s="534"/>
    </row>
    <row r="129" spans="1:71" ht="16.5" x14ac:dyDescent="0.2">
      <c r="A129" s="593" t="s">
        <v>92</v>
      </c>
      <c r="B129" s="592">
        <f ca="1">B128/B124</f>
        <v>0.56806393206010442</v>
      </c>
      <c r="C129" s="558" t="s">
        <v>93</v>
      </c>
      <c r="D129" s="394" t="s">
        <v>94</v>
      </c>
      <c r="E129" s="396">
        <f>B126/B118</f>
        <v>123735.08771929824</v>
      </c>
      <c r="F129" s="405" t="s">
        <v>95</v>
      </c>
      <c r="G129" s="510" t="s">
        <v>96</v>
      </c>
      <c r="H129" s="399"/>
      <c r="K129" s="405" t="s">
        <v>97</v>
      </c>
      <c r="L129" s="419">
        <f>SUM(C124:M124)</f>
        <v>1212000</v>
      </c>
      <c r="M129" s="467"/>
      <c r="N129" s="410"/>
      <c r="O129" s="410"/>
      <c r="Q129" s="474" t="s">
        <v>97</v>
      </c>
      <c r="R129" s="474"/>
      <c r="S129" s="469">
        <f>SUM(N124:T124)</f>
        <v>1230000</v>
      </c>
      <c r="T129" s="589"/>
      <c r="W129" s="410"/>
      <c r="X129" s="410"/>
      <c r="Y129" s="410"/>
      <c r="Z129" s="410"/>
      <c r="AA129" s="410"/>
      <c r="AC129" s="405" t="s">
        <v>97</v>
      </c>
      <c r="AD129" s="419">
        <f>SUM(U124:AE124)</f>
        <v>1210000</v>
      </c>
      <c r="AE129" s="419"/>
      <c r="AF129" s="468" t="s">
        <v>97</v>
      </c>
      <c r="AG129" s="469">
        <f>SUM(AF124:AH124)</f>
        <v>250000</v>
      </c>
      <c r="AH129" s="467"/>
      <c r="AI129" s="405"/>
      <c r="AL129" s="405" t="s">
        <v>97</v>
      </c>
      <c r="AM129" s="405"/>
      <c r="AN129" s="419">
        <f>SUM(AI124:AO124)</f>
        <v>1300000</v>
      </c>
      <c r="AO129" s="475"/>
      <c r="AP129" s="614"/>
      <c r="AQ129" s="472"/>
      <c r="AR129" s="470"/>
      <c r="AS129" s="513" t="s">
        <v>98</v>
      </c>
      <c r="AT129" s="473"/>
      <c r="AY129" s="513" t="s">
        <v>98</v>
      </c>
      <c r="AZ129" s="405" t="s">
        <v>97</v>
      </c>
      <c r="BA129" s="419">
        <f>SUM(AP124:BB124)</f>
        <v>1319000</v>
      </c>
      <c r="BB129" s="475"/>
      <c r="BC129" s="429"/>
      <c r="BE129" s="405" t="s">
        <v>97</v>
      </c>
      <c r="BF129" s="419">
        <f>SUM(BC124:BG124)</f>
        <v>961000</v>
      </c>
      <c r="BH129" s="471"/>
      <c r="BI129" s="472"/>
      <c r="BJ129" s="472"/>
      <c r="BK129" s="473"/>
      <c r="BM129" s="408"/>
      <c r="BN129" s="472"/>
      <c r="BO129" s="474" t="s">
        <v>97</v>
      </c>
      <c r="BP129" s="469">
        <f>SUM(BH124:BQ124)</f>
        <v>1140000</v>
      </c>
      <c r="BQ129" s="475"/>
      <c r="BR129" s="535"/>
      <c r="BS129" s="404"/>
    </row>
    <row r="130" spans="1:71" ht="16.5" x14ac:dyDescent="0.2">
      <c r="A130" s="564" t="s">
        <v>99</v>
      </c>
      <c r="B130" s="504" t="s">
        <v>100</v>
      </c>
      <c r="C130" s="435">
        <v>46128</v>
      </c>
      <c r="D130" s="394" t="s">
        <v>101</v>
      </c>
      <c r="E130" s="398">
        <v>37222250</v>
      </c>
      <c r="F130" s="505">
        <f>B126</f>
        <v>7052900</v>
      </c>
      <c r="G130" s="398">
        <f>E130-B126</f>
        <v>30169350</v>
      </c>
      <c r="H130" s="399"/>
      <c r="K130" s="405" t="s">
        <v>102</v>
      </c>
      <c r="L130" s="419">
        <f>SUM(C126:M126)</f>
        <v>967300</v>
      </c>
      <c r="M130" s="476">
        <f>L130/L129</f>
        <v>0.79810231023102307</v>
      </c>
      <c r="N130" s="410"/>
      <c r="O130" s="410"/>
      <c r="Q130" s="405" t="s">
        <v>102</v>
      </c>
      <c r="R130" s="405"/>
      <c r="S130" s="419">
        <f>SUM(N126:T126)</f>
        <v>1122000</v>
      </c>
      <c r="T130" s="590">
        <f>S130/S129</f>
        <v>0.91219512195121955</v>
      </c>
      <c r="W130" s="410"/>
      <c r="X130" s="410"/>
      <c r="Y130" s="410"/>
      <c r="Z130" s="410"/>
      <c r="AA130" s="410"/>
      <c r="AC130" s="405" t="s">
        <v>102</v>
      </c>
      <c r="AD130" s="419">
        <f>SUM(U126:AE126)</f>
        <v>1367000</v>
      </c>
      <c r="AE130" s="477">
        <f>AD130/AD129</f>
        <v>1.1297520661157026</v>
      </c>
      <c r="AF130" s="478" t="s">
        <v>102</v>
      </c>
      <c r="AG130" s="419">
        <f>SUM(AF126:AH126)</f>
        <v>193000</v>
      </c>
      <c r="AH130" s="476">
        <f>AG130/AG129</f>
        <v>0.77200000000000002</v>
      </c>
      <c r="AI130" s="405"/>
      <c r="AL130" s="405" t="s">
        <v>102</v>
      </c>
      <c r="AM130" s="405"/>
      <c r="AN130" s="419">
        <f>SUM(AI126:AO126)</f>
        <v>908000</v>
      </c>
      <c r="AO130" s="476">
        <f>AN130/AN129</f>
        <v>0.69846153846153847</v>
      </c>
      <c r="AP130" s="627"/>
      <c r="AR130" s="404"/>
      <c r="AS130" s="404"/>
      <c r="AT130" s="410"/>
      <c r="AZ130" s="405" t="s">
        <v>102</v>
      </c>
      <c r="BA130" s="419">
        <f>SUM(AP126:BB126)</f>
        <v>834100</v>
      </c>
      <c r="BB130" s="476">
        <f>BA130/BA129</f>
        <v>0.63237300985595146</v>
      </c>
      <c r="BC130" s="480"/>
      <c r="BD130" s="477"/>
      <c r="BE130" s="405" t="s">
        <v>102</v>
      </c>
      <c r="BF130" s="419">
        <f>SUM(BC126:BG126)</f>
        <v>790500</v>
      </c>
      <c r="BG130" s="477">
        <f>BF130/BF129</f>
        <v>0.82258064516129037</v>
      </c>
      <c r="BH130" s="481"/>
      <c r="BM130" s="408"/>
      <c r="BO130" s="405" t="s">
        <v>102</v>
      </c>
      <c r="BP130" s="419">
        <f>SUM(BH126:BQ126)</f>
        <v>871000</v>
      </c>
      <c r="BQ130" s="476">
        <f>BP130/BP129</f>
        <v>0.76403508771929829</v>
      </c>
      <c r="BR130" s="535"/>
    </row>
    <row r="131" spans="1:71" ht="22.5" x14ac:dyDescent="0.2">
      <c r="A131" s="668" cm="1">
        <f t="array" aca="1" ref="A131" ca="1">SUMPRODUCT((ROW(INDIRECT(C130 &amp; ":" &amp; TODAY()-1)) &gt;= C130) * IF(WEEKDAY(ROW(INDIRECT(C130 &amp; ":" &amp; TODAY()-1 )),2) &lt;= 5, 0.02, 0.07))</f>
        <v>1.4400000000000008</v>
      </c>
      <c r="B131" s="669"/>
      <c r="K131" s="407" t="s">
        <v>364</v>
      </c>
      <c r="L131" s="678">
        <f ca="1">SUM(C128:M128)</f>
        <v>671736.11111111077</v>
      </c>
      <c r="M131" s="477">
        <f ca="1">L131/L129</f>
        <v>0.55423771543821021</v>
      </c>
      <c r="Q131" s="407" t="s">
        <v>364</v>
      </c>
      <c r="R131" s="407"/>
      <c r="S131" s="678">
        <f ca="1">SUM(N128:T128)</f>
        <v>779166.66666666628</v>
      </c>
      <c r="T131" s="477">
        <f ca="1">S131/S129</f>
        <v>0.63346883468834658</v>
      </c>
      <c r="AC131" s="407" t="s">
        <v>364</v>
      </c>
      <c r="AD131" s="678">
        <f ca="1">SUM(U128:AE128)</f>
        <v>949305.55555555504</v>
      </c>
      <c r="AE131" s="477">
        <f ca="1">AD131/AD129</f>
        <v>0.78455004591368183</v>
      </c>
      <c r="AF131" s="407" t="s">
        <v>364</v>
      </c>
      <c r="AG131" s="678">
        <f ca="1">SUM(AH128)</f>
        <v>134027.77777777769</v>
      </c>
      <c r="AH131" s="477">
        <f ca="1">AG131/AG129</f>
        <v>0.53611111111111076</v>
      </c>
      <c r="AL131" s="407" t="s">
        <v>364</v>
      </c>
      <c r="AM131" s="407"/>
      <c r="AN131" s="678">
        <f ca="1">SUM(AI128:AO128)</f>
        <v>630555.55555555527</v>
      </c>
      <c r="AO131" s="477">
        <f ca="1">AN131/AN129</f>
        <v>0.48504273504273482</v>
      </c>
      <c r="AZ131" s="407" t="s">
        <v>364</v>
      </c>
      <c r="BA131" s="678">
        <f ca="1">SUM(AP128:BB128)</f>
        <v>579236.11111111077</v>
      </c>
      <c r="BB131" s="480">
        <f ca="1">BA131/BA129</f>
        <v>0.43914792351107718</v>
      </c>
      <c r="BC131" s="429"/>
      <c r="BE131" s="407" t="s">
        <v>364</v>
      </c>
      <c r="BF131" s="678">
        <f ca="1">SUM(BC128:BG128)</f>
        <v>548958.33333333302</v>
      </c>
      <c r="BG131" s="477">
        <f ca="1">BF131/BF129</f>
        <v>0.57123655913978466</v>
      </c>
      <c r="BO131" s="407" t="s">
        <v>364</v>
      </c>
      <c r="BP131" s="678">
        <f ca="1">SUM(BH128:BQ128)</f>
        <v>604861.11111111077</v>
      </c>
      <c r="BQ131" s="477">
        <f ca="1">BP131/BP129</f>
        <v>0.53057992202729021</v>
      </c>
    </row>
    <row r="132" spans="1:71" x14ac:dyDescent="0.2">
      <c r="AL132" s="429"/>
    </row>
    <row r="133" spans="1:71" x14ac:dyDescent="0.2">
      <c r="A133" s="556" t="s">
        <v>0</v>
      </c>
      <c r="B133" s="406">
        <f>M133+AF133+BI133+BQ133+AI133+U133+AP133+BC133+AM133</f>
        <v>32</v>
      </c>
      <c r="C133" s="406">
        <v>1</v>
      </c>
      <c r="D133" s="406">
        <v>1</v>
      </c>
      <c r="E133" s="406">
        <v>1</v>
      </c>
      <c r="F133" s="406">
        <v>1</v>
      </c>
      <c r="G133" s="406">
        <v>1</v>
      </c>
      <c r="H133" s="406">
        <v>1</v>
      </c>
      <c r="I133" s="406"/>
      <c r="J133" s="406"/>
      <c r="K133" s="414"/>
      <c r="L133" s="406">
        <v>2</v>
      </c>
      <c r="M133" s="406">
        <v>2</v>
      </c>
      <c r="N133" s="482">
        <v>1</v>
      </c>
      <c r="O133" s="406">
        <v>1</v>
      </c>
      <c r="P133" s="406">
        <v>1</v>
      </c>
      <c r="Q133" s="587">
        <v>2</v>
      </c>
      <c r="R133" s="587">
        <v>2</v>
      </c>
      <c r="S133" s="414">
        <v>3</v>
      </c>
      <c r="T133" s="405">
        <v>4</v>
      </c>
      <c r="U133" s="575">
        <v>4</v>
      </c>
      <c r="V133" s="406">
        <v>1</v>
      </c>
      <c r="W133" s="406">
        <v>1</v>
      </c>
      <c r="X133" s="406">
        <v>1</v>
      </c>
      <c r="Y133" s="406">
        <v>2</v>
      </c>
      <c r="Z133" s="406">
        <v>2</v>
      </c>
      <c r="AA133" s="405">
        <v>3</v>
      </c>
      <c r="AB133" s="406"/>
      <c r="AC133" s="405">
        <v>4</v>
      </c>
      <c r="AD133" s="406"/>
      <c r="AE133" s="407">
        <v>5</v>
      </c>
      <c r="AF133" s="406">
        <v>5</v>
      </c>
      <c r="AG133" s="483"/>
      <c r="AH133" s="484"/>
      <c r="AI133" s="485">
        <v>1</v>
      </c>
      <c r="AJ133" s="482">
        <v>1</v>
      </c>
      <c r="AK133" s="484">
        <v>2</v>
      </c>
      <c r="AL133" s="484">
        <v>3</v>
      </c>
      <c r="AM133" s="485">
        <v>3</v>
      </c>
      <c r="AN133" s="484">
        <v>1</v>
      </c>
      <c r="AO133" s="484">
        <v>1</v>
      </c>
      <c r="AP133" s="485">
        <v>2</v>
      </c>
      <c r="AQ133" s="406">
        <v>1</v>
      </c>
      <c r="AR133" s="406">
        <v>1</v>
      </c>
      <c r="AS133" s="406">
        <v>2</v>
      </c>
      <c r="AT133" s="406">
        <v>2</v>
      </c>
      <c r="AU133" s="406">
        <v>2</v>
      </c>
      <c r="AV133" s="406">
        <v>3</v>
      </c>
      <c r="AW133" s="406">
        <v>3</v>
      </c>
      <c r="AX133" s="406">
        <v>3</v>
      </c>
      <c r="AY133" s="406">
        <v>4</v>
      </c>
      <c r="AZ133" s="406">
        <v>4</v>
      </c>
      <c r="BA133" s="406">
        <v>5</v>
      </c>
      <c r="BB133" s="406">
        <v>5</v>
      </c>
      <c r="BC133" s="784">
        <v>5</v>
      </c>
      <c r="BD133" s="406">
        <v>1</v>
      </c>
      <c r="BE133" s="406">
        <v>2</v>
      </c>
      <c r="BF133" s="484">
        <v>3</v>
      </c>
      <c r="BG133" s="484">
        <v>3</v>
      </c>
      <c r="BH133" s="484">
        <v>4</v>
      </c>
      <c r="BI133" s="485">
        <v>5</v>
      </c>
      <c r="BJ133" s="406">
        <v>1</v>
      </c>
      <c r="BK133" s="407">
        <v>1</v>
      </c>
      <c r="BL133" s="406">
        <v>3</v>
      </c>
      <c r="BM133" s="406">
        <v>4</v>
      </c>
      <c r="BN133" s="406">
        <v>6</v>
      </c>
      <c r="BO133" s="406">
        <v>6</v>
      </c>
      <c r="BP133" s="406"/>
      <c r="BQ133" s="485">
        <v>5</v>
      </c>
      <c r="BR133" s="537">
        <f>M133+AF133+AI133+AP133+BI133+BQ133+U133+BC133+AM133</f>
        <v>32</v>
      </c>
      <c r="BS133" s="408" t="s">
        <v>1</v>
      </c>
    </row>
    <row r="134" spans="1:71" x14ac:dyDescent="0.2">
      <c r="A134" s="563">
        <v>46174</v>
      </c>
      <c r="B134" s="528" t="s">
        <v>2</v>
      </c>
      <c r="C134" s="422" t="s">
        <v>3</v>
      </c>
      <c r="D134" s="422" t="s">
        <v>4</v>
      </c>
      <c r="E134" s="422" t="s">
        <v>5</v>
      </c>
      <c r="F134" s="422" t="s">
        <v>6</v>
      </c>
      <c r="G134" s="422" t="s">
        <v>7</v>
      </c>
      <c r="H134" s="422" t="s">
        <v>8</v>
      </c>
      <c r="I134" s="423"/>
      <c r="J134" s="423"/>
      <c r="K134" s="423" t="s">
        <v>10</v>
      </c>
      <c r="L134" s="838" t="s">
        <v>11</v>
      </c>
      <c r="M134" s="527" t="s">
        <v>11</v>
      </c>
      <c r="N134" s="571" t="s">
        <v>12</v>
      </c>
      <c r="O134" s="572" t="s">
        <v>13</v>
      </c>
      <c r="P134" s="572" t="s">
        <v>14</v>
      </c>
      <c r="Q134" s="573" t="s">
        <v>15</v>
      </c>
      <c r="R134" s="573" t="s">
        <v>15</v>
      </c>
      <c r="S134" s="572" t="s">
        <v>55</v>
      </c>
      <c r="T134" s="830" t="s">
        <v>16</v>
      </c>
      <c r="U134" s="576" t="s">
        <v>17</v>
      </c>
      <c r="V134" s="511" t="s">
        <v>18</v>
      </c>
      <c r="W134" s="424" t="s">
        <v>19</v>
      </c>
      <c r="X134" s="424" t="s">
        <v>20</v>
      </c>
      <c r="Y134" s="424" t="s">
        <v>21</v>
      </c>
      <c r="Z134" s="424" t="s">
        <v>22</v>
      </c>
      <c r="AA134" s="424" t="s">
        <v>23</v>
      </c>
      <c r="AB134" s="424"/>
      <c r="AC134" s="424" t="s">
        <v>24</v>
      </c>
      <c r="AD134" s="525" t="s">
        <v>25</v>
      </c>
      <c r="AE134" s="436" t="s">
        <v>26</v>
      </c>
      <c r="AF134" s="525" t="s">
        <v>27</v>
      </c>
      <c r="AG134" s="494"/>
      <c r="AH134" s="495"/>
      <c r="AI134" s="608" t="s">
        <v>30</v>
      </c>
      <c r="AJ134" s="597" t="s">
        <v>36</v>
      </c>
      <c r="AK134" s="598" t="s">
        <v>37</v>
      </c>
      <c r="AL134" s="599" t="s">
        <v>107</v>
      </c>
      <c r="AM134" s="827" t="s">
        <v>29</v>
      </c>
      <c r="AN134" s="837" t="s">
        <v>9</v>
      </c>
      <c r="AO134" s="837" t="s">
        <v>9</v>
      </c>
      <c r="AP134" s="829" t="s">
        <v>104</v>
      </c>
      <c r="AQ134" s="788" t="s">
        <v>40</v>
      </c>
      <c r="AR134" s="788" t="s">
        <v>105</v>
      </c>
      <c r="AS134" s="788" t="s">
        <v>41</v>
      </c>
      <c r="AT134" s="788" t="s">
        <v>42</v>
      </c>
      <c r="AU134" s="788" t="s">
        <v>43</v>
      </c>
      <c r="AV134" s="788" t="s">
        <v>44</v>
      </c>
      <c r="AW134" s="788" t="s">
        <v>45</v>
      </c>
      <c r="AX134" s="789" t="s">
        <v>46</v>
      </c>
      <c r="AY134" s="788" t="s">
        <v>31</v>
      </c>
      <c r="AZ134" s="790" t="s">
        <v>32</v>
      </c>
      <c r="BA134" s="788" t="s">
        <v>33</v>
      </c>
      <c r="BB134" s="788" t="s">
        <v>34</v>
      </c>
      <c r="BC134" s="791" t="s">
        <v>35</v>
      </c>
      <c r="BD134" s="628" t="s">
        <v>39</v>
      </c>
      <c r="BE134" s="426" t="s">
        <v>52</v>
      </c>
      <c r="BF134" s="639" t="s">
        <v>47</v>
      </c>
      <c r="BG134" s="486" t="s">
        <v>47</v>
      </c>
      <c r="BH134" s="486" t="s">
        <v>48</v>
      </c>
      <c r="BI134" s="487" t="s">
        <v>49</v>
      </c>
      <c r="BJ134" s="437" t="s">
        <v>50</v>
      </c>
      <c r="BK134" s="427" t="s">
        <v>51</v>
      </c>
      <c r="BL134" s="687" t="s">
        <v>53</v>
      </c>
      <c r="BM134" s="696" t="s">
        <v>38</v>
      </c>
      <c r="BN134" s="428" t="s">
        <v>56</v>
      </c>
      <c r="BO134" s="428" t="s">
        <v>57</v>
      </c>
      <c r="BP134" s="427" t="s">
        <v>106</v>
      </c>
      <c r="BQ134" s="488" t="s">
        <v>58</v>
      </c>
      <c r="BR134" s="535"/>
    </row>
    <row r="135" spans="1:71" x14ac:dyDescent="0.2">
      <c r="A135" s="557" t="s">
        <v>59</v>
      </c>
      <c r="B135" s="407">
        <v>57</v>
      </c>
      <c r="C135" s="430" t="s">
        <v>60</v>
      </c>
      <c r="D135" s="431" t="s">
        <v>61</v>
      </c>
      <c r="E135" s="432" t="s">
        <v>62</v>
      </c>
      <c r="F135" s="432" t="s">
        <v>62</v>
      </c>
      <c r="G135" s="432" t="s">
        <v>62</v>
      </c>
      <c r="H135" s="432" t="s">
        <v>62</v>
      </c>
      <c r="I135" s="432"/>
      <c r="J135" s="432"/>
      <c r="K135" s="432"/>
      <c r="L135" s="588" t="s">
        <v>61</v>
      </c>
      <c r="M135" s="442" t="s">
        <v>83</v>
      </c>
      <c r="N135" s="441" t="s">
        <v>61</v>
      </c>
      <c r="O135" s="434" t="s">
        <v>63</v>
      </c>
      <c r="P135" s="438" t="s">
        <v>62</v>
      </c>
      <c r="Q135" s="438" t="s">
        <v>62</v>
      </c>
      <c r="R135" s="438" t="s">
        <v>62</v>
      </c>
      <c r="S135" s="831" t="s">
        <v>70</v>
      </c>
      <c r="T135" s="403" t="s">
        <v>62</v>
      </c>
      <c r="U135" s="577" t="s">
        <v>61</v>
      </c>
      <c r="V135" s="512" t="s">
        <v>64</v>
      </c>
      <c r="W135" s="432" t="s">
        <v>65</v>
      </c>
      <c r="X135" s="432" t="s">
        <v>65</v>
      </c>
      <c r="Y135" s="432" t="s">
        <v>62</v>
      </c>
      <c r="Z135" s="431" t="s">
        <v>61</v>
      </c>
      <c r="AA135" s="433" t="s">
        <v>66</v>
      </c>
      <c r="AB135" s="432"/>
      <c r="AC135" s="523" t="s">
        <v>61</v>
      </c>
      <c r="AD135" s="519" t="s">
        <v>62</v>
      </c>
      <c r="AE135" s="588" t="s">
        <v>61</v>
      </c>
      <c r="AF135" s="526" t="s">
        <v>61</v>
      </c>
      <c r="AG135" s="441"/>
      <c r="AH135" s="433"/>
      <c r="AI135" s="609" t="s">
        <v>68</v>
      </c>
      <c r="AJ135" s="441" t="s">
        <v>61</v>
      </c>
      <c r="AK135" s="433" t="s">
        <v>68</v>
      </c>
      <c r="AL135" s="523" t="s">
        <v>61</v>
      </c>
      <c r="AM135" s="440" t="s">
        <v>66</v>
      </c>
      <c r="AN135" s="431" t="s">
        <v>61</v>
      </c>
      <c r="AO135" s="432"/>
      <c r="AP135" s="526" t="s">
        <v>61</v>
      </c>
      <c r="AQ135" s="431" t="s">
        <v>61</v>
      </c>
      <c r="AR135" s="432"/>
      <c r="AS135" s="431" t="s">
        <v>61</v>
      </c>
      <c r="AT135" s="432" t="s">
        <v>62</v>
      </c>
      <c r="AU135" s="430" t="s">
        <v>69</v>
      </c>
      <c r="AV135" s="441" t="s">
        <v>61</v>
      </c>
      <c r="AW135" s="438" t="s">
        <v>62</v>
      </c>
      <c r="AX135" s="629" t="s">
        <v>69</v>
      </c>
      <c r="AY135" s="432" t="s">
        <v>62</v>
      </c>
      <c r="AZ135" s="441" t="s">
        <v>61</v>
      </c>
      <c r="BA135" s="431" t="s">
        <v>61</v>
      </c>
      <c r="BB135" s="431" t="s">
        <v>61</v>
      </c>
      <c r="BC135" s="785" t="s">
        <v>69</v>
      </c>
      <c r="BD135" s="512" t="s">
        <v>68</v>
      </c>
      <c r="BE135" s="431" t="s">
        <v>61</v>
      </c>
      <c r="BF135" s="512" t="s">
        <v>68</v>
      </c>
      <c r="BG135" s="634" t="s">
        <v>60</v>
      </c>
      <c r="BH135" s="438" t="s">
        <v>62</v>
      </c>
      <c r="BI135" s="440" t="s">
        <v>68</v>
      </c>
      <c r="BJ135" s="441" t="s">
        <v>61</v>
      </c>
      <c r="BK135" s="433" t="s">
        <v>66</v>
      </c>
      <c r="BL135" s="438" t="s">
        <v>62</v>
      </c>
      <c r="BM135" s="679" t="s">
        <v>68</v>
      </c>
      <c r="BN135" s="431" t="s">
        <v>61</v>
      </c>
      <c r="BO135" s="431" t="s">
        <v>61</v>
      </c>
      <c r="BP135" s="432"/>
      <c r="BQ135" s="442" t="s">
        <v>62</v>
      </c>
      <c r="BR135" s="535"/>
    </row>
    <row r="136" spans="1:71" x14ac:dyDescent="0.2">
      <c r="A136" s="557" t="s">
        <v>71</v>
      </c>
      <c r="B136" s="400">
        <f>SUM(C136:BQ136)</f>
        <v>148</v>
      </c>
      <c r="C136" s="412">
        <v>2</v>
      </c>
      <c r="D136" s="412">
        <v>2</v>
      </c>
      <c r="E136" s="412">
        <v>3</v>
      </c>
      <c r="F136" s="412">
        <v>3</v>
      </c>
      <c r="G136" s="412">
        <v>3</v>
      </c>
      <c r="H136" s="412">
        <v>3</v>
      </c>
      <c r="I136" s="412"/>
      <c r="J136" s="412"/>
      <c r="K136" s="412"/>
      <c r="L136" s="500">
        <v>2</v>
      </c>
      <c r="M136" s="445">
        <v>2</v>
      </c>
      <c r="N136" s="446">
        <v>2</v>
      </c>
      <c r="O136" s="412">
        <v>4</v>
      </c>
      <c r="P136" s="443">
        <v>3</v>
      </c>
      <c r="Q136" s="443">
        <v>2</v>
      </c>
      <c r="R136" s="443">
        <v>2</v>
      </c>
      <c r="S136" s="443">
        <v>4</v>
      </c>
      <c r="T136" s="409">
        <v>2</v>
      </c>
      <c r="U136" s="578">
        <v>2</v>
      </c>
      <c r="V136" s="446">
        <v>3</v>
      </c>
      <c r="W136" s="412">
        <v>2</v>
      </c>
      <c r="X136" s="412">
        <v>0</v>
      </c>
      <c r="Y136" s="412">
        <v>6</v>
      </c>
      <c r="Z136" s="412">
        <v>2</v>
      </c>
      <c r="AA136" s="412">
        <v>4</v>
      </c>
      <c r="AB136" s="412"/>
      <c r="AC136" s="443">
        <v>2</v>
      </c>
      <c r="AD136" s="520">
        <v>2</v>
      </c>
      <c r="AE136" s="446">
        <v>2</v>
      </c>
      <c r="AF136" s="498">
        <v>2</v>
      </c>
      <c r="AG136" s="497"/>
      <c r="AH136" s="498"/>
      <c r="AI136" s="445">
        <v>4</v>
      </c>
      <c r="AJ136" s="444">
        <v>2</v>
      </c>
      <c r="AK136" s="412">
        <v>4</v>
      </c>
      <c r="AL136" s="443">
        <v>3</v>
      </c>
      <c r="AM136" s="445">
        <v>2</v>
      </c>
      <c r="AN136" s="412">
        <v>2</v>
      </c>
      <c r="AO136" s="412"/>
      <c r="AP136" s="445">
        <v>1</v>
      </c>
      <c r="AQ136" s="412">
        <v>1</v>
      </c>
      <c r="AR136" s="412"/>
      <c r="AS136" s="412">
        <v>3</v>
      </c>
      <c r="AT136" s="412">
        <v>3</v>
      </c>
      <c r="AU136" s="412">
        <v>2</v>
      </c>
      <c r="AV136" s="412">
        <v>3</v>
      </c>
      <c r="AW136" s="412">
        <v>3</v>
      </c>
      <c r="AX136" s="529">
        <v>2</v>
      </c>
      <c r="AY136" s="412">
        <v>2</v>
      </c>
      <c r="AZ136" s="446">
        <v>2</v>
      </c>
      <c r="BA136" s="412">
        <v>3</v>
      </c>
      <c r="BB136" s="412">
        <v>3</v>
      </c>
      <c r="BC136" s="786">
        <v>2</v>
      </c>
      <c r="BD136" s="446">
        <v>4</v>
      </c>
      <c r="BE136" s="412">
        <v>3</v>
      </c>
      <c r="BF136" s="640">
        <v>4</v>
      </c>
      <c r="BG136" s="412">
        <v>3</v>
      </c>
      <c r="BH136" s="412">
        <v>2</v>
      </c>
      <c r="BI136" s="445">
        <v>3</v>
      </c>
      <c r="BJ136" s="446">
        <v>2</v>
      </c>
      <c r="BK136" s="412">
        <v>4</v>
      </c>
      <c r="BL136" s="443">
        <v>2</v>
      </c>
      <c r="BM136" s="680">
        <v>2</v>
      </c>
      <c r="BN136" s="412">
        <v>2</v>
      </c>
      <c r="BO136" s="412">
        <v>2</v>
      </c>
      <c r="BP136" s="412"/>
      <c r="BQ136" s="445">
        <v>2</v>
      </c>
      <c r="BR136" s="538">
        <f>SUM(C136:BQ136)</f>
        <v>148</v>
      </c>
      <c r="BS136" s="395" t="s">
        <v>72</v>
      </c>
    </row>
    <row r="137" spans="1:71" x14ac:dyDescent="0.2">
      <c r="A137" s="557" t="s">
        <v>73</v>
      </c>
      <c r="B137" s="400"/>
      <c r="C137" s="412">
        <v>300</v>
      </c>
      <c r="D137" s="412">
        <v>300</v>
      </c>
      <c r="E137" s="412">
        <v>300</v>
      </c>
      <c r="F137" s="412">
        <v>300</v>
      </c>
      <c r="G137" s="412">
        <v>300</v>
      </c>
      <c r="H137" s="412">
        <v>300</v>
      </c>
      <c r="I137" s="412"/>
      <c r="J137" s="412"/>
      <c r="K137" s="412"/>
      <c r="L137" s="500">
        <v>300</v>
      </c>
      <c r="M137" s="445">
        <v>300</v>
      </c>
      <c r="N137" s="446">
        <v>300</v>
      </c>
      <c r="O137" s="412">
        <v>300</v>
      </c>
      <c r="P137" s="443">
        <v>300</v>
      </c>
      <c r="Q137" s="443">
        <v>300</v>
      </c>
      <c r="R137" s="443">
        <v>300</v>
      </c>
      <c r="S137" s="443">
        <v>400</v>
      </c>
      <c r="T137" s="409">
        <v>300</v>
      </c>
      <c r="U137" s="578">
        <v>300</v>
      </c>
      <c r="V137" s="446">
        <v>400</v>
      </c>
      <c r="W137" s="412">
        <v>150</v>
      </c>
      <c r="X137" s="412">
        <v>150</v>
      </c>
      <c r="Y137" s="412">
        <v>150</v>
      </c>
      <c r="Z137" s="412">
        <v>300</v>
      </c>
      <c r="AA137" s="412">
        <v>400</v>
      </c>
      <c r="AB137" s="412"/>
      <c r="AC137" s="443">
        <v>300</v>
      </c>
      <c r="AD137" s="520">
        <v>300</v>
      </c>
      <c r="AE137" s="446">
        <v>300</v>
      </c>
      <c r="AF137" s="412">
        <v>300</v>
      </c>
      <c r="AG137" s="444"/>
      <c r="AH137" s="412"/>
      <c r="AI137" s="445">
        <v>400</v>
      </c>
      <c r="AJ137" s="444">
        <v>300</v>
      </c>
      <c r="AK137" s="412">
        <v>400</v>
      </c>
      <c r="AL137" s="443">
        <v>300</v>
      </c>
      <c r="AM137" s="445">
        <v>400</v>
      </c>
      <c r="AN137" s="412">
        <v>300</v>
      </c>
      <c r="AO137" s="412"/>
      <c r="AP137" s="445">
        <v>300</v>
      </c>
      <c r="AQ137" s="412">
        <v>300</v>
      </c>
      <c r="AR137" s="412"/>
      <c r="AS137" s="412">
        <v>300</v>
      </c>
      <c r="AT137" s="412">
        <v>300</v>
      </c>
      <c r="AU137" s="412">
        <v>300</v>
      </c>
      <c r="AV137" s="412">
        <v>300</v>
      </c>
      <c r="AW137" s="412">
        <v>300</v>
      </c>
      <c r="AX137" s="443">
        <v>300</v>
      </c>
      <c r="AY137" s="412">
        <v>300</v>
      </c>
      <c r="AZ137" s="446">
        <v>300</v>
      </c>
      <c r="BA137" s="412">
        <v>300</v>
      </c>
      <c r="BB137" s="412">
        <v>300</v>
      </c>
      <c r="BC137" s="445">
        <v>300</v>
      </c>
      <c r="BD137" s="446">
        <v>400</v>
      </c>
      <c r="BE137" s="412">
        <v>300</v>
      </c>
      <c r="BF137" s="446">
        <v>400</v>
      </c>
      <c r="BG137" s="412">
        <v>300</v>
      </c>
      <c r="BH137" s="412">
        <v>300</v>
      </c>
      <c r="BI137" s="445">
        <v>400</v>
      </c>
      <c r="BJ137" s="446">
        <v>300</v>
      </c>
      <c r="BK137" s="412">
        <v>400</v>
      </c>
      <c r="BL137" s="443">
        <v>300</v>
      </c>
      <c r="BM137" s="680">
        <v>400</v>
      </c>
      <c r="BN137" s="412">
        <v>300</v>
      </c>
      <c r="BO137" s="412">
        <v>300</v>
      </c>
      <c r="BP137" s="412"/>
      <c r="BQ137" s="445">
        <v>300</v>
      </c>
      <c r="BR137" s="535"/>
    </row>
    <row r="138" spans="1:71" x14ac:dyDescent="0.2">
      <c r="A138" s="557" t="s">
        <v>74</v>
      </c>
      <c r="B138" s="401"/>
      <c r="C138" s="400" t="s">
        <v>75</v>
      </c>
      <c r="D138" s="400" t="s">
        <v>75</v>
      </c>
      <c r="E138" s="400" t="s">
        <v>76</v>
      </c>
      <c r="F138" s="400" t="s">
        <v>77</v>
      </c>
      <c r="G138" s="400" t="s">
        <v>78</v>
      </c>
      <c r="H138" s="400" t="s">
        <v>79</v>
      </c>
      <c r="I138" s="400"/>
      <c r="J138" s="400"/>
      <c r="K138" s="400"/>
      <c r="L138" s="402" t="s">
        <v>75</v>
      </c>
      <c r="M138" s="449" t="s">
        <v>75</v>
      </c>
      <c r="N138" s="450" t="s">
        <v>75</v>
      </c>
      <c r="O138" s="400" t="s">
        <v>75</v>
      </c>
      <c r="P138" s="447" t="s">
        <v>76</v>
      </c>
      <c r="Q138" s="447" t="s">
        <v>75</v>
      </c>
      <c r="R138" s="447" t="s">
        <v>75</v>
      </c>
      <c r="S138" s="447" t="s">
        <v>75</v>
      </c>
      <c r="T138" s="397" t="s">
        <v>75</v>
      </c>
      <c r="U138" s="579" t="s">
        <v>75</v>
      </c>
      <c r="V138" s="450" t="s">
        <v>75</v>
      </c>
      <c r="W138" s="400" t="s">
        <v>75</v>
      </c>
      <c r="X138" s="400" t="s">
        <v>75</v>
      </c>
      <c r="Y138" s="400" t="s">
        <v>75</v>
      </c>
      <c r="Z138" s="400" t="s">
        <v>80</v>
      </c>
      <c r="AA138" s="400" t="s">
        <v>75</v>
      </c>
      <c r="AB138" s="400"/>
      <c r="AC138" s="447" t="s">
        <v>75</v>
      </c>
      <c r="AD138" s="521" t="s">
        <v>75</v>
      </c>
      <c r="AE138" s="450" t="s">
        <v>75</v>
      </c>
      <c r="AF138" s="400" t="s">
        <v>81</v>
      </c>
      <c r="AG138" s="448"/>
      <c r="AH138" s="400"/>
      <c r="AI138" s="449" t="s">
        <v>75</v>
      </c>
      <c r="AJ138" s="448" t="s">
        <v>75</v>
      </c>
      <c r="AK138" s="400" t="s">
        <v>75</v>
      </c>
      <c r="AL138" s="447" t="s">
        <v>75</v>
      </c>
      <c r="AM138" s="449" t="s">
        <v>75</v>
      </c>
      <c r="AN138" s="400" t="s">
        <v>75</v>
      </c>
      <c r="AO138" s="400"/>
      <c r="AP138" s="449" t="s">
        <v>75</v>
      </c>
      <c r="AQ138" s="400" t="s">
        <v>75</v>
      </c>
      <c r="AR138" s="400"/>
      <c r="AS138" s="400" t="s">
        <v>75</v>
      </c>
      <c r="AT138" s="400" t="s">
        <v>75</v>
      </c>
      <c r="AU138" s="400" t="s">
        <v>80</v>
      </c>
      <c r="AV138" s="400" t="s">
        <v>75</v>
      </c>
      <c r="AW138" s="400" t="s">
        <v>75</v>
      </c>
      <c r="AX138" s="447" t="s">
        <v>80</v>
      </c>
      <c r="AY138" s="400" t="s">
        <v>75</v>
      </c>
      <c r="AZ138" s="450" t="s">
        <v>75</v>
      </c>
      <c r="BA138" s="400" t="s">
        <v>75</v>
      </c>
      <c r="BB138" s="400" t="s">
        <v>75</v>
      </c>
      <c r="BC138" s="449" t="s">
        <v>75</v>
      </c>
      <c r="BD138" s="450" t="s">
        <v>75</v>
      </c>
      <c r="BE138" s="400" t="s">
        <v>75</v>
      </c>
      <c r="BF138" s="450" t="s">
        <v>75</v>
      </c>
      <c r="BG138" s="400" t="s">
        <v>75</v>
      </c>
      <c r="BH138" s="400" t="s">
        <v>75</v>
      </c>
      <c r="BI138" s="449" t="s">
        <v>75</v>
      </c>
      <c r="BJ138" s="450" t="s">
        <v>82</v>
      </c>
      <c r="BK138" s="400" t="s">
        <v>75</v>
      </c>
      <c r="BL138" s="447" t="s">
        <v>75</v>
      </c>
      <c r="BM138" s="681" t="s">
        <v>75</v>
      </c>
      <c r="BN138" s="400" t="s">
        <v>75</v>
      </c>
      <c r="BO138" s="400" t="s">
        <v>75</v>
      </c>
      <c r="BP138" s="400"/>
      <c r="BQ138" s="449" t="s">
        <v>75</v>
      </c>
      <c r="BR138" s="539" t="s">
        <v>83</v>
      </c>
      <c r="BS138" s="395">
        <v>26</v>
      </c>
    </row>
    <row r="139" spans="1:71" x14ac:dyDescent="0.2">
      <c r="A139" s="557" t="s">
        <v>84</v>
      </c>
      <c r="B139" s="401"/>
      <c r="C139" s="412">
        <v>500</v>
      </c>
      <c r="D139" s="412">
        <v>2000</v>
      </c>
      <c r="E139" s="412">
        <v>2000</v>
      </c>
      <c r="F139" s="412">
        <v>1000</v>
      </c>
      <c r="G139" s="412">
        <v>2000</v>
      </c>
      <c r="H139" s="412">
        <v>2000</v>
      </c>
      <c r="I139" s="412"/>
      <c r="J139" s="412"/>
      <c r="K139" s="412"/>
      <c r="L139" s="500">
        <v>1000</v>
      </c>
      <c r="M139" s="445">
        <v>2000</v>
      </c>
      <c r="N139" s="446">
        <v>1000</v>
      </c>
      <c r="O139" s="412">
        <v>2000</v>
      </c>
      <c r="P139" s="443">
        <v>2000</v>
      </c>
      <c r="Q139" s="443">
        <v>1000</v>
      </c>
      <c r="R139" s="443">
        <v>2000</v>
      </c>
      <c r="S139" s="443" t="s">
        <v>85</v>
      </c>
      <c r="T139" s="409">
        <v>2000</v>
      </c>
      <c r="U139" s="578">
        <v>1000</v>
      </c>
      <c r="V139" s="446">
        <v>2000</v>
      </c>
      <c r="W139" s="412">
        <v>500</v>
      </c>
      <c r="X139" s="412">
        <v>500</v>
      </c>
      <c r="Y139" s="412">
        <v>2000</v>
      </c>
      <c r="Z139" s="412">
        <v>1000</v>
      </c>
      <c r="AA139" s="412">
        <v>2000</v>
      </c>
      <c r="AB139" s="412"/>
      <c r="AC139" s="443">
        <v>1000</v>
      </c>
      <c r="AD139" s="520">
        <v>1000</v>
      </c>
      <c r="AE139" s="446">
        <v>2000</v>
      </c>
      <c r="AF139" s="412">
        <v>2000</v>
      </c>
      <c r="AG139" s="444"/>
      <c r="AH139" s="412"/>
      <c r="AI139" s="445" t="s">
        <v>85</v>
      </c>
      <c r="AJ139" s="444">
        <v>1000</v>
      </c>
      <c r="AK139" s="412" t="s">
        <v>85</v>
      </c>
      <c r="AL139" s="443">
        <v>1000</v>
      </c>
      <c r="AM139" s="445">
        <v>2000</v>
      </c>
      <c r="AN139" s="412">
        <v>2000</v>
      </c>
      <c r="AO139" s="412"/>
      <c r="AP139" s="445">
        <v>2000</v>
      </c>
      <c r="AQ139" s="413">
        <v>2000</v>
      </c>
      <c r="AR139" s="412"/>
      <c r="AS139" s="412">
        <v>1000</v>
      </c>
      <c r="AT139" s="412">
        <v>2000</v>
      </c>
      <c r="AU139" s="412">
        <v>500</v>
      </c>
      <c r="AV139" s="412">
        <v>1000</v>
      </c>
      <c r="AW139" s="412">
        <v>2000</v>
      </c>
      <c r="AX139" s="443">
        <v>500</v>
      </c>
      <c r="AY139" s="412">
        <v>1000</v>
      </c>
      <c r="AZ139" s="446">
        <v>2000</v>
      </c>
      <c r="BA139" s="412">
        <v>1000</v>
      </c>
      <c r="BB139" s="412">
        <v>2000</v>
      </c>
      <c r="BC139" s="445">
        <v>500</v>
      </c>
      <c r="BD139" s="446">
        <v>2000</v>
      </c>
      <c r="BE139" s="412">
        <v>2000</v>
      </c>
      <c r="BF139" s="446">
        <v>2000</v>
      </c>
      <c r="BG139" s="412">
        <v>500</v>
      </c>
      <c r="BH139" s="412">
        <v>1000</v>
      </c>
      <c r="BI139" s="445" t="s">
        <v>85</v>
      </c>
      <c r="BJ139" s="446">
        <v>1000</v>
      </c>
      <c r="BK139" s="412">
        <v>2000</v>
      </c>
      <c r="BL139" s="443">
        <v>1000</v>
      </c>
      <c r="BM139" s="680" t="s">
        <v>85</v>
      </c>
      <c r="BN139" s="412">
        <v>1000</v>
      </c>
      <c r="BO139" s="412">
        <v>2000</v>
      </c>
      <c r="BP139" s="412"/>
      <c r="BQ139" s="445">
        <v>2000</v>
      </c>
      <c r="BR139" s="539" t="s">
        <v>86</v>
      </c>
      <c r="BS139" s="395">
        <v>2</v>
      </c>
    </row>
    <row r="140" spans="1:71" x14ac:dyDescent="0.2">
      <c r="A140" s="559" t="s">
        <v>87</v>
      </c>
      <c r="B140" s="451">
        <f>SUM(C140:BQ140)</f>
        <v>6806300</v>
      </c>
      <c r="C140" s="415">
        <v>134500</v>
      </c>
      <c r="D140" s="415">
        <v>262000</v>
      </c>
      <c r="E140" s="415">
        <v>72000</v>
      </c>
      <c r="F140" s="415">
        <v>101000</v>
      </c>
      <c r="G140" s="415">
        <v>104000</v>
      </c>
      <c r="H140" s="415">
        <v>108000</v>
      </c>
      <c r="I140" s="626"/>
      <c r="J140" s="626"/>
      <c r="K140" s="626">
        <v>112000</v>
      </c>
      <c r="L140" s="710">
        <v>94000</v>
      </c>
      <c r="M140" s="635"/>
      <c r="N140" s="453">
        <v>96000</v>
      </c>
      <c r="O140" s="415">
        <v>272000</v>
      </c>
      <c r="P140" s="452"/>
      <c r="Q140" s="452">
        <v>117000</v>
      </c>
      <c r="R140" s="452"/>
      <c r="S140" s="452">
        <v>89000</v>
      </c>
      <c r="T140" s="568">
        <v>352000</v>
      </c>
      <c r="U140" s="580">
        <v>140000</v>
      </c>
      <c r="V140" s="455">
        <v>194000</v>
      </c>
      <c r="W140" s="416">
        <v>50000</v>
      </c>
      <c r="X140" s="416">
        <v>50000</v>
      </c>
      <c r="Y140" s="415">
        <v>104000</v>
      </c>
      <c r="Z140" s="415">
        <v>134000</v>
      </c>
      <c r="AA140" s="421">
        <v>132000</v>
      </c>
      <c r="AB140" s="415"/>
      <c r="AC140" s="452">
        <v>68000</v>
      </c>
      <c r="AD140" s="522">
        <v>80000</v>
      </c>
      <c r="AE140" s="524">
        <v>142000</v>
      </c>
      <c r="AF140" s="452">
        <v>164000</v>
      </c>
      <c r="AG140" s="453"/>
      <c r="AH140" s="415"/>
      <c r="AI140" s="454">
        <v>80000</v>
      </c>
      <c r="AJ140" s="453">
        <v>132000</v>
      </c>
      <c r="AK140" s="415">
        <v>246000</v>
      </c>
      <c r="AL140" s="452">
        <v>72000</v>
      </c>
      <c r="AM140" s="454">
        <v>242000</v>
      </c>
      <c r="AN140" s="415">
        <v>208000</v>
      </c>
      <c r="AO140" s="626"/>
      <c r="AP140" s="454"/>
      <c r="AQ140" s="415">
        <v>90000</v>
      </c>
      <c r="AR140" s="455"/>
      <c r="AS140" s="417">
        <v>156000</v>
      </c>
      <c r="AT140" s="417">
        <v>172000</v>
      </c>
      <c r="AU140" s="417">
        <v>51100</v>
      </c>
      <c r="AV140" s="415">
        <v>87000</v>
      </c>
      <c r="AW140" s="415">
        <v>144000</v>
      </c>
      <c r="AX140" s="452">
        <v>102200</v>
      </c>
      <c r="AY140" s="417">
        <v>63000</v>
      </c>
      <c r="AZ140" s="607">
        <v>135000</v>
      </c>
      <c r="BA140" s="415"/>
      <c r="BB140" s="415"/>
      <c r="BC140" s="454"/>
      <c r="BD140" s="455">
        <v>360000</v>
      </c>
      <c r="BE140" s="415">
        <v>139000</v>
      </c>
      <c r="BF140" s="455">
        <v>117000</v>
      </c>
      <c r="BG140" s="417">
        <v>69500</v>
      </c>
      <c r="BH140" s="417"/>
      <c r="BI140" s="454">
        <v>376000</v>
      </c>
      <c r="BJ140" s="455">
        <v>43000</v>
      </c>
      <c r="BK140" s="415">
        <v>90000</v>
      </c>
      <c r="BL140" s="452">
        <v>105000</v>
      </c>
      <c r="BM140" s="682">
        <v>187000</v>
      </c>
      <c r="BN140" s="418">
        <v>58000</v>
      </c>
      <c r="BO140" s="418">
        <v>98000</v>
      </c>
      <c r="BP140" s="415"/>
      <c r="BQ140" s="454">
        <v>12000</v>
      </c>
      <c r="BR140" s="539" t="s">
        <v>66</v>
      </c>
      <c r="BS140" s="395">
        <v>10</v>
      </c>
    </row>
    <row r="141" spans="1:71" x14ac:dyDescent="0.2">
      <c r="A141" s="560" t="s">
        <v>88</v>
      </c>
      <c r="B141" s="456">
        <f>SUM(C141:BQ141)</f>
        <v>7907000</v>
      </c>
      <c r="C141" s="720">
        <v>150000</v>
      </c>
      <c r="D141" s="720">
        <f>(D126+D140)/2</f>
        <v>202000</v>
      </c>
      <c r="E141" s="720">
        <v>10000</v>
      </c>
      <c r="F141" s="720">
        <v>120000</v>
      </c>
      <c r="G141" s="720">
        <v>10000</v>
      </c>
      <c r="H141" s="720">
        <v>110000</v>
      </c>
      <c r="I141" s="722"/>
      <c r="J141" s="722"/>
      <c r="K141" s="722">
        <v>0</v>
      </c>
      <c r="L141" s="723">
        <v>100000</v>
      </c>
      <c r="M141" s="724">
        <v>100000</v>
      </c>
      <c r="N141" s="725">
        <v>130000</v>
      </c>
      <c r="O141" s="720">
        <v>240000</v>
      </c>
      <c r="P141" s="721">
        <v>100000</v>
      </c>
      <c r="Q141" s="721">
        <v>110000</v>
      </c>
      <c r="R141" s="721">
        <v>100000</v>
      </c>
      <c r="S141" s="726">
        <v>250000</v>
      </c>
      <c r="T141" s="726">
        <v>290000</v>
      </c>
      <c r="U141" s="727">
        <f>(T126+U140)/2</f>
        <v>184500</v>
      </c>
      <c r="V141" s="725">
        <f>(U126+V140)/2</f>
        <v>189000</v>
      </c>
      <c r="W141" s="720">
        <f>(V126+W140)/2</f>
        <v>31750</v>
      </c>
      <c r="X141" s="720">
        <f>(W126+X140)/2</f>
        <v>31750</v>
      </c>
      <c r="Y141" s="720">
        <f>(X126+Y140)/2</f>
        <v>147000</v>
      </c>
      <c r="Z141" s="720">
        <v>230000</v>
      </c>
      <c r="AA141" s="720">
        <v>150000</v>
      </c>
      <c r="AB141" s="720">
        <f>(AA126+AB140)/2</f>
        <v>0</v>
      </c>
      <c r="AC141" s="720">
        <v>100000</v>
      </c>
      <c r="AD141" s="720">
        <v>100000</v>
      </c>
      <c r="AE141" s="720">
        <f>(AD126+AE140)/2</f>
        <v>140000</v>
      </c>
      <c r="AF141" s="721">
        <v>200000</v>
      </c>
      <c r="AG141" s="728">
        <f>(AF126+AG140)/2</f>
        <v>0</v>
      </c>
      <c r="AH141" s="722">
        <f>(AG126+AH140)/2</f>
        <v>0</v>
      </c>
      <c r="AI141" s="724">
        <v>140000</v>
      </c>
      <c r="AJ141" s="728">
        <v>100000</v>
      </c>
      <c r="AK141" s="722">
        <v>220000</v>
      </c>
      <c r="AL141" s="729">
        <v>100000</v>
      </c>
      <c r="AM141" s="724">
        <v>220000</v>
      </c>
      <c r="AN141" s="720">
        <v>190000</v>
      </c>
      <c r="AO141" s="721">
        <f>(J126+AO140)/2</f>
        <v>0</v>
      </c>
      <c r="AP141" s="724">
        <v>450000</v>
      </c>
      <c r="AQ141" s="720">
        <v>100000</v>
      </c>
      <c r="AR141" s="720">
        <f>(AQ126+AR140)/2</f>
        <v>0</v>
      </c>
      <c r="AS141" s="720">
        <v>100000</v>
      </c>
      <c r="AT141" s="720">
        <v>160000</v>
      </c>
      <c r="AU141" s="720">
        <v>50000</v>
      </c>
      <c r="AV141" s="720">
        <v>110000</v>
      </c>
      <c r="AW141" s="720">
        <v>140000</v>
      </c>
      <c r="AX141" s="721">
        <v>80000</v>
      </c>
      <c r="AY141" s="720">
        <v>100000</v>
      </c>
      <c r="AZ141" s="725">
        <v>120000</v>
      </c>
      <c r="BA141" s="720">
        <v>100000</v>
      </c>
      <c r="BB141" s="720">
        <v>100000</v>
      </c>
      <c r="BC141" s="793">
        <v>50000</v>
      </c>
      <c r="BD141" s="733">
        <v>310000</v>
      </c>
      <c r="BE141" s="720">
        <f>(BJ126+BE140)/2</f>
        <v>111500</v>
      </c>
      <c r="BF141" s="733">
        <f>(BD126+BF140)/2</f>
        <v>141000</v>
      </c>
      <c r="BG141" s="722">
        <f>(BE126+BG140)/2</f>
        <v>55500</v>
      </c>
      <c r="BH141" s="722">
        <f>(BF126+BH140)/2</f>
        <v>32500</v>
      </c>
      <c r="BI141" s="724">
        <f>(BG126+BI140)/2</f>
        <v>320500</v>
      </c>
      <c r="BJ141" s="725">
        <v>100000</v>
      </c>
      <c r="BK141" s="720">
        <v>110000</v>
      </c>
      <c r="BL141" s="721">
        <v>100000</v>
      </c>
      <c r="BM141" s="730">
        <v>200000</v>
      </c>
      <c r="BN141" s="720">
        <v>120000</v>
      </c>
      <c r="BO141" s="720">
        <v>100000</v>
      </c>
      <c r="BP141" s="720">
        <f>(BP126+BP140)/2</f>
        <v>0</v>
      </c>
      <c r="BQ141" s="724">
        <v>50000</v>
      </c>
      <c r="BR141" s="539" t="s">
        <v>67</v>
      </c>
      <c r="BS141" s="395">
        <v>15</v>
      </c>
    </row>
    <row r="142" spans="1:71" x14ac:dyDescent="0.2">
      <c r="A142" s="561"/>
      <c r="B142" s="460"/>
      <c r="C142" s="492"/>
      <c r="D142" s="492"/>
      <c r="E142" s="835" t="s">
        <v>390</v>
      </c>
      <c r="F142" s="836"/>
      <c r="G142" s="835" t="s">
        <v>390</v>
      </c>
      <c r="H142" s="492"/>
      <c r="I142" s="502"/>
      <c r="J142" s="502"/>
      <c r="K142" s="502"/>
      <c r="L142" s="502"/>
      <c r="M142" s="636"/>
      <c r="N142" s="499"/>
      <c r="O142" s="492"/>
      <c r="P142" s="492"/>
      <c r="Q142" s="492"/>
      <c r="R142" s="492"/>
      <c r="S142" s="414"/>
      <c r="T142" s="586"/>
      <c r="U142" s="582"/>
      <c r="V142" s="492"/>
      <c r="W142" s="492"/>
      <c r="X142" s="492"/>
      <c r="Y142" s="509"/>
      <c r="Z142" s="492"/>
      <c r="AA142" s="492"/>
      <c r="AB142" s="509"/>
      <c r="AC142" s="492"/>
      <c r="AD142" s="500"/>
      <c r="AE142" s="500"/>
      <c r="AF142" s="500"/>
      <c r="AG142" s="506"/>
      <c r="AH142" s="492"/>
      <c r="AI142" s="501"/>
      <c r="AJ142" s="506"/>
      <c r="AK142" s="492"/>
      <c r="AL142" s="492"/>
      <c r="AM142" s="501"/>
      <c r="AN142" s="407"/>
      <c r="AO142" s="492"/>
      <c r="AP142" s="595"/>
      <c r="AQ142" s="613"/>
      <c r="AR142" s="492"/>
      <c r="AS142" s="492"/>
      <c r="AT142" s="507"/>
      <c r="AU142" s="492"/>
      <c r="AV142" s="492"/>
      <c r="AW142" s="507"/>
      <c r="AX142" s="492"/>
      <c r="AY142" s="651"/>
      <c r="AZ142" s="492"/>
      <c r="BA142" s="492"/>
      <c r="BB142" s="492"/>
      <c r="BC142" s="501"/>
      <c r="BD142" s="586"/>
      <c r="BE142" s="492"/>
      <c r="BF142" s="492"/>
      <c r="BG142" s="417"/>
      <c r="BH142" s="492"/>
      <c r="BI142" s="501"/>
      <c r="BJ142" s="502"/>
      <c r="BK142" s="492"/>
      <c r="BL142" s="507"/>
      <c r="BM142" s="684"/>
      <c r="BN142" s="492"/>
      <c r="BO142" s="492"/>
      <c r="BP142" s="500"/>
      <c r="BQ142" s="508"/>
      <c r="BR142" s="539" t="s">
        <v>89</v>
      </c>
      <c r="BS142" s="395">
        <v>1</v>
      </c>
    </row>
    <row r="143" spans="1:71" s="461" customFormat="1" ht="16.5" x14ac:dyDescent="0.2">
      <c r="A143" s="565" t="s">
        <v>367</v>
      </c>
      <c r="B143" s="530">
        <f>SUM(C143:BQ143)</f>
        <v>2274600</v>
      </c>
      <c r="C143" s="531">
        <f>福重!F393</f>
        <v>71500</v>
      </c>
      <c r="D143" s="531">
        <f>福重!Q393</f>
        <v>68000</v>
      </c>
      <c r="E143" s="531">
        <f>福重!AT393</f>
        <v>8000</v>
      </c>
      <c r="F143" s="531">
        <f>福重!AA393</f>
        <v>20000</v>
      </c>
      <c r="G143" s="531">
        <f>福重!AG393</f>
        <v>6000</v>
      </c>
      <c r="H143" s="531">
        <f>福重!AM393</f>
        <v>64000</v>
      </c>
      <c r="I143" s="531"/>
      <c r="J143" s="531"/>
      <c r="K143" s="531"/>
      <c r="L143" s="652">
        <f>唐津!E146</f>
        <v>25000</v>
      </c>
      <c r="M143" s="732">
        <f>唐津!K146</f>
        <v>46000</v>
      </c>
      <c r="N143" s="841">
        <f>飯塚!S152</f>
        <v>45000</v>
      </c>
      <c r="O143" s="531">
        <f>飯塚!H152</f>
        <v>52000</v>
      </c>
      <c r="P143" s="531">
        <f>飯塚!AB152</f>
        <v>28000</v>
      </c>
      <c r="Q143" s="652">
        <f>小倉!F137</f>
        <v>27000</v>
      </c>
      <c r="R143" s="652">
        <f>小倉!Q137</f>
        <v>24000</v>
      </c>
      <c r="S143" s="833"/>
      <c r="T143" s="842">
        <f>+黒崎!F125</f>
        <v>78000</v>
      </c>
      <c r="U143" s="843">
        <f>+黒崎!Q125</f>
        <v>57000</v>
      </c>
      <c r="V143" s="653">
        <f>+宗像!F17</f>
        <v>100000</v>
      </c>
      <c r="W143" s="531">
        <f>+宗像!Q17</f>
        <v>6500</v>
      </c>
      <c r="X143" s="531">
        <f>+宗像!AB17</f>
        <v>7000</v>
      </c>
      <c r="Y143" s="531">
        <f>+魚町!F17</f>
        <v>26000</v>
      </c>
      <c r="Z143" s="531">
        <f>+魚町!Q17</f>
        <v>29000</v>
      </c>
      <c r="AA143" s="531">
        <f>+鞍手!F17</f>
        <v>46000</v>
      </c>
      <c r="AB143" s="531"/>
      <c r="AC143" s="531">
        <f>+長府!F17</f>
        <v>14000</v>
      </c>
      <c r="AD143" s="531">
        <f>+宇部!F17</f>
        <v>6000</v>
      </c>
      <c r="AE143" s="833">
        <f>+宇部!Q17</f>
        <v>56000</v>
      </c>
      <c r="AF143" s="833">
        <f>+宇部!AB17</f>
        <v>10000</v>
      </c>
      <c r="AG143" s="654"/>
      <c r="AH143" s="532"/>
      <c r="AI143" s="533"/>
      <c r="AJ143" s="655">
        <v>45000</v>
      </c>
      <c r="AK143" s="532">
        <v>175000</v>
      </c>
      <c r="AL143" s="656">
        <f>佐賀!D50</f>
        <v>4000</v>
      </c>
      <c r="AM143" s="533">
        <f>佐賀!J50</f>
        <v>54000</v>
      </c>
      <c r="AN143" s="531">
        <f>那珂川!F152</f>
        <v>36000</v>
      </c>
      <c r="AO143" s="531"/>
      <c r="AP143" s="533">
        <f>中洲!D33</f>
        <v>346000</v>
      </c>
      <c r="AQ143" s="532">
        <v>53000</v>
      </c>
      <c r="AR143" s="532"/>
      <c r="AS143" s="532">
        <v>39000</v>
      </c>
      <c r="AT143" s="532">
        <v>116000</v>
      </c>
      <c r="AU143" s="532">
        <v>24600</v>
      </c>
      <c r="AV143" s="532">
        <v>104000</v>
      </c>
      <c r="AW143" s="532">
        <v>78000</v>
      </c>
      <c r="AX143" s="656">
        <v>38500</v>
      </c>
      <c r="AY143" s="532">
        <v>42000</v>
      </c>
      <c r="AZ143" s="665">
        <v>82000</v>
      </c>
      <c r="BA143" s="532">
        <v>20000</v>
      </c>
      <c r="BB143" s="532">
        <v>78000</v>
      </c>
      <c r="BC143" s="533">
        <v>19500</v>
      </c>
      <c r="BD143" s="792"/>
      <c r="BE143" s="532"/>
      <c r="BF143" s="532"/>
      <c r="BG143" s="532"/>
      <c r="BH143" s="532"/>
      <c r="BI143" s="533"/>
      <c r="BJ143" s="653"/>
      <c r="BK143" s="531"/>
      <c r="BL143" s="656"/>
      <c r="BM143" s="685"/>
      <c r="BN143" s="657"/>
      <c r="BO143" s="657"/>
      <c r="BP143" s="531"/>
      <c r="BQ143" s="658"/>
      <c r="BR143" s="539" t="s">
        <v>60</v>
      </c>
      <c r="BS143" s="411">
        <v>4</v>
      </c>
    </row>
    <row r="144" spans="1:71" s="461" customFormat="1" ht="16.5" x14ac:dyDescent="0.2">
      <c r="A144" s="562" t="s">
        <v>91</v>
      </c>
      <c r="B144" s="548">
        <f>B143/B141</f>
        <v>0.28766915391425318</v>
      </c>
      <c r="C144" s="549">
        <f>C143/C141</f>
        <v>0.47666666666666668</v>
      </c>
      <c r="D144" s="659">
        <f>D143/D141</f>
        <v>0.33663366336633666</v>
      </c>
      <c r="E144" s="659">
        <f>E143/E141</f>
        <v>0.8</v>
      </c>
      <c r="F144" s="659">
        <f>F143/F141</f>
        <v>0.16666666666666666</v>
      </c>
      <c r="G144" s="659">
        <f>G143/G141</f>
        <v>0.6</v>
      </c>
      <c r="H144" s="659">
        <f>H143/H141</f>
        <v>0.58181818181818179</v>
      </c>
      <c r="I144" s="549"/>
      <c r="J144" s="549"/>
      <c r="K144" s="659"/>
      <c r="L144" s="814">
        <f>L143/L141</f>
        <v>0.25</v>
      </c>
      <c r="M144" s="551">
        <f>M143/M141</f>
        <v>0.46</v>
      </c>
      <c r="N144" s="552">
        <f>N143/N141</f>
        <v>0.34615384615384615</v>
      </c>
      <c r="O144" s="550">
        <f>O143/O141</f>
        <v>0.21666666666666667</v>
      </c>
      <c r="P144" s="550">
        <f>P143/P141</f>
        <v>0.28000000000000003</v>
      </c>
      <c r="Q144" s="550">
        <f>Q143/Q141</f>
        <v>0.24545454545454545</v>
      </c>
      <c r="R144" s="550">
        <f>R143/R141</f>
        <v>0.24</v>
      </c>
      <c r="S144" s="659">
        <f>IFERROR(S143/S141,"-")</f>
        <v>0</v>
      </c>
      <c r="T144" s="570">
        <f>T143/T141</f>
        <v>0.26896551724137929</v>
      </c>
      <c r="U144" s="584">
        <f>U143/U141</f>
        <v>0.30894308943089432</v>
      </c>
      <c r="V144" s="552">
        <f>V143/V141</f>
        <v>0.52910052910052907</v>
      </c>
      <c r="W144" s="814">
        <f>W143/W141</f>
        <v>0.20472440944881889</v>
      </c>
      <c r="X144" s="814">
        <f>X143/X141</f>
        <v>0.22047244094488189</v>
      </c>
      <c r="Y144" s="814">
        <f>Y143/Y141</f>
        <v>0.17687074829931973</v>
      </c>
      <c r="Z144" s="814">
        <f>Z143/Z141</f>
        <v>0.12608695652173912</v>
      </c>
      <c r="AA144" s="814">
        <f>AA143/AA141</f>
        <v>0.30666666666666664</v>
      </c>
      <c r="AB144" s="814"/>
      <c r="AC144" s="814">
        <f>AC143/AC141</f>
        <v>0.14000000000000001</v>
      </c>
      <c r="AD144" s="814">
        <f>AD143/AD141</f>
        <v>0.06</v>
      </c>
      <c r="AE144" s="814">
        <f>AE143/AE141</f>
        <v>0.4</v>
      </c>
      <c r="AF144" s="550">
        <f>AF143/AF141</f>
        <v>0.05</v>
      </c>
      <c r="AG144" s="553"/>
      <c r="AH144" s="659"/>
      <c r="AI144" s="551">
        <f>IFERROR(AI143/AI141,"-")</f>
        <v>0</v>
      </c>
      <c r="AJ144" s="594">
        <f>IFERROR(AJ143/AJ141,"-")</f>
        <v>0.45</v>
      </c>
      <c r="AK144" s="820">
        <f>IFERROR(AK143/AK141,"-")</f>
        <v>0.79545454545454541</v>
      </c>
      <c r="AL144" s="820">
        <f>IFERROR(AL143/AL141,"-")</f>
        <v>0.04</v>
      </c>
      <c r="AM144" s="828">
        <f>IFERROR(AM143/AM141,"-")</f>
        <v>0.24545454545454545</v>
      </c>
      <c r="AN144" s="659">
        <f>AN143/AN141</f>
        <v>0.18947368421052632</v>
      </c>
      <c r="AO144" s="659"/>
      <c r="AP144" s="551">
        <f>IFERROR(AP143/AP141,"-")</f>
        <v>0.76888888888888884</v>
      </c>
      <c r="AQ144" s="549">
        <f>IFERROR(AQ143/AQ141,"-")</f>
        <v>0.53</v>
      </c>
      <c r="AR144" s="659"/>
      <c r="AS144" s="659">
        <f>IFERROR(AS143/AS141,"-")</f>
        <v>0.39</v>
      </c>
      <c r="AT144" s="659">
        <f>IFERROR(AT143/AT141,"-")</f>
        <v>0.72499999999999998</v>
      </c>
      <c r="AU144" s="659">
        <f>IFERROR(AU143/AU141,"-")</f>
        <v>0.49199999999999999</v>
      </c>
      <c r="AV144" s="659">
        <f>IFERROR(AV143/AV141,"-")</f>
        <v>0.94545454545454544</v>
      </c>
      <c r="AW144" s="659">
        <f>IFERROR(AW143/AW141,"-")</f>
        <v>0.55714285714285716</v>
      </c>
      <c r="AX144" s="814">
        <f>IFERROR(AX143/AX141,"-")</f>
        <v>0.48125000000000001</v>
      </c>
      <c r="AY144" s="659">
        <f>IFERROR(AY143/AY141,"-")</f>
        <v>0.42</v>
      </c>
      <c r="AZ144" s="821">
        <f>IFERROR(AZ143/AZ141,"-")</f>
        <v>0.68333333333333335</v>
      </c>
      <c r="BA144" s="659">
        <f>IFERROR(BA143/BA141,"-")</f>
        <v>0.2</v>
      </c>
      <c r="BB144" s="659">
        <f>IFERROR(BB143/BB141,"-")</f>
        <v>0.78</v>
      </c>
      <c r="BC144" s="551">
        <f>IFERROR(BC143/BC141,"-")</f>
        <v>0.39</v>
      </c>
      <c r="BD144" s="552">
        <f>IFERROR(BD143/BD141,"-")</f>
        <v>0</v>
      </c>
      <c r="BE144" s="659">
        <f>IFERROR(BE143/BE141,"-")</f>
        <v>0</v>
      </c>
      <c r="BF144" s="659">
        <f>IFERROR(BF143/BF141,"-")</f>
        <v>0</v>
      </c>
      <c r="BG144" s="659">
        <f>IFERROR(BG143/BG141,"-")</f>
        <v>0</v>
      </c>
      <c r="BH144" s="659">
        <f>IFERROR(BH143/BH141,"-")</f>
        <v>0</v>
      </c>
      <c r="BI144" s="551">
        <f>IFERROR(BI143/BI141,"-")</f>
        <v>0</v>
      </c>
      <c r="BJ144" s="554">
        <f>IFERROR(BJ143/BJ141,"-")</f>
        <v>0</v>
      </c>
      <c r="BK144" s="659">
        <f>IFERROR(BK143/BK141,"-")</f>
        <v>0</v>
      </c>
      <c r="BL144" s="814">
        <f>IFERROR(BL143/BL141,"-")</f>
        <v>0</v>
      </c>
      <c r="BM144" s="824">
        <f>IFERROR(BM143/BM141,"-")</f>
        <v>0</v>
      </c>
      <c r="BN144" s="659">
        <f>IFERROR(BN143/BN141,"-")</f>
        <v>0</v>
      </c>
      <c r="BO144" s="659">
        <f>IFERROR(BO143/BO141,"-")</f>
        <v>0</v>
      </c>
      <c r="BP144" s="659"/>
      <c r="BQ144" s="551">
        <f>IFERROR(BQ143/BQ141,"-")</f>
        <v>0</v>
      </c>
      <c r="BR144" s="536"/>
      <c r="BS144" s="461">
        <f>SUM(BS135:BS143)</f>
        <v>58</v>
      </c>
    </row>
    <row r="145" spans="1:71" ht="19.5" x14ac:dyDescent="0.2">
      <c r="A145" s="617">
        <f>B144</f>
        <v>0.28766915391425318</v>
      </c>
      <c r="B145" s="677">
        <f ca="1">SUM(C145:BQ145)</f>
        <v>5169545.454545456</v>
      </c>
      <c r="C145" s="524">
        <f ca="1">C143/$A$148</f>
        <v>162500</v>
      </c>
      <c r="D145" s="415">
        <f ca="1">D143/$A$148</f>
        <v>154545.45454545456</v>
      </c>
      <c r="E145" s="455">
        <f ca="1">E143/$A$148</f>
        <v>18181.81818181818</v>
      </c>
      <c r="F145" s="415">
        <f ca="1">F143/$A$148</f>
        <v>45454.545454545456</v>
      </c>
      <c r="G145" s="415">
        <f ca="1">G143/$A$148</f>
        <v>13636.363636363636</v>
      </c>
      <c r="H145" s="415">
        <f ca="1">H143/$A$148</f>
        <v>145454.54545454544</v>
      </c>
      <c r="I145" s="812"/>
      <c r="J145" s="812"/>
      <c r="K145" s="812"/>
      <c r="L145" s="415">
        <f ca="1">L143/$A$148</f>
        <v>56818.181818181816</v>
      </c>
      <c r="M145" s="813">
        <f ca="1">M143/$A$148</f>
        <v>104545.45454545454</v>
      </c>
      <c r="N145" s="673">
        <f ca="1">N143/$A$148</f>
        <v>102272.72727272728</v>
      </c>
      <c r="O145" s="415">
        <f ca="1">O143/$A$148</f>
        <v>118181.81818181818</v>
      </c>
      <c r="P145" s="415">
        <f ca="1">P143/$A$148</f>
        <v>63636.36363636364</v>
      </c>
      <c r="Q145" s="818">
        <f ca="1">Q143/$A$148</f>
        <v>61363.63636363636</v>
      </c>
      <c r="R145" s="832">
        <f ca="1">R143/$A$148</f>
        <v>54545.454545454544</v>
      </c>
      <c r="S145" s="415">
        <f ca="1">S143/$A$148</f>
        <v>0</v>
      </c>
      <c r="T145" s="818">
        <f ca="1">T143/$A$148</f>
        <v>177272.72727272726</v>
      </c>
      <c r="U145" s="580">
        <f ca="1">U143/$A$148</f>
        <v>129545.45454545454</v>
      </c>
      <c r="V145" s="524">
        <f ca="1">V143/$A$148</f>
        <v>227272.72727272726</v>
      </c>
      <c r="W145" s="415">
        <f ca="1">W143/$A$148</f>
        <v>14772.727272727272</v>
      </c>
      <c r="X145" s="415">
        <f ca="1">X143/$A$148</f>
        <v>15909.09090909091</v>
      </c>
      <c r="Y145" s="415">
        <f ca="1">Y143/$A$148</f>
        <v>59090.909090909088</v>
      </c>
      <c r="Z145" s="415">
        <f ca="1">Z143/$A$148</f>
        <v>65909.090909090912</v>
      </c>
      <c r="AA145" s="415">
        <f ca="1">AA143/$A$148</f>
        <v>104545.45454545454</v>
      </c>
      <c r="AB145" s="415">
        <f ca="1">AB143/$A$148</f>
        <v>0</v>
      </c>
      <c r="AC145" s="415">
        <f ca="1">AC143/$A$148</f>
        <v>31818.18181818182</v>
      </c>
      <c r="AD145" s="415">
        <f ca="1">AD143/$A$148</f>
        <v>13636.363636363636</v>
      </c>
      <c r="AE145" s="415">
        <f ca="1">AE143/$A$148</f>
        <v>127272.72727272728</v>
      </c>
      <c r="AF145" s="524">
        <f ca="1">AF143/$A$148</f>
        <v>22727.272727272728</v>
      </c>
      <c r="AG145" s="673">
        <f ca="1">AG143/$A$148</f>
        <v>0</v>
      </c>
      <c r="AH145" s="415">
        <f ca="1">AH143/$A$148</f>
        <v>0</v>
      </c>
      <c r="AI145" s="675">
        <f ca="1">AI143/$A$148</f>
        <v>0</v>
      </c>
      <c r="AJ145" s="673">
        <f ca="1">AJ143/$A$148</f>
        <v>102272.72727272728</v>
      </c>
      <c r="AK145" s="415">
        <f ca="1">AK143/$A$148</f>
        <v>397727.27272727271</v>
      </c>
      <c r="AL145" s="415">
        <f ca="1">AL143/$A$148</f>
        <v>9090.9090909090901</v>
      </c>
      <c r="AM145" s="454">
        <f ca="1">AM143/$A$148</f>
        <v>122727.27272727272</v>
      </c>
      <c r="AN145" s="415">
        <f ca="1">AN143/$A$148</f>
        <v>81818.181818181823</v>
      </c>
      <c r="AO145" s="415">
        <f ca="1">AO143/$A$148</f>
        <v>0</v>
      </c>
      <c r="AP145" s="794">
        <f ca="1">AP143/$A$148</f>
        <v>786363.63636363635</v>
      </c>
      <c r="AQ145" s="452">
        <f ca="1">AQ143/$A$148</f>
        <v>120454.54545454546</v>
      </c>
      <c r="AR145" s="415">
        <f ca="1">AR143/$A$148</f>
        <v>0</v>
      </c>
      <c r="AS145" s="415">
        <f ca="1">AS143/$A$148</f>
        <v>88636.363636363632</v>
      </c>
      <c r="AT145" s="415">
        <f ca="1">AT143/$A$148</f>
        <v>263636.36363636365</v>
      </c>
      <c r="AU145" s="415">
        <f ca="1">AU143/$A$148</f>
        <v>55909.090909090912</v>
      </c>
      <c r="AV145" s="415">
        <f ca="1">AV143/$A$148</f>
        <v>236363.63636363635</v>
      </c>
      <c r="AW145" s="415">
        <f ca="1">AW143/$A$148</f>
        <v>177272.72727272726</v>
      </c>
      <c r="AX145" s="415">
        <f ca="1">AX143/$A$148</f>
        <v>87500</v>
      </c>
      <c r="AY145" s="415">
        <f ca="1">AY143/$A$148</f>
        <v>95454.545454545456</v>
      </c>
      <c r="AZ145" s="415">
        <f ca="1">AZ143/$A$148</f>
        <v>186363.63636363635</v>
      </c>
      <c r="BA145" s="415">
        <f ca="1">BA143/$A$148</f>
        <v>45454.545454545456</v>
      </c>
      <c r="BB145" s="415">
        <f ca="1">BB143/$A$148</f>
        <v>177272.72727272726</v>
      </c>
      <c r="BC145" s="675">
        <f ca="1">BC143/$A$148</f>
        <v>44318.181818181816</v>
      </c>
      <c r="BD145" s="524">
        <f ca="1">BD143/$A$148</f>
        <v>0</v>
      </c>
      <c r="BE145" s="415">
        <f ca="1">BE143/$A$148</f>
        <v>0</v>
      </c>
      <c r="BF145" s="415">
        <f ca="1">BF143/$A$148</f>
        <v>0</v>
      </c>
      <c r="BG145" s="676">
        <f ca="1">BG143/$A$148</f>
        <v>0</v>
      </c>
      <c r="BH145" s="415">
        <f ca="1">BH143/$A$148</f>
        <v>0</v>
      </c>
      <c r="BI145" s="675">
        <f ca="1">BI143/$A$148</f>
        <v>0</v>
      </c>
      <c r="BJ145" s="524">
        <f ca="1">BJ143/$A$148</f>
        <v>0</v>
      </c>
      <c r="BK145" s="415">
        <f ca="1">BK143/$A$148</f>
        <v>0</v>
      </c>
      <c r="BL145" s="415">
        <f ca="1">BL143/$A$148</f>
        <v>0</v>
      </c>
      <c r="BM145" s="415">
        <f ca="1">BM143/$A$148</f>
        <v>0</v>
      </c>
      <c r="BN145" s="415">
        <f ca="1">BN143/$A$148</f>
        <v>0</v>
      </c>
      <c r="BO145" s="415">
        <f ca="1">BO143/$A$148</f>
        <v>0</v>
      </c>
      <c r="BP145" s="415">
        <f ca="1">BP143/$A$148</f>
        <v>0</v>
      </c>
      <c r="BQ145" s="675">
        <f ca="1">BQ143/$A$148</f>
        <v>0</v>
      </c>
      <c r="BR145" s="534"/>
    </row>
    <row r="146" spans="1:71" ht="16.5" x14ac:dyDescent="0.2">
      <c r="A146" s="593" t="s">
        <v>92</v>
      </c>
      <c r="B146" s="592">
        <f ca="1">B145/B141</f>
        <v>0.65379353162330289</v>
      </c>
      <c r="C146" s="558" t="s">
        <v>93</v>
      </c>
      <c r="D146" s="834" t="s">
        <v>94</v>
      </c>
      <c r="E146" s="815">
        <f>B143/B135</f>
        <v>39905.26315789474</v>
      </c>
      <c r="F146" s="706" t="s">
        <v>95</v>
      </c>
      <c r="G146" s="816" t="s">
        <v>96</v>
      </c>
      <c r="H146" s="817"/>
      <c r="I146" s="429"/>
      <c r="J146" s="429"/>
      <c r="K146" s="706" t="s">
        <v>97</v>
      </c>
      <c r="L146" s="479">
        <f>SUM(C141:M141)</f>
        <v>802000</v>
      </c>
      <c r="M146" s="467"/>
      <c r="N146" s="410"/>
      <c r="O146" s="819"/>
      <c r="P146" s="429"/>
      <c r="R146" s="706"/>
      <c r="S146" s="706" t="s">
        <v>97</v>
      </c>
      <c r="T146" s="479">
        <f>SUM(N141:U141)</f>
        <v>1404500</v>
      </c>
      <c r="U146" s="589"/>
      <c r="W146" s="429"/>
      <c r="X146" s="819"/>
      <c r="Y146" s="819"/>
      <c r="Z146" s="819"/>
      <c r="AA146" s="819"/>
      <c r="AB146" s="819"/>
      <c r="AC146" s="429"/>
      <c r="AD146" s="706" t="s">
        <v>97</v>
      </c>
      <c r="AE146" s="479">
        <f>SUM(V141:AF141)</f>
        <v>1319500</v>
      </c>
      <c r="AF146" s="419"/>
      <c r="AG146" s="468" t="s">
        <v>97</v>
      </c>
      <c r="AH146" s="479">
        <f>SUM(AG141:AI141)</f>
        <v>140000</v>
      </c>
      <c r="AI146" s="467"/>
      <c r="AJ146" s="405"/>
      <c r="AK146" s="706" t="s">
        <v>97</v>
      </c>
      <c r="AL146" s="479">
        <f>SUM(AJ141:AM141)</f>
        <v>640000</v>
      </c>
      <c r="AM146" s="475"/>
      <c r="AN146" s="405" t="s">
        <v>97</v>
      </c>
      <c r="AO146" s="419">
        <f>SUM(AN141:AP141)</f>
        <v>640000</v>
      </c>
      <c r="AP146" s="475"/>
      <c r="AQ146" s="614"/>
      <c r="AR146" s="429"/>
      <c r="AS146" s="822"/>
      <c r="AT146" s="823" t="s">
        <v>98</v>
      </c>
      <c r="AU146" s="819"/>
      <c r="AV146" s="429"/>
      <c r="AW146" s="429"/>
      <c r="AX146" s="429"/>
      <c r="AY146" s="429"/>
      <c r="AZ146" s="823" t="s">
        <v>98</v>
      </c>
      <c r="BA146" s="706" t="s">
        <v>97</v>
      </c>
      <c r="BB146" s="479">
        <f>SUM(AQ141:BC141)</f>
        <v>1210000</v>
      </c>
      <c r="BC146" s="475"/>
      <c r="BE146" s="429"/>
      <c r="BF146" s="429"/>
      <c r="BG146" s="706" t="s">
        <v>97</v>
      </c>
      <c r="BH146" s="479">
        <f>SUM(BD141:BI141)</f>
        <v>971000</v>
      </c>
      <c r="BJ146" s="471"/>
      <c r="BK146" s="429"/>
      <c r="BL146" s="819"/>
      <c r="BM146" s="429"/>
      <c r="BN146" s="429"/>
      <c r="BO146" s="706" t="s">
        <v>97</v>
      </c>
      <c r="BP146" s="479">
        <f>SUM(BJ141:BQ141)</f>
        <v>780000</v>
      </c>
      <c r="BQ146" s="475"/>
      <c r="BR146" s="535"/>
      <c r="BS146" s="404"/>
    </row>
    <row r="147" spans="1:71" ht="16.5" x14ac:dyDescent="0.2">
      <c r="A147" s="564" t="s">
        <v>99</v>
      </c>
      <c r="B147" s="504" t="s">
        <v>100</v>
      </c>
      <c r="C147" s="435">
        <v>46158</v>
      </c>
      <c r="D147" s="394" t="s">
        <v>101</v>
      </c>
      <c r="E147" s="398">
        <v>38000000</v>
      </c>
      <c r="F147" s="505">
        <f>B143</f>
        <v>2274600</v>
      </c>
      <c r="G147" s="398">
        <f>E147-B143</f>
        <v>35725400</v>
      </c>
      <c r="H147" s="399"/>
      <c r="K147" s="405" t="s">
        <v>102</v>
      </c>
      <c r="L147" s="419">
        <f>SUM(C143:M143)</f>
        <v>308500</v>
      </c>
      <c r="M147" s="476">
        <f>L147/L146</f>
        <v>0.38466334164588528</v>
      </c>
      <c r="N147" s="410"/>
      <c r="O147" s="410"/>
      <c r="R147" s="405"/>
      <c r="S147" s="405" t="s">
        <v>102</v>
      </c>
      <c r="T147" s="419">
        <f>SUM(N143:U143)</f>
        <v>311000</v>
      </c>
      <c r="U147" s="590">
        <f>T147/T146</f>
        <v>0.22143111427554291</v>
      </c>
      <c r="X147" s="410"/>
      <c r="Y147" s="410"/>
      <c r="Z147" s="410"/>
      <c r="AA147" s="410"/>
      <c r="AB147" s="410"/>
      <c r="AD147" s="405" t="s">
        <v>102</v>
      </c>
      <c r="AE147" s="419">
        <f>SUM(V143:AF143)</f>
        <v>300500</v>
      </c>
      <c r="AF147" s="480">
        <f>AE147/AE146</f>
        <v>0.22773777946191739</v>
      </c>
      <c r="AG147" s="478" t="s">
        <v>102</v>
      </c>
      <c r="AH147" s="419">
        <f>SUM(AG143:AI143)</f>
        <v>0</v>
      </c>
      <c r="AI147" s="476">
        <f>AH147/AH146</f>
        <v>0</v>
      </c>
      <c r="AJ147" s="405"/>
      <c r="AK147" s="405" t="s">
        <v>102</v>
      </c>
      <c r="AL147" s="419">
        <f>SUM(AJ143:AM143)</f>
        <v>278000</v>
      </c>
      <c r="AM147" s="476">
        <f>AL147/AL146</f>
        <v>0.43437500000000001</v>
      </c>
      <c r="AN147" s="405" t="s">
        <v>102</v>
      </c>
      <c r="AO147" s="419">
        <f>SUM(AN143:AP143)</f>
        <v>382000</v>
      </c>
      <c r="AP147" s="476">
        <f>AO147/AO146</f>
        <v>0.59687500000000004</v>
      </c>
      <c r="AQ147" s="615"/>
      <c r="AS147" s="404"/>
      <c r="AT147" s="404"/>
      <c r="AU147" s="410"/>
      <c r="BA147" s="405" t="s">
        <v>102</v>
      </c>
      <c r="BB147" s="419">
        <f>SUM(AQ143:BC143)</f>
        <v>694600</v>
      </c>
      <c r="BC147" s="476">
        <f>BB147/BB146</f>
        <v>0.57404958677685947</v>
      </c>
      <c r="BD147" s="477"/>
      <c r="BF147" s="477"/>
      <c r="BG147" s="405" t="s">
        <v>102</v>
      </c>
      <c r="BH147" s="419">
        <f>SUM(BD143:BI143)</f>
        <v>0</v>
      </c>
      <c r="BI147" s="480">
        <f>BH147/BH146</f>
        <v>0</v>
      </c>
      <c r="BJ147" s="481"/>
      <c r="BM147" s="408"/>
      <c r="BO147" s="405" t="s">
        <v>102</v>
      </c>
      <c r="BP147" s="419">
        <f>SUM(BJ143:BQ143)</f>
        <v>0</v>
      </c>
      <c r="BQ147" s="476">
        <f>BP147/BP146</f>
        <v>0</v>
      </c>
      <c r="BR147" s="535"/>
    </row>
    <row r="148" spans="1:71" ht="22.5" x14ac:dyDescent="0.2">
      <c r="A148" s="668" cm="1">
        <f t="array" aca="1" ref="A148" ca="1">SUMPRODUCT((ROW(INDIRECT(C147 &amp; ":" &amp; TODAY()-1)) &gt;= C147) * IF(WEEKDAY(ROW(INDIRECT(C147 &amp; ":" &amp; TODAY()-1 )),2) &lt;= 5, 0.02, 0.07))</f>
        <v>0.44</v>
      </c>
      <c r="B148" s="669">
        <f ca="1">TODAY() - C147</f>
        <v>12</v>
      </c>
      <c r="K148" s="407" t="s">
        <v>364</v>
      </c>
      <c r="L148" s="839">
        <f ca="1">SUM(C145:M145)</f>
        <v>701136.36363636365</v>
      </c>
      <c r="M148" s="476">
        <f ca="1">L148/L146</f>
        <v>0.87423486737701206</v>
      </c>
      <c r="N148" s="429"/>
      <c r="R148" s="407"/>
      <c r="S148" s="407" t="s">
        <v>364</v>
      </c>
      <c r="T148" s="839">
        <f ca="1">SUM(N145:U145)</f>
        <v>706818.18181818188</v>
      </c>
      <c r="U148" s="476">
        <f ca="1">T148/T146</f>
        <v>0.5032525324444157</v>
      </c>
      <c r="V148" s="429"/>
      <c r="AD148" s="407" t="s">
        <v>364</v>
      </c>
      <c r="AE148" s="839">
        <f ca="1">SUM(V145:AF145)</f>
        <v>682954.54545454541</v>
      </c>
      <c r="AF148" s="476">
        <f ca="1">AE148/AE146</f>
        <v>0.51758586241344862</v>
      </c>
      <c r="AG148" s="840" t="s">
        <v>364</v>
      </c>
      <c r="AH148" s="839">
        <f ca="1">SUM(AI145)</f>
        <v>0</v>
      </c>
      <c r="AI148" s="476">
        <f ca="1">AH148/AH146</f>
        <v>0</v>
      </c>
      <c r="AJ148" s="429"/>
      <c r="AK148" s="407" t="s">
        <v>364</v>
      </c>
      <c r="AL148" s="839">
        <f ca="1">SUM(AJ145:AM145)</f>
        <v>631818.18181818188</v>
      </c>
      <c r="AM148" s="476">
        <f ca="1">AL148/AL146</f>
        <v>0.98721590909090917</v>
      </c>
      <c r="AN148" s="840" t="s">
        <v>364</v>
      </c>
      <c r="AO148" s="839">
        <f ca="1">SUM(AN145:AP145)</f>
        <v>868181.81818181812</v>
      </c>
      <c r="AP148" s="476">
        <f ca="1">AO148/AO146</f>
        <v>1.3565340909090908</v>
      </c>
      <c r="AQ148" s="429"/>
      <c r="BA148" s="407" t="s">
        <v>364</v>
      </c>
      <c r="BB148" s="839">
        <f ca="1">SUM(AQ145:BC145)</f>
        <v>1578636.3636363638</v>
      </c>
      <c r="BC148" s="476">
        <f ca="1">BB148/BB146</f>
        <v>1.30465815176559</v>
      </c>
      <c r="BD148" s="429"/>
      <c r="BG148" s="407" t="s">
        <v>364</v>
      </c>
      <c r="BH148" s="839">
        <f ca="1">SUM(BD145:BI145)</f>
        <v>0</v>
      </c>
      <c r="BI148" s="476">
        <f ca="1">BH148/BH146</f>
        <v>0</v>
      </c>
      <c r="BJ148" s="429"/>
      <c r="BM148" s="408"/>
      <c r="BO148" s="407" t="s">
        <v>364</v>
      </c>
      <c r="BP148" s="839">
        <f ca="1">SUM(BJ145:BQ145)</f>
        <v>0</v>
      </c>
      <c r="BQ148" s="476">
        <f ca="1">BP148/BP146</f>
        <v>0</v>
      </c>
      <c r="BR148" s="429"/>
    </row>
    <row r="149" spans="1:71" x14ac:dyDescent="0.2">
      <c r="M149" s="429"/>
      <c r="U149" s="429"/>
      <c r="AF149" s="429"/>
      <c r="AI149" s="429"/>
      <c r="AM149" s="429"/>
      <c r="AP149" s="429"/>
      <c r="BC149" s="429"/>
      <c r="BI149" s="429"/>
      <c r="BQ149" s="429"/>
    </row>
  </sheetData>
  <phoneticPr fontId="35"/>
  <conditionalFormatting sqref="C13:BO13">
    <cfRule type="colorScale" priority="198">
      <colorScale>
        <cfvo type="min"/>
        <cfvo type="percent" val="20"/>
        <cfvo type="percent" val="30"/>
        <color rgb="FFC00000"/>
        <color rgb="FFFFEB84"/>
        <color rgb="FF0070C0"/>
      </colorScale>
    </cfRule>
  </conditionalFormatting>
  <conditionalFormatting sqref="C29:BO29">
    <cfRule type="colorScale" priority="17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45:BO45">
    <cfRule type="colorScale" priority="205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61:BQ61">
    <cfRule type="colorScale" priority="207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77:BQ77">
    <cfRule type="colorScale" priority="9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93:BQ93">
    <cfRule type="colorScale" priority="6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110:BQ110">
    <cfRule type="colorScale" priority="3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127:BQ127">
    <cfRule type="colorScale" priority="2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C144:BQ144">
    <cfRule type="colorScale" priority="210">
      <colorScale>
        <cfvo type="min"/>
        <cfvo type="percent" val="20"/>
        <cfvo type="percent" val="50"/>
        <color rgb="FFC00000"/>
        <color rgb="FFFFEB84"/>
        <color rgb="FF0070C0"/>
      </colorScale>
    </cfRule>
  </conditionalFormatting>
  <conditionalFormatting sqref="AF14:AH14">
    <cfRule type="colorScale" priority="33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AF30:AH30">
    <cfRule type="colorScale" priority="22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AF46:AH46">
    <cfRule type="colorScale" priority="15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AF62:AH62">
    <cfRule type="colorScale" priority="12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AF78:AH78">
    <cfRule type="colorScale" priority="7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AR14:AS14 BB14">
    <cfRule type="colorScale" priority="187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AR30:AS30 BB30">
    <cfRule type="colorScale" priority="24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BA46:BB46 AL46:AM46">
    <cfRule type="colorScale" priority="206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BC62:BD62 AO62">
    <cfRule type="colorScale" priority="202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conditionalFormatting sqref="BC78:BD78 AO78">
    <cfRule type="colorScale" priority="8">
      <colorScale>
        <cfvo type="min"/>
        <cfvo type="percent" val="35"/>
        <cfvo type="percent" val="50"/>
        <color rgb="FFC00000"/>
        <color rgb="FFFFEB84"/>
        <color rgb="FF0070C0"/>
      </colorScale>
    </cfRule>
  </conditionalFormatting>
  <pageMargins left="0.69930555555555596" right="0.69930555555555596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">
    <pageSetUpPr fitToPage="1"/>
  </sheetPr>
  <dimension ref="B1:AY395"/>
  <sheetViews>
    <sheetView topLeftCell="M1" zoomScale="80" zoomScaleNormal="80" workbookViewId="0">
      <pane ySplit="1" topLeftCell="M315" activePane="bottomLeft" state="frozen"/>
      <selection activeCell="AQ1" sqref="AQ1"/>
      <selection pane="bottomLeft" activeCell="O329" sqref="O329"/>
    </sheetView>
  </sheetViews>
  <sheetFormatPr defaultColWidth="14.390625" defaultRowHeight="15" customHeight="1" x14ac:dyDescent="0.2"/>
  <cols>
    <col min="1" max="1" width="2.28515625" style="235" customWidth="1"/>
    <col min="2" max="2" width="13.31640625" style="235" bestFit="1" customWidth="1"/>
    <col min="3" max="3" width="13.85546875" style="235" customWidth="1"/>
    <col min="4" max="4" width="11.56640625" style="235" customWidth="1"/>
    <col min="5" max="5" width="11.296875" style="235" customWidth="1"/>
    <col min="6" max="6" width="13.5859375" style="235" bestFit="1" customWidth="1"/>
    <col min="7" max="7" width="9.81640625" style="235" hidden="1" customWidth="1"/>
    <col min="8" max="8" width="13.5859375" style="235" hidden="1" customWidth="1"/>
    <col min="9" max="10" width="14.796875" style="235" hidden="1" customWidth="1"/>
    <col min="11" max="11" width="14.52734375" style="316" bestFit="1" customWidth="1"/>
    <col min="12" max="12" width="2.41796875" style="235" customWidth="1"/>
    <col min="13" max="13" width="13.71875" style="235" bestFit="1" customWidth="1"/>
    <col min="14" max="14" width="13.44921875" style="235" hidden="1" customWidth="1"/>
    <col min="15" max="15" width="10.76171875" style="235" customWidth="1"/>
    <col min="16" max="16" width="8.7421875" style="235" bestFit="1" customWidth="1"/>
    <col min="17" max="17" width="11.43359375" style="235" bestFit="1" customWidth="1"/>
    <col min="18" max="18" width="8.47265625" style="235" hidden="1" customWidth="1"/>
    <col min="19" max="19" width="13.5859375" style="235" hidden="1" customWidth="1"/>
    <col min="20" max="20" width="14.796875" style="235" hidden="1" customWidth="1"/>
    <col min="21" max="21" width="16.8125" style="235" hidden="1" customWidth="1"/>
    <col min="22" max="22" width="15.73828125" style="235" customWidth="1"/>
    <col min="23" max="23" width="3.359375" style="235" customWidth="1"/>
    <col min="24" max="24" width="15.87109375" style="235" bestFit="1" customWidth="1"/>
    <col min="25" max="26" width="10.76171875" style="235" bestFit="1" customWidth="1"/>
    <col min="27" max="27" width="11.703125" style="235" bestFit="1" customWidth="1"/>
    <col min="28" max="28" width="14.390625" style="235" customWidth="1"/>
    <col min="29" max="29" width="4.03515625" style="235" customWidth="1"/>
    <col min="30" max="30" width="15.87109375" style="235" bestFit="1" customWidth="1"/>
    <col min="31" max="31" width="11.43359375" style="235" bestFit="1" customWidth="1"/>
    <col min="32" max="32" width="10.76171875" style="235" bestFit="1" customWidth="1"/>
    <col min="33" max="33" width="11.703125" style="235" bestFit="1" customWidth="1"/>
    <col min="34" max="34" width="13.046875" style="235" bestFit="1" customWidth="1"/>
    <col min="35" max="35" width="2.6875" style="235" customWidth="1"/>
    <col min="36" max="36" width="15.87109375" style="235" bestFit="1" customWidth="1"/>
    <col min="37" max="37" width="10.76171875" style="235" bestFit="1" customWidth="1"/>
    <col min="38" max="38" width="8.7421875" style="235" bestFit="1" customWidth="1"/>
    <col min="39" max="39" width="11.703125" style="235" bestFit="1" customWidth="1"/>
    <col min="40" max="40" width="24.6171875" style="235" bestFit="1" customWidth="1"/>
    <col min="41" max="41" width="2.5546875" style="235" customWidth="1"/>
    <col min="42" max="42" width="15.87109375" style="235" customWidth="1"/>
    <col min="43" max="43" width="2.6875" style="235" hidden="1" customWidth="1"/>
    <col min="44" max="44" width="10.76171875" style="235" customWidth="1"/>
    <col min="45" max="45" width="11.97265625" style="235" bestFit="1" customWidth="1"/>
    <col min="46" max="46" width="13.5859375" style="235" bestFit="1" customWidth="1"/>
    <col min="47" max="47" width="8.47265625" style="235" hidden="1" customWidth="1"/>
    <col min="48" max="48" width="13.5859375" style="235" hidden="1" customWidth="1"/>
    <col min="49" max="49" width="13.046875" style="235" hidden="1" customWidth="1"/>
    <col min="50" max="50" width="14.796875" style="235" hidden="1" customWidth="1"/>
    <col min="51" max="51" width="14.390625" style="235" customWidth="1"/>
    <col min="52" max="52" width="14.390625" style="235" bestFit="1" customWidth="1"/>
    <col min="53" max="16384" width="14.390625" style="235"/>
  </cols>
  <sheetData>
    <row r="1" spans="2:51" ht="18" customHeight="1" x14ac:dyDescent="0.25">
      <c r="B1" s="332" t="s">
        <v>108</v>
      </c>
      <c r="C1" s="319"/>
      <c r="D1" s="319"/>
      <c r="E1" s="319"/>
      <c r="F1" s="319"/>
      <c r="G1" s="319"/>
      <c r="H1" s="319"/>
      <c r="I1" s="319"/>
      <c r="J1" s="320"/>
      <c r="K1" s="321"/>
      <c r="L1" s="319"/>
      <c r="M1" s="332" t="s">
        <v>109</v>
      </c>
      <c r="N1" s="319"/>
      <c r="O1" s="319"/>
      <c r="P1" s="319"/>
      <c r="Q1" s="319"/>
      <c r="R1" s="319"/>
      <c r="S1" s="319"/>
      <c r="T1" s="319"/>
      <c r="U1" s="320"/>
      <c r="V1" s="319"/>
      <c r="X1" s="844" t="s">
        <v>111</v>
      </c>
      <c r="Y1" s="844"/>
      <c r="Z1" s="319"/>
      <c r="AA1" s="319"/>
      <c r="AB1" s="319"/>
      <c r="AD1" s="844" t="s">
        <v>112</v>
      </c>
      <c r="AE1" s="844"/>
      <c r="AF1" s="319"/>
      <c r="AG1" s="319"/>
      <c r="AH1" s="319"/>
      <c r="AJ1" s="844" t="s">
        <v>113</v>
      </c>
      <c r="AK1" s="844"/>
      <c r="AL1" s="319"/>
      <c r="AM1" s="319"/>
      <c r="AN1" s="319"/>
      <c r="AP1" s="844" t="s">
        <v>110</v>
      </c>
      <c r="AQ1" s="844"/>
      <c r="AR1" s="844"/>
      <c r="AS1" s="319"/>
      <c r="AT1" s="319"/>
      <c r="AU1" s="319"/>
      <c r="AV1" s="319"/>
      <c r="AW1" s="319"/>
      <c r="AX1" s="320"/>
      <c r="AY1" s="319"/>
    </row>
    <row r="2" spans="2:51" ht="15" customHeight="1" x14ac:dyDescent="0.2">
      <c r="B2" s="325" t="s">
        <v>114</v>
      </c>
      <c r="C2" s="516"/>
      <c r="D2" s="325" t="s">
        <v>115</v>
      </c>
      <c r="E2" s="325" t="s">
        <v>116</v>
      </c>
      <c r="F2" s="325" t="s">
        <v>117</v>
      </c>
      <c r="G2" s="325"/>
      <c r="H2" s="325"/>
      <c r="I2" s="325"/>
      <c r="J2" s="325"/>
      <c r="K2" s="326" t="s">
        <v>118</v>
      </c>
      <c r="L2" s="319"/>
      <c r="M2" s="325" t="s">
        <v>114</v>
      </c>
      <c r="N2" s="325"/>
      <c r="O2" s="325" t="s">
        <v>115</v>
      </c>
      <c r="P2" s="325" t="s">
        <v>116</v>
      </c>
      <c r="Q2" s="325" t="s">
        <v>117</v>
      </c>
      <c r="R2" s="325"/>
      <c r="S2" s="325"/>
      <c r="T2" s="325"/>
      <c r="U2" s="325"/>
      <c r="V2" s="325" t="s">
        <v>119</v>
      </c>
      <c r="X2" s="325" t="s">
        <v>114</v>
      </c>
      <c r="Y2" s="325" t="s">
        <v>115</v>
      </c>
      <c r="Z2" s="325" t="s">
        <v>116</v>
      </c>
      <c r="AA2" s="325" t="s">
        <v>117</v>
      </c>
      <c r="AB2" s="325" t="s">
        <v>119</v>
      </c>
      <c r="AD2" s="325" t="s">
        <v>114</v>
      </c>
      <c r="AE2" s="325" t="s">
        <v>115</v>
      </c>
      <c r="AF2" s="325" t="s">
        <v>116</v>
      </c>
      <c r="AG2" s="325" t="s">
        <v>117</v>
      </c>
      <c r="AH2" s="325" t="s">
        <v>119</v>
      </c>
      <c r="AJ2" s="325" t="s">
        <v>114</v>
      </c>
      <c r="AK2" s="325" t="s">
        <v>115</v>
      </c>
      <c r="AL2" s="325" t="s">
        <v>116</v>
      </c>
      <c r="AM2" s="325" t="s">
        <v>117</v>
      </c>
      <c r="AN2" s="325" t="s">
        <v>119</v>
      </c>
      <c r="AP2" s="325" t="s">
        <v>114</v>
      </c>
      <c r="AQ2" s="325"/>
      <c r="AR2" s="325" t="s">
        <v>115</v>
      </c>
      <c r="AS2" s="325" t="s">
        <v>116</v>
      </c>
      <c r="AT2" s="325" t="s">
        <v>117</v>
      </c>
      <c r="AU2" s="325"/>
      <c r="AV2" s="325"/>
      <c r="AW2" s="325"/>
      <c r="AX2" s="325"/>
      <c r="AY2" s="325" t="s">
        <v>119</v>
      </c>
    </row>
    <row r="3" spans="2:51" ht="15" customHeight="1" x14ac:dyDescent="0.25">
      <c r="B3" s="515">
        <v>45919</v>
      </c>
      <c r="C3" s="518">
        <v>56000</v>
      </c>
      <c r="D3" s="327">
        <v>13942</v>
      </c>
      <c r="E3" s="327">
        <v>10</v>
      </c>
      <c r="F3" s="328">
        <v>1000</v>
      </c>
      <c r="G3" s="328"/>
      <c r="H3" s="328"/>
      <c r="I3" s="329"/>
      <c r="J3" s="329"/>
      <c r="K3" s="330" t="s">
        <v>120</v>
      </c>
      <c r="L3" s="323"/>
      <c r="M3" s="333">
        <v>45919</v>
      </c>
      <c r="N3" s="327"/>
      <c r="O3" s="327">
        <v>2302</v>
      </c>
      <c r="P3" s="327">
        <v>8</v>
      </c>
      <c r="Q3" s="328">
        <v>8000</v>
      </c>
      <c r="R3" s="328"/>
      <c r="S3" s="328"/>
      <c r="T3" s="329"/>
      <c r="U3" s="329"/>
      <c r="V3" s="331"/>
      <c r="X3" s="333">
        <v>45919</v>
      </c>
      <c r="Y3" s="327">
        <v>7137</v>
      </c>
      <c r="Z3" s="327">
        <v>8</v>
      </c>
      <c r="AA3" s="328">
        <v>8000</v>
      </c>
      <c r="AB3" s="331"/>
      <c r="AD3" s="333">
        <v>45919</v>
      </c>
      <c r="AE3" s="327">
        <v>4731</v>
      </c>
      <c r="AF3" s="327">
        <v>6</v>
      </c>
      <c r="AG3" s="328">
        <v>6000</v>
      </c>
      <c r="AH3" s="331"/>
      <c r="AJ3" s="333">
        <v>45919</v>
      </c>
      <c r="AK3" s="327">
        <v>6927</v>
      </c>
      <c r="AL3" s="327">
        <v>10</v>
      </c>
      <c r="AM3" s="328">
        <v>10000</v>
      </c>
      <c r="AN3" s="331"/>
      <c r="AP3" s="333">
        <v>45919</v>
      </c>
      <c r="AQ3" s="327"/>
      <c r="AR3" s="327">
        <v>8311</v>
      </c>
      <c r="AS3" s="327">
        <v>14</v>
      </c>
      <c r="AT3" s="328">
        <v>14000</v>
      </c>
      <c r="AU3" s="328"/>
      <c r="AV3" s="328"/>
      <c r="AW3" s="329"/>
      <c r="AX3" s="329"/>
      <c r="AY3" s="331"/>
    </row>
    <row r="4" spans="2:51" ht="15" customHeight="1" x14ac:dyDescent="0.25">
      <c r="B4" s="515"/>
      <c r="C4" s="517"/>
      <c r="D4" s="327">
        <v>4602</v>
      </c>
      <c r="E4" s="327">
        <v>90</v>
      </c>
      <c r="F4" s="328">
        <v>9000</v>
      </c>
      <c r="G4" s="328"/>
      <c r="H4" s="328"/>
      <c r="I4" s="329"/>
      <c r="J4" s="329"/>
      <c r="K4" s="330"/>
      <c r="L4" s="323"/>
      <c r="M4" s="333"/>
      <c r="N4" s="327"/>
      <c r="O4" s="327"/>
      <c r="P4" s="327"/>
      <c r="Q4" s="328"/>
      <c r="R4" s="328"/>
      <c r="S4" s="328"/>
      <c r="T4" s="329"/>
      <c r="U4" s="329"/>
      <c r="V4" s="331"/>
      <c r="X4" s="333"/>
      <c r="Y4" s="327"/>
      <c r="Z4" s="327"/>
      <c r="AA4" s="328"/>
      <c r="AB4" s="331"/>
      <c r="AD4" s="333"/>
      <c r="AE4" s="327"/>
      <c r="AF4" s="327"/>
      <c r="AG4" s="328"/>
      <c r="AH4" s="331"/>
      <c r="AJ4" s="333"/>
      <c r="AK4" s="327"/>
      <c r="AL4" s="327"/>
      <c r="AM4" s="328"/>
      <c r="AN4" s="331"/>
      <c r="AP4" s="333"/>
      <c r="AQ4" s="327"/>
      <c r="AR4" s="327"/>
      <c r="AS4" s="327"/>
      <c r="AT4" s="328"/>
      <c r="AU4" s="328"/>
      <c r="AV4" s="328"/>
      <c r="AW4" s="329"/>
      <c r="AX4" s="329"/>
      <c r="AY4" s="331"/>
    </row>
    <row r="5" spans="2:51" ht="15" customHeight="1" x14ac:dyDescent="0.25">
      <c r="B5" s="333">
        <v>45922</v>
      </c>
      <c r="C5" s="336">
        <f>SUM(IF(F5="",0,F5), IF(F6="",0,F6), IF(Q5="",0,Q5), IF(AT5="",0,AT5), IF(AA5="",0,AA5), IF(AG5="",0,AG5), IF(AM5="",0,AM5))</f>
        <v>93500</v>
      </c>
      <c r="D5" s="327">
        <v>14107</v>
      </c>
      <c r="E5" s="327">
        <f t="shared" ref="E5:E36" si="0">IF(D5="","",D5-D3)</f>
        <v>165</v>
      </c>
      <c r="F5" s="328">
        <f t="shared" ref="F5:F40" si="1">IF(D5="","",E5*100)</f>
        <v>16500</v>
      </c>
      <c r="G5" s="328"/>
      <c r="H5" s="328"/>
      <c r="I5" s="329"/>
      <c r="J5" s="329"/>
      <c r="K5" s="330"/>
      <c r="L5" s="323"/>
      <c r="M5" s="333">
        <f>IF(B5="","",B5)</f>
        <v>45922</v>
      </c>
      <c r="N5" s="327"/>
      <c r="O5" s="327">
        <v>2320</v>
      </c>
      <c r="P5" s="327">
        <f>IF(O5="","",O5-O3)</f>
        <v>18</v>
      </c>
      <c r="Q5" s="328">
        <f>IF(O5="","",P5*1000)</f>
        <v>18000</v>
      </c>
      <c r="R5" s="328"/>
      <c r="S5" s="328"/>
      <c r="T5" s="329"/>
      <c r="U5" s="329"/>
      <c r="V5" s="331"/>
      <c r="X5" s="333">
        <f>IF(AP5="","",AP5)</f>
        <v>45922</v>
      </c>
      <c r="Y5" s="327">
        <v>7142</v>
      </c>
      <c r="Z5" s="327">
        <f>IF(Y5="","",Y5-Y3)</f>
        <v>5</v>
      </c>
      <c r="AA5" s="328">
        <f>IF(Y5="","",Z5*1000)</f>
        <v>5000</v>
      </c>
      <c r="AB5" s="331"/>
      <c r="AD5" s="333">
        <f>IF(AP5="","",AP5)</f>
        <v>45922</v>
      </c>
      <c r="AE5" s="327">
        <v>4739</v>
      </c>
      <c r="AF5" s="327">
        <f>IF(AE5="","",AE5-AE3)</f>
        <v>8</v>
      </c>
      <c r="AG5" s="328">
        <f>IF(AE5="","",AF5*1000)</f>
        <v>8000</v>
      </c>
      <c r="AH5" s="331"/>
      <c r="AJ5" s="333">
        <f>IF(AD5="","",AD5)</f>
        <v>45922</v>
      </c>
      <c r="AK5" s="327">
        <v>6959</v>
      </c>
      <c r="AL5" s="327">
        <f>IF(AK5="","",AK5-AK3)</f>
        <v>32</v>
      </c>
      <c r="AM5" s="328">
        <f>IF(AK5="","",AL5*1000)</f>
        <v>32000</v>
      </c>
      <c r="AN5" s="331"/>
      <c r="AP5" s="333">
        <f>IF(M5="","",M5)</f>
        <v>45922</v>
      </c>
      <c r="AQ5" s="327"/>
      <c r="AR5" s="327">
        <v>8319</v>
      </c>
      <c r="AS5" s="327">
        <f>IF(AR5="","",AR5-AR3)</f>
        <v>8</v>
      </c>
      <c r="AT5" s="328">
        <f>IF(AR5="","",AS5*1000)</f>
        <v>8000</v>
      </c>
      <c r="AU5" s="328"/>
      <c r="AV5" s="328"/>
      <c r="AW5" s="329"/>
      <c r="AX5" s="329"/>
      <c r="AY5" s="331"/>
    </row>
    <row r="6" spans="2:51" ht="15" customHeight="1" x14ac:dyDescent="0.25">
      <c r="B6" s="335"/>
      <c r="C6" s="327"/>
      <c r="D6" s="327">
        <v>4662</v>
      </c>
      <c r="E6" s="327">
        <f t="shared" si="0"/>
        <v>60</v>
      </c>
      <c r="F6" s="328">
        <f t="shared" si="1"/>
        <v>6000</v>
      </c>
      <c r="G6" s="328"/>
      <c r="H6" s="328"/>
      <c r="I6" s="329"/>
      <c r="J6" s="329"/>
      <c r="K6" s="330"/>
      <c r="L6" s="323"/>
      <c r="M6" s="333"/>
      <c r="N6" s="327"/>
      <c r="O6" s="327"/>
      <c r="P6" s="327" t="str">
        <f>IF(O6="","",O6-O4)</f>
        <v/>
      </c>
      <c r="Q6" s="328"/>
      <c r="R6" s="328"/>
      <c r="S6" s="328"/>
      <c r="T6" s="329"/>
      <c r="U6" s="329"/>
      <c r="V6" s="331"/>
      <c r="X6" s="333"/>
      <c r="Y6" s="327"/>
      <c r="Z6" s="327" t="str">
        <f>IF(Y6="","",Y6-Y4)</f>
        <v/>
      </c>
      <c r="AA6" s="328"/>
      <c r="AB6" s="331"/>
      <c r="AD6" s="333"/>
      <c r="AE6" s="327"/>
      <c r="AF6" s="327" t="str">
        <f>IF(AE6="","",AE6-AE4)</f>
        <v/>
      </c>
      <c r="AG6" s="328"/>
      <c r="AH6" s="331"/>
      <c r="AJ6" s="333"/>
      <c r="AK6" s="327"/>
      <c r="AL6" s="327" t="str">
        <f>IF(AK6="","",AK6-AK4)</f>
        <v/>
      </c>
      <c r="AM6" s="328"/>
      <c r="AN6" s="331"/>
      <c r="AP6" s="333"/>
      <c r="AQ6" s="327"/>
      <c r="AR6" s="327"/>
      <c r="AS6" s="327" t="str">
        <f>IF(AR6="","",AR6-AR4)</f>
        <v/>
      </c>
      <c r="AT6" s="328"/>
      <c r="AU6" s="328"/>
      <c r="AV6" s="328"/>
      <c r="AW6" s="329"/>
      <c r="AX6" s="329"/>
      <c r="AY6" s="331"/>
    </row>
    <row r="7" spans="2:51" ht="15" customHeight="1" x14ac:dyDescent="0.25">
      <c r="B7" s="333">
        <v>45926</v>
      </c>
      <c r="C7" s="336">
        <f>SUM(IF(F7="",0,F7), IF(F8="",0,F8), IF(Q7="",0,Q7), IF(AT7="",0,AT7), IF(AA7="",0,AA7), IF(AG7="",0,AG7), IF(AM7="",0,AM7))</f>
        <v>113500</v>
      </c>
      <c r="D7" s="327">
        <v>14387</v>
      </c>
      <c r="E7" s="327">
        <f t="shared" si="0"/>
        <v>280</v>
      </c>
      <c r="F7" s="328">
        <f t="shared" si="1"/>
        <v>28000</v>
      </c>
      <c r="G7" s="328"/>
      <c r="H7" s="328"/>
      <c r="I7" s="329"/>
      <c r="J7" s="329"/>
      <c r="K7" s="330"/>
      <c r="L7" s="319"/>
      <c r="M7" s="333">
        <f t="shared" ref="M7:M17" si="2">IF(B7="","",B7)</f>
        <v>45926</v>
      </c>
      <c r="N7" s="327"/>
      <c r="O7" s="327">
        <v>2336</v>
      </c>
      <c r="P7" s="327">
        <f>IF(O7="","",O7-O5)</f>
        <v>16</v>
      </c>
      <c r="Q7" s="328">
        <f t="shared" ref="Q7:Q17" si="3">IF(O7="","",P7*1000)</f>
        <v>16000</v>
      </c>
      <c r="R7" s="328"/>
      <c r="S7" s="328"/>
      <c r="T7" s="329"/>
      <c r="U7" s="329"/>
      <c r="V7" s="331"/>
      <c r="X7" s="333">
        <f>IF(AP7="","",AP7)</f>
        <v>45926</v>
      </c>
      <c r="Y7" s="327">
        <v>7152</v>
      </c>
      <c r="Z7" s="327">
        <f>IF(Y7="","",Y7-Y5)</f>
        <v>10</v>
      </c>
      <c r="AA7" s="328">
        <f t="shared" ref="AA7:AA17" si="4">IF(Y7="","",Z7*1000)</f>
        <v>10000</v>
      </c>
      <c r="AB7" s="331"/>
      <c r="AD7" s="333">
        <f t="shared" ref="AD7:AD17" si="5">IF(X7="","",X7)</f>
        <v>45926</v>
      </c>
      <c r="AE7" s="327">
        <v>4747</v>
      </c>
      <c r="AF7" s="327">
        <f>IF(AE7="","",AE7-AE5)</f>
        <v>8</v>
      </c>
      <c r="AG7" s="328">
        <f t="shared" ref="AG7:AG17" si="6">IF(AE7="","",AF7*1000)</f>
        <v>8000</v>
      </c>
      <c r="AH7" s="331"/>
      <c r="AJ7" s="333">
        <f t="shared" ref="AJ7:AJ17" si="7">IF(AD7="","",AD7)</f>
        <v>45926</v>
      </c>
      <c r="AK7" s="327">
        <v>6981</v>
      </c>
      <c r="AL7" s="327">
        <f>IF(AK7="","",AK7-AK5)</f>
        <v>22</v>
      </c>
      <c r="AM7" s="328">
        <f t="shared" ref="AM7:AM17" si="8">IF(AK7="","",AL7*1000)</f>
        <v>22000</v>
      </c>
      <c r="AN7" s="331"/>
      <c r="AP7" s="333">
        <f>IF(M7="","",M7)</f>
        <v>45926</v>
      </c>
      <c r="AQ7" s="327"/>
      <c r="AR7" s="327">
        <v>8327</v>
      </c>
      <c r="AS7" s="327">
        <f>IF(AR7="","",AR7-AR5)</f>
        <v>8</v>
      </c>
      <c r="AT7" s="328">
        <f t="shared" ref="AT7:AT17" si="9">IF(AR7="","",AS7*1000)</f>
        <v>8000</v>
      </c>
      <c r="AU7" s="328"/>
      <c r="AV7" s="328"/>
      <c r="AW7" s="329"/>
      <c r="AX7" s="329"/>
      <c r="AY7" s="331"/>
    </row>
    <row r="8" spans="2:51" ht="15" customHeight="1" x14ac:dyDescent="0.25">
      <c r="B8" s="333"/>
      <c r="C8" s="327"/>
      <c r="D8" s="327">
        <v>4877</v>
      </c>
      <c r="E8" s="327">
        <f t="shared" si="0"/>
        <v>215</v>
      </c>
      <c r="F8" s="328">
        <f t="shared" si="1"/>
        <v>21500</v>
      </c>
      <c r="G8" s="328"/>
      <c r="H8" s="328"/>
      <c r="I8" s="329"/>
      <c r="J8" s="329"/>
      <c r="K8" s="330" t="s">
        <v>121</v>
      </c>
      <c r="L8" s="319"/>
      <c r="M8" s="333" t="str">
        <f t="shared" si="2"/>
        <v/>
      </c>
      <c r="N8" s="327"/>
      <c r="O8" s="327"/>
      <c r="P8" s="327" t="str">
        <f>IF(O8="","",O8-O7)</f>
        <v/>
      </c>
      <c r="Q8" s="328" t="str">
        <f t="shared" si="3"/>
        <v/>
      </c>
      <c r="R8" s="328"/>
      <c r="S8" s="328"/>
      <c r="T8" s="329"/>
      <c r="U8" s="329"/>
      <c r="V8" s="331"/>
      <c r="X8" s="333" t="str">
        <f>IF(AP8="","",AP8)</f>
        <v/>
      </c>
      <c r="Y8" s="327"/>
      <c r="Z8" s="327" t="str">
        <f>IF(Y8="","",Y8-Y7)</f>
        <v/>
      </c>
      <c r="AA8" s="328" t="str">
        <f t="shared" si="4"/>
        <v/>
      </c>
      <c r="AB8" s="331"/>
      <c r="AD8" s="333" t="str">
        <f t="shared" si="5"/>
        <v/>
      </c>
      <c r="AE8" s="327"/>
      <c r="AF8" s="327" t="str">
        <f>IF(AE8="","",AE8-AE7)</f>
        <v/>
      </c>
      <c r="AG8" s="328" t="str">
        <f t="shared" si="6"/>
        <v/>
      </c>
      <c r="AH8" s="331"/>
      <c r="AJ8" s="333" t="str">
        <f t="shared" si="7"/>
        <v/>
      </c>
      <c r="AK8" s="327"/>
      <c r="AL8" s="327" t="str">
        <f>IF(AK8="","",AK8-AK7)</f>
        <v/>
      </c>
      <c r="AM8" s="328" t="str">
        <f t="shared" si="8"/>
        <v/>
      </c>
      <c r="AN8" s="331"/>
      <c r="AP8" s="333" t="str">
        <f>IF(M8="","",M8)</f>
        <v/>
      </c>
      <c r="AQ8" s="327"/>
      <c r="AR8" s="327"/>
      <c r="AS8" s="327" t="str">
        <f>IF(AR8="","",AR8-AR7)</f>
        <v/>
      </c>
      <c r="AT8" s="328" t="str">
        <f t="shared" si="9"/>
        <v/>
      </c>
      <c r="AU8" s="328"/>
      <c r="AV8" s="328"/>
      <c r="AW8" s="329"/>
      <c r="AX8" s="329"/>
      <c r="AY8" s="331"/>
    </row>
    <row r="9" spans="2:51" ht="15" customHeight="1" x14ac:dyDescent="0.25">
      <c r="B9" s="333">
        <v>45930</v>
      </c>
      <c r="C9" s="336">
        <f>SUM(IF(F9="",0,F9), IF(F10="",0,F10), IF(Q9="",0,Q9), IF(AT9="",0,AT9), IF(AA9="",0,AA9), IF(AG9="",0,AG9), IF(AM9="",0,AM9))</f>
        <v>54000</v>
      </c>
      <c r="D9" s="327">
        <v>14427</v>
      </c>
      <c r="E9" s="327">
        <f t="shared" si="0"/>
        <v>40</v>
      </c>
      <c r="F9" s="328">
        <f t="shared" si="1"/>
        <v>4000</v>
      </c>
      <c r="G9" s="328"/>
      <c r="H9" s="328"/>
      <c r="I9" s="329"/>
      <c r="J9" s="329"/>
      <c r="K9" s="330" t="s">
        <v>122</v>
      </c>
      <c r="L9" s="319"/>
      <c r="M9" s="333">
        <f t="shared" si="2"/>
        <v>45930</v>
      </c>
      <c r="N9" s="327"/>
      <c r="O9" s="327">
        <v>2354</v>
      </c>
      <c r="P9" s="327">
        <f>IF(O9="","",O9-O7)</f>
        <v>18</v>
      </c>
      <c r="Q9" s="328">
        <f t="shared" si="3"/>
        <v>18000</v>
      </c>
      <c r="R9" s="328"/>
      <c r="S9" s="328"/>
      <c r="T9" s="329"/>
      <c r="U9" s="329"/>
      <c r="V9" s="330"/>
      <c r="X9" s="333">
        <f>IF(AP9="","",AP9)</f>
        <v>45930</v>
      </c>
      <c r="Y9" s="327">
        <v>7158</v>
      </c>
      <c r="Z9" s="327">
        <f>IF(Y9="","",Y9-Y7)</f>
        <v>6</v>
      </c>
      <c r="AA9" s="328">
        <f t="shared" si="4"/>
        <v>6000</v>
      </c>
      <c r="AB9" s="330"/>
      <c r="AD9" s="333">
        <f t="shared" si="5"/>
        <v>45930</v>
      </c>
      <c r="AE9" s="327">
        <v>4757</v>
      </c>
      <c r="AF9" s="327">
        <f>IF(AE9="","",AE9-AE7)</f>
        <v>10</v>
      </c>
      <c r="AG9" s="328">
        <f t="shared" si="6"/>
        <v>10000</v>
      </c>
      <c r="AH9" s="331"/>
      <c r="AJ9" s="333">
        <f t="shared" si="7"/>
        <v>45930</v>
      </c>
      <c r="AK9" s="327">
        <v>6991</v>
      </c>
      <c r="AL9" s="327">
        <f>IF(AK9="","",AK9-AK7)</f>
        <v>10</v>
      </c>
      <c r="AM9" s="328">
        <f t="shared" si="8"/>
        <v>10000</v>
      </c>
      <c r="AN9" s="330"/>
      <c r="AP9" s="333">
        <f>IF(M9="","",M9)</f>
        <v>45930</v>
      </c>
      <c r="AQ9" s="327"/>
      <c r="AR9" s="327">
        <v>8333</v>
      </c>
      <c r="AS9" s="327">
        <f>IF(AR9="","",AR9-AR7)</f>
        <v>6</v>
      </c>
      <c r="AT9" s="328">
        <f t="shared" si="9"/>
        <v>6000</v>
      </c>
      <c r="AU9" s="328"/>
      <c r="AV9" s="328"/>
      <c r="AW9" s="329"/>
      <c r="AX9" s="329"/>
      <c r="AY9" s="331"/>
    </row>
    <row r="10" spans="2:51" ht="15" customHeight="1" x14ac:dyDescent="0.25">
      <c r="B10" s="333"/>
      <c r="C10" s="327"/>
      <c r="D10" s="327">
        <v>4877</v>
      </c>
      <c r="E10" s="327">
        <f t="shared" si="0"/>
        <v>0</v>
      </c>
      <c r="F10" s="328">
        <f t="shared" si="1"/>
        <v>0</v>
      </c>
      <c r="G10" s="328"/>
      <c r="H10" s="328"/>
      <c r="I10" s="329"/>
      <c r="J10" s="329"/>
      <c r="K10" s="330" t="s">
        <v>123</v>
      </c>
      <c r="L10" s="323"/>
      <c r="M10" s="333" t="str">
        <f t="shared" si="2"/>
        <v/>
      </c>
      <c r="N10" s="327"/>
      <c r="O10" s="327"/>
      <c r="P10" s="327" t="str">
        <f>IF(O10="","",O10-O9)</f>
        <v/>
      </c>
      <c r="Q10" s="328" t="str">
        <f t="shared" si="3"/>
        <v/>
      </c>
      <c r="R10" s="328"/>
      <c r="S10" s="328"/>
      <c r="T10" s="329"/>
      <c r="U10" s="329"/>
      <c r="V10" s="331"/>
      <c r="X10" s="333" t="str">
        <f>IF(AP10="","",AP10)</f>
        <v/>
      </c>
      <c r="Y10" s="327"/>
      <c r="Z10" s="327" t="str">
        <f>IF(Y10="","",Y10-Y9)</f>
        <v/>
      </c>
      <c r="AA10" s="328" t="str">
        <f t="shared" si="4"/>
        <v/>
      </c>
      <c r="AB10" s="331"/>
      <c r="AD10" s="333" t="str">
        <f t="shared" si="5"/>
        <v/>
      </c>
      <c r="AE10" s="327"/>
      <c r="AF10" s="327" t="str">
        <f>IF(AE10="","",AE10-AE9)</f>
        <v/>
      </c>
      <c r="AG10" s="328" t="str">
        <f t="shared" si="6"/>
        <v/>
      </c>
      <c r="AH10" s="331"/>
      <c r="AJ10" s="333" t="str">
        <f t="shared" si="7"/>
        <v/>
      </c>
      <c r="AK10" s="327"/>
      <c r="AL10" s="327" t="str">
        <f>IF(AK10="","",AK10-AK9)</f>
        <v/>
      </c>
      <c r="AM10" s="328" t="str">
        <f t="shared" si="8"/>
        <v/>
      </c>
      <c r="AN10" s="331"/>
      <c r="AP10" s="333" t="str">
        <f>IF(M10="","",M10)</f>
        <v/>
      </c>
      <c r="AQ10" s="327"/>
      <c r="AR10" s="327"/>
      <c r="AS10" s="327" t="str">
        <f>IF(AR10="","",AR10-AR9)</f>
        <v/>
      </c>
      <c r="AT10" s="328" t="str">
        <f t="shared" si="9"/>
        <v/>
      </c>
      <c r="AU10" s="328"/>
      <c r="AV10" s="328"/>
      <c r="AW10" s="329"/>
      <c r="AX10" s="329"/>
      <c r="AY10" s="331"/>
    </row>
    <row r="11" spans="2:51" ht="15" customHeight="1" x14ac:dyDescent="0.25">
      <c r="B11" s="333">
        <v>45933</v>
      </c>
      <c r="C11" s="336">
        <f>SUM(IF(F11="",0,F11), IF(F12="",0,F12), IF(Q11="",0,Q11), IF(AT11="",0,AT11), IF(AA11="",0,AA11), IF(AG11="",0,AG11), IF(AM11="",0,AM11))</f>
        <v>37000</v>
      </c>
      <c r="D11" s="327">
        <v>14507</v>
      </c>
      <c r="E11" s="327">
        <f t="shared" si="0"/>
        <v>80</v>
      </c>
      <c r="F11" s="328">
        <f t="shared" si="1"/>
        <v>8000</v>
      </c>
      <c r="G11" s="328"/>
      <c r="H11" s="328"/>
      <c r="I11" s="329"/>
      <c r="J11" s="329"/>
      <c r="K11" s="330"/>
      <c r="L11" s="324"/>
      <c r="M11" s="333">
        <f t="shared" si="2"/>
        <v>45933</v>
      </c>
      <c r="N11" s="327"/>
      <c r="O11" s="327">
        <v>2364</v>
      </c>
      <c r="P11" s="327">
        <f>IF(O11="","",O11-O9)</f>
        <v>10</v>
      </c>
      <c r="Q11" s="328">
        <f t="shared" si="3"/>
        <v>10000</v>
      </c>
      <c r="R11" s="328"/>
      <c r="S11" s="328"/>
      <c r="T11" s="329"/>
      <c r="U11" s="329"/>
      <c r="V11" s="331"/>
      <c r="X11" s="333">
        <f>IF(AP11="","",AP11)</f>
        <v>45933</v>
      </c>
      <c r="Y11" s="327">
        <v>7165</v>
      </c>
      <c r="Z11" s="327">
        <f>IF(Y11="","",Y11-Y9)</f>
        <v>7</v>
      </c>
      <c r="AA11" s="328">
        <f t="shared" si="4"/>
        <v>7000</v>
      </c>
      <c r="AB11" s="331"/>
      <c r="AD11" s="333">
        <f t="shared" si="5"/>
        <v>45933</v>
      </c>
      <c r="AE11" s="327">
        <v>4757</v>
      </c>
      <c r="AF11" s="327">
        <f>IF(AE11="","",AE11-AE9)</f>
        <v>0</v>
      </c>
      <c r="AG11" s="328">
        <f t="shared" si="6"/>
        <v>0</v>
      </c>
      <c r="AH11" s="331"/>
      <c r="AJ11" s="333">
        <f t="shared" si="7"/>
        <v>45933</v>
      </c>
      <c r="AK11" s="327">
        <v>7001</v>
      </c>
      <c r="AL11" s="327">
        <f>IF(AK11="","",AK11-AK9)</f>
        <v>10</v>
      </c>
      <c r="AM11" s="328">
        <f t="shared" si="8"/>
        <v>10000</v>
      </c>
      <c r="AN11" s="331"/>
      <c r="AP11" s="333">
        <f>IF(M11="","",M11)</f>
        <v>45933</v>
      </c>
      <c r="AQ11" s="327"/>
      <c r="AR11" s="327">
        <v>8333</v>
      </c>
      <c r="AS11" s="327">
        <f>IF(AR11="","",AR11-AR9)</f>
        <v>0</v>
      </c>
      <c r="AT11" s="328">
        <f t="shared" si="9"/>
        <v>0</v>
      </c>
      <c r="AU11" s="328"/>
      <c r="AV11" s="328"/>
      <c r="AW11" s="329"/>
      <c r="AX11" s="329"/>
      <c r="AY11" s="331"/>
    </row>
    <row r="12" spans="2:51" ht="15" customHeight="1" x14ac:dyDescent="0.25">
      <c r="B12" s="333"/>
      <c r="C12" s="327"/>
      <c r="D12" s="327">
        <v>4897</v>
      </c>
      <c r="E12" s="327">
        <f t="shared" si="0"/>
        <v>20</v>
      </c>
      <c r="F12" s="328">
        <f t="shared" si="1"/>
        <v>2000</v>
      </c>
      <c r="G12" s="328"/>
      <c r="H12" s="328"/>
      <c r="I12" s="329"/>
      <c r="J12" s="329"/>
      <c r="K12" s="330"/>
      <c r="L12" s="323"/>
      <c r="M12" s="333" t="str">
        <f t="shared" si="2"/>
        <v/>
      </c>
      <c r="N12" s="327"/>
      <c r="O12" s="327"/>
      <c r="P12" s="327" t="str">
        <f>IF(O12="","",O12-O11)</f>
        <v/>
      </c>
      <c r="Q12" s="328" t="str">
        <f t="shared" si="3"/>
        <v/>
      </c>
      <c r="R12" s="328"/>
      <c r="S12" s="328"/>
      <c r="T12" s="329"/>
      <c r="U12" s="329"/>
      <c r="V12" s="331"/>
      <c r="X12" s="333" t="str">
        <f>IF(AP12="","",AP12)</f>
        <v/>
      </c>
      <c r="Y12" s="327"/>
      <c r="Z12" s="327" t="str">
        <f>IF(Y12="","",Y12-Y11)</f>
        <v/>
      </c>
      <c r="AA12" s="328" t="str">
        <f t="shared" si="4"/>
        <v/>
      </c>
      <c r="AB12" s="331"/>
      <c r="AD12" s="333" t="str">
        <f t="shared" si="5"/>
        <v/>
      </c>
      <c r="AE12" s="327"/>
      <c r="AF12" s="327" t="str">
        <f>IF(AE12="","",AE12-AE11)</f>
        <v/>
      </c>
      <c r="AG12" s="328" t="str">
        <f t="shared" si="6"/>
        <v/>
      </c>
      <c r="AH12" s="331"/>
      <c r="AJ12" s="333" t="str">
        <f t="shared" si="7"/>
        <v/>
      </c>
      <c r="AK12" s="327"/>
      <c r="AL12" s="327" t="str">
        <f>IF(AK12="","",AK12-AK11)</f>
        <v/>
      </c>
      <c r="AM12" s="328" t="str">
        <f t="shared" si="8"/>
        <v/>
      </c>
      <c r="AN12" s="331"/>
      <c r="AP12" s="333" t="str">
        <f>IF(M12="","",M12)</f>
        <v/>
      </c>
      <c r="AQ12" s="327"/>
      <c r="AR12" s="327"/>
      <c r="AS12" s="327" t="str">
        <f>IF(AR12="","",AR12-AR11)</f>
        <v/>
      </c>
      <c r="AT12" s="328" t="str">
        <f t="shared" si="9"/>
        <v/>
      </c>
      <c r="AU12" s="328"/>
      <c r="AV12" s="328"/>
      <c r="AW12" s="329"/>
      <c r="AX12" s="329"/>
      <c r="AY12" s="331"/>
    </row>
    <row r="13" spans="2:51" ht="15" customHeight="1" x14ac:dyDescent="0.25">
      <c r="B13" s="333">
        <v>45935</v>
      </c>
      <c r="C13" s="336">
        <f>SUM(IF(F13="",0,F13), IF(F14="",0,F14), IF(Q13="",0,Q13), IF(AT13="",0,AT13), IF(AA13="",0,AA13), IF(AG13="",0,AG13), IF(AM13="",0,AM13))</f>
        <v>54500</v>
      </c>
      <c r="D13" s="327">
        <v>14617</v>
      </c>
      <c r="E13" s="327">
        <f t="shared" si="0"/>
        <v>110</v>
      </c>
      <c r="F13" s="328">
        <f t="shared" si="1"/>
        <v>11000</v>
      </c>
      <c r="G13" s="328"/>
      <c r="H13" s="328"/>
      <c r="I13" s="329"/>
      <c r="J13" s="329"/>
      <c r="K13" s="330"/>
      <c r="L13" s="323"/>
      <c r="M13" s="333">
        <f t="shared" si="2"/>
        <v>45935</v>
      </c>
      <c r="N13" s="327"/>
      <c r="O13" s="327">
        <v>2368</v>
      </c>
      <c r="P13" s="327">
        <f>IF(O13="","",O13-O11)</f>
        <v>4</v>
      </c>
      <c r="Q13" s="328">
        <f t="shared" si="3"/>
        <v>4000</v>
      </c>
      <c r="R13" s="328"/>
      <c r="S13" s="328"/>
      <c r="T13" s="329"/>
      <c r="U13" s="329"/>
      <c r="V13" s="331"/>
      <c r="X13" s="333">
        <f>IF(AP13="","",AP13)</f>
        <v>45935</v>
      </c>
      <c r="Y13" s="327">
        <v>7183</v>
      </c>
      <c r="Z13" s="327">
        <f>IF(Y13="","",Y13-Y11)</f>
        <v>18</v>
      </c>
      <c r="AA13" s="328">
        <f t="shared" si="4"/>
        <v>18000</v>
      </c>
      <c r="AB13" s="331"/>
      <c r="AD13" s="333">
        <f t="shared" si="5"/>
        <v>45935</v>
      </c>
      <c r="AE13" s="327">
        <v>4765</v>
      </c>
      <c r="AF13" s="327">
        <f>IF(AE13="","",AE13-AE11)</f>
        <v>8</v>
      </c>
      <c r="AG13" s="328">
        <f t="shared" si="6"/>
        <v>8000</v>
      </c>
      <c r="AH13" s="391"/>
      <c r="AJ13" s="333">
        <f t="shared" si="7"/>
        <v>45935</v>
      </c>
      <c r="AK13" s="327">
        <v>7007</v>
      </c>
      <c r="AL13" s="327">
        <f>IF(AK13="","",AK13-AK11)</f>
        <v>6</v>
      </c>
      <c r="AM13" s="328">
        <f t="shared" si="8"/>
        <v>6000</v>
      </c>
      <c r="AN13" s="331"/>
      <c r="AP13" s="333">
        <f>IF(M13="","",M13)</f>
        <v>45935</v>
      </c>
      <c r="AQ13" s="327"/>
      <c r="AR13" s="327">
        <v>8337</v>
      </c>
      <c r="AS13" s="327">
        <f>IF(AR13="","",AR13-AR11)</f>
        <v>4</v>
      </c>
      <c r="AT13" s="328">
        <f t="shared" si="9"/>
        <v>4000</v>
      </c>
      <c r="AU13" s="328"/>
      <c r="AV13" s="328"/>
      <c r="AW13" s="329"/>
      <c r="AX13" s="329"/>
      <c r="AY13" s="331"/>
    </row>
    <row r="14" spans="2:51" ht="15" customHeight="1" x14ac:dyDescent="0.25">
      <c r="B14" s="333"/>
      <c r="C14" s="327"/>
      <c r="D14" s="327">
        <v>4932</v>
      </c>
      <c r="E14" s="327">
        <f t="shared" si="0"/>
        <v>35</v>
      </c>
      <c r="F14" s="328">
        <f t="shared" si="1"/>
        <v>3500</v>
      </c>
      <c r="G14" s="328"/>
      <c r="H14" s="328"/>
      <c r="I14" s="329"/>
      <c r="J14" s="329"/>
      <c r="K14" s="330"/>
      <c r="L14" s="323"/>
      <c r="M14" s="333" t="str">
        <f t="shared" si="2"/>
        <v/>
      </c>
      <c r="N14" s="327"/>
      <c r="O14" s="327"/>
      <c r="P14" s="327" t="str">
        <f>IF(O14="","",O14-O13)</f>
        <v/>
      </c>
      <c r="Q14" s="328" t="str">
        <f t="shared" si="3"/>
        <v/>
      </c>
      <c r="R14" s="328"/>
      <c r="S14" s="328"/>
      <c r="T14" s="329"/>
      <c r="U14" s="329"/>
      <c r="V14" s="331"/>
      <c r="X14" s="333" t="str">
        <f>IF(AP14="","",AP14)</f>
        <v/>
      </c>
      <c r="Y14" s="327"/>
      <c r="Z14" s="327" t="str">
        <f>IF(Y14="","",Y14-Y13)</f>
        <v/>
      </c>
      <c r="AA14" s="328" t="str">
        <f t="shared" si="4"/>
        <v/>
      </c>
      <c r="AB14" s="331"/>
      <c r="AD14" s="333" t="str">
        <f t="shared" si="5"/>
        <v/>
      </c>
      <c r="AE14" s="327"/>
      <c r="AF14" s="327" t="str">
        <f>IF(AE14="","",AE14-AE13)</f>
        <v/>
      </c>
      <c r="AG14" s="328" t="str">
        <f t="shared" si="6"/>
        <v/>
      </c>
      <c r="AH14" s="331"/>
      <c r="AJ14" s="333" t="str">
        <f t="shared" si="7"/>
        <v/>
      </c>
      <c r="AK14" s="327"/>
      <c r="AL14" s="327" t="str">
        <f>IF(AK14="","",AK14-AK13)</f>
        <v/>
      </c>
      <c r="AM14" s="328" t="str">
        <f t="shared" si="8"/>
        <v/>
      </c>
      <c r="AN14" s="331"/>
      <c r="AP14" s="333" t="str">
        <f>IF(M14="","",M14)</f>
        <v/>
      </c>
      <c r="AQ14" s="327"/>
      <c r="AR14" s="327"/>
      <c r="AS14" s="327" t="str">
        <f>IF(AR14="","",AR14-AR13)</f>
        <v/>
      </c>
      <c r="AT14" s="328" t="str">
        <f t="shared" si="9"/>
        <v/>
      </c>
      <c r="AU14" s="328"/>
      <c r="AV14" s="328"/>
      <c r="AW14" s="329"/>
      <c r="AX14" s="329"/>
      <c r="AY14" s="331"/>
    </row>
    <row r="15" spans="2:51" ht="15" customHeight="1" x14ac:dyDescent="0.25">
      <c r="B15" s="333">
        <v>45940</v>
      </c>
      <c r="C15" s="336">
        <f>SUM(IF(F15="",0,F15), IF(F16="",0,F16), IF(Q15="",0,Q15), IF(AT15="",0,AT15), IF(AA15="",0,AA15), IF(AG15="",0,AG15), IF(AM15="",0,AM15))</f>
        <v>44100</v>
      </c>
      <c r="D15" s="327">
        <v>14733</v>
      </c>
      <c r="E15" s="327">
        <f t="shared" si="0"/>
        <v>116</v>
      </c>
      <c r="F15" s="328">
        <f t="shared" si="1"/>
        <v>11600</v>
      </c>
      <c r="G15" s="328"/>
      <c r="H15" s="328"/>
      <c r="I15" s="329"/>
      <c r="J15" s="329"/>
      <c r="K15" s="330"/>
      <c r="L15" s="323"/>
      <c r="M15" s="333">
        <f t="shared" si="2"/>
        <v>45940</v>
      </c>
      <c r="N15" s="327"/>
      <c r="O15" s="327">
        <v>2382</v>
      </c>
      <c r="P15" s="327">
        <f>IF(O15="","",O15-O13)</f>
        <v>14</v>
      </c>
      <c r="Q15" s="328">
        <f t="shared" si="3"/>
        <v>14000</v>
      </c>
      <c r="R15" s="328"/>
      <c r="S15" s="328"/>
      <c r="T15" s="329"/>
      <c r="U15" s="329"/>
      <c r="V15" s="331"/>
      <c r="X15" s="333">
        <f>IF(AP15="","",AP15)</f>
        <v>45940</v>
      </c>
      <c r="Y15" s="327">
        <v>7187</v>
      </c>
      <c r="Z15" s="327">
        <f>IF(Y15="","",Y15-Y13)</f>
        <v>4</v>
      </c>
      <c r="AA15" s="328">
        <f t="shared" si="4"/>
        <v>4000</v>
      </c>
      <c r="AB15" s="331" t="s">
        <v>124</v>
      </c>
      <c r="AD15" s="333">
        <f t="shared" si="5"/>
        <v>45940</v>
      </c>
      <c r="AE15" s="327">
        <v>4769</v>
      </c>
      <c r="AF15" s="327">
        <f>IF(AE15="","",AE15-AE13)</f>
        <v>4</v>
      </c>
      <c r="AG15" s="328">
        <f t="shared" si="6"/>
        <v>4000</v>
      </c>
      <c r="AH15" s="331"/>
      <c r="AJ15" s="333">
        <f t="shared" si="7"/>
        <v>45940</v>
      </c>
      <c r="AK15" s="327">
        <v>7013</v>
      </c>
      <c r="AL15" s="327">
        <f>IF(AK15="","",AK15-AK13)</f>
        <v>6</v>
      </c>
      <c r="AM15" s="328">
        <f t="shared" si="8"/>
        <v>6000</v>
      </c>
      <c r="AN15" s="331"/>
      <c r="AP15" s="333">
        <f>IF(M15="","",M15)</f>
        <v>45940</v>
      </c>
      <c r="AQ15" s="327"/>
      <c r="AR15" s="327">
        <v>8339</v>
      </c>
      <c r="AS15" s="327">
        <f>IF(AR15="","",AR15-AR13)</f>
        <v>2</v>
      </c>
      <c r="AT15" s="328">
        <f t="shared" si="9"/>
        <v>2000</v>
      </c>
      <c r="AU15" s="328"/>
      <c r="AV15" s="328"/>
      <c r="AW15" s="329"/>
      <c r="AX15" s="329"/>
      <c r="AY15" s="331"/>
    </row>
    <row r="16" spans="2:51" ht="15" customHeight="1" x14ac:dyDescent="0.25">
      <c r="B16" s="333"/>
      <c r="C16" s="327"/>
      <c r="D16" s="327">
        <v>4957</v>
      </c>
      <c r="E16" s="327">
        <f t="shared" si="0"/>
        <v>25</v>
      </c>
      <c r="F16" s="328">
        <f t="shared" si="1"/>
        <v>2500</v>
      </c>
      <c r="G16" s="328"/>
      <c r="H16" s="328"/>
      <c r="I16" s="329"/>
      <c r="J16" s="329"/>
      <c r="K16" s="330"/>
      <c r="L16" s="323"/>
      <c r="M16" s="333" t="str">
        <f t="shared" si="2"/>
        <v/>
      </c>
      <c r="N16" s="327"/>
      <c r="O16" s="327"/>
      <c r="P16" s="327" t="str">
        <f>IF(O16="","",O16-O14)</f>
        <v/>
      </c>
      <c r="Q16" s="328" t="str">
        <f t="shared" si="3"/>
        <v/>
      </c>
      <c r="R16" s="328"/>
      <c r="S16" s="328"/>
      <c r="T16" s="329"/>
      <c r="U16" s="329"/>
      <c r="V16" s="331"/>
      <c r="X16" s="333" t="str">
        <f>IF(AP16="","",AP16)</f>
        <v/>
      </c>
      <c r="Y16" s="327"/>
      <c r="Z16" s="327" t="str">
        <f>IF(Y16="","",Y16-Y14)</f>
        <v/>
      </c>
      <c r="AA16" s="328" t="str">
        <f t="shared" si="4"/>
        <v/>
      </c>
      <c r="AB16" s="331"/>
      <c r="AD16" s="333" t="str">
        <f t="shared" si="5"/>
        <v/>
      </c>
      <c r="AE16" s="327"/>
      <c r="AF16" s="327" t="str">
        <f>IF(AE16="","",AE16-AE14)</f>
        <v/>
      </c>
      <c r="AG16" s="328" t="str">
        <f t="shared" si="6"/>
        <v/>
      </c>
      <c r="AH16" s="331"/>
      <c r="AJ16" s="333" t="str">
        <f t="shared" si="7"/>
        <v/>
      </c>
      <c r="AK16" s="327"/>
      <c r="AL16" s="327" t="str">
        <f>IF(AK16="","",AK16-AK14)</f>
        <v/>
      </c>
      <c r="AM16" s="328" t="str">
        <f t="shared" si="8"/>
        <v/>
      </c>
      <c r="AN16" s="331"/>
      <c r="AP16" s="333" t="str">
        <f>IF(M16="","",M16)</f>
        <v/>
      </c>
      <c r="AQ16" s="327"/>
      <c r="AR16" s="327"/>
      <c r="AS16" s="327" t="str">
        <f>IF(AR16="","",AR16-AR14)</f>
        <v/>
      </c>
      <c r="AT16" s="328" t="str">
        <f t="shared" si="9"/>
        <v/>
      </c>
      <c r="AU16" s="328"/>
      <c r="AV16" s="328"/>
      <c r="AW16" s="329"/>
      <c r="AX16" s="329"/>
      <c r="AY16" s="331"/>
    </row>
    <row r="17" spans="2:51" ht="15" customHeight="1" x14ac:dyDescent="0.25">
      <c r="B17" s="333">
        <v>45946</v>
      </c>
      <c r="C17" s="336">
        <f>SUM(IF(F17="",0,F17), IF(F18="",0,F18), IF(Q17="",0,Q17), IF(AT17="",0,AT17), IF(AA17="",0,AA17), IF(AG17="",0,AG17), IF(AM17="",0,AM17))</f>
        <v>185500</v>
      </c>
      <c r="D17" s="327">
        <v>14958</v>
      </c>
      <c r="E17" s="327">
        <f t="shared" si="0"/>
        <v>225</v>
      </c>
      <c r="F17" s="328">
        <f t="shared" si="1"/>
        <v>22500</v>
      </c>
      <c r="G17" s="328"/>
      <c r="H17" s="328"/>
      <c r="I17" s="329"/>
      <c r="J17" s="329"/>
      <c r="K17" s="330"/>
      <c r="L17" s="323"/>
      <c r="M17" s="333">
        <f t="shared" si="2"/>
        <v>45946</v>
      </c>
      <c r="N17" s="327"/>
      <c r="O17" s="327">
        <v>2414</v>
      </c>
      <c r="P17" s="327">
        <f>IF(O17="","",O17-O15)</f>
        <v>32</v>
      </c>
      <c r="Q17" s="328">
        <f t="shared" si="3"/>
        <v>32000</v>
      </c>
      <c r="R17" s="328"/>
      <c r="S17" s="328"/>
      <c r="T17" s="329"/>
      <c r="U17" s="329"/>
      <c r="V17" s="622" t="s">
        <v>125</v>
      </c>
      <c r="X17" s="333">
        <f>IF(AP17="","",AP17)</f>
        <v>45946</v>
      </c>
      <c r="Y17" s="327">
        <v>7237</v>
      </c>
      <c r="Z17" s="327">
        <f>IF(Y17="","",Y17-Y15)</f>
        <v>50</v>
      </c>
      <c r="AA17" s="328">
        <f t="shared" si="4"/>
        <v>50000</v>
      </c>
      <c r="AB17" s="622" t="s">
        <v>125</v>
      </c>
      <c r="AD17" s="333">
        <f t="shared" si="5"/>
        <v>45946</v>
      </c>
      <c r="AE17" s="327">
        <v>4819</v>
      </c>
      <c r="AF17" s="327">
        <f>IF(AE17="","",AE17-AE15)</f>
        <v>50</v>
      </c>
      <c r="AG17" s="328">
        <f t="shared" si="6"/>
        <v>50000</v>
      </c>
      <c r="AH17" s="622" t="s">
        <v>125</v>
      </c>
      <c r="AJ17" s="333">
        <f t="shared" si="7"/>
        <v>45946</v>
      </c>
      <c r="AK17" s="327">
        <v>7023</v>
      </c>
      <c r="AL17" s="327">
        <f>IF(AK17="","",AK17-AK15)</f>
        <v>10</v>
      </c>
      <c r="AM17" s="328">
        <f t="shared" si="8"/>
        <v>10000</v>
      </c>
      <c r="AN17" s="331"/>
      <c r="AP17" s="333">
        <f>IF(M17="","",M17)</f>
        <v>45946</v>
      </c>
      <c r="AQ17" s="327"/>
      <c r="AR17" s="327">
        <v>8353</v>
      </c>
      <c r="AS17" s="327">
        <f>IF(AR17="","",AR17-AR15)</f>
        <v>14</v>
      </c>
      <c r="AT17" s="328">
        <f t="shared" si="9"/>
        <v>14000</v>
      </c>
      <c r="AU17" s="328"/>
      <c r="AV17" s="328"/>
      <c r="AW17" s="329"/>
      <c r="AX17" s="329"/>
      <c r="AY17" s="331"/>
    </row>
    <row r="18" spans="2:51" ht="15" customHeight="1" x14ac:dyDescent="0.25">
      <c r="B18" s="333"/>
      <c r="C18" s="327"/>
      <c r="D18" s="327">
        <v>5027</v>
      </c>
      <c r="E18" s="327">
        <f t="shared" si="0"/>
        <v>70</v>
      </c>
      <c r="F18" s="328">
        <f t="shared" si="1"/>
        <v>7000</v>
      </c>
      <c r="G18" s="328"/>
      <c r="H18" s="328"/>
      <c r="I18" s="329"/>
      <c r="J18" s="329"/>
      <c r="K18" s="330"/>
      <c r="L18" s="323"/>
      <c r="M18" s="333"/>
      <c r="N18" s="327"/>
      <c r="O18" s="327"/>
      <c r="P18" s="327"/>
      <c r="Q18" s="328"/>
      <c r="R18" s="328"/>
      <c r="S18" s="328"/>
      <c r="T18" s="329"/>
      <c r="U18" s="329"/>
      <c r="V18" s="331"/>
      <c r="X18" s="333"/>
      <c r="Y18" s="327"/>
      <c r="Z18" s="327"/>
      <c r="AA18" s="328"/>
      <c r="AB18" s="331"/>
      <c r="AD18" s="333"/>
      <c r="AE18" s="327"/>
      <c r="AF18" s="327"/>
      <c r="AG18" s="328"/>
      <c r="AH18" s="331"/>
      <c r="AJ18" s="333"/>
      <c r="AK18" s="327"/>
      <c r="AL18" s="327"/>
      <c r="AM18" s="328"/>
      <c r="AN18" s="331"/>
      <c r="AP18" s="333"/>
      <c r="AQ18" s="327"/>
      <c r="AR18" s="327"/>
      <c r="AS18" s="327"/>
      <c r="AT18" s="328"/>
      <c r="AU18" s="328"/>
      <c r="AV18" s="328"/>
      <c r="AW18" s="329"/>
      <c r="AX18" s="329"/>
      <c r="AY18" s="331"/>
    </row>
    <row r="19" spans="2:51" ht="15" customHeight="1" x14ac:dyDescent="0.25">
      <c r="B19" s="333"/>
      <c r="C19" s="336"/>
      <c r="D19" s="327"/>
      <c r="E19" s="327"/>
      <c r="F19" s="328"/>
      <c r="G19" s="328"/>
      <c r="H19" s="328"/>
      <c r="I19" s="329"/>
      <c r="J19" s="329"/>
      <c r="K19" s="330"/>
      <c r="L19" s="323"/>
      <c r="M19" s="333"/>
      <c r="N19" s="327"/>
      <c r="O19" s="327"/>
      <c r="P19" s="327"/>
      <c r="Q19" s="328"/>
      <c r="R19" s="328"/>
      <c r="S19" s="328"/>
      <c r="T19" s="329"/>
      <c r="U19" s="329"/>
      <c r="V19" s="331"/>
      <c r="X19" s="333"/>
      <c r="Y19" s="327"/>
      <c r="Z19" s="327"/>
      <c r="AA19" s="328"/>
      <c r="AB19" s="331"/>
      <c r="AD19" s="333"/>
      <c r="AE19" s="327"/>
      <c r="AF19" s="327"/>
      <c r="AG19" s="328"/>
      <c r="AH19" s="331"/>
      <c r="AJ19" s="333"/>
      <c r="AK19" s="327"/>
      <c r="AL19" s="327"/>
      <c r="AM19" s="328"/>
      <c r="AN19" s="331"/>
      <c r="AP19" s="333"/>
      <c r="AQ19" s="327"/>
      <c r="AR19" s="327"/>
      <c r="AS19" s="327"/>
      <c r="AT19" s="328"/>
      <c r="AU19" s="328"/>
      <c r="AV19" s="328"/>
      <c r="AW19" s="329"/>
      <c r="AX19" s="329"/>
      <c r="AY19" s="331"/>
    </row>
    <row r="20" spans="2:51" ht="15" customHeight="1" x14ac:dyDescent="0.25">
      <c r="B20" s="333"/>
      <c r="C20" s="327"/>
      <c r="D20" s="327"/>
      <c r="E20" s="327"/>
      <c r="F20" s="328"/>
      <c r="G20" s="328"/>
      <c r="H20" s="328"/>
      <c r="I20" s="329"/>
      <c r="J20" s="329"/>
      <c r="K20" s="330"/>
      <c r="L20" s="323"/>
      <c r="M20" s="333"/>
      <c r="N20" s="327"/>
      <c r="O20" s="327"/>
      <c r="P20" s="327"/>
      <c r="Q20" s="328"/>
      <c r="R20" s="328"/>
      <c r="S20" s="328"/>
      <c r="T20" s="329"/>
      <c r="U20" s="329"/>
      <c r="V20" s="331"/>
      <c r="X20" s="333"/>
      <c r="Y20" s="327"/>
      <c r="Z20" s="327"/>
      <c r="AA20" s="328"/>
      <c r="AB20" s="331"/>
      <c r="AD20" s="333"/>
      <c r="AE20" s="327"/>
      <c r="AF20" s="327"/>
      <c r="AG20" s="328"/>
      <c r="AH20" s="331"/>
      <c r="AJ20" s="333"/>
      <c r="AK20" s="327"/>
      <c r="AL20" s="327"/>
      <c r="AM20" s="328"/>
      <c r="AN20" s="331"/>
      <c r="AP20" s="333"/>
      <c r="AQ20" s="327"/>
      <c r="AR20" s="327"/>
      <c r="AS20" s="327"/>
      <c r="AT20" s="328"/>
      <c r="AU20" s="328"/>
      <c r="AV20" s="328"/>
      <c r="AW20" s="329"/>
      <c r="AX20" s="329"/>
      <c r="AY20" s="331"/>
    </row>
    <row r="21" spans="2:51" ht="15" customHeight="1" x14ac:dyDescent="0.25">
      <c r="B21" s="333"/>
      <c r="C21" s="336">
        <f>SUM(IF(F21="",0,F21), IF(F22="",0,F22), IF(Q21="",0,Q21), IF(AT21="",0,AT21), IF(AA21="",0,AA21), IF(AG21="",0,AG21), IF(AM21="",0,AM21))</f>
        <v>0</v>
      </c>
      <c r="D21" s="327"/>
      <c r="E21" s="327" t="str">
        <f t="shared" si="0"/>
        <v/>
      </c>
      <c r="F21" s="328" t="str">
        <f t="shared" si="1"/>
        <v/>
      </c>
      <c r="G21" s="328"/>
      <c r="H21" s="328"/>
      <c r="I21" s="329"/>
      <c r="J21" s="329"/>
      <c r="K21" s="330"/>
      <c r="L21" s="323"/>
      <c r="M21" s="333" t="str">
        <f>IF(B21="","",B21)</f>
        <v/>
      </c>
      <c r="N21" s="327"/>
      <c r="O21" s="327"/>
      <c r="P21" s="327" t="str">
        <f>IF(O21="","",O21-O19)</f>
        <v/>
      </c>
      <c r="Q21" s="328" t="str">
        <f>IF(O21="","",P21*1000)</f>
        <v/>
      </c>
      <c r="R21" s="328"/>
      <c r="S21" s="328"/>
      <c r="T21" s="329"/>
      <c r="U21" s="329"/>
      <c r="V21" s="331"/>
      <c r="X21" s="333" t="str">
        <f>IF(AP21="","",AP21)</f>
        <v/>
      </c>
      <c r="Y21" s="327"/>
      <c r="Z21" s="327" t="str">
        <f>IF(Y21="","",Y21-Y19)</f>
        <v/>
      </c>
      <c r="AA21" s="328" t="str">
        <f>IF(Y21="","",Z21*1000)</f>
        <v/>
      </c>
      <c r="AB21" s="331"/>
      <c r="AD21" s="333" t="str">
        <f>IF(X21="","",X21)</f>
        <v/>
      </c>
      <c r="AE21" s="327"/>
      <c r="AF21" s="327" t="str">
        <f>IF(AE21="","",AE21-AE19)</f>
        <v/>
      </c>
      <c r="AG21" s="328" t="str">
        <f>IF(AE21="","",AF21*1000)</f>
        <v/>
      </c>
      <c r="AH21" s="331"/>
      <c r="AJ21" s="333" t="str">
        <f>IF(AD21="","",AD21)</f>
        <v/>
      </c>
      <c r="AK21" s="327"/>
      <c r="AL21" s="327" t="str">
        <f>IF(AK21="","",AK21-AK19)</f>
        <v/>
      </c>
      <c r="AM21" s="328" t="str">
        <f>IF(AK21="","",AL21*1000)</f>
        <v/>
      </c>
      <c r="AN21" s="331"/>
      <c r="AP21" s="333" t="str">
        <f>IF(M21="","",M21)</f>
        <v/>
      </c>
      <c r="AQ21" s="327"/>
      <c r="AR21" s="327"/>
      <c r="AS21" s="327" t="str">
        <f>IF(AR21="","",AR21-AR19)</f>
        <v/>
      </c>
      <c r="AT21" s="328" t="str">
        <f>IF(AR21="","",AS21*1000)</f>
        <v/>
      </c>
      <c r="AU21" s="328"/>
      <c r="AV21" s="328"/>
      <c r="AW21" s="329"/>
      <c r="AX21" s="329"/>
      <c r="AY21" s="331"/>
    </row>
    <row r="22" spans="2:51" ht="15" customHeight="1" x14ac:dyDescent="0.25">
      <c r="B22" s="333"/>
      <c r="C22" s="327"/>
      <c r="D22" s="327"/>
      <c r="E22" s="327" t="str">
        <f t="shared" si="0"/>
        <v/>
      </c>
      <c r="F22" s="328" t="str">
        <f t="shared" si="1"/>
        <v/>
      </c>
      <c r="G22" s="328"/>
      <c r="H22" s="328"/>
      <c r="I22" s="329"/>
      <c r="J22" s="329"/>
      <c r="K22" s="330"/>
      <c r="L22" s="323"/>
      <c r="M22" s="333"/>
      <c r="N22" s="327"/>
      <c r="O22" s="327"/>
      <c r="P22" s="327" t="str">
        <f>IF(O22="","",O22-O20)</f>
        <v/>
      </c>
      <c r="Q22" s="328"/>
      <c r="R22" s="328"/>
      <c r="S22" s="328"/>
      <c r="T22" s="329"/>
      <c r="U22" s="329"/>
      <c r="V22" s="331"/>
      <c r="X22" s="333"/>
      <c r="Y22" s="327"/>
      <c r="Z22" s="327" t="str">
        <f>IF(Y22="","",Y22-Y20)</f>
        <v/>
      </c>
      <c r="AA22" s="328"/>
      <c r="AB22" s="331"/>
      <c r="AD22" s="333"/>
      <c r="AE22" s="327"/>
      <c r="AF22" s="327" t="str">
        <f>IF(AE22="","",AE22-AE20)</f>
        <v/>
      </c>
      <c r="AG22" s="328"/>
      <c r="AH22" s="331"/>
      <c r="AJ22" s="333"/>
      <c r="AK22" s="327"/>
      <c r="AL22" s="327" t="str">
        <f>IF(AK22="","",AK22-AK20)</f>
        <v/>
      </c>
      <c r="AM22" s="328"/>
      <c r="AN22" s="331"/>
      <c r="AP22" s="333"/>
      <c r="AQ22" s="327"/>
      <c r="AR22" s="327"/>
      <c r="AS22" s="327" t="str">
        <f>IF(AR22="","",AR22-AR20)</f>
        <v/>
      </c>
      <c r="AT22" s="328"/>
      <c r="AU22" s="328"/>
      <c r="AV22" s="328"/>
      <c r="AW22" s="329"/>
      <c r="AX22" s="329"/>
      <c r="AY22" s="331"/>
    </row>
    <row r="23" spans="2:51" ht="15" customHeight="1" x14ac:dyDescent="0.25">
      <c r="B23" s="333"/>
      <c r="C23" s="336">
        <f>SUM(IF(F23="",0,F23), IF(F24="",0,F24), IF(Q23="",0,Q23), IF(AT23="",0,AT23), IF(AA23="",0,AA23), IF(AG23="",0,AG23), IF(AM23="",0,AM23))</f>
        <v>0</v>
      </c>
      <c r="D23" s="327"/>
      <c r="E23" s="327" t="str">
        <f t="shared" si="0"/>
        <v/>
      </c>
      <c r="F23" s="328" t="str">
        <f t="shared" si="1"/>
        <v/>
      </c>
      <c r="G23" s="328"/>
      <c r="H23" s="328"/>
      <c r="I23" s="329"/>
      <c r="J23" s="329"/>
      <c r="K23" s="330"/>
      <c r="L23" s="323"/>
      <c r="M23" s="333" t="str">
        <f>IF(B23="","",B23)</f>
        <v/>
      </c>
      <c r="N23" s="327"/>
      <c r="O23" s="327"/>
      <c r="P23" s="327" t="str">
        <f>IF(O23="","",O23-O21)</f>
        <v/>
      </c>
      <c r="Q23" s="328" t="str">
        <f>IF(O23="","",P23*1000)</f>
        <v/>
      </c>
      <c r="R23" s="328"/>
      <c r="S23" s="328"/>
      <c r="T23" s="329"/>
      <c r="U23" s="329"/>
      <c r="V23" s="331"/>
      <c r="X23" s="333" t="str">
        <f>IF(AP23="","",AP23)</f>
        <v/>
      </c>
      <c r="Y23" s="327"/>
      <c r="Z23" s="327" t="str">
        <f>IF(Y23="","",Y23-Y21)</f>
        <v/>
      </c>
      <c r="AA23" s="328" t="str">
        <f>IF(Y23="","",Z23*1000)</f>
        <v/>
      </c>
      <c r="AB23" s="331"/>
      <c r="AD23" s="333" t="str">
        <f>IF(X23="","",X23)</f>
        <v/>
      </c>
      <c r="AE23" s="327"/>
      <c r="AF23" s="327" t="str">
        <f>IF(AE23="","",AE23-AE21)</f>
        <v/>
      </c>
      <c r="AG23" s="328" t="str">
        <f>IF(AE23="","",AF23*1000)</f>
        <v/>
      </c>
      <c r="AH23" s="331"/>
      <c r="AJ23" s="333" t="str">
        <f>IF(AD23="","",AD23)</f>
        <v/>
      </c>
      <c r="AK23" s="327"/>
      <c r="AL23" s="327" t="str">
        <f>IF(AK23="","",AK23-AK21)</f>
        <v/>
      </c>
      <c r="AM23" s="328" t="str">
        <f>IF(AK23="","",AL23*1000)</f>
        <v/>
      </c>
      <c r="AN23" s="331"/>
      <c r="AP23" s="333" t="str">
        <f>IF(M23="","",M23)</f>
        <v/>
      </c>
      <c r="AQ23" s="327"/>
      <c r="AR23" s="327"/>
      <c r="AS23" s="327" t="str">
        <f>IF(AR23="","",AR23-AR21)</f>
        <v/>
      </c>
      <c r="AT23" s="328" t="str">
        <f>IF(AR23="","",AS23*1000)</f>
        <v/>
      </c>
      <c r="AU23" s="328"/>
      <c r="AV23" s="328"/>
      <c r="AW23" s="329"/>
      <c r="AX23" s="329"/>
      <c r="AY23" s="331"/>
    </row>
    <row r="24" spans="2:51" ht="15" customHeight="1" x14ac:dyDescent="0.25">
      <c r="B24" s="333"/>
      <c r="C24" s="327"/>
      <c r="D24" s="327"/>
      <c r="E24" s="327" t="str">
        <f t="shared" si="0"/>
        <v/>
      </c>
      <c r="F24" s="328" t="str">
        <f t="shared" si="1"/>
        <v/>
      </c>
      <c r="G24" s="328"/>
      <c r="H24" s="328"/>
      <c r="I24" s="329"/>
      <c r="J24" s="329"/>
      <c r="K24" s="330"/>
      <c r="L24" s="323"/>
      <c r="M24" s="333"/>
      <c r="N24" s="327"/>
      <c r="O24" s="327"/>
      <c r="P24" s="327"/>
      <c r="Q24" s="328"/>
      <c r="R24" s="328"/>
      <c r="S24" s="328"/>
      <c r="T24" s="329"/>
      <c r="U24" s="329"/>
      <c r="V24" s="331"/>
      <c r="X24" s="333"/>
      <c r="Y24" s="327"/>
      <c r="Z24" s="327"/>
      <c r="AA24" s="328"/>
      <c r="AB24" s="331"/>
      <c r="AD24" s="333"/>
      <c r="AE24" s="327"/>
      <c r="AF24" s="327"/>
      <c r="AG24" s="328"/>
      <c r="AH24" s="331"/>
      <c r="AJ24" s="333"/>
      <c r="AK24" s="327"/>
      <c r="AL24" s="327"/>
      <c r="AM24" s="328"/>
      <c r="AN24" s="331"/>
      <c r="AP24" s="333"/>
      <c r="AQ24" s="327"/>
      <c r="AR24" s="327"/>
      <c r="AS24" s="327"/>
      <c r="AT24" s="328"/>
      <c r="AU24" s="328"/>
      <c r="AV24" s="328"/>
      <c r="AW24" s="329"/>
      <c r="AX24" s="329"/>
      <c r="AY24" s="331"/>
    </row>
    <row r="25" spans="2:51" ht="15" customHeight="1" x14ac:dyDescent="0.25">
      <c r="B25" s="333"/>
      <c r="C25" s="336">
        <f>SUM(IF(F25="",0,F25), IF(F26="",0,F26), IF(Q25="",0,Q25), IF(AT25="",0,AT25), IF(AA25="",0,AA25), IF(AG25="",0,AG25), IF(AM25="",0,AM25))</f>
        <v>0</v>
      </c>
      <c r="D25" s="327"/>
      <c r="E25" s="327" t="str">
        <f t="shared" si="0"/>
        <v/>
      </c>
      <c r="F25" s="328" t="str">
        <f t="shared" si="1"/>
        <v/>
      </c>
      <c r="G25" s="328"/>
      <c r="H25" s="328"/>
      <c r="I25" s="329"/>
      <c r="J25" s="329"/>
      <c r="K25" s="330"/>
      <c r="L25" s="323"/>
      <c r="M25" s="333" t="str">
        <f>IF(B25="","",B25)</f>
        <v/>
      </c>
      <c r="N25" s="327"/>
      <c r="O25" s="327"/>
      <c r="P25" s="327" t="str">
        <f>IF(O25="","",O25-O23)</f>
        <v/>
      </c>
      <c r="Q25" s="328" t="str">
        <f>IF(O25="","",P25*1000)</f>
        <v/>
      </c>
      <c r="R25" s="328"/>
      <c r="S25" s="328"/>
      <c r="T25" s="329"/>
      <c r="U25" s="329"/>
      <c r="V25" s="331"/>
      <c r="X25" s="333" t="str">
        <f>IF(AP25="","",AP25)</f>
        <v/>
      </c>
      <c r="Y25" s="327"/>
      <c r="Z25" s="327" t="str">
        <f>IF(Y25="","",Y25-Y23)</f>
        <v/>
      </c>
      <c r="AA25" s="328" t="str">
        <f>IF(Y25="","",Z25*1000)</f>
        <v/>
      </c>
      <c r="AB25" s="331"/>
      <c r="AD25" s="333" t="str">
        <f>IF(X25="","",X25)</f>
        <v/>
      </c>
      <c r="AE25" s="327"/>
      <c r="AF25" s="327" t="str">
        <f>IF(AE25="","",AE25-AE23)</f>
        <v/>
      </c>
      <c r="AG25" s="328" t="str">
        <f>IF(AE25="","",AF25*1000)</f>
        <v/>
      </c>
      <c r="AH25" s="331"/>
      <c r="AJ25" s="333" t="str">
        <f>IF(AD25="","",AD25)</f>
        <v/>
      </c>
      <c r="AK25" s="327"/>
      <c r="AL25" s="327" t="str">
        <f>IF(AK25="","",AK25-AK23)</f>
        <v/>
      </c>
      <c r="AM25" s="328" t="str">
        <f>IF(AK25="","",AL25*1000)</f>
        <v/>
      </c>
      <c r="AN25" s="331"/>
      <c r="AP25" s="333" t="str">
        <f>IF(M25="","",M25)</f>
        <v/>
      </c>
      <c r="AQ25" s="327"/>
      <c r="AR25" s="327"/>
      <c r="AS25" s="327" t="str">
        <f>IF(AR25="","",AR25-AR23)</f>
        <v/>
      </c>
      <c r="AT25" s="328" t="str">
        <f>IF(AR25="","",AS25*1000)</f>
        <v/>
      </c>
      <c r="AU25" s="328"/>
      <c r="AV25" s="328"/>
      <c r="AW25" s="329"/>
      <c r="AX25" s="329"/>
      <c r="AY25" s="331"/>
    </row>
    <row r="26" spans="2:51" ht="15" customHeight="1" x14ac:dyDescent="0.25">
      <c r="B26" s="333"/>
      <c r="C26" s="327"/>
      <c r="D26" s="327"/>
      <c r="E26" s="327" t="str">
        <f t="shared" si="0"/>
        <v/>
      </c>
      <c r="F26" s="328" t="str">
        <f t="shared" si="1"/>
        <v/>
      </c>
      <c r="G26" s="328"/>
      <c r="H26" s="328"/>
      <c r="I26" s="329"/>
      <c r="J26" s="329"/>
      <c r="K26" s="330"/>
      <c r="L26" s="323"/>
      <c r="M26" s="333" t="str">
        <f>IF(B26="","",B26)</f>
        <v/>
      </c>
      <c r="N26" s="327"/>
      <c r="O26" s="327"/>
      <c r="P26" s="327"/>
      <c r="Q26" s="328"/>
      <c r="R26" s="328"/>
      <c r="S26" s="328"/>
      <c r="T26" s="329"/>
      <c r="U26" s="329"/>
      <c r="V26" s="331"/>
      <c r="X26" s="333"/>
      <c r="Y26" s="327"/>
      <c r="Z26" s="327"/>
      <c r="AA26" s="328"/>
      <c r="AB26" s="331"/>
      <c r="AD26" s="333"/>
      <c r="AE26" s="327"/>
      <c r="AF26" s="327"/>
      <c r="AG26" s="328"/>
      <c r="AH26" s="331"/>
      <c r="AJ26" s="333"/>
      <c r="AK26" s="327"/>
      <c r="AL26" s="327"/>
      <c r="AM26" s="328"/>
      <c r="AN26" s="331"/>
      <c r="AP26" s="333"/>
      <c r="AQ26" s="327"/>
      <c r="AR26" s="327"/>
      <c r="AS26" s="327"/>
      <c r="AT26" s="328"/>
      <c r="AU26" s="328"/>
      <c r="AV26" s="328"/>
      <c r="AW26" s="329"/>
      <c r="AX26" s="329"/>
      <c r="AY26" s="331"/>
    </row>
    <row r="27" spans="2:51" ht="15" customHeight="1" x14ac:dyDescent="0.25">
      <c r="B27" s="333"/>
      <c r="C27" s="336">
        <f>SUM(IF(F27="",0,F27), IF(F28="",0,F28), IF(Q27="",0,Q27), IF(AT27="",0,AT27), IF(AA27="",0,AA27), IF(AG27="",0,AG27), IF(AM27="",0,AM27))</f>
        <v>0</v>
      </c>
      <c r="D27" s="327"/>
      <c r="E27" s="327" t="str">
        <f t="shared" si="0"/>
        <v/>
      </c>
      <c r="F27" s="328" t="str">
        <f t="shared" si="1"/>
        <v/>
      </c>
      <c r="G27" s="328"/>
      <c r="H27" s="328"/>
      <c r="I27" s="329"/>
      <c r="J27" s="329"/>
      <c r="K27" s="330"/>
      <c r="L27" s="323"/>
      <c r="M27" s="333" t="str">
        <f>IF(B27="","",B27)</f>
        <v/>
      </c>
      <c r="N27" s="327"/>
      <c r="O27" s="327"/>
      <c r="P27" s="327" t="str">
        <f>IF(O27="","",O27-O25)</f>
        <v/>
      </c>
      <c r="Q27" s="328" t="str">
        <f>IF(O27="","",P27*1000)</f>
        <v/>
      </c>
      <c r="R27" s="328"/>
      <c r="S27" s="328"/>
      <c r="T27" s="329"/>
      <c r="U27" s="329"/>
      <c r="V27" s="331"/>
      <c r="X27" s="333"/>
      <c r="Y27" s="327"/>
      <c r="Z27" s="327" t="str">
        <f>IF(Y27="","",Y27-Y25)</f>
        <v/>
      </c>
      <c r="AA27" s="328" t="str">
        <f>IF(Y27="","",Z27*1000)</f>
        <v/>
      </c>
      <c r="AB27" s="331"/>
      <c r="AD27" s="333" t="str">
        <f>IF(X27="","",X27)</f>
        <v/>
      </c>
      <c r="AE27" s="327"/>
      <c r="AF27" s="327" t="str">
        <f>IF(AE27="","",AE27-AE25)</f>
        <v/>
      </c>
      <c r="AG27" s="328" t="str">
        <f>IF(AE27="","",AF27*1000)</f>
        <v/>
      </c>
      <c r="AH27" s="331"/>
      <c r="AJ27" s="333" t="str">
        <f>IF(AD27="","",AD27)</f>
        <v/>
      </c>
      <c r="AK27" s="327"/>
      <c r="AL27" s="327" t="str">
        <f>IF(AK27="","",AK27-AK25)</f>
        <v/>
      </c>
      <c r="AM27" s="328" t="str">
        <f>IF(AK27="","",AL27*1000)</f>
        <v/>
      </c>
      <c r="AN27" s="331"/>
      <c r="AP27" s="333" t="str">
        <f>IF(M27="","",M27)</f>
        <v/>
      </c>
      <c r="AQ27" s="327"/>
      <c r="AR27" s="327"/>
      <c r="AS27" s="327" t="str">
        <f>IF(AR27="","",AR27-AR25)</f>
        <v/>
      </c>
      <c r="AT27" s="328" t="str">
        <f>IF(AR27="","",AS27*1000)</f>
        <v/>
      </c>
      <c r="AU27" s="328"/>
      <c r="AV27" s="328"/>
      <c r="AW27" s="329"/>
      <c r="AX27" s="329"/>
      <c r="AY27" s="331"/>
    </row>
    <row r="28" spans="2:51" ht="15" customHeight="1" x14ac:dyDescent="0.25">
      <c r="B28" s="333"/>
      <c r="C28" s="327"/>
      <c r="D28" s="327"/>
      <c r="E28" s="327" t="str">
        <f t="shared" si="0"/>
        <v/>
      </c>
      <c r="F28" s="328" t="str">
        <f t="shared" si="1"/>
        <v/>
      </c>
      <c r="G28" s="328"/>
      <c r="H28" s="328"/>
      <c r="I28" s="329"/>
      <c r="J28" s="329"/>
      <c r="K28" s="330"/>
      <c r="L28" s="323"/>
      <c r="M28" s="333"/>
      <c r="N28" s="327"/>
      <c r="O28" s="327"/>
      <c r="P28" s="327"/>
      <c r="Q28" s="328"/>
      <c r="R28" s="328"/>
      <c r="S28" s="328"/>
      <c r="T28" s="329"/>
      <c r="U28" s="329"/>
      <c r="V28" s="331"/>
      <c r="X28" s="333"/>
      <c r="Y28" s="327"/>
      <c r="Z28" s="327"/>
      <c r="AA28" s="328"/>
      <c r="AB28" s="331"/>
      <c r="AD28" s="333"/>
      <c r="AE28" s="327"/>
      <c r="AF28" s="327"/>
      <c r="AG28" s="328"/>
      <c r="AH28" s="331"/>
      <c r="AJ28" s="333"/>
      <c r="AK28" s="327"/>
      <c r="AL28" s="327"/>
      <c r="AM28" s="328"/>
      <c r="AN28" s="331"/>
      <c r="AP28" s="333"/>
      <c r="AQ28" s="327"/>
      <c r="AR28" s="327"/>
      <c r="AS28" s="327"/>
      <c r="AT28" s="328"/>
      <c r="AU28" s="328"/>
      <c r="AV28" s="328"/>
      <c r="AW28" s="329"/>
      <c r="AX28" s="329"/>
      <c r="AY28" s="331"/>
    </row>
    <row r="29" spans="2:51" ht="15" customHeight="1" x14ac:dyDescent="0.25">
      <c r="B29" s="333"/>
      <c r="C29" s="336">
        <f>SUM(IF(F29="",0,F29), IF(F30="",0,F30), IF(Q29="",0,Q29), IF(AT29="",0,AT29), IF(AA29="",0,AA29), IF(AG29="",0,AG29), IF(AM29="",0,AM29))</f>
        <v>0</v>
      </c>
      <c r="D29" s="327"/>
      <c r="E29" s="327" t="str">
        <f t="shared" si="0"/>
        <v/>
      </c>
      <c r="F29" s="328" t="str">
        <f t="shared" si="1"/>
        <v/>
      </c>
      <c r="G29" s="328"/>
      <c r="H29" s="328"/>
      <c r="I29" s="329"/>
      <c r="J29" s="329"/>
      <c r="K29" s="330"/>
      <c r="L29" s="323"/>
      <c r="M29" s="333" t="str">
        <f>IF(B29="","",B29)</f>
        <v/>
      </c>
      <c r="N29" s="327"/>
      <c r="O29" s="327"/>
      <c r="P29" s="327" t="str">
        <f>IF(O29="","",O29-O27)</f>
        <v/>
      </c>
      <c r="Q29" s="328" t="str">
        <f>IF(O29="","",P29*1000)</f>
        <v/>
      </c>
      <c r="R29" s="328"/>
      <c r="S29" s="328"/>
      <c r="T29" s="329"/>
      <c r="U29" s="329"/>
      <c r="V29" s="331"/>
      <c r="X29" s="333" t="str">
        <f>IF(AP29="","",AP29)</f>
        <v/>
      </c>
      <c r="Y29" s="327"/>
      <c r="Z29" s="327" t="str">
        <f>IF(Y29="","",Y29-Y27)</f>
        <v/>
      </c>
      <c r="AA29" s="328" t="str">
        <f>IF(Y29="","",Z29*1000)</f>
        <v/>
      </c>
      <c r="AB29" s="331"/>
      <c r="AD29" s="333" t="str">
        <f>IF(X29="","",X29)</f>
        <v/>
      </c>
      <c r="AE29" s="327"/>
      <c r="AF29" s="327" t="str">
        <f>IF(AE29="","",AE29-AE27)</f>
        <v/>
      </c>
      <c r="AG29" s="328" t="str">
        <f>IF(AE29="","",AF29*1000)</f>
        <v/>
      </c>
      <c r="AH29" s="331"/>
      <c r="AJ29" s="333" t="str">
        <f>IF(AD29="","",AD29)</f>
        <v/>
      </c>
      <c r="AK29" s="327"/>
      <c r="AL29" s="327" t="str">
        <f>IF(AK29="","",AK29-AK27)</f>
        <v/>
      </c>
      <c r="AM29" s="328" t="str">
        <f>IF(AK29="","",AL29*1000)</f>
        <v/>
      </c>
      <c r="AN29" s="331"/>
      <c r="AP29" s="333" t="str">
        <f>IF(M29="","",M29)</f>
        <v/>
      </c>
      <c r="AQ29" s="327"/>
      <c r="AR29" s="327"/>
      <c r="AS29" s="327" t="str">
        <f>IF(AR29="","",AR29-AR27)</f>
        <v/>
      </c>
      <c r="AT29" s="328" t="str">
        <f>IF(AR29="","",AS29*1000)</f>
        <v/>
      </c>
      <c r="AU29" s="328"/>
      <c r="AV29" s="328"/>
      <c r="AW29" s="329"/>
      <c r="AX29" s="329"/>
      <c r="AY29" s="331"/>
    </row>
    <row r="30" spans="2:51" ht="15" customHeight="1" x14ac:dyDescent="0.25">
      <c r="B30" s="333"/>
      <c r="C30" s="327"/>
      <c r="D30" s="327"/>
      <c r="E30" s="327" t="str">
        <f t="shared" si="0"/>
        <v/>
      </c>
      <c r="F30" s="328" t="str">
        <f t="shared" si="1"/>
        <v/>
      </c>
      <c r="G30" s="328"/>
      <c r="H30" s="328"/>
      <c r="I30" s="329"/>
      <c r="J30" s="329"/>
      <c r="K30" s="330"/>
      <c r="L30" s="323"/>
      <c r="M30" s="333"/>
      <c r="N30" s="327"/>
      <c r="O30" s="327"/>
      <c r="P30" s="327"/>
      <c r="Q30" s="328"/>
      <c r="R30" s="328"/>
      <c r="S30" s="328"/>
      <c r="T30" s="329"/>
      <c r="U30" s="329"/>
      <c r="V30" s="331"/>
      <c r="X30" s="333"/>
      <c r="Y30" s="327"/>
      <c r="Z30" s="327"/>
      <c r="AA30" s="328"/>
      <c r="AB30" s="331"/>
      <c r="AD30" s="333"/>
      <c r="AE30" s="327"/>
      <c r="AF30" s="327"/>
      <c r="AG30" s="328"/>
      <c r="AH30" s="331"/>
      <c r="AJ30" s="333"/>
      <c r="AK30" s="327"/>
      <c r="AL30" s="327"/>
      <c r="AM30" s="328"/>
      <c r="AN30" s="331"/>
      <c r="AP30" s="333"/>
      <c r="AQ30" s="327"/>
      <c r="AR30" s="327"/>
      <c r="AS30" s="327"/>
      <c r="AT30" s="328"/>
      <c r="AU30" s="328"/>
      <c r="AV30" s="328"/>
      <c r="AW30" s="329"/>
      <c r="AX30" s="329"/>
      <c r="AY30" s="331"/>
    </row>
    <row r="31" spans="2:51" ht="15" customHeight="1" x14ac:dyDescent="0.25">
      <c r="B31" s="333"/>
      <c r="C31" s="336">
        <f>SUM(IF(F31="",0,F31), IF(F32="",0,F32), IF(Q31="",0,Q31), IF(AT31="",0,AT31), IF(AA31="",0,AA31), IF(AG31="",0,AG31), IF(AM31="",0,AM31))</f>
        <v>0</v>
      </c>
      <c r="D31" s="327"/>
      <c r="E31" s="327" t="str">
        <f t="shared" si="0"/>
        <v/>
      </c>
      <c r="F31" s="328" t="str">
        <f t="shared" si="1"/>
        <v/>
      </c>
      <c r="G31" s="328"/>
      <c r="H31" s="328"/>
      <c r="I31" s="329"/>
      <c r="J31" s="329"/>
      <c r="K31" s="330"/>
      <c r="L31" s="323"/>
      <c r="M31" s="333" t="str">
        <f>IF(B31="","",B31)</f>
        <v/>
      </c>
      <c r="N31" s="327"/>
      <c r="O31" s="327"/>
      <c r="P31" s="327" t="str">
        <f>IF(O31="","",O31-O29)</f>
        <v/>
      </c>
      <c r="Q31" s="328" t="str">
        <f>IF(O31="","",P31*1000)</f>
        <v/>
      </c>
      <c r="R31" s="328"/>
      <c r="S31" s="328"/>
      <c r="T31" s="329"/>
      <c r="U31" s="329"/>
      <c r="V31" s="331"/>
      <c r="X31" s="333" t="str">
        <f>IF(AP31="","",AP31)</f>
        <v/>
      </c>
      <c r="Y31" s="327"/>
      <c r="Z31" s="327" t="str">
        <f>IF(Y31="","",Y31-Y29)</f>
        <v/>
      </c>
      <c r="AA31" s="328" t="str">
        <f>IF(Y31="","",Z31*1000)</f>
        <v/>
      </c>
      <c r="AB31" s="331"/>
      <c r="AD31" s="333" t="str">
        <f>IF(X31="","",X31)</f>
        <v/>
      </c>
      <c r="AE31" s="327"/>
      <c r="AF31" s="327" t="str">
        <f>IF(AE31="","",AE31-AE29)</f>
        <v/>
      </c>
      <c r="AG31" s="328" t="str">
        <f>IF(AE31="","",AF31*1000)</f>
        <v/>
      </c>
      <c r="AH31" s="331"/>
      <c r="AJ31" s="333" t="str">
        <f>IF(AD31="","",AD31)</f>
        <v/>
      </c>
      <c r="AK31" s="327"/>
      <c r="AL31" s="327" t="str">
        <f>IF(AK31="","",AK31-AK29)</f>
        <v/>
      </c>
      <c r="AM31" s="328" t="str">
        <f>IF(AK31="","",AL31*1000)</f>
        <v/>
      </c>
      <c r="AN31" s="331"/>
      <c r="AP31" s="333" t="str">
        <f>IF(M31="","",M31)</f>
        <v/>
      </c>
      <c r="AQ31" s="327"/>
      <c r="AR31" s="327"/>
      <c r="AS31" s="327" t="str">
        <f>IF(AR31="","",AR31-AR29)</f>
        <v/>
      </c>
      <c r="AT31" s="328" t="str">
        <f>IF(AR31="","",AS31*1000)</f>
        <v/>
      </c>
      <c r="AU31" s="328"/>
      <c r="AV31" s="328"/>
      <c r="AW31" s="329"/>
      <c r="AX31" s="329"/>
      <c r="AY31" s="331"/>
    </row>
    <row r="32" spans="2:51" ht="15" customHeight="1" x14ac:dyDescent="0.25">
      <c r="B32" s="333"/>
      <c r="C32" s="327"/>
      <c r="D32" s="327"/>
      <c r="E32" s="327" t="str">
        <f t="shared" si="0"/>
        <v/>
      </c>
      <c r="F32" s="328" t="str">
        <f t="shared" si="1"/>
        <v/>
      </c>
      <c r="G32" s="328"/>
      <c r="H32" s="328"/>
      <c r="I32" s="329"/>
      <c r="J32" s="329"/>
      <c r="K32" s="330"/>
      <c r="L32" s="323"/>
      <c r="M32" s="333"/>
      <c r="N32" s="327"/>
      <c r="O32" s="327"/>
      <c r="P32" s="327"/>
      <c r="Q32" s="328"/>
      <c r="R32" s="328"/>
      <c r="S32" s="328"/>
      <c r="T32" s="329"/>
      <c r="U32" s="329"/>
      <c r="V32" s="331"/>
      <c r="X32" s="333"/>
      <c r="Y32" s="327"/>
      <c r="Z32" s="327"/>
      <c r="AA32" s="328"/>
      <c r="AB32" s="331"/>
      <c r="AD32" s="333"/>
      <c r="AE32" s="327"/>
      <c r="AF32" s="327"/>
      <c r="AG32" s="328"/>
      <c r="AH32" s="331"/>
      <c r="AJ32" s="333"/>
      <c r="AK32" s="327"/>
      <c r="AL32" s="327"/>
      <c r="AM32" s="328"/>
      <c r="AN32" s="331"/>
      <c r="AP32" s="333"/>
      <c r="AQ32" s="327"/>
      <c r="AR32" s="327"/>
      <c r="AS32" s="327"/>
      <c r="AT32" s="328"/>
      <c r="AU32" s="328"/>
      <c r="AV32" s="328"/>
      <c r="AW32" s="329"/>
      <c r="AX32" s="329"/>
      <c r="AY32" s="331"/>
    </row>
    <row r="33" spans="2:51" ht="15" customHeight="1" x14ac:dyDescent="0.25">
      <c r="B33" s="333"/>
      <c r="C33" s="336">
        <f>SUM(IF(F33="",0,F33), IF(F34="",0,F34), IF(Q33="",0,Q33), IF(AT33="",0,AT33), IF(AA33="",0,AA33), IF(AG33="",0,AG33), IF(AM33="",0,AM33))</f>
        <v>0</v>
      </c>
      <c r="D33" s="327"/>
      <c r="E33" s="327" t="str">
        <f t="shared" si="0"/>
        <v/>
      </c>
      <c r="F33" s="328" t="str">
        <f t="shared" si="1"/>
        <v/>
      </c>
      <c r="G33" s="328"/>
      <c r="H33" s="328"/>
      <c r="I33" s="329"/>
      <c r="J33" s="329"/>
      <c r="K33" s="330"/>
      <c r="L33" s="323"/>
      <c r="M33" s="333" t="str">
        <f>IF(B33="","",B33)</f>
        <v/>
      </c>
      <c r="N33" s="327"/>
      <c r="O33" s="327"/>
      <c r="P33" s="327" t="str">
        <f>IF(O33="","",O33-O31)</f>
        <v/>
      </c>
      <c r="Q33" s="328" t="str">
        <f>IF(O33="","",P33*1000)</f>
        <v/>
      </c>
      <c r="R33" s="328"/>
      <c r="S33" s="328"/>
      <c r="T33" s="329"/>
      <c r="U33" s="329"/>
      <c r="V33" s="331"/>
      <c r="X33" s="333" t="str">
        <f>IF(AP33="","",AP33)</f>
        <v/>
      </c>
      <c r="Y33" s="327"/>
      <c r="Z33" s="327" t="str">
        <f>IF(Y33="","",Y33-Y31)</f>
        <v/>
      </c>
      <c r="AA33" s="328" t="str">
        <f>IF(Y33="","",Z33*1000)</f>
        <v/>
      </c>
      <c r="AB33" s="331"/>
      <c r="AD33" s="333" t="str">
        <f>IF(X33="","",X33)</f>
        <v/>
      </c>
      <c r="AE33" s="327"/>
      <c r="AF33" s="327" t="str">
        <f>IF(AE33="","",AE33-AE31)</f>
        <v/>
      </c>
      <c r="AG33" s="328" t="str">
        <f>IF(AE33="","",AF33*1000)</f>
        <v/>
      </c>
      <c r="AH33" s="331"/>
      <c r="AJ33" s="333" t="str">
        <f>IF(AD33="","",AD33)</f>
        <v/>
      </c>
      <c r="AK33" s="327"/>
      <c r="AL33" s="327" t="str">
        <f>IF(AK33="","",AK33-AK31)</f>
        <v/>
      </c>
      <c r="AM33" s="328" t="str">
        <f>IF(AK33="","",AL33*1000)</f>
        <v/>
      </c>
      <c r="AN33" s="331"/>
      <c r="AP33" s="333" t="str">
        <f>IF(M33="","",M33)</f>
        <v/>
      </c>
      <c r="AQ33" s="327"/>
      <c r="AR33" s="327"/>
      <c r="AS33" s="327" t="str">
        <f>IF(AR33="","",AR33-AR31)</f>
        <v/>
      </c>
      <c r="AT33" s="328" t="str">
        <f>IF(AR33="","",AS33*1000)</f>
        <v/>
      </c>
      <c r="AU33" s="328"/>
      <c r="AV33" s="328"/>
      <c r="AW33" s="329"/>
      <c r="AX33" s="329"/>
      <c r="AY33" s="331"/>
    </row>
    <row r="34" spans="2:51" ht="15" customHeight="1" x14ac:dyDescent="0.25">
      <c r="B34" s="333"/>
      <c r="C34" s="327"/>
      <c r="D34" s="327"/>
      <c r="E34" s="327" t="str">
        <f t="shared" si="0"/>
        <v/>
      </c>
      <c r="F34" s="328" t="str">
        <f t="shared" si="1"/>
        <v/>
      </c>
      <c r="G34" s="328"/>
      <c r="H34" s="328"/>
      <c r="I34" s="329"/>
      <c r="J34" s="329"/>
      <c r="K34" s="330"/>
      <c r="L34" s="323"/>
      <c r="M34" s="333"/>
      <c r="N34" s="327"/>
      <c r="O34" s="327"/>
      <c r="P34" s="327"/>
      <c r="Q34" s="328"/>
      <c r="R34" s="328"/>
      <c r="S34" s="328"/>
      <c r="T34" s="329"/>
      <c r="U34" s="329"/>
      <c r="V34" s="331"/>
      <c r="X34" s="333"/>
      <c r="Y34" s="327"/>
      <c r="Z34" s="327"/>
      <c r="AA34" s="328"/>
      <c r="AB34" s="331"/>
      <c r="AD34" s="333"/>
      <c r="AE34" s="327"/>
      <c r="AF34" s="327"/>
      <c r="AG34" s="328"/>
      <c r="AH34" s="331"/>
      <c r="AJ34" s="333"/>
      <c r="AK34" s="327"/>
      <c r="AL34" s="327"/>
      <c r="AM34" s="328"/>
      <c r="AN34" s="331"/>
      <c r="AP34" s="333"/>
      <c r="AQ34" s="327"/>
      <c r="AR34" s="327"/>
      <c r="AS34" s="327"/>
      <c r="AT34" s="328"/>
      <c r="AU34" s="328"/>
      <c r="AV34" s="328"/>
      <c r="AW34" s="329"/>
      <c r="AX34" s="329"/>
      <c r="AY34" s="331"/>
    </row>
    <row r="35" spans="2:51" ht="15" customHeight="1" x14ac:dyDescent="0.25">
      <c r="B35" s="333"/>
      <c r="C35" s="336">
        <f>SUM(IF(F35="",0,F35), IF(F36="",0,F36), IF(Q35="",0,Q35), IF(AT35="",0,AT35), IF(AA35="",0,AA35), IF(AG35="",0,AG35), IF(AM35="",0,AM35))</f>
        <v>0</v>
      </c>
      <c r="D35" s="327"/>
      <c r="E35" s="327" t="str">
        <f t="shared" si="0"/>
        <v/>
      </c>
      <c r="F35" s="328" t="str">
        <f t="shared" si="1"/>
        <v/>
      </c>
      <c r="G35" s="328"/>
      <c r="H35" s="328"/>
      <c r="I35" s="329"/>
      <c r="J35" s="329"/>
      <c r="K35" s="330"/>
      <c r="L35" s="323"/>
      <c r="M35" s="333" t="str">
        <f>IF(B35="","",B35)</f>
        <v/>
      </c>
      <c r="N35" s="327"/>
      <c r="O35" s="327"/>
      <c r="P35" s="327" t="str">
        <f>IF(O35="","",O35-O33)</f>
        <v/>
      </c>
      <c r="Q35" s="328" t="str">
        <f>IF(O35="","",P35*1000)</f>
        <v/>
      </c>
      <c r="R35" s="328"/>
      <c r="S35" s="328"/>
      <c r="T35" s="329"/>
      <c r="U35" s="329"/>
      <c r="V35" s="331"/>
      <c r="X35" s="333" t="str">
        <f>IF(AP35="","",AP35)</f>
        <v/>
      </c>
      <c r="Y35" s="327"/>
      <c r="Z35" s="327" t="str">
        <f>IF(Y35="","",Y35-Y33)</f>
        <v/>
      </c>
      <c r="AA35" s="328" t="str">
        <f>IF(Y35="","",Z35*1000)</f>
        <v/>
      </c>
      <c r="AB35" s="331"/>
      <c r="AD35" s="333" t="str">
        <f>IF(X35="","",X35)</f>
        <v/>
      </c>
      <c r="AE35" s="327"/>
      <c r="AF35" s="327" t="str">
        <f>IF(AE35="","",AE35-AE33)</f>
        <v/>
      </c>
      <c r="AG35" s="328" t="str">
        <f>IF(AE35="","",AF35*1000)</f>
        <v/>
      </c>
      <c r="AH35" s="331"/>
      <c r="AJ35" s="333" t="str">
        <f>IF(AD35="","",AD35)</f>
        <v/>
      </c>
      <c r="AK35" s="327"/>
      <c r="AL35" s="327" t="str">
        <f>IF(AK35="","",AK35-AK33)</f>
        <v/>
      </c>
      <c r="AM35" s="328" t="str">
        <f>IF(AK35="","",AL35*1000)</f>
        <v/>
      </c>
      <c r="AN35" s="331"/>
      <c r="AP35" s="333" t="str">
        <f>IF(M35="","",M35)</f>
        <v/>
      </c>
      <c r="AQ35" s="327"/>
      <c r="AR35" s="327"/>
      <c r="AS35" s="327" t="str">
        <f>IF(AR35="","",AR35-AR33)</f>
        <v/>
      </c>
      <c r="AT35" s="328" t="str">
        <f>IF(AR35="","",AS35*1000)</f>
        <v/>
      </c>
      <c r="AU35" s="328"/>
      <c r="AV35" s="328"/>
      <c r="AW35" s="329"/>
      <c r="AX35" s="329"/>
      <c r="AY35" s="331"/>
    </row>
    <row r="36" spans="2:51" ht="15" customHeight="1" x14ac:dyDescent="0.25">
      <c r="B36" s="333"/>
      <c r="C36" s="327"/>
      <c r="D36" s="327"/>
      <c r="E36" s="327" t="str">
        <f t="shared" si="0"/>
        <v/>
      </c>
      <c r="F36" s="328" t="str">
        <f t="shared" si="1"/>
        <v/>
      </c>
      <c r="G36" s="328"/>
      <c r="H36" s="328"/>
      <c r="I36" s="329"/>
      <c r="J36" s="329"/>
      <c r="K36" s="330"/>
      <c r="L36" s="323"/>
      <c r="M36" s="333"/>
      <c r="N36" s="327"/>
      <c r="O36" s="327"/>
      <c r="P36" s="327"/>
      <c r="Q36" s="328"/>
      <c r="R36" s="328"/>
      <c r="S36" s="328"/>
      <c r="T36" s="329"/>
      <c r="U36" s="329"/>
      <c r="V36" s="331"/>
      <c r="X36" s="333"/>
      <c r="Y36" s="327"/>
      <c r="Z36" s="327"/>
      <c r="AA36" s="328"/>
      <c r="AB36" s="331"/>
      <c r="AD36" s="333"/>
      <c r="AE36" s="327"/>
      <c r="AF36" s="327"/>
      <c r="AG36" s="328"/>
      <c r="AH36" s="331"/>
      <c r="AJ36" s="333"/>
      <c r="AK36" s="327"/>
      <c r="AL36" s="327"/>
      <c r="AM36" s="328"/>
      <c r="AN36" s="331"/>
      <c r="AP36" s="333"/>
      <c r="AQ36" s="327"/>
      <c r="AR36" s="327"/>
      <c r="AS36" s="327"/>
      <c r="AT36" s="328"/>
      <c r="AU36" s="328"/>
      <c r="AV36" s="328"/>
      <c r="AW36" s="329"/>
      <c r="AX36" s="329"/>
      <c r="AY36" s="331"/>
    </row>
    <row r="37" spans="2:51" ht="15" customHeight="1" x14ac:dyDescent="0.25">
      <c r="B37" s="393" t="e">
        <f>DATEDIF(#REF!,B$17,"d")</f>
        <v>#REF!</v>
      </c>
      <c r="C37" s="338"/>
      <c r="D37" s="338"/>
      <c r="E37" s="338" t="str">
        <f>IF(D37="","",D37-D29)</f>
        <v/>
      </c>
      <c r="F37" s="328" t="str">
        <f t="shared" si="1"/>
        <v/>
      </c>
      <c r="G37" s="338"/>
      <c r="H37" s="338"/>
      <c r="I37" s="338"/>
      <c r="J37" s="338"/>
      <c r="K37" s="339"/>
      <c r="L37" s="340"/>
      <c r="M37" s="337" t="e">
        <f>IF(B37="","",B37)</f>
        <v>#REF!</v>
      </c>
      <c r="N37" s="338"/>
      <c r="O37" s="338"/>
      <c r="P37" s="338" t="str">
        <f>IF(O37="","",O37-O29)</f>
        <v/>
      </c>
      <c r="Q37" s="338" t="str">
        <f>IF(O37="","",P37*1000)</f>
        <v/>
      </c>
      <c r="R37" s="338"/>
      <c r="S37" s="338"/>
      <c r="T37" s="338"/>
      <c r="U37" s="338"/>
      <c r="V37" s="341"/>
      <c r="W37" s="238"/>
      <c r="X37" s="337" t="e">
        <f>IF(AP37="","",AP37)</f>
        <v>#REF!</v>
      </c>
      <c r="Y37" s="338"/>
      <c r="Z37" s="338" t="str">
        <f>IF(Y37="","",Y37-Y29)</f>
        <v/>
      </c>
      <c r="AA37" s="338" t="str">
        <f>IF(Y37="","",Z37*1000)</f>
        <v/>
      </c>
      <c r="AB37" s="341"/>
      <c r="AC37" s="238"/>
      <c r="AD37" s="337" t="e">
        <f>IF(X37="","",X37)</f>
        <v>#REF!</v>
      </c>
      <c r="AE37" s="338"/>
      <c r="AF37" s="338" t="str">
        <f>IF(AE37="","",AE37-AE29)</f>
        <v/>
      </c>
      <c r="AG37" s="338" t="str">
        <f>IF(AE37="","",AF37*1000)</f>
        <v/>
      </c>
      <c r="AH37" s="341"/>
      <c r="AI37" s="238"/>
      <c r="AJ37" s="337" t="e">
        <f>IF(AD37="","",AD37)</f>
        <v>#REF!</v>
      </c>
      <c r="AK37" s="338"/>
      <c r="AL37" s="338" t="str">
        <f>IF(AK37="","",AK37-AK29)</f>
        <v/>
      </c>
      <c r="AM37" s="338" t="str">
        <f>IF(AK37="","",AL37*1000)</f>
        <v/>
      </c>
      <c r="AN37" s="341"/>
      <c r="AO37" s="238"/>
      <c r="AP37" s="337" t="e">
        <f>IF(M37="","",M37)</f>
        <v>#REF!</v>
      </c>
      <c r="AQ37" s="338"/>
      <c r="AR37" s="338"/>
      <c r="AS37" s="338" t="str">
        <f>IF(AR37="","",AR37-AR29)</f>
        <v/>
      </c>
      <c r="AT37" s="338" t="str">
        <f>IF(AR37="","",AS37*1000)</f>
        <v/>
      </c>
      <c r="AU37" s="338"/>
      <c r="AV37" s="338"/>
      <c r="AW37" s="338"/>
      <c r="AX37" s="338"/>
      <c r="AY37" s="341"/>
    </row>
    <row r="38" spans="2:51" ht="15" customHeight="1" x14ac:dyDescent="0.25">
      <c r="B38" s="333"/>
      <c r="C38" s="327"/>
      <c r="D38" s="327"/>
      <c r="E38" s="327" t="str">
        <f>IF(D38="","",D38-D34)</f>
        <v/>
      </c>
      <c r="F38" s="328" t="str">
        <f t="shared" si="1"/>
        <v/>
      </c>
      <c r="G38" s="328"/>
      <c r="H38" s="328"/>
      <c r="I38" s="329"/>
      <c r="J38" s="329"/>
      <c r="K38" s="330"/>
      <c r="L38" s="323"/>
      <c r="M38" s="333"/>
      <c r="N38" s="327"/>
      <c r="O38" s="327"/>
      <c r="P38" s="327"/>
      <c r="Q38" s="328"/>
      <c r="R38" s="328"/>
      <c r="S38" s="328"/>
      <c r="T38" s="329"/>
      <c r="U38" s="329"/>
      <c r="V38" s="331"/>
      <c r="X38" s="333"/>
      <c r="Y38" s="327"/>
      <c r="Z38" s="327"/>
      <c r="AA38" s="328"/>
      <c r="AB38" s="331"/>
      <c r="AD38" s="333"/>
      <c r="AE38" s="327"/>
      <c r="AF38" s="327"/>
      <c r="AG38" s="328"/>
      <c r="AH38" s="331"/>
      <c r="AJ38" s="333"/>
      <c r="AK38" s="327"/>
      <c r="AL38" s="327"/>
      <c r="AM38" s="328"/>
      <c r="AN38" s="331"/>
      <c r="AP38" s="333"/>
      <c r="AQ38" s="327"/>
      <c r="AR38" s="327"/>
      <c r="AS38" s="327"/>
      <c r="AT38" s="328"/>
      <c r="AU38" s="328"/>
      <c r="AV38" s="328"/>
      <c r="AW38" s="329"/>
      <c r="AX38" s="329"/>
      <c r="AY38" s="331"/>
    </row>
    <row r="39" spans="2:51" ht="15" customHeight="1" x14ac:dyDescent="0.25">
      <c r="B39" s="380">
        <f>SUM(E3, E5, E7, E9, E11, E13, E15, E17, E19, E21, E23, E25, E39,E27,E29,E31,E33,E35,E37)</f>
        <v>1026</v>
      </c>
      <c r="C39" s="327"/>
      <c r="D39" s="327"/>
      <c r="E39" s="327" t="str">
        <f>IF(D39="","",D39-D37)</f>
        <v/>
      </c>
      <c r="F39" s="328" t="str">
        <f t="shared" si="1"/>
        <v/>
      </c>
      <c r="G39" s="328"/>
      <c r="H39" s="328"/>
      <c r="I39" s="329"/>
      <c r="J39" s="329"/>
      <c r="K39" s="330"/>
      <c r="L39" s="323"/>
      <c r="M39" s="334">
        <f>SUM(P3, P5, P7, P9, P11, P13, P15, P17, P19, P21, P29, P37, P39)</f>
        <v>120</v>
      </c>
      <c r="N39" s="327"/>
      <c r="O39" s="327"/>
      <c r="P39" s="327" t="str">
        <f>IF(O39="","",O39-O37)</f>
        <v/>
      </c>
      <c r="Q39" s="328" t="str">
        <f>IF(O39="","",P39*1000)</f>
        <v/>
      </c>
      <c r="R39" s="328"/>
      <c r="S39" s="328"/>
      <c r="T39" s="329"/>
      <c r="U39" s="329"/>
      <c r="V39" s="331"/>
      <c r="X39" s="334">
        <f>SUM(Z3, Z5, Z7, Z9, Z11, Z13, Z15, Z17, Z19, Z21, Z29, Z37, Z39)</f>
        <v>108</v>
      </c>
      <c r="Y39" s="327"/>
      <c r="Z39" s="327" t="str">
        <f>IF(Y39="","",Y39-Y37)</f>
        <v/>
      </c>
      <c r="AA39" s="328" t="str">
        <f>IF(Y39="","",Z39*1000)</f>
        <v/>
      </c>
      <c r="AB39" s="331"/>
      <c r="AD39" s="334">
        <f>SUM(AF3, AF5, AF7, AF9, AF11, AF13, AF15, AF17, AF19, AF21, AF29, AF37, AF39)</f>
        <v>94</v>
      </c>
      <c r="AE39" s="327"/>
      <c r="AF39" s="327" t="str">
        <f>IF(AE39="","",AE39-AE37)</f>
        <v/>
      </c>
      <c r="AG39" s="328" t="str">
        <f>IF(AE39="","",AF39*1000)</f>
        <v/>
      </c>
      <c r="AH39" s="331"/>
      <c r="AJ39" s="334">
        <f>SUM(AL3, AL5, AL7, AL9, AL11, AL13, AL15, AL17, AL19, AL21, AL29, AL37, AL39)</f>
        <v>106</v>
      </c>
      <c r="AK39" s="327"/>
      <c r="AL39" s="327" t="str">
        <f>IF(AK39="","",AK39-AK37)</f>
        <v/>
      </c>
      <c r="AM39" s="328" t="str">
        <f>IF(AK39="","",AL39*1000)</f>
        <v/>
      </c>
      <c r="AN39" s="331"/>
      <c r="AP39" s="334">
        <f>SUM(AS3, AS5, AS7, AS9, AS11, AS13, AS15, AS17, AS19, AS21, AS29, AS37, AS39)</f>
        <v>56</v>
      </c>
      <c r="AQ39" s="327"/>
      <c r="AR39" s="327"/>
      <c r="AS39" s="327" t="str">
        <f>IF(AR39="","",AR39-AR37)</f>
        <v/>
      </c>
      <c r="AT39" s="328" t="str">
        <f>IF(AR39="","",AS39*1000)</f>
        <v/>
      </c>
      <c r="AU39" s="328"/>
      <c r="AV39" s="328"/>
      <c r="AW39" s="329"/>
      <c r="AX39" s="329"/>
      <c r="AY39" s="331"/>
    </row>
    <row r="40" spans="2:51" ht="15" customHeight="1" x14ac:dyDescent="0.25">
      <c r="B40" s="380">
        <f>SUM(E4, E6, E8, E10, E12, E14, E16, E18, E20, E22, E24, E26, E40,E28,E30,E32,E34,E36,E38)</f>
        <v>515</v>
      </c>
      <c r="C40" s="327"/>
      <c r="D40" s="327"/>
      <c r="E40" s="327" t="str">
        <f>IF(D40="","",D40-D38)</f>
        <v/>
      </c>
      <c r="F40" s="328" t="str">
        <f t="shared" si="1"/>
        <v/>
      </c>
      <c r="G40" s="328"/>
      <c r="H40" s="328"/>
      <c r="I40" s="329"/>
      <c r="J40" s="329"/>
      <c r="K40" s="330"/>
      <c r="L40" s="323"/>
      <c r="M40" s="334">
        <f>SUM(P4, P6, P8, P10, P12, P14, P16, P18, P20, P22, P34, P38, P40)</f>
        <v>0</v>
      </c>
      <c r="N40" s="327"/>
      <c r="O40" s="327"/>
      <c r="P40" s="327"/>
      <c r="Q40" s="328"/>
      <c r="R40" s="328"/>
      <c r="S40" s="328"/>
      <c r="T40" s="329"/>
      <c r="U40" s="329"/>
      <c r="V40" s="331"/>
      <c r="X40" s="334">
        <f>SUM(Z4, Z6, Z8, Z10, Z12, Z14, Z16, Z18, Z20, Z22, Z34, Z38, Z40)</f>
        <v>0</v>
      </c>
      <c r="Y40" s="327"/>
      <c r="Z40" s="327"/>
      <c r="AA40" s="328"/>
      <c r="AB40" s="331"/>
      <c r="AD40" s="334">
        <f>SUM(AF4, AF6, AF8, AF10, AF12, AF14, AF16, AF18, AF20, AF22, AF34, AF38, AF40)</f>
        <v>0</v>
      </c>
      <c r="AE40" s="327"/>
      <c r="AF40" s="327"/>
      <c r="AG40" s="328"/>
      <c r="AH40" s="331"/>
      <c r="AJ40" s="334">
        <f>SUM(AL4, AL6, AL8, AL10, AL12, AL14, AL16, AL18, AL20, AL22, AL34, AL38, AL40)</f>
        <v>0</v>
      </c>
      <c r="AK40" s="327"/>
      <c r="AL40" s="327"/>
      <c r="AM40" s="328"/>
      <c r="AN40" s="331"/>
      <c r="AP40" s="334">
        <f>SUM(AS4, AS6, AS8, AS10, AS12, AS14, AS16, AS18, AS20, AS22, AS34, AS38, AS40)</f>
        <v>0</v>
      </c>
      <c r="AQ40" s="327"/>
      <c r="AR40" s="327"/>
      <c r="AS40" s="327"/>
      <c r="AT40" s="328"/>
      <c r="AU40" s="328"/>
      <c r="AV40" s="328"/>
      <c r="AW40" s="329"/>
      <c r="AX40" s="329"/>
      <c r="AY40" s="331"/>
    </row>
    <row r="41" spans="2:51" ht="15" customHeight="1" x14ac:dyDescent="0.25">
      <c r="B41" s="333"/>
      <c r="C41" s="328">
        <f>SUM(C3:C34)</f>
        <v>638100</v>
      </c>
      <c r="D41" s="327"/>
      <c r="E41" s="328">
        <f>SUM(E3:E40)</f>
        <v>1541</v>
      </c>
      <c r="F41" s="328">
        <f>SUM(F3:F40)</f>
        <v>154100</v>
      </c>
      <c r="G41" s="328">
        <f>SUM(G3:G14)</f>
        <v>0</v>
      </c>
      <c r="H41" s="328">
        <f>SUM(H3:H14)</f>
        <v>0</v>
      </c>
      <c r="I41" s="328">
        <f>SUM(I3:I14)</f>
        <v>0</v>
      </c>
      <c r="J41" s="328">
        <f>SUM(J3:J14)</f>
        <v>0</v>
      </c>
      <c r="K41" s="330"/>
      <c r="L41" s="322"/>
      <c r="M41" s="327"/>
      <c r="N41" s="327"/>
      <c r="O41" s="327"/>
      <c r="P41" s="328">
        <f>SUM(P3:P39)</f>
        <v>120</v>
      </c>
      <c r="Q41" s="328">
        <f>SUM(Q3:Q40)</f>
        <v>120000</v>
      </c>
      <c r="R41" s="328">
        <f>SUM(R3:R14)</f>
        <v>0</v>
      </c>
      <c r="S41" s="328">
        <f>SUM(S3:S14)</f>
        <v>0</v>
      </c>
      <c r="T41" s="328">
        <f>SUM(T3:T14)</f>
        <v>0</v>
      </c>
      <c r="U41" s="328">
        <f>SUM(U3:U14)</f>
        <v>0</v>
      </c>
      <c r="V41" s="328"/>
      <c r="X41" s="327"/>
      <c r="Y41" s="327"/>
      <c r="Z41" s="328">
        <f>SUM(Z3:Z39)</f>
        <v>108</v>
      </c>
      <c r="AA41" s="328">
        <f>SUM(AA3:AA40)</f>
        <v>108000</v>
      </c>
      <c r="AB41" s="328"/>
      <c r="AD41" s="327"/>
      <c r="AE41" s="327"/>
      <c r="AF41" s="328">
        <f>SUM(AF3:AF39)</f>
        <v>94</v>
      </c>
      <c r="AG41" s="328">
        <f>SUM(AG3:AG40)</f>
        <v>94000</v>
      </c>
      <c r="AH41" s="328"/>
      <c r="AJ41" s="327"/>
      <c r="AK41" s="327"/>
      <c r="AL41" s="328">
        <f>SUM(AL3:AL39)</f>
        <v>106</v>
      </c>
      <c r="AM41" s="328">
        <f>SUM(AM3:AM40)</f>
        <v>106000</v>
      </c>
      <c r="AN41" s="328"/>
      <c r="AP41" s="327"/>
      <c r="AQ41" s="327"/>
      <c r="AR41" s="327"/>
      <c r="AS41" s="328">
        <f>SUM(AS3:AS39)</f>
        <v>56</v>
      </c>
      <c r="AT41" s="328">
        <f>SUM(AT3:AT40)</f>
        <v>56000</v>
      </c>
      <c r="AU41" s="328">
        <f>SUM(AU3:AU14)</f>
        <v>0</v>
      </c>
      <c r="AV41" s="328">
        <f>SUM(AV3:AV14)</f>
        <v>0</v>
      </c>
      <c r="AW41" s="328">
        <f>SUM(AW3:AW14)</f>
        <v>0</v>
      </c>
      <c r="AX41" s="328">
        <f>SUM(AX3:AX14)</f>
        <v>0</v>
      </c>
      <c r="AY41" s="328"/>
    </row>
    <row r="42" spans="2:51" ht="15" customHeight="1" x14ac:dyDescent="0.15">
      <c r="B42" s="386" t="s">
        <v>126</v>
      </c>
      <c r="C42" s="387" t="s">
        <v>127</v>
      </c>
      <c r="D42" s="388" t="s">
        <v>128</v>
      </c>
      <c r="E42" s="392" t="s">
        <v>129</v>
      </c>
      <c r="F42" s="382" t="s">
        <v>130</v>
      </c>
      <c r="G42" s="389"/>
      <c r="H42" s="389"/>
      <c r="I42" s="389"/>
      <c r="J42" s="389"/>
      <c r="K42" s="389"/>
      <c r="L42" s="381"/>
      <c r="M42" s="390"/>
      <c r="N42" s="390"/>
      <c r="O42" s="390"/>
      <c r="P42" s="389" t="s">
        <v>129</v>
      </c>
      <c r="Q42" s="382" t="s">
        <v>130</v>
      </c>
      <c r="R42" s="389"/>
      <c r="S42" s="389"/>
      <c r="T42" s="389"/>
      <c r="U42" s="389"/>
      <c r="V42" s="389"/>
      <c r="W42" s="317"/>
      <c r="X42" s="390"/>
      <c r="Y42" s="390"/>
      <c r="Z42" s="389" t="s">
        <v>129</v>
      </c>
      <c r="AA42" s="382" t="s">
        <v>130</v>
      </c>
      <c r="AB42" s="389"/>
      <c r="AC42" s="317"/>
      <c r="AD42" s="390"/>
      <c r="AE42" s="390"/>
      <c r="AF42" s="389" t="s">
        <v>129</v>
      </c>
      <c r="AG42" s="382" t="s">
        <v>130</v>
      </c>
      <c r="AH42" s="389"/>
      <c r="AI42" s="317"/>
      <c r="AJ42" s="390"/>
      <c r="AK42" s="390"/>
      <c r="AL42" s="389" t="s">
        <v>129</v>
      </c>
      <c r="AM42" s="382" t="s">
        <v>130</v>
      </c>
      <c r="AN42" s="389"/>
      <c r="AO42" s="317"/>
      <c r="AP42" s="390"/>
      <c r="AQ42" s="390"/>
      <c r="AR42" s="390"/>
      <c r="AS42" s="389" t="s">
        <v>129</v>
      </c>
      <c r="AT42" s="382" t="s">
        <v>130</v>
      </c>
      <c r="AU42" s="389"/>
      <c r="AV42" s="389"/>
      <c r="AW42" s="389"/>
      <c r="AX42" s="389"/>
      <c r="AY42" s="389"/>
    </row>
    <row r="43" spans="2:51" ht="15" customHeight="1" x14ac:dyDescent="0.2">
      <c r="B43" s="235">
        <v>30</v>
      </c>
      <c r="C43" s="318" t="e">
        <f>C41/B37</f>
        <v>#REF!</v>
      </c>
      <c r="D43" s="318" t="e">
        <f>C43*B43</f>
        <v>#REF!</v>
      </c>
      <c r="E43" s="236" t="e">
        <f>E41/B37*100</f>
        <v>#REF!</v>
      </c>
      <c r="F43" s="236" t="e">
        <f>E43*B43</f>
        <v>#REF!</v>
      </c>
      <c r="P43" s="236" t="e">
        <f>P41/M37*1000</f>
        <v>#REF!</v>
      </c>
      <c r="Q43" s="236" t="e">
        <f>P43*B43</f>
        <v>#REF!</v>
      </c>
      <c r="Z43" s="236" t="e">
        <f>Z41/X37*1000</f>
        <v>#REF!</v>
      </c>
      <c r="AA43" s="236" t="e">
        <f>Z43*B43</f>
        <v>#REF!</v>
      </c>
      <c r="AF43" s="236" t="e">
        <f>AF41/AD37*1000</f>
        <v>#REF!</v>
      </c>
      <c r="AG43" s="236" t="e">
        <f>AF43*B43</f>
        <v>#REF!</v>
      </c>
      <c r="AL43" s="236" t="e">
        <f>AL41/AJ37*1000</f>
        <v>#REF!</v>
      </c>
      <c r="AM43" s="236" t="e">
        <f>AL43*B43</f>
        <v>#REF!</v>
      </c>
      <c r="AS43" s="236" t="e">
        <f>AS41/AP37*1000</f>
        <v>#REF!</v>
      </c>
      <c r="AT43" s="236" t="e">
        <f>AS43*B43</f>
        <v>#REF!</v>
      </c>
    </row>
    <row r="45" spans="2:51" ht="18" customHeight="1" x14ac:dyDescent="0.25">
      <c r="B45" s="332" t="s">
        <v>108</v>
      </c>
      <c r="C45" s="319"/>
      <c r="D45" s="319"/>
      <c r="E45" s="319"/>
      <c r="F45" s="319"/>
      <c r="G45" s="319"/>
      <c r="H45" s="319"/>
      <c r="I45" s="319"/>
      <c r="J45" s="320"/>
      <c r="K45" s="321"/>
      <c r="L45" s="319"/>
      <c r="M45" s="332" t="s">
        <v>109</v>
      </c>
      <c r="N45" s="319"/>
      <c r="O45" s="319"/>
      <c r="P45" s="319"/>
      <c r="Q45" s="319"/>
      <c r="R45" s="319"/>
      <c r="S45" s="319"/>
      <c r="T45" s="319"/>
      <c r="U45" s="320"/>
      <c r="V45" s="319"/>
      <c r="X45" s="844" t="s">
        <v>111</v>
      </c>
      <c r="Y45" s="844"/>
      <c r="Z45" s="319"/>
      <c r="AA45" s="319"/>
      <c r="AB45" s="319"/>
      <c r="AD45" s="844" t="s">
        <v>112</v>
      </c>
      <c r="AE45" s="844"/>
      <c r="AF45" s="319"/>
      <c r="AG45" s="319"/>
      <c r="AH45" s="319"/>
      <c r="AJ45" s="844" t="s">
        <v>113</v>
      </c>
      <c r="AK45" s="844"/>
      <c r="AL45" s="319"/>
      <c r="AM45" s="319"/>
      <c r="AN45" s="319"/>
      <c r="AP45" s="844" t="s">
        <v>110</v>
      </c>
      <c r="AQ45" s="844"/>
      <c r="AR45" s="844"/>
      <c r="AS45" s="319"/>
      <c r="AT45" s="319"/>
      <c r="AU45" s="319"/>
      <c r="AV45" s="319"/>
      <c r="AW45" s="319"/>
      <c r="AX45" s="320"/>
      <c r="AY45" s="319"/>
    </row>
    <row r="46" spans="2:51" ht="15" customHeight="1" x14ac:dyDescent="0.2">
      <c r="B46" s="325" t="s">
        <v>114</v>
      </c>
      <c r="C46" s="516"/>
      <c r="D46" s="325" t="s">
        <v>115</v>
      </c>
      <c r="E46" s="325" t="s">
        <v>116</v>
      </c>
      <c r="F46" s="325" t="s">
        <v>117</v>
      </c>
      <c r="G46" s="325"/>
      <c r="H46" s="325"/>
      <c r="I46" s="325"/>
      <c r="J46" s="325"/>
      <c r="K46" s="326" t="s">
        <v>118</v>
      </c>
      <c r="L46" s="319"/>
      <c r="M46" s="325" t="s">
        <v>114</v>
      </c>
      <c r="N46" s="325"/>
      <c r="O46" s="325" t="s">
        <v>115</v>
      </c>
      <c r="P46" s="325" t="s">
        <v>116</v>
      </c>
      <c r="Q46" s="325" t="s">
        <v>117</v>
      </c>
      <c r="R46" s="325"/>
      <c r="S46" s="325"/>
      <c r="T46" s="325"/>
      <c r="U46" s="325"/>
      <c r="V46" s="325" t="s">
        <v>119</v>
      </c>
      <c r="X46" s="325" t="s">
        <v>114</v>
      </c>
      <c r="Y46" s="325" t="s">
        <v>115</v>
      </c>
      <c r="Z46" s="325" t="s">
        <v>116</v>
      </c>
      <c r="AA46" s="325" t="s">
        <v>117</v>
      </c>
      <c r="AB46" s="325" t="s">
        <v>119</v>
      </c>
      <c r="AD46" s="325" t="s">
        <v>114</v>
      </c>
      <c r="AE46" s="325" t="s">
        <v>115</v>
      </c>
      <c r="AF46" s="325" t="s">
        <v>116</v>
      </c>
      <c r="AG46" s="325" t="s">
        <v>117</v>
      </c>
      <c r="AH46" s="325" t="s">
        <v>119</v>
      </c>
      <c r="AJ46" s="325" t="s">
        <v>114</v>
      </c>
      <c r="AK46" s="325" t="s">
        <v>115</v>
      </c>
      <c r="AL46" s="325" t="s">
        <v>116</v>
      </c>
      <c r="AM46" s="325" t="s">
        <v>117</v>
      </c>
      <c r="AN46" s="325" t="s">
        <v>119</v>
      </c>
      <c r="AP46" s="325" t="s">
        <v>114</v>
      </c>
      <c r="AQ46" s="325"/>
      <c r="AR46" s="325" t="s">
        <v>115</v>
      </c>
      <c r="AS46" s="325" t="s">
        <v>116</v>
      </c>
      <c r="AT46" s="325" t="s">
        <v>117</v>
      </c>
      <c r="AU46" s="325"/>
      <c r="AV46" s="325"/>
      <c r="AW46" s="325"/>
      <c r="AX46" s="325"/>
      <c r="AY46" s="325" t="s">
        <v>119</v>
      </c>
    </row>
    <row r="47" spans="2:51" ht="15" customHeight="1" x14ac:dyDescent="0.25">
      <c r="B47" s="515">
        <v>45950</v>
      </c>
      <c r="C47" s="518">
        <v>138500</v>
      </c>
      <c r="D47" s="327">
        <v>15128</v>
      </c>
      <c r="E47" s="327">
        <v>170</v>
      </c>
      <c r="F47" s="328">
        <v>17000</v>
      </c>
      <c r="G47" s="328"/>
      <c r="H47" s="328"/>
      <c r="I47" s="329"/>
      <c r="J47" s="329"/>
      <c r="K47" s="621" t="s">
        <v>131</v>
      </c>
      <c r="L47" s="323"/>
      <c r="M47" s="333">
        <v>45950</v>
      </c>
      <c r="N47" s="327"/>
      <c r="O47" s="327">
        <v>2432</v>
      </c>
      <c r="P47" s="327">
        <v>18</v>
      </c>
      <c r="Q47" s="328">
        <v>18000</v>
      </c>
      <c r="R47" s="328"/>
      <c r="S47" s="328"/>
      <c r="T47" s="329"/>
      <c r="U47" s="329"/>
      <c r="V47" s="331"/>
      <c r="X47" s="333">
        <v>45950</v>
      </c>
      <c r="Y47" s="327">
        <v>7256</v>
      </c>
      <c r="Z47" s="327">
        <v>19</v>
      </c>
      <c r="AA47" s="328">
        <v>19000</v>
      </c>
      <c r="AB47" s="331"/>
      <c r="AD47" s="333">
        <v>45950</v>
      </c>
      <c r="AE47" s="327">
        <v>4877</v>
      </c>
      <c r="AF47" s="327">
        <v>58</v>
      </c>
      <c r="AG47" s="328">
        <v>58000</v>
      </c>
      <c r="AH47" s="331"/>
      <c r="AJ47" s="333">
        <v>45950</v>
      </c>
      <c r="AK47" s="327">
        <v>7035</v>
      </c>
      <c r="AL47" s="327">
        <v>12</v>
      </c>
      <c r="AM47" s="328">
        <v>12000</v>
      </c>
      <c r="AN47" s="331"/>
      <c r="AP47" s="333">
        <v>45950</v>
      </c>
      <c r="AQ47" s="327"/>
      <c r="AR47" s="327">
        <v>8363</v>
      </c>
      <c r="AS47" s="327">
        <v>10</v>
      </c>
      <c r="AT47" s="328">
        <v>10000</v>
      </c>
      <c r="AU47" s="328"/>
      <c r="AV47" s="328"/>
      <c r="AW47" s="329"/>
      <c r="AX47" s="329"/>
      <c r="AY47" s="331" t="s">
        <v>131</v>
      </c>
    </row>
    <row r="48" spans="2:51" ht="15" customHeight="1" x14ac:dyDescent="0.25">
      <c r="B48" s="515"/>
      <c r="C48" s="517"/>
      <c r="D48" s="327">
        <v>5072</v>
      </c>
      <c r="E48" s="327">
        <v>45</v>
      </c>
      <c r="F48" s="328">
        <v>4500</v>
      </c>
      <c r="G48" s="328"/>
      <c r="H48" s="328"/>
      <c r="I48" s="329"/>
      <c r="J48" s="329"/>
      <c r="K48" s="330"/>
      <c r="L48" s="323"/>
      <c r="M48" s="333"/>
      <c r="N48" s="327"/>
      <c r="O48" s="327"/>
      <c r="P48" s="327" t="s">
        <v>132</v>
      </c>
      <c r="Q48" s="328"/>
      <c r="R48" s="328"/>
      <c r="S48" s="328"/>
      <c r="T48" s="329"/>
      <c r="U48" s="329"/>
      <c r="V48" s="331"/>
      <c r="X48" s="333"/>
      <c r="Y48" s="327"/>
      <c r="Z48" s="327" t="s">
        <v>132</v>
      </c>
      <c r="AA48" s="328"/>
      <c r="AB48" s="331"/>
      <c r="AD48" s="333"/>
      <c r="AE48" s="327"/>
      <c r="AF48" s="327" t="s">
        <v>132</v>
      </c>
      <c r="AG48" s="328"/>
      <c r="AH48" s="331"/>
      <c r="AJ48" s="333"/>
      <c r="AK48" s="327"/>
      <c r="AL48" s="327" t="s">
        <v>132</v>
      </c>
      <c r="AM48" s="328"/>
      <c r="AN48" s="331"/>
      <c r="AP48" s="333"/>
      <c r="AQ48" s="327"/>
      <c r="AR48" s="327"/>
      <c r="AS48" s="327" t="s">
        <v>132</v>
      </c>
      <c r="AT48" s="328"/>
      <c r="AU48" s="328"/>
      <c r="AV48" s="328"/>
      <c r="AW48" s="329"/>
      <c r="AX48" s="329"/>
      <c r="AY48" s="331"/>
    </row>
    <row r="49" spans="2:51" ht="15" customHeight="1" x14ac:dyDescent="0.25">
      <c r="B49" s="333">
        <v>45957</v>
      </c>
      <c r="C49" s="336">
        <f>SUM(IF(F49="",0,F49), IF(F50="",0,F50), IF(Q49="",0,Q49), IF(AT49="",0,AT49), IF(AA49="",0,AA49), IF(AG49="",0,AG49), IF(AM49="",0,AM49))</f>
        <v>216500</v>
      </c>
      <c r="D49" s="327">
        <v>15473</v>
      </c>
      <c r="E49" s="327">
        <f t="shared" ref="E49:E80" si="10">IF(D49="","",D49-D47)</f>
        <v>345</v>
      </c>
      <c r="F49" s="328">
        <f t="shared" ref="F49:F84" si="11">IF(D49="","",E49*100)</f>
        <v>34500</v>
      </c>
      <c r="G49" s="328"/>
      <c r="H49" s="328"/>
      <c r="I49" s="329"/>
      <c r="J49" s="329"/>
      <c r="K49" s="330"/>
      <c r="L49" s="323"/>
      <c r="M49" s="333">
        <f>IF(B49="","",B49)</f>
        <v>45957</v>
      </c>
      <c r="N49" s="327"/>
      <c r="O49" s="327">
        <v>2488</v>
      </c>
      <c r="P49" s="327">
        <f>IF(O49="","",O49-O47)</f>
        <v>56</v>
      </c>
      <c r="Q49" s="328">
        <f>IF(O49="","",P49*1000)</f>
        <v>56000</v>
      </c>
      <c r="R49" s="328"/>
      <c r="S49" s="328"/>
      <c r="T49" s="329"/>
      <c r="U49" s="329"/>
      <c r="V49" s="331"/>
      <c r="X49" s="333">
        <f>IF(AP49="","",AP49)</f>
        <v>45957</v>
      </c>
      <c r="Y49" s="327">
        <v>7289</v>
      </c>
      <c r="Z49" s="327">
        <f>IF(Y49="","",Y49-Y47)</f>
        <v>33</v>
      </c>
      <c r="AA49" s="328">
        <f>IF(Y49="","",Z49*1000)</f>
        <v>33000</v>
      </c>
      <c r="AB49" s="331"/>
      <c r="AD49" s="333">
        <f>IF(AP49="","",AP49)</f>
        <v>45957</v>
      </c>
      <c r="AE49" s="327">
        <v>4907</v>
      </c>
      <c r="AF49" s="327">
        <f>IF(AE49="","",AE49-AE47)</f>
        <v>30</v>
      </c>
      <c r="AG49" s="328">
        <f>IF(AE49="","",AF49*1000)</f>
        <v>30000</v>
      </c>
      <c r="AH49" s="331"/>
      <c r="AJ49" s="333">
        <f>IF(AD49="","",AD49)</f>
        <v>45957</v>
      </c>
      <c r="AK49" s="327">
        <v>7069</v>
      </c>
      <c r="AL49" s="327">
        <f>IF(AK49="","",AK49-AK47)</f>
        <v>34</v>
      </c>
      <c r="AM49" s="328">
        <f>IF(AK49="","",AL49*1000)</f>
        <v>34000</v>
      </c>
      <c r="AN49" s="331"/>
      <c r="AP49" s="333">
        <f>IF(M49="","",M49)</f>
        <v>45957</v>
      </c>
      <c r="AQ49" s="327"/>
      <c r="AR49" s="327">
        <v>8383</v>
      </c>
      <c r="AS49" s="327">
        <f>IF(AR49="","",AR49-AR47)</f>
        <v>20</v>
      </c>
      <c r="AT49" s="328">
        <f>IF(AR49="","",AS49*1000)</f>
        <v>20000</v>
      </c>
      <c r="AU49" s="328"/>
      <c r="AV49" s="328"/>
      <c r="AW49" s="329"/>
      <c r="AX49" s="329"/>
      <c r="AY49" s="331"/>
    </row>
    <row r="50" spans="2:51" ht="15" customHeight="1" x14ac:dyDescent="0.25">
      <c r="B50" s="335"/>
      <c r="C50" s="327"/>
      <c r="D50" s="327">
        <v>5162</v>
      </c>
      <c r="E50" s="327">
        <f t="shared" si="10"/>
        <v>90</v>
      </c>
      <c r="F50" s="328">
        <f t="shared" si="11"/>
        <v>9000</v>
      </c>
      <c r="G50" s="328"/>
      <c r="H50" s="328"/>
      <c r="I50" s="329"/>
      <c r="J50" s="329"/>
      <c r="K50" s="330"/>
      <c r="L50" s="323"/>
      <c r="M50" s="333"/>
      <c r="N50" s="327"/>
      <c r="O50" s="327"/>
      <c r="P50" s="327" t="str">
        <f>IF(O50="","",O50-O48)</f>
        <v/>
      </c>
      <c r="Q50" s="328"/>
      <c r="R50" s="328"/>
      <c r="S50" s="328"/>
      <c r="T50" s="329"/>
      <c r="U50" s="329"/>
      <c r="V50" s="331"/>
      <c r="X50" s="333"/>
      <c r="Y50" s="327"/>
      <c r="Z50" s="327" t="str">
        <f>IF(Y50="","",Y50-Y48)</f>
        <v/>
      </c>
      <c r="AA50" s="328"/>
      <c r="AB50" s="331"/>
      <c r="AD50" s="333"/>
      <c r="AE50" s="327"/>
      <c r="AF50" s="327" t="str">
        <f>IF(AE50="","",AE50-AE48)</f>
        <v/>
      </c>
      <c r="AG50" s="328"/>
      <c r="AH50" s="331"/>
      <c r="AJ50" s="333"/>
      <c r="AK50" s="327"/>
      <c r="AL50" s="327" t="str">
        <f>IF(AK50="","",AK50-AK48)</f>
        <v/>
      </c>
      <c r="AM50" s="328"/>
      <c r="AN50" s="331"/>
      <c r="AP50" s="333"/>
      <c r="AQ50" s="327"/>
      <c r="AR50" s="327"/>
      <c r="AS50" s="327" t="str">
        <f>IF(AR50="","",AR50-AR48)</f>
        <v/>
      </c>
      <c r="AT50" s="328"/>
      <c r="AU50" s="328"/>
      <c r="AV50" s="328"/>
      <c r="AW50" s="329"/>
      <c r="AX50" s="329"/>
      <c r="AY50" s="331"/>
    </row>
    <row r="51" spans="2:51" ht="15" customHeight="1" x14ac:dyDescent="0.25">
      <c r="B51" s="333">
        <v>45961</v>
      </c>
      <c r="C51" s="336">
        <f>SUM(IF(F51="",0,F51), IF(F52="",0,F52), IF(Q51="",0,Q51), IF(AT51="",0,AT51), IF(AA51="",0,AA51), IF(AG51="",0,AG51), IF(AM51="",0,AM51))</f>
        <v>120000</v>
      </c>
      <c r="D51" s="327">
        <v>15848</v>
      </c>
      <c r="E51" s="327">
        <f t="shared" si="10"/>
        <v>375</v>
      </c>
      <c r="F51" s="328">
        <f t="shared" si="11"/>
        <v>37500</v>
      </c>
      <c r="G51" s="328"/>
      <c r="H51" s="328"/>
      <c r="I51" s="329"/>
      <c r="J51" s="329"/>
      <c r="K51" s="330"/>
      <c r="L51" s="319"/>
      <c r="M51" s="333">
        <f t="shared" ref="M51:M60" si="12">IF(B51="","",B51)</f>
        <v>45961</v>
      </c>
      <c r="N51" s="327"/>
      <c r="O51" s="327">
        <v>2515</v>
      </c>
      <c r="P51" s="327">
        <f>IF(O51="","",O51-O49)</f>
        <v>27</v>
      </c>
      <c r="Q51" s="328">
        <f t="shared" ref="Q51:Q60" si="13">IF(O51="","",P51*1000)</f>
        <v>27000</v>
      </c>
      <c r="R51" s="328"/>
      <c r="S51" s="328"/>
      <c r="T51" s="329"/>
      <c r="U51" s="329"/>
      <c r="V51" s="331"/>
      <c r="X51" s="333">
        <f>IF(AP51="","",AP51)</f>
        <v>45961</v>
      </c>
      <c r="Y51" s="327">
        <v>7297</v>
      </c>
      <c r="Z51" s="327">
        <f>IF(Y51="","",Y51-Y49)</f>
        <v>8</v>
      </c>
      <c r="AA51" s="328">
        <f t="shared" ref="AA51:AA60" si="14">IF(Y51="","",Z51*1000)</f>
        <v>8000</v>
      </c>
      <c r="AB51" s="331"/>
      <c r="AD51" s="333">
        <f t="shared" ref="AD51:AD60" si="15">IF(X51="","",X51)</f>
        <v>45961</v>
      </c>
      <c r="AE51" s="327">
        <v>4911</v>
      </c>
      <c r="AF51" s="327">
        <f>IF(AE51="","",AE51-AE49)</f>
        <v>4</v>
      </c>
      <c r="AG51" s="328">
        <f t="shared" ref="AG51:AG60" si="16">IF(AE51="","",AF51*1000)</f>
        <v>4000</v>
      </c>
      <c r="AH51" s="331"/>
      <c r="AJ51" s="333">
        <f t="shared" ref="AJ51:AJ60" si="17">IF(AD51="","",AD51)</f>
        <v>45961</v>
      </c>
      <c r="AK51" s="327">
        <v>7091</v>
      </c>
      <c r="AL51" s="327">
        <f>IF(AK51="","",AK51-AK49)</f>
        <v>22</v>
      </c>
      <c r="AM51" s="328">
        <f t="shared" ref="AM51:AM60" si="18">IF(AK51="","",AL51*1000)</f>
        <v>22000</v>
      </c>
      <c r="AN51" s="331"/>
      <c r="AP51" s="333">
        <f>IF(M51="","",M51)</f>
        <v>45961</v>
      </c>
      <c r="AQ51" s="327"/>
      <c r="AR51" s="327">
        <v>8395</v>
      </c>
      <c r="AS51" s="327">
        <f>IF(AR51="","",AR51-AR49)</f>
        <v>12</v>
      </c>
      <c r="AT51" s="328">
        <f t="shared" ref="AT51:AT60" si="19">IF(AR51="","",AS51*1000)</f>
        <v>12000</v>
      </c>
      <c r="AU51" s="328"/>
      <c r="AV51" s="328"/>
      <c r="AW51" s="329"/>
      <c r="AX51" s="329"/>
      <c r="AY51" s="331"/>
    </row>
    <row r="52" spans="2:51" ht="15" customHeight="1" x14ac:dyDescent="0.25">
      <c r="B52" s="333"/>
      <c r="C52" s="327"/>
      <c r="D52" s="327">
        <v>5257</v>
      </c>
      <c r="E52" s="327">
        <f t="shared" si="10"/>
        <v>95</v>
      </c>
      <c r="F52" s="328">
        <f t="shared" si="11"/>
        <v>9500</v>
      </c>
      <c r="G52" s="328"/>
      <c r="H52" s="328"/>
      <c r="I52" s="329"/>
      <c r="J52" s="329"/>
      <c r="K52" s="330"/>
      <c r="L52" s="319"/>
      <c r="M52" s="333" t="str">
        <f t="shared" si="12"/>
        <v/>
      </c>
      <c r="N52" s="327"/>
      <c r="O52" s="327"/>
      <c r="P52" s="327" t="str">
        <f>IF(O52="","",O52-O51)</f>
        <v/>
      </c>
      <c r="Q52" s="328" t="str">
        <f t="shared" si="13"/>
        <v/>
      </c>
      <c r="R52" s="328"/>
      <c r="S52" s="328"/>
      <c r="T52" s="329"/>
      <c r="U52" s="329"/>
      <c r="V52" s="331"/>
      <c r="X52" s="333" t="str">
        <f>IF(AP52="","",AP52)</f>
        <v/>
      </c>
      <c r="Y52" s="327"/>
      <c r="Z52" s="327" t="str">
        <f>IF(Y52="","",Y52-Y51)</f>
        <v/>
      </c>
      <c r="AA52" s="328" t="str">
        <f t="shared" si="14"/>
        <v/>
      </c>
      <c r="AB52" s="331"/>
      <c r="AD52" s="333" t="str">
        <f t="shared" si="15"/>
        <v/>
      </c>
      <c r="AE52" s="327"/>
      <c r="AF52" s="327" t="str">
        <f>IF(AE52="","",AE52-AE51)</f>
        <v/>
      </c>
      <c r="AG52" s="328" t="str">
        <f t="shared" si="16"/>
        <v/>
      </c>
      <c r="AH52" s="331"/>
      <c r="AJ52" s="333" t="str">
        <f t="shared" si="17"/>
        <v/>
      </c>
      <c r="AK52" s="327"/>
      <c r="AL52" s="327" t="str">
        <f>IF(AK52="","",AK52-AK51)</f>
        <v/>
      </c>
      <c r="AM52" s="328" t="str">
        <f t="shared" si="18"/>
        <v/>
      </c>
      <c r="AN52" s="331"/>
      <c r="AP52" s="333" t="str">
        <f>IF(M52="","",M52)</f>
        <v/>
      </c>
      <c r="AQ52" s="327"/>
      <c r="AR52" s="327"/>
      <c r="AS52" s="327" t="str">
        <f>IF(AR52="","",AR52-AR51)</f>
        <v/>
      </c>
      <c r="AT52" s="328" t="str">
        <f t="shared" si="19"/>
        <v/>
      </c>
      <c r="AU52" s="328"/>
      <c r="AV52" s="328"/>
      <c r="AW52" s="329"/>
      <c r="AX52" s="329"/>
      <c r="AY52" s="331"/>
    </row>
    <row r="53" spans="2:51" ht="15" customHeight="1" x14ac:dyDescent="0.25">
      <c r="B53" s="333">
        <v>45963</v>
      </c>
      <c r="C53" s="336">
        <f>SUM(IF(F53="",0,F53), IF(F54="",0,F54), IF(Q53="",0,Q53), IF(AT53="",0,AT53), IF(AA53="",0,AA53), IF(AG53="",0,AG53), IF(AM53="",0,AM53))</f>
        <v>76500</v>
      </c>
      <c r="D53" s="327">
        <v>15848</v>
      </c>
      <c r="E53" s="327">
        <f t="shared" si="10"/>
        <v>0</v>
      </c>
      <c r="F53" s="328">
        <f t="shared" si="11"/>
        <v>0</v>
      </c>
      <c r="G53" s="328"/>
      <c r="H53" s="328"/>
      <c r="I53" s="329"/>
      <c r="J53" s="329"/>
      <c r="K53" s="330" t="s">
        <v>133</v>
      </c>
      <c r="L53" s="319"/>
      <c r="M53" s="333">
        <f t="shared" si="12"/>
        <v>45963</v>
      </c>
      <c r="N53" s="327"/>
      <c r="O53" s="327">
        <v>2529</v>
      </c>
      <c r="P53" s="327">
        <f>IF(O53="","",O53-O51)</f>
        <v>14</v>
      </c>
      <c r="Q53" s="328">
        <f t="shared" si="13"/>
        <v>14000</v>
      </c>
      <c r="R53" s="328"/>
      <c r="S53" s="328"/>
      <c r="T53" s="329"/>
      <c r="U53" s="329"/>
      <c r="V53" s="330"/>
      <c r="X53" s="333">
        <f>IF(AP53="","",AP53)</f>
        <v>45963</v>
      </c>
      <c r="Y53" s="327">
        <v>7317</v>
      </c>
      <c r="Z53" s="327">
        <f>IF(Y53="","",Y53-Y51)</f>
        <v>20</v>
      </c>
      <c r="AA53" s="328">
        <f t="shared" si="14"/>
        <v>20000</v>
      </c>
      <c r="AB53" s="330"/>
      <c r="AD53" s="333">
        <f t="shared" si="15"/>
        <v>45963</v>
      </c>
      <c r="AE53" s="327">
        <v>4927</v>
      </c>
      <c r="AF53" s="327">
        <f>IF(AE53="","",AE53-AE51)</f>
        <v>16</v>
      </c>
      <c r="AG53" s="328">
        <f t="shared" si="16"/>
        <v>16000</v>
      </c>
      <c r="AH53" s="331"/>
      <c r="AJ53" s="333">
        <f t="shared" si="17"/>
        <v>45963</v>
      </c>
      <c r="AK53" s="327">
        <v>7095</v>
      </c>
      <c r="AL53" s="327">
        <f>IF(AK53="","",AK53-AK51)</f>
        <v>4</v>
      </c>
      <c r="AM53" s="328">
        <f t="shared" si="18"/>
        <v>4000</v>
      </c>
      <c r="AN53" s="330" t="s">
        <v>134</v>
      </c>
      <c r="AP53" s="333">
        <f>IF(M53="","",M53)</f>
        <v>45963</v>
      </c>
      <c r="AQ53" s="327"/>
      <c r="AR53" s="327">
        <v>8403</v>
      </c>
      <c r="AS53" s="327">
        <f>IF(AR53="","",AR53-AR51)</f>
        <v>8</v>
      </c>
      <c r="AT53" s="328">
        <f t="shared" si="19"/>
        <v>8000</v>
      </c>
      <c r="AU53" s="328"/>
      <c r="AV53" s="328"/>
      <c r="AW53" s="329"/>
      <c r="AX53" s="329"/>
      <c r="AY53" s="331"/>
    </row>
    <row r="54" spans="2:51" ht="15" customHeight="1" x14ac:dyDescent="0.25">
      <c r="B54" s="333"/>
      <c r="C54" s="327"/>
      <c r="D54" s="327">
        <v>5402</v>
      </c>
      <c r="E54" s="327">
        <f t="shared" si="10"/>
        <v>145</v>
      </c>
      <c r="F54" s="328">
        <f t="shared" si="11"/>
        <v>14500</v>
      </c>
      <c r="G54" s="328"/>
      <c r="H54" s="328"/>
      <c r="I54" s="329"/>
      <c r="J54" s="329"/>
      <c r="K54" s="330"/>
      <c r="L54" s="323"/>
      <c r="M54" s="333" t="str">
        <f t="shared" si="12"/>
        <v/>
      </c>
      <c r="N54" s="327"/>
      <c r="O54" s="327"/>
      <c r="P54" s="327" t="str">
        <f>IF(O54="","",O54-O53)</f>
        <v/>
      </c>
      <c r="Q54" s="328" t="str">
        <f t="shared" si="13"/>
        <v/>
      </c>
      <c r="R54" s="328"/>
      <c r="S54" s="328"/>
      <c r="T54" s="329"/>
      <c r="U54" s="329"/>
      <c r="V54" s="331"/>
      <c r="X54" s="333" t="str">
        <f>IF(AP54="","",AP54)</f>
        <v/>
      </c>
      <c r="Y54" s="327"/>
      <c r="Z54" s="327" t="str">
        <f>IF(Y54="","",Y54-Y53)</f>
        <v/>
      </c>
      <c r="AA54" s="328" t="str">
        <f t="shared" si="14"/>
        <v/>
      </c>
      <c r="AB54" s="331"/>
      <c r="AD54" s="333" t="str">
        <f t="shared" si="15"/>
        <v/>
      </c>
      <c r="AE54" s="327"/>
      <c r="AF54" s="327" t="str">
        <f>IF(AE54="","",AE54-AE53)</f>
        <v/>
      </c>
      <c r="AG54" s="328" t="str">
        <f t="shared" si="16"/>
        <v/>
      </c>
      <c r="AH54" s="331"/>
      <c r="AJ54" s="333" t="str">
        <f t="shared" si="17"/>
        <v/>
      </c>
      <c r="AK54" s="327"/>
      <c r="AL54" s="327" t="str">
        <f>IF(AK54="","",AK54-AK53)</f>
        <v/>
      </c>
      <c r="AM54" s="328" t="str">
        <f t="shared" si="18"/>
        <v/>
      </c>
      <c r="AN54" s="331"/>
      <c r="AP54" s="333" t="str">
        <f>IF(M54="","",M54)</f>
        <v/>
      </c>
      <c r="AQ54" s="327"/>
      <c r="AR54" s="327"/>
      <c r="AS54" s="327" t="str">
        <f>IF(AR54="","",AR54-AR53)</f>
        <v/>
      </c>
      <c r="AT54" s="328" t="str">
        <f t="shared" si="19"/>
        <v/>
      </c>
      <c r="AU54" s="328"/>
      <c r="AV54" s="328"/>
      <c r="AW54" s="329"/>
      <c r="AX54" s="329"/>
      <c r="AY54" s="331"/>
    </row>
    <row r="55" spans="2:51" ht="15" customHeight="1" x14ac:dyDescent="0.25">
      <c r="B55" s="333">
        <v>45967</v>
      </c>
      <c r="C55" s="336">
        <f>SUM(IF(F55="",0,F55), IF(F56="",0,F56), IF(Q55="",0,Q55), IF(AT55="",0,AT55), IF(AA55="",0,AA55), IF(AG55="",0,AG55), IF(AM55="",0,AM55))</f>
        <v>127500</v>
      </c>
      <c r="D55" s="327">
        <v>15853</v>
      </c>
      <c r="E55" s="327">
        <f t="shared" si="10"/>
        <v>5</v>
      </c>
      <c r="F55" s="328">
        <f t="shared" si="11"/>
        <v>500</v>
      </c>
      <c r="G55" s="328"/>
      <c r="H55" s="328"/>
      <c r="I55" s="329"/>
      <c r="J55" s="329"/>
      <c r="K55" s="330" t="s">
        <v>135</v>
      </c>
      <c r="L55" s="324"/>
      <c r="M55" s="333">
        <f t="shared" si="12"/>
        <v>45967</v>
      </c>
      <c r="N55" s="327"/>
      <c r="O55" s="327">
        <v>2535</v>
      </c>
      <c r="P55" s="327">
        <f>IF(O55="","",O55-O53)</f>
        <v>6</v>
      </c>
      <c r="Q55" s="328">
        <f t="shared" si="13"/>
        <v>6000</v>
      </c>
      <c r="R55" s="328"/>
      <c r="S55" s="328"/>
      <c r="T55" s="329"/>
      <c r="U55" s="329"/>
      <c r="V55" s="331"/>
      <c r="X55" s="333">
        <f>IF(AP55="","",AP55)</f>
        <v>45967</v>
      </c>
      <c r="Y55" s="327">
        <v>7320</v>
      </c>
      <c r="Z55" s="327">
        <f>IF(Y55="","",Y55-Y53)</f>
        <v>3</v>
      </c>
      <c r="AA55" s="328">
        <f t="shared" si="14"/>
        <v>3000</v>
      </c>
      <c r="AB55" s="331"/>
      <c r="AD55" s="333">
        <f t="shared" si="15"/>
        <v>45967</v>
      </c>
      <c r="AE55" s="327">
        <v>4967</v>
      </c>
      <c r="AF55" s="327">
        <f>IF(AE55="","",AE55-AE53)</f>
        <v>40</v>
      </c>
      <c r="AG55" s="328">
        <f t="shared" si="16"/>
        <v>40000</v>
      </c>
      <c r="AH55" s="331"/>
      <c r="AJ55" s="333">
        <f t="shared" si="17"/>
        <v>45967</v>
      </c>
      <c r="AK55" s="327">
        <v>7107</v>
      </c>
      <c r="AL55" s="327">
        <f>IF(AK55="","",AK55-AK53)</f>
        <v>12</v>
      </c>
      <c r="AM55" s="328">
        <f t="shared" si="18"/>
        <v>12000</v>
      </c>
      <c r="AN55" s="331"/>
      <c r="AP55" s="333">
        <f>IF(M55="","",M55)</f>
        <v>45967</v>
      </c>
      <c r="AQ55" s="327"/>
      <c r="AR55" s="327">
        <v>8457</v>
      </c>
      <c r="AS55" s="327">
        <f>IF(AR55="","",AR55-AR53)</f>
        <v>54</v>
      </c>
      <c r="AT55" s="328">
        <f t="shared" si="19"/>
        <v>54000</v>
      </c>
      <c r="AU55" s="328"/>
      <c r="AV55" s="328"/>
      <c r="AW55" s="329"/>
      <c r="AX55" s="329"/>
      <c r="AY55" s="331"/>
    </row>
    <row r="56" spans="2:51" ht="15" customHeight="1" x14ac:dyDescent="0.25">
      <c r="B56" s="333"/>
      <c r="C56" s="327"/>
      <c r="D56" s="327">
        <v>5522</v>
      </c>
      <c r="E56" s="327">
        <f t="shared" si="10"/>
        <v>120</v>
      </c>
      <c r="F56" s="328">
        <f t="shared" si="11"/>
        <v>12000</v>
      </c>
      <c r="G56" s="328"/>
      <c r="H56" s="328"/>
      <c r="I56" s="329"/>
      <c r="J56" s="329"/>
      <c r="K56" s="330" t="s">
        <v>136</v>
      </c>
      <c r="L56" s="323"/>
      <c r="M56" s="333" t="str">
        <f t="shared" si="12"/>
        <v/>
      </c>
      <c r="N56" s="327"/>
      <c r="O56" s="327"/>
      <c r="P56" s="327" t="str">
        <f>IF(O56="","",O56-O55)</f>
        <v/>
      </c>
      <c r="Q56" s="328" t="str">
        <f t="shared" si="13"/>
        <v/>
      </c>
      <c r="R56" s="328"/>
      <c r="S56" s="328"/>
      <c r="T56" s="329"/>
      <c r="U56" s="329"/>
      <c r="V56" s="331"/>
      <c r="X56" s="333" t="str">
        <f>IF(AP56="","",AP56)</f>
        <v/>
      </c>
      <c r="Y56" s="327"/>
      <c r="Z56" s="327" t="str">
        <f>IF(Y56="","",Y56-Y55)</f>
        <v/>
      </c>
      <c r="AA56" s="328" t="str">
        <f t="shared" si="14"/>
        <v/>
      </c>
      <c r="AB56" s="331"/>
      <c r="AD56" s="333" t="str">
        <f t="shared" si="15"/>
        <v/>
      </c>
      <c r="AE56" s="327"/>
      <c r="AF56" s="327" t="str">
        <f>IF(AE56="","",AE56-AE55)</f>
        <v/>
      </c>
      <c r="AG56" s="328" t="str">
        <f t="shared" si="16"/>
        <v/>
      </c>
      <c r="AH56" s="331"/>
      <c r="AJ56" s="333" t="str">
        <f t="shared" si="17"/>
        <v/>
      </c>
      <c r="AK56" s="327"/>
      <c r="AL56" s="327" t="str">
        <f>IF(AK56="","",AK56-AK55)</f>
        <v/>
      </c>
      <c r="AM56" s="328" t="str">
        <f t="shared" si="18"/>
        <v/>
      </c>
      <c r="AN56" s="331"/>
      <c r="AP56" s="333" t="str">
        <f>IF(M56="","",M56)</f>
        <v/>
      </c>
      <c r="AQ56" s="327"/>
      <c r="AR56" s="327"/>
      <c r="AS56" s="327" t="str">
        <f>IF(AR56="","",AR56-AR55)</f>
        <v/>
      </c>
      <c r="AT56" s="328" t="str">
        <f t="shared" si="19"/>
        <v/>
      </c>
      <c r="AU56" s="328"/>
      <c r="AV56" s="328"/>
      <c r="AW56" s="329"/>
      <c r="AX56" s="329"/>
      <c r="AY56" s="331"/>
    </row>
    <row r="57" spans="2:51" ht="15" customHeight="1" x14ac:dyDescent="0.25">
      <c r="B57" s="333">
        <v>45971</v>
      </c>
      <c r="C57" s="336">
        <f>SUM(IF(F57="",0,F57), IF(F58="",0,F58), IF(Q57="",0,Q57), IF(AT57="",0,AT57), IF(AA57="",0,AA57), IF(AG57="",0,AG57), IF(AM57="",0,AM57))</f>
        <v>102600</v>
      </c>
      <c r="D57" s="327">
        <v>16049</v>
      </c>
      <c r="E57" s="327">
        <f t="shared" si="10"/>
        <v>196</v>
      </c>
      <c r="F57" s="328">
        <f t="shared" si="11"/>
        <v>19600</v>
      </c>
      <c r="G57" s="328"/>
      <c r="H57" s="328"/>
      <c r="I57" s="329"/>
      <c r="J57" s="329"/>
      <c r="K57" s="330"/>
      <c r="L57" s="323"/>
      <c r="M57" s="333">
        <f t="shared" si="12"/>
        <v>45971</v>
      </c>
      <c r="N57" s="327"/>
      <c r="O57" s="327">
        <v>2551</v>
      </c>
      <c r="P57" s="327">
        <f>IF(O57="","",O57-O55)</f>
        <v>16</v>
      </c>
      <c r="Q57" s="328">
        <f t="shared" si="13"/>
        <v>16000</v>
      </c>
      <c r="R57" s="328"/>
      <c r="S57" s="328"/>
      <c r="T57" s="329"/>
      <c r="U57" s="329"/>
      <c r="V57" s="331"/>
      <c r="X57" s="333">
        <f>IF(AP57="","",AP57)</f>
        <v>45971</v>
      </c>
      <c r="Y57" s="327">
        <v>7332</v>
      </c>
      <c r="Z57" s="327">
        <f>IF(Y57="","",Y57-Y55)</f>
        <v>12</v>
      </c>
      <c r="AA57" s="328">
        <f t="shared" si="14"/>
        <v>12000</v>
      </c>
      <c r="AB57" s="331"/>
      <c r="AD57" s="333">
        <f t="shared" si="15"/>
        <v>45971</v>
      </c>
      <c r="AE57" s="327">
        <v>4991</v>
      </c>
      <c r="AF57" s="327">
        <f>IF(AE57="","",AE57-AE55)</f>
        <v>24</v>
      </c>
      <c r="AG57" s="328">
        <f t="shared" si="16"/>
        <v>24000</v>
      </c>
      <c r="AH57" s="391"/>
      <c r="AJ57" s="333">
        <f t="shared" si="17"/>
        <v>45971</v>
      </c>
      <c r="AK57" s="327">
        <v>7121</v>
      </c>
      <c r="AL57" s="327">
        <f>IF(AK57="","",AK57-AK55)</f>
        <v>14</v>
      </c>
      <c r="AM57" s="328">
        <f t="shared" si="18"/>
        <v>14000</v>
      </c>
      <c r="AN57" s="331"/>
      <c r="AP57" s="333">
        <f>IF(M57="","",M57)</f>
        <v>45971</v>
      </c>
      <c r="AQ57" s="327"/>
      <c r="AR57" s="327">
        <v>8469</v>
      </c>
      <c r="AS57" s="327">
        <f>IF(AR57="","",AR57-AR55)</f>
        <v>12</v>
      </c>
      <c r="AT57" s="328">
        <f t="shared" si="19"/>
        <v>12000</v>
      </c>
      <c r="AU57" s="328"/>
      <c r="AV57" s="328"/>
      <c r="AW57" s="329"/>
      <c r="AX57" s="329"/>
      <c r="AY57" s="331"/>
    </row>
    <row r="58" spans="2:51" ht="15" customHeight="1" x14ac:dyDescent="0.25">
      <c r="B58" s="333"/>
      <c r="C58" s="327"/>
      <c r="D58" s="327">
        <v>5572</v>
      </c>
      <c r="E58" s="327">
        <f t="shared" si="10"/>
        <v>50</v>
      </c>
      <c r="F58" s="328">
        <f t="shared" si="11"/>
        <v>5000</v>
      </c>
      <c r="G58" s="328"/>
      <c r="H58" s="328"/>
      <c r="I58" s="329"/>
      <c r="J58" s="329"/>
      <c r="K58" s="330"/>
      <c r="L58" s="323"/>
      <c r="M58" s="333" t="str">
        <f t="shared" si="12"/>
        <v/>
      </c>
      <c r="N58" s="327"/>
      <c r="O58" s="327"/>
      <c r="P58" s="327" t="str">
        <f>IF(O58="","",O58-O57)</f>
        <v/>
      </c>
      <c r="Q58" s="328" t="str">
        <f t="shared" si="13"/>
        <v/>
      </c>
      <c r="R58" s="328"/>
      <c r="S58" s="328"/>
      <c r="T58" s="329"/>
      <c r="U58" s="329"/>
      <c r="V58" s="331"/>
      <c r="X58" s="333" t="str">
        <f>IF(AP58="","",AP58)</f>
        <v/>
      </c>
      <c r="Y58" s="327"/>
      <c r="Z58" s="327" t="str">
        <f>IF(Y58="","",Y58-Y57)</f>
        <v/>
      </c>
      <c r="AA58" s="328" t="str">
        <f t="shared" si="14"/>
        <v/>
      </c>
      <c r="AB58" s="331"/>
      <c r="AD58" s="333" t="str">
        <f t="shared" si="15"/>
        <v/>
      </c>
      <c r="AE58" s="327"/>
      <c r="AF58" s="327" t="str">
        <f>IF(AE58="","",AE58-AE57)</f>
        <v/>
      </c>
      <c r="AG58" s="328" t="str">
        <f t="shared" si="16"/>
        <v/>
      </c>
      <c r="AH58" s="331"/>
      <c r="AJ58" s="333" t="str">
        <f t="shared" si="17"/>
        <v/>
      </c>
      <c r="AK58" s="327"/>
      <c r="AL58" s="327" t="str">
        <f>IF(AK58="","",AK58-AK57)</f>
        <v/>
      </c>
      <c r="AM58" s="328" t="str">
        <f t="shared" si="18"/>
        <v/>
      </c>
      <c r="AN58" s="331"/>
      <c r="AP58" s="333" t="str">
        <f>IF(M58="","",M58)</f>
        <v/>
      </c>
      <c r="AQ58" s="327"/>
      <c r="AR58" s="327"/>
      <c r="AS58" s="327" t="str">
        <f>IF(AR58="","",AR58-AR57)</f>
        <v/>
      </c>
      <c r="AT58" s="328" t="str">
        <f t="shared" si="19"/>
        <v/>
      </c>
      <c r="AU58" s="328"/>
      <c r="AV58" s="328"/>
      <c r="AW58" s="329"/>
      <c r="AX58" s="329"/>
      <c r="AY58" s="331"/>
    </row>
    <row r="59" spans="2:51" ht="15" customHeight="1" x14ac:dyDescent="0.25">
      <c r="B59" s="333">
        <v>45974</v>
      </c>
      <c r="C59" s="336">
        <f>SUM(IF(F59="",0,F59), IF(F60="",0,F60), IF(Q59="",0,Q59), IF(AT59="",0,AT59), IF(AA59="",0,AA59), IF(AG59="",0,AG59), IF(AM59="",0,AM59))</f>
        <v>66600</v>
      </c>
      <c r="D59" s="327">
        <v>16155</v>
      </c>
      <c r="E59" s="327">
        <f t="shared" si="10"/>
        <v>106</v>
      </c>
      <c r="F59" s="328">
        <f t="shared" si="11"/>
        <v>10600</v>
      </c>
      <c r="G59" s="328"/>
      <c r="H59" s="328"/>
      <c r="I59" s="329"/>
      <c r="J59" s="329"/>
      <c r="K59" s="330"/>
      <c r="L59" s="323"/>
      <c r="M59" s="333">
        <f t="shared" si="12"/>
        <v>45974</v>
      </c>
      <c r="N59" s="327"/>
      <c r="O59" s="327">
        <v>2565</v>
      </c>
      <c r="P59" s="327">
        <f>IF(O59="","",O59-O57)</f>
        <v>14</v>
      </c>
      <c r="Q59" s="328">
        <f t="shared" si="13"/>
        <v>14000</v>
      </c>
      <c r="R59" s="328"/>
      <c r="S59" s="328"/>
      <c r="T59" s="329"/>
      <c r="U59" s="329"/>
      <c r="V59" s="331"/>
      <c r="X59" s="333">
        <f>IF(AP59="","",AP59)</f>
        <v>45974</v>
      </c>
      <c r="Y59" s="327">
        <v>7335</v>
      </c>
      <c r="Z59" s="327">
        <f>IF(Y59="","",Y59-Y57)</f>
        <v>3</v>
      </c>
      <c r="AA59" s="328">
        <f t="shared" si="14"/>
        <v>3000</v>
      </c>
      <c r="AB59" s="331"/>
      <c r="AD59" s="333">
        <f t="shared" si="15"/>
        <v>45974</v>
      </c>
      <c r="AE59" s="327">
        <v>5009</v>
      </c>
      <c r="AF59" s="327">
        <f>IF(AE59="","",AE59-AE57)</f>
        <v>18</v>
      </c>
      <c r="AG59" s="328">
        <f t="shared" si="16"/>
        <v>18000</v>
      </c>
      <c r="AH59" s="331"/>
      <c r="AJ59" s="333">
        <f t="shared" si="17"/>
        <v>45974</v>
      </c>
      <c r="AK59" s="327">
        <v>7131</v>
      </c>
      <c r="AL59" s="327">
        <f>IF(AK59="","",AK59-AK57)</f>
        <v>10</v>
      </c>
      <c r="AM59" s="328">
        <f t="shared" si="18"/>
        <v>10000</v>
      </c>
      <c r="AN59" s="331"/>
      <c r="AP59" s="333">
        <f>IF(M59="","",M59)</f>
        <v>45974</v>
      </c>
      <c r="AQ59" s="327"/>
      <c r="AR59" s="327">
        <v>8479</v>
      </c>
      <c r="AS59" s="327">
        <f>IF(AR59="","",AR59-AR57)</f>
        <v>10</v>
      </c>
      <c r="AT59" s="328">
        <f t="shared" si="19"/>
        <v>10000</v>
      </c>
      <c r="AU59" s="328"/>
      <c r="AV59" s="328"/>
      <c r="AW59" s="329"/>
      <c r="AX59" s="329"/>
      <c r="AY59" s="331"/>
    </row>
    <row r="60" spans="2:51" ht="15" customHeight="1" x14ac:dyDescent="0.25">
      <c r="B60" s="333"/>
      <c r="C60" s="327"/>
      <c r="D60" s="327">
        <v>5582</v>
      </c>
      <c r="E60" s="327">
        <f t="shared" si="10"/>
        <v>10</v>
      </c>
      <c r="F60" s="328">
        <f t="shared" si="11"/>
        <v>1000</v>
      </c>
      <c r="G60" s="328"/>
      <c r="H60" s="328"/>
      <c r="I60" s="329"/>
      <c r="J60" s="329"/>
      <c r="K60" s="330"/>
      <c r="L60" s="323"/>
      <c r="M60" s="333" t="str">
        <f t="shared" si="12"/>
        <v/>
      </c>
      <c r="N60" s="327"/>
      <c r="O60" s="327"/>
      <c r="P60" s="327" t="str">
        <f>IF(O60="","",O60-O58)</f>
        <v/>
      </c>
      <c r="Q60" s="328" t="str">
        <f t="shared" si="13"/>
        <v/>
      </c>
      <c r="R60" s="328"/>
      <c r="S60" s="328"/>
      <c r="T60" s="329"/>
      <c r="U60" s="329"/>
      <c r="V60" s="331"/>
      <c r="X60" s="333" t="str">
        <f>IF(AP60="","",AP60)</f>
        <v/>
      </c>
      <c r="Y60" s="327"/>
      <c r="Z60" s="327" t="str">
        <f>IF(Y60="","",Y60-Y58)</f>
        <v/>
      </c>
      <c r="AA60" s="328" t="str">
        <f t="shared" si="14"/>
        <v/>
      </c>
      <c r="AB60" s="331"/>
      <c r="AD60" s="333" t="str">
        <f t="shared" si="15"/>
        <v/>
      </c>
      <c r="AE60" s="327"/>
      <c r="AF60" s="327" t="str">
        <f>IF(AE60="","",AE60-AE58)</f>
        <v/>
      </c>
      <c r="AG60" s="328" t="str">
        <f t="shared" si="16"/>
        <v/>
      </c>
      <c r="AH60" s="331"/>
      <c r="AJ60" s="333" t="str">
        <f t="shared" si="17"/>
        <v/>
      </c>
      <c r="AK60" s="327"/>
      <c r="AL60" s="327" t="str">
        <f>IF(AK60="","",AK60-AK58)</f>
        <v/>
      </c>
      <c r="AM60" s="328" t="str">
        <f t="shared" si="18"/>
        <v/>
      </c>
      <c r="AN60" s="331"/>
      <c r="AP60" s="333" t="str">
        <f>IF(M60="","",M60)</f>
        <v/>
      </c>
      <c r="AQ60" s="327"/>
      <c r="AR60" s="327"/>
      <c r="AS60" s="327" t="str">
        <f>IF(AR60="","",AR60-AR58)</f>
        <v/>
      </c>
      <c r="AT60" s="328" t="str">
        <f t="shared" si="19"/>
        <v/>
      </c>
      <c r="AU60" s="328"/>
      <c r="AV60" s="328"/>
      <c r="AW60" s="329"/>
      <c r="AX60" s="329"/>
      <c r="AY60" s="331"/>
    </row>
    <row r="61" spans="2:51" ht="15" customHeight="1" x14ac:dyDescent="0.25">
      <c r="B61" s="333"/>
      <c r="C61" s="336"/>
      <c r="D61" s="327"/>
      <c r="E61" s="327"/>
      <c r="F61" s="328"/>
      <c r="G61" s="328"/>
      <c r="H61" s="328"/>
      <c r="I61" s="329"/>
      <c r="J61" s="329"/>
      <c r="K61" s="330"/>
      <c r="L61" s="323"/>
      <c r="M61" s="333"/>
      <c r="N61" s="327"/>
      <c r="O61" s="327"/>
      <c r="P61" s="327"/>
      <c r="Q61" s="328"/>
      <c r="R61" s="328"/>
      <c r="S61" s="328"/>
      <c r="T61" s="329"/>
      <c r="U61" s="329"/>
      <c r="V61" s="331"/>
      <c r="X61" s="333"/>
      <c r="Y61" s="327"/>
      <c r="Z61" s="327"/>
      <c r="AA61" s="328"/>
      <c r="AB61" s="331"/>
      <c r="AD61" s="333"/>
      <c r="AE61" s="327"/>
      <c r="AF61" s="327"/>
      <c r="AG61" s="328"/>
      <c r="AH61" s="331"/>
      <c r="AJ61" s="333"/>
      <c r="AK61" s="327"/>
      <c r="AL61" s="327"/>
      <c r="AM61" s="328"/>
      <c r="AN61" s="331"/>
      <c r="AP61" s="333"/>
      <c r="AQ61" s="327"/>
      <c r="AR61" s="327"/>
      <c r="AS61" s="327"/>
      <c r="AT61" s="328"/>
      <c r="AU61" s="328"/>
      <c r="AV61" s="328"/>
      <c r="AW61" s="329"/>
      <c r="AX61" s="329"/>
      <c r="AY61" s="331"/>
    </row>
    <row r="62" spans="2:51" ht="15" customHeight="1" x14ac:dyDescent="0.25">
      <c r="B62" s="333"/>
      <c r="C62" s="327"/>
      <c r="D62" s="327"/>
      <c r="E62" s="327"/>
      <c r="F62" s="328"/>
      <c r="G62" s="328"/>
      <c r="H62" s="328"/>
      <c r="I62" s="329"/>
      <c r="J62" s="329"/>
      <c r="K62" s="330"/>
      <c r="L62" s="323"/>
      <c r="M62" s="333"/>
      <c r="N62" s="327"/>
      <c r="O62" s="327"/>
      <c r="P62" s="327"/>
      <c r="Q62" s="328"/>
      <c r="R62" s="328"/>
      <c r="S62" s="328"/>
      <c r="T62" s="329"/>
      <c r="U62" s="329"/>
      <c r="V62" s="331"/>
      <c r="X62" s="333"/>
      <c r="Y62" s="327"/>
      <c r="Z62" s="327"/>
      <c r="AA62" s="328"/>
      <c r="AB62" s="331"/>
      <c r="AD62" s="333"/>
      <c r="AE62" s="327"/>
      <c r="AF62" s="327"/>
      <c r="AG62" s="328"/>
      <c r="AH62" s="331"/>
      <c r="AJ62" s="333"/>
      <c r="AK62" s="327"/>
      <c r="AL62" s="327"/>
      <c r="AM62" s="328"/>
      <c r="AN62" s="331"/>
      <c r="AP62" s="333"/>
      <c r="AQ62" s="327"/>
      <c r="AR62" s="327"/>
      <c r="AS62" s="327"/>
      <c r="AT62" s="328"/>
      <c r="AU62" s="328"/>
      <c r="AV62" s="328"/>
      <c r="AW62" s="329"/>
      <c r="AX62" s="329"/>
      <c r="AY62" s="331"/>
    </row>
    <row r="63" spans="2:51" ht="15" customHeight="1" x14ac:dyDescent="0.25">
      <c r="B63" s="333"/>
      <c r="C63" s="336">
        <f>SUM(IF(F63="",0,F63), IF(F64="",0,F64), IF(Q63="",0,Q63), IF(AT63="",0,AT63), IF(AA63="",0,AA63), IF(AG63="",0,AG63), IF(AM63="",0,AM63))</f>
        <v>0</v>
      </c>
      <c r="D63" s="327"/>
      <c r="E63" s="327" t="str">
        <f t="shared" si="10"/>
        <v/>
      </c>
      <c r="F63" s="328" t="str">
        <f t="shared" si="11"/>
        <v/>
      </c>
      <c r="G63" s="328"/>
      <c r="H63" s="328"/>
      <c r="I63" s="329"/>
      <c r="J63" s="329"/>
      <c r="K63" s="330"/>
      <c r="L63" s="323"/>
      <c r="M63" s="333" t="str">
        <f>IF(B63="","",B63)</f>
        <v/>
      </c>
      <c r="N63" s="327"/>
      <c r="O63" s="327"/>
      <c r="P63" s="327" t="str">
        <f>IF(O63="","",O63-O61)</f>
        <v/>
      </c>
      <c r="Q63" s="328" t="str">
        <f>IF(O63="","",P63*1000)</f>
        <v/>
      </c>
      <c r="R63" s="328"/>
      <c r="S63" s="328"/>
      <c r="T63" s="329"/>
      <c r="U63" s="329"/>
      <c r="V63" s="331"/>
      <c r="X63" s="333" t="str">
        <f>IF(AP63="","",AP63)</f>
        <v/>
      </c>
      <c r="Y63" s="327"/>
      <c r="Z63" s="327" t="str">
        <f>IF(Y63="","",Y63-Y61)</f>
        <v/>
      </c>
      <c r="AA63" s="328" t="str">
        <f>IF(Y63="","",Z63*1000)</f>
        <v/>
      </c>
      <c r="AB63" s="331"/>
      <c r="AD63" s="333" t="str">
        <f>IF(X63="","",X63)</f>
        <v/>
      </c>
      <c r="AE63" s="327"/>
      <c r="AF63" s="327" t="str">
        <f>IF(AE63="","",AE63-AE61)</f>
        <v/>
      </c>
      <c r="AG63" s="328" t="str">
        <f>IF(AE63="","",AF63*1000)</f>
        <v/>
      </c>
      <c r="AH63" s="331"/>
      <c r="AJ63" s="333" t="str">
        <f>IF(AD63="","",AD63)</f>
        <v/>
      </c>
      <c r="AK63" s="327"/>
      <c r="AL63" s="327" t="str">
        <f>IF(AK63="","",AK63-AK61)</f>
        <v/>
      </c>
      <c r="AM63" s="328" t="str">
        <f>IF(AK63="","",AL63*1000)</f>
        <v/>
      </c>
      <c r="AN63" s="331"/>
      <c r="AP63" s="333" t="str">
        <f>IF(M63="","",M63)</f>
        <v/>
      </c>
      <c r="AQ63" s="327"/>
      <c r="AR63" s="327"/>
      <c r="AS63" s="327" t="str">
        <f>IF(AR63="","",AR63-AR61)</f>
        <v/>
      </c>
      <c r="AT63" s="328" t="str">
        <f>IF(AR63="","",AS63*1000)</f>
        <v/>
      </c>
      <c r="AU63" s="328"/>
      <c r="AV63" s="328"/>
      <c r="AW63" s="329"/>
      <c r="AX63" s="329"/>
      <c r="AY63" s="331"/>
    </row>
    <row r="64" spans="2:51" ht="15" customHeight="1" x14ac:dyDescent="0.25">
      <c r="B64" s="333"/>
      <c r="C64" s="327"/>
      <c r="D64" s="327"/>
      <c r="E64" s="327" t="str">
        <f>IF(D64="","",D64-D62)</f>
        <v/>
      </c>
      <c r="F64" s="328" t="str">
        <f t="shared" si="11"/>
        <v/>
      </c>
      <c r="G64" s="328"/>
      <c r="H64" s="328"/>
      <c r="I64" s="329"/>
      <c r="J64" s="329"/>
      <c r="K64" s="330"/>
      <c r="L64" s="323"/>
      <c r="M64" s="333"/>
      <c r="N64" s="327"/>
      <c r="O64" s="327"/>
      <c r="P64" s="327" t="str">
        <f>IF(O64="","",O64-O62)</f>
        <v/>
      </c>
      <c r="Q64" s="328"/>
      <c r="R64" s="328"/>
      <c r="S64" s="328"/>
      <c r="T64" s="329"/>
      <c r="U64" s="329"/>
      <c r="V64" s="331"/>
      <c r="X64" s="333"/>
      <c r="Y64" s="327"/>
      <c r="Z64" s="327" t="str">
        <f>IF(Y64="","",Y64-Y62)</f>
        <v/>
      </c>
      <c r="AA64" s="328"/>
      <c r="AB64" s="331"/>
      <c r="AD64" s="333"/>
      <c r="AE64" s="327"/>
      <c r="AF64" s="327" t="str">
        <f>IF(AE64="","",AE64-AE62)</f>
        <v/>
      </c>
      <c r="AG64" s="328"/>
      <c r="AH64" s="331"/>
      <c r="AJ64" s="333"/>
      <c r="AK64" s="327"/>
      <c r="AL64" s="327" t="str">
        <f>IF(AK64="","",AK64-AK62)</f>
        <v/>
      </c>
      <c r="AM64" s="328"/>
      <c r="AN64" s="331"/>
      <c r="AP64" s="333"/>
      <c r="AQ64" s="327"/>
      <c r="AR64" s="327"/>
      <c r="AS64" s="327" t="str">
        <f>IF(AR64="","",AR64-AR62)</f>
        <v/>
      </c>
      <c r="AT64" s="328"/>
      <c r="AU64" s="328"/>
      <c r="AV64" s="328"/>
      <c r="AW64" s="329"/>
      <c r="AX64" s="329"/>
      <c r="AY64" s="331"/>
    </row>
    <row r="65" spans="2:51" ht="15" customHeight="1" x14ac:dyDescent="0.25">
      <c r="B65" s="333"/>
      <c r="C65" s="336">
        <f>SUM(IF(F65="",0,F65), IF(F66="",0,F66), IF(Q65="",0,Q65), IF(AT65="",0,AT65), IF(AA65="",0,AA65), IF(AG65="",0,AG65), IF(AM65="",0,AM65))</f>
        <v>0</v>
      </c>
      <c r="D65" s="327"/>
      <c r="E65" s="327" t="str">
        <f t="shared" si="10"/>
        <v/>
      </c>
      <c r="F65" s="328" t="str">
        <f t="shared" si="11"/>
        <v/>
      </c>
      <c r="G65" s="328"/>
      <c r="H65" s="328"/>
      <c r="I65" s="329"/>
      <c r="J65" s="329"/>
      <c r="K65" s="330"/>
      <c r="L65" s="323"/>
      <c r="M65" s="333" t="str">
        <f>IF(B65="","",B65)</f>
        <v/>
      </c>
      <c r="N65" s="327"/>
      <c r="O65" s="327"/>
      <c r="P65" s="327" t="str">
        <f>IF(O65="","",O65-O63)</f>
        <v/>
      </c>
      <c r="Q65" s="328" t="str">
        <f>IF(O65="","",P65*1000)</f>
        <v/>
      </c>
      <c r="R65" s="328"/>
      <c r="S65" s="328"/>
      <c r="T65" s="329"/>
      <c r="U65" s="329"/>
      <c r="V65" s="331"/>
      <c r="X65" s="333" t="str">
        <f>IF(AP65="","",AP65)</f>
        <v/>
      </c>
      <c r="Y65" s="327"/>
      <c r="Z65" s="327" t="str">
        <f>IF(Y65="","",Y65-Y63)</f>
        <v/>
      </c>
      <c r="AA65" s="328" t="str">
        <f>IF(Y65="","",Z65*1000)</f>
        <v/>
      </c>
      <c r="AB65" s="331"/>
      <c r="AD65" s="333" t="str">
        <f>IF(X65="","",X65)</f>
        <v/>
      </c>
      <c r="AE65" s="327"/>
      <c r="AF65" s="327" t="str">
        <f>IF(AE65="","",AE65-AE63)</f>
        <v/>
      </c>
      <c r="AG65" s="328" t="str">
        <f>IF(AE65="","",AF65*1000)</f>
        <v/>
      </c>
      <c r="AH65" s="331"/>
      <c r="AJ65" s="333" t="str">
        <f>IF(AD65="","",AD65)</f>
        <v/>
      </c>
      <c r="AK65" s="327"/>
      <c r="AL65" s="327" t="str">
        <f>IF(AK65="","",AK65-AK63)</f>
        <v/>
      </c>
      <c r="AM65" s="328" t="str">
        <f>IF(AK65="","",AL65*1000)</f>
        <v/>
      </c>
      <c r="AN65" s="331"/>
      <c r="AP65" s="333" t="str">
        <f>IF(M65="","",M65)</f>
        <v/>
      </c>
      <c r="AQ65" s="327"/>
      <c r="AR65" s="327"/>
      <c r="AS65" s="327" t="str">
        <f>IF(AR65="","",AR65-AR63)</f>
        <v/>
      </c>
      <c r="AT65" s="328" t="str">
        <f>IF(AR65="","",AS65*1000)</f>
        <v/>
      </c>
      <c r="AU65" s="328"/>
      <c r="AV65" s="328"/>
      <c r="AW65" s="329"/>
      <c r="AX65" s="329"/>
      <c r="AY65" s="331"/>
    </row>
    <row r="66" spans="2:51" ht="15" customHeight="1" x14ac:dyDescent="0.25">
      <c r="B66" s="333"/>
      <c r="C66" s="327"/>
      <c r="D66" s="327"/>
      <c r="E66" s="327" t="str">
        <f t="shared" si="10"/>
        <v/>
      </c>
      <c r="F66" s="328" t="str">
        <f t="shared" si="11"/>
        <v/>
      </c>
      <c r="G66" s="328"/>
      <c r="H66" s="328"/>
      <c r="I66" s="329"/>
      <c r="J66" s="329"/>
      <c r="K66" s="330"/>
      <c r="L66" s="323"/>
      <c r="M66" s="333"/>
      <c r="N66" s="327"/>
      <c r="O66" s="327"/>
      <c r="P66" s="327" t="str">
        <f>IF(O66="","",O66-O64)</f>
        <v/>
      </c>
      <c r="Q66" s="328"/>
      <c r="R66" s="328"/>
      <c r="S66" s="328"/>
      <c r="T66" s="329"/>
      <c r="U66" s="329"/>
      <c r="V66" s="331"/>
      <c r="X66" s="333"/>
      <c r="Y66" s="327"/>
      <c r="Z66" s="327" t="str">
        <f>IF(Y66="","",Y66-Y64)</f>
        <v/>
      </c>
      <c r="AA66" s="328"/>
      <c r="AB66" s="331"/>
      <c r="AD66" s="333"/>
      <c r="AE66" s="327"/>
      <c r="AF66" s="327" t="str">
        <f>IF(AE66="","",AE66-AE64)</f>
        <v/>
      </c>
      <c r="AG66" s="328"/>
      <c r="AH66" s="331"/>
      <c r="AJ66" s="333"/>
      <c r="AK66" s="327"/>
      <c r="AL66" s="327" t="str">
        <f>IF(AK66="","",AK66-AK64)</f>
        <v/>
      </c>
      <c r="AM66" s="328"/>
      <c r="AN66" s="331"/>
      <c r="AP66" s="333"/>
      <c r="AQ66" s="327"/>
      <c r="AR66" s="327"/>
      <c r="AS66" s="327" t="str">
        <f>IF(AR66="","",AR66-AR64)</f>
        <v/>
      </c>
      <c r="AT66" s="328"/>
      <c r="AU66" s="328"/>
      <c r="AV66" s="328"/>
      <c r="AW66" s="329"/>
      <c r="AX66" s="329"/>
      <c r="AY66" s="331"/>
    </row>
    <row r="67" spans="2:51" ht="15" customHeight="1" x14ac:dyDescent="0.25">
      <c r="B67" s="333"/>
      <c r="C67" s="336">
        <f>SUM(IF(F67="",0,F67), IF(F68="",0,F68), IF(Q67="",0,Q67), IF(AT67="",0,AT67), IF(AA67="",0,AA67), IF(AG67="",0,AG67), IF(AM67="",0,AM67))</f>
        <v>0</v>
      </c>
      <c r="D67" s="327"/>
      <c r="E67" s="327" t="str">
        <f t="shared" si="10"/>
        <v/>
      </c>
      <c r="F67" s="328" t="str">
        <f t="shared" si="11"/>
        <v/>
      </c>
      <c r="G67" s="328"/>
      <c r="H67" s="328"/>
      <c r="I67" s="329"/>
      <c r="J67" s="329"/>
      <c r="K67" s="330"/>
      <c r="L67" s="323"/>
      <c r="M67" s="333" t="str">
        <f>IF(B67="","",B67)</f>
        <v/>
      </c>
      <c r="N67" s="327"/>
      <c r="O67" s="327"/>
      <c r="P67" s="327" t="str">
        <f>IF(O67="","",O67-O65)</f>
        <v/>
      </c>
      <c r="Q67" s="328" t="str">
        <f>IF(O67="","",P67*1000)</f>
        <v/>
      </c>
      <c r="R67" s="328"/>
      <c r="S67" s="328"/>
      <c r="T67" s="329"/>
      <c r="U67" s="329"/>
      <c r="V67" s="331"/>
      <c r="X67" s="333" t="str">
        <f>IF(AP67="","",AP67)</f>
        <v/>
      </c>
      <c r="Y67" s="327"/>
      <c r="Z67" s="327" t="str">
        <f>IF(Y67="","",Y67-Y65)</f>
        <v/>
      </c>
      <c r="AA67" s="328" t="str">
        <f>IF(Y67="","",Z67*1000)</f>
        <v/>
      </c>
      <c r="AB67" s="331"/>
      <c r="AD67" s="333" t="str">
        <f>IF(X67="","",X67)</f>
        <v/>
      </c>
      <c r="AE67" s="327"/>
      <c r="AF67" s="327" t="str">
        <f>IF(AE67="","",AE67-AE65)</f>
        <v/>
      </c>
      <c r="AG67" s="328" t="str">
        <f>IF(AE67="","",AF67*1000)</f>
        <v/>
      </c>
      <c r="AH67" s="331"/>
      <c r="AJ67" s="333" t="str">
        <f>IF(AD67="","",AD67)</f>
        <v/>
      </c>
      <c r="AK67" s="327"/>
      <c r="AL67" s="327" t="str">
        <f>IF(AK67="","",AK67-AK65)</f>
        <v/>
      </c>
      <c r="AM67" s="328" t="str">
        <f>IF(AK67="","",AL67*1000)</f>
        <v/>
      </c>
      <c r="AN67" s="331"/>
      <c r="AP67" s="333" t="str">
        <f>IF(M67="","",M67)</f>
        <v/>
      </c>
      <c r="AQ67" s="327"/>
      <c r="AR67" s="327"/>
      <c r="AS67" s="327" t="str">
        <f>IF(AR67="","",AR67-AR65)</f>
        <v/>
      </c>
      <c r="AT67" s="328" t="str">
        <f>IF(AR67="","",AS67*1000)</f>
        <v/>
      </c>
      <c r="AU67" s="328"/>
      <c r="AV67" s="328"/>
      <c r="AW67" s="329"/>
      <c r="AX67" s="329"/>
      <c r="AY67" s="331"/>
    </row>
    <row r="68" spans="2:51" ht="15" customHeight="1" x14ac:dyDescent="0.25">
      <c r="B68" s="333"/>
      <c r="C68" s="327"/>
      <c r="D68" s="327"/>
      <c r="E68" s="327" t="str">
        <f t="shared" si="10"/>
        <v/>
      </c>
      <c r="F68" s="328" t="str">
        <f t="shared" si="11"/>
        <v/>
      </c>
      <c r="G68" s="328"/>
      <c r="H68" s="328"/>
      <c r="I68" s="329"/>
      <c r="J68" s="329"/>
      <c r="K68" s="330"/>
      <c r="L68" s="323"/>
      <c r="M68" s="333"/>
      <c r="N68" s="327"/>
      <c r="O68" s="327"/>
      <c r="P68" s="327"/>
      <c r="Q68" s="328"/>
      <c r="R68" s="328"/>
      <c r="S68" s="328"/>
      <c r="T68" s="329"/>
      <c r="U68" s="329"/>
      <c r="V68" s="331"/>
      <c r="X68" s="333"/>
      <c r="Y68" s="327"/>
      <c r="Z68" s="327"/>
      <c r="AA68" s="328"/>
      <c r="AB68" s="331"/>
      <c r="AD68" s="333"/>
      <c r="AE68" s="327"/>
      <c r="AF68" s="327"/>
      <c r="AG68" s="328"/>
      <c r="AH68" s="331"/>
      <c r="AJ68" s="333"/>
      <c r="AK68" s="327"/>
      <c r="AL68" s="327"/>
      <c r="AM68" s="328"/>
      <c r="AN68" s="331"/>
      <c r="AP68" s="333"/>
      <c r="AQ68" s="327"/>
      <c r="AR68" s="327"/>
      <c r="AS68" s="327"/>
      <c r="AT68" s="328"/>
      <c r="AU68" s="328"/>
      <c r="AV68" s="328"/>
      <c r="AW68" s="329"/>
      <c r="AX68" s="329"/>
      <c r="AY68" s="331"/>
    </row>
    <row r="69" spans="2:51" ht="15" customHeight="1" x14ac:dyDescent="0.25">
      <c r="B69" s="333"/>
      <c r="C69" s="336">
        <f>SUM(IF(F69="",0,F69), IF(F70="",0,F70), IF(Q69="",0,Q69), IF(AT69="",0,AT69), IF(AA69="",0,AA69), IF(AG69="",0,AG69), IF(AM69="",0,AM69))</f>
        <v>0</v>
      </c>
      <c r="D69" s="327"/>
      <c r="E69" s="327" t="str">
        <f t="shared" si="10"/>
        <v/>
      </c>
      <c r="F69" s="328" t="str">
        <f t="shared" si="11"/>
        <v/>
      </c>
      <c r="G69" s="328"/>
      <c r="H69" s="328"/>
      <c r="I69" s="329"/>
      <c r="J69" s="329"/>
      <c r="K69" s="330"/>
      <c r="L69" s="323"/>
      <c r="M69" s="333" t="str">
        <f>IF(B69="","",B69)</f>
        <v/>
      </c>
      <c r="N69" s="327"/>
      <c r="O69" s="327"/>
      <c r="P69" s="327" t="str">
        <f>IF(O69="","",O69-O67)</f>
        <v/>
      </c>
      <c r="Q69" s="328" t="str">
        <f>IF(O69="","",P69*1000)</f>
        <v/>
      </c>
      <c r="R69" s="328"/>
      <c r="S69" s="328"/>
      <c r="T69" s="329"/>
      <c r="U69" s="329"/>
      <c r="V69" s="331"/>
      <c r="X69" s="333" t="str">
        <f>IF(AP69="","",AP69)</f>
        <v/>
      </c>
      <c r="Y69" s="327"/>
      <c r="Z69" s="327" t="str">
        <f>IF(Y69="","",Y69-Y67)</f>
        <v/>
      </c>
      <c r="AA69" s="328" t="str">
        <f>IF(Y69="","",Z69*1000)</f>
        <v/>
      </c>
      <c r="AB69" s="331"/>
      <c r="AD69" s="333" t="str">
        <f>IF(X69="","",X69)</f>
        <v/>
      </c>
      <c r="AE69" s="327"/>
      <c r="AF69" s="327" t="str">
        <f>IF(AE69="","",AE69-AE67)</f>
        <v/>
      </c>
      <c r="AG69" s="328" t="str">
        <f>IF(AE69="","",AF69*1000)</f>
        <v/>
      </c>
      <c r="AH69" s="331"/>
      <c r="AJ69" s="333" t="str">
        <f>IF(AD69="","",AD69)</f>
        <v/>
      </c>
      <c r="AK69" s="327"/>
      <c r="AL69" s="327" t="str">
        <f>IF(AK69="","",AK69-AK67)</f>
        <v/>
      </c>
      <c r="AM69" s="328" t="str">
        <f>IF(AK69="","",AL69*1000)</f>
        <v/>
      </c>
      <c r="AN69" s="331"/>
      <c r="AP69" s="333" t="str">
        <f>IF(M69="","",M69)</f>
        <v/>
      </c>
      <c r="AQ69" s="327"/>
      <c r="AR69" s="327"/>
      <c r="AS69" s="327" t="str">
        <f>IF(AR69="","",AR69-AR67)</f>
        <v/>
      </c>
      <c r="AT69" s="328" t="str">
        <f>IF(AR69="","",AS69*1000)</f>
        <v/>
      </c>
      <c r="AU69" s="328"/>
      <c r="AV69" s="328"/>
      <c r="AW69" s="329"/>
      <c r="AX69" s="329"/>
      <c r="AY69" s="331"/>
    </row>
    <row r="70" spans="2:51" ht="15" customHeight="1" x14ac:dyDescent="0.25">
      <c r="B70" s="333"/>
      <c r="C70" s="327"/>
      <c r="D70" s="327"/>
      <c r="E70" s="327" t="str">
        <f t="shared" si="10"/>
        <v/>
      </c>
      <c r="F70" s="328" t="str">
        <f t="shared" si="11"/>
        <v/>
      </c>
      <c r="G70" s="328"/>
      <c r="H70" s="328"/>
      <c r="I70" s="329"/>
      <c r="J70" s="329"/>
      <c r="K70" s="330"/>
      <c r="L70" s="323"/>
      <c r="M70" s="333" t="str">
        <f>IF(B70="","",B70)</f>
        <v/>
      </c>
      <c r="N70" s="327"/>
      <c r="O70" s="327"/>
      <c r="P70" s="327"/>
      <c r="Q70" s="328"/>
      <c r="R70" s="328"/>
      <c r="S70" s="328"/>
      <c r="T70" s="329"/>
      <c r="U70" s="329"/>
      <c r="V70" s="331"/>
      <c r="X70" s="333"/>
      <c r="Y70" s="327"/>
      <c r="Z70" s="327"/>
      <c r="AA70" s="328"/>
      <c r="AB70" s="331"/>
      <c r="AD70" s="333"/>
      <c r="AE70" s="327"/>
      <c r="AF70" s="327"/>
      <c r="AG70" s="328"/>
      <c r="AH70" s="331"/>
      <c r="AJ70" s="333"/>
      <c r="AK70" s="327"/>
      <c r="AL70" s="327"/>
      <c r="AM70" s="328"/>
      <c r="AN70" s="331"/>
      <c r="AP70" s="333"/>
      <c r="AQ70" s="327"/>
      <c r="AR70" s="327"/>
      <c r="AS70" s="327"/>
      <c r="AT70" s="328"/>
      <c r="AU70" s="328"/>
      <c r="AV70" s="328"/>
      <c r="AW70" s="329"/>
      <c r="AX70" s="329"/>
      <c r="AY70" s="331"/>
    </row>
    <row r="71" spans="2:51" ht="15" customHeight="1" x14ac:dyDescent="0.25">
      <c r="B71" s="333"/>
      <c r="C71" s="336">
        <f>SUM(IF(F71="",0,F71), IF(F72="",0,F72), IF(Q71="",0,Q71), IF(AT71="",0,AT71), IF(AA71="",0,AA71), IF(AG71="",0,AG71), IF(AM71="",0,AM71))</f>
        <v>0</v>
      </c>
      <c r="D71" s="327"/>
      <c r="E71" s="327" t="str">
        <f t="shared" si="10"/>
        <v/>
      </c>
      <c r="F71" s="328" t="str">
        <f t="shared" si="11"/>
        <v/>
      </c>
      <c r="G71" s="328"/>
      <c r="H71" s="328"/>
      <c r="I71" s="329"/>
      <c r="J71" s="329"/>
      <c r="K71" s="330"/>
      <c r="L71" s="323"/>
      <c r="M71" s="333" t="str">
        <f>IF(B71="","",B71)</f>
        <v/>
      </c>
      <c r="N71" s="327"/>
      <c r="O71" s="327"/>
      <c r="P71" s="327" t="str">
        <f>IF(O71="","",O71-O69)</f>
        <v/>
      </c>
      <c r="Q71" s="328" t="str">
        <f>IF(O71="","",P71*1000)</f>
        <v/>
      </c>
      <c r="R71" s="328"/>
      <c r="S71" s="328"/>
      <c r="T71" s="329"/>
      <c r="U71" s="329"/>
      <c r="V71" s="331"/>
      <c r="X71" s="333"/>
      <c r="Y71" s="327"/>
      <c r="Z71" s="327" t="str">
        <f>IF(Y71="","",Y71-Y69)</f>
        <v/>
      </c>
      <c r="AA71" s="328" t="str">
        <f>IF(Y71="","",Z71*1000)</f>
        <v/>
      </c>
      <c r="AB71" s="331"/>
      <c r="AD71" s="333" t="str">
        <f>IF(X71="","",X71)</f>
        <v/>
      </c>
      <c r="AE71" s="327"/>
      <c r="AF71" s="327" t="str">
        <f>IF(AE71="","",AE71-AE69)</f>
        <v/>
      </c>
      <c r="AG71" s="328" t="str">
        <f>IF(AE71="","",AF71*1000)</f>
        <v/>
      </c>
      <c r="AH71" s="331"/>
      <c r="AJ71" s="333" t="str">
        <f>IF(AD71="","",AD71)</f>
        <v/>
      </c>
      <c r="AK71" s="327"/>
      <c r="AL71" s="327" t="str">
        <f>IF(AK71="","",AK71-AK69)</f>
        <v/>
      </c>
      <c r="AM71" s="328" t="str">
        <f>IF(AK71="","",AL71*1000)</f>
        <v/>
      </c>
      <c r="AN71" s="331"/>
      <c r="AP71" s="333" t="str">
        <f>IF(M71="","",M71)</f>
        <v/>
      </c>
      <c r="AQ71" s="327"/>
      <c r="AR71" s="327"/>
      <c r="AS71" s="327" t="str">
        <f>IF(AR71="","",AR71-AR69)</f>
        <v/>
      </c>
      <c r="AT71" s="328" t="str">
        <f>IF(AR71="","",AS71*1000)</f>
        <v/>
      </c>
      <c r="AU71" s="328"/>
      <c r="AV71" s="328"/>
      <c r="AW71" s="329"/>
      <c r="AX71" s="329"/>
      <c r="AY71" s="331"/>
    </row>
    <row r="72" spans="2:51" ht="15" customHeight="1" x14ac:dyDescent="0.25">
      <c r="B72" s="333"/>
      <c r="C72" s="327"/>
      <c r="D72" s="327"/>
      <c r="E72" s="327" t="str">
        <f t="shared" si="10"/>
        <v/>
      </c>
      <c r="F72" s="328" t="str">
        <f t="shared" si="11"/>
        <v/>
      </c>
      <c r="G72" s="328"/>
      <c r="H72" s="328"/>
      <c r="I72" s="329"/>
      <c r="J72" s="329"/>
      <c r="K72" s="330"/>
      <c r="L72" s="323"/>
      <c r="M72" s="333"/>
      <c r="N72" s="327"/>
      <c r="O72" s="327"/>
      <c r="P72" s="327"/>
      <c r="Q72" s="328"/>
      <c r="R72" s="328"/>
      <c r="S72" s="328"/>
      <c r="T72" s="329"/>
      <c r="U72" s="329"/>
      <c r="V72" s="331"/>
      <c r="X72" s="333"/>
      <c r="Y72" s="327"/>
      <c r="Z72" s="327"/>
      <c r="AA72" s="328"/>
      <c r="AB72" s="331"/>
      <c r="AD72" s="333"/>
      <c r="AE72" s="327"/>
      <c r="AF72" s="327"/>
      <c r="AG72" s="328"/>
      <c r="AH72" s="331"/>
      <c r="AJ72" s="333"/>
      <c r="AK72" s="327"/>
      <c r="AL72" s="327"/>
      <c r="AM72" s="328"/>
      <c r="AN72" s="331"/>
      <c r="AP72" s="333"/>
      <c r="AQ72" s="327"/>
      <c r="AR72" s="327"/>
      <c r="AS72" s="327"/>
      <c r="AT72" s="328"/>
      <c r="AU72" s="328"/>
      <c r="AV72" s="328"/>
      <c r="AW72" s="329"/>
      <c r="AX72" s="329"/>
      <c r="AY72" s="331"/>
    </row>
    <row r="73" spans="2:51" ht="15" customHeight="1" x14ac:dyDescent="0.25">
      <c r="B73" s="333"/>
      <c r="C73" s="336">
        <f>SUM(IF(F73="",0,F73), IF(F74="",0,F74), IF(Q73="",0,Q73), IF(AT73="",0,AT73), IF(AA73="",0,AA73), IF(AG73="",0,AG73), IF(AM73="",0,AM73))</f>
        <v>0</v>
      </c>
      <c r="D73" s="327"/>
      <c r="E73" s="327" t="str">
        <f t="shared" si="10"/>
        <v/>
      </c>
      <c r="F73" s="328" t="str">
        <f t="shared" si="11"/>
        <v/>
      </c>
      <c r="G73" s="328"/>
      <c r="H73" s="328"/>
      <c r="I73" s="329"/>
      <c r="J73" s="329"/>
      <c r="K73" s="330"/>
      <c r="L73" s="323"/>
      <c r="M73" s="333" t="str">
        <f>IF(B73="","",B73)</f>
        <v/>
      </c>
      <c r="N73" s="327"/>
      <c r="O73" s="327"/>
      <c r="P73" s="327" t="str">
        <f>IF(O73="","",O73-O71)</f>
        <v/>
      </c>
      <c r="Q73" s="328" t="str">
        <f>IF(O73="","",P73*1000)</f>
        <v/>
      </c>
      <c r="R73" s="328"/>
      <c r="S73" s="328"/>
      <c r="T73" s="329"/>
      <c r="U73" s="329"/>
      <c r="V73" s="331"/>
      <c r="X73" s="333" t="str">
        <f>IF(AP73="","",AP73)</f>
        <v/>
      </c>
      <c r="Y73" s="327"/>
      <c r="Z73" s="327" t="str">
        <f>IF(Y73="","",Y73-Y71)</f>
        <v/>
      </c>
      <c r="AA73" s="328" t="str">
        <f>IF(Y73="","",Z73*1000)</f>
        <v/>
      </c>
      <c r="AB73" s="331"/>
      <c r="AD73" s="333" t="str">
        <f>IF(X73="","",X73)</f>
        <v/>
      </c>
      <c r="AE73" s="327"/>
      <c r="AF73" s="327" t="str">
        <f>IF(AE73="","",AE73-AE71)</f>
        <v/>
      </c>
      <c r="AG73" s="328" t="str">
        <f>IF(AE73="","",AF73*1000)</f>
        <v/>
      </c>
      <c r="AH73" s="331"/>
      <c r="AJ73" s="333" t="str">
        <f>IF(AD73="","",AD73)</f>
        <v/>
      </c>
      <c r="AK73" s="327"/>
      <c r="AL73" s="327" t="str">
        <f>IF(AK73="","",AK73-AK71)</f>
        <v/>
      </c>
      <c r="AM73" s="328" t="str">
        <f>IF(AK73="","",AL73*1000)</f>
        <v/>
      </c>
      <c r="AN73" s="331"/>
      <c r="AP73" s="333" t="str">
        <f>IF(M73="","",M73)</f>
        <v/>
      </c>
      <c r="AQ73" s="327"/>
      <c r="AR73" s="327"/>
      <c r="AS73" s="327" t="str">
        <f>IF(AR73="","",AR73-AR71)</f>
        <v/>
      </c>
      <c r="AT73" s="328" t="str">
        <f>IF(AR73="","",AS73*1000)</f>
        <v/>
      </c>
      <c r="AU73" s="328"/>
      <c r="AV73" s="328"/>
      <c r="AW73" s="329"/>
      <c r="AX73" s="329"/>
      <c r="AY73" s="331"/>
    </row>
    <row r="74" spans="2:51" ht="15" customHeight="1" x14ac:dyDescent="0.25">
      <c r="B74" s="333"/>
      <c r="C74" s="327"/>
      <c r="D74" s="327"/>
      <c r="E74" s="327" t="str">
        <f t="shared" si="10"/>
        <v/>
      </c>
      <c r="F74" s="328" t="str">
        <f t="shared" si="11"/>
        <v/>
      </c>
      <c r="G74" s="328"/>
      <c r="H74" s="328"/>
      <c r="I74" s="329"/>
      <c r="J74" s="329"/>
      <c r="K74" s="330"/>
      <c r="L74" s="323"/>
      <c r="M74" s="333"/>
      <c r="N74" s="327"/>
      <c r="O74" s="327"/>
      <c r="P74" s="327"/>
      <c r="Q74" s="328"/>
      <c r="R74" s="328"/>
      <c r="S74" s="328"/>
      <c r="T74" s="329"/>
      <c r="U74" s="329"/>
      <c r="V74" s="331"/>
      <c r="X74" s="333"/>
      <c r="Y74" s="327"/>
      <c r="Z74" s="327"/>
      <c r="AA74" s="328"/>
      <c r="AB74" s="331"/>
      <c r="AD74" s="333"/>
      <c r="AE74" s="327"/>
      <c r="AF74" s="327"/>
      <c r="AG74" s="328"/>
      <c r="AH74" s="331"/>
      <c r="AJ74" s="333"/>
      <c r="AK74" s="327"/>
      <c r="AL74" s="327"/>
      <c r="AM74" s="328"/>
      <c r="AN74" s="331"/>
      <c r="AP74" s="333"/>
      <c r="AQ74" s="327"/>
      <c r="AR74" s="327"/>
      <c r="AS74" s="327"/>
      <c r="AT74" s="328"/>
      <c r="AU74" s="328"/>
      <c r="AV74" s="328"/>
      <c r="AW74" s="329"/>
      <c r="AX74" s="329"/>
      <c r="AY74" s="331"/>
    </row>
    <row r="75" spans="2:51" ht="15" customHeight="1" x14ac:dyDescent="0.25">
      <c r="B75" s="333"/>
      <c r="C75" s="336">
        <f>SUM(IF(F75="",0,F75), IF(F76="",0,F76), IF(Q75="",0,Q75), IF(AT75="",0,AT75), IF(AA75="",0,AA75), IF(AG75="",0,AG75), IF(AM75="",0,AM75))</f>
        <v>0</v>
      </c>
      <c r="D75" s="327"/>
      <c r="E75" s="327" t="str">
        <f t="shared" si="10"/>
        <v/>
      </c>
      <c r="F75" s="328" t="str">
        <f t="shared" si="11"/>
        <v/>
      </c>
      <c r="G75" s="328"/>
      <c r="H75" s="328"/>
      <c r="I75" s="329"/>
      <c r="J75" s="329"/>
      <c r="K75" s="330"/>
      <c r="L75" s="323"/>
      <c r="M75" s="333" t="str">
        <f>IF(B75="","",B75)</f>
        <v/>
      </c>
      <c r="N75" s="327"/>
      <c r="O75" s="327"/>
      <c r="P75" s="327" t="str">
        <f>IF(O75="","",O75-O73)</f>
        <v/>
      </c>
      <c r="Q75" s="328" t="str">
        <f>IF(O75="","",P75*1000)</f>
        <v/>
      </c>
      <c r="R75" s="328"/>
      <c r="S75" s="328"/>
      <c r="T75" s="329"/>
      <c r="U75" s="329"/>
      <c r="V75" s="331"/>
      <c r="X75" s="333" t="str">
        <f>IF(AP75="","",AP75)</f>
        <v/>
      </c>
      <c r="Y75" s="327"/>
      <c r="Z75" s="327" t="str">
        <f>IF(Y75="","",Y75-Y73)</f>
        <v/>
      </c>
      <c r="AA75" s="328" t="str">
        <f>IF(Y75="","",Z75*1000)</f>
        <v/>
      </c>
      <c r="AB75" s="331"/>
      <c r="AD75" s="333" t="str">
        <f>IF(X75="","",X75)</f>
        <v/>
      </c>
      <c r="AE75" s="327"/>
      <c r="AF75" s="327" t="str">
        <f>IF(AE75="","",AE75-AE73)</f>
        <v/>
      </c>
      <c r="AG75" s="328" t="str">
        <f>IF(AE75="","",AF75*1000)</f>
        <v/>
      </c>
      <c r="AH75" s="331"/>
      <c r="AJ75" s="333" t="str">
        <f>IF(AD75="","",AD75)</f>
        <v/>
      </c>
      <c r="AK75" s="327"/>
      <c r="AL75" s="327" t="str">
        <f>IF(AK75="","",AK75-AK73)</f>
        <v/>
      </c>
      <c r="AM75" s="328" t="str">
        <f>IF(AK75="","",AL75*1000)</f>
        <v/>
      </c>
      <c r="AN75" s="331"/>
      <c r="AP75" s="333" t="str">
        <f>IF(M75="","",M75)</f>
        <v/>
      </c>
      <c r="AQ75" s="327"/>
      <c r="AR75" s="327"/>
      <c r="AS75" s="327" t="str">
        <f>IF(AR75="","",AR75-AR73)</f>
        <v/>
      </c>
      <c r="AT75" s="328" t="str">
        <f>IF(AR75="","",AS75*1000)</f>
        <v/>
      </c>
      <c r="AU75" s="328"/>
      <c r="AV75" s="328"/>
      <c r="AW75" s="329"/>
      <c r="AX75" s="329"/>
      <c r="AY75" s="331"/>
    </row>
    <row r="76" spans="2:51" ht="15" customHeight="1" x14ac:dyDescent="0.25">
      <c r="B76" s="333"/>
      <c r="C76" s="327"/>
      <c r="D76" s="327"/>
      <c r="E76" s="327" t="str">
        <f t="shared" si="10"/>
        <v/>
      </c>
      <c r="F76" s="328" t="str">
        <f t="shared" si="11"/>
        <v/>
      </c>
      <c r="G76" s="328"/>
      <c r="H76" s="328"/>
      <c r="I76" s="329"/>
      <c r="J76" s="329"/>
      <c r="K76" s="330"/>
      <c r="L76" s="323"/>
      <c r="M76" s="333"/>
      <c r="N76" s="327"/>
      <c r="O76" s="327"/>
      <c r="P76" s="327"/>
      <c r="Q76" s="328"/>
      <c r="R76" s="328"/>
      <c r="S76" s="328"/>
      <c r="T76" s="329"/>
      <c r="U76" s="329"/>
      <c r="V76" s="331"/>
      <c r="X76" s="333"/>
      <c r="Y76" s="327"/>
      <c r="Z76" s="327"/>
      <c r="AA76" s="328"/>
      <c r="AB76" s="331"/>
      <c r="AD76" s="333"/>
      <c r="AE76" s="327"/>
      <c r="AF76" s="327"/>
      <c r="AG76" s="328"/>
      <c r="AH76" s="331"/>
      <c r="AJ76" s="333"/>
      <c r="AK76" s="327"/>
      <c r="AL76" s="327"/>
      <c r="AM76" s="328"/>
      <c r="AN76" s="331"/>
      <c r="AP76" s="333"/>
      <c r="AQ76" s="327"/>
      <c r="AR76" s="327"/>
      <c r="AS76" s="327"/>
      <c r="AT76" s="328"/>
      <c r="AU76" s="328"/>
      <c r="AV76" s="328"/>
      <c r="AW76" s="329"/>
      <c r="AX76" s="329"/>
      <c r="AY76" s="331"/>
    </row>
    <row r="77" spans="2:51" ht="15" customHeight="1" x14ac:dyDescent="0.25">
      <c r="B77" s="333"/>
      <c r="C77" s="336">
        <f>SUM(IF(F77="",0,F77), IF(F78="",0,F78), IF(Q77="",0,Q77), IF(AT77="",0,AT77), IF(AA77="",0,AA77), IF(AG77="",0,AG77), IF(AM77="",0,AM77))</f>
        <v>0</v>
      </c>
      <c r="D77" s="327"/>
      <c r="E77" s="327" t="str">
        <f t="shared" si="10"/>
        <v/>
      </c>
      <c r="F77" s="328" t="str">
        <f t="shared" si="11"/>
        <v/>
      </c>
      <c r="G77" s="328"/>
      <c r="H77" s="328"/>
      <c r="I77" s="329"/>
      <c r="J77" s="329"/>
      <c r="K77" s="330"/>
      <c r="L77" s="323"/>
      <c r="M77" s="333" t="str">
        <f>IF(B77="","",B77)</f>
        <v/>
      </c>
      <c r="N77" s="327"/>
      <c r="O77" s="327"/>
      <c r="P77" s="327" t="str">
        <f>IF(O77="","",O77-O75)</f>
        <v/>
      </c>
      <c r="Q77" s="328" t="str">
        <f>IF(O77="","",P77*1000)</f>
        <v/>
      </c>
      <c r="R77" s="328"/>
      <c r="S77" s="328"/>
      <c r="T77" s="329"/>
      <c r="U77" s="329"/>
      <c r="V77" s="331"/>
      <c r="X77" s="333" t="str">
        <f>IF(AP77="","",AP77)</f>
        <v/>
      </c>
      <c r="Y77" s="327"/>
      <c r="Z77" s="327" t="str">
        <f>IF(Y77="","",Y77-Y75)</f>
        <v/>
      </c>
      <c r="AA77" s="328" t="str">
        <f>IF(Y77="","",Z77*1000)</f>
        <v/>
      </c>
      <c r="AB77" s="331"/>
      <c r="AD77" s="333" t="str">
        <f>IF(X77="","",X77)</f>
        <v/>
      </c>
      <c r="AE77" s="327"/>
      <c r="AF77" s="327" t="str">
        <f>IF(AE77="","",AE77-AE75)</f>
        <v/>
      </c>
      <c r="AG77" s="328" t="str">
        <f>IF(AE77="","",AF77*1000)</f>
        <v/>
      </c>
      <c r="AH77" s="331"/>
      <c r="AJ77" s="333" t="str">
        <f>IF(AD77="","",AD77)</f>
        <v/>
      </c>
      <c r="AK77" s="327"/>
      <c r="AL77" s="327" t="str">
        <f>IF(AK77="","",AK77-AK75)</f>
        <v/>
      </c>
      <c r="AM77" s="328" t="str">
        <f>IF(AK77="","",AL77*1000)</f>
        <v/>
      </c>
      <c r="AN77" s="331"/>
      <c r="AP77" s="333" t="str">
        <f>IF(M77="","",M77)</f>
        <v/>
      </c>
      <c r="AQ77" s="327"/>
      <c r="AR77" s="327"/>
      <c r="AS77" s="327" t="str">
        <f>IF(AR77="","",AR77-AR75)</f>
        <v/>
      </c>
      <c r="AT77" s="328" t="str">
        <f>IF(AR77="","",AS77*1000)</f>
        <v/>
      </c>
      <c r="AU77" s="328"/>
      <c r="AV77" s="328"/>
      <c r="AW77" s="329"/>
      <c r="AX77" s="329"/>
      <c r="AY77" s="331"/>
    </row>
    <row r="78" spans="2:51" ht="15" customHeight="1" x14ac:dyDescent="0.25">
      <c r="B78" s="333"/>
      <c r="C78" s="327"/>
      <c r="D78" s="327"/>
      <c r="E78" s="327" t="str">
        <f t="shared" si="10"/>
        <v/>
      </c>
      <c r="F78" s="328" t="str">
        <f t="shared" si="11"/>
        <v/>
      </c>
      <c r="G78" s="328"/>
      <c r="H78" s="328"/>
      <c r="I78" s="329"/>
      <c r="J78" s="329"/>
      <c r="K78" s="330"/>
      <c r="L78" s="323"/>
      <c r="M78" s="333"/>
      <c r="N78" s="327"/>
      <c r="O78" s="327"/>
      <c r="P78" s="327"/>
      <c r="Q78" s="328"/>
      <c r="R78" s="328"/>
      <c r="S78" s="328"/>
      <c r="T78" s="329"/>
      <c r="U78" s="329"/>
      <c r="V78" s="331"/>
      <c r="X78" s="333"/>
      <c r="Y78" s="327"/>
      <c r="Z78" s="327"/>
      <c r="AA78" s="328"/>
      <c r="AB78" s="331"/>
      <c r="AD78" s="333"/>
      <c r="AE78" s="327"/>
      <c r="AF78" s="327"/>
      <c r="AG78" s="328"/>
      <c r="AH78" s="331"/>
      <c r="AJ78" s="333"/>
      <c r="AK78" s="327"/>
      <c r="AL78" s="327"/>
      <c r="AM78" s="328"/>
      <c r="AN78" s="331"/>
      <c r="AP78" s="333"/>
      <c r="AQ78" s="327"/>
      <c r="AR78" s="327"/>
      <c r="AS78" s="327"/>
      <c r="AT78" s="328"/>
      <c r="AU78" s="328"/>
      <c r="AV78" s="328"/>
      <c r="AW78" s="329"/>
      <c r="AX78" s="329"/>
      <c r="AY78" s="331"/>
    </row>
    <row r="79" spans="2:51" ht="15" customHeight="1" x14ac:dyDescent="0.25">
      <c r="B79" s="333"/>
      <c r="C79" s="336">
        <f>SUM(IF(F79="",0,F79), IF(F80="",0,F80), IF(Q79="",0,Q79), IF(AT79="",0,AT79), IF(AA79="",0,AA79), IF(AG79="",0,AG79), IF(AM79="",0,AM79))</f>
        <v>0</v>
      </c>
      <c r="D79" s="327"/>
      <c r="E79" s="327" t="str">
        <f t="shared" si="10"/>
        <v/>
      </c>
      <c r="F79" s="328" t="str">
        <f t="shared" si="11"/>
        <v/>
      </c>
      <c r="G79" s="328"/>
      <c r="H79" s="328"/>
      <c r="I79" s="329"/>
      <c r="J79" s="329"/>
      <c r="K79" s="330"/>
      <c r="L79" s="323"/>
      <c r="M79" s="333" t="str">
        <f>IF(B79="","",B79)</f>
        <v/>
      </c>
      <c r="N79" s="327"/>
      <c r="O79" s="327"/>
      <c r="P79" s="327" t="str">
        <f>IF(O79="","",O79-O77)</f>
        <v/>
      </c>
      <c r="Q79" s="328" t="str">
        <f>IF(O79="","",P79*1000)</f>
        <v/>
      </c>
      <c r="R79" s="328"/>
      <c r="S79" s="328"/>
      <c r="T79" s="329"/>
      <c r="U79" s="329"/>
      <c r="V79" s="331"/>
      <c r="X79" s="333" t="str">
        <f>IF(AP79="","",AP79)</f>
        <v/>
      </c>
      <c r="Y79" s="327"/>
      <c r="Z79" s="327" t="str">
        <f>IF(Y79="","",Y79-Y77)</f>
        <v/>
      </c>
      <c r="AA79" s="328" t="str">
        <f>IF(Y79="","",Z79*1000)</f>
        <v/>
      </c>
      <c r="AB79" s="331"/>
      <c r="AD79" s="333" t="str">
        <f>IF(X79="","",X79)</f>
        <v/>
      </c>
      <c r="AE79" s="327"/>
      <c r="AF79" s="327" t="str">
        <f>IF(AE79="","",AE79-AE77)</f>
        <v/>
      </c>
      <c r="AG79" s="328" t="str">
        <f>IF(AE79="","",AF79*1000)</f>
        <v/>
      </c>
      <c r="AH79" s="331"/>
      <c r="AJ79" s="333" t="str">
        <f>IF(AD79="","",AD79)</f>
        <v/>
      </c>
      <c r="AK79" s="327"/>
      <c r="AL79" s="327" t="str">
        <f>IF(AK79="","",AK79-AK77)</f>
        <v/>
      </c>
      <c r="AM79" s="328" t="str">
        <f>IF(AK79="","",AL79*1000)</f>
        <v/>
      </c>
      <c r="AN79" s="331"/>
      <c r="AP79" s="333" t="str">
        <f>IF(M79="","",M79)</f>
        <v/>
      </c>
      <c r="AQ79" s="327"/>
      <c r="AR79" s="327"/>
      <c r="AS79" s="327" t="str">
        <f>IF(AR79="","",AR79-AR77)</f>
        <v/>
      </c>
      <c r="AT79" s="328" t="str">
        <f>IF(AR79="","",AS79*1000)</f>
        <v/>
      </c>
      <c r="AU79" s="328"/>
      <c r="AV79" s="328"/>
      <c r="AW79" s="329"/>
      <c r="AX79" s="329"/>
      <c r="AY79" s="331"/>
    </row>
    <row r="80" spans="2:51" ht="15" customHeight="1" x14ac:dyDescent="0.25">
      <c r="B80" s="333"/>
      <c r="C80" s="327"/>
      <c r="D80" s="327"/>
      <c r="E80" s="327" t="str">
        <f t="shared" si="10"/>
        <v/>
      </c>
      <c r="F80" s="328" t="str">
        <f t="shared" si="11"/>
        <v/>
      </c>
      <c r="G80" s="328"/>
      <c r="H80" s="328"/>
      <c r="I80" s="329"/>
      <c r="J80" s="329"/>
      <c r="K80" s="330"/>
      <c r="L80" s="323"/>
      <c r="M80" s="333"/>
      <c r="N80" s="327"/>
      <c r="O80" s="327"/>
      <c r="P80" s="327"/>
      <c r="Q80" s="328"/>
      <c r="R80" s="328"/>
      <c r="S80" s="328"/>
      <c r="T80" s="329"/>
      <c r="U80" s="329"/>
      <c r="V80" s="331"/>
      <c r="X80" s="333"/>
      <c r="Y80" s="327"/>
      <c r="Z80" s="327"/>
      <c r="AA80" s="328"/>
      <c r="AB80" s="331"/>
      <c r="AD80" s="333"/>
      <c r="AE80" s="327"/>
      <c r="AF80" s="327"/>
      <c r="AG80" s="328"/>
      <c r="AH80" s="331"/>
      <c r="AJ80" s="333"/>
      <c r="AK80" s="327"/>
      <c r="AL80" s="327"/>
      <c r="AM80" s="328"/>
      <c r="AN80" s="331"/>
      <c r="AP80" s="333"/>
      <c r="AQ80" s="327"/>
      <c r="AR80" s="327"/>
      <c r="AS80" s="327"/>
      <c r="AT80" s="328"/>
      <c r="AU80" s="328"/>
      <c r="AV80" s="328"/>
      <c r="AW80" s="329"/>
      <c r="AX80" s="329"/>
      <c r="AY80" s="331"/>
    </row>
    <row r="81" spans="2:51" ht="15" customHeight="1" x14ac:dyDescent="0.25">
      <c r="B81" s="393">
        <f>DATEDIF(B$17,B$59,"d")</f>
        <v>28</v>
      </c>
      <c r="C81" s="338"/>
      <c r="D81" s="338"/>
      <c r="E81" s="338" t="str">
        <f>IF(D81="","",D81-D73)</f>
        <v/>
      </c>
      <c r="F81" s="328" t="str">
        <f t="shared" si="11"/>
        <v/>
      </c>
      <c r="G81" s="338"/>
      <c r="H81" s="338"/>
      <c r="I81" s="338"/>
      <c r="J81" s="338"/>
      <c r="K81" s="339"/>
      <c r="L81" s="340"/>
      <c r="M81" s="337">
        <f>IF(B81="","",B81)</f>
        <v>28</v>
      </c>
      <c r="N81" s="338"/>
      <c r="O81" s="338"/>
      <c r="P81" s="338" t="str">
        <f>IF(O81="","",O81-O73)</f>
        <v/>
      </c>
      <c r="Q81" s="338" t="str">
        <f>IF(O81="","",P81*1000)</f>
        <v/>
      </c>
      <c r="R81" s="338"/>
      <c r="S81" s="338"/>
      <c r="T81" s="338"/>
      <c r="U81" s="338"/>
      <c r="V81" s="341"/>
      <c r="W81" s="238"/>
      <c r="X81" s="337">
        <f>IF(AP81="","",AP81)</f>
        <v>28</v>
      </c>
      <c r="Y81" s="338"/>
      <c r="Z81" s="338" t="str">
        <f>IF(Y81="","",Y81-Y73)</f>
        <v/>
      </c>
      <c r="AA81" s="338" t="str">
        <f>IF(Y81="","",Z81*1000)</f>
        <v/>
      </c>
      <c r="AB81" s="341"/>
      <c r="AC81" s="238"/>
      <c r="AD81" s="337">
        <f>IF(X81="","",X81)</f>
        <v>28</v>
      </c>
      <c r="AE81" s="338"/>
      <c r="AF81" s="338" t="str">
        <f>IF(AE81="","",AE81-AE73)</f>
        <v/>
      </c>
      <c r="AG81" s="338" t="str">
        <f>IF(AE81="","",AF81*1000)</f>
        <v/>
      </c>
      <c r="AH81" s="341"/>
      <c r="AI81" s="238"/>
      <c r="AJ81" s="337">
        <f>IF(AD81="","",AD81)</f>
        <v>28</v>
      </c>
      <c r="AK81" s="338"/>
      <c r="AL81" s="338" t="str">
        <f>IF(AK81="","",AK81-AK73)</f>
        <v/>
      </c>
      <c r="AM81" s="338" t="str">
        <f>IF(AK81="","",AL81*1000)</f>
        <v/>
      </c>
      <c r="AN81" s="341"/>
      <c r="AO81" s="238"/>
      <c r="AP81" s="337">
        <f>IF(M81="","",M81)</f>
        <v>28</v>
      </c>
      <c r="AQ81" s="338"/>
      <c r="AR81" s="338"/>
      <c r="AS81" s="338" t="str">
        <f>IF(AR81="","",AR81-AR73)</f>
        <v/>
      </c>
      <c r="AT81" s="338" t="str">
        <f>IF(AR81="","",AS81*1000)</f>
        <v/>
      </c>
      <c r="AU81" s="338"/>
      <c r="AV81" s="338"/>
      <c r="AW81" s="338"/>
      <c r="AX81" s="338"/>
      <c r="AY81" s="341"/>
    </row>
    <row r="82" spans="2:51" ht="15" customHeight="1" x14ac:dyDescent="0.25">
      <c r="B82" s="333"/>
      <c r="C82" s="327"/>
      <c r="D82" s="327"/>
      <c r="E82" s="327" t="str">
        <f>IF(D82="","",D82-D78)</f>
        <v/>
      </c>
      <c r="F82" s="328" t="str">
        <f t="shared" si="11"/>
        <v/>
      </c>
      <c r="G82" s="328"/>
      <c r="H82" s="328"/>
      <c r="I82" s="329"/>
      <c r="J82" s="329"/>
      <c r="K82" s="330"/>
      <c r="L82" s="323"/>
      <c r="M82" s="333"/>
      <c r="N82" s="327"/>
      <c r="O82" s="327"/>
      <c r="P82" s="327"/>
      <c r="Q82" s="328"/>
      <c r="R82" s="328"/>
      <c r="S82" s="328"/>
      <c r="T82" s="329"/>
      <c r="U82" s="329"/>
      <c r="V82" s="331"/>
      <c r="X82" s="333"/>
      <c r="Y82" s="327"/>
      <c r="Z82" s="327"/>
      <c r="AA82" s="328"/>
      <c r="AB82" s="331"/>
      <c r="AD82" s="333"/>
      <c r="AE82" s="327"/>
      <c r="AF82" s="327"/>
      <c r="AG82" s="328"/>
      <c r="AH82" s="331"/>
      <c r="AJ82" s="333"/>
      <c r="AK82" s="327"/>
      <c r="AL82" s="327"/>
      <c r="AM82" s="328"/>
      <c r="AN82" s="331"/>
      <c r="AP82" s="333"/>
      <c r="AQ82" s="327"/>
      <c r="AR82" s="327"/>
      <c r="AS82" s="327"/>
      <c r="AT82" s="328"/>
      <c r="AU82" s="328"/>
      <c r="AV82" s="328"/>
      <c r="AW82" s="329"/>
      <c r="AX82" s="329"/>
      <c r="AY82" s="331"/>
    </row>
    <row r="83" spans="2:51" ht="15" customHeight="1" x14ac:dyDescent="0.25">
      <c r="B83" s="380">
        <f>SUM(E47, E49, E51, E53, E55, E57, E59, E61, E63, E65, E67, E69, E83,E71,E73,E75,E77,E79,E81)</f>
        <v>1197</v>
      </c>
      <c r="C83" s="327"/>
      <c r="D83" s="327"/>
      <c r="E83" s="327" t="str">
        <f>IF(D83="","",D83-D81)</f>
        <v/>
      </c>
      <c r="F83" s="328" t="str">
        <f t="shared" si="11"/>
        <v/>
      </c>
      <c r="G83" s="328"/>
      <c r="H83" s="328"/>
      <c r="I83" s="329"/>
      <c r="J83" s="329"/>
      <c r="K83" s="330"/>
      <c r="L83" s="323"/>
      <c r="M83" s="334">
        <f>SUM(P47, P49, P51, P53, P55, P57, P59, P61, P63, P65, P73, P81, P83)</f>
        <v>151</v>
      </c>
      <c r="N83" s="327"/>
      <c r="O83" s="327"/>
      <c r="P83" s="327" t="str">
        <f>IF(O83="","",O83-O81)</f>
        <v/>
      </c>
      <c r="Q83" s="328" t="str">
        <f>IF(O83="","",P83*1000)</f>
        <v/>
      </c>
      <c r="R83" s="328"/>
      <c r="S83" s="328"/>
      <c r="T83" s="329"/>
      <c r="U83" s="329"/>
      <c r="V83" s="331"/>
      <c r="X83" s="334">
        <f>SUM(Z47, Z49, Z51, Z53, Z55, Z57, Z59, Z61, Z63, Z65, Z73, Z81, Z83)</f>
        <v>98</v>
      </c>
      <c r="Y83" s="327"/>
      <c r="Z83" s="327" t="str">
        <f>IF(Y83="","",Y83-Y81)</f>
        <v/>
      </c>
      <c r="AA83" s="328" t="str">
        <f>IF(Y83="","",Z83*1000)</f>
        <v/>
      </c>
      <c r="AB83" s="331"/>
      <c r="AD83" s="334">
        <f>SUM(AF47, AF49, AF51, AF53, AF55, AF57, AF59, AF61, AF63, AF65, AF73, AF81, AF83)</f>
        <v>190</v>
      </c>
      <c r="AE83" s="327"/>
      <c r="AF83" s="327" t="str">
        <f>IF(AE83="","",AE83-AE81)</f>
        <v/>
      </c>
      <c r="AG83" s="328" t="str">
        <f>IF(AE83="","",AF83*1000)</f>
        <v/>
      </c>
      <c r="AH83" s="331"/>
      <c r="AJ83" s="334">
        <f>SUM(AL47, AL49, AL51, AL53, AL55, AL57, AL59, AL61, AL63, AL65, AL73, AL81, AL83)</f>
        <v>108</v>
      </c>
      <c r="AK83" s="327"/>
      <c r="AL83" s="327" t="str">
        <f>IF(AK83="","",AK83-AK81)</f>
        <v/>
      </c>
      <c r="AM83" s="328" t="str">
        <f>IF(AK83="","",AL83*1000)</f>
        <v/>
      </c>
      <c r="AN83" s="331"/>
      <c r="AP83" s="334">
        <f>SUM(AS47, AS49, AS51, AS53, AS55, AS57, AS59, AS61, AS63, AS65, AS73, AS81, AS83)</f>
        <v>126</v>
      </c>
      <c r="AQ83" s="327"/>
      <c r="AR83" s="327"/>
      <c r="AS83" s="327" t="str">
        <f>IF(AR83="","",AR83-AR81)</f>
        <v/>
      </c>
      <c r="AT83" s="328" t="str">
        <f>IF(AR83="","",AS83*1000)</f>
        <v/>
      </c>
      <c r="AU83" s="328"/>
      <c r="AV83" s="328"/>
      <c r="AW83" s="329"/>
      <c r="AX83" s="329"/>
      <c r="AY83" s="331"/>
    </row>
    <row r="84" spans="2:51" ht="15" customHeight="1" x14ac:dyDescent="0.25">
      <c r="B84" s="380">
        <f>SUM(E48, E50, E52, E54, E56, E58, E60, E62, E64, E66, E68, E70, E84,E72,E74,E76,E78,E80,E82)</f>
        <v>555</v>
      </c>
      <c r="C84" s="327"/>
      <c r="D84" s="327"/>
      <c r="E84" s="327" t="str">
        <f>IF(D84="","",D84-D82)</f>
        <v/>
      </c>
      <c r="F84" s="328" t="str">
        <f t="shared" si="11"/>
        <v/>
      </c>
      <c r="G84" s="328"/>
      <c r="H84" s="328"/>
      <c r="I84" s="329"/>
      <c r="J84" s="329"/>
      <c r="K84" s="330"/>
      <c r="L84" s="323"/>
      <c r="M84" s="334">
        <f>SUM(P48, P50, P52, P54, P56, P58, P60, P62, P64, P66, P78, P82, P84)</f>
        <v>0</v>
      </c>
      <c r="N84" s="327"/>
      <c r="O84" s="327"/>
      <c r="P84" s="327"/>
      <c r="Q84" s="328"/>
      <c r="R84" s="328"/>
      <c r="S84" s="328"/>
      <c r="T84" s="329"/>
      <c r="U84" s="329"/>
      <c r="V84" s="331"/>
      <c r="X84" s="334">
        <f>SUM(Z48, Z50, Z52, Z54, Z56, Z58, Z60, Z62, Z64, Z66, Z78, Z82, Z84)</f>
        <v>0</v>
      </c>
      <c r="Y84" s="327"/>
      <c r="Z84" s="327"/>
      <c r="AA84" s="328"/>
      <c r="AB84" s="331"/>
      <c r="AD84" s="334">
        <f>SUM(AF48, AF50, AF52, AF54, AF56, AF58, AF60, AF62, AF64, AF66, AF78, AF82, AF84)</f>
        <v>0</v>
      </c>
      <c r="AE84" s="327"/>
      <c r="AF84" s="327"/>
      <c r="AG84" s="328"/>
      <c r="AH84" s="331"/>
      <c r="AJ84" s="334">
        <f>SUM(AL48, AL50, AL52, AL54, AL56, AL58, AL60, AL62, AL64, AL66, AL78, AL82, AL84)</f>
        <v>0</v>
      </c>
      <c r="AK84" s="327"/>
      <c r="AL84" s="327"/>
      <c r="AM84" s="328"/>
      <c r="AN84" s="331"/>
      <c r="AP84" s="334">
        <f>SUM(AS48, AS50, AS52, AS54, AS56, AS58, AS60, AS62, AS64, AS66, AS78, AS82, AS84)</f>
        <v>0</v>
      </c>
      <c r="AQ84" s="327"/>
      <c r="AR84" s="327"/>
      <c r="AS84" s="327"/>
      <c r="AT84" s="328"/>
      <c r="AU84" s="328"/>
      <c r="AV84" s="328"/>
      <c r="AW84" s="329"/>
      <c r="AX84" s="329"/>
      <c r="AY84" s="331"/>
    </row>
    <row r="85" spans="2:51" ht="15" customHeight="1" x14ac:dyDescent="0.25">
      <c r="B85" s="333"/>
      <c r="C85" s="328">
        <f>SUM(C47:C78)</f>
        <v>848200</v>
      </c>
      <c r="D85" s="327"/>
      <c r="E85" s="328">
        <f>SUM(E47:E84)</f>
        <v>1752</v>
      </c>
      <c r="F85" s="328">
        <f>SUM(F47:F84)</f>
        <v>175200</v>
      </c>
      <c r="G85" s="328">
        <f>SUM(G47:G58)</f>
        <v>0</v>
      </c>
      <c r="H85" s="328">
        <f>SUM(H47:H58)</f>
        <v>0</v>
      </c>
      <c r="I85" s="328">
        <f>SUM(I47:I58)</f>
        <v>0</v>
      </c>
      <c r="J85" s="328">
        <f>SUM(J47:J58)</f>
        <v>0</v>
      </c>
      <c r="K85" s="330"/>
      <c r="L85" s="322"/>
      <c r="M85" s="327"/>
      <c r="N85" s="327"/>
      <c r="O85" s="327"/>
      <c r="P85" s="328">
        <f>SUM(P47:P83)</f>
        <v>151</v>
      </c>
      <c r="Q85" s="328">
        <f>SUM(Q47:Q84)</f>
        <v>151000</v>
      </c>
      <c r="R85" s="328">
        <f>SUM(R47:R58)</f>
        <v>0</v>
      </c>
      <c r="S85" s="328">
        <f>SUM(S47:S58)</f>
        <v>0</v>
      </c>
      <c r="T85" s="328">
        <f>SUM(T47:T58)</f>
        <v>0</v>
      </c>
      <c r="U85" s="328">
        <f>SUM(U47:U58)</f>
        <v>0</v>
      </c>
      <c r="V85" s="328"/>
      <c r="X85" s="327"/>
      <c r="Y85" s="327"/>
      <c r="Z85" s="328">
        <f>SUM(Z47:Z83)</f>
        <v>98</v>
      </c>
      <c r="AA85" s="328">
        <f>SUM(AA47:AA84)</f>
        <v>98000</v>
      </c>
      <c r="AB85" s="328"/>
      <c r="AD85" s="327"/>
      <c r="AE85" s="327"/>
      <c r="AF85" s="328">
        <f>SUM(AF47:AF83)</f>
        <v>190</v>
      </c>
      <c r="AG85" s="328">
        <f>SUM(AG47:AG84)</f>
        <v>190000</v>
      </c>
      <c r="AH85" s="328"/>
      <c r="AJ85" s="327"/>
      <c r="AK85" s="327"/>
      <c r="AL85" s="328">
        <f>SUM(AL47:AL83)</f>
        <v>108</v>
      </c>
      <c r="AM85" s="328">
        <f>SUM(AM47:AM84)</f>
        <v>108000</v>
      </c>
      <c r="AN85" s="328"/>
      <c r="AP85" s="327"/>
      <c r="AQ85" s="327"/>
      <c r="AR85" s="327"/>
      <c r="AS85" s="328">
        <f>SUM(AS47:AS83)</f>
        <v>126</v>
      </c>
      <c r="AT85" s="328">
        <f>SUM(AT47:AT84)</f>
        <v>126000</v>
      </c>
      <c r="AU85" s="328">
        <f>SUM(AU47:AU58)</f>
        <v>0</v>
      </c>
      <c r="AV85" s="328">
        <f>SUM(AV47:AV58)</f>
        <v>0</v>
      </c>
      <c r="AW85" s="328">
        <f>SUM(AW47:AW58)</f>
        <v>0</v>
      </c>
      <c r="AX85" s="328">
        <f>SUM(AX47:AX58)</f>
        <v>0</v>
      </c>
      <c r="AY85" s="328"/>
    </row>
    <row r="86" spans="2:51" ht="15" customHeight="1" x14ac:dyDescent="0.15">
      <c r="B86" s="386" t="s">
        <v>126</v>
      </c>
      <c r="C86" s="387" t="s">
        <v>127</v>
      </c>
      <c r="D86" s="388" t="s">
        <v>128</v>
      </c>
      <c r="E86" s="392" t="s">
        <v>129</v>
      </c>
      <c r="F86" s="382" t="s">
        <v>130</v>
      </c>
      <c r="G86" s="389"/>
      <c r="H86" s="389"/>
      <c r="I86" s="389"/>
      <c r="J86" s="389"/>
      <c r="K86" s="389"/>
      <c r="L86" s="381"/>
      <c r="M86" s="390"/>
      <c r="N86" s="390"/>
      <c r="O86" s="390"/>
      <c r="P86" s="389" t="s">
        <v>129</v>
      </c>
      <c r="Q86" s="382" t="s">
        <v>130</v>
      </c>
      <c r="R86" s="389"/>
      <c r="S86" s="389"/>
      <c r="T86" s="389"/>
      <c r="U86" s="389"/>
      <c r="V86" s="389"/>
      <c r="W86" s="317"/>
      <c r="X86" s="390"/>
      <c r="Y86" s="390"/>
      <c r="Z86" s="389" t="s">
        <v>129</v>
      </c>
      <c r="AA86" s="382" t="s">
        <v>130</v>
      </c>
      <c r="AB86" s="389"/>
      <c r="AC86" s="317"/>
      <c r="AD86" s="390"/>
      <c r="AE86" s="390"/>
      <c r="AF86" s="389" t="s">
        <v>129</v>
      </c>
      <c r="AG86" s="382" t="s">
        <v>130</v>
      </c>
      <c r="AH86" s="389"/>
      <c r="AI86" s="317"/>
      <c r="AJ86" s="390"/>
      <c r="AK86" s="390"/>
      <c r="AL86" s="389" t="s">
        <v>129</v>
      </c>
      <c r="AM86" s="382" t="s">
        <v>130</v>
      </c>
      <c r="AN86" s="389"/>
      <c r="AO86" s="317"/>
      <c r="AP86" s="390"/>
      <c r="AQ86" s="390"/>
      <c r="AR86" s="390"/>
      <c r="AS86" s="389" t="s">
        <v>129</v>
      </c>
      <c r="AT86" s="382" t="s">
        <v>130</v>
      </c>
      <c r="AU86" s="389"/>
      <c r="AV86" s="389"/>
      <c r="AW86" s="389"/>
      <c r="AX86" s="389"/>
      <c r="AY86" s="389"/>
    </row>
    <row r="87" spans="2:51" ht="15" customHeight="1" x14ac:dyDescent="0.2">
      <c r="B87" s="235">
        <v>28</v>
      </c>
      <c r="C87" s="318">
        <f>C85/B81</f>
        <v>30292.857142857141</v>
      </c>
      <c r="D87" s="318">
        <f>C87*B87</f>
        <v>848200</v>
      </c>
      <c r="E87" s="236">
        <f>E85/B81*100</f>
        <v>6257.1428571428569</v>
      </c>
      <c r="F87" s="236">
        <f>E87*B87</f>
        <v>175200</v>
      </c>
      <c r="P87" s="236">
        <f>P85/M81*1000</f>
        <v>5392.8571428571431</v>
      </c>
      <c r="Q87" s="236">
        <f>P87*B87</f>
        <v>151000</v>
      </c>
      <c r="Z87" s="236">
        <f>Z85/X81*1000</f>
        <v>3500</v>
      </c>
      <c r="AA87" s="236">
        <f>Z87*B87</f>
        <v>98000</v>
      </c>
      <c r="AF87" s="236">
        <f>AF85/AD81*1000</f>
        <v>6785.7142857142853</v>
      </c>
      <c r="AG87" s="236">
        <f>AF87*B87</f>
        <v>190000</v>
      </c>
      <c r="AL87" s="236">
        <f>AL85/AJ81*1000</f>
        <v>3857.1428571428573</v>
      </c>
      <c r="AM87" s="236">
        <f>AL87*B87</f>
        <v>108000</v>
      </c>
      <c r="AS87" s="236">
        <f>AS85/AP81*1000</f>
        <v>4500</v>
      </c>
      <c r="AT87" s="236">
        <f>AS87*B87</f>
        <v>126000</v>
      </c>
    </row>
    <row r="89" spans="2:51" ht="15" customHeight="1" x14ac:dyDescent="0.25">
      <c r="B89" s="332" t="s">
        <v>108</v>
      </c>
      <c r="C89" s="319"/>
      <c r="D89" s="319"/>
      <c r="E89" s="319"/>
      <c r="F89" s="319"/>
      <c r="G89" s="319"/>
      <c r="H89" s="319"/>
      <c r="I89" s="319"/>
      <c r="J89" s="320"/>
      <c r="K89" s="321"/>
      <c r="L89" s="319"/>
      <c r="M89" s="332" t="s">
        <v>109</v>
      </c>
      <c r="N89" s="319"/>
      <c r="O89" s="319"/>
      <c r="P89" s="319"/>
      <c r="Q89" s="319"/>
      <c r="R89" s="319"/>
      <c r="S89" s="319"/>
      <c r="T89" s="319"/>
      <c r="U89" s="320"/>
      <c r="V89" s="319"/>
      <c r="X89" s="844" t="s">
        <v>111</v>
      </c>
      <c r="Y89" s="844"/>
      <c r="Z89" s="319"/>
      <c r="AA89" s="319"/>
      <c r="AB89" s="319"/>
      <c r="AD89" s="844" t="s">
        <v>112</v>
      </c>
      <c r="AE89" s="844"/>
      <c r="AF89" s="319"/>
      <c r="AG89" s="319"/>
      <c r="AH89" s="319"/>
      <c r="AJ89" s="844" t="s">
        <v>113</v>
      </c>
      <c r="AK89" s="844"/>
      <c r="AL89" s="319"/>
      <c r="AM89" s="319"/>
      <c r="AN89" s="319"/>
      <c r="AP89" s="844" t="s">
        <v>110</v>
      </c>
      <c r="AQ89" s="844"/>
      <c r="AR89" s="844"/>
      <c r="AS89" s="319"/>
      <c r="AT89" s="319"/>
      <c r="AU89" s="319"/>
      <c r="AV89" s="319"/>
      <c r="AW89" s="319"/>
      <c r="AX89" s="320"/>
      <c r="AY89" s="319"/>
    </row>
    <row r="90" spans="2:51" ht="15" customHeight="1" x14ac:dyDescent="0.2">
      <c r="B90" s="325" t="s">
        <v>114</v>
      </c>
      <c r="C90" s="516"/>
      <c r="D90" s="325" t="s">
        <v>115</v>
      </c>
      <c r="E90" s="325" t="s">
        <v>116</v>
      </c>
      <c r="F90" s="325" t="s">
        <v>117</v>
      </c>
      <c r="G90" s="325"/>
      <c r="H90" s="325"/>
      <c r="I90" s="325"/>
      <c r="J90" s="325"/>
      <c r="K90" s="326" t="s">
        <v>118</v>
      </c>
      <c r="L90" s="319"/>
      <c r="M90" s="325" t="s">
        <v>114</v>
      </c>
      <c r="N90" s="325"/>
      <c r="O90" s="325" t="s">
        <v>115</v>
      </c>
      <c r="P90" s="325" t="s">
        <v>116</v>
      </c>
      <c r="Q90" s="325" t="s">
        <v>117</v>
      </c>
      <c r="R90" s="325"/>
      <c r="S90" s="325"/>
      <c r="T90" s="325"/>
      <c r="U90" s="325"/>
      <c r="V90" s="325" t="s">
        <v>119</v>
      </c>
      <c r="X90" s="325" t="s">
        <v>114</v>
      </c>
      <c r="Y90" s="325" t="s">
        <v>115</v>
      </c>
      <c r="Z90" s="325" t="s">
        <v>116</v>
      </c>
      <c r="AA90" s="325" t="s">
        <v>117</v>
      </c>
      <c r="AB90" s="325" t="s">
        <v>119</v>
      </c>
      <c r="AD90" s="325" t="s">
        <v>114</v>
      </c>
      <c r="AE90" s="325" t="s">
        <v>115</v>
      </c>
      <c r="AF90" s="325" t="s">
        <v>116</v>
      </c>
      <c r="AG90" s="325" t="s">
        <v>117</v>
      </c>
      <c r="AH90" s="325" t="s">
        <v>119</v>
      </c>
      <c r="AJ90" s="325" t="s">
        <v>114</v>
      </c>
      <c r="AK90" s="325" t="s">
        <v>115</v>
      </c>
      <c r="AL90" s="325" t="s">
        <v>116</v>
      </c>
      <c r="AM90" s="325" t="s">
        <v>117</v>
      </c>
      <c r="AN90" s="325" t="s">
        <v>119</v>
      </c>
      <c r="AP90" s="325" t="s">
        <v>114</v>
      </c>
      <c r="AQ90" s="325"/>
      <c r="AR90" s="325" t="s">
        <v>115</v>
      </c>
      <c r="AS90" s="325" t="s">
        <v>116</v>
      </c>
      <c r="AT90" s="325" t="s">
        <v>117</v>
      </c>
      <c r="AU90" s="325"/>
      <c r="AV90" s="325"/>
      <c r="AW90" s="325"/>
      <c r="AX90" s="325"/>
      <c r="AY90" s="325" t="s">
        <v>119</v>
      </c>
    </row>
    <row r="91" spans="2:51" ht="15" customHeight="1" x14ac:dyDescent="0.25">
      <c r="B91" s="333">
        <v>45977</v>
      </c>
      <c r="C91" s="336">
        <v>89500</v>
      </c>
      <c r="D91" s="327">
        <v>16330</v>
      </c>
      <c r="E91" s="327">
        <v>175</v>
      </c>
      <c r="F91" s="328">
        <v>17500</v>
      </c>
      <c r="G91" s="328"/>
      <c r="H91" s="328"/>
      <c r="I91" s="329"/>
      <c r="J91" s="329"/>
      <c r="K91" s="330"/>
      <c r="L91" s="323"/>
      <c r="M91" s="333">
        <v>45977</v>
      </c>
      <c r="N91" s="327"/>
      <c r="O91" s="327">
        <v>2593</v>
      </c>
      <c r="P91" s="327">
        <v>28</v>
      </c>
      <c r="Q91" s="328">
        <v>28000</v>
      </c>
      <c r="R91" s="328"/>
      <c r="S91" s="328"/>
      <c r="T91" s="329"/>
      <c r="U91" s="329"/>
      <c r="V91" s="331"/>
      <c r="X91" s="333">
        <v>45977</v>
      </c>
      <c r="Y91" s="327">
        <v>7346</v>
      </c>
      <c r="Z91" s="327">
        <v>11</v>
      </c>
      <c r="AA91" s="328">
        <v>11000</v>
      </c>
      <c r="AB91" s="331"/>
      <c r="AD91" s="333">
        <v>45977</v>
      </c>
      <c r="AE91" s="327">
        <v>5023</v>
      </c>
      <c r="AF91" s="327">
        <v>14</v>
      </c>
      <c r="AG91" s="328">
        <v>14000</v>
      </c>
      <c r="AH91" s="331"/>
      <c r="AJ91" s="333">
        <v>45977</v>
      </c>
      <c r="AK91" s="327">
        <v>7137</v>
      </c>
      <c r="AL91" s="327">
        <v>6</v>
      </c>
      <c r="AM91" s="328">
        <v>6000</v>
      </c>
      <c r="AN91" s="331"/>
      <c r="AP91" s="333">
        <v>45977</v>
      </c>
      <c r="AQ91" s="327"/>
      <c r="AR91" s="327">
        <v>8489</v>
      </c>
      <c r="AS91" s="327">
        <v>10</v>
      </c>
      <c r="AT91" s="328">
        <v>10000</v>
      </c>
      <c r="AU91" s="328"/>
      <c r="AV91" s="328"/>
      <c r="AW91" s="329"/>
      <c r="AX91" s="329"/>
      <c r="AY91" s="331"/>
    </row>
    <row r="92" spans="2:51" ht="15" customHeight="1" x14ac:dyDescent="0.25">
      <c r="B92" s="333"/>
      <c r="C92" s="327"/>
      <c r="D92" s="327">
        <v>5612</v>
      </c>
      <c r="E92" s="327">
        <v>30</v>
      </c>
      <c r="F92" s="328">
        <v>3000</v>
      </c>
      <c r="G92" s="328"/>
      <c r="H92" s="328"/>
      <c r="I92" s="329"/>
      <c r="J92" s="329"/>
      <c r="K92" s="330"/>
      <c r="L92" s="323"/>
      <c r="M92" s="333"/>
      <c r="N92" s="327"/>
      <c r="O92" s="327"/>
      <c r="P92" s="327"/>
      <c r="Q92" s="328"/>
      <c r="R92" s="328"/>
      <c r="S92" s="328"/>
      <c r="T92" s="329"/>
      <c r="U92" s="329"/>
      <c r="V92" s="331"/>
      <c r="X92" s="333"/>
      <c r="Y92" s="327"/>
      <c r="Z92" s="327"/>
      <c r="AA92" s="328"/>
      <c r="AB92" s="331"/>
      <c r="AD92" s="333"/>
      <c r="AE92" s="327"/>
      <c r="AF92" s="327"/>
      <c r="AG92" s="328"/>
      <c r="AH92" s="331"/>
      <c r="AJ92" s="333"/>
      <c r="AK92" s="327"/>
      <c r="AL92" s="327"/>
      <c r="AM92" s="328"/>
      <c r="AN92" s="331"/>
      <c r="AP92" s="333"/>
      <c r="AQ92" s="327"/>
      <c r="AR92" s="327"/>
      <c r="AS92" s="327"/>
      <c r="AT92" s="328"/>
      <c r="AU92" s="328"/>
      <c r="AV92" s="328"/>
      <c r="AW92" s="329"/>
      <c r="AX92" s="329"/>
      <c r="AY92" s="331"/>
    </row>
    <row r="93" spans="2:51" ht="15" customHeight="1" x14ac:dyDescent="0.25">
      <c r="B93" s="333">
        <v>45982</v>
      </c>
      <c r="C93" s="336">
        <f>SUM(IF(F93="",0,F93), IF(F94="",0,F94), IF(Q93="",0,Q93), IF(AT93="",0,AT93), IF(AA93="",0,AA93), IF(AG93="",0,AG93), IF(AM93="",0,AM93))</f>
        <v>41500</v>
      </c>
      <c r="D93" s="327">
        <v>16370</v>
      </c>
      <c r="E93" s="327">
        <f t="shared" ref="E93:E124" si="20">IF(D93="","",D93-D91)</f>
        <v>40</v>
      </c>
      <c r="F93" s="328">
        <f t="shared" ref="F93:F128" si="21">IF(D93="","",E93*100)</f>
        <v>4000</v>
      </c>
      <c r="G93" s="328"/>
      <c r="H93" s="328"/>
      <c r="I93" s="329"/>
      <c r="J93" s="329"/>
      <c r="K93" s="330"/>
      <c r="L93" s="323"/>
      <c r="M93" s="333">
        <f>IF(B93="","",B93)</f>
        <v>45982</v>
      </c>
      <c r="N93" s="327"/>
      <c r="O93" s="327">
        <v>2605</v>
      </c>
      <c r="P93" s="327">
        <f>IF(O93="","",O93-O91)</f>
        <v>12</v>
      </c>
      <c r="Q93" s="328">
        <f>IF(O93="","",P93*1000)</f>
        <v>12000</v>
      </c>
      <c r="R93" s="328"/>
      <c r="S93" s="328"/>
      <c r="T93" s="329"/>
      <c r="U93" s="329"/>
      <c r="V93" s="331"/>
      <c r="X93" s="333">
        <f>IF(AP93="","",AP93)</f>
        <v>45982</v>
      </c>
      <c r="Y93" s="327">
        <v>7347</v>
      </c>
      <c r="Z93" s="327">
        <f>IF(Y93="","",Y93-Y91)</f>
        <v>1</v>
      </c>
      <c r="AA93" s="328">
        <f>IF(Y93="","",Z93*1000)</f>
        <v>1000</v>
      </c>
      <c r="AB93" s="331"/>
      <c r="AD93" s="333">
        <f>IF(AP93="","",AP93)</f>
        <v>45982</v>
      </c>
      <c r="AE93" s="327">
        <v>5035</v>
      </c>
      <c r="AF93" s="327">
        <f>IF(AE93="","",AE93-AE91)</f>
        <v>12</v>
      </c>
      <c r="AG93" s="328">
        <f>IF(AE93="","",AF93*1000)</f>
        <v>12000</v>
      </c>
      <c r="AH93" s="331"/>
      <c r="AJ93" s="333">
        <f>IF(AD93="","",AD93)</f>
        <v>45982</v>
      </c>
      <c r="AK93" s="327">
        <v>7143</v>
      </c>
      <c r="AL93" s="327">
        <f>IF(AK93="","",AK93-AK91)</f>
        <v>6</v>
      </c>
      <c r="AM93" s="328">
        <f>IF(AK93="","",AL93*1000)</f>
        <v>6000</v>
      </c>
      <c r="AN93" s="331"/>
      <c r="AP93" s="333">
        <f>IF(M93="","",M93)</f>
        <v>45982</v>
      </c>
      <c r="AQ93" s="327"/>
      <c r="AR93" s="327">
        <v>8495</v>
      </c>
      <c r="AS93" s="327">
        <f>IF(AR93="","",AR93-AR91)</f>
        <v>6</v>
      </c>
      <c r="AT93" s="328">
        <f>IF(AR93="","",AS93*1000)</f>
        <v>6000</v>
      </c>
      <c r="AU93" s="328"/>
      <c r="AV93" s="328"/>
      <c r="AW93" s="329"/>
      <c r="AX93" s="329"/>
      <c r="AY93" s="331"/>
    </row>
    <row r="94" spans="2:51" ht="15" customHeight="1" x14ac:dyDescent="0.25">
      <c r="B94" s="335"/>
      <c r="C94" s="327"/>
      <c r="D94" s="327">
        <v>5617</v>
      </c>
      <c r="E94" s="327">
        <f t="shared" si="20"/>
        <v>5</v>
      </c>
      <c r="F94" s="328">
        <f t="shared" si="21"/>
        <v>500</v>
      </c>
      <c r="G94" s="328"/>
      <c r="H94" s="328"/>
      <c r="I94" s="329"/>
      <c r="J94" s="329"/>
      <c r="K94" s="330"/>
      <c r="L94" s="323"/>
      <c r="M94" s="333"/>
      <c r="N94" s="327"/>
      <c r="O94" s="327"/>
      <c r="P94" s="327" t="str">
        <f>IF(O94="","",O94-O92)</f>
        <v/>
      </c>
      <c r="Q94" s="328"/>
      <c r="R94" s="328"/>
      <c r="S94" s="328"/>
      <c r="T94" s="329"/>
      <c r="U94" s="329"/>
      <c r="V94" s="331"/>
      <c r="X94" s="333"/>
      <c r="Y94" s="327"/>
      <c r="Z94" s="327" t="str">
        <f>IF(Y94="","",Y94-Y92)</f>
        <v/>
      </c>
      <c r="AA94" s="328"/>
      <c r="AB94" s="331"/>
      <c r="AD94" s="333"/>
      <c r="AE94" s="327"/>
      <c r="AF94" s="327" t="str">
        <f>IF(AE94="","",AE94-AE92)</f>
        <v/>
      </c>
      <c r="AG94" s="328"/>
      <c r="AH94" s="331"/>
      <c r="AJ94" s="333"/>
      <c r="AK94" s="327"/>
      <c r="AL94" s="327" t="str">
        <f>IF(AK94="","",AK94-AK92)</f>
        <v/>
      </c>
      <c r="AM94" s="328"/>
      <c r="AN94" s="331"/>
      <c r="AP94" s="333"/>
      <c r="AQ94" s="327"/>
      <c r="AR94" s="327"/>
      <c r="AS94" s="327" t="str">
        <f>IF(AR94="","",AR94-AR92)</f>
        <v/>
      </c>
      <c r="AT94" s="328"/>
      <c r="AU94" s="328"/>
      <c r="AV94" s="328"/>
      <c r="AW94" s="329"/>
      <c r="AX94" s="329"/>
      <c r="AY94" s="331"/>
    </row>
    <row r="95" spans="2:51" ht="15" customHeight="1" x14ac:dyDescent="0.25">
      <c r="B95" s="333">
        <v>45984</v>
      </c>
      <c r="C95" s="336">
        <f>SUM(IF(F95="",0,F95), IF(F96="",0,F96), IF(Q95="",0,Q95), IF(AT95="",0,AT95), IF(AA95="",0,AA95), IF(AG95="",0,AG95), IF(AM95="",0,AM95))</f>
        <v>57500</v>
      </c>
      <c r="D95" s="327">
        <v>16430</v>
      </c>
      <c r="E95" s="327">
        <f t="shared" si="20"/>
        <v>60</v>
      </c>
      <c r="F95" s="328">
        <f t="shared" si="21"/>
        <v>6000</v>
      </c>
      <c r="G95" s="328"/>
      <c r="H95" s="328"/>
      <c r="I95" s="329"/>
      <c r="J95" s="329"/>
      <c r="K95" s="330"/>
      <c r="L95" s="319"/>
      <c r="M95" s="333">
        <f t="shared" ref="M95:M105" si="22">IF(B95="","",B95)</f>
        <v>45984</v>
      </c>
      <c r="N95" s="327"/>
      <c r="O95" s="327">
        <v>2613</v>
      </c>
      <c r="P95" s="327">
        <f>IF(O95="","",O95-O93)</f>
        <v>8</v>
      </c>
      <c r="Q95" s="328">
        <f t="shared" ref="Q95:Q105" si="23">IF(O95="","",P95*1000)</f>
        <v>8000</v>
      </c>
      <c r="R95" s="328"/>
      <c r="S95" s="328"/>
      <c r="T95" s="329"/>
      <c r="U95" s="329"/>
      <c r="V95" s="331"/>
      <c r="X95" s="333">
        <f>IF(AP95="","",AP95)</f>
        <v>45984</v>
      </c>
      <c r="Y95" s="327">
        <v>7363</v>
      </c>
      <c r="Z95" s="327">
        <f>IF(Y95="","",Y95-Y93)</f>
        <v>16</v>
      </c>
      <c r="AA95" s="328">
        <f t="shared" ref="AA95:AA105" si="24">IF(Y95="","",Z95*1000)</f>
        <v>16000</v>
      </c>
      <c r="AB95" s="331"/>
      <c r="AD95" s="333">
        <f t="shared" ref="AD95:AD105" si="25">IF(X95="","",X95)</f>
        <v>45984</v>
      </c>
      <c r="AE95" s="327">
        <v>5039</v>
      </c>
      <c r="AF95" s="327">
        <f>IF(AE95="","",AE95-AE93)</f>
        <v>4</v>
      </c>
      <c r="AG95" s="328">
        <f t="shared" ref="AG95:AG105" si="26">IF(AE95="","",AF95*1000)</f>
        <v>4000</v>
      </c>
      <c r="AH95" s="331"/>
      <c r="AJ95" s="333">
        <f t="shared" ref="AJ95:AJ105" si="27">IF(AD95="","",AD95)</f>
        <v>45984</v>
      </c>
      <c r="AK95" s="327">
        <v>7151</v>
      </c>
      <c r="AL95" s="327">
        <f>IF(AK95="","",AK95-AK93)</f>
        <v>8</v>
      </c>
      <c r="AM95" s="328">
        <f t="shared" ref="AM95:AM105" si="28">IF(AK95="","",AL95*1000)</f>
        <v>8000</v>
      </c>
      <c r="AN95" s="331"/>
      <c r="AP95" s="333">
        <f>IF(M95="","",M95)</f>
        <v>45984</v>
      </c>
      <c r="AQ95" s="327"/>
      <c r="AR95" s="327">
        <v>8509</v>
      </c>
      <c r="AS95" s="327">
        <f>IF(AR95="","",AR95-AR93)</f>
        <v>14</v>
      </c>
      <c r="AT95" s="328">
        <f t="shared" ref="AT95:AT105" si="29">IF(AR95="","",AS95*1000)</f>
        <v>14000</v>
      </c>
      <c r="AU95" s="328"/>
      <c r="AV95" s="328"/>
      <c r="AW95" s="329"/>
      <c r="AX95" s="329"/>
      <c r="AY95" s="331" t="s">
        <v>137</v>
      </c>
    </row>
    <row r="96" spans="2:51" ht="15" customHeight="1" x14ac:dyDescent="0.25">
      <c r="B96" s="333"/>
      <c r="C96" s="327"/>
      <c r="D96" s="327">
        <v>5632</v>
      </c>
      <c r="E96" s="327">
        <f t="shared" si="20"/>
        <v>15</v>
      </c>
      <c r="F96" s="328">
        <f t="shared" si="21"/>
        <v>1500</v>
      </c>
      <c r="G96" s="328"/>
      <c r="H96" s="328"/>
      <c r="I96" s="329"/>
      <c r="J96" s="329"/>
      <c r="K96" s="330"/>
      <c r="L96" s="319"/>
      <c r="M96" s="333" t="str">
        <f t="shared" si="22"/>
        <v/>
      </c>
      <c r="N96" s="327"/>
      <c r="O96" s="327"/>
      <c r="P96" s="327" t="str">
        <f>IF(O96="","",O96-O95)</f>
        <v/>
      </c>
      <c r="Q96" s="328" t="str">
        <f t="shared" si="23"/>
        <v/>
      </c>
      <c r="R96" s="328"/>
      <c r="S96" s="328"/>
      <c r="T96" s="329"/>
      <c r="U96" s="329"/>
      <c r="V96" s="331"/>
      <c r="X96" s="333" t="str">
        <f>IF(AP96="","",AP96)</f>
        <v/>
      </c>
      <c r="Y96" s="327"/>
      <c r="Z96" s="327" t="str">
        <f>IF(Y96="","",Y96-Y95)</f>
        <v/>
      </c>
      <c r="AA96" s="328" t="str">
        <f t="shared" si="24"/>
        <v/>
      </c>
      <c r="AB96" s="331"/>
      <c r="AD96" s="333" t="str">
        <f t="shared" si="25"/>
        <v/>
      </c>
      <c r="AE96" s="327"/>
      <c r="AF96" s="327" t="str">
        <f>IF(AE96="","",AE96-AE95)</f>
        <v/>
      </c>
      <c r="AG96" s="328" t="str">
        <f t="shared" si="26"/>
        <v/>
      </c>
      <c r="AH96" s="331"/>
      <c r="AJ96" s="333" t="str">
        <f t="shared" si="27"/>
        <v/>
      </c>
      <c r="AK96" s="327"/>
      <c r="AL96" s="327" t="str">
        <f>IF(AK96="","",AK96-AK95)</f>
        <v/>
      </c>
      <c r="AM96" s="328" t="str">
        <f t="shared" si="28"/>
        <v/>
      </c>
      <c r="AN96" s="331"/>
      <c r="AP96" s="333" t="str">
        <f>IF(M96="","",M96)</f>
        <v/>
      </c>
      <c r="AQ96" s="327"/>
      <c r="AR96" s="327"/>
      <c r="AS96" s="327" t="str">
        <f>IF(AR96="","",AR96-AR95)</f>
        <v/>
      </c>
      <c r="AT96" s="328" t="str">
        <f t="shared" si="29"/>
        <v/>
      </c>
      <c r="AU96" s="328"/>
      <c r="AV96" s="328"/>
      <c r="AW96" s="329"/>
      <c r="AX96" s="329"/>
      <c r="AY96" s="331"/>
    </row>
    <row r="97" spans="2:51" ht="15" customHeight="1" x14ac:dyDescent="0.25">
      <c r="B97" s="333">
        <v>45987</v>
      </c>
      <c r="C97" s="336">
        <f>SUM(IF(F97="",0,F97), IF(F98="",0,F98), IF(Q97="",0,Q97), IF(AT97="",0,AT97), IF(AA97="",0,AA97), IF(AG97="",0,AG97), IF(AM97="",0,AM97))</f>
        <v>97000</v>
      </c>
      <c r="D97" s="327">
        <v>16555</v>
      </c>
      <c r="E97" s="327">
        <f t="shared" si="20"/>
        <v>125</v>
      </c>
      <c r="F97" s="328">
        <f t="shared" si="21"/>
        <v>12500</v>
      </c>
      <c r="G97" s="328"/>
      <c r="H97" s="328"/>
      <c r="I97" s="329"/>
      <c r="J97" s="329"/>
      <c r="K97" s="330"/>
      <c r="L97" s="319"/>
      <c r="M97" s="333">
        <f t="shared" si="22"/>
        <v>45987</v>
      </c>
      <c r="N97" s="327"/>
      <c r="O97" s="327">
        <v>2631</v>
      </c>
      <c r="P97" s="327">
        <f>IF(O97="","",O97-O95)</f>
        <v>18</v>
      </c>
      <c r="Q97" s="328">
        <f t="shared" si="23"/>
        <v>18000</v>
      </c>
      <c r="R97" s="328"/>
      <c r="S97" s="328"/>
      <c r="T97" s="329"/>
      <c r="U97" s="329"/>
      <c r="V97" s="330"/>
      <c r="X97" s="333">
        <f>IF(AP97="","",AP97)</f>
        <v>45987</v>
      </c>
      <c r="Y97" s="327">
        <v>7367</v>
      </c>
      <c r="Z97" s="327">
        <f>IF(Y97="","",Y97-Y95)</f>
        <v>4</v>
      </c>
      <c r="AA97" s="328">
        <f t="shared" si="24"/>
        <v>4000</v>
      </c>
      <c r="AB97" s="330"/>
      <c r="AD97" s="333">
        <f t="shared" si="25"/>
        <v>45987</v>
      </c>
      <c r="AE97" s="327">
        <v>5055</v>
      </c>
      <c r="AF97" s="327">
        <f>IF(AE97="","",AE97-AE95)</f>
        <v>16</v>
      </c>
      <c r="AG97" s="328">
        <f t="shared" si="26"/>
        <v>16000</v>
      </c>
      <c r="AH97" s="331"/>
      <c r="AJ97" s="333">
        <f t="shared" si="27"/>
        <v>45987</v>
      </c>
      <c r="AK97" s="327">
        <v>7185</v>
      </c>
      <c r="AL97" s="327">
        <f>IF(AK97="","",AK97-AK95)</f>
        <v>34</v>
      </c>
      <c r="AM97" s="328">
        <f t="shared" si="28"/>
        <v>34000</v>
      </c>
      <c r="AN97" s="330"/>
      <c r="AP97" s="333">
        <f>IF(M97="","",M97)</f>
        <v>45987</v>
      </c>
      <c r="AQ97" s="327"/>
      <c r="AR97" s="327">
        <v>8519</v>
      </c>
      <c r="AS97" s="327">
        <f>IF(AR97="","",AR97-AR95)</f>
        <v>10</v>
      </c>
      <c r="AT97" s="328">
        <f t="shared" si="29"/>
        <v>10000</v>
      </c>
      <c r="AU97" s="328"/>
      <c r="AV97" s="328"/>
      <c r="AW97" s="329"/>
      <c r="AX97" s="329"/>
      <c r="AY97" s="331"/>
    </row>
    <row r="98" spans="2:51" ht="15" customHeight="1" x14ac:dyDescent="0.25">
      <c r="B98" s="333"/>
      <c r="C98" s="327"/>
      <c r="D98" s="327">
        <v>5657</v>
      </c>
      <c r="E98" s="327">
        <f t="shared" si="20"/>
        <v>25</v>
      </c>
      <c r="F98" s="328">
        <f t="shared" si="21"/>
        <v>2500</v>
      </c>
      <c r="G98" s="328"/>
      <c r="H98" s="328"/>
      <c r="I98" s="329"/>
      <c r="J98" s="329"/>
      <c r="K98" s="330"/>
      <c r="L98" s="323"/>
      <c r="M98" s="333" t="str">
        <f t="shared" si="22"/>
        <v/>
      </c>
      <c r="N98" s="327"/>
      <c r="O98" s="327"/>
      <c r="P98" s="327" t="str">
        <f>IF(O98="","",O98-O97)</f>
        <v/>
      </c>
      <c r="Q98" s="328" t="str">
        <f t="shared" si="23"/>
        <v/>
      </c>
      <c r="R98" s="328"/>
      <c r="S98" s="328"/>
      <c r="T98" s="329"/>
      <c r="U98" s="329"/>
      <c r="V98" s="331"/>
      <c r="X98" s="333" t="str">
        <f>IF(AP98="","",AP98)</f>
        <v/>
      </c>
      <c r="Y98" s="327"/>
      <c r="Z98" s="327" t="str">
        <f>IF(Y98="","",Y98-Y97)</f>
        <v/>
      </c>
      <c r="AA98" s="328" t="str">
        <f t="shared" si="24"/>
        <v/>
      </c>
      <c r="AB98" s="331"/>
      <c r="AD98" s="333" t="str">
        <f t="shared" si="25"/>
        <v/>
      </c>
      <c r="AE98" s="327"/>
      <c r="AF98" s="327" t="str">
        <f>IF(AE98="","",AE98-AE97)</f>
        <v/>
      </c>
      <c r="AG98" s="328" t="str">
        <f t="shared" si="26"/>
        <v/>
      </c>
      <c r="AH98" s="331"/>
      <c r="AJ98" s="333" t="str">
        <f t="shared" si="27"/>
        <v/>
      </c>
      <c r="AK98" s="327"/>
      <c r="AL98" s="327" t="str">
        <f>IF(AK98="","",AK98-AK97)</f>
        <v/>
      </c>
      <c r="AM98" s="328" t="str">
        <f t="shared" si="28"/>
        <v/>
      </c>
      <c r="AN98" s="331"/>
      <c r="AP98" s="333" t="str">
        <f>IF(M98="","",M98)</f>
        <v/>
      </c>
      <c r="AQ98" s="327"/>
      <c r="AR98" s="327"/>
      <c r="AS98" s="327" t="str">
        <f>IF(AR98="","",AR98-AR97)</f>
        <v/>
      </c>
      <c r="AT98" s="328" t="str">
        <f t="shared" si="29"/>
        <v/>
      </c>
      <c r="AU98" s="328"/>
      <c r="AV98" s="328"/>
      <c r="AW98" s="329"/>
      <c r="AX98" s="329"/>
      <c r="AY98" s="331"/>
    </row>
    <row r="99" spans="2:51" ht="15" customHeight="1" x14ac:dyDescent="0.25">
      <c r="B99" s="333">
        <v>45989</v>
      </c>
      <c r="C99" s="336">
        <f>SUM(IF(F99="",0,F99), IF(F100="",0,F100), IF(Q99="",0,Q99), IF(AT99="",0,AT99), IF(AA99="",0,AA99), IF(AG99="",0,AG99), IF(AM99="",0,AM99))</f>
        <v>54500</v>
      </c>
      <c r="D99" s="327">
        <v>16575</v>
      </c>
      <c r="E99" s="327">
        <f t="shared" si="20"/>
        <v>20</v>
      </c>
      <c r="F99" s="328">
        <f t="shared" si="21"/>
        <v>2000</v>
      </c>
      <c r="G99" s="328"/>
      <c r="H99" s="328"/>
      <c r="I99" s="329"/>
      <c r="J99" s="329"/>
      <c r="K99" s="330"/>
      <c r="L99" s="324"/>
      <c r="M99" s="333">
        <f t="shared" si="22"/>
        <v>45989</v>
      </c>
      <c r="N99" s="327"/>
      <c r="O99" s="327">
        <v>2657</v>
      </c>
      <c r="P99" s="327">
        <f>IF(O99="","",O99-O97)</f>
        <v>26</v>
      </c>
      <c r="Q99" s="328">
        <f t="shared" si="23"/>
        <v>26000</v>
      </c>
      <c r="R99" s="328"/>
      <c r="S99" s="328"/>
      <c r="T99" s="329"/>
      <c r="U99" s="329"/>
      <c r="V99" s="331"/>
      <c r="X99" s="333">
        <f>IF(AP99="","",AP99)</f>
        <v>45989</v>
      </c>
      <c r="Y99" s="327">
        <v>7369</v>
      </c>
      <c r="Z99" s="327">
        <f>IF(Y99="","",Y99-Y97)</f>
        <v>2</v>
      </c>
      <c r="AA99" s="328">
        <f t="shared" si="24"/>
        <v>2000</v>
      </c>
      <c r="AB99" s="331"/>
      <c r="AD99" s="333">
        <f t="shared" si="25"/>
        <v>45989</v>
      </c>
      <c r="AE99" s="327">
        <v>5063</v>
      </c>
      <c r="AF99" s="327">
        <f>IF(AE99="","",AE99-AE97)</f>
        <v>8</v>
      </c>
      <c r="AG99" s="328">
        <f t="shared" si="26"/>
        <v>8000</v>
      </c>
      <c r="AH99" s="331"/>
      <c r="AJ99" s="333">
        <f t="shared" si="27"/>
        <v>45989</v>
      </c>
      <c r="AK99" s="327">
        <v>7187</v>
      </c>
      <c r="AL99" s="327">
        <f>IF(AK99="","",AK99-AK97)</f>
        <v>2</v>
      </c>
      <c r="AM99" s="328">
        <f t="shared" si="28"/>
        <v>2000</v>
      </c>
      <c r="AN99" s="331"/>
      <c r="AP99" s="333">
        <f>IF(M99="","",M99)</f>
        <v>45989</v>
      </c>
      <c r="AQ99" s="327"/>
      <c r="AR99" s="327">
        <v>8533</v>
      </c>
      <c r="AS99" s="327">
        <f>IF(AR99="","",AR99-AR97)</f>
        <v>14</v>
      </c>
      <c r="AT99" s="328">
        <f t="shared" si="29"/>
        <v>14000</v>
      </c>
      <c r="AU99" s="328"/>
      <c r="AV99" s="328"/>
      <c r="AW99" s="329"/>
      <c r="AX99" s="329"/>
      <c r="AY99" s="331"/>
    </row>
    <row r="100" spans="2:51" ht="15" customHeight="1" x14ac:dyDescent="0.25">
      <c r="B100" s="333"/>
      <c r="C100" s="327"/>
      <c r="D100" s="327">
        <v>5662</v>
      </c>
      <c r="E100" s="327">
        <f t="shared" si="20"/>
        <v>5</v>
      </c>
      <c r="F100" s="328">
        <f t="shared" si="21"/>
        <v>500</v>
      </c>
      <c r="G100" s="328"/>
      <c r="H100" s="328"/>
      <c r="I100" s="329"/>
      <c r="J100" s="329"/>
      <c r="K100" s="330"/>
      <c r="L100" s="323"/>
      <c r="M100" s="333" t="str">
        <f t="shared" si="22"/>
        <v/>
      </c>
      <c r="N100" s="327"/>
      <c r="O100" s="327"/>
      <c r="P100" s="327" t="str">
        <f>IF(O100="","",O100-O99)</f>
        <v/>
      </c>
      <c r="Q100" s="328" t="str">
        <f t="shared" si="23"/>
        <v/>
      </c>
      <c r="R100" s="328"/>
      <c r="S100" s="328"/>
      <c r="T100" s="329"/>
      <c r="U100" s="329"/>
      <c r="V100" s="331"/>
      <c r="X100" s="333" t="str">
        <f>IF(AP100="","",AP100)</f>
        <v/>
      </c>
      <c r="Y100" s="327"/>
      <c r="Z100" s="327" t="str">
        <f>IF(Y100="","",Y100-Y99)</f>
        <v/>
      </c>
      <c r="AA100" s="328" t="str">
        <f t="shared" si="24"/>
        <v/>
      </c>
      <c r="AB100" s="331"/>
      <c r="AD100" s="333" t="str">
        <f t="shared" si="25"/>
        <v/>
      </c>
      <c r="AE100" s="327"/>
      <c r="AF100" s="327" t="str">
        <f>IF(AE100="","",AE100-AE99)</f>
        <v/>
      </c>
      <c r="AG100" s="328" t="str">
        <f t="shared" si="26"/>
        <v/>
      </c>
      <c r="AH100" s="331"/>
      <c r="AJ100" s="333" t="str">
        <f t="shared" si="27"/>
        <v/>
      </c>
      <c r="AK100" s="327"/>
      <c r="AL100" s="327" t="str">
        <f>IF(AK100="","",AK100-AK99)</f>
        <v/>
      </c>
      <c r="AM100" s="328" t="str">
        <f t="shared" si="28"/>
        <v/>
      </c>
      <c r="AN100" s="331"/>
      <c r="AP100" s="333" t="str">
        <f>IF(M100="","",M100)</f>
        <v/>
      </c>
      <c r="AQ100" s="327"/>
      <c r="AR100" s="327"/>
      <c r="AS100" s="327" t="str">
        <f>IF(AR100="","",AR100-AR99)</f>
        <v/>
      </c>
      <c r="AT100" s="328" t="str">
        <f t="shared" si="29"/>
        <v/>
      </c>
      <c r="AU100" s="328"/>
      <c r="AV100" s="328"/>
      <c r="AW100" s="329"/>
      <c r="AX100" s="329"/>
      <c r="AY100" s="331"/>
    </row>
    <row r="101" spans="2:51" ht="15" customHeight="1" x14ac:dyDescent="0.25">
      <c r="B101" s="333">
        <v>45995</v>
      </c>
      <c r="C101" s="336">
        <f>SUM(IF(F101="",0,F101), IF(F102="",0,F102), IF(Q101="",0,Q101), IF(AT101="",0,AT101), IF(AA101="",0,AA101), IF(AG101="",0,AG101), IF(AM101="",0,AM101))</f>
        <v>165000</v>
      </c>
      <c r="D101" s="327">
        <v>16575</v>
      </c>
      <c r="E101" s="327">
        <f t="shared" si="20"/>
        <v>0</v>
      </c>
      <c r="F101" s="328">
        <f t="shared" si="21"/>
        <v>0</v>
      </c>
      <c r="G101" s="328"/>
      <c r="H101" s="328"/>
      <c r="I101" s="329"/>
      <c r="J101" s="329"/>
      <c r="K101" s="330" t="s">
        <v>135</v>
      </c>
      <c r="L101" s="323"/>
      <c r="M101" s="333">
        <f t="shared" si="22"/>
        <v>45995</v>
      </c>
      <c r="N101" s="327"/>
      <c r="O101" s="327">
        <v>2693</v>
      </c>
      <c r="P101" s="327">
        <f>IF(O101="","",O101-O99)</f>
        <v>36</v>
      </c>
      <c r="Q101" s="328">
        <f t="shared" si="23"/>
        <v>36000</v>
      </c>
      <c r="R101" s="328"/>
      <c r="S101" s="328"/>
      <c r="T101" s="329"/>
      <c r="U101" s="329"/>
      <c r="V101" s="331"/>
      <c r="X101" s="333">
        <f>IF(AP101="","",AP101)</f>
        <v>45995</v>
      </c>
      <c r="Y101" s="327">
        <v>7402</v>
      </c>
      <c r="Z101" s="327">
        <f>IF(Y101="","",Y101-Y99)</f>
        <v>33</v>
      </c>
      <c r="AA101" s="328">
        <f t="shared" si="24"/>
        <v>33000</v>
      </c>
      <c r="AB101" s="331" t="s">
        <v>135</v>
      </c>
      <c r="AD101" s="333">
        <f t="shared" si="25"/>
        <v>45995</v>
      </c>
      <c r="AE101" s="327">
        <v>5089</v>
      </c>
      <c r="AF101" s="327">
        <f>IF(AE101="","",AE101-AE99)</f>
        <v>26</v>
      </c>
      <c r="AG101" s="328">
        <f t="shared" si="26"/>
        <v>26000</v>
      </c>
      <c r="AH101" s="391"/>
      <c r="AJ101" s="333">
        <f t="shared" si="27"/>
        <v>45995</v>
      </c>
      <c r="AK101" s="327">
        <v>7211</v>
      </c>
      <c r="AL101" s="327">
        <f>IF(AK101="","",AK101-AK99)</f>
        <v>24</v>
      </c>
      <c r="AM101" s="328">
        <f t="shared" si="28"/>
        <v>24000</v>
      </c>
      <c r="AN101" s="331"/>
      <c r="AP101" s="333">
        <f>IF(M101="","",M101)</f>
        <v>45995</v>
      </c>
      <c r="AQ101" s="327"/>
      <c r="AR101" s="327">
        <v>8579</v>
      </c>
      <c r="AS101" s="327">
        <f>IF(AR101="","",AR101-AR99)</f>
        <v>46</v>
      </c>
      <c r="AT101" s="328">
        <f t="shared" si="29"/>
        <v>46000</v>
      </c>
      <c r="AU101" s="328"/>
      <c r="AV101" s="328"/>
      <c r="AW101" s="329"/>
      <c r="AX101" s="329"/>
      <c r="AY101" s="331"/>
    </row>
    <row r="102" spans="2:51" ht="15" customHeight="1" x14ac:dyDescent="0.25">
      <c r="B102" s="333"/>
      <c r="C102" s="327"/>
      <c r="D102" s="327">
        <v>5662</v>
      </c>
      <c r="E102" s="327">
        <f t="shared" si="20"/>
        <v>0</v>
      </c>
      <c r="F102" s="328">
        <f t="shared" si="21"/>
        <v>0</v>
      </c>
      <c r="G102" s="328"/>
      <c r="H102" s="328"/>
      <c r="I102" s="329"/>
      <c r="J102" s="329"/>
      <c r="K102" s="330" t="s">
        <v>135</v>
      </c>
      <c r="L102" s="323"/>
      <c r="M102" s="333" t="str">
        <f t="shared" si="22"/>
        <v/>
      </c>
      <c r="N102" s="327"/>
      <c r="O102" s="327"/>
      <c r="P102" s="327" t="str">
        <f>IF(O102="","",O102-O101)</f>
        <v/>
      </c>
      <c r="Q102" s="328" t="str">
        <f t="shared" si="23"/>
        <v/>
      </c>
      <c r="R102" s="328"/>
      <c r="S102" s="328"/>
      <c r="T102" s="329"/>
      <c r="U102" s="329"/>
      <c r="V102" s="331"/>
      <c r="X102" s="333" t="str">
        <f>IF(AP102="","",AP102)</f>
        <v/>
      </c>
      <c r="Y102" s="327"/>
      <c r="Z102" s="327" t="str">
        <f>IF(Y102="","",Y102-Y101)</f>
        <v/>
      </c>
      <c r="AA102" s="328" t="str">
        <f t="shared" si="24"/>
        <v/>
      </c>
      <c r="AB102" s="331"/>
      <c r="AD102" s="333" t="str">
        <f t="shared" si="25"/>
        <v/>
      </c>
      <c r="AE102" s="327"/>
      <c r="AF102" s="327" t="str">
        <f>IF(AE102="","",AE102-AE101)</f>
        <v/>
      </c>
      <c r="AG102" s="328" t="str">
        <f t="shared" si="26"/>
        <v/>
      </c>
      <c r="AH102" s="331"/>
      <c r="AJ102" s="333" t="str">
        <f t="shared" si="27"/>
        <v/>
      </c>
      <c r="AK102" s="327"/>
      <c r="AL102" s="327" t="str">
        <f>IF(AK102="","",AK102-AK101)</f>
        <v/>
      </c>
      <c r="AM102" s="328" t="str">
        <f t="shared" si="28"/>
        <v/>
      </c>
      <c r="AN102" s="331"/>
      <c r="AP102" s="333" t="str">
        <f>IF(M102="","",M102)</f>
        <v/>
      </c>
      <c r="AQ102" s="327"/>
      <c r="AR102" s="327"/>
      <c r="AS102" s="327" t="str">
        <f>IF(AR102="","",AR102-AR101)</f>
        <v/>
      </c>
      <c r="AT102" s="328" t="str">
        <f t="shared" si="29"/>
        <v/>
      </c>
      <c r="AU102" s="328"/>
      <c r="AV102" s="328"/>
      <c r="AW102" s="329"/>
      <c r="AX102" s="329"/>
      <c r="AY102" s="331"/>
    </row>
    <row r="103" spans="2:51" ht="15" customHeight="1" x14ac:dyDescent="0.25">
      <c r="B103" s="333">
        <v>45999</v>
      </c>
      <c r="C103" s="336">
        <f>SUM(IF(F103="",0,F103), IF(F104="",0,F104), IF(Q103="",0,Q103), IF(AT103="",0,AT103), IF(AA103="",0,AA103), IF(AG103="",0,AG103), IF(AM103="",0,AM103))</f>
        <v>129500</v>
      </c>
      <c r="D103" s="327">
        <v>17030</v>
      </c>
      <c r="E103" s="327">
        <f t="shared" si="20"/>
        <v>455</v>
      </c>
      <c r="F103" s="328">
        <f t="shared" si="21"/>
        <v>45500</v>
      </c>
      <c r="G103" s="328"/>
      <c r="H103" s="328"/>
      <c r="I103" s="329"/>
      <c r="J103" s="329"/>
      <c r="K103" s="330"/>
      <c r="L103" s="323"/>
      <c r="M103" s="333">
        <f t="shared" si="22"/>
        <v>45999</v>
      </c>
      <c r="N103" s="327"/>
      <c r="O103" s="327">
        <v>2699</v>
      </c>
      <c r="P103" s="327">
        <f>IF(O103="","",O103-O101)</f>
        <v>6</v>
      </c>
      <c r="Q103" s="328">
        <f t="shared" si="23"/>
        <v>6000</v>
      </c>
      <c r="R103" s="328"/>
      <c r="S103" s="328"/>
      <c r="T103" s="329"/>
      <c r="U103" s="329"/>
      <c r="V103" s="331"/>
      <c r="X103" s="333">
        <f>IF(AP103="","",AP103)</f>
        <v>45999</v>
      </c>
      <c r="Y103" s="327">
        <v>7429</v>
      </c>
      <c r="Z103" s="327">
        <f>IF(Y103="","",Y103-Y101)</f>
        <v>27</v>
      </c>
      <c r="AA103" s="328">
        <f t="shared" si="24"/>
        <v>27000</v>
      </c>
      <c r="AB103" s="331" t="s">
        <v>138</v>
      </c>
      <c r="AD103" s="333">
        <f t="shared" si="25"/>
        <v>45999</v>
      </c>
      <c r="AE103" s="327">
        <v>5113</v>
      </c>
      <c r="AF103" s="327">
        <f>IF(AE103="","",AE103-AE101)</f>
        <v>24</v>
      </c>
      <c r="AG103" s="328">
        <f t="shared" si="26"/>
        <v>24000</v>
      </c>
      <c r="AH103" s="331"/>
      <c r="AJ103" s="333">
        <f t="shared" si="27"/>
        <v>45999</v>
      </c>
      <c r="AK103" s="327">
        <v>7221</v>
      </c>
      <c r="AL103" s="327">
        <f>IF(AK103="","",AK103-AK101)</f>
        <v>10</v>
      </c>
      <c r="AM103" s="328">
        <f t="shared" si="28"/>
        <v>10000</v>
      </c>
      <c r="AN103" s="331"/>
      <c r="AP103" s="333">
        <f>IF(M103="","",M103)</f>
        <v>45999</v>
      </c>
      <c r="AQ103" s="327"/>
      <c r="AR103" s="327">
        <v>8587</v>
      </c>
      <c r="AS103" s="327">
        <f>IF(AR103="","",AR103-AR101)</f>
        <v>8</v>
      </c>
      <c r="AT103" s="328">
        <f t="shared" si="29"/>
        <v>8000</v>
      </c>
      <c r="AU103" s="328"/>
      <c r="AV103" s="328"/>
      <c r="AW103" s="329"/>
      <c r="AX103" s="329"/>
      <c r="AY103" s="331"/>
    </row>
    <row r="104" spans="2:51" ht="15" customHeight="1" x14ac:dyDescent="0.25">
      <c r="B104" s="333"/>
      <c r="C104" s="327"/>
      <c r="D104" s="327">
        <v>5752</v>
      </c>
      <c r="E104" s="327">
        <f t="shared" si="20"/>
        <v>90</v>
      </c>
      <c r="F104" s="328">
        <f t="shared" si="21"/>
        <v>9000</v>
      </c>
      <c r="G104" s="328"/>
      <c r="H104" s="328"/>
      <c r="I104" s="329"/>
      <c r="J104" s="329"/>
      <c r="K104" s="330"/>
      <c r="L104" s="323"/>
      <c r="M104" s="333" t="str">
        <f t="shared" si="22"/>
        <v/>
      </c>
      <c r="N104" s="327"/>
      <c r="O104" s="327"/>
      <c r="P104" s="327" t="str">
        <f>IF(O104="","",O104-O102)</f>
        <v/>
      </c>
      <c r="Q104" s="328" t="str">
        <f t="shared" si="23"/>
        <v/>
      </c>
      <c r="R104" s="328"/>
      <c r="S104" s="328"/>
      <c r="T104" s="329"/>
      <c r="U104" s="329"/>
      <c r="V104" s="331"/>
      <c r="X104" s="333" t="str">
        <f>IF(AP104="","",AP104)</f>
        <v/>
      </c>
      <c r="Y104" s="327"/>
      <c r="Z104" s="327" t="str">
        <f>IF(Y104="","",Y104-Y102)</f>
        <v/>
      </c>
      <c r="AA104" s="328" t="str">
        <f t="shared" si="24"/>
        <v/>
      </c>
      <c r="AB104" s="331"/>
      <c r="AD104" s="333" t="str">
        <f t="shared" si="25"/>
        <v/>
      </c>
      <c r="AE104" s="327"/>
      <c r="AF104" s="327" t="str">
        <f>IF(AE104="","",AE104-AE102)</f>
        <v/>
      </c>
      <c r="AG104" s="328" t="str">
        <f t="shared" si="26"/>
        <v/>
      </c>
      <c r="AH104" s="331"/>
      <c r="AJ104" s="333" t="str">
        <f t="shared" si="27"/>
        <v/>
      </c>
      <c r="AK104" s="327"/>
      <c r="AL104" s="327" t="str">
        <f>IF(AK104="","",AK104-AK102)</f>
        <v/>
      </c>
      <c r="AM104" s="328" t="str">
        <f t="shared" si="28"/>
        <v/>
      </c>
      <c r="AN104" s="331"/>
      <c r="AP104" s="333" t="str">
        <f>IF(M104="","",M104)</f>
        <v/>
      </c>
      <c r="AQ104" s="327"/>
      <c r="AR104" s="327"/>
      <c r="AS104" s="327" t="str">
        <f>IF(AR104="","",AR104-AR102)</f>
        <v/>
      </c>
      <c r="AT104" s="328" t="str">
        <f t="shared" si="29"/>
        <v/>
      </c>
      <c r="AU104" s="328"/>
      <c r="AV104" s="328"/>
      <c r="AW104" s="329"/>
      <c r="AX104" s="329"/>
      <c r="AY104" s="331"/>
    </row>
    <row r="105" spans="2:51" ht="15" customHeight="1" x14ac:dyDescent="0.25">
      <c r="B105" s="333">
        <v>46003</v>
      </c>
      <c r="C105" s="336">
        <f>SUM(IF(F105="",0,F105), IF(F106="",0,F106), IF(Q105="",0,Q105), IF(AT105="",0,AT105), IF(AA105="",0,AA105), IF(AG105="",0,AG105), IF(AM105="",0,AM105))</f>
        <v>89000</v>
      </c>
      <c r="D105" s="327">
        <v>17075</v>
      </c>
      <c r="E105" s="327">
        <f t="shared" si="20"/>
        <v>45</v>
      </c>
      <c r="F105" s="328">
        <f t="shared" si="21"/>
        <v>4500</v>
      </c>
      <c r="G105" s="328"/>
      <c r="H105" s="328"/>
      <c r="I105" s="329"/>
      <c r="J105" s="329"/>
      <c r="K105" s="330"/>
      <c r="L105" s="323"/>
      <c r="M105" s="333">
        <f t="shared" si="22"/>
        <v>46003</v>
      </c>
      <c r="N105" s="327"/>
      <c r="O105" s="327">
        <v>2725</v>
      </c>
      <c r="P105" s="327">
        <f>IF(O105="","",O105-O103)</f>
        <v>26</v>
      </c>
      <c r="Q105" s="328">
        <f t="shared" si="23"/>
        <v>26000</v>
      </c>
      <c r="R105" s="328"/>
      <c r="S105" s="328"/>
      <c r="T105" s="329"/>
      <c r="U105" s="329"/>
      <c r="V105" s="331"/>
      <c r="X105" s="333">
        <f>IF(AP105="","",AP105)</f>
        <v>46003</v>
      </c>
      <c r="Y105" s="327">
        <v>7445</v>
      </c>
      <c r="Z105" s="327">
        <f>IF(Y105="","",Y105-Y103)</f>
        <v>16</v>
      </c>
      <c r="AA105" s="328">
        <f t="shared" si="24"/>
        <v>16000</v>
      </c>
      <c r="AB105" s="331"/>
      <c r="AD105" s="333">
        <f t="shared" si="25"/>
        <v>46003</v>
      </c>
      <c r="AE105" s="327">
        <v>5121</v>
      </c>
      <c r="AF105" s="327">
        <f>IF(AE105="","",AE105-AE103)</f>
        <v>8</v>
      </c>
      <c r="AG105" s="328">
        <f t="shared" si="26"/>
        <v>8000</v>
      </c>
      <c r="AH105" s="331"/>
      <c r="AJ105" s="333">
        <f t="shared" si="27"/>
        <v>46003</v>
      </c>
      <c r="AK105" s="327">
        <v>7247</v>
      </c>
      <c r="AL105" s="327">
        <f>IF(AK105="","",AK105-AK103)</f>
        <v>26</v>
      </c>
      <c r="AM105" s="328">
        <f t="shared" si="28"/>
        <v>26000</v>
      </c>
      <c r="AN105" s="331"/>
      <c r="AP105" s="333">
        <f>IF(M105="","",M105)</f>
        <v>46003</v>
      </c>
      <c r="AQ105" s="327"/>
      <c r="AR105" s="327">
        <v>8595</v>
      </c>
      <c r="AS105" s="327">
        <f>IF(AR105="","",AR105-AR103)</f>
        <v>8</v>
      </c>
      <c r="AT105" s="328">
        <f t="shared" si="29"/>
        <v>8000</v>
      </c>
      <c r="AU105" s="328"/>
      <c r="AV105" s="328"/>
      <c r="AW105" s="329"/>
      <c r="AX105" s="329"/>
      <c r="AY105" s="331"/>
    </row>
    <row r="106" spans="2:51" ht="15" customHeight="1" x14ac:dyDescent="0.25">
      <c r="B106" s="333"/>
      <c r="C106" s="327"/>
      <c r="D106" s="327">
        <v>5757</v>
      </c>
      <c r="E106" s="327">
        <f t="shared" si="20"/>
        <v>5</v>
      </c>
      <c r="F106" s="328">
        <f t="shared" si="21"/>
        <v>500</v>
      </c>
      <c r="G106" s="328"/>
      <c r="H106" s="328"/>
      <c r="I106" s="329"/>
      <c r="J106" s="329"/>
      <c r="K106" s="330"/>
      <c r="L106" s="323"/>
      <c r="M106" s="333"/>
      <c r="N106" s="327"/>
      <c r="O106" s="327"/>
      <c r="P106" s="327"/>
      <c r="Q106" s="328"/>
      <c r="R106" s="328"/>
      <c r="S106" s="328"/>
      <c r="T106" s="329"/>
      <c r="U106" s="329"/>
      <c r="V106" s="331"/>
      <c r="X106" s="333"/>
      <c r="Y106" s="327"/>
      <c r="Z106" s="327"/>
      <c r="AA106" s="328"/>
      <c r="AB106" s="331"/>
      <c r="AD106" s="333"/>
      <c r="AE106" s="327"/>
      <c r="AF106" s="327"/>
      <c r="AG106" s="328"/>
      <c r="AH106" s="331"/>
      <c r="AJ106" s="333"/>
      <c r="AK106" s="327"/>
      <c r="AL106" s="327"/>
      <c r="AM106" s="328"/>
      <c r="AN106" s="331"/>
      <c r="AP106" s="333"/>
      <c r="AQ106" s="327"/>
      <c r="AR106" s="327"/>
      <c r="AS106" s="327"/>
      <c r="AT106" s="328"/>
      <c r="AU106" s="328"/>
      <c r="AV106" s="328"/>
      <c r="AW106" s="329"/>
      <c r="AX106" s="329"/>
      <c r="AY106" s="331"/>
    </row>
    <row r="107" spans="2:51" ht="15" customHeight="1" x14ac:dyDescent="0.25">
      <c r="B107" s="333">
        <v>46006</v>
      </c>
      <c r="C107" s="336">
        <f>SUM(IF(F107="",0,F107), IF(F108="",0,F108), IF(Q107="",0,Q107), IF(AT107="",0,AT107), IF(AA107="",0,AA107), IF(AG107="",0,AG107), IF(AM107="",0,AM107))</f>
        <v>95500</v>
      </c>
      <c r="D107" s="327">
        <v>17190</v>
      </c>
      <c r="E107" s="327">
        <f t="shared" si="20"/>
        <v>115</v>
      </c>
      <c r="F107" s="328">
        <f t="shared" si="21"/>
        <v>11500</v>
      </c>
      <c r="G107" s="328"/>
      <c r="H107" s="328"/>
      <c r="I107" s="329"/>
      <c r="J107" s="329"/>
      <c r="K107" s="330"/>
      <c r="L107" s="323"/>
      <c r="M107" s="333">
        <f>IF(B107="","",B107)</f>
        <v>46006</v>
      </c>
      <c r="N107" s="327"/>
      <c r="O107" s="327">
        <v>2743</v>
      </c>
      <c r="P107" s="327">
        <f>IF(O107="","",O107-O105)</f>
        <v>18</v>
      </c>
      <c r="Q107" s="328">
        <f>IF(O107="","",P107*1000)</f>
        <v>18000</v>
      </c>
      <c r="R107" s="328"/>
      <c r="S107" s="328"/>
      <c r="T107" s="329"/>
      <c r="U107" s="329"/>
      <c r="V107" s="331"/>
      <c r="X107" s="333">
        <f>IF(AP107="","",AP107)</f>
        <v>46006</v>
      </c>
      <c r="Y107" s="327">
        <v>7463</v>
      </c>
      <c r="Z107" s="327">
        <f>IF(Y107="","",Y107-Y105)</f>
        <v>18</v>
      </c>
      <c r="AA107" s="328">
        <f>IF(Y107="","",Z107*1000)</f>
        <v>18000</v>
      </c>
      <c r="AB107" s="331"/>
      <c r="AD107" s="333">
        <f>IF(X107="","",X107)</f>
        <v>46006</v>
      </c>
      <c r="AE107" s="327">
        <v>5135</v>
      </c>
      <c r="AF107" s="327">
        <f>IF(AE107="","",AE107-AE105)</f>
        <v>14</v>
      </c>
      <c r="AG107" s="328">
        <f>IF(AE107="","",AF107*1000)</f>
        <v>14000</v>
      </c>
      <c r="AH107" s="331"/>
      <c r="AJ107" s="333">
        <f>IF(AD107="","",AD107)</f>
        <v>46006</v>
      </c>
      <c r="AK107" s="327">
        <v>7271</v>
      </c>
      <c r="AL107" s="327">
        <f>IF(AK107="","",AK107-AK105)</f>
        <v>24</v>
      </c>
      <c r="AM107" s="328">
        <f>IF(AK107="","",AL107*1000)</f>
        <v>24000</v>
      </c>
      <c r="AN107" s="331"/>
      <c r="AP107" s="333">
        <f>IF(M107="","",M107)</f>
        <v>46006</v>
      </c>
      <c r="AQ107" s="327"/>
      <c r="AR107" s="327">
        <v>8605</v>
      </c>
      <c r="AS107" s="327">
        <f>IF(AR107="","",AR107-AR105)</f>
        <v>10</v>
      </c>
      <c r="AT107" s="328">
        <f>IF(AR107="","",AS107*1000)</f>
        <v>10000</v>
      </c>
      <c r="AU107" s="328"/>
      <c r="AV107" s="328"/>
      <c r="AW107" s="329"/>
      <c r="AX107" s="329"/>
      <c r="AY107" s="331"/>
    </row>
    <row r="108" spans="2:51" ht="15" customHeight="1" x14ac:dyDescent="0.25">
      <c r="B108" s="333"/>
      <c r="C108" s="327"/>
      <c r="D108" s="327">
        <v>5757</v>
      </c>
      <c r="E108" s="327">
        <f t="shared" si="20"/>
        <v>0</v>
      </c>
      <c r="F108" s="328">
        <f t="shared" si="21"/>
        <v>0</v>
      </c>
      <c r="G108" s="328"/>
      <c r="H108" s="328"/>
      <c r="I108" s="329"/>
      <c r="J108" s="329"/>
      <c r="K108" s="330"/>
      <c r="L108" s="323"/>
      <c r="M108" s="333"/>
      <c r="N108" s="327"/>
      <c r="O108" s="327"/>
      <c r="P108" s="327" t="str">
        <f>IF(O108="","",O108-O106)</f>
        <v/>
      </c>
      <c r="Q108" s="328"/>
      <c r="R108" s="328"/>
      <c r="S108" s="328"/>
      <c r="T108" s="329"/>
      <c r="U108" s="329"/>
      <c r="V108" s="331"/>
      <c r="X108" s="333"/>
      <c r="Y108" s="327"/>
      <c r="Z108" s="327" t="str">
        <f>IF(Y108="","",Y108-Y106)</f>
        <v/>
      </c>
      <c r="AA108" s="328"/>
      <c r="AB108" s="331"/>
      <c r="AD108" s="333"/>
      <c r="AE108" s="327"/>
      <c r="AF108" s="327" t="str">
        <f>IF(AE108="","",AE108-AE106)</f>
        <v/>
      </c>
      <c r="AG108" s="328"/>
      <c r="AH108" s="331"/>
      <c r="AJ108" s="333"/>
      <c r="AK108" s="327"/>
      <c r="AL108" s="327" t="str">
        <f>IF(AK108="","",AK108-AK106)</f>
        <v/>
      </c>
      <c r="AM108" s="328"/>
      <c r="AN108" s="331"/>
      <c r="AP108" s="333"/>
      <c r="AQ108" s="327"/>
      <c r="AR108" s="327"/>
      <c r="AS108" s="327" t="str">
        <f>IF(AR108="","",AR108-AR106)</f>
        <v/>
      </c>
      <c r="AT108" s="328"/>
      <c r="AU108" s="328"/>
      <c r="AV108" s="328"/>
      <c r="AW108" s="329"/>
      <c r="AX108" s="329"/>
      <c r="AY108" s="331"/>
    </row>
    <row r="109" spans="2:51" ht="15" customHeight="1" x14ac:dyDescent="0.25">
      <c r="B109" s="333">
        <v>46007</v>
      </c>
      <c r="C109" s="336">
        <f>SUM(IF(F109="",0,F109), IF(F110="",0,F110), IF(Q109="",0,Q109), IF(AT109="",0,AT109), IF(AA109="",0,AA109), IF(AG109="",0,AG109), IF(AM109="",0,AM109))</f>
        <v>21000</v>
      </c>
      <c r="D109" s="327">
        <v>17190</v>
      </c>
      <c r="E109" s="327">
        <f t="shared" si="20"/>
        <v>0</v>
      </c>
      <c r="F109" s="328">
        <f t="shared" si="21"/>
        <v>0</v>
      </c>
      <c r="G109" s="328"/>
      <c r="H109" s="328"/>
      <c r="I109" s="329"/>
      <c r="J109" s="329"/>
      <c r="K109" s="330"/>
      <c r="L109" s="323"/>
      <c r="M109" s="333">
        <f>IF(B109="","",B109)</f>
        <v>46007</v>
      </c>
      <c r="N109" s="327"/>
      <c r="O109" s="327">
        <v>2743</v>
      </c>
      <c r="P109" s="327">
        <f>IF(O109="","",O109-O107)</f>
        <v>0</v>
      </c>
      <c r="Q109" s="328">
        <f>IF(O109="","",P109*1000)</f>
        <v>0</v>
      </c>
      <c r="R109" s="328"/>
      <c r="S109" s="328"/>
      <c r="T109" s="329"/>
      <c r="U109" s="329"/>
      <c r="V109" s="331"/>
      <c r="X109" s="333">
        <f>IF(AP109="","",AP109)</f>
        <v>46007</v>
      </c>
      <c r="Y109" s="327">
        <v>7470</v>
      </c>
      <c r="Z109" s="327">
        <f>IF(Y109="","",Y109-Y107)</f>
        <v>7</v>
      </c>
      <c r="AA109" s="328">
        <f>IF(Y109="","",Z109*1000)</f>
        <v>7000</v>
      </c>
      <c r="AB109" s="331"/>
      <c r="AD109" s="333">
        <f>IF(X109="","",X109)</f>
        <v>46007</v>
      </c>
      <c r="AE109" s="327">
        <v>5135</v>
      </c>
      <c r="AF109" s="327">
        <f>IF(AE109="","",AE109-AE107)</f>
        <v>0</v>
      </c>
      <c r="AG109" s="328">
        <f>IF(AE109="","",AF109*1000)</f>
        <v>0</v>
      </c>
      <c r="AH109" s="331"/>
      <c r="AJ109" s="333">
        <f>IF(AD109="","",AD109)</f>
        <v>46007</v>
      </c>
      <c r="AK109" s="327">
        <v>7281</v>
      </c>
      <c r="AL109" s="327">
        <f>IF(AK109="","",AK109-AK107)</f>
        <v>10</v>
      </c>
      <c r="AM109" s="328">
        <f>IF(AK109="","",AL109*1000)</f>
        <v>10000</v>
      </c>
      <c r="AN109" s="331"/>
      <c r="AP109" s="333">
        <f>IF(M109="","",M109)</f>
        <v>46007</v>
      </c>
      <c r="AQ109" s="327"/>
      <c r="AR109" s="327">
        <v>8609</v>
      </c>
      <c r="AS109" s="327">
        <f>IF(AR109="","",AR109-AR107)</f>
        <v>4</v>
      </c>
      <c r="AT109" s="328">
        <f>IF(AR109="","",AS109*1000)</f>
        <v>4000</v>
      </c>
      <c r="AU109" s="328"/>
      <c r="AV109" s="328"/>
      <c r="AW109" s="329"/>
      <c r="AX109" s="329"/>
      <c r="AY109" s="331"/>
    </row>
    <row r="110" spans="2:51" ht="15" customHeight="1" x14ac:dyDescent="0.25">
      <c r="B110" s="333"/>
      <c r="C110" s="327"/>
      <c r="D110" s="327">
        <v>5757</v>
      </c>
      <c r="E110" s="327">
        <f t="shared" si="20"/>
        <v>0</v>
      </c>
      <c r="F110" s="328">
        <f t="shared" si="21"/>
        <v>0</v>
      </c>
      <c r="G110" s="328"/>
      <c r="H110" s="328"/>
      <c r="I110" s="329"/>
      <c r="J110" s="329"/>
      <c r="K110" s="330"/>
      <c r="L110" s="323"/>
      <c r="M110" s="333"/>
      <c r="N110" s="327"/>
      <c r="O110" s="327"/>
      <c r="P110" s="327" t="str">
        <f>IF(O110="","",O110-O108)</f>
        <v/>
      </c>
      <c r="Q110" s="328"/>
      <c r="R110" s="328"/>
      <c r="S110" s="328"/>
      <c r="T110" s="329"/>
      <c r="U110" s="329"/>
      <c r="V110" s="331"/>
      <c r="X110" s="333"/>
      <c r="Y110" s="327"/>
      <c r="Z110" s="327" t="str">
        <f>IF(Y110="","",Y110-Y108)</f>
        <v/>
      </c>
      <c r="AA110" s="328"/>
      <c r="AB110" s="331"/>
      <c r="AD110" s="333"/>
      <c r="AE110" s="327"/>
      <c r="AF110" s="327" t="str">
        <f>IF(AE110="","",AE110-AE108)</f>
        <v/>
      </c>
      <c r="AG110" s="328"/>
      <c r="AH110" s="331"/>
      <c r="AJ110" s="333"/>
      <c r="AK110" s="327"/>
      <c r="AL110" s="327" t="str">
        <f>IF(AK110="","",AK110-AK108)</f>
        <v/>
      </c>
      <c r="AM110" s="328"/>
      <c r="AN110" s="331"/>
      <c r="AP110" s="333"/>
      <c r="AQ110" s="327"/>
      <c r="AR110" s="327"/>
      <c r="AS110" s="327" t="str">
        <f>IF(AR110="","",AR110-AR108)</f>
        <v/>
      </c>
      <c r="AT110" s="328"/>
      <c r="AU110" s="328"/>
      <c r="AV110" s="328"/>
      <c r="AW110" s="329"/>
      <c r="AX110" s="329"/>
      <c r="AY110" s="331"/>
    </row>
    <row r="111" spans="2:51" ht="15" customHeight="1" x14ac:dyDescent="0.25">
      <c r="B111" s="333">
        <v>46010</v>
      </c>
      <c r="C111" s="336">
        <f>SUM(IF(F111="",0,F111), IF(F112="",0,F112), IF(Q111="",0,Q111), IF(AT111="",0,AT111), IF(AA111="",0,AA111), IF(AG111="",0,AG111), IF(AM111="",0,AM111))</f>
        <v>48500</v>
      </c>
      <c r="D111" s="327">
        <v>17280</v>
      </c>
      <c r="E111" s="327">
        <f t="shared" si="20"/>
        <v>90</v>
      </c>
      <c r="F111" s="328">
        <f t="shared" si="21"/>
        <v>9000</v>
      </c>
      <c r="G111" s="328"/>
      <c r="H111" s="328"/>
      <c r="I111" s="329"/>
      <c r="J111" s="329"/>
      <c r="K111" s="330" t="s">
        <v>139</v>
      </c>
      <c r="L111" s="323"/>
      <c r="M111" s="333">
        <f>IF(B111="","",B111)</f>
        <v>46010</v>
      </c>
      <c r="N111" s="327"/>
      <c r="O111" s="327">
        <v>2749</v>
      </c>
      <c r="P111" s="327">
        <f>IF(O111="","",O111-O109)</f>
        <v>6</v>
      </c>
      <c r="Q111" s="328">
        <f>IF(O111="","",P111*1000)</f>
        <v>6000</v>
      </c>
      <c r="R111" s="328"/>
      <c r="S111" s="328"/>
      <c r="T111" s="329"/>
      <c r="U111" s="329"/>
      <c r="V111" s="331"/>
      <c r="X111" s="333">
        <f>IF(AP111="","",AP111)</f>
        <v>46010</v>
      </c>
      <c r="Y111" s="327">
        <v>7473</v>
      </c>
      <c r="Z111" s="327">
        <f>IF(Y111="","",Y111-Y109)</f>
        <v>3</v>
      </c>
      <c r="AA111" s="328">
        <f>IF(Y111="","",Z111*1000)</f>
        <v>3000</v>
      </c>
      <c r="AB111" s="331"/>
      <c r="AD111" s="333">
        <f>IF(X111="","",X111)</f>
        <v>46010</v>
      </c>
      <c r="AE111" s="327">
        <v>5141</v>
      </c>
      <c r="AF111" s="327">
        <f>IF(AE111="","",AE111-AE109)</f>
        <v>6</v>
      </c>
      <c r="AG111" s="328">
        <f>IF(AE111="","",AF111*1000)</f>
        <v>6000</v>
      </c>
      <c r="AH111" s="331"/>
      <c r="AJ111" s="333">
        <f>IF(AD111="","",AD111)</f>
        <v>46010</v>
      </c>
      <c r="AK111" s="327">
        <v>7289</v>
      </c>
      <c r="AL111" s="327">
        <f>IF(AK111="","",AK111-AK109)</f>
        <v>8</v>
      </c>
      <c r="AM111" s="328">
        <f>IF(AK111="","",AL111*1000)</f>
        <v>8000</v>
      </c>
      <c r="AN111" s="331"/>
      <c r="AP111" s="333">
        <f>IF(M111="","",M111)</f>
        <v>46010</v>
      </c>
      <c r="AQ111" s="327"/>
      <c r="AR111" s="327">
        <v>8619</v>
      </c>
      <c r="AS111" s="327">
        <f>IF(AR111="","",AR111-AR109)</f>
        <v>10</v>
      </c>
      <c r="AT111" s="328">
        <f>IF(AR111="","",AS111*1000)</f>
        <v>10000</v>
      </c>
      <c r="AU111" s="328"/>
      <c r="AV111" s="328"/>
      <c r="AW111" s="329"/>
      <c r="AX111" s="329"/>
      <c r="AY111" s="331"/>
    </row>
    <row r="112" spans="2:51" ht="15" customHeight="1" x14ac:dyDescent="0.25">
      <c r="B112" s="333"/>
      <c r="C112" s="327"/>
      <c r="D112" s="327">
        <v>5822</v>
      </c>
      <c r="E112" s="327">
        <f t="shared" si="20"/>
        <v>65</v>
      </c>
      <c r="F112" s="328">
        <f t="shared" si="21"/>
        <v>6500</v>
      </c>
      <c r="G112" s="328"/>
      <c r="H112" s="328"/>
      <c r="I112" s="329"/>
      <c r="J112" s="329"/>
      <c r="K112" s="330"/>
      <c r="L112" s="323"/>
      <c r="M112" s="333"/>
      <c r="N112" s="327"/>
      <c r="O112" s="327"/>
      <c r="P112" s="327"/>
      <c r="Q112" s="328"/>
      <c r="R112" s="328"/>
      <c r="S112" s="328"/>
      <c r="T112" s="329"/>
      <c r="U112" s="329"/>
      <c r="V112" s="331"/>
      <c r="X112" s="333"/>
      <c r="Y112" s="327"/>
      <c r="Z112" s="327"/>
      <c r="AA112" s="328"/>
      <c r="AB112" s="331"/>
      <c r="AD112" s="333"/>
      <c r="AE112" s="327"/>
      <c r="AF112" s="327"/>
      <c r="AG112" s="328"/>
      <c r="AH112" s="331"/>
      <c r="AJ112" s="333"/>
      <c r="AK112" s="327"/>
      <c r="AL112" s="327"/>
      <c r="AM112" s="328"/>
      <c r="AN112" s="331"/>
      <c r="AP112" s="333"/>
      <c r="AQ112" s="327"/>
      <c r="AR112" s="327"/>
      <c r="AS112" s="327"/>
      <c r="AT112" s="328"/>
      <c r="AU112" s="328"/>
      <c r="AV112" s="328"/>
      <c r="AW112" s="329"/>
      <c r="AX112" s="329"/>
      <c r="AY112" s="331"/>
    </row>
    <row r="113" spans="2:51" ht="15" customHeight="1" x14ac:dyDescent="0.25">
      <c r="B113" s="333"/>
      <c r="C113" s="336">
        <f>SUM(IF(F113="",0,F113), IF(F114="",0,F114), IF(Q113="",0,Q113), IF(AT113="",0,AT113), IF(AA113="",0,AA113), IF(AG113="",0,AG113), IF(AM113="",0,AM113))</f>
        <v>0</v>
      </c>
      <c r="D113" s="327"/>
      <c r="E113" s="327" t="str">
        <f t="shared" si="20"/>
        <v/>
      </c>
      <c r="F113" s="328" t="str">
        <f t="shared" si="21"/>
        <v/>
      </c>
      <c r="G113" s="328"/>
      <c r="H113" s="328"/>
      <c r="I113" s="329"/>
      <c r="J113" s="329"/>
      <c r="K113" s="330"/>
      <c r="L113" s="323"/>
      <c r="M113" s="333" t="str">
        <f>IF(B113="","",B113)</f>
        <v/>
      </c>
      <c r="N113" s="327"/>
      <c r="O113" s="327"/>
      <c r="P113" s="327" t="str">
        <f>IF(O113="","",O113-O111)</f>
        <v/>
      </c>
      <c r="Q113" s="328" t="str">
        <f>IF(O113="","",P113*1000)</f>
        <v/>
      </c>
      <c r="R113" s="328"/>
      <c r="S113" s="328"/>
      <c r="T113" s="329"/>
      <c r="U113" s="329"/>
      <c r="V113" s="331"/>
      <c r="X113" s="333" t="str">
        <f>IF(AP113="","",AP113)</f>
        <v/>
      </c>
      <c r="Y113" s="327"/>
      <c r="Z113" s="327" t="str">
        <f>IF(Y113="","",Y113-Y111)</f>
        <v/>
      </c>
      <c r="AA113" s="328" t="str">
        <f>IF(Y113="","",Z113*1000)</f>
        <v/>
      </c>
      <c r="AB113" s="331"/>
      <c r="AD113" s="333" t="str">
        <f>IF(X113="","",X113)</f>
        <v/>
      </c>
      <c r="AE113" s="327"/>
      <c r="AF113" s="327" t="str">
        <f>IF(AE113="","",AE113-AE111)</f>
        <v/>
      </c>
      <c r="AG113" s="328" t="str">
        <f>IF(AE113="","",AF113*1000)</f>
        <v/>
      </c>
      <c r="AH113" s="331"/>
      <c r="AJ113" s="333" t="str">
        <f>IF(AD113="","",AD113)</f>
        <v/>
      </c>
      <c r="AK113" s="327"/>
      <c r="AL113" s="327" t="str">
        <f>IF(AK113="","",AK113-AK111)</f>
        <v/>
      </c>
      <c r="AM113" s="328" t="str">
        <f>IF(AK113="","",AL113*1000)</f>
        <v/>
      </c>
      <c r="AN113" s="331"/>
      <c r="AP113" s="333" t="str">
        <f>IF(M113="","",M113)</f>
        <v/>
      </c>
      <c r="AQ113" s="327"/>
      <c r="AR113" s="327"/>
      <c r="AS113" s="327" t="str">
        <f>IF(AR113="","",AR113-AR111)</f>
        <v/>
      </c>
      <c r="AT113" s="328" t="str">
        <f>IF(AR113="","",AS113*1000)</f>
        <v/>
      </c>
      <c r="AU113" s="328"/>
      <c r="AV113" s="328"/>
      <c r="AW113" s="329"/>
      <c r="AX113" s="329"/>
      <c r="AY113" s="331"/>
    </row>
    <row r="114" spans="2:51" ht="15" customHeight="1" x14ac:dyDescent="0.25">
      <c r="B114" s="333"/>
      <c r="C114" s="327"/>
      <c r="D114" s="327"/>
      <c r="E114" s="327" t="str">
        <f t="shared" si="20"/>
        <v/>
      </c>
      <c r="F114" s="328" t="str">
        <f t="shared" si="21"/>
        <v/>
      </c>
      <c r="G114" s="328"/>
      <c r="H114" s="328"/>
      <c r="I114" s="329"/>
      <c r="J114" s="329"/>
      <c r="K114" s="330"/>
      <c r="L114" s="323"/>
      <c r="M114" s="333" t="str">
        <f>IF(B114="","",B114)</f>
        <v/>
      </c>
      <c r="N114" s="327"/>
      <c r="O114" s="327"/>
      <c r="P114" s="327"/>
      <c r="Q114" s="328"/>
      <c r="R114" s="328"/>
      <c r="S114" s="328"/>
      <c r="T114" s="329"/>
      <c r="U114" s="329"/>
      <c r="V114" s="331"/>
      <c r="X114" s="333"/>
      <c r="Y114" s="327"/>
      <c r="Z114" s="327"/>
      <c r="AA114" s="328"/>
      <c r="AB114" s="331"/>
      <c r="AD114" s="333"/>
      <c r="AE114" s="327"/>
      <c r="AF114" s="327"/>
      <c r="AG114" s="328"/>
      <c r="AH114" s="331"/>
      <c r="AJ114" s="333"/>
      <c r="AK114" s="327"/>
      <c r="AL114" s="327"/>
      <c r="AM114" s="328"/>
      <c r="AN114" s="331"/>
      <c r="AP114" s="333"/>
      <c r="AQ114" s="327"/>
      <c r="AR114" s="327"/>
      <c r="AS114" s="327"/>
      <c r="AT114" s="328"/>
      <c r="AU114" s="328"/>
      <c r="AV114" s="328"/>
      <c r="AW114" s="329"/>
      <c r="AX114" s="329"/>
      <c r="AY114" s="331"/>
    </row>
    <row r="115" spans="2:51" ht="15" customHeight="1" x14ac:dyDescent="0.25">
      <c r="B115" s="333"/>
      <c r="C115" s="336">
        <f>SUM(IF(F115="",0,F115), IF(F116="",0,F116), IF(Q115="",0,Q115), IF(AT115="",0,AT115), IF(AA115="",0,AA115), IF(AG115="",0,AG115), IF(AM115="",0,AM115))</f>
        <v>0</v>
      </c>
      <c r="D115" s="327"/>
      <c r="E115" s="327" t="str">
        <f t="shared" si="20"/>
        <v/>
      </c>
      <c r="F115" s="328" t="str">
        <f t="shared" si="21"/>
        <v/>
      </c>
      <c r="G115" s="328"/>
      <c r="H115" s="328"/>
      <c r="I115" s="329"/>
      <c r="J115" s="329"/>
      <c r="K115" s="330"/>
      <c r="L115" s="323"/>
      <c r="M115" s="333" t="str">
        <f>IF(B115="","",B115)</f>
        <v/>
      </c>
      <c r="N115" s="327"/>
      <c r="O115" s="327"/>
      <c r="P115" s="327" t="str">
        <f>IF(O115="","",O115-O113)</f>
        <v/>
      </c>
      <c r="Q115" s="328" t="str">
        <f>IF(O115="","",P115*1000)</f>
        <v/>
      </c>
      <c r="R115" s="328"/>
      <c r="S115" s="328"/>
      <c r="T115" s="329"/>
      <c r="U115" s="329"/>
      <c r="V115" s="331"/>
      <c r="X115" s="333"/>
      <c r="Y115" s="327"/>
      <c r="Z115" s="327" t="str">
        <f>IF(Y115="","",Y115-Y113)</f>
        <v/>
      </c>
      <c r="AA115" s="328" t="str">
        <f>IF(Y115="","",Z115*1000)</f>
        <v/>
      </c>
      <c r="AB115" s="331"/>
      <c r="AD115" s="333" t="str">
        <f>IF(X115="","",X115)</f>
        <v/>
      </c>
      <c r="AE115" s="327"/>
      <c r="AF115" s="327" t="str">
        <f>IF(AE115="","",AE115-AE113)</f>
        <v/>
      </c>
      <c r="AG115" s="328" t="str">
        <f>IF(AE115="","",AF115*1000)</f>
        <v/>
      </c>
      <c r="AH115" s="331"/>
      <c r="AJ115" s="333" t="str">
        <f>IF(AD115="","",AD115)</f>
        <v/>
      </c>
      <c r="AK115" s="327"/>
      <c r="AL115" s="327" t="str">
        <f>IF(AK115="","",AK115-AK113)</f>
        <v/>
      </c>
      <c r="AM115" s="328" t="str">
        <f>IF(AK115="","",AL115*1000)</f>
        <v/>
      </c>
      <c r="AN115" s="331"/>
      <c r="AP115" s="333" t="str">
        <f>IF(M115="","",M115)</f>
        <v/>
      </c>
      <c r="AQ115" s="327"/>
      <c r="AR115" s="327"/>
      <c r="AS115" s="327" t="str">
        <f>IF(AR115="","",AR115-AR113)</f>
        <v/>
      </c>
      <c r="AT115" s="328" t="str">
        <f>IF(AR115="","",AS115*1000)</f>
        <v/>
      </c>
      <c r="AU115" s="328"/>
      <c r="AV115" s="328"/>
      <c r="AW115" s="329"/>
      <c r="AX115" s="329"/>
      <c r="AY115" s="331"/>
    </row>
    <row r="116" spans="2:51" ht="15" customHeight="1" x14ac:dyDescent="0.25">
      <c r="B116" s="333"/>
      <c r="C116" s="327"/>
      <c r="D116" s="327"/>
      <c r="E116" s="327" t="str">
        <f t="shared" si="20"/>
        <v/>
      </c>
      <c r="F116" s="328" t="str">
        <f t="shared" si="21"/>
        <v/>
      </c>
      <c r="G116" s="328"/>
      <c r="H116" s="328"/>
      <c r="I116" s="329"/>
      <c r="J116" s="329"/>
      <c r="K116" s="330"/>
      <c r="L116" s="323"/>
      <c r="M116" s="333"/>
      <c r="N116" s="327"/>
      <c r="O116" s="327"/>
      <c r="P116" s="327"/>
      <c r="Q116" s="328"/>
      <c r="R116" s="328"/>
      <c r="S116" s="328"/>
      <c r="T116" s="329"/>
      <c r="U116" s="329"/>
      <c r="V116" s="331"/>
      <c r="X116" s="333"/>
      <c r="Y116" s="327"/>
      <c r="Z116" s="327"/>
      <c r="AA116" s="328"/>
      <c r="AB116" s="331"/>
      <c r="AD116" s="333"/>
      <c r="AE116" s="327"/>
      <c r="AF116" s="327"/>
      <c r="AG116" s="328"/>
      <c r="AH116" s="331"/>
      <c r="AJ116" s="333"/>
      <c r="AK116" s="327"/>
      <c r="AL116" s="327"/>
      <c r="AM116" s="328"/>
      <c r="AN116" s="331"/>
      <c r="AP116" s="333"/>
      <c r="AQ116" s="327"/>
      <c r="AR116" s="327"/>
      <c r="AS116" s="327"/>
      <c r="AT116" s="328"/>
      <c r="AU116" s="328"/>
      <c r="AV116" s="328"/>
      <c r="AW116" s="329"/>
      <c r="AX116" s="329"/>
      <c r="AY116" s="331"/>
    </row>
    <row r="117" spans="2:51" ht="15" customHeight="1" x14ac:dyDescent="0.25">
      <c r="B117" s="333"/>
      <c r="C117" s="336">
        <f>SUM(IF(F117="",0,F117), IF(F118="",0,F118), IF(Q117="",0,Q117), IF(AT117="",0,AT117), IF(AA117="",0,AA117), IF(AG117="",0,AG117), IF(AM117="",0,AM117))</f>
        <v>0</v>
      </c>
      <c r="D117" s="327"/>
      <c r="E117" s="327" t="str">
        <f t="shared" si="20"/>
        <v/>
      </c>
      <c r="F117" s="328" t="str">
        <f t="shared" si="21"/>
        <v/>
      </c>
      <c r="G117" s="328"/>
      <c r="H117" s="328"/>
      <c r="I117" s="329"/>
      <c r="J117" s="329"/>
      <c r="K117" s="330"/>
      <c r="L117" s="323"/>
      <c r="M117" s="333" t="str">
        <f>IF(B117="","",B117)</f>
        <v/>
      </c>
      <c r="N117" s="327"/>
      <c r="O117" s="327"/>
      <c r="P117" s="327" t="str">
        <f>IF(O117="","",O117-O115)</f>
        <v/>
      </c>
      <c r="Q117" s="328" t="str">
        <f>IF(O117="","",P117*1000)</f>
        <v/>
      </c>
      <c r="R117" s="328"/>
      <c r="S117" s="328"/>
      <c r="T117" s="329"/>
      <c r="U117" s="329"/>
      <c r="V117" s="331"/>
      <c r="X117" s="333" t="str">
        <f>IF(AP117="","",AP117)</f>
        <v/>
      </c>
      <c r="Y117" s="327"/>
      <c r="Z117" s="327" t="str">
        <f>IF(Y117="","",Y117-Y115)</f>
        <v/>
      </c>
      <c r="AA117" s="328" t="str">
        <f>IF(Y117="","",Z117*1000)</f>
        <v/>
      </c>
      <c r="AB117" s="331"/>
      <c r="AD117" s="333" t="str">
        <f>IF(X117="","",X117)</f>
        <v/>
      </c>
      <c r="AE117" s="327"/>
      <c r="AF117" s="327" t="str">
        <f>IF(AE117="","",AE117-AE115)</f>
        <v/>
      </c>
      <c r="AG117" s="328" t="str">
        <f>IF(AE117="","",AF117*1000)</f>
        <v/>
      </c>
      <c r="AH117" s="331"/>
      <c r="AJ117" s="333" t="str">
        <f>IF(AD117="","",AD117)</f>
        <v/>
      </c>
      <c r="AK117" s="327"/>
      <c r="AL117" s="327" t="str">
        <f>IF(AK117="","",AK117-AK115)</f>
        <v/>
      </c>
      <c r="AM117" s="328" t="str">
        <f>IF(AK117="","",AL117*1000)</f>
        <v/>
      </c>
      <c r="AN117" s="331"/>
      <c r="AP117" s="333" t="str">
        <f>IF(M117="","",M117)</f>
        <v/>
      </c>
      <c r="AQ117" s="327"/>
      <c r="AR117" s="327"/>
      <c r="AS117" s="327" t="str">
        <f>IF(AR117="","",AR117-AR115)</f>
        <v/>
      </c>
      <c r="AT117" s="328" t="str">
        <f>IF(AR117="","",AS117*1000)</f>
        <v/>
      </c>
      <c r="AU117" s="328"/>
      <c r="AV117" s="328"/>
      <c r="AW117" s="329"/>
      <c r="AX117" s="329"/>
      <c r="AY117" s="331"/>
    </row>
    <row r="118" spans="2:51" ht="15" customHeight="1" x14ac:dyDescent="0.25">
      <c r="B118" s="333"/>
      <c r="C118" s="327"/>
      <c r="D118" s="327"/>
      <c r="E118" s="327" t="str">
        <f t="shared" si="20"/>
        <v/>
      </c>
      <c r="F118" s="328" t="str">
        <f t="shared" si="21"/>
        <v/>
      </c>
      <c r="G118" s="328"/>
      <c r="H118" s="328"/>
      <c r="I118" s="329"/>
      <c r="J118" s="329"/>
      <c r="K118" s="330"/>
      <c r="L118" s="323"/>
      <c r="M118" s="333"/>
      <c r="N118" s="327"/>
      <c r="O118" s="327"/>
      <c r="P118" s="327"/>
      <c r="Q118" s="328"/>
      <c r="R118" s="328"/>
      <c r="S118" s="328"/>
      <c r="T118" s="329"/>
      <c r="U118" s="329"/>
      <c r="V118" s="331"/>
      <c r="X118" s="333"/>
      <c r="Y118" s="327"/>
      <c r="Z118" s="327"/>
      <c r="AA118" s="328"/>
      <c r="AB118" s="331"/>
      <c r="AD118" s="333"/>
      <c r="AE118" s="327"/>
      <c r="AF118" s="327"/>
      <c r="AG118" s="328"/>
      <c r="AH118" s="331"/>
      <c r="AJ118" s="333"/>
      <c r="AK118" s="327"/>
      <c r="AL118" s="327"/>
      <c r="AM118" s="328"/>
      <c r="AN118" s="331"/>
      <c r="AP118" s="333"/>
      <c r="AQ118" s="327"/>
      <c r="AR118" s="327"/>
      <c r="AS118" s="327"/>
      <c r="AT118" s="328"/>
      <c r="AU118" s="328"/>
      <c r="AV118" s="328"/>
      <c r="AW118" s="329"/>
      <c r="AX118" s="329"/>
      <c r="AY118" s="331"/>
    </row>
    <row r="119" spans="2:51" ht="15" customHeight="1" x14ac:dyDescent="0.25">
      <c r="B119" s="333"/>
      <c r="C119" s="336">
        <f>SUM(IF(F119="",0,F119), IF(F120="",0,F120), IF(Q119="",0,Q119), IF(AT119="",0,AT119), IF(AA119="",0,AA119), IF(AG119="",0,AG119), IF(AM119="",0,AM119))</f>
        <v>0</v>
      </c>
      <c r="D119" s="327"/>
      <c r="E119" s="327" t="str">
        <f t="shared" si="20"/>
        <v/>
      </c>
      <c r="F119" s="328" t="str">
        <f t="shared" si="21"/>
        <v/>
      </c>
      <c r="G119" s="328"/>
      <c r="H119" s="328"/>
      <c r="I119" s="329"/>
      <c r="J119" s="329"/>
      <c r="K119" s="330"/>
      <c r="L119" s="323"/>
      <c r="M119" s="333" t="str">
        <f>IF(B119="","",B119)</f>
        <v/>
      </c>
      <c r="N119" s="327"/>
      <c r="O119" s="327"/>
      <c r="P119" s="327" t="str">
        <f>IF(O119="","",O119-O117)</f>
        <v/>
      </c>
      <c r="Q119" s="328" t="str">
        <f>IF(O119="","",P119*1000)</f>
        <v/>
      </c>
      <c r="R119" s="328"/>
      <c r="S119" s="328"/>
      <c r="T119" s="329"/>
      <c r="U119" s="329"/>
      <c r="V119" s="331"/>
      <c r="X119" s="333" t="str">
        <f>IF(AP119="","",AP119)</f>
        <v/>
      </c>
      <c r="Y119" s="327"/>
      <c r="Z119" s="327" t="str">
        <f>IF(Y119="","",Y119-Y117)</f>
        <v/>
      </c>
      <c r="AA119" s="328" t="str">
        <f>IF(Y119="","",Z119*1000)</f>
        <v/>
      </c>
      <c r="AB119" s="331"/>
      <c r="AD119" s="333" t="str">
        <f>IF(X119="","",X119)</f>
        <v/>
      </c>
      <c r="AE119" s="327"/>
      <c r="AF119" s="327" t="str">
        <f>IF(AE119="","",AE119-AE117)</f>
        <v/>
      </c>
      <c r="AG119" s="328" t="str">
        <f>IF(AE119="","",AF119*1000)</f>
        <v/>
      </c>
      <c r="AH119" s="331"/>
      <c r="AJ119" s="333" t="str">
        <f>IF(AD119="","",AD119)</f>
        <v/>
      </c>
      <c r="AK119" s="327"/>
      <c r="AL119" s="327" t="str">
        <f>IF(AK119="","",AK119-AK117)</f>
        <v/>
      </c>
      <c r="AM119" s="328" t="str">
        <f>IF(AK119="","",AL119*1000)</f>
        <v/>
      </c>
      <c r="AN119" s="331"/>
      <c r="AP119" s="333" t="str">
        <f>IF(M119="","",M119)</f>
        <v/>
      </c>
      <c r="AQ119" s="327"/>
      <c r="AR119" s="327"/>
      <c r="AS119" s="327" t="str">
        <f>IF(AR119="","",AR119-AR117)</f>
        <v/>
      </c>
      <c r="AT119" s="328" t="str">
        <f>IF(AR119="","",AS119*1000)</f>
        <v/>
      </c>
      <c r="AU119" s="328"/>
      <c r="AV119" s="328"/>
      <c r="AW119" s="329"/>
      <c r="AX119" s="329"/>
      <c r="AY119" s="331"/>
    </row>
    <row r="120" spans="2:51" ht="15" customHeight="1" x14ac:dyDescent="0.25">
      <c r="B120" s="333"/>
      <c r="C120" s="327"/>
      <c r="D120" s="327"/>
      <c r="E120" s="327" t="str">
        <f t="shared" si="20"/>
        <v/>
      </c>
      <c r="F120" s="328" t="str">
        <f t="shared" si="21"/>
        <v/>
      </c>
      <c r="G120" s="328"/>
      <c r="H120" s="328"/>
      <c r="I120" s="329"/>
      <c r="J120" s="329"/>
      <c r="K120" s="330"/>
      <c r="L120" s="323"/>
      <c r="M120" s="333"/>
      <c r="N120" s="327"/>
      <c r="O120" s="327"/>
      <c r="P120" s="327"/>
      <c r="Q120" s="328"/>
      <c r="R120" s="328"/>
      <c r="S120" s="328"/>
      <c r="T120" s="329"/>
      <c r="U120" s="329"/>
      <c r="V120" s="331"/>
      <c r="X120" s="333"/>
      <c r="Y120" s="327"/>
      <c r="Z120" s="327"/>
      <c r="AA120" s="328"/>
      <c r="AB120" s="331"/>
      <c r="AD120" s="333"/>
      <c r="AE120" s="327"/>
      <c r="AF120" s="327"/>
      <c r="AG120" s="328"/>
      <c r="AH120" s="331"/>
      <c r="AJ120" s="333"/>
      <c r="AK120" s="327"/>
      <c r="AL120" s="327"/>
      <c r="AM120" s="328"/>
      <c r="AN120" s="331"/>
      <c r="AP120" s="333"/>
      <c r="AQ120" s="327"/>
      <c r="AR120" s="327"/>
      <c r="AS120" s="327"/>
      <c r="AT120" s="328"/>
      <c r="AU120" s="328"/>
      <c r="AV120" s="328"/>
      <c r="AW120" s="329"/>
      <c r="AX120" s="329"/>
      <c r="AY120" s="331"/>
    </row>
    <row r="121" spans="2:51" ht="15" customHeight="1" x14ac:dyDescent="0.25">
      <c r="B121" s="333"/>
      <c r="C121" s="336">
        <f>SUM(IF(F121="",0,F121), IF(F122="",0,F122), IF(Q121="",0,Q121), IF(AT121="",0,AT121), IF(AA121="",0,AA121), IF(AG121="",0,AG121), IF(AM121="",0,AM121))</f>
        <v>0</v>
      </c>
      <c r="D121" s="327"/>
      <c r="E121" s="327" t="str">
        <f t="shared" si="20"/>
        <v/>
      </c>
      <c r="F121" s="328" t="str">
        <f t="shared" si="21"/>
        <v/>
      </c>
      <c r="G121" s="328"/>
      <c r="H121" s="328"/>
      <c r="I121" s="329"/>
      <c r="J121" s="329"/>
      <c r="K121" s="330"/>
      <c r="L121" s="323"/>
      <c r="M121" s="333" t="str">
        <f>IF(B121="","",B121)</f>
        <v/>
      </c>
      <c r="N121" s="327"/>
      <c r="O121" s="327"/>
      <c r="P121" s="327" t="str">
        <f>IF(O121="","",O121-O119)</f>
        <v/>
      </c>
      <c r="Q121" s="328" t="str">
        <f>IF(O121="","",P121*1000)</f>
        <v/>
      </c>
      <c r="R121" s="328"/>
      <c r="S121" s="328"/>
      <c r="T121" s="329"/>
      <c r="U121" s="329"/>
      <c r="V121" s="331"/>
      <c r="X121" s="333" t="str">
        <f>IF(AP121="","",AP121)</f>
        <v/>
      </c>
      <c r="Y121" s="327"/>
      <c r="Z121" s="327" t="str">
        <f>IF(Y121="","",Y121-Y119)</f>
        <v/>
      </c>
      <c r="AA121" s="328" t="str">
        <f>IF(Y121="","",Z121*1000)</f>
        <v/>
      </c>
      <c r="AB121" s="331"/>
      <c r="AD121" s="333" t="str">
        <f>IF(X121="","",X121)</f>
        <v/>
      </c>
      <c r="AE121" s="327"/>
      <c r="AF121" s="327" t="str">
        <f>IF(AE121="","",AE121-AE119)</f>
        <v/>
      </c>
      <c r="AG121" s="328" t="str">
        <f>IF(AE121="","",AF121*1000)</f>
        <v/>
      </c>
      <c r="AH121" s="331"/>
      <c r="AJ121" s="333" t="str">
        <f>IF(AD121="","",AD121)</f>
        <v/>
      </c>
      <c r="AK121" s="327"/>
      <c r="AL121" s="327" t="str">
        <f>IF(AK121="","",AK121-AK119)</f>
        <v/>
      </c>
      <c r="AM121" s="328" t="str">
        <f>IF(AK121="","",AL121*1000)</f>
        <v/>
      </c>
      <c r="AN121" s="331"/>
      <c r="AP121" s="333" t="str">
        <f>IF(M121="","",M121)</f>
        <v/>
      </c>
      <c r="AQ121" s="327"/>
      <c r="AR121" s="327"/>
      <c r="AS121" s="327" t="str">
        <f>IF(AR121="","",AR121-AR119)</f>
        <v/>
      </c>
      <c r="AT121" s="328" t="str">
        <f>IF(AR121="","",AS121*1000)</f>
        <v/>
      </c>
      <c r="AU121" s="328"/>
      <c r="AV121" s="328"/>
      <c r="AW121" s="329"/>
      <c r="AX121" s="329"/>
      <c r="AY121" s="331"/>
    </row>
    <row r="122" spans="2:51" ht="15" customHeight="1" x14ac:dyDescent="0.25">
      <c r="B122" s="333"/>
      <c r="C122" s="327"/>
      <c r="D122" s="327"/>
      <c r="E122" s="327" t="str">
        <f t="shared" si="20"/>
        <v/>
      </c>
      <c r="F122" s="328" t="str">
        <f t="shared" si="21"/>
        <v/>
      </c>
      <c r="G122" s="328"/>
      <c r="H122" s="328"/>
      <c r="I122" s="329"/>
      <c r="J122" s="329"/>
      <c r="K122" s="330"/>
      <c r="L122" s="323"/>
      <c r="M122" s="333"/>
      <c r="N122" s="327"/>
      <c r="O122" s="327"/>
      <c r="P122" s="327"/>
      <c r="Q122" s="328"/>
      <c r="R122" s="328"/>
      <c r="S122" s="328"/>
      <c r="T122" s="329"/>
      <c r="U122" s="329"/>
      <c r="V122" s="331"/>
      <c r="X122" s="333"/>
      <c r="Y122" s="327"/>
      <c r="Z122" s="327"/>
      <c r="AA122" s="328"/>
      <c r="AB122" s="331"/>
      <c r="AD122" s="333"/>
      <c r="AE122" s="327"/>
      <c r="AF122" s="327"/>
      <c r="AG122" s="328"/>
      <c r="AH122" s="331"/>
      <c r="AJ122" s="333"/>
      <c r="AK122" s="327"/>
      <c r="AL122" s="327"/>
      <c r="AM122" s="328"/>
      <c r="AN122" s="331"/>
      <c r="AP122" s="333"/>
      <c r="AQ122" s="327"/>
      <c r="AR122" s="327"/>
      <c r="AS122" s="327"/>
      <c r="AT122" s="328"/>
      <c r="AU122" s="328"/>
      <c r="AV122" s="328"/>
      <c r="AW122" s="329"/>
      <c r="AX122" s="329"/>
      <c r="AY122" s="331"/>
    </row>
    <row r="123" spans="2:51" ht="15" customHeight="1" x14ac:dyDescent="0.25">
      <c r="B123" s="333"/>
      <c r="C123" s="336">
        <f>SUM(IF(F123="",0,F123), IF(F124="",0,F124), IF(Q123="",0,Q123), IF(AT123="",0,AT123), IF(AA123="",0,AA123), IF(AG123="",0,AG123), IF(AM123="",0,AM123))</f>
        <v>0</v>
      </c>
      <c r="D123" s="327"/>
      <c r="E123" s="327" t="str">
        <f t="shared" si="20"/>
        <v/>
      </c>
      <c r="F123" s="328" t="str">
        <f t="shared" si="21"/>
        <v/>
      </c>
      <c r="G123" s="328"/>
      <c r="H123" s="328"/>
      <c r="I123" s="329"/>
      <c r="J123" s="329"/>
      <c r="K123" s="330"/>
      <c r="L123" s="323"/>
      <c r="M123" s="333" t="str">
        <f>IF(B123="","",B123)</f>
        <v/>
      </c>
      <c r="N123" s="327"/>
      <c r="O123" s="327"/>
      <c r="P123" s="327" t="str">
        <f>IF(O123="","",O123-O121)</f>
        <v/>
      </c>
      <c r="Q123" s="328" t="str">
        <f>IF(O123="","",P123*1000)</f>
        <v/>
      </c>
      <c r="R123" s="328"/>
      <c r="S123" s="328"/>
      <c r="T123" s="329"/>
      <c r="U123" s="329"/>
      <c r="V123" s="331"/>
      <c r="X123" s="333" t="str">
        <f>IF(AP123="","",AP123)</f>
        <v/>
      </c>
      <c r="Y123" s="327"/>
      <c r="Z123" s="327" t="str">
        <f>IF(Y123="","",Y123-Y121)</f>
        <v/>
      </c>
      <c r="AA123" s="328" t="str">
        <f>IF(Y123="","",Z123*1000)</f>
        <v/>
      </c>
      <c r="AB123" s="331"/>
      <c r="AD123" s="333" t="str">
        <f>IF(X123="","",X123)</f>
        <v/>
      </c>
      <c r="AE123" s="327"/>
      <c r="AF123" s="327" t="str">
        <f>IF(AE123="","",AE123-AE121)</f>
        <v/>
      </c>
      <c r="AG123" s="328" t="str">
        <f>IF(AE123="","",AF123*1000)</f>
        <v/>
      </c>
      <c r="AH123" s="331"/>
      <c r="AJ123" s="333" t="str">
        <f>IF(AD123="","",AD123)</f>
        <v/>
      </c>
      <c r="AK123" s="327"/>
      <c r="AL123" s="327" t="str">
        <f>IF(AK123="","",AK123-AK121)</f>
        <v/>
      </c>
      <c r="AM123" s="328" t="str">
        <f>IF(AK123="","",AL123*1000)</f>
        <v/>
      </c>
      <c r="AN123" s="331"/>
      <c r="AP123" s="333" t="str">
        <f>IF(M123="","",M123)</f>
        <v/>
      </c>
      <c r="AQ123" s="327"/>
      <c r="AR123" s="327"/>
      <c r="AS123" s="327" t="str">
        <f>IF(AR123="","",AR123-AR121)</f>
        <v/>
      </c>
      <c r="AT123" s="328" t="str">
        <f>IF(AR123="","",AS123*1000)</f>
        <v/>
      </c>
      <c r="AU123" s="328"/>
      <c r="AV123" s="328"/>
      <c r="AW123" s="329"/>
      <c r="AX123" s="329"/>
      <c r="AY123" s="331"/>
    </row>
    <row r="124" spans="2:51" ht="15" customHeight="1" x14ac:dyDescent="0.25">
      <c r="B124" s="333"/>
      <c r="C124" s="327"/>
      <c r="D124" s="327"/>
      <c r="E124" s="327" t="str">
        <f t="shared" si="20"/>
        <v/>
      </c>
      <c r="F124" s="328" t="str">
        <f t="shared" si="21"/>
        <v/>
      </c>
      <c r="G124" s="328"/>
      <c r="H124" s="328"/>
      <c r="I124" s="329"/>
      <c r="J124" s="329"/>
      <c r="K124" s="330"/>
      <c r="L124" s="323"/>
      <c r="M124" s="333"/>
      <c r="N124" s="327"/>
      <c r="O124" s="327"/>
      <c r="P124" s="327"/>
      <c r="Q124" s="328"/>
      <c r="R124" s="328"/>
      <c r="S124" s="328"/>
      <c r="T124" s="329"/>
      <c r="U124" s="329"/>
      <c r="V124" s="331"/>
      <c r="X124" s="333"/>
      <c r="Y124" s="327"/>
      <c r="Z124" s="327"/>
      <c r="AA124" s="328"/>
      <c r="AB124" s="331"/>
      <c r="AD124" s="333"/>
      <c r="AE124" s="327"/>
      <c r="AF124" s="327"/>
      <c r="AG124" s="328"/>
      <c r="AH124" s="331"/>
      <c r="AJ124" s="333"/>
      <c r="AK124" s="327"/>
      <c r="AL124" s="327"/>
      <c r="AM124" s="328"/>
      <c r="AN124" s="331"/>
      <c r="AP124" s="333"/>
      <c r="AQ124" s="327"/>
      <c r="AR124" s="327"/>
      <c r="AS124" s="327"/>
      <c r="AT124" s="328"/>
      <c r="AU124" s="328"/>
      <c r="AV124" s="328"/>
      <c r="AW124" s="329"/>
      <c r="AX124" s="329"/>
      <c r="AY124" s="331"/>
    </row>
    <row r="125" spans="2:51" ht="15" customHeight="1" x14ac:dyDescent="0.25">
      <c r="B125" s="393">
        <f>DATEDIF(B$59,B$109,"d")</f>
        <v>33</v>
      </c>
      <c r="C125" s="338"/>
      <c r="D125" s="338"/>
      <c r="E125" s="338" t="str">
        <f>IF(D125="","",D125-D117)</f>
        <v/>
      </c>
      <c r="F125" s="328" t="str">
        <f t="shared" si="21"/>
        <v/>
      </c>
      <c r="G125" s="338"/>
      <c r="H125" s="338"/>
      <c r="I125" s="338"/>
      <c r="J125" s="338"/>
      <c r="K125" s="339"/>
      <c r="L125" s="340"/>
      <c r="M125" s="337">
        <f>IF(B125="","",B125)</f>
        <v>33</v>
      </c>
      <c r="N125" s="338"/>
      <c r="O125" s="338"/>
      <c r="P125" s="338" t="str">
        <f>IF(O125="","",O125-O117)</f>
        <v/>
      </c>
      <c r="Q125" s="338" t="str">
        <f>IF(O125="","",P125*1000)</f>
        <v/>
      </c>
      <c r="R125" s="338"/>
      <c r="S125" s="338"/>
      <c r="T125" s="338"/>
      <c r="U125" s="338"/>
      <c r="V125" s="341"/>
      <c r="W125" s="238"/>
      <c r="X125" s="337">
        <f>IF(AP125="","",AP125)</f>
        <v>33</v>
      </c>
      <c r="Y125" s="338"/>
      <c r="Z125" s="338" t="str">
        <f>IF(Y125="","",Y125-Y117)</f>
        <v/>
      </c>
      <c r="AA125" s="338" t="str">
        <f>IF(Y125="","",Z125*1000)</f>
        <v/>
      </c>
      <c r="AB125" s="341"/>
      <c r="AC125" s="238"/>
      <c r="AD125" s="337">
        <f>IF(X125="","",X125)</f>
        <v>33</v>
      </c>
      <c r="AE125" s="338"/>
      <c r="AF125" s="338" t="str">
        <f>IF(AE125="","",AE125-AE117)</f>
        <v/>
      </c>
      <c r="AG125" s="338" t="str">
        <f>IF(AE125="","",AF125*1000)</f>
        <v/>
      </c>
      <c r="AH125" s="341"/>
      <c r="AI125" s="238"/>
      <c r="AJ125" s="337">
        <f>IF(AD125="","",AD125)</f>
        <v>33</v>
      </c>
      <c r="AK125" s="338"/>
      <c r="AL125" s="338" t="str">
        <f>IF(AK125="","",AK125-AK117)</f>
        <v/>
      </c>
      <c r="AM125" s="338" t="str">
        <f>IF(AK125="","",AL125*1000)</f>
        <v/>
      </c>
      <c r="AN125" s="341"/>
      <c r="AO125" s="238"/>
      <c r="AP125" s="337">
        <f>IF(M125="","",M125)</f>
        <v>33</v>
      </c>
      <c r="AQ125" s="338"/>
      <c r="AR125" s="338"/>
      <c r="AS125" s="338" t="str">
        <f>IF(AR125="","",AR125-AR117)</f>
        <v/>
      </c>
      <c r="AT125" s="338" t="str">
        <f>IF(AR125="","",AS125*1000)</f>
        <v/>
      </c>
      <c r="AU125" s="338"/>
      <c r="AV125" s="338"/>
      <c r="AW125" s="338"/>
      <c r="AX125" s="338"/>
      <c r="AY125" s="341"/>
    </row>
    <row r="126" spans="2:51" ht="15" customHeight="1" x14ac:dyDescent="0.25">
      <c r="B126" s="333"/>
      <c r="C126" s="327"/>
      <c r="D126" s="327"/>
      <c r="E126" s="327" t="str">
        <f>IF(D126="","",D126-D122)</f>
        <v/>
      </c>
      <c r="F126" s="328" t="str">
        <f t="shared" si="21"/>
        <v/>
      </c>
      <c r="G126" s="328"/>
      <c r="H126" s="328"/>
      <c r="I126" s="329"/>
      <c r="J126" s="329"/>
      <c r="K126" s="330"/>
      <c r="L126" s="323"/>
      <c r="M126" s="333"/>
      <c r="N126" s="327"/>
      <c r="O126" s="327"/>
      <c r="P126" s="327"/>
      <c r="Q126" s="328"/>
      <c r="R126" s="328"/>
      <c r="S126" s="328"/>
      <c r="T126" s="329"/>
      <c r="U126" s="329"/>
      <c r="V126" s="331"/>
      <c r="X126" s="333"/>
      <c r="Y126" s="327"/>
      <c r="Z126" s="327"/>
      <c r="AA126" s="328"/>
      <c r="AB126" s="331"/>
      <c r="AD126" s="333"/>
      <c r="AE126" s="327"/>
      <c r="AF126" s="327"/>
      <c r="AG126" s="328"/>
      <c r="AH126" s="331"/>
      <c r="AJ126" s="333"/>
      <c r="AK126" s="327"/>
      <c r="AL126" s="327"/>
      <c r="AM126" s="328"/>
      <c r="AN126" s="331"/>
      <c r="AP126" s="333"/>
      <c r="AQ126" s="327"/>
      <c r="AR126" s="327"/>
      <c r="AS126" s="327"/>
      <c r="AT126" s="328"/>
      <c r="AU126" s="328"/>
      <c r="AV126" s="328"/>
      <c r="AW126" s="329"/>
      <c r="AX126" s="329"/>
      <c r="AY126" s="331"/>
    </row>
    <row r="127" spans="2:51" ht="15" customHeight="1" x14ac:dyDescent="0.25">
      <c r="B127" s="380">
        <f>SUM(E91, E93, E95, E97, E99, E101, E103, E105, E107, E109, E111, E113, E127,E115,E117,E119,E121,E123,E125)</f>
        <v>1125</v>
      </c>
      <c r="C127" s="327"/>
      <c r="D127" s="327"/>
      <c r="E127" s="327" t="str">
        <f>IF(D127="","",D127-D125)</f>
        <v/>
      </c>
      <c r="F127" s="328" t="str">
        <f t="shared" si="21"/>
        <v/>
      </c>
      <c r="G127" s="328"/>
      <c r="H127" s="328"/>
      <c r="I127" s="329"/>
      <c r="J127" s="329"/>
      <c r="K127" s="330"/>
      <c r="L127" s="323"/>
      <c r="M127" s="334">
        <f>SUM(P91, P93, P95, P97, P99, P101, P103, P105, P107, P109, P117, P125, P127)</f>
        <v>178</v>
      </c>
      <c r="N127" s="327"/>
      <c r="O127" s="327"/>
      <c r="P127" s="327" t="str">
        <f>IF(O127="","",O127-O125)</f>
        <v/>
      </c>
      <c r="Q127" s="328" t="str">
        <f>IF(O127="","",P127*1000)</f>
        <v/>
      </c>
      <c r="R127" s="328"/>
      <c r="S127" s="328"/>
      <c r="T127" s="329"/>
      <c r="U127" s="329"/>
      <c r="V127" s="331"/>
      <c r="X127" s="334">
        <f>SUM(Z91, Z93, Z95, Z97, Z99, Z101, Z103, Z105, Z107, Z109, Z117, Z125, Z127)</f>
        <v>135</v>
      </c>
      <c r="Y127" s="327"/>
      <c r="Z127" s="327" t="str">
        <f>IF(Y127="","",Y127-Y125)</f>
        <v/>
      </c>
      <c r="AA127" s="328" t="str">
        <f>IF(Y127="","",Z127*1000)</f>
        <v/>
      </c>
      <c r="AB127" s="331"/>
      <c r="AD127" s="334">
        <f>SUM(AF91, AF93, AF95, AF97, AF99, AF101, AF103, AF105, AF107, AF109, AF117, AF125, AF127)</f>
        <v>126</v>
      </c>
      <c r="AE127" s="327"/>
      <c r="AF127" s="327" t="str">
        <f>IF(AE127="","",AE127-AE125)</f>
        <v/>
      </c>
      <c r="AG127" s="328" t="str">
        <f>IF(AE127="","",AF127*1000)</f>
        <v/>
      </c>
      <c r="AH127" s="331"/>
      <c r="AJ127" s="334">
        <f>SUM(AL91, AL93, AL95, AL97, AL99, AL101, AL103, AL105, AL107, AL109, AL117, AL125, AL127)</f>
        <v>150</v>
      </c>
      <c r="AK127" s="327"/>
      <c r="AL127" s="327" t="str">
        <f>IF(AK127="","",AK127-AK125)</f>
        <v/>
      </c>
      <c r="AM127" s="328" t="str">
        <f>IF(AK127="","",AL127*1000)</f>
        <v/>
      </c>
      <c r="AN127" s="331"/>
      <c r="AP127" s="334">
        <f>SUM(AS91, AS93, AS95, AS97, AS99, AS101, AS103, AS105, AS107, AS109, AS117, AS125, AS127)</f>
        <v>130</v>
      </c>
      <c r="AQ127" s="327"/>
      <c r="AR127" s="327"/>
      <c r="AS127" s="327" t="str">
        <f>IF(AR127="","",AR127-AR125)</f>
        <v/>
      </c>
      <c r="AT127" s="328" t="str">
        <f>IF(AR127="","",AS127*1000)</f>
        <v/>
      </c>
      <c r="AU127" s="328"/>
      <c r="AV127" s="328"/>
      <c r="AW127" s="329"/>
      <c r="AX127" s="329"/>
      <c r="AY127" s="331"/>
    </row>
    <row r="128" spans="2:51" ht="15" customHeight="1" x14ac:dyDescent="0.25">
      <c r="B128" s="380">
        <f>SUM(E92, E94, E96, E98, E100, E102, E104, E106, E108, E110, E112, E114, E128,E116,E118,E120,E122,E124,E126)</f>
        <v>240</v>
      </c>
      <c r="C128" s="327"/>
      <c r="D128" s="327"/>
      <c r="E128" s="327" t="str">
        <f>IF(D128="","",D128-D126)</f>
        <v/>
      </c>
      <c r="F128" s="328" t="str">
        <f t="shared" si="21"/>
        <v/>
      </c>
      <c r="G128" s="328"/>
      <c r="H128" s="328"/>
      <c r="I128" s="329"/>
      <c r="J128" s="329"/>
      <c r="K128" s="330"/>
      <c r="L128" s="323"/>
      <c r="M128" s="334">
        <f>SUM(P92, P94, P96, P98, P100, P102, P104, P106, P108, P110, P122, P126, P128)</f>
        <v>0</v>
      </c>
      <c r="N128" s="327"/>
      <c r="O128" s="327"/>
      <c r="P128" s="327"/>
      <c r="Q128" s="328"/>
      <c r="R128" s="328"/>
      <c r="S128" s="328"/>
      <c r="T128" s="329"/>
      <c r="U128" s="329"/>
      <c r="V128" s="331"/>
      <c r="X128" s="334">
        <f>SUM(Z92, Z94, Z96, Z98, Z100, Z102, Z104, Z106, Z108, Z110, Z122, Z126, Z128)</f>
        <v>0</v>
      </c>
      <c r="Y128" s="327"/>
      <c r="Z128" s="327"/>
      <c r="AA128" s="328"/>
      <c r="AB128" s="331"/>
      <c r="AD128" s="334">
        <f>SUM(AF92, AF94, AF96, AF98, AF100, AF102, AF104, AF106, AF108, AF110, AF122, AF126, AF128)</f>
        <v>0</v>
      </c>
      <c r="AE128" s="327"/>
      <c r="AF128" s="327"/>
      <c r="AG128" s="328"/>
      <c r="AH128" s="331"/>
      <c r="AJ128" s="334">
        <f>SUM(AL92, AL94, AL96, AL98, AL100, AL102, AL104, AL106, AL108, AL110, AL122, AL126, AL128)</f>
        <v>0</v>
      </c>
      <c r="AK128" s="327"/>
      <c r="AL128" s="327"/>
      <c r="AM128" s="328"/>
      <c r="AN128" s="331"/>
      <c r="AP128" s="334">
        <f>SUM(AS92, AS94, AS96, AS98, AS100, AS102, AS104, AS106, AS108, AS110, AS122, AS126, AS128)</f>
        <v>0</v>
      </c>
      <c r="AQ128" s="327"/>
      <c r="AR128" s="327"/>
      <c r="AS128" s="327"/>
      <c r="AT128" s="328"/>
      <c r="AU128" s="328"/>
      <c r="AV128" s="328"/>
      <c r="AW128" s="329"/>
      <c r="AX128" s="329"/>
      <c r="AY128" s="331"/>
    </row>
    <row r="129" spans="2:51" ht="15" customHeight="1" x14ac:dyDescent="0.25">
      <c r="B129" s="333"/>
      <c r="C129" s="328">
        <f>SUM(C91:C122)</f>
        <v>888500</v>
      </c>
      <c r="D129" s="327"/>
      <c r="E129" s="328">
        <f>SUM(E91:E128)</f>
        <v>1365</v>
      </c>
      <c r="F129" s="328">
        <f>SUM(F91:F128)</f>
        <v>136500</v>
      </c>
      <c r="G129" s="328">
        <f>SUM(G91:G102)</f>
        <v>0</v>
      </c>
      <c r="H129" s="328">
        <f>SUM(H91:H102)</f>
        <v>0</v>
      </c>
      <c r="I129" s="328">
        <f>SUM(I91:I102)</f>
        <v>0</v>
      </c>
      <c r="J129" s="328">
        <f>SUM(J91:J102)</f>
        <v>0</v>
      </c>
      <c r="K129" s="330"/>
      <c r="L129" s="322"/>
      <c r="M129" s="327"/>
      <c r="N129" s="327"/>
      <c r="O129" s="327"/>
      <c r="P129" s="328">
        <f>SUM(P91:P127)</f>
        <v>184</v>
      </c>
      <c r="Q129" s="328">
        <f>SUM(Q91:Q128)</f>
        <v>184000</v>
      </c>
      <c r="R129" s="328">
        <f>SUM(R91:R102)</f>
        <v>0</v>
      </c>
      <c r="S129" s="328">
        <f>SUM(S91:S102)</f>
        <v>0</v>
      </c>
      <c r="T129" s="328">
        <f>SUM(T91:T102)</f>
        <v>0</v>
      </c>
      <c r="U129" s="328">
        <f>SUM(U91:U102)</f>
        <v>0</v>
      </c>
      <c r="V129" s="328"/>
      <c r="X129" s="327"/>
      <c r="Y129" s="327"/>
      <c r="Z129" s="328">
        <f>SUM(Z91:Z127)</f>
        <v>138</v>
      </c>
      <c r="AA129" s="328">
        <f>SUM(AA91:AA128)</f>
        <v>138000</v>
      </c>
      <c r="AB129" s="328"/>
      <c r="AD129" s="327"/>
      <c r="AE129" s="327"/>
      <c r="AF129" s="328">
        <f>SUM(AF91:AF127)</f>
        <v>132</v>
      </c>
      <c r="AG129" s="328">
        <f>SUM(AG91:AG128)</f>
        <v>132000</v>
      </c>
      <c r="AH129" s="328"/>
      <c r="AJ129" s="327"/>
      <c r="AK129" s="327"/>
      <c r="AL129" s="328">
        <f>SUM(AL91:AL127)</f>
        <v>158</v>
      </c>
      <c r="AM129" s="328">
        <f>SUM(AM91:AM128)</f>
        <v>158000</v>
      </c>
      <c r="AN129" s="328"/>
      <c r="AP129" s="327"/>
      <c r="AQ129" s="327"/>
      <c r="AR129" s="327"/>
      <c r="AS129" s="328">
        <f>SUM(AS91:AS127)</f>
        <v>140</v>
      </c>
      <c r="AT129" s="328">
        <f>SUM(AT91:AT128)</f>
        <v>140000</v>
      </c>
      <c r="AU129" s="328">
        <f>SUM(AU91:AU102)</f>
        <v>0</v>
      </c>
      <c r="AV129" s="328">
        <f>SUM(AV91:AV102)</f>
        <v>0</v>
      </c>
      <c r="AW129" s="328">
        <f>SUM(AW91:AW102)</f>
        <v>0</v>
      </c>
      <c r="AX129" s="328">
        <f>SUM(AX91:AX102)</f>
        <v>0</v>
      </c>
      <c r="AY129" s="328"/>
    </row>
    <row r="130" spans="2:51" ht="15" customHeight="1" x14ac:dyDescent="0.15">
      <c r="B130" s="386" t="s">
        <v>126</v>
      </c>
      <c r="C130" s="387" t="s">
        <v>127</v>
      </c>
      <c r="D130" s="388" t="s">
        <v>128</v>
      </c>
      <c r="E130" s="392" t="s">
        <v>129</v>
      </c>
      <c r="F130" s="382" t="s">
        <v>130</v>
      </c>
      <c r="G130" s="389"/>
      <c r="H130" s="389"/>
      <c r="I130" s="389"/>
      <c r="J130" s="389"/>
      <c r="K130" s="389"/>
      <c r="L130" s="381"/>
      <c r="M130" s="390"/>
      <c r="N130" s="390"/>
      <c r="O130" s="390"/>
      <c r="P130" s="389" t="s">
        <v>129</v>
      </c>
      <c r="Q130" s="382" t="s">
        <v>130</v>
      </c>
      <c r="R130" s="389"/>
      <c r="S130" s="389"/>
      <c r="T130" s="389"/>
      <c r="U130" s="389"/>
      <c r="V130" s="389"/>
      <c r="W130" s="317"/>
      <c r="X130" s="390"/>
      <c r="Y130" s="390"/>
      <c r="Z130" s="389" t="s">
        <v>129</v>
      </c>
      <c r="AA130" s="382" t="s">
        <v>130</v>
      </c>
      <c r="AB130" s="389"/>
      <c r="AC130" s="317"/>
      <c r="AD130" s="390"/>
      <c r="AE130" s="390"/>
      <c r="AF130" s="389" t="s">
        <v>129</v>
      </c>
      <c r="AG130" s="382" t="s">
        <v>130</v>
      </c>
      <c r="AH130" s="389"/>
      <c r="AI130" s="317"/>
      <c r="AJ130" s="390"/>
      <c r="AK130" s="390"/>
      <c r="AL130" s="389" t="s">
        <v>129</v>
      </c>
      <c r="AM130" s="382" t="s">
        <v>130</v>
      </c>
      <c r="AN130" s="389"/>
      <c r="AO130" s="317"/>
      <c r="AP130" s="390"/>
      <c r="AQ130" s="390"/>
      <c r="AR130" s="390"/>
      <c r="AS130" s="389" t="s">
        <v>129</v>
      </c>
      <c r="AT130" s="382" t="s">
        <v>130</v>
      </c>
      <c r="AU130" s="389"/>
      <c r="AV130" s="389"/>
      <c r="AW130" s="389"/>
      <c r="AX130" s="389"/>
      <c r="AY130" s="389"/>
    </row>
    <row r="131" spans="2:51" ht="15" customHeight="1" x14ac:dyDescent="0.2">
      <c r="B131" s="235">
        <v>33</v>
      </c>
      <c r="C131" s="318">
        <f>C129/B125</f>
        <v>26924.242424242424</v>
      </c>
      <c r="D131" s="318">
        <f>C131*B131</f>
        <v>888500</v>
      </c>
      <c r="E131" s="236">
        <f>E129/B125*100</f>
        <v>4136.3636363636369</v>
      </c>
      <c r="F131" s="236">
        <f>E131*B131</f>
        <v>136500.00000000003</v>
      </c>
      <c r="P131" s="236">
        <f>P129/M125*1000</f>
        <v>5575.757575757576</v>
      </c>
      <c r="Q131" s="236">
        <f>P131*B131</f>
        <v>184000</v>
      </c>
      <c r="Z131" s="236">
        <f>Z129/X125*1000</f>
        <v>4181.818181818182</v>
      </c>
      <c r="AA131" s="236">
        <f>Z131*B131</f>
        <v>138000</v>
      </c>
      <c r="AF131" s="236">
        <f>AF129/AD125*1000</f>
        <v>4000</v>
      </c>
      <c r="AG131" s="236">
        <f>AF131*B131</f>
        <v>132000</v>
      </c>
      <c r="AL131" s="236">
        <f>AL129/AJ125*1000</f>
        <v>4787.878787878788</v>
      </c>
      <c r="AM131" s="236">
        <f>AL131*B131</f>
        <v>158000</v>
      </c>
      <c r="AS131" s="236">
        <f>AS129/AP125*1000</f>
        <v>4242.424242424242</v>
      </c>
      <c r="AT131" s="236">
        <f>AS131*B131</f>
        <v>140000</v>
      </c>
    </row>
    <row r="133" spans="2:51" ht="15" customHeight="1" x14ac:dyDescent="0.25">
      <c r="B133" s="332" t="s">
        <v>108</v>
      </c>
      <c r="C133" s="647"/>
      <c r="D133" s="319"/>
      <c r="E133" s="319"/>
      <c r="F133" s="319"/>
      <c r="G133" s="319"/>
      <c r="H133" s="319"/>
      <c r="I133" s="319"/>
      <c r="J133" s="320"/>
      <c r="K133" s="321"/>
      <c r="L133" s="319"/>
      <c r="M133" s="332" t="s">
        <v>109</v>
      </c>
      <c r="N133" s="319"/>
      <c r="O133" s="319"/>
      <c r="P133" s="319"/>
      <c r="Q133" s="319"/>
      <c r="R133" s="319"/>
      <c r="S133" s="319"/>
      <c r="T133" s="319"/>
      <c r="U133" s="320"/>
      <c r="V133" s="319"/>
      <c r="X133" s="844" t="s">
        <v>111</v>
      </c>
      <c r="Y133" s="844"/>
      <c r="Z133" s="319"/>
      <c r="AA133" s="319"/>
      <c r="AB133" s="319"/>
      <c r="AD133" s="844" t="s">
        <v>112</v>
      </c>
      <c r="AE133" s="844"/>
      <c r="AF133" s="319"/>
      <c r="AG133" s="319"/>
      <c r="AH133" s="319"/>
      <c r="AJ133" s="844" t="s">
        <v>113</v>
      </c>
      <c r="AK133" s="844"/>
      <c r="AL133" s="319"/>
      <c r="AM133" s="319"/>
      <c r="AN133" s="319"/>
      <c r="AP133" s="844" t="s">
        <v>110</v>
      </c>
      <c r="AQ133" s="844"/>
      <c r="AR133" s="844"/>
      <c r="AS133" s="319"/>
      <c r="AT133" s="319"/>
      <c r="AU133" s="319"/>
      <c r="AV133" s="319"/>
      <c r="AW133" s="319"/>
      <c r="AX133" s="320"/>
      <c r="AY133" s="319"/>
    </row>
    <row r="134" spans="2:51" ht="15" customHeight="1" x14ac:dyDescent="0.2">
      <c r="B134" s="645" t="s">
        <v>114</v>
      </c>
      <c r="C134" s="644"/>
      <c r="D134" s="646" t="s">
        <v>115</v>
      </c>
      <c r="E134" s="325" t="s">
        <v>116</v>
      </c>
      <c r="F134" s="325" t="s">
        <v>117</v>
      </c>
      <c r="G134" s="325"/>
      <c r="H134" s="325"/>
      <c r="I134" s="325"/>
      <c r="J134" s="325"/>
      <c r="K134" s="326" t="s">
        <v>118</v>
      </c>
      <c r="L134" s="319"/>
      <c r="M134" s="325" t="s">
        <v>114</v>
      </c>
      <c r="N134" s="325"/>
      <c r="O134" s="325" t="s">
        <v>115</v>
      </c>
      <c r="P134" s="325" t="s">
        <v>116</v>
      </c>
      <c r="Q134" s="325" t="s">
        <v>117</v>
      </c>
      <c r="R134" s="325"/>
      <c r="S134" s="325"/>
      <c r="T134" s="325"/>
      <c r="U134" s="325"/>
      <c r="V134" s="325" t="s">
        <v>119</v>
      </c>
      <c r="X134" s="325" t="s">
        <v>114</v>
      </c>
      <c r="Y134" s="325" t="s">
        <v>115</v>
      </c>
      <c r="Z134" s="325" t="s">
        <v>116</v>
      </c>
      <c r="AA134" s="325" t="s">
        <v>117</v>
      </c>
      <c r="AB134" s="325" t="s">
        <v>119</v>
      </c>
      <c r="AD134" s="325" t="s">
        <v>114</v>
      </c>
      <c r="AE134" s="325" t="s">
        <v>115</v>
      </c>
      <c r="AF134" s="325" t="s">
        <v>116</v>
      </c>
      <c r="AG134" s="325" t="s">
        <v>117</v>
      </c>
      <c r="AH134" s="325" t="s">
        <v>119</v>
      </c>
      <c r="AJ134" s="325" t="s">
        <v>114</v>
      </c>
      <c r="AK134" s="325" t="s">
        <v>115</v>
      </c>
      <c r="AL134" s="325" t="s">
        <v>116</v>
      </c>
      <c r="AM134" s="325" t="s">
        <v>117</v>
      </c>
      <c r="AN134" s="325" t="s">
        <v>119</v>
      </c>
      <c r="AP134" s="325" t="s">
        <v>114</v>
      </c>
      <c r="AQ134" s="325"/>
      <c r="AR134" s="325" t="s">
        <v>115</v>
      </c>
      <c r="AS134" s="325" t="s">
        <v>116</v>
      </c>
      <c r="AT134" s="325" t="s">
        <v>117</v>
      </c>
      <c r="AU134" s="325"/>
      <c r="AV134" s="325"/>
      <c r="AW134" s="325"/>
      <c r="AX134" s="325"/>
      <c r="AY134" s="325" t="s">
        <v>119</v>
      </c>
    </row>
    <row r="135" spans="2:51" ht="15" customHeight="1" x14ac:dyDescent="0.25">
      <c r="B135" s="333">
        <v>46010</v>
      </c>
      <c r="C135" s="648">
        <v>48500</v>
      </c>
      <c r="D135" s="327">
        <v>17280</v>
      </c>
      <c r="E135" s="327">
        <v>90</v>
      </c>
      <c r="F135" s="328">
        <v>9000</v>
      </c>
      <c r="G135" s="328"/>
      <c r="H135" s="328"/>
      <c r="I135" s="329"/>
      <c r="J135" s="329"/>
      <c r="K135" s="330" t="s">
        <v>139</v>
      </c>
      <c r="L135" s="323"/>
      <c r="M135" s="333">
        <v>46010</v>
      </c>
      <c r="N135" s="327"/>
      <c r="O135" s="327">
        <v>2749</v>
      </c>
      <c r="P135" s="327">
        <v>6</v>
      </c>
      <c r="Q135" s="328">
        <v>6000</v>
      </c>
      <c r="R135" s="328"/>
      <c r="S135" s="328"/>
      <c r="T135" s="329"/>
      <c r="U135" s="329"/>
      <c r="V135" s="331"/>
      <c r="X135" s="333">
        <v>46010</v>
      </c>
      <c r="Y135" s="327">
        <v>7473</v>
      </c>
      <c r="Z135" s="327">
        <v>3</v>
      </c>
      <c r="AA135" s="328">
        <v>3000</v>
      </c>
      <c r="AB135" s="331"/>
      <c r="AD135" s="333">
        <v>46010</v>
      </c>
      <c r="AE135" s="327">
        <v>5141</v>
      </c>
      <c r="AF135" s="327">
        <v>6</v>
      </c>
      <c r="AG135" s="328">
        <v>6000</v>
      </c>
      <c r="AH135" s="331"/>
      <c r="AJ135" s="333">
        <v>46010</v>
      </c>
      <c r="AK135" s="327">
        <v>7289</v>
      </c>
      <c r="AL135" s="327">
        <v>8</v>
      </c>
      <c r="AM135" s="328">
        <v>8000</v>
      </c>
      <c r="AN135" s="331"/>
      <c r="AP135" s="333">
        <v>46010</v>
      </c>
      <c r="AQ135" s="327"/>
      <c r="AR135" s="327">
        <v>8619</v>
      </c>
      <c r="AS135" s="327">
        <v>10</v>
      </c>
      <c r="AT135" s="328">
        <v>10000</v>
      </c>
      <c r="AU135" s="328"/>
      <c r="AV135" s="328"/>
      <c r="AW135" s="329"/>
      <c r="AX135" s="329"/>
      <c r="AY135" s="331"/>
    </row>
    <row r="136" spans="2:51" ht="15" customHeight="1" x14ac:dyDescent="0.25">
      <c r="B136" s="333"/>
      <c r="C136" s="327"/>
      <c r="D136" s="327">
        <v>5822</v>
      </c>
      <c r="E136" s="327">
        <v>65</v>
      </c>
      <c r="F136" s="328">
        <v>6500</v>
      </c>
      <c r="G136" s="328"/>
      <c r="H136" s="328"/>
      <c r="I136" s="329"/>
      <c r="J136" s="329"/>
      <c r="K136" s="330"/>
      <c r="L136" s="323"/>
      <c r="M136" s="333"/>
      <c r="N136" s="327"/>
      <c r="O136" s="327"/>
      <c r="P136" s="327"/>
      <c r="Q136" s="328"/>
      <c r="R136" s="328"/>
      <c r="S136" s="328"/>
      <c r="T136" s="329"/>
      <c r="U136" s="329"/>
      <c r="V136" s="331"/>
      <c r="X136" s="333"/>
      <c r="Y136" s="327"/>
      <c r="Z136" s="327"/>
      <c r="AA136" s="328"/>
      <c r="AB136" s="331"/>
      <c r="AD136" s="333"/>
      <c r="AE136" s="327"/>
      <c r="AF136" s="327"/>
      <c r="AG136" s="328"/>
      <c r="AH136" s="331"/>
      <c r="AJ136" s="333"/>
      <c r="AK136" s="327"/>
      <c r="AL136" s="327"/>
      <c r="AM136" s="328"/>
      <c r="AN136" s="331"/>
      <c r="AP136" s="333"/>
      <c r="AQ136" s="327"/>
      <c r="AR136" s="327"/>
      <c r="AS136" s="327"/>
      <c r="AT136" s="328"/>
      <c r="AU136" s="328"/>
      <c r="AV136" s="328"/>
      <c r="AW136" s="329"/>
      <c r="AX136" s="329"/>
      <c r="AY136" s="331"/>
    </row>
    <row r="137" spans="2:51" ht="15" customHeight="1" x14ac:dyDescent="0.25">
      <c r="B137" s="333">
        <v>46013</v>
      </c>
      <c r="C137" s="336">
        <f>SUM(IF(F137="",0,F137), IF(F138="",0,F138), IF(Q137="",0,Q137), IF(AT137="",0,AT137), IF(AA137="",0,AA137), IF(AG137="",0,AG137), IF(AM137="",0,AM137))</f>
        <v>101000</v>
      </c>
      <c r="D137" s="327">
        <v>17465</v>
      </c>
      <c r="E137" s="327">
        <f t="shared" ref="E137:E168" si="30">IF(D137="","",D137-D135)</f>
        <v>185</v>
      </c>
      <c r="F137" s="328">
        <f t="shared" ref="F137:F172" si="31">IF(D137="","",E137*100)</f>
        <v>18500</v>
      </c>
      <c r="G137" s="328"/>
      <c r="H137" s="328"/>
      <c r="I137" s="329"/>
      <c r="J137" s="329"/>
      <c r="K137" s="330"/>
      <c r="L137" s="323"/>
      <c r="M137" s="333">
        <f>IF(B137="","",B137)</f>
        <v>46013</v>
      </c>
      <c r="N137" s="327"/>
      <c r="O137" s="327">
        <v>2769</v>
      </c>
      <c r="P137" s="327">
        <f>IF(O137="","",O137-O135)</f>
        <v>20</v>
      </c>
      <c r="Q137" s="328">
        <f>IF(O137="","",P137*1000)</f>
        <v>20000</v>
      </c>
      <c r="R137" s="328"/>
      <c r="S137" s="328"/>
      <c r="T137" s="329"/>
      <c r="U137" s="329"/>
      <c r="V137" s="331"/>
      <c r="X137" s="333">
        <f>IF(AP137="","",AP137)</f>
        <v>46013</v>
      </c>
      <c r="Y137" s="327">
        <v>7479</v>
      </c>
      <c r="Z137" s="327">
        <f>IF(Y137="","",Y137-Y135)</f>
        <v>6</v>
      </c>
      <c r="AA137" s="328">
        <f>IF(Y137="","",Z137*1000)</f>
        <v>6000</v>
      </c>
      <c r="AB137" s="331"/>
      <c r="AD137" s="333">
        <f>IF(AP137="","",AP137)</f>
        <v>46013</v>
      </c>
      <c r="AE137" s="327">
        <v>5153</v>
      </c>
      <c r="AF137" s="327">
        <f>IF(AE137="","",AE137-AE135)</f>
        <v>12</v>
      </c>
      <c r="AG137" s="328">
        <f>IF(AE137="","",AF137*1000)</f>
        <v>12000</v>
      </c>
      <c r="AH137" s="331"/>
      <c r="AJ137" s="333">
        <f>IF(AD137="","",AD137)</f>
        <v>46013</v>
      </c>
      <c r="AK137" s="327">
        <v>7311</v>
      </c>
      <c r="AL137" s="327">
        <f>IF(AK137="","",AK137-AK135)</f>
        <v>22</v>
      </c>
      <c r="AM137" s="328">
        <f>IF(AK137="","",AL137*1000)</f>
        <v>22000</v>
      </c>
      <c r="AN137" s="331"/>
      <c r="AP137" s="333">
        <f>IF(M137="","",M137)</f>
        <v>46013</v>
      </c>
      <c r="AQ137" s="327"/>
      <c r="AR137" s="327">
        <v>8633</v>
      </c>
      <c r="AS137" s="327">
        <f>IF(AR137="","",AR137-AR135)</f>
        <v>14</v>
      </c>
      <c r="AT137" s="328">
        <f>IF(AR137="","",AS137*1000)</f>
        <v>14000</v>
      </c>
      <c r="AU137" s="328"/>
      <c r="AV137" s="328"/>
      <c r="AW137" s="329"/>
      <c r="AX137" s="329"/>
      <c r="AY137" s="331"/>
    </row>
    <row r="138" spans="2:51" ht="15" customHeight="1" x14ac:dyDescent="0.25">
      <c r="B138" s="335"/>
      <c r="C138" s="327"/>
      <c r="D138" s="327">
        <v>5907</v>
      </c>
      <c r="E138" s="327">
        <f t="shared" si="30"/>
        <v>85</v>
      </c>
      <c r="F138" s="328">
        <f t="shared" si="31"/>
        <v>8500</v>
      </c>
      <c r="G138" s="328"/>
      <c r="H138" s="328"/>
      <c r="I138" s="329"/>
      <c r="J138" s="329"/>
      <c r="K138" s="330"/>
      <c r="L138" s="323"/>
      <c r="M138" s="333"/>
      <c r="N138" s="327"/>
      <c r="O138" s="327"/>
      <c r="P138" s="327" t="str">
        <f>IF(O138="","",O138-O136)</f>
        <v/>
      </c>
      <c r="Q138" s="328"/>
      <c r="R138" s="328"/>
      <c r="S138" s="328"/>
      <c r="T138" s="329"/>
      <c r="U138" s="329"/>
      <c r="V138" s="331"/>
      <c r="X138" s="333"/>
      <c r="Y138" s="327"/>
      <c r="Z138" s="327" t="str">
        <f>IF(Y138="","",Y138-Y136)</f>
        <v/>
      </c>
      <c r="AA138" s="328"/>
      <c r="AB138" s="331"/>
      <c r="AD138" s="333"/>
      <c r="AE138" s="327"/>
      <c r="AF138" s="327" t="str">
        <f>IF(AE138="","",AE138-AE136)</f>
        <v/>
      </c>
      <c r="AG138" s="328"/>
      <c r="AH138" s="331"/>
      <c r="AJ138" s="333"/>
      <c r="AK138" s="327"/>
      <c r="AL138" s="327" t="str">
        <f>IF(AK138="","",AK138-AK136)</f>
        <v/>
      </c>
      <c r="AM138" s="328"/>
      <c r="AN138" s="331"/>
      <c r="AP138" s="333"/>
      <c r="AQ138" s="327"/>
      <c r="AR138" s="327"/>
      <c r="AS138" s="327" t="str">
        <f>IF(AR138="","",AR138-AR136)</f>
        <v/>
      </c>
      <c r="AT138" s="328"/>
      <c r="AU138" s="328"/>
      <c r="AV138" s="328"/>
      <c r="AW138" s="329"/>
      <c r="AX138" s="329"/>
      <c r="AY138" s="331"/>
    </row>
    <row r="139" spans="2:51" ht="15" customHeight="1" x14ac:dyDescent="0.25">
      <c r="B139" s="333">
        <v>46017</v>
      </c>
      <c r="C139" s="336">
        <f>SUM(IF(F139="",0,F139), IF(F140="",0,F140), IF(Q139="",0,Q139), IF(AT139="",0,AT139), IF(AA139="",0,AA139), IF(AG139="",0,AG139), IF(AM139="",0,AM139))</f>
        <v>109100</v>
      </c>
      <c r="D139" s="327">
        <v>17575</v>
      </c>
      <c r="E139" s="327">
        <f t="shared" si="30"/>
        <v>110</v>
      </c>
      <c r="F139" s="328">
        <f t="shared" si="31"/>
        <v>11000</v>
      </c>
      <c r="G139" s="328"/>
      <c r="H139" s="328"/>
      <c r="I139" s="329"/>
      <c r="J139" s="329"/>
      <c r="K139" s="330" t="s">
        <v>140</v>
      </c>
      <c r="L139" s="319"/>
      <c r="M139" s="333">
        <f t="shared" ref="M139:M149" si="32">IF(B139="","",B139)</f>
        <v>46017</v>
      </c>
      <c r="N139" s="327"/>
      <c r="O139" s="327">
        <v>2771</v>
      </c>
      <c r="P139" s="327">
        <f>IF(O139="","",O139-O137)</f>
        <v>2</v>
      </c>
      <c r="Q139" s="328">
        <f t="shared" ref="Q139:Q149" si="33">IF(O139="","",P139*1000)</f>
        <v>2000</v>
      </c>
      <c r="R139" s="328"/>
      <c r="S139" s="328"/>
      <c r="T139" s="329"/>
      <c r="U139" s="329"/>
      <c r="V139" s="331"/>
      <c r="X139" s="333">
        <f>IF(AP139="","",AP139)</f>
        <v>46017</v>
      </c>
      <c r="Y139" s="327">
        <v>7509</v>
      </c>
      <c r="Z139" s="327">
        <f>IF(Y139="","",Y139-Y137)</f>
        <v>30</v>
      </c>
      <c r="AA139" s="328">
        <f t="shared" ref="AA139:AA149" si="34">IF(Y139="","",Z139*1000)</f>
        <v>30000</v>
      </c>
      <c r="AB139" s="331"/>
      <c r="AD139" s="333">
        <f t="shared" ref="AD139:AD149" si="35">IF(X139="","",X139)</f>
        <v>46017</v>
      </c>
      <c r="AE139" s="327">
        <v>5171</v>
      </c>
      <c r="AF139" s="327">
        <f>IF(AE139="","",AE139-AE137)</f>
        <v>18</v>
      </c>
      <c r="AG139" s="328">
        <f t="shared" ref="AG139:AG149" si="36">IF(AE139="","",AF139*1000)</f>
        <v>18000</v>
      </c>
      <c r="AH139" s="331"/>
      <c r="AJ139" s="333">
        <f t="shared" ref="AJ139:AJ149" si="37">IF(AD139="","",AD139)</f>
        <v>46017</v>
      </c>
      <c r="AK139" s="327">
        <v>7329</v>
      </c>
      <c r="AL139" s="327">
        <f>IF(AK139="","",AK139-AK137)</f>
        <v>18</v>
      </c>
      <c r="AM139" s="328">
        <f t="shared" ref="AM139:AM149" si="38">IF(AK139="","",AL139*1000)</f>
        <v>18000</v>
      </c>
      <c r="AN139" s="331"/>
      <c r="AP139" s="333">
        <f>IF(M139="","",M139)</f>
        <v>46017</v>
      </c>
      <c r="AQ139" s="327"/>
      <c r="AR139" s="327">
        <v>8653</v>
      </c>
      <c r="AS139" s="327">
        <f>IF(AR139="","",AR139-AR137)</f>
        <v>20</v>
      </c>
      <c r="AT139" s="328">
        <f t="shared" ref="AT139:AT149" si="39">IF(AR139="","",AS139*1000)</f>
        <v>20000</v>
      </c>
      <c r="AU139" s="328"/>
      <c r="AV139" s="328"/>
      <c r="AW139" s="329"/>
      <c r="AX139" s="329"/>
      <c r="AY139" s="331"/>
    </row>
    <row r="140" spans="2:51" ht="15" customHeight="1" x14ac:dyDescent="0.25">
      <c r="B140" s="333"/>
      <c r="C140" s="327"/>
      <c r="D140" s="327">
        <v>6008</v>
      </c>
      <c r="E140" s="327">
        <f t="shared" si="30"/>
        <v>101</v>
      </c>
      <c r="F140" s="328">
        <f t="shared" si="31"/>
        <v>10100</v>
      </c>
      <c r="G140" s="328"/>
      <c r="H140" s="328"/>
      <c r="I140" s="329"/>
      <c r="J140" s="329"/>
      <c r="K140" s="330" t="s">
        <v>140</v>
      </c>
      <c r="L140" s="319"/>
      <c r="M140" s="333" t="str">
        <f t="shared" si="32"/>
        <v/>
      </c>
      <c r="N140" s="327"/>
      <c r="O140" s="327"/>
      <c r="P140" s="327" t="str">
        <f>IF(O140="","",O140-O139)</f>
        <v/>
      </c>
      <c r="Q140" s="328" t="str">
        <f t="shared" si="33"/>
        <v/>
      </c>
      <c r="R140" s="328"/>
      <c r="S140" s="328"/>
      <c r="T140" s="329"/>
      <c r="U140" s="329"/>
      <c r="V140" s="331"/>
      <c r="X140" s="333" t="str">
        <f>IF(AP140="","",AP140)</f>
        <v/>
      </c>
      <c r="Y140" s="327"/>
      <c r="Z140" s="327" t="str">
        <f>IF(Y140="","",Y140-Y139)</f>
        <v/>
      </c>
      <c r="AA140" s="328" t="str">
        <f t="shared" si="34"/>
        <v/>
      </c>
      <c r="AB140" s="331"/>
      <c r="AD140" s="333" t="str">
        <f t="shared" si="35"/>
        <v/>
      </c>
      <c r="AE140" s="327"/>
      <c r="AF140" s="327" t="str">
        <f>IF(AE140="","",AE140-AE139)</f>
        <v/>
      </c>
      <c r="AG140" s="328" t="str">
        <f t="shared" si="36"/>
        <v/>
      </c>
      <c r="AH140" s="331"/>
      <c r="AJ140" s="333" t="str">
        <f t="shared" si="37"/>
        <v/>
      </c>
      <c r="AK140" s="327"/>
      <c r="AL140" s="327" t="str">
        <f>IF(AK140="","",AK140-AK139)</f>
        <v/>
      </c>
      <c r="AM140" s="328" t="str">
        <f t="shared" si="38"/>
        <v/>
      </c>
      <c r="AN140" s="331"/>
      <c r="AP140" s="333" t="str">
        <f>IF(M140="","",M140)</f>
        <v/>
      </c>
      <c r="AQ140" s="327"/>
      <c r="AR140" s="327"/>
      <c r="AS140" s="327" t="str">
        <f>IF(AR140="","",AR140-AR139)</f>
        <v/>
      </c>
      <c r="AT140" s="328" t="str">
        <f t="shared" si="39"/>
        <v/>
      </c>
      <c r="AU140" s="328"/>
      <c r="AV140" s="328"/>
      <c r="AW140" s="329"/>
      <c r="AX140" s="329"/>
      <c r="AY140" s="331"/>
    </row>
    <row r="141" spans="2:51" ht="15" customHeight="1" x14ac:dyDescent="0.25">
      <c r="B141" s="333">
        <v>46021</v>
      </c>
      <c r="C141" s="336">
        <f>SUM(IF(F141="",0,F141), IF(F142="",0,F142), IF(Q141="",0,Q141), IF(AT141="",0,AT141), IF(AA141="",0,AA141), IF(AG141="",0,AG141), IF(AM141="",0,AM141))</f>
        <v>191100</v>
      </c>
      <c r="D141" s="327">
        <v>17785</v>
      </c>
      <c r="E141" s="327">
        <f t="shared" si="30"/>
        <v>210</v>
      </c>
      <c r="F141" s="328">
        <f t="shared" si="31"/>
        <v>21000</v>
      </c>
      <c r="G141" s="328"/>
      <c r="H141" s="328"/>
      <c r="I141" s="329"/>
      <c r="J141" s="329"/>
      <c r="K141" s="330"/>
      <c r="L141" s="319"/>
      <c r="M141" s="333">
        <f t="shared" si="32"/>
        <v>46021</v>
      </c>
      <c r="N141" s="327"/>
      <c r="O141" s="327">
        <v>2809</v>
      </c>
      <c r="P141" s="327">
        <f>IF(O141="","",O141-O139)</f>
        <v>38</v>
      </c>
      <c r="Q141" s="328">
        <f t="shared" si="33"/>
        <v>38000</v>
      </c>
      <c r="R141" s="328"/>
      <c r="S141" s="328"/>
      <c r="T141" s="329"/>
      <c r="U141" s="329"/>
      <c r="V141" s="330"/>
      <c r="X141" s="333">
        <f>IF(AP141="","",AP141)</f>
        <v>46021</v>
      </c>
      <c r="Y141" s="327">
        <v>7533</v>
      </c>
      <c r="Z141" s="327">
        <f>IF(Y141="","",Y141-Y139)</f>
        <v>24</v>
      </c>
      <c r="AA141" s="328">
        <f t="shared" si="34"/>
        <v>24000</v>
      </c>
      <c r="AB141" s="330"/>
      <c r="AD141" s="333">
        <f t="shared" si="35"/>
        <v>46021</v>
      </c>
      <c r="AE141" s="327">
        <v>5189</v>
      </c>
      <c r="AF141" s="327">
        <f>IF(AE141="","",AE141-AE139)</f>
        <v>18</v>
      </c>
      <c r="AG141" s="328">
        <f t="shared" si="36"/>
        <v>18000</v>
      </c>
      <c r="AH141" s="331"/>
      <c r="AJ141" s="333">
        <f t="shared" si="37"/>
        <v>46021</v>
      </c>
      <c r="AK141" s="327">
        <v>7371</v>
      </c>
      <c r="AL141" s="327">
        <f>IF(AK141="","",AK141-AK139)</f>
        <v>42</v>
      </c>
      <c r="AM141" s="328">
        <f t="shared" si="38"/>
        <v>42000</v>
      </c>
      <c r="AN141" s="330"/>
      <c r="AP141" s="333">
        <f>IF(M141="","",M141)</f>
        <v>46021</v>
      </c>
      <c r="AQ141" s="327"/>
      <c r="AR141" s="327">
        <v>8691</v>
      </c>
      <c r="AS141" s="327">
        <f>IF(AR141="","",AR141-AR139)</f>
        <v>38</v>
      </c>
      <c r="AT141" s="328">
        <f t="shared" si="39"/>
        <v>38000</v>
      </c>
      <c r="AU141" s="328"/>
      <c r="AV141" s="328"/>
      <c r="AW141" s="329"/>
      <c r="AX141" s="329"/>
      <c r="AY141" s="331"/>
    </row>
    <row r="142" spans="2:51" ht="15" customHeight="1" x14ac:dyDescent="0.25">
      <c r="B142" s="333"/>
      <c r="C142" s="327"/>
      <c r="D142" s="327">
        <v>6109</v>
      </c>
      <c r="E142" s="327">
        <f t="shared" si="30"/>
        <v>101</v>
      </c>
      <c r="F142" s="328">
        <f t="shared" si="31"/>
        <v>10100</v>
      </c>
      <c r="G142" s="328"/>
      <c r="H142" s="328"/>
      <c r="I142" s="329"/>
      <c r="J142" s="329"/>
      <c r="K142" s="330"/>
      <c r="L142" s="323"/>
      <c r="M142" s="333" t="str">
        <f t="shared" si="32"/>
        <v/>
      </c>
      <c r="N142" s="327"/>
      <c r="O142" s="327"/>
      <c r="P142" s="327" t="str">
        <f>IF(O142="","",O142-O141)</f>
        <v/>
      </c>
      <c r="Q142" s="328" t="str">
        <f t="shared" si="33"/>
        <v/>
      </c>
      <c r="R142" s="328"/>
      <c r="S142" s="328"/>
      <c r="T142" s="329"/>
      <c r="U142" s="329"/>
      <c r="V142" s="331"/>
      <c r="X142" s="333" t="str">
        <f>IF(AP142="","",AP142)</f>
        <v/>
      </c>
      <c r="Y142" s="327"/>
      <c r="Z142" s="327" t="str">
        <f>IF(Y142="","",Y142-Y141)</f>
        <v/>
      </c>
      <c r="AA142" s="328" t="str">
        <f t="shared" si="34"/>
        <v/>
      </c>
      <c r="AB142" s="331"/>
      <c r="AD142" s="333" t="str">
        <f t="shared" si="35"/>
        <v/>
      </c>
      <c r="AE142" s="327"/>
      <c r="AF142" s="327" t="str">
        <f>IF(AE142="","",AE142-AE141)</f>
        <v/>
      </c>
      <c r="AG142" s="328" t="str">
        <f t="shared" si="36"/>
        <v/>
      </c>
      <c r="AH142" s="331"/>
      <c r="AJ142" s="333" t="str">
        <f t="shared" si="37"/>
        <v/>
      </c>
      <c r="AK142" s="327"/>
      <c r="AL142" s="327" t="str">
        <f>IF(AK142="","",AK142-AK141)</f>
        <v/>
      </c>
      <c r="AM142" s="328" t="str">
        <f t="shared" si="38"/>
        <v/>
      </c>
      <c r="AN142" s="331"/>
      <c r="AP142" s="333" t="str">
        <f>IF(M142="","",M142)</f>
        <v/>
      </c>
      <c r="AQ142" s="327"/>
      <c r="AR142" s="327"/>
      <c r="AS142" s="327" t="str">
        <f>IF(AR142="","",AR142-AR141)</f>
        <v/>
      </c>
      <c r="AT142" s="328" t="str">
        <f t="shared" si="39"/>
        <v/>
      </c>
      <c r="AU142" s="328"/>
      <c r="AV142" s="328"/>
      <c r="AW142" s="329"/>
      <c r="AX142" s="329"/>
      <c r="AY142" s="331"/>
    </row>
    <row r="143" spans="2:51" ht="15" customHeight="1" x14ac:dyDescent="0.25">
      <c r="B143" s="333">
        <v>46023</v>
      </c>
      <c r="C143" s="336">
        <f>SUM(IF(F143="",0,F143), IF(F144="",0,F144), IF(Q143="",0,Q143), IF(AT143="",0,AT143), IF(AA143="",0,AA143), IF(AG143="",0,AG143), IF(AM143="",0,AM143))</f>
        <v>133000</v>
      </c>
      <c r="D143" s="327">
        <v>18115</v>
      </c>
      <c r="E143" s="327">
        <f t="shared" si="30"/>
        <v>330</v>
      </c>
      <c r="F143" s="328">
        <f t="shared" si="31"/>
        <v>33000</v>
      </c>
      <c r="G143" s="328"/>
      <c r="H143" s="328"/>
      <c r="I143" s="329"/>
      <c r="J143" s="329"/>
      <c r="K143" s="330"/>
      <c r="L143" s="324"/>
      <c r="M143" s="333">
        <f t="shared" si="32"/>
        <v>46023</v>
      </c>
      <c r="N143" s="327"/>
      <c r="O143" s="327">
        <v>2831</v>
      </c>
      <c r="P143" s="327">
        <f>IF(O143="","",O143-O141)</f>
        <v>22</v>
      </c>
      <c r="Q143" s="328">
        <f t="shared" si="33"/>
        <v>22000</v>
      </c>
      <c r="R143" s="328"/>
      <c r="S143" s="328"/>
      <c r="T143" s="329"/>
      <c r="U143" s="329"/>
      <c r="V143" s="331"/>
      <c r="X143" s="333">
        <f>IF(AP143="","",AP143)</f>
        <v>46023</v>
      </c>
      <c r="Y143" s="327">
        <v>7552</v>
      </c>
      <c r="Z143" s="327">
        <f>IF(Y143="","",Y143-Y141)</f>
        <v>19</v>
      </c>
      <c r="AA143" s="328">
        <f t="shared" si="34"/>
        <v>19000</v>
      </c>
      <c r="AB143" s="331"/>
      <c r="AD143" s="333">
        <f t="shared" si="35"/>
        <v>46023</v>
      </c>
      <c r="AE143" s="327">
        <v>5207</v>
      </c>
      <c r="AF143" s="327">
        <f>IF(AE143="","",AE143-AE141)</f>
        <v>18</v>
      </c>
      <c r="AG143" s="328">
        <f t="shared" si="36"/>
        <v>18000</v>
      </c>
      <c r="AH143" s="331" t="s">
        <v>131</v>
      </c>
      <c r="AJ143" s="333">
        <f t="shared" si="37"/>
        <v>46023</v>
      </c>
      <c r="AK143" s="327">
        <v>7395</v>
      </c>
      <c r="AL143" s="327">
        <f>IF(AK143="","",AK143-AK141)</f>
        <v>24</v>
      </c>
      <c r="AM143" s="328">
        <f t="shared" si="38"/>
        <v>24000</v>
      </c>
      <c r="AN143" s="331"/>
      <c r="AP143" s="333">
        <f>IF(M143="","",M143)</f>
        <v>46023</v>
      </c>
      <c r="AQ143" s="327"/>
      <c r="AR143" s="327">
        <v>8703</v>
      </c>
      <c r="AS143" s="327">
        <f>IF(AR143="","",AR143-AR141)</f>
        <v>12</v>
      </c>
      <c r="AT143" s="328">
        <f t="shared" si="39"/>
        <v>12000</v>
      </c>
      <c r="AU143" s="328"/>
      <c r="AV143" s="328"/>
      <c r="AW143" s="329"/>
      <c r="AX143" s="329"/>
      <c r="AY143" s="331"/>
    </row>
    <row r="144" spans="2:51" ht="15" customHeight="1" x14ac:dyDescent="0.25">
      <c r="B144" s="333"/>
      <c r="C144" s="327"/>
      <c r="D144" s="327">
        <v>6159</v>
      </c>
      <c r="E144" s="327">
        <f t="shared" si="30"/>
        <v>50</v>
      </c>
      <c r="F144" s="328">
        <f t="shared" si="31"/>
        <v>5000</v>
      </c>
      <c r="G144" s="328"/>
      <c r="H144" s="328"/>
      <c r="I144" s="329"/>
      <c r="J144" s="329"/>
      <c r="K144" s="330"/>
      <c r="L144" s="323"/>
      <c r="M144" s="333" t="str">
        <f t="shared" si="32"/>
        <v/>
      </c>
      <c r="N144" s="327"/>
      <c r="O144" s="327"/>
      <c r="P144" s="327" t="str">
        <f>IF(O144="","",O144-O143)</f>
        <v/>
      </c>
      <c r="Q144" s="328" t="str">
        <f t="shared" si="33"/>
        <v/>
      </c>
      <c r="R144" s="328"/>
      <c r="S144" s="328"/>
      <c r="T144" s="329"/>
      <c r="U144" s="329"/>
      <c r="V144" s="331"/>
      <c r="X144" s="333" t="str">
        <f>IF(AP144="","",AP144)</f>
        <v/>
      </c>
      <c r="Y144" s="327"/>
      <c r="Z144" s="327" t="str">
        <f>IF(Y144="","",Y144-Y143)</f>
        <v/>
      </c>
      <c r="AA144" s="328" t="str">
        <f t="shared" si="34"/>
        <v/>
      </c>
      <c r="AB144" s="331"/>
      <c r="AD144" s="333" t="str">
        <f t="shared" si="35"/>
        <v/>
      </c>
      <c r="AE144" s="327"/>
      <c r="AF144" s="327" t="str">
        <f>IF(AE144="","",AE144-AE143)</f>
        <v/>
      </c>
      <c r="AG144" s="328" t="str">
        <f t="shared" si="36"/>
        <v/>
      </c>
      <c r="AH144" s="331"/>
      <c r="AJ144" s="333" t="str">
        <f t="shared" si="37"/>
        <v/>
      </c>
      <c r="AK144" s="327"/>
      <c r="AL144" s="327" t="str">
        <f>IF(AK144="","",AK144-AK143)</f>
        <v/>
      </c>
      <c r="AM144" s="328" t="str">
        <f t="shared" si="38"/>
        <v/>
      </c>
      <c r="AN144" s="331"/>
      <c r="AP144" s="333" t="str">
        <f>IF(M144="","",M144)</f>
        <v/>
      </c>
      <c r="AQ144" s="327"/>
      <c r="AR144" s="327"/>
      <c r="AS144" s="327" t="str">
        <f>IF(AR144="","",AR144-AR143)</f>
        <v/>
      </c>
      <c r="AT144" s="328" t="str">
        <f t="shared" si="39"/>
        <v/>
      </c>
      <c r="AU144" s="328"/>
      <c r="AV144" s="328"/>
      <c r="AW144" s="329"/>
      <c r="AX144" s="329"/>
      <c r="AY144" s="331"/>
    </row>
    <row r="145" spans="2:51" ht="15" customHeight="1" x14ac:dyDescent="0.25">
      <c r="B145" s="333">
        <v>46024</v>
      </c>
      <c r="C145" s="336">
        <f>SUM(IF(F145="",0,F145), IF(F146="",0,F146), IF(Q145="",0,Q145), IF(AT145="",0,AT145), IF(AA145="",0,AA145), IF(AG145="",0,AG145), IF(AM145="",0,AM145))</f>
        <v>247000</v>
      </c>
      <c r="D145" s="327">
        <v>18325</v>
      </c>
      <c r="E145" s="327">
        <f t="shared" si="30"/>
        <v>210</v>
      </c>
      <c r="F145" s="328">
        <f t="shared" si="31"/>
        <v>21000</v>
      </c>
      <c r="G145" s="328"/>
      <c r="H145" s="328"/>
      <c r="I145" s="329"/>
      <c r="J145" s="329"/>
      <c r="K145" s="330"/>
      <c r="L145" s="323"/>
      <c r="M145" s="333">
        <f t="shared" si="32"/>
        <v>46024</v>
      </c>
      <c r="N145" s="327"/>
      <c r="O145" s="327">
        <v>2871</v>
      </c>
      <c r="P145" s="327">
        <f>IF(O145="","",O145-O143)</f>
        <v>40</v>
      </c>
      <c r="Q145" s="328">
        <f t="shared" si="33"/>
        <v>40000</v>
      </c>
      <c r="R145" s="328"/>
      <c r="S145" s="328"/>
      <c r="T145" s="329"/>
      <c r="U145" s="329"/>
      <c r="V145" s="331"/>
      <c r="X145" s="333">
        <f>IF(AP145="","",AP145)</f>
        <v>46024</v>
      </c>
      <c r="Y145" s="327">
        <v>7593</v>
      </c>
      <c r="Z145" s="327">
        <f>IF(Y145="","",Y145-Y143)</f>
        <v>41</v>
      </c>
      <c r="AA145" s="328">
        <f t="shared" si="34"/>
        <v>41000</v>
      </c>
      <c r="AB145" s="331"/>
      <c r="AD145" s="333">
        <f t="shared" si="35"/>
        <v>46024</v>
      </c>
      <c r="AE145" s="327">
        <v>5225</v>
      </c>
      <c r="AF145" s="327">
        <f>IF(AE145="","",AE145-AE143)</f>
        <v>18</v>
      </c>
      <c r="AG145" s="328">
        <f t="shared" si="36"/>
        <v>18000</v>
      </c>
      <c r="AH145" s="391"/>
      <c r="AJ145" s="333">
        <f t="shared" si="37"/>
        <v>46024</v>
      </c>
      <c r="AK145" s="327">
        <v>7489</v>
      </c>
      <c r="AL145" s="327">
        <f>IF(AK145="","",AK145-AK143)</f>
        <v>94</v>
      </c>
      <c r="AM145" s="328">
        <f t="shared" si="38"/>
        <v>94000</v>
      </c>
      <c r="AN145" s="331"/>
      <c r="AP145" s="333">
        <f>IF(M145="","",M145)</f>
        <v>46024</v>
      </c>
      <c r="AQ145" s="327"/>
      <c r="AR145" s="327">
        <v>8733</v>
      </c>
      <c r="AS145" s="327">
        <f>IF(AR145="","",AR145-AR143)</f>
        <v>30</v>
      </c>
      <c r="AT145" s="328">
        <f t="shared" si="39"/>
        <v>30000</v>
      </c>
      <c r="AU145" s="328"/>
      <c r="AV145" s="328"/>
      <c r="AW145" s="329"/>
      <c r="AX145" s="329"/>
      <c r="AY145" s="331"/>
    </row>
    <row r="146" spans="2:51" ht="15" customHeight="1" x14ac:dyDescent="0.25">
      <c r="B146" s="333"/>
      <c r="C146" s="327"/>
      <c r="D146" s="327">
        <v>6189</v>
      </c>
      <c r="E146" s="327">
        <f t="shared" si="30"/>
        <v>30</v>
      </c>
      <c r="F146" s="328">
        <f t="shared" si="31"/>
        <v>3000</v>
      </c>
      <c r="G146" s="328"/>
      <c r="H146" s="328"/>
      <c r="I146" s="329"/>
      <c r="J146" s="329"/>
      <c r="K146" s="330"/>
      <c r="L146" s="323"/>
      <c r="M146" s="333" t="str">
        <f t="shared" si="32"/>
        <v/>
      </c>
      <c r="N146" s="327"/>
      <c r="O146" s="327"/>
      <c r="P146" s="327" t="str">
        <f>IF(O146="","",O146-O145)</f>
        <v/>
      </c>
      <c r="Q146" s="328" t="str">
        <f t="shared" si="33"/>
        <v/>
      </c>
      <c r="R146" s="328"/>
      <c r="S146" s="328"/>
      <c r="T146" s="329"/>
      <c r="U146" s="329"/>
      <c r="V146" s="331"/>
      <c r="X146" s="333" t="str">
        <f>IF(AP146="","",AP146)</f>
        <v/>
      </c>
      <c r="Y146" s="327"/>
      <c r="Z146" s="327" t="str">
        <f>IF(Y146="","",Y146-Y145)</f>
        <v/>
      </c>
      <c r="AA146" s="328" t="str">
        <f t="shared" si="34"/>
        <v/>
      </c>
      <c r="AB146" s="331"/>
      <c r="AD146" s="333" t="str">
        <f t="shared" si="35"/>
        <v/>
      </c>
      <c r="AE146" s="327"/>
      <c r="AF146" s="327" t="str">
        <f>IF(AE146="","",AE146-AE145)</f>
        <v/>
      </c>
      <c r="AG146" s="328" t="str">
        <f t="shared" si="36"/>
        <v/>
      </c>
      <c r="AH146" s="331"/>
      <c r="AJ146" s="333" t="str">
        <f t="shared" si="37"/>
        <v/>
      </c>
      <c r="AK146" s="327"/>
      <c r="AL146" s="327" t="str">
        <f>IF(AK146="","",AK146-AK145)</f>
        <v/>
      </c>
      <c r="AM146" s="328" t="str">
        <f t="shared" si="38"/>
        <v/>
      </c>
      <c r="AN146" s="331"/>
      <c r="AP146" s="333" t="str">
        <f>IF(M146="","",M146)</f>
        <v/>
      </c>
      <c r="AQ146" s="327"/>
      <c r="AR146" s="327"/>
      <c r="AS146" s="327" t="str">
        <f>IF(AR146="","",AR146-AR145)</f>
        <v/>
      </c>
      <c r="AT146" s="328" t="str">
        <f t="shared" si="39"/>
        <v/>
      </c>
      <c r="AU146" s="328"/>
      <c r="AV146" s="328"/>
      <c r="AW146" s="329"/>
      <c r="AX146" s="329"/>
      <c r="AY146" s="331"/>
    </row>
    <row r="147" spans="2:51" ht="15" customHeight="1" x14ac:dyDescent="0.25">
      <c r="B147" s="333">
        <v>46025</v>
      </c>
      <c r="C147" s="336">
        <f>SUM(IF(F147="",0,F147), IF(F148="",0,F148), IF(Q147="",0,Q147), IF(AT147="",0,AT147), IF(AA147="",0,AA147), IF(AG147="",0,AG147), IF(AM147="",0,AM147))</f>
        <v>94000</v>
      </c>
      <c r="D147" s="327">
        <v>18390</v>
      </c>
      <c r="E147" s="327">
        <f t="shared" si="30"/>
        <v>65</v>
      </c>
      <c r="F147" s="328">
        <f t="shared" si="31"/>
        <v>6500</v>
      </c>
      <c r="G147" s="328"/>
      <c r="H147" s="328"/>
      <c r="I147" s="329"/>
      <c r="J147" s="329"/>
      <c r="K147" s="330"/>
      <c r="L147" s="323"/>
      <c r="M147" s="333">
        <f t="shared" si="32"/>
        <v>46025</v>
      </c>
      <c r="N147" s="327"/>
      <c r="O147" s="327">
        <v>2895</v>
      </c>
      <c r="P147" s="327">
        <f>IF(O147="","",O147-O145)</f>
        <v>24</v>
      </c>
      <c r="Q147" s="328">
        <f t="shared" si="33"/>
        <v>24000</v>
      </c>
      <c r="R147" s="328"/>
      <c r="S147" s="328"/>
      <c r="T147" s="329"/>
      <c r="U147" s="329"/>
      <c r="V147" s="331"/>
      <c r="X147" s="333">
        <f>IF(AP147="","",AP147)</f>
        <v>46025</v>
      </c>
      <c r="Y147" s="327">
        <v>7613</v>
      </c>
      <c r="Z147" s="327">
        <f>IF(Y147="","",Y147-Y145)</f>
        <v>20</v>
      </c>
      <c r="AA147" s="328">
        <f t="shared" si="34"/>
        <v>20000</v>
      </c>
      <c r="AB147" s="331"/>
      <c r="AD147" s="333">
        <f t="shared" si="35"/>
        <v>46025</v>
      </c>
      <c r="AE147" s="327">
        <v>5235</v>
      </c>
      <c r="AF147" s="327">
        <f>IF(AE147="","",AE147-AE145)</f>
        <v>10</v>
      </c>
      <c r="AG147" s="328">
        <f t="shared" si="36"/>
        <v>10000</v>
      </c>
      <c r="AH147" s="331"/>
      <c r="AJ147" s="333">
        <f t="shared" si="37"/>
        <v>46025</v>
      </c>
      <c r="AK147" s="327">
        <v>7513</v>
      </c>
      <c r="AL147" s="327">
        <f>IF(AK147="","",AK147-AK145)</f>
        <v>24</v>
      </c>
      <c r="AM147" s="328">
        <f t="shared" si="38"/>
        <v>24000</v>
      </c>
      <c r="AN147" s="331"/>
      <c r="AP147" s="333">
        <f>IF(M147="","",M147)</f>
        <v>46025</v>
      </c>
      <c r="AQ147" s="327"/>
      <c r="AR147" s="327">
        <v>8741</v>
      </c>
      <c r="AS147" s="327">
        <f>IF(AR147="","",AR147-AR145)</f>
        <v>8</v>
      </c>
      <c r="AT147" s="328">
        <f t="shared" si="39"/>
        <v>8000</v>
      </c>
      <c r="AU147" s="328"/>
      <c r="AV147" s="328"/>
      <c r="AW147" s="329"/>
      <c r="AX147" s="329"/>
      <c r="AY147" s="331"/>
    </row>
    <row r="148" spans="2:51" ht="15" customHeight="1" x14ac:dyDescent="0.25">
      <c r="B148" s="333"/>
      <c r="C148" s="327"/>
      <c r="D148" s="327">
        <v>6204</v>
      </c>
      <c r="E148" s="327">
        <f t="shared" si="30"/>
        <v>15</v>
      </c>
      <c r="F148" s="328">
        <f t="shared" si="31"/>
        <v>1500</v>
      </c>
      <c r="G148" s="328"/>
      <c r="H148" s="328"/>
      <c r="I148" s="329"/>
      <c r="J148" s="329"/>
      <c r="K148" s="330"/>
      <c r="L148" s="323"/>
      <c r="M148" s="333" t="str">
        <f t="shared" si="32"/>
        <v/>
      </c>
      <c r="N148" s="327"/>
      <c r="O148" s="327"/>
      <c r="P148" s="327" t="str">
        <f>IF(O148="","",O148-O146)</f>
        <v/>
      </c>
      <c r="Q148" s="328" t="str">
        <f t="shared" si="33"/>
        <v/>
      </c>
      <c r="R148" s="328"/>
      <c r="S148" s="328"/>
      <c r="T148" s="329"/>
      <c r="U148" s="329"/>
      <c r="V148" s="331"/>
      <c r="X148" s="333" t="str">
        <f>IF(AP148="","",AP148)</f>
        <v/>
      </c>
      <c r="Y148" s="327"/>
      <c r="Z148" s="327" t="str">
        <f>IF(Y148="","",Y148-Y146)</f>
        <v/>
      </c>
      <c r="AA148" s="328" t="str">
        <f t="shared" si="34"/>
        <v/>
      </c>
      <c r="AB148" s="331"/>
      <c r="AD148" s="333" t="str">
        <f t="shared" si="35"/>
        <v/>
      </c>
      <c r="AE148" s="327"/>
      <c r="AF148" s="327" t="str">
        <f>IF(AE148="","",AE148-AE146)</f>
        <v/>
      </c>
      <c r="AG148" s="328" t="str">
        <f t="shared" si="36"/>
        <v/>
      </c>
      <c r="AH148" s="331"/>
      <c r="AJ148" s="333" t="str">
        <f t="shared" si="37"/>
        <v/>
      </c>
      <c r="AK148" s="327"/>
      <c r="AL148" s="327" t="str">
        <f>IF(AK148="","",AK148-AK146)</f>
        <v/>
      </c>
      <c r="AM148" s="328" t="str">
        <f t="shared" si="38"/>
        <v/>
      </c>
      <c r="AN148" s="331"/>
      <c r="AP148" s="333" t="str">
        <f>IF(M148="","",M148)</f>
        <v/>
      </c>
      <c r="AQ148" s="327"/>
      <c r="AR148" s="327"/>
      <c r="AS148" s="327" t="str">
        <f>IF(AR148="","",AR148-AR146)</f>
        <v/>
      </c>
      <c r="AT148" s="328" t="str">
        <f t="shared" si="39"/>
        <v/>
      </c>
      <c r="AU148" s="328"/>
      <c r="AV148" s="328"/>
      <c r="AW148" s="329"/>
      <c r="AX148" s="329"/>
      <c r="AY148" s="331"/>
    </row>
    <row r="149" spans="2:51" ht="15" customHeight="1" x14ac:dyDescent="0.25">
      <c r="B149" s="333">
        <v>46026</v>
      </c>
      <c r="C149" s="336">
        <f>SUM(IF(F149="",0,F149), IF(F150="",0,F150), IF(Q149="",0,Q149), IF(AT149="",0,AT149), IF(AA149="",0,AA149), IF(AG149="",0,AG149), IF(AM149="",0,AM149))</f>
        <v>52000</v>
      </c>
      <c r="D149" s="327">
        <v>18490</v>
      </c>
      <c r="E149" s="327">
        <f t="shared" si="30"/>
        <v>100</v>
      </c>
      <c r="F149" s="328">
        <f t="shared" si="31"/>
        <v>10000</v>
      </c>
      <c r="G149" s="328"/>
      <c r="H149" s="328"/>
      <c r="I149" s="329"/>
      <c r="J149" s="329"/>
      <c r="K149" s="330"/>
      <c r="L149" s="323"/>
      <c r="M149" s="333">
        <f t="shared" si="32"/>
        <v>46026</v>
      </c>
      <c r="N149" s="327"/>
      <c r="O149" s="327">
        <v>2901</v>
      </c>
      <c r="P149" s="327">
        <f>IF(O149="","",O149-O147)</f>
        <v>6</v>
      </c>
      <c r="Q149" s="328">
        <f t="shared" si="33"/>
        <v>6000</v>
      </c>
      <c r="R149" s="328"/>
      <c r="S149" s="328"/>
      <c r="T149" s="329"/>
      <c r="U149" s="329"/>
      <c r="V149" s="331"/>
      <c r="X149" s="333">
        <f>IF(AP149="","",AP149)</f>
        <v>46026</v>
      </c>
      <c r="Y149" s="327">
        <v>7616</v>
      </c>
      <c r="Z149" s="327">
        <f>IF(Y149="","",Y149-Y147)</f>
        <v>3</v>
      </c>
      <c r="AA149" s="328">
        <f t="shared" si="34"/>
        <v>3000</v>
      </c>
      <c r="AB149" s="331"/>
      <c r="AD149" s="333">
        <f t="shared" si="35"/>
        <v>46026</v>
      </c>
      <c r="AE149" s="327">
        <v>5243</v>
      </c>
      <c r="AF149" s="327">
        <f>IF(AE149="","",AE149-AE147)</f>
        <v>8</v>
      </c>
      <c r="AG149" s="328">
        <f t="shared" si="36"/>
        <v>8000</v>
      </c>
      <c r="AH149" s="331"/>
      <c r="AJ149" s="333">
        <f t="shared" si="37"/>
        <v>46026</v>
      </c>
      <c r="AK149" s="327">
        <v>7523</v>
      </c>
      <c r="AL149" s="327">
        <f>IF(AK149="","",AK149-AK147)</f>
        <v>10</v>
      </c>
      <c r="AM149" s="328">
        <f t="shared" si="38"/>
        <v>10000</v>
      </c>
      <c r="AN149" s="331"/>
      <c r="AP149" s="333">
        <f>IF(M149="","",M149)</f>
        <v>46026</v>
      </c>
      <c r="AQ149" s="327"/>
      <c r="AR149" s="327">
        <v>8751</v>
      </c>
      <c r="AS149" s="327">
        <f>IF(AR149="","",AR149-AR147)</f>
        <v>10</v>
      </c>
      <c r="AT149" s="328">
        <f t="shared" si="39"/>
        <v>10000</v>
      </c>
      <c r="AU149" s="328"/>
      <c r="AV149" s="328"/>
      <c r="AW149" s="329"/>
      <c r="AX149" s="329"/>
      <c r="AY149" s="331"/>
    </row>
    <row r="150" spans="2:51" ht="15" customHeight="1" x14ac:dyDescent="0.25">
      <c r="B150" s="333"/>
      <c r="C150" s="327"/>
      <c r="D150" s="327">
        <v>6254</v>
      </c>
      <c r="E150" s="327">
        <f t="shared" si="30"/>
        <v>50</v>
      </c>
      <c r="F150" s="328">
        <f t="shared" si="31"/>
        <v>5000</v>
      </c>
      <c r="G150" s="328"/>
      <c r="H150" s="328"/>
      <c r="I150" s="329"/>
      <c r="J150" s="329"/>
      <c r="K150" s="330"/>
      <c r="L150" s="323"/>
      <c r="M150" s="333"/>
      <c r="N150" s="327"/>
      <c r="O150" s="327"/>
      <c r="P150" s="327"/>
      <c r="Q150" s="328"/>
      <c r="R150" s="328"/>
      <c r="S150" s="328"/>
      <c r="T150" s="329"/>
      <c r="U150" s="329"/>
      <c r="V150" s="331"/>
      <c r="X150" s="333"/>
      <c r="Y150" s="327"/>
      <c r="Z150" s="327"/>
      <c r="AA150" s="328"/>
      <c r="AB150" s="331"/>
      <c r="AD150" s="333"/>
      <c r="AE150" s="327"/>
      <c r="AF150" s="327"/>
      <c r="AG150" s="328"/>
      <c r="AH150" s="331"/>
      <c r="AJ150" s="333"/>
      <c r="AK150" s="327"/>
      <c r="AL150" s="327"/>
      <c r="AM150" s="328"/>
      <c r="AN150" s="331"/>
      <c r="AP150" s="333"/>
      <c r="AQ150" s="327"/>
      <c r="AR150" s="327"/>
      <c r="AS150" s="327"/>
      <c r="AT150" s="328"/>
      <c r="AU150" s="328"/>
      <c r="AV150" s="328"/>
      <c r="AW150" s="329"/>
      <c r="AX150" s="329"/>
      <c r="AY150" s="331"/>
    </row>
    <row r="151" spans="2:51" ht="15" customHeight="1" x14ac:dyDescent="0.25">
      <c r="B151" s="333">
        <v>46027</v>
      </c>
      <c r="C151" s="336">
        <f>SUM(IF(F151="",0,F151), IF(F152="",0,F152), IF(Q151="",0,Q151), IF(AT151="",0,AT151), IF(AA151="",0,AA151), IF(AG151="",0,AG151), IF(AM151="",0,AM151))</f>
        <v>50500</v>
      </c>
      <c r="D151" s="327">
        <v>18610</v>
      </c>
      <c r="E151" s="327">
        <f t="shared" si="30"/>
        <v>120</v>
      </c>
      <c r="F151" s="328">
        <f t="shared" si="31"/>
        <v>12000</v>
      </c>
      <c r="G151" s="328"/>
      <c r="H151" s="328"/>
      <c r="I151" s="329"/>
      <c r="J151" s="329"/>
      <c r="K151" s="330"/>
      <c r="L151" s="323"/>
      <c r="M151" s="333">
        <f>IF(B151="","",B151)</f>
        <v>46027</v>
      </c>
      <c r="N151" s="327"/>
      <c r="O151" s="327">
        <v>2909</v>
      </c>
      <c r="P151" s="327">
        <f>IF(O151="","",O151-O149)</f>
        <v>8</v>
      </c>
      <c r="Q151" s="328">
        <f>IF(O151="","",P151*1000)</f>
        <v>8000</v>
      </c>
      <c r="R151" s="328"/>
      <c r="S151" s="328"/>
      <c r="T151" s="329"/>
      <c r="U151" s="329"/>
      <c r="V151" s="331"/>
      <c r="X151" s="333">
        <f>IF(AP151="","",AP151)</f>
        <v>46027</v>
      </c>
      <c r="Y151" s="327">
        <v>7620</v>
      </c>
      <c r="Z151" s="327">
        <f>IF(Y151="","",Y151-Y149)</f>
        <v>4</v>
      </c>
      <c r="AA151" s="328">
        <f>IF(Y151="","",Z151*1000)</f>
        <v>4000</v>
      </c>
      <c r="AB151" s="331"/>
      <c r="AD151" s="333">
        <f>IF(X151="","",X151)</f>
        <v>46027</v>
      </c>
      <c r="AE151" s="327">
        <v>5249</v>
      </c>
      <c r="AF151" s="327">
        <f>IF(AE151="","",AE151-AE149)</f>
        <v>6</v>
      </c>
      <c r="AG151" s="328">
        <f>IF(AE151="","",AF151*1000)</f>
        <v>6000</v>
      </c>
      <c r="AH151" s="331"/>
      <c r="AJ151" s="333">
        <f>IF(AD151="","",AD151)</f>
        <v>46027</v>
      </c>
      <c r="AK151" s="327">
        <v>7537</v>
      </c>
      <c r="AL151" s="327">
        <f>IF(AK151="","",AK151-AK149)</f>
        <v>14</v>
      </c>
      <c r="AM151" s="328">
        <f>IF(AK151="","",AL151*1000)</f>
        <v>14000</v>
      </c>
      <c r="AN151" s="331"/>
      <c r="AP151" s="333">
        <f>IF(M151="","",M151)</f>
        <v>46027</v>
      </c>
      <c r="AQ151" s="327"/>
      <c r="AR151" s="327">
        <v>8753</v>
      </c>
      <c r="AS151" s="327">
        <f>IF(AR151="","",AR151-AR149)</f>
        <v>2</v>
      </c>
      <c r="AT151" s="328">
        <f>IF(AR151="","",AS151*1000)</f>
        <v>2000</v>
      </c>
      <c r="AU151" s="328"/>
      <c r="AV151" s="328"/>
      <c r="AW151" s="329"/>
      <c r="AX151" s="329"/>
      <c r="AY151" s="331"/>
    </row>
    <row r="152" spans="2:51" ht="15" customHeight="1" x14ac:dyDescent="0.25">
      <c r="B152" s="333"/>
      <c r="C152" s="327"/>
      <c r="D152" s="327">
        <v>6299</v>
      </c>
      <c r="E152" s="327">
        <f t="shared" si="30"/>
        <v>45</v>
      </c>
      <c r="F152" s="328">
        <f t="shared" si="31"/>
        <v>4500</v>
      </c>
      <c r="G152" s="328"/>
      <c r="H152" s="328"/>
      <c r="I152" s="329"/>
      <c r="J152" s="329"/>
      <c r="K152" s="330"/>
      <c r="L152" s="323"/>
      <c r="M152" s="333"/>
      <c r="N152" s="327"/>
      <c r="O152" s="327"/>
      <c r="P152" s="327" t="str">
        <f>IF(O152="","",O152-O150)</f>
        <v/>
      </c>
      <c r="Q152" s="328"/>
      <c r="R152" s="328"/>
      <c r="S152" s="328"/>
      <c r="T152" s="329"/>
      <c r="U152" s="329"/>
      <c r="V152" s="331"/>
      <c r="X152" s="333"/>
      <c r="Y152" s="327"/>
      <c r="Z152" s="327" t="str">
        <f>IF(Y152="","",Y152-Y150)</f>
        <v/>
      </c>
      <c r="AA152" s="328"/>
      <c r="AB152" s="331"/>
      <c r="AD152" s="333"/>
      <c r="AE152" s="327"/>
      <c r="AF152" s="327" t="str">
        <f>IF(AE152="","",AE152-AE150)</f>
        <v/>
      </c>
      <c r="AG152" s="328"/>
      <c r="AH152" s="331"/>
      <c r="AJ152" s="333"/>
      <c r="AK152" s="327"/>
      <c r="AL152" s="327" t="str">
        <f>IF(AK152="","",AK152-AK150)</f>
        <v/>
      </c>
      <c r="AM152" s="328"/>
      <c r="AN152" s="331"/>
      <c r="AP152" s="333"/>
      <c r="AQ152" s="327"/>
      <c r="AR152" s="327"/>
      <c r="AS152" s="327" t="str">
        <f>IF(AR152="","",AR152-AR150)</f>
        <v/>
      </c>
      <c r="AT152" s="328"/>
      <c r="AU152" s="328"/>
      <c r="AV152" s="328"/>
      <c r="AW152" s="329"/>
      <c r="AX152" s="329"/>
      <c r="AY152" s="331"/>
    </row>
    <row r="153" spans="2:51" ht="15" customHeight="1" x14ac:dyDescent="0.25">
      <c r="B153" s="333">
        <v>46030</v>
      </c>
      <c r="C153" s="336">
        <f>SUM(IF(F153="",0,F153), IF(F154="",0,F154), IF(Q153="",0,Q153), IF(AT153="",0,AT153), IF(AA153="",0,AA153), IF(AG153="",0,AG153), IF(AM153="",0,AM153))</f>
        <v>132000</v>
      </c>
      <c r="D153" s="327">
        <v>18780</v>
      </c>
      <c r="E153" s="327">
        <f t="shared" si="30"/>
        <v>170</v>
      </c>
      <c r="F153" s="328">
        <f t="shared" si="31"/>
        <v>17000</v>
      </c>
      <c r="G153" s="328"/>
      <c r="H153" s="328"/>
      <c r="I153" s="329"/>
      <c r="J153" s="329"/>
      <c r="K153" s="330"/>
      <c r="L153" s="323"/>
      <c r="M153" s="333">
        <f>IF(B153="","",B153)</f>
        <v>46030</v>
      </c>
      <c r="N153" s="327"/>
      <c r="O153" s="327">
        <v>2931</v>
      </c>
      <c r="P153" s="327">
        <f>IF(O153="","",O153-O151)</f>
        <v>22</v>
      </c>
      <c r="Q153" s="328">
        <f>IF(O153="","",P153*1000)</f>
        <v>22000</v>
      </c>
      <c r="R153" s="328"/>
      <c r="S153" s="328"/>
      <c r="T153" s="329"/>
      <c r="U153" s="329"/>
      <c r="V153" s="331"/>
      <c r="X153" s="333">
        <f>IF(AP153="","",AP153)</f>
        <v>46030</v>
      </c>
      <c r="Y153" s="327">
        <v>7626</v>
      </c>
      <c r="Z153" s="327">
        <f>IF(Y153="","",Y153-Y151)</f>
        <v>6</v>
      </c>
      <c r="AA153" s="328">
        <f>IF(Y153="","",Z153*1000)</f>
        <v>6000</v>
      </c>
      <c r="AB153" s="331"/>
      <c r="AD153" s="333">
        <f>IF(X153="","",X153)</f>
        <v>46030</v>
      </c>
      <c r="AE153" s="327">
        <v>5263</v>
      </c>
      <c r="AF153" s="327">
        <f>IF(AE153="","",AE153-AE151)</f>
        <v>14</v>
      </c>
      <c r="AG153" s="328">
        <f>IF(AE153="","",AF153*1000)</f>
        <v>14000</v>
      </c>
      <c r="AH153" s="331"/>
      <c r="AJ153" s="333">
        <f>IF(AD153="","",AD153)</f>
        <v>46030</v>
      </c>
      <c r="AK153" s="327">
        <v>7589</v>
      </c>
      <c r="AL153" s="327">
        <f>IF(AK153="","",AK153-AK151)</f>
        <v>52</v>
      </c>
      <c r="AM153" s="328">
        <f>IF(AK153="","",AL153*1000)</f>
        <v>52000</v>
      </c>
      <c r="AN153" s="331"/>
      <c r="AP153" s="333">
        <f>IF(M153="","",M153)</f>
        <v>46030</v>
      </c>
      <c r="AQ153" s="327"/>
      <c r="AR153" s="327">
        <v>8771</v>
      </c>
      <c r="AS153" s="327">
        <f>IF(AR153="","",AR153-AR151)</f>
        <v>18</v>
      </c>
      <c r="AT153" s="328">
        <f>IF(AR153="","",AS153*1000)</f>
        <v>18000</v>
      </c>
      <c r="AU153" s="328"/>
      <c r="AV153" s="328"/>
      <c r="AW153" s="329"/>
      <c r="AX153" s="329"/>
      <c r="AY153" s="331"/>
    </row>
    <row r="154" spans="2:51" ht="15" customHeight="1" x14ac:dyDescent="0.25">
      <c r="B154" s="333"/>
      <c r="C154" s="327"/>
      <c r="D154" s="327">
        <v>6329</v>
      </c>
      <c r="E154" s="327">
        <f t="shared" si="30"/>
        <v>30</v>
      </c>
      <c r="F154" s="328">
        <f t="shared" si="31"/>
        <v>3000</v>
      </c>
      <c r="G154" s="328"/>
      <c r="H154" s="328"/>
      <c r="I154" s="329"/>
      <c r="J154" s="329"/>
      <c r="K154" s="330"/>
      <c r="L154" s="323"/>
      <c r="M154" s="333"/>
      <c r="N154" s="327"/>
      <c r="O154" s="327"/>
      <c r="P154" s="327" t="str">
        <f>IF(O154="","",O154-O152)</f>
        <v/>
      </c>
      <c r="Q154" s="328"/>
      <c r="R154" s="328"/>
      <c r="S154" s="328"/>
      <c r="T154" s="329"/>
      <c r="U154" s="329"/>
      <c r="V154" s="331"/>
      <c r="X154" s="333"/>
      <c r="Y154" s="327"/>
      <c r="Z154" s="327" t="str">
        <f>IF(Y154="","",Y154-Y152)</f>
        <v/>
      </c>
      <c r="AA154" s="328"/>
      <c r="AB154" s="331"/>
      <c r="AD154" s="333"/>
      <c r="AE154" s="327"/>
      <c r="AF154" s="327" t="str">
        <f>IF(AE154="","",AE154-AE152)</f>
        <v/>
      </c>
      <c r="AG154" s="328"/>
      <c r="AH154" s="331"/>
      <c r="AJ154" s="333"/>
      <c r="AK154" s="327"/>
      <c r="AL154" s="327" t="str">
        <f>IF(AK154="","",AK154-AK152)</f>
        <v/>
      </c>
      <c r="AM154" s="328"/>
      <c r="AN154" s="331"/>
      <c r="AP154" s="333"/>
      <c r="AQ154" s="327"/>
      <c r="AR154" s="327"/>
      <c r="AS154" s="327" t="str">
        <f>IF(AR154="","",AR154-AR152)</f>
        <v/>
      </c>
      <c r="AT154" s="328"/>
      <c r="AU154" s="328"/>
      <c r="AV154" s="328"/>
      <c r="AW154" s="329"/>
      <c r="AX154" s="329"/>
      <c r="AY154" s="331"/>
    </row>
    <row r="155" spans="2:51" ht="15" customHeight="1" x14ac:dyDescent="0.25">
      <c r="B155" s="333">
        <v>46035</v>
      </c>
      <c r="C155" s="336">
        <f>SUM(IF(F155="",0,F155), IF(F156="",0,F156), IF(Q155="",0,Q155), IF(AT155="",0,AT155), IF(AA155="",0,AA155), IF(AG155="",0,AG155), IF(AM155="",0,AM155))</f>
        <v>164500</v>
      </c>
      <c r="D155" s="327">
        <v>18965</v>
      </c>
      <c r="E155" s="327">
        <f t="shared" si="30"/>
        <v>185</v>
      </c>
      <c r="F155" s="328">
        <f t="shared" si="31"/>
        <v>18500</v>
      </c>
      <c r="G155" s="328"/>
      <c r="H155" s="328"/>
      <c r="I155" s="329"/>
      <c r="J155" s="329"/>
      <c r="K155" s="330"/>
      <c r="L155" s="323"/>
      <c r="M155" s="333">
        <f>IF(B155="","",B155)</f>
        <v>46035</v>
      </c>
      <c r="N155" s="327"/>
      <c r="O155" s="327">
        <v>2967</v>
      </c>
      <c r="P155" s="327">
        <f>IF(O155="","",O155-O153)</f>
        <v>36</v>
      </c>
      <c r="Q155" s="328">
        <f>IF(O155="","",P155*1000)</f>
        <v>36000</v>
      </c>
      <c r="R155" s="328"/>
      <c r="S155" s="328"/>
      <c r="T155" s="329"/>
      <c r="U155" s="329"/>
      <c r="V155" s="331"/>
      <c r="X155" s="333">
        <f>IF(AP155="","",AP155)</f>
        <v>46035</v>
      </c>
      <c r="Y155" s="327">
        <v>7651</v>
      </c>
      <c r="Z155" s="327">
        <f>IF(Y155="","",Y155-Y153)</f>
        <v>25</v>
      </c>
      <c r="AA155" s="328">
        <f>IF(Y155="","",Z155*1000)</f>
        <v>25000</v>
      </c>
      <c r="AB155" s="331" t="s">
        <v>131</v>
      </c>
      <c r="AD155" s="333">
        <f>IF(X155="","",X155)</f>
        <v>46035</v>
      </c>
      <c r="AE155" s="327">
        <v>5287</v>
      </c>
      <c r="AF155" s="327">
        <f>IF(AE155="","",AE155-AE153)</f>
        <v>24</v>
      </c>
      <c r="AG155" s="328">
        <f>IF(AE155="","",AF155*1000)</f>
        <v>24000</v>
      </c>
      <c r="AH155" s="331"/>
      <c r="AJ155" s="333">
        <f>IF(AD155="","",AD155)</f>
        <v>46035</v>
      </c>
      <c r="AK155" s="327">
        <v>7623</v>
      </c>
      <c r="AL155" s="327">
        <f>IF(AK155="","",AK155-AK153)</f>
        <v>34</v>
      </c>
      <c r="AM155" s="328">
        <f>IF(AK155="","",AL155*1000)</f>
        <v>34000</v>
      </c>
      <c r="AN155" s="331"/>
      <c r="AP155" s="333">
        <f>IF(M155="","",M155)</f>
        <v>46035</v>
      </c>
      <c r="AQ155" s="327"/>
      <c r="AR155" s="327">
        <v>8797</v>
      </c>
      <c r="AS155" s="327">
        <f>IF(AR155="","",AR155-AR153)</f>
        <v>26</v>
      </c>
      <c r="AT155" s="328">
        <f>IF(AR155="","",AS155*1000)</f>
        <v>26000</v>
      </c>
      <c r="AU155" s="328"/>
      <c r="AV155" s="328"/>
      <c r="AW155" s="329"/>
      <c r="AX155" s="329"/>
      <c r="AY155" s="331"/>
    </row>
    <row r="156" spans="2:51" ht="15" customHeight="1" x14ac:dyDescent="0.25">
      <c r="B156" s="333"/>
      <c r="C156" s="327"/>
      <c r="D156" s="327">
        <v>6339</v>
      </c>
      <c r="E156" s="327">
        <f t="shared" si="30"/>
        <v>10</v>
      </c>
      <c r="F156" s="328">
        <f t="shared" si="31"/>
        <v>1000</v>
      </c>
      <c r="G156" s="328"/>
      <c r="H156" s="328"/>
      <c r="I156" s="329"/>
      <c r="J156" s="329"/>
      <c r="K156" s="330"/>
      <c r="L156" s="323"/>
      <c r="M156" s="333"/>
      <c r="N156" s="327"/>
      <c r="O156" s="327"/>
      <c r="P156" s="327"/>
      <c r="Q156" s="328"/>
      <c r="R156" s="328"/>
      <c r="S156" s="328"/>
      <c r="T156" s="329"/>
      <c r="U156" s="329"/>
      <c r="V156" s="331"/>
      <c r="X156" s="333"/>
      <c r="Y156" s="327"/>
      <c r="Z156" s="327"/>
      <c r="AA156" s="328"/>
      <c r="AB156" s="331"/>
      <c r="AD156" s="333"/>
      <c r="AE156" s="327"/>
      <c r="AF156" s="327"/>
      <c r="AG156" s="328"/>
      <c r="AH156" s="331"/>
      <c r="AJ156" s="333"/>
      <c r="AK156" s="327"/>
      <c r="AL156" s="327"/>
      <c r="AM156" s="328"/>
      <c r="AN156" s="331"/>
      <c r="AP156" s="333"/>
      <c r="AQ156" s="327"/>
      <c r="AR156" s="327"/>
      <c r="AS156" s="327"/>
      <c r="AT156" s="328"/>
      <c r="AU156" s="328"/>
      <c r="AV156" s="328"/>
      <c r="AW156" s="329"/>
      <c r="AX156" s="329"/>
      <c r="AY156" s="331"/>
    </row>
    <row r="157" spans="2:51" ht="15" customHeight="1" x14ac:dyDescent="0.25">
      <c r="B157" s="333"/>
      <c r="C157" s="336"/>
      <c r="D157" s="327"/>
      <c r="E157" s="327"/>
      <c r="F157" s="328"/>
      <c r="G157" s="328"/>
      <c r="H157" s="328"/>
      <c r="I157" s="329"/>
      <c r="J157" s="329"/>
      <c r="K157" s="330"/>
      <c r="L157" s="323"/>
      <c r="M157" s="333"/>
      <c r="N157" s="327"/>
      <c r="O157" s="327"/>
      <c r="P157" s="327"/>
      <c r="Q157" s="328"/>
      <c r="R157" s="328"/>
      <c r="S157" s="328"/>
      <c r="T157" s="329"/>
      <c r="U157" s="329"/>
      <c r="V157" s="331"/>
      <c r="X157" s="333"/>
      <c r="Y157" s="327"/>
      <c r="Z157" s="327"/>
      <c r="AA157" s="328"/>
      <c r="AB157" s="331"/>
      <c r="AD157" s="333"/>
      <c r="AE157" s="327"/>
      <c r="AF157" s="327"/>
      <c r="AG157" s="328"/>
      <c r="AH157" s="331"/>
      <c r="AJ157" s="333"/>
      <c r="AK157" s="327"/>
      <c r="AL157" s="327"/>
      <c r="AM157" s="328"/>
      <c r="AN157" s="331"/>
      <c r="AP157" s="333"/>
      <c r="AQ157" s="327"/>
      <c r="AR157" s="327"/>
      <c r="AS157" s="327"/>
      <c r="AT157" s="328"/>
      <c r="AU157" s="328"/>
      <c r="AV157" s="328"/>
      <c r="AW157" s="329"/>
      <c r="AX157" s="329"/>
      <c r="AY157" s="331"/>
    </row>
    <row r="158" spans="2:51" ht="15" customHeight="1" x14ac:dyDescent="0.25">
      <c r="B158" s="333"/>
      <c r="C158" s="327"/>
      <c r="D158" s="327"/>
      <c r="E158" s="327"/>
      <c r="F158" s="328"/>
      <c r="G158" s="328"/>
      <c r="H158" s="328"/>
      <c r="I158" s="329"/>
      <c r="J158" s="329"/>
      <c r="K158" s="330"/>
      <c r="L158" s="323"/>
      <c r="M158" s="333"/>
      <c r="N158" s="327"/>
      <c r="O158" s="327"/>
      <c r="P158" s="327"/>
      <c r="Q158" s="328"/>
      <c r="R158" s="328"/>
      <c r="S158" s="328"/>
      <c r="T158" s="329"/>
      <c r="U158" s="329"/>
      <c r="V158" s="331"/>
      <c r="X158" s="333"/>
      <c r="Y158" s="327"/>
      <c r="Z158" s="327"/>
      <c r="AA158" s="328"/>
      <c r="AB158" s="331"/>
      <c r="AD158" s="333"/>
      <c r="AE158" s="327"/>
      <c r="AF158" s="327"/>
      <c r="AG158" s="328"/>
      <c r="AH158" s="331"/>
      <c r="AJ158" s="333"/>
      <c r="AK158" s="327"/>
      <c r="AL158" s="327"/>
      <c r="AM158" s="328"/>
      <c r="AN158" s="331"/>
      <c r="AP158" s="333"/>
      <c r="AQ158" s="327"/>
      <c r="AR158" s="327"/>
      <c r="AS158" s="327"/>
      <c r="AT158" s="328"/>
      <c r="AU158" s="328"/>
      <c r="AV158" s="328"/>
      <c r="AW158" s="329"/>
      <c r="AX158" s="329"/>
      <c r="AY158" s="331"/>
    </row>
    <row r="159" spans="2:51" ht="15" customHeight="1" x14ac:dyDescent="0.25">
      <c r="B159" s="333"/>
      <c r="C159" s="336">
        <f>SUM(IF(F159="",0,F159), IF(F160="",0,F160), IF(Q159="",0,Q159), IF(AT159="",0,AT159), IF(AA159="",0,AA159), IF(AG159="",0,AG159), IF(AM159="",0,AM159))</f>
        <v>0</v>
      </c>
      <c r="D159" s="327"/>
      <c r="E159" s="327" t="str">
        <f t="shared" si="30"/>
        <v/>
      </c>
      <c r="F159" s="328" t="str">
        <f t="shared" si="31"/>
        <v/>
      </c>
      <c r="G159" s="328"/>
      <c r="H159" s="328"/>
      <c r="I159" s="329"/>
      <c r="J159" s="329"/>
      <c r="K159" s="330"/>
      <c r="L159" s="323"/>
      <c r="M159" s="333" t="str">
        <f>IF(B159="","",B159)</f>
        <v/>
      </c>
      <c r="N159" s="327"/>
      <c r="O159" s="327"/>
      <c r="P159" s="327" t="str">
        <f>IF(O159="","",O159-O157)</f>
        <v/>
      </c>
      <c r="Q159" s="328" t="str">
        <f>IF(O159="","",P159*1000)</f>
        <v/>
      </c>
      <c r="R159" s="328"/>
      <c r="S159" s="328"/>
      <c r="T159" s="329"/>
      <c r="U159" s="329"/>
      <c r="V159" s="331"/>
      <c r="X159" s="333"/>
      <c r="Y159" s="327"/>
      <c r="Z159" s="327" t="str">
        <f>IF(Y159="","",Y159-Y157)</f>
        <v/>
      </c>
      <c r="AA159" s="328" t="str">
        <f>IF(Y159="","",Z159*1000)</f>
        <v/>
      </c>
      <c r="AB159" s="331"/>
      <c r="AD159" s="333" t="str">
        <f>IF(X159="","",X159)</f>
        <v/>
      </c>
      <c r="AE159" s="327"/>
      <c r="AF159" s="327" t="str">
        <f>IF(AE159="","",AE159-AE157)</f>
        <v/>
      </c>
      <c r="AG159" s="328" t="str">
        <f>IF(AE159="","",AF159*1000)</f>
        <v/>
      </c>
      <c r="AH159" s="331"/>
      <c r="AJ159" s="333" t="str">
        <f>IF(AD159="","",AD159)</f>
        <v/>
      </c>
      <c r="AK159" s="327"/>
      <c r="AL159" s="327" t="str">
        <f>IF(AK159="","",AK159-AK157)</f>
        <v/>
      </c>
      <c r="AM159" s="328" t="str">
        <f>IF(AK159="","",AL159*1000)</f>
        <v/>
      </c>
      <c r="AN159" s="331"/>
      <c r="AP159" s="333" t="str">
        <f>IF(M159="","",M159)</f>
        <v/>
      </c>
      <c r="AQ159" s="327"/>
      <c r="AR159" s="327"/>
      <c r="AS159" s="327" t="str">
        <f>IF(AR159="","",AR159-AR157)</f>
        <v/>
      </c>
      <c r="AT159" s="328" t="str">
        <f>IF(AR159="","",AS159*1000)</f>
        <v/>
      </c>
      <c r="AU159" s="328"/>
      <c r="AV159" s="328"/>
      <c r="AW159" s="329"/>
      <c r="AX159" s="329"/>
      <c r="AY159" s="331"/>
    </row>
    <row r="160" spans="2:51" ht="15" customHeight="1" x14ac:dyDescent="0.25">
      <c r="B160" s="333"/>
      <c r="C160" s="327"/>
      <c r="D160" s="327"/>
      <c r="E160" s="327" t="str">
        <f t="shared" si="30"/>
        <v/>
      </c>
      <c r="F160" s="328" t="str">
        <f t="shared" si="31"/>
        <v/>
      </c>
      <c r="G160" s="328"/>
      <c r="H160" s="328"/>
      <c r="I160" s="329"/>
      <c r="J160" s="329"/>
      <c r="K160" s="330"/>
      <c r="L160" s="323"/>
      <c r="M160" s="333"/>
      <c r="N160" s="327"/>
      <c r="O160" s="327"/>
      <c r="P160" s="327"/>
      <c r="Q160" s="328"/>
      <c r="R160" s="328"/>
      <c r="S160" s="328"/>
      <c r="T160" s="329"/>
      <c r="U160" s="329"/>
      <c r="V160" s="331"/>
      <c r="X160" s="333"/>
      <c r="Y160" s="327"/>
      <c r="Z160" s="327"/>
      <c r="AA160" s="328"/>
      <c r="AB160" s="331"/>
      <c r="AD160" s="333"/>
      <c r="AE160" s="327"/>
      <c r="AF160" s="327"/>
      <c r="AG160" s="328"/>
      <c r="AH160" s="331"/>
      <c r="AJ160" s="333"/>
      <c r="AK160" s="327"/>
      <c r="AL160" s="327"/>
      <c r="AM160" s="328"/>
      <c r="AN160" s="331"/>
      <c r="AP160" s="333"/>
      <c r="AQ160" s="327"/>
      <c r="AR160" s="327"/>
      <c r="AS160" s="327"/>
      <c r="AT160" s="328"/>
      <c r="AU160" s="328"/>
      <c r="AV160" s="328"/>
      <c r="AW160" s="329"/>
      <c r="AX160" s="329"/>
      <c r="AY160" s="331"/>
    </row>
    <row r="161" spans="2:51" ht="15" customHeight="1" x14ac:dyDescent="0.25">
      <c r="B161" s="333"/>
      <c r="C161" s="336">
        <f>SUM(IF(F161="",0,F161), IF(F162="",0,F162), IF(Q161="",0,Q161), IF(AT161="",0,AT161), IF(AA161="",0,AA161), IF(AG161="",0,AG161), IF(AM161="",0,AM161))</f>
        <v>0</v>
      </c>
      <c r="D161" s="327"/>
      <c r="E161" s="327" t="str">
        <f t="shared" si="30"/>
        <v/>
      </c>
      <c r="F161" s="328" t="str">
        <f t="shared" si="31"/>
        <v/>
      </c>
      <c r="G161" s="328"/>
      <c r="H161" s="328"/>
      <c r="I161" s="329"/>
      <c r="J161" s="329"/>
      <c r="K161" s="330"/>
      <c r="L161" s="323"/>
      <c r="M161" s="333" t="str">
        <f>IF(B161="","",B161)</f>
        <v/>
      </c>
      <c r="N161" s="327"/>
      <c r="O161" s="327"/>
      <c r="P161" s="327" t="str">
        <f>IF(O161="","",O161-O159)</f>
        <v/>
      </c>
      <c r="Q161" s="328" t="str">
        <f>IF(O161="","",P161*1000)</f>
        <v/>
      </c>
      <c r="R161" s="328"/>
      <c r="S161" s="328"/>
      <c r="T161" s="329"/>
      <c r="U161" s="329"/>
      <c r="V161" s="331"/>
      <c r="X161" s="333" t="str">
        <f>IF(AP161="","",AP161)</f>
        <v/>
      </c>
      <c r="Y161" s="327"/>
      <c r="Z161" s="327" t="str">
        <f>IF(Y161="","",Y161-Y159)</f>
        <v/>
      </c>
      <c r="AA161" s="328" t="str">
        <f>IF(Y161="","",Z161*1000)</f>
        <v/>
      </c>
      <c r="AB161" s="331"/>
      <c r="AD161" s="333" t="str">
        <f>IF(X161="","",X161)</f>
        <v/>
      </c>
      <c r="AE161" s="327"/>
      <c r="AF161" s="327" t="str">
        <f>IF(AE161="","",AE161-AE159)</f>
        <v/>
      </c>
      <c r="AG161" s="328" t="str">
        <f>IF(AE161="","",AF161*1000)</f>
        <v/>
      </c>
      <c r="AH161" s="331"/>
      <c r="AJ161" s="333" t="str">
        <f>IF(AD161="","",AD161)</f>
        <v/>
      </c>
      <c r="AK161" s="327"/>
      <c r="AL161" s="327" t="str">
        <f>IF(AK161="","",AK161-AK159)</f>
        <v/>
      </c>
      <c r="AM161" s="328" t="str">
        <f>IF(AK161="","",AL161*1000)</f>
        <v/>
      </c>
      <c r="AN161" s="331"/>
      <c r="AP161" s="333" t="str">
        <f>IF(M161="","",M161)</f>
        <v/>
      </c>
      <c r="AQ161" s="327"/>
      <c r="AR161" s="327"/>
      <c r="AS161" s="327" t="str">
        <f>IF(AR161="","",AR161-AR159)</f>
        <v/>
      </c>
      <c r="AT161" s="328" t="str">
        <f>IF(AR161="","",AS161*1000)</f>
        <v/>
      </c>
      <c r="AU161" s="328"/>
      <c r="AV161" s="328"/>
      <c r="AW161" s="329"/>
      <c r="AX161" s="329"/>
      <c r="AY161" s="331"/>
    </row>
    <row r="162" spans="2:51" ht="15" customHeight="1" x14ac:dyDescent="0.25">
      <c r="B162" s="333"/>
      <c r="C162" s="327"/>
      <c r="D162" s="327"/>
      <c r="E162" s="327" t="str">
        <f t="shared" si="30"/>
        <v/>
      </c>
      <c r="F162" s="328" t="str">
        <f t="shared" si="31"/>
        <v/>
      </c>
      <c r="G162" s="328"/>
      <c r="H162" s="328"/>
      <c r="I162" s="329"/>
      <c r="J162" s="329"/>
      <c r="K162" s="330"/>
      <c r="L162" s="323"/>
      <c r="M162" s="333"/>
      <c r="N162" s="327"/>
      <c r="O162" s="327"/>
      <c r="P162" s="327"/>
      <c r="Q162" s="328"/>
      <c r="R162" s="328"/>
      <c r="S162" s="328"/>
      <c r="T162" s="329"/>
      <c r="U162" s="329"/>
      <c r="V162" s="331"/>
      <c r="X162" s="333"/>
      <c r="Y162" s="327"/>
      <c r="Z162" s="327"/>
      <c r="AA162" s="328"/>
      <c r="AB162" s="331"/>
      <c r="AD162" s="333"/>
      <c r="AE162" s="327"/>
      <c r="AF162" s="327"/>
      <c r="AG162" s="328"/>
      <c r="AH162" s="331"/>
      <c r="AJ162" s="333"/>
      <c r="AK162" s="327"/>
      <c r="AL162" s="327"/>
      <c r="AM162" s="328"/>
      <c r="AN162" s="331"/>
      <c r="AP162" s="333"/>
      <c r="AQ162" s="327"/>
      <c r="AR162" s="327"/>
      <c r="AS162" s="327"/>
      <c r="AT162" s="328"/>
      <c r="AU162" s="328"/>
      <c r="AV162" s="328"/>
      <c r="AW162" s="329"/>
      <c r="AX162" s="329"/>
      <c r="AY162" s="331"/>
    </row>
    <row r="163" spans="2:51" ht="15" customHeight="1" x14ac:dyDescent="0.25">
      <c r="B163" s="333"/>
      <c r="C163" s="336">
        <f>SUM(IF(F163="",0,F163), IF(F164="",0,F164), IF(Q163="",0,Q163), IF(AT163="",0,AT163), IF(AA163="",0,AA163), IF(AG163="",0,AG163), IF(AM163="",0,AM163))</f>
        <v>0</v>
      </c>
      <c r="D163" s="327"/>
      <c r="E163" s="327" t="str">
        <f t="shared" si="30"/>
        <v/>
      </c>
      <c r="F163" s="328" t="str">
        <f t="shared" si="31"/>
        <v/>
      </c>
      <c r="G163" s="328"/>
      <c r="H163" s="328"/>
      <c r="I163" s="329"/>
      <c r="J163" s="329"/>
      <c r="K163" s="330"/>
      <c r="L163" s="323"/>
      <c r="M163" s="333" t="str">
        <f>IF(B163="","",B163)</f>
        <v/>
      </c>
      <c r="N163" s="327"/>
      <c r="O163" s="327"/>
      <c r="P163" s="327" t="str">
        <f>IF(O163="","",O163-O161)</f>
        <v/>
      </c>
      <c r="Q163" s="328" t="str">
        <f>IF(O163="","",P163*1000)</f>
        <v/>
      </c>
      <c r="R163" s="328"/>
      <c r="S163" s="328"/>
      <c r="T163" s="329"/>
      <c r="U163" s="329"/>
      <c r="V163" s="331"/>
      <c r="X163" s="333" t="str">
        <f>IF(AP163="","",AP163)</f>
        <v/>
      </c>
      <c r="Y163" s="327"/>
      <c r="Z163" s="327" t="str">
        <f>IF(Y163="","",Y163-Y161)</f>
        <v/>
      </c>
      <c r="AA163" s="328" t="str">
        <f>IF(Y163="","",Z163*1000)</f>
        <v/>
      </c>
      <c r="AB163" s="331"/>
      <c r="AD163" s="333" t="str">
        <f>IF(X163="","",X163)</f>
        <v/>
      </c>
      <c r="AE163" s="327"/>
      <c r="AF163" s="327" t="str">
        <f>IF(AE163="","",AE163-AE161)</f>
        <v/>
      </c>
      <c r="AG163" s="328" t="str">
        <f>IF(AE163="","",AF163*1000)</f>
        <v/>
      </c>
      <c r="AH163" s="331"/>
      <c r="AJ163" s="333" t="str">
        <f>IF(AD163="","",AD163)</f>
        <v/>
      </c>
      <c r="AK163" s="327"/>
      <c r="AL163" s="327" t="str">
        <f>IF(AK163="","",AK163-AK161)</f>
        <v/>
      </c>
      <c r="AM163" s="328" t="str">
        <f>IF(AK163="","",AL163*1000)</f>
        <v/>
      </c>
      <c r="AN163" s="331"/>
      <c r="AP163" s="333" t="str">
        <f>IF(M163="","",M163)</f>
        <v/>
      </c>
      <c r="AQ163" s="327"/>
      <c r="AR163" s="327"/>
      <c r="AS163" s="327" t="str">
        <f>IF(AR163="","",AR163-AR161)</f>
        <v/>
      </c>
      <c r="AT163" s="328" t="str">
        <f>IF(AR163="","",AS163*1000)</f>
        <v/>
      </c>
      <c r="AU163" s="328"/>
      <c r="AV163" s="328"/>
      <c r="AW163" s="329"/>
      <c r="AX163" s="329"/>
      <c r="AY163" s="331"/>
    </row>
    <row r="164" spans="2:51" ht="15" customHeight="1" x14ac:dyDescent="0.25">
      <c r="B164" s="333"/>
      <c r="C164" s="327"/>
      <c r="D164" s="327"/>
      <c r="E164" s="327" t="str">
        <f t="shared" si="30"/>
        <v/>
      </c>
      <c r="F164" s="328" t="str">
        <f t="shared" si="31"/>
        <v/>
      </c>
      <c r="G164" s="328"/>
      <c r="H164" s="328"/>
      <c r="I164" s="329"/>
      <c r="J164" s="329"/>
      <c r="K164" s="330"/>
      <c r="L164" s="323"/>
      <c r="M164" s="333"/>
      <c r="N164" s="327"/>
      <c r="O164" s="327"/>
      <c r="P164" s="327"/>
      <c r="Q164" s="328"/>
      <c r="R164" s="328"/>
      <c r="S164" s="328"/>
      <c r="T164" s="329"/>
      <c r="U164" s="329"/>
      <c r="V164" s="331"/>
      <c r="X164" s="333"/>
      <c r="Y164" s="327"/>
      <c r="Z164" s="327"/>
      <c r="AA164" s="328"/>
      <c r="AB164" s="331"/>
      <c r="AD164" s="333"/>
      <c r="AE164" s="327"/>
      <c r="AF164" s="327"/>
      <c r="AG164" s="328"/>
      <c r="AH164" s="331"/>
      <c r="AJ164" s="333"/>
      <c r="AK164" s="327"/>
      <c r="AL164" s="327"/>
      <c r="AM164" s="328"/>
      <c r="AN164" s="331"/>
      <c r="AP164" s="333"/>
      <c r="AQ164" s="327"/>
      <c r="AR164" s="327"/>
      <c r="AS164" s="327"/>
      <c r="AT164" s="328"/>
      <c r="AU164" s="328"/>
      <c r="AV164" s="328"/>
      <c r="AW164" s="329"/>
      <c r="AX164" s="329"/>
      <c r="AY164" s="331"/>
    </row>
    <row r="165" spans="2:51" ht="15" customHeight="1" x14ac:dyDescent="0.25">
      <c r="B165" s="333"/>
      <c r="C165" s="336">
        <f>SUM(IF(F165="",0,F165), IF(F166="",0,F166), IF(Q165="",0,Q165), IF(AT165="",0,AT165), IF(AA165="",0,AA165), IF(AG165="",0,AG165), IF(AM165="",0,AM165))</f>
        <v>0</v>
      </c>
      <c r="D165" s="327"/>
      <c r="E165" s="327" t="str">
        <f t="shared" si="30"/>
        <v/>
      </c>
      <c r="F165" s="328" t="str">
        <f t="shared" si="31"/>
        <v/>
      </c>
      <c r="G165" s="328"/>
      <c r="H165" s="328"/>
      <c r="I165" s="329"/>
      <c r="J165" s="329"/>
      <c r="K165" s="330"/>
      <c r="L165" s="323"/>
      <c r="M165" s="333" t="str">
        <f>IF(B165="","",B165)</f>
        <v/>
      </c>
      <c r="N165" s="327"/>
      <c r="O165" s="327"/>
      <c r="P165" s="327" t="str">
        <f>IF(O165="","",O165-O163)</f>
        <v/>
      </c>
      <c r="Q165" s="328" t="str">
        <f>IF(O165="","",P165*1000)</f>
        <v/>
      </c>
      <c r="R165" s="328"/>
      <c r="S165" s="328"/>
      <c r="T165" s="329"/>
      <c r="U165" s="329"/>
      <c r="V165" s="331"/>
      <c r="X165" s="333" t="str">
        <f>IF(AP165="","",AP165)</f>
        <v/>
      </c>
      <c r="Y165" s="327"/>
      <c r="Z165" s="327" t="str">
        <f>IF(Y165="","",Y165-Y163)</f>
        <v/>
      </c>
      <c r="AA165" s="328" t="str">
        <f>IF(Y165="","",Z165*1000)</f>
        <v/>
      </c>
      <c r="AB165" s="331"/>
      <c r="AD165" s="333" t="str">
        <f>IF(X165="","",X165)</f>
        <v/>
      </c>
      <c r="AE165" s="327"/>
      <c r="AF165" s="327" t="str">
        <f>IF(AE165="","",AE165-AE163)</f>
        <v/>
      </c>
      <c r="AG165" s="328" t="str">
        <f>IF(AE165="","",AF165*1000)</f>
        <v/>
      </c>
      <c r="AH165" s="331"/>
      <c r="AJ165" s="333" t="str">
        <f>IF(AD165="","",AD165)</f>
        <v/>
      </c>
      <c r="AK165" s="327"/>
      <c r="AL165" s="327" t="str">
        <f>IF(AK165="","",AK165-AK163)</f>
        <v/>
      </c>
      <c r="AM165" s="328" t="str">
        <f>IF(AK165="","",AL165*1000)</f>
        <v/>
      </c>
      <c r="AN165" s="331"/>
      <c r="AP165" s="333" t="str">
        <f>IF(M165="","",M165)</f>
        <v/>
      </c>
      <c r="AQ165" s="327"/>
      <c r="AR165" s="327"/>
      <c r="AS165" s="327" t="str">
        <f>IF(AR165="","",AR165-AR163)</f>
        <v/>
      </c>
      <c r="AT165" s="328" t="str">
        <f>IF(AR165="","",AS165*1000)</f>
        <v/>
      </c>
      <c r="AU165" s="328"/>
      <c r="AV165" s="328"/>
      <c r="AW165" s="329"/>
      <c r="AX165" s="329"/>
      <c r="AY165" s="331"/>
    </row>
    <row r="166" spans="2:51" ht="15" hidden="1" customHeight="1" x14ac:dyDescent="0.25">
      <c r="B166" s="333"/>
      <c r="C166" s="327"/>
      <c r="D166" s="327"/>
      <c r="E166" s="327" t="str">
        <f t="shared" si="30"/>
        <v/>
      </c>
      <c r="F166" s="328" t="str">
        <f t="shared" si="31"/>
        <v/>
      </c>
      <c r="G166" s="328"/>
      <c r="H166" s="328"/>
      <c r="I166" s="329"/>
      <c r="J166" s="329"/>
      <c r="K166" s="330"/>
      <c r="L166" s="323"/>
      <c r="M166" s="333"/>
      <c r="N166" s="327"/>
      <c r="O166" s="327"/>
      <c r="P166" s="327"/>
      <c r="Q166" s="328"/>
      <c r="R166" s="328"/>
      <c r="S166" s="328"/>
      <c r="T166" s="329"/>
      <c r="U166" s="329"/>
      <c r="V166" s="331"/>
      <c r="X166" s="333"/>
      <c r="Y166" s="327"/>
      <c r="Z166" s="327"/>
      <c r="AA166" s="328"/>
      <c r="AB166" s="331"/>
      <c r="AD166" s="333"/>
      <c r="AE166" s="327"/>
      <c r="AF166" s="327"/>
      <c r="AG166" s="328"/>
      <c r="AH166" s="331"/>
      <c r="AJ166" s="333"/>
      <c r="AK166" s="327"/>
      <c r="AL166" s="327"/>
      <c r="AM166" s="328"/>
      <c r="AN166" s="331"/>
      <c r="AP166" s="333"/>
      <c r="AQ166" s="327"/>
      <c r="AR166" s="327"/>
      <c r="AS166" s="327"/>
      <c r="AT166" s="328"/>
      <c r="AU166" s="328"/>
      <c r="AV166" s="328"/>
      <c r="AW166" s="329"/>
      <c r="AX166" s="329"/>
      <c r="AY166" s="331"/>
    </row>
    <row r="167" spans="2:51" ht="15" customHeight="1" x14ac:dyDescent="0.25">
      <c r="B167" s="333"/>
      <c r="C167" s="336">
        <f>SUM(IF(F167="",0,F167), IF(F168="",0,F168), IF(Q167="",0,Q167), IF(AT167="",0,AT167), IF(AA167="",0,AA167), IF(AG167="",0,AG167), IF(AM167="",0,AM167))</f>
        <v>0</v>
      </c>
      <c r="D167" s="327"/>
      <c r="E167" s="327" t="str">
        <f t="shared" si="30"/>
        <v/>
      </c>
      <c r="F167" s="328" t="str">
        <f t="shared" si="31"/>
        <v/>
      </c>
      <c r="G167" s="328"/>
      <c r="H167" s="328"/>
      <c r="I167" s="329"/>
      <c r="J167" s="329"/>
      <c r="K167" s="330"/>
      <c r="L167" s="323"/>
      <c r="M167" s="333" t="str">
        <f>IF(B167="","",B167)</f>
        <v/>
      </c>
      <c r="N167" s="327"/>
      <c r="O167" s="327"/>
      <c r="P167" s="327" t="str">
        <f>IF(O167="","",O167-O165)</f>
        <v/>
      </c>
      <c r="Q167" s="328" t="str">
        <f>IF(O167="","",P167*1000)</f>
        <v/>
      </c>
      <c r="R167" s="328"/>
      <c r="S167" s="328"/>
      <c r="T167" s="329"/>
      <c r="U167" s="329"/>
      <c r="V167" s="331"/>
      <c r="X167" s="333" t="str">
        <f>IF(AP167="","",AP167)</f>
        <v/>
      </c>
      <c r="Y167" s="327"/>
      <c r="Z167" s="327" t="str">
        <f>IF(Y167="","",Y167-Y165)</f>
        <v/>
      </c>
      <c r="AA167" s="328" t="str">
        <f>IF(Y167="","",Z167*1000)</f>
        <v/>
      </c>
      <c r="AB167" s="331"/>
      <c r="AD167" s="333" t="str">
        <f>IF(X167="","",X167)</f>
        <v/>
      </c>
      <c r="AE167" s="327"/>
      <c r="AF167" s="327" t="str">
        <f>IF(AE167="","",AE167-AE165)</f>
        <v/>
      </c>
      <c r="AG167" s="328" t="str">
        <f>IF(AE167="","",AF167*1000)</f>
        <v/>
      </c>
      <c r="AH167" s="331"/>
      <c r="AJ167" s="333" t="str">
        <f>IF(AD167="","",AD167)</f>
        <v/>
      </c>
      <c r="AK167" s="327"/>
      <c r="AL167" s="327" t="str">
        <f>IF(AK167="","",AK167-AK165)</f>
        <v/>
      </c>
      <c r="AM167" s="328" t="str">
        <f>IF(AK167="","",AL167*1000)</f>
        <v/>
      </c>
      <c r="AN167" s="331"/>
      <c r="AP167" s="333" t="str">
        <f>IF(M167="","",M167)</f>
        <v/>
      </c>
      <c r="AQ167" s="327"/>
      <c r="AR167" s="327"/>
      <c r="AS167" s="327" t="str">
        <f>IF(AR167="","",AR167-AR165)</f>
        <v/>
      </c>
      <c r="AT167" s="328" t="str">
        <f>IF(AR167="","",AS167*1000)</f>
        <v/>
      </c>
      <c r="AU167" s="328"/>
      <c r="AV167" s="328"/>
      <c r="AW167" s="329"/>
      <c r="AX167" s="329"/>
      <c r="AY167" s="331"/>
    </row>
    <row r="168" spans="2:51" ht="15" customHeight="1" x14ac:dyDescent="0.25">
      <c r="B168" s="333"/>
      <c r="C168" s="327"/>
      <c r="D168" s="327"/>
      <c r="E168" s="327" t="str">
        <f t="shared" si="30"/>
        <v/>
      </c>
      <c r="F168" s="328" t="str">
        <f t="shared" si="31"/>
        <v/>
      </c>
      <c r="G168" s="328"/>
      <c r="H168" s="328"/>
      <c r="I168" s="329"/>
      <c r="J168" s="329"/>
      <c r="K168" s="330"/>
      <c r="L168" s="323"/>
      <c r="M168" s="333"/>
      <c r="N168" s="327"/>
      <c r="O168" s="327"/>
      <c r="P168" s="327"/>
      <c r="Q168" s="328"/>
      <c r="R168" s="328"/>
      <c r="S168" s="328"/>
      <c r="T168" s="329"/>
      <c r="U168" s="329"/>
      <c r="V168" s="331"/>
      <c r="X168" s="333"/>
      <c r="Y168" s="327"/>
      <c r="Z168" s="327"/>
      <c r="AA168" s="328"/>
      <c r="AB168" s="331"/>
      <c r="AD168" s="333"/>
      <c r="AE168" s="327"/>
      <c r="AF168" s="327"/>
      <c r="AG168" s="328"/>
      <c r="AH168" s="331"/>
      <c r="AJ168" s="333"/>
      <c r="AK168" s="327"/>
      <c r="AL168" s="327"/>
      <c r="AM168" s="328"/>
      <c r="AN168" s="331"/>
      <c r="AP168" s="333"/>
      <c r="AQ168" s="327"/>
      <c r="AR168" s="327"/>
      <c r="AS168" s="327"/>
      <c r="AT168" s="328"/>
      <c r="AU168" s="328"/>
      <c r="AV168" s="328"/>
      <c r="AW168" s="329"/>
      <c r="AX168" s="329"/>
      <c r="AY168" s="331"/>
    </row>
    <row r="169" spans="2:51" ht="15" customHeight="1" x14ac:dyDescent="0.25">
      <c r="B169" s="393">
        <f>DATEDIF(B$109,B$155,"d")</f>
        <v>28</v>
      </c>
      <c r="C169" s="338"/>
      <c r="D169" s="338"/>
      <c r="E169" s="338" t="str">
        <f>IF(D169="","",D169-D161)</f>
        <v/>
      </c>
      <c r="F169" s="328" t="str">
        <f t="shared" si="31"/>
        <v/>
      </c>
      <c r="G169" s="338"/>
      <c r="H169" s="338"/>
      <c r="I169" s="338"/>
      <c r="J169" s="338"/>
      <c r="K169" s="339"/>
      <c r="L169" s="340"/>
      <c r="M169" s="337">
        <f>IF(B169="","",B169)</f>
        <v>28</v>
      </c>
      <c r="N169" s="338"/>
      <c r="O169" s="338"/>
      <c r="P169" s="338" t="str">
        <f>IF(O169="","",O169-O161)</f>
        <v/>
      </c>
      <c r="Q169" s="338" t="str">
        <f>IF(O169="","",P169*1000)</f>
        <v/>
      </c>
      <c r="R169" s="338"/>
      <c r="S169" s="338"/>
      <c r="T169" s="338"/>
      <c r="U169" s="338"/>
      <c r="V169" s="341"/>
      <c r="W169" s="238"/>
      <c r="X169" s="337">
        <f>IF(AP169="","",AP169)</f>
        <v>28</v>
      </c>
      <c r="Y169" s="338"/>
      <c r="Z169" s="338" t="str">
        <f>IF(Y169="","",Y169-Y161)</f>
        <v/>
      </c>
      <c r="AA169" s="338" t="str">
        <f>IF(Y169="","",Z169*1000)</f>
        <v/>
      </c>
      <c r="AB169" s="341"/>
      <c r="AC169" s="238"/>
      <c r="AD169" s="337">
        <f>IF(X169="","",X169)</f>
        <v>28</v>
      </c>
      <c r="AE169" s="338"/>
      <c r="AF169" s="338" t="str">
        <f>IF(AE169="","",AE169-AE161)</f>
        <v/>
      </c>
      <c r="AG169" s="338" t="str">
        <f>IF(AE169="","",AF169*1000)</f>
        <v/>
      </c>
      <c r="AH169" s="341"/>
      <c r="AI169" s="238"/>
      <c r="AJ169" s="337">
        <f>IF(AD169="","",AD169)</f>
        <v>28</v>
      </c>
      <c r="AK169" s="338"/>
      <c r="AL169" s="338" t="str">
        <f>IF(AK169="","",AK169-AK161)</f>
        <v/>
      </c>
      <c r="AM169" s="338" t="str">
        <f>IF(AK169="","",AL169*1000)</f>
        <v/>
      </c>
      <c r="AN169" s="341"/>
      <c r="AO169" s="238"/>
      <c r="AP169" s="337">
        <f>IF(M169="","",M169)</f>
        <v>28</v>
      </c>
      <c r="AQ169" s="338"/>
      <c r="AR169" s="338"/>
      <c r="AS169" s="338" t="str">
        <f>IF(AR169="","",AR169-AR161)</f>
        <v/>
      </c>
      <c r="AT169" s="338" t="str">
        <f>IF(AR169="","",AS169*1000)</f>
        <v/>
      </c>
      <c r="AU169" s="338"/>
      <c r="AV169" s="338"/>
      <c r="AW169" s="338"/>
      <c r="AX169" s="338"/>
      <c r="AY169" s="341"/>
    </row>
    <row r="170" spans="2:51" ht="15" customHeight="1" x14ac:dyDescent="0.25">
      <c r="B170" s="333"/>
      <c r="C170" s="327"/>
      <c r="D170" s="327"/>
      <c r="E170" s="327" t="str">
        <f>IF(D170="","",D170-D166)</f>
        <v/>
      </c>
      <c r="F170" s="328" t="str">
        <f t="shared" si="31"/>
        <v/>
      </c>
      <c r="G170" s="328"/>
      <c r="H170" s="328"/>
      <c r="I170" s="329"/>
      <c r="J170" s="329"/>
      <c r="K170" s="330"/>
      <c r="L170" s="323"/>
      <c r="M170" s="333"/>
      <c r="N170" s="327"/>
      <c r="O170" s="327"/>
      <c r="P170" s="327"/>
      <c r="Q170" s="328"/>
      <c r="R170" s="328"/>
      <c r="S170" s="328"/>
      <c r="T170" s="329"/>
      <c r="U170" s="329"/>
      <c r="V170" s="331"/>
      <c r="X170" s="333"/>
      <c r="Y170" s="327"/>
      <c r="Z170" s="327"/>
      <c r="AA170" s="328"/>
      <c r="AB170" s="331"/>
      <c r="AD170" s="333"/>
      <c r="AE170" s="327"/>
      <c r="AF170" s="327"/>
      <c r="AG170" s="328"/>
      <c r="AH170" s="331"/>
      <c r="AJ170" s="333"/>
      <c r="AK170" s="327"/>
      <c r="AL170" s="327"/>
      <c r="AM170" s="328"/>
      <c r="AN170" s="331"/>
      <c r="AP170" s="333"/>
      <c r="AQ170" s="327"/>
      <c r="AR170" s="327"/>
      <c r="AS170" s="327"/>
      <c r="AT170" s="328"/>
      <c r="AU170" s="328"/>
      <c r="AV170" s="328"/>
      <c r="AW170" s="329"/>
      <c r="AX170" s="329"/>
      <c r="AY170" s="331"/>
    </row>
    <row r="171" spans="2:51" ht="15" customHeight="1" x14ac:dyDescent="0.25">
      <c r="B171" s="380">
        <f>SUM(E135, E137, E139, E141, E143, E145, E147, E149, E151, E153, E155, E157, E171,E159,E161,E163,E165,E167,E169)</f>
        <v>1775</v>
      </c>
      <c r="C171" s="327"/>
      <c r="D171" s="327"/>
      <c r="E171" s="327" t="str">
        <f>IF(D171="","",D171-D169)</f>
        <v/>
      </c>
      <c r="F171" s="328" t="str">
        <f t="shared" si="31"/>
        <v/>
      </c>
      <c r="G171" s="328"/>
      <c r="H171" s="328"/>
      <c r="I171" s="329"/>
      <c r="J171" s="329"/>
      <c r="K171" s="330"/>
      <c r="L171" s="323"/>
      <c r="M171" s="334">
        <f>SUM(P135, P137, P139, P141, P143, P145, P147, P149, P151, P153, P161, P169, P171)</f>
        <v>188</v>
      </c>
      <c r="N171" s="327"/>
      <c r="O171" s="327"/>
      <c r="P171" s="327" t="str">
        <f>IF(O171="","",O171-O169)</f>
        <v/>
      </c>
      <c r="Q171" s="328" t="str">
        <f>IF(O171="","",P171*1000)</f>
        <v/>
      </c>
      <c r="R171" s="328"/>
      <c r="S171" s="328"/>
      <c r="T171" s="329"/>
      <c r="U171" s="329"/>
      <c r="V171" s="331"/>
      <c r="X171" s="334">
        <f>SUM(Z135, Z137, Z139, Z141, Z143, Z145, Z147, Z149, Z151, Z153, Z161, Z169, Z171)</f>
        <v>156</v>
      </c>
      <c r="Y171" s="327"/>
      <c r="Z171" s="327" t="str">
        <f>IF(Y171="","",Y171-Y169)</f>
        <v/>
      </c>
      <c r="AA171" s="328" t="str">
        <f>IF(Y171="","",Z171*1000)</f>
        <v/>
      </c>
      <c r="AB171" s="331"/>
      <c r="AD171" s="334">
        <f>SUM(AF135, AF137, AF139, AF141, AF143, AF145, AF147, AF149, AF151, AF153, AF161, AF169, AF171)</f>
        <v>128</v>
      </c>
      <c r="AE171" s="327"/>
      <c r="AF171" s="327" t="str">
        <f>IF(AE171="","",AE171-AE169)</f>
        <v/>
      </c>
      <c r="AG171" s="328" t="str">
        <f>IF(AE171="","",AF171*1000)</f>
        <v/>
      </c>
      <c r="AH171" s="331"/>
      <c r="AJ171" s="334">
        <f>SUM(AL135, AL137, AL139, AL141, AL143, AL145, AL147, AL149, AL151, AL153, AL161, AL169, AL171)</f>
        <v>308</v>
      </c>
      <c r="AK171" s="327"/>
      <c r="AL171" s="327" t="str">
        <f>IF(AK171="","",AK171-AK169)</f>
        <v/>
      </c>
      <c r="AM171" s="328" t="str">
        <f>IF(AK171="","",AL171*1000)</f>
        <v/>
      </c>
      <c r="AN171" s="331"/>
      <c r="AP171" s="334">
        <f>SUM(AS135, AS137, AS139, AS141, AS143, AS145, AS147, AS149, AS151, AS153, AS161, AS169, AS171)</f>
        <v>162</v>
      </c>
      <c r="AQ171" s="327"/>
      <c r="AR171" s="327"/>
      <c r="AS171" s="327" t="str">
        <f>IF(AR171="","",AR171-AR169)</f>
        <v/>
      </c>
      <c r="AT171" s="328" t="str">
        <f>IF(AR171="","",AS171*1000)</f>
        <v/>
      </c>
      <c r="AU171" s="328"/>
      <c r="AV171" s="328"/>
      <c r="AW171" s="329"/>
      <c r="AX171" s="329"/>
      <c r="AY171" s="331"/>
    </row>
    <row r="172" spans="2:51" ht="15" customHeight="1" x14ac:dyDescent="0.25">
      <c r="B172" s="380">
        <f>SUM(E136, E138, E140, E142, E144, E146, E148, E150, E152, E154, E156, E158, E172,E160,E162,E164,E166,E168,E170)</f>
        <v>582</v>
      </c>
      <c r="C172" s="327"/>
      <c r="D172" s="327"/>
      <c r="E172" s="327" t="str">
        <f>IF(D172="","",D172-D170)</f>
        <v/>
      </c>
      <c r="F172" s="328" t="str">
        <f t="shared" si="31"/>
        <v/>
      </c>
      <c r="G172" s="328"/>
      <c r="H172" s="328"/>
      <c r="I172" s="329"/>
      <c r="J172" s="329"/>
      <c r="K172" s="330"/>
      <c r="L172" s="323"/>
      <c r="M172" s="334">
        <f>SUM(P136, P138, P140, P142, P144, P146, P148, P150, P152, P154, P166, P170, P172)</f>
        <v>0</v>
      </c>
      <c r="N172" s="327"/>
      <c r="O172" s="327"/>
      <c r="P172" s="327"/>
      <c r="Q172" s="328"/>
      <c r="R172" s="328"/>
      <c r="S172" s="328"/>
      <c r="T172" s="329"/>
      <c r="U172" s="329"/>
      <c r="V172" s="331"/>
      <c r="X172" s="334">
        <f>SUM(Z136, Z138, Z140, Z142, Z144, Z146, Z148, Z150, Z152, Z154, Z166, Z170, Z172)</f>
        <v>0</v>
      </c>
      <c r="Y172" s="327"/>
      <c r="Z172" s="327"/>
      <c r="AA172" s="328"/>
      <c r="AB172" s="331"/>
      <c r="AD172" s="334">
        <f>SUM(AF136, AF138, AF140, AF142, AF144, AF146, AF148, AF150, AF152, AF154, AF166, AF170, AF172)</f>
        <v>0</v>
      </c>
      <c r="AE172" s="327"/>
      <c r="AF172" s="327"/>
      <c r="AG172" s="328"/>
      <c r="AH172" s="331"/>
      <c r="AJ172" s="334">
        <f>SUM(AL136, AL138, AL140, AL142, AL144, AL146, AL148, AL150, AL152, AL154, AL166, AL170, AL172)</f>
        <v>0</v>
      </c>
      <c r="AK172" s="327"/>
      <c r="AL172" s="327"/>
      <c r="AM172" s="328"/>
      <c r="AN172" s="331"/>
      <c r="AP172" s="334">
        <f>SUM(AS136, AS138, AS140, AS142, AS144, AS146, AS148, AS150, AS152, AS154, AS166, AS170, AS172)</f>
        <v>0</v>
      </c>
      <c r="AQ172" s="327"/>
      <c r="AR172" s="327"/>
      <c r="AS172" s="327"/>
      <c r="AT172" s="328"/>
      <c r="AU172" s="328"/>
      <c r="AV172" s="328"/>
      <c r="AW172" s="329"/>
      <c r="AX172" s="329"/>
      <c r="AY172" s="331"/>
    </row>
    <row r="173" spans="2:51" ht="15" customHeight="1" x14ac:dyDescent="0.25">
      <c r="B173" s="333"/>
      <c r="C173" s="328">
        <f>SUM(C135:C166)</f>
        <v>1322700</v>
      </c>
      <c r="D173" s="327"/>
      <c r="E173" s="328">
        <f>SUM(E135:E172)</f>
        <v>2357</v>
      </c>
      <c r="F173" s="328">
        <f>SUM(F135:F172)</f>
        <v>235700</v>
      </c>
      <c r="G173" s="328">
        <f>SUM(G135:G146)</f>
        <v>0</v>
      </c>
      <c r="H173" s="328">
        <f>SUM(H135:H146)</f>
        <v>0</v>
      </c>
      <c r="I173" s="328">
        <f>SUM(I135:I146)</f>
        <v>0</v>
      </c>
      <c r="J173" s="328">
        <f>SUM(J135:J146)</f>
        <v>0</v>
      </c>
      <c r="K173" s="330"/>
      <c r="L173" s="322"/>
      <c r="M173" s="327"/>
      <c r="N173" s="327"/>
      <c r="O173" s="327"/>
      <c r="P173" s="328">
        <f>SUM(P135:P171)</f>
        <v>224</v>
      </c>
      <c r="Q173" s="328">
        <f>SUM(Q135:Q172)</f>
        <v>224000</v>
      </c>
      <c r="R173" s="328">
        <f>SUM(R135:R146)</f>
        <v>0</v>
      </c>
      <c r="S173" s="328">
        <f>SUM(S135:S146)</f>
        <v>0</v>
      </c>
      <c r="T173" s="328">
        <f>SUM(T135:T146)</f>
        <v>0</v>
      </c>
      <c r="U173" s="328">
        <f>SUM(U135:U146)</f>
        <v>0</v>
      </c>
      <c r="V173" s="328"/>
      <c r="X173" s="327"/>
      <c r="Y173" s="327"/>
      <c r="Z173" s="328">
        <f>SUM(Z135:Z171)</f>
        <v>181</v>
      </c>
      <c r="AA173" s="328">
        <f>SUM(AA135:AA172)</f>
        <v>181000</v>
      </c>
      <c r="AB173" s="328"/>
      <c r="AD173" s="327"/>
      <c r="AE173" s="327"/>
      <c r="AF173" s="328">
        <f>SUM(AF135:AF171)</f>
        <v>152</v>
      </c>
      <c r="AG173" s="328">
        <f>SUM(AG135:AG172)</f>
        <v>152000</v>
      </c>
      <c r="AH173" s="328"/>
      <c r="AJ173" s="327"/>
      <c r="AK173" s="327"/>
      <c r="AL173" s="328">
        <f>SUM(AL135:AL171)</f>
        <v>342</v>
      </c>
      <c r="AM173" s="328">
        <f>SUM(AM135:AM172)</f>
        <v>342000</v>
      </c>
      <c r="AN173" s="328"/>
      <c r="AP173" s="327"/>
      <c r="AQ173" s="327"/>
      <c r="AR173" s="327"/>
      <c r="AS173" s="328">
        <f>SUM(AS135:AS171)</f>
        <v>188</v>
      </c>
      <c r="AT173" s="328">
        <f>SUM(AT135:AT172)</f>
        <v>188000</v>
      </c>
      <c r="AU173" s="328">
        <f>SUM(AU135:AU146)</f>
        <v>0</v>
      </c>
      <c r="AV173" s="328">
        <f>SUM(AV135:AV146)</f>
        <v>0</v>
      </c>
      <c r="AW173" s="328">
        <f>SUM(AW135:AW146)</f>
        <v>0</v>
      </c>
      <c r="AX173" s="328">
        <f>SUM(AX135:AX146)</f>
        <v>0</v>
      </c>
      <c r="AY173" s="328"/>
    </row>
    <row r="174" spans="2:51" ht="15" customHeight="1" x14ac:dyDescent="0.15">
      <c r="B174" s="386" t="s">
        <v>126</v>
      </c>
      <c r="C174" s="387" t="s">
        <v>127</v>
      </c>
      <c r="D174" s="388" t="s">
        <v>128</v>
      </c>
      <c r="E174" s="392" t="s">
        <v>129</v>
      </c>
      <c r="F174" s="382" t="s">
        <v>130</v>
      </c>
      <c r="G174" s="389"/>
      <c r="H174" s="389"/>
      <c r="I174" s="389"/>
      <c r="J174" s="389"/>
      <c r="K174" s="389"/>
      <c r="L174" s="381"/>
      <c r="M174" s="390"/>
      <c r="N174" s="390"/>
      <c r="O174" s="390"/>
      <c r="P174" s="389" t="s">
        <v>129</v>
      </c>
      <c r="Q174" s="382" t="s">
        <v>130</v>
      </c>
      <c r="R174" s="389"/>
      <c r="S174" s="389"/>
      <c r="T174" s="389"/>
      <c r="U174" s="389"/>
      <c r="V174" s="389"/>
      <c r="W174" s="317"/>
      <c r="X174" s="390"/>
      <c r="Y174" s="390"/>
      <c r="Z174" s="389" t="s">
        <v>129</v>
      </c>
      <c r="AA174" s="382" t="s">
        <v>130</v>
      </c>
      <c r="AB174" s="389"/>
      <c r="AC174" s="317"/>
      <c r="AD174" s="390"/>
      <c r="AE174" s="390"/>
      <c r="AF174" s="389" t="s">
        <v>129</v>
      </c>
      <c r="AG174" s="382" t="s">
        <v>130</v>
      </c>
      <c r="AH174" s="389"/>
      <c r="AI174" s="317"/>
      <c r="AJ174" s="390"/>
      <c r="AK174" s="390"/>
      <c r="AL174" s="389" t="s">
        <v>129</v>
      </c>
      <c r="AM174" s="382" t="s">
        <v>130</v>
      </c>
      <c r="AN174" s="389"/>
      <c r="AO174" s="317"/>
      <c r="AP174" s="390"/>
      <c r="AQ174" s="390"/>
      <c r="AR174" s="390"/>
      <c r="AS174" s="389" t="s">
        <v>129</v>
      </c>
      <c r="AT174" s="382" t="s">
        <v>130</v>
      </c>
      <c r="AU174" s="389"/>
      <c r="AV174" s="389"/>
      <c r="AW174" s="389"/>
      <c r="AX174" s="389"/>
      <c r="AY174" s="389"/>
    </row>
    <row r="175" spans="2:51" ht="15" customHeight="1" x14ac:dyDescent="0.2">
      <c r="B175" s="235">
        <v>29</v>
      </c>
      <c r="C175" s="318">
        <f>C173/B169</f>
        <v>47239.285714285717</v>
      </c>
      <c r="D175" s="318">
        <f>C175*B175</f>
        <v>1369939.2857142859</v>
      </c>
      <c r="E175" s="236">
        <f>E173/B169*100</f>
        <v>8417.8571428571431</v>
      </c>
      <c r="F175" s="236">
        <f>E175*B175</f>
        <v>244117.85714285716</v>
      </c>
      <c r="P175" s="236">
        <f>P173/M169*1000</f>
        <v>8000</v>
      </c>
      <c r="Q175" s="236">
        <f>P175*B175</f>
        <v>232000</v>
      </c>
      <c r="Z175" s="236">
        <f>Z173/X169*1000</f>
        <v>6464.2857142857147</v>
      </c>
      <c r="AA175" s="236">
        <f>Z175*B175</f>
        <v>187464.28571428574</v>
      </c>
      <c r="AF175" s="236">
        <f>AF173/AD169*1000</f>
        <v>5428.5714285714284</v>
      </c>
      <c r="AG175" s="236">
        <f>AF175*B175</f>
        <v>157428.57142857142</v>
      </c>
      <c r="AL175" s="236">
        <f>AL173/AJ169*1000</f>
        <v>12214.285714285714</v>
      </c>
      <c r="AM175" s="236">
        <f>AL175*B175</f>
        <v>354214.28571428568</v>
      </c>
      <c r="AS175" s="236">
        <f>AS173/AP169*1000</f>
        <v>6714.2857142857147</v>
      </c>
      <c r="AT175" s="236">
        <f>AS175*B175</f>
        <v>194714.28571428574</v>
      </c>
    </row>
    <row r="177" spans="2:51" ht="15" customHeight="1" x14ac:dyDescent="0.25">
      <c r="B177" s="332" t="s">
        <v>108</v>
      </c>
      <c r="C177" s="319"/>
      <c r="D177" s="319"/>
      <c r="E177" s="319"/>
      <c r="F177" s="319"/>
      <c r="G177" s="319"/>
      <c r="H177" s="319"/>
      <c r="I177" s="319"/>
      <c r="J177" s="320"/>
      <c r="K177" s="321"/>
      <c r="L177" s="319"/>
      <c r="M177" s="332" t="s">
        <v>109</v>
      </c>
      <c r="N177" s="319"/>
      <c r="O177" s="319"/>
      <c r="P177" s="319"/>
      <c r="Q177" s="319"/>
      <c r="R177" s="319"/>
      <c r="S177" s="319"/>
      <c r="T177" s="319"/>
      <c r="U177" s="320"/>
      <c r="V177" s="319"/>
      <c r="X177" s="844" t="s">
        <v>111</v>
      </c>
      <c r="Y177" s="844"/>
      <c r="Z177" s="319"/>
      <c r="AA177" s="319"/>
      <c r="AB177" s="319"/>
      <c r="AD177" s="844" t="s">
        <v>112</v>
      </c>
      <c r="AE177" s="844"/>
      <c r="AF177" s="319"/>
      <c r="AG177" s="319"/>
      <c r="AH177" s="319"/>
      <c r="AJ177" s="844" t="s">
        <v>113</v>
      </c>
      <c r="AK177" s="844"/>
      <c r="AL177" s="319"/>
      <c r="AM177" s="319"/>
      <c r="AN177" s="319"/>
      <c r="AP177" s="844" t="s">
        <v>110</v>
      </c>
      <c r="AQ177" s="844"/>
      <c r="AR177" s="844"/>
      <c r="AS177" s="319"/>
      <c r="AT177" s="319"/>
      <c r="AU177" s="319"/>
      <c r="AV177" s="319"/>
      <c r="AW177" s="319"/>
      <c r="AX177" s="320"/>
      <c r="AY177" s="319"/>
    </row>
    <row r="178" spans="2:51" ht="15" customHeight="1" x14ac:dyDescent="0.2">
      <c r="B178" s="645" t="s">
        <v>114</v>
      </c>
      <c r="C178" s="644"/>
      <c r="D178" s="646" t="s">
        <v>115</v>
      </c>
      <c r="E178" s="325" t="s">
        <v>116</v>
      </c>
      <c r="F178" s="325" t="s">
        <v>117</v>
      </c>
      <c r="G178" s="325"/>
      <c r="H178" s="325"/>
      <c r="I178" s="325"/>
      <c r="J178" s="325"/>
      <c r="K178" s="326" t="s">
        <v>118</v>
      </c>
      <c r="L178" s="319"/>
      <c r="M178" s="325" t="s">
        <v>114</v>
      </c>
      <c r="N178" s="325"/>
      <c r="O178" s="325" t="s">
        <v>115</v>
      </c>
      <c r="P178" s="325" t="s">
        <v>116</v>
      </c>
      <c r="Q178" s="325" t="s">
        <v>117</v>
      </c>
      <c r="R178" s="325"/>
      <c r="S178" s="325"/>
      <c r="T178" s="325"/>
      <c r="U178" s="325"/>
      <c r="V178" s="325" t="s">
        <v>119</v>
      </c>
      <c r="X178" s="325" t="s">
        <v>114</v>
      </c>
      <c r="Y178" s="325" t="s">
        <v>115</v>
      </c>
      <c r="Z178" s="325" t="s">
        <v>116</v>
      </c>
      <c r="AA178" s="325" t="s">
        <v>117</v>
      </c>
      <c r="AB178" s="325" t="s">
        <v>119</v>
      </c>
      <c r="AD178" s="325" t="s">
        <v>114</v>
      </c>
      <c r="AE178" s="325" t="s">
        <v>115</v>
      </c>
      <c r="AF178" s="325" t="s">
        <v>116</v>
      </c>
      <c r="AG178" s="325" t="s">
        <v>117</v>
      </c>
      <c r="AH178" s="325" t="s">
        <v>119</v>
      </c>
      <c r="AJ178" s="325" t="s">
        <v>114</v>
      </c>
      <c r="AK178" s="325" t="s">
        <v>115</v>
      </c>
      <c r="AL178" s="325" t="s">
        <v>116</v>
      </c>
      <c r="AM178" s="325" t="s">
        <v>117</v>
      </c>
      <c r="AN178" s="325" t="s">
        <v>119</v>
      </c>
      <c r="AP178" s="325" t="s">
        <v>114</v>
      </c>
      <c r="AQ178" s="325"/>
      <c r="AR178" s="325" t="s">
        <v>115</v>
      </c>
      <c r="AS178" s="325" t="s">
        <v>116</v>
      </c>
      <c r="AT178" s="325" t="s">
        <v>117</v>
      </c>
      <c r="AU178" s="325"/>
      <c r="AV178" s="325"/>
      <c r="AW178" s="325"/>
      <c r="AX178" s="325"/>
      <c r="AY178" s="325" t="s">
        <v>119</v>
      </c>
    </row>
    <row r="179" spans="2:51" ht="15" customHeight="1" x14ac:dyDescent="0.25">
      <c r="B179" s="333">
        <v>46038</v>
      </c>
      <c r="C179" s="336">
        <v>64600</v>
      </c>
      <c r="D179" s="327">
        <v>19001</v>
      </c>
      <c r="E179" s="327">
        <v>36</v>
      </c>
      <c r="F179" s="328">
        <v>3600</v>
      </c>
      <c r="G179" s="328"/>
      <c r="H179" s="328"/>
      <c r="I179" s="329"/>
      <c r="J179" s="329"/>
      <c r="K179" s="330"/>
      <c r="L179" s="323"/>
      <c r="M179" s="333">
        <v>46038</v>
      </c>
      <c r="N179" s="327"/>
      <c r="O179" s="327">
        <v>2979</v>
      </c>
      <c r="P179" s="327">
        <v>12</v>
      </c>
      <c r="Q179" s="328">
        <v>12000</v>
      </c>
      <c r="R179" s="328"/>
      <c r="S179" s="328"/>
      <c r="T179" s="329"/>
      <c r="U179" s="329"/>
      <c r="V179" s="331"/>
      <c r="X179" s="333">
        <v>46038</v>
      </c>
      <c r="Y179" s="327">
        <v>7654</v>
      </c>
      <c r="Z179" s="327">
        <v>3</v>
      </c>
      <c r="AA179" s="328">
        <v>3000</v>
      </c>
      <c r="AB179" s="331"/>
      <c r="AD179" s="333">
        <v>46038</v>
      </c>
      <c r="AE179" s="327">
        <v>5321</v>
      </c>
      <c r="AF179" s="327">
        <v>34</v>
      </c>
      <c r="AG179" s="328">
        <v>34000</v>
      </c>
      <c r="AH179" s="331"/>
      <c r="AJ179" s="333">
        <v>46038</v>
      </c>
      <c r="AK179" s="327">
        <v>7627</v>
      </c>
      <c r="AL179" s="327">
        <v>4</v>
      </c>
      <c r="AM179" s="328">
        <v>4000</v>
      </c>
      <c r="AN179" s="331"/>
      <c r="AP179" s="333">
        <v>46038</v>
      </c>
      <c r="AQ179" s="327"/>
      <c r="AR179" s="327">
        <v>8805</v>
      </c>
      <c r="AS179" s="327">
        <v>8</v>
      </c>
      <c r="AT179" s="328">
        <v>8000</v>
      </c>
      <c r="AU179" s="328"/>
      <c r="AV179" s="328"/>
      <c r="AW179" s="329"/>
      <c r="AX179" s="329"/>
      <c r="AY179" s="331"/>
    </row>
    <row r="180" spans="2:51" ht="15" customHeight="1" x14ac:dyDescent="0.25">
      <c r="B180" s="333"/>
      <c r="C180" s="327"/>
      <c r="D180" s="327">
        <v>6339</v>
      </c>
      <c r="E180" s="327">
        <v>0</v>
      </c>
      <c r="F180" s="328">
        <v>0</v>
      </c>
      <c r="G180" s="328"/>
      <c r="H180" s="328"/>
      <c r="I180" s="329"/>
      <c r="J180" s="329"/>
      <c r="K180" s="330"/>
      <c r="L180" s="323"/>
      <c r="M180" s="333" t="s">
        <v>132</v>
      </c>
      <c r="N180" s="327"/>
      <c r="O180" s="327"/>
      <c r="P180" s="327"/>
      <c r="Q180" s="328"/>
      <c r="R180" s="328"/>
      <c r="S180" s="328"/>
      <c r="T180" s="329"/>
      <c r="U180" s="329"/>
      <c r="V180" s="331"/>
      <c r="X180" s="333"/>
      <c r="Y180" s="327"/>
      <c r="Z180" s="327"/>
      <c r="AA180" s="328"/>
      <c r="AB180" s="331"/>
      <c r="AD180" s="333"/>
      <c r="AE180" s="327"/>
      <c r="AF180" s="327"/>
      <c r="AG180" s="328"/>
      <c r="AH180" s="331"/>
      <c r="AJ180" s="333"/>
      <c r="AK180" s="327"/>
      <c r="AL180" s="327"/>
      <c r="AM180" s="328"/>
      <c r="AN180" s="331"/>
      <c r="AP180" s="333"/>
      <c r="AQ180" s="327"/>
      <c r="AR180" s="327"/>
      <c r="AS180" s="327"/>
      <c r="AT180" s="328"/>
      <c r="AU180" s="328"/>
      <c r="AV180" s="328"/>
      <c r="AW180" s="329"/>
      <c r="AX180" s="329"/>
      <c r="AY180" s="331"/>
    </row>
    <row r="181" spans="2:51" ht="15" customHeight="1" x14ac:dyDescent="0.25">
      <c r="B181" s="333">
        <v>46041</v>
      </c>
      <c r="C181" s="336">
        <f>SUM(IF(F181="",0,F181), IF(F182="",0,F182), IF(Q181="",0,Q181), IF(AT181="",0,AT181), IF(AA181="",0,AA181), IF(AG181="",0,AG181), IF(AM181="",0,AM181))</f>
        <v>131500</v>
      </c>
      <c r="D181" s="327">
        <v>19151</v>
      </c>
      <c r="E181" s="327">
        <f t="shared" ref="E181:E212" si="40">IF(D181="","",D181-D179)</f>
        <v>150</v>
      </c>
      <c r="F181" s="328">
        <f t="shared" ref="F181:F216" si="41">IF(D181="","",E181*100)</f>
        <v>15000</v>
      </c>
      <c r="G181" s="328"/>
      <c r="H181" s="328"/>
      <c r="I181" s="329"/>
      <c r="J181" s="329"/>
      <c r="K181" s="330"/>
      <c r="L181" s="323"/>
      <c r="M181" s="333">
        <f>IF(B181="","",B181)</f>
        <v>46041</v>
      </c>
      <c r="N181" s="327"/>
      <c r="O181" s="327">
        <v>2993</v>
      </c>
      <c r="P181" s="327">
        <f>IF(O181="","",O181-O179)</f>
        <v>14</v>
      </c>
      <c r="Q181" s="328">
        <f>IF(O181="","",P181*1000)</f>
        <v>14000</v>
      </c>
      <c r="R181" s="328"/>
      <c r="S181" s="328"/>
      <c r="T181" s="329"/>
      <c r="U181" s="329"/>
      <c r="V181" s="331"/>
      <c r="X181" s="333">
        <f>IF(AP181="","",AP181)</f>
        <v>46041</v>
      </c>
      <c r="Y181" s="327">
        <v>7681</v>
      </c>
      <c r="Z181" s="327">
        <f>IF(Y181="","",Y181-Y179)</f>
        <v>27</v>
      </c>
      <c r="AA181" s="328">
        <f>IF(Y181="","",Z181*1000)</f>
        <v>27000</v>
      </c>
      <c r="AB181" s="331"/>
      <c r="AD181" s="333">
        <f>IF(AP181="","",AP181)</f>
        <v>46041</v>
      </c>
      <c r="AE181" s="327">
        <v>5323</v>
      </c>
      <c r="AF181" s="327">
        <f>IF(AE181="","",AE181-AE179)</f>
        <v>2</v>
      </c>
      <c r="AG181" s="328">
        <f>IF(AE181="","",AF181*1000)</f>
        <v>2000</v>
      </c>
      <c r="AH181" s="331"/>
      <c r="AJ181" s="333">
        <f>IF(AD181="","",AD181)</f>
        <v>46041</v>
      </c>
      <c r="AK181" s="327">
        <v>7653</v>
      </c>
      <c r="AL181" s="327">
        <f>IF(AK181="","",AK181-AK179)</f>
        <v>26</v>
      </c>
      <c r="AM181" s="328">
        <f>IF(AK181="","",AL181*1000)</f>
        <v>26000</v>
      </c>
      <c r="AN181" s="331" t="s">
        <v>131</v>
      </c>
      <c r="AP181" s="333">
        <f>IF(M181="","",M181)</f>
        <v>46041</v>
      </c>
      <c r="AQ181" s="327"/>
      <c r="AR181" s="327">
        <v>8847</v>
      </c>
      <c r="AS181" s="327">
        <f>IF(AR181="","",AR181-AR179)</f>
        <v>42</v>
      </c>
      <c r="AT181" s="328">
        <f>IF(AR181="","",AS181*1000)</f>
        <v>42000</v>
      </c>
      <c r="AU181" s="328"/>
      <c r="AV181" s="328"/>
      <c r="AW181" s="329"/>
      <c r="AX181" s="329"/>
      <c r="AY181" s="331"/>
    </row>
    <row r="182" spans="2:51" ht="15" customHeight="1" x14ac:dyDescent="0.25">
      <c r="B182" s="335"/>
      <c r="C182" s="327"/>
      <c r="D182" s="327">
        <v>6394</v>
      </c>
      <c r="E182" s="327">
        <f t="shared" si="40"/>
        <v>55</v>
      </c>
      <c r="F182" s="328">
        <f t="shared" si="41"/>
        <v>5500</v>
      </c>
      <c r="G182" s="328"/>
      <c r="H182" s="328"/>
      <c r="I182" s="329"/>
      <c r="J182" s="329"/>
      <c r="K182" s="330"/>
      <c r="L182" s="323"/>
      <c r="M182" s="333"/>
      <c r="N182" s="327"/>
      <c r="O182" s="327"/>
      <c r="P182" s="327" t="str">
        <f>IF(O182="","",O182-O180)</f>
        <v/>
      </c>
      <c r="Q182" s="328"/>
      <c r="R182" s="328"/>
      <c r="S182" s="328"/>
      <c r="T182" s="329"/>
      <c r="U182" s="329"/>
      <c r="V182" s="331"/>
      <c r="X182" s="333"/>
      <c r="Y182" s="327"/>
      <c r="Z182" s="327" t="str">
        <f>IF(Y182="","",Y182-Y180)</f>
        <v/>
      </c>
      <c r="AA182" s="328"/>
      <c r="AB182" s="331"/>
      <c r="AD182" s="333"/>
      <c r="AE182" s="327"/>
      <c r="AF182" s="327" t="str">
        <f>IF(AE182="","",AE182-AE180)</f>
        <v/>
      </c>
      <c r="AG182" s="328"/>
      <c r="AH182" s="331"/>
      <c r="AJ182" s="333"/>
      <c r="AK182" s="327"/>
      <c r="AL182" s="327" t="str">
        <f>IF(AK182="","",AK182-AK180)</f>
        <v/>
      </c>
      <c r="AM182" s="328"/>
      <c r="AN182" s="331"/>
      <c r="AP182" s="333"/>
      <c r="AQ182" s="327"/>
      <c r="AR182" s="327"/>
      <c r="AS182" s="327" t="str">
        <f>IF(AR182="","",AR182-AR180)</f>
        <v/>
      </c>
      <c r="AT182" s="328"/>
      <c r="AU182" s="328"/>
      <c r="AV182" s="328"/>
      <c r="AW182" s="329"/>
      <c r="AX182" s="329"/>
      <c r="AY182" s="331"/>
    </row>
    <row r="183" spans="2:51" ht="15" customHeight="1" x14ac:dyDescent="0.25">
      <c r="B183" s="333">
        <v>46045</v>
      </c>
      <c r="C183" s="336">
        <f>SUM(IF(F183="",0,F183), IF(F184="",0,F184), IF(Q183="",0,Q183), IF(AT183="",0,AT183), IF(AA183="",0,AA183), IF(AG183="",0,AG183), IF(AM183="",0,AM183))</f>
        <v>96000</v>
      </c>
      <c r="D183" s="327">
        <v>19301</v>
      </c>
      <c r="E183" s="327">
        <f t="shared" si="40"/>
        <v>150</v>
      </c>
      <c r="F183" s="328">
        <f t="shared" si="41"/>
        <v>15000</v>
      </c>
      <c r="G183" s="328"/>
      <c r="H183" s="328"/>
      <c r="I183" s="329"/>
      <c r="J183" s="329"/>
      <c r="K183" s="330"/>
      <c r="L183" s="319"/>
      <c r="M183" s="333">
        <f t="shared" ref="M183:M193" si="42">IF(B183="","",B183)</f>
        <v>46045</v>
      </c>
      <c r="N183" s="327"/>
      <c r="O183" s="327">
        <v>3029</v>
      </c>
      <c r="P183" s="327">
        <f>IF(O183="","",O183-O181)</f>
        <v>36</v>
      </c>
      <c r="Q183" s="328">
        <f t="shared" ref="Q183:Q193" si="43">IF(O183="","",P183*1000)</f>
        <v>36000</v>
      </c>
      <c r="R183" s="328"/>
      <c r="S183" s="328"/>
      <c r="T183" s="329"/>
      <c r="U183" s="329"/>
      <c r="V183" s="331"/>
      <c r="X183" s="333">
        <f>IF(AP183="","",AP183)</f>
        <v>46045</v>
      </c>
      <c r="Y183" s="327">
        <v>7692</v>
      </c>
      <c r="Z183" s="327">
        <f>IF(Y183="","",Y183-Y181)</f>
        <v>11</v>
      </c>
      <c r="AA183" s="328">
        <f t="shared" ref="AA183:AA193" si="44">IF(Y183="","",Z183*1000)</f>
        <v>11000</v>
      </c>
      <c r="AB183" s="331"/>
      <c r="AD183" s="333">
        <f t="shared" ref="AD183:AD193" si="45">IF(X183="","",X183)</f>
        <v>46045</v>
      </c>
      <c r="AE183" s="327">
        <v>5333</v>
      </c>
      <c r="AF183" s="327">
        <f>IF(AE183="","",AE183-AE181)</f>
        <v>10</v>
      </c>
      <c r="AG183" s="328">
        <f t="shared" ref="AG183:AG193" si="46">IF(AE183="","",AF183*1000)</f>
        <v>10000</v>
      </c>
      <c r="AH183" s="331"/>
      <c r="AJ183" s="333">
        <f t="shared" ref="AJ183:AJ193" si="47">IF(AD183="","",AD183)</f>
        <v>46045</v>
      </c>
      <c r="AK183" s="327">
        <v>7657</v>
      </c>
      <c r="AL183" s="327">
        <f>IF(AK183="","",AK183-AK181)</f>
        <v>4</v>
      </c>
      <c r="AM183" s="328">
        <f t="shared" ref="AM183:AM193" si="48">IF(AK183="","",AL183*1000)</f>
        <v>4000</v>
      </c>
      <c r="AN183" s="331"/>
      <c r="AP183" s="333">
        <f>IF(M183="","",M183)</f>
        <v>46045</v>
      </c>
      <c r="AQ183" s="327"/>
      <c r="AR183" s="327">
        <v>8863</v>
      </c>
      <c r="AS183" s="327">
        <f>IF(AR183="","",AR183-AR181)</f>
        <v>16</v>
      </c>
      <c r="AT183" s="328">
        <f t="shared" ref="AT183:AT193" si="49">IF(AR183="","",AS183*1000)</f>
        <v>16000</v>
      </c>
      <c r="AU183" s="328"/>
      <c r="AV183" s="328"/>
      <c r="AW183" s="329"/>
      <c r="AX183" s="329"/>
      <c r="AY183" s="331" t="s">
        <v>131</v>
      </c>
    </row>
    <row r="184" spans="2:51" ht="15" customHeight="1" x14ac:dyDescent="0.25">
      <c r="B184" s="333"/>
      <c r="C184" s="327"/>
      <c r="D184" s="327">
        <v>6434</v>
      </c>
      <c r="E184" s="327">
        <f t="shared" si="40"/>
        <v>40</v>
      </c>
      <c r="F184" s="328">
        <f t="shared" si="41"/>
        <v>4000</v>
      </c>
      <c r="G184" s="328"/>
      <c r="H184" s="328"/>
      <c r="I184" s="329"/>
      <c r="J184" s="329"/>
      <c r="K184" s="330"/>
      <c r="L184" s="319"/>
      <c r="M184" s="333" t="str">
        <f t="shared" si="42"/>
        <v/>
      </c>
      <c r="N184" s="327"/>
      <c r="O184" s="327"/>
      <c r="P184" s="327" t="str">
        <f>IF(O184="","",O184-O183)</f>
        <v/>
      </c>
      <c r="Q184" s="328" t="str">
        <f t="shared" si="43"/>
        <v/>
      </c>
      <c r="R184" s="328"/>
      <c r="S184" s="328"/>
      <c r="T184" s="329"/>
      <c r="U184" s="329"/>
      <c r="V184" s="331"/>
      <c r="X184" s="333" t="str">
        <f>IF(AP184="","",AP184)</f>
        <v/>
      </c>
      <c r="Y184" s="327"/>
      <c r="Z184" s="327" t="str">
        <f>IF(Y184="","",Y184-Y183)</f>
        <v/>
      </c>
      <c r="AA184" s="328" t="str">
        <f t="shared" si="44"/>
        <v/>
      </c>
      <c r="AB184" s="331"/>
      <c r="AD184" s="333" t="str">
        <f t="shared" si="45"/>
        <v/>
      </c>
      <c r="AE184" s="327"/>
      <c r="AF184" s="327" t="str">
        <f>IF(AE184="","",AE184-AE183)</f>
        <v/>
      </c>
      <c r="AG184" s="328" t="str">
        <f t="shared" si="46"/>
        <v/>
      </c>
      <c r="AH184" s="331"/>
      <c r="AJ184" s="333" t="str">
        <f t="shared" si="47"/>
        <v/>
      </c>
      <c r="AK184" s="327"/>
      <c r="AL184" s="327" t="str">
        <f>IF(AK184="","",AK184-AK183)</f>
        <v/>
      </c>
      <c r="AM184" s="328" t="str">
        <f t="shared" si="48"/>
        <v/>
      </c>
      <c r="AN184" s="331"/>
      <c r="AP184" s="333" t="str">
        <f>IF(M184="","",M184)</f>
        <v/>
      </c>
      <c r="AQ184" s="327"/>
      <c r="AR184" s="327"/>
      <c r="AS184" s="327" t="str">
        <f>IF(AR184="","",AR184-AR183)</f>
        <v/>
      </c>
      <c r="AT184" s="328" t="str">
        <f t="shared" si="49"/>
        <v/>
      </c>
      <c r="AU184" s="328"/>
      <c r="AV184" s="328"/>
      <c r="AW184" s="329"/>
      <c r="AX184" s="329"/>
      <c r="AY184" s="331"/>
    </row>
    <row r="185" spans="2:51" ht="15" customHeight="1" x14ac:dyDescent="0.25">
      <c r="B185" s="333">
        <v>46048</v>
      </c>
      <c r="C185" s="336">
        <f>SUM(IF(F185="",0,F185), IF(F186="",0,F186), IF(Q185="",0,Q185), IF(AT185="",0,AT185), IF(AA185="",0,AA185), IF(AG185="",0,AG185), IF(AM185="",0,AM185))</f>
        <v>108500</v>
      </c>
      <c r="D185" s="327">
        <v>19596</v>
      </c>
      <c r="E185" s="327">
        <f t="shared" si="40"/>
        <v>295</v>
      </c>
      <c r="F185" s="328">
        <f t="shared" si="41"/>
        <v>29500</v>
      </c>
      <c r="G185" s="328"/>
      <c r="H185" s="328"/>
      <c r="I185" s="329"/>
      <c r="J185" s="329"/>
      <c r="K185" s="330"/>
      <c r="L185" s="319"/>
      <c r="M185" s="333">
        <f t="shared" si="42"/>
        <v>46048</v>
      </c>
      <c r="N185" s="327"/>
      <c r="O185" s="327">
        <v>3041</v>
      </c>
      <c r="P185" s="327">
        <f>IF(O185="","",O185-O183)</f>
        <v>12</v>
      </c>
      <c r="Q185" s="328">
        <f t="shared" si="43"/>
        <v>12000</v>
      </c>
      <c r="R185" s="328"/>
      <c r="S185" s="328"/>
      <c r="T185" s="329"/>
      <c r="U185" s="329"/>
      <c r="V185" s="330"/>
      <c r="X185" s="333">
        <f>IF(AP185="","",AP185)</f>
        <v>46048</v>
      </c>
      <c r="Y185" s="327">
        <v>7709</v>
      </c>
      <c r="Z185" s="327">
        <f>IF(Y185="","",Y185-Y183)</f>
        <v>17</v>
      </c>
      <c r="AA185" s="328">
        <f t="shared" si="44"/>
        <v>17000</v>
      </c>
      <c r="AB185" s="330"/>
      <c r="AD185" s="333">
        <f t="shared" si="45"/>
        <v>46048</v>
      </c>
      <c r="AE185" s="327">
        <v>5341</v>
      </c>
      <c r="AF185" s="327">
        <f>IF(AE185="","",AE185-AE183)</f>
        <v>8</v>
      </c>
      <c r="AG185" s="328">
        <f t="shared" si="46"/>
        <v>8000</v>
      </c>
      <c r="AH185" s="331"/>
      <c r="AJ185" s="333">
        <f t="shared" si="47"/>
        <v>46048</v>
      </c>
      <c r="AK185" s="327">
        <v>7673</v>
      </c>
      <c r="AL185" s="327">
        <f>IF(AK185="","",AK185-AK183)</f>
        <v>16</v>
      </c>
      <c r="AM185" s="328">
        <f t="shared" si="48"/>
        <v>16000</v>
      </c>
      <c r="AN185" s="330"/>
      <c r="AP185" s="333">
        <f>IF(M185="","",M185)</f>
        <v>46048</v>
      </c>
      <c r="AQ185" s="327"/>
      <c r="AR185" s="327">
        <v>8881</v>
      </c>
      <c r="AS185" s="327">
        <f>IF(AR185="","",AR185-AR183)</f>
        <v>18</v>
      </c>
      <c r="AT185" s="328">
        <f t="shared" si="49"/>
        <v>18000</v>
      </c>
      <c r="AU185" s="328"/>
      <c r="AV185" s="328"/>
      <c r="AW185" s="329"/>
      <c r="AX185" s="329"/>
      <c r="AY185" s="331"/>
    </row>
    <row r="186" spans="2:51" ht="15" customHeight="1" x14ac:dyDescent="0.25">
      <c r="B186" s="333"/>
      <c r="C186" s="327"/>
      <c r="D186" s="327">
        <v>6514</v>
      </c>
      <c r="E186" s="327">
        <f t="shared" si="40"/>
        <v>80</v>
      </c>
      <c r="F186" s="328">
        <f t="shared" si="41"/>
        <v>8000</v>
      </c>
      <c r="G186" s="328"/>
      <c r="H186" s="328"/>
      <c r="I186" s="329"/>
      <c r="J186" s="329"/>
      <c r="K186" s="330"/>
      <c r="L186" s="323"/>
      <c r="M186" s="333" t="str">
        <f t="shared" si="42"/>
        <v/>
      </c>
      <c r="N186" s="327"/>
      <c r="O186" s="327"/>
      <c r="P186" s="327" t="str">
        <f>IF(O186="","",O186-O185)</f>
        <v/>
      </c>
      <c r="Q186" s="328" t="str">
        <f t="shared" si="43"/>
        <v/>
      </c>
      <c r="R186" s="328"/>
      <c r="S186" s="328"/>
      <c r="T186" s="329"/>
      <c r="U186" s="329"/>
      <c r="V186" s="331"/>
      <c r="X186" s="333" t="str">
        <f>IF(AP186="","",AP186)</f>
        <v/>
      </c>
      <c r="Y186" s="327"/>
      <c r="Z186" s="327" t="str">
        <f>IF(Y186="","",Y186-Y185)</f>
        <v/>
      </c>
      <c r="AA186" s="328" t="str">
        <f t="shared" si="44"/>
        <v/>
      </c>
      <c r="AB186" s="331"/>
      <c r="AD186" s="333" t="str">
        <f t="shared" si="45"/>
        <v/>
      </c>
      <c r="AE186" s="327"/>
      <c r="AF186" s="327" t="str">
        <f>IF(AE186="","",AE186-AE185)</f>
        <v/>
      </c>
      <c r="AG186" s="328" t="str">
        <f t="shared" si="46"/>
        <v/>
      </c>
      <c r="AH186" s="331"/>
      <c r="AJ186" s="333" t="str">
        <f t="shared" si="47"/>
        <v/>
      </c>
      <c r="AK186" s="327"/>
      <c r="AL186" s="327" t="str">
        <f>IF(AK186="","",AK186-AK185)</f>
        <v/>
      </c>
      <c r="AM186" s="328" t="str">
        <f t="shared" si="48"/>
        <v/>
      </c>
      <c r="AN186" s="331"/>
      <c r="AP186" s="333" t="str">
        <f>IF(M186="","",M186)</f>
        <v/>
      </c>
      <c r="AQ186" s="327"/>
      <c r="AR186" s="327"/>
      <c r="AS186" s="327" t="str">
        <f>IF(AR186="","",AR186-AR185)</f>
        <v/>
      </c>
      <c r="AT186" s="328" t="str">
        <f t="shared" si="49"/>
        <v/>
      </c>
      <c r="AU186" s="328"/>
      <c r="AV186" s="328"/>
      <c r="AW186" s="329"/>
      <c r="AX186" s="329"/>
      <c r="AY186" s="331"/>
    </row>
    <row r="187" spans="2:51" ht="15" customHeight="1" x14ac:dyDescent="0.25">
      <c r="B187" s="333">
        <v>46052</v>
      </c>
      <c r="C187" s="336">
        <f>SUM(IF(F187="",0,F187), IF(F188="",0,F188), IF(Q187="",0,Q187), IF(AT187="",0,AT187), IF(AA187="",0,AA187), IF(AG187="",0,AG187), IF(AM187="",0,AM187))</f>
        <v>56500</v>
      </c>
      <c r="D187" s="327">
        <v>19661</v>
      </c>
      <c r="E187" s="327">
        <f t="shared" si="40"/>
        <v>65</v>
      </c>
      <c r="F187" s="328">
        <f t="shared" si="41"/>
        <v>6500</v>
      </c>
      <c r="G187" s="328"/>
      <c r="H187" s="328"/>
      <c r="I187" s="329"/>
      <c r="J187" s="329"/>
      <c r="K187" s="330"/>
      <c r="L187" s="324"/>
      <c r="M187" s="333">
        <f t="shared" si="42"/>
        <v>46052</v>
      </c>
      <c r="N187" s="327"/>
      <c r="O187" s="327">
        <v>3045</v>
      </c>
      <c r="P187" s="327">
        <f>IF(O187="","",O187-O185)</f>
        <v>4</v>
      </c>
      <c r="Q187" s="328">
        <f t="shared" si="43"/>
        <v>4000</v>
      </c>
      <c r="R187" s="328"/>
      <c r="S187" s="328"/>
      <c r="T187" s="329"/>
      <c r="U187" s="329"/>
      <c r="V187" s="331"/>
      <c r="X187" s="333">
        <f>IF(AP187="","",AP187)</f>
        <v>46052</v>
      </c>
      <c r="Y187" s="327">
        <v>7723</v>
      </c>
      <c r="Z187" s="327">
        <f>IF(Y187="","",Y187-Y185)</f>
        <v>14</v>
      </c>
      <c r="AA187" s="328">
        <f t="shared" si="44"/>
        <v>14000</v>
      </c>
      <c r="AB187" s="331"/>
      <c r="AD187" s="333">
        <f t="shared" si="45"/>
        <v>46052</v>
      </c>
      <c r="AE187" s="327">
        <v>5345</v>
      </c>
      <c r="AF187" s="327">
        <f>IF(AE187="","",AE187-AE185)</f>
        <v>4</v>
      </c>
      <c r="AG187" s="328">
        <f t="shared" si="46"/>
        <v>4000</v>
      </c>
      <c r="AH187" s="331"/>
      <c r="AJ187" s="333">
        <f t="shared" si="47"/>
        <v>46052</v>
      </c>
      <c r="AK187" s="327">
        <v>7679</v>
      </c>
      <c r="AL187" s="327">
        <f>IF(AK187="","",AK187-AK185)</f>
        <v>6</v>
      </c>
      <c r="AM187" s="328">
        <f t="shared" si="48"/>
        <v>6000</v>
      </c>
      <c r="AN187" s="331"/>
      <c r="AP187" s="333">
        <f>IF(M187="","",M187)</f>
        <v>46052</v>
      </c>
      <c r="AQ187" s="327"/>
      <c r="AR187" s="327">
        <v>8901</v>
      </c>
      <c r="AS187" s="327">
        <f>IF(AR187="","",AR187-AR185)</f>
        <v>20</v>
      </c>
      <c r="AT187" s="328">
        <f t="shared" si="49"/>
        <v>20000</v>
      </c>
      <c r="AU187" s="328"/>
      <c r="AV187" s="328"/>
      <c r="AW187" s="329"/>
      <c r="AX187" s="329"/>
      <c r="AY187" s="331"/>
    </row>
    <row r="188" spans="2:51" ht="15" customHeight="1" x14ac:dyDescent="0.25">
      <c r="B188" s="333"/>
      <c r="C188" s="327"/>
      <c r="D188" s="327">
        <v>6534</v>
      </c>
      <c r="E188" s="327">
        <f t="shared" si="40"/>
        <v>20</v>
      </c>
      <c r="F188" s="328">
        <f t="shared" si="41"/>
        <v>2000</v>
      </c>
      <c r="G188" s="328"/>
      <c r="H188" s="328"/>
      <c r="I188" s="329"/>
      <c r="J188" s="329"/>
      <c r="K188" s="330"/>
      <c r="L188" s="323"/>
      <c r="M188" s="333" t="str">
        <f t="shared" si="42"/>
        <v/>
      </c>
      <c r="N188" s="327"/>
      <c r="O188" s="327"/>
      <c r="P188" s="327" t="str">
        <f>IF(O188="","",O188-O187)</f>
        <v/>
      </c>
      <c r="Q188" s="328" t="str">
        <f t="shared" si="43"/>
        <v/>
      </c>
      <c r="R188" s="328"/>
      <c r="S188" s="328"/>
      <c r="T188" s="329"/>
      <c r="U188" s="329"/>
      <c r="V188" s="331"/>
      <c r="X188" s="333" t="str">
        <f>IF(AP188="","",AP188)</f>
        <v/>
      </c>
      <c r="Y188" s="327"/>
      <c r="Z188" s="327" t="str">
        <f>IF(Y188="","",Y188-Y187)</f>
        <v/>
      </c>
      <c r="AA188" s="328" t="str">
        <f t="shared" si="44"/>
        <v/>
      </c>
      <c r="AB188" s="331"/>
      <c r="AD188" s="333" t="str">
        <f t="shared" si="45"/>
        <v/>
      </c>
      <c r="AE188" s="327"/>
      <c r="AF188" s="327" t="str">
        <f>IF(AE188="","",AE188-AE187)</f>
        <v/>
      </c>
      <c r="AG188" s="328" t="str">
        <f t="shared" si="46"/>
        <v/>
      </c>
      <c r="AH188" s="331"/>
      <c r="AJ188" s="333" t="str">
        <f t="shared" si="47"/>
        <v/>
      </c>
      <c r="AK188" s="327"/>
      <c r="AL188" s="327" t="str">
        <f>IF(AK188="","",AK188-AK187)</f>
        <v/>
      </c>
      <c r="AM188" s="328" t="str">
        <f t="shared" si="48"/>
        <v/>
      </c>
      <c r="AN188" s="331"/>
      <c r="AP188" s="333" t="str">
        <f>IF(M188="","",M188)</f>
        <v/>
      </c>
      <c r="AQ188" s="327"/>
      <c r="AR188" s="327"/>
      <c r="AS188" s="327" t="str">
        <f>IF(AR188="","",AR188-AR187)</f>
        <v/>
      </c>
      <c r="AT188" s="328" t="str">
        <f t="shared" si="49"/>
        <v/>
      </c>
      <c r="AU188" s="328"/>
      <c r="AV188" s="328"/>
      <c r="AW188" s="329"/>
      <c r="AX188" s="329"/>
      <c r="AY188" s="331"/>
    </row>
    <row r="189" spans="2:51" ht="15" customHeight="1" x14ac:dyDescent="0.25">
      <c r="B189" s="333">
        <v>46055</v>
      </c>
      <c r="C189" s="336">
        <f>SUM(IF(F189="",0,F189), IF(F190="",0,F190), IF(Q189="",0,Q189), IF(AT189="",0,AT189), IF(AA189="",0,AA189), IF(AG189="",0,AG189), IF(AM189="",0,AM189))</f>
        <v>49100</v>
      </c>
      <c r="D189" s="327">
        <v>19777</v>
      </c>
      <c r="E189" s="327">
        <f t="shared" si="40"/>
        <v>116</v>
      </c>
      <c r="F189" s="328">
        <f t="shared" si="41"/>
        <v>11600</v>
      </c>
      <c r="G189" s="328"/>
      <c r="H189" s="328"/>
      <c r="I189" s="329"/>
      <c r="J189" s="329"/>
      <c r="K189" s="330"/>
      <c r="L189" s="323"/>
      <c r="M189" s="333">
        <f t="shared" si="42"/>
        <v>46055</v>
      </c>
      <c r="N189" s="327"/>
      <c r="O189" s="327">
        <v>3053</v>
      </c>
      <c r="P189" s="327">
        <f>IF(O189="","",O189-O187)</f>
        <v>8</v>
      </c>
      <c r="Q189" s="328">
        <f t="shared" si="43"/>
        <v>8000</v>
      </c>
      <c r="R189" s="328"/>
      <c r="S189" s="328"/>
      <c r="T189" s="329"/>
      <c r="U189" s="329"/>
      <c r="V189" s="331"/>
      <c r="X189" s="333">
        <f>IF(AP189="","",AP189)</f>
        <v>46055</v>
      </c>
      <c r="Y189" s="327">
        <v>7732</v>
      </c>
      <c r="Z189" s="327">
        <f>IF(Y189="","",Y189-Y187)</f>
        <v>9</v>
      </c>
      <c r="AA189" s="328">
        <f t="shared" si="44"/>
        <v>9000</v>
      </c>
      <c r="AB189" s="331"/>
      <c r="AD189" s="333">
        <f t="shared" si="45"/>
        <v>46055</v>
      </c>
      <c r="AE189" s="327">
        <v>5349</v>
      </c>
      <c r="AF189" s="327">
        <f>IF(AE189="","",AE189-AE187)</f>
        <v>4</v>
      </c>
      <c r="AG189" s="328">
        <f t="shared" si="46"/>
        <v>4000</v>
      </c>
      <c r="AH189" s="391"/>
      <c r="AJ189" s="333">
        <f t="shared" si="47"/>
        <v>46055</v>
      </c>
      <c r="AK189" s="327">
        <v>7681</v>
      </c>
      <c r="AL189" s="327">
        <f>IF(AK189="","",AK189-AK187)</f>
        <v>2</v>
      </c>
      <c r="AM189" s="328">
        <f t="shared" si="48"/>
        <v>2000</v>
      </c>
      <c r="AN189" s="331"/>
      <c r="AP189" s="333">
        <f>IF(M189="","",M189)</f>
        <v>46055</v>
      </c>
      <c r="AQ189" s="327"/>
      <c r="AR189" s="327">
        <v>8909</v>
      </c>
      <c r="AS189" s="327">
        <f>IF(AR189="","",AR189-AR187)</f>
        <v>8</v>
      </c>
      <c r="AT189" s="328">
        <f t="shared" si="49"/>
        <v>8000</v>
      </c>
      <c r="AU189" s="328"/>
      <c r="AV189" s="328"/>
      <c r="AW189" s="329"/>
      <c r="AX189" s="329"/>
      <c r="AY189" s="331"/>
    </row>
    <row r="190" spans="2:51" ht="15" customHeight="1" x14ac:dyDescent="0.25">
      <c r="B190" s="333"/>
      <c r="C190" s="327"/>
      <c r="D190" s="327">
        <v>6599</v>
      </c>
      <c r="E190" s="327">
        <f t="shared" si="40"/>
        <v>65</v>
      </c>
      <c r="F190" s="328">
        <f t="shared" si="41"/>
        <v>6500</v>
      </c>
      <c r="G190" s="328"/>
      <c r="H190" s="328"/>
      <c r="I190" s="329"/>
      <c r="J190" s="329"/>
      <c r="K190" s="330"/>
      <c r="L190" s="323"/>
      <c r="M190" s="333" t="str">
        <f t="shared" si="42"/>
        <v/>
      </c>
      <c r="N190" s="327"/>
      <c r="O190" s="327"/>
      <c r="P190" s="327" t="str">
        <f>IF(O190="","",O190-O189)</f>
        <v/>
      </c>
      <c r="Q190" s="328" t="str">
        <f t="shared" si="43"/>
        <v/>
      </c>
      <c r="R190" s="328"/>
      <c r="S190" s="328"/>
      <c r="T190" s="329"/>
      <c r="U190" s="329"/>
      <c r="V190" s="331"/>
      <c r="X190" s="333" t="str">
        <f>IF(AP190="","",AP190)</f>
        <v/>
      </c>
      <c r="Y190" s="327"/>
      <c r="Z190" s="327" t="str">
        <f>IF(Y190="","",Y190-Y189)</f>
        <v/>
      </c>
      <c r="AA190" s="328" t="str">
        <f t="shared" si="44"/>
        <v/>
      </c>
      <c r="AB190" s="331"/>
      <c r="AD190" s="333" t="str">
        <f t="shared" si="45"/>
        <v/>
      </c>
      <c r="AE190" s="327"/>
      <c r="AF190" s="327" t="str">
        <f>IF(AE190="","",AE190-AE189)</f>
        <v/>
      </c>
      <c r="AG190" s="328" t="str">
        <f t="shared" si="46"/>
        <v/>
      </c>
      <c r="AH190" s="331"/>
      <c r="AJ190" s="333" t="str">
        <f t="shared" si="47"/>
        <v/>
      </c>
      <c r="AK190" s="327"/>
      <c r="AL190" s="327" t="str">
        <f>IF(AK190="","",AK190-AK189)</f>
        <v/>
      </c>
      <c r="AM190" s="328" t="str">
        <f t="shared" si="48"/>
        <v/>
      </c>
      <c r="AN190" s="331"/>
      <c r="AP190" s="333" t="str">
        <f>IF(M190="","",M190)</f>
        <v/>
      </c>
      <c r="AQ190" s="327"/>
      <c r="AR190" s="327"/>
      <c r="AS190" s="327" t="str">
        <f>IF(AR190="","",AR190-AR189)</f>
        <v/>
      </c>
      <c r="AT190" s="328" t="str">
        <f t="shared" si="49"/>
        <v/>
      </c>
      <c r="AU190" s="328"/>
      <c r="AV190" s="328"/>
      <c r="AW190" s="329"/>
      <c r="AX190" s="329"/>
      <c r="AY190" s="331"/>
    </row>
    <row r="191" spans="2:51" ht="15" customHeight="1" x14ac:dyDescent="0.25">
      <c r="B191" s="333">
        <v>46059</v>
      </c>
      <c r="C191" s="336">
        <f>SUM(IF(F191="",0,F191), IF(F192="",0,F192), IF(Q191="",0,Q191), IF(AT191="",0,AT191), IF(AA191="",0,AA191), IF(AG191="",0,AG191), IF(AM191="",0,AM191))</f>
        <v>69500</v>
      </c>
      <c r="D191" s="327">
        <v>19907</v>
      </c>
      <c r="E191" s="327">
        <f t="shared" si="40"/>
        <v>130</v>
      </c>
      <c r="F191" s="328">
        <f t="shared" si="41"/>
        <v>13000</v>
      </c>
      <c r="G191" s="328"/>
      <c r="H191" s="328"/>
      <c r="I191" s="329"/>
      <c r="J191" s="329"/>
      <c r="K191" s="330"/>
      <c r="L191" s="323"/>
      <c r="M191" s="333">
        <f t="shared" si="42"/>
        <v>46059</v>
      </c>
      <c r="N191" s="327"/>
      <c r="O191" s="327">
        <v>3085</v>
      </c>
      <c r="P191" s="327">
        <f>IF(O191="","",O191-O189)</f>
        <v>32</v>
      </c>
      <c r="Q191" s="328">
        <f t="shared" si="43"/>
        <v>32000</v>
      </c>
      <c r="R191" s="328"/>
      <c r="S191" s="328"/>
      <c r="T191" s="329"/>
      <c r="U191" s="329"/>
      <c r="V191" s="331"/>
      <c r="X191" s="333">
        <f>IF(AP191="","",AP191)</f>
        <v>46059</v>
      </c>
      <c r="Y191" s="327">
        <v>7739</v>
      </c>
      <c r="Z191" s="327">
        <f>IF(Y191="","",Y191-Y189)</f>
        <v>7</v>
      </c>
      <c r="AA191" s="328">
        <f t="shared" si="44"/>
        <v>7000</v>
      </c>
      <c r="AB191" s="331"/>
      <c r="AD191" s="333">
        <f t="shared" si="45"/>
        <v>46059</v>
      </c>
      <c r="AE191" s="327">
        <v>5349</v>
      </c>
      <c r="AF191" s="327">
        <f>IF(AE191="","",AE191-AE189)</f>
        <v>0</v>
      </c>
      <c r="AG191" s="328">
        <f t="shared" si="46"/>
        <v>0</v>
      </c>
      <c r="AH191" s="331"/>
      <c r="AJ191" s="333">
        <f t="shared" si="47"/>
        <v>46059</v>
      </c>
      <c r="AK191" s="327">
        <v>7687</v>
      </c>
      <c r="AL191" s="327">
        <f>IF(AK191="","",AK191-AK189)</f>
        <v>6</v>
      </c>
      <c r="AM191" s="328">
        <f t="shared" si="48"/>
        <v>6000</v>
      </c>
      <c r="AN191" s="331"/>
      <c r="AP191" s="333">
        <f>IF(M191="","",M191)</f>
        <v>46059</v>
      </c>
      <c r="AQ191" s="327"/>
      <c r="AR191" s="327">
        <v>8917</v>
      </c>
      <c r="AS191" s="327">
        <f>IF(AR191="","",AR191-AR189)</f>
        <v>8</v>
      </c>
      <c r="AT191" s="328">
        <f t="shared" si="49"/>
        <v>8000</v>
      </c>
      <c r="AU191" s="328"/>
      <c r="AV191" s="328"/>
      <c r="AW191" s="329"/>
      <c r="AX191" s="329"/>
      <c r="AY191" s="331"/>
    </row>
    <row r="192" spans="2:51" ht="15" customHeight="1" x14ac:dyDescent="0.25">
      <c r="B192" s="333"/>
      <c r="C192" s="327"/>
      <c r="D192" s="327">
        <v>6634</v>
      </c>
      <c r="E192" s="327">
        <f t="shared" si="40"/>
        <v>35</v>
      </c>
      <c r="F192" s="328">
        <f t="shared" si="41"/>
        <v>3500</v>
      </c>
      <c r="G192" s="328"/>
      <c r="H192" s="328"/>
      <c r="I192" s="329"/>
      <c r="J192" s="329"/>
      <c r="K192" s="330"/>
      <c r="L192" s="323"/>
      <c r="M192" s="333" t="str">
        <f t="shared" si="42"/>
        <v/>
      </c>
      <c r="N192" s="327"/>
      <c r="O192" s="327"/>
      <c r="P192" s="327" t="str">
        <f>IF(O192="","",O192-O190)</f>
        <v/>
      </c>
      <c r="Q192" s="328" t="str">
        <f t="shared" si="43"/>
        <v/>
      </c>
      <c r="R192" s="328"/>
      <c r="S192" s="328"/>
      <c r="T192" s="329"/>
      <c r="U192" s="329"/>
      <c r="V192" s="331"/>
      <c r="X192" s="333" t="str">
        <f>IF(AP192="","",AP192)</f>
        <v/>
      </c>
      <c r="Y192" s="327"/>
      <c r="Z192" s="327" t="str">
        <f>IF(Y192="","",Y192-Y190)</f>
        <v/>
      </c>
      <c r="AA192" s="328" t="str">
        <f t="shared" si="44"/>
        <v/>
      </c>
      <c r="AB192" s="331"/>
      <c r="AD192" s="333" t="str">
        <f t="shared" si="45"/>
        <v/>
      </c>
      <c r="AE192" s="327"/>
      <c r="AF192" s="327" t="str">
        <f>IF(AE192="","",AE192-AE190)</f>
        <v/>
      </c>
      <c r="AG192" s="328" t="str">
        <f t="shared" si="46"/>
        <v/>
      </c>
      <c r="AH192" s="331"/>
      <c r="AJ192" s="333" t="str">
        <f t="shared" si="47"/>
        <v/>
      </c>
      <c r="AK192" s="327"/>
      <c r="AL192" s="327" t="str">
        <f>IF(AK192="","",AK192-AK190)</f>
        <v/>
      </c>
      <c r="AM192" s="328" t="str">
        <f t="shared" si="48"/>
        <v/>
      </c>
      <c r="AN192" s="331"/>
      <c r="AP192" s="333" t="str">
        <f>IF(M192="","",M192)</f>
        <v/>
      </c>
      <c r="AQ192" s="327"/>
      <c r="AR192" s="327"/>
      <c r="AS192" s="327" t="str">
        <f>IF(AR192="","",AR192-AR190)</f>
        <v/>
      </c>
      <c r="AT192" s="328" t="str">
        <f t="shared" si="49"/>
        <v/>
      </c>
      <c r="AU192" s="328"/>
      <c r="AV192" s="328"/>
      <c r="AW192" s="329"/>
      <c r="AX192" s="329"/>
      <c r="AY192" s="331"/>
    </row>
    <row r="193" spans="2:51" ht="15" customHeight="1" x14ac:dyDescent="0.25">
      <c r="B193" s="333">
        <v>46062</v>
      </c>
      <c r="C193" s="336">
        <f>SUM(IF(F193="",0,F193), IF(F194="",0,F194), IF(Q193="",0,Q193), IF(AT193="",0,AT193), IF(AA193="",0,AA193), IF(AG193="",0,AG193), IF(AM193="",0,AM193))</f>
        <v>90500</v>
      </c>
      <c r="D193" s="327">
        <v>20012</v>
      </c>
      <c r="E193" s="327">
        <f t="shared" si="40"/>
        <v>105</v>
      </c>
      <c r="F193" s="328">
        <f t="shared" si="41"/>
        <v>10500</v>
      </c>
      <c r="G193" s="328"/>
      <c r="H193" s="328"/>
      <c r="I193" s="329"/>
      <c r="J193" s="329"/>
      <c r="K193" s="330"/>
      <c r="L193" s="323"/>
      <c r="M193" s="333">
        <f t="shared" si="42"/>
        <v>46062</v>
      </c>
      <c r="N193" s="327"/>
      <c r="O193" s="327">
        <v>3101</v>
      </c>
      <c r="P193" s="327">
        <f>IF(O193="","",O193-O191)</f>
        <v>16</v>
      </c>
      <c r="Q193" s="328">
        <f t="shared" si="43"/>
        <v>16000</v>
      </c>
      <c r="R193" s="328"/>
      <c r="S193" s="328"/>
      <c r="T193" s="329"/>
      <c r="U193" s="329"/>
      <c r="V193" s="331"/>
      <c r="X193" s="333">
        <f>IF(AP193="","",AP193)</f>
        <v>46062</v>
      </c>
      <c r="Y193" s="327">
        <v>7779</v>
      </c>
      <c r="Z193" s="327">
        <f>IF(Y193="","",Y193-Y191)</f>
        <v>40</v>
      </c>
      <c r="AA193" s="328">
        <f t="shared" si="44"/>
        <v>40000</v>
      </c>
      <c r="AB193" s="331"/>
      <c r="AD193" s="333">
        <f t="shared" si="45"/>
        <v>46062</v>
      </c>
      <c r="AE193" s="327">
        <v>5351</v>
      </c>
      <c r="AF193" s="327">
        <f>IF(AE193="","",AE193-AE191)</f>
        <v>2</v>
      </c>
      <c r="AG193" s="328">
        <f t="shared" si="46"/>
        <v>2000</v>
      </c>
      <c r="AH193" s="331"/>
      <c r="AJ193" s="333">
        <f t="shared" si="47"/>
        <v>46062</v>
      </c>
      <c r="AK193" s="327">
        <v>7699</v>
      </c>
      <c r="AL193" s="327">
        <f>IF(AK193="","",AK193-AK191)</f>
        <v>12</v>
      </c>
      <c r="AM193" s="328">
        <f t="shared" si="48"/>
        <v>12000</v>
      </c>
      <c r="AN193" s="331"/>
      <c r="AP193" s="333">
        <f>IF(M193="","",M193)</f>
        <v>46062</v>
      </c>
      <c r="AQ193" s="327"/>
      <c r="AR193" s="327">
        <v>8923</v>
      </c>
      <c r="AS193" s="327">
        <f>IF(AR193="","",AR193-AR191)</f>
        <v>6</v>
      </c>
      <c r="AT193" s="328">
        <f t="shared" si="49"/>
        <v>6000</v>
      </c>
      <c r="AU193" s="328"/>
      <c r="AV193" s="328"/>
      <c r="AW193" s="329"/>
      <c r="AX193" s="329"/>
      <c r="AY193" s="331"/>
    </row>
    <row r="194" spans="2:51" ht="15" customHeight="1" x14ac:dyDescent="0.25">
      <c r="B194" s="333"/>
      <c r="C194" s="327"/>
      <c r="D194" s="327">
        <v>6674</v>
      </c>
      <c r="E194" s="327">
        <f t="shared" si="40"/>
        <v>40</v>
      </c>
      <c r="F194" s="328">
        <f t="shared" si="41"/>
        <v>4000</v>
      </c>
      <c r="G194" s="328"/>
      <c r="H194" s="328"/>
      <c r="I194" s="329"/>
      <c r="J194" s="329"/>
      <c r="K194" s="330"/>
      <c r="L194" s="323"/>
      <c r="M194" s="333"/>
      <c r="N194" s="327"/>
      <c r="O194" s="327"/>
      <c r="P194" s="327"/>
      <c r="Q194" s="328"/>
      <c r="R194" s="328"/>
      <c r="S194" s="328"/>
      <c r="T194" s="329"/>
      <c r="U194" s="329"/>
      <c r="V194" s="331"/>
      <c r="X194" s="333"/>
      <c r="Y194" s="327"/>
      <c r="Z194" s="327"/>
      <c r="AA194" s="328"/>
      <c r="AB194" s="331"/>
      <c r="AD194" s="333"/>
      <c r="AE194" s="327"/>
      <c r="AF194" s="327"/>
      <c r="AG194" s="328"/>
      <c r="AH194" s="331"/>
      <c r="AJ194" s="333"/>
      <c r="AK194" s="327"/>
      <c r="AL194" s="327"/>
      <c r="AM194" s="328"/>
      <c r="AN194" s="331"/>
      <c r="AP194" s="333"/>
      <c r="AQ194" s="327"/>
      <c r="AR194" s="327"/>
      <c r="AS194" s="327"/>
      <c r="AT194" s="328"/>
      <c r="AU194" s="328"/>
      <c r="AV194" s="328"/>
      <c r="AW194" s="329"/>
      <c r="AX194" s="329"/>
      <c r="AY194" s="331"/>
    </row>
    <row r="195" spans="2:51" ht="15" customHeight="1" x14ac:dyDescent="0.25">
      <c r="B195" s="333"/>
      <c r="C195" s="336"/>
      <c r="D195" s="327"/>
      <c r="E195" s="327"/>
      <c r="F195" s="328"/>
      <c r="G195" s="328"/>
      <c r="H195" s="328"/>
      <c r="I195" s="329"/>
      <c r="J195" s="329"/>
      <c r="K195" s="330"/>
      <c r="L195" s="323"/>
      <c r="M195" s="333"/>
      <c r="N195" s="327"/>
      <c r="O195" s="327"/>
      <c r="P195" s="327"/>
      <c r="Q195" s="328"/>
      <c r="R195" s="328"/>
      <c r="S195" s="328"/>
      <c r="T195" s="329"/>
      <c r="U195" s="329"/>
      <c r="V195" s="331"/>
      <c r="X195" s="333"/>
      <c r="Y195" s="327"/>
      <c r="Z195" s="327"/>
      <c r="AA195" s="328"/>
      <c r="AB195" s="331"/>
      <c r="AD195" s="333"/>
      <c r="AE195" s="327"/>
      <c r="AF195" s="327"/>
      <c r="AG195" s="328"/>
      <c r="AH195" s="331"/>
      <c r="AJ195" s="333"/>
      <c r="AK195" s="327"/>
      <c r="AL195" s="327"/>
      <c r="AM195" s="328"/>
      <c r="AN195" s="331"/>
      <c r="AP195" s="333"/>
      <c r="AQ195" s="327"/>
      <c r="AR195" s="327"/>
      <c r="AS195" s="327"/>
      <c r="AT195" s="328"/>
      <c r="AU195" s="328"/>
      <c r="AV195" s="328"/>
      <c r="AW195" s="329"/>
      <c r="AX195" s="329"/>
      <c r="AY195" s="331"/>
    </row>
    <row r="196" spans="2:51" ht="15" customHeight="1" x14ac:dyDescent="0.25">
      <c r="B196" s="333"/>
      <c r="C196" s="327"/>
      <c r="D196" s="327"/>
      <c r="E196" s="327"/>
      <c r="F196" s="328"/>
      <c r="G196" s="328"/>
      <c r="H196" s="328"/>
      <c r="I196" s="329"/>
      <c r="J196" s="329"/>
      <c r="K196" s="330"/>
      <c r="L196" s="323"/>
      <c r="M196" s="333"/>
      <c r="N196" s="327"/>
      <c r="O196" s="327"/>
      <c r="P196" s="327"/>
      <c r="Q196" s="328"/>
      <c r="R196" s="328"/>
      <c r="S196" s="328"/>
      <c r="T196" s="329"/>
      <c r="U196" s="329"/>
      <c r="V196" s="331"/>
      <c r="X196" s="333"/>
      <c r="Y196" s="327"/>
      <c r="Z196" s="327"/>
      <c r="AA196" s="328"/>
      <c r="AB196" s="331"/>
      <c r="AD196" s="333"/>
      <c r="AE196" s="327"/>
      <c r="AF196" s="327"/>
      <c r="AG196" s="328"/>
      <c r="AH196" s="331"/>
      <c r="AJ196" s="333"/>
      <c r="AK196" s="327"/>
      <c r="AL196" s="327"/>
      <c r="AM196" s="328"/>
      <c r="AN196" s="331"/>
      <c r="AP196" s="333"/>
      <c r="AQ196" s="327"/>
      <c r="AR196" s="327"/>
      <c r="AS196" s="327"/>
      <c r="AT196" s="328"/>
      <c r="AU196" s="328"/>
      <c r="AV196" s="328"/>
      <c r="AW196" s="329"/>
      <c r="AX196" s="329"/>
      <c r="AY196" s="331"/>
    </row>
    <row r="197" spans="2:51" ht="18.75" x14ac:dyDescent="0.25">
      <c r="B197" s="333"/>
      <c r="C197" s="336"/>
      <c r="D197" s="327"/>
      <c r="E197" s="327"/>
      <c r="F197" s="328"/>
      <c r="G197" s="328"/>
      <c r="H197" s="328"/>
      <c r="I197" s="329"/>
      <c r="J197" s="329"/>
      <c r="K197" s="330"/>
      <c r="L197" s="323"/>
      <c r="M197" s="333"/>
      <c r="N197" s="327"/>
      <c r="O197" s="327"/>
      <c r="P197" s="327"/>
      <c r="Q197" s="328"/>
      <c r="R197" s="328"/>
      <c r="S197" s="328"/>
      <c r="T197" s="329"/>
      <c r="U197" s="329"/>
      <c r="V197" s="331"/>
      <c r="X197" s="333"/>
      <c r="Y197" s="327"/>
      <c r="Z197" s="327"/>
      <c r="AA197" s="328"/>
      <c r="AB197" s="331"/>
      <c r="AD197" s="333"/>
      <c r="AE197" s="327"/>
      <c r="AF197" s="327"/>
      <c r="AG197" s="328"/>
      <c r="AH197" s="331"/>
      <c r="AJ197" s="333"/>
      <c r="AK197" s="327"/>
      <c r="AL197" s="327"/>
      <c r="AM197" s="328"/>
      <c r="AN197" s="331"/>
      <c r="AP197" s="333"/>
      <c r="AQ197" s="327"/>
      <c r="AR197" s="327"/>
      <c r="AS197" s="327"/>
      <c r="AT197" s="328"/>
      <c r="AU197" s="328"/>
      <c r="AV197" s="328"/>
      <c r="AW197" s="329"/>
      <c r="AX197" s="329"/>
      <c r="AY197" s="331"/>
    </row>
    <row r="198" spans="2:51" ht="15" customHeight="1" x14ac:dyDescent="0.25">
      <c r="B198" s="333"/>
      <c r="C198" s="327"/>
      <c r="D198" s="327"/>
      <c r="E198" s="327"/>
      <c r="F198" s="328"/>
      <c r="G198" s="328"/>
      <c r="H198" s="328"/>
      <c r="I198" s="329"/>
      <c r="J198" s="329"/>
      <c r="K198" s="330"/>
      <c r="L198" s="323"/>
      <c r="M198" s="333"/>
      <c r="N198" s="327"/>
      <c r="O198" s="327"/>
      <c r="P198" s="327"/>
      <c r="Q198" s="328"/>
      <c r="R198" s="328"/>
      <c r="S198" s="328"/>
      <c r="T198" s="329"/>
      <c r="U198" s="329"/>
      <c r="V198" s="331"/>
      <c r="X198" s="333"/>
      <c r="Y198" s="327"/>
      <c r="Z198" s="327"/>
      <c r="AA198" s="328"/>
      <c r="AB198" s="331"/>
      <c r="AD198" s="333"/>
      <c r="AE198" s="327"/>
      <c r="AF198" s="327"/>
      <c r="AG198" s="328"/>
      <c r="AH198" s="331"/>
      <c r="AJ198" s="333"/>
      <c r="AK198" s="327"/>
      <c r="AL198" s="327"/>
      <c r="AM198" s="328"/>
      <c r="AN198" s="331"/>
      <c r="AP198" s="333"/>
      <c r="AQ198" s="327"/>
      <c r="AR198" s="327"/>
      <c r="AS198" s="327"/>
      <c r="AT198" s="328"/>
      <c r="AU198" s="328"/>
      <c r="AV198" s="328"/>
      <c r="AW198" s="329"/>
      <c r="AX198" s="329"/>
      <c r="AY198" s="331"/>
    </row>
    <row r="199" spans="2:51" ht="15" customHeight="1" x14ac:dyDescent="0.25">
      <c r="B199" s="333"/>
      <c r="C199" s="336">
        <f>SUM(IF(F199="",0,F199), IF(F200="",0,F200), IF(Q199="",0,Q199), IF(AT199="",0,AT199), IF(AA199="",0,AA199), IF(AG199="",0,AG199), IF(AM199="",0,AM199))</f>
        <v>0</v>
      </c>
      <c r="D199" s="327"/>
      <c r="E199" s="327" t="str">
        <f t="shared" si="40"/>
        <v/>
      </c>
      <c r="F199" s="328" t="str">
        <f t="shared" si="41"/>
        <v/>
      </c>
      <c r="G199" s="328"/>
      <c r="H199" s="328"/>
      <c r="I199" s="329"/>
      <c r="J199" s="329"/>
      <c r="K199" s="330"/>
      <c r="L199" s="323"/>
      <c r="M199" s="333" t="str">
        <f>IF(B199="","",B199)</f>
        <v/>
      </c>
      <c r="N199" s="327"/>
      <c r="O199" s="327"/>
      <c r="P199" s="327" t="str">
        <f>IF(O199="","",O199-O197)</f>
        <v/>
      </c>
      <c r="Q199" s="328" t="str">
        <f>IF(O199="","",P199*1000)</f>
        <v/>
      </c>
      <c r="R199" s="328"/>
      <c r="S199" s="328"/>
      <c r="T199" s="329"/>
      <c r="U199" s="329"/>
      <c r="V199" s="331"/>
      <c r="X199" s="333" t="str">
        <f>IF(AP199="","",AP199)</f>
        <v/>
      </c>
      <c r="Y199" s="327"/>
      <c r="Z199" s="327" t="str">
        <f>IF(Y199="","",Y199-Y197)</f>
        <v/>
      </c>
      <c r="AA199" s="328" t="str">
        <f>IF(Y199="","",Z199*1000)</f>
        <v/>
      </c>
      <c r="AB199" s="331"/>
      <c r="AD199" s="333" t="str">
        <f>IF(X199="","",X199)</f>
        <v/>
      </c>
      <c r="AE199" s="327"/>
      <c r="AF199" s="327" t="str">
        <f>IF(AE199="","",AE199-AE197)</f>
        <v/>
      </c>
      <c r="AG199" s="328" t="str">
        <f>IF(AE199="","",AF199*1000)</f>
        <v/>
      </c>
      <c r="AH199" s="331"/>
      <c r="AJ199" s="333" t="str">
        <f>IF(AD199="","",AD199)</f>
        <v/>
      </c>
      <c r="AK199" s="327"/>
      <c r="AL199" s="327" t="str">
        <f>IF(AK199="","",AK199-AK197)</f>
        <v/>
      </c>
      <c r="AM199" s="328" t="str">
        <f>IF(AK199="","",AL199*1000)</f>
        <v/>
      </c>
      <c r="AN199" s="331"/>
      <c r="AP199" s="333" t="str">
        <f>IF(M199="","",M199)</f>
        <v/>
      </c>
      <c r="AQ199" s="327"/>
      <c r="AR199" s="327"/>
      <c r="AS199" s="327" t="str">
        <f>IF(AR199="","",AR199-AR197)</f>
        <v/>
      </c>
      <c r="AT199" s="328" t="str">
        <f>IF(AR199="","",AS199*1000)</f>
        <v/>
      </c>
      <c r="AU199" s="328"/>
      <c r="AV199" s="328"/>
      <c r="AW199" s="329"/>
      <c r="AX199" s="329"/>
      <c r="AY199" s="331"/>
    </row>
    <row r="200" spans="2:51" ht="15" customHeight="1" x14ac:dyDescent="0.25">
      <c r="B200" s="333"/>
      <c r="C200" s="327"/>
      <c r="D200" s="327"/>
      <c r="E200" s="327" t="str">
        <f t="shared" si="40"/>
        <v/>
      </c>
      <c r="F200" s="328" t="str">
        <f t="shared" si="41"/>
        <v/>
      </c>
      <c r="G200" s="328"/>
      <c r="H200" s="328"/>
      <c r="I200" s="329"/>
      <c r="J200" s="329"/>
      <c r="K200" s="330"/>
      <c r="L200" s="323"/>
      <c r="M200" s="333"/>
      <c r="N200" s="327"/>
      <c r="O200" s="327"/>
      <c r="P200" s="327"/>
      <c r="Q200" s="328"/>
      <c r="R200" s="328"/>
      <c r="S200" s="328"/>
      <c r="T200" s="329"/>
      <c r="U200" s="329"/>
      <c r="V200" s="331"/>
      <c r="X200" s="333"/>
      <c r="Y200" s="327"/>
      <c r="Z200" s="327"/>
      <c r="AA200" s="328"/>
      <c r="AB200" s="331"/>
      <c r="AD200" s="333"/>
      <c r="AE200" s="327"/>
      <c r="AF200" s="327"/>
      <c r="AG200" s="328"/>
      <c r="AH200" s="331"/>
      <c r="AJ200" s="333"/>
      <c r="AK200" s="327"/>
      <c r="AL200" s="327"/>
      <c r="AM200" s="328"/>
      <c r="AN200" s="331"/>
      <c r="AP200" s="333"/>
      <c r="AQ200" s="327"/>
      <c r="AR200" s="327"/>
      <c r="AS200" s="327"/>
      <c r="AT200" s="328"/>
      <c r="AU200" s="328"/>
      <c r="AV200" s="328"/>
      <c r="AW200" s="329"/>
      <c r="AX200" s="329"/>
      <c r="AY200" s="331"/>
    </row>
    <row r="201" spans="2:51" ht="15" customHeight="1" x14ac:dyDescent="0.25">
      <c r="B201" s="333"/>
      <c r="C201" s="336">
        <f>SUM(IF(F201="",0,F201), IF(F202="",0,F202), IF(Q201="",0,Q201), IF(AT201="",0,AT201), IF(AA201="",0,AA201), IF(AG201="",0,AG201), IF(AM201="",0,AM201))</f>
        <v>0</v>
      </c>
      <c r="D201" s="327"/>
      <c r="E201" s="327" t="str">
        <f t="shared" si="40"/>
        <v/>
      </c>
      <c r="F201" s="328" t="str">
        <f t="shared" si="41"/>
        <v/>
      </c>
      <c r="G201" s="328"/>
      <c r="H201" s="328"/>
      <c r="I201" s="329"/>
      <c r="J201" s="329"/>
      <c r="K201" s="330"/>
      <c r="L201" s="323"/>
      <c r="M201" s="333" t="str">
        <f>IF(B201="","",B201)</f>
        <v/>
      </c>
      <c r="N201" s="327"/>
      <c r="O201" s="327"/>
      <c r="P201" s="327" t="str">
        <f>IF(O201="","",O201-O199)</f>
        <v/>
      </c>
      <c r="Q201" s="328" t="str">
        <f>IF(O201="","",P201*1000)</f>
        <v/>
      </c>
      <c r="R201" s="328"/>
      <c r="S201" s="328"/>
      <c r="T201" s="329"/>
      <c r="U201" s="329"/>
      <c r="V201" s="331"/>
      <c r="X201" s="333" t="str">
        <f>IF(AP201="","",AP201)</f>
        <v/>
      </c>
      <c r="Y201" s="327"/>
      <c r="Z201" s="327" t="str">
        <f>IF(Y201="","",Y201-Y199)</f>
        <v/>
      </c>
      <c r="AA201" s="328" t="str">
        <f>IF(Y201="","",Z201*1000)</f>
        <v/>
      </c>
      <c r="AB201" s="331"/>
      <c r="AD201" s="333" t="str">
        <f>IF(X201="","",X201)</f>
        <v/>
      </c>
      <c r="AE201" s="327"/>
      <c r="AF201" s="327" t="str">
        <f>IF(AE201="","",AE201-AE199)</f>
        <v/>
      </c>
      <c r="AG201" s="328" t="str">
        <f>IF(AE201="","",AF201*1000)</f>
        <v/>
      </c>
      <c r="AH201" s="331"/>
      <c r="AJ201" s="333" t="str">
        <f>IF(AD201="","",AD201)</f>
        <v/>
      </c>
      <c r="AK201" s="327"/>
      <c r="AL201" s="327" t="str">
        <f>IF(AK201="","",AK201-AK199)</f>
        <v/>
      </c>
      <c r="AM201" s="328" t="str">
        <f>IF(AK201="","",AL201*1000)</f>
        <v/>
      </c>
      <c r="AN201" s="331"/>
      <c r="AP201" s="333" t="str">
        <f>IF(M201="","",M201)</f>
        <v/>
      </c>
      <c r="AQ201" s="327"/>
      <c r="AR201" s="327"/>
      <c r="AS201" s="327" t="str">
        <f>IF(AR201="","",AR201-AR199)</f>
        <v/>
      </c>
      <c r="AT201" s="328" t="str">
        <f>IF(AR201="","",AS201*1000)</f>
        <v/>
      </c>
      <c r="AU201" s="328"/>
      <c r="AV201" s="328"/>
      <c r="AW201" s="329"/>
      <c r="AX201" s="329"/>
      <c r="AY201" s="331"/>
    </row>
    <row r="202" spans="2:51" ht="15" customHeight="1" x14ac:dyDescent="0.25">
      <c r="B202" s="333"/>
      <c r="C202" s="327"/>
      <c r="D202" s="327"/>
      <c r="E202" s="327" t="str">
        <f t="shared" si="40"/>
        <v/>
      </c>
      <c r="F202" s="328" t="str">
        <f t="shared" si="41"/>
        <v/>
      </c>
      <c r="G202" s="328"/>
      <c r="H202" s="328"/>
      <c r="I202" s="329"/>
      <c r="J202" s="329"/>
      <c r="K202" s="330"/>
      <c r="L202" s="323"/>
      <c r="M202" s="333" t="str">
        <f>IF(B202="","",B202)</f>
        <v/>
      </c>
      <c r="N202" s="327"/>
      <c r="O202" s="327"/>
      <c r="P202" s="327"/>
      <c r="Q202" s="328"/>
      <c r="R202" s="328"/>
      <c r="S202" s="328"/>
      <c r="T202" s="329"/>
      <c r="U202" s="329"/>
      <c r="V202" s="331"/>
      <c r="X202" s="333"/>
      <c r="Y202" s="327"/>
      <c r="Z202" s="327"/>
      <c r="AA202" s="328"/>
      <c r="AB202" s="331"/>
      <c r="AD202" s="333"/>
      <c r="AE202" s="327"/>
      <c r="AF202" s="327"/>
      <c r="AG202" s="328"/>
      <c r="AH202" s="331"/>
      <c r="AJ202" s="333"/>
      <c r="AK202" s="327"/>
      <c r="AL202" s="327"/>
      <c r="AM202" s="328"/>
      <c r="AN202" s="331"/>
      <c r="AP202" s="333"/>
      <c r="AQ202" s="327"/>
      <c r="AR202" s="327"/>
      <c r="AS202" s="327"/>
      <c r="AT202" s="328"/>
      <c r="AU202" s="328"/>
      <c r="AV202" s="328"/>
      <c r="AW202" s="329"/>
      <c r="AX202" s="329"/>
      <c r="AY202" s="331"/>
    </row>
    <row r="203" spans="2:51" ht="15" customHeight="1" x14ac:dyDescent="0.25">
      <c r="B203" s="333"/>
      <c r="C203" s="336">
        <f>SUM(IF(F203="",0,F203), IF(F204="",0,F204), IF(Q203="",0,Q203), IF(AT203="",0,AT203), IF(AA203="",0,AA203), IF(AG203="",0,AG203), IF(AM203="",0,AM203))</f>
        <v>0</v>
      </c>
      <c r="D203" s="327"/>
      <c r="E203" s="327" t="str">
        <f t="shared" si="40"/>
        <v/>
      </c>
      <c r="F203" s="328" t="str">
        <f t="shared" si="41"/>
        <v/>
      </c>
      <c r="G203" s="328"/>
      <c r="H203" s="328"/>
      <c r="I203" s="329"/>
      <c r="J203" s="329"/>
      <c r="K203" s="330"/>
      <c r="L203" s="323"/>
      <c r="M203" s="333" t="str">
        <f>IF(B203="","",B203)</f>
        <v/>
      </c>
      <c r="N203" s="327"/>
      <c r="O203" s="327"/>
      <c r="P203" s="327" t="str">
        <f>IF(O203="","",O203-O201)</f>
        <v/>
      </c>
      <c r="Q203" s="328" t="str">
        <f>IF(O203="","",P203*1000)</f>
        <v/>
      </c>
      <c r="R203" s="328"/>
      <c r="S203" s="328"/>
      <c r="T203" s="329"/>
      <c r="U203" s="329"/>
      <c r="V203" s="331"/>
      <c r="X203" s="333"/>
      <c r="Y203" s="327"/>
      <c r="Z203" s="327" t="str">
        <f>IF(Y203="","",Y203-Y201)</f>
        <v/>
      </c>
      <c r="AA203" s="328" t="str">
        <f>IF(Y203="","",Z203*1000)</f>
        <v/>
      </c>
      <c r="AB203" s="331"/>
      <c r="AD203" s="333" t="str">
        <f>IF(X203="","",X203)</f>
        <v/>
      </c>
      <c r="AE203" s="327"/>
      <c r="AF203" s="327" t="str">
        <f>IF(AE203="","",AE203-AE201)</f>
        <v/>
      </c>
      <c r="AG203" s="328" t="str">
        <f>IF(AE203="","",AF203*1000)</f>
        <v/>
      </c>
      <c r="AH203" s="331"/>
      <c r="AJ203" s="333" t="str">
        <f>IF(AD203="","",AD203)</f>
        <v/>
      </c>
      <c r="AK203" s="327"/>
      <c r="AL203" s="327" t="str">
        <f>IF(AK203="","",AK203-AK201)</f>
        <v/>
      </c>
      <c r="AM203" s="328" t="str">
        <f>IF(AK203="","",AL203*1000)</f>
        <v/>
      </c>
      <c r="AN203" s="331"/>
      <c r="AP203" s="333" t="str">
        <f>IF(M203="","",M203)</f>
        <v/>
      </c>
      <c r="AQ203" s="327"/>
      <c r="AR203" s="327"/>
      <c r="AS203" s="327" t="str">
        <f>IF(AR203="","",AR203-AR201)</f>
        <v/>
      </c>
      <c r="AT203" s="328" t="str">
        <f>IF(AR203="","",AS203*1000)</f>
        <v/>
      </c>
      <c r="AU203" s="328"/>
      <c r="AV203" s="328"/>
      <c r="AW203" s="329"/>
      <c r="AX203" s="329"/>
      <c r="AY203" s="331"/>
    </row>
    <row r="204" spans="2:51" ht="15" customHeight="1" x14ac:dyDescent="0.25">
      <c r="B204" s="333"/>
      <c r="C204" s="327"/>
      <c r="D204" s="327"/>
      <c r="E204" s="327" t="str">
        <f t="shared" si="40"/>
        <v/>
      </c>
      <c r="F204" s="328" t="str">
        <f t="shared" si="41"/>
        <v/>
      </c>
      <c r="G204" s="328"/>
      <c r="H204" s="328"/>
      <c r="I204" s="329"/>
      <c r="J204" s="329"/>
      <c r="K204" s="330"/>
      <c r="L204" s="323"/>
      <c r="M204" s="333"/>
      <c r="N204" s="327"/>
      <c r="O204" s="327"/>
      <c r="P204" s="327"/>
      <c r="Q204" s="328"/>
      <c r="R204" s="328"/>
      <c r="S204" s="328"/>
      <c r="T204" s="329"/>
      <c r="U204" s="329"/>
      <c r="V204" s="331"/>
      <c r="X204" s="333"/>
      <c r="Y204" s="327"/>
      <c r="Z204" s="327"/>
      <c r="AA204" s="328"/>
      <c r="AB204" s="331"/>
      <c r="AD204" s="333"/>
      <c r="AE204" s="327"/>
      <c r="AF204" s="327"/>
      <c r="AG204" s="328"/>
      <c r="AH204" s="331"/>
      <c r="AJ204" s="333"/>
      <c r="AK204" s="327"/>
      <c r="AL204" s="327"/>
      <c r="AM204" s="328"/>
      <c r="AN204" s="331"/>
      <c r="AP204" s="333"/>
      <c r="AQ204" s="327"/>
      <c r="AR204" s="327"/>
      <c r="AS204" s="327"/>
      <c r="AT204" s="328"/>
      <c r="AU204" s="328"/>
      <c r="AV204" s="328"/>
      <c r="AW204" s="329"/>
      <c r="AX204" s="329"/>
      <c r="AY204" s="331"/>
    </row>
    <row r="205" spans="2:51" ht="15" customHeight="1" x14ac:dyDescent="0.25">
      <c r="B205" s="333"/>
      <c r="C205" s="336">
        <f>SUM(IF(F205="",0,F205), IF(F206="",0,F206), IF(Q205="",0,Q205), IF(AT205="",0,AT205), IF(AA205="",0,AA205), IF(AG205="",0,AG205), IF(AM205="",0,AM205))</f>
        <v>0</v>
      </c>
      <c r="D205" s="327"/>
      <c r="E205" s="327" t="str">
        <f t="shared" si="40"/>
        <v/>
      </c>
      <c r="F205" s="328" t="str">
        <f t="shared" si="41"/>
        <v/>
      </c>
      <c r="G205" s="328"/>
      <c r="H205" s="328"/>
      <c r="I205" s="329"/>
      <c r="J205" s="329"/>
      <c r="K205" s="330"/>
      <c r="L205" s="323"/>
      <c r="M205" s="333" t="str">
        <f>IF(B205="","",B205)</f>
        <v/>
      </c>
      <c r="N205" s="327"/>
      <c r="O205" s="327"/>
      <c r="P205" s="327" t="str">
        <f>IF(O205="","",O205-O203)</f>
        <v/>
      </c>
      <c r="Q205" s="328" t="str">
        <f>IF(O205="","",P205*1000)</f>
        <v/>
      </c>
      <c r="R205" s="328"/>
      <c r="S205" s="328"/>
      <c r="T205" s="329"/>
      <c r="U205" s="329"/>
      <c r="V205" s="331"/>
      <c r="X205" s="333" t="str">
        <f>IF(AP205="","",AP205)</f>
        <v/>
      </c>
      <c r="Y205" s="327"/>
      <c r="Z205" s="327" t="str">
        <f>IF(Y205="","",Y205-Y203)</f>
        <v/>
      </c>
      <c r="AA205" s="328" t="str">
        <f>IF(Y205="","",Z205*1000)</f>
        <v/>
      </c>
      <c r="AB205" s="331"/>
      <c r="AD205" s="333" t="str">
        <f>IF(X205="","",X205)</f>
        <v/>
      </c>
      <c r="AE205" s="327"/>
      <c r="AF205" s="327" t="str">
        <f>IF(AE205="","",AE205-AE203)</f>
        <v/>
      </c>
      <c r="AG205" s="328" t="str">
        <f>IF(AE205="","",AF205*1000)</f>
        <v/>
      </c>
      <c r="AH205" s="331"/>
      <c r="AJ205" s="333" t="str">
        <f>IF(AD205="","",AD205)</f>
        <v/>
      </c>
      <c r="AK205" s="327"/>
      <c r="AL205" s="327" t="str">
        <f>IF(AK205="","",AK205-AK203)</f>
        <v/>
      </c>
      <c r="AM205" s="328" t="str">
        <f>IF(AK205="","",AL205*1000)</f>
        <v/>
      </c>
      <c r="AN205" s="331"/>
      <c r="AP205" s="333" t="str">
        <f>IF(M205="","",M205)</f>
        <v/>
      </c>
      <c r="AQ205" s="327"/>
      <c r="AR205" s="327"/>
      <c r="AS205" s="327" t="str">
        <f>IF(AR205="","",AR205-AR203)</f>
        <v/>
      </c>
      <c r="AT205" s="328" t="str">
        <f>IF(AR205="","",AS205*1000)</f>
        <v/>
      </c>
      <c r="AU205" s="328"/>
      <c r="AV205" s="328"/>
      <c r="AW205" s="329"/>
      <c r="AX205" s="329"/>
      <c r="AY205" s="331"/>
    </row>
    <row r="206" spans="2:51" ht="15" customHeight="1" x14ac:dyDescent="0.25">
      <c r="B206" s="333"/>
      <c r="C206" s="327"/>
      <c r="D206" s="327"/>
      <c r="E206" s="327" t="str">
        <f t="shared" si="40"/>
        <v/>
      </c>
      <c r="F206" s="328" t="str">
        <f t="shared" si="41"/>
        <v/>
      </c>
      <c r="G206" s="328"/>
      <c r="H206" s="328"/>
      <c r="I206" s="329"/>
      <c r="J206" s="329"/>
      <c r="K206" s="330"/>
      <c r="L206" s="323"/>
      <c r="M206" s="333"/>
      <c r="N206" s="327"/>
      <c r="O206" s="327"/>
      <c r="P206" s="327"/>
      <c r="Q206" s="328"/>
      <c r="R206" s="328"/>
      <c r="S206" s="328"/>
      <c r="T206" s="329"/>
      <c r="U206" s="329"/>
      <c r="V206" s="331"/>
      <c r="X206" s="333"/>
      <c r="Y206" s="327"/>
      <c r="Z206" s="327"/>
      <c r="AA206" s="328"/>
      <c r="AB206" s="331"/>
      <c r="AD206" s="333"/>
      <c r="AE206" s="327"/>
      <c r="AF206" s="327"/>
      <c r="AG206" s="328"/>
      <c r="AH206" s="331"/>
      <c r="AJ206" s="333"/>
      <c r="AK206" s="327"/>
      <c r="AL206" s="327"/>
      <c r="AM206" s="328"/>
      <c r="AN206" s="331"/>
      <c r="AP206" s="333"/>
      <c r="AQ206" s="327"/>
      <c r="AR206" s="327"/>
      <c r="AS206" s="327"/>
      <c r="AT206" s="328"/>
      <c r="AU206" s="328"/>
      <c r="AV206" s="328"/>
      <c r="AW206" s="329"/>
      <c r="AX206" s="329"/>
      <c r="AY206" s="331"/>
    </row>
    <row r="207" spans="2:51" ht="15" customHeight="1" x14ac:dyDescent="0.25">
      <c r="B207" s="333"/>
      <c r="C207" s="336">
        <f>SUM(IF(F207="",0,F207), IF(F208="",0,F208), IF(Q207="",0,Q207), IF(AT207="",0,AT207), IF(AA207="",0,AA207), IF(AG207="",0,AG207), IF(AM207="",0,AM207))</f>
        <v>0</v>
      </c>
      <c r="D207" s="327"/>
      <c r="E207" s="327" t="str">
        <f t="shared" si="40"/>
        <v/>
      </c>
      <c r="F207" s="328" t="str">
        <f t="shared" si="41"/>
        <v/>
      </c>
      <c r="G207" s="328"/>
      <c r="H207" s="328"/>
      <c r="I207" s="329"/>
      <c r="J207" s="329"/>
      <c r="K207" s="330"/>
      <c r="L207" s="323"/>
      <c r="M207" s="333" t="str">
        <f>IF(B207="","",B207)</f>
        <v/>
      </c>
      <c r="N207" s="327"/>
      <c r="O207" s="327"/>
      <c r="P207" s="327" t="str">
        <f>IF(O207="","",O207-O205)</f>
        <v/>
      </c>
      <c r="Q207" s="328" t="str">
        <f>IF(O207="","",P207*1000)</f>
        <v/>
      </c>
      <c r="R207" s="328"/>
      <c r="S207" s="328"/>
      <c r="T207" s="329"/>
      <c r="U207" s="329"/>
      <c r="V207" s="331"/>
      <c r="X207" s="333" t="str">
        <f>IF(AP207="","",AP207)</f>
        <v/>
      </c>
      <c r="Y207" s="327"/>
      <c r="Z207" s="327" t="str">
        <f>IF(Y207="","",Y207-Y205)</f>
        <v/>
      </c>
      <c r="AA207" s="328" t="str">
        <f>IF(Y207="","",Z207*1000)</f>
        <v/>
      </c>
      <c r="AB207" s="331"/>
      <c r="AD207" s="333" t="str">
        <f>IF(X207="","",X207)</f>
        <v/>
      </c>
      <c r="AE207" s="327"/>
      <c r="AF207" s="327" t="str">
        <f>IF(AE207="","",AE207-AE205)</f>
        <v/>
      </c>
      <c r="AG207" s="328" t="str">
        <f>IF(AE207="","",AF207*1000)</f>
        <v/>
      </c>
      <c r="AH207" s="331"/>
      <c r="AJ207" s="333" t="str">
        <f>IF(AD207="","",AD207)</f>
        <v/>
      </c>
      <c r="AK207" s="327"/>
      <c r="AL207" s="327" t="str">
        <f>IF(AK207="","",AK207-AK205)</f>
        <v/>
      </c>
      <c r="AM207" s="328" t="str">
        <f>IF(AK207="","",AL207*1000)</f>
        <v/>
      </c>
      <c r="AN207" s="331"/>
      <c r="AP207" s="333" t="str">
        <f>IF(M207="","",M207)</f>
        <v/>
      </c>
      <c r="AQ207" s="327"/>
      <c r="AR207" s="327"/>
      <c r="AS207" s="327" t="str">
        <f>IF(AR207="","",AR207-AR205)</f>
        <v/>
      </c>
      <c r="AT207" s="328" t="str">
        <f>IF(AR207="","",AS207*1000)</f>
        <v/>
      </c>
      <c r="AU207" s="328"/>
      <c r="AV207" s="328"/>
      <c r="AW207" s="329"/>
      <c r="AX207" s="329"/>
      <c r="AY207" s="331"/>
    </row>
    <row r="208" spans="2:51" ht="15" customHeight="1" x14ac:dyDescent="0.25">
      <c r="B208" s="333"/>
      <c r="C208" s="327"/>
      <c r="D208" s="327"/>
      <c r="E208" s="327" t="str">
        <f t="shared" si="40"/>
        <v/>
      </c>
      <c r="F208" s="328" t="str">
        <f t="shared" si="41"/>
        <v/>
      </c>
      <c r="G208" s="328"/>
      <c r="H208" s="328"/>
      <c r="I208" s="329"/>
      <c r="J208" s="329"/>
      <c r="K208" s="330"/>
      <c r="L208" s="323"/>
      <c r="M208" s="333"/>
      <c r="N208" s="327"/>
      <c r="O208" s="327"/>
      <c r="P208" s="327"/>
      <c r="Q208" s="328"/>
      <c r="R208" s="328"/>
      <c r="S208" s="328"/>
      <c r="T208" s="329"/>
      <c r="U208" s="329"/>
      <c r="V208" s="331"/>
      <c r="X208" s="333"/>
      <c r="Y208" s="327"/>
      <c r="Z208" s="327"/>
      <c r="AA208" s="328"/>
      <c r="AB208" s="331"/>
      <c r="AD208" s="333"/>
      <c r="AE208" s="327"/>
      <c r="AF208" s="327"/>
      <c r="AG208" s="328"/>
      <c r="AH208" s="331"/>
      <c r="AJ208" s="333"/>
      <c r="AK208" s="327"/>
      <c r="AL208" s="327"/>
      <c r="AM208" s="328"/>
      <c r="AN208" s="331"/>
      <c r="AP208" s="333"/>
      <c r="AQ208" s="327"/>
      <c r="AR208" s="327"/>
      <c r="AS208" s="327"/>
      <c r="AT208" s="328"/>
      <c r="AU208" s="328"/>
      <c r="AV208" s="328"/>
      <c r="AW208" s="329"/>
      <c r="AX208" s="329"/>
      <c r="AY208" s="331"/>
    </row>
    <row r="209" spans="2:51" ht="15" customHeight="1" x14ac:dyDescent="0.25">
      <c r="B209" s="333"/>
      <c r="C209" s="336">
        <f>SUM(IF(F209="",0,F209), IF(F210="",0,F210), IF(Q209="",0,Q209), IF(AT209="",0,AT209), IF(AA209="",0,AA209), IF(AG209="",0,AG209), IF(AM209="",0,AM209))</f>
        <v>0</v>
      </c>
      <c r="D209" s="327"/>
      <c r="E209" s="327" t="str">
        <f t="shared" si="40"/>
        <v/>
      </c>
      <c r="F209" s="328" t="str">
        <f t="shared" si="41"/>
        <v/>
      </c>
      <c r="G209" s="328"/>
      <c r="H209" s="328"/>
      <c r="I209" s="329"/>
      <c r="J209" s="329"/>
      <c r="K209" s="330"/>
      <c r="L209" s="323"/>
      <c r="M209" s="333" t="str">
        <f>IF(B209="","",B209)</f>
        <v/>
      </c>
      <c r="N209" s="327"/>
      <c r="O209" s="327"/>
      <c r="P209" s="327" t="str">
        <f>IF(O209="","",O209-O207)</f>
        <v/>
      </c>
      <c r="Q209" s="328" t="str">
        <f>IF(O209="","",P209*1000)</f>
        <v/>
      </c>
      <c r="R209" s="328"/>
      <c r="S209" s="328"/>
      <c r="T209" s="329"/>
      <c r="U209" s="329"/>
      <c r="V209" s="331"/>
      <c r="X209" s="333" t="str">
        <f>IF(AP209="","",AP209)</f>
        <v/>
      </c>
      <c r="Y209" s="327"/>
      <c r="Z209" s="327" t="str">
        <f>IF(Y209="","",Y209-Y207)</f>
        <v/>
      </c>
      <c r="AA209" s="328" t="str">
        <f>IF(Y209="","",Z209*1000)</f>
        <v/>
      </c>
      <c r="AB209" s="331"/>
      <c r="AD209" s="333" t="str">
        <f>IF(X209="","",X209)</f>
        <v/>
      </c>
      <c r="AE209" s="327"/>
      <c r="AF209" s="327" t="str">
        <f>IF(AE209="","",AE209-AE207)</f>
        <v/>
      </c>
      <c r="AG209" s="328" t="str">
        <f>IF(AE209="","",AF209*1000)</f>
        <v/>
      </c>
      <c r="AH209" s="331"/>
      <c r="AJ209" s="333" t="str">
        <f>IF(AD209="","",AD209)</f>
        <v/>
      </c>
      <c r="AK209" s="327"/>
      <c r="AL209" s="327" t="str">
        <f>IF(AK209="","",AK209-AK207)</f>
        <v/>
      </c>
      <c r="AM209" s="328" t="str">
        <f>IF(AK209="","",AL209*1000)</f>
        <v/>
      </c>
      <c r="AN209" s="331"/>
      <c r="AP209" s="333" t="str">
        <f>IF(M209="","",M209)</f>
        <v/>
      </c>
      <c r="AQ209" s="327"/>
      <c r="AR209" s="327"/>
      <c r="AS209" s="327" t="str">
        <f>IF(AR209="","",AR209-AR207)</f>
        <v/>
      </c>
      <c r="AT209" s="328" t="str">
        <f>IF(AR209="","",AS209*1000)</f>
        <v/>
      </c>
      <c r="AU209" s="328"/>
      <c r="AV209" s="328"/>
      <c r="AW209" s="329"/>
      <c r="AX209" s="329"/>
      <c r="AY209" s="331"/>
    </row>
    <row r="210" spans="2:51" ht="15" customHeight="1" x14ac:dyDescent="0.25">
      <c r="B210" s="333"/>
      <c r="C210" s="327"/>
      <c r="D210" s="327"/>
      <c r="E210" s="327" t="str">
        <f t="shared" si="40"/>
        <v/>
      </c>
      <c r="F210" s="328" t="str">
        <f t="shared" si="41"/>
        <v/>
      </c>
      <c r="G210" s="328"/>
      <c r="H210" s="328"/>
      <c r="I210" s="329"/>
      <c r="J210" s="329"/>
      <c r="K210" s="330"/>
      <c r="L210" s="323"/>
      <c r="M210" s="333"/>
      <c r="N210" s="327"/>
      <c r="O210" s="327"/>
      <c r="P210" s="327"/>
      <c r="Q210" s="328"/>
      <c r="R210" s="328"/>
      <c r="S210" s="328"/>
      <c r="T210" s="329"/>
      <c r="U210" s="329"/>
      <c r="V210" s="331"/>
      <c r="X210" s="333"/>
      <c r="Y210" s="327"/>
      <c r="Z210" s="327"/>
      <c r="AA210" s="328"/>
      <c r="AB210" s="331"/>
      <c r="AD210" s="333"/>
      <c r="AE210" s="327"/>
      <c r="AF210" s="327"/>
      <c r="AG210" s="328"/>
      <c r="AH210" s="331"/>
      <c r="AJ210" s="333"/>
      <c r="AK210" s="327"/>
      <c r="AL210" s="327"/>
      <c r="AM210" s="328"/>
      <c r="AN210" s="331"/>
      <c r="AP210" s="333"/>
      <c r="AQ210" s="327"/>
      <c r="AR210" s="327"/>
      <c r="AS210" s="327"/>
      <c r="AT210" s="328"/>
      <c r="AU210" s="328"/>
      <c r="AV210" s="328"/>
      <c r="AW210" s="329"/>
      <c r="AX210" s="329"/>
      <c r="AY210" s="331"/>
    </row>
    <row r="211" spans="2:51" ht="15" customHeight="1" x14ac:dyDescent="0.25">
      <c r="B211" s="333"/>
      <c r="C211" s="336">
        <f>SUM(IF(F211="",0,F211), IF(F212="",0,F212), IF(Q211="",0,Q211), IF(AT211="",0,AT211), IF(AA211="",0,AA211), IF(AG211="",0,AG211), IF(AM211="",0,AM211))</f>
        <v>0</v>
      </c>
      <c r="D211" s="327"/>
      <c r="E211" s="327" t="str">
        <f t="shared" si="40"/>
        <v/>
      </c>
      <c r="F211" s="328" t="str">
        <f t="shared" si="41"/>
        <v/>
      </c>
      <c r="G211" s="328"/>
      <c r="H211" s="328"/>
      <c r="I211" s="329"/>
      <c r="J211" s="329"/>
      <c r="K211" s="330"/>
      <c r="L211" s="323"/>
      <c r="M211" s="333" t="str">
        <f>IF(B211="","",B211)</f>
        <v/>
      </c>
      <c r="N211" s="327"/>
      <c r="O211" s="327"/>
      <c r="P211" s="327" t="str">
        <f>IF(O211="","",O211-O209)</f>
        <v/>
      </c>
      <c r="Q211" s="328" t="str">
        <f>IF(O211="","",P211*1000)</f>
        <v/>
      </c>
      <c r="R211" s="328"/>
      <c r="S211" s="328"/>
      <c r="T211" s="329"/>
      <c r="U211" s="329"/>
      <c r="V211" s="331"/>
      <c r="X211" s="333" t="str">
        <f>IF(AP211="","",AP211)</f>
        <v/>
      </c>
      <c r="Y211" s="327"/>
      <c r="Z211" s="327" t="str">
        <f>IF(Y211="","",Y211-Y209)</f>
        <v/>
      </c>
      <c r="AA211" s="328" t="str">
        <f>IF(Y211="","",Z211*1000)</f>
        <v/>
      </c>
      <c r="AB211" s="331"/>
      <c r="AD211" s="333" t="str">
        <f>IF(X211="","",X211)</f>
        <v/>
      </c>
      <c r="AE211" s="327"/>
      <c r="AF211" s="327" t="str">
        <f>IF(AE211="","",AE211-AE209)</f>
        <v/>
      </c>
      <c r="AG211" s="328" t="str">
        <f>IF(AE211="","",AF211*1000)</f>
        <v/>
      </c>
      <c r="AH211" s="331"/>
      <c r="AJ211" s="333" t="str">
        <f>IF(AD211="","",AD211)</f>
        <v/>
      </c>
      <c r="AK211" s="327"/>
      <c r="AL211" s="327" t="str">
        <f>IF(AK211="","",AK211-AK209)</f>
        <v/>
      </c>
      <c r="AM211" s="328" t="str">
        <f>IF(AK211="","",AL211*1000)</f>
        <v/>
      </c>
      <c r="AN211" s="331"/>
      <c r="AP211" s="333" t="str">
        <f>IF(M211="","",M211)</f>
        <v/>
      </c>
      <c r="AQ211" s="327"/>
      <c r="AR211" s="327"/>
      <c r="AS211" s="327" t="str">
        <f>IF(AR211="","",AR211-AR209)</f>
        <v/>
      </c>
      <c r="AT211" s="328" t="str">
        <f>IF(AR211="","",AS211*1000)</f>
        <v/>
      </c>
      <c r="AU211" s="328"/>
      <c r="AV211" s="328"/>
      <c r="AW211" s="329"/>
      <c r="AX211" s="329"/>
      <c r="AY211" s="331"/>
    </row>
    <row r="212" spans="2:51" ht="15" customHeight="1" x14ac:dyDescent="0.25">
      <c r="B212" s="333"/>
      <c r="C212" s="327"/>
      <c r="D212" s="327"/>
      <c r="E212" s="327" t="str">
        <f t="shared" si="40"/>
        <v/>
      </c>
      <c r="F212" s="328" t="str">
        <f t="shared" si="41"/>
        <v/>
      </c>
      <c r="G212" s="328"/>
      <c r="H212" s="328"/>
      <c r="I212" s="329"/>
      <c r="J212" s="329"/>
      <c r="K212" s="330"/>
      <c r="L212" s="323"/>
      <c r="M212" s="333"/>
      <c r="N212" s="327"/>
      <c r="O212" s="327"/>
      <c r="P212" s="327"/>
      <c r="Q212" s="328"/>
      <c r="R212" s="328"/>
      <c r="S212" s="328"/>
      <c r="T212" s="329"/>
      <c r="U212" s="329"/>
      <c r="V212" s="331"/>
      <c r="X212" s="333"/>
      <c r="Y212" s="327"/>
      <c r="Z212" s="327"/>
      <c r="AA212" s="328"/>
      <c r="AB212" s="331"/>
      <c r="AD212" s="333"/>
      <c r="AE212" s="327"/>
      <c r="AF212" s="327"/>
      <c r="AG212" s="328"/>
      <c r="AH212" s="331"/>
      <c r="AJ212" s="333"/>
      <c r="AK212" s="327"/>
      <c r="AL212" s="327"/>
      <c r="AM212" s="328"/>
      <c r="AN212" s="331"/>
      <c r="AP212" s="333"/>
      <c r="AQ212" s="327"/>
      <c r="AR212" s="327"/>
      <c r="AS212" s="327"/>
      <c r="AT212" s="328"/>
      <c r="AU212" s="328"/>
      <c r="AV212" s="328"/>
      <c r="AW212" s="329"/>
      <c r="AX212" s="329"/>
      <c r="AY212" s="331"/>
    </row>
    <row r="213" spans="2:51" ht="15" customHeight="1" x14ac:dyDescent="0.25">
      <c r="B213" s="393">
        <f>DATEDIF(B$155,B$191,"d")</f>
        <v>24</v>
      </c>
      <c r="C213" s="338"/>
      <c r="D213" s="338"/>
      <c r="E213" s="338" t="str">
        <f>IF(D213="","",D213-D205)</f>
        <v/>
      </c>
      <c r="F213" s="328" t="str">
        <f t="shared" si="41"/>
        <v/>
      </c>
      <c r="G213" s="338"/>
      <c r="H213" s="338"/>
      <c r="I213" s="338"/>
      <c r="J213" s="338"/>
      <c r="K213" s="339"/>
      <c r="L213" s="340"/>
      <c r="M213" s="337">
        <f>IF(B213="","",B213)</f>
        <v>24</v>
      </c>
      <c r="N213" s="338"/>
      <c r="O213" s="338"/>
      <c r="P213" s="338" t="str">
        <f>IF(O213="","",O213-O205)</f>
        <v/>
      </c>
      <c r="Q213" s="338" t="str">
        <f>IF(O213="","",P213*1000)</f>
        <v/>
      </c>
      <c r="R213" s="338"/>
      <c r="S213" s="338"/>
      <c r="T213" s="338"/>
      <c r="U213" s="338"/>
      <c r="V213" s="341"/>
      <c r="W213" s="238"/>
      <c r="X213" s="337">
        <f>IF(AP213="","",AP213)</f>
        <v>24</v>
      </c>
      <c r="Y213" s="338"/>
      <c r="Z213" s="338" t="str">
        <f>IF(Y213="","",Y213-Y205)</f>
        <v/>
      </c>
      <c r="AA213" s="338" t="str">
        <f>IF(Y213="","",Z213*1000)</f>
        <v/>
      </c>
      <c r="AB213" s="341"/>
      <c r="AC213" s="238"/>
      <c r="AD213" s="337">
        <f>IF(X213="","",X213)</f>
        <v>24</v>
      </c>
      <c r="AE213" s="338"/>
      <c r="AF213" s="338" t="str">
        <f>IF(AE213="","",AE213-AE205)</f>
        <v/>
      </c>
      <c r="AG213" s="338" t="str">
        <f>IF(AE213="","",AF213*1000)</f>
        <v/>
      </c>
      <c r="AH213" s="341"/>
      <c r="AI213" s="238"/>
      <c r="AJ213" s="337">
        <f>IF(AD213="","",AD213)</f>
        <v>24</v>
      </c>
      <c r="AK213" s="338"/>
      <c r="AL213" s="338" t="str">
        <f>IF(AK213="","",AK213-AK205)</f>
        <v/>
      </c>
      <c r="AM213" s="338" t="str">
        <f>IF(AK213="","",AL213*1000)</f>
        <v/>
      </c>
      <c r="AN213" s="341"/>
      <c r="AO213" s="238"/>
      <c r="AP213" s="337">
        <f>IF(M213="","",M213)</f>
        <v>24</v>
      </c>
      <c r="AQ213" s="338"/>
      <c r="AR213" s="338"/>
      <c r="AS213" s="338" t="str">
        <f>IF(AR213="","",AR213-AR205)</f>
        <v/>
      </c>
      <c r="AT213" s="338" t="str">
        <f>IF(AR213="","",AS213*1000)</f>
        <v/>
      </c>
      <c r="AU213" s="338"/>
      <c r="AV213" s="338"/>
      <c r="AW213" s="338"/>
      <c r="AX213" s="338"/>
      <c r="AY213" s="341"/>
    </row>
    <row r="214" spans="2:51" ht="15" customHeight="1" x14ac:dyDescent="0.25">
      <c r="B214" s="333"/>
      <c r="C214" s="327"/>
      <c r="D214" s="327"/>
      <c r="E214" s="327" t="str">
        <f>IF(D214="","",D214-D210)</f>
        <v/>
      </c>
      <c r="F214" s="328" t="str">
        <f t="shared" si="41"/>
        <v/>
      </c>
      <c r="G214" s="328"/>
      <c r="H214" s="328"/>
      <c r="I214" s="329"/>
      <c r="J214" s="329"/>
      <c r="K214" s="330"/>
      <c r="L214" s="323"/>
      <c r="M214" s="333"/>
      <c r="N214" s="327"/>
      <c r="O214" s="327"/>
      <c r="P214" s="327"/>
      <c r="Q214" s="328"/>
      <c r="R214" s="328"/>
      <c r="S214" s="328"/>
      <c r="T214" s="329"/>
      <c r="U214" s="329"/>
      <c r="V214" s="331"/>
      <c r="X214" s="333"/>
      <c r="Y214" s="327"/>
      <c r="Z214" s="327"/>
      <c r="AA214" s="328"/>
      <c r="AB214" s="331"/>
      <c r="AD214" s="333"/>
      <c r="AE214" s="327"/>
      <c r="AF214" s="327"/>
      <c r="AG214" s="328"/>
      <c r="AH214" s="331"/>
      <c r="AJ214" s="333"/>
      <c r="AK214" s="327"/>
      <c r="AL214" s="327"/>
      <c r="AM214" s="328"/>
      <c r="AN214" s="331"/>
      <c r="AP214" s="333"/>
      <c r="AQ214" s="327"/>
      <c r="AR214" s="327"/>
      <c r="AS214" s="327"/>
      <c r="AT214" s="328"/>
      <c r="AU214" s="328"/>
      <c r="AV214" s="328"/>
      <c r="AW214" s="329"/>
      <c r="AX214" s="329"/>
      <c r="AY214" s="331"/>
    </row>
    <row r="215" spans="2:51" ht="15" customHeight="1" x14ac:dyDescent="0.25">
      <c r="B215" s="380">
        <f>SUM(E179, E181, E183, E185, E187, E189, E191, E193, E195, E197, E199, E201, E215,E203,E205,E207,E209,E211,E213)</f>
        <v>1047</v>
      </c>
      <c r="C215" s="327"/>
      <c r="D215" s="327"/>
      <c r="E215" s="327" t="str">
        <f>IF(D215="","",D215-D213)</f>
        <v/>
      </c>
      <c r="F215" s="328" t="str">
        <f t="shared" si="41"/>
        <v/>
      </c>
      <c r="G215" s="328"/>
      <c r="H215" s="328"/>
      <c r="I215" s="329"/>
      <c r="J215" s="329"/>
      <c r="K215" s="330"/>
      <c r="L215" s="323"/>
      <c r="M215" s="334">
        <f>SUM(P179, P181, P183, P185, P187, P189, P191, P193, P195, P197, P205, P213, P215)</f>
        <v>134</v>
      </c>
      <c r="N215" s="327"/>
      <c r="O215" s="327"/>
      <c r="P215" s="327" t="str">
        <f>IF(O215="","",O215-O213)</f>
        <v/>
      </c>
      <c r="Q215" s="328" t="str">
        <f>IF(O215="","",P215*1000)</f>
        <v/>
      </c>
      <c r="R215" s="328"/>
      <c r="S215" s="328"/>
      <c r="T215" s="329"/>
      <c r="U215" s="329"/>
      <c r="V215" s="331"/>
      <c r="X215" s="334">
        <f>SUM(Z179, Z181, Z183, Z185, Z187, Z189, Z191, Z193, Z195, Z197, Z205, Z213, Z215)</f>
        <v>128</v>
      </c>
      <c r="Y215" s="327"/>
      <c r="Z215" s="327" t="str">
        <f>IF(Y215="","",Y215-Y213)</f>
        <v/>
      </c>
      <c r="AA215" s="328" t="str">
        <f>IF(Y215="","",Z215*1000)</f>
        <v/>
      </c>
      <c r="AB215" s="331"/>
      <c r="AD215" s="334">
        <f>SUM(AF179, AF181, AF183, AF185, AF187, AF189, AF191, AF193, AF195, AF197, AF205, AF213, AF215)</f>
        <v>64</v>
      </c>
      <c r="AE215" s="327"/>
      <c r="AF215" s="327" t="str">
        <f>IF(AE215="","",AE215-AE213)</f>
        <v/>
      </c>
      <c r="AG215" s="328" t="str">
        <f>IF(AE215="","",AF215*1000)</f>
        <v/>
      </c>
      <c r="AH215" s="331"/>
      <c r="AJ215" s="334">
        <f>SUM(AL179, AL181, AL183, AL185, AL187, AL189, AL191, AL193, AL195, AL197, AL205, AL213, AL215)</f>
        <v>76</v>
      </c>
      <c r="AK215" s="327"/>
      <c r="AL215" s="327" t="str">
        <f>IF(AK215="","",AK215-AK213)</f>
        <v/>
      </c>
      <c r="AM215" s="328" t="str">
        <f>IF(AK215="","",AL215*1000)</f>
        <v/>
      </c>
      <c r="AN215" s="331"/>
      <c r="AP215" s="334">
        <f>SUM(AS179, AS181, AS183, AS185, AS187, AS189, AS191, AS193, AS195, AS197, AS205, AS213, AS215)</f>
        <v>126</v>
      </c>
      <c r="AQ215" s="327"/>
      <c r="AR215" s="327"/>
      <c r="AS215" s="327" t="str">
        <f>IF(AR215="","",AR215-AR213)</f>
        <v/>
      </c>
      <c r="AT215" s="328" t="str">
        <f>IF(AR215="","",AS215*1000)</f>
        <v/>
      </c>
      <c r="AU215" s="328"/>
      <c r="AV215" s="328"/>
      <c r="AW215" s="329"/>
      <c r="AX215" s="329"/>
      <c r="AY215" s="331"/>
    </row>
    <row r="216" spans="2:51" ht="15" customHeight="1" x14ac:dyDescent="0.25">
      <c r="B216" s="380">
        <f>SUM(E180, E182, E184, E186, E188, E190, E192, E194, E196, E198, E200, E202, E216,E204,E206,E208,E210,E212,E214)</f>
        <v>335</v>
      </c>
      <c r="C216" s="327"/>
      <c r="D216" s="327"/>
      <c r="E216" s="327" t="str">
        <f>IF(D216="","",D216-D214)</f>
        <v/>
      </c>
      <c r="F216" s="328" t="str">
        <f t="shared" si="41"/>
        <v/>
      </c>
      <c r="G216" s="328"/>
      <c r="H216" s="328"/>
      <c r="I216" s="329"/>
      <c r="J216" s="329"/>
      <c r="K216" s="330"/>
      <c r="L216" s="323"/>
      <c r="M216" s="334">
        <f>SUM(P180, P182, P184, P186, P188, P190, P192, P194, P196, P198, P210, P214, P216)</f>
        <v>0</v>
      </c>
      <c r="N216" s="327"/>
      <c r="O216" s="327"/>
      <c r="P216" s="327"/>
      <c r="Q216" s="328"/>
      <c r="R216" s="328"/>
      <c r="S216" s="328"/>
      <c r="T216" s="329"/>
      <c r="U216" s="329"/>
      <c r="V216" s="331"/>
      <c r="X216" s="334">
        <f>SUM(Z180, Z182, Z184, Z186, Z188, Z190, Z192, Z194, Z196, Z198, Z210, Z214, Z216)</f>
        <v>0</v>
      </c>
      <c r="Y216" s="327"/>
      <c r="Z216" s="327"/>
      <c r="AA216" s="328"/>
      <c r="AB216" s="331"/>
      <c r="AD216" s="334">
        <f>SUM(AF180, AF182, AF184, AF186, AF188, AF190, AF192, AF194, AF196, AF198, AF210, AF214, AF216)</f>
        <v>0</v>
      </c>
      <c r="AE216" s="327"/>
      <c r="AF216" s="327"/>
      <c r="AG216" s="328"/>
      <c r="AH216" s="331"/>
      <c r="AJ216" s="334">
        <f>SUM(AL180, AL182, AL184, AL186, AL188, AL190, AL192, AL194, AL196, AL198, AL210, AL214, AL216)</f>
        <v>0</v>
      </c>
      <c r="AK216" s="327"/>
      <c r="AL216" s="327"/>
      <c r="AM216" s="328"/>
      <c r="AN216" s="331"/>
      <c r="AP216" s="334">
        <f>SUM(AS180, AS182, AS184, AS186, AS188, AS190, AS192, AS194, AS196, AS198, AS210, AS214, AS216)</f>
        <v>0</v>
      </c>
      <c r="AQ216" s="327"/>
      <c r="AR216" s="327"/>
      <c r="AS216" s="327"/>
      <c r="AT216" s="328"/>
      <c r="AU216" s="328"/>
      <c r="AV216" s="328"/>
      <c r="AW216" s="329"/>
      <c r="AX216" s="329"/>
      <c r="AY216" s="331"/>
    </row>
    <row r="217" spans="2:51" ht="15" customHeight="1" x14ac:dyDescent="0.25">
      <c r="B217" s="333"/>
      <c r="C217" s="328">
        <f>SUM(C179:C210)</f>
        <v>666200</v>
      </c>
      <c r="D217" s="327"/>
      <c r="E217" s="328">
        <f>SUM(E179:E216)</f>
        <v>1382</v>
      </c>
      <c r="F217" s="328">
        <f>SUM(F179:F216)</f>
        <v>138200</v>
      </c>
      <c r="G217" s="328">
        <f>SUM(G179:G190)</f>
        <v>0</v>
      </c>
      <c r="H217" s="328">
        <f>SUM(H179:H190)</f>
        <v>0</v>
      </c>
      <c r="I217" s="328">
        <f>SUM(I179:I190)</f>
        <v>0</v>
      </c>
      <c r="J217" s="328">
        <f>SUM(J179:J190)</f>
        <v>0</v>
      </c>
      <c r="K217" s="330"/>
      <c r="L217" s="322"/>
      <c r="M217" s="327"/>
      <c r="N217" s="327"/>
      <c r="O217" s="327"/>
      <c r="P217" s="328">
        <f>SUM(P179:P215)</f>
        <v>134</v>
      </c>
      <c r="Q217" s="328">
        <f>SUM(Q179:Q216)</f>
        <v>134000</v>
      </c>
      <c r="R217" s="328">
        <f>SUM(R179:R190)</f>
        <v>0</v>
      </c>
      <c r="S217" s="328">
        <f>SUM(S179:S190)</f>
        <v>0</v>
      </c>
      <c r="T217" s="328">
        <f>SUM(T179:T190)</f>
        <v>0</v>
      </c>
      <c r="U217" s="328">
        <f>SUM(U179:U190)</f>
        <v>0</v>
      </c>
      <c r="V217" s="328"/>
      <c r="X217" s="327"/>
      <c r="Y217" s="327"/>
      <c r="Z217" s="328">
        <f>SUM(Z179:Z215)</f>
        <v>128</v>
      </c>
      <c r="AA217" s="328">
        <f>SUM(AA179:AA216)</f>
        <v>128000</v>
      </c>
      <c r="AB217" s="328"/>
      <c r="AD217" s="327"/>
      <c r="AE217" s="327"/>
      <c r="AF217" s="328">
        <f>SUM(AF179:AF215)</f>
        <v>64</v>
      </c>
      <c r="AG217" s="328">
        <f>SUM(AG179:AG216)</f>
        <v>64000</v>
      </c>
      <c r="AH217" s="328"/>
      <c r="AJ217" s="327"/>
      <c r="AK217" s="327"/>
      <c r="AL217" s="328">
        <f>SUM(AL179:AL215)</f>
        <v>76</v>
      </c>
      <c r="AM217" s="328">
        <f>SUM(AM179:AM216)</f>
        <v>76000</v>
      </c>
      <c r="AN217" s="328"/>
      <c r="AP217" s="327"/>
      <c r="AQ217" s="327"/>
      <c r="AR217" s="327"/>
      <c r="AS217" s="328">
        <f>SUM(AS179:AS215)</f>
        <v>126</v>
      </c>
      <c r="AT217" s="328">
        <f>SUM(AT179:AT216)</f>
        <v>126000</v>
      </c>
      <c r="AU217" s="328">
        <f>SUM(AU179:AU190)</f>
        <v>0</v>
      </c>
      <c r="AV217" s="328">
        <f>SUM(AV179:AV190)</f>
        <v>0</v>
      </c>
      <c r="AW217" s="328">
        <f>SUM(AW179:AW190)</f>
        <v>0</v>
      </c>
      <c r="AX217" s="328">
        <f>SUM(AX179:AX190)</f>
        <v>0</v>
      </c>
      <c r="AY217" s="328"/>
    </row>
    <row r="218" spans="2:51" ht="15" customHeight="1" x14ac:dyDescent="0.15">
      <c r="B218" s="386" t="s">
        <v>126</v>
      </c>
      <c r="C218" s="387" t="s">
        <v>127</v>
      </c>
      <c r="D218" s="388" t="s">
        <v>128</v>
      </c>
      <c r="E218" s="392" t="s">
        <v>129</v>
      </c>
      <c r="F218" s="382" t="s">
        <v>130</v>
      </c>
      <c r="G218" s="389"/>
      <c r="H218" s="389"/>
      <c r="I218" s="389"/>
      <c r="J218" s="389"/>
      <c r="K218" s="389"/>
      <c r="L218" s="381"/>
      <c r="M218" s="390"/>
      <c r="N218" s="390"/>
      <c r="O218" s="390"/>
      <c r="P218" s="389" t="s">
        <v>129</v>
      </c>
      <c r="Q218" s="382" t="s">
        <v>130</v>
      </c>
      <c r="R218" s="389"/>
      <c r="S218" s="389"/>
      <c r="T218" s="389"/>
      <c r="U218" s="389"/>
      <c r="V218" s="389"/>
      <c r="W218" s="317"/>
      <c r="X218" s="390"/>
      <c r="Y218" s="390"/>
      <c r="Z218" s="389" t="s">
        <v>129</v>
      </c>
      <c r="AA218" s="382" t="s">
        <v>130</v>
      </c>
      <c r="AB218" s="389"/>
      <c r="AC218" s="317"/>
      <c r="AD218" s="390"/>
      <c r="AE218" s="390"/>
      <c r="AF218" s="389" t="s">
        <v>129</v>
      </c>
      <c r="AG218" s="382" t="s">
        <v>130</v>
      </c>
      <c r="AH218" s="389"/>
      <c r="AI218" s="317"/>
      <c r="AJ218" s="390"/>
      <c r="AK218" s="390"/>
      <c r="AL218" s="389" t="s">
        <v>129</v>
      </c>
      <c r="AM218" s="382" t="s">
        <v>130</v>
      </c>
      <c r="AN218" s="389"/>
      <c r="AO218" s="317"/>
      <c r="AP218" s="390"/>
      <c r="AQ218" s="390"/>
      <c r="AR218" s="390"/>
      <c r="AS218" s="389" t="s">
        <v>129</v>
      </c>
      <c r="AT218" s="382" t="s">
        <v>130</v>
      </c>
      <c r="AU218" s="389"/>
      <c r="AV218" s="389"/>
      <c r="AW218" s="389"/>
      <c r="AX218" s="389"/>
      <c r="AY218" s="389"/>
    </row>
    <row r="219" spans="2:51" ht="15" customHeight="1" x14ac:dyDescent="0.2">
      <c r="B219" s="235">
        <v>24</v>
      </c>
      <c r="C219" s="318">
        <f>C217/B213</f>
        <v>27758.333333333332</v>
      </c>
      <c r="D219" s="318">
        <f>C219*B219</f>
        <v>666200</v>
      </c>
      <c r="E219" s="236">
        <f>E217/B213*100</f>
        <v>5758.3333333333339</v>
      </c>
      <c r="F219" s="236">
        <f>E219*B219</f>
        <v>138200</v>
      </c>
      <c r="P219" s="236">
        <f>P217/M213*1000</f>
        <v>5583.333333333333</v>
      </c>
      <c r="Q219" s="236">
        <f>P219*B219</f>
        <v>134000</v>
      </c>
      <c r="Z219" s="236">
        <f>Z217/X213*1000</f>
        <v>5333.333333333333</v>
      </c>
      <c r="AA219" s="236">
        <f>Z219*B219</f>
        <v>128000</v>
      </c>
      <c r="AF219" s="236">
        <f>AF217/AD213*1000</f>
        <v>2666.6666666666665</v>
      </c>
      <c r="AG219" s="236">
        <f>AF219*B219</f>
        <v>64000</v>
      </c>
      <c r="AL219" s="236">
        <f>AL217/AJ213*1000</f>
        <v>3166.6666666666665</v>
      </c>
      <c r="AM219" s="236">
        <f>AL219*B219</f>
        <v>76000</v>
      </c>
      <c r="AS219" s="236">
        <f>AS217/AP213*1000</f>
        <v>5250</v>
      </c>
      <c r="AT219" s="236">
        <f>AS219*B219</f>
        <v>126000</v>
      </c>
    </row>
    <row r="220" spans="2:51" ht="15" customHeight="1" x14ac:dyDescent="0.2">
      <c r="AA220" s="235">
        <v>126000</v>
      </c>
    </row>
    <row r="221" spans="2:51" ht="15" customHeight="1" x14ac:dyDescent="0.25">
      <c r="B221" s="332" t="s">
        <v>108</v>
      </c>
      <c r="C221" s="319"/>
      <c r="D221" s="319"/>
      <c r="E221" s="319"/>
      <c r="F221" s="319"/>
      <c r="G221" s="319"/>
      <c r="H221" s="319"/>
      <c r="I221" s="319"/>
      <c r="J221" s="320"/>
      <c r="K221" s="321"/>
      <c r="L221" s="319"/>
      <c r="M221" s="332" t="s">
        <v>109</v>
      </c>
      <c r="N221" s="319"/>
      <c r="O221" s="319"/>
      <c r="P221" s="319"/>
      <c r="Q221" s="319"/>
      <c r="R221" s="319"/>
      <c r="S221" s="319"/>
      <c r="T221" s="319"/>
      <c r="U221" s="320"/>
      <c r="V221" s="319"/>
      <c r="X221" s="844" t="s">
        <v>111</v>
      </c>
      <c r="Y221" s="844"/>
      <c r="Z221" s="319"/>
      <c r="AA221" s="319"/>
      <c r="AB221" s="319"/>
      <c r="AD221" s="844" t="s">
        <v>112</v>
      </c>
      <c r="AE221" s="844"/>
      <c r="AF221" s="319"/>
      <c r="AG221" s="319"/>
      <c r="AH221" s="319"/>
      <c r="AJ221" s="844" t="s">
        <v>113</v>
      </c>
      <c r="AK221" s="844"/>
      <c r="AL221" s="319"/>
      <c r="AM221" s="319"/>
      <c r="AN221" s="319"/>
      <c r="AP221" s="844" t="s">
        <v>110</v>
      </c>
      <c r="AQ221" s="844"/>
      <c r="AR221" s="844"/>
      <c r="AS221" s="319"/>
      <c r="AT221" s="319"/>
      <c r="AU221" s="319"/>
      <c r="AV221" s="319"/>
      <c r="AW221" s="319"/>
      <c r="AX221" s="320"/>
      <c r="AY221" s="319"/>
    </row>
    <row r="222" spans="2:51" ht="15" customHeight="1" x14ac:dyDescent="0.2">
      <c r="B222" s="645" t="s">
        <v>114</v>
      </c>
      <c r="C222" s="644"/>
      <c r="D222" s="646" t="s">
        <v>115</v>
      </c>
      <c r="E222" s="325" t="s">
        <v>116</v>
      </c>
      <c r="F222" s="325" t="s">
        <v>117</v>
      </c>
      <c r="G222" s="325"/>
      <c r="H222" s="325"/>
      <c r="I222" s="325"/>
      <c r="J222" s="325"/>
      <c r="K222" s="326" t="s">
        <v>118</v>
      </c>
      <c r="L222" s="319"/>
      <c r="M222" s="325" t="s">
        <v>114</v>
      </c>
      <c r="N222" s="325"/>
      <c r="O222" s="325" t="s">
        <v>115</v>
      </c>
      <c r="P222" s="325" t="s">
        <v>116</v>
      </c>
      <c r="Q222" s="325" t="s">
        <v>117</v>
      </c>
      <c r="R222" s="325"/>
      <c r="S222" s="325"/>
      <c r="T222" s="325"/>
      <c r="U222" s="325"/>
      <c r="V222" s="325" t="s">
        <v>119</v>
      </c>
      <c r="X222" s="325" t="s">
        <v>114</v>
      </c>
      <c r="Y222" s="325" t="s">
        <v>115</v>
      </c>
      <c r="Z222" s="325" t="s">
        <v>116</v>
      </c>
      <c r="AA222" s="325" t="s">
        <v>117</v>
      </c>
      <c r="AB222" s="325" t="s">
        <v>119</v>
      </c>
      <c r="AD222" s="325" t="s">
        <v>114</v>
      </c>
      <c r="AE222" s="325" t="s">
        <v>115</v>
      </c>
      <c r="AF222" s="325" t="s">
        <v>116</v>
      </c>
      <c r="AG222" s="325" t="s">
        <v>117</v>
      </c>
      <c r="AH222" s="325" t="s">
        <v>119</v>
      </c>
      <c r="AJ222" s="325" t="s">
        <v>114</v>
      </c>
      <c r="AK222" s="325" t="s">
        <v>115</v>
      </c>
      <c r="AL222" s="325" t="s">
        <v>116</v>
      </c>
      <c r="AM222" s="325" t="s">
        <v>117</v>
      </c>
      <c r="AN222" s="325" t="s">
        <v>119</v>
      </c>
      <c r="AP222" s="325" t="s">
        <v>114</v>
      </c>
      <c r="AQ222" s="325"/>
      <c r="AR222" s="325" t="s">
        <v>115</v>
      </c>
      <c r="AS222" s="325" t="s">
        <v>116</v>
      </c>
      <c r="AT222" s="325" t="s">
        <v>117</v>
      </c>
      <c r="AU222" s="325"/>
      <c r="AV222" s="325"/>
      <c r="AW222" s="325"/>
      <c r="AX222" s="325"/>
      <c r="AY222" s="325" t="s">
        <v>119</v>
      </c>
    </row>
    <row r="223" spans="2:51" ht="15" customHeight="1" x14ac:dyDescent="0.25">
      <c r="B223" s="333">
        <v>46069</v>
      </c>
      <c r="C223" s="336">
        <v>160600</v>
      </c>
      <c r="D223" s="327">
        <v>20197</v>
      </c>
      <c r="E223" s="327">
        <v>185</v>
      </c>
      <c r="F223" s="328">
        <v>18500</v>
      </c>
      <c r="G223" s="328"/>
      <c r="H223" s="328"/>
      <c r="I223" s="329"/>
      <c r="J223" s="329"/>
      <c r="K223" s="330"/>
      <c r="L223" s="323"/>
      <c r="M223" s="333">
        <v>46069</v>
      </c>
      <c r="N223" s="327"/>
      <c r="O223" s="327">
        <v>3141</v>
      </c>
      <c r="P223" s="327">
        <v>40</v>
      </c>
      <c r="Q223" s="328">
        <v>40000</v>
      </c>
      <c r="R223" s="328"/>
      <c r="S223" s="328"/>
      <c r="T223" s="329"/>
      <c r="U223" s="329"/>
      <c r="V223" s="331"/>
      <c r="X223" s="333">
        <v>46069</v>
      </c>
      <c r="Y223" s="327">
        <v>7799</v>
      </c>
      <c r="Z223" s="327">
        <v>20</v>
      </c>
      <c r="AA223" s="328">
        <v>20000</v>
      </c>
      <c r="AB223" s="331"/>
      <c r="AD223" s="333">
        <v>46069</v>
      </c>
      <c r="AE223" s="327">
        <v>5367</v>
      </c>
      <c r="AF223" s="327">
        <v>16</v>
      </c>
      <c r="AG223" s="328">
        <v>16000</v>
      </c>
      <c r="AH223" s="331"/>
      <c r="AJ223" s="333">
        <v>46069</v>
      </c>
      <c r="AK223" s="327">
        <v>7725</v>
      </c>
      <c r="AL223" s="327">
        <v>26</v>
      </c>
      <c r="AM223" s="328">
        <v>26000</v>
      </c>
      <c r="AN223" s="331"/>
      <c r="AP223" s="333">
        <v>46069</v>
      </c>
      <c r="AQ223" s="327"/>
      <c r="AR223" s="327">
        <v>8955</v>
      </c>
      <c r="AS223" s="327">
        <v>32</v>
      </c>
      <c r="AT223" s="328">
        <v>32000</v>
      </c>
      <c r="AU223" s="328"/>
      <c r="AV223" s="328"/>
      <c r="AW223" s="329"/>
      <c r="AX223" s="329"/>
      <c r="AY223" s="331"/>
    </row>
    <row r="224" spans="2:51" ht="15" customHeight="1" x14ac:dyDescent="0.25">
      <c r="B224" s="333"/>
      <c r="C224" s="327"/>
      <c r="D224" s="327">
        <v>6755</v>
      </c>
      <c r="E224" s="327">
        <v>81</v>
      </c>
      <c r="F224" s="328">
        <v>8100</v>
      </c>
      <c r="G224" s="328"/>
      <c r="H224" s="328"/>
      <c r="I224" s="329"/>
      <c r="J224" s="329"/>
      <c r="K224" s="330"/>
      <c r="L224" s="323"/>
      <c r="M224" s="333"/>
      <c r="N224" s="327"/>
      <c r="O224" s="327"/>
      <c r="P224" s="327" t="s">
        <v>132</v>
      </c>
      <c r="Q224" s="328"/>
      <c r="R224" s="328"/>
      <c r="S224" s="328"/>
      <c r="T224" s="329"/>
      <c r="U224" s="329"/>
      <c r="V224" s="331"/>
      <c r="X224" s="333"/>
      <c r="Y224" s="327"/>
      <c r="Z224" s="327" t="s">
        <v>132</v>
      </c>
      <c r="AA224" s="328"/>
      <c r="AB224" s="331"/>
      <c r="AD224" s="333"/>
      <c r="AE224" s="327"/>
      <c r="AF224" s="327" t="s">
        <v>132</v>
      </c>
      <c r="AG224" s="328"/>
      <c r="AH224" s="331"/>
      <c r="AJ224" s="333"/>
      <c r="AK224" s="327"/>
      <c r="AL224" s="327" t="s">
        <v>132</v>
      </c>
      <c r="AM224" s="328"/>
      <c r="AN224" s="331"/>
      <c r="AP224" s="333"/>
      <c r="AQ224" s="327"/>
      <c r="AR224" s="327"/>
      <c r="AS224" s="327" t="s">
        <v>132</v>
      </c>
      <c r="AT224" s="328"/>
      <c r="AU224" s="328"/>
      <c r="AV224" s="328"/>
      <c r="AW224" s="329"/>
      <c r="AX224" s="329"/>
      <c r="AY224" s="331"/>
    </row>
    <row r="225" spans="2:51" ht="15" customHeight="1" x14ac:dyDescent="0.25">
      <c r="B225" s="333">
        <v>46073</v>
      </c>
      <c r="C225" s="336">
        <f>SUM(IF(F225="",0,F225), IF(F226="",0,F226), IF(Q225="",0,Q225), IF(AT225="",0,AT225), IF(AA225="",0,AA225), IF(AG225="",0,AG225), IF(AM225="",0,AM225))</f>
        <v>44000</v>
      </c>
      <c r="D225" s="327">
        <v>20252</v>
      </c>
      <c r="E225" s="327">
        <f t="shared" ref="E225:E256" si="50">IF(D225="","",D225-D223)</f>
        <v>55</v>
      </c>
      <c r="F225" s="328">
        <f t="shared" ref="F225:F260" si="51">IF(D225="","",E225*100)</f>
        <v>5500</v>
      </c>
      <c r="G225" s="328"/>
      <c r="H225" s="328"/>
      <c r="I225" s="329"/>
      <c r="J225" s="329"/>
      <c r="K225" s="330"/>
      <c r="L225" s="323"/>
      <c r="M225" s="333">
        <f>IF(B225="","",B225)</f>
        <v>46073</v>
      </c>
      <c r="N225" s="327"/>
      <c r="O225" s="327">
        <v>3151</v>
      </c>
      <c r="P225" s="327">
        <f t="shared" ref="P225:P237" si="52">IF(O225="","",O225-O223)</f>
        <v>10</v>
      </c>
      <c r="Q225" s="328">
        <f>IF(O225="","",P225*1000)</f>
        <v>10000</v>
      </c>
      <c r="R225" s="328"/>
      <c r="S225" s="328"/>
      <c r="T225" s="329"/>
      <c r="U225" s="329"/>
      <c r="V225" s="331"/>
      <c r="X225" s="333">
        <f>IF(AP225="","",AP225)</f>
        <v>46073</v>
      </c>
      <c r="Y225" s="327">
        <v>7806</v>
      </c>
      <c r="Z225" s="327">
        <f t="shared" ref="Z225:Z237" si="53">IF(Y225="","",Y225-Y223)</f>
        <v>7</v>
      </c>
      <c r="AA225" s="328">
        <f>IF(Y225="","",Z225*1000)</f>
        <v>7000</v>
      </c>
      <c r="AB225" s="331"/>
      <c r="AD225" s="333">
        <f>IF(X225="","",X225)</f>
        <v>46073</v>
      </c>
      <c r="AE225" s="327">
        <v>5367</v>
      </c>
      <c r="AF225" s="327">
        <f t="shared" ref="AF225:AF237" si="54">IF(AE225="","",AE225-AE223)</f>
        <v>0</v>
      </c>
      <c r="AG225" s="328">
        <f>IF(AE225="","",AF225*1000)</f>
        <v>0</v>
      </c>
      <c r="AH225" s="331"/>
      <c r="AJ225" s="333">
        <f>IF(AD225="","",AD225)</f>
        <v>46073</v>
      </c>
      <c r="AK225" s="327">
        <v>7739</v>
      </c>
      <c r="AL225" s="327">
        <f t="shared" ref="AL225:AL237" si="55">IF(AK225="","",AK225-AK223)</f>
        <v>14</v>
      </c>
      <c r="AM225" s="328">
        <f>IF(AK225="","",AL225*1000)</f>
        <v>14000</v>
      </c>
      <c r="AN225" s="331"/>
      <c r="AP225" s="333">
        <f>IF(M225="","",M225)</f>
        <v>46073</v>
      </c>
      <c r="AQ225" s="327"/>
      <c r="AR225" s="327">
        <v>8961</v>
      </c>
      <c r="AS225" s="327">
        <f t="shared" ref="AS225:AS237" si="56">IF(AR225="","",AR225-AR223)</f>
        <v>6</v>
      </c>
      <c r="AT225" s="328">
        <f>IF(AR225="","",AS225*1000)</f>
        <v>6000</v>
      </c>
      <c r="AU225" s="328"/>
      <c r="AV225" s="328"/>
      <c r="AW225" s="329"/>
      <c r="AX225" s="329"/>
      <c r="AY225" s="331"/>
    </row>
    <row r="226" spans="2:51" ht="15" customHeight="1" x14ac:dyDescent="0.25">
      <c r="B226" s="333"/>
      <c r="C226" s="327"/>
      <c r="D226" s="327">
        <v>6770</v>
      </c>
      <c r="E226" s="327">
        <f t="shared" si="50"/>
        <v>15</v>
      </c>
      <c r="F226" s="328">
        <f t="shared" si="51"/>
        <v>1500</v>
      </c>
      <c r="G226" s="328"/>
      <c r="H226" s="328"/>
      <c r="I226" s="329"/>
      <c r="J226" s="329"/>
      <c r="K226" s="330"/>
      <c r="L226" s="323"/>
      <c r="M226" s="333"/>
      <c r="N226" s="327"/>
      <c r="O226" s="327"/>
      <c r="P226" s="327" t="str">
        <f t="shared" si="52"/>
        <v/>
      </c>
      <c r="Q226" s="328"/>
      <c r="R226" s="328"/>
      <c r="S226" s="328"/>
      <c r="T226" s="329"/>
      <c r="U226" s="329"/>
      <c r="V226" s="331"/>
      <c r="X226" s="333"/>
      <c r="Y226" s="327"/>
      <c r="Z226" s="327" t="str">
        <f t="shared" si="53"/>
        <v/>
      </c>
      <c r="AA226" s="328"/>
      <c r="AB226" s="331"/>
      <c r="AD226" s="333"/>
      <c r="AE226" s="327"/>
      <c r="AF226" s="327" t="str">
        <f t="shared" si="54"/>
        <v/>
      </c>
      <c r="AG226" s="328"/>
      <c r="AH226" s="331"/>
      <c r="AJ226" s="333"/>
      <c r="AK226" s="327"/>
      <c r="AL226" s="327" t="str">
        <f t="shared" si="55"/>
        <v/>
      </c>
      <c r="AM226" s="328"/>
      <c r="AN226" s="331"/>
      <c r="AP226" s="333"/>
      <c r="AQ226" s="327"/>
      <c r="AR226" s="327"/>
      <c r="AS226" s="327" t="str">
        <f t="shared" si="56"/>
        <v/>
      </c>
      <c r="AT226" s="328"/>
      <c r="AU226" s="328"/>
      <c r="AV226" s="328"/>
      <c r="AW226" s="329"/>
      <c r="AX226" s="329"/>
      <c r="AY226" s="331"/>
    </row>
    <row r="227" spans="2:51" ht="15" customHeight="1" x14ac:dyDescent="0.25">
      <c r="B227" s="333">
        <v>46077</v>
      </c>
      <c r="C227" s="336">
        <f>SUM(IF(F227="",0,F227), IF(F228="",0,F228), IF(Q227="",0,Q227), IF(AT227="",0,AT227), IF(AA227="",0,AA227), IF(AG227="",0,AG227), IF(AM227="",0,AM227))</f>
        <v>72500</v>
      </c>
      <c r="D227" s="327">
        <v>20422</v>
      </c>
      <c r="E227" s="327">
        <f t="shared" si="50"/>
        <v>170</v>
      </c>
      <c r="F227" s="328">
        <f t="shared" si="51"/>
        <v>17000</v>
      </c>
      <c r="G227" s="328"/>
      <c r="H227" s="328"/>
      <c r="I227" s="329"/>
      <c r="J227" s="329"/>
      <c r="K227" s="330"/>
      <c r="L227" s="319"/>
      <c r="M227" s="333">
        <f t="shared" ref="M227:M237" si="57">IF(B227="","",B227)</f>
        <v>46077</v>
      </c>
      <c r="N227" s="327"/>
      <c r="O227" s="327">
        <v>3165</v>
      </c>
      <c r="P227" s="327">
        <f t="shared" si="52"/>
        <v>14</v>
      </c>
      <c r="Q227" s="328">
        <f t="shared" ref="Q227:Q237" si="58">IF(O227="","",P227*1000)</f>
        <v>14000</v>
      </c>
      <c r="R227" s="328"/>
      <c r="S227" s="328"/>
      <c r="T227" s="329"/>
      <c r="U227" s="329"/>
      <c r="V227" s="331"/>
      <c r="X227" s="333">
        <f>IF(AP227="","",AP227)</f>
        <v>46077</v>
      </c>
      <c r="Y227" s="327">
        <v>7816</v>
      </c>
      <c r="Z227" s="327">
        <f t="shared" si="53"/>
        <v>10</v>
      </c>
      <c r="AA227" s="328">
        <f t="shared" ref="AA227:AA237" si="59">IF(Y227="","",Z227*1000)</f>
        <v>10000</v>
      </c>
      <c r="AB227" s="331"/>
      <c r="AD227" s="333">
        <f t="shared" ref="AD227:AD237" si="60">IF(X227="","",X227)</f>
        <v>46077</v>
      </c>
      <c r="AE227" s="327">
        <v>5377</v>
      </c>
      <c r="AF227" s="327">
        <f t="shared" si="54"/>
        <v>10</v>
      </c>
      <c r="AG227" s="328">
        <f t="shared" ref="AG227:AG237" si="61">IF(AE227="","",AF227*1000)</f>
        <v>10000</v>
      </c>
      <c r="AH227" s="331"/>
      <c r="AJ227" s="333">
        <f t="shared" ref="AJ227:AJ237" si="62">IF(AD227="","",AD227)</f>
        <v>46077</v>
      </c>
      <c r="AK227" s="327">
        <v>7741</v>
      </c>
      <c r="AL227" s="327">
        <f t="shared" si="55"/>
        <v>2</v>
      </c>
      <c r="AM227" s="328">
        <f t="shared" ref="AM227:AM237" si="63">IF(AK227="","",AL227*1000)</f>
        <v>2000</v>
      </c>
      <c r="AN227" s="331"/>
      <c r="AP227" s="333">
        <f>IF(M227="","",M227)</f>
        <v>46077</v>
      </c>
      <c r="AQ227" s="327"/>
      <c r="AR227" s="327">
        <v>8975</v>
      </c>
      <c r="AS227" s="327">
        <f t="shared" si="56"/>
        <v>14</v>
      </c>
      <c r="AT227" s="328">
        <f t="shared" ref="AT227:AT237" si="64">IF(AR227="","",AS227*1000)</f>
        <v>14000</v>
      </c>
      <c r="AU227" s="328"/>
      <c r="AV227" s="328"/>
      <c r="AW227" s="329"/>
      <c r="AX227" s="329"/>
      <c r="AY227" s="331"/>
    </row>
    <row r="228" spans="2:51" ht="15" customHeight="1" x14ac:dyDescent="0.25">
      <c r="B228" s="333"/>
      <c r="C228" s="327"/>
      <c r="D228" s="327">
        <v>6825</v>
      </c>
      <c r="E228" s="327">
        <f t="shared" si="50"/>
        <v>55</v>
      </c>
      <c r="F228" s="328">
        <f t="shared" si="51"/>
        <v>5500</v>
      </c>
      <c r="G228" s="328"/>
      <c r="H228" s="328"/>
      <c r="I228" s="329"/>
      <c r="J228" s="329"/>
      <c r="K228" s="330"/>
      <c r="L228" s="319"/>
      <c r="M228" s="333" t="str">
        <f t="shared" si="57"/>
        <v/>
      </c>
      <c r="N228" s="327"/>
      <c r="O228" s="327"/>
      <c r="P228" s="327" t="str">
        <f t="shared" si="52"/>
        <v/>
      </c>
      <c r="Q228" s="328" t="str">
        <f t="shared" si="58"/>
        <v/>
      </c>
      <c r="R228" s="328"/>
      <c r="S228" s="328"/>
      <c r="T228" s="329"/>
      <c r="U228" s="329"/>
      <c r="V228" s="331"/>
      <c r="X228" s="333" t="str">
        <f>IF(AP228="","",AP228)</f>
        <v/>
      </c>
      <c r="Y228" s="327"/>
      <c r="Z228" s="327" t="str">
        <f t="shared" si="53"/>
        <v/>
      </c>
      <c r="AA228" s="328" t="str">
        <f t="shared" si="59"/>
        <v/>
      </c>
      <c r="AB228" s="331"/>
      <c r="AD228" s="333" t="str">
        <f t="shared" si="60"/>
        <v/>
      </c>
      <c r="AE228" s="327"/>
      <c r="AF228" s="327" t="str">
        <f t="shared" si="54"/>
        <v/>
      </c>
      <c r="AG228" s="328" t="str">
        <f t="shared" si="61"/>
        <v/>
      </c>
      <c r="AH228" s="331"/>
      <c r="AJ228" s="333" t="str">
        <f t="shared" si="62"/>
        <v/>
      </c>
      <c r="AK228" s="327"/>
      <c r="AL228" s="327" t="str">
        <f t="shared" si="55"/>
        <v/>
      </c>
      <c r="AM228" s="328" t="str">
        <f t="shared" si="63"/>
        <v/>
      </c>
      <c r="AN228" s="331"/>
      <c r="AP228" s="333" t="str">
        <f>IF(M228="","",M228)</f>
        <v/>
      </c>
      <c r="AQ228" s="327"/>
      <c r="AR228" s="327"/>
      <c r="AS228" s="327" t="str">
        <f t="shared" si="56"/>
        <v/>
      </c>
      <c r="AT228" s="328" t="str">
        <f t="shared" si="64"/>
        <v/>
      </c>
      <c r="AU228" s="328"/>
      <c r="AV228" s="328"/>
      <c r="AW228" s="329"/>
      <c r="AX228" s="329"/>
      <c r="AY228" s="331"/>
    </row>
    <row r="229" spans="2:51" ht="15" customHeight="1" x14ac:dyDescent="0.25">
      <c r="B229" s="333">
        <v>46080</v>
      </c>
      <c r="C229" s="336">
        <f>SUM(IF(F229="",0,F229), IF(F230="",0,F230), IF(Q229="",0,Q229), IF(AT229="",0,AT229), IF(AA229="",0,AA229), IF(AG229="",0,AG229), IF(AM229="",0,AM229))</f>
        <v>29500</v>
      </c>
      <c r="D229" s="327">
        <v>20472</v>
      </c>
      <c r="E229" s="327">
        <f t="shared" si="50"/>
        <v>50</v>
      </c>
      <c r="F229" s="328">
        <f t="shared" si="51"/>
        <v>5000</v>
      </c>
      <c r="G229" s="328"/>
      <c r="H229" s="328"/>
      <c r="I229" s="329"/>
      <c r="J229" s="329"/>
      <c r="K229" s="330"/>
      <c r="L229" s="319"/>
      <c r="M229" s="333">
        <f t="shared" si="57"/>
        <v>46080</v>
      </c>
      <c r="N229" s="327"/>
      <c r="O229" s="327">
        <v>3173</v>
      </c>
      <c r="P229" s="327">
        <f t="shared" si="52"/>
        <v>8</v>
      </c>
      <c r="Q229" s="328">
        <f t="shared" si="58"/>
        <v>8000</v>
      </c>
      <c r="R229" s="328"/>
      <c r="S229" s="328"/>
      <c r="T229" s="329"/>
      <c r="U229" s="329"/>
      <c r="V229" s="330"/>
      <c r="X229" s="333">
        <f>IF(AP229="","",AP229)</f>
        <v>46080</v>
      </c>
      <c r="Y229" s="327">
        <v>7825</v>
      </c>
      <c r="Z229" s="327">
        <f t="shared" si="53"/>
        <v>9</v>
      </c>
      <c r="AA229" s="328">
        <f t="shared" si="59"/>
        <v>9000</v>
      </c>
      <c r="AB229" s="330"/>
      <c r="AD229" s="333">
        <f t="shared" si="60"/>
        <v>46080</v>
      </c>
      <c r="AE229" s="327">
        <v>5377</v>
      </c>
      <c r="AF229" s="327">
        <f t="shared" si="54"/>
        <v>0</v>
      </c>
      <c r="AG229" s="328">
        <f t="shared" si="61"/>
        <v>0</v>
      </c>
      <c r="AH229" s="331"/>
      <c r="AJ229" s="333">
        <f t="shared" si="62"/>
        <v>46080</v>
      </c>
      <c r="AK229" s="327">
        <v>7741</v>
      </c>
      <c r="AL229" s="327">
        <f t="shared" si="55"/>
        <v>0</v>
      </c>
      <c r="AM229" s="328">
        <f t="shared" si="63"/>
        <v>0</v>
      </c>
      <c r="AN229" s="330"/>
      <c r="AP229" s="333">
        <f>IF(M229="","",M229)</f>
        <v>46080</v>
      </c>
      <c r="AQ229" s="327"/>
      <c r="AR229" s="327">
        <v>8979</v>
      </c>
      <c r="AS229" s="327">
        <f t="shared" si="56"/>
        <v>4</v>
      </c>
      <c r="AT229" s="328">
        <f t="shared" si="64"/>
        <v>4000</v>
      </c>
      <c r="AU229" s="328"/>
      <c r="AV229" s="328"/>
      <c r="AW229" s="329"/>
      <c r="AX229" s="329"/>
      <c r="AY229" s="331"/>
    </row>
    <row r="230" spans="2:51" ht="15" customHeight="1" x14ac:dyDescent="0.25">
      <c r="B230" s="333"/>
      <c r="C230" s="327"/>
      <c r="D230" s="327">
        <v>6860</v>
      </c>
      <c r="E230" s="327">
        <f t="shared" si="50"/>
        <v>35</v>
      </c>
      <c r="F230" s="328">
        <f t="shared" si="51"/>
        <v>3500</v>
      </c>
      <c r="G230" s="328"/>
      <c r="H230" s="328"/>
      <c r="I230" s="329"/>
      <c r="J230" s="329"/>
      <c r="K230" s="330"/>
      <c r="L230" s="323"/>
      <c r="M230" s="333" t="str">
        <f t="shared" si="57"/>
        <v/>
      </c>
      <c r="N230" s="327"/>
      <c r="O230" s="327"/>
      <c r="P230" s="327" t="str">
        <f t="shared" si="52"/>
        <v/>
      </c>
      <c r="Q230" s="328" t="str">
        <f t="shared" si="58"/>
        <v/>
      </c>
      <c r="R230" s="328"/>
      <c r="S230" s="328"/>
      <c r="T230" s="329"/>
      <c r="U230" s="329"/>
      <c r="V230" s="331"/>
      <c r="X230" s="333" t="str">
        <f>IF(AP230="","",AP230)</f>
        <v/>
      </c>
      <c r="Y230" s="327"/>
      <c r="Z230" s="327" t="str">
        <f t="shared" si="53"/>
        <v/>
      </c>
      <c r="AA230" s="328" t="str">
        <f t="shared" si="59"/>
        <v/>
      </c>
      <c r="AB230" s="331"/>
      <c r="AD230" s="333" t="str">
        <f t="shared" si="60"/>
        <v/>
      </c>
      <c r="AE230" s="327"/>
      <c r="AF230" s="327" t="str">
        <f t="shared" si="54"/>
        <v/>
      </c>
      <c r="AG230" s="328" t="str">
        <f t="shared" si="61"/>
        <v/>
      </c>
      <c r="AH230" s="331"/>
      <c r="AJ230" s="333" t="str">
        <f t="shared" si="62"/>
        <v/>
      </c>
      <c r="AK230" s="327"/>
      <c r="AL230" s="327" t="str">
        <f t="shared" si="55"/>
        <v/>
      </c>
      <c r="AM230" s="328" t="str">
        <f t="shared" si="63"/>
        <v/>
      </c>
      <c r="AN230" s="331"/>
      <c r="AP230" s="333" t="str">
        <f>IF(M230="","",M230)</f>
        <v/>
      </c>
      <c r="AQ230" s="327"/>
      <c r="AR230" s="327"/>
      <c r="AS230" s="327" t="str">
        <f t="shared" si="56"/>
        <v/>
      </c>
      <c r="AT230" s="328" t="str">
        <f t="shared" si="64"/>
        <v/>
      </c>
      <c r="AU230" s="328"/>
      <c r="AV230" s="328"/>
      <c r="AW230" s="329"/>
      <c r="AX230" s="329"/>
      <c r="AY230" s="331"/>
    </row>
    <row r="231" spans="2:51" ht="15" customHeight="1" x14ac:dyDescent="0.25">
      <c r="B231" s="333">
        <v>46083</v>
      </c>
      <c r="C231" s="336">
        <f>SUM(IF(F231="",0,F231), IF(F232="",0,F232), IF(Q231="",0,Q231), IF(AT231="",0,AT231), IF(AA231="",0,AA231), IF(AG231="",0,AG231), IF(AM231="",0,AM231))</f>
        <v>88500</v>
      </c>
      <c r="D231" s="327">
        <v>20562</v>
      </c>
      <c r="E231" s="327">
        <f t="shared" si="50"/>
        <v>90</v>
      </c>
      <c r="F231" s="328">
        <f t="shared" si="51"/>
        <v>9000</v>
      </c>
      <c r="G231" s="328"/>
      <c r="H231" s="328"/>
      <c r="I231" s="329"/>
      <c r="J231" s="329"/>
      <c r="K231" s="330"/>
      <c r="L231" s="324"/>
      <c r="M231" s="333">
        <f t="shared" si="57"/>
        <v>46083</v>
      </c>
      <c r="N231" s="327"/>
      <c r="O231" s="327">
        <v>3177</v>
      </c>
      <c r="P231" s="327">
        <f t="shared" si="52"/>
        <v>4</v>
      </c>
      <c r="Q231" s="328">
        <f t="shared" si="58"/>
        <v>4000</v>
      </c>
      <c r="R231" s="328"/>
      <c r="S231" s="328"/>
      <c r="T231" s="329"/>
      <c r="U231" s="329"/>
      <c r="V231" s="331"/>
      <c r="X231" s="333">
        <f>IF(AP231="","",AP231)</f>
        <v>46083</v>
      </c>
      <c r="Y231" s="327">
        <v>7833</v>
      </c>
      <c r="Z231" s="327">
        <f t="shared" si="53"/>
        <v>8</v>
      </c>
      <c r="AA231" s="328">
        <f t="shared" si="59"/>
        <v>8000</v>
      </c>
      <c r="AB231" s="331"/>
      <c r="AD231" s="333">
        <f t="shared" si="60"/>
        <v>46083</v>
      </c>
      <c r="AE231" s="327">
        <v>5379</v>
      </c>
      <c r="AF231" s="327">
        <f t="shared" si="54"/>
        <v>2</v>
      </c>
      <c r="AG231" s="328">
        <f t="shared" si="61"/>
        <v>2000</v>
      </c>
      <c r="AH231" s="331"/>
      <c r="AJ231" s="333">
        <f t="shared" si="62"/>
        <v>46083</v>
      </c>
      <c r="AK231" s="327">
        <v>7769</v>
      </c>
      <c r="AL231" s="327">
        <f t="shared" si="55"/>
        <v>28</v>
      </c>
      <c r="AM231" s="328">
        <f t="shared" si="63"/>
        <v>28000</v>
      </c>
      <c r="AN231" s="331"/>
      <c r="AP231" s="333">
        <f>IF(M231="","",M231)</f>
        <v>46083</v>
      </c>
      <c r="AQ231" s="327"/>
      <c r="AR231" s="327">
        <v>9013</v>
      </c>
      <c r="AS231" s="327">
        <f t="shared" si="56"/>
        <v>34</v>
      </c>
      <c r="AT231" s="328">
        <f t="shared" si="64"/>
        <v>34000</v>
      </c>
      <c r="AU231" s="328"/>
      <c r="AV231" s="328"/>
      <c r="AW231" s="329"/>
      <c r="AX231" s="329"/>
      <c r="AY231" s="331"/>
    </row>
    <row r="232" spans="2:51" ht="15" customHeight="1" x14ac:dyDescent="0.25">
      <c r="B232" s="333"/>
      <c r="C232" s="327"/>
      <c r="D232" s="327">
        <v>6895</v>
      </c>
      <c r="E232" s="327">
        <f t="shared" si="50"/>
        <v>35</v>
      </c>
      <c r="F232" s="328">
        <f t="shared" si="51"/>
        <v>3500</v>
      </c>
      <c r="G232" s="328"/>
      <c r="H232" s="328"/>
      <c r="I232" s="329"/>
      <c r="J232" s="329"/>
      <c r="K232" s="330"/>
      <c r="L232" s="323"/>
      <c r="M232" s="333" t="str">
        <f t="shared" si="57"/>
        <v/>
      </c>
      <c r="N232" s="327"/>
      <c r="O232" s="327"/>
      <c r="P232" s="327" t="str">
        <f t="shared" si="52"/>
        <v/>
      </c>
      <c r="Q232" s="328" t="str">
        <f t="shared" si="58"/>
        <v/>
      </c>
      <c r="R232" s="328"/>
      <c r="S232" s="328"/>
      <c r="T232" s="329"/>
      <c r="U232" s="329"/>
      <c r="V232" s="331"/>
      <c r="X232" s="333" t="str">
        <f>IF(AP232="","",AP232)</f>
        <v/>
      </c>
      <c r="Y232" s="327"/>
      <c r="Z232" s="327" t="str">
        <f t="shared" si="53"/>
        <v/>
      </c>
      <c r="AA232" s="328" t="str">
        <f t="shared" si="59"/>
        <v/>
      </c>
      <c r="AB232" s="331"/>
      <c r="AD232" s="333" t="str">
        <f t="shared" si="60"/>
        <v/>
      </c>
      <c r="AE232" s="327"/>
      <c r="AF232" s="327" t="str">
        <f t="shared" si="54"/>
        <v/>
      </c>
      <c r="AG232" s="328" t="str">
        <f t="shared" si="61"/>
        <v/>
      </c>
      <c r="AH232" s="331"/>
      <c r="AJ232" s="333" t="str">
        <f t="shared" si="62"/>
        <v/>
      </c>
      <c r="AK232" s="327"/>
      <c r="AL232" s="327" t="str">
        <f t="shared" si="55"/>
        <v/>
      </c>
      <c r="AM232" s="328" t="str">
        <f t="shared" si="63"/>
        <v/>
      </c>
      <c r="AN232" s="331"/>
      <c r="AP232" s="333" t="str">
        <f>IF(M232="","",M232)</f>
        <v/>
      </c>
      <c r="AQ232" s="327"/>
      <c r="AR232" s="327"/>
      <c r="AS232" s="327" t="str">
        <f t="shared" si="56"/>
        <v/>
      </c>
      <c r="AT232" s="328" t="str">
        <f t="shared" si="64"/>
        <v/>
      </c>
      <c r="AU232" s="328"/>
      <c r="AV232" s="328"/>
      <c r="AW232" s="329"/>
      <c r="AX232" s="329"/>
      <c r="AY232" s="331"/>
    </row>
    <row r="233" spans="2:51" ht="15" customHeight="1" x14ac:dyDescent="0.25">
      <c r="B233" s="333">
        <v>46087</v>
      </c>
      <c r="C233" s="336">
        <f>SUM(IF(F233="",0,F233), IF(F234="",0,F234), IF(Q233="",0,Q233), IF(AT233="",0,AT233), IF(AA233="",0,AA233), IF(AG233="",0,AG233), IF(AM233="",0,AM233))</f>
        <v>37600</v>
      </c>
      <c r="D233" s="327">
        <v>20578</v>
      </c>
      <c r="E233" s="327">
        <f t="shared" si="50"/>
        <v>16</v>
      </c>
      <c r="F233" s="328">
        <f t="shared" si="51"/>
        <v>1600</v>
      </c>
      <c r="G233" s="328"/>
      <c r="H233" s="328"/>
      <c r="I233" s="329"/>
      <c r="J233" s="329"/>
      <c r="K233" s="330"/>
      <c r="L233" s="323"/>
      <c r="M233" s="333">
        <f t="shared" si="57"/>
        <v>46087</v>
      </c>
      <c r="N233" s="327"/>
      <c r="O233" s="327">
        <v>3185</v>
      </c>
      <c r="P233" s="327">
        <f t="shared" si="52"/>
        <v>8</v>
      </c>
      <c r="Q233" s="328">
        <f t="shared" si="58"/>
        <v>8000</v>
      </c>
      <c r="R233" s="328"/>
      <c r="S233" s="328"/>
      <c r="T233" s="329"/>
      <c r="U233" s="329"/>
      <c r="V233" s="331"/>
      <c r="X233" s="333">
        <f>IF(AP233="","",AP233)</f>
        <v>46087</v>
      </c>
      <c r="Y233" s="327">
        <v>7839</v>
      </c>
      <c r="Z233" s="327">
        <f t="shared" si="53"/>
        <v>6</v>
      </c>
      <c r="AA233" s="328">
        <f t="shared" si="59"/>
        <v>6000</v>
      </c>
      <c r="AB233" s="331"/>
      <c r="AD233" s="333">
        <f t="shared" si="60"/>
        <v>46087</v>
      </c>
      <c r="AE233" s="327">
        <v>5383</v>
      </c>
      <c r="AF233" s="327">
        <f t="shared" si="54"/>
        <v>4</v>
      </c>
      <c r="AG233" s="328">
        <f t="shared" si="61"/>
        <v>4000</v>
      </c>
      <c r="AH233" s="391"/>
      <c r="AJ233" s="333">
        <f t="shared" si="62"/>
        <v>46087</v>
      </c>
      <c r="AK233" s="327">
        <v>7777</v>
      </c>
      <c r="AL233" s="327">
        <f t="shared" si="55"/>
        <v>8</v>
      </c>
      <c r="AM233" s="328">
        <f t="shared" si="63"/>
        <v>8000</v>
      </c>
      <c r="AN233" s="331"/>
      <c r="AP233" s="333">
        <f>IF(M233="","",M233)</f>
        <v>46087</v>
      </c>
      <c r="AQ233" s="327"/>
      <c r="AR233" s="327">
        <v>9019</v>
      </c>
      <c r="AS233" s="327">
        <f t="shared" si="56"/>
        <v>6</v>
      </c>
      <c r="AT233" s="328">
        <f t="shared" si="64"/>
        <v>6000</v>
      </c>
      <c r="AU233" s="328"/>
      <c r="AV233" s="328"/>
      <c r="AW233" s="329"/>
      <c r="AX233" s="329"/>
      <c r="AY233" s="331"/>
    </row>
    <row r="234" spans="2:51" ht="15" customHeight="1" x14ac:dyDescent="0.25">
      <c r="B234" s="333"/>
      <c r="C234" s="327"/>
      <c r="D234" s="327">
        <v>6935</v>
      </c>
      <c r="E234" s="327">
        <f t="shared" si="50"/>
        <v>40</v>
      </c>
      <c r="F234" s="328">
        <f t="shared" si="51"/>
        <v>4000</v>
      </c>
      <c r="G234" s="328"/>
      <c r="H234" s="328"/>
      <c r="I234" s="329"/>
      <c r="J234" s="329"/>
      <c r="K234" s="330"/>
      <c r="L234" s="323"/>
      <c r="M234" s="333" t="str">
        <f t="shared" si="57"/>
        <v/>
      </c>
      <c r="N234" s="327"/>
      <c r="O234" s="327"/>
      <c r="P234" s="327" t="str">
        <f t="shared" si="52"/>
        <v/>
      </c>
      <c r="Q234" s="328" t="str">
        <f t="shared" si="58"/>
        <v/>
      </c>
      <c r="R234" s="328"/>
      <c r="S234" s="328"/>
      <c r="T234" s="329"/>
      <c r="U234" s="329"/>
      <c r="V234" s="331"/>
      <c r="X234" s="333" t="str">
        <f>IF(AP234="","",AP234)</f>
        <v/>
      </c>
      <c r="Y234" s="327"/>
      <c r="Z234" s="327" t="str">
        <f t="shared" si="53"/>
        <v/>
      </c>
      <c r="AA234" s="328" t="str">
        <f t="shared" si="59"/>
        <v/>
      </c>
      <c r="AB234" s="331"/>
      <c r="AD234" s="333" t="str">
        <f t="shared" si="60"/>
        <v/>
      </c>
      <c r="AE234" s="327"/>
      <c r="AF234" s="327" t="str">
        <f t="shared" si="54"/>
        <v/>
      </c>
      <c r="AG234" s="328" t="str">
        <f t="shared" si="61"/>
        <v/>
      </c>
      <c r="AH234" s="331"/>
      <c r="AJ234" s="333" t="str">
        <f t="shared" si="62"/>
        <v/>
      </c>
      <c r="AK234" s="327"/>
      <c r="AL234" s="327" t="str">
        <f t="shared" si="55"/>
        <v/>
      </c>
      <c r="AM234" s="328" t="str">
        <f t="shared" si="63"/>
        <v/>
      </c>
      <c r="AN234" s="331"/>
      <c r="AP234" s="333" t="str">
        <f>IF(M234="","",M234)</f>
        <v/>
      </c>
      <c r="AQ234" s="327"/>
      <c r="AR234" s="327"/>
      <c r="AS234" s="327" t="str">
        <f t="shared" si="56"/>
        <v/>
      </c>
      <c r="AT234" s="328" t="str">
        <f t="shared" si="64"/>
        <v/>
      </c>
      <c r="AU234" s="328"/>
      <c r="AV234" s="328"/>
      <c r="AW234" s="329"/>
      <c r="AX234" s="329"/>
      <c r="AY234" s="331"/>
    </row>
    <row r="235" spans="2:51" ht="15" customHeight="1" x14ac:dyDescent="0.25">
      <c r="B235" s="333">
        <v>46090</v>
      </c>
      <c r="C235" s="336">
        <f>SUM(IF(F235="",0,F235), IF(F236="",0,F236), IF(Q235="",0,Q235), IF(AT235="",0,AT235), IF(AA235="",0,AA235), IF(AG235="",0,AG235), IF(AM235="",0,AM235))</f>
        <v>60500</v>
      </c>
      <c r="D235" s="327">
        <v>20578</v>
      </c>
      <c r="E235" s="327">
        <f t="shared" si="50"/>
        <v>0</v>
      </c>
      <c r="F235" s="328">
        <f t="shared" si="51"/>
        <v>0</v>
      </c>
      <c r="G235" s="328"/>
      <c r="H235" s="328"/>
      <c r="I235" s="329"/>
      <c r="J235" s="329"/>
      <c r="K235" s="330"/>
      <c r="L235" s="323"/>
      <c r="M235" s="333">
        <f t="shared" si="57"/>
        <v>46090</v>
      </c>
      <c r="N235" s="327"/>
      <c r="O235" s="327">
        <v>3193</v>
      </c>
      <c r="P235" s="327">
        <f t="shared" si="52"/>
        <v>8</v>
      </c>
      <c r="Q235" s="328">
        <f t="shared" si="58"/>
        <v>8000</v>
      </c>
      <c r="R235" s="328"/>
      <c r="S235" s="328"/>
      <c r="T235" s="329"/>
      <c r="U235" s="329"/>
      <c r="V235" s="331"/>
      <c r="X235" s="333">
        <f>IF(AP235="","",AP235)</f>
        <v>46090</v>
      </c>
      <c r="Y235" s="327">
        <v>7850</v>
      </c>
      <c r="Z235" s="327">
        <f t="shared" si="53"/>
        <v>11</v>
      </c>
      <c r="AA235" s="328">
        <f t="shared" si="59"/>
        <v>11000</v>
      </c>
      <c r="AB235" s="331"/>
      <c r="AD235" s="333">
        <f t="shared" si="60"/>
        <v>46090</v>
      </c>
      <c r="AE235" s="327">
        <v>5385</v>
      </c>
      <c r="AF235" s="327">
        <f t="shared" si="54"/>
        <v>2</v>
      </c>
      <c r="AG235" s="328">
        <f t="shared" si="61"/>
        <v>2000</v>
      </c>
      <c r="AH235" s="331"/>
      <c r="AJ235" s="333">
        <f t="shared" si="62"/>
        <v>46090</v>
      </c>
      <c r="AK235" s="327">
        <v>7787</v>
      </c>
      <c r="AL235" s="327">
        <f t="shared" si="55"/>
        <v>10</v>
      </c>
      <c r="AM235" s="328">
        <f t="shared" si="63"/>
        <v>10000</v>
      </c>
      <c r="AN235" s="331"/>
      <c r="AP235" s="333">
        <f>IF(M235="","",M235)</f>
        <v>46090</v>
      </c>
      <c r="AQ235" s="327"/>
      <c r="AR235" s="327">
        <v>9039</v>
      </c>
      <c r="AS235" s="327">
        <f t="shared" si="56"/>
        <v>20</v>
      </c>
      <c r="AT235" s="328">
        <f t="shared" si="64"/>
        <v>20000</v>
      </c>
      <c r="AU235" s="328"/>
      <c r="AV235" s="328"/>
      <c r="AW235" s="329"/>
      <c r="AX235" s="329"/>
      <c r="AY235" s="331"/>
    </row>
    <row r="236" spans="2:51" ht="15" customHeight="1" x14ac:dyDescent="0.25">
      <c r="B236" s="333"/>
      <c r="C236" s="327"/>
      <c r="D236" s="327">
        <v>7030</v>
      </c>
      <c r="E236" s="327">
        <f t="shared" si="50"/>
        <v>95</v>
      </c>
      <c r="F236" s="328">
        <f t="shared" si="51"/>
        <v>9500</v>
      </c>
      <c r="G236" s="328"/>
      <c r="H236" s="328"/>
      <c r="I236" s="329"/>
      <c r="J236" s="329"/>
      <c r="K236" s="330"/>
      <c r="L236" s="323"/>
      <c r="M236" s="333" t="str">
        <f t="shared" si="57"/>
        <v/>
      </c>
      <c r="N236" s="327"/>
      <c r="O236" s="327"/>
      <c r="P236" s="327" t="str">
        <f t="shared" si="52"/>
        <v/>
      </c>
      <c r="Q236" s="328" t="str">
        <f t="shared" si="58"/>
        <v/>
      </c>
      <c r="R236" s="328"/>
      <c r="S236" s="328"/>
      <c r="T236" s="329"/>
      <c r="U236" s="329"/>
      <c r="V236" s="331"/>
      <c r="X236" s="333" t="str">
        <f>IF(AP236="","",AP236)</f>
        <v/>
      </c>
      <c r="Y236" s="327"/>
      <c r="Z236" s="327" t="str">
        <f t="shared" si="53"/>
        <v/>
      </c>
      <c r="AA236" s="328" t="str">
        <f t="shared" si="59"/>
        <v/>
      </c>
      <c r="AB236" s="331"/>
      <c r="AD236" s="333" t="str">
        <f t="shared" si="60"/>
        <v/>
      </c>
      <c r="AE236" s="327"/>
      <c r="AF236" s="327" t="str">
        <f t="shared" si="54"/>
        <v/>
      </c>
      <c r="AG236" s="328" t="str">
        <f t="shared" si="61"/>
        <v/>
      </c>
      <c r="AH236" s="331"/>
      <c r="AJ236" s="333" t="str">
        <f t="shared" si="62"/>
        <v/>
      </c>
      <c r="AK236" s="327"/>
      <c r="AL236" s="327" t="str">
        <f t="shared" si="55"/>
        <v/>
      </c>
      <c r="AM236" s="328" t="str">
        <f t="shared" si="63"/>
        <v/>
      </c>
      <c r="AN236" s="331"/>
      <c r="AP236" s="333" t="str">
        <f>IF(M236="","",M236)</f>
        <v/>
      </c>
      <c r="AQ236" s="327"/>
      <c r="AR236" s="327"/>
      <c r="AS236" s="327" t="str">
        <f t="shared" si="56"/>
        <v/>
      </c>
      <c r="AT236" s="328" t="str">
        <f t="shared" si="64"/>
        <v/>
      </c>
      <c r="AU236" s="328"/>
      <c r="AV236" s="328"/>
      <c r="AW236" s="329"/>
      <c r="AX236" s="329"/>
      <c r="AY236" s="331"/>
    </row>
    <row r="237" spans="2:51" ht="15" customHeight="1" x14ac:dyDescent="0.25">
      <c r="B237" s="333">
        <v>46093</v>
      </c>
      <c r="C237" s="336">
        <f>SUM(IF(F237="",0,F237), IF(F238="",0,F238), IF(Q237="",0,Q237), IF(AT237="",0,AT237), IF(AA237="",0,AA237), IF(AG237="",0,AG237), IF(AM237="",0,AM237))</f>
        <v>34600</v>
      </c>
      <c r="D237" s="327">
        <v>20619</v>
      </c>
      <c r="E237" s="327">
        <f t="shared" si="50"/>
        <v>41</v>
      </c>
      <c r="F237" s="328">
        <f t="shared" si="51"/>
        <v>4100</v>
      </c>
      <c r="G237" s="328"/>
      <c r="H237" s="328"/>
      <c r="I237" s="329"/>
      <c r="J237" s="329"/>
      <c r="K237" s="330" t="s">
        <v>135</v>
      </c>
      <c r="L237" s="323"/>
      <c r="M237" s="333">
        <f t="shared" si="57"/>
        <v>46093</v>
      </c>
      <c r="N237" s="327"/>
      <c r="O237" s="327">
        <v>3199</v>
      </c>
      <c r="P237" s="327">
        <f t="shared" si="52"/>
        <v>6</v>
      </c>
      <c r="Q237" s="328">
        <f t="shared" si="58"/>
        <v>6000</v>
      </c>
      <c r="R237" s="328"/>
      <c r="S237" s="328"/>
      <c r="T237" s="329"/>
      <c r="U237" s="329"/>
      <c r="V237" s="331" t="s">
        <v>135</v>
      </c>
      <c r="X237" s="333">
        <f>IF(AP237="","",AP237)</f>
        <v>46093</v>
      </c>
      <c r="Y237" s="327">
        <v>7855</v>
      </c>
      <c r="Z237" s="327">
        <f t="shared" si="53"/>
        <v>5</v>
      </c>
      <c r="AA237" s="328">
        <f t="shared" si="59"/>
        <v>5000</v>
      </c>
      <c r="AB237" s="331"/>
      <c r="AD237" s="333">
        <f t="shared" si="60"/>
        <v>46093</v>
      </c>
      <c r="AE237" s="327">
        <v>5393</v>
      </c>
      <c r="AF237" s="327">
        <f t="shared" si="54"/>
        <v>8</v>
      </c>
      <c r="AG237" s="328">
        <f t="shared" si="61"/>
        <v>8000</v>
      </c>
      <c r="AH237" s="331"/>
      <c r="AJ237" s="333">
        <f t="shared" si="62"/>
        <v>46093</v>
      </c>
      <c r="AK237" s="327">
        <v>7789</v>
      </c>
      <c r="AL237" s="327">
        <f t="shared" si="55"/>
        <v>2</v>
      </c>
      <c r="AM237" s="328">
        <f t="shared" si="63"/>
        <v>2000</v>
      </c>
      <c r="AN237" s="331"/>
      <c r="AP237" s="333">
        <f>IF(M237="","",M237)</f>
        <v>46093</v>
      </c>
      <c r="AQ237" s="327"/>
      <c r="AR237" s="327">
        <v>9047</v>
      </c>
      <c r="AS237" s="327">
        <f t="shared" si="56"/>
        <v>8</v>
      </c>
      <c r="AT237" s="328">
        <f t="shared" si="64"/>
        <v>8000</v>
      </c>
      <c r="AU237" s="328"/>
      <c r="AV237" s="328"/>
      <c r="AW237" s="329"/>
      <c r="AX237" s="329"/>
      <c r="AY237" s="331"/>
    </row>
    <row r="238" spans="2:51" ht="15" customHeight="1" x14ac:dyDescent="0.25">
      <c r="B238" s="333"/>
      <c r="C238" s="327"/>
      <c r="D238" s="327">
        <v>7045</v>
      </c>
      <c r="E238" s="327">
        <f t="shared" si="50"/>
        <v>15</v>
      </c>
      <c r="F238" s="328">
        <f t="shared" si="51"/>
        <v>1500</v>
      </c>
      <c r="G238" s="328"/>
      <c r="H238" s="328"/>
      <c r="I238" s="329"/>
      <c r="J238" s="329"/>
      <c r="K238" s="330" t="s">
        <v>135</v>
      </c>
      <c r="L238" s="323"/>
      <c r="M238" s="333"/>
      <c r="N238" s="327"/>
      <c r="O238" s="327"/>
      <c r="P238" s="327"/>
      <c r="Q238" s="328"/>
      <c r="R238" s="328"/>
      <c r="S238" s="328"/>
      <c r="T238" s="329"/>
      <c r="U238" s="329"/>
      <c r="V238" s="331"/>
      <c r="X238" s="333"/>
      <c r="Y238" s="327"/>
      <c r="Z238" s="327"/>
      <c r="AA238" s="328"/>
      <c r="AB238" s="331"/>
      <c r="AD238" s="333"/>
      <c r="AE238" s="327"/>
      <c r="AF238" s="327"/>
      <c r="AG238" s="328"/>
      <c r="AH238" s="331"/>
      <c r="AJ238" s="333"/>
      <c r="AK238" s="327"/>
      <c r="AL238" s="327"/>
      <c r="AM238" s="328"/>
      <c r="AN238" s="331"/>
      <c r="AP238" s="333"/>
      <c r="AQ238" s="327"/>
      <c r="AR238" s="327"/>
      <c r="AS238" s="327"/>
      <c r="AT238" s="328"/>
      <c r="AU238" s="328"/>
      <c r="AV238" s="328"/>
      <c r="AW238" s="329"/>
      <c r="AX238" s="329"/>
      <c r="AY238" s="331"/>
    </row>
    <row r="239" spans="2:51" ht="15" customHeight="1" x14ac:dyDescent="0.25">
      <c r="B239" s="333"/>
      <c r="C239" s="336"/>
      <c r="D239" s="327"/>
      <c r="E239" s="327"/>
      <c r="F239" s="328"/>
      <c r="G239" s="328"/>
      <c r="H239" s="328"/>
      <c r="I239" s="329"/>
      <c r="J239" s="329"/>
      <c r="K239" s="330"/>
      <c r="L239" s="323"/>
      <c r="M239" s="333"/>
      <c r="N239" s="327"/>
      <c r="O239" s="327"/>
      <c r="P239" s="327"/>
      <c r="Q239" s="328"/>
      <c r="R239" s="328"/>
      <c r="S239" s="328"/>
      <c r="T239" s="329"/>
      <c r="U239" s="329"/>
      <c r="V239" s="331"/>
      <c r="X239" s="333"/>
      <c r="Y239" s="327"/>
      <c r="Z239" s="327"/>
      <c r="AA239" s="328"/>
      <c r="AB239" s="331"/>
      <c r="AD239" s="333"/>
      <c r="AE239" s="327"/>
      <c r="AF239" s="327"/>
      <c r="AG239" s="328"/>
      <c r="AH239" s="331"/>
      <c r="AJ239" s="333"/>
      <c r="AK239" s="327"/>
      <c r="AL239" s="327"/>
      <c r="AM239" s="328"/>
      <c r="AN239" s="331"/>
      <c r="AP239" s="333"/>
      <c r="AQ239" s="327"/>
      <c r="AR239" s="327"/>
      <c r="AS239" s="327"/>
      <c r="AT239" s="328"/>
      <c r="AU239" s="328"/>
      <c r="AV239" s="328"/>
      <c r="AW239" s="329"/>
      <c r="AX239" s="329"/>
      <c r="AY239" s="331"/>
    </row>
    <row r="240" spans="2:51" ht="15" customHeight="1" x14ac:dyDescent="0.25">
      <c r="B240" s="333"/>
      <c r="C240" s="327"/>
      <c r="D240" s="327"/>
      <c r="E240" s="327"/>
      <c r="F240" s="328"/>
      <c r="G240" s="328"/>
      <c r="H240" s="328"/>
      <c r="I240" s="329"/>
      <c r="J240" s="329"/>
      <c r="K240" s="330"/>
      <c r="L240" s="323"/>
      <c r="M240" s="333"/>
      <c r="N240" s="327"/>
      <c r="O240" s="327"/>
      <c r="P240" s="327"/>
      <c r="Q240" s="328"/>
      <c r="R240" s="328"/>
      <c r="S240" s="328"/>
      <c r="T240" s="329"/>
      <c r="U240" s="329"/>
      <c r="V240" s="331"/>
      <c r="X240" s="333"/>
      <c r="Y240" s="327"/>
      <c r="Z240" s="327"/>
      <c r="AA240" s="328"/>
      <c r="AB240" s="331"/>
      <c r="AD240" s="333"/>
      <c r="AE240" s="327"/>
      <c r="AF240" s="327"/>
      <c r="AG240" s="328"/>
      <c r="AH240" s="331"/>
      <c r="AJ240" s="333"/>
      <c r="AK240" s="327"/>
      <c r="AL240" s="327"/>
      <c r="AM240" s="328"/>
      <c r="AN240" s="331"/>
      <c r="AP240" s="333"/>
      <c r="AQ240" s="327"/>
      <c r="AR240" s="327"/>
      <c r="AS240" s="327"/>
      <c r="AT240" s="328"/>
      <c r="AU240" s="328"/>
      <c r="AV240" s="328"/>
      <c r="AW240" s="329"/>
      <c r="AX240" s="329"/>
      <c r="AY240" s="331"/>
    </row>
    <row r="241" spans="2:51" ht="15" customHeight="1" x14ac:dyDescent="0.25">
      <c r="B241" s="333"/>
      <c r="C241" s="336">
        <f>SUM(IF(F241="",0,F241), IF(F242="",0,F242), IF(Q241="",0,Q241), IF(AT241="",0,AT241), IF(AA241="",0,AA241), IF(AG241="",0,AG241), IF(AM241="",0,AM241))</f>
        <v>0</v>
      </c>
      <c r="D241" s="327"/>
      <c r="E241" s="327" t="str">
        <f t="shared" si="50"/>
        <v/>
      </c>
      <c r="F241" s="328" t="str">
        <f t="shared" si="51"/>
        <v/>
      </c>
      <c r="G241" s="328"/>
      <c r="H241" s="328"/>
      <c r="I241" s="329"/>
      <c r="J241" s="329"/>
      <c r="K241" s="330"/>
      <c r="L241" s="323"/>
      <c r="M241" s="333" t="str">
        <f>IF(B241="","",B241)</f>
        <v/>
      </c>
      <c r="N241" s="327"/>
      <c r="O241" s="327"/>
      <c r="P241" s="327" t="str">
        <f>IF(O241="","",O241-O239)</f>
        <v/>
      </c>
      <c r="Q241" s="328" t="str">
        <f>IF(O241="","",P241*1000)</f>
        <v/>
      </c>
      <c r="R241" s="328"/>
      <c r="S241" s="328"/>
      <c r="T241" s="329"/>
      <c r="U241" s="329"/>
      <c r="V241" s="331"/>
      <c r="X241" s="333" t="str">
        <f>IF(AP241="","",AP241)</f>
        <v/>
      </c>
      <c r="Y241" s="327"/>
      <c r="Z241" s="327" t="str">
        <f>IF(Y241="","",Y241-Y239)</f>
        <v/>
      </c>
      <c r="AA241" s="328" t="str">
        <f>IF(Y241="","",Z241*1000)</f>
        <v/>
      </c>
      <c r="AB241" s="331"/>
      <c r="AD241" s="333" t="str">
        <f>IF(X241="","",X241)</f>
        <v/>
      </c>
      <c r="AE241" s="327"/>
      <c r="AF241" s="327" t="str">
        <f>IF(AE241="","",AE241-AE239)</f>
        <v/>
      </c>
      <c r="AG241" s="328" t="str">
        <f>IF(AE241="","",AF241*1000)</f>
        <v/>
      </c>
      <c r="AH241" s="331"/>
      <c r="AJ241" s="333" t="str">
        <f>IF(AD241="","",AD241)</f>
        <v/>
      </c>
      <c r="AK241" s="327"/>
      <c r="AL241" s="327" t="str">
        <f>IF(AK241="","",AK241-AK239)</f>
        <v/>
      </c>
      <c r="AM241" s="328" t="str">
        <f>IF(AK241="","",AL241*1000)</f>
        <v/>
      </c>
      <c r="AN241" s="331"/>
      <c r="AP241" s="333" t="str">
        <f>IF(M241="","",M241)</f>
        <v/>
      </c>
      <c r="AQ241" s="327"/>
      <c r="AR241" s="327"/>
      <c r="AS241" s="327" t="str">
        <f>IF(AR241="","",AR241-AR239)</f>
        <v/>
      </c>
      <c r="AT241" s="328" t="str">
        <f>IF(AR241="","",AS241*1000)</f>
        <v/>
      </c>
      <c r="AU241" s="328"/>
      <c r="AV241" s="328"/>
      <c r="AW241" s="329"/>
      <c r="AX241" s="329"/>
      <c r="AY241" s="331"/>
    </row>
    <row r="242" spans="2:51" ht="15" customHeight="1" x14ac:dyDescent="0.25">
      <c r="B242" s="333"/>
      <c r="C242" s="327"/>
      <c r="D242" s="327"/>
      <c r="E242" s="327" t="str">
        <f t="shared" si="50"/>
        <v/>
      </c>
      <c r="F242" s="328" t="str">
        <f t="shared" si="51"/>
        <v/>
      </c>
      <c r="G242" s="328"/>
      <c r="H242" s="328"/>
      <c r="I242" s="329"/>
      <c r="J242" s="329"/>
      <c r="K242" s="330"/>
      <c r="L242" s="323"/>
      <c r="M242" s="333"/>
      <c r="N242" s="327"/>
      <c r="O242" s="327"/>
      <c r="P242" s="327" t="str">
        <f>IF(O242="","",O242-O240)</f>
        <v/>
      </c>
      <c r="Q242" s="328"/>
      <c r="R242" s="328"/>
      <c r="S242" s="328"/>
      <c r="T242" s="329"/>
      <c r="U242" s="329"/>
      <c r="V242" s="331"/>
      <c r="X242" s="333"/>
      <c r="Y242" s="327"/>
      <c r="Z242" s="327" t="str">
        <f>IF(Y242="","",Y242-Y240)</f>
        <v/>
      </c>
      <c r="AA242" s="328"/>
      <c r="AB242" s="331"/>
      <c r="AD242" s="333"/>
      <c r="AE242" s="327"/>
      <c r="AF242" s="327" t="str">
        <f>IF(AE242="","",AE242-AE240)</f>
        <v/>
      </c>
      <c r="AG242" s="328"/>
      <c r="AH242" s="331"/>
      <c r="AJ242" s="333"/>
      <c r="AK242" s="327"/>
      <c r="AL242" s="327" t="str">
        <f>IF(AK242="","",AK242-AK240)</f>
        <v/>
      </c>
      <c r="AM242" s="328"/>
      <c r="AN242" s="331"/>
      <c r="AP242" s="333"/>
      <c r="AQ242" s="327"/>
      <c r="AR242" s="327"/>
      <c r="AS242" s="327" t="str">
        <f>IF(AR242="","",AR242-AR240)</f>
        <v/>
      </c>
      <c r="AT242" s="328"/>
      <c r="AU242" s="328"/>
      <c r="AV242" s="328"/>
      <c r="AW242" s="329"/>
      <c r="AX242" s="329"/>
      <c r="AY242" s="331"/>
    </row>
    <row r="243" spans="2:51" ht="15" customHeight="1" x14ac:dyDescent="0.25">
      <c r="B243" s="333"/>
      <c r="C243" s="336">
        <f>SUM(IF(F243="",0,F243), IF(F244="",0,F244), IF(Q243="",0,Q243), IF(AT243="",0,AT243), IF(AA243="",0,AA243), IF(AG243="",0,AG243), IF(AM243="",0,AM243))</f>
        <v>0</v>
      </c>
      <c r="D243" s="327"/>
      <c r="E243" s="327" t="str">
        <f t="shared" si="50"/>
        <v/>
      </c>
      <c r="F243" s="328" t="str">
        <f t="shared" si="51"/>
        <v/>
      </c>
      <c r="G243" s="328"/>
      <c r="H243" s="328"/>
      <c r="I243" s="329"/>
      <c r="J243" s="329"/>
      <c r="K243" s="330"/>
      <c r="L243" s="323"/>
      <c r="M243" s="333" t="str">
        <f>IF(B243="","",B243)</f>
        <v/>
      </c>
      <c r="N243" s="327"/>
      <c r="O243" s="327"/>
      <c r="P243" s="327" t="str">
        <f>IF(O243="","",O243-O241)</f>
        <v/>
      </c>
      <c r="Q243" s="328" t="str">
        <f>IF(O243="","",P243*1000)</f>
        <v/>
      </c>
      <c r="R243" s="328"/>
      <c r="S243" s="328"/>
      <c r="T243" s="329"/>
      <c r="U243" s="329"/>
      <c r="V243" s="331"/>
      <c r="X243" s="333" t="str">
        <f>IF(AP243="","",AP243)</f>
        <v/>
      </c>
      <c r="Y243" s="327"/>
      <c r="Z243" s="327" t="str">
        <f>IF(Y243="","",Y243-Y241)</f>
        <v/>
      </c>
      <c r="AA243" s="328" t="str">
        <f>IF(Y243="","",Z243*1000)</f>
        <v/>
      </c>
      <c r="AB243" s="331"/>
      <c r="AD243" s="333" t="str">
        <f>IF(X243="","",X243)</f>
        <v/>
      </c>
      <c r="AE243" s="327"/>
      <c r="AF243" s="327" t="str">
        <f>IF(AE243="","",AE243-AE241)</f>
        <v/>
      </c>
      <c r="AG243" s="328" t="str">
        <f>IF(AE243="","",AF243*1000)</f>
        <v/>
      </c>
      <c r="AH243" s="331"/>
      <c r="AJ243" s="333" t="str">
        <f>IF(AD243="","",AD243)</f>
        <v/>
      </c>
      <c r="AK243" s="327"/>
      <c r="AL243" s="327" t="str">
        <f>IF(AK243="","",AK243-AK241)</f>
        <v/>
      </c>
      <c r="AM243" s="328" t="str">
        <f>IF(AK243="","",AL243*1000)</f>
        <v/>
      </c>
      <c r="AN243" s="331"/>
      <c r="AP243" s="333" t="str">
        <f>IF(M243="","",M243)</f>
        <v/>
      </c>
      <c r="AQ243" s="327"/>
      <c r="AR243" s="327"/>
      <c r="AS243" s="327" t="str">
        <f>IF(AR243="","",AR243-AR241)</f>
        <v/>
      </c>
      <c r="AT243" s="328" t="str">
        <f>IF(AR243="","",AS243*1000)</f>
        <v/>
      </c>
      <c r="AU243" s="328"/>
      <c r="AV243" s="328"/>
      <c r="AW243" s="329"/>
      <c r="AX243" s="329"/>
      <c r="AY243" s="331"/>
    </row>
    <row r="244" spans="2:51" ht="15" customHeight="1" x14ac:dyDescent="0.25">
      <c r="B244" s="333"/>
      <c r="C244" s="327"/>
      <c r="D244" s="327"/>
      <c r="E244" s="327" t="str">
        <f t="shared" si="50"/>
        <v/>
      </c>
      <c r="F244" s="328" t="str">
        <f t="shared" si="51"/>
        <v/>
      </c>
      <c r="G244" s="328"/>
      <c r="H244" s="328"/>
      <c r="I244" s="329"/>
      <c r="J244" s="329"/>
      <c r="K244" s="330"/>
      <c r="L244" s="323"/>
      <c r="M244" s="333"/>
      <c r="N244" s="327"/>
      <c r="O244" s="327"/>
      <c r="P244" s="327"/>
      <c r="Q244" s="328"/>
      <c r="R244" s="328"/>
      <c r="S244" s="328"/>
      <c r="T244" s="329"/>
      <c r="U244" s="329"/>
      <c r="V244" s="331"/>
      <c r="X244" s="333"/>
      <c r="Y244" s="327"/>
      <c r="Z244" s="327"/>
      <c r="AA244" s="328"/>
      <c r="AB244" s="331"/>
      <c r="AD244" s="333"/>
      <c r="AE244" s="327"/>
      <c r="AF244" s="327"/>
      <c r="AG244" s="328"/>
      <c r="AH244" s="331"/>
      <c r="AJ244" s="333"/>
      <c r="AK244" s="327"/>
      <c r="AL244" s="327"/>
      <c r="AM244" s="328"/>
      <c r="AN244" s="331"/>
      <c r="AP244" s="333"/>
      <c r="AQ244" s="327"/>
      <c r="AR244" s="327"/>
      <c r="AS244" s="327"/>
      <c r="AT244" s="328"/>
      <c r="AU244" s="328"/>
      <c r="AV244" s="328"/>
      <c r="AW244" s="329"/>
      <c r="AX244" s="329"/>
      <c r="AY244" s="331"/>
    </row>
    <row r="245" spans="2:51" ht="15" customHeight="1" x14ac:dyDescent="0.25">
      <c r="B245" s="333"/>
      <c r="C245" s="336">
        <f>SUM(IF(F245="",0,F245), IF(F246="",0,F246), IF(Q245="",0,Q245), IF(AT245="",0,AT245), IF(AA245="",0,AA245), IF(AG245="",0,AG245), IF(AM245="",0,AM245))</f>
        <v>0</v>
      </c>
      <c r="D245" s="327"/>
      <c r="E245" s="327" t="str">
        <f t="shared" si="50"/>
        <v/>
      </c>
      <c r="F245" s="328" t="str">
        <f t="shared" si="51"/>
        <v/>
      </c>
      <c r="G245" s="328"/>
      <c r="H245" s="328"/>
      <c r="I245" s="329"/>
      <c r="J245" s="329"/>
      <c r="K245" s="330"/>
      <c r="L245" s="323"/>
      <c r="M245" s="333" t="str">
        <f>IF(B245="","",B245)</f>
        <v/>
      </c>
      <c r="N245" s="327"/>
      <c r="O245" s="327"/>
      <c r="P245" s="327" t="str">
        <f>IF(O245="","",O245-O243)</f>
        <v/>
      </c>
      <c r="Q245" s="328" t="str">
        <f>IF(O245="","",P245*1000)</f>
        <v/>
      </c>
      <c r="R245" s="328"/>
      <c r="S245" s="328"/>
      <c r="T245" s="329"/>
      <c r="U245" s="329"/>
      <c r="V245" s="331"/>
      <c r="X245" s="333" t="str">
        <f>IF(AP245="","",AP245)</f>
        <v/>
      </c>
      <c r="Y245" s="327"/>
      <c r="Z245" s="327" t="str">
        <f>IF(Y245="","",Y245-Y243)</f>
        <v/>
      </c>
      <c r="AA245" s="328" t="str">
        <f>IF(Y245="","",Z245*1000)</f>
        <v/>
      </c>
      <c r="AB245" s="331"/>
      <c r="AD245" s="333" t="str">
        <f>IF(X245="","",X245)</f>
        <v/>
      </c>
      <c r="AE245" s="327"/>
      <c r="AF245" s="327" t="str">
        <f>IF(AE245="","",AE245-AE243)</f>
        <v/>
      </c>
      <c r="AG245" s="328" t="str">
        <f>IF(AE245="","",AF245*1000)</f>
        <v/>
      </c>
      <c r="AH245" s="331"/>
      <c r="AJ245" s="333" t="str">
        <f>IF(AD245="","",AD245)</f>
        <v/>
      </c>
      <c r="AK245" s="327"/>
      <c r="AL245" s="327" t="str">
        <f>IF(AK245="","",AK245-AK243)</f>
        <v/>
      </c>
      <c r="AM245" s="328" t="str">
        <f>IF(AK245="","",AL245*1000)</f>
        <v/>
      </c>
      <c r="AN245" s="331"/>
      <c r="AP245" s="333" t="str">
        <f>IF(M245="","",M245)</f>
        <v/>
      </c>
      <c r="AQ245" s="327"/>
      <c r="AR245" s="327"/>
      <c r="AS245" s="327" t="str">
        <f>IF(AR245="","",AR245-AR243)</f>
        <v/>
      </c>
      <c r="AT245" s="328" t="str">
        <f>IF(AR245="","",AS245*1000)</f>
        <v/>
      </c>
      <c r="AU245" s="328"/>
      <c r="AV245" s="328"/>
      <c r="AW245" s="329"/>
      <c r="AX245" s="329"/>
      <c r="AY245" s="331"/>
    </row>
    <row r="246" spans="2:51" ht="15" customHeight="1" x14ac:dyDescent="0.25">
      <c r="B246" s="333"/>
      <c r="C246" s="327"/>
      <c r="D246" s="327"/>
      <c r="E246" s="327" t="str">
        <f t="shared" si="50"/>
        <v/>
      </c>
      <c r="F246" s="328" t="str">
        <f t="shared" si="51"/>
        <v/>
      </c>
      <c r="G246" s="328"/>
      <c r="H246" s="328"/>
      <c r="I246" s="329"/>
      <c r="J246" s="329"/>
      <c r="K246" s="330"/>
      <c r="L246" s="323"/>
      <c r="M246" s="333" t="str">
        <f>IF(B246="","",B246)</f>
        <v/>
      </c>
      <c r="N246" s="327"/>
      <c r="O246" s="327"/>
      <c r="P246" s="327"/>
      <c r="Q246" s="328"/>
      <c r="R246" s="328"/>
      <c r="S246" s="328"/>
      <c r="T246" s="329"/>
      <c r="U246" s="329"/>
      <c r="V246" s="331"/>
      <c r="X246" s="333"/>
      <c r="Y246" s="327"/>
      <c r="Z246" s="327"/>
      <c r="AA246" s="328"/>
      <c r="AB246" s="331"/>
      <c r="AD246" s="333"/>
      <c r="AE246" s="327"/>
      <c r="AF246" s="327"/>
      <c r="AG246" s="328"/>
      <c r="AH246" s="331"/>
      <c r="AJ246" s="333"/>
      <c r="AK246" s="327"/>
      <c r="AL246" s="327"/>
      <c r="AM246" s="328"/>
      <c r="AN246" s="331"/>
      <c r="AP246" s="333"/>
      <c r="AQ246" s="327"/>
      <c r="AR246" s="327"/>
      <c r="AS246" s="327"/>
      <c r="AT246" s="328"/>
      <c r="AU246" s="328"/>
      <c r="AV246" s="328"/>
      <c r="AW246" s="329"/>
      <c r="AX246" s="329"/>
      <c r="AY246" s="331"/>
    </row>
    <row r="247" spans="2:51" ht="15" customHeight="1" x14ac:dyDescent="0.25">
      <c r="B247" s="333"/>
      <c r="C247" s="336">
        <f>SUM(IF(F247="",0,F247), IF(F248="",0,F248), IF(Q247="",0,Q247), IF(AT247="",0,AT247), IF(AA247="",0,AA247), IF(AG247="",0,AG247), IF(AM247="",0,AM247))</f>
        <v>0</v>
      </c>
      <c r="D247" s="327"/>
      <c r="E247" s="327" t="str">
        <f t="shared" si="50"/>
        <v/>
      </c>
      <c r="F247" s="328" t="str">
        <f t="shared" si="51"/>
        <v/>
      </c>
      <c r="G247" s="328"/>
      <c r="H247" s="328"/>
      <c r="I247" s="329"/>
      <c r="J247" s="329"/>
      <c r="K247" s="330"/>
      <c r="L247" s="323"/>
      <c r="M247" s="333" t="str">
        <f>IF(B247="","",B247)</f>
        <v/>
      </c>
      <c r="N247" s="327"/>
      <c r="O247" s="327"/>
      <c r="P247" s="327" t="str">
        <f>IF(O247="","",O247-O245)</f>
        <v/>
      </c>
      <c r="Q247" s="328" t="str">
        <f>IF(O247="","",P247*1000)</f>
        <v/>
      </c>
      <c r="R247" s="328"/>
      <c r="S247" s="328"/>
      <c r="T247" s="329"/>
      <c r="U247" s="329"/>
      <c r="V247" s="331"/>
      <c r="X247" s="333"/>
      <c r="Y247" s="327"/>
      <c r="Z247" s="327" t="str">
        <f>IF(Y247="","",Y247-Y245)</f>
        <v/>
      </c>
      <c r="AA247" s="328" t="str">
        <f>IF(Y247="","",Z247*1000)</f>
        <v/>
      </c>
      <c r="AB247" s="331"/>
      <c r="AD247" s="333" t="str">
        <f>IF(X247="","",X247)</f>
        <v/>
      </c>
      <c r="AE247" s="327"/>
      <c r="AF247" s="327" t="str">
        <f>IF(AE247="","",AE247-AE245)</f>
        <v/>
      </c>
      <c r="AG247" s="328" t="str">
        <f>IF(AE247="","",AF247*1000)</f>
        <v/>
      </c>
      <c r="AH247" s="331"/>
      <c r="AJ247" s="333" t="str">
        <f>IF(AD247="","",AD247)</f>
        <v/>
      </c>
      <c r="AK247" s="327"/>
      <c r="AL247" s="327" t="str">
        <f>IF(AK247="","",AK247-AK245)</f>
        <v/>
      </c>
      <c r="AM247" s="328" t="str">
        <f>IF(AK247="","",AL247*1000)</f>
        <v/>
      </c>
      <c r="AN247" s="331"/>
      <c r="AP247" s="333" t="str">
        <f>IF(M247="","",M247)</f>
        <v/>
      </c>
      <c r="AQ247" s="327"/>
      <c r="AR247" s="327"/>
      <c r="AS247" s="327" t="str">
        <f>IF(AR247="","",AR247-AR245)</f>
        <v/>
      </c>
      <c r="AT247" s="328" t="str">
        <f>IF(AR247="","",AS247*1000)</f>
        <v/>
      </c>
      <c r="AU247" s="328"/>
      <c r="AV247" s="328"/>
      <c r="AW247" s="329"/>
      <c r="AX247" s="329"/>
      <c r="AY247" s="331"/>
    </row>
    <row r="248" spans="2:51" ht="15" customHeight="1" x14ac:dyDescent="0.25">
      <c r="B248" s="333"/>
      <c r="C248" s="327"/>
      <c r="D248" s="327"/>
      <c r="E248" s="327" t="str">
        <f t="shared" si="50"/>
        <v/>
      </c>
      <c r="F248" s="328" t="str">
        <f t="shared" si="51"/>
        <v/>
      </c>
      <c r="G248" s="328"/>
      <c r="H248" s="328"/>
      <c r="I248" s="329"/>
      <c r="J248" s="329"/>
      <c r="K248" s="330"/>
      <c r="L248" s="323"/>
      <c r="M248" s="333"/>
      <c r="N248" s="327"/>
      <c r="O248" s="327"/>
      <c r="P248" s="327"/>
      <c r="Q248" s="328"/>
      <c r="R248" s="328"/>
      <c r="S248" s="328"/>
      <c r="T248" s="329"/>
      <c r="U248" s="329"/>
      <c r="V248" s="331"/>
      <c r="X248" s="333"/>
      <c r="Y248" s="327"/>
      <c r="Z248" s="327"/>
      <c r="AA248" s="328"/>
      <c r="AB248" s="331"/>
      <c r="AD248" s="333"/>
      <c r="AE248" s="327"/>
      <c r="AF248" s="327"/>
      <c r="AG248" s="328"/>
      <c r="AH248" s="331"/>
      <c r="AJ248" s="333"/>
      <c r="AK248" s="327"/>
      <c r="AL248" s="327"/>
      <c r="AM248" s="328"/>
      <c r="AN248" s="331"/>
      <c r="AP248" s="333"/>
      <c r="AQ248" s="327"/>
      <c r="AR248" s="327"/>
      <c r="AS248" s="327"/>
      <c r="AT248" s="328"/>
      <c r="AU248" s="328"/>
      <c r="AV248" s="328"/>
      <c r="AW248" s="329"/>
      <c r="AX248" s="329"/>
      <c r="AY248" s="331"/>
    </row>
    <row r="249" spans="2:51" ht="15" customHeight="1" x14ac:dyDescent="0.25">
      <c r="B249" s="333"/>
      <c r="C249" s="336">
        <f>SUM(IF(F249="",0,F249), IF(F250="",0,F250), IF(Q249="",0,Q249), IF(AT249="",0,AT249), IF(AA249="",0,AA249), IF(AG249="",0,AG249), IF(AM249="",0,AM249))</f>
        <v>0</v>
      </c>
      <c r="D249" s="327"/>
      <c r="E249" s="327" t="str">
        <f t="shared" si="50"/>
        <v/>
      </c>
      <c r="F249" s="328" t="str">
        <f t="shared" si="51"/>
        <v/>
      </c>
      <c r="G249" s="328"/>
      <c r="H249" s="328"/>
      <c r="I249" s="329"/>
      <c r="J249" s="329"/>
      <c r="K249" s="330"/>
      <c r="L249" s="323"/>
      <c r="M249" s="333" t="str">
        <f>IF(B249="","",B249)</f>
        <v/>
      </c>
      <c r="N249" s="327"/>
      <c r="O249" s="327"/>
      <c r="P249" s="327" t="str">
        <f>IF(O249="","",O249-O247)</f>
        <v/>
      </c>
      <c r="Q249" s="328" t="str">
        <f>IF(O249="","",P249*1000)</f>
        <v/>
      </c>
      <c r="R249" s="328"/>
      <c r="S249" s="328"/>
      <c r="T249" s="329"/>
      <c r="U249" s="329"/>
      <c r="V249" s="331"/>
      <c r="X249" s="333" t="str">
        <f>IF(AP249="","",AP249)</f>
        <v/>
      </c>
      <c r="Y249" s="327"/>
      <c r="Z249" s="327" t="str">
        <f>IF(Y249="","",Y249-Y247)</f>
        <v/>
      </c>
      <c r="AA249" s="328" t="str">
        <f>IF(Y249="","",Z249*1000)</f>
        <v/>
      </c>
      <c r="AB249" s="331"/>
      <c r="AD249" s="333" t="str">
        <f>IF(X249="","",X249)</f>
        <v/>
      </c>
      <c r="AE249" s="327"/>
      <c r="AF249" s="327" t="str">
        <f>IF(AE249="","",AE249-AE247)</f>
        <v/>
      </c>
      <c r="AG249" s="328" t="str">
        <f>IF(AE249="","",AF249*1000)</f>
        <v/>
      </c>
      <c r="AH249" s="331"/>
      <c r="AJ249" s="333" t="str">
        <f>IF(AD249="","",AD249)</f>
        <v/>
      </c>
      <c r="AK249" s="327"/>
      <c r="AL249" s="327" t="str">
        <f>IF(AK249="","",AK249-AK247)</f>
        <v/>
      </c>
      <c r="AM249" s="328" t="str">
        <f>IF(AK249="","",AL249*1000)</f>
        <v/>
      </c>
      <c r="AN249" s="331"/>
      <c r="AP249" s="333" t="str">
        <f>IF(M249="","",M249)</f>
        <v/>
      </c>
      <c r="AQ249" s="327"/>
      <c r="AR249" s="327"/>
      <c r="AS249" s="327" t="str">
        <f>IF(AR249="","",AR249-AR247)</f>
        <v/>
      </c>
      <c r="AT249" s="328" t="str">
        <f>IF(AR249="","",AS249*1000)</f>
        <v/>
      </c>
      <c r="AU249" s="328"/>
      <c r="AV249" s="328"/>
      <c r="AW249" s="329"/>
      <c r="AX249" s="329"/>
      <c r="AY249" s="331"/>
    </row>
    <row r="250" spans="2:51" ht="15" customHeight="1" x14ac:dyDescent="0.25">
      <c r="B250" s="333"/>
      <c r="C250" s="327"/>
      <c r="D250" s="327"/>
      <c r="E250" s="327" t="str">
        <f t="shared" si="50"/>
        <v/>
      </c>
      <c r="F250" s="328" t="str">
        <f t="shared" si="51"/>
        <v/>
      </c>
      <c r="G250" s="328"/>
      <c r="H250" s="328"/>
      <c r="I250" s="329"/>
      <c r="J250" s="329"/>
      <c r="K250" s="330"/>
      <c r="L250" s="323"/>
      <c r="M250" s="333"/>
      <c r="N250" s="327"/>
      <c r="O250" s="327"/>
      <c r="P250" s="327"/>
      <c r="Q250" s="328"/>
      <c r="R250" s="328"/>
      <c r="S250" s="328"/>
      <c r="T250" s="329"/>
      <c r="U250" s="329"/>
      <c r="V250" s="331"/>
      <c r="X250" s="333"/>
      <c r="Y250" s="327"/>
      <c r="Z250" s="327"/>
      <c r="AA250" s="328"/>
      <c r="AB250" s="331"/>
      <c r="AD250" s="333"/>
      <c r="AE250" s="327"/>
      <c r="AF250" s="327"/>
      <c r="AG250" s="328"/>
      <c r="AH250" s="331"/>
      <c r="AJ250" s="333"/>
      <c r="AK250" s="327"/>
      <c r="AL250" s="327"/>
      <c r="AM250" s="328"/>
      <c r="AN250" s="331"/>
      <c r="AP250" s="333"/>
      <c r="AQ250" s="327"/>
      <c r="AR250" s="327"/>
      <c r="AS250" s="327"/>
      <c r="AT250" s="328"/>
      <c r="AU250" s="328"/>
      <c r="AV250" s="328"/>
      <c r="AW250" s="329"/>
      <c r="AX250" s="329"/>
      <c r="AY250" s="331"/>
    </row>
    <row r="251" spans="2:51" ht="15" customHeight="1" x14ac:dyDescent="0.25">
      <c r="B251" s="333"/>
      <c r="C251" s="336">
        <f>SUM(IF(F251="",0,F251), IF(F252="",0,F252), IF(Q251="",0,Q251), IF(AT251="",0,AT251), IF(AA251="",0,AA251), IF(AG251="",0,AG251), IF(AM251="",0,AM251))</f>
        <v>0</v>
      </c>
      <c r="D251" s="327"/>
      <c r="E251" s="327" t="str">
        <f t="shared" si="50"/>
        <v/>
      </c>
      <c r="F251" s="328" t="str">
        <f t="shared" si="51"/>
        <v/>
      </c>
      <c r="G251" s="328"/>
      <c r="H251" s="328"/>
      <c r="I251" s="329"/>
      <c r="J251" s="329"/>
      <c r="K251" s="330"/>
      <c r="L251" s="323"/>
      <c r="M251" s="333" t="str">
        <f>IF(B251="","",B251)</f>
        <v/>
      </c>
      <c r="N251" s="327"/>
      <c r="O251" s="327"/>
      <c r="P251" s="327" t="str">
        <f>IF(O251="","",O251-O249)</f>
        <v/>
      </c>
      <c r="Q251" s="328" t="str">
        <f>IF(O251="","",P251*1000)</f>
        <v/>
      </c>
      <c r="R251" s="328"/>
      <c r="S251" s="328"/>
      <c r="T251" s="329"/>
      <c r="U251" s="329"/>
      <c r="V251" s="331"/>
      <c r="X251" s="333" t="str">
        <f>IF(AP251="","",AP251)</f>
        <v/>
      </c>
      <c r="Y251" s="327"/>
      <c r="Z251" s="327" t="str">
        <f>IF(Y251="","",Y251-Y249)</f>
        <v/>
      </c>
      <c r="AA251" s="328" t="str">
        <f>IF(Y251="","",Z251*1000)</f>
        <v/>
      </c>
      <c r="AB251" s="331"/>
      <c r="AD251" s="333" t="str">
        <f>IF(X251="","",X251)</f>
        <v/>
      </c>
      <c r="AE251" s="327"/>
      <c r="AF251" s="327" t="str">
        <f>IF(AE251="","",AE251-AE249)</f>
        <v/>
      </c>
      <c r="AG251" s="328" t="str">
        <f>IF(AE251="","",AF251*1000)</f>
        <v/>
      </c>
      <c r="AH251" s="331"/>
      <c r="AJ251" s="333" t="str">
        <f>IF(AD251="","",AD251)</f>
        <v/>
      </c>
      <c r="AK251" s="327"/>
      <c r="AL251" s="327" t="str">
        <f>IF(AK251="","",AK251-AK249)</f>
        <v/>
      </c>
      <c r="AM251" s="328" t="str">
        <f>IF(AK251="","",AL251*1000)</f>
        <v/>
      </c>
      <c r="AN251" s="331"/>
      <c r="AP251" s="333" t="str">
        <f>IF(M251="","",M251)</f>
        <v/>
      </c>
      <c r="AQ251" s="327"/>
      <c r="AR251" s="327"/>
      <c r="AS251" s="327" t="str">
        <f>IF(AR251="","",AR251-AR249)</f>
        <v/>
      </c>
      <c r="AT251" s="328" t="str">
        <f>IF(AR251="","",AS251*1000)</f>
        <v/>
      </c>
      <c r="AU251" s="328"/>
      <c r="AV251" s="328"/>
      <c r="AW251" s="329"/>
      <c r="AX251" s="329"/>
      <c r="AY251" s="331"/>
    </row>
    <row r="252" spans="2:51" ht="15" customHeight="1" x14ac:dyDescent="0.25">
      <c r="B252" s="333"/>
      <c r="C252" s="327"/>
      <c r="D252" s="327"/>
      <c r="E252" s="327" t="str">
        <f t="shared" si="50"/>
        <v/>
      </c>
      <c r="F252" s="328" t="str">
        <f t="shared" si="51"/>
        <v/>
      </c>
      <c r="G252" s="328"/>
      <c r="H252" s="328"/>
      <c r="I252" s="329"/>
      <c r="J252" s="329"/>
      <c r="K252" s="330"/>
      <c r="L252" s="323"/>
      <c r="M252" s="333"/>
      <c r="N252" s="327"/>
      <c r="O252" s="327"/>
      <c r="P252" s="327"/>
      <c r="Q252" s="328"/>
      <c r="R252" s="328"/>
      <c r="S252" s="328"/>
      <c r="T252" s="329"/>
      <c r="U252" s="329"/>
      <c r="V252" s="331"/>
      <c r="X252" s="333"/>
      <c r="Y252" s="327"/>
      <c r="Z252" s="327"/>
      <c r="AA252" s="328"/>
      <c r="AB252" s="331"/>
      <c r="AD252" s="333"/>
      <c r="AE252" s="327"/>
      <c r="AF252" s="327"/>
      <c r="AG252" s="328"/>
      <c r="AH252" s="331"/>
      <c r="AJ252" s="333"/>
      <c r="AK252" s="327"/>
      <c r="AL252" s="327"/>
      <c r="AM252" s="328"/>
      <c r="AN252" s="331"/>
      <c r="AP252" s="333"/>
      <c r="AQ252" s="327"/>
      <c r="AR252" s="327"/>
      <c r="AS252" s="327"/>
      <c r="AT252" s="328"/>
      <c r="AU252" s="328"/>
      <c r="AV252" s="328"/>
      <c r="AW252" s="329"/>
      <c r="AX252" s="329"/>
      <c r="AY252" s="331"/>
    </row>
    <row r="253" spans="2:51" ht="15" customHeight="1" x14ac:dyDescent="0.25">
      <c r="B253" s="333"/>
      <c r="C253" s="336">
        <f>SUM(IF(F253="",0,F253), IF(F254="",0,F254), IF(Q253="",0,Q253), IF(AT253="",0,AT253), IF(AA253="",0,AA253), IF(AG253="",0,AG253), IF(AM253="",0,AM253))</f>
        <v>0</v>
      </c>
      <c r="D253" s="327"/>
      <c r="E253" s="327" t="str">
        <f t="shared" si="50"/>
        <v/>
      </c>
      <c r="F253" s="328" t="str">
        <f t="shared" si="51"/>
        <v/>
      </c>
      <c r="G253" s="328"/>
      <c r="H253" s="328"/>
      <c r="I253" s="329"/>
      <c r="J253" s="329"/>
      <c r="K253" s="330"/>
      <c r="L253" s="323"/>
      <c r="M253" s="333" t="str">
        <f>IF(B253="","",B253)</f>
        <v/>
      </c>
      <c r="N253" s="327"/>
      <c r="O253" s="327"/>
      <c r="P253" s="327" t="str">
        <f>IF(O253="","",O253-O251)</f>
        <v/>
      </c>
      <c r="Q253" s="328" t="str">
        <f>IF(O253="","",P253*1000)</f>
        <v/>
      </c>
      <c r="R253" s="328"/>
      <c r="S253" s="328"/>
      <c r="T253" s="329"/>
      <c r="U253" s="329"/>
      <c r="V253" s="331"/>
      <c r="X253" s="333" t="str">
        <f>IF(AP253="","",AP253)</f>
        <v/>
      </c>
      <c r="Y253" s="327"/>
      <c r="Z253" s="327" t="str">
        <f>IF(Y253="","",Y253-Y251)</f>
        <v/>
      </c>
      <c r="AA253" s="328" t="str">
        <f>IF(Y253="","",Z253*1000)</f>
        <v/>
      </c>
      <c r="AB253" s="331"/>
      <c r="AD253" s="333" t="str">
        <f>IF(X253="","",X253)</f>
        <v/>
      </c>
      <c r="AE253" s="327"/>
      <c r="AF253" s="327" t="str">
        <f>IF(AE253="","",AE253-AE251)</f>
        <v/>
      </c>
      <c r="AG253" s="328" t="str">
        <f>IF(AE253="","",AF253*1000)</f>
        <v/>
      </c>
      <c r="AH253" s="331"/>
      <c r="AJ253" s="333" t="str">
        <f>IF(AD253="","",AD253)</f>
        <v/>
      </c>
      <c r="AK253" s="327"/>
      <c r="AL253" s="327" t="str">
        <f>IF(AK253="","",AK253-AK251)</f>
        <v/>
      </c>
      <c r="AM253" s="328" t="str">
        <f>IF(AK253="","",AL253*1000)</f>
        <v/>
      </c>
      <c r="AN253" s="331"/>
      <c r="AP253" s="333" t="str">
        <f>IF(M253="","",M253)</f>
        <v/>
      </c>
      <c r="AQ253" s="327"/>
      <c r="AR253" s="327"/>
      <c r="AS253" s="327" t="str">
        <f>IF(AR253="","",AR253-AR251)</f>
        <v/>
      </c>
      <c r="AT253" s="328" t="str">
        <f>IF(AR253="","",AS253*1000)</f>
        <v/>
      </c>
      <c r="AU253" s="328"/>
      <c r="AV253" s="328"/>
      <c r="AW253" s="329"/>
      <c r="AX253" s="329"/>
      <c r="AY253" s="331"/>
    </row>
    <row r="254" spans="2:51" ht="15" customHeight="1" x14ac:dyDescent="0.25">
      <c r="B254" s="333"/>
      <c r="C254" s="327"/>
      <c r="D254" s="327"/>
      <c r="E254" s="327" t="str">
        <f t="shared" si="50"/>
        <v/>
      </c>
      <c r="F254" s="328" t="str">
        <f t="shared" si="51"/>
        <v/>
      </c>
      <c r="G254" s="328"/>
      <c r="H254" s="328"/>
      <c r="I254" s="329"/>
      <c r="J254" s="329"/>
      <c r="K254" s="330"/>
      <c r="L254" s="323"/>
      <c r="M254" s="333"/>
      <c r="N254" s="327"/>
      <c r="O254" s="327"/>
      <c r="P254" s="327"/>
      <c r="Q254" s="328"/>
      <c r="R254" s="328"/>
      <c r="S254" s="328"/>
      <c r="T254" s="329"/>
      <c r="U254" s="329"/>
      <c r="V254" s="331"/>
      <c r="X254" s="333"/>
      <c r="Y254" s="327"/>
      <c r="Z254" s="327"/>
      <c r="AA254" s="328"/>
      <c r="AB254" s="331"/>
      <c r="AD254" s="333"/>
      <c r="AE254" s="327"/>
      <c r="AF254" s="327"/>
      <c r="AG254" s="328"/>
      <c r="AH254" s="331"/>
      <c r="AJ254" s="333"/>
      <c r="AK254" s="327"/>
      <c r="AL254" s="327"/>
      <c r="AM254" s="328"/>
      <c r="AN254" s="331"/>
      <c r="AP254" s="333"/>
      <c r="AQ254" s="327"/>
      <c r="AR254" s="327"/>
      <c r="AS254" s="327"/>
      <c r="AT254" s="328"/>
      <c r="AU254" s="328"/>
      <c r="AV254" s="328"/>
      <c r="AW254" s="329"/>
      <c r="AX254" s="329"/>
      <c r="AY254" s="331"/>
    </row>
    <row r="255" spans="2:51" ht="15" customHeight="1" x14ac:dyDescent="0.25">
      <c r="B255" s="333"/>
      <c r="C255" s="336">
        <f>SUM(IF(F255="",0,F255), IF(F256="",0,F256), IF(Q255="",0,Q255), IF(AT255="",0,AT255), IF(AA255="",0,AA255), IF(AG255="",0,AG255), IF(AM255="",0,AM255))</f>
        <v>0</v>
      </c>
      <c r="D255" s="327"/>
      <c r="E255" s="327" t="str">
        <f t="shared" si="50"/>
        <v/>
      </c>
      <c r="F255" s="328" t="str">
        <f t="shared" si="51"/>
        <v/>
      </c>
      <c r="G255" s="328"/>
      <c r="H255" s="328"/>
      <c r="I255" s="329"/>
      <c r="J255" s="329"/>
      <c r="K255" s="330"/>
      <c r="L255" s="323"/>
      <c r="M255" s="333" t="str">
        <f>IF(B255="","",B255)</f>
        <v/>
      </c>
      <c r="N255" s="327"/>
      <c r="O255" s="327"/>
      <c r="P255" s="327" t="str">
        <f>IF(O255="","",O255-O253)</f>
        <v/>
      </c>
      <c r="Q255" s="328" t="str">
        <f>IF(O255="","",P255*1000)</f>
        <v/>
      </c>
      <c r="R255" s="328"/>
      <c r="S255" s="328"/>
      <c r="T255" s="329"/>
      <c r="U255" s="329"/>
      <c r="V255" s="331"/>
      <c r="X255" s="333" t="str">
        <f>IF(AP255="","",AP255)</f>
        <v/>
      </c>
      <c r="Y255" s="327"/>
      <c r="Z255" s="327" t="str">
        <f>IF(Y255="","",Y255-Y253)</f>
        <v/>
      </c>
      <c r="AA255" s="328" t="str">
        <f>IF(Y255="","",Z255*1000)</f>
        <v/>
      </c>
      <c r="AB255" s="331"/>
      <c r="AD255" s="333" t="str">
        <f>IF(X255="","",X255)</f>
        <v/>
      </c>
      <c r="AE255" s="327"/>
      <c r="AF255" s="327" t="str">
        <f>IF(AE255="","",AE255-AE253)</f>
        <v/>
      </c>
      <c r="AG255" s="328" t="str">
        <f>IF(AE255="","",AF255*1000)</f>
        <v/>
      </c>
      <c r="AH255" s="331"/>
      <c r="AJ255" s="333" t="str">
        <f>IF(AD255="","",AD255)</f>
        <v/>
      </c>
      <c r="AK255" s="327"/>
      <c r="AL255" s="327" t="str">
        <f>IF(AK255="","",AK255-AK253)</f>
        <v/>
      </c>
      <c r="AM255" s="328" t="str">
        <f>IF(AK255="","",AL255*1000)</f>
        <v/>
      </c>
      <c r="AN255" s="331"/>
      <c r="AP255" s="333" t="str">
        <f>IF(M255="","",M255)</f>
        <v/>
      </c>
      <c r="AQ255" s="327"/>
      <c r="AR255" s="327"/>
      <c r="AS255" s="327" t="str">
        <f>IF(AR255="","",AR255-AR253)</f>
        <v/>
      </c>
      <c r="AT255" s="328" t="str">
        <f>IF(AR255="","",AS255*1000)</f>
        <v/>
      </c>
      <c r="AU255" s="328"/>
      <c r="AV255" s="328"/>
      <c r="AW255" s="329"/>
      <c r="AX255" s="329"/>
      <c r="AY255" s="331"/>
    </row>
    <row r="256" spans="2:51" ht="15" customHeight="1" x14ac:dyDescent="0.25">
      <c r="B256" s="333"/>
      <c r="C256" s="327"/>
      <c r="D256" s="327"/>
      <c r="E256" s="327" t="str">
        <f t="shared" si="50"/>
        <v/>
      </c>
      <c r="F256" s="328" t="str">
        <f t="shared" si="51"/>
        <v/>
      </c>
      <c r="G256" s="328"/>
      <c r="H256" s="328"/>
      <c r="I256" s="329"/>
      <c r="J256" s="329"/>
      <c r="K256" s="330"/>
      <c r="L256" s="323"/>
      <c r="M256" s="333"/>
      <c r="N256" s="327"/>
      <c r="O256" s="327"/>
      <c r="P256" s="327"/>
      <c r="Q256" s="328"/>
      <c r="R256" s="328"/>
      <c r="S256" s="328"/>
      <c r="T256" s="329"/>
      <c r="U256" s="329"/>
      <c r="V256" s="331"/>
      <c r="X256" s="333"/>
      <c r="Y256" s="327"/>
      <c r="Z256" s="327"/>
      <c r="AA256" s="328"/>
      <c r="AB256" s="331"/>
      <c r="AD256" s="333"/>
      <c r="AE256" s="327"/>
      <c r="AF256" s="327"/>
      <c r="AG256" s="328"/>
      <c r="AH256" s="331"/>
      <c r="AJ256" s="333"/>
      <c r="AK256" s="327"/>
      <c r="AL256" s="327"/>
      <c r="AM256" s="328"/>
      <c r="AN256" s="331"/>
      <c r="AP256" s="333"/>
      <c r="AQ256" s="327"/>
      <c r="AR256" s="327"/>
      <c r="AS256" s="327"/>
      <c r="AT256" s="328"/>
      <c r="AU256" s="328"/>
      <c r="AV256" s="328"/>
      <c r="AW256" s="329"/>
      <c r="AX256" s="329"/>
      <c r="AY256" s="331"/>
    </row>
    <row r="257" spans="2:51" ht="15" customHeight="1" x14ac:dyDescent="0.25">
      <c r="B257" s="393">
        <f>DATEDIF(B$193,B$235,"d")</f>
        <v>28</v>
      </c>
      <c r="C257" s="338"/>
      <c r="D257" s="338"/>
      <c r="E257" s="338" t="str">
        <f>IF(D257="","",D257-D249)</f>
        <v/>
      </c>
      <c r="F257" s="328" t="str">
        <f t="shared" si="51"/>
        <v/>
      </c>
      <c r="G257" s="338"/>
      <c r="H257" s="338"/>
      <c r="I257" s="338"/>
      <c r="J257" s="338"/>
      <c r="K257" s="339"/>
      <c r="L257" s="340"/>
      <c r="M257" s="337">
        <f>IF(B257="","",B257)</f>
        <v>28</v>
      </c>
      <c r="N257" s="338"/>
      <c r="O257" s="338"/>
      <c r="P257" s="338" t="str">
        <f>IF(O257="","",O257-O249)</f>
        <v/>
      </c>
      <c r="Q257" s="338" t="str">
        <f>IF(O257="","",P257*1000)</f>
        <v/>
      </c>
      <c r="R257" s="338"/>
      <c r="S257" s="338"/>
      <c r="T257" s="338"/>
      <c r="U257" s="338"/>
      <c r="V257" s="341"/>
      <c r="W257" s="238"/>
      <c r="X257" s="337">
        <f>IF(AP257="","",AP257)</f>
        <v>28</v>
      </c>
      <c r="Y257" s="338"/>
      <c r="Z257" s="338" t="str">
        <f>IF(Y257="","",Y257-Y249)</f>
        <v/>
      </c>
      <c r="AA257" s="338" t="str">
        <f>IF(Y257="","",Z257*1000)</f>
        <v/>
      </c>
      <c r="AB257" s="341"/>
      <c r="AC257" s="238"/>
      <c r="AD257" s="337">
        <f>IF(X257="","",X257)</f>
        <v>28</v>
      </c>
      <c r="AE257" s="338"/>
      <c r="AF257" s="338" t="str">
        <f>IF(AE257="","",AE257-AE249)</f>
        <v/>
      </c>
      <c r="AG257" s="338" t="str">
        <f>IF(AE257="","",AF257*1000)</f>
        <v/>
      </c>
      <c r="AH257" s="341"/>
      <c r="AI257" s="238"/>
      <c r="AJ257" s="337">
        <f>IF(AD257="","",AD257)</f>
        <v>28</v>
      </c>
      <c r="AK257" s="338"/>
      <c r="AL257" s="338" t="str">
        <f>IF(AK257="","",AK257-AK249)</f>
        <v/>
      </c>
      <c r="AM257" s="338" t="str">
        <f>IF(AK257="","",AL257*1000)</f>
        <v/>
      </c>
      <c r="AN257" s="341"/>
      <c r="AO257" s="238"/>
      <c r="AP257" s="337">
        <f>IF(M257="","",M257)</f>
        <v>28</v>
      </c>
      <c r="AQ257" s="338"/>
      <c r="AR257" s="338"/>
      <c r="AS257" s="338" t="str">
        <f>IF(AR257="","",AR257-AR249)</f>
        <v/>
      </c>
      <c r="AT257" s="338" t="str">
        <f>IF(AR257="","",AS257*1000)</f>
        <v/>
      </c>
      <c r="AU257" s="338"/>
      <c r="AV257" s="338"/>
      <c r="AW257" s="338"/>
      <c r="AX257" s="338"/>
      <c r="AY257" s="341"/>
    </row>
    <row r="258" spans="2:51" ht="15" customHeight="1" x14ac:dyDescent="0.25">
      <c r="B258" s="333"/>
      <c r="C258" s="327"/>
      <c r="D258" s="327"/>
      <c r="E258" s="327" t="str">
        <f>IF(D258="","",D258-D254)</f>
        <v/>
      </c>
      <c r="F258" s="328" t="str">
        <f t="shared" si="51"/>
        <v/>
      </c>
      <c r="G258" s="328"/>
      <c r="H258" s="328"/>
      <c r="I258" s="329"/>
      <c r="J258" s="329"/>
      <c r="K258" s="330"/>
      <c r="L258" s="323"/>
      <c r="M258" s="333"/>
      <c r="N258" s="327"/>
      <c r="O258" s="327"/>
      <c r="P258" s="327"/>
      <c r="Q258" s="328"/>
      <c r="R258" s="328"/>
      <c r="S258" s="328"/>
      <c r="T258" s="329"/>
      <c r="U258" s="329"/>
      <c r="V258" s="331"/>
      <c r="X258" s="333"/>
      <c r="Y258" s="327"/>
      <c r="Z258" s="327"/>
      <c r="AA258" s="328"/>
      <c r="AB258" s="331"/>
      <c r="AD258" s="333"/>
      <c r="AE258" s="327"/>
      <c r="AF258" s="327"/>
      <c r="AG258" s="328"/>
      <c r="AH258" s="331"/>
      <c r="AJ258" s="333"/>
      <c r="AK258" s="327"/>
      <c r="AL258" s="327"/>
      <c r="AM258" s="328"/>
      <c r="AN258" s="331"/>
      <c r="AP258" s="333"/>
      <c r="AQ258" s="327"/>
      <c r="AR258" s="327"/>
      <c r="AS258" s="327"/>
      <c r="AT258" s="328"/>
      <c r="AU258" s="328"/>
      <c r="AV258" s="328"/>
      <c r="AW258" s="329"/>
      <c r="AX258" s="329"/>
      <c r="AY258" s="331"/>
    </row>
    <row r="259" spans="2:51" ht="15" customHeight="1" x14ac:dyDescent="0.25">
      <c r="B259" s="380">
        <f>SUM(E223, E225, E227, E229, E231, E233, E235, E237, E239, E241, E243, E245, E259,E247,E249,E251,E253,E255,E257)</f>
        <v>607</v>
      </c>
      <c r="C259" s="327"/>
      <c r="D259" s="327"/>
      <c r="E259" s="327" t="str">
        <f>IF(D259="","",D259-D257)</f>
        <v/>
      </c>
      <c r="F259" s="328" t="str">
        <f t="shared" si="51"/>
        <v/>
      </c>
      <c r="G259" s="328"/>
      <c r="H259" s="328"/>
      <c r="I259" s="329"/>
      <c r="J259" s="329"/>
      <c r="K259" s="330"/>
      <c r="L259" s="323"/>
      <c r="M259" s="334">
        <f>SUM(P223, P225, P227, P229, P231, P233, P235, P237, P239, P241, P249, P257, P259)</f>
        <v>98</v>
      </c>
      <c r="N259" s="327"/>
      <c r="O259" s="327"/>
      <c r="P259" s="327" t="str">
        <f>IF(O259="","",O259-O257)</f>
        <v/>
      </c>
      <c r="Q259" s="328" t="str">
        <f>IF(O259="","",P259*1000)</f>
        <v/>
      </c>
      <c r="R259" s="328"/>
      <c r="S259" s="328"/>
      <c r="T259" s="329"/>
      <c r="U259" s="329"/>
      <c r="V259" s="331"/>
      <c r="X259" s="334">
        <f>SUM(Z223, Z225, Z227, Z229, Z231, Z233, Z235, Z237, Z239, Z241, Z249, Z257, Z259)</f>
        <v>76</v>
      </c>
      <c r="Y259" s="327"/>
      <c r="Z259" s="327" t="str">
        <f>IF(Y259="","",Y259-Y257)</f>
        <v/>
      </c>
      <c r="AA259" s="328" t="str">
        <f>IF(Y259="","",Z259*1000)</f>
        <v/>
      </c>
      <c r="AB259" s="331"/>
      <c r="AD259" s="334">
        <f>SUM(AF223, AF225, AF227, AF229, AF231, AF233, AF235, AF237, AF239, AF241, AF249, AF257, AF259)</f>
        <v>42</v>
      </c>
      <c r="AE259" s="327"/>
      <c r="AF259" s="327" t="str">
        <f>IF(AE259="","",AE259-AE257)</f>
        <v/>
      </c>
      <c r="AG259" s="328" t="str">
        <f>IF(AE259="","",AF259*1000)</f>
        <v/>
      </c>
      <c r="AH259" s="331"/>
      <c r="AJ259" s="334">
        <f>SUM(AL223, AL225, AL227, AL229, AL231, AL233, AL235, AL237, AL239, AL241, AL249, AL257, AL259)</f>
        <v>90</v>
      </c>
      <c r="AK259" s="327"/>
      <c r="AL259" s="327" t="str">
        <f>IF(AK259="","",AK259-AK257)</f>
        <v/>
      </c>
      <c r="AM259" s="328" t="str">
        <f>IF(AK259="","",AL259*1000)</f>
        <v/>
      </c>
      <c r="AN259" s="331"/>
      <c r="AP259" s="334">
        <f>SUM(AS223, AS225, AS227, AS229, AS231, AS233, AS235, AS237, AS239, AS241, AS249, AS257, AS259)</f>
        <v>124</v>
      </c>
      <c r="AQ259" s="327"/>
      <c r="AR259" s="327"/>
      <c r="AS259" s="327" t="str">
        <f>IF(AR259="","",AR259-AR257)</f>
        <v/>
      </c>
      <c r="AT259" s="328" t="str">
        <f>IF(AR259="","",AS259*1000)</f>
        <v/>
      </c>
      <c r="AU259" s="328"/>
      <c r="AV259" s="328"/>
      <c r="AW259" s="329"/>
      <c r="AX259" s="329"/>
      <c r="AY259" s="331"/>
    </row>
    <row r="260" spans="2:51" ht="15" customHeight="1" x14ac:dyDescent="0.25">
      <c r="B260" s="380">
        <f>SUM(E224, E226, E228, E230, E232, E234, E236, E238, E240, E242, E244, E246, E260,E248,E250,E252,E254,E256,E258)</f>
        <v>371</v>
      </c>
      <c r="C260" s="327"/>
      <c r="D260" s="327"/>
      <c r="E260" s="327" t="str">
        <f>IF(D260="","",D260-D258)</f>
        <v/>
      </c>
      <c r="F260" s="328" t="str">
        <f t="shared" si="51"/>
        <v/>
      </c>
      <c r="G260" s="328"/>
      <c r="H260" s="328"/>
      <c r="I260" s="329"/>
      <c r="J260" s="329"/>
      <c r="K260" s="330"/>
      <c r="L260" s="323"/>
      <c r="M260" s="334">
        <f>SUM(P224, P226, P228, P230, P232, P234, P236, P238, P240, P242, P254, P258, P260)</f>
        <v>0</v>
      </c>
      <c r="N260" s="327"/>
      <c r="O260" s="327"/>
      <c r="P260" s="327"/>
      <c r="Q260" s="328"/>
      <c r="R260" s="328"/>
      <c r="S260" s="328"/>
      <c r="T260" s="329"/>
      <c r="U260" s="329"/>
      <c r="V260" s="331"/>
      <c r="X260" s="334">
        <f>SUM(Z224, Z226, Z228, Z230, Z232, Z234, Z236, Z238, Z240, Z242, Z254, Z258, Z260)</f>
        <v>0</v>
      </c>
      <c r="Y260" s="327"/>
      <c r="Z260" s="327"/>
      <c r="AA260" s="328"/>
      <c r="AB260" s="331"/>
      <c r="AD260" s="334">
        <f>SUM(AF224, AF226, AF228, AF230, AF232, AF234, AF236, AF238, AF240, AF242, AF254, AF258, AF260)</f>
        <v>0</v>
      </c>
      <c r="AE260" s="327"/>
      <c r="AF260" s="327"/>
      <c r="AG260" s="328"/>
      <c r="AH260" s="331"/>
      <c r="AJ260" s="334">
        <f>SUM(AL224, AL226, AL228, AL230, AL232, AL234, AL236, AL238, AL240, AL242, AL254, AL258, AL260)</f>
        <v>0</v>
      </c>
      <c r="AK260" s="327"/>
      <c r="AL260" s="327"/>
      <c r="AM260" s="328"/>
      <c r="AN260" s="331"/>
      <c r="AP260" s="334">
        <f>SUM(AS224, AS226, AS228, AS230, AS232, AS234, AS236, AS238, AS240, AS242, AS254, AS258, AS260)</f>
        <v>0</v>
      </c>
      <c r="AQ260" s="327"/>
      <c r="AR260" s="327"/>
      <c r="AS260" s="327"/>
      <c r="AT260" s="328"/>
      <c r="AU260" s="328"/>
      <c r="AV260" s="328"/>
      <c r="AW260" s="329"/>
      <c r="AX260" s="329"/>
      <c r="AY260" s="331"/>
    </row>
    <row r="261" spans="2:51" ht="15" customHeight="1" x14ac:dyDescent="0.25">
      <c r="B261" s="333"/>
      <c r="C261" s="328">
        <f>SUM(C223:C254)</f>
        <v>527800</v>
      </c>
      <c r="D261" s="327"/>
      <c r="E261" s="328">
        <f>SUM(E223:E260)</f>
        <v>978</v>
      </c>
      <c r="F261" s="328">
        <f>SUM(F223:F260)</f>
        <v>97800</v>
      </c>
      <c r="G261" s="328">
        <f>SUM(G223:G234)</f>
        <v>0</v>
      </c>
      <c r="H261" s="328">
        <f>SUM(H223:H234)</f>
        <v>0</v>
      </c>
      <c r="I261" s="328">
        <f>SUM(I223:I234)</f>
        <v>0</v>
      </c>
      <c r="J261" s="328">
        <f>SUM(J223:J234)</f>
        <v>0</v>
      </c>
      <c r="K261" s="330"/>
      <c r="L261" s="322"/>
      <c r="M261" s="327"/>
      <c r="N261" s="327"/>
      <c r="O261" s="327"/>
      <c r="P261" s="328">
        <f>SUM(P223:P259)</f>
        <v>98</v>
      </c>
      <c r="Q261" s="328">
        <f>SUM(Q223:Q260)</f>
        <v>98000</v>
      </c>
      <c r="R261" s="328">
        <f>SUM(R223:R234)</f>
        <v>0</v>
      </c>
      <c r="S261" s="328">
        <f>SUM(S223:S234)</f>
        <v>0</v>
      </c>
      <c r="T261" s="328">
        <f>SUM(T223:T234)</f>
        <v>0</v>
      </c>
      <c r="U261" s="328">
        <f>SUM(U223:U234)</f>
        <v>0</v>
      </c>
      <c r="V261" s="328"/>
      <c r="X261" s="327"/>
      <c r="Y261" s="327"/>
      <c r="Z261" s="328">
        <f>SUM(Z223:Z259)</f>
        <v>76</v>
      </c>
      <c r="AA261" s="328">
        <f>SUM(AA223:AA260)</f>
        <v>76000</v>
      </c>
      <c r="AB261" s="328"/>
      <c r="AD261" s="327"/>
      <c r="AE261" s="327"/>
      <c r="AF261" s="328">
        <f>SUM(AF223:AF259)</f>
        <v>42</v>
      </c>
      <c r="AG261" s="328">
        <f>SUM(AG223:AG260)</f>
        <v>42000</v>
      </c>
      <c r="AH261" s="328"/>
      <c r="AJ261" s="327"/>
      <c r="AK261" s="327"/>
      <c r="AL261" s="328">
        <f>SUM(AL223:AL259)</f>
        <v>90</v>
      </c>
      <c r="AM261" s="328">
        <f>SUM(AM223:AM260)</f>
        <v>90000</v>
      </c>
      <c r="AN261" s="328"/>
      <c r="AP261" s="327"/>
      <c r="AQ261" s="327"/>
      <c r="AR261" s="327"/>
      <c r="AS261" s="328">
        <f>SUM(AS223:AS259)</f>
        <v>124</v>
      </c>
      <c r="AT261" s="328">
        <f>SUM(AT223:AT260)</f>
        <v>124000</v>
      </c>
      <c r="AU261" s="328">
        <f>SUM(AU223:AU234)</f>
        <v>0</v>
      </c>
      <c r="AV261" s="328">
        <f>SUM(AV223:AV234)</f>
        <v>0</v>
      </c>
      <c r="AW261" s="328">
        <f>SUM(AW223:AW234)</f>
        <v>0</v>
      </c>
      <c r="AX261" s="328">
        <f>SUM(AX223:AX234)</f>
        <v>0</v>
      </c>
      <c r="AY261" s="328"/>
    </row>
    <row r="262" spans="2:51" ht="15" customHeight="1" x14ac:dyDescent="0.15">
      <c r="B262" s="386" t="s">
        <v>126</v>
      </c>
      <c r="C262" s="387" t="s">
        <v>127</v>
      </c>
      <c r="D262" s="388" t="s">
        <v>128</v>
      </c>
      <c r="E262" s="392" t="s">
        <v>129</v>
      </c>
      <c r="F262" s="382" t="s">
        <v>130</v>
      </c>
      <c r="G262" s="389"/>
      <c r="H262" s="389"/>
      <c r="I262" s="389"/>
      <c r="J262" s="389"/>
      <c r="K262" s="389"/>
      <c r="L262" s="381"/>
      <c r="M262" s="390"/>
      <c r="N262" s="390"/>
      <c r="O262" s="390"/>
      <c r="P262" s="389" t="s">
        <v>129</v>
      </c>
      <c r="Q262" s="382" t="s">
        <v>130</v>
      </c>
      <c r="R262" s="389"/>
      <c r="S262" s="389"/>
      <c r="T262" s="389"/>
      <c r="U262" s="389"/>
      <c r="V262" s="389"/>
      <c r="W262" s="317"/>
      <c r="X262" s="390"/>
      <c r="Y262" s="390"/>
      <c r="Z262" s="389" t="s">
        <v>129</v>
      </c>
      <c r="AA262" s="382" t="s">
        <v>130</v>
      </c>
      <c r="AB262" s="389"/>
      <c r="AC262" s="317"/>
      <c r="AD262" s="390"/>
      <c r="AE262" s="390"/>
      <c r="AF262" s="389" t="s">
        <v>129</v>
      </c>
      <c r="AG262" s="382" t="s">
        <v>130</v>
      </c>
      <c r="AH262" s="389"/>
      <c r="AI262" s="317"/>
      <c r="AJ262" s="390"/>
      <c r="AK262" s="390"/>
      <c r="AL262" s="389" t="s">
        <v>129</v>
      </c>
      <c r="AM262" s="382" t="s">
        <v>130</v>
      </c>
      <c r="AN262" s="389"/>
      <c r="AO262" s="317"/>
      <c r="AP262" s="390"/>
      <c r="AQ262" s="390"/>
      <c r="AR262" s="390"/>
      <c r="AS262" s="389" t="s">
        <v>129</v>
      </c>
      <c r="AT262" s="382" t="s">
        <v>130</v>
      </c>
      <c r="AU262" s="389"/>
      <c r="AV262" s="389"/>
      <c r="AW262" s="389"/>
      <c r="AX262" s="389"/>
      <c r="AY262" s="389"/>
    </row>
    <row r="263" spans="2:51" ht="15" customHeight="1" x14ac:dyDescent="0.2">
      <c r="B263" s="235">
        <v>28</v>
      </c>
      <c r="C263" s="318">
        <f>C261/B257</f>
        <v>18850</v>
      </c>
      <c r="D263" s="318">
        <f>C263*B263</f>
        <v>527800</v>
      </c>
      <c r="E263" s="236">
        <f>E261/B257*100</f>
        <v>3492.8571428571431</v>
      </c>
      <c r="F263" s="236">
        <f>E263*B263</f>
        <v>97800</v>
      </c>
      <c r="P263" s="236">
        <f>P261/M257*1000</f>
        <v>3500</v>
      </c>
      <c r="Q263" s="236">
        <f>P263*B263</f>
        <v>98000</v>
      </c>
      <c r="Z263" s="236">
        <f>Z261/X257*1000</f>
        <v>2714.2857142857142</v>
      </c>
      <c r="AA263" s="236">
        <f>Z263*B263</f>
        <v>76000</v>
      </c>
      <c r="AF263" s="236">
        <f>AF261/AD257*1000</f>
        <v>1500</v>
      </c>
      <c r="AG263" s="236">
        <f>AF263*B263</f>
        <v>42000</v>
      </c>
      <c r="AL263" s="236">
        <f>AL261/AJ257*1000</f>
        <v>3214.2857142857142</v>
      </c>
      <c r="AM263" s="236">
        <f>AL263*B263</f>
        <v>90000</v>
      </c>
      <c r="AS263" s="236">
        <f>AS261/AP257*1000</f>
        <v>4428.5714285714284</v>
      </c>
      <c r="AT263" s="236">
        <f>AS263*B263</f>
        <v>124000</v>
      </c>
    </row>
    <row r="265" spans="2:51" ht="15" customHeight="1" x14ac:dyDescent="0.25">
      <c r="B265" s="332" t="s">
        <v>108</v>
      </c>
      <c r="C265" s="319"/>
      <c r="D265" s="319"/>
      <c r="E265" s="319"/>
      <c r="F265" s="319"/>
      <c r="G265" s="319"/>
      <c r="H265" s="319"/>
      <c r="I265" s="319"/>
      <c r="J265" s="320"/>
      <c r="K265" s="321"/>
      <c r="L265" s="319"/>
      <c r="M265" s="332" t="s">
        <v>109</v>
      </c>
      <c r="N265" s="319"/>
      <c r="O265" s="319"/>
      <c r="P265" s="319"/>
      <c r="Q265" s="319"/>
      <c r="R265" s="319"/>
      <c r="S265" s="319"/>
      <c r="T265" s="319"/>
      <c r="U265" s="320"/>
      <c r="V265" s="319"/>
      <c r="X265" s="844" t="s">
        <v>111</v>
      </c>
      <c r="Y265" s="844"/>
      <c r="Z265" s="319"/>
      <c r="AA265" s="319"/>
      <c r="AB265" s="319"/>
      <c r="AD265" s="844" t="s">
        <v>112</v>
      </c>
      <c r="AE265" s="844"/>
      <c r="AF265" s="319"/>
      <c r="AG265" s="319"/>
      <c r="AH265" s="319"/>
      <c r="AJ265" s="844" t="s">
        <v>113</v>
      </c>
      <c r="AK265" s="844"/>
      <c r="AL265" s="319"/>
      <c r="AM265" s="319"/>
      <c r="AN265" s="319"/>
      <c r="AP265" s="844" t="s">
        <v>110</v>
      </c>
      <c r="AQ265" s="844"/>
      <c r="AR265" s="844"/>
      <c r="AS265" s="319"/>
      <c r="AT265" s="319"/>
      <c r="AU265" s="319"/>
      <c r="AV265" s="319"/>
      <c r="AW265" s="319"/>
      <c r="AX265" s="320"/>
      <c r="AY265" s="319"/>
    </row>
    <row r="266" spans="2:51" ht="15" customHeight="1" x14ac:dyDescent="0.2">
      <c r="B266" s="645" t="s">
        <v>114</v>
      </c>
      <c r="C266" s="644"/>
      <c r="D266" s="646" t="s">
        <v>115</v>
      </c>
      <c r="E266" s="325" t="s">
        <v>116</v>
      </c>
      <c r="F266" s="325" t="s">
        <v>117</v>
      </c>
      <c r="G266" s="325"/>
      <c r="H266" s="325"/>
      <c r="I266" s="325"/>
      <c r="J266" s="325"/>
      <c r="K266" s="326" t="s">
        <v>118</v>
      </c>
      <c r="L266" s="319"/>
      <c r="M266" s="325" t="s">
        <v>114</v>
      </c>
      <c r="N266" s="325"/>
      <c r="O266" s="325" t="s">
        <v>115</v>
      </c>
      <c r="P266" s="325" t="s">
        <v>116</v>
      </c>
      <c r="Q266" s="325" t="s">
        <v>117</v>
      </c>
      <c r="R266" s="325"/>
      <c r="S266" s="325"/>
      <c r="T266" s="325"/>
      <c r="U266" s="325"/>
      <c r="V266" s="325" t="s">
        <v>119</v>
      </c>
      <c r="X266" s="325" t="s">
        <v>114</v>
      </c>
      <c r="Y266" s="325" t="s">
        <v>115</v>
      </c>
      <c r="Z266" s="325" t="s">
        <v>116</v>
      </c>
      <c r="AA266" s="325" t="s">
        <v>117</v>
      </c>
      <c r="AB266" s="325" t="s">
        <v>119</v>
      </c>
      <c r="AD266" s="325" t="s">
        <v>114</v>
      </c>
      <c r="AE266" s="325" t="s">
        <v>115</v>
      </c>
      <c r="AF266" s="325" t="s">
        <v>116</v>
      </c>
      <c r="AG266" s="325" t="s">
        <v>117</v>
      </c>
      <c r="AH266" s="325" t="s">
        <v>119</v>
      </c>
      <c r="AJ266" s="325" t="s">
        <v>114</v>
      </c>
      <c r="AK266" s="325" t="s">
        <v>115</v>
      </c>
      <c r="AL266" s="325" t="s">
        <v>116</v>
      </c>
      <c r="AM266" s="325" t="s">
        <v>117</v>
      </c>
      <c r="AN266" s="325" t="s">
        <v>119</v>
      </c>
      <c r="AP266" s="325" t="s">
        <v>114</v>
      </c>
      <c r="AQ266" s="325"/>
      <c r="AR266" s="325" t="s">
        <v>115</v>
      </c>
      <c r="AS266" s="325" t="s">
        <v>116</v>
      </c>
      <c r="AT266" s="325" t="s">
        <v>117</v>
      </c>
      <c r="AU266" s="325"/>
      <c r="AV266" s="325"/>
      <c r="AW266" s="325"/>
      <c r="AX266" s="325"/>
      <c r="AY266" s="325" t="s">
        <v>119</v>
      </c>
    </row>
    <row r="267" spans="2:51" ht="15" customHeight="1" x14ac:dyDescent="0.25">
      <c r="B267" s="333">
        <v>46097</v>
      </c>
      <c r="C267" s="336">
        <f>SUM(IF(F267="",0,F267), IF(F268="",0,F268), IF(Q267="",0,Q267), IF(AT267="",0,AT267), IF(AA267="",0,AA267), IF(AG267="",0,AG267), IF(AM267="",0,AM267))</f>
        <v>63000</v>
      </c>
      <c r="D267" s="327">
        <v>20749</v>
      </c>
      <c r="E267" s="327">
        <f>IF(D267="","",D267-D237)</f>
        <v>130</v>
      </c>
      <c r="F267" s="328">
        <f t="shared" ref="F267:F304" si="65">IF(D267="","",E267*100)</f>
        <v>13000</v>
      </c>
      <c r="G267" s="328"/>
      <c r="H267" s="328"/>
      <c r="I267" s="329"/>
      <c r="J267" s="329"/>
      <c r="K267" s="330"/>
      <c r="L267" s="323"/>
      <c r="M267" s="333">
        <v>46097</v>
      </c>
      <c r="N267" s="327"/>
      <c r="O267" s="327">
        <v>3205</v>
      </c>
      <c r="P267" s="327">
        <f>IF(O267="","",O267-O237)</f>
        <v>6</v>
      </c>
      <c r="Q267" s="328">
        <f>IF(O267="","",P267*1000)</f>
        <v>6000</v>
      </c>
      <c r="R267" s="328"/>
      <c r="S267" s="328"/>
      <c r="T267" s="329"/>
      <c r="U267" s="329"/>
      <c r="V267" s="331"/>
      <c r="X267" s="333">
        <v>46097</v>
      </c>
      <c r="Y267" s="327">
        <v>7866</v>
      </c>
      <c r="Z267" s="327">
        <f>IF(Y267="","",Y267-Y237)</f>
        <v>11</v>
      </c>
      <c r="AA267" s="328">
        <f>IF(Y267="","",Z267*1000)</f>
        <v>11000</v>
      </c>
      <c r="AB267" s="331"/>
      <c r="AD267" s="333">
        <v>46100</v>
      </c>
      <c r="AE267" s="327">
        <v>5395</v>
      </c>
      <c r="AF267" s="327">
        <f>IF(AE267="","",AE267-AE237)</f>
        <v>2</v>
      </c>
      <c r="AG267" s="328">
        <f>IF(AE267="","",AF267*1000)</f>
        <v>2000</v>
      </c>
      <c r="AH267" s="331"/>
      <c r="AJ267" s="333">
        <v>46097</v>
      </c>
      <c r="AK267" s="327">
        <v>7803</v>
      </c>
      <c r="AL267" s="327">
        <f>IF(AK267="","",AK267-AK237)</f>
        <v>14</v>
      </c>
      <c r="AM267" s="328">
        <f>IF(AK267="","",AL267*1000)</f>
        <v>14000</v>
      </c>
      <c r="AN267" s="331"/>
      <c r="AP267" s="333">
        <v>46097</v>
      </c>
      <c r="AQ267" s="327"/>
      <c r="AR267" s="327">
        <v>9061</v>
      </c>
      <c r="AS267" s="327">
        <f>IF(AR267="","",AR267-AR237)</f>
        <v>14</v>
      </c>
      <c r="AT267" s="328">
        <f>IF(AR267="","",AS267*1000)</f>
        <v>14000</v>
      </c>
      <c r="AU267" s="328"/>
      <c r="AV267" s="328"/>
      <c r="AW267" s="329"/>
      <c r="AX267" s="329"/>
      <c r="AY267" s="331"/>
    </row>
    <row r="268" spans="2:51" ht="15" customHeight="1" x14ac:dyDescent="0.25">
      <c r="B268" s="333"/>
      <c r="C268" s="327"/>
      <c r="D268" s="327">
        <v>7075</v>
      </c>
      <c r="E268" s="327">
        <f>IF(D268="","",D268-D238)</f>
        <v>30</v>
      </c>
      <c r="F268" s="328">
        <f t="shared" si="65"/>
        <v>3000</v>
      </c>
      <c r="G268" s="328"/>
      <c r="H268" s="328"/>
      <c r="I268" s="329"/>
      <c r="J268" s="329"/>
      <c r="K268" s="330"/>
      <c r="L268" s="323"/>
      <c r="M268" s="333"/>
      <c r="N268" s="327"/>
      <c r="O268" s="327"/>
      <c r="P268" s="327" t="s">
        <v>132</v>
      </c>
      <c r="Q268" s="328"/>
      <c r="R268" s="328"/>
      <c r="S268" s="328"/>
      <c r="T268" s="329"/>
      <c r="U268" s="329"/>
      <c r="V268" s="331"/>
      <c r="X268" s="333"/>
      <c r="Y268" s="327"/>
      <c r="Z268" s="327" t="str">
        <f t="shared" ref="Z268:Z281" si="66">IF(Y268="","",Y268-Y266)</f>
        <v/>
      </c>
      <c r="AA268" s="328" t="str">
        <f>IF(Y268="","",Z268*1000)</f>
        <v/>
      </c>
      <c r="AB268" s="331"/>
      <c r="AD268" s="333"/>
      <c r="AE268" s="327"/>
      <c r="AF268" s="327" t="str">
        <f t="shared" ref="AF268:AF281" si="67">IF(AE268="","",AE268-AE266)</f>
        <v/>
      </c>
      <c r="AG268" s="328" t="str">
        <f>IF(AE268="","",AF268*1000)</f>
        <v/>
      </c>
      <c r="AH268" s="331"/>
      <c r="AJ268" s="333"/>
      <c r="AK268" s="327"/>
      <c r="AL268" s="327" t="str">
        <f t="shared" ref="AL268:AL281" si="68">IF(AK268="","",AK268-AK266)</f>
        <v/>
      </c>
      <c r="AM268" s="328" t="str">
        <f>IF(AK268="","",AL268*1000)</f>
        <v/>
      </c>
      <c r="AN268" s="331"/>
      <c r="AP268" s="333"/>
      <c r="AQ268" s="327"/>
      <c r="AR268" s="327"/>
      <c r="AS268" s="327" t="str">
        <f t="shared" ref="AS268:AS281" si="69">IF(AR268="","",AR268-AR266)</f>
        <v/>
      </c>
      <c r="AT268" s="328" t="str">
        <f>IF(AR268="","",AS268*1000)</f>
        <v/>
      </c>
      <c r="AU268" s="328"/>
      <c r="AV268" s="328"/>
      <c r="AW268" s="329"/>
      <c r="AX268" s="329"/>
      <c r="AY268" s="331"/>
    </row>
    <row r="269" spans="2:51" ht="15" customHeight="1" x14ac:dyDescent="0.25">
      <c r="B269" s="333">
        <v>46101</v>
      </c>
      <c r="C269" s="336">
        <f>SUM(IF(F269="",0,F269), IF(F270="",0,F270), IF(Q269="",0,Q269), IF(AT269="",0,AT269), IF(AA269="",0,AA269), IF(AG269="",0,AG269), IF(AM269="",0,AM269))</f>
        <v>88500</v>
      </c>
      <c r="D269" s="327">
        <v>20929</v>
      </c>
      <c r="E269" s="327">
        <f t="shared" ref="E269:E300" si="70">IF(D269="","",D269-D267)</f>
        <v>180</v>
      </c>
      <c r="F269" s="328">
        <f t="shared" si="65"/>
        <v>18000</v>
      </c>
      <c r="G269" s="328"/>
      <c r="H269" s="328"/>
      <c r="I269" s="329"/>
      <c r="J269" s="329"/>
      <c r="K269" s="330"/>
      <c r="L269" s="323"/>
      <c r="M269" s="333">
        <f>IF(B269="","",B269)</f>
        <v>46101</v>
      </c>
      <c r="N269" s="327"/>
      <c r="O269" s="327">
        <v>3211</v>
      </c>
      <c r="P269" s="327">
        <f t="shared" ref="P269:P281" si="71">IF(O269="","",O269-O267)</f>
        <v>6</v>
      </c>
      <c r="Q269" s="328">
        <f>IF(O269="","",P269*1000)</f>
        <v>6000</v>
      </c>
      <c r="R269" s="328"/>
      <c r="S269" s="328"/>
      <c r="T269" s="329"/>
      <c r="U269" s="329"/>
      <c r="V269" s="331"/>
      <c r="X269" s="333">
        <f>IF(AP269="","",AP269)</f>
        <v>46101</v>
      </c>
      <c r="Y269" s="327">
        <v>7896</v>
      </c>
      <c r="Z269" s="327">
        <f t="shared" si="66"/>
        <v>30</v>
      </c>
      <c r="AA269" s="328">
        <f>IF(Y269="","",Z269*1000)</f>
        <v>30000</v>
      </c>
      <c r="AB269" s="331"/>
      <c r="AD269" s="333">
        <f>IF(X269="","",X269)</f>
        <v>46101</v>
      </c>
      <c r="AE269" s="327">
        <v>5401</v>
      </c>
      <c r="AF269" s="327">
        <f t="shared" si="67"/>
        <v>6</v>
      </c>
      <c r="AG269" s="328">
        <f>IF(AE269="","",AF269*1000)</f>
        <v>6000</v>
      </c>
      <c r="AH269" s="331"/>
      <c r="AJ269" s="333">
        <f>IF(AD269="","",AD269)</f>
        <v>46101</v>
      </c>
      <c r="AK269" s="327">
        <v>7817</v>
      </c>
      <c r="AL269" s="327">
        <f t="shared" si="68"/>
        <v>14</v>
      </c>
      <c r="AM269" s="328">
        <f>IF(AK269="","",AL269*1000)</f>
        <v>14000</v>
      </c>
      <c r="AN269" s="331"/>
      <c r="AP269" s="333">
        <f>IF(M269="","",M269)</f>
        <v>46101</v>
      </c>
      <c r="AQ269" s="327"/>
      <c r="AR269" s="327">
        <v>9069</v>
      </c>
      <c r="AS269" s="327">
        <f t="shared" si="69"/>
        <v>8</v>
      </c>
      <c r="AT269" s="328">
        <f>IF(AR269="","",AS269*1000)</f>
        <v>8000</v>
      </c>
      <c r="AU269" s="328"/>
      <c r="AV269" s="328"/>
      <c r="AW269" s="329"/>
      <c r="AX269" s="329"/>
      <c r="AY269" s="331"/>
    </row>
    <row r="270" spans="2:51" ht="15" customHeight="1" x14ac:dyDescent="0.25">
      <c r="B270" s="333"/>
      <c r="C270" s="327"/>
      <c r="D270" s="327">
        <v>7140</v>
      </c>
      <c r="E270" s="327">
        <f t="shared" si="70"/>
        <v>65</v>
      </c>
      <c r="F270" s="328">
        <f t="shared" si="65"/>
        <v>6500</v>
      </c>
      <c r="G270" s="328"/>
      <c r="H270" s="328"/>
      <c r="I270" s="329"/>
      <c r="J270" s="329"/>
      <c r="K270" s="330"/>
      <c r="L270" s="323"/>
      <c r="M270" s="333"/>
      <c r="N270" s="327"/>
      <c r="O270" s="327"/>
      <c r="P270" s="327" t="str">
        <f t="shared" si="71"/>
        <v/>
      </c>
      <c r="Q270" s="328"/>
      <c r="R270" s="328"/>
      <c r="S270" s="328"/>
      <c r="T270" s="329"/>
      <c r="U270" s="329"/>
      <c r="V270" s="331"/>
      <c r="X270" s="333"/>
      <c r="Y270" s="327"/>
      <c r="Z270" s="327" t="str">
        <f t="shared" si="66"/>
        <v/>
      </c>
      <c r="AA270" s="328"/>
      <c r="AB270" s="331"/>
      <c r="AD270" s="333"/>
      <c r="AE270" s="327"/>
      <c r="AF270" s="327" t="str">
        <f t="shared" si="67"/>
        <v/>
      </c>
      <c r="AG270" s="328"/>
      <c r="AH270" s="331"/>
      <c r="AJ270" s="333"/>
      <c r="AK270" s="327"/>
      <c r="AL270" s="327" t="str">
        <f t="shared" si="68"/>
        <v/>
      </c>
      <c r="AM270" s="328"/>
      <c r="AN270" s="331"/>
      <c r="AP270" s="333"/>
      <c r="AQ270" s="327"/>
      <c r="AR270" s="327"/>
      <c r="AS270" s="327" t="str">
        <f t="shared" si="69"/>
        <v/>
      </c>
      <c r="AT270" s="328"/>
      <c r="AU270" s="328"/>
      <c r="AV270" s="328"/>
      <c r="AW270" s="329"/>
      <c r="AX270" s="329"/>
      <c r="AY270" s="331"/>
    </row>
    <row r="271" spans="2:51" ht="15" customHeight="1" x14ac:dyDescent="0.25">
      <c r="B271" s="333">
        <v>46104</v>
      </c>
      <c r="C271" s="336">
        <f>SUM(IF(F271="",0,F271), IF(F272="",0,F272), IF(Q271="",0,Q271), IF(AT271="",0,AT271), IF(AA271="",0,AA271), IF(AG271="",0,AG271), IF(AM271="",0,AM271))</f>
        <v>74000</v>
      </c>
      <c r="D271" s="327">
        <v>21089</v>
      </c>
      <c r="E271" s="327">
        <f t="shared" si="70"/>
        <v>160</v>
      </c>
      <c r="F271" s="328">
        <f t="shared" si="65"/>
        <v>16000</v>
      </c>
      <c r="G271" s="328"/>
      <c r="H271" s="328"/>
      <c r="I271" s="329"/>
      <c r="J271" s="329"/>
      <c r="K271" s="330"/>
      <c r="L271" s="319"/>
      <c r="M271" s="333">
        <f t="shared" ref="M271:M281" si="72">IF(B271="","",B271)</f>
        <v>46104</v>
      </c>
      <c r="N271" s="327"/>
      <c r="O271" s="327">
        <v>3225</v>
      </c>
      <c r="P271" s="327">
        <f t="shared" si="71"/>
        <v>14</v>
      </c>
      <c r="Q271" s="328">
        <f t="shared" ref="Q271:Q281" si="73">IF(O271="","",P271*1000)</f>
        <v>14000</v>
      </c>
      <c r="R271" s="328"/>
      <c r="S271" s="328"/>
      <c r="T271" s="329"/>
      <c r="U271" s="329"/>
      <c r="V271" s="331"/>
      <c r="X271" s="333">
        <f>IF(AP271="","",AP271)</f>
        <v>46104</v>
      </c>
      <c r="Y271" s="327">
        <v>7907</v>
      </c>
      <c r="Z271" s="327">
        <f t="shared" si="66"/>
        <v>11</v>
      </c>
      <c r="AA271" s="328">
        <f t="shared" ref="AA271:AA281" si="74">IF(Y271="","",Z271*1000)</f>
        <v>11000</v>
      </c>
      <c r="AB271" s="331"/>
      <c r="AD271" s="333">
        <f t="shared" ref="AD271:AD281" si="75">IF(X271="","",X271)</f>
        <v>46104</v>
      </c>
      <c r="AE271" s="327">
        <v>5403</v>
      </c>
      <c r="AF271" s="327">
        <f t="shared" si="67"/>
        <v>2</v>
      </c>
      <c r="AG271" s="328">
        <f t="shared" ref="AG271:AG281" si="76">IF(AE271="","",AF271*1000)</f>
        <v>2000</v>
      </c>
      <c r="AH271" s="331"/>
      <c r="AJ271" s="333">
        <f t="shared" ref="AJ271:AJ281" si="77">IF(AD271="","",AD271)</f>
        <v>46104</v>
      </c>
      <c r="AK271" s="327">
        <v>7833</v>
      </c>
      <c r="AL271" s="327">
        <f t="shared" si="68"/>
        <v>16</v>
      </c>
      <c r="AM271" s="328">
        <f t="shared" ref="AM271:AM281" si="78">IF(AK271="","",AL271*1000)</f>
        <v>16000</v>
      </c>
      <c r="AN271" s="331"/>
      <c r="AP271" s="333">
        <f>IF(M271="","",M271)</f>
        <v>46104</v>
      </c>
      <c r="AQ271" s="327"/>
      <c r="AR271" s="327">
        <v>9077</v>
      </c>
      <c r="AS271" s="327">
        <f t="shared" si="69"/>
        <v>8</v>
      </c>
      <c r="AT271" s="328">
        <f t="shared" ref="AT271:AT281" si="79">IF(AR271="","",AS271*1000)</f>
        <v>8000</v>
      </c>
      <c r="AU271" s="328"/>
      <c r="AV271" s="328"/>
      <c r="AW271" s="329"/>
      <c r="AX271" s="329"/>
      <c r="AY271" s="331"/>
    </row>
    <row r="272" spans="2:51" ht="15" customHeight="1" x14ac:dyDescent="0.25">
      <c r="B272" s="333"/>
      <c r="C272" s="327"/>
      <c r="D272" s="327">
        <v>7210</v>
      </c>
      <c r="E272" s="327">
        <f t="shared" si="70"/>
        <v>70</v>
      </c>
      <c r="F272" s="328">
        <f t="shared" si="65"/>
        <v>7000</v>
      </c>
      <c r="G272" s="328"/>
      <c r="H272" s="328"/>
      <c r="I272" s="329"/>
      <c r="J272" s="329"/>
      <c r="K272" s="330"/>
      <c r="L272" s="319"/>
      <c r="M272" s="333" t="str">
        <f t="shared" si="72"/>
        <v/>
      </c>
      <c r="N272" s="327"/>
      <c r="O272" s="327"/>
      <c r="P272" s="327" t="str">
        <f t="shared" si="71"/>
        <v/>
      </c>
      <c r="Q272" s="328" t="str">
        <f t="shared" si="73"/>
        <v/>
      </c>
      <c r="R272" s="328"/>
      <c r="S272" s="328"/>
      <c r="T272" s="329"/>
      <c r="U272" s="329"/>
      <c r="V272" s="331"/>
      <c r="X272" s="333" t="str">
        <f>IF(AP272="","",AP272)</f>
        <v/>
      </c>
      <c r="Y272" s="327"/>
      <c r="Z272" s="327" t="str">
        <f t="shared" si="66"/>
        <v/>
      </c>
      <c r="AA272" s="328" t="str">
        <f t="shared" si="74"/>
        <v/>
      </c>
      <c r="AB272" s="331"/>
      <c r="AD272" s="333" t="str">
        <f t="shared" si="75"/>
        <v/>
      </c>
      <c r="AE272" s="327"/>
      <c r="AF272" s="327" t="str">
        <f t="shared" si="67"/>
        <v/>
      </c>
      <c r="AG272" s="328" t="str">
        <f t="shared" si="76"/>
        <v/>
      </c>
      <c r="AH272" s="331"/>
      <c r="AJ272" s="333" t="str">
        <f t="shared" si="77"/>
        <v/>
      </c>
      <c r="AK272" s="327"/>
      <c r="AL272" s="327" t="str">
        <f t="shared" si="68"/>
        <v/>
      </c>
      <c r="AM272" s="328" t="str">
        <f t="shared" si="78"/>
        <v/>
      </c>
      <c r="AN272" s="331"/>
      <c r="AP272" s="333" t="str">
        <f>IF(M272="","",M272)</f>
        <v/>
      </c>
      <c r="AQ272" s="327"/>
      <c r="AR272" s="327"/>
      <c r="AS272" s="327" t="str">
        <f t="shared" si="69"/>
        <v/>
      </c>
      <c r="AT272" s="328" t="str">
        <f t="shared" si="79"/>
        <v/>
      </c>
      <c r="AU272" s="328"/>
      <c r="AV272" s="328"/>
      <c r="AW272" s="329"/>
      <c r="AX272" s="329"/>
      <c r="AY272" s="331"/>
    </row>
    <row r="273" spans="2:51" ht="15" customHeight="1" x14ac:dyDescent="0.25">
      <c r="B273" s="333">
        <v>46108</v>
      </c>
      <c r="C273" s="336">
        <f>SUM(IF(F273="",0,F273), IF(F274="",0,F274), IF(Q273="",0,Q273), IF(AT273="",0,AT273), IF(AA273="",0,AA273), IF(AG273="",0,AG273), IF(AM273="",0,AM273))</f>
        <v>62100</v>
      </c>
      <c r="D273" s="327">
        <v>21210</v>
      </c>
      <c r="E273" s="327">
        <f t="shared" si="70"/>
        <v>121</v>
      </c>
      <c r="F273" s="328">
        <f t="shared" si="65"/>
        <v>12100</v>
      </c>
      <c r="G273" s="328"/>
      <c r="H273" s="328"/>
      <c r="I273" s="329"/>
      <c r="J273" s="329"/>
      <c r="K273" s="330"/>
      <c r="L273" s="319"/>
      <c r="M273" s="333">
        <f t="shared" si="72"/>
        <v>46108</v>
      </c>
      <c r="N273" s="327"/>
      <c r="O273" s="327">
        <v>3237</v>
      </c>
      <c r="P273" s="327">
        <f t="shared" si="71"/>
        <v>12</v>
      </c>
      <c r="Q273" s="328">
        <f t="shared" si="73"/>
        <v>12000</v>
      </c>
      <c r="R273" s="328"/>
      <c r="S273" s="328"/>
      <c r="T273" s="329"/>
      <c r="U273" s="329"/>
      <c r="V273" s="330"/>
      <c r="X273" s="333">
        <f>IF(AP273="","",AP273)</f>
        <v>46108</v>
      </c>
      <c r="Y273" s="327">
        <v>7910</v>
      </c>
      <c r="Z273" s="327">
        <f t="shared" si="66"/>
        <v>3</v>
      </c>
      <c r="AA273" s="328">
        <f t="shared" si="74"/>
        <v>3000</v>
      </c>
      <c r="AB273" s="330"/>
      <c r="AD273" s="333">
        <f t="shared" si="75"/>
        <v>46108</v>
      </c>
      <c r="AE273" s="327">
        <v>5403</v>
      </c>
      <c r="AF273" s="327">
        <f t="shared" si="67"/>
        <v>0</v>
      </c>
      <c r="AG273" s="328">
        <f t="shared" si="76"/>
        <v>0</v>
      </c>
      <c r="AH273" s="331"/>
      <c r="AJ273" s="333">
        <f t="shared" si="77"/>
        <v>46108</v>
      </c>
      <c r="AK273" s="327">
        <v>7843</v>
      </c>
      <c r="AL273" s="327">
        <f t="shared" si="68"/>
        <v>10</v>
      </c>
      <c r="AM273" s="328">
        <f t="shared" si="78"/>
        <v>10000</v>
      </c>
      <c r="AN273" s="330"/>
      <c r="AP273" s="333">
        <f>IF(M273="","",M273)</f>
        <v>46108</v>
      </c>
      <c r="AQ273" s="327"/>
      <c r="AR273" s="327">
        <v>9101</v>
      </c>
      <c r="AS273" s="327">
        <f t="shared" si="69"/>
        <v>24</v>
      </c>
      <c r="AT273" s="328">
        <f t="shared" si="79"/>
        <v>24000</v>
      </c>
      <c r="AU273" s="328"/>
      <c r="AV273" s="328"/>
      <c r="AW273" s="329"/>
      <c r="AX273" s="329"/>
      <c r="AY273" s="331"/>
    </row>
    <row r="274" spans="2:51" ht="15" customHeight="1" x14ac:dyDescent="0.25">
      <c r="B274" s="333"/>
      <c r="C274" s="327"/>
      <c r="D274" s="327">
        <v>7220</v>
      </c>
      <c r="E274" s="327">
        <f t="shared" si="70"/>
        <v>10</v>
      </c>
      <c r="F274" s="328">
        <f t="shared" si="65"/>
        <v>1000</v>
      </c>
      <c r="G274" s="328"/>
      <c r="H274" s="328"/>
      <c r="I274" s="329"/>
      <c r="J274" s="329"/>
      <c r="K274" s="330"/>
      <c r="L274" s="323"/>
      <c r="M274" s="333" t="str">
        <f t="shared" si="72"/>
        <v/>
      </c>
      <c r="N274" s="327"/>
      <c r="O274" s="327"/>
      <c r="P274" s="327" t="str">
        <f t="shared" si="71"/>
        <v/>
      </c>
      <c r="Q274" s="328" t="str">
        <f t="shared" si="73"/>
        <v/>
      </c>
      <c r="R274" s="328"/>
      <c r="S274" s="328"/>
      <c r="T274" s="329"/>
      <c r="U274" s="329"/>
      <c r="V274" s="331"/>
      <c r="X274" s="333" t="str">
        <f>IF(AP274="","",AP274)</f>
        <v/>
      </c>
      <c r="Y274" s="327"/>
      <c r="Z274" s="327" t="str">
        <f t="shared" si="66"/>
        <v/>
      </c>
      <c r="AA274" s="328" t="str">
        <f t="shared" si="74"/>
        <v/>
      </c>
      <c r="AB274" s="331"/>
      <c r="AD274" s="333" t="str">
        <f t="shared" si="75"/>
        <v/>
      </c>
      <c r="AE274" s="327"/>
      <c r="AF274" s="327" t="str">
        <f t="shared" si="67"/>
        <v/>
      </c>
      <c r="AG274" s="328" t="str">
        <f t="shared" si="76"/>
        <v/>
      </c>
      <c r="AH274" s="331"/>
      <c r="AJ274" s="333" t="str">
        <f t="shared" si="77"/>
        <v/>
      </c>
      <c r="AK274" s="327"/>
      <c r="AL274" s="327" t="str">
        <f t="shared" si="68"/>
        <v/>
      </c>
      <c r="AM274" s="328" t="str">
        <f t="shared" si="78"/>
        <v/>
      </c>
      <c r="AN274" s="331"/>
      <c r="AP274" s="333" t="str">
        <f>IF(M274="","",M274)</f>
        <v/>
      </c>
      <c r="AQ274" s="327"/>
      <c r="AR274" s="327"/>
      <c r="AS274" s="327" t="str">
        <f t="shared" si="69"/>
        <v/>
      </c>
      <c r="AT274" s="328" t="str">
        <f t="shared" si="79"/>
        <v/>
      </c>
      <c r="AU274" s="328"/>
      <c r="AV274" s="328"/>
      <c r="AW274" s="329"/>
      <c r="AX274" s="329"/>
      <c r="AY274" s="331"/>
    </row>
    <row r="275" spans="2:51" ht="15" customHeight="1" x14ac:dyDescent="0.25">
      <c r="B275" s="333">
        <v>46111</v>
      </c>
      <c r="C275" s="336">
        <f>SUM(IF(F275="",0,F275), IF(F276="",0,F276), IF(Q275="",0,Q275), IF(AT275="",0,AT275), IF(AA275="",0,AA275), IF(AG275="",0,AG275), IF(AM275="",0,AM275))</f>
        <v>53500</v>
      </c>
      <c r="D275" s="327">
        <v>21480</v>
      </c>
      <c r="E275" s="327">
        <f t="shared" si="70"/>
        <v>270</v>
      </c>
      <c r="F275" s="328">
        <f t="shared" si="65"/>
        <v>27000</v>
      </c>
      <c r="G275" s="328"/>
      <c r="H275" s="328"/>
      <c r="I275" s="329"/>
      <c r="J275" s="329"/>
      <c r="K275" s="330"/>
      <c r="L275" s="324"/>
      <c r="M275" s="333">
        <f t="shared" si="72"/>
        <v>46111</v>
      </c>
      <c r="N275" s="327"/>
      <c r="O275" s="327">
        <v>3258</v>
      </c>
      <c r="P275" s="327">
        <f t="shared" si="71"/>
        <v>21</v>
      </c>
      <c r="Q275" s="328">
        <f t="shared" si="73"/>
        <v>21000</v>
      </c>
      <c r="R275" s="328"/>
      <c r="S275" s="328"/>
      <c r="T275" s="329"/>
      <c r="U275" s="329"/>
      <c r="V275" s="331"/>
      <c r="X275" s="333">
        <f>IF(AP275="","",AP275)</f>
        <v>46111</v>
      </c>
      <c r="Y275" s="327">
        <v>7910</v>
      </c>
      <c r="Z275" s="327">
        <f t="shared" si="66"/>
        <v>0</v>
      </c>
      <c r="AA275" s="328">
        <f t="shared" si="74"/>
        <v>0</v>
      </c>
      <c r="AB275" s="331"/>
      <c r="AD275" s="333">
        <f t="shared" si="75"/>
        <v>46111</v>
      </c>
      <c r="AE275" s="327">
        <v>5403</v>
      </c>
      <c r="AF275" s="327">
        <f t="shared" si="67"/>
        <v>0</v>
      </c>
      <c r="AG275" s="328">
        <f t="shared" si="76"/>
        <v>0</v>
      </c>
      <c r="AH275" s="331"/>
      <c r="AJ275" s="333">
        <f t="shared" si="77"/>
        <v>46111</v>
      </c>
      <c r="AK275" s="327">
        <v>7843</v>
      </c>
      <c r="AL275" s="327">
        <f t="shared" si="68"/>
        <v>0</v>
      </c>
      <c r="AM275" s="328">
        <f t="shared" si="78"/>
        <v>0</v>
      </c>
      <c r="AN275" s="331"/>
      <c r="AP275" s="333">
        <f>IF(M275="","",M275)</f>
        <v>46111</v>
      </c>
      <c r="AQ275" s="327"/>
      <c r="AR275" s="327">
        <v>9101</v>
      </c>
      <c r="AS275" s="327">
        <f t="shared" si="69"/>
        <v>0</v>
      </c>
      <c r="AT275" s="328">
        <f t="shared" si="79"/>
        <v>0</v>
      </c>
      <c r="AU275" s="328"/>
      <c r="AV275" s="328"/>
      <c r="AW275" s="329"/>
      <c r="AX275" s="329"/>
      <c r="AY275" s="331"/>
    </row>
    <row r="276" spans="2:51" ht="15" customHeight="1" x14ac:dyDescent="0.25">
      <c r="B276" s="333"/>
      <c r="C276" s="327"/>
      <c r="D276" s="327">
        <v>7275</v>
      </c>
      <c r="E276" s="327">
        <f t="shared" si="70"/>
        <v>55</v>
      </c>
      <c r="F276" s="328">
        <f t="shared" si="65"/>
        <v>5500</v>
      </c>
      <c r="G276" s="328"/>
      <c r="H276" s="328"/>
      <c r="I276" s="329"/>
      <c r="J276" s="329"/>
      <c r="K276" s="330"/>
      <c r="L276" s="323"/>
      <c r="M276" s="333" t="str">
        <f t="shared" si="72"/>
        <v/>
      </c>
      <c r="N276" s="327"/>
      <c r="O276" s="327"/>
      <c r="P276" s="327" t="str">
        <f t="shared" si="71"/>
        <v/>
      </c>
      <c r="Q276" s="328" t="str">
        <f t="shared" si="73"/>
        <v/>
      </c>
      <c r="R276" s="328"/>
      <c r="S276" s="328"/>
      <c r="T276" s="329"/>
      <c r="U276" s="329"/>
      <c r="V276" s="331"/>
      <c r="X276" s="333" t="str">
        <f>IF(AP276="","",AP276)</f>
        <v/>
      </c>
      <c r="Y276" s="327"/>
      <c r="Z276" s="327" t="str">
        <f t="shared" si="66"/>
        <v/>
      </c>
      <c r="AA276" s="328" t="str">
        <f t="shared" si="74"/>
        <v/>
      </c>
      <c r="AB276" s="331"/>
      <c r="AD276" s="333" t="str">
        <f t="shared" si="75"/>
        <v/>
      </c>
      <c r="AE276" s="327"/>
      <c r="AF276" s="327" t="str">
        <f t="shared" si="67"/>
        <v/>
      </c>
      <c r="AG276" s="328" t="str">
        <f t="shared" si="76"/>
        <v/>
      </c>
      <c r="AH276" s="331"/>
      <c r="AJ276" s="333" t="str">
        <f t="shared" si="77"/>
        <v/>
      </c>
      <c r="AK276" s="327"/>
      <c r="AL276" s="327" t="str">
        <f t="shared" si="68"/>
        <v/>
      </c>
      <c r="AM276" s="328" t="str">
        <f t="shared" si="78"/>
        <v/>
      </c>
      <c r="AN276" s="331"/>
      <c r="AP276" s="333" t="str">
        <f>IF(M276="","",M276)</f>
        <v/>
      </c>
      <c r="AQ276" s="327"/>
      <c r="AR276" s="327"/>
      <c r="AS276" s="327" t="str">
        <f t="shared" si="69"/>
        <v/>
      </c>
      <c r="AT276" s="328" t="str">
        <f t="shared" si="79"/>
        <v/>
      </c>
      <c r="AU276" s="328"/>
      <c r="AV276" s="328"/>
      <c r="AW276" s="329"/>
      <c r="AX276" s="329"/>
      <c r="AY276" s="331"/>
    </row>
    <row r="277" spans="2:51" ht="15" customHeight="1" x14ac:dyDescent="0.25">
      <c r="B277" s="333">
        <v>46115</v>
      </c>
      <c r="C277" s="336">
        <f>SUM(IF(F277="",0,F277), IF(F278="",0,F278), IF(Q277="",0,Q277), IF(AT277="",0,AT277), IF(AA277="",0,AA277), IF(AG277="",0,AG277), IF(AM277="",0,AM277))</f>
        <v>125000</v>
      </c>
      <c r="D277" s="327">
        <v>21645</v>
      </c>
      <c r="E277" s="327">
        <f t="shared" si="70"/>
        <v>165</v>
      </c>
      <c r="F277" s="328">
        <f t="shared" si="65"/>
        <v>16500</v>
      </c>
      <c r="G277" s="328"/>
      <c r="H277" s="328"/>
      <c r="I277" s="329"/>
      <c r="J277" s="329"/>
      <c r="K277" s="330"/>
      <c r="L277" s="323"/>
      <c r="M277" s="333">
        <f t="shared" si="72"/>
        <v>46115</v>
      </c>
      <c r="N277" s="327"/>
      <c r="O277" s="327">
        <v>3285</v>
      </c>
      <c r="P277" s="327">
        <f t="shared" si="71"/>
        <v>27</v>
      </c>
      <c r="Q277" s="328">
        <f t="shared" si="73"/>
        <v>27000</v>
      </c>
      <c r="R277" s="328"/>
      <c r="S277" s="328"/>
      <c r="T277" s="329"/>
      <c r="U277" s="329"/>
      <c r="V277" s="331"/>
      <c r="X277" s="333">
        <f>IF(AP277="","",AP277)</f>
        <v>46115</v>
      </c>
      <c r="Y277" s="327">
        <v>7921</v>
      </c>
      <c r="Z277" s="327">
        <f t="shared" si="66"/>
        <v>11</v>
      </c>
      <c r="AA277" s="328">
        <f t="shared" si="74"/>
        <v>11000</v>
      </c>
      <c r="AB277" s="331"/>
      <c r="AD277" s="333">
        <f t="shared" si="75"/>
        <v>46115</v>
      </c>
      <c r="AE277" s="327">
        <v>5413</v>
      </c>
      <c r="AF277" s="327">
        <f t="shared" si="67"/>
        <v>10</v>
      </c>
      <c r="AG277" s="328">
        <f t="shared" si="76"/>
        <v>10000</v>
      </c>
      <c r="AH277" s="391"/>
      <c r="AJ277" s="333">
        <f t="shared" si="77"/>
        <v>46115</v>
      </c>
      <c r="AK277" s="327">
        <v>7873</v>
      </c>
      <c r="AL277" s="327">
        <f t="shared" si="68"/>
        <v>30</v>
      </c>
      <c r="AM277" s="328">
        <f t="shared" si="78"/>
        <v>30000</v>
      </c>
      <c r="AN277" s="331"/>
      <c r="AP277" s="333">
        <f>IF(M277="","",M277)</f>
        <v>46115</v>
      </c>
      <c r="AQ277" s="327"/>
      <c r="AR277" s="327">
        <v>9127</v>
      </c>
      <c r="AS277" s="327">
        <f t="shared" si="69"/>
        <v>26</v>
      </c>
      <c r="AT277" s="328">
        <f t="shared" si="79"/>
        <v>26000</v>
      </c>
      <c r="AU277" s="328"/>
      <c r="AV277" s="328"/>
      <c r="AW277" s="329"/>
      <c r="AX277" s="329"/>
      <c r="AY277" s="331"/>
    </row>
    <row r="278" spans="2:51" ht="15" customHeight="1" x14ac:dyDescent="0.25">
      <c r="B278" s="333"/>
      <c r="C278" s="327"/>
      <c r="D278" s="327">
        <v>7320</v>
      </c>
      <c r="E278" s="327">
        <f t="shared" si="70"/>
        <v>45</v>
      </c>
      <c r="F278" s="328">
        <f t="shared" si="65"/>
        <v>4500</v>
      </c>
      <c r="G278" s="328"/>
      <c r="H278" s="328"/>
      <c r="I278" s="329"/>
      <c r="J278" s="329"/>
      <c r="K278" s="330"/>
      <c r="L278" s="323"/>
      <c r="M278" s="333" t="str">
        <f t="shared" si="72"/>
        <v/>
      </c>
      <c r="N278" s="327"/>
      <c r="O278" s="327"/>
      <c r="P278" s="327" t="str">
        <f t="shared" si="71"/>
        <v/>
      </c>
      <c r="Q278" s="328" t="str">
        <f t="shared" si="73"/>
        <v/>
      </c>
      <c r="R278" s="328"/>
      <c r="S278" s="328"/>
      <c r="T278" s="329"/>
      <c r="U278" s="329"/>
      <c r="V278" s="331"/>
      <c r="X278" s="333" t="str">
        <f>IF(AP278="","",AP278)</f>
        <v/>
      </c>
      <c r="Y278" s="327"/>
      <c r="Z278" s="327" t="str">
        <f t="shared" si="66"/>
        <v/>
      </c>
      <c r="AA278" s="328" t="str">
        <f t="shared" si="74"/>
        <v/>
      </c>
      <c r="AB278" s="331"/>
      <c r="AD278" s="333" t="str">
        <f t="shared" si="75"/>
        <v/>
      </c>
      <c r="AE278" s="327"/>
      <c r="AF278" s="327" t="str">
        <f t="shared" si="67"/>
        <v/>
      </c>
      <c r="AG278" s="328" t="str">
        <f t="shared" si="76"/>
        <v/>
      </c>
      <c r="AH278" s="331"/>
      <c r="AJ278" s="333" t="str">
        <f t="shared" si="77"/>
        <v/>
      </c>
      <c r="AK278" s="327"/>
      <c r="AL278" s="327" t="str">
        <f t="shared" si="68"/>
        <v/>
      </c>
      <c r="AM278" s="328" t="str">
        <f t="shared" si="78"/>
        <v/>
      </c>
      <c r="AN278" s="331"/>
      <c r="AP278" s="333" t="str">
        <f>IF(M278="","",M278)</f>
        <v/>
      </c>
      <c r="AQ278" s="327"/>
      <c r="AR278" s="327"/>
      <c r="AS278" s="327" t="str">
        <f t="shared" si="69"/>
        <v/>
      </c>
      <c r="AT278" s="328" t="str">
        <f t="shared" si="79"/>
        <v/>
      </c>
      <c r="AU278" s="328"/>
      <c r="AV278" s="328"/>
      <c r="AW278" s="329"/>
      <c r="AX278" s="329"/>
      <c r="AY278" s="331"/>
    </row>
    <row r="279" spans="2:51" ht="15" customHeight="1" x14ac:dyDescent="0.25">
      <c r="B279" s="333">
        <v>46118</v>
      </c>
      <c r="C279" s="336">
        <f>SUM(IF(F279="",0,F279), IF(F280="",0,F280), IF(Q279="",0,Q279), IF(AT279="",0,AT279), IF(AA279="",0,AA279), IF(AG279="",0,AG279), IF(AM279="",0,AM279))</f>
        <v>92600</v>
      </c>
      <c r="D279" s="327">
        <v>21850</v>
      </c>
      <c r="E279" s="327">
        <f t="shared" si="70"/>
        <v>205</v>
      </c>
      <c r="F279" s="328">
        <f t="shared" si="65"/>
        <v>20500</v>
      </c>
      <c r="G279" s="328"/>
      <c r="H279" s="328"/>
      <c r="I279" s="329"/>
      <c r="J279" s="329"/>
      <c r="K279" s="330"/>
      <c r="L279" s="323"/>
      <c r="M279" s="333">
        <f t="shared" si="72"/>
        <v>46118</v>
      </c>
      <c r="N279" s="327"/>
      <c r="O279" s="327">
        <v>3301</v>
      </c>
      <c r="P279" s="327">
        <f t="shared" si="71"/>
        <v>16</v>
      </c>
      <c r="Q279" s="328">
        <f t="shared" si="73"/>
        <v>16000</v>
      </c>
      <c r="R279" s="328"/>
      <c r="S279" s="328"/>
      <c r="T279" s="329"/>
      <c r="U279" s="329"/>
      <c r="V279" s="331"/>
      <c r="X279" s="333">
        <f>IF(AP279="","",AP279)</f>
        <v>46118</v>
      </c>
      <c r="Y279" s="327">
        <v>7924</v>
      </c>
      <c r="Z279" s="327">
        <f t="shared" si="66"/>
        <v>3</v>
      </c>
      <c r="AA279" s="328">
        <f t="shared" si="74"/>
        <v>3000</v>
      </c>
      <c r="AB279" s="331"/>
      <c r="AD279" s="333">
        <f t="shared" si="75"/>
        <v>46118</v>
      </c>
      <c r="AE279" s="327">
        <v>5433</v>
      </c>
      <c r="AF279" s="327">
        <f t="shared" si="67"/>
        <v>20</v>
      </c>
      <c r="AG279" s="328">
        <f t="shared" si="76"/>
        <v>20000</v>
      </c>
      <c r="AH279" s="331"/>
      <c r="AJ279" s="333">
        <f t="shared" si="77"/>
        <v>46118</v>
      </c>
      <c r="AK279" s="327">
        <v>7879</v>
      </c>
      <c r="AL279" s="327">
        <f t="shared" si="68"/>
        <v>6</v>
      </c>
      <c r="AM279" s="328">
        <f t="shared" si="78"/>
        <v>6000</v>
      </c>
      <c r="AN279" s="331"/>
      <c r="AP279" s="333">
        <f>IF(M279="","",M279)</f>
        <v>46118</v>
      </c>
      <c r="AQ279" s="327"/>
      <c r="AR279" s="327">
        <v>9145</v>
      </c>
      <c r="AS279" s="327">
        <f t="shared" si="69"/>
        <v>18</v>
      </c>
      <c r="AT279" s="328">
        <f t="shared" si="79"/>
        <v>18000</v>
      </c>
      <c r="AU279" s="328"/>
      <c r="AV279" s="328"/>
      <c r="AW279" s="329"/>
      <c r="AX279" s="329"/>
      <c r="AY279" s="331"/>
    </row>
    <row r="280" spans="2:51" ht="15" customHeight="1" x14ac:dyDescent="0.25">
      <c r="B280" s="333"/>
      <c r="C280" s="327"/>
      <c r="D280" s="327">
        <v>7411</v>
      </c>
      <c r="E280" s="327">
        <f t="shared" si="70"/>
        <v>91</v>
      </c>
      <c r="F280" s="328">
        <f t="shared" si="65"/>
        <v>9100</v>
      </c>
      <c r="G280" s="328"/>
      <c r="H280" s="328"/>
      <c r="I280" s="329"/>
      <c r="J280" s="329"/>
      <c r="K280" s="330"/>
      <c r="L280" s="323"/>
      <c r="M280" s="333" t="str">
        <f t="shared" si="72"/>
        <v/>
      </c>
      <c r="N280" s="327"/>
      <c r="O280" s="327"/>
      <c r="P280" s="327" t="str">
        <f t="shared" si="71"/>
        <v/>
      </c>
      <c r="Q280" s="328" t="str">
        <f t="shared" si="73"/>
        <v/>
      </c>
      <c r="R280" s="328"/>
      <c r="S280" s="328"/>
      <c r="T280" s="329"/>
      <c r="U280" s="329"/>
      <c r="V280" s="331"/>
      <c r="X280" s="333" t="str">
        <f>IF(AP280="","",AP280)</f>
        <v/>
      </c>
      <c r="Y280" s="327"/>
      <c r="Z280" s="327" t="str">
        <f t="shared" si="66"/>
        <v/>
      </c>
      <c r="AA280" s="328" t="str">
        <f t="shared" si="74"/>
        <v/>
      </c>
      <c r="AB280" s="331"/>
      <c r="AD280" s="333" t="str">
        <f t="shared" si="75"/>
        <v/>
      </c>
      <c r="AE280" s="327"/>
      <c r="AF280" s="327" t="str">
        <f t="shared" si="67"/>
        <v/>
      </c>
      <c r="AG280" s="328" t="str">
        <f t="shared" si="76"/>
        <v/>
      </c>
      <c r="AH280" s="331"/>
      <c r="AJ280" s="333" t="str">
        <f t="shared" si="77"/>
        <v/>
      </c>
      <c r="AK280" s="327"/>
      <c r="AL280" s="327" t="str">
        <f t="shared" si="68"/>
        <v/>
      </c>
      <c r="AM280" s="328" t="str">
        <f t="shared" si="78"/>
        <v/>
      </c>
      <c r="AN280" s="331"/>
      <c r="AP280" s="333" t="str">
        <f>IF(M280="","",M280)</f>
        <v/>
      </c>
      <c r="AQ280" s="327"/>
      <c r="AR280" s="327"/>
      <c r="AS280" s="327" t="str">
        <f t="shared" si="69"/>
        <v/>
      </c>
      <c r="AT280" s="328" t="str">
        <f t="shared" si="79"/>
        <v/>
      </c>
      <c r="AU280" s="328"/>
      <c r="AV280" s="328"/>
      <c r="AW280" s="329"/>
      <c r="AX280" s="329"/>
      <c r="AY280" s="331"/>
    </row>
    <row r="281" spans="2:51" ht="15" customHeight="1" x14ac:dyDescent="0.25">
      <c r="B281" s="333">
        <v>46121</v>
      </c>
      <c r="C281" s="336">
        <f>SUM(IF(F281="",0,F281), IF(F282="",0,F282), IF(Q281="",0,Q281), IF(AT281="",0,AT281), IF(AA281="",0,AA281), IF(AG281="",0,AG281), IF(AM281="",0,AM281))</f>
        <v>55500</v>
      </c>
      <c r="D281" s="327">
        <v>21930</v>
      </c>
      <c r="E281" s="327">
        <f t="shared" si="70"/>
        <v>80</v>
      </c>
      <c r="F281" s="328">
        <f t="shared" si="65"/>
        <v>8000</v>
      </c>
      <c r="G281" s="328"/>
      <c r="H281" s="328"/>
      <c r="I281" s="329"/>
      <c r="J281" s="329"/>
      <c r="K281" s="330" t="s">
        <v>374</v>
      </c>
      <c r="L281" s="323"/>
      <c r="M281" s="333">
        <f t="shared" si="72"/>
        <v>46121</v>
      </c>
      <c r="N281" s="327"/>
      <c r="O281" s="327">
        <v>3331</v>
      </c>
      <c r="P281" s="327">
        <f t="shared" si="71"/>
        <v>30</v>
      </c>
      <c r="Q281" s="328">
        <f t="shared" si="73"/>
        <v>30000</v>
      </c>
      <c r="R281" s="328"/>
      <c r="S281" s="328"/>
      <c r="T281" s="329"/>
      <c r="U281" s="329"/>
      <c r="V281" s="331"/>
      <c r="X281" s="333">
        <f>IF(AP281="","",AP281)</f>
        <v>46121</v>
      </c>
      <c r="Y281" s="327">
        <v>7924</v>
      </c>
      <c r="Z281" s="327">
        <f t="shared" si="66"/>
        <v>0</v>
      </c>
      <c r="AA281" s="328">
        <f t="shared" si="74"/>
        <v>0</v>
      </c>
      <c r="AB281" s="331"/>
      <c r="AD281" s="333">
        <f t="shared" si="75"/>
        <v>46121</v>
      </c>
      <c r="AE281" s="327">
        <v>5435</v>
      </c>
      <c r="AF281" s="327">
        <f t="shared" si="67"/>
        <v>2</v>
      </c>
      <c r="AG281" s="328">
        <f t="shared" si="76"/>
        <v>2000</v>
      </c>
      <c r="AH281" s="331"/>
      <c r="AJ281" s="333">
        <f t="shared" si="77"/>
        <v>46121</v>
      </c>
      <c r="AK281" s="327">
        <v>7885</v>
      </c>
      <c r="AL281" s="327">
        <f t="shared" si="68"/>
        <v>6</v>
      </c>
      <c r="AM281" s="328">
        <f t="shared" si="78"/>
        <v>6000</v>
      </c>
      <c r="AN281" s="331"/>
      <c r="AP281" s="333">
        <f>IF(M281="","",M281)</f>
        <v>46121</v>
      </c>
      <c r="AQ281" s="327"/>
      <c r="AR281" s="327">
        <v>9153</v>
      </c>
      <c r="AS281" s="327">
        <f t="shared" si="69"/>
        <v>8</v>
      </c>
      <c r="AT281" s="328">
        <f t="shared" si="79"/>
        <v>8000</v>
      </c>
      <c r="AU281" s="328"/>
      <c r="AV281" s="328"/>
      <c r="AW281" s="329"/>
      <c r="AX281" s="329"/>
      <c r="AY281" s="331"/>
    </row>
    <row r="282" spans="2:51" ht="15" customHeight="1" x14ac:dyDescent="0.25">
      <c r="B282" s="333"/>
      <c r="C282" s="327"/>
      <c r="D282" s="327">
        <v>7426</v>
      </c>
      <c r="E282" s="327">
        <f t="shared" si="70"/>
        <v>15</v>
      </c>
      <c r="F282" s="328">
        <f t="shared" si="65"/>
        <v>1500</v>
      </c>
      <c r="G282" s="328"/>
      <c r="H282" s="328"/>
      <c r="I282" s="329"/>
      <c r="J282" s="329"/>
      <c r="K282" s="330" t="s">
        <v>375</v>
      </c>
      <c r="L282" s="323"/>
      <c r="M282" s="333"/>
      <c r="N282" s="327"/>
      <c r="O282" s="327"/>
      <c r="P282" s="327"/>
      <c r="Q282" s="328"/>
      <c r="R282" s="328"/>
      <c r="S282" s="328"/>
      <c r="T282" s="329"/>
      <c r="U282" s="329"/>
      <c r="V282" s="331"/>
      <c r="X282" s="333"/>
      <c r="Y282" s="327"/>
      <c r="Z282" s="327"/>
      <c r="AA282" s="328"/>
      <c r="AB282" s="331"/>
      <c r="AD282" s="333"/>
      <c r="AE282" s="327"/>
      <c r="AF282" s="327"/>
      <c r="AG282" s="328"/>
      <c r="AH282" s="331"/>
      <c r="AJ282" s="333"/>
      <c r="AK282" s="327"/>
      <c r="AL282" s="327"/>
      <c r="AM282" s="328"/>
      <c r="AN282" s="331"/>
      <c r="AP282" s="333"/>
      <c r="AQ282" s="327"/>
      <c r="AR282" s="327"/>
      <c r="AS282" s="327"/>
      <c r="AT282" s="328"/>
      <c r="AU282" s="328"/>
      <c r="AV282" s="328"/>
      <c r="AW282" s="329"/>
      <c r="AX282" s="329"/>
      <c r="AY282" s="331"/>
    </row>
    <row r="283" spans="2:51" ht="15" customHeight="1" x14ac:dyDescent="0.2">
      <c r="B283" s="716"/>
      <c r="C283" s="716"/>
      <c r="D283" s="716"/>
      <c r="E283" s="716"/>
      <c r="F283" s="716"/>
      <c r="G283" s="716"/>
      <c r="H283" s="716"/>
      <c r="I283" s="716"/>
      <c r="J283" s="716"/>
      <c r="K283" s="717"/>
    </row>
    <row r="284" spans="2:51" ht="15" customHeight="1" x14ac:dyDescent="0.2">
      <c r="B284" s="716"/>
      <c r="C284" s="716"/>
      <c r="D284" s="716"/>
      <c r="E284" s="716"/>
      <c r="F284" s="716"/>
      <c r="G284" s="716"/>
      <c r="H284" s="716"/>
      <c r="I284" s="716"/>
      <c r="J284" s="716"/>
      <c r="K284" s="717"/>
    </row>
    <row r="285" spans="2:51" ht="15" customHeight="1" x14ac:dyDescent="0.25">
      <c r="B285" s="333"/>
      <c r="C285" s="336">
        <f>SUM(IF(F285="",0,F285), IF(F286="",0,F286), IF(Q285="",0,Q285), IF(AT285="",0,AT285), IF(AA285="",0,AA285), IF(AG285="",0,AG285), IF(AM285="",0,AM285))</f>
        <v>0</v>
      </c>
      <c r="D285" s="327"/>
      <c r="E285" s="327" t="str">
        <f>IF(D285="","",D285-D311)</f>
        <v/>
      </c>
      <c r="F285" s="328" t="str">
        <f t="shared" si="65"/>
        <v/>
      </c>
      <c r="G285" s="328"/>
      <c r="H285" s="328"/>
      <c r="I285" s="329"/>
      <c r="J285" s="329"/>
      <c r="K285" s="330"/>
      <c r="L285" s="323"/>
      <c r="M285" s="333" t="str">
        <f>IF(B285="","",B285)</f>
        <v/>
      </c>
      <c r="N285" s="327"/>
      <c r="O285" s="327"/>
      <c r="P285" s="327" t="str">
        <f>IF(O285="","",O285-O311)</f>
        <v/>
      </c>
      <c r="Q285" s="328" t="str">
        <f>IF(O285="","",P285*1000)</f>
        <v/>
      </c>
      <c r="R285" s="328"/>
      <c r="S285" s="328"/>
      <c r="T285" s="329"/>
      <c r="U285" s="329"/>
      <c r="V285" s="331"/>
      <c r="X285" s="333" t="str">
        <f>IF(AP285="","",AP285)</f>
        <v/>
      </c>
      <c r="Y285" s="327"/>
      <c r="Z285" s="327" t="str">
        <f>IF(Y285="","",Y285-Y311)</f>
        <v/>
      </c>
      <c r="AA285" s="328" t="str">
        <f>IF(Y285="","",Z285*1000)</f>
        <v/>
      </c>
      <c r="AB285" s="331"/>
      <c r="AD285" s="333" t="str">
        <f>IF(X285="","",X285)</f>
        <v/>
      </c>
      <c r="AE285" s="327"/>
      <c r="AF285" s="327" t="str">
        <f>IF(AE285="","",AE285-AE311)</f>
        <v/>
      </c>
      <c r="AG285" s="328" t="str">
        <f>IF(AE285="","",AF285*1000)</f>
        <v/>
      </c>
      <c r="AH285" s="331"/>
      <c r="AJ285" s="333" t="str">
        <f>IF(AD285="","",AD285)</f>
        <v/>
      </c>
      <c r="AK285" s="327"/>
      <c r="AL285" s="327" t="str">
        <f>IF(AK285="","",AK285-AK311)</f>
        <v/>
      </c>
      <c r="AM285" s="328" t="str">
        <f>IF(AK285="","",AL285*1000)</f>
        <v/>
      </c>
      <c r="AN285" s="331"/>
      <c r="AP285" s="333" t="str">
        <f>IF(M285="","",M285)</f>
        <v/>
      </c>
      <c r="AQ285" s="327"/>
      <c r="AR285" s="327"/>
      <c r="AS285" s="327" t="str">
        <f>IF(AR285="","",AR285-AR311)</f>
        <v/>
      </c>
      <c r="AT285" s="328" t="str">
        <f>IF(AR285="","",AS285*1000)</f>
        <v/>
      </c>
      <c r="AU285" s="328"/>
      <c r="AV285" s="328"/>
      <c r="AW285" s="329"/>
      <c r="AX285" s="329"/>
      <c r="AY285" s="331"/>
    </row>
    <row r="286" spans="2:51" ht="15" customHeight="1" x14ac:dyDescent="0.25">
      <c r="B286" s="333"/>
      <c r="C286" s="327"/>
      <c r="D286" s="327"/>
      <c r="E286" s="327" t="str">
        <f>IF(D286="","",D286-D312)</f>
        <v/>
      </c>
      <c r="F286" s="328" t="str">
        <f t="shared" si="65"/>
        <v/>
      </c>
      <c r="G286" s="328"/>
      <c r="H286" s="328"/>
      <c r="I286" s="329"/>
      <c r="J286" s="329"/>
      <c r="K286" s="330"/>
      <c r="L286" s="323"/>
      <c r="M286" s="333"/>
      <c r="N286" s="327"/>
      <c r="O286" s="327"/>
      <c r="P286" s="327" t="str">
        <f>IF(O286="","",O286-O312)</f>
        <v/>
      </c>
      <c r="Q286" s="328"/>
      <c r="R286" s="328"/>
      <c r="S286" s="328"/>
      <c r="T286" s="329"/>
      <c r="U286" s="329"/>
      <c r="V286" s="331"/>
      <c r="X286" s="333"/>
      <c r="Y286" s="327"/>
      <c r="Z286" s="327" t="str">
        <f>IF(Y286="","",Y286-Y312)</f>
        <v/>
      </c>
      <c r="AA286" s="328"/>
      <c r="AB286" s="331"/>
      <c r="AD286" s="333"/>
      <c r="AE286" s="327"/>
      <c r="AF286" s="327" t="str">
        <f>IF(AE286="","",AE286-AE312)</f>
        <v/>
      </c>
      <c r="AG286" s="328"/>
      <c r="AH286" s="331"/>
      <c r="AJ286" s="333"/>
      <c r="AK286" s="327"/>
      <c r="AL286" s="327" t="str">
        <f>IF(AK286="","",AK286-AK312)</f>
        <v/>
      </c>
      <c r="AM286" s="328"/>
      <c r="AN286" s="331"/>
      <c r="AP286" s="333"/>
      <c r="AQ286" s="327"/>
      <c r="AR286" s="327"/>
      <c r="AS286" s="327" t="str">
        <f>IF(AR286="","",AR286-AR312)</f>
        <v/>
      </c>
      <c r="AT286" s="328"/>
      <c r="AU286" s="328"/>
      <c r="AV286" s="328"/>
      <c r="AW286" s="329"/>
      <c r="AX286" s="329"/>
      <c r="AY286" s="331"/>
    </row>
    <row r="287" spans="2:51" ht="15" customHeight="1" x14ac:dyDescent="0.25">
      <c r="B287" s="333"/>
      <c r="C287" s="336">
        <f>SUM(IF(F287="",0,F287), IF(F288="",0,F288), IF(Q287="",0,Q287), IF(AT287="",0,AT287), IF(AA287="",0,AA287), IF(AG287="",0,AG287), IF(AM287="",0,AM287))</f>
        <v>0</v>
      </c>
      <c r="D287" s="327"/>
      <c r="E287" s="327" t="str">
        <f t="shared" si="70"/>
        <v/>
      </c>
      <c r="F287" s="328" t="str">
        <f t="shared" si="65"/>
        <v/>
      </c>
      <c r="G287" s="328"/>
      <c r="H287" s="328"/>
      <c r="I287" s="329"/>
      <c r="J287" s="329"/>
      <c r="K287" s="330"/>
      <c r="L287" s="323"/>
      <c r="M287" s="333" t="str">
        <f>IF(B287="","",B287)</f>
        <v/>
      </c>
      <c r="N287" s="327"/>
      <c r="O287" s="327"/>
      <c r="P287" s="327" t="str">
        <f>IF(O287="","",O287-O285)</f>
        <v/>
      </c>
      <c r="Q287" s="328" t="str">
        <f>IF(O287="","",P287*1000)</f>
        <v/>
      </c>
      <c r="R287" s="328"/>
      <c r="S287" s="328"/>
      <c r="T287" s="329"/>
      <c r="U287" s="329"/>
      <c r="V287" s="331"/>
      <c r="X287" s="333" t="str">
        <f>IF(AP287="","",AP287)</f>
        <v/>
      </c>
      <c r="Y287" s="327"/>
      <c r="Z287" s="327" t="str">
        <f>IF(Y287="","",Y287-Y285)</f>
        <v/>
      </c>
      <c r="AA287" s="328" t="str">
        <f>IF(Y287="","",Z287*1000)</f>
        <v/>
      </c>
      <c r="AB287" s="331"/>
      <c r="AD287" s="333" t="str">
        <f>IF(X287="","",X287)</f>
        <v/>
      </c>
      <c r="AE287" s="327"/>
      <c r="AF287" s="327" t="str">
        <f>IF(AE287="","",AE287-AE285)</f>
        <v/>
      </c>
      <c r="AG287" s="328" t="str">
        <f>IF(AE287="","",AF287*1000)</f>
        <v/>
      </c>
      <c r="AH287" s="331"/>
      <c r="AJ287" s="333" t="str">
        <f>IF(AD287="","",AD287)</f>
        <v/>
      </c>
      <c r="AK287" s="327"/>
      <c r="AL287" s="327" t="str">
        <f>IF(AK287="","",AK287-AK285)</f>
        <v/>
      </c>
      <c r="AM287" s="328" t="str">
        <f>IF(AK287="","",AL287*1000)</f>
        <v/>
      </c>
      <c r="AN287" s="331"/>
      <c r="AP287" s="333" t="str">
        <f>IF(M287="","",M287)</f>
        <v/>
      </c>
      <c r="AQ287" s="327"/>
      <c r="AR287" s="327"/>
      <c r="AS287" s="327" t="str">
        <f>IF(AR287="","",AR287-AR285)</f>
        <v/>
      </c>
      <c r="AT287" s="328" t="str">
        <f>IF(AR287="","",AS287*1000)</f>
        <v/>
      </c>
      <c r="AU287" s="328"/>
      <c r="AV287" s="328"/>
      <c r="AW287" s="329"/>
      <c r="AX287" s="329"/>
      <c r="AY287" s="331"/>
    </row>
    <row r="288" spans="2:51" ht="15" customHeight="1" x14ac:dyDescent="0.25">
      <c r="B288" s="333"/>
      <c r="C288" s="327"/>
      <c r="D288" s="327"/>
      <c r="E288" s="327" t="str">
        <f t="shared" si="70"/>
        <v/>
      </c>
      <c r="F288" s="328" t="str">
        <f t="shared" si="65"/>
        <v/>
      </c>
      <c r="G288" s="328"/>
      <c r="H288" s="328"/>
      <c r="I288" s="329"/>
      <c r="J288" s="329"/>
      <c r="K288" s="330"/>
      <c r="L288" s="323"/>
      <c r="M288" s="333"/>
      <c r="N288" s="327"/>
      <c r="O288" s="327"/>
      <c r="P288" s="327"/>
      <c r="Q288" s="328"/>
      <c r="R288" s="328"/>
      <c r="S288" s="328"/>
      <c r="T288" s="329"/>
      <c r="U288" s="329"/>
      <c r="V288" s="331"/>
      <c r="X288" s="333"/>
      <c r="Y288" s="327"/>
      <c r="Z288" s="327"/>
      <c r="AA288" s="328"/>
      <c r="AB288" s="331"/>
      <c r="AD288" s="333"/>
      <c r="AE288" s="327"/>
      <c r="AF288" s="327"/>
      <c r="AG288" s="328"/>
      <c r="AH288" s="331"/>
      <c r="AJ288" s="333"/>
      <c r="AK288" s="327"/>
      <c r="AL288" s="327"/>
      <c r="AM288" s="328"/>
      <c r="AN288" s="331"/>
      <c r="AP288" s="333"/>
      <c r="AQ288" s="327"/>
      <c r="AR288" s="327"/>
      <c r="AS288" s="327"/>
      <c r="AT288" s="328"/>
      <c r="AU288" s="328"/>
      <c r="AV288" s="328"/>
      <c r="AW288" s="329"/>
      <c r="AX288" s="329"/>
      <c r="AY288" s="331"/>
    </row>
    <row r="289" spans="2:51" ht="15" customHeight="1" x14ac:dyDescent="0.25">
      <c r="B289" s="333"/>
      <c r="C289" s="336">
        <f>SUM(IF(F289="",0,F289), IF(F290="",0,F290), IF(Q289="",0,Q289), IF(AT289="",0,AT289), IF(AA289="",0,AA289), IF(AG289="",0,AG289), IF(AM289="",0,AM289))</f>
        <v>0</v>
      </c>
      <c r="D289" s="327"/>
      <c r="E289" s="327" t="str">
        <f t="shared" si="70"/>
        <v/>
      </c>
      <c r="F289" s="328" t="str">
        <f t="shared" si="65"/>
        <v/>
      </c>
      <c r="G289" s="328"/>
      <c r="H289" s="328"/>
      <c r="I289" s="329"/>
      <c r="J289" s="329"/>
      <c r="K289" s="330"/>
      <c r="L289" s="323"/>
      <c r="M289" s="333" t="str">
        <f>IF(B289="","",B289)</f>
        <v/>
      </c>
      <c r="N289" s="327"/>
      <c r="O289" s="327"/>
      <c r="P289" s="327" t="str">
        <f>IF(O289="","",O289-O287)</f>
        <v/>
      </c>
      <c r="Q289" s="328" t="str">
        <f>IF(O289="","",P289*1000)</f>
        <v/>
      </c>
      <c r="R289" s="328"/>
      <c r="S289" s="328"/>
      <c r="T289" s="329"/>
      <c r="U289" s="329"/>
      <c r="V289" s="331"/>
      <c r="X289" s="333" t="str">
        <f>IF(AP289="","",AP289)</f>
        <v/>
      </c>
      <c r="Y289" s="327"/>
      <c r="Z289" s="327" t="str">
        <f>IF(Y289="","",Y289-Y287)</f>
        <v/>
      </c>
      <c r="AA289" s="328" t="str">
        <f>IF(Y289="","",Z289*1000)</f>
        <v/>
      </c>
      <c r="AB289" s="331"/>
      <c r="AD289" s="333" t="str">
        <f>IF(X289="","",X289)</f>
        <v/>
      </c>
      <c r="AE289" s="327"/>
      <c r="AF289" s="327" t="str">
        <f>IF(AE289="","",AE289-AE287)</f>
        <v/>
      </c>
      <c r="AG289" s="328" t="str">
        <f>IF(AE289="","",AF289*1000)</f>
        <v/>
      </c>
      <c r="AH289" s="331"/>
      <c r="AJ289" s="333" t="str">
        <f>IF(AD289="","",AD289)</f>
        <v/>
      </c>
      <c r="AK289" s="327"/>
      <c r="AL289" s="327" t="str">
        <f>IF(AK289="","",AK289-AK287)</f>
        <v/>
      </c>
      <c r="AM289" s="328" t="str">
        <f>IF(AK289="","",AL289*1000)</f>
        <v/>
      </c>
      <c r="AN289" s="331"/>
      <c r="AP289" s="333" t="str">
        <f>IF(M289="","",M289)</f>
        <v/>
      </c>
      <c r="AQ289" s="327"/>
      <c r="AR289" s="327"/>
      <c r="AS289" s="327" t="str">
        <f>IF(AR289="","",AR289-AR287)</f>
        <v/>
      </c>
      <c r="AT289" s="328" t="str">
        <f>IF(AR289="","",AS289*1000)</f>
        <v/>
      </c>
      <c r="AU289" s="328"/>
      <c r="AV289" s="328"/>
      <c r="AW289" s="329"/>
      <c r="AX289" s="329"/>
      <c r="AY289" s="331"/>
    </row>
    <row r="290" spans="2:51" ht="15" customHeight="1" x14ac:dyDescent="0.25">
      <c r="B290" s="333"/>
      <c r="C290" s="327"/>
      <c r="D290" s="327"/>
      <c r="E290" s="327" t="str">
        <f t="shared" si="70"/>
        <v/>
      </c>
      <c r="F290" s="328" t="str">
        <f t="shared" si="65"/>
        <v/>
      </c>
      <c r="G290" s="328"/>
      <c r="H290" s="328"/>
      <c r="I290" s="329"/>
      <c r="J290" s="329"/>
      <c r="K290" s="330"/>
      <c r="L290" s="323"/>
      <c r="M290" s="333" t="str">
        <f>IF(B290="","",B290)</f>
        <v/>
      </c>
      <c r="N290" s="327"/>
      <c r="O290" s="327"/>
      <c r="P290" s="327"/>
      <c r="Q290" s="328"/>
      <c r="R290" s="328"/>
      <c r="S290" s="328"/>
      <c r="T290" s="329"/>
      <c r="U290" s="329"/>
      <c r="V290" s="331"/>
      <c r="X290" s="333"/>
      <c r="Y290" s="327"/>
      <c r="Z290" s="327"/>
      <c r="AA290" s="328"/>
      <c r="AB290" s="331"/>
      <c r="AD290" s="333"/>
      <c r="AE290" s="327"/>
      <c r="AF290" s="327"/>
      <c r="AG290" s="328"/>
      <c r="AH290" s="331"/>
      <c r="AJ290" s="333"/>
      <c r="AK290" s="327"/>
      <c r="AL290" s="327"/>
      <c r="AM290" s="328"/>
      <c r="AN290" s="331"/>
      <c r="AP290" s="333"/>
      <c r="AQ290" s="327"/>
      <c r="AR290" s="327"/>
      <c r="AS290" s="327"/>
      <c r="AT290" s="328"/>
      <c r="AU290" s="328"/>
      <c r="AV290" s="328"/>
      <c r="AW290" s="329"/>
      <c r="AX290" s="329"/>
      <c r="AY290" s="331"/>
    </row>
    <row r="291" spans="2:51" ht="15" customHeight="1" x14ac:dyDescent="0.25">
      <c r="B291" s="333"/>
      <c r="C291" s="336">
        <f>SUM(IF(F291="",0,F291), IF(F292="",0,F292), IF(Q291="",0,Q291), IF(AT291="",0,AT291), IF(AA291="",0,AA291), IF(AG291="",0,AG291), IF(AM291="",0,AM291))</f>
        <v>0</v>
      </c>
      <c r="D291" s="327"/>
      <c r="E291" s="327" t="str">
        <f t="shared" si="70"/>
        <v/>
      </c>
      <c r="F291" s="328" t="str">
        <f t="shared" si="65"/>
        <v/>
      </c>
      <c r="G291" s="328"/>
      <c r="H291" s="328"/>
      <c r="I291" s="329"/>
      <c r="J291" s="329"/>
      <c r="K291" s="330"/>
      <c r="L291" s="323"/>
      <c r="M291" s="333" t="str">
        <f>IF(B291="","",B291)</f>
        <v/>
      </c>
      <c r="N291" s="327"/>
      <c r="O291" s="327"/>
      <c r="P291" s="327" t="str">
        <f>IF(O291="","",O291-O289)</f>
        <v/>
      </c>
      <c r="Q291" s="328" t="str">
        <f>IF(O291="","",P291*1000)</f>
        <v/>
      </c>
      <c r="R291" s="328"/>
      <c r="S291" s="328"/>
      <c r="T291" s="329"/>
      <c r="U291" s="329"/>
      <c r="V291" s="331"/>
      <c r="X291" s="333"/>
      <c r="Y291" s="327"/>
      <c r="Z291" s="327" t="str">
        <f>IF(Y291="","",Y291-Y289)</f>
        <v/>
      </c>
      <c r="AA291" s="328" t="str">
        <f>IF(Y291="","",Z291*1000)</f>
        <v/>
      </c>
      <c r="AB291" s="331"/>
      <c r="AD291" s="333" t="str">
        <f>IF(X291="","",X291)</f>
        <v/>
      </c>
      <c r="AE291" s="327"/>
      <c r="AF291" s="327" t="str">
        <f>IF(AE291="","",AE291-AE289)</f>
        <v/>
      </c>
      <c r="AG291" s="328" t="str">
        <f>IF(AE291="","",AF291*1000)</f>
        <v/>
      </c>
      <c r="AH291" s="331"/>
      <c r="AJ291" s="333" t="str">
        <f>IF(AD291="","",AD291)</f>
        <v/>
      </c>
      <c r="AK291" s="327"/>
      <c r="AL291" s="327" t="str">
        <f>IF(AK291="","",AK291-AK289)</f>
        <v/>
      </c>
      <c r="AM291" s="328" t="str">
        <f>IF(AK291="","",AL291*1000)</f>
        <v/>
      </c>
      <c r="AN291" s="331"/>
      <c r="AP291" s="333" t="str">
        <f>IF(M291="","",M291)</f>
        <v/>
      </c>
      <c r="AQ291" s="327"/>
      <c r="AR291" s="327"/>
      <c r="AS291" s="327" t="str">
        <f>IF(AR291="","",AR291-AR289)</f>
        <v/>
      </c>
      <c r="AT291" s="328" t="str">
        <f>IF(AR291="","",AS291*1000)</f>
        <v/>
      </c>
      <c r="AU291" s="328"/>
      <c r="AV291" s="328"/>
      <c r="AW291" s="329"/>
      <c r="AX291" s="329"/>
      <c r="AY291" s="331"/>
    </row>
    <row r="292" spans="2:51" ht="15" customHeight="1" x14ac:dyDescent="0.25">
      <c r="B292" s="333"/>
      <c r="C292" s="327"/>
      <c r="D292" s="327"/>
      <c r="E292" s="327" t="str">
        <f t="shared" si="70"/>
        <v/>
      </c>
      <c r="F292" s="328" t="str">
        <f t="shared" si="65"/>
        <v/>
      </c>
      <c r="G292" s="328"/>
      <c r="H292" s="328"/>
      <c r="I292" s="329"/>
      <c r="J292" s="329"/>
      <c r="K292" s="330"/>
      <c r="L292" s="323"/>
      <c r="M292" s="333"/>
      <c r="N292" s="327"/>
      <c r="O292" s="327"/>
      <c r="P292" s="327"/>
      <c r="Q292" s="328"/>
      <c r="R292" s="328"/>
      <c r="S292" s="328"/>
      <c r="T292" s="329"/>
      <c r="U292" s="329"/>
      <c r="V292" s="331"/>
      <c r="X292" s="333"/>
      <c r="Y292" s="327"/>
      <c r="Z292" s="327"/>
      <c r="AA292" s="328"/>
      <c r="AB292" s="331"/>
      <c r="AD292" s="333"/>
      <c r="AE292" s="327"/>
      <c r="AF292" s="327"/>
      <c r="AG292" s="328"/>
      <c r="AH292" s="331"/>
      <c r="AJ292" s="333"/>
      <c r="AK292" s="327"/>
      <c r="AL292" s="327"/>
      <c r="AM292" s="328"/>
      <c r="AN292" s="331"/>
      <c r="AP292" s="333"/>
      <c r="AQ292" s="327"/>
      <c r="AR292" s="327"/>
      <c r="AS292" s="327"/>
      <c r="AT292" s="328"/>
      <c r="AU292" s="328"/>
      <c r="AV292" s="328"/>
      <c r="AW292" s="329"/>
      <c r="AX292" s="329"/>
      <c r="AY292" s="331"/>
    </row>
    <row r="293" spans="2:51" ht="15" customHeight="1" x14ac:dyDescent="0.25">
      <c r="B293" s="333"/>
      <c r="C293" s="336">
        <f>SUM(IF(F293="",0,F293), IF(F294="",0,F294), IF(Q293="",0,Q293), IF(AT293="",0,AT293), IF(AA293="",0,AA293), IF(AG293="",0,AG293), IF(AM293="",0,AM293))</f>
        <v>0</v>
      </c>
      <c r="D293" s="327"/>
      <c r="E293" s="327" t="str">
        <f t="shared" si="70"/>
        <v/>
      </c>
      <c r="F293" s="328" t="str">
        <f t="shared" si="65"/>
        <v/>
      </c>
      <c r="G293" s="328"/>
      <c r="H293" s="328"/>
      <c r="I293" s="329"/>
      <c r="J293" s="329"/>
      <c r="K293" s="330"/>
      <c r="L293" s="323"/>
      <c r="M293" s="333" t="str">
        <f>IF(B293="","",B293)</f>
        <v/>
      </c>
      <c r="N293" s="327"/>
      <c r="O293" s="327"/>
      <c r="P293" s="327" t="str">
        <f>IF(O293="","",O293-O291)</f>
        <v/>
      </c>
      <c r="Q293" s="328" t="str">
        <f>IF(O293="","",P293*1000)</f>
        <v/>
      </c>
      <c r="R293" s="328"/>
      <c r="S293" s="328"/>
      <c r="T293" s="329"/>
      <c r="U293" s="329"/>
      <c r="V293" s="331"/>
      <c r="X293" s="333" t="str">
        <f>IF(AP293="","",AP293)</f>
        <v/>
      </c>
      <c r="Y293" s="327"/>
      <c r="Z293" s="327" t="str">
        <f>IF(Y293="","",Y293-Y291)</f>
        <v/>
      </c>
      <c r="AA293" s="328" t="str">
        <f>IF(Y293="","",Z293*1000)</f>
        <v/>
      </c>
      <c r="AB293" s="331"/>
      <c r="AD293" s="333" t="str">
        <f>IF(X293="","",X293)</f>
        <v/>
      </c>
      <c r="AE293" s="327"/>
      <c r="AF293" s="327" t="str">
        <f>IF(AE293="","",AE293-AE291)</f>
        <v/>
      </c>
      <c r="AG293" s="328" t="str">
        <f>IF(AE293="","",AF293*1000)</f>
        <v/>
      </c>
      <c r="AH293" s="331"/>
      <c r="AJ293" s="333" t="str">
        <f>IF(AD293="","",AD293)</f>
        <v/>
      </c>
      <c r="AK293" s="327"/>
      <c r="AL293" s="327" t="str">
        <f>IF(AK293="","",AK293-AK291)</f>
        <v/>
      </c>
      <c r="AM293" s="328" t="str">
        <f>IF(AK293="","",AL293*1000)</f>
        <v/>
      </c>
      <c r="AN293" s="331"/>
      <c r="AP293" s="333" t="str">
        <f>IF(M293="","",M293)</f>
        <v/>
      </c>
      <c r="AQ293" s="327"/>
      <c r="AR293" s="327"/>
      <c r="AS293" s="327" t="str">
        <f>IF(AR293="","",AR293-AR291)</f>
        <v/>
      </c>
      <c r="AT293" s="328" t="str">
        <f>IF(AR293="","",AS293*1000)</f>
        <v/>
      </c>
      <c r="AU293" s="328"/>
      <c r="AV293" s="328"/>
      <c r="AW293" s="329"/>
      <c r="AX293" s="329"/>
      <c r="AY293" s="331"/>
    </row>
    <row r="294" spans="2:51" ht="15" customHeight="1" x14ac:dyDescent="0.25">
      <c r="B294" s="333"/>
      <c r="C294" s="327"/>
      <c r="D294" s="327"/>
      <c r="E294" s="327" t="str">
        <f t="shared" si="70"/>
        <v/>
      </c>
      <c r="F294" s="328" t="str">
        <f t="shared" si="65"/>
        <v/>
      </c>
      <c r="G294" s="328"/>
      <c r="H294" s="328"/>
      <c r="I294" s="329"/>
      <c r="J294" s="329"/>
      <c r="K294" s="330"/>
      <c r="L294" s="323"/>
      <c r="M294" s="333"/>
      <c r="N294" s="327"/>
      <c r="O294" s="327"/>
      <c r="P294" s="327"/>
      <c r="Q294" s="328"/>
      <c r="R294" s="328"/>
      <c r="S294" s="328"/>
      <c r="T294" s="329"/>
      <c r="U294" s="329"/>
      <c r="V294" s="331"/>
      <c r="X294" s="333"/>
      <c r="Y294" s="327"/>
      <c r="Z294" s="327"/>
      <c r="AA294" s="328"/>
      <c r="AB294" s="331"/>
      <c r="AD294" s="333"/>
      <c r="AE294" s="327"/>
      <c r="AF294" s="327"/>
      <c r="AG294" s="328"/>
      <c r="AH294" s="331"/>
      <c r="AJ294" s="333"/>
      <c r="AK294" s="327"/>
      <c r="AL294" s="327"/>
      <c r="AM294" s="328"/>
      <c r="AN294" s="331"/>
      <c r="AP294" s="333"/>
      <c r="AQ294" s="327"/>
      <c r="AR294" s="327"/>
      <c r="AS294" s="327"/>
      <c r="AT294" s="328"/>
      <c r="AU294" s="328"/>
      <c r="AV294" s="328"/>
      <c r="AW294" s="329"/>
      <c r="AX294" s="329"/>
      <c r="AY294" s="331"/>
    </row>
    <row r="295" spans="2:51" ht="15" customHeight="1" x14ac:dyDescent="0.25">
      <c r="B295" s="333"/>
      <c r="C295" s="336">
        <f>SUM(IF(F295="",0,F295), IF(F296="",0,F296), IF(Q295="",0,Q295), IF(AT295="",0,AT295), IF(AA295="",0,AA295), IF(AG295="",0,AG295), IF(AM295="",0,AM295))</f>
        <v>0</v>
      </c>
      <c r="D295" s="327"/>
      <c r="E295" s="327" t="str">
        <f t="shared" si="70"/>
        <v/>
      </c>
      <c r="F295" s="328" t="str">
        <f t="shared" si="65"/>
        <v/>
      </c>
      <c r="G295" s="328"/>
      <c r="H295" s="328"/>
      <c r="I295" s="329"/>
      <c r="J295" s="329"/>
      <c r="K295" s="330"/>
      <c r="L295" s="323"/>
      <c r="M295" s="333" t="str">
        <f>IF(B295="","",B295)</f>
        <v/>
      </c>
      <c r="N295" s="327"/>
      <c r="O295" s="327"/>
      <c r="P295" s="327" t="str">
        <f>IF(O295="","",O295-O293)</f>
        <v/>
      </c>
      <c r="Q295" s="328" t="str">
        <f>IF(O295="","",P295*1000)</f>
        <v/>
      </c>
      <c r="R295" s="328"/>
      <c r="S295" s="328"/>
      <c r="T295" s="329"/>
      <c r="U295" s="329"/>
      <c r="V295" s="331"/>
      <c r="X295" s="333" t="str">
        <f>IF(AP295="","",AP295)</f>
        <v/>
      </c>
      <c r="Y295" s="327"/>
      <c r="Z295" s="327" t="str">
        <f>IF(Y295="","",Y295-Y293)</f>
        <v/>
      </c>
      <c r="AA295" s="328" t="str">
        <f>IF(Y295="","",Z295*1000)</f>
        <v/>
      </c>
      <c r="AB295" s="331"/>
      <c r="AD295" s="333" t="str">
        <f>IF(X295="","",X295)</f>
        <v/>
      </c>
      <c r="AE295" s="327"/>
      <c r="AF295" s="327" t="str">
        <f>IF(AE295="","",AE295-AE293)</f>
        <v/>
      </c>
      <c r="AG295" s="328" t="str">
        <f>IF(AE295="","",AF295*1000)</f>
        <v/>
      </c>
      <c r="AH295" s="331"/>
      <c r="AJ295" s="333" t="str">
        <f>IF(AD295="","",AD295)</f>
        <v/>
      </c>
      <c r="AK295" s="327"/>
      <c r="AL295" s="327" t="str">
        <f>IF(AK295="","",AK295-AK293)</f>
        <v/>
      </c>
      <c r="AM295" s="328" t="str">
        <f>IF(AK295="","",AL295*1000)</f>
        <v/>
      </c>
      <c r="AN295" s="331"/>
      <c r="AP295" s="333" t="str">
        <f>IF(M295="","",M295)</f>
        <v/>
      </c>
      <c r="AQ295" s="327"/>
      <c r="AR295" s="327"/>
      <c r="AS295" s="327" t="str">
        <f>IF(AR295="","",AR295-AR293)</f>
        <v/>
      </c>
      <c r="AT295" s="328" t="str">
        <f>IF(AR295="","",AS295*1000)</f>
        <v/>
      </c>
      <c r="AU295" s="328"/>
      <c r="AV295" s="328"/>
      <c r="AW295" s="329"/>
      <c r="AX295" s="329"/>
      <c r="AY295" s="331"/>
    </row>
    <row r="296" spans="2:51" ht="15" customHeight="1" x14ac:dyDescent="0.25">
      <c r="B296" s="333"/>
      <c r="C296" s="327"/>
      <c r="D296" s="327"/>
      <c r="E296" s="327" t="str">
        <f t="shared" si="70"/>
        <v/>
      </c>
      <c r="F296" s="328" t="str">
        <f t="shared" si="65"/>
        <v/>
      </c>
      <c r="G296" s="328"/>
      <c r="H296" s="328"/>
      <c r="I296" s="329"/>
      <c r="J296" s="329"/>
      <c r="K296" s="330"/>
      <c r="L296" s="323"/>
      <c r="M296" s="333"/>
      <c r="N296" s="327"/>
      <c r="O296" s="327"/>
      <c r="P296" s="327"/>
      <c r="Q296" s="328"/>
      <c r="R296" s="328"/>
      <c r="S296" s="328"/>
      <c r="T296" s="329"/>
      <c r="U296" s="329"/>
      <c r="V296" s="331"/>
      <c r="X296" s="333"/>
      <c r="Y296" s="327"/>
      <c r="Z296" s="327"/>
      <c r="AA296" s="328"/>
      <c r="AB296" s="331"/>
      <c r="AD296" s="333"/>
      <c r="AE296" s="327"/>
      <c r="AF296" s="327"/>
      <c r="AG296" s="328"/>
      <c r="AH296" s="331"/>
      <c r="AJ296" s="333"/>
      <c r="AK296" s="327"/>
      <c r="AL296" s="327"/>
      <c r="AM296" s="328"/>
      <c r="AN296" s="331"/>
      <c r="AP296" s="333"/>
      <c r="AQ296" s="327"/>
      <c r="AR296" s="327"/>
      <c r="AS296" s="327"/>
      <c r="AT296" s="328"/>
      <c r="AU296" s="328"/>
      <c r="AV296" s="328"/>
      <c r="AW296" s="329"/>
      <c r="AX296" s="329"/>
      <c r="AY296" s="331"/>
    </row>
    <row r="297" spans="2:51" ht="15" customHeight="1" x14ac:dyDescent="0.25">
      <c r="B297" s="333"/>
      <c r="C297" s="336">
        <f>SUM(IF(F297="",0,F297), IF(F298="",0,F298), IF(Q297="",0,Q297), IF(AT297="",0,AT297), IF(AA297="",0,AA297), IF(AG297="",0,AG297), IF(AM297="",0,AM297))</f>
        <v>0</v>
      </c>
      <c r="D297" s="327"/>
      <c r="E297" s="327" t="str">
        <f t="shared" si="70"/>
        <v/>
      </c>
      <c r="F297" s="328" t="str">
        <f t="shared" si="65"/>
        <v/>
      </c>
      <c r="G297" s="328"/>
      <c r="H297" s="328"/>
      <c r="I297" s="329"/>
      <c r="J297" s="329"/>
      <c r="K297" s="330"/>
      <c r="L297" s="323"/>
      <c r="M297" s="333" t="str">
        <f>IF(B297="","",B297)</f>
        <v/>
      </c>
      <c r="N297" s="327"/>
      <c r="O297" s="327"/>
      <c r="P297" s="327" t="str">
        <f>IF(O297="","",O297-O295)</f>
        <v/>
      </c>
      <c r="Q297" s="328" t="str">
        <f>IF(O297="","",P297*1000)</f>
        <v/>
      </c>
      <c r="R297" s="328"/>
      <c r="S297" s="328"/>
      <c r="T297" s="329"/>
      <c r="U297" s="329"/>
      <c r="V297" s="331"/>
      <c r="X297" s="333" t="str">
        <f>IF(AP297="","",AP297)</f>
        <v/>
      </c>
      <c r="Y297" s="327"/>
      <c r="Z297" s="327" t="str">
        <f>IF(Y297="","",Y297-Y295)</f>
        <v/>
      </c>
      <c r="AA297" s="328" t="str">
        <f>IF(Y297="","",Z297*1000)</f>
        <v/>
      </c>
      <c r="AB297" s="331"/>
      <c r="AD297" s="333" t="str">
        <f>IF(X297="","",X297)</f>
        <v/>
      </c>
      <c r="AE297" s="327"/>
      <c r="AF297" s="327" t="str">
        <f>IF(AE297="","",AE297-AE295)</f>
        <v/>
      </c>
      <c r="AG297" s="328" t="str">
        <f>IF(AE297="","",AF297*1000)</f>
        <v/>
      </c>
      <c r="AH297" s="331"/>
      <c r="AJ297" s="333" t="str">
        <f>IF(AD297="","",AD297)</f>
        <v/>
      </c>
      <c r="AK297" s="327"/>
      <c r="AL297" s="327" t="str">
        <f>IF(AK297="","",AK297-AK295)</f>
        <v/>
      </c>
      <c r="AM297" s="328" t="str">
        <f>IF(AK297="","",AL297*1000)</f>
        <v/>
      </c>
      <c r="AN297" s="331"/>
      <c r="AP297" s="333" t="str">
        <f>IF(M297="","",M297)</f>
        <v/>
      </c>
      <c r="AQ297" s="327"/>
      <c r="AR297" s="327"/>
      <c r="AS297" s="327" t="str">
        <f>IF(AR297="","",AR297-AR295)</f>
        <v/>
      </c>
      <c r="AT297" s="328" t="str">
        <f>IF(AR297="","",AS297*1000)</f>
        <v/>
      </c>
      <c r="AU297" s="328"/>
      <c r="AV297" s="328"/>
      <c r="AW297" s="329"/>
      <c r="AX297" s="329"/>
      <c r="AY297" s="331"/>
    </row>
    <row r="298" spans="2:51" ht="15" customHeight="1" x14ac:dyDescent="0.25">
      <c r="B298" s="333"/>
      <c r="C298" s="327"/>
      <c r="D298" s="327"/>
      <c r="E298" s="327" t="str">
        <f t="shared" si="70"/>
        <v/>
      </c>
      <c r="F298" s="328" t="str">
        <f t="shared" si="65"/>
        <v/>
      </c>
      <c r="G298" s="328"/>
      <c r="H298" s="328"/>
      <c r="I298" s="329"/>
      <c r="J298" s="329"/>
      <c r="K298" s="330"/>
      <c r="L298" s="323"/>
      <c r="M298" s="333"/>
      <c r="N298" s="327"/>
      <c r="O298" s="327"/>
      <c r="P298" s="327"/>
      <c r="Q298" s="328"/>
      <c r="R298" s="328"/>
      <c r="S298" s="328"/>
      <c r="T298" s="329"/>
      <c r="U298" s="329"/>
      <c r="V298" s="331"/>
      <c r="X298" s="333"/>
      <c r="Y298" s="327"/>
      <c r="Z298" s="327"/>
      <c r="AA298" s="328"/>
      <c r="AB298" s="331"/>
      <c r="AD298" s="333"/>
      <c r="AE298" s="327"/>
      <c r="AF298" s="327"/>
      <c r="AG298" s="328"/>
      <c r="AH298" s="331"/>
      <c r="AJ298" s="333"/>
      <c r="AK298" s="327"/>
      <c r="AL298" s="327"/>
      <c r="AM298" s="328"/>
      <c r="AN298" s="331"/>
      <c r="AP298" s="333"/>
      <c r="AQ298" s="327"/>
      <c r="AR298" s="327"/>
      <c r="AS298" s="327"/>
      <c r="AT298" s="328"/>
      <c r="AU298" s="328"/>
      <c r="AV298" s="328"/>
      <c r="AW298" s="329"/>
      <c r="AX298" s="329"/>
      <c r="AY298" s="331"/>
    </row>
    <row r="299" spans="2:51" ht="15" customHeight="1" x14ac:dyDescent="0.25">
      <c r="B299" s="333"/>
      <c r="C299" s="336">
        <f>SUM(IF(F299="",0,F299), IF(F300="",0,F300), IF(Q299="",0,Q299), IF(AT299="",0,AT299), IF(AA299="",0,AA299), IF(AG299="",0,AG299), IF(AM299="",0,AM299))</f>
        <v>0</v>
      </c>
      <c r="D299" s="327"/>
      <c r="E299" s="327" t="str">
        <f t="shared" si="70"/>
        <v/>
      </c>
      <c r="F299" s="328" t="str">
        <f t="shared" si="65"/>
        <v/>
      </c>
      <c r="G299" s="328"/>
      <c r="H299" s="328"/>
      <c r="I299" s="329"/>
      <c r="J299" s="329"/>
      <c r="K299" s="330"/>
      <c r="L299" s="323"/>
      <c r="M299" s="333" t="str">
        <f>IF(B299="","",B299)</f>
        <v/>
      </c>
      <c r="N299" s="327"/>
      <c r="O299" s="327"/>
      <c r="P299" s="327" t="str">
        <f>IF(O299="","",O299-O297)</f>
        <v/>
      </c>
      <c r="Q299" s="328" t="str">
        <f>IF(O299="","",P299*1000)</f>
        <v/>
      </c>
      <c r="R299" s="328"/>
      <c r="S299" s="328"/>
      <c r="T299" s="329"/>
      <c r="U299" s="329"/>
      <c r="V299" s="331"/>
      <c r="X299" s="333" t="str">
        <f>IF(AP299="","",AP299)</f>
        <v/>
      </c>
      <c r="Y299" s="327"/>
      <c r="Z299" s="327" t="str">
        <f>IF(Y299="","",Y299-Y297)</f>
        <v/>
      </c>
      <c r="AA299" s="328" t="str">
        <f>IF(Y299="","",Z299*1000)</f>
        <v/>
      </c>
      <c r="AB299" s="331"/>
      <c r="AD299" s="333" t="str">
        <f>IF(X299="","",X299)</f>
        <v/>
      </c>
      <c r="AE299" s="327"/>
      <c r="AF299" s="327" t="str">
        <f>IF(AE299="","",AE299-AE297)</f>
        <v/>
      </c>
      <c r="AG299" s="328" t="str">
        <f>IF(AE299="","",AF299*1000)</f>
        <v/>
      </c>
      <c r="AH299" s="331"/>
      <c r="AJ299" s="333" t="str">
        <f>IF(AD299="","",AD299)</f>
        <v/>
      </c>
      <c r="AK299" s="327"/>
      <c r="AL299" s="327" t="str">
        <f>IF(AK299="","",AK299-AK297)</f>
        <v/>
      </c>
      <c r="AM299" s="328" t="str">
        <f>IF(AK299="","",AL299*1000)</f>
        <v/>
      </c>
      <c r="AN299" s="331"/>
      <c r="AP299" s="333" t="str">
        <f>IF(M299="","",M299)</f>
        <v/>
      </c>
      <c r="AQ299" s="327"/>
      <c r="AR299" s="327"/>
      <c r="AS299" s="327" t="str">
        <f>IF(AR299="","",AR299-AR297)</f>
        <v/>
      </c>
      <c r="AT299" s="328" t="str">
        <f>IF(AR299="","",AS299*1000)</f>
        <v/>
      </c>
      <c r="AU299" s="328"/>
      <c r="AV299" s="328"/>
      <c r="AW299" s="329"/>
      <c r="AX299" s="329"/>
      <c r="AY299" s="331"/>
    </row>
    <row r="300" spans="2:51" ht="15" customHeight="1" x14ac:dyDescent="0.25">
      <c r="B300" s="333"/>
      <c r="C300" s="327"/>
      <c r="D300" s="327"/>
      <c r="E300" s="327" t="str">
        <f t="shared" si="70"/>
        <v/>
      </c>
      <c r="F300" s="328" t="str">
        <f t="shared" si="65"/>
        <v/>
      </c>
      <c r="G300" s="328"/>
      <c r="H300" s="328"/>
      <c r="I300" s="329"/>
      <c r="J300" s="329"/>
      <c r="K300" s="330"/>
      <c r="L300" s="323"/>
      <c r="M300" s="333"/>
      <c r="N300" s="327"/>
      <c r="O300" s="327"/>
      <c r="P300" s="327"/>
      <c r="Q300" s="328"/>
      <c r="R300" s="328"/>
      <c r="S300" s="328"/>
      <c r="T300" s="329"/>
      <c r="U300" s="329"/>
      <c r="V300" s="331"/>
      <c r="X300" s="333"/>
      <c r="Y300" s="327"/>
      <c r="Z300" s="327"/>
      <c r="AA300" s="328"/>
      <c r="AB300" s="331"/>
      <c r="AD300" s="333"/>
      <c r="AE300" s="327"/>
      <c r="AF300" s="327"/>
      <c r="AG300" s="328"/>
      <c r="AH300" s="331"/>
      <c r="AJ300" s="333"/>
      <c r="AK300" s="327"/>
      <c r="AL300" s="327"/>
      <c r="AM300" s="328"/>
      <c r="AN300" s="331"/>
      <c r="AP300" s="333"/>
      <c r="AQ300" s="327"/>
      <c r="AR300" s="327"/>
      <c r="AS300" s="327"/>
      <c r="AT300" s="328"/>
      <c r="AU300" s="328"/>
      <c r="AV300" s="328"/>
      <c r="AW300" s="329"/>
      <c r="AX300" s="329"/>
      <c r="AY300" s="331"/>
    </row>
    <row r="301" spans="2:51" ht="15" customHeight="1" x14ac:dyDescent="0.25">
      <c r="B301" s="393">
        <f>DATEDIF(B$237,B$279,"d")</f>
        <v>25</v>
      </c>
      <c r="C301" s="338"/>
      <c r="D301" s="338"/>
      <c r="E301" s="338" t="str">
        <f>IF(D301="","",D301-D293)</f>
        <v/>
      </c>
      <c r="F301" s="328" t="str">
        <f t="shared" si="65"/>
        <v/>
      </c>
      <c r="G301" s="338"/>
      <c r="H301" s="338"/>
      <c r="I301" s="338"/>
      <c r="J301" s="338"/>
      <c r="K301" s="339"/>
      <c r="L301" s="340"/>
      <c r="M301" s="337">
        <f>IF(B301="","",B301)</f>
        <v>25</v>
      </c>
      <c r="N301" s="338"/>
      <c r="O301" s="338"/>
      <c r="P301" s="338" t="str">
        <f>IF(O301="","",O301-O293)</f>
        <v/>
      </c>
      <c r="Q301" s="338" t="str">
        <f>IF(O301="","",P301*1000)</f>
        <v/>
      </c>
      <c r="R301" s="338"/>
      <c r="S301" s="338"/>
      <c r="T301" s="338"/>
      <c r="U301" s="338"/>
      <c r="V301" s="341"/>
      <c r="W301" s="238"/>
      <c r="X301" s="337">
        <f>IF(AP301="","",AP301)</f>
        <v>25</v>
      </c>
      <c r="Y301" s="338"/>
      <c r="Z301" s="338" t="str">
        <f>IF(Y301="","",Y301-Y293)</f>
        <v/>
      </c>
      <c r="AA301" s="338" t="str">
        <f>IF(Y301="","",Z301*1000)</f>
        <v/>
      </c>
      <c r="AB301" s="341"/>
      <c r="AC301" s="238"/>
      <c r="AD301" s="337">
        <f>IF(X301="","",X301)</f>
        <v>25</v>
      </c>
      <c r="AE301" s="338"/>
      <c r="AF301" s="338" t="str">
        <f>IF(AE301="","",AE301-AE293)</f>
        <v/>
      </c>
      <c r="AG301" s="338" t="str">
        <f>IF(AE301="","",AF301*1000)</f>
        <v/>
      </c>
      <c r="AH301" s="341"/>
      <c r="AI301" s="238"/>
      <c r="AJ301" s="337">
        <f>IF(AD301="","",AD301)</f>
        <v>25</v>
      </c>
      <c r="AK301" s="338"/>
      <c r="AL301" s="338" t="str">
        <f>IF(AK301="","",AK301-AK293)</f>
        <v/>
      </c>
      <c r="AM301" s="338" t="str">
        <f>IF(AK301="","",AL301*1000)</f>
        <v/>
      </c>
      <c r="AN301" s="341"/>
      <c r="AO301" s="238"/>
      <c r="AP301" s="337">
        <f>IF(M301="","",M301)</f>
        <v>25</v>
      </c>
      <c r="AQ301" s="338"/>
      <c r="AR301" s="338"/>
      <c r="AS301" s="338" t="str">
        <f>IF(AR301="","",AR301-AR293)</f>
        <v/>
      </c>
      <c r="AT301" s="338" t="str">
        <f>IF(AR301="","",AS301*1000)</f>
        <v/>
      </c>
      <c r="AU301" s="338"/>
      <c r="AV301" s="338"/>
      <c r="AW301" s="338"/>
      <c r="AX301" s="338"/>
      <c r="AY301" s="341"/>
    </row>
    <row r="302" spans="2:51" ht="15" customHeight="1" x14ac:dyDescent="0.25">
      <c r="B302" s="333"/>
      <c r="C302" s="327"/>
      <c r="D302" s="327"/>
      <c r="E302" s="327" t="str">
        <f>IF(D302="","",D302-D298)</f>
        <v/>
      </c>
      <c r="F302" s="328" t="str">
        <f t="shared" si="65"/>
        <v/>
      </c>
      <c r="G302" s="328"/>
      <c r="H302" s="328"/>
      <c r="I302" s="329"/>
      <c r="J302" s="329"/>
      <c r="K302" s="330"/>
      <c r="L302" s="323"/>
      <c r="M302" s="333"/>
      <c r="N302" s="327"/>
      <c r="O302" s="327"/>
      <c r="P302" s="327"/>
      <c r="Q302" s="328"/>
      <c r="R302" s="328"/>
      <c r="S302" s="328"/>
      <c r="T302" s="329"/>
      <c r="U302" s="329"/>
      <c r="V302" s="331"/>
      <c r="X302" s="333"/>
      <c r="Y302" s="327"/>
      <c r="Z302" s="327"/>
      <c r="AA302" s="328"/>
      <c r="AB302" s="331"/>
      <c r="AD302" s="333"/>
      <c r="AE302" s="327"/>
      <c r="AF302" s="327"/>
      <c r="AG302" s="328"/>
      <c r="AH302" s="331"/>
      <c r="AJ302" s="333"/>
      <c r="AK302" s="327"/>
      <c r="AL302" s="327"/>
      <c r="AM302" s="328"/>
      <c r="AN302" s="331"/>
      <c r="AP302" s="333"/>
      <c r="AQ302" s="327"/>
      <c r="AR302" s="327"/>
      <c r="AS302" s="327"/>
      <c r="AT302" s="328"/>
      <c r="AU302" s="328"/>
      <c r="AV302" s="328"/>
      <c r="AW302" s="329"/>
      <c r="AX302" s="329"/>
      <c r="AY302" s="331"/>
    </row>
    <row r="303" spans="2:51" ht="15" customHeight="1" x14ac:dyDescent="0.25">
      <c r="B303" s="380">
        <f>SUM(E267, E269, E271, E273, E275, E277, E279, E281, E311, E285, E287, E289, E303,E291,E293,E295,E297,E299,E301)</f>
        <v>1607</v>
      </c>
      <c r="C303" s="327"/>
      <c r="D303" s="327"/>
      <c r="E303" s="327" t="str">
        <f>IF(D303="","",D303-D301)</f>
        <v/>
      </c>
      <c r="F303" s="328" t="str">
        <f t="shared" si="65"/>
        <v/>
      </c>
      <c r="G303" s="328"/>
      <c r="H303" s="328"/>
      <c r="I303" s="329"/>
      <c r="J303" s="329"/>
      <c r="K303" s="330"/>
      <c r="L303" s="323"/>
      <c r="M303" s="334">
        <f>SUM(P267, P269, P271, P273, P275, P277, P279, P281, P311, P285, P293, P301, P303)</f>
        <v>168</v>
      </c>
      <c r="N303" s="327"/>
      <c r="O303" s="327"/>
      <c r="P303" s="327" t="str">
        <f>IF(O303="","",O303-O301)</f>
        <v/>
      </c>
      <c r="Q303" s="328" t="str">
        <f>IF(O303="","",P303*1000)</f>
        <v/>
      </c>
      <c r="R303" s="328"/>
      <c r="S303" s="328"/>
      <c r="T303" s="329"/>
      <c r="U303" s="329"/>
      <c r="V303" s="331"/>
      <c r="X303" s="334">
        <f>SUM(Z267, Z269, Z271, Z273, Z275, Z277, Z279, Z281, Z311, Z285, Z293, Z301, Z303)</f>
        <v>84</v>
      </c>
      <c r="Y303" s="327"/>
      <c r="Z303" s="327" t="str">
        <f>IF(Y303="","",Y303-Y301)</f>
        <v/>
      </c>
      <c r="AA303" s="328" t="str">
        <f>IF(Y303="","",Z303*1000)</f>
        <v/>
      </c>
      <c r="AB303" s="331"/>
      <c r="AD303" s="334">
        <f>SUM(AF267, AF269, AF271, AF273, AF275, AF277, AF279, AF281, AF311, AF285, AF293, AF301, AF303)</f>
        <v>46</v>
      </c>
      <c r="AE303" s="327"/>
      <c r="AF303" s="327" t="str">
        <f>IF(AE303="","",AE303-AE301)</f>
        <v/>
      </c>
      <c r="AG303" s="328" t="str">
        <f>IF(AE303="","",AF303*1000)</f>
        <v/>
      </c>
      <c r="AH303" s="331"/>
      <c r="AJ303" s="334">
        <f>SUM(AL267, AL269, AL271, AL273, AL275, AL277, AL279, AL281, AL311, AL285, AL293, AL301, AL303)</f>
        <v>110</v>
      </c>
      <c r="AK303" s="327"/>
      <c r="AL303" s="327" t="str">
        <f>IF(AK303="","",AK303-AK301)</f>
        <v/>
      </c>
      <c r="AM303" s="328" t="str">
        <f>IF(AK303="","",AL303*1000)</f>
        <v/>
      </c>
      <c r="AN303" s="331"/>
      <c r="AP303" s="334">
        <f>SUM(AS267, AS269, AS271, AS273, AS275, AS277, AS279, AS281, AS311, AS285, AS293, AS301, AS303)</f>
        <v>118</v>
      </c>
      <c r="AQ303" s="327"/>
      <c r="AR303" s="327"/>
      <c r="AS303" s="327" t="str">
        <f>IF(AR303="","",AR303-AR301)</f>
        <v/>
      </c>
      <c r="AT303" s="328" t="str">
        <f>IF(AR303="","",AS303*1000)</f>
        <v/>
      </c>
      <c r="AU303" s="328"/>
      <c r="AV303" s="328"/>
      <c r="AW303" s="329"/>
      <c r="AX303" s="329"/>
      <c r="AY303" s="331"/>
    </row>
    <row r="304" spans="2:51" ht="15" customHeight="1" x14ac:dyDescent="0.25">
      <c r="B304" s="380">
        <f>SUM(E268, E270, E272, E274, E276, E278, E280, E282, E312, E286, E288, E290, E304,E292,E294,E296,E298,E300,E302)</f>
        <v>491</v>
      </c>
      <c r="C304" s="327"/>
      <c r="D304" s="327"/>
      <c r="E304" s="327" t="str">
        <f>IF(D304="","",D304-D302)</f>
        <v/>
      </c>
      <c r="F304" s="328" t="str">
        <f t="shared" si="65"/>
        <v/>
      </c>
      <c r="G304" s="328"/>
      <c r="H304" s="328"/>
      <c r="I304" s="329"/>
      <c r="J304" s="329"/>
      <c r="K304" s="330"/>
      <c r="L304" s="323"/>
      <c r="M304" s="334">
        <f>SUM(P268, P270, P272, P274, P276, P278, P280, P282, P312, P286, P298, P302, P304)</f>
        <v>0</v>
      </c>
      <c r="N304" s="327"/>
      <c r="O304" s="327"/>
      <c r="P304" s="327"/>
      <c r="Q304" s="328"/>
      <c r="R304" s="328"/>
      <c r="S304" s="328"/>
      <c r="T304" s="329"/>
      <c r="U304" s="329"/>
      <c r="V304" s="331"/>
      <c r="X304" s="334">
        <f>SUM(Z268, Z270, Z272, Z274, Z276, Z278, Z280, Z282, Z312, Z286, Z298, Z302, Z304)</f>
        <v>0</v>
      </c>
      <c r="Y304" s="327"/>
      <c r="Z304" s="327"/>
      <c r="AA304" s="328"/>
      <c r="AB304" s="331"/>
      <c r="AD304" s="334">
        <f>SUM(AF268, AF270, AF272, AF274, AF276, AF278, AF280, AF282, AF312, AF286, AF298, AF302, AF304)</f>
        <v>0</v>
      </c>
      <c r="AE304" s="327"/>
      <c r="AF304" s="327"/>
      <c r="AG304" s="328"/>
      <c r="AH304" s="331"/>
      <c r="AJ304" s="334">
        <f>SUM(AL268, AL270, AL272, AL274, AL276, AL278, AL280, AL282, AL312, AL286, AL298, AL302, AL304)</f>
        <v>0</v>
      </c>
      <c r="AK304" s="327"/>
      <c r="AL304" s="327"/>
      <c r="AM304" s="328"/>
      <c r="AN304" s="331"/>
      <c r="AP304" s="334">
        <f>SUM(AS268, AS270, AS272, AS274, AS276, AS278, AS280, AS282, AS312, AS286, AS298, AS302, AS304)</f>
        <v>0</v>
      </c>
      <c r="AQ304" s="327"/>
      <c r="AR304" s="327"/>
      <c r="AS304" s="327"/>
      <c r="AT304" s="328"/>
      <c r="AU304" s="328"/>
      <c r="AV304" s="328"/>
      <c r="AW304" s="329"/>
      <c r="AX304" s="329"/>
      <c r="AY304" s="331"/>
    </row>
    <row r="305" spans="2:51" ht="15" customHeight="1" x14ac:dyDescent="0.25">
      <c r="B305" s="333"/>
      <c r="C305" s="328">
        <f>SUM(C267:C298)</f>
        <v>614200</v>
      </c>
      <c r="D305" s="327"/>
      <c r="E305" s="328">
        <f>SUM(E267:E304)</f>
        <v>1692</v>
      </c>
      <c r="F305" s="328">
        <f>SUM(F267:F304)</f>
        <v>169200</v>
      </c>
      <c r="G305" s="328">
        <f>SUM(G267:G278)</f>
        <v>0</v>
      </c>
      <c r="H305" s="328">
        <f>SUM(H267:H278)</f>
        <v>0</v>
      </c>
      <c r="I305" s="328">
        <f>SUM(I267:I278)</f>
        <v>0</v>
      </c>
      <c r="J305" s="328">
        <f>SUM(J267:J278)</f>
        <v>0</v>
      </c>
      <c r="K305" s="330"/>
      <c r="L305" s="322"/>
      <c r="M305" s="327"/>
      <c r="N305" s="327"/>
      <c r="O305" s="327"/>
      <c r="P305" s="328">
        <f>SUM(P267:P303)</f>
        <v>132</v>
      </c>
      <c r="Q305" s="328">
        <f>SUM(Q267:Q304)</f>
        <v>132000</v>
      </c>
      <c r="R305" s="328">
        <f>SUM(R267:R278)</f>
        <v>0</v>
      </c>
      <c r="S305" s="328">
        <f>SUM(S267:S278)</f>
        <v>0</v>
      </c>
      <c r="T305" s="328">
        <f>SUM(T267:T278)</f>
        <v>0</v>
      </c>
      <c r="U305" s="328">
        <f>SUM(U267:U278)</f>
        <v>0</v>
      </c>
      <c r="V305" s="328"/>
      <c r="X305" s="327"/>
      <c r="Y305" s="327"/>
      <c r="Z305" s="328">
        <f>SUM(Z267:Z303)</f>
        <v>69</v>
      </c>
      <c r="AA305" s="328">
        <f>SUM(AA267:AA304)</f>
        <v>69000</v>
      </c>
      <c r="AB305" s="328"/>
      <c r="AD305" s="327"/>
      <c r="AE305" s="327"/>
      <c r="AF305" s="328">
        <f>SUM(AF267:AF303)</f>
        <v>42</v>
      </c>
      <c r="AG305" s="328">
        <f>SUM(AG267:AG304)</f>
        <v>42000</v>
      </c>
      <c r="AH305" s="328"/>
      <c r="AJ305" s="327"/>
      <c r="AK305" s="327"/>
      <c r="AL305" s="328">
        <f>SUM(AL267:AL303)</f>
        <v>96</v>
      </c>
      <c r="AM305" s="328">
        <f>SUM(AM267:AM304)</f>
        <v>96000</v>
      </c>
      <c r="AN305" s="328"/>
      <c r="AP305" s="327"/>
      <c r="AQ305" s="327"/>
      <c r="AR305" s="327"/>
      <c r="AS305" s="328">
        <f>SUM(AS267:AS303)</f>
        <v>106</v>
      </c>
      <c r="AT305" s="328">
        <f>SUM(AT267:AT304)</f>
        <v>106000</v>
      </c>
      <c r="AU305" s="328">
        <f>SUM(AU267:AU278)</f>
        <v>0</v>
      </c>
      <c r="AV305" s="328">
        <f>SUM(AV267:AV278)</f>
        <v>0</v>
      </c>
      <c r="AW305" s="328">
        <f>SUM(AW267:AW278)</f>
        <v>0</v>
      </c>
      <c r="AX305" s="328">
        <f>SUM(AX267:AX278)</f>
        <v>0</v>
      </c>
      <c r="AY305" s="328"/>
    </row>
    <row r="306" spans="2:51" ht="15" customHeight="1" x14ac:dyDescent="0.15">
      <c r="B306" s="386" t="s">
        <v>126</v>
      </c>
      <c r="C306" s="387" t="s">
        <v>127</v>
      </c>
      <c r="D306" s="388" t="s">
        <v>128</v>
      </c>
      <c r="E306" s="392" t="s">
        <v>129</v>
      </c>
      <c r="F306" s="382" t="s">
        <v>130</v>
      </c>
      <c r="G306" s="389"/>
      <c r="H306" s="389"/>
      <c r="I306" s="389"/>
      <c r="J306" s="389"/>
      <c r="K306" s="389"/>
      <c r="L306" s="381"/>
      <c r="M306" s="390"/>
      <c r="N306" s="390"/>
      <c r="O306" s="390"/>
      <c r="P306" s="389" t="s">
        <v>129</v>
      </c>
      <c r="Q306" s="382" t="s">
        <v>130</v>
      </c>
      <c r="R306" s="389"/>
      <c r="S306" s="389"/>
      <c r="T306" s="389"/>
      <c r="U306" s="389"/>
      <c r="V306" s="389"/>
      <c r="W306" s="317"/>
      <c r="X306" s="390"/>
      <c r="Y306" s="390"/>
      <c r="Z306" s="389" t="s">
        <v>129</v>
      </c>
      <c r="AA306" s="382" t="s">
        <v>130</v>
      </c>
      <c r="AB306" s="389"/>
      <c r="AC306" s="317"/>
      <c r="AD306" s="390"/>
      <c r="AE306" s="390"/>
      <c r="AF306" s="389" t="s">
        <v>129</v>
      </c>
      <c r="AG306" s="382" t="s">
        <v>130</v>
      </c>
      <c r="AH306" s="389"/>
      <c r="AI306" s="317"/>
      <c r="AJ306" s="390"/>
      <c r="AK306" s="390"/>
      <c r="AL306" s="389" t="s">
        <v>129</v>
      </c>
      <c r="AM306" s="382" t="s">
        <v>130</v>
      </c>
      <c r="AN306" s="389"/>
      <c r="AO306" s="317"/>
      <c r="AP306" s="390"/>
      <c r="AQ306" s="390"/>
      <c r="AR306" s="390"/>
      <c r="AS306" s="389" t="s">
        <v>129</v>
      </c>
      <c r="AT306" s="382" t="s">
        <v>130</v>
      </c>
      <c r="AU306" s="389"/>
      <c r="AV306" s="389"/>
      <c r="AW306" s="389"/>
      <c r="AX306" s="389"/>
      <c r="AY306" s="389"/>
    </row>
    <row r="307" spans="2:51" ht="15" customHeight="1" x14ac:dyDescent="0.2">
      <c r="B307" s="235">
        <v>30</v>
      </c>
      <c r="C307" s="318">
        <f>C305/B301</f>
        <v>24568</v>
      </c>
      <c r="D307" s="318">
        <f>C307*B307</f>
        <v>737040</v>
      </c>
      <c r="E307" s="236">
        <f>E305/B301*100</f>
        <v>6768.0000000000009</v>
      </c>
      <c r="F307" s="236">
        <f>E307*B307</f>
        <v>203040.00000000003</v>
      </c>
      <c r="P307" s="236">
        <f>P305/M301*1000</f>
        <v>5280</v>
      </c>
      <c r="Q307" s="236">
        <f>P307*B307</f>
        <v>158400</v>
      </c>
      <c r="Z307" s="236">
        <f>Z305/X301*1000</f>
        <v>2760</v>
      </c>
      <c r="AA307" s="236">
        <f>Z307*B307</f>
        <v>82800</v>
      </c>
      <c r="AF307" s="236">
        <f>AF305/AD301*1000</f>
        <v>1680</v>
      </c>
      <c r="AG307" s="236">
        <f>AF307*B307</f>
        <v>50400</v>
      </c>
      <c r="AL307" s="236">
        <f>AL305/AJ301*1000</f>
        <v>3840</v>
      </c>
      <c r="AM307" s="236">
        <f>AL307*B307</f>
        <v>115200</v>
      </c>
      <c r="AS307" s="236">
        <f>AS305/AP301*1000</f>
        <v>4240</v>
      </c>
      <c r="AT307" s="236">
        <f>AS307*B307</f>
        <v>127200</v>
      </c>
    </row>
    <row r="309" spans="2:51" ht="15" customHeight="1" x14ac:dyDescent="0.25">
      <c r="B309" s="332" t="s">
        <v>108</v>
      </c>
      <c r="C309" s="319"/>
      <c r="D309" s="319"/>
      <c r="E309" s="319"/>
      <c r="F309" s="319"/>
      <c r="G309" s="319"/>
      <c r="H309" s="319"/>
      <c r="I309" s="319"/>
      <c r="J309" s="320"/>
      <c r="K309" s="321"/>
      <c r="L309" s="319"/>
      <c r="M309" s="332" t="s">
        <v>109</v>
      </c>
      <c r="N309" s="319"/>
      <c r="O309" s="319"/>
      <c r="P309" s="319"/>
      <c r="Q309" s="319"/>
      <c r="R309" s="319"/>
      <c r="S309" s="319"/>
      <c r="T309" s="319"/>
      <c r="U309" s="320"/>
      <c r="V309" s="319"/>
      <c r="X309" s="844" t="s">
        <v>111</v>
      </c>
      <c r="Y309" s="844"/>
      <c r="Z309" s="319"/>
      <c r="AA309" s="319"/>
      <c r="AB309" s="319"/>
      <c r="AD309" s="844" t="s">
        <v>112</v>
      </c>
      <c r="AE309" s="844"/>
      <c r="AF309" s="319"/>
      <c r="AG309" s="319"/>
      <c r="AH309" s="319"/>
      <c r="AJ309" s="844" t="s">
        <v>113</v>
      </c>
      <c r="AK309" s="844"/>
      <c r="AL309" s="319"/>
      <c r="AM309" s="319"/>
      <c r="AN309" s="319"/>
      <c r="AP309" s="844" t="s">
        <v>110</v>
      </c>
      <c r="AQ309" s="844"/>
      <c r="AR309" s="844"/>
      <c r="AS309" s="319"/>
      <c r="AT309" s="319"/>
      <c r="AU309" s="319"/>
      <c r="AV309" s="319"/>
      <c r="AW309" s="319"/>
      <c r="AX309" s="320"/>
      <c r="AY309" s="319"/>
    </row>
    <row r="310" spans="2:51" ht="15" customHeight="1" x14ac:dyDescent="0.2">
      <c r="B310" s="645" t="s">
        <v>114</v>
      </c>
      <c r="C310" s="644"/>
      <c r="D310" s="646" t="s">
        <v>115</v>
      </c>
      <c r="E310" s="325" t="s">
        <v>116</v>
      </c>
      <c r="F310" s="325" t="s">
        <v>117</v>
      </c>
      <c r="G310" s="325"/>
      <c r="H310" s="325"/>
      <c r="I310" s="325"/>
      <c r="J310" s="325"/>
      <c r="K310" s="326" t="s">
        <v>118</v>
      </c>
      <c r="L310" s="319"/>
      <c r="M310" s="325" t="s">
        <v>114</v>
      </c>
      <c r="N310" s="325"/>
      <c r="O310" s="325" t="s">
        <v>115</v>
      </c>
      <c r="P310" s="325" t="s">
        <v>116</v>
      </c>
      <c r="Q310" s="325" t="s">
        <v>117</v>
      </c>
      <c r="R310" s="325"/>
      <c r="S310" s="325"/>
      <c r="T310" s="325"/>
      <c r="U310" s="325"/>
      <c r="V310" s="325" t="s">
        <v>119</v>
      </c>
      <c r="X310" s="325" t="s">
        <v>114</v>
      </c>
      <c r="Y310" s="325" t="s">
        <v>115</v>
      </c>
      <c r="Z310" s="325" t="s">
        <v>116</v>
      </c>
      <c r="AA310" s="325" t="s">
        <v>117</v>
      </c>
      <c r="AB310" s="325" t="s">
        <v>119</v>
      </c>
      <c r="AD310" s="325" t="s">
        <v>114</v>
      </c>
      <c r="AE310" s="325" t="s">
        <v>115</v>
      </c>
      <c r="AF310" s="325" t="s">
        <v>116</v>
      </c>
      <c r="AG310" s="325" t="s">
        <v>117</v>
      </c>
      <c r="AH310" s="325" t="s">
        <v>119</v>
      </c>
      <c r="AJ310" s="325" t="s">
        <v>114</v>
      </c>
      <c r="AK310" s="325" t="s">
        <v>115</v>
      </c>
      <c r="AL310" s="325" t="s">
        <v>116</v>
      </c>
      <c r="AM310" s="325" t="s">
        <v>117</v>
      </c>
      <c r="AN310" s="325" t="s">
        <v>119</v>
      </c>
      <c r="AP310" s="325" t="s">
        <v>114</v>
      </c>
      <c r="AQ310" s="325"/>
      <c r="AR310" s="325" t="s">
        <v>115</v>
      </c>
      <c r="AS310" s="325" t="s">
        <v>116</v>
      </c>
      <c r="AT310" s="325" t="s">
        <v>117</v>
      </c>
      <c r="AU310" s="325"/>
      <c r="AV310" s="325"/>
      <c r="AW310" s="325"/>
      <c r="AX310" s="325"/>
      <c r="AY310" s="325" t="s">
        <v>119</v>
      </c>
    </row>
    <row r="311" spans="2:51" ht="15" customHeight="1" x14ac:dyDescent="0.25">
      <c r="B311" s="333">
        <v>46125</v>
      </c>
      <c r="C311" s="336">
        <f>SUM(IF(F311="",0,F311), IF(F312="",0,F312), IF(Q311="",0,Q311), IF(AT311="",0,AT311), IF(AA311="",0,AA311), IF(AG311="",0,AG311), IF(AM311="",0,AM311))</f>
        <v>121600</v>
      </c>
      <c r="D311" s="327">
        <v>22226</v>
      </c>
      <c r="E311" s="327">
        <f>IF(D311="","",D311-D281)</f>
        <v>296</v>
      </c>
      <c r="F311" s="328">
        <f t="shared" ref="F311:F348" si="80">IF(D311="","",E311*100)</f>
        <v>29600</v>
      </c>
      <c r="G311" s="328"/>
      <c r="H311" s="328"/>
      <c r="I311" s="329"/>
      <c r="J311" s="329"/>
      <c r="K311" s="330"/>
      <c r="L311" s="323"/>
      <c r="M311" s="333">
        <f>IF(B311="","",B311)</f>
        <v>46125</v>
      </c>
      <c r="N311" s="327"/>
      <c r="O311" s="327">
        <v>3367</v>
      </c>
      <c r="P311" s="327">
        <f>IF(O311="","",O311-O281)</f>
        <v>36</v>
      </c>
      <c r="Q311" s="328">
        <f>IF(O311="","",P311*1000)</f>
        <v>36000</v>
      </c>
      <c r="R311" s="328"/>
      <c r="S311" s="328"/>
      <c r="T311" s="329"/>
      <c r="U311" s="329"/>
      <c r="V311" s="331"/>
      <c r="X311" s="333">
        <f>IF(AP311="","",AP311)</f>
        <v>46125</v>
      </c>
      <c r="Y311" s="327">
        <v>7939</v>
      </c>
      <c r="Z311" s="327">
        <f>IF(Y311="","",Y311-Y281)</f>
        <v>15</v>
      </c>
      <c r="AA311" s="328">
        <f>IF(Y311="","",Z311*1000)</f>
        <v>15000</v>
      </c>
      <c r="AB311" s="331" t="s">
        <v>131</v>
      </c>
      <c r="AD311" s="333">
        <f>IF(X311="","",X311)</f>
        <v>46125</v>
      </c>
      <c r="AE311" s="327">
        <v>5439</v>
      </c>
      <c r="AF311" s="327">
        <f>IF(AE311="","",AE311-AE281)</f>
        <v>4</v>
      </c>
      <c r="AG311" s="328">
        <f>IF(AE311="","",AF311*1000)</f>
        <v>4000</v>
      </c>
      <c r="AH311" s="331"/>
      <c r="AJ311" s="333">
        <f>IF(AD311="","",AD311)</f>
        <v>46125</v>
      </c>
      <c r="AK311" s="327">
        <v>7899</v>
      </c>
      <c r="AL311" s="327">
        <f>IF(AK311="","",AK311-AK281)</f>
        <v>14</v>
      </c>
      <c r="AM311" s="328">
        <f>IF(AK311="","",AL311*1000)</f>
        <v>14000</v>
      </c>
      <c r="AN311" s="331"/>
      <c r="AP311" s="333">
        <f>IF(M311="","",M311)</f>
        <v>46125</v>
      </c>
      <c r="AQ311" s="327"/>
      <c r="AR311" s="327">
        <v>9165</v>
      </c>
      <c r="AS311" s="327">
        <f>IF(AR311="","",AR311-AR281)</f>
        <v>12</v>
      </c>
      <c r="AT311" s="328">
        <f>IF(AR311="","",AS311*1000)</f>
        <v>12000</v>
      </c>
      <c r="AU311" s="328"/>
      <c r="AV311" s="328"/>
      <c r="AW311" s="329"/>
      <c r="AX311" s="329"/>
      <c r="AY311" s="331"/>
    </row>
    <row r="312" spans="2:51" ht="15" customHeight="1" x14ac:dyDescent="0.25">
      <c r="B312" s="333"/>
      <c r="C312" s="327"/>
      <c r="D312" s="327">
        <v>7536</v>
      </c>
      <c r="E312" s="327">
        <f>IF(D312="","",D312-D282)</f>
        <v>110</v>
      </c>
      <c r="F312" s="328">
        <f t="shared" si="80"/>
        <v>11000</v>
      </c>
      <c r="G312" s="328"/>
      <c r="H312" s="328"/>
      <c r="I312" s="329"/>
      <c r="J312" s="329"/>
      <c r="K312" s="330"/>
      <c r="L312" s="323"/>
      <c r="M312" s="333"/>
      <c r="N312" s="327"/>
      <c r="O312" s="327"/>
      <c r="P312" s="327" t="str">
        <f>IF(O312="","",O312-O282)</f>
        <v/>
      </c>
      <c r="Q312" s="328"/>
      <c r="R312" s="328"/>
      <c r="S312" s="328"/>
      <c r="T312" s="329"/>
      <c r="U312" s="329"/>
      <c r="V312" s="331"/>
      <c r="X312" s="333"/>
      <c r="Y312" s="327"/>
      <c r="Z312" s="327" t="str">
        <f>IF(Y312="","",Y312-Y282)</f>
        <v/>
      </c>
      <c r="AA312" s="328"/>
      <c r="AB312" s="331"/>
      <c r="AD312" s="333"/>
      <c r="AE312" s="327"/>
      <c r="AF312" s="327" t="str">
        <f>IF(AE312="","",AE312-AE282)</f>
        <v/>
      </c>
      <c r="AG312" s="328"/>
      <c r="AH312" s="331"/>
      <c r="AJ312" s="333"/>
      <c r="AK312" s="327"/>
      <c r="AL312" s="327" t="str">
        <f>IF(AK312="","",AK312-AK282)</f>
        <v/>
      </c>
      <c r="AM312" s="328"/>
      <c r="AN312" s="331"/>
      <c r="AP312" s="333"/>
      <c r="AQ312" s="327"/>
      <c r="AR312" s="327"/>
      <c r="AS312" s="327" t="str">
        <f>IF(AR312="","",AR312-AR282)</f>
        <v/>
      </c>
      <c r="AT312" s="328"/>
      <c r="AU312" s="328"/>
      <c r="AV312" s="328"/>
      <c r="AW312" s="329"/>
      <c r="AX312" s="329"/>
      <c r="AY312" s="331"/>
    </row>
    <row r="313" spans="2:51" ht="15" customHeight="1" x14ac:dyDescent="0.25">
      <c r="B313" s="333">
        <v>46129</v>
      </c>
      <c r="C313" s="336">
        <f>SUM(IF(F313="",0,F313), IF(F314="",0,F314), IF(Q313="",0,Q313), IF(AT313="",0,AT313), IF(AA313="",0,AA313), IF(AG313="",0,AG313), IF(AM313="",0,AM313))</f>
        <v>33100</v>
      </c>
      <c r="D313" s="327">
        <v>22307</v>
      </c>
      <c r="E313" s="327">
        <f t="shared" ref="E313:E344" si="81">IF(D313="","",D313-D311)</f>
        <v>81</v>
      </c>
      <c r="F313" s="328">
        <f t="shared" si="80"/>
        <v>8100</v>
      </c>
      <c r="G313" s="328"/>
      <c r="H313" s="328"/>
      <c r="I313" s="329"/>
      <c r="J313" s="329"/>
      <c r="K313" s="330"/>
      <c r="L313" s="323"/>
      <c r="M313" s="333">
        <f>IF(B313="","",B313)</f>
        <v>46129</v>
      </c>
      <c r="N313" s="327"/>
      <c r="O313" s="327">
        <v>3375</v>
      </c>
      <c r="P313" s="327">
        <f>IF(O313="","",O313-O311)</f>
        <v>8</v>
      </c>
      <c r="Q313" s="328">
        <f>IF(O313="","",P313*1000)</f>
        <v>8000</v>
      </c>
      <c r="R313" s="328"/>
      <c r="S313" s="328"/>
      <c r="T313" s="329"/>
      <c r="U313" s="329"/>
      <c r="V313" s="331"/>
      <c r="X313" s="333">
        <f>IF(AP313="","",AP313)</f>
        <v>46129</v>
      </c>
      <c r="Y313" s="327">
        <v>7945</v>
      </c>
      <c r="Z313" s="327">
        <f>IF(Y313="","",Y313-Y311)</f>
        <v>6</v>
      </c>
      <c r="AA313" s="328">
        <f>IF(Y313="","",Z313*1000)</f>
        <v>6000</v>
      </c>
      <c r="AB313" s="331"/>
      <c r="AD313" s="333">
        <f>IF(X313="","",X313)</f>
        <v>46129</v>
      </c>
      <c r="AE313" s="327">
        <v>5439</v>
      </c>
      <c r="AF313" s="327">
        <f>IF(AE313="","",AE313-AE311)</f>
        <v>0</v>
      </c>
      <c r="AG313" s="328">
        <f>IF(AE313="","",AF313*1000)</f>
        <v>0</v>
      </c>
      <c r="AH313" s="331"/>
      <c r="AJ313" s="333">
        <f>IF(AD313="","",AD313)</f>
        <v>46129</v>
      </c>
      <c r="AK313" s="327">
        <v>7905</v>
      </c>
      <c r="AL313" s="327">
        <f>IF(AK313="","",AK313-AK311)</f>
        <v>6</v>
      </c>
      <c r="AM313" s="328">
        <f>IF(AK313="","",AL313*1000)</f>
        <v>6000</v>
      </c>
      <c r="AN313" s="331"/>
      <c r="AP313" s="333">
        <f>IF(M313="","",M313)</f>
        <v>46129</v>
      </c>
      <c r="AQ313" s="327"/>
      <c r="AR313" s="327">
        <v>9169</v>
      </c>
      <c r="AS313" s="327">
        <f>IF(AR313="","",AR313-AR311)</f>
        <v>4</v>
      </c>
      <c r="AT313" s="328">
        <f>IF(AR313="","",AS313*1000)</f>
        <v>4000</v>
      </c>
      <c r="AU313" s="328"/>
      <c r="AV313" s="328"/>
      <c r="AW313" s="329"/>
      <c r="AX313" s="329"/>
      <c r="AY313" s="331"/>
    </row>
    <row r="314" spans="2:51" ht="15" customHeight="1" x14ac:dyDescent="0.25">
      <c r="B314" s="333"/>
      <c r="C314" s="327"/>
      <c r="D314" s="327">
        <v>7546</v>
      </c>
      <c r="E314" s="327">
        <f t="shared" si="81"/>
        <v>10</v>
      </c>
      <c r="F314" s="328">
        <f t="shared" si="80"/>
        <v>1000</v>
      </c>
      <c r="G314" s="328"/>
      <c r="H314" s="328"/>
      <c r="I314" s="329"/>
      <c r="J314" s="329"/>
      <c r="K314" s="330"/>
      <c r="L314" s="323"/>
      <c r="M314" s="333"/>
      <c r="N314" s="327"/>
      <c r="O314" s="327"/>
      <c r="P314" s="327" t="str">
        <f>IF(O314="","",O314-#REF!)</f>
        <v/>
      </c>
      <c r="Q314" s="328"/>
      <c r="R314" s="328"/>
      <c r="S314" s="328"/>
      <c r="T314" s="329"/>
      <c r="U314" s="329"/>
      <c r="V314" s="331"/>
      <c r="X314" s="333"/>
      <c r="Y314" s="327"/>
      <c r="Z314" s="327" t="str">
        <f>IF(Y314="","",Y314-#REF!)</f>
        <v/>
      </c>
      <c r="AA314" s="328"/>
      <c r="AB314" s="331"/>
      <c r="AD314" s="333"/>
      <c r="AE314" s="327"/>
      <c r="AF314" s="327" t="str">
        <f>IF(AE314="","",AE314-#REF!)</f>
        <v/>
      </c>
      <c r="AG314" s="328"/>
      <c r="AH314" s="331"/>
      <c r="AJ314" s="333"/>
      <c r="AK314" s="327"/>
      <c r="AL314" s="327" t="str">
        <f>IF(AK314="","",AK314-#REF!)</f>
        <v/>
      </c>
      <c r="AM314" s="328"/>
      <c r="AN314" s="331"/>
      <c r="AP314" s="333"/>
      <c r="AQ314" s="327"/>
      <c r="AR314" s="327"/>
      <c r="AS314" s="327" t="str">
        <f>IF(AR314="","",AR314-#REF!)</f>
        <v/>
      </c>
      <c r="AT314" s="328"/>
      <c r="AU314" s="328"/>
      <c r="AV314" s="328"/>
      <c r="AW314" s="329"/>
      <c r="AX314" s="329"/>
      <c r="AY314" s="331"/>
    </row>
    <row r="315" spans="2:51" ht="15" customHeight="1" x14ac:dyDescent="0.25">
      <c r="B315" s="333">
        <v>46132</v>
      </c>
      <c r="C315" s="336">
        <f>SUM(IF(F315="",0,F315), IF(F316="",0,F316), IF(Q315="",0,Q315), IF(AT315="",0,AT315), IF(AA315="",0,AA315), IF(AG315="",0,AG315), IF(AM315="",0,AM315))</f>
        <v>63500</v>
      </c>
      <c r="D315" s="327">
        <v>22557</v>
      </c>
      <c r="E315" s="327">
        <f t="shared" si="81"/>
        <v>250</v>
      </c>
      <c r="F315" s="328">
        <f t="shared" si="80"/>
        <v>25000</v>
      </c>
      <c r="G315" s="328"/>
      <c r="H315" s="328"/>
      <c r="I315" s="329"/>
      <c r="J315" s="329"/>
      <c r="K315" s="330"/>
      <c r="L315" s="319"/>
      <c r="M315" s="333">
        <f t="shared" ref="M315:M325" si="82">IF(B315="","",B315)</f>
        <v>46132</v>
      </c>
      <c r="N315" s="327"/>
      <c r="O315" s="327">
        <v>3387</v>
      </c>
      <c r="P315" s="327">
        <f t="shared" ref="P315:P325" si="83">IF(O315="","",O315-O313)</f>
        <v>12</v>
      </c>
      <c r="Q315" s="328">
        <f t="shared" ref="Q315:Q325" si="84">IF(O315="","",P315*1000)</f>
        <v>12000</v>
      </c>
      <c r="R315" s="328"/>
      <c r="S315" s="328"/>
      <c r="T315" s="329"/>
      <c r="U315" s="329"/>
      <c r="V315" s="331"/>
      <c r="X315" s="333">
        <f>IF(AP315="","",AP315)</f>
        <v>46132</v>
      </c>
      <c r="Y315" s="327">
        <v>7950</v>
      </c>
      <c r="Z315" s="327">
        <f t="shared" ref="Z315:Z325" si="85">IF(Y315="","",Y315-Y313)</f>
        <v>5</v>
      </c>
      <c r="AA315" s="328">
        <f t="shared" ref="AA315:AA325" si="86">IF(Y315="","",Z315*1000)</f>
        <v>5000</v>
      </c>
      <c r="AB315" s="331"/>
      <c r="AD315" s="333">
        <f t="shared" ref="AD315:AD325" si="87">IF(X315="","",X315)</f>
        <v>46132</v>
      </c>
      <c r="AE315" s="327">
        <v>5439</v>
      </c>
      <c r="AF315" s="327">
        <f t="shared" ref="AF315:AF325" si="88">IF(AE315="","",AE315-AE313)</f>
        <v>0</v>
      </c>
      <c r="AG315" s="328">
        <f t="shared" ref="AG315:AG325" si="89">IF(AE315="","",AF315*1000)</f>
        <v>0</v>
      </c>
      <c r="AH315" s="331"/>
      <c r="AJ315" s="333">
        <f t="shared" ref="AJ315:AJ325" si="90">IF(AD315="","",AD315)</f>
        <v>46132</v>
      </c>
      <c r="AK315" s="327">
        <v>7917</v>
      </c>
      <c r="AL315" s="327">
        <f t="shared" ref="AL315:AL325" si="91">IF(AK315="","",AK315-AK313)</f>
        <v>12</v>
      </c>
      <c r="AM315" s="328">
        <f t="shared" ref="AM315:AM325" si="92">IF(AK315="","",AL315*1000)</f>
        <v>12000</v>
      </c>
      <c r="AN315" s="331"/>
      <c r="AP315" s="333">
        <f>IF(M315="","",M315)</f>
        <v>46132</v>
      </c>
      <c r="AQ315" s="327"/>
      <c r="AR315" s="327">
        <v>9175</v>
      </c>
      <c r="AS315" s="327">
        <f t="shared" ref="AS315:AS325" si="93">IF(AR315="","",AR315-AR313)</f>
        <v>6</v>
      </c>
      <c r="AT315" s="328">
        <f t="shared" ref="AT315:AT325" si="94">IF(AR315="","",AS315*1000)</f>
        <v>6000</v>
      </c>
      <c r="AU315" s="328"/>
      <c r="AV315" s="328"/>
      <c r="AW315" s="329"/>
      <c r="AX315" s="329"/>
      <c r="AY315" s="331"/>
    </row>
    <row r="316" spans="2:51" ht="15" customHeight="1" x14ac:dyDescent="0.25">
      <c r="B316" s="333"/>
      <c r="C316" s="327"/>
      <c r="D316" s="327">
        <v>7581</v>
      </c>
      <c r="E316" s="327">
        <f t="shared" si="81"/>
        <v>35</v>
      </c>
      <c r="F316" s="328">
        <f t="shared" si="80"/>
        <v>3500</v>
      </c>
      <c r="G316" s="328"/>
      <c r="H316" s="328"/>
      <c r="I316" s="329"/>
      <c r="J316" s="329"/>
      <c r="K316" s="330"/>
      <c r="L316" s="319"/>
      <c r="M316" s="333" t="str">
        <f t="shared" si="82"/>
        <v/>
      </c>
      <c r="N316" s="327"/>
      <c r="O316" s="327"/>
      <c r="P316" s="327" t="str">
        <f t="shared" si="83"/>
        <v/>
      </c>
      <c r="Q316" s="328" t="str">
        <f t="shared" si="84"/>
        <v/>
      </c>
      <c r="R316" s="328"/>
      <c r="S316" s="328"/>
      <c r="T316" s="329"/>
      <c r="U316" s="329"/>
      <c r="V316" s="331"/>
      <c r="X316" s="333" t="str">
        <f>IF(AP316="","",AP316)</f>
        <v/>
      </c>
      <c r="Y316" s="327"/>
      <c r="Z316" s="327" t="str">
        <f t="shared" si="85"/>
        <v/>
      </c>
      <c r="AA316" s="328" t="str">
        <f t="shared" si="86"/>
        <v/>
      </c>
      <c r="AB316" s="331"/>
      <c r="AD316" s="333" t="str">
        <f t="shared" si="87"/>
        <v/>
      </c>
      <c r="AE316" s="327"/>
      <c r="AF316" s="327" t="str">
        <f t="shared" si="88"/>
        <v/>
      </c>
      <c r="AG316" s="328" t="str">
        <f t="shared" si="89"/>
        <v/>
      </c>
      <c r="AH316" s="331"/>
      <c r="AJ316" s="333" t="str">
        <f t="shared" si="90"/>
        <v/>
      </c>
      <c r="AK316" s="327"/>
      <c r="AL316" s="327" t="str">
        <f t="shared" si="91"/>
        <v/>
      </c>
      <c r="AM316" s="328" t="str">
        <f t="shared" si="92"/>
        <v/>
      </c>
      <c r="AN316" s="331"/>
      <c r="AP316" s="333" t="str">
        <f>IF(M316="","",M316)</f>
        <v/>
      </c>
      <c r="AQ316" s="327"/>
      <c r="AR316" s="327"/>
      <c r="AS316" s="327" t="str">
        <f t="shared" si="93"/>
        <v/>
      </c>
      <c r="AT316" s="328" t="str">
        <f t="shared" si="94"/>
        <v/>
      </c>
      <c r="AU316" s="328"/>
      <c r="AV316" s="328"/>
      <c r="AW316" s="329"/>
      <c r="AX316" s="329"/>
      <c r="AY316" s="331"/>
    </row>
    <row r="317" spans="2:51" ht="15" customHeight="1" x14ac:dyDescent="0.25">
      <c r="B317" s="333">
        <v>46136</v>
      </c>
      <c r="C317" s="336">
        <f>SUM(IF(F317="",0,F317), IF(F318="",0,F318), IF(Q317="",0,Q317), IF(AT317="",0,AT317), IF(AA317="",0,AA317), IF(AG317="",0,AG317), IF(AM317="",0,AM317))</f>
        <v>70600</v>
      </c>
      <c r="D317" s="327">
        <v>22673</v>
      </c>
      <c r="E317" s="327">
        <f t="shared" si="81"/>
        <v>116</v>
      </c>
      <c r="F317" s="328">
        <f t="shared" si="80"/>
        <v>11600</v>
      </c>
      <c r="G317" s="328"/>
      <c r="H317" s="328"/>
      <c r="I317" s="329"/>
      <c r="J317" s="329"/>
      <c r="K317" s="330"/>
      <c r="L317" s="319"/>
      <c r="M317" s="333">
        <f t="shared" si="82"/>
        <v>46136</v>
      </c>
      <c r="N317" s="327"/>
      <c r="O317" s="327">
        <v>3409</v>
      </c>
      <c r="P317" s="327">
        <f t="shared" si="83"/>
        <v>22</v>
      </c>
      <c r="Q317" s="328">
        <f t="shared" si="84"/>
        <v>22000</v>
      </c>
      <c r="R317" s="328"/>
      <c r="S317" s="328"/>
      <c r="T317" s="329"/>
      <c r="U317" s="329"/>
      <c r="V317" s="330"/>
      <c r="X317" s="333">
        <f>IF(AP317="","",AP317)</f>
        <v>46136</v>
      </c>
      <c r="Y317" s="327">
        <v>7958</v>
      </c>
      <c r="Z317" s="327">
        <f t="shared" si="85"/>
        <v>8</v>
      </c>
      <c r="AA317" s="328">
        <f t="shared" si="86"/>
        <v>8000</v>
      </c>
      <c r="AB317" s="330"/>
      <c r="AD317" s="333">
        <f t="shared" si="87"/>
        <v>46136</v>
      </c>
      <c r="AE317" s="327">
        <v>5439</v>
      </c>
      <c r="AF317" s="327">
        <f t="shared" si="88"/>
        <v>0</v>
      </c>
      <c r="AG317" s="328">
        <f t="shared" si="89"/>
        <v>0</v>
      </c>
      <c r="AH317" s="331"/>
      <c r="AJ317" s="333">
        <f t="shared" si="90"/>
        <v>46136</v>
      </c>
      <c r="AK317" s="327">
        <v>7921</v>
      </c>
      <c r="AL317" s="327">
        <f t="shared" si="91"/>
        <v>4</v>
      </c>
      <c r="AM317" s="328">
        <f t="shared" si="92"/>
        <v>4000</v>
      </c>
      <c r="AN317" s="330"/>
      <c r="AP317" s="333">
        <f>IF(M317="","",M317)</f>
        <v>46136</v>
      </c>
      <c r="AQ317" s="327"/>
      <c r="AR317" s="327">
        <v>9199</v>
      </c>
      <c r="AS317" s="327">
        <f t="shared" si="93"/>
        <v>24</v>
      </c>
      <c r="AT317" s="328">
        <f t="shared" si="94"/>
        <v>24000</v>
      </c>
      <c r="AU317" s="328"/>
      <c r="AV317" s="328"/>
      <c r="AW317" s="329"/>
      <c r="AX317" s="329"/>
      <c r="AY317" s="331"/>
    </row>
    <row r="318" spans="2:51" ht="15" customHeight="1" x14ac:dyDescent="0.25">
      <c r="B318" s="333"/>
      <c r="C318" s="327"/>
      <c r="D318" s="327">
        <v>7591</v>
      </c>
      <c r="E318" s="327">
        <f t="shared" si="81"/>
        <v>10</v>
      </c>
      <c r="F318" s="328">
        <f t="shared" si="80"/>
        <v>1000</v>
      </c>
      <c r="G318" s="328"/>
      <c r="H318" s="328"/>
      <c r="I318" s="329"/>
      <c r="J318" s="329"/>
      <c r="K318" s="330"/>
      <c r="L318" s="323"/>
      <c r="M318" s="333" t="str">
        <f t="shared" si="82"/>
        <v/>
      </c>
      <c r="N318" s="327"/>
      <c r="O318" s="327"/>
      <c r="P318" s="327" t="str">
        <f t="shared" si="83"/>
        <v/>
      </c>
      <c r="Q318" s="328" t="str">
        <f t="shared" si="84"/>
        <v/>
      </c>
      <c r="R318" s="328"/>
      <c r="S318" s="328"/>
      <c r="T318" s="329"/>
      <c r="U318" s="329"/>
      <c r="V318" s="331"/>
      <c r="X318" s="333" t="str">
        <f>IF(AP318="","",AP318)</f>
        <v/>
      </c>
      <c r="Y318" s="327"/>
      <c r="Z318" s="327" t="str">
        <f t="shared" si="85"/>
        <v/>
      </c>
      <c r="AA318" s="328" t="str">
        <f t="shared" si="86"/>
        <v/>
      </c>
      <c r="AB318" s="331"/>
      <c r="AD318" s="333" t="str">
        <f t="shared" si="87"/>
        <v/>
      </c>
      <c r="AE318" s="327"/>
      <c r="AF318" s="327" t="str">
        <f t="shared" si="88"/>
        <v/>
      </c>
      <c r="AG318" s="328" t="str">
        <f t="shared" si="89"/>
        <v/>
      </c>
      <c r="AH318" s="331"/>
      <c r="AJ318" s="333" t="str">
        <f t="shared" si="90"/>
        <v/>
      </c>
      <c r="AK318" s="327"/>
      <c r="AL318" s="327" t="str">
        <f t="shared" si="91"/>
        <v/>
      </c>
      <c r="AM318" s="328" t="str">
        <f t="shared" si="92"/>
        <v/>
      </c>
      <c r="AN318" s="331"/>
      <c r="AP318" s="333" t="str">
        <f>IF(M318="","",M318)</f>
        <v/>
      </c>
      <c r="AQ318" s="327"/>
      <c r="AR318" s="327"/>
      <c r="AS318" s="327" t="str">
        <f t="shared" si="93"/>
        <v/>
      </c>
      <c r="AT318" s="328" t="str">
        <f t="shared" si="94"/>
        <v/>
      </c>
      <c r="AU318" s="328"/>
      <c r="AV318" s="328"/>
      <c r="AW318" s="329"/>
      <c r="AX318" s="329"/>
      <c r="AY318" s="331"/>
    </row>
    <row r="319" spans="2:51" ht="15" customHeight="1" x14ac:dyDescent="0.25">
      <c r="B319" s="333">
        <v>46139</v>
      </c>
      <c r="C319" s="336">
        <f>SUM(IF(F319="",0,F319), IF(F320="",0,F320), IF(Q319="",0,Q319), IF(AT319="",0,AT319), IF(AA319="",0,AA319), IF(AG319="",0,AG319), IF(AM319="",0,AM319))</f>
        <v>63500</v>
      </c>
      <c r="D319" s="327">
        <v>22768</v>
      </c>
      <c r="E319" s="327">
        <f t="shared" si="81"/>
        <v>95</v>
      </c>
      <c r="F319" s="328">
        <f t="shared" si="80"/>
        <v>9500</v>
      </c>
      <c r="G319" s="328"/>
      <c r="H319" s="328"/>
      <c r="I319" s="329"/>
      <c r="J319" s="329"/>
      <c r="K319" s="330"/>
      <c r="L319" s="324"/>
      <c r="M319" s="333">
        <f t="shared" si="82"/>
        <v>46139</v>
      </c>
      <c r="N319" s="327"/>
      <c r="O319" s="327">
        <v>3415</v>
      </c>
      <c r="P319" s="327">
        <f t="shared" si="83"/>
        <v>6</v>
      </c>
      <c r="Q319" s="328">
        <f t="shared" si="84"/>
        <v>6000</v>
      </c>
      <c r="R319" s="328"/>
      <c r="S319" s="328"/>
      <c r="T319" s="329"/>
      <c r="U319" s="329"/>
      <c r="V319" s="331"/>
      <c r="X319" s="333">
        <f>IF(AP319="","",AP319)</f>
        <v>46139</v>
      </c>
      <c r="Y319" s="327">
        <v>7988</v>
      </c>
      <c r="Z319" s="327">
        <f t="shared" si="85"/>
        <v>30</v>
      </c>
      <c r="AA319" s="328">
        <f t="shared" si="86"/>
        <v>30000</v>
      </c>
      <c r="AB319" s="331"/>
      <c r="AD319" s="333">
        <f t="shared" si="87"/>
        <v>46139</v>
      </c>
      <c r="AE319" s="327">
        <v>5443</v>
      </c>
      <c r="AF319" s="327">
        <f t="shared" si="88"/>
        <v>4</v>
      </c>
      <c r="AG319" s="328">
        <f t="shared" si="89"/>
        <v>4000</v>
      </c>
      <c r="AH319" s="331"/>
      <c r="AJ319" s="333">
        <f t="shared" si="90"/>
        <v>46139</v>
      </c>
      <c r="AK319" s="327">
        <v>7929</v>
      </c>
      <c r="AL319" s="327">
        <f t="shared" si="91"/>
        <v>8</v>
      </c>
      <c r="AM319" s="328">
        <f t="shared" si="92"/>
        <v>8000</v>
      </c>
      <c r="AN319" s="331"/>
      <c r="AP319" s="333">
        <f>IF(M319="","",M319)</f>
        <v>46139</v>
      </c>
      <c r="AQ319" s="327"/>
      <c r="AR319" s="327">
        <v>9201</v>
      </c>
      <c r="AS319" s="327">
        <f t="shared" si="93"/>
        <v>2</v>
      </c>
      <c r="AT319" s="328">
        <f t="shared" si="94"/>
        <v>2000</v>
      </c>
      <c r="AU319" s="328"/>
      <c r="AV319" s="328"/>
      <c r="AW319" s="329"/>
      <c r="AX319" s="329"/>
      <c r="AY319" s="331"/>
    </row>
    <row r="320" spans="2:51" ht="15" customHeight="1" x14ac:dyDescent="0.25">
      <c r="B320" s="333"/>
      <c r="C320" s="327"/>
      <c r="D320" s="327">
        <v>7631</v>
      </c>
      <c r="E320" s="327">
        <f t="shared" si="81"/>
        <v>40</v>
      </c>
      <c r="F320" s="328">
        <f t="shared" si="80"/>
        <v>4000</v>
      </c>
      <c r="G320" s="328"/>
      <c r="H320" s="328"/>
      <c r="I320" s="329"/>
      <c r="J320" s="329"/>
      <c r="K320" s="330"/>
      <c r="L320" s="323"/>
      <c r="M320" s="333" t="str">
        <f t="shared" si="82"/>
        <v/>
      </c>
      <c r="N320" s="327"/>
      <c r="O320" s="327"/>
      <c r="P320" s="327" t="str">
        <f t="shared" si="83"/>
        <v/>
      </c>
      <c r="Q320" s="328" t="str">
        <f t="shared" si="84"/>
        <v/>
      </c>
      <c r="R320" s="328"/>
      <c r="S320" s="328"/>
      <c r="T320" s="329"/>
      <c r="U320" s="329"/>
      <c r="V320" s="331"/>
      <c r="X320" s="333" t="str">
        <f>IF(AP320="","",AP320)</f>
        <v/>
      </c>
      <c r="Y320" s="327"/>
      <c r="Z320" s="327" t="str">
        <f t="shared" si="85"/>
        <v/>
      </c>
      <c r="AA320" s="328" t="str">
        <f t="shared" si="86"/>
        <v/>
      </c>
      <c r="AB320" s="331"/>
      <c r="AD320" s="333" t="str">
        <f t="shared" si="87"/>
        <v/>
      </c>
      <c r="AE320" s="327"/>
      <c r="AF320" s="327" t="str">
        <f t="shared" si="88"/>
        <v/>
      </c>
      <c r="AG320" s="328" t="str">
        <f t="shared" si="89"/>
        <v/>
      </c>
      <c r="AH320" s="331"/>
      <c r="AJ320" s="333" t="str">
        <f t="shared" si="90"/>
        <v/>
      </c>
      <c r="AK320" s="327"/>
      <c r="AL320" s="327" t="str">
        <f t="shared" si="91"/>
        <v/>
      </c>
      <c r="AM320" s="328" t="str">
        <f t="shared" si="92"/>
        <v/>
      </c>
      <c r="AN320" s="331"/>
      <c r="AP320" s="333" t="str">
        <f>IF(M320="","",M320)</f>
        <v/>
      </c>
      <c r="AQ320" s="327"/>
      <c r="AR320" s="327"/>
      <c r="AS320" s="327" t="str">
        <f t="shared" si="93"/>
        <v/>
      </c>
      <c r="AT320" s="328" t="str">
        <f t="shared" si="94"/>
        <v/>
      </c>
      <c r="AU320" s="328"/>
      <c r="AV320" s="328"/>
      <c r="AW320" s="329"/>
      <c r="AX320" s="329"/>
      <c r="AY320" s="331"/>
    </row>
    <row r="321" spans="2:51" ht="15.75" customHeight="1" x14ac:dyDescent="0.25">
      <c r="B321" s="333">
        <v>46143</v>
      </c>
      <c r="C321" s="336">
        <f>SUM(IF(F321="",0,F321), IF(F322="",0,F322), IF(Q321="",0,Q321), IF(AT321="",0,AT321), IF(AA321="",0,AA321), IF(AG321="",0,AG321), IF(AM321="",0,AM321))</f>
        <v>86000</v>
      </c>
      <c r="D321" s="327">
        <v>22803</v>
      </c>
      <c r="E321" s="327">
        <f t="shared" si="81"/>
        <v>35</v>
      </c>
      <c r="F321" s="328">
        <f t="shared" si="80"/>
        <v>3500</v>
      </c>
      <c r="G321" s="328"/>
      <c r="H321" s="328"/>
      <c r="I321" s="329"/>
      <c r="J321" s="329"/>
      <c r="K321" s="783" t="s">
        <v>382</v>
      </c>
      <c r="L321" s="323"/>
      <c r="M321" s="333">
        <f t="shared" si="82"/>
        <v>46143</v>
      </c>
      <c r="N321" s="327"/>
      <c r="O321" s="327">
        <v>3429</v>
      </c>
      <c r="P321" s="327">
        <f t="shared" si="83"/>
        <v>14</v>
      </c>
      <c r="Q321" s="328">
        <f t="shared" si="84"/>
        <v>14000</v>
      </c>
      <c r="R321" s="328"/>
      <c r="S321" s="328"/>
      <c r="T321" s="329"/>
      <c r="U321" s="329"/>
      <c r="V321" s="331"/>
      <c r="X321" s="333">
        <f>IF(AP321="","",AP321)</f>
        <v>46143</v>
      </c>
      <c r="Y321" s="327">
        <v>8018</v>
      </c>
      <c r="Z321" s="327">
        <f t="shared" si="85"/>
        <v>30</v>
      </c>
      <c r="AA321" s="328">
        <f t="shared" si="86"/>
        <v>30000</v>
      </c>
      <c r="AB321" s="331"/>
      <c r="AD321" s="333">
        <f t="shared" si="87"/>
        <v>46143</v>
      </c>
      <c r="AE321" s="327">
        <v>5447</v>
      </c>
      <c r="AF321" s="327">
        <f t="shared" si="88"/>
        <v>4</v>
      </c>
      <c r="AG321" s="328">
        <f t="shared" si="89"/>
        <v>4000</v>
      </c>
      <c r="AH321" s="391"/>
      <c r="AJ321" s="333">
        <f t="shared" si="90"/>
        <v>46143</v>
      </c>
      <c r="AK321" s="327">
        <v>7937</v>
      </c>
      <c r="AL321" s="327">
        <f t="shared" si="91"/>
        <v>8</v>
      </c>
      <c r="AM321" s="328">
        <f t="shared" si="92"/>
        <v>8000</v>
      </c>
      <c r="AN321" s="331"/>
      <c r="AP321" s="333">
        <f>IF(M321="","",M321)</f>
        <v>46143</v>
      </c>
      <c r="AQ321" s="327"/>
      <c r="AR321" s="327">
        <v>9219</v>
      </c>
      <c r="AS321" s="327">
        <f t="shared" si="93"/>
        <v>18</v>
      </c>
      <c r="AT321" s="328">
        <f t="shared" si="94"/>
        <v>18000</v>
      </c>
      <c r="AU321" s="328"/>
      <c r="AV321" s="328"/>
      <c r="AW321" s="329"/>
      <c r="AX321" s="329"/>
      <c r="AY321" s="331"/>
    </row>
    <row r="322" spans="2:51" ht="17.25" customHeight="1" x14ac:dyDescent="0.25">
      <c r="B322" s="333"/>
      <c r="C322" s="327"/>
      <c r="D322" s="327">
        <v>7716</v>
      </c>
      <c r="E322" s="327">
        <f t="shared" si="81"/>
        <v>85</v>
      </c>
      <c r="F322" s="328">
        <f t="shared" si="80"/>
        <v>8500</v>
      </c>
      <c r="G322" s="328"/>
      <c r="H322" s="328"/>
      <c r="I322" s="329"/>
      <c r="J322" s="329"/>
      <c r="K322" s="330" t="s">
        <v>375</v>
      </c>
      <c r="L322" s="323"/>
      <c r="M322" s="333" t="str">
        <f t="shared" si="82"/>
        <v/>
      </c>
      <c r="N322" s="327"/>
      <c r="O322" s="327"/>
      <c r="P322" s="327" t="str">
        <f t="shared" si="83"/>
        <v/>
      </c>
      <c r="Q322" s="328" t="str">
        <f t="shared" si="84"/>
        <v/>
      </c>
      <c r="R322" s="328"/>
      <c r="S322" s="328"/>
      <c r="T322" s="329"/>
      <c r="U322" s="329"/>
      <c r="V322" s="331"/>
      <c r="X322" s="333" t="str">
        <f>IF(AP322="","",AP322)</f>
        <v/>
      </c>
      <c r="Y322" s="327"/>
      <c r="Z322" s="327" t="str">
        <f t="shared" si="85"/>
        <v/>
      </c>
      <c r="AA322" s="328" t="str">
        <f t="shared" si="86"/>
        <v/>
      </c>
      <c r="AB322" s="331"/>
      <c r="AD322" s="333" t="str">
        <f t="shared" si="87"/>
        <v/>
      </c>
      <c r="AE322" s="327"/>
      <c r="AF322" s="327" t="str">
        <f t="shared" si="88"/>
        <v/>
      </c>
      <c r="AG322" s="328" t="str">
        <f t="shared" si="89"/>
        <v/>
      </c>
      <c r="AH322" s="331"/>
      <c r="AJ322" s="333" t="str">
        <f t="shared" si="90"/>
        <v/>
      </c>
      <c r="AK322" s="327"/>
      <c r="AL322" s="327" t="str">
        <f t="shared" si="91"/>
        <v/>
      </c>
      <c r="AM322" s="328" t="str">
        <f t="shared" si="92"/>
        <v/>
      </c>
      <c r="AN322" s="331"/>
      <c r="AP322" s="333" t="str">
        <f>IF(M322="","",M322)</f>
        <v/>
      </c>
      <c r="AQ322" s="327"/>
      <c r="AR322" s="327"/>
      <c r="AS322" s="327" t="str">
        <f t="shared" si="93"/>
        <v/>
      </c>
      <c r="AT322" s="328" t="str">
        <f t="shared" si="94"/>
        <v/>
      </c>
      <c r="AU322" s="328"/>
      <c r="AV322" s="328"/>
      <c r="AW322" s="329"/>
      <c r="AX322" s="329"/>
      <c r="AY322" s="331"/>
    </row>
    <row r="323" spans="2:51" ht="18.75" x14ac:dyDescent="0.25">
      <c r="B323" s="333">
        <v>46146</v>
      </c>
      <c r="C323" s="336">
        <f>SUM(IF(F323="",0,F323), IF(F324="",0,F324), IF(Q323="",0,Q323), IF(AT323="",0,AT323), IF(AA323="",0,AA323), IF(AG323="",0,AG323), IF(AM323="",0,AM323))</f>
        <v>43500</v>
      </c>
      <c r="D323" s="327">
        <v>22993</v>
      </c>
      <c r="E323" s="327">
        <f t="shared" si="81"/>
        <v>190</v>
      </c>
      <c r="F323" s="328">
        <f t="shared" si="80"/>
        <v>19000</v>
      </c>
      <c r="G323" s="328"/>
      <c r="H323" s="328"/>
      <c r="I323" s="329"/>
      <c r="J323" s="329"/>
      <c r="K323" s="330"/>
      <c r="L323" s="323"/>
      <c r="M323" s="333">
        <f t="shared" si="82"/>
        <v>46146</v>
      </c>
      <c r="N323" s="327"/>
      <c r="O323" s="327">
        <v>3451</v>
      </c>
      <c r="P323" s="327">
        <f t="shared" si="83"/>
        <v>22</v>
      </c>
      <c r="Q323" s="328">
        <f t="shared" si="84"/>
        <v>22000</v>
      </c>
      <c r="R323" s="328"/>
      <c r="S323" s="328"/>
      <c r="T323" s="329"/>
      <c r="U323" s="329"/>
      <c r="V323" s="331"/>
      <c r="X323" s="333">
        <f>IF(AP323="","",AP323)</f>
        <v>46146</v>
      </c>
      <c r="Y323" s="327">
        <v>8018</v>
      </c>
      <c r="Z323" s="327">
        <f t="shared" si="85"/>
        <v>0</v>
      </c>
      <c r="AA323" s="328">
        <f t="shared" si="86"/>
        <v>0</v>
      </c>
      <c r="AB323" s="331"/>
      <c r="AD323" s="333">
        <f t="shared" si="87"/>
        <v>46146</v>
      </c>
      <c r="AE323" s="327">
        <v>5447</v>
      </c>
      <c r="AF323" s="327">
        <f t="shared" si="88"/>
        <v>0</v>
      </c>
      <c r="AG323" s="328">
        <f t="shared" si="89"/>
        <v>0</v>
      </c>
      <c r="AH323" s="331"/>
      <c r="AJ323" s="333">
        <f t="shared" si="90"/>
        <v>46146</v>
      </c>
      <c r="AK323" s="327">
        <v>7937</v>
      </c>
      <c r="AL323" s="327">
        <f t="shared" si="91"/>
        <v>0</v>
      </c>
      <c r="AM323" s="328">
        <f t="shared" si="92"/>
        <v>0</v>
      </c>
      <c r="AN323" s="331"/>
      <c r="AP323" s="333">
        <f>IF(M323="","",M323)</f>
        <v>46146</v>
      </c>
      <c r="AQ323" s="327"/>
      <c r="AR323" s="327">
        <v>9219</v>
      </c>
      <c r="AS323" s="327">
        <f t="shared" si="93"/>
        <v>0</v>
      </c>
      <c r="AT323" s="328"/>
      <c r="AU323" s="328"/>
      <c r="AV323" s="328"/>
      <c r="AW323" s="329"/>
      <c r="AX323" s="329"/>
      <c r="AY323" s="331"/>
    </row>
    <row r="324" spans="2:51" ht="15" customHeight="1" x14ac:dyDescent="0.25">
      <c r="B324" s="333"/>
      <c r="C324" s="744"/>
      <c r="D324" s="327">
        <v>7741</v>
      </c>
      <c r="E324" s="327">
        <f t="shared" si="81"/>
        <v>25</v>
      </c>
      <c r="F324" s="328">
        <f t="shared" si="80"/>
        <v>2500</v>
      </c>
      <c r="G324" s="328"/>
      <c r="H324" s="328"/>
      <c r="I324" s="329"/>
      <c r="J324" s="329"/>
      <c r="K324" s="330"/>
      <c r="L324" s="323"/>
      <c r="M324" s="333" t="str">
        <f t="shared" si="82"/>
        <v/>
      </c>
      <c r="N324" s="327"/>
      <c r="O324" s="327"/>
      <c r="P324" s="327" t="str">
        <f t="shared" si="83"/>
        <v/>
      </c>
      <c r="Q324" s="328" t="str">
        <f t="shared" si="84"/>
        <v/>
      </c>
      <c r="R324" s="328"/>
      <c r="S324" s="328"/>
      <c r="T324" s="329"/>
      <c r="U324" s="329"/>
      <c r="V324" s="331"/>
      <c r="X324" s="333" t="str">
        <f>IF(AP324="","",AP324)</f>
        <v/>
      </c>
      <c r="Y324" s="327"/>
      <c r="Z324" s="327" t="str">
        <f t="shared" si="85"/>
        <v/>
      </c>
      <c r="AA324" s="328" t="str">
        <f t="shared" si="86"/>
        <v/>
      </c>
      <c r="AB324" s="331"/>
      <c r="AD324" s="333" t="str">
        <f t="shared" si="87"/>
        <v/>
      </c>
      <c r="AE324" s="327"/>
      <c r="AF324" s="327" t="str">
        <f t="shared" si="88"/>
        <v/>
      </c>
      <c r="AG324" s="328" t="str">
        <f t="shared" si="89"/>
        <v/>
      </c>
      <c r="AH324" s="331"/>
      <c r="AJ324" s="333" t="str">
        <f t="shared" si="90"/>
        <v/>
      </c>
      <c r="AK324" s="327"/>
      <c r="AL324" s="327" t="str">
        <f t="shared" si="91"/>
        <v/>
      </c>
      <c r="AM324" s="328" t="str">
        <f t="shared" si="92"/>
        <v/>
      </c>
      <c r="AN324" s="331"/>
      <c r="AP324" s="333" t="str">
        <f>IF(M324="","",M324)</f>
        <v/>
      </c>
      <c r="AQ324" s="327"/>
      <c r="AR324" s="327"/>
      <c r="AS324" s="327" t="str">
        <f t="shared" si="93"/>
        <v/>
      </c>
      <c r="AT324" s="328" t="str">
        <f t="shared" si="94"/>
        <v/>
      </c>
      <c r="AU324" s="328"/>
      <c r="AV324" s="328"/>
      <c r="AW324" s="329"/>
      <c r="AX324" s="329"/>
      <c r="AY324" s="331"/>
    </row>
    <row r="325" spans="2:51" ht="15" customHeight="1" x14ac:dyDescent="0.25">
      <c r="B325" s="515">
        <v>46149</v>
      </c>
      <c r="C325" s="804">
        <f>SUM(IF(F325="",0,F325), IF(F326="",0,F326), IF(Q325="",0,Q325), IF(AT325="",0,AT325), IF(AA325="",0,AA325), IF(AG325="",0,AG325), IF(AM325="",0,AM325))</f>
        <v>103500</v>
      </c>
      <c r="D325" s="809">
        <v>23163</v>
      </c>
      <c r="E325" s="327">
        <f t="shared" si="81"/>
        <v>170</v>
      </c>
      <c r="F325" s="328">
        <f t="shared" si="80"/>
        <v>17000</v>
      </c>
      <c r="G325" s="328"/>
      <c r="H325" s="328"/>
      <c r="I325" s="329"/>
      <c r="J325" s="329"/>
      <c r="K325" s="330"/>
      <c r="L325" s="323"/>
      <c r="M325" s="333">
        <f t="shared" si="82"/>
        <v>46149</v>
      </c>
      <c r="N325" s="327"/>
      <c r="O325" s="327">
        <v>3465</v>
      </c>
      <c r="P325" s="327">
        <f t="shared" si="83"/>
        <v>14</v>
      </c>
      <c r="Q325" s="328">
        <f t="shared" si="84"/>
        <v>14000</v>
      </c>
      <c r="R325" s="328"/>
      <c r="S325" s="328"/>
      <c r="T325" s="329"/>
      <c r="U325" s="329"/>
      <c r="V325" s="331"/>
      <c r="X325" s="333">
        <f>IF(AP325="","",AP325)</f>
        <v>46149</v>
      </c>
      <c r="Y325" s="327">
        <v>8042</v>
      </c>
      <c r="Z325" s="327">
        <f t="shared" si="85"/>
        <v>24</v>
      </c>
      <c r="AA325" s="328">
        <f t="shared" si="86"/>
        <v>24000</v>
      </c>
      <c r="AB325" s="331"/>
      <c r="AD325" s="333">
        <f t="shared" si="87"/>
        <v>46149</v>
      </c>
      <c r="AE325" s="327">
        <v>5455</v>
      </c>
      <c r="AF325" s="327">
        <f t="shared" si="88"/>
        <v>8</v>
      </c>
      <c r="AG325" s="328">
        <f t="shared" si="89"/>
        <v>8000</v>
      </c>
      <c r="AH325" s="331"/>
      <c r="AJ325" s="333">
        <f t="shared" si="90"/>
        <v>46149</v>
      </c>
      <c r="AK325" s="327">
        <v>7955</v>
      </c>
      <c r="AL325" s="327">
        <f t="shared" si="91"/>
        <v>18</v>
      </c>
      <c r="AM325" s="328">
        <f t="shared" si="92"/>
        <v>18000</v>
      </c>
      <c r="AN325" s="331"/>
      <c r="AP325" s="333">
        <f>IF(M325="","",M325)</f>
        <v>46149</v>
      </c>
      <c r="AQ325" s="327"/>
      <c r="AR325" s="327">
        <v>9237</v>
      </c>
      <c r="AS325" s="327">
        <f t="shared" si="93"/>
        <v>18</v>
      </c>
      <c r="AT325" s="328">
        <f t="shared" si="94"/>
        <v>18000</v>
      </c>
      <c r="AU325" s="328"/>
      <c r="AV325" s="328"/>
      <c r="AW325" s="329"/>
      <c r="AX325" s="329"/>
      <c r="AY325" s="331"/>
    </row>
    <row r="326" spans="2:51" ht="15" customHeight="1" x14ac:dyDescent="0.25">
      <c r="B326" s="515"/>
      <c r="C326" s="804"/>
      <c r="D326" s="802">
        <v>7786</v>
      </c>
      <c r="E326" s="327">
        <f t="shared" si="81"/>
        <v>45</v>
      </c>
      <c r="F326" s="328">
        <f t="shared" si="80"/>
        <v>4500</v>
      </c>
      <c r="G326" s="328"/>
      <c r="H326" s="328"/>
      <c r="I326" s="329"/>
      <c r="J326" s="329"/>
      <c r="K326" s="330"/>
      <c r="L326" s="323"/>
      <c r="M326" s="333"/>
      <c r="N326" s="327"/>
      <c r="O326" s="327"/>
      <c r="P326" s="327"/>
      <c r="Q326" s="328"/>
      <c r="R326" s="328"/>
      <c r="S326" s="328"/>
      <c r="T326" s="329"/>
      <c r="U326" s="329"/>
      <c r="V326" s="331"/>
      <c r="X326" s="333"/>
      <c r="Y326" s="327"/>
      <c r="Z326" s="327"/>
      <c r="AA326" s="328"/>
      <c r="AB326" s="331"/>
      <c r="AD326" s="333"/>
      <c r="AE326" s="327"/>
      <c r="AF326" s="327"/>
      <c r="AG326" s="328"/>
      <c r="AH326" s="331"/>
      <c r="AJ326" s="333"/>
      <c r="AK326" s="327"/>
      <c r="AL326" s="327"/>
      <c r="AM326" s="328"/>
      <c r="AN326" s="331"/>
      <c r="AP326" s="333"/>
      <c r="AQ326" s="327"/>
      <c r="AR326" s="327"/>
      <c r="AS326" s="327"/>
      <c r="AT326" s="328"/>
      <c r="AU326" s="328"/>
      <c r="AV326" s="328"/>
      <c r="AW326" s="329"/>
      <c r="AX326" s="329"/>
      <c r="AY326" s="331"/>
    </row>
    <row r="327" spans="2:51" ht="15" customHeight="1" x14ac:dyDescent="0.25">
      <c r="B327" s="515">
        <v>46153</v>
      </c>
      <c r="C327" s="804">
        <f>SUM(IF(F327="",0,F327), IF(F328="",0,F328), IF(Q327="",0,Q327), IF(AT327="",0,AT327), IF(AA327="",0,AA327), IF(AG327="",0,AG327), IF(AM327="",0,AM327))</f>
        <v>64000</v>
      </c>
      <c r="D327" s="806">
        <v>23163</v>
      </c>
      <c r="E327" s="327">
        <f>IF(D327="","",D327-D325)</f>
        <v>0</v>
      </c>
      <c r="F327" s="328">
        <f>IF(D327="","",E327*100)</f>
        <v>0</v>
      </c>
      <c r="G327" s="328"/>
      <c r="H327" s="328"/>
      <c r="I327" s="329"/>
      <c r="J327" s="329"/>
      <c r="K327" s="330"/>
      <c r="L327" s="323"/>
      <c r="M327" s="333">
        <v>46153</v>
      </c>
      <c r="N327" s="327"/>
      <c r="O327" s="807">
        <v>3483</v>
      </c>
      <c r="P327" s="327">
        <v>8</v>
      </c>
      <c r="Q327" s="328">
        <v>8000</v>
      </c>
      <c r="R327" s="328"/>
      <c r="S327" s="328"/>
      <c r="T327" s="329"/>
      <c r="U327" s="329"/>
      <c r="V327" s="331"/>
      <c r="X327" s="333">
        <v>46153</v>
      </c>
      <c r="Y327" s="807">
        <v>8054</v>
      </c>
      <c r="Z327" s="327">
        <v>12</v>
      </c>
      <c r="AA327" s="328">
        <v>12000</v>
      </c>
      <c r="AB327" s="331"/>
      <c r="AD327" s="333">
        <v>46153</v>
      </c>
      <c r="AE327" s="807">
        <v>5459</v>
      </c>
      <c r="AF327" s="327">
        <v>2</v>
      </c>
      <c r="AG327" s="328">
        <v>2000</v>
      </c>
      <c r="AH327" s="331"/>
      <c r="AJ327" s="333">
        <v>46153</v>
      </c>
      <c r="AK327" s="807">
        <v>7981</v>
      </c>
      <c r="AL327" s="327">
        <v>24</v>
      </c>
      <c r="AM327" s="328">
        <v>24000</v>
      </c>
      <c r="AN327" s="331"/>
      <c r="AP327" s="333">
        <v>46153</v>
      </c>
      <c r="AQ327" s="327"/>
      <c r="AR327" s="807">
        <v>9255</v>
      </c>
      <c r="AS327" s="327">
        <v>18</v>
      </c>
      <c r="AT327" s="328">
        <v>18000</v>
      </c>
      <c r="AU327" s="328"/>
      <c r="AV327" s="328"/>
      <c r="AW327" s="329"/>
      <c r="AX327" s="329"/>
      <c r="AY327" s="331"/>
    </row>
    <row r="328" spans="2:51" ht="15" customHeight="1" x14ac:dyDescent="0.25">
      <c r="B328" s="333"/>
      <c r="C328" s="803"/>
      <c r="D328" s="327">
        <v>7786</v>
      </c>
      <c r="E328" s="327">
        <f>IF(D328="","",D328-D326)</f>
        <v>0</v>
      </c>
      <c r="F328" s="328">
        <f>IF(D328="","",E328*100)</f>
        <v>0</v>
      </c>
      <c r="G328" s="328"/>
      <c r="H328" s="328"/>
      <c r="I328" s="329"/>
      <c r="J328" s="329"/>
      <c r="K328" s="330"/>
      <c r="L328" s="323"/>
      <c r="M328" s="333"/>
      <c r="N328" s="327"/>
      <c r="O328" s="327"/>
      <c r="P328" s="327" t="s">
        <v>132</v>
      </c>
      <c r="Q328" s="328"/>
      <c r="R328" s="328"/>
      <c r="S328" s="328"/>
      <c r="T328" s="329"/>
      <c r="U328" s="329"/>
      <c r="V328" s="331"/>
      <c r="X328" s="333"/>
      <c r="Y328" s="327"/>
      <c r="Z328" s="327" t="s">
        <v>132</v>
      </c>
      <c r="AA328" s="328"/>
      <c r="AB328" s="331"/>
      <c r="AD328" s="333"/>
      <c r="AE328" s="327"/>
      <c r="AF328" s="327" t="s">
        <v>132</v>
      </c>
      <c r="AG328" s="328"/>
      <c r="AH328" s="331"/>
      <c r="AJ328" s="333"/>
      <c r="AK328" s="327"/>
      <c r="AL328" s="327" t="s">
        <v>132</v>
      </c>
      <c r="AM328" s="328"/>
      <c r="AN328" s="331"/>
      <c r="AP328" s="333"/>
      <c r="AQ328" s="327"/>
      <c r="AR328" s="327"/>
      <c r="AS328" s="327" t="s">
        <v>132</v>
      </c>
      <c r="AT328" s="328"/>
      <c r="AU328" s="328"/>
      <c r="AV328" s="328"/>
      <c r="AW328" s="329"/>
      <c r="AX328" s="329"/>
      <c r="AY328" s="331"/>
    </row>
    <row r="329" spans="2:51" ht="15" customHeight="1" x14ac:dyDescent="0.25">
      <c r="B329" s="333"/>
      <c r="C329" s="336"/>
      <c r="D329" s="327"/>
      <c r="E329" s="327"/>
      <c r="F329" s="328"/>
      <c r="G329" s="328"/>
      <c r="H329" s="328"/>
      <c r="I329" s="329"/>
      <c r="J329" s="329"/>
      <c r="K329" s="330"/>
      <c r="L329" s="323"/>
      <c r="M329" s="805"/>
      <c r="N329" s="327"/>
      <c r="O329" s="327"/>
      <c r="P329" s="327"/>
      <c r="Q329" s="328"/>
      <c r="R329" s="328"/>
      <c r="S329" s="328"/>
      <c r="T329" s="329"/>
      <c r="U329" s="329"/>
      <c r="V329" s="331"/>
      <c r="X329" s="333"/>
      <c r="Y329" s="327"/>
      <c r="Z329" s="327"/>
      <c r="AA329" s="328"/>
      <c r="AB329" s="331"/>
      <c r="AD329" s="333"/>
      <c r="AE329" s="808"/>
      <c r="AF329" s="327"/>
      <c r="AG329" s="328"/>
      <c r="AH329" s="331"/>
      <c r="AJ329" s="333"/>
      <c r="AK329" s="327"/>
      <c r="AL329" s="327"/>
      <c r="AM329" s="328"/>
      <c r="AN329" s="331"/>
      <c r="AP329" s="333"/>
      <c r="AQ329" s="327"/>
      <c r="AR329" s="327"/>
      <c r="AS329" s="327"/>
      <c r="AT329" s="328"/>
      <c r="AU329" s="328"/>
      <c r="AV329" s="328"/>
      <c r="AW329" s="329"/>
      <c r="AX329" s="329"/>
      <c r="AY329" s="331"/>
    </row>
    <row r="330" spans="2:51" ht="15" customHeight="1" x14ac:dyDescent="0.25">
      <c r="B330" s="333"/>
      <c r="C330" s="327"/>
      <c r="D330" s="327"/>
      <c r="E330" s="327"/>
      <c r="F330" s="328"/>
      <c r="G330" s="328"/>
      <c r="H330" s="328"/>
      <c r="I330" s="329"/>
      <c r="J330" s="329"/>
      <c r="K330" s="330"/>
      <c r="L330" s="323"/>
      <c r="M330" s="333"/>
      <c r="N330" s="327"/>
      <c r="O330" s="327"/>
      <c r="P330" s="327"/>
      <c r="Q330" s="328"/>
      <c r="R330" s="328"/>
      <c r="S330" s="328"/>
      <c r="T330" s="329"/>
      <c r="U330" s="329"/>
      <c r="V330" s="331"/>
      <c r="X330" s="333"/>
      <c r="Y330" s="327"/>
      <c r="Z330" s="327"/>
      <c r="AA330" s="328"/>
      <c r="AB330" s="331"/>
      <c r="AD330" s="333"/>
      <c r="AE330" s="327"/>
      <c r="AF330" s="327"/>
      <c r="AG330" s="328"/>
      <c r="AH330" s="331"/>
      <c r="AJ330" s="333"/>
      <c r="AK330" s="327"/>
      <c r="AL330" s="327"/>
      <c r="AM330" s="328"/>
      <c r="AN330" s="331"/>
      <c r="AP330" s="333"/>
      <c r="AQ330" s="327"/>
      <c r="AR330" s="327"/>
      <c r="AS330" s="327"/>
      <c r="AT330" s="328"/>
      <c r="AU330" s="328"/>
      <c r="AV330" s="328"/>
      <c r="AW330" s="329"/>
      <c r="AX330" s="329"/>
      <c r="AY330" s="331"/>
    </row>
    <row r="331" spans="2:51" ht="15" customHeight="1" x14ac:dyDescent="0.25">
      <c r="B331" s="333"/>
      <c r="C331" s="336"/>
      <c r="D331" s="327"/>
      <c r="E331" s="327"/>
      <c r="F331" s="328"/>
      <c r="G331" s="328"/>
      <c r="H331" s="328"/>
      <c r="I331" s="329"/>
      <c r="J331" s="329"/>
      <c r="K331" s="330"/>
      <c r="L331" s="323"/>
      <c r="M331" s="333"/>
      <c r="N331" s="327"/>
      <c r="O331" s="327"/>
      <c r="P331" s="327"/>
      <c r="Q331" s="328"/>
      <c r="R331" s="328"/>
      <c r="S331" s="328"/>
      <c r="T331" s="329"/>
      <c r="U331" s="329"/>
      <c r="V331" s="331"/>
      <c r="X331" s="333"/>
      <c r="Y331" s="327"/>
      <c r="Z331" s="327"/>
      <c r="AA331" s="328"/>
      <c r="AB331" s="331"/>
      <c r="AD331" s="333"/>
      <c r="AE331" s="327"/>
      <c r="AF331" s="327"/>
      <c r="AG331" s="328"/>
      <c r="AH331" s="331"/>
      <c r="AJ331" s="333"/>
      <c r="AK331" s="327"/>
      <c r="AL331" s="327"/>
      <c r="AM331" s="328"/>
      <c r="AN331" s="331"/>
      <c r="AP331" s="333"/>
      <c r="AQ331" s="327"/>
      <c r="AR331" s="327"/>
      <c r="AS331" s="327"/>
      <c r="AT331" s="328"/>
      <c r="AU331" s="328"/>
      <c r="AV331" s="328"/>
      <c r="AW331" s="329"/>
      <c r="AX331" s="329"/>
      <c r="AY331" s="331"/>
    </row>
    <row r="332" spans="2:51" ht="15" customHeight="1" x14ac:dyDescent="0.25">
      <c r="B332" s="333"/>
      <c r="C332" s="327"/>
      <c r="D332" s="327"/>
      <c r="E332" s="327"/>
      <c r="F332" s="328"/>
      <c r="G332" s="328"/>
      <c r="H332" s="328"/>
      <c r="I332" s="329"/>
      <c r="J332" s="329"/>
      <c r="K332" s="330"/>
      <c r="L332" s="323"/>
      <c r="M332" s="333"/>
      <c r="N332" s="327"/>
      <c r="O332" s="327"/>
      <c r="P332" s="327"/>
      <c r="Q332" s="328"/>
      <c r="R332" s="328"/>
      <c r="S332" s="328"/>
      <c r="T332" s="329"/>
      <c r="U332" s="329"/>
      <c r="V332" s="331"/>
      <c r="X332" s="333"/>
      <c r="Y332" s="327"/>
      <c r="Z332" s="327"/>
      <c r="AA332" s="328"/>
      <c r="AB332" s="331"/>
      <c r="AD332" s="333"/>
      <c r="AE332" s="327"/>
      <c r="AF332" s="327"/>
      <c r="AG332" s="328"/>
      <c r="AH332" s="331"/>
      <c r="AJ332" s="333"/>
      <c r="AK332" s="327"/>
      <c r="AL332" s="327"/>
      <c r="AM332" s="328"/>
      <c r="AN332" s="331"/>
      <c r="AP332" s="333"/>
      <c r="AQ332" s="327"/>
      <c r="AR332" s="327"/>
      <c r="AS332" s="327"/>
      <c r="AT332" s="328"/>
      <c r="AU332" s="328"/>
      <c r="AV332" s="328"/>
      <c r="AW332" s="329"/>
      <c r="AX332" s="329"/>
      <c r="AY332" s="331"/>
    </row>
    <row r="333" spans="2:51" ht="15" customHeight="1" x14ac:dyDescent="0.25">
      <c r="B333" s="333"/>
      <c r="C333" s="336">
        <f>SUM(IF(F333="",0,F333), IF(F334="",0,F334), IF(Q333="",0,Q333), IF(AT333="",0,AT333), IF(AA333="",0,AA333), IF(AG333="",0,AG333), IF(AM333="",0,AM333))</f>
        <v>0</v>
      </c>
      <c r="D333" s="327"/>
      <c r="E333" s="327" t="str">
        <f t="shared" si="81"/>
        <v/>
      </c>
      <c r="F333" s="328" t="str">
        <f t="shared" si="80"/>
        <v/>
      </c>
      <c r="G333" s="328"/>
      <c r="H333" s="328"/>
      <c r="I333" s="329"/>
      <c r="J333" s="329"/>
      <c r="K333" s="330"/>
      <c r="L333" s="323"/>
      <c r="M333" s="333" t="str">
        <f>IF(B333="","",B333)</f>
        <v/>
      </c>
      <c r="N333" s="327"/>
      <c r="O333" s="327"/>
      <c r="P333" s="327" t="str">
        <f>IF(O333="","",O333-O331)</f>
        <v/>
      </c>
      <c r="Q333" s="328" t="str">
        <f>IF(O333="","",P333*1000)</f>
        <v/>
      </c>
      <c r="R333" s="328"/>
      <c r="S333" s="328"/>
      <c r="T333" s="329"/>
      <c r="U333" s="329"/>
      <c r="V333" s="331"/>
      <c r="X333" s="333" t="str">
        <f>IF(AP333="","",AP333)</f>
        <v/>
      </c>
      <c r="Y333" s="327"/>
      <c r="Z333" s="327" t="str">
        <f>IF(Y333="","",Y333-Y331)</f>
        <v/>
      </c>
      <c r="AA333" s="328" t="str">
        <f>IF(Y333="","",Z333*1000)</f>
        <v/>
      </c>
      <c r="AB333" s="331"/>
      <c r="AD333" s="333" t="str">
        <f>IF(X333="","",X333)</f>
        <v/>
      </c>
      <c r="AE333" s="327"/>
      <c r="AF333" s="327" t="str">
        <f>IF(AE333="","",AE333-AE331)</f>
        <v/>
      </c>
      <c r="AG333" s="328" t="str">
        <f>IF(AE333="","",AF333*1000)</f>
        <v/>
      </c>
      <c r="AH333" s="331"/>
      <c r="AJ333" s="333" t="str">
        <f>IF(AD333="","",AD333)</f>
        <v/>
      </c>
      <c r="AK333" s="327"/>
      <c r="AL333" s="327" t="str">
        <f>IF(AK333="","",AK333-AK331)</f>
        <v/>
      </c>
      <c r="AM333" s="328" t="str">
        <f>IF(AK333="","",AL333*1000)</f>
        <v/>
      </c>
      <c r="AN333" s="331"/>
      <c r="AP333" s="333" t="str">
        <f>IF(M333="","",M333)</f>
        <v/>
      </c>
      <c r="AQ333" s="327"/>
      <c r="AR333" s="327"/>
      <c r="AS333" s="327" t="str">
        <f>IF(AR333="","",AR333-AR331)</f>
        <v/>
      </c>
      <c r="AT333" s="328" t="str">
        <f>IF(AR333="","",AS333*1000)</f>
        <v/>
      </c>
      <c r="AU333" s="328"/>
      <c r="AV333" s="328"/>
      <c r="AW333" s="329"/>
      <c r="AX333" s="329"/>
      <c r="AY333" s="331"/>
    </row>
    <row r="334" spans="2:51" ht="15" customHeight="1" x14ac:dyDescent="0.25">
      <c r="B334" s="333"/>
      <c r="C334" s="327"/>
      <c r="D334" s="327"/>
      <c r="E334" s="327" t="str">
        <f t="shared" si="81"/>
        <v/>
      </c>
      <c r="F334" s="328" t="str">
        <f t="shared" si="80"/>
        <v/>
      </c>
      <c r="G334" s="328"/>
      <c r="H334" s="328"/>
      <c r="I334" s="329"/>
      <c r="J334" s="329"/>
      <c r="K334" s="330"/>
      <c r="L334" s="323"/>
      <c r="M334" s="333" t="str">
        <f>IF(B334="","",B334)</f>
        <v/>
      </c>
      <c r="N334" s="327"/>
      <c r="O334" s="327"/>
      <c r="P334" s="327"/>
      <c r="Q334" s="328"/>
      <c r="R334" s="328"/>
      <c r="S334" s="328"/>
      <c r="T334" s="329"/>
      <c r="U334" s="329"/>
      <c r="V334" s="331"/>
      <c r="X334" s="333"/>
      <c r="Y334" s="327"/>
      <c r="Z334" s="327"/>
      <c r="AA334" s="328"/>
      <c r="AB334" s="331"/>
      <c r="AD334" s="333"/>
      <c r="AE334" s="327"/>
      <c r="AF334" s="327"/>
      <c r="AG334" s="328"/>
      <c r="AH334" s="331"/>
      <c r="AJ334" s="333"/>
      <c r="AK334" s="327"/>
      <c r="AL334" s="327"/>
      <c r="AM334" s="328"/>
      <c r="AN334" s="331"/>
      <c r="AP334" s="333"/>
      <c r="AQ334" s="327"/>
      <c r="AR334" s="327"/>
      <c r="AS334" s="327"/>
      <c r="AT334" s="328"/>
      <c r="AU334" s="328"/>
      <c r="AV334" s="328"/>
      <c r="AW334" s="329"/>
      <c r="AX334" s="329"/>
      <c r="AY334" s="331"/>
    </row>
    <row r="335" spans="2:51" ht="15" customHeight="1" x14ac:dyDescent="0.25">
      <c r="B335" s="333"/>
      <c r="C335" s="336">
        <f>SUM(IF(F335="",0,F335), IF(F336="",0,F336), IF(Q335="",0,Q335), IF(AT335="",0,AT335), IF(AA335="",0,AA335), IF(AG335="",0,AG335), IF(AM335="",0,AM335))</f>
        <v>0</v>
      </c>
      <c r="D335" s="327"/>
      <c r="E335" s="327" t="str">
        <f t="shared" si="81"/>
        <v/>
      </c>
      <c r="F335" s="328" t="str">
        <f t="shared" si="80"/>
        <v/>
      </c>
      <c r="G335" s="328"/>
      <c r="H335" s="328"/>
      <c r="I335" s="329"/>
      <c r="J335" s="329"/>
      <c r="K335" s="330"/>
      <c r="L335" s="323"/>
      <c r="M335" s="333" t="str">
        <f>IF(B335="","",B335)</f>
        <v/>
      </c>
      <c r="N335" s="327"/>
      <c r="O335" s="327"/>
      <c r="P335" s="327" t="str">
        <f>IF(O335="","",O335-O333)</f>
        <v/>
      </c>
      <c r="Q335" s="328" t="str">
        <f>IF(O335="","",P335*1000)</f>
        <v/>
      </c>
      <c r="R335" s="328"/>
      <c r="S335" s="328"/>
      <c r="T335" s="329"/>
      <c r="U335" s="329"/>
      <c r="V335" s="331"/>
      <c r="X335" s="333"/>
      <c r="Y335" s="327"/>
      <c r="Z335" s="327" t="str">
        <f>IF(Y335="","",Y335-Y333)</f>
        <v/>
      </c>
      <c r="AA335" s="328" t="str">
        <f>IF(Y335="","",Z335*1000)</f>
        <v/>
      </c>
      <c r="AB335" s="331"/>
      <c r="AD335" s="333" t="str">
        <f>IF(X335="","",X335)</f>
        <v/>
      </c>
      <c r="AE335" s="327"/>
      <c r="AF335" s="327" t="str">
        <f>IF(AE335="","",AE335-AE333)</f>
        <v/>
      </c>
      <c r="AG335" s="328" t="str">
        <f>IF(AE335="","",AF335*1000)</f>
        <v/>
      </c>
      <c r="AH335" s="331"/>
      <c r="AJ335" s="333" t="str">
        <f>IF(AD335="","",AD335)</f>
        <v/>
      </c>
      <c r="AK335" s="327"/>
      <c r="AL335" s="327" t="str">
        <f>IF(AK335="","",AK335-AK333)</f>
        <v/>
      </c>
      <c r="AM335" s="328" t="str">
        <f>IF(AK335="","",AL335*1000)</f>
        <v/>
      </c>
      <c r="AN335" s="331"/>
      <c r="AP335" s="333" t="str">
        <f>IF(M335="","",M335)</f>
        <v/>
      </c>
      <c r="AQ335" s="327"/>
      <c r="AR335" s="327"/>
      <c r="AS335" s="327" t="str">
        <f>IF(AR335="","",AR335-AR333)</f>
        <v/>
      </c>
      <c r="AT335" s="328" t="str">
        <f>IF(AR335="","",AS335*1000)</f>
        <v/>
      </c>
      <c r="AU335" s="328"/>
      <c r="AV335" s="328"/>
      <c r="AW335" s="329"/>
      <c r="AX335" s="329"/>
      <c r="AY335" s="331"/>
    </row>
    <row r="336" spans="2:51" ht="15" customHeight="1" x14ac:dyDescent="0.25">
      <c r="B336" s="333"/>
      <c r="C336" s="327"/>
      <c r="D336" s="327"/>
      <c r="E336" s="327" t="str">
        <f t="shared" si="81"/>
        <v/>
      </c>
      <c r="F336" s="328" t="str">
        <f t="shared" si="80"/>
        <v/>
      </c>
      <c r="G336" s="328"/>
      <c r="H336" s="328"/>
      <c r="I336" s="329"/>
      <c r="J336" s="329"/>
      <c r="K336" s="330"/>
      <c r="L336" s="323"/>
      <c r="M336" s="333"/>
      <c r="N336" s="327"/>
      <c r="O336" s="327"/>
      <c r="P336" s="327"/>
      <c r="Q336" s="328"/>
      <c r="R336" s="328"/>
      <c r="S336" s="328"/>
      <c r="T336" s="329"/>
      <c r="U336" s="329"/>
      <c r="V336" s="331"/>
      <c r="X336" s="333"/>
      <c r="Y336" s="327"/>
      <c r="Z336" s="327"/>
      <c r="AA336" s="328"/>
      <c r="AB336" s="331"/>
      <c r="AD336" s="333"/>
      <c r="AE336" s="327"/>
      <c r="AF336" s="327"/>
      <c r="AG336" s="328"/>
      <c r="AH336" s="331"/>
      <c r="AJ336" s="333"/>
      <c r="AK336" s="327"/>
      <c r="AL336" s="327"/>
      <c r="AM336" s="328"/>
      <c r="AN336" s="331"/>
      <c r="AP336" s="333"/>
      <c r="AQ336" s="327"/>
      <c r="AR336" s="327"/>
      <c r="AS336" s="327"/>
      <c r="AT336" s="328"/>
      <c r="AU336" s="328"/>
      <c r="AV336" s="328"/>
      <c r="AW336" s="329"/>
      <c r="AX336" s="329"/>
      <c r="AY336" s="331"/>
    </row>
    <row r="337" spans="2:51" ht="15" customHeight="1" x14ac:dyDescent="0.25">
      <c r="B337" s="333"/>
      <c r="C337" s="336">
        <f>SUM(IF(F337="",0,F337), IF(F338="",0,F338), IF(Q337="",0,Q337), IF(AT337="",0,AT337), IF(AA337="",0,AA337), IF(AG337="",0,AG337), IF(AM337="",0,AM337))</f>
        <v>0</v>
      </c>
      <c r="D337" s="327"/>
      <c r="E337" s="327" t="str">
        <f t="shared" si="81"/>
        <v/>
      </c>
      <c r="F337" s="328" t="str">
        <f t="shared" si="80"/>
        <v/>
      </c>
      <c r="G337" s="328"/>
      <c r="H337" s="328"/>
      <c r="I337" s="329"/>
      <c r="J337" s="329"/>
      <c r="K337" s="330"/>
      <c r="L337" s="323"/>
      <c r="M337" s="333" t="str">
        <f>IF(B337="","",B337)</f>
        <v/>
      </c>
      <c r="N337" s="327"/>
      <c r="O337" s="327"/>
      <c r="P337" s="327" t="str">
        <f>IF(O337="","",O337-O335)</f>
        <v/>
      </c>
      <c r="Q337" s="328" t="str">
        <f>IF(O337="","",P337*1000)</f>
        <v/>
      </c>
      <c r="R337" s="328"/>
      <c r="S337" s="328"/>
      <c r="T337" s="329"/>
      <c r="U337" s="329"/>
      <c r="V337" s="331"/>
      <c r="X337" s="333" t="str">
        <f>IF(AP337="","",AP337)</f>
        <v/>
      </c>
      <c r="Y337" s="327"/>
      <c r="Z337" s="327" t="str">
        <f>IF(Y337="","",Y337-Y335)</f>
        <v/>
      </c>
      <c r="AA337" s="328" t="str">
        <f>IF(Y337="","",Z337*1000)</f>
        <v/>
      </c>
      <c r="AB337" s="331"/>
      <c r="AD337" s="333" t="str">
        <f>IF(X337="","",X337)</f>
        <v/>
      </c>
      <c r="AE337" s="327"/>
      <c r="AF337" s="327" t="str">
        <f>IF(AE337="","",AE337-AE335)</f>
        <v/>
      </c>
      <c r="AG337" s="328" t="str">
        <f>IF(AE337="","",AF337*1000)</f>
        <v/>
      </c>
      <c r="AH337" s="331"/>
      <c r="AJ337" s="333" t="str">
        <f>IF(AD337="","",AD337)</f>
        <v/>
      </c>
      <c r="AK337" s="327"/>
      <c r="AL337" s="327" t="str">
        <f>IF(AK337="","",AK337-AK335)</f>
        <v/>
      </c>
      <c r="AM337" s="328" t="str">
        <f>IF(AK337="","",AL337*1000)</f>
        <v/>
      </c>
      <c r="AN337" s="331"/>
      <c r="AP337" s="333" t="str">
        <f>IF(M337="","",M337)</f>
        <v/>
      </c>
      <c r="AQ337" s="327"/>
      <c r="AR337" s="327"/>
      <c r="AS337" s="327" t="str">
        <f>IF(AR337="","",AR337-AR335)</f>
        <v/>
      </c>
      <c r="AT337" s="328" t="str">
        <f>IF(AR337="","",AS337*1000)</f>
        <v/>
      </c>
      <c r="AU337" s="328"/>
      <c r="AV337" s="328"/>
      <c r="AW337" s="329"/>
      <c r="AX337" s="329"/>
      <c r="AY337" s="331"/>
    </row>
    <row r="338" spans="2:51" ht="15" customHeight="1" x14ac:dyDescent="0.25">
      <c r="B338" s="333"/>
      <c r="C338" s="327"/>
      <c r="D338" s="327"/>
      <c r="E338" s="327" t="str">
        <f t="shared" si="81"/>
        <v/>
      </c>
      <c r="F338" s="328" t="str">
        <f t="shared" si="80"/>
        <v/>
      </c>
      <c r="G338" s="328"/>
      <c r="H338" s="328"/>
      <c r="I338" s="329"/>
      <c r="J338" s="329"/>
      <c r="K338" s="330"/>
      <c r="L338" s="323"/>
      <c r="M338" s="333"/>
      <c r="N338" s="327"/>
      <c r="O338" s="327"/>
      <c r="P338" s="327"/>
      <c r="Q338" s="328"/>
      <c r="R338" s="328"/>
      <c r="S338" s="328"/>
      <c r="T338" s="329"/>
      <c r="U338" s="329"/>
      <c r="V338" s="331"/>
      <c r="X338" s="333"/>
      <c r="Y338" s="327"/>
      <c r="Z338" s="327"/>
      <c r="AA338" s="328"/>
      <c r="AB338" s="331"/>
      <c r="AD338" s="333"/>
      <c r="AE338" s="327"/>
      <c r="AF338" s="327"/>
      <c r="AG338" s="328"/>
      <c r="AH338" s="331"/>
      <c r="AJ338" s="333"/>
      <c r="AK338" s="327"/>
      <c r="AL338" s="327"/>
      <c r="AM338" s="328"/>
      <c r="AN338" s="331"/>
      <c r="AP338" s="333"/>
      <c r="AQ338" s="327"/>
      <c r="AR338" s="327"/>
      <c r="AS338" s="327"/>
      <c r="AT338" s="328"/>
      <c r="AU338" s="328"/>
      <c r="AV338" s="328"/>
      <c r="AW338" s="329"/>
      <c r="AX338" s="329"/>
      <c r="AY338" s="331"/>
    </row>
    <row r="339" spans="2:51" ht="15" customHeight="1" x14ac:dyDescent="0.25">
      <c r="B339" s="333"/>
      <c r="C339" s="336">
        <f>SUM(IF(F339="",0,F339), IF(F340="",0,F340), IF(Q339="",0,Q339), IF(AT339="",0,AT339), IF(AA339="",0,AA339), IF(AG339="",0,AG339), IF(AM339="",0,AM339))</f>
        <v>0</v>
      </c>
      <c r="D339" s="327"/>
      <c r="E339" s="327" t="str">
        <f t="shared" si="81"/>
        <v/>
      </c>
      <c r="F339" s="328" t="str">
        <f t="shared" si="80"/>
        <v/>
      </c>
      <c r="G339" s="328"/>
      <c r="H339" s="328"/>
      <c r="I339" s="329"/>
      <c r="J339" s="329"/>
      <c r="K339" s="330"/>
      <c r="L339" s="323"/>
      <c r="M339" s="333" t="str">
        <f>IF(B339="","",B339)</f>
        <v/>
      </c>
      <c r="N339" s="327"/>
      <c r="O339" s="327"/>
      <c r="P339" s="327" t="str">
        <f>IF(O339="","",O339-O337)</f>
        <v/>
      </c>
      <c r="Q339" s="328" t="str">
        <f>IF(O339="","",P339*1000)</f>
        <v/>
      </c>
      <c r="R339" s="328"/>
      <c r="S339" s="328"/>
      <c r="T339" s="329"/>
      <c r="U339" s="329"/>
      <c r="V339" s="331"/>
      <c r="X339" s="333" t="str">
        <f>IF(AP339="","",AP339)</f>
        <v/>
      </c>
      <c r="Y339" s="327"/>
      <c r="Z339" s="327" t="str">
        <f>IF(Y339="","",Y339-Y337)</f>
        <v/>
      </c>
      <c r="AA339" s="328" t="str">
        <f>IF(Y339="","",Z339*1000)</f>
        <v/>
      </c>
      <c r="AB339" s="331"/>
      <c r="AD339" s="333" t="str">
        <f>IF(X339="","",X339)</f>
        <v/>
      </c>
      <c r="AE339" s="327"/>
      <c r="AF339" s="327" t="str">
        <f>IF(AE339="","",AE339-AE337)</f>
        <v/>
      </c>
      <c r="AG339" s="328" t="str">
        <f>IF(AE339="","",AF339*1000)</f>
        <v/>
      </c>
      <c r="AH339" s="331"/>
      <c r="AJ339" s="333" t="str">
        <f>IF(AD339="","",AD339)</f>
        <v/>
      </c>
      <c r="AK339" s="327"/>
      <c r="AL339" s="327" t="str">
        <f>IF(AK339="","",AK339-AK337)</f>
        <v/>
      </c>
      <c r="AM339" s="328" t="str">
        <f>IF(AK339="","",AL339*1000)</f>
        <v/>
      </c>
      <c r="AN339" s="331"/>
      <c r="AP339" s="333" t="str">
        <f>IF(M339="","",M339)</f>
        <v/>
      </c>
      <c r="AQ339" s="327"/>
      <c r="AR339" s="327"/>
      <c r="AS339" s="327" t="str">
        <f>IF(AR339="","",AR339-AR337)</f>
        <v/>
      </c>
      <c r="AT339" s="328" t="str">
        <f>IF(AR339="","",AS339*1000)</f>
        <v/>
      </c>
      <c r="AU339" s="328"/>
      <c r="AV339" s="328"/>
      <c r="AW339" s="329"/>
      <c r="AX339" s="329"/>
      <c r="AY339" s="331"/>
    </row>
    <row r="340" spans="2:51" ht="15" customHeight="1" x14ac:dyDescent="0.25">
      <c r="B340" s="333"/>
      <c r="C340" s="327"/>
      <c r="D340" s="327"/>
      <c r="E340" s="327" t="str">
        <f t="shared" si="81"/>
        <v/>
      </c>
      <c r="F340" s="328" t="str">
        <f t="shared" si="80"/>
        <v/>
      </c>
      <c r="G340" s="328"/>
      <c r="H340" s="328"/>
      <c r="I340" s="329"/>
      <c r="J340" s="329"/>
      <c r="K340" s="330"/>
      <c r="L340" s="323"/>
      <c r="M340" s="333"/>
      <c r="N340" s="327"/>
      <c r="O340" s="327"/>
      <c r="P340" s="327"/>
      <c r="Q340" s="328"/>
      <c r="R340" s="328"/>
      <c r="S340" s="328"/>
      <c r="T340" s="329"/>
      <c r="U340" s="329"/>
      <c r="V340" s="331"/>
      <c r="X340" s="333"/>
      <c r="Y340" s="327"/>
      <c r="Z340" s="327"/>
      <c r="AA340" s="328"/>
      <c r="AB340" s="331"/>
      <c r="AD340" s="333"/>
      <c r="AE340" s="327"/>
      <c r="AF340" s="327"/>
      <c r="AG340" s="328"/>
      <c r="AH340" s="331"/>
      <c r="AJ340" s="333"/>
      <c r="AK340" s="327"/>
      <c r="AL340" s="327"/>
      <c r="AM340" s="328"/>
      <c r="AN340" s="331"/>
      <c r="AP340" s="333"/>
      <c r="AQ340" s="327"/>
      <c r="AR340" s="327"/>
      <c r="AS340" s="327"/>
      <c r="AT340" s="328"/>
      <c r="AU340" s="328"/>
      <c r="AV340" s="328"/>
      <c r="AW340" s="329"/>
      <c r="AX340" s="329"/>
      <c r="AY340" s="331"/>
    </row>
    <row r="341" spans="2:51" ht="15" customHeight="1" x14ac:dyDescent="0.25">
      <c r="B341" s="333"/>
      <c r="C341" s="336">
        <f>SUM(IF(F341="",0,F341), IF(F342="",0,F342), IF(Q341="",0,Q341), IF(AT341="",0,AT341), IF(AA341="",0,AA341), IF(AG341="",0,AG341), IF(AM341="",0,AM341))</f>
        <v>0</v>
      </c>
      <c r="D341" s="327"/>
      <c r="E341" s="327" t="str">
        <f t="shared" si="81"/>
        <v/>
      </c>
      <c r="F341" s="328" t="str">
        <f t="shared" si="80"/>
        <v/>
      </c>
      <c r="G341" s="328"/>
      <c r="H341" s="328"/>
      <c r="I341" s="329"/>
      <c r="J341" s="329"/>
      <c r="K341" s="330"/>
      <c r="L341" s="323"/>
      <c r="M341" s="333" t="str">
        <f>IF(B341="","",B341)</f>
        <v/>
      </c>
      <c r="N341" s="327"/>
      <c r="O341" s="327"/>
      <c r="P341" s="327" t="str">
        <f>IF(O341="","",O341-O339)</f>
        <v/>
      </c>
      <c r="Q341" s="328" t="str">
        <f>IF(O341="","",P341*1000)</f>
        <v/>
      </c>
      <c r="R341" s="328"/>
      <c r="S341" s="328"/>
      <c r="T341" s="329"/>
      <c r="U341" s="329"/>
      <c r="V341" s="331"/>
      <c r="X341" s="333" t="str">
        <f>IF(AP341="","",AP341)</f>
        <v/>
      </c>
      <c r="Y341" s="327"/>
      <c r="Z341" s="327" t="str">
        <f>IF(Y341="","",Y341-Y339)</f>
        <v/>
      </c>
      <c r="AA341" s="328" t="str">
        <f>IF(Y341="","",Z341*1000)</f>
        <v/>
      </c>
      <c r="AB341" s="331"/>
      <c r="AD341" s="333" t="str">
        <f>IF(X341="","",X341)</f>
        <v/>
      </c>
      <c r="AE341" s="327"/>
      <c r="AF341" s="327" t="str">
        <f>IF(AE341="","",AE341-AE339)</f>
        <v/>
      </c>
      <c r="AG341" s="328" t="str">
        <f>IF(AE341="","",AF341*1000)</f>
        <v/>
      </c>
      <c r="AH341" s="331"/>
      <c r="AJ341" s="333" t="str">
        <f>IF(AD341="","",AD341)</f>
        <v/>
      </c>
      <c r="AK341" s="327"/>
      <c r="AL341" s="327" t="str">
        <f>IF(AK341="","",AK341-AK339)</f>
        <v/>
      </c>
      <c r="AM341" s="328" t="str">
        <f>IF(AK341="","",AL341*1000)</f>
        <v/>
      </c>
      <c r="AN341" s="331"/>
      <c r="AP341" s="333" t="str">
        <f>IF(M341="","",M341)</f>
        <v/>
      </c>
      <c r="AQ341" s="327"/>
      <c r="AR341" s="327"/>
      <c r="AS341" s="327" t="str">
        <f>IF(AR341="","",AR341-AR339)</f>
        <v/>
      </c>
      <c r="AT341" s="328" t="str">
        <f>IF(AR341="","",AS341*1000)</f>
        <v/>
      </c>
      <c r="AU341" s="328"/>
      <c r="AV341" s="328"/>
      <c r="AW341" s="329"/>
      <c r="AX341" s="329"/>
      <c r="AY341" s="331"/>
    </row>
    <row r="342" spans="2:51" ht="15" customHeight="1" x14ac:dyDescent="0.25">
      <c r="B342" s="333"/>
      <c r="C342" s="327"/>
      <c r="D342" s="327"/>
      <c r="E342" s="327" t="str">
        <f t="shared" si="81"/>
        <v/>
      </c>
      <c r="F342" s="328" t="str">
        <f t="shared" si="80"/>
        <v/>
      </c>
      <c r="G342" s="328"/>
      <c r="H342" s="328"/>
      <c r="I342" s="329"/>
      <c r="J342" s="329"/>
      <c r="K342" s="330"/>
      <c r="L342" s="323"/>
      <c r="M342" s="333"/>
      <c r="N342" s="327"/>
      <c r="O342" s="327"/>
      <c r="P342" s="327"/>
      <c r="Q342" s="328"/>
      <c r="R342" s="328"/>
      <c r="S342" s="328"/>
      <c r="T342" s="329"/>
      <c r="U342" s="329"/>
      <c r="V342" s="331"/>
      <c r="X342" s="333"/>
      <c r="Y342" s="327"/>
      <c r="Z342" s="327"/>
      <c r="AA342" s="328"/>
      <c r="AB342" s="331"/>
      <c r="AD342" s="333"/>
      <c r="AE342" s="327"/>
      <c r="AF342" s="327"/>
      <c r="AG342" s="328"/>
      <c r="AH342" s="331"/>
      <c r="AJ342" s="333"/>
      <c r="AK342" s="327"/>
      <c r="AL342" s="327"/>
      <c r="AM342" s="328"/>
      <c r="AN342" s="331"/>
      <c r="AP342" s="333"/>
      <c r="AQ342" s="327"/>
      <c r="AR342" s="327"/>
      <c r="AS342" s="327"/>
      <c r="AT342" s="328"/>
      <c r="AU342" s="328"/>
      <c r="AV342" s="328"/>
      <c r="AW342" s="329"/>
      <c r="AX342" s="329"/>
      <c r="AY342" s="331"/>
    </row>
    <row r="343" spans="2:51" ht="15" customHeight="1" x14ac:dyDescent="0.25">
      <c r="B343" s="333"/>
      <c r="C343" s="336">
        <f>SUM(IF(F343="",0,F343), IF(F344="",0,F344), IF(Q343="",0,Q343), IF(AT343="",0,AT343), IF(AA343="",0,AA343), IF(AG343="",0,AG343), IF(AM343="",0,AM343))</f>
        <v>0</v>
      </c>
      <c r="D343" s="327"/>
      <c r="E343" s="327" t="str">
        <f t="shared" si="81"/>
        <v/>
      </c>
      <c r="F343" s="328" t="str">
        <f t="shared" si="80"/>
        <v/>
      </c>
      <c r="G343" s="328"/>
      <c r="H343" s="328"/>
      <c r="I343" s="329"/>
      <c r="J343" s="329"/>
      <c r="K343" s="330"/>
      <c r="L343" s="323"/>
      <c r="M343" s="333" t="str">
        <f>IF(B343="","",B343)</f>
        <v/>
      </c>
      <c r="N343" s="327"/>
      <c r="O343" s="327"/>
      <c r="P343" s="327" t="str">
        <f>IF(O343="","",O343-O341)</f>
        <v/>
      </c>
      <c r="Q343" s="328" t="str">
        <f>IF(O343="","",P343*1000)</f>
        <v/>
      </c>
      <c r="R343" s="328"/>
      <c r="S343" s="328"/>
      <c r="T343" s="329"/>
      <c r="U343" s="329"/>
      <c r="V343" s="331"/>
      <c r="X343" s="333" t="str">
        <f>IF(AP343="","",AP343)</f>
        <v/>
      </c>
      <c r="Y343" s="327"/>
      <c r="Z343" s="327" t="str">
        <f>IF(Y343="","",Y343-Y341)</f>
        <v/>
      </c>
      <c r="AA343" s="328" t="str">
        <f>IF(Y343="","",Z343*1000)</f>
        <v/>
      </c>
      <c r="AB343" s="331"/>
      <c r="AD343" s="333" t="str">
        <f>IF(X343="","",X343)</f>
        <v/>
      </c>
      <c r="AE343" s="327"/>
      <c r="AF343" s="327" t="str">
        <f>IF(AE343="","",AE343-AE341)</f>
        <v/>
      </c>
      <c r="AG343" s="328" t="str">
        <f>IF(AE343="","",AF343*1000)</f>
        <v/>
      </c>
      <c r="AH343" s="331"/>
      <c r="AJ343" s="333" t="str">
        <f>IF(AD343="","",AD343)</f>
        <v/>
      </c>
      <c r="AK343" s="327"/>
      <c r="AL343" s="327" t="str">
        <f>IF(AK343="","",AK343-AK341)</f>
        <v/>
      </c>
      <c r="AM343" s="328" t="str">
        <f>IF(AK343="","",AL343*1000)</f>
        <v/>
      </c>
      <c r="AN343" s="331"/>
      <c r="AP343" s="333" t="str">
        <f>IF(M343="","",M343)</f>
        <v/>
      </c>
      <c r="AQ343" s="327"/>
      <c r="AR343" s="327"/>
      <c r="AS343" s="327" t="str">
        <f>IF(AR343="","",AR343-AR341)</f>
        <v/>
      </c>
      <c r="AT343" s="328" t="str">
        <f>IF(AR343="","",AS343*1000)</f>
        <v/>
      </c>
      <c r="AU343" s="328"/>
      <c r="AV343" s="328"/>
      <c r="AW343" s="329"/>
      <c r="AX343" s="329"/>
      <c r="AY343" s="331"/>
    </row>
    <row r="344" spans="2:51" ht="15" customHeight="1" x14ac:dyDescent="0.25">
      <c r="B344" s="333"/>
      <c r="C344" s="327"/>
      <c r="D344" s="327"/>
      <c r="E344" s="327" t="str">
        <f t="shared" si="81"/>
        <v/>
      </c>
      <c r="F344" s="328" t="str">
        <f t="shared" si="80"/>
        <v/>
      </c>
      <c r="G344" s="328"/>
      <c r="H344" s="328"/>
      <c r="I344" s="329"/>
      <c r="J344" s="329"/>
      <c r="K344" s="330"/>
      <c r="L344" s="323"/>
      <c r="M344" s="333"/>
      <c r="N344" s="327"/>
      <c r="O344" s="327"/>
      <c r="P344" s="327"/>
      <c r="Q344" s="328"/>
      <c r="R344" s="328"/>
      <c r="S344" s="328"/>
      <c r="T344" s="329"/>
      <c r="U344" s="329"/>
      <c r="V344" s="331"/>
      <c r="X344" s="333"/>
      <c r="Y344" s="327"/>
      <c r="Z344" s="327"/>
      <c r="AA344" s="328"/>
      <c r="AB344" s="331"/>
      <c r="AD344" s="333"/>
      <c r="AE344" s="327"/>
      <c r="AF344" s="327"/>
      <c r="AG344" s="328"/>
      <c r="AH344" s="331"/>
      <c r="AJ344" s="333"/>
      <c r="AK344" s="327"/>
      <c r="AL344" s="327"/>
      <c r="AM344" s="328"/>
      <c r="AN344" s="331"/>
      <c r="AP344" s="333"/>
      <c r="AQ344" s="327"/>
      <c r="AR344" s="327"/>
      <c r="AS344" s="327"/>
      <c r="AT344" s="328"/>
      <c r="AU344" s="328"/>
      <c r="AV344" s="328"/>
      <c r="AW344" s="329"/>
      <c r="AX344" s="329"/>
      <c r="AY344" s="331"/>
    </row>
    <row r="345" spans="2:51" ht="15" customHeight="1" x14ac:dyDescent="0.25">
      <c r="B345" s="393">
        <f>DATEDIF(B$281,B$325,"d")</f>
        <v>28</v>
      </c>
      <c r="C345" s="338"/>
      <c r="D345" s="338"/>
      <c r="E345" s="338" t="str">
        <f>IF(D345="","",D345-D337)</f>
        <v/>
      </c>
      <c r="F345" s="328" t="str">
        <f t="shared" si="80"/>
        <v/>
      </c>
      <c r="G345" s="338"/>
      <c r="H345" s="338"/>
      <c r="I345" s="338"/>
      <c r="J345" s="338"/>
      <c r="K345" s="339"/>
      <c r="L345" s="340"/>
      <c r="M345" s="337">
        <f>IF(B345="","",B345)</f>
        <v>28</v>
      </c>
      <c r="N345" s="338"/>
      <c r="O345" s="338"/>
      <c r="P345" s="338" t="str">
        <f>IF(O345="","",O345-O337)</f>
        <v/>
      </c>
      <c r="Q345" s="338" t="str">
        <f>IF(O345="","",P345*1000)</f>
        <v/>
      </c>
      <c r="R345" s="338"/>
      <c r="S345" s="338"/>
      <c r="T345" s="338"/>
      <c r="U345" s="338"/>
      <c r="V345" s="341"/>
      <c r="W345" s="238"/>
      <c r="X345" s="337">
        <f>IF(AP345="","",AP345)</f>
        <v>28</v>
      </c>
      <c r="Y345" s="338"/>
      <c r="Z345" s="338" t="str">
        <f>IF(Y345="","",Y345-Y337)</f>
        <v/>
      </c>
      <c r="AA345" s="338" t="str">
        <f>IF(Y345="","",Z345*1000)</f>
        <v/>
      </c>
      <c r="AB345" s="341"/>
      <c r="AC345" s="238"/>
      <c r="AD345" s="337">
        <f>IF(X345="","",X345)</f>
        <v>28</v>
      </c>
      <c r="AE345" s="338"/>
      <c r="AF345" s="338" t="str">
        <f>IF(AE345="","",AE345-AE337)</f>
        <v/>
      </c>
      <c r="AG345" s="338" t="str">
        <f>IF(AE345="","",AF345*1000)</f>
        <v/>
      </c>
      <c r="AH345" s="341"/>
      <c r="AI345" s="238"/>
      <c r="AJ345" s="337">
        <f>IF(AD345="","",AD345)</f>
        <v>28</v>
      </c>
      <c r="AK345" s="338"/>
      <c r="AL345" s="338" t="str">
        <f>IF(AK345="","",AK345-AK337)</f>
        <v/>
      </c>
      <c r="AM345" s="338" t="str">
        <f>IF(AK345="","",AL345*1000)</f>
        <v/>
      </c>
      <c r="AN345" s="341"/>
      <c r="AO345" s="238"/>
      <c r="AP345" s="337">
        <f>IF(M345="","",M345)</f>
        <v>28</v>
      </c>
      <c r="AQ345" s="338"/>
      <c r="AR345" s="338"/>
      <c r="AS345" s="338" t="str">
        <f>IF(AR345="","",AR345-AR337)</f>
        <v/>
      </c>
      <c r="AT345" s="338" t="str">
        <f>IF(AR345="","",AS345*1000)</f>
        <v/>
      </c>
      <c r="AU345" s="338"/>
      <c r="AV345" s="338"/>
      <c r="AW345" s="338"/>
      <c r="AX345" s="338"/>
      <c r="AY345" s="341"/>
    </row>
    <row r="346" spans="2:51" ht="15" customHeight="1" x14ac:dyDescent="0.25">
      <c r="B346" s="333"/>
      <c r="C346" s="327"/>
      <c r="D346" s="327"/>
      <c r="E346" s="327" t="str">
        <f>IF(D346="","",D346-D342)</f>
        <v/>
      </c>
      <c r="F346" s="328" t="str">
        <f t="shared" si="80"/>
        <v/>
      </c>
      <c r="G346" s="328"/>
      <c r="H346" s="328"/>
      <c r="I346" s="329"/>
      <c r="J346" s="329"/>
      <c r="K346" s="330"/>
      <c r="L346" s="323"/>
      <c r="M346" s="333"/>
      <c r="N346" s="327"/>
      <c r="O346" s="327"/>
      <c r="P346" s="327"/>
      <c r="Q346" s="328"/>
      <c r="R346" s="328"/>
      <c r="S346" s="328"/>
      <c r="T346" s="329"/>
      <c r="U346" s="329"/>
      <c r="V346" s="331"/>
      <c r="X346" s="333"/>
      <c r="Y346" s="327"/>
      <c r="Z346" s="327"/>
      <c r="AA346" s="328"/>
      <c r="AB346" s="331"/>
      <c r="AD346" s="333"/>
      <c r="AE346" s="327"/>
      <c r="AF346" s="327"/>
      <c r="AG346" s="328"/>
      <c r="AH346" s="331"/>
      <c r="AJ346" s="333"/>
      <c r="AK346" s="327"/>
      <c r="AL346" s="327"/>
      <c r="AM346" s="328"/>
      <c r="AN346" s="331"/>
      <c r="AP346" s="333"/>
      <c r="AQ346" s="327"/>
      <c r="AR346" s="327"/>
      <c r="AS346" s="327"/>
      <c r="AT346" s="328"/>
      <c r="AU346" s="328"/>
      <c r="AV346" s="328"/>
      <c r="AW346" s="329"/>
      <c r="AX346" s="329"/>
      <c r="AY346" s="331"/>
    </row>
    <row r="347" spans="2:51" ht="15" customHeight="1" x14ac:dyDescent="0.25">
      <c r="B347" s="380" t="e">
        <f>SUM(#REF!, E313, E315, E317, E319, E321, E323, E325, E327, E329, E331, E333, E347,E335,E337,E339,E341,E343,E345)</f>
        <v>#REF!</v>
      </c>
      <c r="C347" s="327"/>
      <c r="D347" s="327"/>
      <c r="E347" s="327" t="str">
        <f>IF(D347="","",D347-D345)</f>
        <v/>
      </c>
      <c r="F347" s="328" t="str">
        <f t="shared" si="80"/>
        <v/>
      </c>
      <c r="G347" s="328"/>
      <c r="H347" s="328"/>
      <c r="I347" s="329"/>
      <c r="J347" s="329"/>
      <c r="K347" s="330"/>
      <c r="L347" s="323"/>
      <c r="M347" s="334" t="e">
        <f>SUM(#REF!, P313, P315, P317, P319, P321, P323, P325, P327, P329, P337, P345, P347)</f>
        <v>#REF!</v>
      </c>
      <c r="N347" s="327"/>
      <c r="O347" s="327"/>
      <c r="P347" s="327" t="str">
        <f>IF(O347="","",O347-O345)</f>
        <v/>
      </c>
      <c r="Q347" s="328" t="str">
        <f>IF(O347="","",P347*1000)</f>
        <v/>
      </c>
      <c r="R347" s="328"/>
      <c r="S347" s="328"/>
      <c r="T347" s="329"/>
      <c r="U347" s="329"/>
      <c r="V347" s="331"/>
      <c r="X347" s="334" t="e">
        <f>SUM(#REF!, Z313, Z315, Z317, Z319, Z321, Z323, Z325, Z327, Z329, Z337, Z345, Z347)</f>
        <v>#REF!</v>
      </c>
      <c r="Y347" s="327"/>
      <c r="Z347" s="327" t="str">
        <f>IF(Y347="","",Y347-Y345)</f>
        <v/>
      </c>
      <c r="AA347" s="328" t="str">
        <f>IF(Y347="","",Z347*1000)</f>
        <v/>
      </c>
      <c r="AB347" s="331"/>
      <c r="AD347" s="334" t="e">
        <f>SUM(#REF!, AF313, AF315, AF317, AF319, AF321, AF323, AF325, AF327, AF329, AF337, AF345, AF347)</f>
        <v>#REF!</v>
      </c>
      <c r="AE347" s="327"/>
      <c r="AF347" s="327" t="str">
        <f>IF(AE347="","",AE347-AE345)</f>
        <v/>
      </c>
      <c r="AG347" s="328" t="str">
        <f>IF(AE347="","",AF347*1000)</f>
        <v/>
      </c>
      <c r="AH347" s="331"/>
      <c r="AJ347" s="334" t="e">
        <f>SUM(#REF!, AL313, AL315, AL317, AL319, AL321, AL323, AL325, AL327, AL329, AL337, AL345, AL347)</f>
        <v>#REF!</v>
      </c>
      <c r="AK347" s="327"/>
      <c r="AL347" s="327" t="str">
        <f>IF(AK347="","",AK347-AK345)</f>
        <v/>
      </c>
      <c r="AM347" s="328" t="str">
        <f>IF(AK347="","",AL347*1000)</f>
        <v/>
      </c>
      <c r="AN347" s="331"/>
      <c r="AP347" s="334" t="e">
        <f>SUM(#REF!, AS313, AS315, AS317, AS319, AS321, AS323, AS325, AS327, AS329, AS337, AS345, AS347)</f>
        <v>#REF!</v>
      </c>
      <c r="AQ347" s="327"/>
      <c r="AR347" s="327"/>
      <c r="AS347" s="327" t="str">
        <f>IF(AR347="","",AR347-AR345)</f>
        <v/>
      </c>
      <c r="AT347" s="328" t="str">
        <f>IF(AR347="","",AS347*1000)</f>
        <v/>
      </c>
      <c r="AU347" s="328"/>
      <c r="AV347" s="328"/>
      <c r="AW347" s="329"/>
      <c r="AX347" s="329"/>
      <c r="AY347" s="331"/>
    </row>
    <row r="348" spans="2:51" ht="15" customHeight="1" x14ac:dyDescent="0.25">
      <c r="B348" s="380" t="e">
        <f>SUM(#REF!, E314, E316, E318, E320, E322, E324, E326, E328, E330, E332, E334, E348,E336,E338,E340,E342,E344,E346)</f>
        <v>#REF!</v>
      </c>
      <c r="C348" s="327"/>
      <c r="D348" s="327"/>
      <c r="E348" s="327" t="str">
        <f>IF(D348="","",D348-D346)</f>
        <v/>
      </c>
      <c r="F348" s="328" t="str">
        <f t="shared" si="80"/>
        <v/>
      </c>
      <c r="G348" s="328"/>
      <c r="H348" s="328"/>
      <c r="I348" s="329"/>
      <c r="J348" s="329"/>
      <c r="K348" s="330"/>
      <c r="L348" s="323"/>
      <c r="M348" s="334" t="e">
        <f>SUM(#REF!, P314, P316, P318, P320, P322, P324, P326, P328, P330, P342, P346, P348)</f>
        <v>#REF!</v>
      </c>
      <c r="N348" s="327"/>
      <c r="O348" s="327"/>
      <c r="P348" s="327"/>
      <c r="Q348" s="328"/>
      <c r="R348" s="328"/>
      <c r="S348" s="328"/>
      <c r="T348" s="329"/>
      <c r="U348" s="329"/>
      <c r="V348" s="331"/>
      <c r="X348" s="334" t="e">
        <f>SUM(#REF!, Z314, Z316, Z318, Z320, Z322, Z324, Z326, Z328, Z330, Z342, Z346, Z348)</f>
        <v>#REF!</v>
      </c>
      <c r="Y348" s="327"/>
      <c r="Z348" s="327"/>
      <c r="AA348" s="328"/>
      <c r="AB348" s="331"/>
      <c r="AD348" s="334" t="e">
        <f>SUM(#REF!, AF314, AF316, AF318, AF320, AF322, AF324, AF326, AF328, AF330, AF342, AF346, AF348)</f>
        <v>#REF!</v>
      </c>
      <c r="AE348" s="327"/>
      <c r="AF348" s="327"/>
      <c r="AG348" s="328"/>
      <c r="AH348" s="331"/>
      <c r="AJ348" s="334" t="e">
        <f>SUM(#REF!, AL314, AL316, AL318, AL320, AL322, AL324, AL326, AL328, AL330, AL342, AL346, AL348)</f>
        <v>#REF!</v>
      </c>
      <c r="AK348" s="327"/>
      <c r="AL348" s="327"/>
      <c r="AM348" s="328"/>
      <c r="AN348" s="331"/>
      <c r="AP348" s="334" t="e">
        <f>SUM(#REF!, AS314, AS316, AS318, AS320, AS322, AS324, AS326, AS328, AS330, AS342, AS346, AS348)</f>
        <v>#REF!</v>
      </c>
      <c r="AQ348" s="327"/>
      <c r="AR348" s="327"/>
      <c r="AS348" s="327"/>
      <c r="AT348" s="328"/>
      <c r="AU348" s="328"/>
      <c r="AV348" s="328"/>
      <c r="AW348" s="329"/>
      <c r="AX348" s="329"/>
      <c r="AY348" s="331"/>
    </row>
    <row r="349" spans="2:51" ht="15" customHeight="1" x14ac:dyDescent="0.25">
      <c r="B349" s="333"/>
      <c r="C349" s="328">
        <f>SUM(C311:C342)</f>
        <v>649300</v>
      </c>
      <c r="D349" s="327"/>
      <c r="E349" s="328">
        <f>SUM(E311:E348)</f>
        <v>1593</v>
      </c>
      <c r="F349" s="328">
        <f>SUM(F311:F348)</f>
        <v>159300</v>
      </c>
      <c r="G349" s="328">
        <f>SUM(G311:G322)</f>
        <v>0</v>
      </c>
      <c r="H349" s="328">
        <f>SUM(H311:H322)</f>
        <v>0</v>
      </c>
      <c r="I349" s="328">
        <f>SUM(I311:I322)</f>
        <v>0</v>
      </c>
      <c r="J349" s="328">
        <f>SUM(J311:J322)</f>
        <v>0</v>
      </c>
      <c r="K349" s="330"/>
      <c r="L349" s="322"/>
      <c r="M349" s="327"/>
      <c r="N349" s="327"/>
      <c r="O349" s="327"/>
      <c r="P349" s="328">
        <f>SUM(P311:P347)</f>
        <v>142</v>
      </c>
      <c r="Q349" s="328">
        <f>SUM(Q311:Q348)</f>
        <v>142000</v>
      </c>
      <c r="R349" s="328">
        <f>SUM(R311:R322)</f>
        <v>0</v>
      </c>
      <c r="S349" s="328">
        <f>SUM(S311:S322)</f>
        <v>0</v>
      </c>
      <c r="T349" s="328">
        <f>SUM(T311:T322)</f>
        <v>0</v>
      </c>
      <c r="U349" s="328">
        <f>SUM(U311:U322)</f>
        <v>0</v>
      </c>
      <c r="V349" s="328"/>
      <c r="X349" s="327"/>
      <c r="Y349" s="327"/>
      <c r="Z349" s="328">
        <f>SUM(Z311:Z347)</f>
        <v>130</v>
      </c>
      <c r="AA349" s="328">
        <f>SUM(AA311:AA348)</f>
        <v>130000</v>
      </c>
      <c r="AB349" s="328"/>
      <c r="AD349" s="327"/>
      <c r="AE349" s="327"/>
      <c r="AF349" s="328">
        <f>SUM(AF311:AF347)</f>
        <v>22</v>
      </c>
      <c r="AG349" s="328">
        <f>SUM(AG311:AG348)</f>
        <v>22000</v>
      </c>
      <c r="AH349" s="328"/>
      <c r="AJ349" s="327"/>
      <c r="AK349" s="327"/>
      <c r="AL349" s="328">
        <f>SUM(AL311:AL347)</f>
        <v>94</v>
      </c>
      <c r="AM349" s="328">
        <f>SUM(AM311:AM348)</f>
        <v>94000</v>
      </c>
      <c r="AN349" s="328"/>
      <c r="AP349" s="327"/>
      <c r="AQ349" s="327"/>
      <c r="AR349" s="327"/>
      <c r="AS349" s="328">
        <f>SUM(AS311:AS347)</f>
        <v>102</v>
      </c>
      <c r="AT349" s="328">
        <f>SUM(AT311:AT348)</f>
        <v>102000</v>
      </c>
      <c r="AU349" s="328">
        <f>SUM(AU311:AU322)</f>
        <v>0</v>
      </c>
      <c r="AV349" s="328">
        <f>SUM(AV311:AV322)</f>
        <v>0</v>
      </c>
      <c r="AW349" s="328">
        <f>SUM(AW311:AW322)</f>
        <v>0</v>
      </c>
      <c r="AX349" s="328">
        <f>SUM(AX311:AX322)</f>
        <v>0</v>
      </c>
      <c r="AY349" s="328"/>
    </row>
    <row r="350" spans="2:51" ht="15" customHeight="1" x14ac:dyDescent="0.15">
      <c r="B350" s="386" t="s">
        <v>126</v>
      </c>
      <c r="C350" s="387" t="s">
        <v>127</v>
      </c>
      <c r="D350" s="388" t="s">
        <v>128</v>
      </c>
      <c r="E350" s="392" t="s">
        <v>129</v>
      </c>
      <c r="F350" s="382" t="s">
        <v>130</v>
      </c>
      <c r="G350" s="389"/>
      <c r="H350" s="389"/>
      <c r="I350" s="389"/>
      <c r="J350" s="389"/>
      <c r="K350" s="389"/>
      <c r="L350" s="381"/>
      <c r="M350" s="390"/>
      <c r="N350" s="390"/>
      <c r="O350" s="390"/>
      <c r="P350" s="389" t="s">
        <v>129</v>
      </c>
      <c r="Q350" s="382" t="s">
        <v>130</v>
      </c>
      <c r="R350" s="389"/>
      <c r="S350" s="389"/>
      <c r="T350" s="389"/>
      <c r="U350" s="389"/>
      <c r="V350" s="389"/>
      <c r="W350" s="317"/>
      <c r="X350" s="390"/>
      <c r="Y350" s="390"/>
      <c r="Z350" s="389" t="s">
        <v>129</v>
      </c>
      <c r="AA350" s="382" t="s">
        <v>130</v>
      </c>
      <c r="AB350" s="389"/>
      <c r="AC350" s="317"/>
      <c r="AD350" s="390"/>
      <c r="AE350" s="390"/>
      <c r="AF350" s="389" t="s">
        <v>129</v>
      </c>
      <c r="AG350" s="382" t="s">
        <v>130</v>
      </c>
      <c r="AH350" s="389"/>
      <c r="AI350" s="317"/>
      <c r="AJ350" s="390"/>
      <c r="AK350" s="390"/>
      <c r="AL350" s="389" t="s">
        <v>129</v>
      </c>
      <c r="AM350" s="382" t="s">
        <v>130</v>
      </c>
      <c r="AN350" s="389"/>
      <c r="AO350" s="317"/>
      <c r="AP350" s="390"/>
      <c r="AQ350" s="390"/>
      <c r="AR350" s="390"/>
      <c r="AS350" s="389" t="s">
        <v>129</v>
      </c>
      <c r="AT350" s="382" t="s">
        <v>130</v>
      </c>
      <c r="AU350" s="389"/>
      <c r="AV350" s="389"/>
      <c r="AW350" s="389"/>
      <c r="AX350" s="389"/>
      <c r="AY350" s="389"/>
    </row>
    <row r="351" spans="2:51" ht="15" customHeight="1" x14ac:dyDescent="0.2">
      <c r="B351" s="235">
        <v>30</v>
      </c>
      <c r="C351" s="318">
        <f>C349/B345</f>
        <v>23189.285714285714</v>
      </c>
      <c r="D351" s="318">
        <f>C351*B351</f>
        <v>695678.57142857136</v>
      </c>
      <c r="E351" s="236">
        <f>E349/B345*100</f>
        <v>5689.2857142857147</v>
      </c>
      <c r="F351" s="236">
        <f>E351*B351</f>
        <v>170678.57142857145</v>
      </c>
      <c r="P351" s="236">
        <f>P349/M345*1000</f>
        <v>5071.4285714285716</v>
      </c>
      <c r="Q351" s="236">
        <f>P351*B351</f>
        <v>152142.85714285716</v>
      </c>
      <c r="Z351" s="236">
        <f>Z349/X345*1000</f>
        <v>4642.8571428571431</v>
      </c>
      <c r="AA351" s="236">
        <f>Z351*B351</f>
        <v>139285.71428571429</v>
      </c>
      <c r="AF351" s="236">
        <f>AF349/AD345*1000</f>
        <v>785.71428571428567</v>
      </c>
      <c r="AG351" s="236">
        <f>AF351*B351</f>
        <v>23571.428571428569</v>
      </c>
      <c r="AL351" s="236">
        <f>AL349/AJ345*1000</f>
        <v>3357.1428571428573</v>
      </c>
      <c r="AM351" s="236">
        <f>AL351*B351</f>
        <v>100714.28571428572</v>
      </c>
      <c r="AS351" s="236">
        <f>AS349/AP345*1000</f>
        <v>3642.8571428571427</v>
      </c>
      <c r="AT351" s="236">
        <f>AS351*B351</f>
        <v>109285.71428571428</v>
      </c>
    </row>
    <row r="353" spans="2:51" ht="15" customHeight="1" x14ac:dyDescent="0.25">
      <c r="B353" s="332" t="s">
        <v>108</v>
      </c>
      <c r="C353" s="740"/>
      <c r="D353" s="740"/>
      <c r="E353" s="740"/>
      <c r="F353" s="740"/>
      <c r="G353" s="740"/>
      <c r="H353" s="740"/>
      <c r="I353" s="740"/>
      <c r="J353" s="320"/>
      <c r="K353" s="741"/>
      <c r="L353" s="740"/>
      <c r="M353" s="332" t="s">
        <v>109</v>
      </c>
      <c r="N353" s="740"/>
      <c r="O353" s="740"/>
      <c r="P353" s="740"/>
      <c r="Q353" s="740"/>
      <c r="R353" s="740"/>
      <c r="S353" s="740"/>
      <c r="T353" s="740"/>
      <c r="U353" s="320"/>
      <c r="V353" s="740"/>
      <c r="X353" s="844" t="s">
        <v>111</v>
      </c>
      <c r="Y353" s="844"/>
      <c r="Z353" s="740"/>
      <c r="AA353" s="740"/>
      <c r="AB353" s="740"/>
      <c r="AD353" s="844" t="s">
        <v>112</v>
      </c>
      <c r="AE353" s="844"/>
      <c r="AF353" s="740"/>
      <c r="AG353" s="740"/>
      <c r="AH353" s="740"/>
      <c r="AJ353" s="844" t="s">
        <v>113</v>
      </c>
      <c r="AK353" s="844"/>
      <c r="AL353" s="740"/>
      <c r="AM353" s="740"/>
      <c r="AN353" s="740"/>
      <c r="AP353" s="844" t="s">
        <v>110</v>
      </c>
      <c r="AQ353" s="844"/>
      <c r="AR353" s="844"/>
      <c r="AS353" s="740"/>
      <c r="AT353" s="740"/>
      <c r="AU353" s="740"/>
      <c r="AV353" s="740"/>
      <c r="AW353" s="740"/>
      <c r="AX353" s="320"/>
      <c r="AY353" s="740"/>
    </row>
    <row r="354" spans="2:51" ht="15" customHeight="1" x14ac:dyDescent="0.2">
      <c r="B354" s="645" t="s">
        <v>114</v>
      </c>
      <c r="C354" s="644"/>
      <c r="D354" s="646" t="s">
        <v>115</v>
      </c>
      <c r="E354" s="325" t="s">
        <v>116</v>
      </c>
      <c r="F354" s="325" t="s">
        <v>117</v>
      </c>
      <c r="G354" s="325"/>
      <c r="H354" s="325"/>
      <c r="I354" s="325"/>
      <c r="J354" s="325"/>
      <c r="K354" s="326" t="s">
        <v>118</v>
      </c>
      <c r="L354" s="740"/>
      <c r="M354" s="325" t="s">
        <v>114</v>
      </c>
      <c r="N354" s="325"/>
      <c r="O354" s="325" t="s">
        <v>115</v>
      </c>
      <c r="P354" s="325" t="s">
        <v>116</v>
      </c>
      <c r="Q354" s="325" t="s">
        <v>117</v>
      </c>
      <c r="R354" s="325"/>
      <c r="S354" s="325"/>
      <c r="T354" s="325"/>
      <c r="U354" s="325"/>
      <c r="V354" s="325" t="s">
        <v>119</v>
      </c>
      <c r="X354" s="325" t="s">
        <v>114</v>
      </c>
      <c r="Y354" s="325" t="s">
        <v>115</v>
      </c>
      <c r="Z354" s="325" t="s">
        <v>116</v>
      </c>
      <c r="AA354" s="325" t="s">
        <v>117</v>
      </c>
      <c r="AB354" s="325" t="s">
        <v>119</v>
      </c>
      <c r="AD354" s="325" t="s">
        <v>114</v>
      </c>
      <c r="AE354" s="325" t="s">
        <v>115</v>
      </c>
      <c r="AF354" s="325" t="s">
        <v>116</v>
      </c>
      <c r="AG354" s="325" t="s">
        <v>117</v>
      </c>
      <c r="AH354" s="325" t="s">
        <v>119</v>
      </c>
      <c r="AJ354" s="325" t="s">
        <v>114</v>
      </c>
      <c r="AK354" s="325" t="s">
        <v>115</v>
      </c>
      <c r="AL354" s="325" t="s">
        <v>116</v>
      </c>
      <c r="AM354" s="325" t="s">
        <v>117</v>
      </c>
      <c r="AN354" s="325" t="s">
        <v>119</v>
      </c>
      <c r="AP354" s="325" t="s">
        <v>114</v>
      </c>
      <c r="AQ354" s="325"/>
      <c r="AR354" s="325" t="s">
        <v>115</v>
      </c>
      <c r="AS354" s="325" t="s">
        <v>116</v>
      </c>
      <c r="AT354" s="325" t="s">
        <v>117</v>
      </c>
      <c r="AU354" s="325"/>
      <c r="AV354" s="325"/>
      <c r="AW354" s="325"/>
      <c r="AX354" s="325"/>
      <c r="AY354" s="325" t="s">
        <v>119</v>
      </c>
    </row>
    <row r="355" spans="2:51" ht="15" customHeight="1" x14ac:dyDescent="0.25">
      <c r="B355" s="333">
        <v>46157</v>
      </c>
      <c r="C355" s="336">
        <v>43000</v>
      </c>
      <c r="D355" s="327">
        <v>23438</v>
      </c>
      <c r="E355" s="327">
        <v>275</v>
      </c>
      <c r="F355" s="328">
        <v>27500</v>
      </c>
      <c r="G355" s="328"/>
      <c r="H355" s="328"/>
      <c r="I355" s="329"/>
      <c r="J355" s="329"/>
      <c r="K355" s="330"/>
      <c r="L355" s="323"/>
      <c r="M355" s="333">
        <v>46157</v>
      </c>
      <c r="N355" s="327"/>
      <c r="O355" s="327">
        <v>3483</v>
      </c>
      <c r="P355" s="327">
        <v>0</v>
      </c>
      <c r="Q355" s="328">
        <v>0</v>
      </c>
      <c r="R355" s="328"/>
      <c r="S355" s="328"/>
      <c r="T355" s="329"/>
      <c r="U355" s="329"/>
      <c r="V355" s="331"/>
      <c r="X355" s="333">
        <v>46157</v>
      </c>
      <c r="Y355" s="327">
        <v>8058</v>
      </c>
      <c r="Z355" s="327">
        <v>4</v>
      </c>
      <c r="AA355" s="328">
        <v>4000</v>
      </c>
      <c r="AB355" s="331"/>
      <c r="AD355" s="333">
        <v>46157</v>
      </c>
      <c r="AE355" s="327">
        <v>5459</v>
      </c>
      <c r="AF355" s="327">
        <v>0</v>
      </c>
      <c r="AG355" s="328">
        <v>0</v>
      </c>
      <c r="AH355" s="331"/>
      <c r="AJ355" s="333">
        <v>46157</v>
      </c>
      <c r="AK355" s="327">
        <v>7987</v>
      </c>
      <c r="AL355" s="327">
        <v>6</v>
      </c>
      <c r="AM355" s="328">
        <v>6000</v>
      </c>
      <c r="AN355" s="331"/>
      <c r="AP355" s="333">
        <v>46157</v>
      </c>
      <c r="AQ355" s="327"/>
      <c r="AR355" s="327">
        <v>9257</v>
      </c>
      <c r="AS355" s="327">
        <v>2</v>
      </c>
      <c r="AT355" s="328">
        <v>2000</v>
      </c>
      <c r="AU355" s="328"/>
      <c r="AV355" s="328"/>
      <c r="AW355" s="329"/>
      <c r="AX355" s="329"/>
      <c r="AY355" s="331"/>
    </row>
    <row r="356" spans="2:51" ht="15" customHeight="1" x14ac:dyDescent="0.25">
      <c r="B356" s="333"/>
      <c r="C356" s="327"/>
      <c r="D356" s="327">
        <v>7821</v>
      </c>
      <c r="E356" s="327">
        <v>35</v>
      </c>
      <c r="F356" s="328">
        <v>3500</v>
      </c>
      <c r="G356" s="328"/>
      <c r="H356" s="328"/>
      <c r="I356" s="329"/>
      <c r="J356" s="329"/>
      <c r="K356" s="330"/>
      <c r="L356" s="323"/>
      <c r="M356" s="333"/>
      <c r="N356" s="327"/>
      <c r="O356" s="327"/>
      <c r="P356" s="327" t="s">
        <v>132</v>
      </c>
      <c r="Q356" s="328"/>
      <c r="R356" s="328"/>
      <c r="S356" s="328"/>
      <c r="T356" s="329"/>
      <c r="U356" s="329"/>
      <c r="V356" s="331"/>
      <c r="X356" s="333"/>
      <c r="Y356" s="327"/>
      <c r="Z356" s="327" t="s">
        <v>132</v>
      </c>
      <c r="AA356" s="328"/>
      <c r="AB356" s="331"/>
      <c r="AD356" s="333"/>
      <c r="AE356" s="327"/>
      <c r="AF356" s="327" t="s">
        <v>132</v>
      </c>
      <c r="AG356" s="328"/>
      <c r="AH356" s="331"/>
      <c r="AJ356" s="333"/>
      <c r="AK356" s="327"/>
      <c r="AL356" s="327" t="s">
        <v>132</v>
      </c>
      <c r="AM356" s="328"/>
      <c r="AN356" s="331"/>
      <c r="AP356" s="333"/>
      <c r="AQ356" s="327"/>
      <c r="AR356" s="327"/>
      <c r="AS356" s="327" t="s">
        <v>132</v>
      </c>
      <c r="AT356" s="328"/>
      <c r="AU356" s="328"/>
      <c r="AV356" s="328"/>
      <c r="AW356" s="329"/>
      <c r="AX356" s="329"/>
      <c r="AY356" s="331"/>
    </row>
    <row r="357" spans="2:51" ht="15" customHeight="1" x14ac:dyDescent="0.25">
      <c r="B357" s="333">
        <v>46160</v>
      </c>
      <c r="C357" s="336">
        <f>SUM(IF(F357="",0,F357), IF(F358="",0,F358), IF(Q357="",0,Q357), IF(AT357="",0,AT357), IF(AA357="",0,AA357), IF(AG357="",0,AG357), IF(AM357="",0,AM357))</f>
        <v>66500</v>
      </c>
      <c r="D357" s="327">
        <v>23593</v>
      </c>
      <c r="E357" s="327">
        <f>IF(D357="","",D357-D355)</f>
        <v>155</v>
      </c>
      <c r="F357" s="328">
        <f>IF(D357="","",E357*100)</f>
        <v>15500</v>
      </c>
      <c r="G357" s="328"/>
      <c r="H357" s="328"/>
      <c r="I357" s="329"/>
      <c r="J357" s="329"/>
      <c r="K357" s="330"/>
      <c r="L357" s="323"/>
      <c r="M357" s="333">
        <f>IF(B357="","",B357)</f>
        <v>46160</v>
      </c>
      <c r="N357" s="327"/>
      <c r="O357" s="327">
        <v>3499</v>
      </c>
      <c r="P357" s="327">
        <f>IF(O357="","",O357-O355)</f>
        <v>16</v>
      </c>
      <c r="Q357" s="328">
        <f>IF(O357="","",P357*1000)</f>
        <v>16000</v>
      </c>
      <c r="R357" s="328"/>
      <c r="S357" s="328"/>
      <c r="T357" s="329"/>
      <c r="U357" s="329"/>
      <c r="V357" s="331"/>
      <c r="X357" s="333">
        <f>IF(AP357="","",AP357)</f>
        <v>46160</v>
      </c>
      <c r="Y357" s="327">
        <v>8063</v>
      </c>
      <c r="Z357" s="327">
        <f>IF(Y357="","",Y357-Y355)</f>
        <v>5</v>
      </c>
      <c r="AA357" s="328">
        <f>IF(Y357="","",Z357*1000)</f>
        <v>5000</v>
      </c>
      <c r="AB357" s="331"/>
      <c r="AD357" s="333">
        <f>IF(X357="","",X357)</f>
        <v>46160</v>
      </c>
      <c r="AE357" s="327">
        <v>5465</v>
      </c>
      <c r="AF357" s="327">
        <f>IF(AE357="","",AE357-AE355)</f>
        <v>6</v>
      </c>
      <c r="AG357" s="328">
        <f>IF(AE357="","",AF357*1000)</f>
        <v>6000</v>
      </c>
      <c r="AH357" s="811" t="s">
        <v>390</v>
      </c>
      <c r="AJ357" s="333">
        <f>IF(AD357="","",AD357)</f>
        <v>46160</v>
      </c>
      <c r="AK357" s="327">
        <v>8001</v>
      </c>
      <c r="AL357" s="327">
        <f>IF(AK357="","",AK357-AK355)</f>
        <v>14</v>
      </c>
      <c r="AM357" s="328">
        <f>IF(AK357="","",AL357*1000)</f>
        <v>14000</v>
      </c>
      <c r="AN357" s="811"/>
      <c r="AP357" s="333">
        <f>IF(M357="","",M357)</f>
        <v>46160</v>
      </c>
      <c r="AQ357" s="327"/>
      <c r="AR357" s="327">
        <v>9263</v>
      </c>
      <c r="AS357" s="327">
        <f>IF(AR357="","",AR357-AR355)</f>
        <v>6</v>
      </c>
      <c r="AT357" s="328">
        <f>IF(AR357="","",AS357*1000)</f>
        <v>6000</v>
      </c>
      <c r="AU357" s="328"/>
      <c r="AV357" s="328"/>
      <c r="AW357" s="329"/>
      <c r="AX357" s="329"/>
      <c r="AY357" s="810" t="s">
        <v>390</v>
      </c>
    </row>
    <row r="358" spans="2:51" ht="15" customHeight="1" x14ac:dyDescent="0.25">
      <c r="B358" s="333"/>
      <c r="C358" s="327"/>
      <c r="D358" s="327">
        <v>7861</v>
      </c>
      <c r="E358" s="327">
        <f>IF(D358="","",D358-D356)</f>
        <v>40</v>
      </c>
      <c r="F358" s="328">
        <f>IF(D358="","",E358*100)</f>
        <v>4000</v>
      </c>
      <c r="G358" s="328"/>
      <c r="H358" s="328"/>
      <c r="I358" s="329"/>
      <c r="J358" s="329"/>
      <c r="K358" s="330"/>
      <c r="L358" s="323"/>
      <c r="M358" s="333"/>
      <c r="N358" s="327"/>
      <c r="O358" s="327"/>
      <c r="P358" s="327"/>
      <c r="Q358" s="328"/>
      <c r="R358" s="328"/>
      <c r="S358" s="328"/>
      <c r="T358" s="329"/>
      <c r="U358" s="329"/>
      <c r="V358" s="331"/>
      <c r="X358" s="333"/>
      <c r="Y358" s="327"/>
      <c r="Z358" s="327"/>
      <c r="AA358" s="328"/>
      <c r="AB358" s="331"/>
      <c r="AD358" s="333"/>
      <c r="AE358" s="327"/>
      <c r="AF358" s="327"/>
      <c r="AG358" s="328"/>
      <c r="AH358" s="331"/>
      <c r="AJ358" s="333"/>
      <c r="AK358" s="327"/>
      <c r="AL358" s="327"/>
      <c r="AM358" s="328"/>
      <c r="AN358" s="331"/>
      <c r="AP358" s="333"/>
      <c r="AQ358" s="327"/>
      <c r="AR358" s="327"/>
      <c r="AS358" s="327"/>
      <c r="AT358" s="328"/>
      <c r="AU358" s="328"/>
      <c r="AV358" s="328"/>
      <c r="AW358" s="329"/>
      <c r="AX358" s="329"/>
      <c r="AY358" s="331"/>
    </row>
    <row r="359" spans="2:51" ht="15" customHeight="1" x14ac:dyDescent="0.25">
      <c r="B359" s="333">
        <v>46164</v>
      </c>
      <c r="C359" s="336">
        <f>SUM(IF(F359="",0,F359), IF(F360="",0,F360), IF(Q359="",0,Q359), IF(AT359="",0,AT359), IF(AA359="",0,AA359), IF(AG359="",0,AG359), IF(AM359="",0,AM359))</f>
        <v>54000</v>
      </c>
      <c r="D359" s="327">
        <v>23618</v>
      </c>
      <c r="E359" s="327">
        <f>IF(D359="","",D359-D357)</f>
        <v>25</v>
      </c>
      <c r="F359" s="328">
        <f>IF(D359="","",E359*100)</f>
        <v>2500</v>
      </c>
      <c r="G359" s="328"/>
      <c r="H359" s="328"/>
      <c r="I359" s="329"/>
      <c r="J359" s="329"/>
      <c r="K359" s="330"/>
      <c r="L359" s="740"/>
      <c r="M359" s="333">
        <f>IF(B359="","",B359)</f>
        <v>46164</v>
      </c>
      <c r="N359" s="327"/>
      <c r="O359" s="327">
        <v>3521</v>
      </c>
      <c r="P359" s="327">
        <f>IF(O359="","",O359-O357)</f>
        <v>22</v>
      </c>
      <c r="Q359" s="328">
        <f>IF(O359="","",P359*1000)</f>
        <v>22000</v>
      </c>
      <c r="R359" s="328"/>
      <c r="S359" s="328"/>
      <c r="T359" s="329"/>
      <c r="U359" s="329"/>
      <c r="V359" s="331"/>
      <c r="X359" s="333">
        <f>IF(AP359="","",AP359)</f>
        <v>46164</v>
      </c>
      <c r="Y359" s="327">
        <v>8067</v>
      </c>
      <c r="Z359" s="327">
        <f>IF(Y359="","",Y359-Y357)</f>
        <v>4</v>
      </c>
      <c r="AA359" s="328">
        <f>IF(Y359="","",Z359*1000)</f>
        <v>4000</v>
      </c>
      <c r="AB359" s="331" t="s">
        <v>391</v>
      </c>
      <c r="AD359" s="333">
        <f>IF(X359="","",X359)</f>
        <v>46164</v>
      </c>
      <c r="AE359" s="327"/>
      <c r="AF359" s="327" t="str">
        <f>IF(AE359="","",AE359-AE357)</f>
        <v/>
      </c>
      <c r="AG359" s="328" t="str">
        <f>IF(AE359="","",AF359*1000)</f>
        <v/>
      </c>
      <c r="AH359" s="331"/>
      <c r="AJ359" s="333">
        <f>IF(AD359="","",AD359)</f>
        <v>46164</v>
      </c>
      <c r="AK359" s="327">
        <v>8025</v>
      </c>
      <c r="AL359" s="327">
        <f>IF(AK359="","",AK359-AK357)</f>
        <v>24</v>
      </c>
      <c r="AM359" s="328">
        <f>IF(AK359="","",AL359*1000)</f>
        <v>24000</v>
      </c>
      <c r="AN359" s="331" t="s">
        <v>392</v>
      </c>
      <c r="AP359" s="333">
        <f>IF(M359="","",M359)</f>
        <v>46164</v>
      </c>
      <c r="AQ359" s="327"/>
      <c r="AR359" s="327"/>
      <c r="AS359" s="327" t="str">
        <f>IF(AR359="","",AR359-AR357)</f>
        <v/>
      </c>
      <c r="AT359" s="328" t="str">
        <f>IF(AR359="","",AS359*1000)</f>
        <v/>
      </c>
      <c r="AU359" s="328"/>
      <c r="AV359" s="328"/>
      <c r="AW359" s="329"/>
      <c r="AX359" s="329"/>
      <c r="AY359" s="331"/>
    </row>
    <row r="360" spans="2:51" ht="15" customHeight="1" x14ac:dyDescent="0.25">
      <c r="B360" s="333"/>
      <c r="C360" s="327"/>
      <c r="D360" s="327">
        <v>7876</v>
      </c>
      <c r="E360" s="327">
        <f>IF(D360="","",D360-D358)</f>
        <v>15</v>
      </c>
      <c r="F360" s="328">
        <f>IF(D360="","",E360*100)</f>
        <v>1500</v>
      </c>
      <c r="G360" s="328"/>
      <c r="H360" s="328"/>
      <c r="I360" s="329"/>
      <c r="J360" s="329"/>
      <c r="K360" s="330"/>
      <c r="L360" s="740"/>
      <c r="M360" s="333" t="str">
        <f>IF(B360="","",B360)</f>
        <v/>
      </c>
      <c r="N360" s="327"/>
      <c r="O360" s="327"/>
      <c r="P360" s="327" t="str">
        <f>IF(O360="","",O360-O358)</f>
        <v/>
      </c>
      <c r="Q360" s="328" t="str">
        <f>IF(O360="","",P360*1000)</f>
        <v/>
      </c>
      <c r="R360" s="328"/>
      <c r="S360" s="328"/>
      <c r="T360" s="329"/>
      <c r="U360" s="329"/>
      <c r="V360" s="331"/>
      <c r="X360" s="333" t="str">
        <f>IF(AP360="","",AP360)</f>
        <v/>
      </c>
      <c r="Y360" s="327"/>
      <c r="Z360" s="327" t="str">
        <f>IF(Y360="","",Y360-Y358)</f>
        <v/>
      </c>
      <c r="AA360" s="328" t="str">
        <f>IF(Y360="","",Z360*1000)</f>
        <v/>
      </c>
      <c r="AB360" s="331"/>
      <c r="AD360" s="333" t="str">
        <f>IF(X360="","",X360)</f>
        <v/>
      </c>
      <c r="AE360" s="327"/>
      <c r="AF360" s="327" t="str">
        <f>IF(AE360="","",AE360-AE358)</f>
        <v/>
      </c>
      <c r="AG360" s="328" t="str">
        <f>IF(AE360="","",AF360*1000)</f>
        <v/>
      </c>
      <c r="AH360" s="331"/>
      <c r="AJ360" s="333" t="str">
        <f>IF(AD360="","",AD360)</f>
        <v/>
      </c>
      <c r="AK360" s="327"/>
      <c r="AL360" s="327" t="str">
        <f>IF(AK360="","",AK360-AK358)</f>
        <v/>
      </c>
      <c r="AM360" s="328" t="str">
        <f>IF(AK360="","",AL360*1000)</f>
        <v/>
      </c>
      <c r="AN360" s="331"/>
      <c r="AP360" s="333" t="str">
        <f>IF(M360="","",M360)</f>
        <v/>
      </c>
      <c r="AQ360" s="327"/>
      <c r="AR360" s="327"/>
      <c r="AS360" s="327" t="str">
        <f>IF(AR360="","",AR360-AR358)</f>
        <v/>
      </c>
      <c r="AT360" s="328" t="str">
        <f>IF(AR360="","",AS360*1000)</f>
        <v/>
      </c>
      <c r="AU360" s="328"/>
      <c r="AV360" s="328"/>
      <c r="AW360" s="329"/>
      <c r="AX360" s="329"/>
      <c r="AY360" s="331"/>
    </row>
    <row r="361" spans="2:51" ht="15" customHeight="1" x14ac:dyDescent="0.25">
      <c r="B361" s="333">
        <v>46167</v>
      </c>
      <c r="C361" s="336">
        <f>SUM(IF(F361="",0,F361), IF(F362="",0,F362), IF(Q361="",0,Q361), IF(AT361="",0,AT361), IF(AA361="",0,AA361), IF(AG361="",0,AG361), IF(AM361="",0,AM361))</f>
        <v>74000</v>
      </c>
      <c r="D361" s="327">
        <v>23758</v>
      </c>
      <c r="E361" s="327">
        <f>IF(D361="","",D361-D359)</f>
        <v>140</v>
      </c>
      <c r="F361" s="328">
        <f>IF(D361="","",E361*100)</f>
        <v>14000</v>
      </c>
      <c r="G361" s="328"/>
      <c r="H361" s="328"/>
      <c r="I361" s="329"/>
      <c r="J361" s="329"/>
      <c r="K361" s="330"/>
      <c r="L361" s="740"/>
      <c r="M361" s="333">
        <f>IF(B361="","",B361)</f>
        <v>46167</v>
      </c>
      <c r="N361" s="327"/>
      <c r="O361" s="327">
        <v>3551</v>
      </c>
      <c r="P361" s="327">
        <f>IF(O361="","",O361-O359)</f>
        <v>30</v>
      </c>
      <c r="Q361" s="328">
        <f>IF(O361="","",P361*1000)</f>
        <v>30000</v>
      </c>
      <c r="R361" s="328"/>
      <c r="S361" s="328"/>
      <c r="T361" s="329"/>
      <c r="U361" s="329"/>
      <c r="V361" s="330"/>
      <c r="X361" s="333">
        <f>IF(AP361="","",AP361)</f>
        <v>46167</v>
      </c>
      <c r="Y361" s="327">
        <v>8074</v>
      </c>
      <c r="Z361" s="327">
        <f>IF(Y361="","",Y361-Y359)</f>
        <v>7</v>
      </c>
      <c r="AA361" s="328">
        <f>IF(Y361="","",Z361*1000)</f>
        <v>7000</v>
      </c>
      <c r="AB361" s="330"/>
      <c r="AD361" s="333">
        <f>IF(X361="","",X361)</f>
        <v>46167</v>
      </c>
      <c r="AE361" s="327"/>
      <c r="AF361" s="327" t="str">
        <f>IF(AE361="","",AE361-AE359)</f>
        <v/>
      </c>
      <c r="AG361" s="328" t="str">
        <f>IF(AE361="","",AF361*1000)</f>
        <v/>
      </c>
      <c r="AH361" s="331"/>
      <c r="AJ361" s="333">
        <f>IF(AD361="","",AD361)</f>
        <v>46167</v>
      </c>
      <c r="AK361" s="327">
        <v>8045</v>
      </c>
      <c r="AL361" s="327">
        <f>IF(AK361="","",AK361-AK359)</f>
        <v>20</v>
      </c>
      <c r="AM361" s="328">
        <f>IF(AK361="","",AL361*1000)</f>
        <v>20000</v>
      </c>
      <c r="AN361" s="330"/>
      <c r="AP361" s="333">
        <f>IF(M361="","",M361)</f>
        <v>46167</v>
      </c>
      <c r="AQ361" s="327"/>
      <c r="AR361" s="327"/>
      <c r="AS361" s="327" t="str">
        <f>IF(AR361="","",AR361-AR359)</f>
        <v/>
      </c>
      <c r="AT361" s="328" t="str">
        <f>IF(AR361="","",AS361*1000)</f>
        <v/>
      </c>
      <c r="AU361" s="328"/>
      <c r="AV361" s="328"/>
      <c r="AW361" s="329"/>
      <c r="AX361" s="329"/>
      <c r="AY361" s="331"/>
    </row>
    <row r="362" spans="2:51" ht="15" customHeight="1" x14ac:dyDescent="0.25">
      <c r="B362" s="333"/>
      <c r="C362" s="327"/>
      <c r="D362" s="327">
        <v>7906</v>
      </c>
      <c r="E362" s="327">
        <f>IF(D362="","",D362-D360)</f>
        <v>30</v>
      </c>
      <c r="F362" s="328">
        <f>IF(D362="","",E362*100)</f>
        <v>3000</v>
      </c>
      <c r="G362" s="328"/>
      <c r="H362" s="328"/>
      <c r="I362" s="329"/>
      <c r="J362" s="329"/>
      <c r="K362" s="330"/>
      <c r="L362" s="323"/>
      <c r="M362" s="333" t="str">
        <f>IF(B362="","",B362)</f>
        <v/>
      </c>
      <c r="N362" s="327"/>
      <c r="O362" s="327"/>
      <c r="P362" s="327" t="str">
        <f>IF(O362="","",O362-O360)</f>
        <v/>
      </c>
      <c r="Q362" s="328" t="str">
        <f>IF(O362="","",P362*1000)</f>
        <v/>
      </c>
      <c r="R362" s="328"/>
      <c r="S362" s="328"/>
      <c r="T362" s="329"/>
      <c r="U362" s="329"/>
      <c r="V362" s="331"/>
      <c r="X362" s="333" t="str">
        <f>IF(AP362="","",AP362)</f>
        <v/>
      </c>
      <c r="Y362" s="327"/>
      <c r="Z362" s="327" t="str">
        <f>IF(Y362="","",Y362-Y360)</f>
        <v/>
      </c>
      <c r="AA362" s="328" t="str">
        <f>IF(Y362="","",Z362*1000)</f>
        <v/>
      </c>
      <c r="AB362" s="331"/>
      <c r="AD362" s="333" t="str">
        <f>IF(X362="","",X362)</f>
        <v/>
      </c>
      <c r="AE362" s="327"/>
      <c r="AF362" s="327" t="str">
        <f>IF(AE362="","",AE362-AE360)</f>
        <v/>
      </c>
      <c r="AG362" s="328" t="str">
        <f>IF(AE362="","",AF362*1000)</f>
        <v/>
      </c>
      <c r="AH362" s="331"/>
      <c r="AJ362" s="333" t="str">
        <f>IF(AD362="","",AD362)</f>
        <v/>
      </c>
      <c r="AK362" s="327"/>
      <c r="AL362" s="327" t="str">
        <f>IF(AK362="","",AK362-AK360)</f>
        <v/>
      </c>
      <c r="AM362" s="328" t="str">
        <f>IF(AK362="","",AL362*1000)</f>
        <v/>
      </c>
      <c r="AN362" s="331"/>
      <c r="AP362" s="333" t="str">
        <f>IF(M362="","",M362)</f>
        <v/>
      </c>
      <c r="AQ362" s="327"/>
      <c r="AR362" s="327"/>
      <c r="AS362" s="327" t="str">
        <f>IF(AR362="","",AR362-AR360)</f>
        <v/>
      </c>
      <c r="AT362" s="328" t="str">
        <f>IF(AR362="","",AS362*1000)</f>
        <v/>
      </c>
      <c r="AU362" s="328"/>
      <c r="AV362" s="328"/>
      <c r="AW362" s="329"/>
      <c r="AX362" s="329"/>
      <c r="AY362" s="331"/>
    </row>
    <row r="363" spans="2:51" ht="15" customHeight="1" x14ac:dyDescent="0.25">
      <c r="B363" s="333"/>
      <c r="C363" s="336">
        <f>SUM(IF(F363="",0,F363), IF(F364="",0,F364), IF(Q363="",0,Q363), IF(AT363="",0,AT363), IF(AA363="",0,AA363), IF(AG363="",0,AG363), IF(AM363="",0,AM363))</f>
        <v>0</v>
      </c>
      <c r="D363" s="327"/>
      <c r="E363" s="327" t="str">
        <f>IF(D363="","",D363-D361)</f>
        <v/>
      </c>
      <c r="F363" s="328" t="str">
        <f>IF(D363="","",E363*100)</f>
        <v/>
      </c>
      <c r="G363" s="328"/>
      <c r="H363" s="328"/>
      <c r="I363" s="329"/>
      <c r="J363" s="329"/>
      <c r="K363" s="330"/>
      <c r="L363" s="324"/>
      <c r="M363" s="333" t="str">
        <f>IF(B363="","",B363)</f>
        <v/>
      </c>
      <c r="N363" s="327"/>
      <c r="O363" s="327"/>
      <c r="P363" s="327" t="str">
        <f>IF(O363="","",O363-O361)</f>
        <v/>
      </c>
      <c r="Q363" s="328" t="str">
        <f>IF(O363="","",P363*1000)</f>
        <v/>
      </c>
      <c r="R363" s="328"/>
      <c r="S363" s="328"/>
      <c r="T363" s="329"/>
      <c r="U363" s="329"/>
      <c r="V363" s="331"/>
      <c r="X363" s="333" t="str">
        <f>IF(AP363="","",AP363)</f>
        <v/>
      </c>
      <c r="Y363" s="327"/>
      <c r="Z363" s="327" t="str">
        <f>IF(Y363="","",Y363-Y361)</f>
        <v/>
      </c>
      <c r="AA363" s="328" t="str">
        <f>IF(Y363="","",Z363*1000)</f>
        <v/>
      </c>
      <c r="AB363" s="331"/>
      <c r="AD363" s="333" t="str">
        <f>IF(X363="","",X363)</f>
        <v/>
      </c>
      <c r="AE363" s="327"/>
      <c r="AF363" s="327" t="str">
        <f>IF(AE363="","",AE363-AE361)</f>
        <v/>
      </c>
      <c r="AG363" s="328" t="str">
        <f>IF(AE363="","",AF363*1000)</f>
        <v/>
      </c>
      <c r="AH363" s="331"/>
      <c r="AJ363" s="333" t="str">
        <f>IF(AD363="","",AD363)</f>
        <v/>
      </c>
      <c r="AK363" s="327"/>
      <c r="AL363" s="327" t="str">
        <f>IF(AK363="","",AK363-AK361)</f>
        <v/>
      </c>
      <c r="AM363" s="328" t="str">
        <f>IF(AK363="","",AL363*1000)</f>
        <v/>
      </c>
      <c r="AN363" s="331"/>
      <c r="AP363" s="333" t="str">
        <f>IF(M363="","",M363)</f>
        <v/>
      </c>
      <c r="AQ363" s="327"/>
      <c r="AR363" s="327"/>
      <c r="AS363" s="327" t="str">
        <f>IF(AR363="","",AR363-AR361)</f>
        <v/>
      </c>
      <c r="AT363" s="328" t="str">
        <f>IF(AR363="","",AS363*1000)</f>
        <v/>
      </c>
      <c r="AU363" s="328"/>
      <c r="AV363" s="328"/>
      <c r="AW363" s="329"/>
      <c r="AX363" s="329"/>
      <c r="AY363" s="331"/>
    </row>
    <row r="364" spans="2:51" ht="15" customHeight="1" x14ac:dyDescent="0.25">
      <c r="B364" s="333"/>
      <c r="C364" s="327"/>
      <c r="D364" s="327"/>
      <c r="E364" s="327" t="str">
        <f>IF(D364="","",D364-D362)</f>
        <v/>
      </c>
      <c r="F364" s="328" t="str">
        <f>IF(D364="","",E364*100)</f>
        <v/>
      </c>
      <c r="G364" s="328"/>
      <c r="H364" s="328"/>
      <c r="I364" s="329"/>
      <c r="J364" s="329"/>
      <c r="K364" s="330"/>
      <c r="L364" s="323"/>
      <c r="M364" s="333" t="str">
        <f>IF(B364="","",B364)</f>
        <v/>
      </c>
      <c r="N364" s="327"/>
      <c r="O364" s="327"/>
      <c r="P364" s="327" t="str">
        <f>IF(O364="","",O364-O362)</f>
        <v/>
      </c>
      <c r="Q364" s="328" t="str">
        <f>IF(O364="","",P364*1000)</f>
        <v/>
      </c>
      <c r="R364" s="328"/>
      <c r="S364" s="328"/>
      <c r="T364" s="329"/>
      <c r="U364" s="329"/>
      <c r="V364" s="331"/>
      <c r="X364" s="333" t="str">
        <f>IF(AP364="","",AP364)</f>
        <v/>
      </c>
      <c r="Y364" s="327"/>
      <c r="Z364" s="327" t="str">
        <f>IF(Y364="","",Y364-Y362)</f>
        <v/>
      </c>
      <c r="AA364" s="328" t="str">
        <f>IF(Y364="","",Z364*1000)</f>
        <v/>
      </c>
      <c r="AB364" s="331"/>
      <c r="AD364" s="333" t="str">
        <f>IF(X364="","",X364)</f>
        <v/>
      </c>
      <c r="AE364" s="327"/>
      <c r="AF364" s="327" t="str">
        <f>IF(AE364="","",AE364-AE362)</f>
        <v/>
      </c>
      <c r="AG364" s="328" t="str">
        <f>IF(AE364="","",AF364*1000)</f>
        <v/>
      </c>
      <c r="AH364" s="331"/>
      <c r="AJ364" s="333" t="str">
        <f>IF(AD364="","",AD364)</f>
        <v/>
      </c>
      <c r="AK364" s="327"/>
      <c r="AL364" s="327" t="str">
        <f>IF(AK364="","",AK364-AK362)</f>
        <v/>
      </c>
      <c r="AM364" s="328" t="str">
        <f>IF(AK364="","",AL364*1000)</f>
        <v/>
      </c>
      <c r="AN364" s="331"/>
      <c r="AP364" s="333" t="str">
        <f>IF(M364="","",M364)</f>
        <v/>
      </c>
      <c r="AQ364" s="327"/>
      <c r="AR364" s="327"/>
      <c r="AS364" s="327" t="str">
        <f>IF(AR364="","",AR364-AR362)</f>
        <v/>
      </c>
      <c r="AT364" s="328" t="str">
        <f>IF(AR364="","",AS364*1000)</f>
        <v/>
      </c>
      <c r="AU364" s="328"/>
      <c r="AV364" s="328"/>
      <c r="AW364" s="329"/>
      <c r="AX364" s="329"/>
      <c r="AY364" s="331"/>
    </row>
    <row r="365" spans="2:51" ht="15" customHeight="1" x14ac:dyDescent="0.25">
      <c r="B365" s="333"/>
      <c r="C365" s="336">
        <f>SUM(IF(F365="",0,F365), IF(F366="",0,F366), IF(Q365="",0,Q365), IF(AT365="",0,AT365), IF(AA365="",0,AA365), IF(AG365="",0,AG365), IF(AM365="",0,AM365))</f>
        <v>0</v>
      </c>
      <c r="D365" s="327"/>
      <c r="E365" s="327" t="str">
        <f>IF(D365="","",D365-D363)</f>
        <v/>
      </c>
      <c r="F365" s="328" t="str">
        <f>IF(D365="","",E365*100)</f>
        <v/>
      </c>
      <c r="G365" s="328"/>
      <c r="H365" s="328"/>
      <c r="I365" s="329"/>
      <c r="J365" s="329"/>
      <c r="K365" s="330"/>
      <c r="L365" s="323"/>
      <c r="M365" s="333" t="str">
        <f>IF(B365="","",B365)</f>
        <v/>
      </c>
      <c r="N365" s="327"/>
      <c r="O365" s="327"/>
      <c r="P365" s="327" t="str">
        <f>IF(O365="","",O365-O363)</f>
        <v/>
      </c>
      <c r="Q365" s="328" t="str">
        <f>IF(O365="","",P365*1000)</f>
        <v/>
      </c>
      <c r="R365" s="328"/>
      <c r="S365" s="328"/>
      <c r="T365" s="329"/>
      <c r="U365" s="329"/>
      <c r="V365" s="331"/>
      <c r="X365" s="333" t="str">
        <f>IF(AP365="","",AP365)</f>
        <v/>
      </c>
      <c r="Y365" s="327"/>
      <c r="Z365" s="327" t="str">
        <f>IF(Y365="","",Y365-Y363)</f>
        <v/>
      </c>
      <c r="AA365" s="328" t="str">
        <f>IF(Y365="","",Z365*1000)</f>
        <v/>
      </c>
      <c r="AB365" s="331"/>
      <c r="AD365" s="333" t="str">
        <f>IF(X365="","",X365)</f>
        <v/>
      </c>
      <c r="AE365" s="327"/>
      <c r="AF365" s="327" t="str">
        <f>IF(AE365="","",AE365-AE363)</f>
        <v/>
      </c>
      <c r="AG365" s="328" t="str">
        <f>IF(AE365="","",AF365*1000)</f>
        <v/>
      </c>
      <c r="AH365" s="391"/>
      <c r="AJ365" s="333" t="str">
        <f>IF(AD365="","",AD365)</f>
        <v/>
      </c>
      <c r="AK365" s="327"/>
      <c r="AL365" s="327" t="str">
        <f>IF(AK365="","",AK365-AK363)</f>
        <v/>
      </c>
      <c r="AM365" s="328" t="str">
        <f>IF(AK365="","",AL365*1000)</f>
        <v/>
      </c>
      <c r="AN365" s="331"/>
      <c r="AP365" s="333" t="str">
        <f>IF(M365="","",M365)</f>
        <v/>
      </c>
      <c r="AQ365" s="327"/>
      <c r="AR365" s="327"/>
      <c r="AS365" s="327" t="str">
        <f>IF(AR365="","",AR365-AR363)</f>
        <v/>
      </c>
      <c r="AT365" s="328" t="str">
        <f>IF(AR365="","",AS365*1000)</f>
        <v/>
      </c>
      <c r="AU365" s="328"/>
      <c r="AV365" s="328"/>
      <c r="AW365" s="329"/>
      <c r="AX365" s="329"/>
      <c r="AY365" s="331"/>
    </row>
    <row r="366" spans="2:51" ht="15" customHeight="1" x14ac:dyDescent="0.25">
      <c r="B366" s="333"/>
      <c r="C366" s="327"/>
      <c r="D366" s="327"/>
      <c r="E366" s="327" t="str">
        <f>IF(D366="","",D366-D364)</f>
        <v/>
      </c>
      <c r="F366" s="328" t="str">
        <f>IF(D366="","",E366*100)</f>
        <v/>
      </c>
      <c r="G366" s="328"/>
      <c r="H366" s="328"/>
      <c r="I366" s="329"/>
      <c r="J366" s="329"/>
      <c r="K366" s="330"/>
      <c r="L366" s="323"/>
      <c r="M366" s="333" t="str">
        <f>IF(B366="","",B366)</f>
        <v/>
      </c>
      <c r="N366" s="327"/>
      <c r="O366" s="327"/>
      <c r="P366" s="327" t="str">
        <f>IF(O366="","",O366-O364)</f>
        <v/>
      </c>
      <c r="Q366" s="328" t="str">
        <f>IF(O366="","",P366*1000)</f>
        <v/>
      </c>
      <c r="R366" s="328"/>
      <c r="S366" s="328"/>
      <c r="T366" s="329"/>
      <c r="U366" s="329"/>
      <c r="V366" s="331"/>
      <c r="X366" s="333" t="str">
        <f>IF(AP366="","",AP366)</f>
        <v/>
      </c>
      <c r="Y366" s="327"/>
      <c r="Z366" s="327" t="str">
        <f>IF(Y366="","",Y366-Y364)</f>
        <v/>
      </c>
      <c r="AA366" s="328" t="str">
        <f>IF(Y366="","",Z366*1000)</f>
        <v/>
      </c>
      <c r="AB366" s="331"/>
      <c r="AD366" s="333" t="str">
        <f>IF(X366="","",X366)</f>
        <v/>
      </c>
      <c r="AE366" s="327"/>
      <c r="AF366" s="327" t="str">
        <f>IF(AE366="","",AE366-AE364)</f>
        <v/>
      </c>
      <c r="AG366" s="328" t="str">
        <f>IF(AE366="","",AF366*1000)</f>
        <v/>
      </c>
      <c r="AH366" s="331"/>
      <c r="AJ366" s="333" t="str">
        <f>IF(AD366="","",AD366)</f>
        <v/>
      </c>
      <c r="AK366" s="327"/>
      <c r="AL366" s="327" t="str">
        <f>IF(AK366="","",AK366-AK364)</f>
        <v/>
      </c>
      <c r="AM366" s="328" t="str">
        <f>IF(AK366="","",AL366*1000)</f>
        <v/>
      </c>
      <c r="AN366" s="331"/>
      <c r="AP366" s="333" t="str">
        <f>IF(M366="","",M366)</f>
        <v/>
      </c>
      <c r="AQ366" s="327"/>
      <c r="AR366" s="327"/>
      <c r="AS366" s="327" t="str">
        <f>IF(AR366="","",AR366-AR364)</f>
        <v/>
      </c>
      <c r="AT366" s="328" t="str">
        <f>IF(AR366="","",AS366*1000)</f>
        <v/>
      </c>
      <c r="AU366" s="328"/>
      <c r="AV366" s="328"/>
      <c r="AW366" s="329"/>
      <c r="AX366" s="329"/>
      <c r="AY366" s="331"/>
    </row>
    <row r="367" spans="2:51" ht="15" customHeight="1" x14ac:dyDescent="0.25">
      <c r="B367" s="333"/>
      <c r="C367" s="336">
        <f>SUM(IF(F367="",0,F367), IF(F368="",0,F368), IF(Q367="",0,Q367), IF(AT367="",0,AT367), IF(AA367="",0,AA367), IF(AG367="",0,AG367), IF(AM367="",0,AM367))</f>
        <v>0</v>
      </c>
      <c r="D367" s="327"/>
      <c r="E367" s="327" t="str">
        <f>IF(D367="","",D367-D365)</f>
        <v/>
      </c>
      <c r="F367" s="328" t="str">
        <f>IF(D367="","",E367*100)</f>
        <v/>
      </c>
      <c r="G367" s="328"/>
      <c r="H367" s="328"/>
      <c r="I367" s="329"/>
      <c r="J367" s="329"/>
      <c r="K367" s="330"/>
      <c r="L367" s="323"/>
      <c r="M367" s="333" t="str">
        <f>IF(B367="","",B367)</f>
        <v/>
      </c>
      <c r="N367" s="327"/>
      <c r="O367" s="327"/>
      <c r="P367" s="327" t="str">
        <f>IF(O367="","",O367-O365)</f>
        <v/>
      </c>
      <c r="Q367" s="328" t="str">
        <f>IF(O367="","",P367*1000)</f>
        <v/>
      </c>
      <c r="R367" s="328"/>
      <c r="S367" s="328"/>
      <c r="T367" s="329"/>
      <c r="U367" s="329"/>
      <c r="V367" s="331"/>
      <c r="X367" s="333" t="str">
        <f>IF(AP367="","",AP367)</f>
        <v/>
      </c>
      <c r="Y367" s="327"/>
      <c r="Z367" s="327" t="str">
        <f>IF(Y367="","",Y367-Y365)</f>
        <v/>
      </c>
      <c r="AA367" s="328" t="str">
        <f>IF(Y367="","",Z367*1000)</f>
        <v/>
      </c>
      <c r="AB367" s="331"/>
      <c r="AD367" s="333" t="str">
        <f>IF(X367="","",X367)</f>
        <v/>
      </c>
      <c r="AE367" s="327"/>
      <c r="AF367" s="327" t="str">
        <f>IF(AE367="","",AE367-AE365)</f>
        <v/>
      </c>
      <c r="AG367" s="328" t="str">
        <f>IF(AE367="","",AF367*1000)</f>
        <v/>
      </c>
      <c r="AH367" s="331"/>
      <c r="AJ367" s="333" t="str">
        <f>IF(AD367="","",AD367)</f>
        <v/>
      </c>
      <c r="AK367" s="327"/>
      <c r="AL367" s="327" t="str">
        <f>IF(AK367="","",AK367-AK365)</f>
        <v/>
      </c>
      <c r="AM367" s="328" t="str">
        <f>IF(AK367="","",AL367*1000)</f>
        <v/>
      </c>
      <c r="AN367" s="331"/>
      <c r="AP367" s="333" t="str">
        <f>IF(M367="","",M367)</f>
        <v/>
      </c>
      <c r="AQ367" s="327"/>
      <c r="AR367" s="327"/>
      <c r="AS367" s="327" t="str">
        <f>IF(AR367="","",AR367-AR365)</f>
        <v/>
      </c>
      <c r="AT367" s="328"/>
      <c r="AU367" s="328"/>
      <c r="AV367" s="328"/>
      <c r="AW367" s="329"/>
      <c r="AX367" s="329"/>
      <c r="AY367" s="331"/>
    </row>
    <row r="368" spans="2:51" ht="15" customHeight="1" x14ac:dyDescent="0.25">
      <c r="B368" s="333"/>
      <c r="C368" s="327"/>
      <c r="D368" s="327"/>
      <c r="E368" s="327" t="str">
        <f>IF(D368="","",D368-D366)</f>
        <v/>
      </c>
      <c r="F368" s="328" t="str">
        <f>IF(D368="","",E368*100)</f>
        <v/>
      </c>
      <c r="G368" s="328"/>
      <c r="H368" s="328"/>
      <c r="I368" s="329"/>
      <c r="J368" s="329"/>
      <c r="K368" s="330"/>
      <c r="L368" s="323"/>
      <c r="M368" s="333" t="str">
        <f>IF(B368="","",B368)</f>
        <v/>
      </c>
      <c r="N368" s="327"/>
      <c r="O368" s="327"/>
      <c r="P368" s="327" t="str">
        <f>IF(O368="","",O368-O366)</f>
        <v/>
      </c>
      <c r="Q368" s="328" t="str">
        <f>IF(O368="","",P368*1000)</f>
        <v/>
      </c>
      <c r="R368" s="328"/>
      <c r="S368" s="328"/>
      <c r="T368" s="329"/>
      <c r="U368" s="329"/>
      <c r="V368" s="331"/>
      <c r="X368" s="333" t="str">
        <f>IF(AP368="","",AP368)</f>
        <v/>
      </c>
      <c r="Y368" s="327"/>
      <c r="Z368" s="327" t="str">
        <f>IF(Y368="","",Y368-Y366)</f>
        <v/>
      </c>
      <c r="AA368" s="328" t="str">
        <f>IF(Y368="","",Z368*1000)</f>
        <v/>
      </c>
      <c r="AB368" s="331"/>
      <c r="AD368" s="333" t="str">
        <f>IF(X368="","",X368)</f>
        <v/>
      </c>
      <c r="AE368" s="327"/>
      <c r="AF368" s="327" t="str">
        <f>IF(AE368="","",AE368-AE366)</f>
        <v/>
      </c>
      <c r="AG368" s="328" t="str">
        <f>IF(AE368="","",AF368*1000)</f>
        <v/>
      </c>
      <c r="AH368" s="331"/>
      <c r="AJ368" s="333" t="str">
        <f>IF(AD368="","",AD368)</f>
        <v/>
      </c>
      <c r="AK368" s="327"/>
      <c r="AL368" s="327" t="str">
        <f>IF(AK368="","",AK368-AK366)</f>
        <v/>
      </c>
      <c r="AM368" s="328" t="str">
        <f>IF(AK368="","",AL368*1000)</f>
        <v/>
      </c>
      <c r="AN368" s="331"/>
      <c r="AP368" s="333" t="str">
        <f>IF(M368="","",M368)</f>
        <v/>
      </c>
      <c r="AQ368" s="327"/>
      <c r="AR368" s="327"/>
      <c r="AS368" s="327" t="str">
        <f>IF(AR368="","",AR368-AR366)</f>
        <v/>
      </c>
      <c r="AT368" s="328" t="str">
        <f>IF(AR368="","",AS368*1000)</f>
        <v/>
      </c>
      <c r="AU368" s="328"/>
      <c r="AV368" s="328"/>
      <c r="AW368" s="329"/>
      <c r="AX368" s="329"/>
      <c r="AY368" s="331"/>
    </row>
    <row r="369" spans="2:51" ht="15" customHeight="1" x14ac:dyDescent="0.25">
      <c r="B369" s="333"/>
      <c r="C369" s="336">
        <f>SUM(IF(F369="",0,F369), IF(F370="",0,F370), IF(Q369="",0,Q369), IF(AT369="",0,AT369), IF(AA369="",0,AA369), IF(AG369="",0,AG369), IF(AM369="",0,AM369))</f>
        <v>0</v>
      </c>
      <c r="D369" s="327"/>
      <c r="E369" s="327" t="str">
        <f>IF(D369="","",D369-D367)</f>
        <v/>
      </c>
      <c r="F369" s="328" t="str">
        <f>IF(D369="","",E369*100)</f>
        <v/>
      </c>
      <c r="G369" s="328"/>
      <c r="H369" s="328"/>
      <c r="I369" s="329"/>
      <c r="J369" s="329"/>
      <c r="K369" s="330"/>
      <c r="L369" s="323"/>
      <c r="M369" s="333" t="str">
        <f>IF(B369="","",B369)</f>
        <v/>
      </c>
      <c r="N369" s="327"/>
      <c r="O369" s="327"/>
      <c r="P369" s="327" t="str">
        <f>IF(O369="","",O369-O367)</f>
        <v/>
      </c>
      <c r="Q369" s="328" t="str">
        <f>IF(O369="","",P369*1000)</f>
        <v/>
      </c>
      <c r="R369" s="328"/>
      <c r="S369" s="328"/>
      <c r="T369" s="329"/>
      <c r="U369" s="329"/>
      <c r="V369" s="331"/>
      <c r="X369" s="333" t="str">
        <f>IF(AP369="","",AP369)</f>
        <v/>
      </c>
      <c r="Y369" s="327"/>
      <c r="Z369" s="327" t="str">
        <f>IF(Y369="","",Y369-Y367)</f>
        <v/>
      </c>
      <c r="AA369" s="328" t="str">
        <f>IF(Y369="","",Z369*1000)</f>
        <v/>
      </c>
      <c r="AB369" s="331"/>
      <c r="AD369" s="333" t="str">
        <f>IF(X369="","",X369)</f>
        <v/>
      </c>
      <c r="AE369" s="327"/>
      <c r="AF369" s="327" t="str">
        <f>IF(AE369="","",AE369-AE367)</f>
        <v/>
      </c>
      <c r="AG369" s="328" t="str">
        <f>IF(AE369="","",AF369*1000)</f>
        <v/>
      </c>
      <c r="AH369" s="331"/>
      <c r="AJ369" s="333" t="str">
        <f>IF(AD369="","",AD369)</f>
        <v/>
      </c>
      <c r="AK369" s="327"/>
      <c r="AL369" s="327" t="str">
        <f>IF(AK369="","",AK369-AK367)</f>
        <v/>
      </c>
      <c r="AM369" s="328" t="str">
        <f>IF(AK369="","",AL369*1000)</f>
        <v/>
      </c>
      <c r="AN369" s="331"/>
      <c r="AP369" s="333" t="str">
        <f>IF(M369="","",M369)</f>
        <v/>
      </c>
      <c r="AQ369" s="327"/>
      <c r="AR369" s="327"/>
      <c r="AS369" s="327" t="str">
        <f>IF(AR369="","",AR369-AR367)</f>
        <v/>
      </c>
      <c r="AT369" s="328" t="str">
        <f>IF(AR369="","",AS369*1000)</f>
        <v/>
      </c>
      <c r="AU369" s="328"/>
      <c r="AV369" s="328"/>
      <c r="AW369" s="329"/>
      <c r="AX369" s="329"/>
      <c r="AY369" s="331"/>
    </row>
    <row r="370" spans="2:51" ht="15" customHeight="1" x14ac:dyDescent="0.25">
      <c r="B370" s="333"/>
      <c r="C370" s="327"/>
      <c r="D370" s="327"/>
      <c r="E370" s="327" t="str">
        <f>IF(D370="","",D370-D368)</f>
        <v/>
      </c>
      <c r="F370" s="328" t="str">
        <f>IF(D370="","",E370*100)</f>
        <v/>
      </c>
      <c r="G370" s="328"/>
      <c r="H370" s="328"/>
      <c r="I370" s="329"/>
      <c r="J370" s="329"/>
      <c r="K370" s="330"/>
      <c r="L370" s="323"/>
      <c r="M370" s="333"/>
      <c r="N370" s="327"/>
      <c r="O370" s="327"/>
      <c r="P370" s="327"/>
      <c r="Q370" s="328"/>
      <c r="R370" s="328"/>
      <c r="S370" s="328"/>
      <c r="T370" s="329"/>
      <c r="U370" s="329"/>
      <c r="V370" s="331"/>
      <c r="X370" s="333"/>
      <c r="Y370" s="327"/>
      <c r="Z370" s="327"/>
      <c r="AA370" s="328"/>
      <c r="AB370" s="331"/>
      <c r="AD370" s="333"/>
      <c r="AE370" s="327"/>
      <c r="AF370" s="327"/>
      <c r="AG370" s="328"/>
      <c r="AH370" s="331"/>
      <c r="AJ370" s="333"/>
      <c r="AK370" s="327"/>
      <c r="AL370" s="327"/>
      <c r="AM370" s="328"/>
      <c r="AN370" s="331"/>
      <c r="AP370" s="333"/>
      <c r="AQ370" s="327"/>
      <c r="AR370" s="327"/>
      <c r="AS370" s="327"/>
      <c r="AT370" s="328"/>
      <c r="AU370" s="328"/>
      <c r="AV370" s="328"/>
      <c r="AW370" s="329"/>
      <c r="AX370" s="329"/>
      <c r="AY370" s="331"/>
    </row>
    <row r="371" spans="2:51" ht="15" customHeight="1" x14ac:dyDescent="0.25">
      <c r="B371" s="333"/>
      <c r="C371" s="336">
        <f>SUM(IF(F371="",0,F371), IF(F372="",0,F372), IF(Q371="",0,Q371), IF(AT371="",0,AT371), IF(AA371="",0,AA371), IF(AG371="",0,AG371), IF(AM371="",0,AM371))</f>
        <v>0</v>
      </c>
      <c r="D371" s="327"/>
      <c r="E371" s="327" t="str">
        <f>IF(D371="","",D371-D369)</f>
        <v/>
      </c>
      <c r="F371" s="328" t="str">
        <f>IF(D371="","",E371*100)</f>
        <v/>
      </c>
      <c r="G371" s="328"/>
      <c r="H371" s="328"/>
      <c r="I371" s="329"/>
      <c r="J371" s="329"/>
      <c r="K371" s="330"/>
      <c r="L371" s="323"/>
      <c r="M371" s="333" t="str">
        <f>IF(B371="","",B371)</f>
        <v/>
      </c>
      <c r="N371" s="327"/>
      <c r="O371" s="327"/>
      <c r="P371" s="327" t="str">
        <f>IF(O371="","",O371-O369)</f>
        <v/>
      </c>
      <c r="Q371" s="328" t="str">
        <f>IF(O371="","",P371*1000)</f>
        <v/>
      </c>
      <c r="R371" s="328"/>
      <c r="S371" s="328"/>
      <c r="T371" s="329"/>
      <c r="U371" s="329"/>
      <c r="V371" s="331"/>
      <c r="X371" s="333" t="str">
        <f>IF(AP371="","",AP371)</f>
        <v/>
      </c>
      <c r="Y371" s="327"/>
      <c r="Z371" s="327" t="str">
        <f>IF(Y371="","",Y371-Y369)</f>
        <v/>
      </c>
      <c r="AA371" s="328" t="str">
        <f>IF(Y371="","",Z371*1000)</f>
        <v/>
      </c>
      <c r="AB371" s="331"/>
      <c r="AD371" s="333" t="str">
        <f>IF(X371="","",X371)</f>
        <v/>
      </c>
      <c r="AE371" s="327"/>
      <c r="AF371" s="327" t="str">
        <f>IF(AE371="","",AE371-AE369)</f>
        <v/>
      </c>
      <c r="AG371" s="328" t="str">
        <f>IF(AE371="","",AF371*1000)</f>
        <v/>
      </c>
      <c r="AH371" s="331"/>
      <c r="AJ371" s="333" t="str">
        <f>IF(AD371="","",AD371)</f>
        <v/>
      </c>
      <c r="AK371" s="327"/>
      <c r="AL371" s="327" t="str">
        <f>IF(AK371="","",AK371-AK369)</f>
        <v/>
      </c>
      <c r="AM371" s="328" t="str">
        <f>IF(AK371="","",AL371*1000)</f>
        <v/>
      </c>
      <c r="AN371" s="331"/>
      <c r="AP371" s="333" t="str">
        <f>IF(M371="","",M371)</f>
        <v/>
      </c>
      <c r="AQ371" s="327"/>
      <c r="AR371" s="327"/>
      <c r="AS371" s="327" t="str">
        <f>IF(AR371="","",AR371-AR369)</f>
        <v/>
      </c>
      <c r="AT371" s="328" t="str">
        <f>IF(AR371="","",AS371*1000)</f>
        <v/>
      </c>
      <c r="AU371" s="328"/>
      <c r="AV371" s="328"/>
      <c r="AW371" s="329"/>
      <c r="AX371" s="329"/>
      <c r="AY371" s="331"/>
    </row>
    <row r="372" spans="2:51" ht="15" customHeight="1" x14ac:dyDescent="0.25">
      <c r="B372" s="333"/>
      <c r="C372" s="327"/>
      <c r="D372" s="327"/>
      <c r="E372" s="327" t="str">
        <f>IF(D372="","",D372-D370)</f>
        <v/>
      </c>
      <c r="F372" s="328" t="str">
        <f>IF(D372="","",E372*100)</f>
        <v/>
      </c>
      <c r="G372" s="328"/>
      <c r="H372" s="328"/>
      <c r="I372" s="329"/>
      <c r="J372" s="329"/>
      <c r="K372" s="330"/>
      <c r="L372" s="323"/>
      <c r="M372" s="333"/>
      <c r="N372" s="327"/>
      <c r="O372" s="327"/>
      <c r="P372" s="327" t="str">
        <f>IF(O372="","",O372-O370)</f>
        <v/>
      </c>
      <c r="Q372" s="328"/>
      <c r="R372" s="328"/>
      <c r="S372" s="328"/>
      <c r="T372" s="329"/>
      <c r="U372" s="329"/>
      <c r="V372" s="331"/>
      <c r="X372" s="333"/>
      <c r="Y372" s="327"/>
      <c r="Z372" s="327" t="str">
        <f>IF(Y372="","",Y372-Y370)</f>
        <v/>
      </c>
      <c r="AA372" s="328"/>
      <c r="AB372" s="331"/>
      <c r="AD372" s="333"/>
      <c r="AE372" s="327"/>
      <c r="AF372" s="327" t="str">
        <f>IF(AE372="","",AE372-AE370)</f>
        <v/>
      </c>
      <c r="AG372" s="328"/>
      <c r="AH372" s="331"/>
      <c r="AJ372" s="333"/>
      <c r="AK372" s="327"/>
      <c r="AL372" s="327" t="str">
        <f>IF(AK372="","",AK372-AK370)</f>
        <v/>
      </c>
      <c r="AM372" s="328"/>
      <c r="AN372" s="331"/>
      <c r="AP372" s="333"/>
      <c r="AQ372" s="327"/>
      <c r="AR372" s="327"/>
      <c r="AS372" s="327" t="str">
        <f>IF(AR372="","",AR372-AR370)</f>
        <v/>
      </c>
      <c r="AT372" s="328"/>
      <c r="AU372" s="328"/>
      <c r="AV372" s="328"/>
      <c r="AW372" s="329"/>
      <c r="AX372" s="329"/>
      <c r="AY372" s="331"/>
    </row>
    <row r="373" spans="2:51" ht="15" customHeight="1" x14ac:dyDescent="0.25">
      <c r="B373" s="333"/>
      <c r="C373" s="336">
        <f>SUM(IF(F373="",0,F373), IF(F374="",0,F374), IF(Q373="",0,Q373), IF(AT373="",0,AT373), IF(AA373="",0,AA373), IF(AG373="",0,AG373), IF(AM373="",0,AM373))</f>
        <v>0</v>
      </c>
      <c r="D373" s="327"/>
      <c r="E373" s="327" t="str">
        <f>IF(D373="","",D373-D371)</f>
        <v/>
      </c>
      <c r="F373" s="328" t="str">
        <f>IF(D373="","",E373*100)</f>
        <v/>
      </c>
      <c r="G373" s="328"/>
      <c r="H373" s="328"/>
      <c r="I373" s="329"/>
      <c r="J373" s="329"/>
      <c r="K373" s="330"/>
      <c r="L373" s="323"/>
      <c r="M373" s="333" t="str">
        <f>IF(B373="","",B373)</f>
        <v/>
      </c>
      <c r="N373" s="327"/>
      <c r="O373" s="327"/>
      <c r="P373" s="327" t="str">
        <f>IF(O373="","",O373-O371)</f>
        <v/>
      </c>
      <c r="Q373" s="328" t="str">
        <f>IF(O373="","",P373*1000)</f>
        <v/>
      </c>
      <c r="R373" s="328"/>
      <c r="S373" s="328"/>
      <c r="T373" s="329"/>
      <c r="U373" s="329"/>
      <c r="V373" s="331"/>
      <c r="X373" s="333" t="str">
        <f>IF(AP373="","",AP373)</f>
        <v/>
      </c>
      <c r="Y373" s="327"/>
      <c r="Z373" s="327" t="str">
        <f>IF(Y373="","",Y373-Y371)</f>
        <v/>
      </c>
      <c r="AA373" s="328" t="str">
        <f>IF(Y373="","",Z373*1000)</f>
        <v/>
      </c>
      <c r="AB373" s="331"/>
      <c r="AD373" s="333" t="str">
        <f>IF(X373="","",X373)</f>
        <v/>
      </c>
      <c r="AE373" s="327"/>
      <c r="AF373" s="327" t="str">
        <f>IF(AE373="","",AE373-AE371)</f>
        <v/>
      </c>
      <c r="AG373" s="328" t="str">
        <f>IF(AE373="","",AF373*1000)</f>
        <v/>
      </c>
      <c r="AH373" s="331"/>
      <c r="AJ373" s="333" t="str">
        <f>IF(AD373="","",AD373)</f>
        <v/>
      </c>
      <c r="AK373" s="327"/>
      <c r="AL373" s="327" t="str">
        <f>IF(AK373="","",AK373-AK371)</f>
        <v/>
      </c>
      <c r="AM373" s="328" t="str">
        <f>IF(AK373="","",AL373*1000)</f>
        <v/>
      </c>
      <c r="AN373" s="331"/>
      <c r="AP373" s="333" t="str">
        <f>IF(M373="","",M373)</f>
        <v/>
      </c>
      <c r="AQ373" s="327"/>
      <c r="AR373" s="327"/>
      <c r="AS373" s="327" t="str">
        <f>IF(AR373="","",AR373-AR371)</f>
        <v/>
      </c>
      <c r="AT373" s="328" t="str">
        <f>IF(AR373="","",AS373*1000)</f>
        <v/>
      </c>
      <c r="AU373" s="328"/>
      <c r="AV373" s="328"/>
      <c r="AW373" s="329"/>
      <c r="AX373" s="329"/>
      <c r="AY373" s="331"/>
    </row>
    <row r="374" spans="2:51" ht="15" customHeight="1" x14ac:dyDescent="0.25">
      <c r="B374" s="333"/>
      <c r="C374" s="327"/>
      <c r="D374" s="327"/>
      <c r="E374" s="327" t="str">
        <f>IF(D374="","",D374-D372)</f>
        <v/>
      </c>
      <c r="F374" s="328" t="str">
        <f>IF(D374="","",E374*100)</f>
        <v/>
      </c>
      <c r="G374" s="328"/>
      <c r="H374" s="328"/>
      <c r="I374" s="329"/>
      <c r="J374" s="329"/>
      <c r="K374" s="330"/>
      <c r="L374" s="323"/>
      <c r="M374" s="333"/>
      <c r="N374" s="327"/>
      <c r="O374" s="327"/>
      <c r="P374" s="327" t="str">
        <f>IF(O374="","",O374-O372)</f>
        <v/>
      </c>
      <c r="Q374" s="328"/>
      <c r="R374" s="328"/>
      <c r="S374" s="328"/>
      <c r="T374" s="329"/>
      <c r="U374" s="329"/>
      <c r="V374" s="331"/>
      <c r="X374" s="333"/>
      <c r="Y374" s="327"/>
      <c r="Z374" s="327" t="str">
        <f>IF(Y374="","",Y374-Y372)</f>
        <v/>
      </c>
      <c r="AA374" s="328"/>
      <c r="AB374" s="331"/>
      <c r="AD374" s="333"/>
      <c r="AE374" s="327"/>
      <c r="AF374" s="327" t="str">
        <f>IF(AE374="","",AE374-AE372)</f>
        <v/>
      </c>
      <c r="AG374" s="328"/>
      <c r="AH374" s="331"/>
      <c r="AJ374" s="333"/>
      <c r="AK374" s="327"/>
      <c r="AL374" s="327" t="str">
        <f>IF(AK374="","",AK374-AK372)</f>
        <v/>
      </c>
      <c r="AM374" s="328"/>
      <c r="AN374" s="331"/>
      <c r="AP374" s="333"/>
      <c r="AQ374" s="327"/>
      <c r="AR374" s="327"/>
      <c r="AS374" s="327" t="str">
        <f>IF(AR374="","",AR374-AR372)</f>
        <v/>
      </c>
      <c r="AT374" s="328"/>
      <c r="AU374" s="328"/>
      <c r="AV374" s="328"/>
      <c r="AW374" s="329"/>
      <c r="AX374" s="329"/>
      <c r="AY374" s="331"/>
    </row>
    <row r="375" spans="2:51" ht="15" customHeight="1" x14ac:dyDescent="0.25">
      <c r="B375" s="333"/>
      <c r="C375" s="336">
        <f>SUM(IF(F375="",0,F375), IF(F376="",0,F376), IF(Q375="",0,Q375), IF(AT375="",0,AT375), IF(AA375="",0,AA375), IF(AG375="",0,AG375), IF(AM375="",0,AM375))</f>
        <v>0</v>
      </c>
      <c r="D375" s="327"/>
      <c r="E375" s="327" t="str">
        <f>IF(D375="","",D375-D373)</f>
        <v/>
      </c>
      <c r="F375" s="328" t="str">
        <f>IF(D375="","",E375*100)</f>
        <v/>
      </c>
      <c r="G375" s="328"/>
      <c r="H375" s="328"/>
      <c r="I375" s="329"/>
      <c r="J375" s="329"/>
      <c r="K375" s="330"/>
      <c r="L375" s="323"/>
      <c r="M375" s="333" t="str">
        <f>IF(B375="","",B375)</f>
        <v/>
      </c>
      <c r="N375" s="327"/>
      <c r="O375" s="327"/>
      <c r="P375" s="327" t="str">
        <f>IF(O375="","",O375-O373)</f>
        <v/>
      </c>
      <c r="Q375" s="328" t="str">
        <f>IF(O375="","",P375*1000)</f>
        <v/>
      </c>
      <c r="R375" s="328"/>
      <c r="S375" s="328"/>
      <c r="T375" s="329"/>
      <c r="U375" s="329"/>
      <c r="V375" s="331"/>
      <c r="X375" s="333" t="str">
        <f>IF(AP375="","",AP375)</f>
        <v/>
      </c>
      <c r="Y375" s="327"/>
      <c r="Z375" s="327" t="str">
        <f>IF(Y375="","",Y375-Y373)</f>
        <v/>
      </c>
      <c r="AA375" s="328" t="str">
        <f>IF(Y375="","",Z375*1000)</f>
        <v/>
      </c>
      <c r="AB375" s="331"/>
      <c r="AD375" s="333" t="str">
        <f>IF(X375="","",X375)</f>
        <v/>
      </c>
      <c r="AE375" s="327"/>
      <c r="AF375" s="327" t="str">
        <f>IF(AE375="","",AE375-AE373)</f>
        <v/>
      </c>
      <c r="AG375" s="328" t="str">
        <f>IF(AE375="","",AF375*1000)</f>
        <v/>
      </c>
      <c r="AH375" s="331"/>
      <c r="AJ375" s="333" t="str">
        <f>IF(AD375="","",AD375)</f>
        <v/>
      </c>
      <c r="AK375" s="327"/>
      <c r="AL375" s="327" t="str">
        <f>IF(AK375="","",AK375-AK373)</f>
        <v/>
      </c>
      <c r="AM375" s="328" t="str">
        <f>IF(AK375="","",AL375*1000)</f>
        <v/>
      </c>
      <c r="AN375" s="331"/>
      <c r="AP375" s="333" t="str">
        <f>IF(M375="","",M375)</f>
        <v/>
      </c>
      <c r="AQ375" s="327"/>
      <c r="AR375" s="327"/>
      <c r="AS375" s="327" t="str">
        <f>IF(AR375="","",AR375-AR373)</f>
        <v/>
      </c>
      <c r="AT375" s="328" t="str">
        <f>IF(AR375="","",AS375*1000)</f>
        <v/>
      </c>
      <c r="AU375" s="328"/>
      <c r="AV375" s="328"/>
      <c r="AW375" s="329"/>
      <c r="AX375" s="329"/>
      <c r="AY375" s="331"/>
    </row>
    <row r="376" spans="2:51" ht="15" customHeight="1" x14ac:dyDescent="0.25">
      <c r="B376" s="333"/>
      <c r="C376" s="327"/>
      <c r="D376" s="327"/>
      <c r="E376" s="327" t="str">
        <f>IF(D376="","",D376-D374)</f>
        <v/>
      </c>
      <c r="F376" s="328" t="str">
        <f>IF(D376="","",E376*100)</f>
        <v/>
      </c>
      <c r="G376" s="328"/>
      <c r="H376" s="328"/>
      <c r="I376" s="329"/>
      <c r="J376" s="329"/>
      <c r="K376" s="330"/>
      <c r="L376" s="323"/>
      <c r="M376" s="333"/>
      <c r="N376" s="327"/>
      <c r="O376" s="327"/>
      <c r="P376" s="327"/>
      <c r="Q376" s="328"/>
      <c r="R376" s="328"/>
      <c r="S376" s="328"/>
      <c r="T376" s="329"/>
      <c r="U376" s="329"/>
      <c r="V376" s="331"/>
      <c r="X376" s="333"/>
      <c r="Y376" s="327"/>
      <c r="Z376" s="327"/>
      <c r="AA376" s="328"/>
      <c r="AB376" s="331"/>
      <c r="AD376" s="333"/>
      <c r="AE376" s="327"/>
      <c r="AF376" s="327"/>
      <c r="AG376" s="328"/>
      <c r="AH376" s="331"/>
      <c r="AJ376" s="333"/>
      <c r="AK376" s="327"/>
      <c r="AL376" s="327"/>
      <c r="AM376" s="328"/>
      <c r="AN376" s="331"/>
      <c r="AP376" s="333"/>
      <c r="AQ376" s="327"/>
      <c r="AR376" s="327"/>
      <c r="AS376" s="327"/>
      <c r="AT376" s="328"/>
      <c r="AU376" s="328"/>
      <c r="AV376" s="328"/>
      <c r="AW376" s="329"/>
      <c r="AX376" s="329"/>
      <c r="AY376" s="331"/>
    </row>
    <row r="377" spans="2:51" ht="15" customHeight="1" x14ac:dyDescent="0.25">
      <c r="B377" s="333"/>
      <c r="C377" s="336">
        <f>SUM(IF(F377="",0,F377), IF(F378="",0,F378), IF(Q377="",0,Q377), IF(AT377="",0,AT377), IF(AA377="",0,AA377), IF(AG377="",0,AG377), IF(AM377="",0,AM377))</f>
        <v>0</v>
      </c>
      <c r="D377" s="327"/>
      <c r="E377" s="327" t="str">
        <f>IF(D377="","",D377-D375)</f>
        <v/>
      </c>
      <c r="F377" s="328" t="str">
        <f>IF(D377="","",E377*100)</f>
        <v/>
      </c>
      <c r="G377" s="328"/>
      <c r="H377" s="328"/>
      <c r="I377" s="329"/>
      <c r="J377" s="329"/>
      <c r="K377" s="330"/>
      <c r="L377" s="323"/>
      <c r="M377" s="333" t="str">
        <f>IF(B377="","",B377)</f>
        <v/>
      </c>
      <c r="N377" s="327"/>
      <c r="O377" s="327"/>
      <c r="P377" s="327" t="str">
        <f>IF(O377="","",O377-O375)</f>
        <v/>
      </c>
      <c r="Q377" s="328" t="str">
        <f>IF(O377="","",P377*1000)</f>
        <v/>
      </c>
      <c r="R377" s="328"/>
      <c r="S377" s="328"/>
      <c r="T377" s="329"/>
      <c r="U377" s="329"/>
      <c r="V377" s="331"/>
      <c r="X377" s="333" t="str">
        <f>IF(AP377="","",AP377)</f>
        <v/>
      </c>
      <c r="Y377" s="327"/>
      <c r="Z377" s="327" t="str">
        <f>IF(Y377="","",Y377-Y375)</f>
        <v/>
      </c>
      <c r="AA377" s="328" t="str">
        <f>IF(Y377="","",Z377*1000)</f>
        <v/>
      </c>
      <c r="AB377" s="331"/>
      <c r="AD377" s="333" t="str">
        <f>IF(X377="","",X377)</f>
        <v/>
      </c>
      <c r="AE377" s="327"/>
      <c r="AF377" s="327" t="str">
        <f>IF(AE377="","",AE377-AE375)</f>
        <v/>
      </c>
      <c r="AG377" s="328" t="str">
        <f>IF(AE377="","",AF377*1000)</f>
        <v/>
      </c>
      <c r="AH377" s="331"/>
      <c r="AJ377" s="333" t="str">
        <f>IF(AD377="","",AD377)</f>
        <v/>
      </c>
      <c r="AK377" s="327"/>
      <c r="AL377" s="327" t="str">
        <f>IF(AK377="","",AK377-AK375)</f>
        <v/>
      </c>
      <c r="AM377" s="328" t="str">
        <f>IF(AK377="","",AL377*1000)</f>
        <v/>
      </c>
      <c r="AN377" s="331"/>
      <c r="AP377" s="333" t="str">
        <f>IF(M377="","",M377)</f>
        <v/>
      </c>
      <c r="AQ377" s="327"/>
      <c r="AR377" s="327"/>
      <c r="AS377" s="327" t="str">
        <f>IF(AR377="","",AR377-AR375)</f>
        <v/>
      </c>
      <c r="AT377" s="328" t="str">
        <f>IF(AR377="","",AS377*1000)</f>
        <v/>
      </c>
      <c r="AU377" s="328"/>
      <c r="AV377" s="328"/>
      <c r="AW377" s="329"/>
      <c r="AX377" s="329"/>
      <c r="AY377" s="331"/>
    </row>
    <row r="378" spans="2:51" ht="15" customHeight="1" x14ac:dyDescent="0.25">
      <c r="B378" s="333"/>
      <c r="C378" s="327"/>
      <c r="D378" s="327"/>
      <c r="E378" s="327" t="str">
        <f>IF(D378="","",D378-D376)</f>
        <v/>
      </c>
      <c r="F378" s="328" t="str">
        <f>IF(D378="","",E378*100)</f>
        <v/>
      </c>
      <c r="G378" s="328"/>
      <c r="H378" s="328"/>
      <c r="I378" s="329"/>
      <c r="J378" s="329"/>
      <c r="K378" s="330"/>
      <c r="L378" s="323"/>
      <c r="M378" s="333" t="str">
        <f>IF(B378="","",B378)</f>
        <v/>
      </c>
      <c r="N378" s="327"/>
      <c r="O378" s="327"/>
      <c r="P378" s="327"/>
      <c r="Q378" s="328"/>
      <c r="R378" s="328"/>
      <c r="S378" s="328"/>
      <c r="T378" s="329"/>
      <c r="U378" s="329"/>
      <c r="V378" s="331"/>
      <c r="X378" s="333"/>
      <c r="Y378" s="327"/>
      <c r="Z378" s="327"/>
      <c r="AA378" s="328"/>
      <c r="AB378" s="331"/>
      <c r="AD378" s="333"/>
      <c r="AE378" s="327"/>
      <c r="AF378" s="327"/>
      <c r="AG378" s="328"/>
      <c r="AH378" s="331"/>
      <c r="AJ378" s="333"/>
      <c r="AK378" s="327"/>
      <c r="AL378" s="327"/>
      <c r="AM378" s="328"/>
      <c r="AN378" s="331"/>
      <c r="AP378" s="333"/>
      <c r="AQ378" s="327"/>
      <c r="AR378" s="327"/>
      <c r="AS378" s="327"/>
      <c r="AT378" s="328"/>
      <c r="AU378" s="328"/>
      <c r="AV378" s="328"/>
      <c r="AW378" s="329"/>
      <c r="AX378" s="329"/>
      <c r="AY378" s="331"/>
    </row>
    <row r="379" spans="2:51" ht="15" customHeight="1" x14ac:dyDescent="0.25">
      <c r="B379" s="333"/>
      <c r="C379" s="336">
        <f>SUM(IF(F379="",0,F379), IF(F380="",0,F380), IF(Q379="",0,Q379), IF(AT379="",0,AT379), IF(AA379="",0,AA379), IF(AG379="",0,AG379), IF(AM379="",0,AM379))</f>
        <v>0</v>
      </c>
      <c r="D379" s="327"/>
      <c r="E379" s="327" t="str">
        <f>IF(D379="","",D379-D377)</f>
        <v/>
      </c>
      <c r="F379" s="328" t="str">
        <f>IF(D379="","",E379*100)</f>
        <v/>
      </c>
      <c r="G379" s="328"/>
      <c r="H379" s="328"/>
      <c r="I379" s="329"/>
      <c r="J379" s="329"/>
      <c r="K379" s="330"/>
      <c r="L379" s="323"/>
      <c r="M379" s="333" t="str">
        <f>IF(B379="","",B379)</f>
        <v/>
      </c>
      <c r="N379" s="327"/>
      <c r="O379" s="327"/>
      <c r="P379" s="327" t="str">
        <f>IF(O379="","",O379-O377)</f>
        <v/>
      </c>
      <c r="Q379" s="328" t="str">
        <f>IF(O379="","",P379*1000)</f>
        <v/>
      </c>
      <c r="R379" s="328"/>
      <c r="S379" s="328"/>
      <c r="T379" s="329"/>
      <c r="U379" s="329"/>
      <c r="V379" s="331"/>
      <c r="X379" s="333"/>
      <c r="Y379" s="327"/>
      <c r="Z379" s="327" t="str">
        <f>IF(Y379="","",Y379-Y377)</f>
        <v/>
      </c>
      <c r="AA379" s="328" t="str">
        <f>IF(Y379="","",Z379*1000)</f>
        <v/>
      </c>
      <c r="AB379" s="331"/>
      <c r="AD379" s="333" t="str">
        <f>IF(X379="","",X379)</f>
        <v/>
      </c>
      <c r="AE379" s="327"/>
      <c r="AF379" s="327" t="str">
        <f>IF(AE379="","",AE379-AE377)</f>
        <v/>
      </c>
      <c r="AG379" s="328" t="str">
        <f>IF(AE379="","",AF379*1000)</f>
        <v/>
      </c>
      <c r="AH379" s="331"/>
      <c r="AJ379" s="333" t="str">
        <f>IF(AD379="","",AD379)</f>
        <v/>
      </c>
      <c r="AK379" s="327"/>
      <c r="AL379" s="327" t="str">
        <f>IF(AK379="","",AK379-AK377)</f>
        <v/>
      </c>
      <c r="AM379" s="328" t="str">
        <f>IF(AK379="","",AL379*1000)</f>
        <v/>
      </c>
      <c r="AN379" s="331"/>
      <c r="AP379" s="333" t="str">
        <f>IF(M379="","",M379)</f>
        <v/>
      </c>
      <c r="AQ379" s="327"/>
      <c r="AR379" s="327"/>
      <c r="AS379" s="327" t="str">
        <f>IF(AR379="","",AR379-AR377)</f>
        <v/>
      </c>
      <c r="AT379" s="328" t="str">
        <f>IF(AR379="","",AS379*1000)</f>
        <v/>
      </c>
      <c r="AU379" s="328"/>
      <c r="AV379" s="328"/>
      <c r="AW379" s="329"/>
      <c r="AX379" s="329"/>
      <c r="AY379" s="331"/>
    </row>
    <row r="380" spans="2:51" ht="15" customHeight="1" x14ac:dyDescent="0.25">
      <c r="B380" s="333"/>
      <c r="C380" s="327"/>
      <c r="D380" s="327"/>
      <c r="E380" s="327" t="str">
        <f>IF(D380="","",D380-D378)</f>
        <v/>
      </c>
      <c r="F380" s="328" t="str">
        <f>IF(D380="","",E380*100)</f>
        <v/>
      </c>
      <c r="G380" s="328"/>
      <c r="H380" s="328"/>
      <c r="I380" s="329"/>
      <c r="J380" s="329"/>
      <c r="K380" s="330"/>
      <c r="L380" s="323"/>
      <c r="M380" s="333"/>
      <c r="N380" s="327"/>
      <c r="O380" s="327"/>
      <c r="P380" s="327"/>
      <c r="Q380" s="328"/>
      <c r="R380" s="328"/>
      <c r="S380" s="328"/>
      <c r="T380" s="329"/>
      <c r="U380" s="329"/>
      <c r="V380" s="331"/>
      <c r="X380" s="333"/>
      <c r="Y380" s="327"/>
      <c r="Z380" s="327"/>
      <c r="AA380" s="328"/>
      <c r="AB380" s="331"/>
      <c r="AD380" s="333"/>
      <c r="AE380" s="327"/>
      <c r="AF380" s="327"/>
      <c r="AG380" s="328"/>
      <c r="AH380" s="331"/>
      <c r="AJ380" s="333"/>
      <c r="AK380" s="327"/>
      <c r="AL380" s="327"/>
      <c r="AM380" s="328"/>
      <c r="AN380" s="331"/>
      <c r="AP380" s="333"/>
      <c r="AQ380" s="327"/>
      <c r="AR380" s="327"/>
      <c r="AS380" s="327"/>
      <c r="AT380" s="328"/>
      <c r="AU380" s="328"/>
      <c r="AV380" s="328"/>
      <c r="AW380" s="329"/>
      <c r="AX380" s="329"/>
      <c r="AY380" s="331"/>
    </row>
    <row r="381" spans="2:51" ht="15" customHeight="1" x14ac:dyDescent="0.25">
      <c r="B381" s="333"/>
      <c r="C381" s="336">
        <f>SUM(IF(F381="",0,F381), IF(F382="",0,F382), IF(Q381="",0,Q381), IF(AT381="",0,AT381), IF(AA381="",0,AA381), IF(AG381="",0,AG381), IF(AM381="",0,AM381))</f>
        <v>0</v>
      </c>
      <c r="D381" s="327"/>
      <c r="E381" s="327" t="str">
        <f>IF(D381="","",D381-D379)</f>
        <v/>
      </c>
      <c r="F381" s="328" t="str">
        <f>IF(D381="","",E381*100)</f>
        <v/>
      </c>
      <c r="G381" s="328"/>
      <c r="H381" s="328"/>
      <c r="I381" s="329"/>
      <c r="J381" s="329"/>
      <c r="K381" s="330"/>
      <c r="L381" s="323"/>
      <c r="M381" s="333" t="str">
        <f>IF(B381="","",B381)</f>
        <v/>
      </c>
      <c r="N381" s="327"/>
      <c r="O381" s="327"/>
      <c r="P381" s="327" t="str">
        <f>IF(O381="","",O381-O379)</f>
        <v/>
      </c>
      <c r="Q381" s="328" t="str">
        <f>IF(O381="","",P381*1000)</f>
        <v/>
      </c>
      <c r="R381" s="328"/>
      <c r="S381" s="328"/>
      <c r="T381" s="329"/>
      <c r="U381" s="329"/>
      <c r="V381" s="331"/>
      <c r="X381" s="333" t="str">
        <f>IF(AP381="","",AP381)</f>
        <v/>
      </c>
      <c r="Y381" s="327"/>
      <c r="Z381" s="327" t="str">
        <f>IF(Y381="","",Y381-Y379)</f>
        <v/>
      </c>
      <c r="AA381" s="328" t="str">
        <f>IF(Y381="","",Z381*1000)</f>
        <v/>
      </c>
      <c r="AB381" s="331"/>
      <c r="AD381" s="333" t="str">
        <f>IF(X381="","",X381)</f>
        <v/>
      </c>
      <c r="AE381" s="327"/>
      <c r="AF381" s="327" t="str">
        <f>IF(AE381="","",AE381-AE379)</f>
        <v/>
      </c>
      <c r="AG381" s="328" t="str">
        <f>IF(AE381="","",AF381*1000)</f>
        <v/>
      </c>
      <c r="AH381" s="331"/>
      <c r="AJ381" s="333" t="str">
        <f>IF(AD381="","",AD381)</f>
        <v/>
      </c>
      <c r="AK381" s="327"/>
      <c r="AL381" s="327" t="str">
        <f>IF(AK381="","",AK381-AK379)</f>
        <v/>
      </c>
      <c r="AM381" s="328" t="str">
        <f>IF(AK381="","",AL381*1000)</f>
        <v/>
      </c>
      <c r="AN381" s="331"/>
      <c r="AP381" s="333" t="str">
        <f>IF(M381="","",M381)</f>
        <v/>
      </c>
      <c r="AQ381" s="327"/>
      <c r="AR381" s="327"/>
      <c r="AS381" s="327" t="str">
        <f>IF(AR381="","",AR381-AR379)</f>
        <v/>
      </c>
      <c r="AT381" s="328" t="str">
        <f>IF(AR381="","",AS381*1000)</f>
        <v/>
      </c>
      <c r="AU381" s="328"/>
      <c r="AV381" s="328"/>
      <c r="AW381" s="329"/>
      <c r="AX381" s="329"/>
      <c r="AY381" s="331"/>
    </row>
    <row r="382" spans="2:51" ht="15" customHeight="1" x14ac:dyDescent="0.25">
      <c r="B382" s="333"/>
      <c r="C382" s="327"/>
      <c r="D382" s="327"/>
      <c r="E382" s="327" t="str">
        <f>IF(D382="","",D382-D380)</f>
        <v/>
      </c>
      <c r="F382" s="328" t="str">
        <f>IF(D382="","",E382*100)</f>
        <v/>
      </c>
      <c r="G382" s="328"/>
      <c r="H382" s="328"/>
      <c r="I382" s="329"/>
      <c r="J382" s="329"/>
      <c r="K382" s="330"/>
      <c r="L382" s="323"/>
      <c r="M382" s="333"/>
      <c r="N382" s="327"/>
      <c r="O382" s="327"/>
      <c r="P382" s="327"/>
      <c r="Q382" s="328"/>
      <c r="R382" s="328"/>
      <c r="S382" s="328"/>
      <c r="T382" s="329"/>
      <c r="U382" s="329"/>
      <c r="V382" s="331"/>
      <c r="X382" s="333"/>
      <c r="Y382" s="327"/>
      <c r="Z382" s="327"/>
      <c r="AA382" s="328"/>
      <c r="AB382" s="331"/>
      <c r="AD382" s="333"/>
      <c r="AE382" s="327"/>
      <c r="AF382" s="327"/>
      <c r="AG382" s="328"/>
      <c r="AH382" s="331"/>
      <c r="AJ382" s="333"/>
      <c r="AK382" s="327"/>
      <c r="AL382" s="327"/>
      <c r="AM382" s="328"/>
      <c r="AN382" s="331"/>
      <c r="AP382" s="333"/>
      <c r="AQ382" s="327"/>
      <c r="AR382" s="327"/>
      <c r="AS382" s="327"/>
      <c r="AT382" s="328"/>
      <c r="AU382" s="328"/>
      <c r="AV382" s="328"/>
      <c r="AW382" s="329"/>
      <c r="AX382" s="329"/>
      <c r="AY382" s="331"/>
    </row>
    <row r="383" spans="2:51" ht="15" customHeight="1" x14ac:dyDescent="0.25">
      <c r="B383" s="333"/>
      <c r="C383" s="336">
        <f>SUM(IF(F383="",0,F383), IF(F384="",0,F384), IF(Q383="",0,Q383), IF(AT383="",0,AT383), IF(AA383="",0,AA383), IF(AG383="",0,AG383), IF(AM383="",0,AM383))</f>
        <v>0</v>
      </c>
      <c r="D383" s="327"/>
      <c r="E383" s="327" t="str">
        <f>IF(D383="","",D383-D381)</f>
        <v/>
      </c>
      <c r="F383" s="328" t="str">
        <f>IF(D383="","",E383*100)</f>
        <v/>
      </c>
      <c r="G383" s="328"/>
      <c r="H383" s="328"/>
      <c r="I383" s="329"/>
      <c r="J383" s="329"/>
      <c r="K383" s="330"/>
      <c r="L383" s="323"/>
      <c r="M383" s="333" t="str">
        <f>IF(B383="","",B383)</f>
        <v/>
      </c>
      <c r="N383" s="327"/>
      <c r="O383" s="327"/>
      <c r="P383" s="327" t="str">
        <f>IF(O383="","",O383-O381)</f>
        <v/>
      </c>
      <c r="Q383" s="328" t="str">
        <f>IF(O383="","",P383*1000)</f>
        <v/>
      </c>
      <c r="R383" s="328"/>
      <c r="S383" s="328"/>
      <c r="T383" s="329"/>
      <c r="U383" s="329"/>
      <c r="V383" s="331"/>
      <c r="X383" s="333" t="str">
        <f>IF(AP383="","",AP383)</f>
        <v/>
      </c>
      <c r="Y383" s="327"/>
      <c r="Z383" s="327" t="str">
        <f>IF(Y383="","",Y383-Y381)</f>
        <v/>
      </c>
      <c r="AA383" s="328" t="str">
        <f>IF(Y383="","",Z383*1000)</f>
        <v/>
      </c>
      <c r="AB383" s="331"/>
      <c r="AD383" s="333" t="str">
        <f>IF(X383="","",X383)</f>
        <v/>
      </c>
      <c r="AE383" s="327"/>
      <c r="AF383" s="327" t="str">
        <f>IF(AE383="","",AE383-AE381)</f>
        <v/>
      </c>
      <c r="AG383" s="328" t="str">
        <f>IF(AE383="","",AF383*1000)</f>
        <v/>
      </c>
      <c r="AH383" s="331"/>
      <c r="AJ383" s="333" t="str">
        <f>IF(AD383="","",AD383)</f>
        <v/>
      </c>
      <c r="AK383" s="327"/>
      <c r="AL383" s="327" t="str">
        <f>IF(AK383="","",AK383-AK381)</f>
        <v/>
      </c>
      <c r="AM383" s="328" t="str">
        <f>IF(AK383="","",AL383*1000)</f>
        <v/>
      </c>
      <c r="AN383" s="331"/>
      <c r="AP383" s="333" t="str">
        <f>IF(M383="","",M383)</f>
        <v/>
      </c>
      <c r="AQ383" s="327"/>
      <c r="AR383" s="327"/>
      <c r="AS383" s="327" t="str">
        <f>IF(AR383="","",AR383-AR381)</f>
        <v/>
      </c>
      <c r="AT383" s="328" t="str">
        <f>IF(AR383="","",AS383*1000)</f>
        <v/>
      </c>
      <c r="AU383" s="328"/>
      <c r="AV383" s="328"/>
      <c r="AW383" s="329"/>
      <c r="AX383" s="329"/>
      <c r="AY383" s="331"/>
    </row>
    <row r="384" spans="2:51" ht="15" customHeight="1" x14ac:dyDescent="0.25">
      <c r="B384" s="333"/>
      <c r="C384" s="327"/>
      <c r="D384" s="327"/>
      <c r="E384" s="327" t="str">
        <f>IF(D384="","",D384-D382)</f>
        <v/>
      </c>
      <c r="F384" s="328" t="str">
        <f>IF(D384="","",E384*100)</f>
        <v/>
      </c>
      <c r="G384" s="328"/>
      <c r="H384" s="328"/>
      <c r="I384" s="329"/>
      <c r="J384" s="329"/>
      <c r="K384" s="330"/>
      <c r="L384" s="323"/>
      <c r="M384" s="333"/>
      <c r="N384" s="327"/>
      <c r="O384" s="327"/>
      <c r="P384" s="327"/>
      <c r="Q384" s="328"/>
      <c r="R384" s="328"/>
      <c r="S384" s="328"/>
      <c r="T384" s="329"/>
      <c r="U384" s="329"/>
      <c r="V384" s="331"/>
      <c r="X384" s="333"/>
      <c r="Y384" s="327"/>
      <c r="Z384" s="327"/>
      <c r="AA384" s="328"/>
      <c r="AB384" s="331"/>
      <c r="AD384" s="333"/>
      <c r="AE384" s="327"/>
      <c r="AF384" s="327"/>
      <c r="AG384" s="328"/>
      <c r="AH384" s="331"/>
      <c r="AJ384" s="333"/>
      <c r="AK384" s="327"/>
      <c r="AL384" s="327"/>
      <c r="AM384" s="328"/>
      <c r="AN384" s="331"/>
      <c r="AP384" s="333"/>
      <c r="AQ384" s="327"/>
      <c r="AR384" s="327"/>
      <c r="AS384" s="327"/>
      <c r="AT384" s="328"/>
      <c r="AU384" s="328"/>
      <c r="AV384" s="328"/>
      <c r="AW384" s="329"/>
      <c r="AX384" s="329"/>
      <c r="AY384" s="331"/>
    </row>
    <row r="385" spans="2:51" ht="15" customHeight="1" x14ac:dyDescent="0.25">
      <c r="B385" s="333"/>
      <c r="C385" s="336">
        <f>SUM(IF(F385="",0,F385), IF(F386="",0,F386), IF(Q385="",0,Q385), IF(AT385="",0,AT385), IF(AA385="",0,AA385), IF(AG385="",0,AG385), IF(AM385="",0,AM385))</f>
        <v>0</v>
      </c>
      <c r="D385" s="327"/>
      <c r="E385" s="327" t="str">
        <f>IF(D385="","",D385-D383)</f>
        <v/>
      </c>
      <c r="F385" s="328" t="str">
        <f>IF(D385="","",E385*100)</f>
        <v/>
      </c>
      <c r="G385" s="328"/>
      <c r="H385" s="328"/>
      <c r="I385" s="329"/>
      <c r="J385" s="329"/>
      <c r="K385" s="330"/>
      <c r="L385" s="323"/>
      <c r="M385" s="333" t="str">
        <f>IF(B385="","",B385)</f>
        <v/>
      </c>
      <c r="N385" s="327"/>
      <c r="O385" s="327"/>
      <c r="P385" s="327" t="str">
        <f>IF(O385="","",O385-O383)</f>
        <v/>
      </c>
      <c r="Q385" s="328" t="str">
        <f>IF(O385="","",P385*1000)</f>
        <v/>
      </c>
      <c r="R385" s="328"/>
      <c r="S385" s="328"/>
      <c r="T385" s="329"/>
      <c r="U385" s="329"/>
      <c r="V385" s="331"/>
      <c r="X385" s="333" t="str">
        <f>IF(AP385="","",AP385)</f>
        <v/>
      </c>
      <c r="Y385" s="327"/>
      <c r="Z385" s="327" t="str">
        <f>IF(Y385="","",Y385-Y383)</f>
        <v/>
      </c>
      <c r="AA385" s="328" t="str">
        <f>IF(Y385="","",Z385*1000)</f>
        <v/>
      </c>
      <c r="AB385" s="331"/>
      <c r="AD385" s="333" t="str">
        <f>IF(X385="","",X385)</f>
        <v/>
      </c>
      <c r="AE385" s="327"/>
      <c r="AF385" s="327" t="str">
        <f>IF(AE385="","",AE385-AE383)</f>
        <v/>
      </c>
      <c r="AG385" s="328" t="str">
        <f>IF(AE385="","",AF385*1000)</f>
        <v/>
      </c>
      <c r="AH385" s="331"/>
      <c r="AJ385" s="333" t="str">
        <f>IF(AD385="","",AD385)</f>
        <v/>
      </c>
      <c r="AK385" s="327"/>
      <c r="AL385" s="327" t="str">
        <f>IF(AK385="","",AK385-AK383)</f>
        <v/>
      </c>
      <c r="AM385" s="328" t="str">
        <f>IF(AK385="","",AL385*1000)</f>
        <v/>
      </c>
      <c r="AN385" s="331"/>
      <c r="AP385" s="333" t="str">
        <f>IF(M385="","",M385)</f>
        <v/>
      </c>
      <c r="AQ385" s="327"/>
      <c r="AR385" s="327"/>
      <c r="AS385" s="327" t="str">
        <f>IF(AR385="","",AR385-AR383)</f>
        <v/>
      </c>
      <c r="AT385" s="328" t="str">
        <f>IF(AR385="","",AS385*1000)</f>
        <v/>
      </c>
      <c r="AU385" s="328"/>
      <c r="AV385" s="328"/>
      <c r="AW385" s="329"/>
      <c r="AX385" s="329"/>
      <c r="AY385" s="331"/>
    </row>
    <row r="386" spans="2:51" ht="15" customHeight="1" x14ac:dyDescent="0.25">
      <c r="B386" s="333"/>
      <c r="C386" s="327"/>
      <c r="D386" s="327"/>
      <c r="E386" s="327" t="str">
        <f>IF(D386="","",D386-D384)</f>
        <v/>
      </c>
      <c r="F386" s="328" t="str">
        <f>IF(D386="","",E386*100)</f>
        <v/>
      </c>
      <c r="G386" s="328"/>
      <c r="H386" s="328"/>
      <c r="I386" s="329"/>
      <c r="J386" s="329"/>
      <c r="K386" s="330"/>
      <c r="L386" s="323"/>
      <c r="M386" s="333"/>
      <c r="N386" s="327"/>
      <c r="O386" s="327"/>
      <c r="P386" s="327"/>
      <c r="Q386" s="328"/>
      <c r="R386" s="328"/>
      <c r="S386" s="328"/>
      <c r="T386" s="329"/>
      <c r="U386" s="329"/>
      <c r="V386" s="331"/>
      <c r="X386" s="333"/>
      <c r="Y386" s="327"/>
      <c r="Z386" s="327"/>
      <c r="AA386" s="328"/>
      <c r="AB386" s="331"/>
      <c r="AD386" s="333"/>
      <c r="AE386" s="327"/>
      <c r="AF386" s="327"/>
      <c r="AG386" s="328"/>
      <c r="AH386" s="331"/>
      <c r="AJ386" s="333"/>
      <c r="AK386" s="327"/>
      <c r="AL386" s="327"/>
      <c r="AM386" s="328"/>
      <c r="AN386" s="331"/>
      <c r="AP386" s="333"/>
      <c r="AQ386" s="327"/>
      <c r="AR386" s="327"/>
      <c r="AS386" s="327"/>
      <c r="AT386" s="328"/>
      <c r="AU386" s="328"/>
      <c r="AV386" s="328"/>
      <c r="AW386" s="329"/>
      <c r="AX386" s="329"/>
      <c r="AY386" s="331"/>
    </row>
    <row r="387" spans="2:51" ht="15" customHeight="1" x14ac:dyDescent="0.25">
      <c r="B387" s="333"/>
      <c r="C387" s="336">
        <f>SUM(IF(F387="",0,F387), IF(F388="",0,F388), IF(Q387="",0,Q387), IF(AT387="",0,AT387), IF(AA387="",0,AA387), IF(AG387="",0,AG387), IF(AM387="",0,AM387))</f>
        <v>0</v>
      </c>
      <c r="D387" s="327"/>
      <c r="E387" s="327" t="str">
        <f>IF(D387="","",D387-D385)</f>
        <v/>
      </c>
      <c r="F387" s="328" t="str">
        <f>IF(D387="","",E387*100)</f>
        <v/>
      </c>
      <c r="G387" s="328"/>
      <c r="H387" s="328"/>
      <c r="I387" s="329"/>
      <c r="J387" s="329"/>
      <c r="K387" s="330"/>
      <c r="L387" s="323"/>
      <c r="M387" s="333" t="str">
        <f>IF(B387="","",B387)</f>
        <v/>
      </c>
      <c r="N387" s="327"/>
      <c r="O387" s="327"/>
      <c r="P387" s="327" t="str">
        <f>IF(O387="","",O387-O385)</f>
        <v/>
      </c>
      <c r="Q387" s="328" t="str">
        <f>IF(O387="","",P387*1000)</f>
        <v/>
      </c>
      <c r="R387" s="328"/>
      <c r="S387" s="328"/>
      <c r="T387" s="329"/>
      <c r="U387" s="329"/>
      <c r="V387" s="331"/>
      <c r="X387" s="333" t="str">
        <f>IF(AP387="","",AP387)</f>
        <v/>
      </c>
      <c r="Y387" s="327"/>
      <c r="Z387" s="327" t="str">
        <f>IF(Y387="","",Y387-Y385)</f>
        <v/>
      </c>
      <c r="AA387" s="328" t="str">
        <f>IF(Y387="","",Z387*1000)</f>
        <v/>
      </c>
      <c r="AB387" s="331"/>
      <c r="AD387" s="333" t="str">
        <f>IF(X387="","",X387)</f>
        <v/>
      </c>
      <c r="AE387" s="327"/>
      <c r="AF387" s="327" t="str">
        <f>IF(AE387="","",AE387-AE385)</f>
        <v/>
      </c>
      <c r="AG387" s="328" t="str">
        <f>IF(AE387="","",AF387*1000)</f>
        <v/>
      </c>
      <c r="AH387" s="331"/>
      <c r="AJ387" s="333" t="str">
        <f>IF(AD387="","",AD387)</f>
        <v/>
      </c>
      <c r="AK387" s="327"/>
      <c r="AL387" s="327" t="str">
        <f>IF(AK387="","",AK387-AK385)</f>
        <v/>
      </c>
      <c r="AM387" s="328" t="str">
        <f>IF(AK387="","",AL387*1000)</f>
        <v/>
      </c>
      <c r="AN387" s="331"/>
      <c r="AP387" s="333" t="str">
        <f>IF(M387="","",M387)</f>
        <v/>
      </c>
      <c r="AQ387" s="327"/>
      <c r="AR387" s="327"/>
      <c r="AS387" s="327" t="str">
        <f>IF(AR387="","",AR387-AR385)</f>
        <v/>
      </c>
      <c r="AT387" s="328" t="str">
        <f>IF(AR387="","",AS387*1000)</f>
        <v/>
      </c>
      <c r="AU387" s="328"/>
      <c r="AV387" s="328"/>
      <c r="AW387" s="329"/>
      <c r="AX387" s="329"/>
      <c r="AY387" s="331"/>
    </row>
    <row r="388" spans="2:51" ht="15" customHeight="1" x14ac:dyDescent="0.25">
      <c r="B388" s="333"/>
      <c r="C388" s="327"/>
      <c r="D388" s="327"/>
      <c r="E388" s="327" t="str">
        <f>IF(D388="","",D388-D386)</f>
        <v/>
      </c>
      <c r="F388" s="328" t="str">
        <f>IF(D388="","",E388*100)</f>
        <v/>
      </c>
      <c r="G388" s="328"/>
      <c r="H388" s="328"/>
      <c r="I388" s="329"/>
      <c r="J388" s="329"/>
      <c r="K388" s="330"/>
      <c r="L388" s="323"/>
      <c r="M388" s="333"/>
      <c r="N388" s="327"/>
      <c r="O388" s="327"/>
      <c r="P388" s="327"/>
      <c r="Q388" s="328"/>
      <c r="R388" s="328"/>
      <c r="S388" s="328"/>
      <c r="T388" s="329"/>
      <c r="U388" s="329"/>
      <c r="V388" s="331"/>
      <c r="X388" s="333"/>
      <c r="Y388" s="327"/>
      <c r="Z388" s="327"/>
      <c r="AA388" s="328"/>
      <c r="AB388" s="331"/>
      <c r="AD388" s="333"/>
      <c r="AE388" s="327"/>
      <c r="AF388" s="327"/>
      <c r="AG388" s="328"/>
      <c r="AH388" s="331"/>
      <c r="AJ388" s="333"/>
      <c r="AK388" s="327"/>
      <c r="AL388" s="327"/>
      <c r="AM388" s="328"/>
      <c r="AN388" s="331"/>
      <c r="AP388" s="333"/>
      <c r="AQ388" s="327"/>
      <c r="AR388" s="327"/>
      <c r="AS388" s="327"/>
      <c r="AT388" s="328"/>
      <c r="AU388" s="328"/>
      <c r="AV388" s="328"/>
      <c r="AW388" s="329"/>
      <c r="AX388" s="329"/>
      <c r="AY388" s="331"/>
    </row>
    <row r="389" spans="2:51" ht="15" customHeight="1" x14ac:dyDescent="0.25">
      <c r="B389" s="393">
        <f>DATEDIF(B$327,B$361,"d")</f>
        <v>14</v>
      </c>
      <c r="C389" s="338"/>
      <c r="D389" s="338"/>
      <c r="E389" s="338" t="str">
        <f>IF(D389="","",D389-D381)</f>
        <v/>
      </c>
      <c r="F389" s="328" t="str">
        <f>IF(D389="","",E389*100)</f>
        <v/>
      </c>
      <c r="G389" s="338"/>
      <c r="H389" s="338"/>
      <c r="I389" s="338"/>
      <c r="J389" s="338"/>
      <c r="K389" s="339"/>
      <c r="L389" s="340"/>
      <c r="M389" s="337">
        <f>IF(B389="","",B389)</f>
        <v>14</v>
      </c>
      <c r="N389" s="338"/>
      <c r="O389" s="338"/>
      <c r="P389" s="338" t="str">
        <f>IF(O389="","",O389-O381)</f>
        <v/>
      </c>
      <c r="Q389" s="338" t="str">
        <f>IF(O389="","",P389*1000)</f>
        <v/>
      </c>
      <c r="R389" s="338"/>
      <c r="S389" s="338"/>
      <c r="T389" s="338"/>
      <c r="U389" s="338"/>
      <c r="V389" s="341"/>
      <c r="W389" s="238"/>
      <c r="X389" s="337">
        <f>IF(AP389="","",AP389)</f>
        <v>14</v>
      </c>
      <c r="Y389" s="338"/>
      <c r="Z389" s="338" t="str">
        <f>IF(Y389="","",Y389-Y381)</f>
        <v/>
      </c>
      <c r="AA389" s="338" t="str">
        <f>IF(Y389="","",Z389*1000)</f>
        <v/>
      </c>
      <c r="AB389" s="341"/>
      <c r="AC389" s="238"/>
      <c r="AD389" s="337">
        <f>IF(X389="","",X389)</f>
        <v>14</v>
      </c>
      <c r="AE389" s="338"/>
      <c r="AF389" s="338" t="str">
        <f>IF(AE389="","",AE389-AE381)</f>
        <v/>
      </c>
      <c r="AG389" s="338" t="str">
        <f>IF(AE389="","",AF389*1000)</f>
        <v/>
      </c>
      <c r="AH389" s="341"/>
      <c r="AI389" s="238"/>
      <c r="AJ389" s="337">
        <f>IF(AD389="","",AD389)</f>
        <v>14</v>
      </c>
      <c r="AK389" s="338"/>
      <c r="AL389" s="338" t="str">
        <f>IF(AK389="","",AK389-AK381)</f>
        <v/>
      </c>
      <c r="AM389" s="338" t="str">
        <f>IF(AK389="","",AL389*1000)</f>
        <v/>
      </c>
      <c r="AN389" s="341"/>
      <c r="AO389" s="238"/>
      <c r="AP389" s="337">
        <f>IF(M389="","",M389)</f>
        <v>14</v>
      </c>
      <c r="AQ389" s="338"/>
      <c r="AR389" s="338"/>
      <c r="AS389" s="338" t="str">
        <f>IF(AR389="","",AR389-AR381)</f>
        <v/>
      </c>
      <c r="AT389" s="338" t="str">
        <f>IF(AR389="","",AS389*1000)</f>
        <v/>
      </c>
      <c r="AU389" s="338"/>
      <c r="AV389" s="338"/>
      <c r="AW389" s="338"/>
      <c r="AX389" s="338"/>
      <c r="AY389" s="341"/>
    </row>
    <row r="390" spans="2:51" ht="15" customHeight="1" x14ac:dyDescent="0.25">
      <c r="B390" s="333"/>
      <c r="C390" s="327"/>
      <c r="D390" s="327"/>
      <c r="E390" s="327" t="str">
        <f>IF(D390="","",D390-D386)</f>
        <v/>
      </c>
      <c r="F390" s="328" t="str">
        <f>IF(D390="","",E390*100)</f>
        <v/>
      </c>
      <c r="G390" s="328"/>
      <c r="H390" s="328"/>
      <c r="I390" s="329"/>
      <c r="J390" s="329"/>
      <c r="K390" s="330"/>
      <c r="L390" s="323"/>
      <c r="M390" s="333"/>
      <c r="N390" s="327"/>
      <c r="O390" s="327"/>
      <c r="P390" s="327"/>
      <c r="Q390" s="328"/>
      <c r="R390" s="328"/>
      <c r="S390" s="328"/>
      <c r="T390" s="329"/>
      <c r="U390" s="329"/>
      <c r="V390" s="331"/>
      <c r="X390" s="333"/>
      <c r="Y390" s="327"/>
      <c r="Z390" s="327"/>
      <c r="AA390" s="328"/>
      <c r="AB390" s="331"/>
      <c r="AD390" s="333"/>
      <c r="AE390" s="327"/>
      <c r="AF390" s="327"/>
      <c r="AG390" s="328"/>
      <c r="AH390" s="331"/>
      <c r="AJ390" s="333"/>
      <c r="AK390" s="327"/>
      <c r="AL390" s="327"/>
      <c r="AM390" s="328"/>
      <c r="AN390" s="331"/>
      <c r="AP390" s="333"/>
      <c r="AQ390" s="327"/>
      <c r="AR390" s="327"/>
      <c r="AS390" s="327"/>
      <c r="AT390" s="328"/>
      <c r="AU390" s="328"/>
      <c r="AV390" s="328"/>
      <c r="AW390" s="329"/>
      <c r="AX390" s="329"/>
      <c r="AY390" s="331"/>
    </row>
    <row r="391" spans="2:51" ht="15" customHeight="1" x14ac:dyDescent="0.25">
      <c r="B391" s="380" t="e">
        <f>SUM(#REF!, E357, E359, E361, E363, E365, E367, E369, E371, E373, E375, E377, E391,E379,E381,E383,E385,E387,E389)</f>
        <v>#REF!</v>
      </c>
      <c r="C391" s="327"/>
      <c r="D391" s="327"/>
      <c r="E391" s="327" t="str">
        <f>IF(D391="","",D391-D389)</f>
        <v/>
      </c>
      <c r="F391" s="328" t="str">
        <f>IF(D391="","",E391*100)</f>
        <v/>
      </c>
      <c r="G391" s="328"/>
      <c r="H391" s="328"/>
      <c r="I391" s="329"/>
      <c r="J391" s="329"/>
      <c r="K391" s="330"/>
      <c r="L391" s="323"/>
      <c r="M391" s="334" t="e">
        <f>SUM(#REF!, P357, P359, P361, P363, P365, P367, P369, P371, P373, P381, P389, P391)</f>
        <v>#REF!</v>
      </c>
      <c r="N391" s="327"/>
      <c r="O391" s="327"/>
      <c r="P391" s="327" t="str">
        <f>IF(O391="","",O391-O389)</f>
        <v/>
      </c>
      <c r="Q391" s="328" t="str">
        <f>IF(O391="","",P391*1000)</f>
        <v/>
      </c>
      <c r="R391" s="328"/>
      <c r="S391" s="328"/>
      <c r="T391" s="329"/>
      <c r="U391" s="329"/>
      <c r="V391" s="331"/>
      <c r="X391" s="334" t="e">
        <f>SUM(#REF!, Z357, Z359, Z361, Z363, Z365, Z367, Z369, Z371, Z373, Z381, Z389, Z391)</f>
        <v>#REF!</v>
      </c>
      <c r="Y391" s="327"/>
      <c r="Z391" s="327" t="str">
        <f>IF(Y391="","",Y391-Y389)</f>
        <v/>
      </c>
      <c r="AA391" s="328" t="str">
        <f>IF(Y391="","",Z391*1000)</f>
        <v/>
      </c>
      <c r="AB391" s="331"/>
      <c r="AD391" s="334" t="e">
        <f>SUM(#REF!, AF357, AF359, AF361, AF363, AF365, AF367, AF369, AF371, AF373, AF381, AF389, AF391)</f>
        <v>#REF!</v>
      </c>
      <c r="AE391" s="327"/>
      <c r="AF391" s="327" t="str">
        <f>IF(AE391="","",AE391-AE389)</f>
        <v/>
      </c>
      <c r="AG391" s="328" t="str">
        <f>IF(AE391="","",AF391*1000)</f>
        <v/>
      </c>
      <c r="AH391" s="331"/>
      <c r="AJ391" s="334" t="e">
        <f>SUM(#REF!, AL357, AL359, AL361, AL363, AL365, AL367, AL369, AL371, AL373, AL381, AL389, AL391)</f>
        <v>#REF!</v>
      </c>
      <c r="AK391" s="327"/>
      <c r="AL391" s="327" t="str">
        <f>IF(AK391="","",AK391-AK389)</f>
        <v/>
      </c>
      <c r="AM391" s="328" t="str">
        <f>IF(AK391="","",AL391*1000)</f>
        <v/>
      </c>
      <c r="AN391" s="331"/>
      <c r="AP391" s="334" t="e">
        <f>SUM(#REF!, AS357, AS359, AS361, AS363, AS365, AS367, AS369, AS371, AS373, AS381, AS389, AS391)</f>
        <v>#REF!</v>
      </c>
      <c r="AQ391" s="327"/>
      <c r="AR391" s="327"/>
      <c r="AS391" s="327" t="str">
        <f>IF(AR391="","",AR391-AR389)</f>
        <v/>
      </c>
      <c r="AT391" s="328" t="str">
        <f>IF(AR391="","",AS391*1000)</f>
        <v/>
      </c>
      <c r="AU391" s="328"/>
      <c r="AV391" s="328"/>
      <c r="AW391" s="329"/>
      <c r="AX391" s="329"/>
      <c r="AY391" s="331"/>
    </row>
    <row r="392" spans="2:51" ht="15" customHeight="1" x14ac:dyDescent="0.25">
      <c r="B392" s="380" t="e">
        <f>SUM(#REF!, E358, E360, E362, E364, E366, E368, E370, E372, E374, E376, E378, E392,E380,E382,E384,E386,E388,E390)</f>
        <v>#REF!</v>
      </c>
      <c r="C392" s="327"/>
      <c r="D392" s="327"/>
      <c r="E392" s="327" t="str">
        <f>IF(D392="","",D392-D390)</f>
        <v/>
      </c>
      <c r="F392" s="328" t="str">
        <f>IF(D392="","",E392*100)</f>
        <v/>
      </c>
      <c r="G392" s="328"/>
      <c r="H392" s="328"/>
      <c r="I392" s="329"/>
      <c r="J392" s="329"/>
      <c r="K392" s="330"/>
      <c r="L392" s="323"/>
      <c r="M392" s="334" t="e">
        <f>SUM(#REF!, P358, P360, P362, P364, P366, P368, P370, P372, P374, P386, P390, P392)</f>
        <v>#REF!</v>
      </c>
      <c r="N392" s="327"/>
      <c r="O392" s="327"/>
      <c r="P392" s="327"/>
      <c r="Q392" s="328"/>
      <c r="R392" s="328"/>
      <c r="S392" s="328"/>
      <c r="T392" s="329"/>
      <c r="U392" s="329"/>
      <c r="V392" s="331"/>
      <c r="X392" s="334" t="e">
        <f>SUM(#REF!, Z358, Z360, Z362, Z364, Z366, Z368, Z370, Z372, Z374, Z386, Z390, Z392)</f>
        <v>#REF!</v>
      </c>
      <c r="Y392" s="327"/>
      <c r="Z392" s="327"/>
      <c r="AA392" s="328"/>
      <c r="AB392" s="331"/>
      <c r="AD392" s="334" t="e">
        <f>SUM(#REF!, AF358, AF360, AF362, AF364, AF366, AF368, AF370, AF372, AF374, AF386, AF390, AF392)</f>
        <v>#REF!</v>
      </c>
      <c r="AE392" s="327"/>
      <c r="AF392" s="327"/>
      <c r="AG392" s="328"/>
      <c r="AH392" s="331"/>
      <c r="AJ392" s="334" t="e">
        <f>SUM(#REF!, AL358, AL360, AL362, AL364, AL366, AL368, AL370, AL372, AL374, AL386, AL390, AL392)</f>
        <v>#REF!</v>
      </c>
      <c r="AK392" s="327"/>
      <c r="AL392" s="327"/>
      <c r="AM392" s="328"/>
      <c r="AN392" s="331"/>
      <c r="AP392" s="334" t="e">
        <f>SUM(#REF!, AS358, AS360, AS362, AS364, AS366, AS368, AS370, AS372, AS374, AS386, AS390, AS392)</f>
        <v>#REF!</v>
      </c>
      <c r="AQ392" s="327"/>
      <c r="AR392" s="327"/>
      <c r="AS392" s="327"/>
      <c r="AT392" s="328"/>
      <c r="AU392" s="328"/>
      <c r="AV392" s="328"/>
      <c r="AW392" s="329"/>
      <c r="AX392" s="329"/>
      <c r="AY392" s="331"/>
    </row>
    <row r="393" spans="2:51" ht="15" customHeight="1" x14ac:dyDescent="0.25">
      <c r="B393" s="333"/>
      <c r="C393" s="328">
        <f>SUM(C355:C386)</f>
        <v>237500</v>
      </c>
      <c r="D393" s="327"/>
      <c r="E393" s="328">
        <f>SUM(E355:E392)</f>
        <v>715</v>
      </c>
      <c r="F393" s="328">
        <f>SUM(F355:F392)</f>
        <v>71500</v>
      </c>
      <c r="G393" s="328">
        <f>SUM(G355:G366)</f>
        <v>0</v>
      </c>
      <c r="H393" s="328">
        <f>SUM(H355:H366)</f>
        <v>0</v>
      </c>
      <c r="I393" s="328">
        <f>SUM(I355:I366)</f>
        <v>0</v>
      </c>
      <c r="J393" s="328">
        <f>SUM(J355:J366)</f>
        <v>0</v>
      </c>
      <c r="K393" s="330"/>
      <c r="L393" s="796"/>
      <c r="M393" s="327"/>
      <c r="N393" s="327"/>
      <c r="O393" s="327"/>
      <c r="P393" s="328">
        <f>SUM(P355:P391)</f>
        <v>68</v>
      </c>
      <c r="Q393" s="328">
        <f>SUM(Q355:Q392)</f>
        <v>68000</v>
      </c>
      <c r="R393" s="328">
        <f>SUM(R355:R366)</f>
        <v>0</v>
      </c>
      <c r="S393" s="328">
        <f>SUM(S355:S366)</f>
        <v>0</v>
      </c>
      <c r="T393" s="328">
        <f>SUM(T355:T366)</f>
        <v>0</v>
      </c>
      <c r="U393" s="328">
        <f>SUM(U355:U366)</f>
        <v>0</v>
      </c>
      <c r="V393" s="328"/>
      <c r="X393" s="327"/>
      <c r="Y393" s="327"/>
      <c r="Z393" s="328">
        <f>SUM(Z355:Z391)</f>
        <v>20</v>
      </c>
      <c r="AA393" s="328">
        <f>SUM(AA355:AA392)</f>
        <v>20000</v>
      </c>
      <c r="AB393" s="328"/>
      <c r="AD393" s="327"/>
      <c r="AE393" s="327"/>
      <c r="AF393" s="328">
        <f>SUM(AF355:AF391)</f>
        <v>6</v>
      </c>
      <c r="AG393" s="328">
        <f>SUM(AG355:AG392)</f>
        <v>6000</v>
      </c>
      <c r="AH393" s="328"/>
      <c r="AJ393" s="327"/>
      <c r="AK393" s="327"/>
      <c r="AL393" s="328">
        <f>SUM(AL355:AL391)</f>
        <v>64</v>
      </c>
      <c r="AM393" s="328">
        <f>SUM(AM355:AM392)</f>
        <v>64000</v>
      </c>
      <c r="AN393" s="328"/>
      <c r="AP393" s="327"/>
      <c r="AQ393" s="327"/>
      <c r="AR393" s="327"/>
      <c r="AS393" s="328">
        <f>SUM(AS355:AS391)</f>
        <v>8</v>
      </c>
      <c r="AT393" s="328">
        <f>SUM(AT355:AT392)</f>
        <v>8000</v>
      </c>
      <c r="AU393" s="328">
        <f>SUM(AU355:AU366)</f>
        <v>0</v>
      </c>
      <c r="AV393" s="328">
        <f>SUM(AV355:AV366)</f>
        <v>0</v>
      </c>
      <c r="AW393" s="328">
        <f>SUM(AW355:AW366)</f>
        <v>0</v>
      </c>
      <c r="AX393" s="328">
        <f>SUM(AX355:AX366)</f>
        <v>0</v>
      </c>
      <c r="AY393" s="328"/>
    </row>
    <row r="394" spans="2:51" ht="15" customHeight="1" x14ac:dyDescent="0.15">
      <c r="B394" s="386" t="s">
        <v>126</v>
      </c>
      <c r="C394" s="387" t="s">
        <v>127</v>
      </c>
      <c r="D394" s="388" t="s">
        <v>128</v>
      </c>
      <c r="E394" s="392" t="s">
        <v>129</v>
      </c>
      <c r="F394" s="382" t="s">
        <v>130</v>
      </c>
      <c r="G394" s="389"/>
      <c r="H394" s="389"/>
      <c r="I394" s="389"/>
      <c r="J394" s="389"/>
      <c r="K394" s="389"/>
      <c r="L394" s="381"/>
      <c r="M394" s="390"/>
      <c r="N394" s="390"/>
      <c r="O394" s="390"/>
      <c r="P394" s="389" t="s">
        <v>129</v>
      </c>
      <c r="Q394" s="382" t="s">
        <v>130</v>
      </c>
      <c r="R394" s="389"/>
      <c r="S394" s="389"/>
      <c r="T394" s="389"/>
      <c r="U394" s="389"/>
      <c r="V394" s="389"/>
      <c r="W394" s="317"/>
      <c r="X394" s="390"/>
      <c r="Y394" s="390"/>
      <c r="Z394" s="389" t="s">
        <v>129</v>
      </c>
      <c r="AA394" s="382" t="s">
        <v>130</v>
      </c>
      <c r="AB394" s="389"/>
      <c r="AC394" s="317"/>
      <c r="AD394" s="390"/>
      <c r="AE394" s="390"/>
      <c r="AF394" s="389" t="s">
        <v>129</v>
      </c>
      <c r="AG394" s="382" t="s">
        <v>130</v>
      </c>
      <c r="AH394" s="389"/>
      <c r="AI394" s="317"/>
      <c r="AJ394" s="390"/>
      <c r="AK394" s="390"/>
      <c r="AL394" s="389" t="s">
        <v>129</v>
      </c>
      <c r="AM394" s="382" t="s">
        <v>130</v>
      </c>
      <c r="AN394" s="389"/>
      <c r="AO394" s="317"/>
      <c r="AP394" s="390"/>
      <c r="AQ394" s="390"/>
      <c r="AR394" s="390"/>
      <c r="AS394" s="389" t="s">
        <v>129</v>
      </c>
      <c r="AT394" s="382" t="s">
        <v>130</v>
      </c>
      <c r="AU394" s="389"/>
      <c r="AV394" s="389"/>
      <c r="AW394" s="389"/>
      <c r="AX394" s="389"/>
      <c r="AY394" s="389"/>
    </row>
    <row r="395" spans="2:51" ht="15" customHeight="1" x14ac:dyDescent="0.2">
      <c r="B395" s="235">
        <v>30</v>
      </c>
      <c r="C395" s="318">
        <f>C393/B389</f>
        <v>16964.285714285714</v>
      </c>
      <c r="D395" s="318">
        <f>C395*B395</f>
        <v>508928.57142857142</v>
      </c>
      <c r="E395" s="236">
        <f>E393/B389*100</f>
        <v>5107.1428571428569</v>
      </c>
      <c r="F395" s="236">
        <f>E395*B395</f>
        <v>153214.28571428571</v>
      </c>
      <c r="P395" s="236">
        <f>P393/M389*1000</f>
        <v>4857.1428571428569</v>
      </c>
      <c r="Q395" s="236">
        <f>P395*B395</f>
        <v>145714.28571428571</v>
      </c>
      <c r="Z395" s="236">
        <f>Z393/X389*1000</f>
        <v>1428.5714285714287</v>
      </c>
      <c r="AA395" s="236">
        <f>Z395*B395</f>
        <v>42857.142857142862</v>
      </c>
      <c r="AF395" s="236">
        <f>AF393/AD389*1000</f>
        <v>428.57142857142856</v>
      </c>
      <c r="AG395" s="236">
        <f>AF395*B395</f>
        <v>12857.142857142857</v>
      </c>
      <c r="AL395" s="236">
        <f>AL393/AJ389*1000</f>
        <v>4571.4285714285716</v>
      </c>
      <c r="AM395" s="236">
        <f>AL395*B395</f>
        <v>137142.85714285716</v>
      </c>
      <c r="AS395" s="236">
        <f>AS393/AP389*1000</f>
        <v>571.42857142857144</v>
      </c>
      <c r="AT395" s="236">
        <f>AS395*B395</f>
        <v>17142.857142857145</v>
      </c>
    </row>
  </sheetData>
  <mergeCells count="36">
    <mergeCell ref="AP353:AR353"/>
    <mergeCell ref="X353:Y353"/>
    <mergeCell ref="AD353:AE353"/>
    <mergeCell ref="AJ353:AK353"/>
    <mergeCell ref="AP265:AR265"/>
    <mergeCell ref="X265:Y265"/>
    <mergeCell ref="AD265:AE265"/>
    <mergeCell ref="AJ265:AK265"/>
    <mergeCell ref="AP177:AR177"/>
    <mergeCell ref="X177:Y177"/>
    <mergeCell ref="AD177:AE177"/>
    <mergeCell ref="AJ177:AK177"/>
    <mergeCell ref="AP133:AR133"/>
    <mergeCell ref="X133:Y133"/>
    <mergeCell ref="AD133:AE133"/>
    <mergeCell ref="AJ133:AK133"/>
    <mergeCell ref="AP221:AR221"/>
    <mergeCell ref="X221:Y221"/>
    <mergeCell ref="AD221:AE221"/>
    <mergeCell ref="AJ221:AK221"/>
    <mergeCell ref="AP309:AR309"/>
    <mergeCell ref="X309:Y309"/>
    <mergeCell ref="AD309:AE309"/>
    <mergeCell ref="AJ309:AK309"/>
    <mergeCell ref="AP1:AR1"/>
    <mergeCell ref="X1:Y1"/>
    <mergeCell ref="AD1:AE1"/>
    <mergeCell ref="AJ1:AK1"/>
    <mergeCell ref="AP89:AR89"/>
    <mergeCell ref="X89:Y89"/>
    <mergeCell ref="AD89:AE89"/>
    <mergeCell ref="AJ89:AK89"/>
    <mergeCell ref="AP45:AR45"/>
    <mergeCell ref="X45:Y45"/>
    <mergeCell ref="AD45:AE45"/>
    <mergeCell ref="AJ45:AK45"/>
  </mergeCells>
  <phoneticPr fontId="35"/>
  <pageMargins left="0.69930555555555596" right="0.69930555555555596" top="0.75" bottom="0.75" header="0" footer="0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>
    <pageSetUpPr fitToPage="1"/>
  </sheetPr>
  <dimension ref="B1:L146"/>
  <sheetViews>
    <sheetView workbookViewId="0">
      <pane ySplit="1" topLeftCell="A103" activePane="bottomLeft" state="frozen"/>
      <selection activeCell="B1" sqref="B1"/>
      <selection pane="bottomLeft" activeCell="H118" sqref="H118"/>
    </sheetView>
  </sheetViews>
  <sheetFormatPr defaultColWidth="14.390625" defaultRowHeight="15" customHeight="1" x14ac:dyDescent="0.2"/>
  <cols>
    <col min="1" max="1" width="2.015625" customWidth="1"/>
    <col min="2" max="2" width="11.97265625" bestFit="1" customWidth="1"/>
    <col min="3" max="3" width="7.6640625" bestFit="1" customWidth="1"/>
    <col min="4" max="4" width="6.859375" bestFit="1" customWidth="1"/>
    <col min="5" max="5" width="7.80078125" bestFit="1" customWidth="1"/>
    <col min="6" max="6" width="24.75" bestFit="1" customWidth="1"/>
    <col min="7" max="7" width="4.03515625" customWidth="1"/>
    <col min="8" max="8" width="11.97265625" bestFit="1" customWidth="1"/>
    <col min="9" max="11" width="9.01171875" customWidth="1"/>
    <col min="12" max="15" width="18.6953125" customWidth="1"/>
    <col min="16" max="16" width="9.01171875" customWidth="1"/>
  </cols>
  <sheetData>
    <row r="1" spans="2:8" ht="15" customHeight="1" thickBot="1" x14ac:dyDescent="0.35">
      <c r="B1" s="201" t="s">
        <v>148</v>
      </c>
      <c r="C1" s="5"/>
      <c r="D1" s="5"/>
      <c r="E1" s="5"/>
      <c r="F1" s="26"/>
      <c r="H1" s="719" t="s">
        <v>154</v>
      </c>
    </row>
    <row r="2" spans="2:8" ht="15" customHeight="1" thickBot="1" x14ac:dyDescent="0.25">
      <c r="B2" s="7" t="s">
        <v>142</v>
      </c>
      <c r="C2" s="8" t="s">
        <v>143</v>
      </c>
      <c r="D2" s="8" t="s">
        <v>144</v>
      </c>
      <c r="E2" s="8" t="s">
        <v>145</v>
      </c>
      <c r="F2" s="9" t="s">
        <v>146</v>
      </c>
    </row>
    <row r="3" spans="2:8" ht="15" customHeight="1" x14ac:dyDescent="0.3">
      <c r="B3" s="213">
        <v>45914</v>
      </c>
      <c r="C3" s="46">
        <v>622</v>
      </c>
      <c r="D3" s="170">
        <v>38</v>
      </c>
      <c r="E3" s="171">
        <v>38000</v>
      </c>
      <c r="F3" s="172"/>
    </row>
    <row r="4" spans="2:8" ht="15" customHeight="1" x14ac:dyDescent="0.3">
      <c r="B4" s="212">
        <v>45916</v>
      </c>
      <c r="C4" s="13">
        <v>665</v>
      </c>
      <c r="D4" s="170">
        <f t="shared" ref="D4:D13" si="0">IF(C4="","",C4-C3)</f>
        <v>43</v>
      </c>
      <c r="E4" s="171">
        <f t="shared" ref="E4:E13" si="1">IF(C4="","",D4*1000)</f>
        <v>43000</v>
      </c>
      <c r="F4" s="172" t="s">
        <v>149</v>
      </c>
    </row>
    <row r="5" spans="2:8" ht="15" customHeight="1" x14ac:dyDescent="0.35">
      <c r="B5" s="212">
        <v>45919</v>
      </c>
      <c r="C5" s="13">
        <v>675</v>
      </c>
      <c r="D5" s="170">
        <f t="shared" si="0"/>
        <v>10</v>
      </c>
      <c r="E5" s="171">
        <f t="shared" si="1"/>
        <v>10000</v>
      </c>
      <c r="F5" s="191" t="s">
        <v>150</v>
      </c>
    </row>
    <row r="6" spans="2:8" ht="15" customHeight="1" x14ac:dyDescent="0.3">
      <c r="B6" s="212">
        <v>45922</v>
      </c>
      <c r="C6" s="13">
        <v>712</v>
      </c>
      <c r="D6" s="170">
        <f t="shared" si="0"/>
        <v>37</v>
      </c>
      <c r="E6" s="171">
        <f t="shared" si="1"/>
        <v>37000</v>
      </c>
      <c r="F6" s="172"/>
    </row>
    <row r="7" spans="2:8" ht="15" customHeight="1" x14ac:dyDescent="0.3">
      <c r="B7" s="212">
        <v>45926</v>
      </c>
      <c r="C7" s="13">
        <v>725</v>
      </c>
      <c r="D7" s="170">
        <f t="shared" si="0"/>
        <v>13</v>
      </c>
      <c r="E7" s="171">
        <f t="shared" si="1"/>
        <v>13000</v>
      </c>
      <c r="F7" s="225" t="s">
        <v>151</v>
      </c>
    </row>
    <row r="8" spans="2:8" ht="15" customHeight="1" x14ac:dyDescent="0.3">
      <c r="B8" s="212">
        <v>45930</v>
      </c>
      <c r="C8" s="13">
        <v>758</v>
      </c>
      <c r="D8" s="170">
        <f t="shared" si="0"/>
        <v>33</v>
      </c>
      <c r="E8" s="171">
        <f t="shared" si="1"/>
        <v>33000</v>
      </c>
      <c r="F8" s="225" t="s">
        <v>152</v>
      </c>
    </row>
    <row r="9" spans="2:8" ht="15" customHeight="1" x14ac:dyDescent="0.3">
      <c r="B9" s="212">
        <v>45933</v>
      </c>
      <c r="C9" s="13">
        <v>763</v>
      </c>
      <c r="D9" s="170">
        <f t="shared" si="0"/>
        <v>5</v>
      </c>
      <c r="E9" s="171">
        <f t="shared" si="1"/>
        <v>5000</v>
      </c>
      <c r="F9" s="172"/>
    </row>
    <row r="10" spans="2:8" ht="15" customHeight="1" x14ac:dyDescent="0.3">
      <c r="B10" s="212">
        <v>45936</v>
      </c>
      <c r="C10" s="13">
        <v>775</v>
      </c>
      <c r="D10" s="170">
        <f t="shared" si="0"/>
        <v>12</v>
      </c>
      <c r="E10" s="171">
        <f t="shared" si="1"/>
        <v>12000</v>
      </c>
      <c r="F10" s="172"/>
    </row>
    <row r="11" spans="2:8" ht="15" customHeight="1" x14ac:dyDescent="0.3">
      <c r="B11" s="213">
        <v>45940</v>
      </c>
      <c r="C11" s="46">
        <v>798</v>
      </c>
      <c r="D11" s="170">
        <f t="shared" si="0"/>
        <v>23</v>
      </c>
      <c r="E11" s="171">
        <f t="shared" si="1"/>
        <v>23000</v>
      </c>
      <c r="F11" s="51" t="s">
        <v>135</v>
      </c>
    </row>
    <row r="12" spans="2:8" ht="15" customHeight="1" x14ac:dyDescent="0.3">
      <c r="B12" s="213">
        <v>45943</v>
      </c>
      <c r="C12" s="46">
        <v>834</v>
      </c>
      <c r="D12" s="170">
        <f t="shared" si="0"/>
        <v>36</v>
      </c>
      <c r="E12" s="171">
        <f t="shared" si="1"/>
        <v>36000</v>
      </c>
      <c r="F12" s="172" t="s">
        <v>153</v>
      </c>
    </row>
    <row r="13" spans="2:8" ht="15" customHeight="1" thickBot="1" x14ac:dyDescent="0.35">
      <c r="B13" s="214"/>
      <c r="C13" s="39"/>
      <c r="D13" s="240" t="str">
        <f t="shared" si="0"/>
        <v/>
      </c>
      <c r="E13" s="223" t="str">
        <f t="shared" si="1"/>
        <v/>
      </c>
      <c r="F13" s="176"/>
    </row>
    <row r="14" spans="2:8" ht="15" customHeight="1" thickBot="1" x14ac:dyDescent="0.35">
      <c r="B14" s="15"/>
      <c r="C14" s="16"/>
      <c r="D14" s="16">
        <f>SUM(D3:D13)</f>
        <v>250</v>
      </c>
      <c r="E14" s="17">
        <f>SUM(E3:E13)</f>
        <v>250000</v>
      </c>
      <c r="F14" s="176"/>
    </row>
    <row r="16" spans="2:8" ht="15" customHeight="1" thickBot="1" x14ac:dyDescent="0.35">
      <c r="B16" s="201" t="s">
        <v>148</v>
      </c>
      <c r="C16" s="5"/>
      <c r="D16" s="5"/>
      <c r="E16" s="5"/>
      <c r="F16" s="26"/>
    </row>
    <row r="17" spans="2:12" ht="15" customHeight="1" thickBot="1" x14ac:dyDescent="0.25">
      <c r="B17" s="7" t="s">
        <v>142</v>
      </c>
      <c r="C17" s="8" t="s">
        <v>143</v>
      </c>
      <c r="D17" s="8" t="s">
        <v>144</v>
      </c>
      <c r="E17" s="8" t="s">
        <v>145</v>
      </c>
      <c r="F17" s="9" t="s">
        <v>146</v>
      </c>
    </row>
    <row r="18" spans="2:12" ht="15" customHeight="1" x14ac:dyDescent="0.3">
      <c r="B18" s="213">
        <v>45947</v>
      </c>
      <c r="C18" s="46">
        <v>863</v>
      </c>
      <c r="D18" s="170">
        <f>IF(C18="","",C18-C12)</f>
        <v>29</v>
      </c>
      <c r="E18" s="171">
        <f t="shared" ref="E18:E28" si="2">IF(C18="","",D18*1000)</f>
        <v>29000</v>
      </c>
      <c r="F18" s="172"/>
    </row>
    <row r="19" spans="2:12" ht="15" customHeight="1" x14ac:dyDescent="0.3">
      <c r="B19" s="212">
        <v>45957</v>
      </c>
      <c r="C19" s="13">
        <v>924</v>
      </c>
      <c r="D19" s="170">
        <f>IF(C19="","",C19-C18)</f>
        <v>61</v>
      </c>
      <c r="E19" s="171">
        <f>IF(C19="","",D19*1000)</f>
        <v>61000</v>
      </c>
      <c r="F19" s="172"/>
    </row>
    <row r="20" spans="2:12" ht="15" customHeight="1" x14ac:dyDescent="0.35">
      <c r="B20" s="212">
        <v>45961</v>
      </c>
      <c r="C20" s="13">
        <v>930</v>
      </c>
      <c r="D20" s="170">
        <f t="shared" ref="D20:D28" si="3">IF(C20="","",C20-C19)</f>
        <v>6</v>
      </c>
      <c r="E20" s="171">
        <f t="shared" si="2"/>
        <v>6000</v>
      </c>
      <c r="F20" s="191"/>
    </row>
    <row r="21" spans="2:12" ht="15" customHeight="1" x14ac:dyDescent="0.3">
      <c r="B21" s="212">
        <v>45964</v>
      </c>
      <c r="C21" s="13">
        <v>943</v>
      </c>
      <c r="D21" s="170">
        <f t="shared" si="3"/>
        <v>13</v>
      </c>
      <c r="E21" s="171">
        <f t="shared" si="2"/>
        <v>13000</v>
      </c>
      <c r="F21" s="172"/>
    </row>
    <row r="22" spans="2:12" ht="15" customHeight="1" x14ac:dyDescent="0.3">
      <c r="B22" s="212">
        <v>45968</v>
      </c>
      <c r="C22" s="13">
        <v>961</v>
      </c>
      <c r="D22" s="170">
        <f t="shared" si="3"/>
        <v>18</v>
      </c>
      <c r="E22" s="171">
        <f>IF(C22="","",D22*1000)</f>
        <v>18000</v>
      </c>
      <c r="F22" s="225"/>
    </row>
    <row r="23" spans="2:12" ht="15" customHeight="1" x14ac:dyDescent="0.3">
      <c r="B23" s="212">
        <v>45971</v>
      </c>
      <c r="C23" s="13">
        <v>969</v>
      </c>
      <c r="D23" s="170">
        <f t="shared" si="3"/>
        <v>8</v>
      </c>
      <c r="E23" s="171">
        <f>IF(C23="","",D23*1000)</f>
        <v>8000</v>
      </c>
      <c r="F23" s="225" t="s">
        <v>135</v>
      </c>
    </row>
    <row r="24" spans="2:12" ht="15" customHeight="1" x14ac:dyDescent="0.3">
      <c r="B24" s="212">
        <v>45973</v>
      </c>
      <c r="C24" s="13">
        <v>982</v>
      </c>
      <c r="D24" s="170">
        <f t="shared" si="3"/>
        <v>13</v>
      </c>
      <c r="E24" s="171">
        <f t="shared" si="2"/>
        <v>13000</v>
      </c>
      <c r="F24" s="172"/>
    </row>
    <row r="25" spans="2:12" ht="15" customHeight="1" x14ac:dyDescent="0.3">
      <c r="B25" s="212"/>
      <c r="C25" s="13"/>
      <c r="D25" s="170" t="str">
        <f t="shared" si="3"/>
        <v/>
      </c>
      <c r="E25" s="171" t="str">
        <f t="shared" si="2"/>
        <v/>
      </c>
      <c r="F25" s="172"/>
    </row>
    <row r="26" spans="2:12" ht="15" customHeight="1" x14ac:dyDescent="0.3">
      <c r="B26" s="213"/>
      <c r="C26" s="46"/>
      <c r="D26" s="170" t="str">
        <f t="shared" si="3"/>
        <v/>
      </c>
      <c r="E26" s="171" t="str">
        <f t="shared" si="2"/>
        <v/>
      </c>
      <c r="F26" s="51"/>
    </row>
    <row r="27" spans="2:12" ht="15" customHeight="1" x14ac:dyDescent="0.3">
      <c r="B27" s="213"/>
      <c r="C27" s="46"/>
      <c r="D27" s="170" t="str">
        <f t="shared" si="3"/>
        <v/>
      </c>
      <c r="E27" s="171" t="str">
        <f t="shared" si="2"/>
        <v/>
      </c>
      <c r="F27" s="172"/>
    </row>
    <row r="28" spans="2:12" ht="15" customHeight="1" thickBot="1" x14ac:dyDescent="0.35">
      <c r="B28" s="214"/>
      <c r="C28" s="39"/>
      <c r="D28" s="240" t="str">
        <f t="shared" si="3"/>
        <v/>
      </c>
      <c r="E28" s="223" t="str">
        <f t="shared" si="2"/>
        <v/>
      </c>
      <c r="F28" s="176"/>
    </row>
    <row r="29" spans="2:12" ht="15" customHeight="1" thickBot="1" x14ac:dyDescent="0.35">
      <c r="B29" s="15"/>
      <c r="C29" s="16"/>
      <c r="D29" s="16">
        <f>SUM(D18:D28)</f>
        <v>148</v>
      </c>
      <c r="E29" s="17">
        <f>SUM(E18:E28)</f>
        <v>148000</v>
      </c>
      <c r="F29" s="176"/>
    </row>
    <row r="31" spans="2:12" ht="15" customHeight="1" thickBot="1" x14ac:dyDescent="0.35">
      <c r="B31" s="201" t="s">
        <v>148</v>
      </c>
      <c r="C31" s="5"/>
      <c r="D31" s="5"/>
      <c r="E31" s="5"/>
      <c r="F31" s="26"/>
      <c r="H31" s="642" t="s">
        <v>154</v>
      </c>
      <c r="I31" s="5"/>
      <c r="J31" s="5"/>
      <c r="K31" s="5"/>
      <c r="L31" s="26"/>
    </row>
    <row r="32" spans="2:12" ht="15" customHeight="1" thickBot="1" x14ac:dyDescent="0.25">
      <c r="B32" s="7" t="s">
        <v>142</v>
      </c>
      <c r="C32" s="8" t="s">
        <v>143</v>
      </c>
      <c r="D32" s="8" t="s">
        <v>144</v>
      </c>
      <c r="E32" s="8" t="s">
        <v>145</v>
      </c>
      <c r="F32" s="9" t="s">
        <v>146</v>
      </c>
      <c r="H32" s="7" t="s">
        <v>142</v>
      </c>
      <c r="I32" s="8" t="s">
        <v>143</v>
      </c>
      <c r="J32" s="8" t="s">
        <v>144</v>
      </c>
      <c r="K32" s="8" t="s">
        <v>145</v>
      </c>
      <c r="L32" s="9" t="s">
        <v>146</v>
      </c>
    </row>
    <row r="33" spans="2:12" ht="15" customHeight="1" x14ac:dyDescent="0.3">
      <c r="B33" s="213">
        <v>45977</v>
      </c>
      <c r="C33" s="46">
        <v>1014</v>
      </c>
      <c r="D33" s="170">
        <f>IF(C33="","",C33-C24)</f>
        <v>32</v>
      </c>
      <c r="E33" s="171">
        <f t="shared" ref="E33:E41" si="4">IF(C33="","",D33*1000)</f>
        <v>32000</v>
      </c>
      <c r="F33" s="172"/>
      <c r="H33" s="213"/>
      <c r="I33" s="46"/>
      <c r="J33" s="170" t="str">
        <f>IF(I33="","",I33-I24)</f>
        <v/>
      </c>
      <c r="K33" s="171" t="str">
        <f t="shared" ref="K33:K40" si="5">IF(I33="","",J33*1000)</f>
        <v/>
      </c>
      <c r="L33" s="172"/>
    </row>
    <row r="34" spans="2:12" ht="15" customHeight="1" x14ac:dyDescent="0.3">
      <c r="B34" s="212">
        <v>45982</v>
      </c>
      <c r="C34" s="13">
        <v>1022</v>
      </c>
      <c r="D34" s="170">
        <f t="shared" ref="D34:D41" si="6">IF(C34="","",C34-C33)</f>
        <v>8</v>
      </c>
      <c r="E34" s="171">
        <f t="shared" si="4"/>
        <v>8000</v>
      </c>
      <c r="F34" s="172"/>
      <c r="H34" s="212"/>
      <c r="I34" s="13"/>
      <c r="J34" s="170" t="str">
        <f>IF(I34="","",I34-I33)</f>
        <v/>
      </c>
      <c r="K34" s="171" t="str">
        <f t="shared" si="5"/>
        <v/>
      </c>
      <c r="L34" s="172"/>
    </row>
    <row r="35" spans="2:12" ht="15" customHeight="1" x14ac:dyDescent="0.35">
      <c r="B35" s="212">
        <v>45985</v>
      </c>
      <c r="C35" s="13">
        <v>1028</v>
      </c>
      <c r="D35" s="170">
        <f t="shared" si="6"/>
        <v>6</v>
      </c>
      <c r="E35" s="171">
        <f t="shared" si="4"/>
        <v>6000</v>
      </c>
      <c r="F35" s="191"/>
      <c r="H35" s="212"/>
      <c r="I35" s="13"/>
      <c r="J35" s="170" t="str">
        <f>IF(I35="","",I35-I34)</f>
        <v/>
      </c>
      <c r="K35" s="171" t="str">
        <f t="shared" si="5"/>
        <v/>
      </c>
      <c r="L35" s="191"/>
    </row>
    <row r="36" spans="2:12" ht="15" customHeight="1" x14ac:dyDescent="0.3">
      <c r="B36" s="212">
        <v>45989</v>
      </c>
      <c r="C36" s="13">
        <v>1057</v>
      </c>
      <c r="D36" s="170">
        <f t="shared" si="6"/>
        <v>29</v>
      </c>
      <c r="E36" s="171">
        <f t="shared" si="4"/>
        <v>29000</v>
      </c>
      <c r="F36" s="172"/>
      <c r="H36" s="212"/>
      <c r="I36" s="13"/>
      <c r="J36" s="170" t="str">
        <f>IF(I36="","",I36-I35)</f>
        <v/>
      </c>
      <c r="K36" s="171" t="str">
        <f t="shared" si="5"/>
        <v/>
      </c>
      <c r="L36" s="172"/>
    </row>
    <row r="37" spans="2:12" ht="15" customHeight="1" x14ac:dyDescent="0.3">
      <c r="B37" s="212">
        <v>45996</v>
      </c>
      <c r="C37" s="13">
        <v>1094</v>
      </c>
      <c r="D37" s="170">
        <f t="shared" si="6"/>
        <v>37</v>
      </c>
      <c r="E37" s="171">
        <f t="shared" si="4"/>
        <v>37000</v>
      </c>
      <c r="F37" s="225"/>
      <c r="H37" s="212"/>
      <c r="I37" s="13"/>
      <c r="J37" s="170" t="str">
        <f>IF(I37="","",I37-I36)</f>
        <v/>
      </c>
      <c r="K37" s="171" t="str">
        <f t="shared" si="5"/>
        <v/>
      </c>
      <c r="L37" s="225"/>
    </row>
    <row r="38" spans="2:12" ht="15" customHeight="1" x14ac:dyDescent="0.3">
      <c r="B38" s="212">
        <v>45999</v>
      </c>
      <c r="C38" s="13">
        <v>1118</v>
      </c>
      <c r="D38" s="170">
        <f t="shared" si="6"/>
        <v>24</v>
      </c>
      <c r="E38" s="171">
        <f t="shared" si="4"/>
        <v>24000</v>
      </c>
      <c r="F38" s="225"/>
      <c r="H38" s="212"/>
      <c r="I38" s="13"/>
      <c r="J38" s="170" t="str">
        <f>IF(I38="","",I38-I37)</f>
        <v/>
      </c>
      <c r="K38" s="171" t="str">
        <f t="shared" si="5"/>
        <v/>
      </c>
      <c r="L38" s="225"/>
    </row>
    <row r="39" spans="2:12" ht="15" customHeight="1" x14ac:dyDescent="0.3">
      <c r="B39" s="212">
        <v>46002</v>
      </c>
      <c r="C39" s="13">
        <v>1134</v>
      </c>
      <c r="D39" s="170">
        <f t="shared" si="6"/>
        <v>16</v>
      </c>
      <c r="E39" s="171">
        <f t="shared" si="4"/>
        <v>16000</v>
      </c>
      <c r="F39" s="172"/>
      <c r="H39" s="212">
        <v>46002</v>
      </c>
      <c r="I39" s="13">
        <v>7699</v>
      </c>
      <c r="J39" s="170"/>
      <c r="K39" s="171">
        <f t="shared" si="5"/>
        <v>0</v>
      </c>
      <c r="L39" s="172" t="s">
        <v>155</v>
      </c>
    </row>
    <row r="40" spans="2:12" ht="15" customHeight="1" x14ac:dyDescent="0.3">
      <c r="B40" s="212">
        <v>46006</v>
      </c>
      <c r="C40" s="13">
        <v>1167</v>
      </c>
      <c r="D40" s="170">
        <f t="shared" si="6"/>
        <v>33</v>
      </c>
      <c r="E40" s="171">
        <f t="shared" si="4"/>
        <v>33000</v>
      </c>
      <c r="F40" s="172"/>
      <c r="H40" s="212">
        <v>46008</v>
      </c>
      <c r="I40" s="13">
        <v>7741</v>
      </c>
      <c r="J40" s="170">
        <f>IF(I40="","",I40-I39)</f>
        <v>42</v>
      </c>
      <c r="K40" s="171">
        <f t="shared" si="5"/>
        <v>42000</v>
      </c>
      <c r="L40" s="172"/>
    </row>
    <row r="41" spans="2:12" ht="15" customHeight="1" x14ac:dyDescent="0.3">
      <c r="B41" s="213">
        <v>46008</v>
      </c>
      <c r="C41" s="46">
        <v>1188</v>
      </c>
      <c r="D41" s="170">
        <f t="shared" si="6"/>
        <v>21</v>
      </c>
      <c r="E41" s="171">
        <f t="shared" si="4"/>
        <v>21000</v>
      </c>
      <c r="F41" s="51"/>
      <c r="H41" s="213"/>
      <c r="I41" s="46"/>
      <c r="J41" s="170"/>
      <c r="K41" s="171"/>
      <c r="L41" s="51"/>
    </row>
    <row r="42" spans="2:12" ht="15" customHeight="1" x14ac:dyDescent="0.3">
      <c r="B42" s="213"/>
      <c r="C42" s="46"/>
      <c r="D42" s="170"/>
      <c r="E42" s="171"/>
      <c r="F42" s="172"/>
      <c r="H42" s="213"/>
      <c r="I42" s="46"/>
      <c r="J42" s="170" t="str">
        <f>IF(I42="","",I42-I41)</f>
        <v/>
      </c>
      <c r="K42" s="171" t="str">
        <f>IF(I42="","",J42*1000)</f>
        <v/>
      </c>
      <c r="L42" s="172"/>
    </row>
    <row r="43" spans="2:12" ht="15" customHeight="1" thickBot="1" x14ac:dyDescent="0.35">
      <c r="B43" s="214"/>
      <c r="C43" s="39"/>
      <c r="D43" s="240" t="str">
        <f>IF(C43="","",C43-C42)</f>
        <v/>
      </c>
      <c r="E43" s="223" t="str">
        <f>IF(C43="","",D43*1000)</f>
        <v/>
      </c>
      <c r="F43" s="176"/>
      <c r="H43" s="214"/>
      <c r="I43" s="39"/>
      <c r="J43" s="240" t="str">
        <f>IF(I43="","",I43-I42)</f>
        <v/>
      </c>
      <c r="K43" s="223" t="str">
        <f>IF(I43="","",J43*1000)</f>
        <v/>
      </c>
      <c r="L43" s="176"/>
    </row>
    <row r="44" spans="2:12" ht="15" customHeight="1" thickBot="1" x14ac:dyDescent="0.35">
      <c r="B44" s="15"/>
      <c r="C44" s="16"/>
      <c r="D44" s="16">
        <f>SUM(D33:D43)</f>
        <v>206</v>
      </c>
      <c r="E44" s="17">
        <f>SUM(E33:E43)</f>
        <v>206000</v>
      </c>
      <c r="F44" s="176"/>
      <c r="H44" s="15"/>
      <c r="I44" s="16"/>
      <c r="J44" s="16">
        <f>SUM(J33:J43)</f>
        <v>42</v>
      </c>
      <c r="K44" s="17">
        <f>SUM(K33:K43)</f>
        <v>42000</v>
      </c>
      <c r="L44" s="176"/>
    </row>
    <row r="46" spans="2:12" ht="15" customHeight="1" thickBot="1" x14ac:dyDescent="0.35">
      <c r="B46" s="201" t="s">
        <v>148</v>
      </c>
      <c r="C46" s="5"/>
      <c r="D46" s="5"/>
      <c r="E46" s="5"/>
      <c r="F46" s="26"/>
      <c r="H46" s="642" t="s">
        <v>154</v>
      </c>
      <c r="I46" s="5"/>
      <c r="J46" s="5"/>
      <c r="K46" s="5"/>
      <c r="L46" s="26"/>
    </row>
    <row r="47" spans="2:12" ht="15" customHeight="1" thickBot="1" x14ac:dyDescent="0.25">
      <c r="B47" s="7" t="s">
        <v>142</v>
      </c>
      <c r="C47" s="8" t="s">
        <v>143</v>
      </c>
      <c r="D47" s="8" t="s">
        <v>144</v>
      </c>
      <c r="E47" s="8" t="s">
        <v>145</v>
      </c>
      <c r="F47" s="9" t="s">
        <v>146</v>
      </c>
      <c r="H47" s="7" t="s">
        <v>142</v>
      </c>
      <c r="I47" s="8" t="s">
        <v>143</v>
      </c>
      <c r="J47" s="8" t="s">
        <v>144</v>
      </c>
      <c r="K47" s="8" t="s">
        <v>145</v>
      </c>
      <c r="L47" s="9" t="s">
        <v>146</v>
      </c>
    </row>
    <row r="48" spans="2:12" ht="15" customHeight="1" x14ac:dyDescent="0.3">
      <c r="B48" s="213">
        <v>46010</v>
      </c>
      <c r="C48" s="46">
        <v>1191</v>
      </c>
      <c r="D48" s="170">
        <f>IF(C48="","",C48-C41)</f>
        <v>3</v>
      </c>
      <c r="E48" s="171">
        <f t="shared" ref="E48:E60" si="7">IF(C48="","",D48*1000)</f>
        <v>3000</v>
      </c>
      <c r="F48" s="172" t="s">
        <v>156</v>
      </c>
      <c r="H48" s="213">
        <v>46010</v>
      </c>
      <c r="I48" s="46">
        <v>7789</v>
      </c>
      <c r="J48" s="170">
        <f>IF(I48="","",I48-I40)</f>
        <v>48</v>
      </c>
      <c r="K48" s="171">
        <f t="shared" ref="K48:K60" si="8">IF(I48="","",J48*1000)</f>
        <v>48000</v>
      </c>
      <c r="L48" s="172"/>
    </row>
    <row r="49" spans="2:12" ht="15" customHeight="1" x14ac:dyDescent="0.3">
      <c r="B49" s="212">
        <v>46013</v>
      </c>
      <c r="C49" s="13">
        <v>1206</v>
      </c>
      <c r="D49" s="170">
        <f t="shared" ref="D49:D57" si="9">IF(C49="","",C49-C48)</f>
        <v>15</v>
      </c>
      <c r="E49" s="171">
        <f t="shared" si="7"/>
        <v>15000</v>
      </c>
      <c r="F49" s="172"/>
      <c r="H49" s="212">
        <v>46013</v>
      </c>
      <c r="I49" s="13">
        <v>7803</v>
      </c>
      <c r="J49" s="170">
        <f t="shared" ref="J49:J59" si="10">IF(I49="","",I49-I48)</f>
        <v>14</v>
      </c>
      <c r="K49" s="171">
        <f t="shared" si="8"/>
        <v>14000</v>
      </c>
      <c r="L49" s="172"/>
    </row>
    <row r="50" spans="2:12" ht="15" customHeight="1" x14ac:dyDescent="0.35">
      <c r="B50" s="212">
        <v>46017</v>
      </c>
      <c r="C50" s="13">
        <v>1223</v>
      </c>
      <c r="D50" s="170">
        <f t="shared" si="9"/>
        <v>17</v>
      </c>
      <c r="E50" s="171">
        <f t="shared" si="7"/>
        <v>17000</v>
      </c>
      <c r="F50" s="191" t="s">
        <v>157</v>
      </c>
      <c r="H50" s="212">
        <v>46017</v>
      </c>
      <c r="I50" s="13">
        <v>7811</v>
      </c>
      <c r="J50" s="170">
        <f t="shared" si="10"/>
        <v>8</v>
      </c>
      <c r="K50" s="171">
        <f t="shared" si="8"/>
        <v>8000</v>
      </c>
      <c r="L50" s="191"/>
    </row>
    <row r="51" spans="2:12" ht="15" customHeight="1" x14ac:dyDescent="0.3">
      <c r="B51" s="212">
        <v>46020</v>
      </c>
      <c r="C51" s="13">
        <v>1239</v>
      </c>
      <c r="D51" s="170">
        <f t="shared" si="9"/>
        <v>16</v>
      </c>
      <c r="E51" s="171">
        <f t="shared" si="7"/>
        <v>16000</v>
      </c>
      <c r="F51" s="172"/>
      <c r="H51" s="212">
        <v>46020</v>
      </c>
      <c r="I51" s="13">
        <v>7829</v>
      </c>
      <c r="J51" s="170">
        <f t="shared" si="10"/>
        <v>18</v>
      </c>
      <c r="K51" s="171">
        <f t="shared" si="8"/>
        <v>18000</v>
      </c>
      <c r="L51" s="172"/>
    </row>
    <row r="52" spans="2:12" ht="15" customHeight="1" x14ac:dyDescent="0.3">
      <c r="B52" s="212">
        <v>46022</v>
      </c>
      <c r="C52" s="13">
        <v>1277</v>
      </c>
      <c r="D52" s="170">
        <f t="shared" si="9"/>
        <v>38</v>
      </c>
      <c r="E52" s="171">
        <f t="shared" si="7"/>
        <v>38000</v>
      </c>
      <c r="F52" s="225" t="s">
        <v>158</v>
      </c>
      <c r="H52" s="212">
        <v>46022</v>
      </c>
      <c r="I52" s="13">
        <v>7835</v>
      </c>
      <c r="J52" s="170">
        <f t="shared" si="10"/>
        <v>6</v>
      </c>
      <c r="K52" s="171">
        <f t="shared" si="8"/>
        <v>6000</v>
      </c>
      <c r="L52" s="225" t="s">
        <v>159</v>
      </c>
    </row>
    <row r="53" spans="2:12" ht="15" customHeight="1" x14ac:dyDescent="0.3">
      <c r="B53" s="212">
        <v>46024</v>
      </c>
      <c r="C53" s="13">
        <v>1337</v>
      </c>
      <c r="D53" s="170">
        <f t="shared" si="9"/>
        <v>60</v>
      </c>
      <c r="E53" s="171">
        <f t="shared" si="7"/>
        <v>60000</v>
      </c>
      <c r="F53" s="225"/>
      <c r="H53" s="212">
        <v>46024</v>
      </c>
      <c r="I53" s="13">
        <v>7857</v>
      </c>
      <c r="J53" s="170">
        <f t="shared" si="10"/>
        <v>22</v>
      </c>
      <c r="K53" s="171">
        <f t="shared" si="8"/>
        <v>22000</v>
      </c>
      <c r="L53" s="225"/>
    </row>
    <row r="54" spans="2:12" ht="15" customHeight="1" x14ac:dyDescent="0.3">
      <c r="B54" s="212">
        <v>46025</v>
      </c>
      <c r="C54" s="13">
        <v>1368</v>
      </c>
      <c r="D54" s="170">
        <f t="shared" si="9"/>
        <v>31</v>
      </c>
      <c r="E54" s="171">
        <f t="shared" si="7"/>
        <v>31000</v>
      </c>
      <c r="F54" s="172"/>
      <c r="H54" s="212">
        <v>46025</v>
      </c>
      <c r="I54" s="13">
        <v>7871</v>
      </c>
      <c r="J54" s="170">
        <f t="shared" si="10"/>
        <v>14</v>
      </c>
      <c r="K54" s="171">
        <f t="shared" si="8"/>
        <v>14000</v>
      </c>
      <c r="L54" s="172"/>
    </row>
    <row r="55" spans="2:12" ht="15" customHeight="1" x14ac:dyDescent="0.3">
      <c r="B55" s="212">
        <v>46026</v>
      </c>
      <c r="C55" s="13">
        <v>1388</v>
      </c>
      <c r="D55" s="170">
        <f t="shared" si="9"/>
        <v>20</v>
      </c>
      <c r="E55" s="171">
        <f t="shared" si="7"/>
        <v>20000</v>
      </c>
      <c r="F55" s="172"/>
      <c r="H55" s="212">
        <v>46026</v>
      </c>
      <c r="I55" s="13">
        <v>7881</v>
      </c>
      <c r="J55" s="170">
        <f t="shared" si="10"/>
        <v>10</v>
      </c>
      <c r="K55" s="171">
        <f t="shared" si="8"/>
        <v>10000</v>
      </c>
      <c r="L55" s="172"/>
    </row>
    <row r="56" spans="2:12" ht="15" customHeight="1" x14ac:dyDescent="0.3">
      <c r="B56" s="213">
        <v>46027</v>
      </c>
      <c r="C56" s="46">
        <v>1401</v>
      </c>
      <c r="D56" s="170">
        <f t="shared" si="9"/>
        <v>13</v>
      </c>
      <c r="E56" s="171">
        <f t="shared" si="7"/>
        <v>13000</v>
      </c>
      <c r="F56" s="51"/>
      <c r="H56" s="213">
        <v>46027</v>
      </c>
      <c r="I56" s="46">
        <v>7883</v>
      </c>
      <c r="J56" s="170">
        <f t="shared" si="10"/>
        <v>2</v>
      </c>
      <c r="K56" s="171">
        <f t="shared" si="8"/>
        <v>2000</v>
      </c>
      <c r="L56" s="51"/>
    </row>
    <row r="57" spans="2:12" ht="15" customHeight="1" x14ac:dyDescent="0.3">
      <c r="B57" s="213">
        <v>46030</v>
      </c>
      <c r="C57" s="46">
        <v>1432</v>
      </c>
      <c r="D57" s="170">
        <f t="shared" si="9"/>
        <v>31</v>
      </c>
      <c r="E57" s="171">
        <f t="shared" si="7"/>
        <v>31000</v>
      </c>
      <c r="F57" s="172"/>
      <c r="H57" s="213">
        <v>46030</v>
      </c>
      <c r="I57" s="46">
        <v>7897</v>
      </c>
      <c r="J57" s="170">
        <f t="shared" si="10"/>
        <v>14</v>
      </c>
      <c r="K57" s="171">
        <f t="shared" si="8"/>
        <v>14000</v>
      </c>
      <c r="L57" s="172"/>
    </row>
    <row r="58" spans="2:12" ht="15" customHeight="1" x14ac:dyDescent="0.3">
      <c r="B58" s="213">
        <v>46032</v>
      </c>
      <c r="C58" s="46">
        <v>1445</v>
      </c>
      <c r="D58" s="170">
        <f>IF(C58="","",C58-C57)</f>
        <v>13</v>
      </c>
      <c r="E58" s="171">
        <f>IF(C58="","",D58*1000)</f>
        <v>13000</v>
      </c>
      <c r="F58" s="51"/>
      <c r="H58" s="213">
        <v>46032</v>
      </c>
      <c r="I58" s="46">
        <v>7901</v>
      </c>
      <c r="J58" s="170">
        <f t="shared" si="10"/>
        <v>4</v>
      </c>
      <c r="K58" s="171">
        <f>IF(I58="","",J58*1000)</f>
        <v>4000</v>
      </c>
      <c r="L58" s="51"/>
    </row>
    <row r="59" spans="2:12" ht="15" customHeight="1" x14ac:dyDescent="0.3">
      <c r="B59" s="213">
        <v>46034</v>
      </c>
      <c r="C59" s="46">
        <v>1479</v>
      </c>
      <c r="D59" s="170">
        <f>IF(C59="","",C59-C58)</f>
        <v>34</v>
      </c>
      <c r="E59" s="171">
        <f>IF(C59="","",D59*1000)</f>
        <v>34000</v>
      </c>
      <c r="F59" s="51"/>
      <c r="H59" s="213">
        <v>46034</v>
      </c>
      <c r="I59" s="46">
        <v>7909</v>
      </c>
      <c r="J59" s="170">
        <f t="shared" si="10"/>
        <v>8</v>
      </c>
      <c r="K59" s="171">
        <f>IF(I59="","",J59*1000)</f>
        <v>8000</v>
      </c>
      <c r="L59" s="51"/>
    </row>
    <row r="60" spans="2:12" ht="15" customHeight="1" thickBot="1" x14ac:dyDescent="0.35">
      <c r="B60" s="214">
        <v>46036</v>
      </c>
      <c r="C60" s="39">
        <v>1491</v>
      </c>
      <c r="D60" s="240">
        <f>IF(C60="","",C60-C57)</f>
        <v>59</v>
      </c>
      <c r="E60" s="223">
        <f t="shared" si="7"/>
        <v>59000</v>
      </c>
      <c r="F60" s="176"/>
      <c r="H60" s="214">
        <v>46036</v>
      </c>
      <c r="I60" s="39">
        <v>7913</v>
      </c>
      <c r="J60" s="240">
        <f>IF(I60="","",I60-I57)</f>
        <v>16</v>
      </c>
      <c r="K60" s="223">
        <f t="shared" si="8"/>
        <v>16000</v>
      </c>
      <c r="L60" s="176"/>
    </row>
    <row r="61" spans="2:12" ht="15" customHeight="1" thickBot="1" x14ac:dyDescent="0.35">
      <c r="B61" s="15"/>
      <c r="C61" s="16"/>
      <c r="D61" s="16">
        <f>SUM(D48:D60)</f>
        <v>350</v>
      </c>
      <c r="E61" s="17">
        <f>SUM(E48:E60)</f>
        <v>350000</v>
      </c>
      <c r="F61" s="176"/>
      <c r="H61" s="15"/>
      <c r="I61" s="16"/>
      <c r="J61" s="16">
        <f>SUM(J48:J60)</f>
        <v>184</v>
      </c>
      <c r="K61" s="17">
        <f>SUM(K48:K60)</f>
        <v>184000</v>
      </c>
      <c r="L61" s="176"/>
    </row>
    <row r="63" spans="2:12" ht="15" customHeight="1" thickBot="1" x14ac:dyDescent="0.35">
      <c r="B63" s="201" t="s">
        <v>148</v>
      </c>
      <c r="C63" s="5"/>
      <c r="D63" s="5"/>
      <c r="E63" s="5"/>
      <c r="F63" s="26"/>
      <c r="H63" s="642" t="s">
        <v>154</v>
      </c>
      <c r="I63" s="5"/>
      <c r="J63" s="5"/>
      <c r="K63" s="5"/>
      <c r="L63" s="26"/>
    </row>
    <row r="64" spans="2:12" ht="15" customHeight="1" thickBot="1" x14ac:dyDescent="0.25">
      <c r="B64" s="7" t="s">
        <v>142</v>
      </c>
      <c r="C64" s="8" t="s">
        <v>143</v>
      </c>
      <c r="D64" s="8" t="s">
        <v>144</v>
      </c>
      <c r="E64" s="8" t="s">
        <v>145</v>
      </c>
      <c r="F64" s="9" t="s">
        <v>146</v>
      </c>
      <c r="H64" s="7" t="s">
        <v>142</v>
      </c>
      <c r="I64" s="8" t="s">
        <v>143</v>
      </c>
      <c r="J64" s="8" t="s">
        <v>144</v>
      </c>
      <c r="K64" s="8" t="s">
        <v>145</v>
      </c>
      <c r="L64" s="9" t="s">
        <v>146</v>
      </c>
    </row>
    <row r="65" spans="2:12" ht="15" customHeight="1" x14ac:dyDescent="0.3">
      <c r="B65" s="213">
        <v>46038</v>
      </c>
      <c r="C65" s="46">
        <v>1499</v>
      </c>
      <c r="D65" s="170">
        <f>IF(C65="","",C65-C60)</f>
        <v>8</v>
      </c>
      <c r="E65" s="171">
        <f t="shared" ref="E65:E77" si="11">IF(C65="","",D65*1000)</f>
        <v>8000</v>
      </c>
      <c r="F65" s="172"/>
      <c r="H65" s="213">
        <v>46038</v>
      </c>
      <c r="I65" s="46">
        <v>7923</v>
      </c>
      <c r="J65" s="170">
        <f>IF(I65="","",I65-I60)</f>
        <v>10</v>
      </c>
      <c r="K65" s="171">
        <f t="shared" ref="K65:K77" si="12">IF(I65="","",J65*1000)</f>
        <v>10000</v>
      </c>
      <c r="L65" s="172"/>
    </row>
    <row r="66" spans="2:12" ht="15" customHeight="1" x14ac:dyDescent="0.3">
      <c r="B66" s="212">
        <v>46044</v>
      </c>
      <c r="C66" s="13">
        <v>1521</v>
      </c>
      <c r="D66" s="170">
        <f t="shared" ref="D66:D76" si="13">IF(C66="","",C66-C65)</f>
        <v>22</v>
      </c>
      <c r="E66" s="171">
        <f t="shared" si="11"/>
        <v>22000</v>
      </c>
      <c r="F66" s="172"/>
      <c r="G66" s="215"/>
      <c r="H66" s="661">
        <f t="shared" ref="H66:H72" si="14">IF(B66="","",B66)</f>
        <v>46044</v>
      </c>
      <c r="I66" s="660">
        <v>7935</v>
      </c>
      <c r="J66" s="170">
        <f t="shared" ref="J66:J76" si="15">IF(I66="","",I66-I65)</f>
        <v>12</v>
      </c>
      <c r="K66" s="171">
        <f t="shared" si="12"/>
        <v>12000</v>
      </c>
      <c r="L66" s="172" t="s">
        <v>131</v>
      </c>
    </row>
    <row r="67" spans="2:12" ht="15" customHeight="1" x14ac:dyDescent="0.35">
      <c r="B67" s="212">
        <v>46046</v>
      </c>
      <c r="C67" s="13">
        <v>1574</v>
      </c>
      <c r="D67" s="170">
        <f t="shared" si="13"/>
        <v>53</v>
      </c>
      <c r="E67" s="171">
        <f t="shared" si="11"/>
        <v>53000</v>
      </c>
      <c r="F67" s="191"/>
      <c r="H67" s="661">
        <f t="shared" si="14"/>
        <v>46046</v>
      </c>
      <c r="I67" s="13">
        <v>7937</v>
      </c>
      <c r="J67" s="170">
        <f t="shared" si="15"/>
        <v>2</v>
      </c>
      <c r="K67" s="171">
        <f t="shared" si="12"/>
        <v>2000</v>
      </c>
      <c r="L67" s="191"/>
    </row>
    <row r="68" spans="2:12" ht="15" customHeight="1" x14ac:dyDescent="0.3">
      <c r="B68" s="212">
        <v>46048</v>
      </c>
      <c r="C68" s="13">
        <v>1591</v>
      </c>
      <c r="D68" s="170">
        <f t="shared" si="13"/>
        <v>17</v>
      </c>
      <c r="E68" s="171">
        <f t="shared" si="11"/>
        <v>17000</v>
      </c>
      <c r="F68" s="172"/>
      <c r="H68" s="661">
        <f t="shared" si="14"/>
        <v>46048</v>
      </c>
      <c r="I68" s="13">
        <v>7947</v>
      </c>
      <c r="J68" s="170">
        <f t="shared" si="15"/>
        <v>10</v>
      </c>
      <c r="K68" s="171">
        <f t="shared" si="12"/>
        <v>10000</v>
      </c>
      <c r="L68" s="172"/>
    </row>
    <row r="69" spans="2:12" ht="15" customHeight="1" x14ac:dyDescent="0.3">
      <c r="B69" s="212">
        <v>46052</v>
      </c>
      <c r="C69" s="13">
        <v>1603</v>
      </c>
      <c r="D69" s="170">
        <f t="shared" si="13"/>
        <v>12</v>
      </c>
      <c r="E69" s="171">
        <f t="shared" si="11"/>
        <v>12000</v>
      </c>
      <c r="F69" s="225" t="s">
        <v>160</v>
      </c>
      <c r="H69" s="661">
        <f t="shared" si="14"/>
        <v>46052</v>
      </c>
      <c r="I69" s="13">
        <v>7947</v>
      </c>
      <c r="J69" s="170">
        <f t="shared" si="15"/>
        <v>0</v>
      </c>
      <c r="K69" s="171">
        <f t="shared" si="12"/>
        <v>0</v>
      </c>
      <c r="L69" s="225"/>
    </row>
    <row r="70" spans="2:12" ht="15" customHeight="1" x14ac:dyDescent="0.3">
      <c r="B70" s="212">
        <v>46055</v>
      </c>
      <c r="C70" s="13">
        <v>1628</v>
      </c>
      <c r="D70" s="170">
        <f t="shared" si="13"/>
        <v>25</v>
      </c>
      <c r="E70" s="171">
        <f t="shared" si="11"/>
        <v>25000</v>
      </c>
      <c r="F70" s="225"/>
      <c r="H70" s="661">
        <f t="shared" si="14"/>
        <v>46055</v>
      </c>
      <c r="I70" s="13">
        <v>7955</v>
      </c>
      <c r="J70" s="170">
        <f t="shared" si="15"/>
        <v>8</v>
      </c>
      <c r="K70" s="171">
        <f t="shared" si="12"/>
        <v>8000</v>
      </c>
      <c r="L70" s="225"/>
    </row>
    <row r="71" spans="2:12" ht="15" customHeight="1" x14ac:dyDescent="0.3">
      <c r="B71" s="212">
        <v>46059</v>
      </c>
      <c r="C71" s="13">
        <v>1636</v>
      </c>
      <c r="D71" s="170">
        <f t="shared" si="13"/>
        <v>8</v>
      </c>
      <c r="E71" s="171">
        <f t="shared" si="11"/>
        <v>8000</v>
      </c>
      <c r="F71" s="172"/>
      <c r="H71" s="661">
        <f t="shared" si="14"/>
        <v>46059</v>
      </c>
      <c r="I71" s="13">
        <v>7961</v>
      </c>
      <c r="J71" s="170">
        <f t="shared" si="15"/>
        <v>6</v>
      </c>
      <c r="K71" s="171">
        <f t="shared" si="12"/>
        <v>6000</v>
      </c>
      <c r="L71" s="172"/>
    </row>
    <row r="72" spans="2:12" ht="15" customHeight="1" x14ac:dyDescent="0.3">
      <c r="B72" s="212">
        <v>46062</v>
      </c>
      <c r="C72" s="13">
        <v>1647</v>
      </c>
      <c r="D72" s="170">
        <f t="shared" si="13"/>
        <v>11</v>
      </c>
      <c r="E72" s="171">
        <f t="shared" si="11"/>
        <v>11000</v>
      </c>
      <c r="F72" s="172"/>
      <c r="H72" s="661">
        <f t="shared" si="14"/>
        <v>46062</v>
      </c>
      <c r="I72" s="13">
        <v>7963</v>
      </c>
      <c r="J72" s="170">
        <f t="shared" si="15"/>
        <v>2</v>
      </c>
      <c r="K72" s="171">
        <f t="shared" si="12"/>
        <v>2000</v>
      </c>
      <c r="L72" s="172"/>
    </row>
    <row r="73" spans="2:12" ht="15" customHeight="1" x14ac:dyDescent="0.3">
      <c r="B73" s="213"/>
      <c r="C73" s="46"/>
      <c r="D73" s="170"/>
      <c r="E73" s="171"/>
      <c r="F73" s="51"/>
      <c r="H73" s="661"/>
      <c r="I73" s="46"/>
      <c r="J73" s="170"/>
      <c r="K73" s="171"/>
      <c r="L73" s="51"/>
    </row>
    <row r="74" spans="2:12" ht="15" customHeight="1" x14ac:dyDescent="0.3">
      <c r="B74" s="213"/>
      <c r="C74" s="46"/>
      <c r="D74" s="170"/>
      <c r="E74" s="171"/>
      <c r="F74" s="172"/>
      <c r="H74" s="661"/>
      <c r="I74" s="46"/>
      <c r="J74" s="170"/>
      <c r="K74" s="171"/>
      <c r="L74" s="172"/>
    </row>
    <row r="75" spans="2:12" ht="15" customHeight="1" x14ac:dyDescent="0.3">
      <c r="B75" s="213"/>
      <c r="C75" s="46"/>
      <c r="D75" s="170"/>
      <c r="E75" s="171"/>
      <c r="F75" s="51"/>
      <c r="H75" s="661"/>
      <c r="I75" s="46"/>
      <c r="J75" s="170"/>
      <c r="K75" s="171"/>
      <c r="L75" s="51"/>
    </row>
    <row r="76" spans="2:12" ht="15" customHeight="1" x14ac:dyDescent="0.3">
      <c r="B76" s="213"/>
      <c r="C76" s="46"/>
      <c r="D76" s="170" t="str">
        <f t="shared" si="13"/>
        <v/>
      </c>
      <c r="E76" s="171" t="str">
        <f t="shared" si="11"/>
        <v/>
      </c>
      <c r="F76" s="51"/>
      <c r="H76" s="664" t="str">
        <f>IF(B76="","",B76)</f>
        <v/>
      </c>
      <c r="I76" s="46"/>
      <c r="J76" s="170" t="str">
        <f t="shared" si="15"/>
        <v/>
      </c>
      <c r="K76" s="171" t="str">
        <f t="shared" si="12"/>
        <v/>
      </c>
      <c r="L76" s="51"/>
    </row>
    <row r="77" spans="2:12" ht="15" customHeight="1" thickBot="1" x14ac:dyDescent="0.35">
      <c r="B77" s="214"/>
      <c r="C77" s="39"/>
      <c r="D77" s="240" t="str">
        <f>IF(C77="","",C77-C74)</f>
        <v/>
      </c>
      <c r="E77" s="223" t="str">
        <f t="shared" si="11"/>
        <v/>
      </c>
      <c r="F77" s="176"/>
      <c r="G77" s="215"/>
      <c r="H77" s="662" t="str">
        <f>IF(B77="","",B77)</f>
        <v/>
      </c>
      <c r="I77" s="663"/>
      <c r="J77" s="240" t="str">
        <f>IF(I77="","",I77-I74)</f>
        <v/>
      </c>
      <c r="K77" s="223" t="str">
        <f t="shared" si="12"/>
        <v/>
      </c>
      <c r="L77" s="176"/>
    </row>
    <row r="78" spans="2:12" ht="15" customHeight="1" thickBot="1" x14ac:dyDescent="0.35">
      <c r="B78" s="15"/>
      <c r="C78" s="16"/>
      <c r="D78" s="16">
        <f>SUM(D65:D77)</f>
        <v>156</v>
      </c>
      <c r="E78" s="17">
        <f>SUM(E65:E77)</f>
        <v>156000</v>
      </c>
      <c r="F78" s="176"/>
      <c r="H78" s="15"/>
      <c r="I78" s="16"/>
      <c r="J78" s="16">
        <f>SUM(J65:J77)</f>
        <v>50</v>
      </c>
      <c r="K78" s="17">
        <f>SUM(K65:K77)</f>
        <v>50000</v>
      </c>
      <c r="L78" s="176"/>
    </row>
    <row r="80" spans="2:12" ht="15" customHeight="1" thickBot="1" x14ac:dyDescent="0.35">
      <c r="B80" s="201" t="s">
        <v>148</v>
      </c>
      <c r="C80" s="5"/>
      <c r="D80" s="5"/>
      <c r="E80" s="5"/>
      <c r="F80" s="26"/>
      <c r="H80" s="642" t="s">
        <v>154</v>
      </c>
      <c r="I80" s="5"/>
      <c r="J80" s="5"/>
      <c r="K80" s="5"/>
      <c r="L80" s="26"/>
    </row>
    <row r="81" spans="2:12" ht="15" customHeight="1" thickBot="1" x14ac:dyDescent="0.25">
      <c r="B81" s="7" t="s">
        <v>142</v>
      </c>
      <c r="C81" s="8" t="s">
        <v>143</v>
      </c>
      <c r="D81" s="8" t="s">
        <v>144</v>
      </c>
      <c r="E81" s="8" t="s">
        <v>145</v>
      </c>
      <c r="F81" s="9" t="s">
        <v>146</v>
      </c>
      <c r="H81" s="7" t="s">
        <v>142</v>
      </c>
      <c r="I81" s="8" t="s">
        <v>143</v>
      </c>
      <c r="J81" s="8" t="s">
        <v>144</v>
      </c>
      <c r="K81" s="8" t="s">
        <v>145</v>
      </c>
      <c r="L81" s="9" t="s">
        <v>146</v>
      </c>
    </row>
    <row r="82" spans="2:12" ht="15" customHeight="1" x14ac:dyDescent="0.3">
      <c r="B82" s="213">
        <v>46065</v>
      </c>
      <c r="C82" s="46">
        <v>1658</v>
      </c>
      <c r="D82" s="170">
        <v>11</v>
      </c>
      <c r="E82" s="171">
        <v>11000</v>
      </c>
      <c r="F82" s="172"/>
      <c r="H82" s="213">
        <v>46065</v>
      </c>
      <c r="I82" s="46">
        <v>7967</v>
      </c>
      <c r="J82" s="170">
        <v>4</v>
      </c>
      <c r="K82" s="171">
        <v>4000</v>
      </c>
      <c r="L82" s="172"/>
    </row>
    <row r="83" spans="2:12" ht="15" customHeight="1" x14ac:dyDescent="0.3">
      <c r="B83" s="213">
        <v>46069</v>
      </c>
      <c r="C83" s="46">
        <v>1671</v>
      </c>
      <c r="D83" s="170">
        <f t="shared" ref="D83:D93" si="16">IF(C83="","",C83-C82)</f>
        <v>13</v>
      </c>
      <c r="E83" s="171">
        <f t="shared" ref="E83:E94" si="17">IF(C83="","",D83*1000)</f>
        <v>13000</v>
      </c>
      <c r="F83" s="172"/>
      <c r="H83" s="661">
        <f t="shared" ref="H83:H94" si="18">IF(B83="","",B83)</f>
        <v>46069</v>
      </c>
      <c r="I83" s="46">
        <v>7971</v>
      </c>
      <c r="J83" s="170">
        <f t="shared" ref="J83:J93" si="19">IF(I83="","",I83-I82)</f>
        <v>4</v>
      </c>
      <c r="K83" s="171">
        <f t="shared" ref="K83:K94" si="20">IF(I83="","",J83*1000)</f>
        <v>4000</v>
      </c>
      <c r="L83" s="172"/>
    </row>
    <row r="84" spans="2:12" ht="15" customHeight="1" x14ac:dyDescent="0.3">
      <c r="B84" s="213">
        <v>46073</v>
      </c>
      <c r="C84" s="46">
        <v>1681</v>
      </c>
      <c r="D84" s="170">
        <f t="shared" si="16"/>
        <v>10</v>
      </c>
      <c r="E84" s="171">
        <f t="shared" si="17"/>
        <v>10000</v>
      </c>
      <c r="F84" s="172"/>
      <c r="H84" s="661">
        <f t="shared" si="18"/>
        <v>46073</v>
      </c>
      <c r="I84" s="46">
        <v>7985</v>
      </c>
      <c r="J84" s="170">
        <f t="shared" si="19"/>
        <v>14</v>
      </c>
      <c r="K84" s="171">
        <f t="shared" si="20"/>
        <v>14000</v>
      </c>
      <c r="L84" s="51"/>
    </row>
    <row r="85" spans="2:12" ht="15" customHeight="1" x14ac:dyDescent="0.3">
      <c r="B85" s="212">
        <v>46083</v>
      </c>
      <c r="C85" s="13">
        <v>1711</v>
      </c>
      <c r="D85" s="170">
        <f t="shared" si="16"/>
        <v>30</v>
      </c>
      <c r="E85" s="171">
        <f t="shared" si="17"/>
        <v>30000</v>
      </c>
      <c r="F85" s="172"/>
      <c r="H85" s="661">
        <f t="shared" si="18"/>
        <v>46083</v>
      </c>
      <c r="I85" s="13">
        <v>8001</v>
      </c>
      <c r="J85" s="170">
        <f t="shared" si="19"/>
        <v>16</v>
      </c>
      <c r="K85" s="171">
        <f t="shared" si="20"/>
        <v>16000</v>
      </c>
      <c r="L85" s="172"/>
    </row>
    <row r="86" spans="2:12" ht="15" customHeight="1" x14ac:dyDescent="0.3">
      <c r="B86" s="212">
        <v>46087</v>
      </c>
      <c r="C86" s="13">
        <v>1725</v>
      </c>
      <c r="D86" s="170">
        <f t="shared" si="16"/>
        <v>14</v>
      </c>
      <c r="E86" s="171">
        <f t="shared" si="17"/>
        <v>14000</v>
      </c>
      <c r="F86" s="666" t="s">
        <v>161</v>
      </c>
      <c r="H86" s="661">
        <f t="shared" si="18"/>
        <v>46087</v>
      </c>
      <c r="I86" s="13">
        <v>8003</v>
      </c>
      <c r="J86" s="170">
        <f t="shared" si="19"/>
        <v>2</v>
      </c>
      <c r="K86" s="171">
        <f t="shared" si="20"/>
        <v>2000</v>
      </c>
      <c r="L86" s="225"/>
    </row>
    <row r="87" spans="2:12" ht="15" customHeight="1" x14ac:dyDescent="0.3">
      <c r="B87" s="212">
        <v>46090</v>
      </c>
      <c r="C87" s="13">
        <v>1740</v>
      </c>
      <c r="D87" s="170">
        <f t="shared" si="16"/>
        <v>15</v>
      </c>
      <c r="E87" s="171">
        <f t="shared" si="17"/>
        <v>15000</v>
      </c>
      <c r="F87" s="666" t="s">
        <v>161</v>
      </c>
      <c r="H87" s="661">
        <f t="shared" si="18"/>
        <v>46090</v>
      </c>
      <c r="I87" s="13">
        <v>8021</v>
      </c>
      <c r="J87" s="170">
        <f t="shared" si="19"/>
        <v>18</v>
      </c>
      <c r="K87" s="171">
        <f t="shared" si="20"/>
        <v>18000</v>
      </c>
      <c r="L87" s="225"/>
    </row>
    <row r="88" spans="2:12" ht="15" customHeight="1" x14ac:dyDescent="0.3">
      <c r="B88" s="690"/>
      <c r="C88" s="691"/>
      <c r="D88" s="692"/>
      <c r="E88" s="693"/>
      <c r="F88" s="226"/>
      <c r="H88" s="661" t="str">
        <f t="shared" si="18"/>
        <v/>
      </c>
      <c r="I88" s="13"/>
      <c r="J88" s="170" t="str">
        <f t="shared" si="19"/>
        <v/>
      </c>
      <c r="K88" s="171" t="str">
        <f t="shared" si="20"/>
        <v/>
      </c>
      <c r="L88" s="172"/>
    </row>
    <row r="89" spans="2:12" ht="15" customHeight="1" x14ac:dyDescent="0.3">
      <c r="B89" s="690"/>
      <c r="C89" s="691"/>
      <c r="D89" s="692"/>
      <c r="E89" s="693"/>
      <c r="F89" s="226"/>
      <c r="H89" s="661" t="str">
        <f t="shared" si="18"/>
        <v/>
      </c>
      <c r="I89" s="13"/>
      <c r="J89" s="170" t="str">
        <f t="shared" si="19"/>
        <v/>
      </c>
      <c r="K89" s="171" t="str">
        <f t="shared" si="20"/>
        <v/>
      </c>
      <c r="L89" s="172"/>
    </row>
    <row r="90" spans="2:12" ht="15" customHeight="1" x14ac:dyDescent="0.3">
      <c r="B90" s="213"/>
      <c r="C90" s="46"/>
      <c r="D90" s="170" t="str">
        <f t="shared" si="16"/>
        <v/>
      </c>
      <c r="E90" s="171" t="str">
        <f t="shared" si="17"/>
        <v/>
      </c>
      <c r="F90" s="51"/>
      <c r="H90" s="661" t="str">
        <f t="shared" si="18"/>
        <v/>
      </c>
      <c r="I90" s="46"/>
      <c r="J90" s="170" t="str">
        <f t="shared" si="19"/>
        <v/>
      </c>
      <c r="K90" s="171" t="str">
        <f t="shared" si="20"/>
        <v/>
      </c>
      <c r="L90" s="51"/>
    </row>
    <row r="91" spans="2:12" ht="15" customHeight="1" x14ac:dyDescent="0.3">
      <c r="B91" s="213"/>
      <c r="C91" s="46"/>
      <c r="D91" s="170" t="str">
        <f t="shared" si="16"/>
        <v/>
      </c>
      <c r="E91" s="171" t="str">
        <f t="shared" si="17"/>
        <v/>
      </c>
      <c r="F91" s="172"/>
      <c r="H91" s="661" t="str">
        <f t="shared" si="18"/>
        <v/>
      </c>
      <c r="I91" s="46"/>
      <c r="J91" s="170" t="str">
        <f t="shared" si="19"/>
        <v/>
      </c>
      <c r="K91" s="171" t="str">
        <f t="shared" si="20"/>
        <v/>
      </c>
      <c r="L91" s="172"/>
    </row>
    <row r="92" spans="2:12" ht="15" customHeight="1" x14ac:dyDescent="0.3">
      <c r="B92" s="213"/>
      <c r="C92" s="46"/>
      <c r="D92" s="170" t="str">
        <f t="shared" si="16"/>
        <v/>
      </c>
      <c r="E92" s="171" t="str">
        <f t="shared" si="17"/>
        <v/>
      </c>
      <c r="F92" s="51"/>
      <c r="H92" s="661" t="str">
        <f t="shared" si="18"/>
        <v/>
      </c>
      <c r="I92" s="46"/>
      <c r="J92" s="170" t="str">
        <f t="shared" si="19"/>
        <v/>
      </c>
      <c r="K92" s="171" t="str">
        <f t="shared" si="20"/>
        <v/>
      </c>
      <c r="L92" s="51"/>
    </row>
    <row r="93" spans="2:12" ht="15" customHeight="1" x14ac:dyDescent="0.3">
      <c r="B93" s="213"/>
      <c r="C93" s="46"/>
      <c r="D93" s="170" t="str">
        <f t="shared" si="16"/>
        <v/>
      </c>
      <c r="E93" s="171" t="str">
        <f t="shared" si="17"/>
        <v/>
      </c>
      <c r="F93" s="51"/>
      <c r="H93" s="664" t="str">
        <f t="shared" si="18"/>
        <v/>
      </c>
      <c r="I93" s="46"/>
      <c r="J93" s="170" t="str">
        <f t="shared" si="19"/>
        <v/>
      </c>
      <c r="K93" s="171" t="str">
        <f t="shared" si="20"/>
        <v/>
      </c>
      <c r="L93" s="51"/>
    </row>
    <row r="94" spans="2:12" ht="15" customHeight="1" thickBot="1" x14ac:dyDescent="0.35">
      <c r="B94" s="214"/>
      <c r="C94" s="39"/>
      <c r="D94" s="240" t="str">
        <f>IF(C94="","",C94-C91)</f>
        <v/>
      </c>
      <c r="E94" s="223" t="str">
        <f t="shared" si="17"/>
        <v/>
      </c>
      <c r="F94" s="176"/>
      <c r="H94" s="662" t="str">
        <f t="shared" si="18"/>
        <v/>
      </c>
      <c r="I94" s="663"/>
      <c r="J94" s="240" t="str">
        <f>IF(I94="","",I94-I91)</f>
        <v/>
      </c>
      <c r="K94" s="223" t="str">
        <f t="shared" si="20"/>
        <v/>
      </c>
      <c r="L94" s="176"/>
    </row>
    <row r="95" spans="2:12" ht="15" customHeight="1" thickBot="1" x14ac:dyDescent="0.35">
      <c r="B95" s="15"/>
      <c r="C95" s="16"/>
      <c r="D95" s="16">
        <f>SUM(D82:D94)</f>
        <v>93</v>
      </c>
      <c r="E95" s="17">
        <f>SUM(E82:E94)</f>
        <v>93000</v>
      </c>
      <c r="F95" s="176"/>
      <c r="H95" s="15"/>
      <c r="I95" s="16"/>
      <c r="J95" s="16">
        <f>SUM(J82:J94)</f>
        <v>58</v>
      </c>
      <c r="K95" s="17">
        <f>SUM(K82:K94)</f>
        <v>58000</v>
      </c>
      <c r="L95" s="176"/>
    </row>
    <row r="97" spans="2:12" ht="15" customHeight="1" thickBot="1" x14ac:dyDescent="0.35">
      <c r="B97" s="201" t="s">
        <v>148</v>
      </c>
      <c r="C97" s="5"/>
      <c r="D97" s="5"/>
      <c r="E97" s="5"/>
      <c r="F97" s="26"/>
      <c r="H97" s="642" t="s">
        <v>154</v>
      </c>
      <c r="I97" s="5"/>
      <c r="J97" s="5"/>
      <c r="K97" s="5"/>
      <c r="L97" s="26"/>
    </row>
    <row r="98" spans="2:12" ht="15" customHeight="1" thickBot="1" x14ac:dyDescent="0.25">
      <c r="B98" s="7" t="s">
        <v>142</v>
      </c>
      <c r="C98" s="8" t="s">
        <v>143</v>
      </c>
      <c r="D98" s="8" t="s">
        <v>144</v>
      </c>
      <c r="E98" s="8" t="s">
        <v>145</v>
      </c>
      <c r="F98" s="9" t="s">
        <v>146</v>
      </c>
      <c r="H98" s="7" t="s">
        <v>142</v>
      </c>
      <c r="I98" s="8" t="s">
        <v>143</v>
      </c>
      <c r="J98" s="8" t="s">
        <v>144</v>
      </c>
      <c r="K98" s="8" t="s">
        <v>145</v>
      </c>
      <c r="L98" s="9" t="s">
        <v>146</v>
      </c>
    </row>
    <row r="99" spans="2:12" ht="15" customHeight="1" x14ac:dyDescent="0.3">
      <c r="B99" s="213">
        <v>46094</v>
      </c>
      <c r="C99" s="46">
        <v>1749</v>
      </c>
      <c r="D99" s="170">
        <f>IF(C99="","",C99-C87)</f>
        <v>9</v>
      </c>
      <c r="E99" s="171">
        <f t="shared" ref="E99:E107" si="21">IF(C99="","",D99*1000)</f>
        <v>9000</v>
      </c>
      <c r="F99" s="172"/>
      <c r="H99" s="213">
        <v>46065</v>
      </c>
      <c r="I99" s="46">
        <v>8031</v>
      </c>
      <c r="J99" s="170">
        <v>4</v>
      </c>
      <c r="K99" s="171">
        <v>4000</v>
      </c>
      <c r="L99" s="172"/>
    </row>
    <row r="100" spans="2:12" ht="15" customHeight="1" x14ac:dyDescent="0.3">
      <c r="B100" s="213">
        <v>46097</v>
      </c>
      <c r="C100" s="46">
        <v>1762</v>
      </c>
      <c r="D100" s="170">
        <f t="shared" ref="D100:D107" si="22">IF(C100="","",C100-C99)</f>
        <v>13</v>
      </c>
      <c r="E100" s="171">
        <f t="shared" si="21"/>
        <v>13000</v>
      </c>
      <c r="F100" s="172"/>
      <c r="H100" s="661">
        <f t="shared" ref="H100:H107" si="23">IF(B100="","",B100)</f>
        <v>46097</v>
      </c>
      <c r="I100" s="46">
        <v>8037</v>
      </c>
      <c r="J100" s="170">
        <f t="shared" ref="J100:J107" si="24">IF(I100="","",I100-I99)</f>
        <v>6</v>
      </c>
      <c r="K100" s="171">
        <f t="shared" ref="K100:K107" si="25">IF(I100="","",J100*1000)</f>
        <v>6000</v>
      </c>
      <c r="L100" s="172"/>
    </row>
    <row r="101" spans="2:12" ht="15" customHeight="1" x14ac:dyDescent="0.3">
      <c r="B101" s="213">
        <v>46101</v>
      </c>
      <c r="C101" s="46">
        <v>1768</v>
      </c>
      <c r="D101" s="170">
        <f t="shared" si="22"/>
        <v>6</v>
      </c>
      <c r="E101" s="171">
        <f t="shared" si="21"/>
        <v>6000</v>
      </c>
      <c r="F101" s="172"/>
      <c r="H101" s="661">
        <f t="shared" si="23"/>
        <v>46101</v>
      </c>
      <c r="I101" s="46">
        <v>8041</v>
      </c>
      <c r="J101" s="170">
        <f t="shared" si="24"/>
        <v>4</v>
      </c>
      <c r="K101" s="171">
        <f t="shared" si="25"/>
        <v>4000</v>
      </c>
      <c r="L101" s="51"/>
    </row>
    <row r="102" spans="2:12" ht="15" customHeight="1" x14ac:dyDescent="0.3">
      <c r="B102" s="212">
        <v>46104</v>
      </c>
      <c r="C102" s="13">
        <v>1776</v>
      </c>
      <c r="D102" s="170">
        <f t="shared" si="22"/>
        <v>8</v>
      </c>
      <c r="E102" s="171">
        <f t="shared" si="21"/>
        <v>8000</v>
      </c>
      <c r="F102" s="172" t="s">
        <v>135</v>
      </c>
      <c r="H102" s="661">
        <f t="shared" si="23"/>
        <v>46104</v>
      </c>
      <c r="I102" s="13">
        <v>8045</v>
      </c>
      <c r="J102" s="170">
        <f t="shared" si="24"/>
        <v>4</v>
      </c>
      <c r="K102" s="171">
        <f t="shared" si="25"/>
        <v>4000</v>
      </c>
      <c r="L102" s="172"/>
    </row>
    <row r="103" spans="2:12" ht="15" customHeight="1" x14ac:dyDescent="0.3">
      <c r="B103" s="212">
        <v>46108</v>
      </c>
      <c r="C103" s="13">
        <v>1782</v>
      </c>
      <c r="D103" s="170">
        <f t="shared" si="22"/>
        <v>6</v>
      </c>
      <c r="E103" s="171">
        <f t="shared" si="21"/>
        <v>6000</v>
      </c>
      <c r="F103" s="172"/>
      <c r="H103" s="661">
        <f t="shared" si="23"/>
        <v>46108</v>
      </c>
      <c r="I103" s="13">
        <v>8059</v>
      </c>
      <c r="J103" s="170">
        <f t="shared" si="24"/>
        <v>14</v>
      </c>
      <c r="K103" s="171">
        <f t="shared" si="25"/>
        <v>14000</v>
      </c>
      <c r="L103" s="225"/>
    </row>
    <row r="104" spans="2:12" ht="15" customHeight="1" x14ac:dyDescent="0.3">
      <c r="B104" s="212">
        <v>46110</v>
      </c>
      <c r="C104" s="13">
        <v>1787</v>
      </c>
      <c r="D104" s="170">
        <f t="shared" si="22"/>
        <v>5</v>
      </c>
      <c r="E104" s="171">
        <f t="shared" si="21"/>
        <v>5000</v>
      </c>
      <c r="F104" s="172"/>
      <c r="H104" s="661">
        <f t="shared" si="23"/>
        <v>46110</v>
      </c>
      <c r="I104" s="13">
        <v>8067</v>
      </c>
      <c r="J104" s="170">
        <f t="shared" si="24"/>
        <v>8</v>
      </c>
      <c r="K104" s="171">
        <f t="shared" si="25"/>
        <v>8000</v>
      </c>
      <c r="L104" s="225"/>
    </row>
    <row r="105" spans="2:12" ht="15" customHeight="1" x14ac:dyDescent="0.3">
      <c r="B105" s="212">
        <v>46115</v>
      </c>
      <c r="C105" s="13">
        <v>1789</v>
      </c>
      <c r="D105" s="170">
        <f t="shared" si="22"/>
        <v>2</v>
      </c>
      <c r="E105" s="171">
        <f t="shared" si="21"/>
        <v>2000</v>
      </c>
      <c r="F105" s="172"/>
      <c r="H105" s="661">
        <f t="shared" si="23"/>
        <v>46115</v>
      </c>
      <c r="I105" s="13">
        <v>8085</v>
      </c>
      <c r="J105" s="170">
        <f t="shared" si="24"/>
        <v>18</v>
      </c>
      <c r="K105" s="171">
        <f t="shared" si="25"/>
        <v>18000</v>
      </c>
      <c r="L105" s="172"/>
    </row>
    <row r="106" spans="2:12" ht="15" customHeight="1" x14ac:dyDescent="0.3">
      <c r="B106" s="212">
        <v>46118</v>
      </c>
      <c r="C106" s="13">
        <v>1796</v>
      </c>
      <c r="D106" s="170">
        <f t="shared" si="22"/>
        <v>7</v>
      </c>
      <c r="E106" s="171">
        <f t="shared" si="21"/>
        <v>7000</v>
      </c>
      <c r="F106" s="172"/>
      <c r="H106" s="661">
        <f t="shared" si="23"/>
        <v>46118</v>
      </c>
      <c r="I106" s="13">
        <v>8093</v>
      </c>
      <c r="J106" s="170">
        <f t="shared" si="24"/>
        <v>8</v>
      </c>
      <c r="K106" s="171">
        <f t="shared" si="25"/>
        <v>8000</v>
      </c>
      <c r="L106" s="172"/>
    </row>
    <row r="107" spans="2:12" ht="15" customHeight="1" x14ac:dyDescent="0.3">
      <c r="B107" s="213">
        <v>46121</v>
      </c>
      <c r="C107" s="46">
        <v>1805</v>
      </c>
      <c r="D107" s="170">
        <f t="shared" si="22"/>
        <v>9</v>
      </c>
      <c r="E107" s="171">
        <f t="shared" si="21"/>
        <v>9000</v>
      </c>
      <c r="F107" s="172"/>
      <c r="H107" s="661">
        <f t="shared" si="23"/>
        <v>46121</v>
      </c>
      <c r="I107" s="46">
        <v>8101</v>
      </c>
      <c r="J107" s="170">
        <f t="shared" si="24"/>
        <v>8</v>
      </c>
      <c r="K107" s="171">
        <f t="shared" si="25"/>
        <v>8000</v>
      </c>
      <c r="L107" s="51"/>
    </row>
    <row r="108" spans="2:12" ht="15" customHeight="1" x14ac:dyDescent="0.3">
      <c r="B108" s="213"/>
      <c r="C108" s="46"/>
      <c r="D108" s="170"/>
      <c r="E108" s="171"/>
      <c r="F108" s="172"/>
      <c r="H108" s="661"/>
      <c r="I108" s="46"/>
      <c r="J108" s="170"/>
      <c r="K108" s="171"/>
      <c r="L108" s="172"/>
    </row>
    <row r="109" spans="2:12" ht="15" customHeight="1" x14ac:dyDescent="0.3">
      <c r="B109" s="213"/>
      <c r="C109" s="46"/>
      <c r="D109" s="170" t="str">
        <f>IF(C109="","",C109-C108)</f>
        <v/>
      </c>
      <c r="E109" s="171" t="str">
        <f>IF(C109="","",D109*1000)</f>
        <v/>
      </c>
      <c r="F109" s="51"/>
      <c r="H109" s="661" t="str">
        <f>IF(B109="","",B109)</f>
        <v/>
      </c>
      <c r="I109" s="46"/>
      <c r="J109" s="170" t="str">
        <f>IF(I109="","",I109-I108)</f>
        <v/>
      </c>
      <c r="K109" s="171" t="str">
        <f>IF(I109="","",J109*1000)</f>
        <v/>
      </c>
      <c r="L109" s="51"/>
    </row>
    <row r="110" spans="2:12" ht="15" customHeight="1" x14ac:dyDescent="0.3">
      <c r="B110" s="213"/>
      <c r="C110" s="46"/>
      <c r="D110" s="170" t="str">
        <f>IF(C110="","",C110-C109)</f>
        <v/>
      </c>
      <c r="E110" s="171" t="str">
        <f>IF(C110="","",D110*1000)</f>
        <v/>
      </c>
      <c r="F110" s="51"/>
      <c r="H110" s="664" t="str">
        <f>IF(B110="","",B110)</f>
        <v/>
      </c>
      <c r="I110" s="46"/>
      <c r="J110" s="170" t="str">
        <f>IF(I110="","",I110-I109)</f>
        <v/>
      </c>
      <c r="K110" s="171" t="str">
        <f>IF(I110="","",J110*1000)</f>
        <v/>
      </c>
      <c r="L110" s="51"/>
    </row>
    <row r="111" spans="2:12" ht="15" customHeight="1" thickBot="1" x14ac:dyDescent="0.35">
      <c r="B111" s="214"/>
      <c r="C111" s="39"/>
      <c r="D111" s="240" t="str">
        <f>IF(C111="","",C111-C108)</f>
        <v/>
      </c>
      <c r="E111" s="223" t="str">
        <f>IF(C111="","",D111*1000)</f>
        <v/>
      </c>
      <c r="F111" s="176"/>
      <c r="H111" s="662" t="str">
        <f>IF(B111="","",B111)</f>
        <v/>
      </c>
      <c r="I111" s="663"/>
      <c r="J111" s="240" t="str">
        <f>IF(I111="","",I111-I108)</f>
        <v/>
      </c>
      <c r="K111" s="223" t="str">
        <f>IF(I111="","",J111*1000)</f>
        <v/>
      </c>
      <c r="L111" s="176"/>
    </row>
    <row r="112" spans="2:12" ht="15" customHeight="1" thickBot="1" x14ac:dyDescent="0.35">
      <c r="B112" s="15"/>
      <c r="C112" s="16"/>
      <c r="D112" s="16">
        <f>SUM(D99:D111)</f>
        <v>65</v>
      </c>
      <c r="E112" s="17">
        <f>SUM(E99:E111)</f>
        <v>65000</v>
      </c>
      <c r="F112" s="176"/>
      <c r="H112" s="15"/>
      <c r="I112" s="16"/>
      <c r="J112" s="16">
        <f>SUM(J99:J111)</f>
        <v>74</v>
      </c>
      <c r="K112" s="17">
        <f>SUM(K99:K111)</f>
        <v>74000</v>
      </c>
      <c r="L112" s="176"/>
    </row>
    <row r="114" spans="2:12" ht="15" customHeight="1" thickBot="1" x14ac:dyDescent="0.35">
      <c r="B114" s="201" t="s">
        <v>148</v>
      </c>
      <c r="C114" s="5"/>
      <c r="D114" s="5"/>
      <c r="E114" s="5"/>
      <c r="F114" s="26"/>
      <c r="H114" s="642" t="s">
        <v>154</v>
      </c>
      <c r="I114" s="5"/>
      <c r="J114" s="5"/>
      <c r="K114" s="5"/>
      <c r="L114" s="26"/>
    </row>
    <row r="115" spans="2:12" ht="15" customHeight="1" thickBot="1" x14ac:dyDescent="0.25">
      <c r="B115" s="7" t="s">
        <v>142</v>
      </c>
      <c r="C115" s="8" t="s">
        <v>143</v>
      </c>
      <c r="D115" s="8" t="s">
        <v>144</v>
      </c>
      <c r="E115" s="8" t="s">
        <v>145</v>
      </c>
      <c r="F115" s="9" t="s">
        <v>146</v>
      </c>
      <c r="H115" s="7" t="s">
        <v>142</v>
      </c>
      <c r="I115" s="8" t="s">
        <v>143</v>
      </c>
      <c r="J115" s="8" t="s">
        <v>144</v>
      </c>
      <c r="K115" s="8" t="s">
        <v>145</v>
      </c>
      <c r="L115" s="9" t="s">
        <v>146</v>
      </c>
    </row>
    <row r="116" spans="2:12" ht="15" customHeight="1" x14ac:dyDescent="0.3">
      <c r="B116" s="213">
        <v>46125</v>
      </c>
      <c r="C116" s="46">
        <v>1818</v>
      </c>
      <c r="D116" s="170">
        <v>13</v>
      </c>
      <c r="E116" s="171">
        <v>13000</v>
      </c>
      <c r="F116" s="172"/>
      <c r="H116" s="213">
        <v>46125</v>
      </c>
      <c r="I116" s="46">
        <v>8105</v>
      </c>
      <c r="J116" s="170">
        <v>4</v>
      </c>
      <c r="K116" s="171">
        <v>4000</v>
      </c>
      <c r="L116" s="172"/>
    </row>
    <row r="117" spans="2:12" ht="15" customHeight="1" x14ac:dyDescent="0.3">
      <c r="B117" s="213">
        <v>46129</v>
      </c>
      <c r="C117" s="46">
        <v>1824</v>
      </c>
      <c r="D117" s="170">
        <f t="shared" ref="D117:D127" si="26">IF(C117="","",C117-C116)</f>
        <v>6</v>
      </c>
      <c r="E117" s="171">
        <f t="shared" ref="E117:E128" si="27">IF(C117="","",D117*1000)</f>
        <v>6000</v>
      </c>
      <c r="F117" s="172"/>
      <c r="H117" s="661">
        <f>IF(B117="","",B117)</f>
        <v>46129</v>
      </c>
      <c r="I117" s="46">
        <v>8107</v>
      </c>
      <c r="J117" s="170">
        <f t="shared" ref="J117:J127" si="28">IF(I117="","",I117-I116)</f>
        <v>2</v>
      </c>
      <c r="K117" s="171">
        <f t="shared" ref="K117:K128" si="29">IF(I117="","",J117*1000)</f>
        <v>2000</v>
      </c>
      <c r="L117" s="172"/>
    </row>
    <row r="118" spans="2:12" ht="15" customHeight="1" x14ac:dyDescent="0.3">
      <c r="B118" s="213">
        <v>46132</v>
      </c>
      <c r="C118" s="46">
        <v>1828</v>
      </c>
      <c r="D118" s="170">
        <f t="shared" si="26"/>
        <v>4</v>
      </c>
      <c r="E118" s="171">
        <f t="shared" si="27"/>
        <v>4000</v>
      </c>
      <c r="F118" s="172"/>
      <c r="H118" s="661">
        <f>IF(B118="","",B118)</f>
        <v>46132</v>
      </c>
      <c r="I118" s="46">
        <v>8117</v>
      </c>
      <c r="J118" s="170">
        <f t="shared" si="28"/>
        <v>10</v>
      </c>
      <c r="K118" s="171">
        <f t="shared" si="29"/>
        <v>10000</v>
      </c>
      <c r="L118" s="51" t="s">
        <v>139</v>
      </c>
    </row>
    <row r="119" spans="2:12" ht="15" customHeight="1" x14ac:dyDescent="0.3">
      <c r="B119" s="212">
        <v>46136</v>
      </c>
      <c r="C119" s="13">
        <v>1838</v>
      </c>
      <c r="D119" s="170">
        <f t="shared" si="26"/>
        <v>10</v>
      </c>
      <c r="E119" s="171">
        <f t="shared" si="27"/>
        <v>10000</v>
      </c>
      <c r="F119" s="172"/>
      <c r="H119" s="661">
        <f>IF(B119="","",B119)</f>
        <v>46136</v>
      </c>
      <c r="I119" s="13">
        <v>8123</v>
      </c>
      <c r="J119" s="170">
        <f t="shared" si="28"/>
        <v>6</v>
      </c>
      <c r="K119" s="171">
        <f t="shared" si="29"/>
        <v>6000</v>
      </c>
      <c r="L119" s="172"/>
    </row>
    <row r="120" spans="2:12" ht="15" customHeight="1" x14ac:dyDescent="0.3">
      <c r="B120" s="212">
        <v>46139</v>
      </c>
      <c r="C120" s="13">
        <v>1845</v>
      </c>
      <c r="D120" s="170">
        <f t="shared" si="26"/>
        <v>7</v>
      </c>
      <c r="E120" s="171">
        <f t="shared" si="27"/>
        <v>7000</v>
      </c>
      <c r="F120" s="172"/>
      <c r="H120" s="661">
        <f>IF(B120="","",B120)</f>
        <v>46139</v>
      </c>
      <c r="I120" s="13">
        <v>8155</v>
      </c>
      <c r="J120" s="170">
        <f t="shared" si="28"/>
        <v>32</v>
      </c>
      <c r="K120" s="171">
        <f t="shared" si="29"/>
        <v>32000</v>
      </c>
      <c r="L120" s="225"/>
    </row>
    <row r="121" spans="2:12" ht="15" customHeight="1" x14ac:dyDescent="0.3">
      <c r="B121" s="212">
        <v>46143</v>
      </c>
      <c r="C121" s="13">
        <v>1851</v>
      </c>
      <c r="D121" s="170">
        <f t="shared" si="26"/>
        <v>6</v>
      </c>
      <c r="E121" s="171">
        <f t="shared" si="27"/>
        <v>6000</v>
      </c>
      <c r="F121" s="172"/>
      <c r="H121" s="661">
        <f>IF(B121="","",B121)</f>
        <v>46143</v>
      </c>
      <c r="I121" s="13">
        <v>8159</v>
      </c>
      <c r="J121" s="170">
        <f t="shared" si="28"/>
        <v>4</v>
      </c>
      <c r="K121" s="171">
        <f t="shared" si="29"/>
        <v>4000</v>
      </c>
      <c r="L121" s="225"/>
    </row>
    <row r="122" spans="2:12" ht="15" customHeight="1" x14ac:dyDescent="0.3">
      <c r="B122" s="212">
        <v>46146</v>
      </c>
      <c r="C122" s="13">
        <v>1861</v>
      </c>
      <c r="D122" s="170">
        <f t="shared" si="26"/>
        <v>10</v>
      </c>
      <c r="E122" s="171">
        <f t="shared" si="27"/>
        <v>10000</v>
      </c>
      <c r="F122" s="172"/>
      <c r="H122" s="661">
        <f>IF(B122="","",B122)</f>
        <v>46146</v>
      </c>
      <c r="I122" s="13">
        <v>8177</v>
      </c>
      <c r="J122" s="170">
        <f t="shared" si="28"/>
        <v>18</v>
      </c>
      <c r="K122" s="171">
        <f t="shared" si="29"/>
        <v>18000</v>
      </c>
      <c r="L122" s="172" t="s">
        <v>131</v>
      </c>
    </row>
    <row r="123" spans="2:12" ht="15" customHeight="1" x14ac:dyDescent="0.3">
      <c r="B123" s="212">
        <v>46149</v>
      </c>
      <c r="C123" s="13">
        <v>1873</v>
      </c>
      <c r="D123" s="170">
        <f t="shared" si="26"/>
        <v>12</v>
      </c>
      <c r="E123" s="171">
        <f t="shared" si="27"/>
        <v>12000</v>
      </c>
      <c r="F123" s="172"/>
      <c r="H123" s="661">
        <f>IF(B123="","",B123)</f>
        <v>46149</v>
      </c>
      <c r="I123" s="13">
        <v>8187</v>
      </c>
      <c r="J123" s="170">
        <f t="shared" si="28"/>
        <v>10</v>
      </c>
      <c r="K123" s="171">
        <f t="shared" si="29"/>
        <v>10000</v>
      </c>
      <c r="L123" s="172"/>
    </row>
    <row r="124" spans="2:12" ht="15" customHeight="1" x14ac:dyDescent="0.3">
      <c r="B124" s="213">
        <v>46151</v>
      </c>
      <c r="C124" s="46">
        <v>1879</v>
      </c>
      <c r="D124" s="170">
        <f t="shared" si="26"/>
        <v>6</v>
      </c>
      <c r="E124" s="171">
        <f t="shared" si="27"/>
        <v>6000</v>
      </c>
      <c r="F124" s="315" t="s">
        <v>387</v>
      </c>
      <c r="H124" s="661">
        <f>IF(B124="","",B124)</f>
        <v>46151</v>
      </c>
      <c r="I124" s="46">
        <v>8191</v>
      </c>
      <c r="J124" s="170">
        <f t="shared" si="28"/>
        <v>4</v>
      </c>
      <c r="K124" s="171">
        <f t="shared" si="29"/>
        <v>4000</v>
      </c>
      <c r="L124" s="172"/>
    </row>
    <row r="125" spans="2:12" ht="15" customHeight="1" x14ac:dyDescent="0.3">
      <c r="B125" s="213"/>
      <c r="C125" s="46"/>
      <c r="D125" s="170" t="str">
        <f t="shared" si="26"/>
        <v/>
      </c>
      <c r="E125" s="171" t="str">
        <f t="shared" si="27"/>
        <v/>
      </c>
      <c r="F125" s="172"/>
      <c r="H125" s="661"/>
      <c r="I125" s="46"/>
      <c r="J125" s="170" t="str">
        <f t="shared" si="28"/>
        <v/>
      </c>
      <c r="K125" s="171" t="str">
        <f t="shared" si="29"/>
        <v/>
      </c>
      <c r="L125" s="172"/>
    </row>
    <row r="126" spans="2:12" ht="15" customHeight="1" x14ac:dyDescent="0.3">
      <c r="B126" s="213"/>
      <c r="C126" s="46"/>
      <c r="D126" s="170" t="str">
        <f t="shared" si="26"/>
        <v/>
      </c>
      <c r="E126" s="171" t="str">
        <f t="shared" si="27"/>
        <v/>
      </c>
      <c r="F126" s="172"/>
      <c r="H126" s="661" t="str">
        <f>IF(B126="","",B126)</f>
        <v/>
      </c>
      <c r="I126" s="46"/>
      <c r="J126" s="170" t="str">
        <f t="shared" si="28"/>
        <v/>
      </c>
      <c r="K126" s="171" t="str">
        <f t="shared" si="29"/>
        <v/>
      </c>
      <c r="L126" s="172"/>
    </row>
    <row r="127" spans="2:12" ht="15" customHeight="1" x14ac:dyDescent="0.3">
      <c r="B127" s="213"/>
      <c r="C127" s="46"/>
      <c r="D127" s="170" t="str">
        <f t="shared" si="26"/>
        <v/>
      </c>
      <c r="E127" s="171" t="str">
        <f t="shared" si="27"/>
        <v/>
      </c>
      <c r="F127" s="172"/>
      <c r="H127" s="664" t="str">
        <f>IF(B127="","",B127)</f>
        <v/>
      </c>
      <c r="I127" s="46"/>
      <c r="J127" s="170" t="str">
        <f t="shared" si="28"/>
        <v/>
      </c>
      <c r="K127" s="171" t="str">
        <f t="shared" si="29"/>
        <v/>
      </c>
      <c r="L127" s="172"/>
    </row>
    <row r="128" spans="2:12" ht="15" customHeight="1" thickBot="1" x14ac:dyDescent="0.35">
      <c r="B128" s="214"/>
      <c r="C128" s="39"/>
      <c r="D128" s="240" t="str">
        <f>IF(C128="","",C128-C125)</f>
        <v/>
      </c>
      <c r="E128" s="223" t="str">
        <f t="shared" si="27"/>
        <v/>
      </c>
      <c r="F128" s="176"/>
      <c r="H128" s="662" t="str">
        <f>IF(B128="","",B128)</f>
        <v/>
      </c>
      <c r="I128" s="663"/>
      <c r="J128" s="240" t="str">
        <f>IF(I128="","",I128-I125)</f>
        <v/>
      </c>
      <c r="K128" s="223" t="str">
        <f t="shared" si="29"/>
        <v/>
      </c>
      <c r="L128" s="176"/>
    </row>
    <row r="129" spans="2:12" ht="15" customHeight="1" thickBot="1" x14ac:dyDescent="0.35">
      <c r="B129" s="15"/>
      <c r="C129" s="16"/>
      <c r="D129" s="16">
        <f>SUM(D116:D128)</f>
        <v>74</v>
      </c>
      <c r="E129" s="17">
        <f>SUM(E116:E128)</f>
        <v>74000</v>
      </c>
      <c r="F129" s="176"/>
      <c r="H129" s="15"/>
      <c r="I129" s="16"/>
      <c r="J129" s="16">
        <f>SUM(J116:J128)</f>
        <v>90</v>
      </c>
      <c r="K129" s="17">
        <f>SUM(K116:K128)</f>
        <v>90000</v>
      </c>
      <c r="L129" s="176"/>
    </row>
    <row r="131" spans="2:12" ht="15" customHeight="1" thickBot="1" x14ac:dyDescent="0.35">
      <c r="B131" s="735" t="s">
        <v>148</v>
      </c>
      <c r="C131" s="736"/>
      <c r="D131" s="736"/>
      <c r="E131" s="736"/>
      <c r="F131" s="26"/>
      <c r="G131" s="795"/>
      <c r="H131" s="719" t="s">
        <v>154</v>
      </c>
      <c r="I131" s="736"/>
      <c r="J131" s="736"/>
      <c r="K131" s="736"/>
      <c r="L131" s="26"/>
    </row>
    <row r="132" spans="2:12" ht="15" customHeight="1" thickBot="1" x14ac:dyDescent="0.25">
      <c r="B132" s="7" t="s">
        <v>142</v>
      </c>
      <c r="C132" s="8" t="s">
        <v>143</v>
      </c>
      <c r="D132" s="8" t="s">
        <v>144</v>
      </c>
      <c r="E132" s="8" t="s">
        <v>145</v>
      </c>
      <c r="F132" s="9" t="s">
        <v>146</v>
      </c>
      <c r="H132" s="7" t="s">
        <v>142</v>
      </c>
      <c r="I132" s="8" t="s">
        <v>143</v>
      </c>
      <c r="J132" s="8" t="s">
        <v>144</v>
      </c>
      <c r="K132" s="8" t="s">
        <v>145</v>
      </c>
      <c r="L132" s="9" t="s">
        <v>146</v>
      </c>
    </row>
    <row r="133" spans="2:12" ht="15" customHeight="1" x14ac:dyDescent="0.3">
      <c r="B133" s="213">
        <v>46153</v>
      </c>
      <c r="C133" s="46">
        <v>1881</v>
      </c>
      <c r="D133" s="170">
        <v>2</v>
      </c>
      <c r="E133" s="171">
        <v>2000</v>
      </c>
      <c r="F133" s="172"/>
      <c r="H133" s="661">
        <f>IF(B133="","",B133)</f>
        <v>46153</v>
      </c>
      <c r="I133" s="46">
        <v>8191</v>
      </c>
      <c r="J133" s="170">
        <v>0</v>
      </c>
      <c r="K133" s="171">
        <v>0</v>
      </c>
      <c r="L133" s="172"/>
    </row>
    <row r="134" spans="2:12" ht="15" customHeight="1" x14ac:dyDescent="0.3">
      <c r="B134" s="213">
        <v>46157</v>
      </c>
      <c r="C134" s="46">
        <v>1884</v>
      </c>
      <c r="D134" s="170">
        <f>IF(C134="","",C134-C133)</f>
        <v>3</v>
      </c>
      <c r="E134" s="171">
        <f>IF(C134="","",D134*1000)</f>
        <v>3000</v>
      </c>
      <c r="F134" s="172"/>
      <c r="H134" s="661">
        <f>IF(B134="","",B134)</f>
        <v>46157</v>
      </c>
      <c r="I134" s="46">
        <v>8191</v>
      </c>
      <c r="J134" s="170">
        <f>IF(I134="","",I134-I133)</f>
        <v>0</v>
      </c>
      <c r="K134" s="171">
        <f>IF(I134="","",J134*1000)</f>
        <v>0</v>
      </c>
      <c r="L134" s="172"/>
    </row>
    <row r="135" spans="2:12" ht="15" customHeight="1" x14ac:dyDescent="0.3">
      <c r="B135" s="213">
        <v>46160</v>
      </c>
      <c r="C135" s="46">
        <v>1893</v>
      </c>
      <c r="D135" s="170">
        <f>IF(C135="","",C135-C134)</f>
        <v>9</v>
      </c>
      <c r="E135" s="171">
        <f>IF(C135="","",D135*1000)</f>
        <v>9000</v>
      </c>
      <c r="F135" s="172"/>
      <c r="H135" s="661">
        <f>IF(B135="","",B135)</f>
        <v>46160</v>
      </c>
      <c r="I135" s="46">
        <v>8197</v>
      </c>
      <c r="J135" s="170">
        <f>IF(I135="","",I135-I134)</f>
        <v>6</v>
      </c>
      <c r="K135" s="171">
        <f>IF(I135="","",J135*1000)</f>
        <v>6000</v>
      </c>
      <c r="L135" s="51"/>
    </row>
    <row r="136" spans="2:12" ht="15" customHeight="1" x14ac:dyDescent="0.3">
      <c r="B136" s="212">
        <v>46164</v>
      </c>
      <c r="C136" s="13">
        <v>1897</v>
      </c>
      <c r="D136" s="170">
        <f>IF(C136="","",C136-C135)</f>
        <v>4</v>
      </c>
      <c r="E136" s="171">
        <f>IF(C136="","",D136*1000)</f>
        <v>4000</v>
      </c>
      <c r="F136" s="172"/>
      <c r="H136" s="661">
        <f>IF(B136="","",B136)</f>
        <v>46164</v>
      </c>
      <c r="I136" s="13">
        <v>8205</v>
      </c>
      <c r="J136" s="170">
        <f>IF(I136="","",I136-I135)</f>
        <v>8</v>
      </c>
      <c r="K136" s="171">
        <f>IF(I136="","",J136*1000)</f>
        <v>8000</v>
      </c>
      <c r="L136" s="172"/>
    </row>
    <row r="137" spans="2:12" ht="15" customHeight="1" x14ac:dyDescent="0.3">
      <c r="B137" s="212">
        <v>46167</v>
      </c>
      <c r="C137" s="13">
        <v>1904</v>
      </c>
      <c r="D137" s="170">
        <f>IF(C137="","",C137-C136)</f>
        <v>7</v>
      </c>
      <c r="E137" s="171">
        <f>IF(C137="","",D137*1000)</f>
        <v>7000</v>
      </c>
      <c r="F137" s="172"/>
      <c r="H137" s="661">
        <f>IF(B137="","",B137)</f>
        <v>46167</v>
      </c>
      <c r="I137" s="13">
        <v>8237</v>
      </c>
      <c r="J137" s="170">
        <f>IF(I137="","",I137-I136)</f>
        <v>32</v>
      </c>
      <c r="K137" s="171">
        <f>IF(I137="","",J137*1000)</f>
        <v>32000</v>
      </c>
      <c r="L137" s="225" t="s">
        <v>393</v>
      </c>
    </row>
    <row r="138" spans="2:12" ht="15" customHeight="1" x14ac:dyDescent="0.3">
      <c r="B138" s="212"/>
      <c r="C138" s="13"/>
      <c r="D138" s="170" t="str">
        <f>IF(C138="","",C138-C137)</f>
        <v/>
      </c>
      <c r="E138" s="171" t="str">
        <f>IF(C138="","",D138*1000)</f>
        <v/>
      </c>
      <c r="F138" s="172"/>
      <c r="H138" s="661" t="str">
        <f>IF(B138="","",B138)</f>
        <v/>
      </c>
      <c r="I138" s="13"/>
      <c r="J138" s="170" t="str">
        <f>IF(I138="","",I138-I137)</f>
        <v/>
      </c>
      <c r="K138" s="171" t="str">
        <f>IF(I138="","",J138*1000)</f>
        <v/>
      </c>
      <c r="L138" s="225"/>
    </row>
    <row r="139" spans="2:12" ht="15" customHeight="1" x14ac:dyDescent="0.3">
      <c r="B139" s="212"/>
      <c r="C139" s="13"/>
      <c r="D139" s="170" t="str">
        <f>IF(C139="","",C139-C138)</f>
        <v/>
      </c>
      <c r="E139" s="171" t="str">
        <f>IF(C139="","",D139*1000)</f>
        <v/>
      </c>
      <c r="F139" s="172"/>
      <c r="H139" s="661" t="str">
        <f>IF(B139="","",B139)</f>
        <v/>
      </c>
      <c r="I139" s="13"/>
      <c r="J139" s="170" t="str">
        <f>IF(I139="","",I139-I138)</f>
        <v/>
      </c>
      <c r="K139" s="171" t="str">
        <f>IF(I139="","",J139*1000)</f>
        <v/>
      </c>
      <c r="L139" s="172"/>
    </row>
    <row r="140" spans="2:12" ht="15" customHeight="1" x14ac:dyDescent="0.3">
      <c r="B140" s="212"/>
      <c r="C140" s="13"/>
      <c r="D140" s="170" t="str">
        <f>IF(C140="","",C140-C139)</f>
        <v/>
      </c>
      <c r="E140" s="171" t="str">
        <f>IF(C140="","",D140*1000)</f>
        <v/>
      </c>
      <c r="F140" s="172"/>
      <c r="H140" s="661" t="str">
        <f>IF(B140="","",B140)</f>
        <v/>
      </c>
      <c r="I140" s="13"/>
      <c r="J140" s="170" t="str">
        <f>IF(I140="","",I140-I139)</f>
        <v/>
      </c>
      <c r="K140" s="171" t="str">
        <f>IF(I140="","",J140*1000)</f>
        <v/>
      </c>
      <c r="L140" s="172"/>
    </row>
    <row r="141" spans="2:12" ht="15" customHeight="1" x14ac:dyDescent="0.3">
      <c r="B141" s="213"/>
      <c r="C141" s="46"/>
      <c r="D141" s="170" t="str">
        <f>IF(C141="","",C141-C140)</f>
        <v/>
      </c>
      <c r="E141" s="171" t="str">
        <f>IF(C141="","",D141*1000)</f>
        <v/>
      </c>
      <c r="F141" s="315"/>
      <c r="H141" s="661" t="str">
        <f>IF(B141="","",B141)</f>
        <v/>
      </c>
      <c r="I141" s="46"/>
      <c r="J141" s="170" t="str">
        <f>IF(I141="","",I141-I140)</f>
        <v/>
      </c>
      <c r="K141" s="171" t="str">
        <f>IF(I141="","",J141*1000)</f>
        <v/>
      </c>
      <c r="L141" s="172"/>
    </row>
    <row r="142" spans="2:12" ht="15" customHeight="1" x14ac:dyDescent="0.3">
      <c r="B142" s="213"/>
      <c r="C142" s="46"/>
      <c r="D142" s="170" t="str">
        <f>IF(C142="","",C142-C141)</f>
        <v/>
      </c>
      <c r="E142" s="171" t="str">
        <f>IF(C142="","",D142*1000)</f>
        <v/>
      </c>
      <c r="F142" s="172"/>
      <c r="H142" s="661"/>
      <c r="I142" s="46"/>
      <c r="J142" s="170" t="str">
        <f>IF(I142="","",I142-I141)</f>
        <v/>
      </c>
      <c r="K142" s="171" t="str">
        <f>IF(I142="","",J142*1000)</f>
        <v/>
      </c>
      <c r="L142" s="172"/>
    </row>
    <row r="143" spans="2:12" ht="15" customHeight="1" x14ac:dyDescent="0.3">
      <c r="B143" s="213"/>
      <c r="C143" s="46"/>
      <c r="D143" s="170" t="str">
        <f>IF(C143="","",C143-C142)</f>
        <v/>
      </c>
      <c r="E143" s="171" t="str">
        <f>IF(C143="","",D143*1000)</f>
        <v/>
      </c>
      <c r="F143" s="172"/>
      <c r="H143" s="661" t="str">
        <f>IF(B143="","",B143)</f>
        <v/>
      </c>
      <c r="I143" s="46"/>
      <c r="J143" s="170" t="str">
        <f>IF(I143="","",I143-I142)</f>
        <v/>
      </c>
      <c r="K143" s="171" t="str">
        <f>IF(I143="","",J143*1000)</f>
        <v/>
      </c>
      <c r="L143" s="172"/>
    </row>
    <row r="144" spans="2:12" ht="15" customHeight="1" x14ac:dyDescent="0.3">
      <c r="B144" s="213"/>
      <c r="C144" s="46"/>
      <c r="D144" s="170" t="str">
        <f>IF(C144="","",C144-C143)</f>
        <v/>
      </c>
      <c r="E144" s="171" t="str">
        <f>IF(C144="","",D144*1000)</f>
        <v/>
      </c>
      <c r="F144" s="172"/>
      <c r="H144" s="664" t="str">
        <f>IF(B144="","",B144)</f>
        <v/>
      </c>
      <c r="I144" s="46"/>
      <c r="J144" s="170" t="str">
        <f>IF(I144="","",I144-I143)</f>
        <v/>
      </c>
      <c r="K144" s="171" t="str">
        <f>IF(I144="","",J144*1000)</f>
        <v/>
      </c>
      <c r="L144" s="172"/>
    </row>
    <row r="145" spans="2:12" ht="15" customHeight="1" thickBot="1" x14ac:dyDescent="0.35">
      <c r="B145" s="214"/>
      <c r="C145" s="39"/>
      <c r="D145" s="240" t="str">
        <f>IF(C145="","",C145-C142)</f>
        <v/>
      </c>
      <c r="E145" s="223" t="str">
        <f>IF(C145="","",D145*1000)</f>
        <v/>
      </c>
      <c r="F145" s="176"/>
      <c r="H145" s="662" t="str">
        <f>IF(B145="","",B145)</f>
        <v/>
      </c>
      <c r="I145" s="663"/>
      <c r="J145" s="240" t="str">
        <f>IF(I145="","",I145-I142)</f>
        <v/>
      </c>
      <c r="K145" s="223" t="str">
        <f>IF(I145="","",J145*1000)</f>
        <v/>
      </c>
      <c r="L145" s="176"/>
    </row>
    <row r="146" spans="2:12" ht="15" customHeight="1" thickBot="1" x14ac:dyDescent="0.35">
      <c r="B146" s="15"/>
      <c r="C146" s="16"/>
      <c r="D146" s="16">
        <f>SUM(D133:D145)</f>
        <v>25</v>
      </c>
      <c r="E146" s="17">
        <f>SUM(E133:E145)</f>
        <v>25000</v>
      </c>
      <c r="F146" s="176"/>
      <c r="H146" s="15"/>
      <c r="I146" s="16"/>
      <c r="J146" s="16">
        <f>SUM(J133:J145)</f>
        <v>46</v>
      </c>
      <c r="K146" s="17">
        <f>SUM(K133:K145)</f>
        <v>46000</v>
      </c>
      <c r="L146" s="176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>
    <pageSetUpPr fitToPage="1"/>
  </sheetPr>
  <dimension ref="B1:AH152"/>
  <sheetViews>
    <sheetView topLeftCell="V1" workbookViewId="0">
      <pane ySplit="1" topLeftCell="V137" activePane="bottomLeft" state="frozen"/>
      <selection activeCell="AK1" sqref="AK1"/>
      <selection pane="bottomLeft" activeCell="Z141" sqref="Z141"/>
    </sheetView>
  </sheetViews>
  <sheetFormatPr defaultColWidth="14.390625" defaultRowHeight="15" x14ac:dyDescent="0.2"/>
  <cols>
    <col min="1" max="1" width="11.296875" bestFit="1" customWidth="1"/>
    <col min="2" max="2" width="9.01171875" customWidth="1"/>
    <col min="3" max="3" width="12.23828125" customWidth="1"/>
    <col min="4" max="4" width="13.046875" customWidth="1"/>
    <col min="5" max="5" width="9.28125" customWidth="1"/>
    <col min="6" max="6" width="14.125" customWidth="1"/>
    <col min="7" max="7" width="9.953125" customWidth="1"/>
    <col min="8" max="8" width="13.71875" customWidth="1"/>
    <col min="9" max="9" width="15.87109375" bestFit="1" customWidth="1"/>
    <col min="10" max="10" width="10.22265625" customWidth="1"/>
    <col min="11" max="11" width="11.8359375" customWidth="1"/>
    <col min="12" max="12" width="12.23828125" customWidth="1"/>
    <col min="13" max="13" width="8.875" customWidth="1"/>
    <col min="14" max="14" width="13.046875" customWidth="1"/>
    <col min="15" max="16" width="10.22265625" customWidth="1"/>
    <col min="17" max="17" width="13.046875" customWidth="1"/>
    <col min="18" max="18" width="6.3203125" customWidth="1"/>
    <col min="19" max="19" width="12.64453125" customWidth="1"/>
    <col min="20" max="20" width="12.64453125" bestFit="1" customWidth="1"/>
    <col min="21" max="21" width="10.22265625" customWidth="1"/>
    <col min="22" max="22" width="11.43359375" customWidth="1"/>
    <col min="23" max="23" width="10.625" customWidth="1"/>
    <col min="24" max="24" width="9.01171875" customWidth="1"/>
    <col min="25" max="25" width="13.31640625" customWidth="1"/>
    <col min="26" max="26" width="12.23828125" customWidth="1"/>
    <col min="27" max="27" width="9.01171875" customWidth="1"/>
    <col min="34" max="34" width="10.0859375" customWidth="1"/>
  </cols>
  <sheetData>
    <row r="1" spans="2:34" ht="17.25" thickBot="1" x14ac:dyDescent="0.4">
      <c r="B1" s="346" t="s">
        <v>175</v>
      </c>
      <c r="C1" s="347" t="s">
        <v>176</v>
      </c>
      <c r="D1" s="347"/>
      <c r="E1" s="347"/>
      <c r="F1" s="347"/>
      <c r="G1" s="347"/>
      <c r="H1" s="347"/>
      <c r="I1" s="347"/>
      <c r="J1" s="348">
        <v>473.2</v>
      </c>
      <c r="K1" s="347"/>
      <c r="L1" s="347"/>
      <c r="M1" s="349" t="s">
        <v>177</v>
      </c>
      <c r="N1" s="347"/>
      <c r="O1" s="347"/>
      <c r="P1" s="347"/>
      <c r="Q1" s="347"/>
      <c r="R1" s="347"/>
      <c r="S1" s="347"/>
      <c r="T1" s="347"/>
      <c r="U1" s="348">
        <v>473.2</v>
      </c>
      <c r="V1" s="347"/>
      <c r="W1" s="347"/>
      <c r="X1" s="349" t="s">
        <v>178</v>
      </c>
      <c r="Y1" s="347"/>
      <c r="Z1" s="347"/>
      <c r="AA1" s="347"/>
      <c r="AB1" s="347"/>
      <c r="AC1" s="347"/>
      <c r="AD1" s="347"/>
      <c r="AE1" s="347"/>
      <c r="AF1" s="348">
        <v>473.2</v>
      </c>
      <c r="AG1" s="347"/>
      <c r="AH1" s="347"/>
    </row>
    <row r="2" spans="2:34" ht="17.25" thickBot="1" x14ac:dyDescent="0.4">
      <c r="B2" s="350" t="s">
        <v>142</v>
      </c>
      <c r="C2" s="351" t="s">
        <v>162</v>
      </c>
      <c r="D2" s="351" t="s">
        <v>143</v>
      </c>
      <c r="E2" s="351" t="s">
        <v>144</v>
      </c>
      <c r="F2" s="351" t="s">
        <v>145</v>
      </c>
      <c r="G2" s="351" t="s">
        <v>163</v>
      </c>
      <c r="H2" s="351" t="s">
        <v>164</v>
      </c>
      <c r="I2" s="352" t="s">
        <v>165</v>
      </c>
      <c r="J2" s="353" t="s">
        <v>166</v>
      </c>
      <c r="K2" s="354" t="s">
        <v>146</v>
      </c>
      <c r="L2" s="347"/>
      <c r="M2" s="350" t="s">
        <v>142</v>
      </c>
      <c r="N2" s="351" t="s">
        <v>162</v>
      </c>
      <c r="O2" s="351" t="s">
        <v>143</v>
      </c>
      <c r="P2" s="351" t="s">
        <v>144</v>
      </c>
      <c r="Q2" s="351" t="s">
        <v>145</v>
      </c>
      <c r="R2" s="351" t="s">
        <v>163</v>
      </c>
      <c r="S2" s="351" t="s">
        <v>164</v>
      </c>
      <c r="T2" s="352" t="s">
        <v>165</v>
      </c>
      <c r="U2" s="353" t="s">
        <v>166</v>
      </c>
      <c r="V2" s="354" t="s">
        <v>146</v>
      </c>
      <c r="W2" s="347"/>
      <c r="X2" s="350" t="s">
        <v>142</v>
      </c>
      <c r="Y2" s="351" t="s">
        <v>162</v>
      </c>
      <c r="Z2" s="351" t="s">
        <v>143</v>
      </c>
      <c r="AA2" s="351" t="s">
        <v>144</v>
      </c>
      <c r="AB2" s="351" t="s">
        <v>145</v>
      </c>
      <c r="AC2" s="351" t="s">
        <v>163</v>
      </c>
      <c r="AD2" s="351" t="s">
        <v>164</v>
      </c>
      <c r="AE2" s="352" t="s">
        <v>165</v>
      </c>
      <c r="AF2" s="353" t="s">
        <v>166</v>
      </c>
      <c r="AG2" s="354" t="s">
        <v>146</v>
      </c>
      <c r="AH2" s="347"/>
    </row>
    <row r="3" spans="2:34" ht="16.5" x14ac:dyDescent="0.35">
      <c r="B3" s="355">
        <v>45922</v>
      </c>
      <c r="C3" s="356">
        <v>17177</v>
      </c>
      <c r="D3" s="356">
        <v>17185</v>
      </c>
      <c r="E3" s="356">
        <f t="shared" ref="E3:E15" si="0">+D3-C3</f>
        <v>8</v>
      </c>
      <c r="F3" s="356">
        <f t="shared" ref="F3:F15" si="1">+E3*1000</f>
        <v>8000</v>
      </c>
      <c r="G3" s="356">
        <v>0</v>
      </c>
      <c r="H3" s="356">
        <f t="shared" ref="H3:H15" si="2">+F3-G3</f>
        <v>8000</v>
      </c>
      <c r="I3" s="357"/>
      <c r="J3" s="358" t="e">
        <f>E3*#REF!/2</f>
        <v>#REF!</v>
      </c>
      <c r="K3" s="359"/>
      <c r="L3" s="347"/>
      <c r="M3" s="355">
        <v>45922</v>
      </c>
      <c r="N3" s="356">
        <v>2808</v>
      </c>
      <c r="O3" s="356">
        <v>2831</v>
      </c>
      <c r="P3" s="356">
        <f t="shared" ref="P3:P15" si="3">+O3-N3</f>
        <v>23</v>
      </c>
      <c r="Q3" s="356">
        <f t="shared" ref="Q3:Q15" si="4">+P3*1000</f>
        <v>23000</v>
      </c>
      <c r="R3" s="356">
        <v>0</v>
      </c>
      <c r="S3" s="356">
        <f t="shared" ref="S3:S15" si="5">+Q3-R3</f>
        <v>23000</v>
      </c>
      <c r="T3" s="357"/>
      <c r="U3" s="358" t="e">
        <f>P3*#REF!/2</f>
        <v>#REF!</v>
      </c>
      <c r="V3" s="359"/>
      <c r="W3" s="347"/>
      <c r="X3" s="355">
        <v>45922</v>
      </c>
      <c r="Y3" s="356">
        <v>7086</v>
      </c>
      <c r="Z3" s="356">
        <v>7104</v>
      </c>
      <c r="AA3" s="356">
        <f t="shared" ref="AA3:AA15" si="6">+Z3-Y3</f>
        <v>18</v>
      </c>
      <c r="AB3" s="356">
        <f t="shared" ref="AB3:AB15" si="7">+AA3*1000</f>
        <v>18000</v>
      </c>
      <c r="AC3" s="356">
        <v>0</v>
      </c>
      <c r="AD3" s="356">
        <f t="shared" ref="AD3:AD15" si="8">+AB3-AC3</f>
        <v>18000</v>
      </c>
      <c r="AE3" s="357"/>
      <c r="AF3" s="358" t="e">
        <f>AA3*#REF!/2</f>
        <v>#REF!</v>
      </c>
      <c r="AG3" s="359"/>
      <c r="AH3" s="347"/>
    </row>
    <row r="4" spans="2:34" ht="16.5" x14ac:dyDescent="0.35">
      <c r="B4" s="355">
        <v>45926</v>
      </c>
      <c r="C4" s="360">
        <v>17185</v>
      </c>
      <c r="D4" s="360">
        <v>17209</v>
      </c>
      <c r="E4" s="360">
        <f t="shared" si="0"/>
        <v>24</v>
      </c>
      <c r="F4" s="360">
        <f t="shared" si="1"/>
        <v>24000</v>
      </c>
      <c r="G4" s="360">
        <v>0</v>
      </c>
      <c r="H4" s="360">
        <f t="shared" si="2"/>
        <v>24000</v>
      </c>
      <c r="I4" s="361"/>
      <c r="J4" s="358" t="e">
        <f>E4*#REF!/2</f>
        <v>#REF!</v>
      </c>
      <c r="K4" s="359"/>
      <c r="L4" s="362"/>
      <c r="M4" s="355">
        <v>45926</v>
      </c>
      <c r="N4" s="360">
        <v>2831</v>
      </c>
      <c r="O4" s="360">
        <v>2880</v>
      </c>
      <c r="P4" s="360">
        <f t="shared" si="3"/>
        <v>49</v>
      </c>
      <c r="Q4" s="360">
        <f t="shared" si="4"/>
        <v>49000</v>
      </c>
      <c r="R4" s="360">
        <v>0</v>
      </c>
      <c r="S4" s="360">
        <f t="shared" si="5"/>
        <v>49000</v>
      </c>
      <c r="T4" s="361"/>
      <c r="U4" s="358" t="e">
        <f>P4*#REF!/2</f>
        <v>#REF!</v>
      </c>
      <c r="V4" s="359"/>
      <c r="W4" s="362"/>
      <c r="X4" s="355">
        <v>45926</v>
      </c>
      <c r="Y4" s="360">
        <v>7104</v>
      </c>
      <c r="Z4" s="360">
        <v>7134</v>
      </c>
      <c r="AA4" s="360">
        <f t="shared" si="6"/>
        <v>30</v>
      </c>
      <c r="AB4" s="360">
        <f t="shared" si="7"/>
        <v>30000</v>
      </c>
      <c r="AC4" s="360">
        <v>0</v>
      </c>
      <c r="AD4" s="360">
        <f t="shared" si="8"/>
        <v>30000</v>
      </c>
      <c r="AE4" s="361"/>
      <c r="AF4" s="358" t="e">
        <f>AA4*#REF!/2</f>
        <v>#REF!</v>
      </c>
      <c r="AG4" s="359"/>
      <c r="AH4" s="362"/>
    </row>
    <row r="5" spans="2:34" ht="16.5" x14ac:dyDescent="0.35">
      <c r="B5" s="355">
        <v>45929</v>
      </c>
      <c r="C5" s="360">
        <v>17209</v>
      </c>
      <c r="D5" s="360">
        <v>17237</v>
      </c>
      <c r="E5" s="360">
        <f t="shared" si="0"/>
        <v>28</v>
      </c>
      <c r="F5" s="360">
        <f t="shared" si="1"/>
        <v>28000</v>
      </c>
      <c r="G5" s="360">
        <v>0</v>
      </c>
      <c r="H5" s="360">
        <f t="shared" si="2"/>
        <v>28000</v>
      </c>
      <c r="I5" s="361"/>
      <c r="J5" s="358" t="e">
        <f>E5*#REF!/2</f>
        <v>#REF!</v>
      </c>
      <c r="K5" s="359"/>
      <c r="L5" s="362"/>
      <c r="M5" s="355">
        <v>45929</v>
      </c>
      <c r="N5" s="360">
        <v>2880</v>
      </c>
      <c r="O5" s="360">
        <v>2930</v>
      </c>
      <c r="P5" s="360">
        <f t="shared" si="3"/>
        <v>50</v>
      </c>
      <c r="Q5" s="360">
        <f t="shared" si="4"/>
        <v>50000</v>
      </c>
      <c r="R5" s="360">
        <v>0</v>
      </c>
      <c r="S5" s="360">
        <f t="shared" si="5"/>
        <v>50000</v>
      </c>
      <c r="T5" s="361"/>
      <c r="U5" s="358" t="e">
        <f>P5*#REF!/2</f>
        <v>#REF!</v>
      </c>
      <c r="V5" s="359"/>
      <c r="W5" s="362"/>
      <c r="X5" s="355">
        <v>45929</v>
      </c>
      <c r="Y5" s="360">
        <v>7134</v>
      </c>
      <c r="Z5" s="360">
        <v>7148</v>
      </c>
      <c r="AA5" s="360">
        <f t="shared" si="6"/>
        <v>14</v>
      </c>
      <c r="AB5" s="360">
        <f t="shared" si="7"/>
        <v>14000</v>
      </c>
      <c r="AC5" s="360">
        <v>0</v>
      </c>
      <c r="AD5" s="360">
        <f t="shared" si="8"/>
        <v>14000</v>
      </c>
      <c r="AE5" s="361"/>
      <c r="AF5" s="358" t="e">
        <f>AA5*#REF!/2</f>
        <v>#REF!</v>
      </c>
      <c r="AG5" s="359"/>
      <c r="AH5" s="362"/>
    </row>
    <row r="6" spans="2:34" ht="16.5" x14ac:dyDescent="0.35">
      <c r="B6" s="355">
        <v>45933</v>
      </c>
      <c r="C6" s="360">
        <v>17237</v>
      </c>
      <c r="D6" s="360">
        <v>17259</v>
      </c>
      <c r="E6" s="360">
        <f t="shared" si="0"/>
        <v>22</v>
      </c>
      <c r="F6" s="360">
        <f t="shared" si="1"/>
        <v>22000</v>
      </c>
      <c r="G6" s="360">
        <v>0</v>
      </c>
      <c r="H6" s="360">
        <f t="shared" si="2"/>
        <v>22000</v>
      </c>
      <c r="I6" s="361"/>
      <c r="J6" s="358" t="e">
        <f>E6*#REF!/2</f>
        <v>#REF!</v>
      </c>
      <c r="K6" s="363"/>
      <c r="L6" s="364"/>
      <c r="M6" s="355">
        <v>45933</v>
      </c>
      <c r="N6" s="360">
        <v>2930</v>
      </c>
      <c r="O6" s="360">
        <v>3056</v>
      </c>
      <c r="P6" s="360">
        <f t="shared" si="3"/>
        <v>126</v>
      </c>
      <c r="Q6" s="360">
        <f t="shared" si="4"/>
        <v>126000</v>
      </c>
      <c r="R6" s="360">
        <v>0</v>
      </c>
      <c r="S6" s="360">
        <f t="shared" si="5"/>
        <v>126000</v>
      </c>
      <c r="T6" s="361"/>
      <c r="U6" s="358" t="e">
        <f>P6*#REF!/2</f>
        <v>#REF!</v>
      </c>
      <c r="V6" s="363"/>
      <c r="W6" s="364"/>
      <c r="X6" s="355">
        <v>45933</v>
      </c>
      <c r="Y6" s="360">
        <v>7148</v>
      </c>
      <c r="Z6" s="360">
        <v>7156</v>
      </c>
      <c r="AA6" s="360">
        <f t="shared" si="6"/>
        <v>8</v>
      </c>
      <c r="AB6" s="360">
        <f t="shared" si="7"/>
        <v>8000</v>
      </c>
      <c r="AC6" s="360">
        <v>0</v>
      </c>
      <c r="AD6" s="360">
        <f t="shared" si="8"/>
        <v>8000</v>
      </c>
      <c r="AE6" s="361"/>
      <c r="AF6" s="358" t="e">
        <f>AA6*#REF!/2</f>
        <v>#REF!</v>
      </c>
      <c r="AG6" s="363"/>
      <c r="AH6" s="364"/>
    </row>
    <row r="7" spans="2:34" ht="16.5" x14ac:dyDescent="0.35">
      <c r="B7" s="355">
        <v>45936</v>
      </c>
      <c r="C7" s="360">
        <v>17259</v>
      </c>
      <c r="D7" s="360">
        <v>17275</v>
      </c>
      <c r="E7" s="360">
        <f t="shared" si="0"/>
        <v>16</v>
      </c>
      <c r="F7" s="360">
        <f t="shared" si="1"/>
        <v>16000</v>
      </c>
      <c r="G7" s="360">
        <v>0</v>
      </c>
      <c r="H7" s="360">
        <f t="shared" si="2"/>
        <v>16000</v>
      </c>
      <c r="I7" s="361"/>
      <c r="J7" s="358" t="e">
        <f>E7*#REF!/2</f>
        <v>#REF!</v>
      </c>
      <c r="K7" s="363"/>
      <c r="L7" s="364"/>
      <c r="M7" s="355">
        <v>45936</v>
      </c>
      <c r="N7" s="360">
        <v>3056</v>
      </c>
      <c r="O7" s="360">
        <v>3073</v>
      </c>
      <c r="P7" s="360">
        <f t="shared" si="3"/>
        <v>17</v>
      </c>
      <c r="Q7" s="360">
        <f t="shared" si="4"/>
        <v>17000</v>
      </c>
      <c r="R7" s="360">
        <v>0</v>
      </c>
      <c r="S7" s="360">
        <f t="shared" si="5"/>
        <v>17000</v>
      </c>
      <c r="T7" s="361"/>
      <c r="U7" s="358" t="e">
        <f>P7*#REF!/2</f>
        <v>#REF!</v>
      </c>
      <c r="V7" s="363"/>
      <c r="W7" s="364"/>
      <c r="X7" s="355">
        <v>45936</v>
      </c>
      <c r="Y7" s="360">
        <v>7156</v>
      </c>
      <c r="Z7" s="360">
        <v>7170</v>
      </c>
      <c r="AA7" s="360">
        <f t="shared" si="6"/>
        <v>14</v>
      </c>
      <c r="AB7" s="360">
        <f t="shared" si="7"/>
        <v>14000</v>
      </c>
      <c r="AC7" s="360">
        <v>0</v>
      </c>
      <c r="AD7" s="360">
        <f t="shared" si="8"/>
        <v>14000</v>
      </c>
      <c r="AE7" s="361"/>
      <c r="AF7" s="358" t="e">
        <f>AA7*#REF!/2</f>
        <v>#REF!</v>
      </c>
      <c r="AG7" s="363"/>
      <c r="AH7" s="364"/>
    </row>
    <row r="8" spans="2:34" ht="16.5" x14ac:dyDescent="0.35">
      <c r="B8" s="355">
        <v>45940</v>
      </c>
      <c r="C8" s="360">
        <v>17275</v>
      </c>
      <c r="D8" s="360">
        <v>17341</v>
      </c>
      <c r="E8" s="360">
        <f t="shared" si="0"/>
        <v>66</v>
      </c>
      <c r="F8" s="360">
        <f t="shared" si="1"/>
        <v>66000</v>
      </c>
      <c r="G8" s="360">
        <v>0</v>
      </c>
      <c r="H8" s="360">
        <f t="shared" si="2"/>
        <v>66000</v>
      </c>
      <c r="I8" s="361"/>
      <c r="J8" s="358" t="e">
        <f>E8*#REF!/2</f>
        <v>#REF!</v>
      </c>
      <c r="K8" s="363"/>
      <c r="L8" s="364"/>
      <c r="M8" s="355">
        <v>45940</v>
      </c>
      <c r="N8" s="360">
        <v>3073</v>
      </c>
      <c r="O8" s="360">
        <v>3086</v>
      </c>
      <c r="P8" s="360">
        <f t="shared" si="3"/>
        <v>13</v>
      </c>
      <c r="Q8" s="360">
        <f t="shared" si="4"/>
        <v>13000</v>
      </c>
      <c r="R8" s="360">
        <v>0</v>
      </c>
      <c r="S8" s="360">
        <f t="shared" si="5"/>
        <v>13000</v>
      </c>
      <c r="T8" s="361"/>
      <c r="U8" s="358" t="e">
        <f>P8*#REF!/2</f>
        <v>#REF!</v>
      </c>
      <c r="V8" s="363"/>
      <c r="W8" s="364"/>
      <c r="X8" s="355">
        <v>45940</v>
      </c>
      <c r="Y8" s="360">
        <v>7170</v>
      </c>
      <c r="Z8" s="360">
        <v>7190</v>
      </c>
      <c r="AA8" s="360">
        <f t="shared" si="6"/>
        <v>20</v>
      </c>
      <c r="AB8" s="360">
        <f t="shared" si="7"/>
        <v>20000</v>
      </c>
      <c r="AC8" s="360">
        <v>0</v>
      </c>
      <c r="AD8" s="360">
        <f t="shared" si="8"/>
        <v>20000</v>
      </c>
      <c r="AE8" s="361"/>
      <c r="AF8" s="358" t="e">
        <f>AA8*#REF!/2</f>
        <v>#REF!</v>
      </c>
      <c r="AG8" s="363"/>
      <c r="AH8" s="364"/>
    </row>
    <row r="9" spans="2:34" ht="16.5" x14ac:dyDescent="0.35">
      <c r="B9" s="355">
        <v>45943</v>
      </c>
      <c r="C9" s="360">
        <v>17341</v>
      </c>
      <c r="D9" s="360">
        <v>17383</v>
      </c>
      <c r="E9" s="360">
        <f t="shared" si="0"/>
        <v>42</v>
      </c>
      <c r="F9" s="360">
        <f t="shared" si="1"/>
        <v>42000</v>
      </c>
      <c r="G9" s="360">
        <v>0</v>
      </c>
      <c r="H9" s="360">
        <f t="shared" si="2"/>
        <v>42000</v>
      </c>
      <c r="I9" s="361"/>
      <c r="J9" s="358" t="e">
        <f>E9*#REF!/2</f>
        <v>#REF!</v>
      </c>
      <c r="K9" s="363"/>
      <c r="L9" s="364"/>
      <c r="M9" s="355">
        <v>45943</v>
      </c>
      <c r="N9" s="360">
        <v>3086</v>
      </c>
      <c r="O9" s="360">
        <v>3099</v>
      </c>
      <c r="P9" s="360">
        <f t="shared" si="3"/>
        <v>13</v>
      </c>
      <c r="Q9" s="360">
        <f t="shared" si="4"/>
        <v>13000</v>
      </c>
      <c r="R9" s="360">
        <v>0</v>
      </c>
      <c r="S9" s="360">
        <f t="shared" si="5"/>
        <v>13000</v>
      </c>
      <c r="T9" s="361"/>
      <c r="U9" s="358" t="e">
        <f>P9*#REF!/2</f>
        <v>#REF!</v>
      </c>
      <c r="V9" s="363"/>
      <c r="W9" s="364"/>
      <c r="X9" s="355">
        <v>45943</v>
      </c>
      <c r="Y9" s="360">
        <v>7190</v>
      </c>
      <c r="Z9" s="360">
        <v>7204</v>
      </c>
      <c r="AA9" s="360">
        <f t="shared" si="6"/>
        <v>14</v>
      </c>
      <c r="AB9" s="360">
        <f t="shared" si="7"/>
        <v>14000</v>
      </c>
      <c r="AC9" s="360">
        <v>0</v>
      </c>
      <c r="AD9" s="360">
        <f t="shared" si="8"/>
        <v>14000</v>
      </c>
      <c r="AE9" s="361"/>
      <c r="AF9" s="358" t="e">
        <f>AA9*#REF!/2</f>
        <v>#REF!</v>
      </c>
      <c r="AG9" s="363"/>
      <c r="AH9" s="364"/>
    </row>
    <row r="10" spans="2:34" ht="16.5" x14ac:dyDescent="0.35">
      <c r="B10" s="355">
        <v>45947</v>
      </c>
      <c r="C10" s="360">
        <v>17383</v>
      </c>
      <c r="D10" s="360">
        <v>17463</v>
      </c>
      <c r="E10" s="360">
        <f t="shared" si="0"/>
        <v>80</v>
      </c>
      <c r="F10" s="360">
        <f t="shared" si="1"/>
        <v>80000</v>
      </c>
      <c r="G10" s="360">
        <v>0</v>
      </c>
      <c r="H10" s="360">
        <f t="shared" si="2"/>
        <v>80000</v>
      </c>
      <c r="I10" s="361"/>
      <c r="J10" s="358" t="e">
        <f>E10*#REF!/2</f>
        <v>#REF!</v>
      </c>
      <c r="K10" s="363"/>
      <c r="L10" s="364"/>
      <c r="M10" s="355">
        <v>45947</v>
      </c>
      <c r="N10" s="360">
        <v>3099</v>
      </c>
      <c r="O10" s="360">
        <v>3129</v>
      </c>
      <c r="P10" s="360">
        <f t="shared" si="3"/>
        <v>30</v>
      </c>
      <c r="Q10" s="360">
        <f t="shared" si="4"/>
        <v>30000</v>
      </c>
      <c r="R10" s="360">
        <v>0</v>
      </c>
      <c r="S10" s="360">
        <f t="shared" si="5"/>
        <v>30000</v>
      </c>
      <c r="T10" s="361"/>
      <c r="U10" s="358" t="e">
        <f>P10*#REF!/2</f>
        <v>#REF!</v>
      </c>
      <c r="V10" s="363"/>
      <c r="W10" s="364"/>
      <c r="X10" s="355">
        <v>45947</v>
      </c>
      <c r="Y10" s="360">
        <v>7204</v>
      </c>
      <c r="Z10" s="360">
        <v>7220</v>
      </c>
      <c r="AA10" s="360">
        <f t="shared" si="6"/>
        <v>16</v>
      </c>
      <c r="AB10" s="360">
        <f t="shared" si="7"/>
        <v>16000</v>
      </c>
      <c r="AC10" s="360">
        <v>0</v>
      </c>
      <c r="AD10" s="360">
        <f t="shared" si="8"/>
        <v>16000</v>
      </c>
      <c r="AE10" s="361"/>
      <c r="AF10" s="358" t="e">
        <f>AA10*#REF!/2</f>
        <v>#REF!</v>
      </c>
      <c r="AG10" s="363"/>
      <c r="AH10" s="364"/>
    </row>
    <row r="11" spans="2:34" ht="16.5" x14ac:dyDescent="0.35">
      <c r="B11" s="355">
        <v>45950</v>
      </c>
      <c r="C11" s="360">
        <v>17463</v>
      </c>
      <c r="D11" s="360">
        <v>17652</v>
      </c>
      <c r="E11" s="360">
        <f t="shared" si="0"/>
        <v>189</v>
      </c>
      <c r="F11" s="360">
        <f t="shared" si="1"/>
        <v>189000</v>
      </c>
      <c r="G11" s="360">
        <v>0</v>
      </c>
      <c r="H11" s="360">
        <f t="shared" si="2"/>
        <v>189000</v>
      </c>
      <c r="I11" s="361"/>
      <c r="J11" s="358" t="e">
        <f>E11*#REF!/2</f>
        <v>#REF!</v>
      </c>
      <c r="K11" s="363"/>
      <c r="L11" s="364" t="s">
        <v>179</v>
      </c>
      <c r="M11" s="355">
        <v>45950</v>
      </c>
      <c r="N11" s="360">
        <v>3129</v>
      </c>
      <c r="O11" s="360">
        <v>3192</v>
      </c>
      <c r="P11" s="360">
        <f t="shared" si="3"/>
        <v>63</v>
      </c>
      <c r="Q11" s="360">
        <f t="shared" si="4"/>
        <v>63000</v>
      </c>
      <c r="R11" s="360">
        <v>0</v>
      </c>
      <c r="S11" s="360">
        <f t="shared" si="5"/>
        <v>63000</v>
      </c>
      <c r="T11" s="361"/>
      <c r="U11" s="358" t="e">
        <f>P11*#REF!/2</f>
        <v>#REF!</v>
      </c>
      <c r="V11" s="363"/>
      <c r="W11" s="364" t="s">
        <v>179</v>
      </c>
      <c r="X11" s="355">
        <v>45950</v>
      </c>
      <c r="Y11" s="360">
        <v>7220</v>
      </c>
      <c r="Z11" s="360">
        <v>7238</v>
      </c>
      <c r="AA11" s="360">
        <f t="shared" si="6"/>
        <v>18</v>
      </c>
      <c r="AB11" s="360">
        <f t="shared" si="7"/>
        <v>18000</v>
      </c>
      <c r="AC11" s="360">
        <v>0</v>
      </c>
      <c r="AD11" s="360">
        <f t="shared" si="8"/>
        <v>18000</v>
      </c>
      <c r="AE11" s="361"/>
      <c r="AF11" s="358" t="e">
        <f>AA11*#REF!/2</f>
        <v>#REF!</v>
      </c>
      <c r="AG11" s="363"/>
      <c r="AH11" s="364" t="s">
        <v>179</v>
      </c>
    </row>
    <row r="12" spans="2:34" ht="16.5" x14ac:dyDescent="0.35">
      <c r="B12" s="355"/>
      <c r="C12" s="360"/>
      <c r="D12" s="360"/>
      <c r="E12" s="360">
        <f t="shared" si="0"/>
        <v>0</v>
      </c>
      <c r="F12" s="360">
        <f t="shared" si="1"/>
        <v>0</v>
      </c>
      <c r="G12" s="360">
        <v>0</v>
      </c>
      <c r="H12" s="360">
        <f t="shared" si="2"/>
        <v>0</v>
      </c>
      <c r="I12" s="361"/>
      <c r="J12" s="358" t="e">
        <f>E12*#REF!/2</f>
        <v>#REF!</v>
      </c>
      <c r="K12" s="363"/>
      <c r="L12" s="364"/>
      <c r="M12" s="355"/>
      <c r="N12" s="360"/>
      <c r="O12" s="360"/>
      <c r="P12" s="360">
        <f t="shared" si="3"/>
        <v>0</v>
      </c>
      <c r="Q12" s="360">
        <f t="shared" si="4"/>
        <v>0</v>
      </c>
      <c r="R12" s="360">
        <v>0</v>
      </c>
      <c r="S12" s="360">
        <f t="shared" si="5"/>
        <v>0</v>
      </c>
      <c r="T12" s="361"/>
      <c r="U12" s="358" t="e">
        <f>P12*#REF!/2</f>
        <v>#REF!</v>
      </c>
      <c r="V12" s="363"/>
      <c r="W12" s="364"/>
      <c r="X12" s="355"/>
      <c r="Y12" s="360"/>
      <c r="Z12" s="360"/>
      <c r="AA12" s="360">
        <f t="shared" si="6"/>
        <v>0</v>
      </c>
      <c r="AB12" s="360">
        <f t="shared" si="7"/>
        <v>0</v>
      </c>
      <c r="AC12" s="360">
        <v>0</v>
      </c>
      <c r="AD12" s="360">
        <f t="shared" si="8"/>
        <v>0</v>
      </c>
      <c r="AE12" s="361"/>
      <c r="AF12" s="358" t="e">
        <f>AA12*#REF!/2</f>
        <v>#REF!</v>
      </c>
      <c r="AG12" s="363"/>
      <c r="AH12" s="364"/>
    </row>
    <row r="13" spans="2:34" ht="16.5" x14ac:dyDescent="0.35">
      <c r="B13" s="355"/>
      <c r="C13" s="360"/>
      <c r="D13" s="360"/>
      <c r="E13" s="360">
        <f t="shared" si="0"/>
        <v>0</v>
      </c>
      <c r="F13" s="360">
        <f t="shared" si="1"/>
        <v>0</v>
      </c>
      <c r="G13" s="360">
        <v>0</v>
      </c>
      <c r="H13" s="360">
        <f t="shared" si="2"/>
        <v>0</v>
      </c>
      <c r="I13" s="361"/>
      <c r="J13" s="358" t="e">
        <f>E13*#REF!/2</f>
        <v>#REF!</v>
      </c>
      <c r="K13" s="363"/>
      <c r="L13" s="364"/>
      <c r="M13" s="355"/>
      <c r="N13" s="360"/>
      <c r="O13" s="360"/>
      <c r="P13" s="360">
        <f t="shared" si="3"/>
        <v>0</v>
      </c>
      <c r="Q13" s="360">
        <f t="shared" si="4"/>
        <v>0</v>
      </c>
      <c r="R13" s="360">
        <v>0</v>
      </c>
      <c r="S13" s="360">
        <f t="shared" si="5"/>
        <v>0</v>
      </c>
      <c r="T13" s="361"/>
      <c r="U13" s="358" t="e">
        <f>P13*#REF!/2</f>
        <v>#REF!</v>
      </c>
      <c r="V13" s="363"/>
      <c r="W13" s="365"/>
      <c r="X13" s="355"/>
      <c r="Y13" s="360"/>
      <c r="Z13" s="360"/>
      <c r="AA13" s="360">
        <f t="shared" si="6"/>
        <v>0</v>
      </c>
      <c r="AB13" s="360">
        <f t="shared" si="7"/>
        <v>0</v>
      </c>
      <c r="AC13" s="360">
        <v>0</v>
      </c>
      <c r="AD13" s="360">
        <f t="shared" si="8"/>
        <v>0</v>
      </c>
      <c r="AE13" s="361"/>
      <c r="AF13" s="358" t="e">
        <f>AA13*#REF!/2</f>
        <v>#REF!</v>
      </c>
      <c r="AG13" s="363"/>
      <c r="AH13" s="365"/>
    </row>
    <row r="14" spans="2:34" ht="16.5" x14ac:dyDescent="0.35">
      <c r="B14" s="355"/>
      <c r="C14" s="360"/>
      <c r="D14" s="360"/>
      <c r="E14" s="360">
        <f t="shared" si="0"/>
        <v>0</v>
      </c>
      <c r="F14" s="360">
        <f t="shared" si="1"/>
        <v>0</v>
      </c>
      <c r="G14" s="360">
        <v>0</v>
      </c>
      <c r="H14" s="360">
        <f t="shared" si="2"/>
        <v>0</v>
      </c>
      <c r="I14" s="361"/>
      <c r="J14" s="358" t="e">
        <f>E14*#REF!/2</f>
        <v>#REF!</v>
      </c>
      <c r="K14" s="363"/>
      <c r="L14" s="365"/>
      <c r="M14" s="355"/>
      <c r="N14" s="360"/>
      <c r="O14" s="360"/>
      <c r="P14" s="360">
        <f t="shared" si="3"/>
        <v>0</v>
      </c>
      <c r="Q14" s="360">
        <f t="shared" si="4"/>
        <v>0</v>
      </c>
      <c r="R14" s="360">
        <v>0</v>
      </c>
      <c r="S14" s="360">
        <f t="shared" si="5"/>
        <v>0</v>
      </c>
      <c r="T14" s="361"/>
      <c r="U14" s="358" t="e">
        <f>P14*#REF!/2</f>
        <v>#REF!</v>
      </c>
      <c r="V14" s="363"/>
      <c r="W14" s="365"/>
      <c r="X14" s="355"/>
      <c r="Y14" s="360"/>
      <c r="Z14" s="360"/>
      <c r="AA14" s="360">
        <f t="shared" si="6"/>
        <v>0</v>
      </c>
      <c r="AB14" s="360">
        <f t="shared" si="7"/>
        <v>0</v>
      </c>
      <c r="AC14" s="360">
        <v>0</v>
      </c>
      <c r="AD14" s="360">
        <f t="shared" si="8"/>
        <v>0</v>
      </c>
      <c r="AE14" s="361"/>
      <c r="AF14" s="358" t="e">
        <f>AA14*#REF!/2</f>
        <v>#REF!</v>
      </c>
      <c r="AG14" s="363"/>
      <c r="AH14" s="365"/>
    </row>
    <row r="15" spans="2:34" ht="17.25" thickBot="1" x14ac:dyDescent="0.4">
      <c r="B15" s="366"/>
      <c r="C15" s="367"/>
      <c r="D15" s="368"/>
      <c r="E15" s="368">
        <f t="shared" si="0"/>
        <v>0</v>
      </c>
      <c r="F15" s="368">
        <f t="shared" si="1"/>
        <v>0</v>
      </c>
      <c r="G15" s="368">
        <v>0</v>
      </c>
      <c r="H15" s="368">
        <f t="shared" si="2"/>
        <v>0</v>
      </c>
      <c r="I15" s="369"/>
      <c r="J15" s="370" t="e">
        <f>E15*#REF!/2</f>
        <v>#REF!</v>
      </c>
      <c r="K15" s="371"/>
      <c r="L15" s="364" t="s">
        <v>180</v>
      </c>
      <c r="M15" s="372"/>
      <c r="N15" s="373"/>
      <c r="O15" s="373"/>
      <c r="P15" s="373">
        <f t="shared" si="3"/>
        <v>0</v>
      </c>
      <c r="Q15" s="373">
        <f t="shared" si="4"/>
        <v>0</v>
      </c>
      <c r="R15" s="373">
        <v>0</v>
      </c>
      <c r="S15" s="373">
        <f t="shared" si="5"/>
        <v>0</v>
      </c>
      <c r="T15" s="374"/>
      <c r="U15" s="375" t="e">
        <f>P15*#REF!/2</f>
        <v>#REF!</v>
      </c>
      <c r="V15" s="371"/>
      <c r="W15" s="364" t="s">
        <v>180</v>
      </c>
      <c r="X15" s="372"/>
      <c r="Y15" s="373"/>
      <c r="Z15" s="373"/>
      <c r="AA15" s="373">
        <f t="shared" si="6"/>
        <v>0</v>
      </c>
      <c r="AB15" s="373">
        <f t="shared" si="7"/>
        <v>0</v>
      </c>
      <c r="AC15" s="373">
        <v>0</v>
      </c>
      <c r="AD15" s="373">
        <f t="shared" si="8"/>
        <v>0</v>
      </c>
      <c r="AE15" s="374"/>
      <c r="AF15" s="375" t="e">
        <f>AA15*#REF!/2</f>
        <v>#REF!</v>
      </c>
      <c r="AG15" s="371"/>
      <c r="AH15" s="364" t="s">
        <v>180</v>
      </c>
    </row>
    <row r="16" spans="2:34" ht="17.25" thickBot="1" x14ac:dyDescent="0.4">
      <c r="B16" s="376"/>
      <c r="C16" s="368"/>
      <c r="D16" s="368"/>
      <c r="E16" s="368">
        <f t="shared" ref="E16:J16" si="9">SUM(E3:E15)</f>
        <v>475</v>
      </c>
      <c r="F16" s="368">
        <f t="shared" si="9"/>
        <v>475000</v>
      </c>
      <c r="G16" s="368">
        <f t="shared" si="9"/>
        <v>0</v>
      </c>
      <c r="H16" s="368">
        <f t="shared" si="9"/>
        <v>475000</v>
      </c>
      <c r="I16" s="368">
        <f t="shared" si="9"/>
        <v>0</v>
      </c>
      <c r="J16" s="368" t="e">
        <f t="shared" si="9"/>
        <v>#REF!</v>
      </c>
      <c r="K16" s="377" t="e">
        <f>+H16*0.6-G16-J16</f>
        <v>#REF!</v>
      </c>
      <c r="L16" s="378" t="e">
        <f>+K16/H16</f>
        <v>#REF!</v>
      </c>
      <c r="M16" s="376"/>
      <c r="N16" s="368"/>
      <c r="O16" s="368"/>
      <c r="P16" s="368">
        <f t="shared" ref="P16:U16" si="10">SUM(P3:P15)</f>
        <v>384</v>
      </c>
      <c r="Q16" s="368">
        <f t="shared" si="10"/>
        <v>384000</v>
      </c>
      <c r="R16" s="368">
        <f t="shared" si="10"/>
        <v>0</v>
      </c>
      <c r="S16" s="368">
        <f t="shared" si="10"/>
        <v>384000</v>
      </c>
      <c r="T16" s="368">
        <f t="shared" si="10"/>
        <v>0</v>
      </c>
      <c r="U16" s="368" t="e">
        <f t="shared" si="10"/>
        <v>#REF!</v>
      </c>
      <c r="V16" s="377" t="e">
        <f>+S16*0.6-R16-U16</f>
        <v>#REF!</v>
      </c>
      <c r="W16" s="378" t="e">
        <f>+V16/S16</f>
        <v>#REF!</v>
      </c>
      <c r="X16" s="376"/>
      <c r="Y16" s="368"/>
      <c r="Z16" s="368"/>
      <c r="AA16" s="368">
        <f t="shared" ref="AA16:AF16" si="11">SUM(AA3:AA15)</f>
        <v>152</v>
      </c>
      <c r="AB16" s="368">
        <f t="shared" si="11"/>
        <v>152000</v>
      </c>
      <c r="AC16" s="368">
        <f t="shared" si="11"/>
        <v>0</v>
      </c>
      <c r="AD16" s="368">
        <f t="shared" si="11"/>
        <v>152000</v>
      </c>
      <c r="AE16" s="368">
        <f t="shared" si="11"/>
        <v>0</v>
      </c>
      <c r="AF16" s="368" t="e">
        <f t="shared" si="11"/>
        <v>#REF!</v>
      </c>
      <c r="AG16" s="377" t="e">
        <f>+AD16*0.6-AC16-AF16</f>
        <v>#REF!</v>
      </c>
      <c r="AH16" s="378" t="e">
        <f>+AG16/AD16</f>
        <v>#REF!</v>
      </c>
    </row>
    <row r="18" spans="2:34" ht="17.25" thickBot="1" x14ac:dyDescent="0.4">
      <c r="B18" s="346" t="s">
        <v>175</v>
      </c>
      <c r="C18" s="347" t="s">
        <v>176</v>
      </c>
      <c r="D18" s="347"/>
      <c r="E18" s="347"/>
      <c r="F18" s="347"/>
      <c r="G18" s="347"/>
      <c r="H18" s="347"/>
      <c r="I18" s="347"/>
      <c r="J18" s="348">
        <v>473.2</v>
      </c>
      <c r="K18" s="347"/>
      <c r="L18" s="347"/>
      <c r="M18" s="349" t="s">
        <v>177</v>
      </c>
      <c r="N18" s="347"/>
      <c r="O18" s="347"/>
      <c r="P18" s="347"/>
      <c r="Q18" s="347"/>
      <c r="R18" s="347"/>
      <c r="S18" s="347"/>
      <c r="T18" s="347"/>
      <c r="U18" s="348">
        <v>473.2</v>
      </c>
      <c r="V18" s="347"/>
      <c r="W18" s="347"/>
      <c r="X18" s="349" t="s">
        <v>178</v>
      </c>
      <c r="Y18" s="347"/>
      <c r="Z18" s="347"/>
      <c r="AA18" s="347"/>
      <c r="AB18" s="347"/>
      <c r="AC18" s="347"/>
      <c r="AD18" s="347"/>
      <c r="AE18" s="347"/>
      <c r="AF18" s="348">
        <v>473.2</v>
      </c>
      <c r="AG18" s="347"/>
      <c r="AH18" s="347"/>
    </row>
    <row r="19" spans="2:34" ht="17.25" thickBot="1" x14ac:dyDescent="0.4">
      <c r="B19" s="350" t="s">
        <v>142</v>
      </c>
      <c r="C19" s="351" t="s">
        <v>162</v>
      </c>
      <c r="D19" s="351" t="s">
        <v>143</v>
      </c>
      <c r="E19" s="351" t="s">
        <v>144</v>
      </c>
      <c r="F19" s="351" t="s">
        <v>145</v>
      </c>
      <c r="G19" s="351" t="s">
        <v>163</v>
      </c>
      <c r="H19" s="351" t="s">
        <v>164</v>
      </c>
      <c r="I19" s="352" t="s">
        <v>165</v>
      </c>
      <c r="J19" s="353" t="s">
        <v>166</v>
      </c>
      <c r="K19" s="354" t="s">
        <v>146</v>
      </c>
      <c r="L19" s="347"/>
      <c r="M19" s="350" t="s">
        <v>142</v>
      </c>
      <c r="N19" s="351" t="s">
        <v>162</v>
      </c>
      <c r="O19" s="351" t="s">
        <v>143</v>
      </c>
      <c r="P19" s="351" t="s">
        <v>144</v>
      </c>
      <c r="Q19" s="351" t="s">
        <v>145</v>
      </c>
      <c r="R19" s="351" t="s">
        <v>163</v>
      </c>
      <c r="S19" s="351" t="s">
        <v>164</v>
      </c>
      <c r="T19" s="352" t="s">
        <v>165</v>
      </c>
      <c r="U19" s="353" t="s">
        <v>166</v>
      </c>
      <c r="V19" s="354" t="s">
        <v>146</v>
      </c>
      <c r="W19" s="347"/>
      <c r="X19" s="350" t="s">
        <v>142</v>
      </c>
      <c r="Y19" s="351" t="s">
        <v>162</v>
      </c>
      <c r="Z19" s="351" t="s">
        <v>143</v>
      </c>
      <c r="AA19" s="351" t="s">
        <v>144</v>
      </c>
      <c r="AB19" s="351" t="s">
        <v>145</v>
      </c>
      <c r="AC19" s="351" t="s">
        <v>163</v>
      </c>
      <c r="AD19" s="351" t="s">
        <v>164</v>
      </c>
      <c r="AE19" s="352" t="s">
        <v>165</v>
      </c>
      <c r="AF19" s="353" t="s">
        <v>166</v>
      </c>
      <c r="AG19" s="354" t="s">
        <v>146</v>
      </c>
      <c r="AH19" s="347"/>
    </row>
    <row r="20" spans="2:34" ht="16.5" x14ac:dyDescent="0.35">
      <c r="B20" s="355">
        <v>45954</v>
      </c>
      <c r="C20" s="356">
        <v>17652</v>
      </c>
      <c r="D20" s="356">
        <v>17672</v>
      </c>
      <c r="E20" s="356">
        <f t="shared" ref="E20:E32" si="12">+D20-C20</f>
        <v>20</v>
      </c>
      <c r="F20" s="356">
        <f t="shared" ref="F20:F32" si="13">+E20*1000</f>
        <v>20000</v>
      </c>
      <c r="G20" s="356">
        <v>0</v>
      </c>
      <c r="H20" s="356">
        <f t="shared" ref="H20:H32" si="14">+F20-G20</f>
        <v>20000</v>
      </c>
      <c r="I20" s="357"/>
      <c r="J20" s="358" t="e">
        <f>E20*#REF!/2</f>
        <v>#REF!</v>
      </c>
      <c r="K20" s="359"/>
      <c r="L20" s="347"/>
      <c r="M20" s="355">
        <v>45954</v>
      </c>
      <c r="N20" s="356">
        <v>3192</v>
      </c>
      <c r="O20" s="356">
        <v>3200</v>
      </c>
      <c r="P20" s="356">
        <f t="shared" ref="P20:P32" si="15">+O20-N20</f>
        <v>8</v>
      </c>
      <c r="Q20" s="356">
        <f t="shared" ref="Q20:Q32" si="16">+P20*1000</f>
        <v>8000</v>
      </c>
      <c r="R20" s="356">
        <v>0</v>
      </c>
      <c r="S20" s="356">
        <f t="shared" ref="S20:S32" si="17">+Q20-R20</f>
        <v>8000</v>
      </c>
      <c r="T20" s="357"/>
      <c r="U20" s="358" t="e">
        <f>P20*#REF!/2</f>
        <v>#REF!</v>
      </c>
      <c r="V20" s="359"/>
      <c r="W20" s="347"/>
      <c r="X20" s="355">
        <v>45954</v>
      </c>
      <c r="Y20" s="356">
        <v>7238</v>
      </c>
      <c r="Z20" s="356">
        <v>7240</v>
      </c>
      <c r="AA20" s="356">
        <f t="shared" ref="AA20:AA32" si="18">+Z20-Y20</f>
        <v>2</v>
      </c>
      <c r="AB20" s="356">
        <f t="shared" ref="AB20:AB32" si="19">+AA20*1000</f>
        <v>2000</v>
      </c>
      <c r="AC20" s="356">
        <v>0</v>
      </c>
      <c r="AD20" s="356">
        <f t="shared" ref="AD20:AD32" si="20">+AB20-AC20</f>
        <v>2000</v>
      </c>
      <c r="AE20" s="357"/>
      <c r="AF20" s="358" t="e">
        <f>AA20*#REF!/2</f>
        <v>#REF!</v>
      </c>
      <c r="AG20" s="359"/>
      <c r="AH20" s="347"/>
    </row>
    <row r="21" spans="2:34" ht="16.5" x14ac:dyDescent="0.35">
      <c r="B21" s="355">
        <v>45957</v>
      </c>
      <c r="C21" s="360">
        <v>17672</v>
      </c>
      <c r="D21" s="360">
        <v>17704</v>
      </c>
      <c r="E21" s="360">
        <f t="shared" si="12"/>
        <v>32</v>
      </c>
      <c r="F21" s="360">
        <f t="shared" si="13"/>
        <v>32000</v>
      </c>
      <c r="G21" s="360">
        <v>0</v>
      </c>
      <c r="H21" s="360">
        <f t="shared" si="14"/>
        <v>32000</v>
      </c>
      <c r="I21" s="361"/>
      <c r="J21" s="358" t="e">
        <f>E21*#REF!/2</f>
        <v>#REF!</v>
      </c>
      <c r="K21" s="359"/>
      <c r="L21" s="362"/>
      <c r="M21" s="355">
        <v>45957</v>
      </c>
      <c r="N21" s="360">
        <v>3200</v>
      </c>
      <c r="O21" s="360">
        <v>3235</v>
      </c>
      <c r="P21" s="360">
        <f t="shared" si="15"/>
        <v>35</v>
      </c>
      <c r="Q21" s="360">
        <f t="shared" si="16"/>
        <v>35000</v>
      </c>
      <c r="R21" s="360">
        <v>0</v>
      </c>
      <c r="S21" s="360">
        <f t="shared" si="17"/>
        <v>35000</v>
      </c>
      <c r="T21" s="361"/>
      <c r="U21" s="358" t="e">
        <f>P21*#REF!/2</f>
        <v>#REF!</v>
      </c>
      <c r="V21" s="359"/>
      <c r="W21" s="362"/>
      <c r="X21" s="355">
        <v>45957</v>
      </c>
      <c r="Y21" s="360">
        <v>7240</v>
      </c>
      <c r="Z21" s="360">
        <v>7260</v>
      </c>
      <c r="AA21" s="360">
        <f t="shared" si="18"/>
        <v>20</v>
      </c>
      <c r="AB21" s="360">
        <f t="shared" si="19"/>
        <v>20000</v>
      </c>
      <c r="AC21" s="360">
        <v>0</v>
      </c>
      <c r="AD21" s="360">
        <f t="shared" si="20"/>
        <v>20000</v>
      </c>
      <c r="AE21" s="361"/>
      <c r="AF21" s="358" t="e">
        <f>AA21*#REF!/2</f>
        <v>#REF!</v>
      </c>
      <c r="AG21" s="359"/>
      <c r="AH21" s="362"/>
    </row>
    <row r="22" spans="2:34" ht="16.5" x14ac:dyDescent="0.35">
      <c r="B22" s="355">
        <v>45961</v>
      </c>
      <c r="C22" s="360">
        <v>17704</v>
      </c>
      <c r="D22" s="360">
        <v>17722</v>
      </c>
      <c r="E22" s="360">
        <f t="shared" si="12"/>
        <v>18</v>
      </c>
      <c r="F22" s="360">
        <f t="shared" si="13"/>
        <v>18000</v>
      </c>
      <c r="G22" s="360">
        <v>0</v>
      </c>
      <c r="H22" s="360">
        <f t="shared" si="14"/>
        <v>18000</v>
      </c>
      <c r="I22" s="361"/>
      <c r="J22" s="358" t="e">
        <f>E22*#REF!/2</f>
        <v>#REF!</v>
      </c>
      <c r="K22" s="359"/>
      <c r="L22" s="362"/>
      <c r="M22" s="355">
        <v>45961</v>
      </c>
      <c r="N22" s="360">
        <v>3235</v>
      </c>
      <c r="O22" s="360">
        <v>3240</v>
      </c>
      <c r="P22" s="360">
        <f t="shared" si="15"/>
        <v>5</v>
      </c>
      <c r="Q22" s="360">
        <f t="shared" si="16"/>
        <v>5000</v>
      </c>
      <c r="R22" s="360">
        <v>0</v>
      </c>
      <c r="S22" s="360">
        <f t="shared" si="17"/>
        <v>5000</v>
      </c>
      <c r="T22" s="361"/>
      <c r="U22" s="358" t="e">
        <f>P22*#REF!/2</f>
        <v>#REF!</v>
      </c>
      <c r="V22" s="359"/>
      <c r="W22" s="362"/>
      <c r="X22" s="355">
        <v>45961</v>
      </c>
      <c r="Y22" s="360">
        <v>7260</v>
      </c>
      <c r="Z22" s="360">
        <v>7260</v>
      </c>
      <c r="AA22" s="360">
        <f t="shared" si="18"/>
        <v>0</v>
      </c>
      <c r="AB22" s="360">
        <f t="shared" si="19"/>
        <v>0</v>
      </c>
      <c r="AC22" s="360">
        <v>0</v>
      </c>
      <c r="AD22" s="360">
        <f t="shared" si="20"/>
        <v>0</v>
      </c>
      <c r="AE22" s="361"/>
      <c r="AF22" s="358" t="e">
        <f>AA22*#REF!/2</f>
        <v>#REF!</v>
      </c>
      <c r="AG22" s="359"/>
      <c r="AH22" s="362"/>
    </row>
    <row r="23" spans="2:34" ht="16.5" x14ac:dyDescent="0.35">
      <c r="B23" s="355">
        <v>45964</v>
      </c>
      <c r="C23" s="360">
        <v>17722</v>
      </c>
      <c r="D23" s="360">
        <v>17764</v>
      </c>
      <c r="E23" s="360">
        <f t="shared" si="12"/>
        <v>42</v>
      </c>
      <c r="F23" s="360">
        <f t="shared" si="13"/>
        <v>42000</v>
      </c>
      <c r="G23" s="360">
        <v>0</v>
      </c>
      <c r="H23" s="360">
        <f t="shared" si="14"/>
        <v>42000</v>
      </c>
      <c r="I23" s="361"/>
      <c r="J23" s="358" t="e">
        <f>E23*#REF!/2</f>
        <v>#REF!</v>
      </c>
      <c r="K23" s="363"/>
      <c r="L23" s="364"/>
      <c r="M23" s="355">
        <v>45964</v>
      </c>
      <c r="N23" s="360">
        <v>3240</v>
      </c>
      <c r="O23" s="360">
        <v>3254</v>
      </c>
      <c r="P23" s="360">
        <f t="shared" si="15"/>
        <v>14</v>
      </c>
      <c r="Q23" s="360">
        <f t="shared" si="16"/>
        <v>14000</v>
      </c>
      <c r="R23" s="360">
        <v>0</v>
      </c>
      <c r="S23" s="360">
        <f t="shared" si="17"/>
        <v>14000</v>
      </c>
      <c r="T23" s="361"/>
      <c r="U23" s="358" t="e">
        <f>P23*#REF!/2</f>
        <v>#REF!</v>
      </c>
      <c r="V23" s="363"/>
      <c r="W23" s="364"/>
      <c r="X23" s="355">
        <v>45964</v>
      </c>
      <c r="Y23" s="360">
        <v>7260</v>
      </c>
      <c r="Z23" s="360">
        <v>7268</v>
      </c>
      <c r="AA23" s="360">
        <f t="shared" si="18"/>
        <v>8</v>
      </c>
      <c r="AB23" s="360">
        <f t="shared" si="19"/>
        <v>8000</v>
      </c>
      <c r="AC23" s="360">
        <v>0</v>
      </c>
      <c r="AD23" s="360">
        <f t="shared" si="20"/>
        <v>8000</v>
      </c>
      <c r="AE23" s="361"/>
      <c r="AF23" s="358" t="e">
        <f>AA23*#REF!/2</f>
        <v>#REF!</v>
      </c>
      <c r="AG23" s="363"/>
      <c r="AH23" s="364"/>
    </row>
    <row r="24" spans="2:34" ht="16.5" x14ac:dyDescent="0.35">
      <c r="B24" s="355">
        <v>45968</v>
      </c>
      <c r="C24" s="360">
        <v>17764</v>
      </c>
      <c r="D24" s="360">
        <v>17786</v>
      </c>
      <c r="E24" s="360">
        <f t="shared" si="12"/>
        <v>22</v>
      </c>
      <c r="F24" s="360">
        <f t="shared" si="13"/>
        <v>22000</v>
      </c>
      <c r="G24" s="360">
        <v>0</v>
      </c>
      <c r="H24" s="360">
        <f t="shared" si="14"/>
        <v>22000</v>
      </c>
      <c r="I24" s="361"/>
      <c r="J24" s="358" t="e">
        <f>E24*#REF!/2</f>
        <v>#REF!</v>
      </c>
      <c r="K24" s="363"/>
      <c r="L24" s="364"/>
      <c r="M24" s="355">
        <v>45968</v>
      </c>
      <c r="N24" s="360">
        <v>3254</v>
      </c>
      <c r="O24" s="360">
        <v>3282</v>
      </c>
      <c r="P24" s="360">
        <f t="shared" si="15"/>
        <v>28</v>
      </c>
      <c r="Q24" s="360">
        <f t="shared" si="16"/>
        <v>28000</v>
      </c>
      <c r="R24" s="360">
        <v>0</v>
      </c>
      <c r="S24" s="360">
        <f t="shared" si="17"/>
        <v>28000</v>
      </c>
      <c r="T24" s="361"/>
      <c r="U24" s="358" t="e">
        <f>P24*#REF!/2</f>
        <v>#REF!</v>
      </c>
      <c r="V24" s="363"/>
      <c r="W24" s="364"/>
      <c r="X24" s="355">
        <v>45968</v>
      </c>
      <c r="Y24" s="360">
        <v>7268</v>
      </c>
      <c r="Z24" s="360">
        <v>7276</v>
      </c>
      <c r="AA24" s="360">
        <f t="shared" si="18"/>
        <v>8</v>
      </c>
      <c r="AB24" s="360">
        <f t="shared" si="19"/>
        <v>8000</v>
      </c>
      <c r="AC24" s="360">
        <v>0</v>
      </c>
      <c r="AD24" s="360">
        <f t="shared" si="20"/>
        <v>8000</v>
      </c>
      <c r="AE24" s="361"/>
      <c r="AF24" s="358" t="e">
        <f>AA24*#REF!/2</f>
        <v>#REF!</v>
      </c>
      <c r="AG24" s="363"/>
      <c r="AH24" s="364"/>
    </row>
    <row r="25" spans="2:34" ht="16.5" x14ac:dyDescent="0.35">
      <c r="B25" s="355">
        <v>45971</v>
      </c>
      <c r="C25" s="360">
        <v>17786</v>
      </c>
      <c r="D25" s="360">
        <v>17814</v>
      </c>
      <c r="E25" s="360">
        <f t="shared" si="12"/>
        <v>28</v>
      </c>
      <c r="F25" s="360">
        <f t="shared" si="13"/>
        <v>28000</v>
      </c>
      <c r="G25" s="360">
        <v>0</v>
      </c>
      <c r="H25" s="360">
        <f t="shared" si="14"/>
        <v>28000</v>
      </c>
      <c r="I25" s="361"/>
      <c r="J25" s="358" t="e">
        <f>E25*#REF!/2</f>
        <v>#REF!</v>
      </c>
      <c r="K25" s="363"/>
      <c r="L25" s="364"/>
      <c r="M25" s="355">
        <v>45971</v>
      </c>
      <c r="N25" s="360">
        <v>3282</v>
      </c>
      <c r="O25" s="360">
        <v>3293</v>
      </c>
      <c r="P25" s="360">
        <f t="shared" si="15"/>
        <v>11</v>
      </c>
      <c r="Q25" s="360">
        <f t="shared" si="16"/>
        <v>11000</v>
      </c>
      <c r="R25" s="360">
        <v>0</v>
      </c>
      <c r="S25" s="360">
        <f t="shared" si="17"/>
        <v>11000</v>
      </c>
      <c r="T25" s="361"/>
      <c r="U25" s="358" t="e">
        <f>P25*#REF!/2</f>
        <v>#REF!</v>
      </c>
      <c r="V25" s="363"/>
      <c r="W25" s="364"/>
      <c r="X25" s="355">
        <v>45971</v>
      </c>
      <c r="Y25" s="360">
        <v>7276</v>
      </c>
      <c r="Z25" s="360">
        <v>7292</v>
      </c>
      <c r="AA25" s="360">
        <f t="shared" si="18"/>
        <v>16</v>
      </c>
      <c r="AB25" s="360">
        <f t="shared" si="19"/>
        <v>16000</v>
      </c>
      <c r="AC25" s="360">
        <v>0</v>
      </c>
      <c r="AD25" s="360">
        <f t="shared" si="20"/>
        <v>16000</v>
      </c>
      <c r="AE25" s="361"/>
      <c r="AF25" s="358" t="e">
        <f>AA25*#REF!/2</f>
        <v>#REF!</v>
      </c>
      <c r="AG25" s="363"/>
      <c r="AH25" s="364"/>
    </row>
    <row r="26" spans="2:34" ht="16.5" x14ac:dyDescent="0.35">
      <c r="B26" s="355">
        <v>45975</v>
      </c>
      <c r="C26" s="360">
        <v>17814</v>
      </c>
      <c r="D26" s="360">
        <v>17826</v>
      </c>
      <c r="E26" s="360">
        <f t="shared" si="12"/>
        <v>12</v>
      </c>
      <c r="F26" s="360">
        <f t="shared" si="13"/>
        <v>12000</v>
      </c>
      <c r="G26" s="360">
        <v>0</v>
      </c>
      <c r="H26" s="360">
        <f t="shared" si="14"/>
        <v>12000</v>
      </c>
      <c r="I26" s="361"/>
      <c r="J26" s="358" t="e">
        <f>E26*#REF!/2</f>
        <v>#REF!</v>
      </c>
      <c r="K26" s="363"/>
      <c r="L26" s="364"/>
      <c r="M26" s="355">
        <v>45975</v>
      </c>
      <c r="N26" s="360">
        <v>3293</v>
      </c>
      <c r="O26" s="360">
        <v>3297</v>
      </c>
      <c r="P26" s="360">
        <f t="shared" si="15"/>
        <v>4</v>
      </c>
      <c r="Q26" s="360">
        <f t="shared" si="16"/>
        <v>4000</v>
      </c>
      <c r="R26" s="360">
        <v>0</v>
      </c>
      <c r="S26" s="360">
        <f t="shared" si="17"/>
        <v>4000</v>
      </c>
      <c r="T26" s="361"/>
      <c r="U26" s="358" t="e">
        <f>P26*#REF!/2</f>
        <v>#REF!</v>
      </c>
      <c r="V26" s="363"/>
      <c r="W26" s="364"/>
      <c r="X26" s="355">
        <v>45975</v>
      </c>
      <c r="Y26" s="360">
        <v>7292</v>
      </c>
      <c r="Z26" s="360">
        <v>7292</v>
      </c>
      <c r="AA26" s="360">
        <f t="shared" si="18"/>
        <v>0</v>
      </c>
      <c r="AB26" s="360">
        <f t="shared" si="19"/>
        <v>0</v>
      </c>
      <c r="AC26" s="360">
        <v>0</v>
      </c>
      <c r="AD26" s="360">
        <f t="shared" si="20"/>
        <v>0</v>
      </c>
      <c r="AE26" s="361"/>
      <c r="AF26" s="358" t="e">
        <f>AA26*#REF!/2</f>
        <v>#REF!</v>
      </c>
      <c r="AG26" s="363"/>
      <c r="AH26" s="364"/>
    </row>
    <row r="27" spans="2:34" ht="16.5" x14ac:dyDescent="0.35">
      <c r="B27" s="355">
        <v>45978</v>
      </c>
      <c r="C27" s="360">
        <v>17826</v>
      </c>
      <c r="D27" s="360">
        <v>17854</v>
      </c>
      <c r="E27" s="360">
        <f t="shared" si="12"/>
        <v>28</v>
      </c>
      <c r="F27" s="360">
        <f t="shared" si="13"/>
        <v>28000</v>
      </c>
      <c r="G27" s="360">
        <v>0</v>
      </c>
      <c r="H27" s="360">
        <f t="shared" si="14"/>
        <v>28000</v>
      </c>
      <c r="I27" s="361"/>
      <c r="J27" s="358" t="e">
        <f>E27*#REF!/2</f>
        <v>#REF!</v>
      </c>
      <c r="K27" s="363"/>
      <c r="L27" s="364"/>
      <c r="M27" s="355">
        <v>45978</v>
      </c>
      <c r="N27" s="360">
        <v>3297</v>
      </c>
      <c r="O27" s="360">
        <v>3305</v>
      </c>
      <c r="P27" s="360">
        <f t="shared" si="15"/>
        <v>8</v>
      </c>
      <c r="Q27" s="360">
        <f t="shared" si="16"/>
        <v>8000</v>
      </c>
      <c r="R27" s="360">
        <v>0</v>
      </c>
      <c r="S27" s="360">
        <f t="shared" si="17"/>
        <v>8000</v>
      </c>
      <c r="T27" s="361"/>
      <c r="U27" s="358" t="e">
        <f>P27*#REF!/2</f>
        <v>#REF!</v>
      </c>
      <c r="V27" s="363"/>
      <c r="W27" s="364"/>
      <c r="X27" s="355">
        <v>45978</v>
      </c>
      <c r="Y27" s="360">
        <v>7292</v>
      </c>
      <c r="Z27" s="360">
        <v>7304</v>
      </c>
      <c r="AA27" s="360">
        <f t="shared" si="18"/>
        <v>12</v>
      </c>
      <c r="AB27" s="360">
        <f t="shared" si="19"/>
        <v>12000</v>
      </c>
      <c r="AC27" s="360">
        <v>0</v>
      </c>
      <c r="AD27" s="360">
        <f t="shared" si="20"/>
        <v>12000</v>
      </c>
      <c r="AE27" s="361"/>
      <c r="AF27" s="358" t="e">
        <f>AA27*#REF!/2</f>
        <v>#REF!</v>
      </c>
      <c r="AG27" s="363"/>
      <c r="AH27" s="364"/>
    </row>
    <row r="28" spans="2:34" ht="16.5" x14ac:dyDescent="0.35">
      <c r="B28" s="355">
        <v>45981</v>
      </c>
      <c r="C28" s="360">
        <v>17854</v>
      </c>
      <c r="D28" s="360">
        <v>17870</v>
      </c>
      <c r="E28" s="360">
        <f t="shared" si="12"/>
        <v>16</v>
      </c>
      <c r="F28" s="360">
        <f t="shared" si="13"/>
        <v>16000</v>
      </c>
      <c r="G28" s="360">
        <v>0</v>
      </c>
      <c r="H28" s="360">
        <f t="shared" si="14"/>
        <v>16000</v>
      </c>
      <c r="I28" s="361"/>
      <c r="J28" s="358" t="e">
        <f>E28*#REF!/2</f>
        <v>#REF!</v>
      </c>
      <c r="K28" s="363"/>
      <c r="L28" s="364" t="s">
        <v>179</v>
      </c>
      <c r="M28" s="355">
        <v>45981</v>
      </c>
      <c r="N28" s="360">
        <v>3305</v>
      </c>
      <c r="O28" s="360">
        <v>3307</v>
      </c>
      <c r="P28" s="360">
        <f t="shared" si="15"/>
        <v>2</v>
      </c>
      <c r="Q28" s="360">
        <f t="shared" si="16"/>
        <v>2000</v>
      </c>
      <c r="R28" s="360">
        <v>0</v>
      </c>
      <c r="S28" s="360">
        <f t="shared" si="17"/>
        <v>2000</v>
      </c>
      <c r="T28" s="361"/>
      <c r="U28" s="358" t="e">
        <f>P28*#REF!/2</f>
        <v>#REF!</v>
      </c>
      <c r="V28" s="363"/>
      <c r="W28" s="364" t="s">
        <v>179</v>
      </c>
      <c r="X28" s="355">
        <v>45981</v>
      </c>
      <c r="Y28" s="360">
        <v>7304</v>
      </c>
      <c r="Z28" s="360">
        <v>7308</v>
      </c>
      <c r="AA28" s="360">
        <f t="shared" si="18"/>
        <v>4</v>
      </c>
      <c r="AB28" s="360">
        <f t="shared" si="19"/>
        <v>4000</v>
      </c>
      <c r="AC28" s="360">
        <v>0</v>
      </c>
      <c r="AD28" s="360">
        <f t="shared" si="20"/>
        <v>4000</v>
      </c>
      <c r="AE28" s="361"/>
      <c r="AF28" s="358" t="e">
        <f>AA28*#REF!/2</f>
        <v>#REF!</v>
      </c>
      <c r="AG28" s="363"/>
      <c r="AH28" s="364" t="s">
        <v>179</v>
      </c>
    </row>
    <row r="29" spans="2:34" ht="16.5" x14ac:dyDescent="0.35">
      <c r="B29" s="355"/>
      <c r="C29" s="360"/>
      <c r="D29" s="360"/>
      <c r="E29" s="360">
        <f t="shared" si="12"/>
        <v>0</v>
      </c>
      <c r="F29" s="360">
        <f t="shared" si="13"/>
        <v>0</v>
      </c>
      <c r="G29" s="360">
        <v>0</v>
      </c>
      <c r="H29" s="360">
        <f t="shared" si="14"/>
        <v>0</v>
      </c>
      <c r="I29" s="361"/>
      <c r="J29" s="358" t="e">
        <f>E29*#REF!/2</f>
        <v>#REF!</v>
      </c>
      <c r="K29" s="363"/>
      <c r="L29" s="364"/>
      <c r="M29" s="355"/>
      <c r="N29" s="360"/>
      <c r="O29" s="360"/>
      <c r="P29" s="360">
        <f t="shared" si="15"/>
        <v>0</v>
      </c>
      <c r="Q29" s="360">
        <f t="shared" si="16"/>
        <v>0</v>
      </c>
      <c r="R29" s="360">
        <v>0</v>
      </c>
      <c r="S29" s="360">
        <f t="shared" si="17"/>
        <v>0</v>
      </c>
      <c r="T29" s="361"/>
      <c r="U29" s="358" t="e">
        <f>P29*#REF!/2</f>
        <v>#REF!</v>
      </c>
      <c r="V29" s="363"/>
      <c r="W29" s="364"/>
      <c r="X29" s="355"/>
      <c r="Y29" s="360"/>
      <c r="Z29" s="360"/>
      <c r="AA29" s="360">
        <f t="shared" si="18"/>
        <v>0</v>
      </c>
      <c r="AB29" s="360">
        <f t="shared" si="19"/>
        <v>0</v>
      </c>
      <c r="AC29" s="360">
        <v>0</v>
      </c>
      <c r="AD29" s="360">
        <f t="shared" si="20"/>
        <v>0</v>
      </c>
      <c r="AE29" s="361"/>
      <c r="AF29" s="358" t="e">
        <f>AA29*#REF!/2</f>
        <v>#REF!</v>
      </c>
      <c r="AG29" s="363"/>
      <c r="AH29" s="364"/>
    </row>
    <row r="30" spans="2:34" ht="16.5" x14ac:dyDescent="0.35">
      <c r="B30" s="355"/>
      <c r="C30" s="360"/>
      <c r="D30" s="360"/>
      <c r="E30" s="360">
        <f t="shared" si="12"/>
        <v>0</v>
      </c>
      <c r="F30" s="360">
        <f t="shared" si="13"/>
        <v>0</v>
      </c>
      <c r="G30" s="360">
        <v>0</v>
      </c>
      <c r="H30" s="360">
        <f t="shared" si="14"/>
        <v>0</v>
      </c>
      <c r="I30" s="361"/>
      <c r="J30" s="358" t="e">
        <f>E30*#REF!/2</f>
        <v>#REF!</v>
      </c>
      <c r="K30" s="363"/>
      <c r="L30" s="364"/>
      <c r="M30" s="355"/>
      <c r="N30" s="360"/>
      <c r="O30" s="360"/>
      <c r="P30" s="360">
        <f t="shared" si="15"/>
        <v>0</v>
      </c>
      <c r="Q30" s="360">
        <f t="shared" si="16"/>
        <v>0</v>
      </c>
      <c r="R30" s="360">
        <v>0</v>
      </c>
      <c r="S30" s="360">
        <f t="shared" si="17"/>
        <v>0</v>
      </c>
      <c r="T30" s="361"/>
      <c r="U30" s="358" t="e">
        <f>P30*#REF!/2</f>
        <v>#REF!</v>
      </c>
      <c r="V30" s="363"/>
      <c r="W30" s="365"/>
      <c r="X30" s="355"/>
      <c r="Y30" s="360"/>
      <c r="Z30" s="360"/>
      <c r="AA30" s="360">
        <f t="shared" si="18"/>
        <v>0</v>
      </c>
      <c r="AB30" s="360">
        <f t="shared" si="19"/>
        <v>0</v>
      </c>
      <c r="AC30" s="360">
        <v>0</v>
      </c>
      <c r="AD30" s="360">
        <f t="shared" si="20"/>
        <v>0</v>
      </c>
      <c r="AE30" s="361"/>
      <c r="AF30" s="358" t="e">
        <f>AA30*#REF!/2</f>
        <v>#REF!</v>
      </c>
      <c r="AG30" s="363"/>
      <c r="AH30" s="365"/>
    </row>
    <row r="31" spans="2:34" ht="16.5" x14ac:dyDescent="0.35">
      <c r="B31" s="355"/>
      <c r="C31" s="360"/>
      <c r="D31" s="360"/>
      <c r="E31" s="360">
        <f t="shared" si="12"/>
        <v>0</v>
      </c>
      <c r="F31" s="360">
        <f t="shared" si="13"/>
        <v>0</v>
      </c>
      <c r="G31" s="360">
        <v>0</v>
      </c>
      <c r="H31" s="360">
        <f t="shared" si="14"/>
        <v>0</v>
      </c>
      <c r="I31" s="361"/>
      <c r="J31" s="358" t="e">
        <f>E31*#REF!/2</f>
        <v>#REF!</v>
      </c>
      <c r="K31" s="363"/>
      <c r="L31" s="365"/>
      <c r="M31" s="355"/>
      <c r="N31" s="360"/>
      <c r="O31" s="360"/>
      <c r="P31" s="360">
        <f t="shared" si="15"/>
        <v>0</v>
      </c>
      <c r="Q31" s="360">
        <f t="shared" si="16"/>
        <v>0</v>
      </c>
      <c r="R31" s="360">
        <v>0</v>
      </c>
      <c r="S31" s="360">
        <f t="shared" si="17"/>
        <v>0</v>
      </c>
      <c r="T31" s="361"/>
      <c r="U31" s="358" t="e">
        <f>P31*#REF!/2</f>
        <v>#REF!</v>
      </c>
      <c r="V31" s="363"/>
      <c r="W31" s="365"/>
      <c r="X31" s="355"/>
      <c r="Y31" s="360"/>
      <c r="Z31" s="360"/>
      <c r="AA31" s="360">
        <f t="shared" si="18"/>
        <v>0</v>
      </c>
      <c r="AB31" s="360">
        <f t="shared" si="19"/>
        <v>0</v>
      </c>
      <c r="AC31" s="360">
        <v>0</v>
      </c>
      <c r="AD31" s="360">
        <f t="shared" si="20"/>
        <v>0</v>
      </c>
      <c r="AE31" s="361"/>
      <c r="AF31" s="358" t="e">
        <f>AA31*#REF!/2</f>
        <v>#REF!</v>
      </c>
      <c r="AG31" s="363"/>
      <c r="AH31" s="365"/>
    </row>
    <row r="32" spans="2:34" ht="17.25" thickBot="1" x14ac:dyDescent="0.4">
      <c r="B32" s="366"/>
      <c r="C32" s="367"/>
      <c r="D32" s="368"/>
      <c r="E32" s="368">
        <f t="shared" si="12"/>
        <v>0</v>
      </c>
      <c r="F32" s="368">
        <f t="shared" si="13"/>
        <v>0</v>
      </c>
      <c r="G32" s="368">
        <v>0</v>
      </c>
      <c r="H32" s="368">
        <f t="shared" si="14"/>
        <v>0</v>
      </c>
      <c r="I32" s="369"/>
      <c r="J32" s="370" t="e">
        <f>E32*#REF!/2</f>
        <v>#REF!</v>
      </c>
      <c r="K32" s="371"/>
      <c r="L32" s="364" t="s">
        <v>180</v>
      </c>
      <c r="M32" s="372"/>
      <c r="N32" s="373"/>
      <c r="O32" s="373"/>
      <c r="P32" s="373">
        <f t="shared" si="15"/>
        <v>0</v>
      </c>
      <c r="Q32" s="373">
        <f t="shared" si="16"/>
        <v>0</v>
      </c>
      <c r="R32" s="373">
        <v>0</v>
      </c>
      <c r="S32" s="373">
        <f t="shared" si="17"/>
        <v>0</v>
      </c>
      <c r="T32" s="374"/>
      <c r="U32" s="375" t="e">
        <f>P32*#REF!/2</f>
        <v>#REF!</v>
      </c>
      <c r="V32" s="371"/>
      <c r="W32" s="364" t="s">
        <v>180</v>
      </c>
      <c r="X32" s="372"/>
      <c r="Y32" s="373"/>
      <c r="Z32" s="373"/>
      <c r="AA32" s="373">
        <f t="shared" si="18"/>
        <v>0</v>
      </c>
      <c r="AB32" s="373">
        <f t="shared" si="19"/>
        <v>0</v>
      </c>
      <c r="AC32" s="373">
        <v>0</v>
      </c>
      <c r="AD32" s="373">
        <f t="shared" si="20"/>
        <v>0</v>
      </c>
      <c r="AE32" s="374"/>
      <c r="AF32" s="375" t="e">
        <f>AA32*#REF!/2</f>
        <v>#REF!</v>
      </c>
      <c r="AG32" s="371"/>
      <c r="AH32" s="364" t="s">
        <v>180</v>
      </c>
    </row>
    <row r="33" spans="2:34" ht="17.25" thickBot="1" x14ac:dyDescent="0.4">
      <c r="B33" s="376"/>
      <c r="C33" s="368"/>
      <c r="D33" s="368"/>
      <c r="E33" s="368">
        <f t="shared" ref="E33:J33" si="21">SUM(E20:E32)</f>
        <v>218</v>
      </c>
      <c r="F33" s="368">
        <f t="shared" si="21"/>
        <v>218000</v>
      </c>
      <c r="G33" s="368">
        <f t="shared" si="21"/>
        <v>0</v>
      </c>
      <c r="H33" s="368">
        <f t="shared" si="21"/>
        <v>218000</v>
      </c>
      <c r="I33" s="368">
        <f t="shared" si="21"/>
        <v>0</v>
      </c>
      <c r="J33" s="368" t="e">
        <f t="shared" si="21"/>
        <v>#REF!</v>
      </c>
      <c r="K33" s="377" t="e">
        <f>+H33*0.6-G33-J33</f>
        <v>#REF!</v>
      </c>
      <c r="L33" s="378" t="e">
        <f>+K33/H33</f>
        <v>#REF!</v>
      </c>
      <c r="M33" s="376"/>
      <c r="N33" s="368"/>
      <c r="O33" s="368"/>
      <c r="P33" s="368">
        <f t="shared" ref="P33:U33" si="22">SUM(P20:P32)</f>
        <v>115</v>
      </c>
      <c r="Q33" s="368">
        <f t="shared" si="22"/>
        <v>115000</v>
      </c>
      <c r="R33" s="368">
        <f t="shared" si="22"/>
        <v>0</v>
      </c>
      <c r="S33" s="368">
        <f t="shared" si="22"/>
        <v>115000</v>
      </c>
      <c r="T33" s="368">
        <f t="shared" si="22"/>
        <v>0</v>
      </c>
      <c r="U33" s="368" t="e">
        <f t="shared" si="22"/>
        <v>#REF!</v>
      </c>
      <c r="V33" s="377" t="e">
        <f>+S33*0.6-R33-U33</f>
        <v>#REF!</v>
      </c>
      <c r="W33" s="378" t="e">
        <f>+V33/S33</f>
        <v>#REF!</v>
      </c>
      <c r="X33" s="376"/>
      <c r="Y33" s="368"/>
      <c r="Z33" s="368"/>
      <c r="AA33" s="368">
        <f t="shared" ref="AA33:AF33" si="23">SUM(AA20:AA32)</f>
        <v>70</v>
      </c>
      <c r="AB33" s="368">
        <f t="shared" si="23"/>
        <v>70000</v>
      </c>
      <c r="AC33" s="368">
        <f t="shared" si="23"/>
        <v>0</v>
      </c>
      <c r="AD33" s="368">
        <f t="shared" si="23"/>
        <v>70000</v>
      </c>
      <c r="AE33" s="368">
        <f t="shared" si="23"/>
        <v>0</v>
      </c>
      <c r="AF33" s="368" t="e">
        <f t="shared" si="23"/>
        <v>#REF!</v>
      </c>
      <c r="AG33" s="377" t="e">
        <f>+AD33*0.6-AC33-AF33</f>
        <v>#REF!</v>
      </c>
      <c r="AH33" s="378" t="e">
        <f>+AG33/AD33</f>
        <v>#REF!</v>
      </c>
    </row>
    <row r="35" spans="2:34" ht="17.25" thickBot="1" x14ac:dyDescent="0.4">
      <c r="B35" s="346" t="s">
        <v>175</v>
      </c>
      <c r="C35" s="347" t="s">
        <v>176</v>
      </c>
      <c r="D35" s="347"/>
      <c r="E35" s="347"/>
      <c r="F35" s="347"/>
      <c r="G35" s="347"/>
      <c r="H35" s="347"/>
      <c r="I35" s="347"/>
      <c r="J35" s="348">
        <v>473.2</v>
      </c>
      <c r="K35" s="347"/>
      <c r="L35" s="347"/>
      <c r="M35" s="349" t="s">
        <v>177</v>
      </c>
      <c r="N35" s="347"/>
      <c r="O35" s="347"/>
      <c r="P35" s="347"/>
      <c r="Q35" s="347"/>
      <c r="R35" s="347"/>
      <c r="S35" s="347"/>
      <c r="T35" s="347"/>
      <c r="U35" s="348">
        <v>473.2</v>
      </c>
      <c r="V35" s="347"/>
      <c r="W35" s="347"/>
      <c r="X35" s="349" t="s">
        <v>178</v>
      </c>
      <c r="Y35" s="347"/>
      <c r="Z35" s="347"/>
      <c r="AA35" s="347"/>
      <c r="AB35" s="347"/>
      <c r="AC35" s="347"/>
      <c r="AD35" s="347"/>
      <c r="AE35" s="347"/>
      <c r="AF35" s="348">
        <v>473.2</v>
      </c>
      <c r="AG35" s="347"/>
      <c r="AH35" s="347"/>
    </row>
    <row r="36" spans="2:34" ht="17.25" thickBot="1" x14ac:dyDescent="0.4">
      <c r="B36" s="350" t="s">
        <v>142</v>
      </c>
      <c r="C36" s="351" t="s">
        <v>162</v>
      </c>
      <c r="D36" s="351" t="s">
        <v>143</v>
      </c>
      <c r="E36" s="351" t="s">
        <v>144</v>
      </c>
      <c r="F36" s="351" t="s">
        <v>145</v>
      </c>
      <c r="G36" s="351" t="s">
        <v>163</v>
      </c>
      <c r="H36" s="351" t="s">
        <v>164</v>
      </c>
      <c r="I36" s="352" t="s">
        <v>165</v>
      </c>
      <c r="J36" s="353" t="s">
        <v>166</v>
      </c>
      <c r="K36" s="354" t="s">
        <v>146</v>
      </c>
      <c r="L36" s="347"/>
      <c r="M36" s="350" t="s">
        <v>142</v>
      </c>
      <c r="N36" s="351" t="s">
        <v>162</v>
      </c>
      <c r="O36" s="351" t="s">
        <v>143</v>
      </c>
      <c r="P36" s="351" t="s">
        <v>144</v>
      </c>
      <c r="Q36" s="351" t="s">
        <v>145</v>
      </c>
      <c r="R36" s="351" t="s">
        <v>163</v>
      </c>
      <c r="S36" s="351" t="s">
        <v>164</v>
      </c>
      <c r="T36" s="352" t="s">
        <v>165</v>
      </c>
      <c r="U36" s="353" t="s">
        <v>166</v>
      </c>
      <c r="V36" s="354" t="s">
        <v>146</v>
      </c>
      <c r="W36" s="347"/>
      <c r="X36" s="350" t="s">
        <v>142</v>
      </c>
      <c r="Y36" s="351" t="s">
        <v>162</v>
      </c>
      <c r="Z36" s="351" t="s">
        <v>143</v>
      </c>
      <c r="AA36" s="351" t="s">
        <v>144</v>
      </c>
      <c r="AB36" s="351" t="s">
        <v>145</v>
      </c>
      <c r="AC36" s="351" t="s">
        <v>163</v>
      </c>
      <c r="AD36" s="351" t="s">
        <v>164</v>
      </c>
      <c r="AE36" s="352" t="s">
        <v>165</v>
      </c>
      <c r="AF36" s="353" t="s">
        <v>166</v>
      </c>
      <c r="AG36" s="354" t="s">
        <v>146</v>
      </c>
      <c r="AH36" s="347"/>
    </row>
    <row r="37" spans="2:34" ht="16.5" x14ac:dyDescent="0.35">
      <c r="B37" s="355">
        <v>45985</v>
      </c>
      <c r="C37" s="356">
        <v>17870</v>
      </c>
      <c r="D37" s="356">
        <v>17908</v>
      </c>
      <c r="E37" s="356">
        <f t="shared" ref="E37:E49" si="24">+D37-C37</f>
        <v>38</v>
      </c>
      <c r="F37" s="356">
        <f t="shared" ref="F37:F49" si="25">+E37*1000</f>
        <v>38000</v>
      </c>
      <c r="G37" s="356">
        <v>0</v>
      </c>
      <c r="H37" s="356">
        <f t="shared" ref="H37:H49" si="26">+F37-G37</f>
        <v>38000</v>
      </c>
      <c r="I37" s="357"/>
      <c r="J37" s="358" t="e">
        <f>E37*#REF!/2</f>
        <v>#REF!</v>
      </c>
      <c r="K37" s="359"/>
      <c r="L37" s="347"/>
      <c r="M37" s="355">
        <v>45985</v>
      </c>
      <c r="N37" s="356">
        <v>3307</v>
      </c>
      <c r="O37" s="356">
        <v>3326</v>
      </c>
      <c r="P37" s="356">
        <f t="shared" ref="P37:P49" si="27">+O37-N37</f>
        <v>19</v>
      </c>
      <c r="Q37" s="356">
        <f t="shared" ref="Q37:Q49" si="28">+P37*1000</f>
        <v>19000</v>
      </c>
      <c r="R37" s="356">
        <v>0</v>
      </c>
      <c r="S37" s="356">
        <f t="shared" ref="S37:S49" si="29">+Q37-R37</f>
        <v>19000</v>
      </c>
      <c r="T37" s="357"/>
      <c r="U37" s="358" t="e">
        <f>P37*#REF!/2</f>
        <v>#REF!</v>
      </c>
      <c r="V37" s="359"/>
      <c r="W37" s="347"/>
      <c r="X37" s="355">
        <v>45985</v>
      </c>
      <c r="Y37" s="356">
        <v>7308</v>
      </c>
      <c r="Z37" s="356">
        <v>7318</v>
      </c>
      <c r="AA37" s="356">
        <f t="shared" ref="AA37:AA49" si="30">+Z37-Y37</f>
        <v>10</v>
      </c>
      <c r="AB37" s="356">
        <f t="shared" ref="AB37:AB49" si="31">+AA37*1000</f>
        <v>10000</v>
      </c>
      <c r="AC37" s="356">
        <v>0</v>
      </c>
      <c r="AD37" s="356">
        <f t="shared" ref="AD37:AD49" si="32">+AB37-AC37</f>
        <v>10000</v>
      </c>
      <c r="AE37" s="357"/>
      <c r="AF37" s="358" t="e">
        <f>AA37*#REF!/2</f>
        <v>#REF!</v>
      </c>
      <c r="AG37" s="359"/>
      <c r="AH37" s="347"/>
    </row>
    <row r="38" spans="2:34" ht="16.5" x14ac:dyDescent="0.35">
      <c r="B38" s="355">
        <v>45989</v>
      </c>
      <c r="C38" s="360">
        <v>17908</v>
      </c>
      <c r="D38" s="360">
        <v>17962</v>
      </c>
      <c r="E38" s="360">
        <f t="shared" si="24"/>
        <v>54</v>
      </c>
      <c r="F38" s="360">
        <f t="shared" si="25"/>
        <v>54000</v>
      </c>
      <c r="G38" s="360">
        <v>0</v>
      </c>
      <c r="H38" s="360">
        <f t="shared" si="26"/>
        <v>54000</v>
      </c>
      <c r="I38" s="361"/>
      <c r="J38" s="358" t="e">
        <f>E38*#REF!/2</f>
        <v>#REF!</v>
      </c>
      <c r="K38" s="359"/>
      <c r="L38" s="362"/>
      <c r="M38" s="355">
        <v>45989</v>
      </c>
      <c r="N38" s="360">
        <v>3326</v>
      </c>
      <c r="O38" s="360">
        <v>3343</v>
      </c>
      <c r="P38" s="360">
        <f t="shared" si="27"/>
        <v>17</v>
      </c>
      <c r="Q38" s="360">
        <f t="shared" si="28"/>
        <v>17000</v>
      </c>
      <c r="R38" s="360">
        <v>0</v>
      </c>
      <c r="S38" s="360">
        <f t="shared" si="29"/>
        <v>17000</v>
      </c>
      <c r="T38" s="361"/>
      <c r="U38" s="358" t="e">
        <f>P38*#REF!/2</f>
        <v>#REF!</v>
      </c>
      <c r="V38" s="359"/>
      <c r="W38" s="362"/>
      <c r="X38" s="355">
        <v>45989</v>
      </c>
      <c r="Y38" s="360">
        <v>7318</v>
      </c>
      <c r="Z38" s="360">
        <v>7342</v>
      </c>
      <c r="AA38" s="360">
        <f t="shared" si="30"/>
        <v>24</v>
      </c>
      <c r="AB38" s="360">
        <f t="shared" si="31"/>
        <v>24000</v>
      </c>
      <c r="AC38" s="360">
        <v>0</v>
      </c>
      <c r="AD38" s="360">
        <f t="shared" si="32"/>
        <v>24000</v>
      </c>
      <c r="AE38" s="361"/>
      <c r="AF38" s="358" t="e">
        <f>AA38*#REF!/2</f>
        <v>#REF!</v>
      </c>
      <c r="AG38" s="359"/>
      <c r="AH38" s="362"/>
    </row>
    <row r="39" spans="2:34" ht="16.5" x14ac:dyDescent="0.35">
      <c r="B39" s="355">
        <v>45993</v>
      </c>
      <c r="C39" s="360">
        <v>17962</v>
      </c>
      <c r="D39" s="360">
        <v>17992</v>
      </c>
      <c r="E39" s="360">
        <f t="shared" si="24"/>
        <v>30</v>
      </c>
      <c r="F39" s="360">
        <f t="shared" si="25"/>
        <v>30000</v>
      </c>
      <c r="G39" s="360">
        <v>0</v>
      </c>
      <c r="H39" s="360">
        <f t="shared" si="26"/>
        <v>30000</v>
      </c>
      <c r="I39" s="361"/>
      <c r="J39" s="358" t="e">
        <f>E39*#REF!/2</f>
        <v>#REF!</v>
      </c>
      <c r="K39" s="359"/>
      <c r="L39" s="362"/>
      <c r="M39" s="355">
        <v>45992</v>
      </c>
      <c r="N39" s="360">
        <v>3343</v>
      </c>
      <c r="O39" s="360">
        <v>3359</v>
      </c>
      <c r="P39" s="360">
        <f t="shared" si="27"/>
        <v>16</v>
      </c>
      <c r="Q39" s="360">
        <f t="shared" si="28"/>
        <v>16000</v>
      </c>
      <c r="R39" s="360">
        <v>0</v>
      </c>
      <c r="S39" s="360">
        <f t="shared" si="29"/>
        <v>16000</v>
      </c>
      <c r="T39" s="361"/>
      <c r="U39" s="358" t="e">
        <f>P39*#REF!/2</f>
        <v>#REF!</v>
      </c>
      <c r="V39" s="359"/>
      <c r="W39" s="362"/>
      <c r="X39" s="355">
        <v>45992</v>
      </c>
      <c r="Y39" s="360">
        <v>7342</v>
      </c>
      <c r="Z39" s="360">
        <v>7350</v>
      </c>
      <c r="AA39" s="360">
        <f t="shared" si="30"/>
        <v>8</v>
      </c>
      <c r="AB39" s="360">
        <f t="shared" si="31"/>
        <v>8000</v>
      </c>
      <c r="AC39" s="360">
        <v>0</v>
      </c>
      <c r="AD39" s="360">
        <f t="shared" si="32"/>
        <v>8000</v>
      </c>
      <c r="AE39" s="361"/>
      <c r="AF39" s="358" t="e">
        <f>AA39*#REF!/2</f>
        <v>#REF!</v>
      </c>
      <c r="AG39" s="359"/>
      <c r="AH39" s="362"/>
    </row>
    <row r="40" spans="2:34" ht="16.5" x14ac:dyDescent="0.35">
      <c r="B40" s="355">
        <v>45996</v>
      </c>
      <c r="C40" s="360">
        <v>17992</v>
      </c>
      <c r="D40" s="360">
        <v>18004</v>
      </c>
      <c r="E40" s="360">
        <f t="shared" si="24"/>
        <v>12</v>
      </c>
      <c r="F40" s="360">
        <f t="shared" si="25"/>
        <v>12000</v>
      </c>
      <c r="G40" s="360">
        <v>0</v>
      </c>
      <c r="H40" s="360">
        <f t="shared" si="26"/>
        <v>12000</v>
      </c>
      <c r="I40" s="361"/>
      <c r="J40" s="358" t="e">
        <f>E40*#REF!/2</f>
        <v>#REF!</v>
      </c>
      <c r="K40" s="363"/>
      <c r="L40" s="364"/>
      <c r="M40" s="355">
        <v>45996</v>
      </c>
      <c r="N40" s="360">
        <v>3359</v>
      </c>
      <c r="O40" s="360">
        <v>3368</v>
      </c>
      <c r="P40" s="360">
        <f t="shared" si="27"/>
        <v>9</v>
      </c>
      <c r="Q40" s="360">
        <f t="shared" si="28"/>
        <v>9000</v>
      </c>
      <c r="R40" s="360">
        <v>0</v>
      </c>
      <c r="S40" s="360">
        <f t="shared" si="29"/>
        <v>9000</v>
      </c>
      <c r="T40" s="361"/>
      <c r="U40" s="358" t="e">
        <f>P40*#REF!/2</f>
        <v>#REF!</v>
      </c>
      <c r="V40" s="363"/>
      <c r="W40" s="364"/>
      <c r="X40" s="355">
        <v>45996</v>
      </c>
      <c r="Y40" s="360">
        <v>7350</v>
      </c>
      <c r="Z40" s="360">
        <v>7356</v>
      </c>
      <c r="AA40" s="360">
        <f t="shared" si="30"/>
        <v>6</v>
      </c>
      <c r="AB40" s="360">
        <f t="shared" si="31"/>
        <v>6000</v>
      </c>
      <c r="AC40" s="360">
        <v>0</v>
      </c>
      <c r="AD40" s="360">
        <f t="shared" si="32"/>
        <v>6000</v>
      </c>
      <c r="AE40" s="361"/>
      <c r="AF40" s="358" t="e">
        <f>AA40*#REF!/2</f>
        <v>#REF!</v>
      </c>
      <c r="AG40" s="363"/>
      <c r="AH40" s="364"/>
    </row>
    <row r="41" spans="2:34" ht="16.5" x14ac:dyDescent="0.35">
      <c r="B41" s="355">
        <v>45999</v>
      </c>
      <c r="C41" s="360">
        <v>18004</v>
      </c>
      <c r="D41" s="360">
        <v>18024</v>
      </c>
      <c r="E41" s="360">
        <f t="shared" si="24"/>
        <v>20</v>
      </c>
      <c r="F41" s="360">
        <f t="shared" si="25"/>
        <v>20000</v>
      </c>
      <c r="G41" s="360">
        <v>0</v>
      </c>
      <c r="H41" s="360">
        <f t="shared" si="26"/>
        <v>20000</v>
      </c>
      <c r="I41" s="361"/>
      <c r="J41" s="358" t="e">
        <f>E41*#REF!/2</f>
        <v>#REF!</v>
      </c>
      <c r="K41" s="363"/>
      <c r="L41" s="364"/>
      <c r="M41" s="355">
        <v>45999</v>
      </c>
      <c r="N41" s="360">
        <v>3368</v>
      </c>
      <c r="O41" s="360">
        <v>3390</v>
      </c>
      <c r="P41" s="360">
        <f t="shared" si="27"/>
        <v>22</v>
      </c>
      <c r="Q41" s="360">
        <f t="shared" si="28"/>
        <v>22000</v>
      </c>
      <c r="R41" s="360">
        <v>0</v>
      </c>
      <c r="S41" s="360">
        <f t="shared" si="29"/>
        <v>22000</v>
      </c>
      <c r="T41" s="361"/>
      <c r="U41" s="358" t="e">
        <f>P41*#REF!/2</f>
        <v>#REF!</v>
      </c>
      <c r="V41" s="363"/>
      <c r="W41" s="364"/>
      <c r="X41" s="355">
        <v>45999</v>
      </c>
      <c r="Y41" s="360">
        <v>7356</v>
      </c>
      <c r="Z41" s="360">
        <v>7362</v>
      </c>
      <c r="AA41" s="360">
        <f t="shared" si="30"/>
        <v>6</v>
      </c>
      <c r="AB41" s="360">
        <f t="shared" si="31"/>
        <v>6000</v>
      </c>
      <c r="AC41" s="360">
        <v>0</v>
      </c>
      <c r="AD41" s="360">
        <f t="shared" si="32"/>
        <v>6000</v>
      </c>
      <c r="AE41" s="361"/>
      <c r="AF41" s="358" t="e">
        <f>AA41*#REF!/2</f>
        <v>#REF!</v>
      </c>
      <c r="AG41" s="363"/>
      <c r="AH41" s="364"/>
    </row>
    <row r="42" spans="2:34" ht="16.5" x14ac:dyDescent="0.35">
      <c r="B42" s="355">
        <v>46003</v>
      </c>
      <c r="C42" s="360">
        <v>18024</v>
      </c>
      <c r="D42" s="360">
        <v>18046</v>
      </c>
      <c r="E42" s="360">
        <f t="shared" si="24"/>
        <v>22</v>
      </c>
      <c r="F42" s="360">
        <f t="shared" si="25"/>
        <v>22000</v>
      </c>
      <c r="G42" s="360">
        <v>0</v>
      </c>
      <c r="H42" s="360">
        <f t="shared" si="26"/>
        <v>22000</v>
      </c>
      <c r="I42" s="361"/>
      <c r="J42" s="358" t="e">
        <f>E42*#REF!/2</f>
        <v>#REF!</v>
      </c>
      <c r="K42" s="363"/>
      <c r="L42" s="364"/>
      <c r="M42" s="355">
        <v>46003</v>
      </c>
      <c r="N42" s="360">
        <v>3390</v>
      </c>
      <c r="O42" s="360">
        <v>3403</v>
      </c>
      <c r="P42" s="360">
        <f t="shared" si="27"/>
        <v>13</v>
      </c>
      <c r="Q42" s="360">
        <f t="shared" si="28"/>
        <v>13000</v>
      </c>
      <c r="R42" s="360">
        <v>0</v>
      </c>
      <c r="S42" s="360">
        <f t="shared" si="29"/>
        <v>13000</v>
      </c>
      <c r="T42" s="361"/>
      <c r="U42" s="358" t="e">
        <f>P42*#REF!/2</f>
        <v>#REF!</v>
      </c>
      <c r="V42" s="363"/>
      <c r="W42" s="364"/>
      <c r="X42" s="355">
        <v>46003</v>
      </c>
      <c r="Y42" s="360">
        <v>7362</v>
      </c>
      <c r="Z42" s="360">
        <v>7364</v>
      </c>
      <c r="AA42" s="360">
        <f t="shared" si="30"/>
        <v>2</v>
      </c>
      <c r="AB42" s="360">
        <f t="shared" si="31"/>
        <v>2000</v>
      </c>
      <c r="AC42" s="360">
        <v>0</v>
      </c>
      <c r="AD42" s="360">
        <f t="shared" si="32"/>
        <v>2000</v>
      </c>
      <c r="AE42" s="361"/>
      <c r="AF42" s="358" t="e">
        <f>AA42*#REF!/2</f>
        <v>#REF!</v>
      </c>
      <c r="AG42" s="363"/>
      <c r="AH42" s="364"/>
    </row>
    <row r="43" spans="2:34" ht="16.5" x14ac:dyDescent="0.35">
      <c r="B43" s="355">
        <v>46006</v>
      </c>
      <c r="C43" s="360">
        <v>18046</v>
      </c>
      <c r="D43" s="360">
        <v>18084</v>
      </c>
      <c r="E43" s="360">
        <f t="shared" si="24"/>
        <v>38</v>
      </c>
      <c r="F43" s="360">
        <f t="shared" si="25"/>
        <v>38000</v>
      </c>
      <c r="G43" s="360">
        <v>0</v>
      </c>
      <c r="H43" s="360">
        <f t="shared" si="26"/>
        <v>38000</v>
      </c>
      <c r="I43" s="361"/>
      <c r="J43" s="358" t="e">
        <f>E43*#REF!/2</f>
        <v>#REF!</v>
      </c>
      <c r="K43" s="363"/>
      <c r="L43" s="364"/>
      <c r="M43" s="355">
        <v>46006</v>
      </c>
      <c r="N43" s="360">
        <v>3403</v>
      </c>
      <c r="O43" s="360">
        <v>3416</v>
      </c>
      <c r="P43" s="360">
        <f t="shared" si="27"/>
        <v>13</v>
      </c>
      <c r="Q43" s="360">
        <f t="shared" si="28"/>
        <v>13000</v>
      </c>
      <c r="R43" s="360">
        <v>0</v>
      </c>
      <c r="S43" s="360">
        <f t="shared" si="29"/>
        <v>13000</v>
      </c>
      <c r="T43" s="361"/>
      <c r="U43" s="358" t="e">
        <f>P43*#REF!/2</f>
        <v>#REF!</v>
      </c>
      <c r="V43" s="363"/>
      <c r="W43" s="364"/>
      <c r="X43" s="355">
        <v>46006</v>
      </c>
      <c r="Y43" s="360">
        <v>7364</v>
      </c>
      <c r="Z43" s="360">
        <v>7372</v>
      </c>
      <c r="AA43" s="360">
        <f t="shared" si="30"/>
        <v>8</v>
      </c>
      <c r="AB43" s="360">
        <f t="shared" si="31"/>
        <v>8000</v>
      </c>
      <c r="AC43" s="360">
        <v>0</v>
      </c>
      <c r="AD43" s="360">
        <f t="shared" si="32"/>
        <v>8000</v>
      </c>
      <c r="AE43" s="361"/>
      <c r="AF43" s="358" t="e">
        <f>AA43*#REF!/2</f>
        <v>#REF!</v>
      </c>
      <c r="AG43" s="363"/>
      <c r="AH43" s="364"/>
    </row>
    <row r="44" spans="2:34" ht="16.5" x14ac:dyDescent="0.35">
      <c r="B44" s="355">
        <v>46010</v>
      </c>
      <c r="C44" s="360">
        <v>18084</v>
      </c>
      <c r="D44" s="360">
        <v>18102</v>
      </c>
      <c r="E44" s="360">
        <f t="shared" si="24"/>
        <v>18</v>
      </c>
      <c r="F44" s="360">
        <f t="shared" si="25"/>
        <v>18000</v>
      </c>
      <c r="G44" s="360">
        <v>0</v>
      </c>
      <c r="H44" s="360">
        <f t="shared" si="26"/>
        <v>18000</v>
      </c>
      <c r="I44" s="361"/>
      <c r="J44" s="358" t="e">
        <f>E44*#REF!/2</f>
        <v>#REF!</v>
      </c>
      <c r="K44" s="363"/>
      <c r="L44" s="364"/>
      <c r="M44" s="355">
        <v>46010</v>
      </c>
      <c r="N44" s="360">
        <v>3416</v>
      </c>
      <c r="O44" s="360">
        <v>3425</v>
      </c>
      <c r="P44" s="360">
        <f t="shared" si="27"/>
        <v>9</v>
      </c>
      <c r="Q44" s="360">
        <f t="shared" si="28"/>
        <v>9000</v>
      </c>
      <c r="R44" s="360">
        <v>0</v>
      </c>
      <c r="S44" s="360">
        <f t="shared" si="29"/>
        <v>9000</v>
      </c>
      <c r="T44" s="361"/>
      <c r="U44" s="358" t="e">
        <f>P44*#REF!/2</f>
        <v>#REF!</v>
      </c>
      <c r="V44" s="363"/>
      <c r="W44" s="364"/>
      <c r="X44" s="355">
        <v>46010</v>
      </c>
      <c r="Y44" s="360">
        <v>7372</v>
      </c>
      <c r="Z44" s="360">
        <v>7414</v>
      </c>
      <c r="AA44" s="360">
        <f t="shared" si="30"/>
        <v>42</v>
      </c>
      <c r="AB44" s="360">
        <f t="shared" si="31"/>
        <v>42000</v>
      </c>
      <c r="AC44" s="360">
        <v>0</v>
      </c>
      <c r="AD44" s="360">
        <f t="shared" si="32"/>
        <v>42000</v>
      </c>
      <c r="AE44" s="361"/>
      <c r="AF44" s="358" t="e">
        <f>AA44*#REF!/2</f>
        <v>#REF!</v>
      </c>
      <c r="AG44" s="363"/>
      <c r="AH44" s="364"/>
    </row>
    <row r="45" spans="2:34" ht="16.5" x14ac:dyDescent="0.35">
      <c r="B45" s="355"/>
      <c r="C45" s="360"/>
      <c r="D45" s="360"/>
      <c r="E45" s="360">
        <f t="shared" si="24"/>
        <v>0</v>
      </c>
      <c r="F45" s="360">
        <f t="shared" si="25"/>
        <v>0</v>
      </c>
      <c r="G45" s="360">
        <v>0</v>
      </c>
      <c r="H45" s="360">
        <f t="shared" si="26"/>
        <v>0</v>
      </c>
      <c r="I45" s="361"/>
      <c r="J45" s="358" t="e">
        <f>E45*#REF!/2</f>
        <v>#REF!</v>
      </c>
      <c r="K45" s="363"/>
      <c r="L45" s="364" t="s">
        <v>179</v>
      </c>
      <c r="M45" s="355"/>
      <c r="N45" s="360"/>
      <c r="O45" s="360"/>
      <c r="P45" s="360">
        <f t="shared" si="27"/>
        <v>0</v>
      </c>
      <c r="Q45" s="360">
        <f t="shared" si="28"/>
        <v>0</v>
      </c>
      <c r="R45" s="360">
        <v>0</v>
      </c>
      <c r="S45" s="360">
        <f t="shared" si="29"/>
        <v>0</v>
      </c>
      <c r="T45" s="361"/>
      <c r="U45" s="358" t="e">
        <f>P45*#REF!/2</f>
        <v>#REF!</v>
      </c>
      <c r="V45" s="363"/>
      <c r="W45" s="364" t="s">
        <v>179</v>
      </c>
      <c r="X45" s="355"/>
      <c r="Y45" s="360"/>
      <c r="Z45" s="360"/>
      <c r="AA45" s="360">
        <f t="shared" si="30"/>
        <v>0</v>
      </c>
      <c r="AB45" s="360">
        <f t="shared" si="31"/>
        <v>0</v>
      </c>
      <c r="AC45" s="360">
        <v>0</v>
      </c>
      <c r="AD45" s="360">
        <f t="shared" si="32"/>
        <v>0</v>
      </c>
      <c r="AE45" s="361"/>
      <c r="AF45" s="358" t="e">
        <f>AA45*#REF!/2</f>
        <v>#REF!</v>
      </c>
      <c r="AG45" s="363"/>
      <c r="AH45" s="364" t="s">
        <v>179</v>
      </c>
    </row>
    <row r="46" spans="2:34" ht="16.5" x14ac:dyDescent="0.35">
      <c r="B46" s="355"/>
      <c r="C46" s="360"/>
      <c r="D46" s="360"/>
      <c r="E46" s="360">
        <f t="shared" si="24"/>
        <v>0</v>
      </c>
      <c r="F46" s="360">
        <f t="shared" si="25"/>
        <v>0</v>
      </c>
      <c r="G46" s="360">
        <v>0</v>
      </c>
      <c r="H46" s="360">
        <f t="shared" si="26"/>
        <v>0</v>
      </c>
      <c r="I46" s="361"/>
      <c r="J46" s="358" t="e">
        <f>E46*#REF!/2</f>
        <v>#REF!</v>
      </c>
      <c r="K46" s="363"/>
      <c r="L46" s="364"/>
      <c r="M46" s="355"/>
      <c r="N46" s="360"/>
      <c r="O46" s="360"/>
      <c r="P46" s="360">
        <f t="shared" si="27"/>
        <v>0</v>
      </c>
      <c r="Q46" s="360">
        <f t="shared" si="28"/>
        <v>0</v>
      </c>
      <c r="R46" s="360">
        <v>0</v>
      </c>
      <c r="S46" s="360">
        <f t="shared" si="29"/>
        <v>0</v>
      </c>
      <c r="T46" s="361"/>
      <c r="U46" s="358" t="e">
        <f>P46*#REF!/2</f>
        <v>#REF!</v>
      </c>
      <c r="V46" s="363"/>
      <c r="W46" s="364"/>
      <c r="X46" s="355"/>
      <c r="Y46" s="360"/>
      <c r="Z46" s="360"/>
      <c r="AA46" s="360">
        <f t="shared" si="30"/>
        <v>0</v>
      </c>
      <c r="AB46" s="360">
        <f t="shared" si="31"/>
        <v>0</v>
      </c>
      <c r="AC46" s="360">
        <v>0</v>
      </c>
      <c r="AD46" s="360">
        <f t="shared" si="32"/>
        <v>0</v>
      </c>
      <c r="AE46" s="361"/>
      <c r="AF46" s="358" t="e">
        <f>AA46*#REF!/2</f>
        <v>#REF!</v>
      </c>
      <c r="AG46" s="363"/>
      <c r="AH46" s="364"/>
    </row>
    <row r="47" spans="2:34" ht="16.5" x14ac:dyDescent="0.35">
      <c r="B47" s="355"/>
      <c r="C47" s="360"/>
      <c r="D47" s="360"/>
      <c r="E47" s="360">
        <f t="shared" si="24"/>
        <v>0</v>
      </c>
      <c r="F47" s="360">
        <f t="shared" si="25"/>
        <v>0</v>
      </c>
      <c r="G47" s="360">
        <v>0</v>
      </c>
      <c r="H47" s="360">
        <f t="shared" si="26"/>
        <v>0</v>
      </c>
      <c r="I47" s="361"/>
      <c r="J47" s="358" t="e">
        <f>E47*#REF!/2</f>
        <v>#REF!</v>
      </c>
      <c r="K47" s="363"/>
      <c r="L47" s="364"/>
      <c r="M47" s="355"/>
      <c r="N47" s="360"/>
      <c r="O47" s="360"/>
      <c r="P47" s="360">
        <f t="shared" si="27"/>
        <v>0</v>
      </c>
      <c r="Q47" s="360">
        <f t="shared" si="28"/>
        <v>0</v>
      </c>
      <c r="R47" s="360">
        <v>0</v>
      </c>
      <c r="S47" s="360">
        <f t="shared" si="29"/>
        <v>0</v>
      </c>
      <c r="T47" s="361"/>
      <c r="U47" s="358" t="e">
        <f>P47*#REF!/2</f>
        <v>#REF!</v>
      </c>
      <c r="V47" s="363"/>
      <c r="W47" s="365"/>
      <c r="X47" s="355"/>
      <c r="Y47" s="360"/>
      <c r="Z47" s="360"/>
      <c r="AA47" s="360">
        <f t="shared" si="30"/>
        <v>0</v>
      </c>
      <c r="AB47" s="360">
        <f t="shared" si="31"/>
        <v>0</v>
      </c>
      <c r="AC47" s="360">
        <v>0</v>
      </c>
      <c r="AD47" s="360">
        <f t="shared" si="32"/>
        <v>0</v>
      </c>
      <c r="AE47" s="361"/>
      <c r="AF47" s="358" t="e">
        <f>AA47*#REF!/2</f>
        <v>#REF!</v>
      </c>
      <c r="AG47" s="363"/>
      <c r="AH47" s="365"/>
    </row>
    <row r="48" spans="2:34" ht="16.5" x14ac:dyDescent="0.35">
      <c r="B48" s="355"/>
      <c r="C48" s="360"/>
      <c r="D48" s="360"/>
      <c r="E48" s="360">
        <f t="shared" si="24"/>
        <v>0</v>
      </c>
      <c r="F48" s="360">
        <f t="shared" si="25"/>
        <v>0</v>
      </c>
      <c r="G48" s="360">
        <v>0</v>
      </c>
      <c r="H48" s="360">
        <f t="shared" si="26"/>
        <v>0</v>
      </c>
      <c r="I48" s="361"/>
      <c r="J48" s="358" t="e">
        <f>E48*#REF!/2</f>
        <v>#REF!</v>
      </c>
      <c r="K48" s="363"/>
      <c r="L48" s="365"/>
      <c r="M48" s="355"/>
      <c r="N48" s="360"/>
      <c r="O48" s="360"/>
      <c r="P48" s="360">
        <f t="shared" si="27"/>
        <v>0</v>
      </c>
      <c r="Q48" s="360">
        <f t="shared" si="28"/>
        <v>0</v>
      </c>
      <c r="R48" s="360">
        <v>0</v>
      </c>
      <c r="S48" s="360">
        <f t="shared" si="29"/>
        <v>0</v>
      </c>
      <c r="T48" s="361"/>
      <c r="U48" s="358" t="e">
        <f>P48*#REF!/2</f>
        <v>#REF!</v>
      </c>
      <c r="V48" s="363"/>
      <c r="W48" s="365"/>
      <c r="X48" s="355"/>
      <c r="Y48" s="360"/>
      <c r="Z48" s="360"/>
      <c r="AA48" s="360">
        <f t="shared" si="30"/>
        <v>0</v>
      </c>
      <c r="AB48" s="360">
        <f t="shared" si="31"/>
        <v>0</v>
      </c>
      <c r="AC48" s="360">
        <v>0</v>
      </c>
      <c r="AD48" s="360">
        <f t="shared" si="32"/>
        <v>0</v>
      </c>
      <c r="AE48" s="361"/>
      <c r="AF48" s="358" t="e">
        <f>AA48*#REF!/2</f>
        <v>#REF!</v>
      </c>
      <c r="AG48" s="363"/>
      <c r="AH48" s="365"/>
    </row>
    <row r="49" spans="2:34" ht="17.25" thickBot="1" x14ac:dyDescent="0.4">
      <c r="B49" s="366"/>
      <c r="C49" s="367"/>
      <c r="D49" s="368"/>
      <c r="E49" s="368">
        <f t="shared" si="24"/>
        <v>0</v>
      </c>
      <c r="F49" s="368">
        <f t="shared" si="25"/>
        <v>0</v>
      </c>
      <c r="G49" s="368">
        <v>0</v>
      </c>
      <c r="H49" s="368">
        <f t="shared" si="26"/>
        <v>0</v>
      </c>
      <c r="I49" s="369"/>
      <c r="J49" s="370" t="e">
        <f>E49*#REF!/2</f>
        <v>#REF!</v>
      </c>
      <c r="K49" s="371"/>
      <c r="L49" s="364" t="s">
        <v>180</v>
      </c>
      <c r="M49" s="372"/>
      <c r="N49" s="373"/>
      <c r="O49" s="373"/>
      <c r="P49" s="373">
        <f t="shared" si="27"/>
        <v>0</v>
      </c>
      <c r="Q49" s="373">
        <f t="shared" si="28"/>
        <v>0</v>
      </c>
      <c r="R49" s="373">
        <v>0</v>
      </c>
      <c r="S49" s="373">
        <f t="shared" si="29"/>
        <v>0</v>
      </c>
      <c r="T49" s="374"/>
      <c r="U49" s="375" t="e">
        <f>P49*#REF!/2</f>
        <v>#REF!</v>
      </c>
      <c r="V49" s="371"/>
      <c r="W49" s="364" t="s">
        <v>180</v>
      </c>
      <c r="X49" s="372"/>
      <c r="Y49" s="373"/>
      <c r="Z49" s="373"/>
      <c r="AA49" s="373">
        <f t="shared" si="30"/>
        <v>0</v>
      </c>
      <c r="AB49" s="373">
        <f t="shared" si="31"/>
        <v>0</v>
      </c>
      <c r="AC49" s="373">
        <v>0</v>
      </c>
      <c r="AD49" s="373">
        <f t="shared" si="32"/>
        <v>0</v>
      </c>
      <c r="AE49" s="374"/>
      <c r="AF49" s="375" t="e">
        <f>AA49*#REF!/2</f>
        <v>#REF!</v>
      </c>
      <c r="AG49" s="371"/>
      <c r="AH49" s="364" t="s">
        <v>180</v>
      </c>
    </row>
    <row r="50" spans="2:34" ht="17.25" thickBot="1" x14ac:dyDescent="0.4">
      <c r="B50" s="376"/>
      <c r="C50" s="368"/>
      <c r="D50" s="368"/>
      <c r="E50" s="368">
        <f t="shared" ref="E50:J50" si="33">SUM(E37:E49)</f>
        <v>232</v>
      </c>
      <c r="F50" s="368">
        <f t="shared" si="33"/>
        <v>232000</v>
      </c>
      <c r="G50" s="368">
        <f t="shared" si="33"/>
        <v>0</v>
      </c>
      <c r="H50" s="368">
        <f t="shared" si="33"/>
        <v>232000</v>
      </c>
      <c r="I50" s="368">
        <f t="shared" si="33"/>
        <v>0</v>
      </c>
      <c r="J50" s="368" t="e">
        <f t="shared" si="33"/>
        <v>#REF!</v>
      </c>
      <c r="K50" s="377" t="e">
        <f>+H50*0.6-G50-J50</f>
        <v>#REF!</v>
      </c>
      <c r="L50" s="378" t="e">
        <f>+K50/H50</f>
        <v>#REF!</v>
      </c>
      <c r="M50" s="376"/>
      <c r="N50" s="368"/>
      <c r="O50" s="368"/>
      <c r="P50" s="368">
        <f t="shared" ref="P50:U50" si="34">SUM(P37:P49)</f>
        <v>118</v>
      </c>
      <c r="Q50" s="368">
        <f t="shared" si="34"/>
        <v>118000</v>
      </c>
      <c r="R50" s="368">
        <f t="shared" si="34"/>
        <v>0</v>
      </c>
      <c r="S50" s="368">
        <f t="shared" si="34"/>
        <v>118000</v>
      </c>
      <c r="T50" s="368">
        <f t="shared" si="34"/>
        <v>0</v>
      </c>
      <c r="U50" s="368" t="e">
        <f t="shared" si="34"/>
        <v>#REF!</v>
      </c>
      <c r="V50" s="377" t="e">
        <f>+S50*0.6-R50-U50</f>
        <v>#REF!</v>
      </c>
      <c r="W50" s="378" t="e">
        <f>+V50/S50</f>
        <v>#REF!</v>
      </c>
      <c r="X50" s="376"/>
      <c r="Y50" s="368"/>
      <c r="Z50" s="368"/>
      <c r="AA50" s="368">
        <f t="shared" ref="AA50:AF50" si="35">SUM(AA37:AA49)</f>
        <v>106</v>
      </c>
      <c r="AB50" s="368">
        <f t="shared" si="35"/>
        <v>106000</v>
      </c>
      <c r="AC50" s="368">
        <f t="shared" si="35"/>
        <v>0</v>
      </c>
      <c r="AD50" s="368">
        <f t="shared" si="35"/>
        <v>106000</v>
      </c>
      <c r="AE50" s="368">
        <f t="shared" si="35"/>
        <v>0</v>
      </c>
      <c r="AF50" s="368" t="e">
        <f t="shared" si="35"/>
        <v>#REF!</v>
      </c>
      <c r="AG50" s="377" t="e">
        <f>+AD50*0.6-AC50-AF50</f>
        <v>#REF!</v>
      </c>
      <c r="AH50" s="378" t="e">
        <f>+AG50/AD50</f>
        <v>#REF!</v>
      </c>
    </row>
    <row r="52" spans="2:34" ht="17.25" thickBot="1" x14ac:dyDescent="0.4">
      <c r="B52" s="346" t="s">
        <v>175</v>
      </c>
      <c r="C52" s="347" t="s">
        <v>176</v>
      </c>
      <c r="D52" s="347"/>
      <c r="E52" s="347"/>
      <c r="F52" s="347"/>
      <c r="G52" s="347"/>
      <c r="H52" s="347"/>
      <c r="I52" s="347"/>
      <c r="J52" s="348">
        <v>473.2</v>
      </c>
      <c r="K52" s="347"/>
      <c r="L52" s="347"/>
      <c r="M52" s="349" t="s">
        <v>177</v>
      </c>
      <c r="N52" s="347"/>
      <c r="O52" s="347"/>
      <c r="P52" s="347"/>
      <c r="Q52" s="347"/>
      <c r="R52" s="347"/>
      <c r="S52" s="347"/>
      <c r="T52" s="347"/>
      <c r="U52" s="348">
        <v>473.2</v>
      </c>
      <c r="V52" s="347"/>
      <c r="W52" s="347"/>
      <c r="X52" s="349" t="s">
        <v>178</v>
      </c>
      <c r="Y52" s="347"/>
      <c r="Z52" s="347"/>
      <c r="AA52" s="347"/>
      <c r="AB52" s="347"/>
      <c r="AC52" s="347"/>
      <c r="AD52" s="347"/>
      <c r="AE52" s="347"/>
      <c r="AF52" s="348">
        <v>473.2</v>
      </c>
      <c r="AG52" s="347"/>
      <c r="AH52" s="347"/>
    </row>
    <row r="53" spans="2:34" ht="17.25" thickBot="1" x14ac:dyDescent="0.4">
      <c r="B53" s="350" t="s">
        <v>142</v>
      </c>
      <c r="C53" s="351" t="s">
        <v>162</v>
      </c>
      <c r="D53" s="351" t="s">
        <v>143</v>
      </c>
      <c r="E53" s="351" t="s">
        <v>144</v>
      </c>
      <c r="F53" s="351" t="s">
        <v>145</v>
      </c>
      <c r="G53" s="351" t="s">
        <v>163</v>
      </c>
      <c r="H53" s="351" t="s">
        <v>164</v>
      </c>
      <c r="I53" s="352" t="s">
        <v>165</v>
      </c>
      <c r="J53" s="353" t="s">
        <v>166</v>
      </c>
      <c r="K53" s="354" t="s">
        <v>146</v>
      </c>
      <c r="L53" s="347"/>
      <c r="M53" s="350" t="s">
        <v>142</v>
      </c>
      <c r="N53" s="351" t="s">
        <v>162</v>
      </c>
      <c r="O53" s="351" t="s">
        <v>143</v>
      </c>
      <c r="P53" s="351" t="s">
        <v>144</v>
      </c>
      <c r="Q53" s="351" t="s">
        <v>145</v>
      </c>
      <c r="R53" s="351" t="s">
        <v>163</v>
      </c>
      <c r="S53" s="351" t="s">
        <v>164</v>
      </c>
      <c r="T53" s="352" t="s">
        <v>165</v>
      </c>
      <c r="U53" s="353" t="s">
        <v>166</v>
      </c>
      <c r="V53" s="354" t="s">
        <v>146</v>
      </c>
      <c r="W53" s="347"/>
      <c r="X53" s="350" t="s">
        <v>142</v>
      </c>
      <c r="Y53" s="351" t="s">
        <v>162</v>
      </c>
      <c r="Z53" s="351" t="s">
        <v>143</v>
      </c>
      <c r="AA53" s="351" t="s">
        <v>144</v>
      </c>
      <c r="AB53" s="351" t="s">
        <v>145</v>
      </c>
      <c r="AC53" s="351" t="s">
        <v>163</v>
      </c>
      <c r="AD53" s="351" t="s">
        <v>164</v>
      </c>
      <c r="AE53" s="352" t="s">
        <v>165</v>
      </c>
      <c r="AF53" s="353" t="s">
        <v>166</v>
      </c>
      <c r="AG53" s="354" t="s">
        <v>146</v>
      </c>
      <c r="AH53" s="347"/>
    </row>
    <row r="54" spans="2:34" ht="16.5" x14ac:dyDescent="0.35">
      <c r="B54" s="355">
        <v>46013</v>
      </c>
      <c r="C54" s="356">
        <v>18102</v>
      </c>
      <c r="D54" s="356">
        <v>18122</v>
      </c>
      <c r="E54" s="356">
        <f t="shared" ref="E54:E66" si="36">+D54-C54</f>
        <v>20</v>
      </c>
      <c r="F54" s="356">
        <f t="shared" ref="F54:F66" si="37">+E54*1000</f>
        <v>20000</v>
      </c>
      <c r="G54" s="356">
        <v>0</v>
      </c>
      <c r="H54" s="356">
        <f t="shared" ref="H54:H66" si="38">+F54-G54</f>
        <v>20000</v>
      </c>
      <c r="I54" s="357"/>
      <c r="J54" s="358" t="e">
        <f>E54*#REF!/2</f>
        <v>#REF!</v>
      </c>
      <c r="K54" s="359"/>
      <c r="L54" s="347"/>
      <c r="M54" s="355">
        <v>46013</v>
      </c>
      <c r="N54" s="356">
        <v>3425</v>
      </c>
      <c r="O54" s="356">
        <v>3439</v>
      </c>
      <c r="P54" s="356">
        <f t="shared" ref="P54:P66" si="39">+O54-N54</f>
        <v>14</v>
      </c>
      <c r="Q54" s="356">
        <f t="shared" ref="Q54:Q66" si="40">+P54*1000</f>
        <v>14000</v>
      </c>
      <c r="R54" s="356">
        <v>0</v>
      </c>
      <c r="S54" s="356">
        <f t="shared" ref="S54:S66" si="41">+Q54-R54</f>
        <v>14000</v>
      </c>
      <c r="T54" s="357"/>
      <c r="U54" s="358" t="e">
        <f>P54*#REF!/2</f>
        <v>#REF!</v>
      </c>
      <c r="V54" s="359"/>
      <c r="W54" s="347"/>
      <c r="X54" s="355">
        <v>46013</v>
      </c>
      <c r="Y54" s="356">
        <v>7414</v>
      </c>
      <c r="Z54" s="356">
        <v>7448</v>
      </c>
      <c r="AA54" s="356">
        <f t="shared" ref="AA54:AA66" si="42">+Z54-Y54</f>
        <v>34</v>
      </c>
      <c r="AB54" s="356">
        <f t="shared" ref="AB54:AB66" si="43">+AA54*1000</f>
        <v>34000</v>
      </c>
      <c r="AC54" s="356">
        <v>0</v>
      </c>
      <c r="AD54" s="356">
        <f t="shared" ref="AD54:AD66" si="44">+AB54-AC54</f>
        <v>34000</v>
      </c>
      <c r="AE54" s="357"/>
      <c r="AF54" s="358" t="e">
        <f>AA54*#REF!/2</f>
        <v>#REF!</v>
      </c>
      <c r="AG54" s="359"/>
      <c r="AH54" s="347"/>
    </row>
    <row r="55" spans="2:34" ht="16.5" x14ac:dyDescent="0.35">
      <c r="B55" s="355">
        <v>46017</v>
      </c>
      <c r="C55" s="360">
        <v>18122</v>
      </c>
      <c r="D55" s="360">
        <v>18178</v>
      </c>
      <c r="E55" s="360">
        <f t="shared" si="36"/>
        <v>56</v>
      </c>
      <c r="F55" s="360">
        <f t="shared" si="37"/>
        <v>56000</v>
      </c>
      <c r="G55" s="360">
        <v>0</v>
      </c>
      <c r="H55" s="360">
        <f t="shared" si="38"/>
        <v>56000</v>
      </c>
      <c r="I55" s="361"/>
      <c r="J55" s="358" t="e">
        <f>E55*#REF!/2</f>
        <v>#REF!</v>
      </c>
      <c r="K55" s="359"/>
      <c r="L55" s="362"/>
      <c r="M55" s="355">
        <v>46017</v>
      </c>
      <c r="N55" s="360">
        <v>3439</v>
      </c>
      <c r="O55" s="360">
        <v>3461</v>
      </c>
      <c r="P55" s="360">
        <f t="shared" si="39"/>
        <v>22</v>
      </c>
      <c r="Q55" s="360">
        <f t="shared" si="40"/>
        <v>22000</v>
      </c>
      <c r="R55" s="360">
        <v>0</v>
      </c>
      <c r="S55" s="360">
        <f t="shared" si="41"/>
        <v>22000</v>
      </c>
      <c r="T55" s="361"/>
      <c r="U55" s="358" t="e">
        <f>P55*#REF!/2</f>
        <v>#REF!</v>
      </c>
      <c r="V55" s="359"/>
      <c r="W55" s="362"/>
      <c r="X55" s="355">
        <v>46017</v>
      </c>
      <c r="Y55" s="360">
        <v>7448</v>
      </c>
      <c r="Z55" s="360">
        <v>7454</v>
      </c>
      <c r="AA55" s="360">
        <f t="shared" si="42"/>
        <v>6</v>
      </c>
      <c r="AB55" s="360">
        <f t="shared" si="43"/>
        <v>6000</v>
      </c>
      <c r="AC55" s="360">
        <v>0</v>
      </c>
      <c r="AD55" s="360">
        <f t="shared" si="44"/>
        <v>6000</v>
      </c>
      <c r="AE55" s="361"/>
      <c r="AF55" s="358" t="e">
        <f>AA55*#REF!/2</f>
        <v>#REF!</v>
      </c>
      <c r="AG55" s="359"/>
      <c r="AH55" s="362"/>
    </row>
    <row r="56" spans="2:34" ht="16.5" x14ac:dyDescent="0.35">
      <c r="B56" s="355">
        <v>46020</v>
      </c>
      <c r="C56" s="360">
        <v>18178</v>
      </c>
      <c r="D56" s="360">
        <v>18212</v>
      </c>
      <c r="E56" s="360">
        <f t="shared" si="36"/>
        <v>34</v>
      </c>
      <c r="F56" s="360">
        <f t="shared" si="37"/>
        <v>34000</v>
      </c>
      <c r="G56" s="360">
        <v>0</v>
      </c>
      <c r="H56" s="360">
        <f t="shared" si="38"/>
        <v>34000</v>
      </c>
      <c r="I56" s="361"/>
      <c r="J56" s="358" t="e">
        <f>E56*#REF!/2</f>
        <v>#REF!</v>
      </c>
      <c r="K56" s="359"/>
      <c r="L56" s="362"/>
      <c r="M56" s="355">
        <v>46020</v>
      </c>
      <c r="N56" s="360">
        <v>3461</v>
      </c>
      <c r="O56" s="360">
        <v>3476</v>
      </c>
      <c r="P56" s="360">
        <f t="shared" si="39"/>
        <v>15</v>
      </c>
      <c r="Q56" s="360">
        <f t="shared" si="40"/>
        <v>15000</v>
      </c>
      <c r="R56" s="360">
        <v>0</v>
      </c>
      <c r="S56" s="360">
        <f t="shared" si="41"/>
        <v>15000</v>
      </c>
      <c r="T56" s="361"/>
      <c r="U56" s="358" t="e">
        <f>P56*#REF!/2</f>
        <v>#REF!</v>
      </c>
      <c r="V56" s="359"/>
      <c r="W56" s="362"/>
      <c r="X56" s="355">
        <v>46020</v>
      </c>
      <c r="Y56" s="360">
        <v>7454</v>
      </c>
      <c r="Z56" s="360">
        <v>7464</v>
      </c>
      <c r="AA56" s="360">
        <f t="shared" si="42"/>
        <v>10</v>
      </c>
      <c r="AB56" s="360">
        <f t="shared" si="43"/>
        <v>10000</v>
      </c>
      <c r="AC56" s="360">
        <v>0</v>
      </c>
      <c r="AD56" s="360">
        <f t="shared" si="44"/>
        <v>10000</v>
      </c>
      <c r="AE56" s="361"/>
      <c r="AF56" s="358" t="e">
        <f>AA56*#REF!/2</f>
        <v>#REF!</v>
      </c>
      <c r="AG56" s="359"/>
      <c r="AH56" s="362"/>
    </row>
    <row r="57" spans="2:34" ht="16.5" x14ac:dyDescent="0.35">
      <c r="B57" s="355">
        <v>46024</v>
      </c>
      <c r="C57" s="360">
        <v>18212</v>
      </c>
      <c r="D57" s="360">
        <v>18348</v>
      </c>
      <c r="E57" s="360">
        <f t="shared" si="36"/>
        <v>136</v>
      </c>
      <c r="F57" s="360">
        <f t="shared" si="37"/>
        <v>136000</v>
      </c>
      <c r="G57" s="360">
        <v>0</v>
      </c>
      <c r="H57" s="360">
        <f t="shared" si="38"/>
        <v>136000</v>
      </c>
      <c r="I57" s="361"/>
      <c r="J57" s="358" t="e">
        <f>E57*#REF!/2</f>
        <v>#REF!</v>
      </c>
      <c r="K57" s="363"/>
      <c r="L57" s="364"/>
      <c r="M57" s="355">
        <v>46024</v>
      </c>
      <c r="N57" s="360">
        <v>3476</v>
      </c>
      <c r="O57" s="360">
        <v>3543</v>
      </c>
      <c r="P57" s="360">
        <f t="shared" si="39"/>
        <v>67</v>
      </c>
      <c r="Q57" s="360">
        <f t="shared" si="40"/>
        <v>67000</v>
      </c>
      <c r="R57" s="360">
        <v>0</v>
      </c>
      <c r="S57" s="360">
        <f t="shared" si="41"/>
        <v>67000</v>
      </c>
      <c r="T57" s="361"/>
      <c r="U57" s="358" t="e">
        <f>P57*#REF!/2</f>
        <v>#REF!</v>
      </c>
      <c r="V57" s="363"/>
      <c r="W57" s="364"/>
      <c r="X57" s="355">
        <v>46024</v>
      </c>
      <c r="Y57" s="360">
        <v>7464</v>
      </c>
      <c r="Z57" s="360">
        <v>7504</v>
      </c>
      <c r="AA57" s="360">
        <f t="shared" si="42"/>
        <v>40</v>
      </c>
      <c r="AB57" s="360">
        <f t="shared" si="43"/>
        <v>40000</v>
      </c>
      <c r="AC57" s="360">
        <v>0</v>
      </c>
      <c r="AD57" s="360">
        <f t="shared" si="44"/>
        <v>40000</v>
      </c>
      <c r="AE57" s="361"/>
      <c r="AF57" s="358" t="e">
        <f>AA57*#REF!/2</f>
        <v>#REF!</v>
      </c>
      <c r="AG57" s="363"/>
      <c r="AH57" s="364"/>
    </row>
    <row r="58" spans="2:34" ht="16.5" x14ac:dyDescent="0.35">
      <c r="B58" s="355">
        <v>46027</v>
      </c>
      <c r="C58" s="360">
        <v>18348</v>
      </c>
      <c r="D58" s="360">
        <v>18420</v>
      </c>
      <c r="E58" s="360">
        <f t="shared" si="36"/>
        <v>72</v>
      </c>
      <c r="F58" s="360">
        <f t="shared" si="37"/>
        <v>72000</v>
      </c>
      <c r="G58" s="360">
        <v>0</v>
      </c>
      <c r="H58" s="360">
        <f t="shared" si="38"/>
        <v>72000</v>
      </c>
      <c r="I58" s="361"/>
      <c r="J58" s="358" t="e">
        <f>E58*#REF!/2</f>
        <v>#REF!</v>
      </c>
      <c r="K58" s="363"/>
      <c r="L58" s="364"/>
      <c r="M58" s="355">
        <v>46027</v>
      </c>
      <c r="N58" s="360">
        <v>3543</v>
      </c>
      <c r="O58" s="360">
        <v>3618</v>
      </c>
      <c r="P58" s="360">
        <f t="shared" si="39"/>
        <v>75</v>
      </c>
      <c r="Q58" s="360">
        <f t="shared" si="40"/>
        <v>75000</v>
      </c>
      <c r="R58" s="360">
        <v>0</v>
      </c>
      <c r="S58" s="360">
        <f t="shared" si="41"/>
        <v>75000</v>
      </c>
      <c r="T58" s="361"/>
      <c r="U58" s="358" t="e">
        <f>P58*#REF!/2</f>
        <v>#REF!</v>
      </c>
      <c r="V58" s="363"/>
      <c r="W58" s="364"/>
      <c r="X58" s="355">
        <v>46027</v>
      </c>
      <c r="Y58" s="360">
        <v>7504</v>
      </c>
      <c r="Z58" s="360">
        <v>7530</v>
      </c>
      <c r="AA58" s="360">
        <f t="shared" si="42"/>
        <v>26</v>
      </c>
      <c r="AB58" s="360">
        <f t="shared" si="43"/>
        <v>26000</v>
      </c>
      <c r="AC58" s="360">
        <v>0</v>
      </c>
      <c r="AD58" s="360">
        <f t="shared" si="44"/>
        <v>26000</v>
      </c>
      <c r="AE58" s="361"/>
      <c r="AF58" s="358" t="e">
        <f>AA58*#REF!/2</f>
        <v>#REF!</v>
      </c>
      <c r="AG58" s="363"/>
      <c r="AH58" s="364"/>
    </row>
    <row r="59" spans="2:34" ht="16.5" x14ac:dyDescent="0.35">
      <c r="B59" s="355">
        <v>46031</v>
      </c>
      <c r="C59" s="360">
        <v>18420</v>
      </c>
      <c r="D59" s="360">
        <v>18438</v>
      </c>
      <c r="E59" s="360">
        <f t="shared" si="36"/>
        <v>18</v>
      </c>
      <c r="F59" s="360">
        <f t="shared" si="37"/>
        <v>18000</v>
      </c>
      <c r="G59" s="360">
        <v>0</v>
      </c>
      <c r="H59" s="360">
        <f t="shared" si="38"/>
        <v>18000</v>
      </c>
      <c r="I59" s="361"/>
      <c r="J59" s="358" t="e">
        <f>E59*#REF!/2</f>
        <v>#REF!</v>
      </c>
      <c r="K59" s="363"/>
      <c r="L59" s="364"/>
      <c r="M59" s="355">
        <v>46031</v>
      </c>
      <c r="N59" s="360">
        <v>3618</v>
      </c>
      <c r="O59" s="360">
        <v>3696</v>
      </c>
      <c r="P59" s="360">
        <f t="shared" si="39"/>
        <v>78</v>
      </c>
      <c r="Q59" s="360">
        <f t="shared" si="40"/>
        <v>78000</v>
      </c>
      <c r="R59" s="360">
        <v>0</v>
      </c>
      <c r="S59" s="360">
        <f t="shared" si="41"/>
        <v>78000</v>
      </c>
      <c r="T59" s="361"/>
      <c r="U59" s="358" t="e">
        <f>P59*#REF!/2</f>
        <v>#REF!</v>
      </c>
      <c r="V59" s="363"/>
      <c r="W59" s="364"/>
      <c r="X59" s="355">
        <v>46031</v>
      </c>
      <c r="Y59" s="360">
        <v>7530</v>
      </c>
      <c r="Z59" s="360">
        <v>7540</v>
      </c>
      <c r="AA59" s="360">
        <f t="shared" si="42"/>
        <v>10</v>
      </c>
      <c r="AB59" s="360">
        <f t="shared" si="43"/>
        <v>10000</v>
      </c>
      <c r="AC59" s="360">
        <v>0</v>
      </c>
      <c r="AD59" s="360">
        <f t="shared" si="44"/>
        <v>10000</v>
      </c>
      <c r="AE59" s="361"/>
      <c r="AF59" s="358" t="e">
        <f>AA59*#REF!/2</f>
        <v>#REF!</v>
      </c>
      <c r="AG59" s="363"/>
      <c r="AH59" s="364"/>
    </row>
    <row r="60" spans="2:34" ht="16.5" x14ac:dyDescent="0.35">
      <c r="B60" s="355">
        <v>46034</v>
      </c>
      <c r="C60" s="360">
        <v>18438</v>
      </c>
      <c r="D60" s="360">
        <v>18474</v>
      </c>
      <c r="E60" s="360">
        <f t="shared" si="36"/>
        <v>36</v>
      </c>
      <c r="F60" s="360">
        <f t="shared" si="37"/>
        <v>36000</v>
      </c>
      <c r="G60" s="360">
        <v>0</v>
      </c>
      <c r="H60" s="360">
        <f t="shared" si="38"/>
        <v>36000</v>
      </c>
      <c r="I60" s="361"/>
      <c r="J60" s="358" t="e">
        <f>E60*#REF!/2</f>
        <v>#REF!</v>
      </c>
      <c r="K60" s="363"/>
      <c r="L60" s="364"/>
      <c r="M60" s="355">
        <v>46034</v>
      </c>
      <c r="N60" s="360">
        <v>3696</v>
      </c>
      <c r="O60" s="360">
        <v>3727</v>
      </c>
      <c r="P60" s="360">
        <f t="shared" si="39"/>
        <v>31</v>
      </c>
      <c r="Q60" s="360">
        <f t="shared" si="40"/>
        <v>31000</v>
      </c>
      <c r="R60" s="360">
        <v>0</v>
      </c>
      <c r="S60" s="360">
        <f t="shared" si="41"/>
        <v>31000</v>
      </c>
      <c r="T60" s="361"/>
      <c r="U60" s="358" t="e">
        <f>P60*#REF!/2</f>
        <v>#REF!</v>
      </c>
      <c r="V60" s="363"/>
      <c r="W60" s="364"/>
      <c r="X60" s="355">
        <v>46034</v>
      </c>
      <c r="Y60" s="360">
        <v>7540</v>
      </c>
      <c r="Z60" s="360">
        <v>7548</v>
      </c>
      <c r="AA60" s="360">
        <f t="shared" si="42"/>
        <v>8</v>
      </c>
      <c r="AB60" s="360">
        <f t="shared" si="43"/>
        <v>8000</v>
      </c>
      <c r="AC60" s="360">
        <v>0</v>
      </c>
      <c r="AD60" s="360">
        <f t="shared" si="44"/>
        <v>8000</v>
      </c>
      <c r="AE60" s="361"/>
      <c r="AF60" s="358" t="e">
        <f>AA60*#REF!/2</f>
        <v>#REF!</v>
      </c>
      <c r="AG60" s="363"/>
      <c r="AH60" s="364"/>
    </row>
    <row r="61" spans="2:34" ht="16.5" x14ac:dyDescent="0.35">
      <c r="B61" s="355">
        <v>46038</v>
      </c>
      <c r="C61" s="360">
        <v>18474</v>
      </c>
      <c r="D61" s="360">
        <v>18502</v>
      </c>
      <c r="E61" s="360">
        <f t="shared" si="36"/>
        <v>28</v>
      </c>
      <c r="F61" s="360">
        <f t="shared" si="37"/>
        <v>28000</v>
      </c>
      <c r="G61" s="360">
        <v>0</v>
      </c>
      <c r="H61" s="360">
        <f t="shared" si="38"/>
        <v>28000</v>
      </c>
      <c r="I61" s="361"/>
      <c r="J61" s="358" t="e">
        <f>E61*#REF!/2</f>
        <v>#REF!</v>
      </c>
      <c r="K61" s="363"/>
      <c r="L61" s="364"/>
      <c r="M61" s="355">
        <v>46038</v>
      </c>
      <c r="N61" s="360">
        <v>3727</v>
      </c>
      <c r="O61" s="360">
        <v>3740</v>
      </c>
      <c r="P61" s="360">
        <f t="shared" si="39"/>
        <v>13</v>
      </c>
      <c r="Q61" s="360">
        <f t="shared" si="40"/>
        <v>13000</v>
      </c>
      <c r="R61" s="360">
        <v>0</v>
      </c>
      <c r="S61" s="360">
        <f t="shared" si="41"/>
        <v>13000</v>
      </c>
      <c r="T61" s="361"/>
      <c r="U61" s="358" t="e">
        <f>P61*#REF!/2</f>
        <v>#REF!</v>
      </c>
      <c r="V61" s="363"/>
      <c r="W61" s="364"/>
      <c r="X61" s="355">
        <v>46038</v>
      </c>
      <c r="Y61" s="360">
        <v>7548</v>
      </c>
      <c r="Z61" s="360">
        <v>7554</v>
      </c>
      <c r="AA61" s="360">
        <f t="shared" si="42"/>
        <v>6</v>
      </c>
      <c r="AB61" s="360">
        <f t="shared" si="43"/>
        <v>6000</v>
      </c>
      <c r="AC61" s="360">
        <v>0</v>
      </c>
      <c r="AD61" s="360">
        <f t="shared" si="44"/>
        <v>6000</v>
      </c>
      <c r="AE61" s="361"/>
      <c r="AF61" s="358" t="e">
        <f>AA61*#REF!/2</f>
        <v>#REF!</v>
      </c>
      <c r="AG61" s="363"/>
      <c r="AH61" s="364"/>
    </row>
    <row r="62" spans="2:34" ht="16.5" x14ac:dyDescent="0.35">
      <c r="B62" s="355">
        <v>46042</v>
      </c>
      <c r="C62" s="360">
        <v>18502</v>
      </c>
      <c r="D62" s="360">
        <v>18552</v>
      </c>
      <c r="E62" s="360">
        <f t="shared" si="36"/>
        <v>50</v>
      </c>
      <c r="F62" s="360">
        <f t="shared" si="37"/>
        <v>50000</v>
      </c>
      <c r="G62" s="360">
        <v>0</v>
      </c>
      <c r="H62" s="360">
        <f t="shared" si="38"/>
        <v>50000</v>
      </c>
      <c r="I62" s="361"/>
      <c r="J62" s="358" t="e">
        <f>E62*#REF!/2</f>
        <v>#REF!</v>
      </c>
      <c r="K62" s="363"/>
      <c r="L62" s="364" t="s">
        <v>179</v>
      </c>
      <c r="M62" s="355">
        <v>46042</v>
      </c>
      <c r="N62" s="360">
        <v>3740</v>
      </c>
      <c r="O62" s="360">
        <v>3777</v>
      </c>
      <c r="P62" s="360">
        <f t="shared" si="39"/>
        <v>37</v>
      </c>
      <c r="Q62" s="360">
        <f t="shared" si="40"/>
        <v>37000</v>
      </c>
      <c r="R62" s="360">
        <v>0</v>
      </c>
      <c r="S62" s="360">
        <f t="shared" si="41"/>
        <v>37000</v>
      </c>
      <c r="T62" s="361"/>
      <c r="U62" s="358" t="e">
        <f>P62*#REF!/2</f>
        <v>#REF!</v>
      </c>
      <c r="V62" s="363"/>
      <c r="W62" s="364" t="s">
        <v>179</v>
      </c>
      <c r="X62" s="355">
        <v>46042</v>
      </c>
      <c r="Y62" s="360">
        <v>7554</v>
      </c>
      <c r="Z62" s="360">
        <v>7566</v>
      </c>
      <c r="AA62" s="360">
        <f t="shared" si="42"/>
        <v>12</v>
      </c>
      <c r="AB62" s="360">
        <f t="shared" si="43"/>
        <v>12000</v>
      </c>
      <c r="AC62" s="360">
        <v>0</v>
      </c>
      <c r="AD62" s="360">
        <f t="shared" si="44"/>
        <v>12000</v>
      </c>
      <c r="AE62" s="361"/>
      <c r="AF62" s="358" t="e">
        <f>AA62*#REF!/2</f>
        <v>#REF!</v>
      </c>
      <c r="AG62" s="363"/>
      <c r="AH62" s="364" t="s">
        <v>179</v>
      </c>
    </row>
    <row r="63" spans="2:34" ht="16.5" x14ac:dyDescent="0.35">
      <c r="B63" s="355"/>
      <c r="C63" s="360"/>
      <c r="D63" s="360"/>
      <c r="E63" s="360">
        <f t="shared" si="36"/>
        <v>0</v>
      </c>
      <c r="F63" s="360">
        <f t="shared" si="37"/>
        <v>0</v>
      </c>
      <c r="G63" s="360">
        <v>0</v>
      </c>
      <c r="H63" s="360">
        <f t="shared" si="38"/>
        <v>0</v>
      </c>
      <c r="I63" s="361"/>
      <c r="J63" s="358" t="e">
        <f>E63*#REF!/2</f>
        <v>#REF!</v>
      </c>
      <c r="K63" s="363"/>
      <c r="L63" s="364"/>
      <c r="M63" s="355"/>
      <c r="N63" s="360"/>
      <c r="O63" s="360"/>
      <c r="P63" s="360">
        <f t="shared" si="39"/>
        <v>0</v>
      </c>
      <c r="Q63" s="360">
        <f t="shared" si="40"/>
        <v>0</v>
      </c>
      <c r="R63" s="360">
        <v>0</v>
      </c>
      <c r="S63" s="360">
        <f t="shared" si="41"/>
        <v>0</v>
      </c>
      <c r="T63" s="361"/>
      <c r="U63" s="358" t="e">
        <f>P63*#REF!/2</f>
        <v>#REF!</v>
      </c>
      <c r="V63" s="363"/>
      <c r="W63" s="364"/>
      <c r="X63" s="355"/>
      <c r="Y63" s="360"/>
      <c r="Z63" s="360"/>
      <c r="AA63" s="360">
        <f t="shared" si="42"/>
        <v>0</v>
      </c>
      <c r="AB63" s="360">
        <f t="shared" si="43"/>
        <v>0</v>
      </c>
      <c r="AC63" s="360">
        <v>0</v>
      </c>
      <c r="AD63" s="360">
        <f t="shared" si="44"/>
        <v>0</v>
      </c>
      <c r="AE63" s="361"/>
      <c r="AF63" s="358" t="e">
        <f>AA63*#REF!/2</f>
        <v>#REF!</v>
      </c>
      <c r="AG63" s="363"/>
      <c r="AH63" s="364"/>
    </row>
    <row r="64" spans="2:34" ht="16.5" x14ac:dyDescent="0.35">
      <c r="B64" s="355"/>
      <c r="C64" s="360"/>
      <c r="D64" s="360"/>
      <c r="E64" s="360">
        <f t="shared" si="36"/>
        <v>0</v>
      </c>
      <c r="F64" s="360">
        <f t="shared" si="37"/>
        <v>0</v>
      </c>
      <c r="G64" s="360">
        <v>0</v>
      </c>
      <c r="H64" s="360">
        <f t="shared" si="38"/>
        <v>0</v>
      </c>
      <c r="I64" s="361"/>
      <c r="J64" s="358" t="e">
        <f>E64*#REF!/2</f>
        <v>#REF!</v>
      </c>
      <c r="K64" s="363"/>
      <c r="L64" s="364"/>
      <c r="M64" s="355"/>
      <c r="N64" s="360"/>
      <c r="O64" s="360"/>
      <c r="P64" s="360">
        <f t="shared" si="39"/>
        <v>0</v>
      </c>
      <c r="Q64" s="360">
        <f t="shared" si="40"/>
        <v>0</v>
      </c>
      <c r="R64" s="360">
        <v>0</v>
      </c>
      <c r="S64" s="360">
        <f t="shared" si="41"/>
        <v>0</v>
      </c>
      <c r="T64" s="361"/>
      <c r="U64" s="358" t="e">
        <f>P64*#REF!/2</f>
        <v>#REF!</v>
      </c>
      <c r="V64" s="363"/>
      <c r="W64" s="365"/>
      <c r="X64" s="355"/>
      <c r="Y64" s="360"/>
      <c r="Z64" s="360"/>
      <c r="AA64" s="360">
        <f t="shared" si="42"/>
        <v>0</v>
      </c>
      <c r="AB64" s="360">
        <f t="shared" si="43"/>
        <v>0</v>
      </c>
      <c r="AC64" s="360">
        <v>0</v>
      </c>
      <c r="AD64" s="360">
        <f t="shared" si="44"/>
        <v>0</v>
      </c>
      <c r="AE64" s="361"/>
      <c r="AF64" s="358" t="e">
        <f>AA64*#REF!/2</f>
        <v>#REF!</v>
      </c>
      <c r="AG64" s="363"/>
      <c r="AH64" s="365"/>
    </row>
    <row r="65" spans="2:34" ht="16.5" x14ac:dyDescent="0.35">
      <c r="B65" s="355"/>
      <c r="C65" s="360"/>
      <c r="D65" s="360"/>
      <c r="E65" s="360">
        <f t="shared" si="36"/>
        <v>0</v>
      </c>
      <c r="F65" s="360">
        <f t="shared" si="37"/>
        <v>0</v>
      </c>
      <c r="G65" s="360">
        <v>0</v>
      </c>
      <c r="H65" s="360">
        <f t="shared" si="38"/>
        <v>0</v>
      </c>
      <c r="I65" s="361"/>
      <c r="J65" s="358" t="e">
        <f>E65*#REF!/2</f>
        <v>#REF!</v>
      </c>
      <c r="K65" s="363"/>
      <c r="L65" s="365"/>
      <c r="M65" s="355"/>
      <c r="N65" s="360"/>
      <c r="O65" s="360"/>
      <c r="P65" s="360">
        <f t="shared" si="39"/>
        <v>0</v>
      </c>
      <c r="Q65" s="360">
        <f t="shared" si="40"/>
        <v>0</v>
      </c>
      <c r="R65" s="360">
        <v>0</v>
      </c>
      <c r="S65" s="360">
        <f t="shared" si="41"/>
        <v>0</v>
      </c>
      <c r="T65" s="361"/>
      <c r="U65" s="358" t="e">
        <f>P65*#REF!/2</f>
        <v>#REF!</v>
      </c>
      <c r="V65" s="363"/>
      <c r="W65" s="365"/>
      <c r="X65" s="355"/>
      <c r="Y65" s="360"/>
      <c r="Z65" s="360"/>
      <c r="AA65" s="360">
        <f t="shared" si="42"/>
        <v>0</v>
      </c>
      <c r="AB65" s="360">
        <f t="shared" si="43"/>
        <v>0</v>
      </c>
      <c r="AC65" s="360">
        <v>0</v>
      </c>
      <c r="AD65" s="360">
        <f t="shared" si="44"/>
        <v>0</v>
      </c>
      <c r="AE65" s="361"/>
      <c r="AF65" s="358" t="e">
        <f>AA65*#REF!/2</f>
        <v>#REF!</v>
      </c>
      <c r="AG65" s="363"/>
      <c r="AH65" s="365"/>
    </row>
    <row r="66" spans="2:34" ht="17.25" thickBot="1" x14ac:dyDescent="0.4">
      <c r="B66" s="366"/>
      <c r="C66" s="367"/>
      <c r="D66" s="368"/>
      <c r="E66" s="368">
        <f t="shared" si="36"/>
        <v>0</v>
      </c>
      <c r="F66" s="368">
        <f t="shared" si="37"/>
        <v>0</v>
      </c>
      <c r="G66" s="368">
        <v>0</v>
      </c>
      <c r="H66" s="368">
        <f t="shared" si="38"/>
        <v>0</v>
      </c>
      <c r="I66" s="369"/>
      <c r="J66" s="370" t="e">
        <f>E66*#REF!/2</f>
        <v>#REF!</v>
      </c>
      <c r="K66" s="371"/>
      <c r="L66" s="364" t="s">
        <v>180</v>
      </c>
      <c r="M66" s="372"/>
      <c r="N66" s="373"/>
      <c r="O66" s="373"/>
      <c r="P66" s="373">
        <f t="shared" si="39"/>
        <v>0</v>
      </c>
      <c r="Q66" s="373">
        <f t="shared" si="40"/>
        <v>0</v>
      </c>
      <c r="R66" s="373">
        <v>0</v>
      </c>
      <c r="S66" s="373">
        <f t="shared" si="41"/>
        <v>0</v>
      </c>
      <c r="T66" s="374"/>
      <c r="U66" s="375" t="e">
        <f>P66*#REF!/2</f>
        <v>#REF!</v>
      </c>
      <c r="V66" s="371"/>
      <c r="W66" s="364" t="s">
        <v>180</v>
      </c>
      <c r="X66" s="372"/>
      <c r="Y66" s="373"/>
      <c r="Z66" s="373"/>
      <c r="AA66" s="373">
        <f t="shared" si="42"/>
        <v>0</v>
      </c>
      <c r="AB66" s="373">
        <f t="shared" si="43"/>
        <v>0</v>
      </c>
      <c r="AC66" s="373">
        <v>0</v>
      </c>
      <c r="AD66" s="373">
        <f t="shared" si="44"/>
        <v>0</v>
      </c>
      <c r="AE66" s="374"/>
      <c r="AF66" s="375" t="e">
        <f>AA66*#REF!/2</f>
        <v>#REF!</v>
      </c>
      <c r="AG66" s="371"/>
      <c r="AH66" s="364" t="s">
        <v>180</v>
      </c>
    </row>
    <row r="67" spans="2:34" ht="17.25" thickBot="1" x14ac:dyDescent="0.4">
      <c r="B67" s="376"/>
      <c r="C67" s="368"/>
      <c r="D67" s="368"/>
      <c r="E67" s="368">
        <f t="shared" ref="E67:J67" si="45">SUM(E54:E66)</f>
        <v>450</v>
      </c>
      <c r="F67" s="368">
        <f t="shared" si="45"/>
        <v>450000</v>
      </c>
      <c r="G67" s="368">
        <f t="shared" si="45"/>
        <v>0</v>
      </c>
      <c r="H67" s="368">
        <f t="shared" si="45"/>
        <v>450000</v>
      </c>
      <c r="I67" s="368">
        <f t="shared" si="45"/>
        <v>0</v>
      </c>
      <c r="J67" s="368" t="e">
        <f t="shared" si="45"/>
        <v>#REF!</v>
      </c>
      <c r="K67" s="377" t="e">
        <f>+H67*0.6-G67-J67</f>
        <v>#REF!</v>
      </c>
      <c r="L67" s="378" t="e">
        <f>+K67/H67</f>
        <v>#REF!</v>
      </c>
      <c r="M67" s="376"/>
      <c r="N67" s="368"/>
      <c r="O67" s="368"/>
      <c r="P67" s="368">
        <f t="shared" ref="P67:U67" si="46">SUM(P54:P66)</f>
        <v>352</v>
      </c>
      <c r="Q67" s="368">
        <f t="shared" si="46"/>
        <v>352000</v>
      </c>
      <c r="R67" s="368">
        <f t="shared" si="46"/>
        <v>0</v>
      </c>
      <c r="S67" s="368">
        <f t="shared" si="46"/>
        <v>352000</v>
      </c>
      <c r="T67" s="368">
        <f t="shared" si="46"/>
        <v>0</v>
      </c>
      <c r="U67" s="368" t="e">
        <f t="shared" si="46"/>
        <v>#REF!</v>
      </c>
      <c r="V67" s="377" t="e">
        <f>+S67*0.6-R67-U67</f>
        <v>#REF!</v>
      </c>
      <c r="W67" s="378" t="e">
        <f>+V67/S67</f>
        <v>#REF!</v>
      </c>
      <c r="X67" s="376"/>
      <c r="Y67" s="368"/>
      <c r="Z67" s="368"/>
      <c r="AA67" s="368">
        <f t="shared" ref="AA67:AF67" si="47">SUM(AA54:AA66)</f>
        <v>152</v>
      </c>
      <c r="AB67" s="368">
        <f t="shared" si="47"/>
        <v>152000</v>
      </c>
      <c r="AC67" s="368">
        <f t="shared" si="47"/>
        <v>0</v>
      </c>
      <c r="AD67" s="368">
        <f t="shared" si="47"/>
        <v>152000</v>
      </c>
      <c r="AE67" s="368">
        <f t="shared" si="47"/>
        <v>0</v>
      </c>
      <c r="AF67" s="368" t="e">
        <f t="shared" si="47"/>
        <v>#REF!</v>
      </c>
      <c r="AG67" s="377" t="e">
        <f>+AD67*0.6-AC67-AF67</f>
        <v>#REF!</v>
      </c>
      <c r="AH67" s="378" t="e">
        <f>+AG67/AD67</f>
        <v>#REF!</v>
      </c>
    </row>
    <row r="69" spans="2:34" ht="17.25" thickBot="1" x14ac:dyDescent="0.4">
      <c r="B69" s="346" t="s">
        <v>175</v>
      </c>
      <c r="C69" s="347" t="s">
        <v>176</v>
      </c>
      <c r="D69" s="347"/>
      <c r="E69" s="347"/>
      <c r="F69" s="347"/>
      <c r="G69" s="347"/>
      <c r="H69" s="347"/>
      <c r="I69" s="347"/>
      <c r="J69" s="348">
        <v>473.2</v>
      </c>
      <c r="K69" s="347"/>
      <c r="L69" s="347"/>
      <c r="M69" s="349" t="s">
        <v>177</v>
      </c>
      <c r="N69" s="347"/>
      <c r="O69" s="347"/>
      <c r="P69" s="347"/>
      <c r="Q69" s="347"/>
      <c r="R69" s="347"/>
      <c r="S69" s="347"/>
      <c r="T69" s="347"/>
      <c r="U69" s="348">
        <v>473.2</v>
      </c>
      <c r="V69" s="347"/>
      <c r="W69" s="347"/>
      <c r="X69" s="349" t="s">
        <v>178</v>
      </c>
      <c r="Y69" s="347"/>
      <c r="Z69" s="347"/>
      <c r="AA69" s="347"/>
      <c r="AB69" s="347"/>
      <c r="AC69" s="347"/>
      <c r="AD69" s="347"/>
      <c r="AE69" s="347"/>
      <c r="AF69" s="348">
        <v>473.2</v>
      </c>
      <c r="AG69" s="347"/>
      <c r="AH69" s="347"/>
    </row>
    <row r="70" spans="2:34" ht="17.25" thickBot="1" x14ac:dyDescent="0.4">
      <c r="B70" s="350" t="s">
        <v>142</v>
      </c>
      <c r="C70" s="351" t="s">
        <v>162</v>
      </c>
      <c r="D70" s="351" t="s">
        <v>143</v>
      </c>
      <c r="E70" s="351" t="s">
        <v>144</v>
      </c>
      <c r="F70" s="351" t="s">
        <v>145</v>
      </c>
      <c r="G70" s="351" t="s">
        <v>163</v>
      </c>
      <c r="H70" s="351" t="s">
        <v>164</v>
      </c>
      <c r="I70" s="352" t="s">
        <v>165</v>
      </c>
      <c r="J70" s="353" t="s">
        <v>166</v>
      </c>
      <c r="K70" s="354" t="s">
        <v>146</v>
      </c>
      <c r="L70" s="347"/>
      <c r="M70" s="350" t="s">
        <v>142</v>
      </c>
      <c r="N70" s="351" t="s">
        <v>162</v>
      </c>
      <c r="O70" s="351" t="s">
        <v>143</v>
      </c>
      <c r="P70" s="351" t="s">
        <v>144</v>
      </c>
      <c r="Q70" s="351" t="s">
        <v>145</v>
      </c>
      <c r="R70" s="351" t="s">
        <v>163</v>
      </c>
      <c r="S70" s="351" t="s">
        <v>164</v>
      </c>
      <c r="T70" s="352" t="s">
        <v>165</v>
      </c>
      <c r="U70" s="353" t="s">
        <v>166</v>
      </c>
      <c r="V70" s="354" t="s">
        <v>146</v>
      </c>
      <c r="W70" s="347"/>
      <c r="X70" s="350" t="s">
        <v>142</v>
      </c>
      <c r="Y70" s="351" t="s">
        <v>162</v>
      </c>
      <c r="Z70" s="351" t="s">
        <v>143</v>
      </c>
      <c r="AA70" s="351" t="s">
        <v>144</v>
      </c>
      <c r="AB70" s="351" t="s">
        <v>145</v>
      </c>
      <c r="AC70" s="351" t="s">
        <v>163</v>
      </c>
      <c r="AD70" s="351" t="s">
        <v>164</v>
      </c>
      <c r="AE70" s="352" t="s">
        <v>165</v>
      </c>
      <c r="AF70" s="353" t="s">
        <v>166</v>
      </c>
      <c r="AG70" s="354" t="s">
        <v>146</v>
      </c>
      <c r="AH70" s="347"/>
    </row>
    <row r="71" spans="2:34" ht="16.5" x14ac:dyDescent="0.35">
      <c r="B71" s="355">
        <v>46045</v>
      </c>
      <c r="C71" s="356">
        <v>18552</v>
      </c>
      <c r="D71" s="356">
        <v>18580</v>
      </c>
      <c r="E71" s="356">
        <f t="shared" ref="E71:E83" si="48">+D71-C71</f>
        <v>28</v>
      </c>
      <c r="F71" s="356">
        <f t="shared" ref="F71:F83" si="49">+E71*1000</f>
        <v>28000</v>
      </c>
      <c r="G71" s="356">
        <v>0</v>
      </c>
      <c r="H71" s="356">
        <f t="shared" ref="H71:H83" si="50">+F71-G71</f>
        <v>28000</v>
      </c>
      <c r="I71" s="357"/>
      <c r="J71" s="358" t="e">
        <f>E71*#REF!/2</f>
        <v>#REF!</v>
      </c>
      <c r="K71" s="359"/>
      <c r="L71" s="347"/>
      <c r="M71" s="355">
        <v>46045</v>
      </c>
      <c r="N71" s="356">
        <v>3777</v>
      </c>
      <c r="O71" s="356">
        <v>3796</v>
      </c>
      <c r="P71" s="356">
        <f t="shared" ref="P71:P83" si="51">+O71-N71</f>
        <v>19</v>
      </c>
      <c r="Q71" s="356">
        <f t="shared" ref="Q71:Q83" si="52">+P71*1000</f>
        <v>19000</v>
      </c>
      <c r="R71" s="356">
        <v>0</v>
      </c>
      <c r="S71" s="356">
        <f t="shared" ref="S71:S83" si="53">+Q71-R71</f>
        <v>19000</v>
      </c>
      <c r="T71" s="357"/>
      <c r="U71" s="358" t="e">
        <f>P71*#REF!/2</f>
        <v>#REF!</v>
      </c>
      <c r="V71" s="359"/>
      <c r="W71" s="347"/>
      <c r="X71" s="355">
        <v>46045</v>
      </c>
      <c r="Y71" s="356">
        <v>7566</v>
      </c>
      <c r="Z71" s="356">
        <v>7570</v>
      </c>
      <c r="AA71" s="356">
        <f t="shared" ref="AA71:AA83" si="54">+Z71-Y71</f>
        <v>4</v>
      </c>
      <c r="AB71" s="356">
        <f t="shared" ref="AB71:AB83" si="55">+AA71*1000</f>
        <v>4000</v>
      </c>
      <c r="AC71" s="356">
        <v>0</v>
      </c>
      <c r="AD71" s="356">
        <f t="shared" ref="AD71:AD83" si="56">+AB71-AC71</f>
        <v>4000</v>
      </c>
      <c r="AE71" s="357"/>
      <c r="AF71" s="358" t="e">
        <f>AA71*#REF!/2</f>
        <v>#REF!</v>
      </c>
      <c r="AG71" s="359"/>
      <c r="AH71" s="347"/>
    </row>
    <row r="72" spans="2:34" ht="16.5" x14ac:dyDescent="0.35">
      <c r="B72" s="355">
        <v>46048</v>
      </c>
      <c r="C72" s="360">
        <v>18580</v>
      </c>
      <c r="D72" s="360">
        <v>18624</v>
      </c>
      <c r="E72" s="360">
        <f t="shared" si="48"/>
        <v>44</v>
      </c>
      <c r="F72" s="360">
        <f t="shared" si="49"/>
        <v>44000</v>
      </c>
      <c r="G72" s="360">
        <v>0</v>
      </c>
      <c r="H72" s="360">
        <f t="shared" si="50"/>
        <v>44000</v>
      </c>
      <c r="I72" s="361"/>
      <c r="J72" s="358" t="e">
        <f>E72*#REF!/2</f>
        <v>#REF!</v>
      </c>
      <c r="K72" s="359"/>
      <c r="L72" s="362"/>
      <c r="M72" s="355">
        <v>46048</v>
      </c>
      <c r="N72" s="360">
        <v>3796</v>
      </c>
      <c r="O72" s="360">
        <v>3841</v>
      </c>
      <c r="P72" s="360">
        <f t="shared" si="51"/>
        <v>45</v>
      </c>
      <c r="Q72" s="360">
        <f t="shared" si="52"/>
        <v>45000</v>
      </c>
      <c r="R72" s="360">
        <v>0</v>
      </c>
      <c r="S72" s="360">
        <f t="shared" si="53"/>
        <v>45000</v>
      </c>
      <c r="T72" s="361"/>
      <c r="U72" s="358" t="e">
        <f>P72*#REF!/2</f>
        <v>#REF!</v>
      </c>
      <c r="V72" s="359"/>
      <c r="W72" s="362"/>
      <c r="X72" s="355">
        <v>46048</v>
      </c>
      <c r="Y72" s="360">
        <v>7570</v>
      </c>
      <c r="Z72" s="360">
        <v>7572</v>
      </c>
      <c r="AA72" s="360">
        <f t="shared" si="54"/>
        <v>2</v>
      </c>
      <c r="AB72" s="360">
        <f t="shared" si="55"/>
        <v>2000</v>
      </c>
      <c r="AC72" s="360">
        <v>0</v>
      </c>
      <c r="AD72" s="360">
        <f t="shared" si="56"/>
        <v>2000</v>
      </c>
      <c r="AE72" s="361"/>
      <c r="AF72" s="358" t="e">
        <f>AA72*#REF!/2</f>
        <v>#REF!</v>
      </c>
      <c r="AG72" s="359"/>
      <c r="AH72" s="362"/>
    </row>
    <row r="73" spans="2:34" ht="16.5" x14ac:dyDescent="0.35">
      <c r="B73" s="355">
        <v>46052</v>
      </c>
      <c r="C73" s="360">
        <v>18624</v>
      </c>
      <c r="D73" s="360">
        <v>18662</v>
      </c>
      <c r="E73" s="360">
        <f t="shared" si="48"/>
        <v>38</v>
      </c>
      <c r="F73" s="360">
        <f t="shared" si="49"/>
        <v>38000</v>
      </c>
      <c r="G73" s="360">
        <v>0</v>
      </c>
      <c r="H73" s="360">
        <f t="shared" si="50"/>
        <v>38000</v>
      </c>
      <c r="I73" s="361"/>
      <c r="J73" s="358" t="e">
        <f>E73*#REF!/2</f>
        <v>#REF!</v>
      </c>
      <c r="K73" s="359"/>
      <c r="L73" s="362"/>
      <c r="M73" s="355">
        <v>46052</v>
      </c>
      <c r="N73" s="360">
        <v>3841</v>
      </c>
      <c r="O73" s="360">
        <v>3864</v>
      </c>
      <c r="P73" s="360">
        <f t="shared" si="51"/>
        <v>23</v>
      </c>
      <c r="Q73" s="360">
        <f t="shared" si="52"/>
        <v>23000</v>
      </c>
      <c r="R73" s="360">
        <v>0</v>
      </c>
      <c r="S73" s="360">
        <f t="shared" si="53"/>
        <v>23000</v>
      </c>
      <c r="T73" s="361"/>
      <c r="U73" s="358" t="e">
        <f>P73*#REF!/2</f>
        <v>#REF!</v>
      </c>
      <c r="V73" s="359"/>
      <c r="W73" s="362"/>
      <c r="X73" s="355">
        <v>46052</v>
      </c>
      <c r="Y73" s="360">
        <v>7572</v>
      </c>
      <c r="Z73" s="360">
        <v>7578</v>
      </c>
      <c r="AA73" s="360">
        <f t="shared" si="54"/>
        <v>6</v>
      </c>
      <c r="AB73" s="360">
        <f t="shared" si="55"/>
        <v>6000</v>
      </c>
      <c r="AC73" s="360">
        <v>0</v>
      </c>
      <c r="AD73" s="360">
        <f t="shared" si="56"/>
        <v>6000</v>
      </c>
      <c r="AE73" s="361"/>
      <c r="AF73" s="358" t="e">
        <f>AA73*#REF!/2</f>
        <v>#REF!</v>
      </c>
      <c r="AG73" s="359"/>
      <c r="AH73" s="362"/>
    </row>
    <row r="74" spans="2:34" ht="16.5" x14ac:dyDescent="0.35">
      <c r="B74" s="355">
        <v>46062</v>
      </c>
      <c r="C74" s="360">
        <v>18662</v>
      </c>
      <c r="D74" s="360">
        <v>18700</v>
      </c>
      <c r="E74" s="360">
        <f t="shared" si="48"/>
        <v>38</v>
      </c>
      <c r="F74" s="360">
        <f t="shared" si="49"/>
        <v>38000</v>
      </c>
      <c r="G74" s="360">
        <v>0</v>
      </c>
      <c r="H74" s="360">
        <f t="shared" si="50"/>
        <v>38000</v>
      </c>
      <c r="I74" s="361"/>
      <c r="J74" s="358" t="e">
        <f>E74*#REF!/2</f>
        <v>#REF!</v>
      </c>
      <c r="K74" s="363"/>
      <c r="L74" s="364"/>
      <c r="M74" s="355">
        <v>46062</v>
      </c>
      <c r="N74" s="360">
        <v>3864</v>
      </c>
      <c r="O74" s="360">
        <v>3932</v>
      </c>
      <c r="P74" s="360">
        <f t="shared" si="51"/>
        <v>68</v>
      </c>
      <c r="Q74" s="360">
        <f t="shared" si="52"/>
        <v>68000</v>
      </c>
      <c r="R74" s="360">
        <v>0</v>
      </c>
      <c r="S74" s="360">
        <f t="shared" si="53"/>
        <v>68000</v>
      </c>
      <c r="T74" s="361"/>
      <c r="U74" s="358" t="e">
        <f>P74*#REF!/2</f>
        <v>#REF!</v>
      </c>
      <c r="V74" s="363"/>
      <c r="W74" s="364"/>
      <c r="X74" s="355">
        <v>46062</v>
      </c>
      <c r="Y74" s="360">
        <v>7578</v>
      </c>
      <c r="Z74" s="360">
        <v>7594</v>
      </c>
      <c r="AA74" s="360">
        <f t="shared" si="54"/>
        <v>16</v>
      </c>
      <c r="AB74" s="360">
        <f t="shared" si="55"/>
        <v>16000</v>
      </c>
      <c r="AC74" s="360">
        <v>0</v>
      </c>
      <c r="AD74" s="360">
        <f t="shared" si="56"/>
        <v>16000</v>
      </c>
      <c r="AE74" s="361"/>
      <c r="AF74" s="358" t="e">
        <f>AA74*#REF!/2</f>
        <v>#REF!</v>
      </c>
      <c r="AG74" s="363"/>
      <c r="AH74" s="364"/>
    </row>
    <row r="75" spans="2:34" ht="16.5" x14ac:dyDescent="0.35">
      <c r="B75" s="355">
        <v>46066</v>
      </c>
      <c r="C75" s="360">
        <v>18700</v>
      </c>
      <c r="D75" s="360">
        <v>18738</v>
      </c>
      <c r="E75" s="360">
        <f t="shared" si="48"/>
        <v>38</v>
      </c>
      <c r="F75" s="360">
        <f t="shared" si="49"/>
        <v>38000</v>
      </c>
      <c r="G75" s="360">
        <v>0</v>
      </c>
      <c r="H75" s="360">
        <f t="shared" si="50"/>
        <v>38000</v>
      </c>
      <c r="I75" s="361"/>
      <c r="J75" s="358" t="e">
        <f>E75*#REF!/2</f>
        <v>#REF!</v>
      </c>
      <c r="K75" s="363"/>
      <c r="L75" s="364"/>
      <c r="M75" s="355">
        <v>46066</v>
      </c>
      <c r="N75" s="360">
        <v>3932</v>
      </c>
      <c r="O75" s="360">
        <v>3962</v>
      </c>
      <c r="P75" s="360">
        <f t="shared" si="51"/>
        <v>30</v>
      </c>
      <c r="Q75" s="360">
        <f t="shared" si="52"/>
        <v>30000</v>
      </c>
      <c r="R75" s="360">
        <v>0</v>
      </c>
      <c r="S75" s="360">
        <f t="shared" si="53"/>
        <v>30000</v>
      </c>
      <c r="T75" s="361"/>
      <c r="U75" s="358" t="e">
        <f>P75*#REF!/2</f>
        <v>#REF!</v>
      </c>
      <c r="V75" s="363"/>
      <c r="W75" s="364"/>
      <c r="X75" s="355">
        <v>46066</v>
      </c>
      <c r="Y75" s="360">
        <v>7594</v>
      </c>
      <c r="Z75" s="360">
        <v>7602</v>
      </c>
      <c r="AA75" s="360">
        <f t="shared" si="54"/>
        <v>8</v>
      </c>
      <c r="AB75" s="360">
        <f t="shared" si="55"/>
        <v>8000</v>
      </c>
      <c r="AC75" s="360">
        <v>0</v>
      </c>
      <c r="AD75" s="360">
        <f t="shared" si="56"/>
        <v>8000</v>
      </c>
      <c r="AE75" s="361"/>
      <c r="AF75" s="358" t="e">
        <f>AA75*#REF!/2</f>
        <v>#REF!</v>
      </c>
      <c r="AG75" s="363"/>
      <c r="AH75" s="364"/>
    </row>
    <row r="76" spans="2:34" ht="16.5" x14ac:dyDescent="0.35">
      <c r="B76" s="355">
        <v>46069</v>
      </c>
      <c r="C76" s="360">
        <v>18738</v>
      </c>
      <c r="D76" s="360">
        <v>18750</v>
      </c>
      <c r="E76" s="360">
        <f t="shared" si="48"/>
        <v>12</v>
      </c>
      <c r="F76" s="360">
        <f t="shared" si="49"/>
        <v>12000</v>
      </c>
      <c r="G76" s="360">
        <v>0</v>
      </c>
      <c r="H76" s="360">
        <f t="shared" si="50"/>
        <v>12000</v>
      </c>
      <c r="I76" s="361"/>
      <c r="J76" s="358" t="e">
        <f>E76*#REF!/2</f>
        <v>#REF!</v>
      </c>
      <c r="K76" s="363"/>
      <c r="L76" s="364"/>
      <c r="M76" s="355">
        <v>46069</v>
      </c>
      <c r="N76" s="360">
        <v>3962</v>
      </c>
      <c r="O76" s="360">
        <v>3973</v>
      </c>
      <c r="P76" s="360">
        <f t="shared" si="51"/>
        <v>11</v>
      </c>
      <c r="Q76" s="360">
        <f t="shared" si="52"/>
        <v>11000</v>
      </c>
      <c r="R76" s="360">
        <v>0</v>
      </c>
      <c r="S76" s="360">
        <f t="shared" si="53"/>
        <v>11000</v>
      </c>
      <c r="T76" s="361"/>
      <c r="U76" s="358" t="e">
        <f>P76*#REF!/2</f>
        <v>#REF!</v>
      </c>
      <c r="V76" s="363"/>
      <c r="W76" s="364"/>
      <c r="X76" s="355">
        <v>46069</v>
      </c>
      <c r="Y76" s="360">
        <v>7602</v>
      </c>
      <c r="Z76" s="360">
        <v>7610</v>
      </c>
      <c r="AA76" s="360">
        <f t="shared" si="54"/>
        <v>8</v>
      </c>
      <c r="AB76" s="360">
        <f t="shared" si="55"/>
        <v>8000</v>
      </c>
      <c r="AC76" s="360">
        <v>0</v>
      </c>
      <c r="AD76" s="360">
        <f t="shared" si="56"/>
        <v>8000</v>
      </c>
      <c r="AE76" s="361"/>
      <c r="AF76" s="358" t="e">
        <f>AA76*#REF!/2</f>
        <v>#REF!</v>
      </c>
      <c r="AG76" s="363"/>
      <c r="AH76" s="364"/>
    </row>
    <row r="77" spans="2:34" ht="16.5" x14ac:dyDescent="0.35">
      <c r="B77" s="355">
        <v>46073</v>
      </c>
      <c r="C77" s="360">
        <v>18750</v>
      </c>
      <c r="D77" s="360">
        <v>18764</v>
      </c>
      <c r="E77" s="360">
        <f t="shared" si="48"/>
        <v>14</v>
      </c>
      <c r="F77" s="360">
        <f t="shared" si="49"/>
        <v>14000</v>
      </c>
      <c r="G77" s="360">
        <v>0</v>
      </c>
      <c r="H77" s="360">
        <f t="shared" si="50"/>
        <v>14000</v>
      </c>
      <c r="I77" s="361"/>
      <c r="J77" s="358" t="e">
        <f>E77*#REF!/2</f>
        <v>#REF!</v>
      </c>
      <c r="K77" s="363"/>
      <c r="L77" s="364"/>
      <c r="M77" s="355" t="s">
        <v>181</v>
      </c>
      <c r="N77" s="360">
        <v>3973</v>
      </c>
      <c r="O77" s="360">
        <v>3992</v>
      </c>
      <c r="P77" s="360">
        <f t="shared" si="51"/>
        <v>19</v>
      </c>
      <c r="Q77" s="360">
        <f t="shared" si="52"/>
        <v>19000</v>
      </c>
      <c r="R77" s="360">
        <v>0</v>
      </c>
      <c r="S77" s="360">
        <f t="shared" si="53"/>
        <v>19000</v>
      </c>
      <c r="T77" s="361"/>
      <c r="U77" s="358" t="e">
        <f>P77*#REF!/2</f>
        <v>#REF!</v>
      </c>
      <c r="V77" s="363"/>
      <c r="W77" s="364"/>
      <c r="X77" s="355">
        <v>46073</v>
      </c>
      <c r="Y77" s="360">
        <v>7610</v>
      </c>
      <c r="Z77" s="360">
        <v>7610</v>
      </c>
      <c r="AA77" s="360">
        <f t="shared" si="54"/>
        <v>0</v>
      </c>
      <c r="AB77" s="360">
        <f t="shared" si="55"/>
        <v>0</v>
      </c>
      <c r="AC77" s="360">
        <v>0</v>
      </c>
      <c r="AD77" s="360">
        <f t="shared" si="56"/>
        <v>0</v>
      </c>
      <c r="AE77" s="361"/>
      <c r="AF77" s="358" t="e">
        <f>AA77*#REF!/2</f>
        <v>#REF!</v>
      </c>
      <c r="AG77" s="363"/>
      <c r="AH77" s="364"/>
    </row>
    <row r="78" spans="2:34" ht="16.5" x14ac:dyDescent="0.35">
      <c r="B78" s="355"/>
      <c r="C78" s="360"/>
      <c r="D78" s="360"/>
      <c r="E78" s="360">
        <f t="shared" si="48"/>
        <v>0</v>
      </c>
      <c r="F78" s="360">
        <f t="shared" si="49"/>
        <v>0</v>
      </c>
      <c r="G78" s="360">
        <v>0</v>
      </c>
      <c r="H78" s="360">
        <f t="shared" si="50"/>
        <v>0</v>
      </c>
      <c r="I78" s="361"/>
      <c r="J78" s="358" t="e">
        <f>E78*#REF!/2</f>
        <v>#REF!</v>
      </c>
      <c r="K78" s="363"/>
      <c r="L78" s="364"/>
      <c r="M78" s="355"/>
      <c r="N78" s="360"/>
      <c r="O78" s="360"/>
      <c r="P78" s="360">
        <f t="shared" si="51"/>
        <v>0</v>
      </c>
      <c r="Q78" s="360">
        <f t="shared" si="52"/>
        <v>0</v>
      </c>
      <c r="R78" s="360">
        <v>0</v>
      </c>
      <c r="S78" s="360">
        <f t="shared" si="53"/>
        <v>0</v>
      </c>
      <c r="T78" s="361"/>
      <c r="U78" s="358" t="e">
        <f>P78*#REF!/2</f>
        <v>#REF!</v>
      </c>
      <c r="V78" s="363"/>
      <c r="W78" s="364"/>
      <c r="X78" s="355"/>
      <c r="Y78" s="360"/>
      <c r="Z78" s="360"/>
      <c r="AA78" s="360">
        <f t="shared" si="54"/>
        <v>0</v>
      </c>
      <c r="AB78" s="360">
        <f t="shared" si="55"/>
        <v>0</v>
      </c>
      <c r="AC78" s="360">
        <v>0</v>
      </c>
      <c r="AD78" s="360">
        <f t="shared" si="56"/>
        <v>0</v>
      </c>
      <c r="AE78" s="361"/>
      <c r="AF78" s="358" t="e">
        <f>AA78*#REF!/2</f>
        <v>#REF!</v>
      </c>
      <c r="AG78" s="363"/>
      <c r="AH78" s="364"/>
    </row>
    <row r="79" spans="2:34" ht="16.5" x14ac:dyDescent="0.35">
      <c r="B79" s="355"/>
      <c r="C79" s="360"/>
      <c r="D79" s="360"/>
      <c r="E79" s="360">
        <f t="shared" si="48"/>
        <v>0</v>
      </c>
      <c r="F79" s="360">
        <f t="shared" si="49"/>
        <v>0</v>
      </c>
      <c r="G79" s="360">
        <v>0</v>
      </c>
      <c r="H79" s="360">
        <f t="shared" si="50"/>
        <v>0</v>
      </c>
      <c r="I79" s="361"/>
      <c r="J79" s="358" t="e">
        <f>E79*#REF!/2</f>
        <v>#REF!</v>
      </c>
      <c r="K79" s="363"/>
      <c r="L79" s="364" t="s">
        <v>179</v>
      </c>
      <c r="M79" s="355"/>
      <c r="N79" s="360"/>
      <c r="O79" s="360"/>
      <c r="P79" s="360">
        <f t="shared" si="51"/>
        <v>0</v>
      </c>
      <c r="Q79" s="360">
        <f t="shared" si="52"/>
        <v>0</v>
      </c>
      <c r="R79" s="360">
        <v>0</v>
      </c>
      <c r="S79" s="360">
        <f t="shared" si="53"/>
        <v>0</v>
      </c>
      <c r="T79" s="361"/>
      <c r="U79" s="358" t="e">
        <f>P79*#REF!/2</f>
        <v>#REF!</v>
      </c>
      <c r="V79" s="363"/>
      <c r="W79" s="364" t="s">
        <v>179</v>
      </c>
      <c r="X79" s="355"/>
      <c r="Y79" s="360"/>
      <c r="Z79" s="360"/>
      <c r="AA79" s="360">
        <f t="shared" si="54"/>
        <v>0</v>
      </c>
      <c r="AB79" s="360">
        <f t="shared" si="55"/>
        <v>0</v>
      </c>
      <c r="AC79" s="360">
        <v>0</v>
      </c>
      <c r="AD79" s="360">
        <f t="shared" si="56"/>
        <v>0</v>
      </c>
      <c r="AE79" s="361"/>
      <c r="AF79" s="358" t="e">
        <f>AA79*#REF!/2</f>
        <v>#REF!</v>
      </c>
      <c r="AG79" s="363"/>
      <c r="AH79" s="364" t="s">
        <v>179</v>
      </c>
    </row>
    <row r="80" spans="2:34" ht="16.5" x14ac:dyDescent="0.35">
      <c r="B80" s="355"/>
      <c r="C80" s="360"/>
      <c r="D80" s="360"/>
      <c r="E80" s="360">
        <f t="shared" si="48"/>
        <v>0</v>
      </c>
      <c r="F80" s="360">
        <f t="shared" si="49"/>
        <v>0</v>
      </c>
      <c r="G80" s="360">
        <v>0</v>
      </c>
      <c r="H80" s="360">
        <f t="shared" si="50"/>
        <v>0</v>
      </c>
      <c r="I80" s="361"/>
      <c r="J80" s="358" t="e">
        <f>E80*#REF!/2</f>
        <v>#REF!</v>
      </c>
      <c r="K80" s="363"/>
      <c r="L80" s="364"/>
      <c r="M80" s="355"/>
      <c r="N80" s="360"/>
      <c r="O80" s="360"/>
      <c r="P80" s="360">
        <f t="shared" si="51"/>
        <v>0</v>
      </c>
      <c r="Q80" s="360">
        <f t="shared" si="52"/>
        <v>0</v>
      </c>
      <c r="R80" s="360">
        <v>0</v>
      </c>
      <c r="S80" s="360">
        <f t="shared" si="53"/>
        <v>0</v>
      </c>
      <c r="T80" s="361"/>
      <c r="U80" s="358" t="e">
        <f>P80*#REF!/2</f>
        <v>#REF!</v>
      </c>
      <c r="V80" s="363"/>
      <c r="W80" s="364"/>
      <c r="X80" s="355"/>
      <c r="Y80" s="360"/>
      <c r="Z80" s="360"/>
      <c r="AA80" s="360">
        <f t="shared" si="54"/>
        <v>0</v>
      </c>
      <c r="AB80" s="360">
        <f t="shared" si="55"/>
        <v>0</v>
      </c>
      <c r="AC80" s="360">
        <v>0</v>
      </c>
      <c r="AD80" s="360">
        <f t="shared" si="56"/>
        <v>0</v>
      </c>
      <c r="AE80" s="361"/>
      <c r="AF80" s="358" t="e">
        <f>AA80*#REF!/2</f>
        <v>#REF!</v>
      </c>
      <c r="AG80" s="363"/>
      <c r="AH80" s="364"/>
    </row>
    <row r="81" spans="2:34" ht="16.5" x14ac:dyDescent="0.35">
      <c r="B81" s="355"/>
      <c r="C81" s="360"/>
      <c r="D81" s="360"/>
      <c r="E81" s="360">
        <f t="shared" si="48"/>
        <v>0</v>
      </c>
      <c r="F81" s="360">
        <f t="shared" si="49"/>
        <v>0</v>
      </c>
      <c r="G81" s="360">
        <v>0</v>
      </c>
      <c r="H81" s="360">
        <f t="shared" si="50"/>
        <v>0</v>
      </c>
      <c r="I81" s="361"/>
      <c r="J81" s="358" t="e">
        <f>E81*#REF!/2</f>
        <v>#REF!</v>
      </c>
      <c r="K81" s="363"/>
      <c r="L81" s="364"/>
      <c r="M81" s="355"/>
      <c r="N81" s="360"/>
      <c r="O81" s="360"/>
      <c r="P81" s="360">
        <f t="shared" si="51"/>
        <v>0</v>
      </c>
      <c r="Q81" s="360">
        <f t="shared" si="52"/>
        <v>0</v>
      </c>
      <c r="R81" s="360">
        <v>0</v>
      </c>
      <c r="S81" s="360">
        <f t="shared" si="53"/>
        <v>0</v>
      </c>
      <c r="T81" s="361"/>
      <c r="U81" s="358" t="e">
        <f>P81*#REF!/2</f>
        <v>#REF!</v>
      </c>
      <c r="V81" s="363"/>
      <c r="W81" s="365"/>
      <c r="X81" s="355"/>
      <c r="Y81" s="360"/>
      <c r="Z81" s="360"/>
      <c r="AA81" s="360">
        <f t="shared" si="54"/>
        <v>0</v>
      </c>
      <c r="AB81" s="360">
        <f t="shared" si="55"/>
        <v>0</v>
      </c>
      <c r="AC81" s="360">
        <v>0</v>
      </c>
      <c r="AD81" s="360">
        <f t="shared" si="56"/>
        <v>0</v>
      </c>
      <c r="AE81" s="361"/>
      <c r="AF81" s="358" t="e">
        <f>AA81*#REF!/2</f>
        <v>#REF!</v>
      </c>
      <c r="AG81" s="363"/>
      <c r="AH81" s="365"/>
    </row>
    <row r="82" spans="2:34" ht="16.5" x14ac:dyDescent="0.35">
      <c r="B82" s="355"/>
      <c r="C82" s="360"/>
      <c r="D82" s="360"/>
      <c r="E82" s="360">
        <f t="shared" si="48"/>
        <v>0</v>
      </c>
      <c r="F82" s="360">
        <f t="shared" si="49"/>
        <v>0</v>
      </c>
      <c r="G82" s="360">
        <v>0</v>
      </c>
      <c r="H82" s="360">
        <f t="shared" si="50"/>
        <v>0</v>
      </c>
      <c r="I82" s="361"/>
      <c r="J82" s="358" t="e">
        <f>E82*#REF!/2</f>
        <v>#REF!</v>
      </c>
      <c r="K82" s="363"/>
      <c r="L82" s="365"/>
      <c r="M82" s="355"/>
      <c r="N82" s="360"/>
      <c r="O82" s="360"/>
      <c r="P82" s="360">
        <f t="shared" si="51"/>
        <v>0</v>
      </c>
      <c r="Q82" s="360">
        <f t="shared" si="52"/>
        <v>0</v>
      </c>
      <c r="R82" s="360">
        <v>0</v>
      </c>
      <c r="S82" s="360">
        <f t="shared" si="53"/>
        <v>0</v>
      </c>
      <c r="T82" s="361"/>
      <c r="U82" s="358" t="e">
        <f>P82*#REF!/2</f>
        <v>#REF!</v>
      </c>
      <c r="V82" s="363"/>
      <c r="W82" s="365"/>
      <c r="X82" s="355"/>
      <c r="Y82" s="360"/>
      <c r="Z82" s="360"/>
      <c r="AA82" s="360">
        <f t="shared" si="54"/>
        <v>0</v>
      </c>
      <c r="AB82" s="360">
        <f t="shared" si="55"/>
        <v>0</v>
      </c>
      <c r="AC82" s="360">
        <v>0</v>
      </c>
      <c r="AD82" s="360">
        <f t="shared" si="56"/>
        <v>0</v>
      </c>
      <c r="AE82" s="361"/>
      <c r="AF82" s="358" t="e">
        <f>AA82*#REF!/2</f>
        <v>#REF!</v>
      </c>
      <c r="AG82" s="363"/>
      <c r="AH82" s="365"/>
    </row>
    <row r="83" spans="2:34" ht="17.25" thickBot="1" x14ac:dyDescent="0.4">
      <c r="B83" s="366"/>
      <c r="C83" s="367"/>
      <c r="D83" s="368"/>
      <c r="E83" s="368">
        <f t="shared" si="48"/>
        <v>0</v>
      </c>
      <c r="F83" s="368">
        <f t="shared" si="49"/>
        <v>0</v>
      </c>
      <c r="G83" s="368">
        <v>0</v>
      </c>
      <c r="H83" s="368">
        <f t="shared" si="50"/>
        <v>0</v>
      </c>
      <c r="I83" s="369"/>
      <c r="J83" s="370" t="e">
        <f>E83*#REF!/2</f>
        <v>#REF!</v>
      </c>
      <c r="K83" s="371"/>
      <c r="L83" s="364" t="s">
        <v>180</v>
      </c>
      <c r="M83" s="372"/>
      <c r="N83" s="373"/>
      <c r="O83" s="373"/>
      <c r="P83" s="373">
        <f t="shared" si="51"/>
        <v>0</v>
      </c>
      <c r="Q83" s="373">
        <f t="shared" si="52"/>
        <v>0</v>
      </c>
      <c r="R83" s="373">
        <v>0</v>
      </c>
      <c r="S83" s="373">
        <f t="shared" si="53"/>
        <v>0</v>
      </c>
      <c r="T83" s="374"/>
      <c r="U83" s="375" t="e">
        <f>P83*#REF!/2</f>
        <v>#REF!</v>
      </c>
      <c r="V83" s="371"/>
      <c r="W83" s="364" t="s">
        <v>180</v>
      </c>
      <c r="X83" s="372"/>
      <c r="Y83" s="373"/>
      <c r="Z83" s="373"/>
      <c r="AA83" s="373">
        <f t="shared" si="54"/>
        <v>0</v>
      </c>
      <c r="AB83" s="373">
        <f t="shared" si="55"/>
        <v>0</v>
      </c>
      <c r="AC83" s="373">
        <v>0</v>
      </c>
      <c r="AD83" s="373">
        <f t="shared" si="56"/>
        <v>0</v>
      </c>
      <c r="AE83" s="374"/>
      <c r="AF83" s="375" t="e">
        <f>AA83*#REF!/2</f>
        <v>#REF!</v>
      </c>
      <c r="AG83" s="371"/>
      <c r="AH83" s="364" t="s">
        <v>180</v>
      </c>
    </row>
    <row r="84" spans="2:34" ht="17.25" thickBot="1" x14ac:dyDescent="0.4">
      <c r="B84" s="376"/>
      <c r="C84" s="368"/>
      <c r="D84" s="368"/>
      <c r="E84" s="368">
        <f t="shared" ref="E84:J84" si="57">SUM(E71:E83)</f>
        <v>212</v>
      </c>
      <c r="F84" s="368">
        <f t="shared" si="57"/>
        <v>212000</v>
      </c>
      <c r="G84" s="368">
        <f t="shared" si="57"/>
        <v>0</v>
      </c>
      <c r="H84" s="368">
        <f t="shared" si="57"/>
        <v>212000</v>
      </c>
      <c r="I84" s="368">
        <f t="shared" si="57"/>
        <v>0</v>
      </c>
      <c r="J84" s="368" t="e">
        <f t="shared" si="57"/>
        <v>#REF!</v>
      </c>
      <c r="K84" s="377" t="e">
        <f>+H84*0.6-G84-J84</f>
        <v>#REF!</v>
      </c>
      <c r="L84" s="378" t="e">
        <f>+K84/H84</f>
        <v>#REF!</v>
      </c>
      <c r="M84" s="376"/>
      <c r="N84" s="368"/>
      <c r="O84" s="368"/>
      <c r="P84" s="368">
        <f t="shared" ref="P84:U84" si="58">SUM(P71:P83)</f>
        <v>215</v>
      </c>
      <c r="Q84" s="368">
        <f t="shared" si="58"/>
        <v>215000</v>
      </c>
      <c r="R84" s="368">
        <f t="shared" si="58"/>
        <v>0</v>
      </c>
      <c r="S84" s="368">
        <f t="shared" si="58"/>
        <v>215000</v>
      </c>
      <c r="T84" s="368">
        <f t="shared" si="58"/>
        <v>0</v>
      </c>
      <c r="U84" s="368" t="e">
        <f t="shared" si="58"/>
        <v>#REF!</v>
      </c>
      <c r="V84" s="377" t="e">
        <f>+S84*0.6-R84-U84</f>
        <v>#REF!</v>
      </c>
      <c r="W84" s="378" t="e">
        <f>+V84/S84</f>
        <v>#REF!</v>
      </c>
      <c r="X84" s="376"/>
      <c r="Y84" s="368"/>
      <c r="Z84" s="368"/>
      <c r="AA84" s="368">
        <f t="shared" ref="AA84:AF84" si="59">SUM(AA71:AA83)</f>
        <v>44</v>
      </c>
      <c r="AB84" s="368">
        <f t="shared" si="59"/>
        <v>44000</v>
      </c>
      <c r="AC84" s="368">
        <f t="shared" si="59"/>
        <v>0</v>
      </c>
      <c r="AD84" s="368">
        <f t="shared" si="59"/>
        <v>44000</v>
      </c>
      <c r="AE84" s="368">
        <f t="shared" si="59"/>
        <v>0</v>
      </c>
      <c r="AF84" s="368" t="e">
        <f t="shared" si="59"/>
        <v>#REF!</v>
      </c>
      <c r="AG84" s="377" t="e">
        <f>+AD84*0.6-AC84-AF84</f>
        <v>#REF!</v>
      </c>
      <c r="AH84" s="378" t="e">
        <f>+AG84/AD84</f>
        <v>#REF!</v>
      </c>
    </row>
    <row r="86" spans="2:34" ht="17.25" thickBot="1" x14ac:dyDescent="0.4">
      <c r="B86" s="346" t="s">
        <v>175</v>
      </c>
      <c r="C86" s="347" t="s">
        <v>176</v>
      </c>
      <c r="D86" s="347"/>
      <c r="E86" s="347"/>
      <c r="F86" s="347"/>
      <c r="G86" s="347"/>
      <c r="H86" s="347"/>
      <c r="I86" s="347"/>
      <c r="J86" s="348">
        <v>473.2</v>
      </c>
      <c r="K86" s="347"/>
      <c r="L86" s="347"/>
      <c r="M86" s="349" t="s">
        <v>177</v>
      </c>
      <c r="N86" s="347"/>
      <c r="O86" s="347"/>
      <c r="P86" s="347"/>
      <c r="Q86" s="347"/>
      <c r="R86" s="347"/>
      <c r="S86" s="347"/>
      <c r="T86" s="347"/>
      <c r="U86" s="348">
        <v>473.2</v>
      </c>
      <c r="V86" s="347"/>
      <c r="W86" s="347"/>
      <c r="X86" s="349" t="s">
        <v>178</v>
      </c>
      <c r="Y86" s="347"/>
      <c r="Z86" s="347"/>
      <c r="AA86" s="347"/>
      <c r="AB86" s="347"/>
      <c r="AC86" s="347"/>
      <c r="AD86" s="347"/>
      <c r="AE86" s="347"/>
      <c r="AF86" s="348">
        <v>473.2</v>
      </c>
      <c r="AG86" s="347"/>
      <c r="AH86" s="347"/>
    </row>
    <row r="87" spans="2:34" ht="17.25" thickBot="1" x14ac:dyDescent="0.4">
      <c r="B87" s="350" t="s">
        <v>142</v>
      </c>
      <c r="C87" s="351" t="s">
        <v>162</v>
      </c>
      <c r="D87" s="351" t="s">
        <v>143</v>
      </c>
      <c r="E87" s="351" t="s">
        <v>144</v>
      </c>
      <c r="F87" s="351" t="s">
        <v>145</v>
      </c>
      <c r="G87" s="351" t="s">
        <v>163</v>
      </c>
      <c r="H87" s="351" t="s">
        <v>164</v>
      </c>
      <c r="I87" s="352" t="s">
        <v>165</v>
      </c>
      <c r="J87" s="353" t="s">
        <v>166</v>
      </c>
      <c r="K87" s="354" t="s">
        <v>146</v>
      </c>
      <c r="L87" s="347"/>
      <c r="M87" s="350" t="s">
        <v>142</v>
      </c>
      <c r="N87" s="351" t="s">
        <v>162</v>
      </c>
      <c r="O87" s="351" t="s">
        <v>143</v>
      </c>
      <c r="P87" s="351" t="s">
        <v>144</v>
      </c>
      <c r="Q87" s="351" t="s">
        <v>145</v>
      </c>
      <c r="R87" s="351" t="s">
        <v>163</v>
      </c>
      <c r="S87" s="351" t="s">
        <v>164</v>
      </c>
      <c r="T87" s="352" t="s">
        <v>165</v>
      </c>
      <c r="U87" s="353" t="s">
        <v>166</v>
      </c>
      <c r="V87" s="354" t="s">
        <v>146</v>
      </c>
      <c r="W87" s="347"/>
      <c r="X87" s="350" t="s">
        <v>142</v>
      </c>
      <c r="Y87" s="351" t="s">
        <v>162</v>
      </c>
      <c r="Z87" s="351" t="s">
        <v>143</v>
      </c>
      <c r="AA87" s="351" t="s">
        <v>144</v>
      </c>
      <c r="AB87" s="351" t="s">
        <v>145</v>
      </c>
      <c r="AC87" s="351" t="s">
        <v>163</v>
      </c>
      <c r="AD87" s="351" t="s">
        <v>164</v>
      </c>
      <c r="AE87" s="352" t="s">
        <v>165</v>
      </c>
      <c r="AF87" s="353" t="s">
        <v>166</v>
      </c>
      <c r="AG87" s="354" t="s">
        <v>146</v>
      </c>
      <c r="AH87" s="347"/>
    </row>
    <row r="88" spans="2:34" ht="16.5" x14ac:dyDescent="0.35">
      <c r="B88" s="355">
        <v>46076</v>
      </c>
      <c r="C88" s="356">
        <v>18764</v>
      </c>
      <c r="D88" s="356">
        <v>18774</v>
      </c>
      <c r="E88" s="356">
        <f t="shared" ref="E88:E100" si="60">+D88-C88</f>
        <v>10</v>
      </c>
      <c r="F88" s="356">
        <f t="shared" ref="F88:F100" si="61">+E88*1000</f>
        <v>10000</v>
      </c>
      <c r="G88" s="356">
        <v>0</v>
      </c>
      <c r="H88" s="356">
        <f t="shared" ref="H88:H100" si="62">+F88-G88</f>
        <v>10000</v>
      </c>
      <c r="I88" s="357"/>
      <c r="J88" s="358" t="e">
        <f>E88*#REF!/2</f>
        <v>#REF!</v>
      </c>
      <c r="K88" s="359"/>
      <c r="L88" s="347"/>
      <c r="M88" s="355">
        <v>46076</v>
      </c>
      <c r="N88" s="356">
        <v>3992</v>
      </c>
      <c r="O88" s="356">
        <v>4011</v>
      </c>
      <c r="P88" s="356">
        <f t="shared" ref="P88:P100" si="63">+O88-N88</f>
        <v>19</v>
      </c>
      <c r="Q88" s="356">
        <f t="shared" ref="Q88:Q100" si="64">+P88*1000</f>
        <v>19000</v>
      </c>
      <c r="R88" s="356">
        <v>0</v>
      </c>
      <c r="S88" s="356">
        <f t="shared" ref="S88:S100" si="65">+Q88-R88</f>
        <v>19000</v>
      </c>
      <c r="T88" s="357"/>
      <c r="U88" s="358" t="e">
        <f>P88*#REF!/2</f>
        <v>#REF!</v>
      </c>
      <c r="V88" s="359"/>
      <c r="W88" s="347"/>
      <c r="X88" s="355">
        <v>46076</v>
      </c>
      <c r="Y88" s="356">
        <v>7610</v>
      </c>
      <c r="Z88" s="356">
        <v>7618</v>
      </c>
      <c r="AA88" s="356">
        <f t="shared" ref="AA88:AA100" si="66">+Z88-Y88</f>
        <v>8</v>
      </c>
      <c r="AB88" s="356">
        <f t="shared" ref="AB88:AB100" si="67">+AA88*1000</f>
        <v>8000</v>
      </c>
      <c r="AC88" s="356">
        <v>0</v>
      </c>
      <c r="AD88" s="356">
        <f t="shared" ref="AD88:AD100" si="68">+AB88-AC88</f>
        <v>8000</v>
      </c>
      <c r="AE88" s="357"/>
      <c r="AF88" s="358" t="e">
        <f>AA88*#REF!/2</f>
        <v>#REF!</v>
      </c>
      <c r="AG88" s="359"/>
      <c r="AH88" s="347"/>
    </row>
    <row r="89" spans="2:34" ht="16.5" x14ac:dyDescent="0.35">
      <c r="B89" s="355">
        <v>46080</v>
      </c>
      <c r="C89" s="360">
        <v>18774</v>
      </c>
      <c r="D89" s="360">
        <v>18790</v>
      </c>
      <c r="E89" s="360">
        <f t="shared" si="60"/>
        <v>16</v>
      </c>
      <c r="F89" s="360">
        <f t="shared" si="61"/>
        <v>16000</v>
      </c>
      <c r="G89" s="360">
        <v>0</v>
      </c>
      <c r="H89" s="360">
        <f t="shared" si="62"/>
        <v>16000</v>
      </c>
      <c r="I89" s="361"/>
      <c r="J89" s="358" t="e">
        <f>E89*#REF!/2</f>
        <v>#REF!</v>
      </c>
      <c r="K89" s="359"/>
      <c r="L89" s="362"/>
      <c r="M89" s="355">
        <v>46080</v>
      </c>
      <c r="N89" s="360">
        <v>4011</v>
      </c>
      <c r="O89" s="360">
        <v>4028</v>
      </c>
      <c r="P89" s="360">
        <f t="shared" si="63"/>
        <v>17</v>
      </c>
      <c r="Q89" s="360">
        <f t="shared" si="64"/>
        <v>17000</v>
      </c>
      <c r="R89" s="360">
        <v>0</v>
      </c>
      <c r="S89" s="360">
        <f t="shared" si="65"/>
        <v>17000</v>
      </c>
      <c r="T89" s="361"/>
      <c r="U89" s="358" t="e">
        <f>P89*#REF!/2</f>
        <v>#REF!</v>
      </c>
      <c r="V89" s="359"/>
      <c r="W89" s="362"/>
      <c r="X89" s="355">
        <v>46080</v>
      </c>
      <c r="Y89" s="360">
        <v>7618</v>
      </c>
      <c r="Z89" s="360">
        <v>7620</v>
      </c>
      <c r="AA89" s="360">
        <f t="shared" si="66"/>
        <v>2</v>
      </c>
      <c r="AB89" s="360">
        <f t="shared" si="67"/>
        <v>2000</v>
      </c>
      <c r="AC89" s="360">
        <v>0</v>
      </c>
      <c r="AD89" s="360">
        <f t="shared" si="68"/>
        <v>2000</v>
      </c>
      <c r="AE89" s="361"/>
      <c r="AF89" s="358" t="e">
        <f>AA89*#REF!/2</f>
        <v>#REF!</v>
      </c>
      <c r="AG89" s="359"/>
      <c r="AH89" s="362"/>
    </row>
    <row r="90" spans="2:34" ht="16.5" x14ac:dyDescent="0.35">
      <c r="B90" s="355">
        <v>46083</v>
      </c>
      <c r="C90" s="360">
        <v>18790</v>
      </c>
      <c r="D90" s="360">
        <v>18800</v>
      </c>
      <c r="E90" s="360">
        <f t="shared" si="60"/>
        <v>10</v>
      </c>
      <c r="F90" s="360">
        <f t="shared" si="61"/>
        <v>10000</v>
      </c>
      <c r="G90" s="360">
        <v>0</v>
      </c>
      <c r="H90" s="360">
        <f t="shared" si="62"/>
        <v>10000</v>
      </c>
      <c r="I90" s="361"/>
      <c r="J90" s="358" t="e">
        <f>E90*#REF!/2</f>
        <v>#REF!</v>
      </c>
      <c r="K90" s="359"/>
      <c r="L90" s="362"/>
      <c r="M90" s="355">
        <v>46083</v>
      </c>
      <c r="N90" s="360">
        <v>4028</v>
      </c>
      <c r="O90" s="360">
        <v>4048</v>
      </c>
      <c r="P90" s="360">
        <f t="shared" si="63"/>
        <v>20</v>
      </c>
      <c r="Q90" s="360">
        <f t="shared" si="64"/>
        <v>20000</v>
      </c>
      <c r="R90" s="360">
        <v>0</v>
      </c>
      <c r="S90" s="360">
        <f t="shared" si="65"/>
        <v>20000</v>
      </c>
      <c r="T90" s="361"/>
      <c r="U90" s="358" t="e">
        <f>P90*#REF!/2</f>
        <v>#REF!</v>
      </c>
      <c r="V90" s="359"/>
      <c r="W90" s="362"/>
      <c r="X90" s="355">
        <v>46083</v>
      </c>
      <c r="Y90" s="360">
        <v>7620</v>
      </c>
      <c r="Z90" s="360">
        <v>7624</v>
      </c>
      <c r="AA90" s="360">
        <f t="shared" si="66"/>
        <v>4</v>
      </c>
      <c r="AB90" s="360">
        <f t="shared" si="67"/>
        <v>4000</v>
      </c>
      <c r="AC90" s="360">
        <v>0</v>
      </c>
      <c r="AD90" s="360">
        <f t="shared" si="68"/>
        <v>4000</v>
      </c>
      <c r="AE90" s="361"/>
      <c r="AF90" s="358" t="e">
        <f>AA90*#REF!/2</f>
        <v>#REF!</v>
      </c>
      <c r="AG90" s="359"/>
      <c r="AH90" s="362"/>
    </row>
    <row r="91" spans="2:34" ht="16.5" x14ac:dyDescent="0.35">
      <c r="B91" s="355">
        <v>46087</v>
      </c>
      <c r="C91" s="360">
        <v>18800</v>
      </c>
      <c r="D91" s="360">
        <v>18818</v>
      </c>
      <c r="E91" s="360">
        <f t="shared" si="60"/>
        <v>18</v>
      </c>
      <c r="F91" s="360">
        <f t="shared" si="61"/>
        <v>18000</v>
      </c>
      <c r="G91" s="360">
        <v>0</v>
      </c>
      <c r="H91" s="360">
        <f t="shared" si="62"/>
        <v>18000</v>
      </c>
      <c r="I91" s="361"/>
      <c r="J91" s="358" t="e">
        <f>E91*#REF!/2</f>
        <v>#REF!</v>
      </c>
      <c r="K91" s="363"/>
      <c r="L91" s="364"/>
      <c r="M91" s="355">
        <v>46087</v>
      </c>
      <c r="N91" s="360">
        <v>4048</v>
      </c>
      <c r="O91" s="360">
        <v>4057</v>
      </c>
      <c r="P91" s="360">
        <f t="shared" si="63"/>
        <v>9</v>
      </c>
      <c r="Q91" s="360">
        <f t="shared" si="64"/>
        <v>9000</v>
      </c>
      <c r="R91" s="360">
        <v>0</v>
      </c>
      <c r="S91" s="360">
        <f t="shared" si="65"/>
        <v>9000</v>
      </c>
      <c r="T91" s="361"/>
      <c r="U91" s="358" t="e">
        <f>P91*#REF!/2</f>
        <v>#REF!</v>
      </c>
      <c r="V91" s="363"/>
      <c r="W91" s="364"/>
      <c r="X91" s="355">
        <v>46087</v>
      </c>
      <c r="Y91" s="360">
        <v>7624</v>
      </c>
      <c r="Z91" s="360">
        <v>7626</v>
      </c>
      <c r="AA91" s="360">
        <f t="shared" si="66"/>
        <v>2</v>
      </c>
      <c r="AB91" s="360">
        <f t="shared" si="67"/>
        <v>2000</v>
      </c>
      <c r="AC91" s="360">
        <v>0</v>
      </c>
      <c r="AD91" s="360">
        <f t="shared" si="68"/>
        <v>2000</v>
      </c>
      <c r="AE91" s="361"/>
      <c r="AF91" s="358" t="e">
        <f>AA91*#REF!/2</f>
        <v>#REF!</v>
      </c>
      <c r="AG91" s="363"/>
      <c r="AH91" s="364"/>
    </row>
    <row r="92" spans="2:34" ht="16.5" x14ac:dyDescent="0.35">
      <c r="B92" s="355">
        <v>46090</v>
      </c>
      <c r="C92" s="360">
        <v>18818</v>
      </c>
      <c r="D92" s="360">
        <v>18830</v>
      </c>
      <c r="E92" s="360">
        <f t="shared" si="60"/>
        <v>12</v>
      </c>
      <c r="F92" s="360">
        <f t="shared" si="61"/>
        <v>12000</v>
      </c>
      <c r="G92" s="360">
        <v>0</v>
      </c>
      <c r="H92" s="360">
        <f t="shared" si="62"/>
        <v>12000</v>
      </c>
      <c r="I92" s="361"/>
      <c r="J92" s="358" t="e">
        <f>E92*#REF!/2</f>
        <v>#REF!</v>
      </c>
      <c r="K92" s="363"/>
      <c r="L92" s="364"/>
      <c r="M92" s="355">
        <v>46090</v>
      </c>
      <c r="N92" s="360">
        <v>4057</v>
      </c>
      <c r="O92" s="360">
        <v>4070</v>
      </c>
      <c r="P92" s="360">
        <f t="shared" si="63"/>
        <v>13</v>
      </c>
      <c r="Q92" s="360">
        <f t="shared" si="64"/>
        <v>13000</v>
      </c>
      <c r="R92" s="360">
        <v>0</v>
      </c>
      <c r="S92" s="360">
        <f t="shared" si="65"/>
        <v>13000</v>
      </c>
      <c r="T92" s="361"/>
      <c r="U92" s="358" t="e">
        <f>P92*#REF!/2</f>
        <v>#REF!</v>
      </c>
      <c r="V92" s="363"/>
      <c r="W92" s="364"/>
      <c r="X92" s="355">
        <v>46090</v>
      </c>
      <c r="Y92" s="360">
        <v>7626</v>
      </c>
      <c r="Z92" s="360">
        <v>7636</v>
      </c>
      <c r="AA92" s="360">
        <f t="shared" si="66"/>
        <v>10</v>
      </c>
      <c r="AB92" s="360">
        <f t="shared" si="67"/>
        <v>10000</v>
      </c>
      <c r="AC92" s="360">
        <v>0</v>
      </c>
      <c r="AD92" s="360">
        <f t="shared" si="68"/>
        <v>10000</v>
      </c>
      <c r="AE92" s="361"/>
      <c r="AF92" s="358" t="e">
        <f>AA92*#REF!/2</f>
        <v>#REF!</v>
      </c>
      <c r="AG92" s="363"/>
      <c r="AH92" s="364"/>
    </row>
    <row r="93" spans="2:34" ht="16.5" x14ac:dyDescent="0.35">
      <c r="B93" s="355">
        <v>46099</v>
      </c>
      <c r="C93" s="360">
        <v>18830</v>
      </c>
      <c r="D93" s="360">
        <v>18886</v>
      </c>
      <c r="E93" s="360">
        <f t="shared" si="60"/>
        <v>56</v>
      </c>
      <c r="F93" s="360">
        <f t="shared" si="61"/>
        <v>56000</v>
      </c>
      <c r="G93" s="360">
        <v>0</v>
      </c>
      <c r="H93" s="360">
        <f t="shared" si="62"/>
        <v>56000</v>
      </c>
      <c r="I93" s="361"/>
      <c r="J93" s="358" t="e">
        <f>E93*#REF!/2</f>
        <v>#REF!</v>
      </c>
      <c r="K93" s="363"/>
      <c r="L93" s="364"/>
      <c r="M93" s="355">
        <v>46099</v>
      </c>
      <c r="N93" s="360">
        <v>4070</v>
      </c>
      <c r="O93" s="360">
        <v>4103</v>
      </c>
      <c r="P93" s="360">
        <f t="shared" si="63"/>
        <v>33</v>
      </c>
      <c r="Q93" s="360">
        <f t="shared" si="64"/>
        <v>33000</v>
      </c>
      <c r="R93" s="360">
        <v>0</v>
      </c>
      <c r="S93" s="360">
        <f t="shared" si="65"/>
        <v>33000</v>
      </c>
      <c r="T93" s="361"/>
      <c r="U93" s="358" t="e">
        <f>P93*#REF!/2</f>
        <v>#REF!</v>
      </c>
      <c r="V93" s="363"/>
      <c r="W93" s="364"/>
      <c r="X93" s="355">
        <v>46099</v>
      </c>
      <c r="Y93" s="360">
        <v>7636</v>
      </c>
      <c r="Z93" s="360">
        <v>7652</v>
      </c>
      <c r="AA93" s="360">
        <f t="shared" si="66"/>
        <v>16</v>
      </c>
      <c r="AB93" s="360">
        <f t="shared" si="67"/>
        <v>16000</v>
      </c>
      <c r="AC93" s="360">
        <v>0</v>
      </c>
      <c r="AD93" s="360">
        <f t="shared" si="68"/>
        <v>16000</v>
      </c>
      <c r="AE93" s="361"/>
      <c r="AF93" s="358" t="e">
        <f>AA93*#REF!/2</f>
        <v>#REF!</v>
      </c>
      <c r="AG93" s="363"/>
      <c r="AH93" s="364"/>
    </row>
    <row r="94" spans="2:34" ht="16.5" x14ac:dyDescent="0.35">
      <c r="B94" s="355"/>
      <c r="C94" s="360"/>
      <c r="D94" s="360"/>
      <c r="E94" s="360">
        <f t="shared" si="60"/>
        <v>0</v>
      </c>
      <c r="F94" s="360">
        <f t="shared" si="61"/>
        <v>0</v>
      </c>
      <c r="G94" s="360">
        <v>0</v>
      </c>
      <c r="H94" s="360">
        <f t="shared" si="62"/>
        <v>0</v>
      </c>
      <c r="I94" s="361"/>
      <c r="J94" s="358" t="e">
        <f>E94*#REF!/2</f>
        <v>#REF!</v>
      </c>
      <c r="K94" s="363"/>
      <c r="L94" s="364"/>
      <c r="M94" s="355"/>
      <c r="N94" s="360"/>
      <c r="O94" s="360"/>
      <c r="P94" s="360">
        <f t="shared" si="63"/>
        <v>0</v>
      </c>
      <c r="Q94" s="360">
        <f t="shared" si="64"/>
        <v>0</v>
      </c>
      <c r="R94" s="360">
        <v>0</v>
      </c>
      <c r="S94" s="360">
        <f t="shared" si="65"/>
        <v>0</v>
      </c>
      <c r="T94" s="361"/>
      <c r="U94" s="358" t="e">
        <f>P94*#REF!/2</f>
        <v>#REF!</v>
      </c>
      <c r="V94" s="363"/>
      <c r="W94" s="364"/>
      <c r="X94" s="355"/>
      <c r="Y94" s="360"/>
      <c r="Z94" s="360"/>
      <c r="AA94" s="360">
        <f t="shared" si="66"/>
        <v>0</v>
      </c>
      <c r="AB94" s="360">
        <f t="shared" si="67"/>
        <v>0</v>
      </c>
      <c r="AC94" s="360">
        <v>0</v>
      </c>
      <c r="AD94" s="360">
        <f t="shared" si="68"/>
        <v>0</v>
      </c>
      <c r="AE94" s="361"/>
      <c r="AF94" s="358" t="e">
        <f>AA94*#REF!/2</f>
        <v>#REF!</v>
      </c>
      <c r="AG94" s="363"/>
      <c r="AH94" s="364"/>
    </row>
    <row r="95" spans="2:34" ht="16.5" x14ac:dyDescent="0.35">
      <c r="B95" s="355"/>
      <c r="C95" s="360"/>
      <c r="D95" s="360"/>
      <c r="E95" s="360">
        <f t="shared" si="60"/>
        <v>0</v>
      </c>
      <c r="F95" s="360">
        <f t="shared" si="61"/>
        <v>0</v>
      </c>
      <c r="G95" s="360">
        <v>0</v>
      </c>
      <c r="H95" s="360">
        <f t="shared" si="62"/>
        <v>0</v>
      </c>
      <c r="I95" s="361"/>
      <c r="J95" s="358" t="e">
        <f>E95*#REF!/2</f>
        <v>#REF!</v>
      </c>
      <c r="K95" s="363"/>
      <c r="L95" s="364"/>
      <c r="M95" s="355"/>
      <c r="N95" s="360"/>
      <c r="O95" s="360"/>
      <c r="P95" s="360">
        <f t="shared" si="63"/>
        <v>0</v>
      </c>
      <c r="Q95" s="360">
        <f t="shared" si="64"/>
        <v>0</v>
      </c>
      <c r="R95" s="360">
        <v>0</v>
      </c>
      <c r="S95" s="360">
        <f t="shared" si="65"/>
        <v>0</v>
      </c>
      <c r="T95" s="361"/>
      <c r="U95" s="358" t="e">
        <f>P95*#REF!/2</f>
        <v>#REF!</v>
      </c>
      <c r="V95" s="363"/>
      <c r="W95" s="364"/>
      <c r="X95" s="355"/>
      <c r="Y95" s="360"/>
      <c r="Z95" s="360"/>
      <c r="AA95" s="360">
        <f t="shared" si="66"/>
        <v>0</v>
      </c>
      <c r="AB95" s="360">
        <f t="shared" si="67"/>
        <v>0</v>
      </c>
      <c r="AC95" s="360">
        <v>0</v>
      </c>
      <c r="AD95" s="360">
        <f t="shared" si="68"/>
        <v>0</v>
      </c>
      <c r="AE95" s="361"/>
      <c r="AF95" s="358" t="e">
        <f>AA95*#REF!/2</f>
        <v>#REF!</v>
      </c>
      <c r="AG95" s="363"/>
      <c r="AH95" s="364"/>
    </row>
    <row r="96" spans="2:34" ht="16.5" x14ac:dyDescent="0.35">
      <c r="B96" s="355"/>
      <c r="C96" s="360"/>
      <c r="D96" s="360"/>
      <c r="E96" s="360">
        <f t="shared" si="60"/>
        <v>0</v>
      </c>
      <c r="F96" s="360">
        <f t="shared" si="61"/>
        <v>0</v>
      </c>
      <c r="G96" s="360">
        <v>0</v>
      </c>
      <c r="H96" s="360">
        <f t="shared" si="62"/>
        <v>0</v>
      </c>
      <c r="I96" s="361"/>
      <c r="J96" s="358" t="e">
        <f>E96*#REF!/2</f>
        <v>#REF!</v>
      </c>
      <c r="K96" s="363"/>
      <c r="L96" s="364" t="s">
        <v>179</v>
      </c>
      <c r="M96" s="355"/>
      <c r="N96" s="360"/>
      <c r="O96" s="360"/>
      <c r="P96" s="360">
        <f t="shared" si="63"/>
        <v>0</v>
      </c>
      <c r="Q96" s="360">
        <f t="shared" si="64"/>
        <v>0</v>
      </c>
      <c r="R96" s="360">
        <v>0</v>
      </c>
      <c r="S96" s="360">
        <f t="shared" si="65"/>
        <v>0</v>
      </c>
      <c r="T96" s="361"/>
      <c r="U96" s="358" t="e">
        <f>P96*#REF!/2</f>
        <v>#REF!</v>
      </c>
      <c r="V96" s="363"/>
      <c r="W96" s="364" t="s">
        <v>179</v>
      </c>
      <c r="X96" s="355"/>
      <c r="Y96" s="360"/>
      <c r="Z96" s="360"/>
      <c r="AA96" s="360">
        <f t="shared" si="66"/>
        <v>0</v>
      </c>
      <c r="AB96" s="360">
        <f t="shared" si="67"/>
        <v>0</v>
      </c>
      <c r="AC96" s="360">
        <v>0</v>
      </c>
      <c r="AD96" s="360">
        <f t="shared" si="68"/>
        <v>0</v>
      </c>
      <c r="AE96" s="361"/>
      <c r="AF96" s="358" t="e">
        <f>AA96*#REF!/2</f>
        <v>#REF!</v>
      </c>
      <c r="AG96" s="363"/>
      <c r="AH96" s="364" t="s">
        <v>179</v>
      </c>
    </row>
    <row r="97" spans="2:34" ht="16.5" x14ac:dyDescent="0.35">
      <c r="B97" s="355"/>
      <c r="C97" s="360"/>
      <c r="D97" s="360"/>
      <c r="E97" s="360">
        <f t="shared" si="60"/>
        <v>0</v>
      </c>
      <c r="F97" s="360">
        <f t="shared" si="61"/>
        <v>0</v>
      </c>
      <c r="G97" s="360">
        <v>0</v>
      </c>
      <c r="H97" s="360">
        <f t="shared" si="62"/>
        <v>0</v>
      </c>
      <c r="I97" s="361"/>
      <c r="J97" s="358" t="e">
        <f>E97*#REF!/2</f>
        <v>#REF!</v>
      </c>
      <c r="K97" s="363"/>
      <c r="L97" s="364"/>
      <c r="M97" s="355"/>
      <c r="N97" s="360"/>
      <c r="O97" s="360"/>
      <c r="P97" s="360">
        <f t="shared" si="63"/>
        <v>0</v>
      </c>
      <c r="Q97" s="360">
        <f t="shared" si="64"/>
        <v>0</v>
      </c>
      <c r="R97" s="360">
        <v>0</v>
      </c>
      <c r="S97" s="360">
        <f t="shared" si="65"/>
        <v>0</v>
      </c>
      <c r="T97" s="361"/>
      <c r="U97" s="358" t="e">
        <f>P97*#REF!/2</f>
        <v>#REF!</v>
      </c>
      <c r="V97" s="363"/>
      <c r="W97" s="364"/>
      <c r="X97" s="355"/>
      <c r="Y97" s="360"/>
      <c r="Z97" s="360"/>
      <c r="AA97" s="360">
        <f t="shared" si="66"/>
        <v>0</v>
      </c>
      <c r="AB97" s="360">
        <f t="shared" si="67"/>
        <v>0</v>
      </c>
      <c r="AC97" s="360">
        <v>0</v>
      </c>
      <c r="AD97" s="360">
        <f t="shared" si="68"/>
        <v>0</v>
      </c>
      <c r="AE97" s="361"/>
      <c r="AF97" s="358" t="e">
        <f>AA97*#REF!/2</f>
        <v>#REF!</v>
      </c>
      <c r="AG97" s="363"/>
      <c r="AH97" s="364"/>
    </row>
    <row r="98" spans="2:34" ht="16.5" x14ac:dyDescent="0.35">
      <c r="B98" s="355"/>
      <c r="C98" s="360"/>
      <c r="D98" s="360"/>
      <c r="E98" s="360">
        <f t="shared" si="60"/>
        <v>0</v>
      </c>
      <c r="F98" s="360">
        <f t="shared" si="61"/>
        <v>0</v>
      </c>
      <c r="G98" s="360">
        <v>0</v>
      </c>
      <c r="H98" s="360">
        <f t="shared" si="62"/>
        <v>0</v>
      </c>
      <c r="I98" s="361"/>
      <c r="J98" s="358" t="e">
        <f>E98*#REF!/2</f>
        <v>#REF!</v>
      </c>
      <c r="K98" s="363"/>
      <c r="L98" s="364"/>
      <c r="M98" s="355"/>
      <c r="N98" s="360"/>
      <c r="O98" s="360"/>
      <c r="P98" s="360">
        <f t="shared" si="63"/>
        <v>0</v>
      </c>
      <c r="Q98" s="360">
        <f t="shared" si="64"/>
        <v>0</v>
      </c>
      <c r="R98" s="360">
        <v>0</v>
      </c>
      <c r="S98" s="360">
        <f t="shared" si="65"/>
        <v>0</v>
      </c>
      <c r="T98" s="361"/>
      <c r="U98" s="358" t="e">
        <f>P98*#REF!/2</f>
        <v>#REF!</v>
      </c>
      <c r="V98" s="363"/>
      <c r="W98" s="365"/>
      <c r="X98" s="355"/>
      <c r="Y98" s="360"/>
      <c r="Z98" s="360"/>
      <c r="AA98" s="360">
        <f t="shared" si="66"/>
        <v>0</v>
      </c>
      <c r="AB98" s="360">
        <f t="shared" si="67"/>
        <v>0</v>
      </c>
      <c r="AC98" s="360">
        <v>0</v>
      </c>
      <c r="AD98" s="360">
        <f t="shared" si="68"/>
        <v>0</v>
      </c>
      <c r="AE98" s="361"/>
      <c r="AF98" s="358" t="e">
        <f>AA98*#REF!/2</f>
        <v>#REF!</v>
      </c>
      <c r="AG98" s="363"/>
      <c r="AH98" s="365"/>
    </row>
    <row r="99" spans="2:34" ht="16.5" x14ac:dyDescent="0.35">
      <c r="B99" s="355"/>
      <c r="C99" s="360"/>
      <c r="D99" s="360"/>
      <c r="E99" s="360">
        <f t="shared" si="60"/>
        <v>0</v>
      </c>
      <c r="F99" s="360">
        <f t="shared" si="61"/>
        <v>0</v>
      </c>
      <c r="G99" s="360">
        <v>0</v>
      </c>
      <c r="H99" s="360">
        <f t="shared" si="62"/>
        <v>0</v>
      </c>
      <c r="I99" s="361"/>
      <c r="J99" s="358" t="e">
        <f>E99*#REF!/2</f>
        <v>#REF!</v>
      </c>
      <c r="K99" s="363"/>
      <c r="L99" s="365"/>
      <c r="M99" s="355"/>
      <c r="N99" s="360"/>
      <c r="O99" s="360"/>
      <c r="P99" s="360">
        <f t="shared" si="63"/>
        <v>0</v>
      </c>
      <c r="Q99" s="360">
        <f t="shared" si="64"/>
        <v>0</v>
      </c>
      <c r="R99" s="360">
        <v>0</v>
      </c>
      <c r="S99" s="360">
        <f t="shared" si="65"/>
        <v>0</v>
      </c>
      <c r="T99" s="361"/>
      <c r="U99" s="358" t="e">
        <f>P99*#REF!/2</f>
        <v>#REF!</v>
      </c>
      <c r="V99" s="363"/>
      <c r="W99" s="365"/>
      <c r="X99" s="355"/>
      <c r="Y99" s="360"/>
      <c r="Z99" s="360"/>
      <c r="AA99" s="360">
        <f t="shared" si="66"/>
        <v>0</v>
      </c>
      <c r="AB99" s="360">
        <f t="shared" si="67"/>
        <v>0</v>
      </c>
      <c r="AC99" s="360">
        <v>0</v>
      </c>
      <c r="AD99" s="360">
        <f t="shared" si="68"/>
        <v>0</v>
      </c>
      <c r="AE99" s="361"/>
      <c r="AF99" s="358" t="e">
        <f>AA99*#REF!/2</f>
        <v>#REF!</v>
      </c>
      <c r="AG99" s="363"/>
      <c r="AH99" s="365"/>
    </row>
    <row r="100" spans="2:34" ht="17.25" thickBot="1" x14ac:dyDescent="0.4">
      <c r="B100" s="366"/>
      <c r="C100" s="367"/>
      <c r="D100" s="368"/>
      <c r="E100" s="368">
        <f t="shared" si="60"/>
        <v>0</v>
      </c>
      <c r="F100" s="368">
        <f t="shared" si="61"/>
        <v>0</v>
      </c>
      <c r="G100" s="368">
        <v>0</v>
      </c>
      <c r="H100" s="368">
        <f t="shared" si="62"/>
        <v>0</v>
      </c>
      <c r="I100" s="369"/>
      <c r="J100" s="370" t="e">
        <f>E100*#REF!/2</f>
        <v>#REF!</v>
      </c>
      <c r="K100" s="371"/>
      <c r="L100" s="364" t="s">
        <v>180</v>
      </c>
      <c r="M100" s="372"/>
      <c r="N100" s="373"/>
      <c r="O100" s="373"/>
      <c r="P100" s="373">
        <f t="shared" si="63"/>
        <v>0</v>
      </c>
      <c r="Q100" s="373">
        <f t="shared" si="64"/>
        <v>0</v>
      </c>
      <c r="R100" s="373">
        <v>0</v>
      </c>
      <c r="S100" s="373">
        <f t="shared" si="65"/>
        <v>0</v>
      </c>
      <c r="T100" s="374"/>
      <c r="U100" s="375" t="e">
        <f>P100*#REF!/2</f>
        <v>#REF!</v>
      </c>
      <c r="V100" s="371"/>
      <c r="W100" s="364" t="s">
        <v>180</v>
      </c>
      <c r="X100" s="372"/>
      <c r="Y100" s="373"/>
      <c r="Z100" s="373"/>
      <c r="AA100" s="373">
        <f t="shared" si="66"/>
        <v>0</v>
      </c>
      <c r="AB100" s="373">
        <f t="shared" si="67"/>
        <v>0</v>
      </c>
      <c r="AC100" s="373">
        <v>0</v>
      </c>
      <c r="AD100" s="373">
        <f t="shared" si="68"/>
        <v>0</v>
      </c>
      <c r="AE100" s="374"/>
      <c r="AF100" s="375" t="e">
        <f>AA100*#REF!/2</f>
        <v>#REF!</v>
      </c>
      <c r="AG100" s="371"/>
      <c r="AH100" s="364" t="s">
        <v>180</v>
      </c>
    </row>
    <row r="101" spans="2:34" ht="17.25" thickBot="1" x14ac:dyDescent="0.4">
      <c r="B101" s="376"/>
      <c r="C101" s="368"/>
      <c r="D101" s="368"/>
      <c r="E101" s="368">
        <f t="shared" ref="E101:J101" si="69">SUM(E88:E100)</f>
        <v>122</v>
      </c>
      <c r="F101" s="368">
        <f t="shared" si="69"/>
        <v>122000</v>
      </c>
      <c r="G101" s="368">
        <f t="shared" si="69"/>
        <v>0</v>
      </c>
      <c r="H101" s="368">
        <f t="shared" si="69"/>
        <v>122000</v>
      </c>
      <c r="I101" s="368">
        <f t="shared" si="69"/>
        <v>0</v>
      </c>
      <c r="J101" s="368" t="e">
        <f t="shared" si="69"/>
        <v>#REF!</v>
      </c>
      <c r="K101" s="377" t="e">
        <f>+H101*0.6-G101-J101</f>
        <v>#REF!</v>
      </c>
      <c r="L101" s="378" t="e">
        <f>+K101/H101</f>
        <v>#REF!</v>
      </c>
      <c r="M101" s="376"/>
      <c r="N101" s="368"/>
      <c r="O101" s="368"/>
      <c r="P101" s="368">
        <f t="shared" ref="P101:U101" si="70">SUM(P88:P100)</f>
        <v>111</v>
      </c>
      <c r="Q101" s="368">
        <f t="shared" si="70"/>
        <v>111000</v>
      </c>
      <c r="R101" s="368">
        <f t="shared" si="70"/>
        <v>0</v>
      </c>
      <c r="S101" s="368">
        <f t="shared" si="70"/>
        <v>111000</v>
      </c>
      <c r="T101" s="368">
        <f t="shared" si="70"/>
        <v>0</v>
      </c>
      <c r="U101" s="368" t="e">
        <f t="shared" si="70"/>
        <v>#REF!</v>
      </c>
      <c r="V101" s="377" t="e">
        <f>+S101*0.6-R101-U101</f>
        <v>#REF!</v>
      </c>
      <c r="W101" s="378" t="e">
        <f>+V101/S101</f>
        <v>#REF!</v>
      </c>
      <c r="X101" s="376"/>
      <c r="Y101" s="368"/>
      <c r="Z101" s="368"/>
      <c r="AA101" s="368">
        <f t="shared" ref="AA101:AF101" si="71">SUM(AA88:AA100)</f>
        <v>42</v>
      </c>
      <c r="AB101" s="368">
        <f t="shared" si="71"/>
        <v>42000</v>
      </c>
      <c r="AC101" s="368">
        <f t="shared" si="71"/>
        <v>0</v>
      </c>
      <c r="AD101" s="368">
        <f t="shared" si="71"/>
        <v>42000</v>
      </c>
      <c r="AE101" s="368">
        <f t="shared" si="71"/>
        <v>0</v>
      </c>
      <c r="AF101" s="368" t="e">
        <f t="shared" si="71"/>
        <v>#REF!</v>
      </c>
      <c r="AG101" s="377" t="e">
        <f>+AD101*0.6-AC101-AF101</f>
        <v>#REF!</v>
      </c>
      <c r="AH101" s="378" t="e">
        <f>+AG101/AD101</f>
        <v>#REF!</v>
      </c>
    </row>
    <row r="103" spans="2:34" ht="17.25" thickBot="1" x14ac:dyDescent="0.4">
      <c r="B103" s="346" t="s">
        <v>175</v>
      </c>
      <c r="C103" s="347" t="s">
        <v>176</v>
      </c>
      <c r="D103" s="347"/>
      <c r="E103" s="347"/>
      <c r="F103" s="347"/>
      <c r="G103" s="347"/>
      <c r="H103" s="347"/>
      <c r="I103" s="347"/>
      <c r="J103" s="348">
        <v>473.2</v>
      </c>
      <c r="K103" s="347"/>
      <c r="L103" s="347"/>
      <c r="M103" s="349" t="s">
        <v>177</v>
      </c>
      <c r="N103" s="347"/>
      <c r="O103" s="347"/>
      <c r="P103" s="347"/>
      <c r="Q103" s="347"/>
      <c r="R103" s="347"/>
      <c r="S103" s="347"/>
      <c r="T103" s="347"/>
      <c r="U103" s="348">
        <v>473.2</v>
      </c>
      <c r="V103" s="347"/>
      <c r="W103" s="347"/>
      <c r="X103" s="349" t="s">
        <v>178</v>
      </c>
      <c r="Y103" s="347"/>
      <c r="Z103" s="347"/>
      <c r="AA103" s="347"/>
      <c r="AB103" s="347"/>
      <c r="AC103" s="347"/>
      <c r="AD103" s="347"/>
      <c r="AE103" s="347"/>
      <c r="AF103" s="348">
        <v>473.2</v>
      </c>
      <c r="AG103" s="347"/>
      <c r="AH103" s="347"/>
    </row>
    <row r="104" spans="2:34" ht="17.25" thickBot="1" x14ac:dyDescent="0.4">
      <c r="B104" s="350" t="s">
        <v>142</v>
      </c>
      <c r="C104" s="351" t="s">
        <v>162</v>
      </c>
      <c r="D104" s="351" t="s">
        <v>143</v>
      </c>
      <c r="E104" s="351" t="s">
        <v>144</v>
      </c>
      <c r="F104" s="351" t="s">
        <v>145</v>
      </c>
      <c r="G104" s="351" t="s">
        <v>163</v>
      </c>
      <c r="H104" s="351" t="s">
        <v>164</v>
      </c>
      <c r="I104" s="352" t="s">
        <v>165</v>
      </c>
      <c r="J104" s="353" t="s">
        <v>166</v>
      </c>
      <c r="K104" s="354" t="s">
        <v>146</v>
      </c>
      <c r="L104" s="347"/>
      <c r="M104" s="350" t="s">
        <v>142</v>
      </c>
      <c r="N104" s="351" t="s">
        <v>162</v>
      </c>
      <c r="O104" s="351" t="s">
        <v>143</v>
      </c>
      <c r="P104" s="351" t="s">
        <v>144</v>
      </c>
      <c r="Q104" s="351" t="s">
        <v>145</v>
      </c>
      <c r="R104" s="351" t="s">
        <v>163</v>
      </c>
      <c r="S104" s="351" t="s">
        <v>164</v>
      </c>
      <c r="T104" s="352" t="s">
        <v>165</v>
      </c>
      <c r="U104" s="353" t="s">
        <v>166</v>
      </c>
      <c r="V104" s="354" t="s">
        <v>146</v>
      </c>
      <c r="W104" s="347"/>
      <c r="X104" s="350" t="s">
        <v>142</v>
      </c>
      <c r="Y104" s="351" t="s">
        <v>162</v>
      </c>
      <c r="Z104" s="351" t="s">
        <v>143</v>
      </c>
      <c r="AA104" s="351" t="s">
        <v>144</v>
      </c>
      <c r="AB104" s="351" t="s">
        <v>145</v>
      </c>
      <c r="AC104" s="351" t="s">
        <v>163</v>
      </c>
      <c r="AD104" s="351" t="s">
        <v>164</v>
      </c>
      <c r="AE104" s="352" t="s">
        <v>165</v>
      </c>
      <c r="AF104" s="353" t="s">
        <v>166</v>
      </c>
      <c r="AG104" s="354" t="s">
        <v>146</v>
      </c>
      <c r="AH104" s="347"/>
    </row>
    <row r="105" spans="2:34" ht="16.5" x14ac:dyDescent="0.35">
      <c r="B105" s="355">
        <v>46104</v>
      </c>
      <c r="C105" s="356">
        <v>18886</v>
      </c>
      <c r="D105" s="356">
        <v>18928</v>
      </c>
      <c r="E105" s="356">
        <f t="shared" ref="E105:E117" si="72">+D105-C105</f>
        <v>42</v>
      </c>
      <c r="F105" s="356">
        <f t="shared" ref="F105:F117" si="73">+E105*1000</f>
        <v>42000</v>
      </c>
      <c r="G105" s="356">
        <v>0</v>
      </c>
      <c r="H105" s="356">
        <f t="shared" ref="H105:H117" si="74">+F105-G105</f>
        <v>42000</v>
      </c>
      <c r="I105" s="357"/>
      <c r="J105" s="358" t="e">
        <f>E105*#REF!/2</f>
        <v>#REF!</v>
      </c>
      <c r="K105" s="359"/>
      <c r="L105" s="347"/>
      <c r="M105" s="355">
        <v>46104</v>
      </c>
      <c r="N105" s="356">
        <v>4103</v>
      </c>
      <c r="O105" s="356">
        <v>4120</v>
      </c>
      <c r="P105" s="356">
        <f t="shared" ref="P105:P117" si="75">+O105-N105</f>
        <v>17</v>
      </c>
      <c r="Q105" s="356">
        <f t="shared" ref="Q105:Q117" si="76">+P105*1000</f>
        <v>17000</v>
      </c>
      <c r="R105" s="356">
        <v>0</v>
      </c>
      <c r="S105" s="356">
        <f t="shared" ref="S105:S117" si="77">+Q105-R105</f>
        <v>17000</v>
      </c>
      <c r="T105" s="357"/>
      <c r="U105" s="358" t="e">
        <f>P105*#REF!/2</f>
        <v>#REF!</v>
      </c>
      <c r="V105" s="359"/>
      <c r="W105" s="347"/>
      <c r="X105" s="355">
        <v>46104</v>
      </c>
      <c r="Y105" s="356">
        <v>7652</v>
      </c>
      <c r="Z105" s="356">
        <v>7674</v>
      </c>
      <c r="AA105" s="356">
        <f t="shared" ref="AA105:AA117" si="78">+Z105-Y105</f>
        <v>22</v>
      </c>
      <c r="AB105" s="356">
        <f t="shared" ref="AB105:AB117" si="79">+AA105*1000</f>
        <v>22000</v>
      </c>
      <c r="AC105" s="356">
        <v>0</v>
      </c>
      <c r="AD105" s="356">
        <f t="shared" ref="AD105:AD117" si="80">+AB105-AC105</f>
        <v>22000</v>
      </c>
      <c r="AE105" s="357"/>
      <c r="AF105" s="358" t="e">
        <f>AA105*#REF!/2</f>
        <v>#REF!</v>
      </c>
      <c r="AG105" s="359"/>
      <c r="AH105" s="347"/>
    </row>
    <row r="106" spans="2:34" ht="16.5" x14ac:dyDescent="0.35">
      <c r="B106" s="355">
        <v>46108</v>
      </c>
      <c r="C106" s="360">
        <v>18928</v>
      </c>
      <c r="D106" s="360">
        <v>18944</v>
      </c>
      <c r="E106" s="360">
        <f t="shared" si="72"/>
        <v>16</v>
      </c>
      <c r="F106" s="360">
        <f t="shared" si="73"/>
        <v>16000</v>
      </c>
      <c r="G106" s="360">
        <v>0</v>
      </c>
      <c r="H106" s="360">
        <f t="shared" si="74"/>
        <v>16000</v>
      </c>
      <c r="I106" s="361"/>
      <c r="J106" s="358" t="e">
        <f>E106*#REF!/2</f>
        <v>#REF!</v>
      </c>
      <c r="K106" s="359"/>
      <c r="L106" s="362"/>
      <c r="M106" s="355">
        <v>46108</v>
      </c>
      <c r="N106" s="360">
        <v>4120</v>
      </c>
      <c r="O106" s="360">
        <v>4132</v>
      </c>
      <c r="P106" s="360">
        <f t="shared" si="75"/>
        <v>12</v>
      </c>
      <c r="Q106" s="360">
        <f t="shared" si="76"/>
        <v>12000</v>
      </c>
      <c r="R106" s="360">
        <v>0</v>
      </c>
      <c r="S106" s="360">
        <f t="shared" si="77"/>
        <v>12000</v>
      </c>
      <c r="T106" s="361"/>
      <c r="U106" s="358" t="e">
        <f>P106*#REF!/2</f>
        <v>#REF!</v>
      </c>
      <c r="V106" s="359"/>
      <c r="W106" s="362"/>
      <c r="X106" s="355">
        <v>46088</v>
      </c>
      <c r="Y106" s="360">
        <v>7674</v>
      </c>
      <c r="Z106" s="360">
        <v>7688</v>
      </c>
      <c r="AA106" s="360">
        <f t="shared" si="78"/>
        <v>14</v>
      </c>
      <c r="AB106" s="360">
        <f t="shared" si="79"/>
        <v>14000</v>
      </c>
      <c r="AC106" s="360">
        <v>0</v>
      </c>
      <c r="AD106" s="360">
        <f t="shared" si="80"/>
        <v>14000</v>
      </c>
      <c r="AE106" s="361"/>
      <c r="AF106" s="358" t="e">
        <f>AA106*#REF!/2</f>
        <v>#REF!</v>
      </c>
      <c r="AG106" s="359"/>
      <c r="AH106" s="362"/>
    </row>
    <row r="107" spans="2:34" ht="16.5" x14ac:dyDescent="0.35">
      <c r="B107" s="355">
        <v>46111</v>
      </c>
      <c r="C107" s="360">
        <v>18944</v>
      </c>
      <c r="D107" s="360">
        <v>18968</v>
      </c>
      <c r="E107" s="360">
        <f t="shared" si="72"/>
        <v>24</v>
      </c>
      <c r="F107" s="360">
        <f t="shared" si="73"/>
        <v>24000</v>
      </c>
      <c r="G107" s="360">
        <v>0</v>
      </c>
      <c r="H107" s="360">
        <f t="shared" si="74"/>
        <v>24000</v>
      </c>
      <c r="I107" s="361"/>
      <c r="J107" s="358" t="e">
        <f>E107*#REF!/2</f>
        <v>#REF!</v>
      </c>
      <c r="K107" s="359"/>
      <c r="L107" s="362"/>
      <c r="M107" s="355">
        <v>46111</v>
      </c>
      <c r="N107" s="360">
        <v>4132</v>
      </c>
      <c r="O107" s="360">
        <v>4144</v>
      </c>
      <c r="P107" s="360">
        <f t="shared" si="75"/>
        <v>12</v>
      </c>
      <c r="Q107" s="360">
        <f t="shared" si="76"/>
        <v>12000</v>
      </c>
      <c r="R107" s="360">
        <v>0</v>
      </c>
      <c r="S107" s="360">
        <f t="shared" si="77"/>
        <v>12000</v>
      </c>
      <c r="T107" s="361"/>
      <c r="U107" s="358" t="e">
        <f>P107*#REF!/2</f>
        <v>#REF!</v>
      </c>
      <c r="V107" s="359"/>
      <c r="W107" s="362"/>
      <c r="X107" s="355">
        <v>46111</v>
      </c>
      <c r="Y107" s="360">
        <v>7688</v>
      </c>
      <c r="Z107" s="360">
        <v>7694</v>
      </c>
      <c r="AA107" s="360">
        <f t="shared" si="78"/>
        <v>6</v>
      </c>
      <c r="AB107" s="360">
        <f t="shared" si="79"/>
        <v>6000</v>
      </c>
      <c r="AC107" s="360">
        <v>0</v>
      </c>
      <c r="AD107" s="360">
        <f t="shared" si="80"/>
        <v>6000</v>
      </c>
      <c r="AE107" s="361"/>
      <c r="AF107" s="358" t="e">
        <f>AA107*#REF!/2</f>
        <v>#REF!</v>
      </c>
      <c r="AG107" s="359"/>
      <c r="AH107" s="362"/>
    </row>
    <row r="108" spans="2:34" ht="16.5" x14ac:dyDescent="0.35">
      <c r="B108" s="355">
        <v>46115</v>
      </c>
      <c r="C108" s="360">
        <v>18968</v>
      </c>
      <c r="D108" s="360">
        <v>18982</v>
      </c>
      <c r="E108" s="360">
        <f t="shared" si="72"/>
        <v>14</v>
      </c>
      <c r="F108" s="360">
        <f t="shared" si="73"/>
        <v>14000</v>
      </c>
      <c r="G108" s="360">
        <v>0</v>
      </c>
      <c r="H108" s="360">
        <f t="shared" si="74"/>
        <v>14000</v>
      </c>
      <c r="I108" s="361"/>
      <c r="J108" s="358" t="e">
        <f>E108*#REF!/2</f>
        <v>#REF!</v>
      </c>
      <c r="K108" s="363"/>
      <c r="L108" s="364"/>
      <c r="M108" s="355">
        <v>46115</v>
      </c>
      <c r="N108" s="360">
        <v>4144</v>
      </c>
      <c r="O108" s="360">
        <v>4156</v>
      </c>
      <c r="P108" s="360">
        <f t="shared" si="75"/>
        <v>12</v>
      </c>
      <c r="Q108" s="360">
        <f t="shared" si="76"/>
        <v>12000</v>
      </c>
      <c r="R108" s="360">
        <v>0</v>
      </c>
      <c r="S108" s="360">
        <f t="shared" si="77"/>
        <v>12000</v>
      </c>
      <c r="T108" s="361"/>
      <c r="U108" s="358" t="e">
        <f>P108*#REF!/2</f>
        <v>#REF!</v>
      </c>
      <c r="V108" s="363"/>
      <c r="W108" s="364"/>
      <c r="X108" s="355">
        <v>46115</v>
      </c>
      <c r="Y108" s="360">
        <v>7694</v>
      </c>
      <c r="Z108" s="360">
        <v>7700</v>
      </c>
      <c r="AA108" s="360">
        <f t="shared" si="78"/>
        <v>6</v>
      </c>
      <c r="AB108" s="360">
        <f t="shared" si="79"/>
        <v>6000</v>
      </c>
      <c r="AC108" s="360">
        <v>0</v>
      </c>
      <c r="AD108" s="360">
        <f t="shared" si="80"/>
        <v>6000</v>
      </c>
      <c r="AE108" s="361"/>
      <c r="AF108" s="358" t="e">
        <f>AA108*#REF!/2</f>
        <v>#REF!</v>
      </c>
      <c r="AG108" s="363"/>
      <c r="AH108" s="364"/>
    </row>
    <row r="109" spans="2:34" ht="16.5" x14ac:dyDescent="0.35">
      <c r="B109" s="355">
        <v>46118</v>
      </c>
      <c r="C109" s="360">
        <v>18982</v>
      </c>
      <c r="D109" s="360">
        <v>19006</v>
      </c>
      <c r="E109" s="360">
        <f t="shared" si="72"/>
        <v>24</v>
      </c>
      <c r="F109" s="360">
        <f t="shared" si="73"/>
        <v>24000</v>
      </c>
      <c r="G109" s="360">
        <v>0</v>
      </c>
      <c r="H109" s="360">
        <f t="shared" si="74"/>
        <v>24000</v>
      </c>
      <c r="I109" s="361"/>
      <c r="J109" s="358" t="e">
        <f>E109*#REF!/2</f>
        <v>#REF!</v>
      </c>
      <c r="K109" s="363"/>
      <c r="L109" s="364"/>
      <c r="M109" s="355">
        <v>46118</v>
      </c>
      <c r="N109" s="360">
        <v>4156</v>
      </c>
      <c r="O109" s="360">
        <v>4163</v>
      </c>
      <c r="P109" s="360">
        <f t="shared" si="75"/>
        <v>7</v>
      </c>
      <c r="Q109" s="360">
        <f t="shared" si="76"/>
        <v>7000</v>
      </c>
      <c r="R109" s="360">
        <v>0</v>
      </c>
      <c r="S109" s="360">
        <f t="shared" si="77"/>
        <v>7000</v>
      </c>
      <c r="T109" s="361"/>
      <c r="U109" s="358" t="e">
        <f>P109*#REF!/2</f>
        <v>#REF!</v>
      </c>
      <c r="V109" s="363"/>
      <c r="W109" s="364"/>
      <c r="X109" s="355">
        <v>46118</v>
      </c>
      <c r="Y109" s="360">
        <v>7700</v>
      </c>
      <c r="Z109" s="360">
        <v>7706</v>
      </c>
      <c r="AA109" s="360">
        <f t="shared" si="78"/>
        <v>6</v>
      </c>
      <c r="AB109" s="360">
        <f t="shared" si="79"/>
        <v>6000</v>
      </c>
      <c r="AC109" s="360">
        <v>0</v>
      </c>
      <c r="AD109" s="360">
        <f t="shared" si="80"/>
        <v>6000</v>
      </c>
      <c r="AE109" s="361"/>
      <c r="AF109" s="358" t="e">
        <f>AA109*#REF!/2</f>
        <v>#REF!</v>
      </c>
      <c r="AG109" s="363"/>
      <c r="AH109" s="364"/>
    </row>
    <row r="110" spans="2:34" ht="16.5" x14ac:dyDescent="0.35">
      <c r="B110" s="355">
        <v>46122</v>
      </c>
      <c r="C110" s="360">
        <v>19006</v>
      </c>
      <c r="D110" s="360">
        <v>19022</v>
      </c>
      <c r="E110" s="360">
        <f t="shared" si="72"/>
        <v>16</v>
      </c>
      <c r="F110" s="360">
        <f t="shared" si="73"/>
        <v>16000</v>
      </c>
      <c r="G110" s="360">
        <v>0</v>
      </c>
      <c r="H110" s="360">
        <f t="shared" si="74"/>
        <v>16000</v>
      </c>
      <c r="I110" s="361"/>
      <c r="J110" s="358" t="e">
        <f>E110*#REF!/2</f>
        <v>#REF!</v>
      </c>
      <c r="K110" s="363"/>
      <c r="L110" s="364"/>
      <c r="M110" s="355">
        <v>46122</v>
      </c>
      <c r="N110" s="360">
        <v>4163</v>
      </c>
      <c r="O110" s="360">
        <v>4169</v>
      </c>
      <c r="P110" s="360">
        <f t="shared" si="75"/>
        <v>6</v>
      </c>
      <c r="Q110" s="360">
        <f t="shared" si="76"/>
        <v>6000</v>
      </c>
      <c r="R110" s="360">
        <v>0</v>
      </c>
      <c r="S110" s="360">
        <f t="shared" si="77"/>
        <v>6000</v>
      </c>
      <c r="T110" s="361"/>
      <c r="U110" s="358" t="e">
        <f>P110*#REF!/2</f>
        <v>#REF!</v>
      </c>
      <c r="V110" s="363"/>
      <c r="W110" s="364"/>
      <c r="X110" s="355">
        <v>46122</v>
      </c>
      <c r="Y110" s="360">
        <v>7706</v>
      </c>
      <c r="Z110" s="360">
        <v>7706</v>
      </c>
      <c r="AA110" s="360">
        <f t="shared" si="78"/>
        <v>0</v>
      </c>
      <c r="AB110" s="360">
        <f t="shared" si="79"/>
        <v>0</v>
      </c>
      <c r="AC110" s="360">
        <v>0</v>
      </c>
      <c r="AD110" s="360">
        <f t="shared" si="80"/>
        <v>0</v>
      </c>
      <c r="AE110" s="361"/>
      <c r="AF110" s="358" t="e">
        <f>AA110*#REF!/2</f>
        <v>#REF!</v>
      </c>
      <c r="AG110" s="363"/>
      <c r="AH110" s="364"/>
    </row>
    <row r="111" spans="2:34" ht="16.5" x14ac:dyDescent="0.35">
      <c r="B111" s="355">
        <v>46125</v>
      </c>
      <c r="C111" s="360">
        <v>19022</v>
      </c>
      <c r="D111" s="360">
        <v>19042</v>
      </c>
      <c r="E111" s="360">
        <f t="shared" si="72"/>
        <v>20</v>
      </c>
      <c r="F111" s="360">
        <f t="shared" si="73"/>
        <v>20000</v>
      </c>
      <c r="G111" s="360">
        <v>0</v>
      </c>
      <c r="H111" s="360">
        <f t="shared" si="74"/>
        <v>20000</v>
      </c>
      <c r="I111" s="361"/>
      <c r="J111" s="358" t="e">
        <f>E111*#REF!/2</f>
        <v>#REF!</v>
      </c>
      <c r="K111" s="363"/>
      <c r="L111" s="364"/>
      <c r="M111" s="355">
        <v>46125</v>
      </c>
      <c r="N111" s="360">
        <v>4169</v>
      </c>
      <c r="O111" s="360">
        <v>4179</v>
      </c>
      <c r="P111" s="360">
        <f t="shared" si="75"/>
        <v>10</v>
      </c>
      <c r="Q111" s="360">
        <f t="shared" si="76"/>
        <v>10000</v>
      </c>
      <c r="R111" s="360">
        <v>0</v>
      </c>
      <c r="S111" s="360">
        <f t="shared" si="77"/>
        <v>10000</v>
      </c>
      <c r="T111" s="361"/>
      <c r="U111" s="358" t="e">
        <f>P111*#REF!/2</f>
        <v>#REF!</v>
      </c>
      <c r="V111" s="363"/>
      <c r="W111" s="364"/>
      <c r="X111" s="355">
        <v>46125</v>
      </c>
      <c r="Y111" s="360">
        <v>7706</v>
      </c>
      <c r="Z111" s="360">
        <v>7728</v>
      </c>
      <c r="AA111" s="360">
        <f t="shared" si="78"/>
        <v>22</v>
      </c>
      <c r="AB111" s="360">
        <f t="shared" si="79"/>
        <v>22000</v>
      </c>
      <c r="AC111" s="360">
        <v>0</v>
      </c>
      <c r="AD111" s="360">
        <f t="shared" si="80"/>
        <v>22000</v>
      </c>
      <c r="AE111" s="361"/>
      <c r="AF111" s="358" t="e">
        <f>AA111*#REF!/2</f>
        <v>#REF!</v>
      </c>
      <c r="AG111" s="363"/>
      <c r="AH111" s="364"/>
    </row>
    <row r="112" spans="2:34" ht="16.5" x14ac:dyDescent="0.35">
      <c r="B112" s="355">
        <v>46132</v>
      </c>
      <c r="C112" s="360">
        <v>19042</v>
      </c>
      <c r="D112" s="360">
        <v>19082</v>
      </c>
      <c r="E112" s="360">
        <f t="shared" si="72"/>
        <v>40</v>
      </c>
      <c r="F112" s="360">
        <f t="shared" si="73"/>
        <v>40000</v>
      </c>
      <c r="G112" s="360">
        <v>0</v>
      </c>
      <c r="H112" s="360">
        <f t="shared" si="74"/>
        <v>40000</v>
      </c>
      <c r="I112" s="361"/>
      <c r="J112" s="358" t="e">
        <f>E112*#REF!/2</f>
        <v>#REF!</v>
      </c>
      <c r="K112" s="363"/>
      <c r="L112" s="364"/>
      <c r="M112" s="355">
        <v>46132</v>
      </c>
      <c r="N112" s="360">
        <v>4179</v>
      </c>
      <c r="O112" s="360">
        <v>4215</v>
      </c>
      <c r="P112" s="360">
        <f t="shared" si="75"/>
        <v>36</v>
      </c>
      <c r="Q112" s="360">
        <f t="shared" si="76"/>
        <v>36000</v>
      </c>
      <c r="R112" s="360">
        <v>0</v>
      </c>
      <c r="S112" s="360">
        <f t="shared" si="77"/>
        <v>36000</v>
      </c>
      <c r="T112" s="361"/>
      <c r="U112" s="358" t="e">
        <f>P112*#REF!/2</f>
        <v>#REF!</v>
      </c>
      <c r="V112" s="363"/>
      <c r="W112" s="364"/>
      <c r="X112" s="355">
        <v>46132</v>
      </c>
      <c r="Y112" s="360">
        <v>7728</v>
      </c>
      <c r="Z112" s="360">
        <v>7746</v>
      </c>
      <c r="AA112" s="360">
        <f t="shared" si="78"/>
        <v>18</v>
      </c>
      <c r="AB112" s="360">
        <f t="shared" si="79"/>
        <v>18000</v>
      </c>
      <c r="AC112" s="360">
        <v>0</v>
      </c>
      <c r="AD112" s="360">
        <f t="shared" si="80"/>
        <v>18000</v>
      </c>
      <c r="AE112" s="361"/>
      <c r="AF112" s="358" t="e">
        <f>AA112*#REF!/2</f>
        <v>#REF!</v>
      </c>
      <c r="AG112" s="363"/>
      <c r="AH112" s="364"/>
    </row>
    <row r="113" spans="2:34" ht="16.5" x14ac:dyDescent="0.35">
      <c r="B113" s="355"/>
      <c r="C113" s="360"/>
      <c r="D113" s="360"/>
      <c r="E113" s="360">
        <f t="shared" si="72"/>
        <v>0</v>
      </c>
      <c r="F113" s="360">
        <f t="shared" si="73"/>
        <v>0</v>
      </c>
      <c r="G113" s="360">
        <v>0</v>
      </c>
      <c r="H113" s="360">
        <f t="shared" si="74"/>
        <v>0</v>
      </c>
      <c r="I113" s="361"/>
      <c r="J113" s="358" t="e">
        <f>E113*#REF!/2</f>
        <v>#REF!</v>
      </c>
      <c r="K113" s="363"/>
      <c r="L113" s="364" t="s">
        <v>179</v>
      </c>
      <c r="M113" s="355"/>
      <c r="N113" s="360"/>
      <c r="O113" s="360"/>
      <c r="P113" s="360">
        <f t="shared" si="75"/>
        <v>0</v>
      </c>
      <c r="Q113" s="360">
        <f t="shared" si="76"/>
        <v>0</v>
      </c>
      <c r="R113" s="360">
        <v>0</v>
      </c>
      <c r="S113" s="360">
        <f t="shared" si="77"/>
        <v>0</v>
      </c>
      <c r="T113" s="361"/>
      <c r="U113" s="358" t="e">
        <f>P113*#REF!/2</f>
        <v>#REF!</v>
      </c>
      <c r="V113" s="363"/>
      <c r="W113" s="364" t="s">
        <v>179</v>
      </c>
      <c r="X113" s="355"/>
      <c r="Y113" s="360"/>
      <c r="Z113" s="360"/>
      <c r="AA113" s="360">
        <f t="shared" si="78"/>
        <v>0</v>
      </c>
      <c r="AB113" s="360">
        <f t="shared" si="79"/>
        <v>0</v>
      </c>
      <c r="AC113" s="360">
        <v>0</v>
      </c>
      <c r="AD113" s="360">
        <f t="shared" si="80"/>
        <v>0</v>
      </c>
      <c r="AE113" s="361"/>
      <c r="AF113" s="358" t="e">
        <f>AA113*#REF!/2</f>
        <v>#REF!</v>
      </c>
      <c r="AG113" s="363"/>
      <c r="AH113" s="364" t="s">
        <v>179</v>
      </c>
    </row>
    <row r="114" spans="2:34" ht="16.5" x14ac:dyDescent="0.35">
      <c r="B114" s="355"/>
      <c r="C114" s="360"/>
      <c r="D114" s="360"/>
      <c r="E114" s="360">
        <f t="shared" si="72"/>
        <v>0</v>
      </c>
      <c r="F114" s="360">
        <f t="shared" si="73"/>
        <v>0</v>
      </c>
      <c r="G114" s="360">
        <v>0</v>
      </c>
      <c r="H114" s="360">
        <f t="shared" si="74"/>
        <v>0</v>
      </c>
      <c r="I114" s="361"/>
      <c r="J114" s="358" t="e">
        <f>E114*#REF!/2</f>
        <v>#REF!</v>
      </c>
      <c r="K114" s="363"/>
      <c r="L114" s="364"/>
      <c r="M114" s="355"/>
      <c r="N114" s="360"/>
      <c r="O114" s="360"/>
      <c r="P114" s="360">
        <f t="shared" si="75"/>
        <v>0</v>
      </c>
      <c r="Q114" s="360">
        <f t="shared" si="76"/>
        <v>0</v>
      </c>
      <c r="R114" s="360">
        <v>0</v>
      </c>
      <c r="S114" s="360">
        <f t="shared" si="77"/>
        <v>0</v>
      </c>
      <c r="T114" s="361"/>
      <c r="U114" s="358" t="e">
        <f>P114*#REF!/2</f>
        <v>#REF!</v>
      </c>
      <c r="V114" s="363"/>
      <c r="W114" s="364"/>
      <c r="X114" s="355"/>
      <c r="Y114" s="360"/>
      <c r="Z114" s="360"/>
      <c r="AA114" s="360">
        <f t="shared" si="78"/>
        <v>0</v>
      </c>
      <c r="AB114" s="360">
        <f t="shared" si="79"/>
        <v>0</v>
      </c>
      <c r="AC114" s="360">
        <v>0</v>
      </c>
      <c r="AD114" s="360">
        <f t="shared" si="80"/>
        <v>0</v>
      </c>
      <c r="AE114" s="361"/>
      <c r="AF114" s="358" t="e">
        <f>AA114*#REF!/2</f>
        <v>#REF!</v>
      </c>
      <c r="AG114" s="363"/>
      <c r="AH114" s="364"/>
    </row>
    <row r="115" spans="2:34" ht="16.5" x14ac:dyDescent="0.35">
      <c r="B115" s="355"/>
      <c r="C115" s="360"/>
      <c r="D115" s="360"/>
      <c r="E115" s="360">
        <f t="shared" si="72"/>
        <v>0</v>
      </c>
      <c r="F115" s="360">
        <f t="shared" si="73"/>
        <v>0</v>
      </c>
      <c r="G115" s="360">
        <v>0</v>
      </c>
      <c r="H115" s="360">
        <f t="shared" si="74"/>
        <v>0</v>
      </c>
      <c r="I115" s="361"/>
      <c r="J115" s="358" t="e">
        <f>E115*#REF!/2</f>
        <v>#REF!</v>
      </c>
      <c r="K115" s="363"/>
      <c r="L115" s="364"/>
      <c r="M115" s="355"/>
      <c r="N115" s="360"/>
      <c r="O115" s="360"/>
      <c r="P115" s="360">
        <f t="shared" si="75"/>
        <v>0</v>
      </c>
      <c r="Q115" s="360">
        <f t="shared" si="76"/>
        <v>0</v>
      </c>
      <c r="R115" s="360">
        <v>0</v>
      </c>
      <c r="S115" s="360">
        <f t="shared" si="77"/>
        <v>0</v>
      </c>
      <c r="T115" s="361"/>
      <c r="U115" s="358" t="e">
        <f>P115*#REF!/2</f>
        <v>#REF!</v>
      </c>
      <c r="V115" s="363"/>
      <c r="W115" s="365"/>
      <c r="X115" s="355"/>
      <c r="Y115" s="360"/>
      <c r="Z115" s="360"/>
      <c r="AA115" s="360">
        <f t="shared" si="78"/>
        <v>0</v>
      </c>
      <c r="AB115" s="360">
        <f t="shared" si="79"/>
        <v>0</v>
      </c>
      <c r="AC115" s="360">
        <v>0</v>
      </c>
      <c r="AD115" s="360">
        <f t="shared" si="80"/>
        <v>0</v>
      </c>
      <c r="AE115" s="361"/>
      <c r="AF115" s="358" t="e">
        <f>AA115*#REF!/2</f>
        <v>#REF!</v>
      </c>
      <c r="AG115" s="363"/>
      <c r="AH115" s="365"/>
    </row>
    <row r="116" spans="2:34" ht="16.5" x14ac:dyDescent="0.35">
      <c r="B116" s="355"/>
      <c r="C116" s="360"/>
      <c r="D116" s="360"/>
      <c r="E116" s="360">
        <f t="shared" si="72"/>
        <v>0</v>
      </c>
      <c r="F116" s="360">
        <f t="shared" si="73"/>
        <v>0</v>
      </c>
      <c r="G116" s="360">
        <v>0</v>
      </c>
      <c r="H116" s="360">
        <f t="shared" si="74"/>
        <v>0</v>
      </c>
      <c r="I116" s="361"/>
      <c r="J116" s="358" t="e">
        <f>E116*#REF!/2</f>
        <v>#REF!</v>
      </c>
      <c r="K116" s="363"/>
      <c r="L116" s="365"/>
      <c r="M116" s="355"/>
      <c r="N116" s="360"/>
      <c r="O116" s="360"/>
      <c r="P116" s="360">
        <f t="shared" si="75"/>
        <v>0</v>
      </c>
      <c r="Q116" s="360">
        <f t="shared" si="76"/>
        <v>0</v>
      </c>
      <c r="R116" s="360">
        <v>0</v>
      </c>
      <c r="S116" s="360">
        <f t="shared" si="77"/>
        <v>0</v>
      </c>
      <c r="T116" s="361"/>
      <c r="U116" s="358" t="e">
        <f>P116*#REF!/2</f>
        <v>#REF!</v>
      </c>
      <c r="V116" s="363"/>
      <c r="W116" s="365"/>
      <c r="X116" s="355"/>
      <c r="Y116" s="360"/>
      <c r="Z116" s="360"/>
      <c r="AA116" s="360">
        <f t="shared" si="78"/>
        <v>0</v>
      </c>
      <c r="AB116" s="360">
        <f t="shared" si="79"/>
        <v>0</v>
      </c>
      <c r="AC116" s="360">
        <v>0</v>
      </c>
      <c r="AD116" s="360">
        <f t="shared" si="80"/>
        <v>0</v>
      </c>
      <c r="AE116" s="361"/>
      <c r="AF116" s="358" t="e">
        <f>AA116*#REF!/2</f>
        <v>#REF!</v>
      </c>
      <c r="AG116" s="363"/>
      <c r="AH116" s="365"/>
    </row>
    <row r="117" spans="2:34" ht="17.25" thickBot="1" x14ac:dyDescent="0.4">
      <c r="B117" s="366"/>
      <c r="C117" s="367"/>
      <c r="D117" s="368"/>
      <c r="E117" s="368">
        <f t="shared" si="72"/>
        <v>0</v>
      </c>
      <c r="F117" s="368">
        <f t="shared" si="73"/>
        <v>0</v>
      </c>
      <c r="G117" s="368">
        <v>0</v>
      </c>
      <c r="H117" s="368">
        <f t="shared" si="74"/>
        <v>0</v>
      </c>
      <c r="I117" s="369"/>
      <c r="J117" s="370" t="e">
        <f>E117*#REF!/2</f>
        <v>#REF!</v>
      </c>
      <c r="K117" s="371"/>
      <c r="L117" s="364" t="s">
        <v>180</v>
      </c>
      <c r="M117" s="372"/>
      <c r="N117" s="373"/>
      <c r="O117" s="373"/>
      <c r="P117" s="373">
        <f t="shared" si="75"/>
        <v>0</v>
      </c>
      <c r="Q117" s="373">
        <f t="shared" si="76"/>
        <v>0</v>
      </c>
      <c r="R117" s="373">
        <v>0</v>
      </c>
      <c r="S117" s="373">
        <f t="shared" si="77"/>
        <v>0</v>
      </c>
      <c r="T117" s="374"/>
      <c r="U117" s="375" t="e">
        <f>P117*#REF!/2</f>
        <v>#REF!</v>
      </c>
      <c r="V117" s="371"/>
      <c r="W117" s="364" t="s">
        <v>180</v>
      </c>
      <c r="X117" s="372"/>
      <c r="Y117" s="373"/>
      <c r="Z117" s="373"/>
      <c r="AA117" s="373">
        <f t="shared" si="78"/>
        <v>0</v>
      </c>
      <c r="AB117" s="373">
        <f t="shared" si="79"/>
        <v>0</v>
      </c>
      <c r="AC117" s="373">
        <v>0</v>
      </c>
      <c r="AD117" s="373">
        <f t="shared" si="80"/>
        <v>0</v>
      </c>
      <c r="AE117" s="374"/>
      <c r="AF117" s="375" t="e">
        <f>AA117*#REF!/2</f>
        <v>#REF!</v>
      </c>
      <c r="AG117" s="371"/>
      <c r="AH117" s="364" t="s">
        <v>180</v>
      </c>
    </row>
    <row r="118" spans="2:34" ht="17.25" thickBot="1" x14ac:dyDescent="0.4">
      <c r="B118" s="376"/>
      <c r="C118" s="368"/>
      <c r="D118" s="368"/>
      <c r="E118" s="368">
        <f t="shared" ref="E118:J118" si="81">SUM(E105:E117)</f>
        <v>196</v>
      </c>
      <c r="F118" s="368">
        <f t="shared" si="81"/>
        <v>196000</v>
      </c>
      <c r="G118" s="368">
        <f t="shared" si="81"/>
        <v>0</v>
      </c>
      <c r="H118" s="368">
        <f t="shared" si="81"/>
        <v>196000</v>
      </c>
      <c r="I118" s="368">
        <f t="shared" si="81"/>
        <v>0</v>
      </c>
      <c r="J118" s="368" t="e">
        <f t="shared" si="81"/>
        <v>#REF!</v>
      </c>
      <c r="K118" s="377" t="e">
        <f>+H118*0.6-G118-J118</f>
        <v>#REF!</v>
      </c>
      <c r="L118" s="378" t="e">
        <f>+K118/H118</f>
        <v>#REF!</v>
      </c>
      <c r="M118" s="376"/>
      <c r="N118" s="368"/>
      <c r="O118" s="368"/>
      <c r="P118" s="368">
        <f t="shared" ref="P118:U118" si="82">SUM(P105:P117)</f>
        <v>112</v>
      </c>
      <c r="Q118" s="368">
        <f t="shared" si="82"/>
        <v>112000</v>
      </c>
      <c r="R118" s="368">
        <f t="shared" si="82"/>
        <v>0</v>
      </c>
      <c r="S118" s="368">
        <f t="shared" si="82"/>
        <v>112000</v>
      </c>
      <c r="T118" s="368">
        <f t="shared" si="82"/>
        <v>0</v>
      </c>
      <c r="U118" s="368" t="e">
        <f t="shared" si="82"/>
        <v>#REF!</v>
      </c>
      <c r="V118" s="377" t="e">
        <f>+S118*0.6-R118-U118</f>
        <v>#REF!</v>
      </c>
      <c r="W118" s="378" t="e">
        <f>+V118/S118</f>
        <v>#REF!</v>
      </c>
      <c r="X118" s="376"/>
      <c r="Y118" s="368"/>
      <c r="Z118" s="368"/>
      <c r="AA118" s="368">
        <f t="shared" ref="AA118:AF118" si="83">SUM(AA105:AA117)</f>
        <v>94</v>
      </c>
      <c r="AB118" s="368">
        <f t="shared" si="83"/>
        <v>94000</v>
      </c>
      <c r="AC118" s="368">
        <f t="shared" si="83"/>
        <v>0</v>
      </c>
      <c r="AD118" s="368">
        <f t="shared" si="83"/>
        <v>94000</v>
      </c>
      <c r="AE118" s="368">
        <f t="shared" si="83"/>
        <v>0</v>
      </c>
      <c r="AF118" s="368" t="e">
        <f t="shared" si="83"/>
        <v>#REF!</v>
      </c>
      <c r="AG118" s="377" t="e">
        <f>+AD118*0.6-AC118-AF118</f>
        <v>#REF!</v>
      </c>
      <c r="AH118" s="378" t="e">
        <f>+AG118/AD118</f>
        <v>#REF!</v>
      </c>
    </row>
    <row r="120" spans="2:34" ht="17.25" thickBot="1" x14ac:dyDescent="0.4">
      <c r="B120" s="762" t="s">
        <v>175</v>
      </c>
      <c r="C120" s="763" t="s">
        <v>176</v>
      </c>
      <c r="D120" s="763"/>
      <c r="E120" s="763"/>
      <c r="F120" s="763"/>
      <c r="G120" s="763"/>
      <c r="H120" s="763"/>
      <c r="I120" s="763"/>
      <c r="J120" s="348">
        <v>473.2</v>
      </c>
      <c r="K120" s="763"/>
      <c r="L120" s="763"/>
      <c r="M120" s="764" t="s">
        <v>177</v>
      </c>
      <c r="N120" s="763"/>
      <c r="O120" s="763"/>
      <c r="P120" s="763"/>
      <c r="Q120" s="763"/>
      <c r="R120" s="763"/>
      <c r="S120" s="763"/>
      <c r="T120" s="763"/>
      <c r="U120" s="348">
        <v>473.2</v>
      </c>
      <c r="V120" s="763"/>
      <c r="W120" s="763"/>
      <c r="X120" s="764" t="s">
        <v>178</v>
      </c>
      <c r="Y120" s="763"/>
      <c r="Z120" s="763"/>
      <c r="AA120" s="763"/>
      <c r="AB120" s="763"/>
      <c r="AC120" s="763"/>
      <c r="AD120" s="763"/>
      <c r="AE120" s="763"/>
      <c r="AF120" s="348">
        <v>473.2</v>
      </c>
      <c r="AG120" s="763"/>
      <c r="AH120" s="763"/>
    </row>
    <row r="121" spans="2:34" ht="17.25" thickBot="1" x14ac:dyDescent="0.4">
      <c r="B121" s="350" t="s">
        <v>142</v>
      </c>
      <c r="C121" s="351" t="s">
        <v>162</v>
      </c>
      <c r="D121" s="351" t="s">
        <v>143</v>
      </c>
      <c r="E121" s="351" t="s">
        <v>144</v>
      </c>
      <c r="F121" s="351" t="s">
        <v>145</v>
      </c>
      <c r="G121" s="351" t="s">
        <v>163</v>
      </c>
      <c r="H121" s="351" t="s">
        <v>164</v>
      </c>
      <c r="I121" s="352" t="s">
        <v>165</v>
      </c>
      <c r="J121" s="353" t="s">
        <v>166</v>
      </c>
      <c r="K121" s="354" t="s">
        <v>146</v>
      </c>
      <c r="L121" s="763"/>
      <c r="M121" s="350" t="s">
        <v>142</v>
      </c>
      <c r="N121" s="351" t="s">
        <v>162</v>
      </c>
      <c r="O121" s="351" t="s">
        <v>143</v>
      </c>
      <c r="P121" s="351" t="s">
        <v>144</v>
      </c>
      <c r="Q121" s="351" t="s">
        <v>145</v>
      </c>
      <c r="R121" s="351" t="s">
        <v>163</v>
      </c>
      <c r="S121" s="351" t="s">
        <v>164</v>
      </c>
      <c r="T121" s="352" t="s">
        <v>165</v>
      </c>
      <c r="U121" s="353" t="s">
        <v>166</v>
      </c>
      <c r="V121" s="354" t="s">
        <v>146</v>
      </c>
      <c r="W121" s="763"/>
      <c r="X121" s="350" t="s">
        <v>142</v>
      </c>
      <c r="Y121" s="351" t="s">
        <v>162</v>
      </c>
      <c r="Z121" s="351" t="s">
        <v>143</v>
      </c>
      <c r="AA121" s="351" t="s">
        <v>144</v>
      </c>
      <c r="AB121" s="351" t="s">
        <v>145</v>
      </c>
      <c r="AC121" s="351" t="s">
        <v>163</v>
      </c>
      <c r="AD121" s="351" t="s">
        <v>164</v>
      </c>
      <c r="AE121" s="352" t="s">
        <v>165</v>
      </c>
      <c r="AF121" s="353" t="s">
        <v>166</v>
      </c>
      <c r="AG121" s="354" t="s">
        <v>146</v>
      </c>
      <c r="AH121" s="763"/>
    </row>
    <row r="122" spans="2:34" ht="16.5" x14ac:dyDescent="0.35">
      <c r="B122" s="355">
        <v>46140</v>
      </c>
      <c r="C122" s="765">
        <v>19082</v>
      </c>
      <c r="D122" s="765">
        <v>19158</v>
      </c>
      <c r="E122" s="765">
        <f>+D122-C122</f>
        <v>76</v>
      </c>
      <c r="F122" s="765">
        <f>+E122*1000</f>
        <v>76000</v>
      </c>
      <c r="G122" s="765">
        <v>0</v>
      </c>
      <c r="H122" s="765">
        <f>+F122-G122</f>
        <v>76000</v>
      </c>
      <c r="I122" s="766"/>
      <c r="J122" s="767" t="e">
        <f>E122*#REF!/2</f>
        <v>#REF!</v>
      </c>
      <c r="K122" s="768"/>
      <c r="L122" s="763"/>
      <c r="M122" s="355">
        <v>46140</v>
      </c>
      <c r="N122" s="765">
        <v>4215</v>
      </c>
      <c r="O122" s="765">
        <v>4253</v>
      </c>
      <c r="P122" s="765">
        <f>+O122-N122</f>
        <v>38</v>
      </c>
      <c r="Q122" s="765">
        <f>+P122*1000</f>
        <v>38000</v>
      </c>
      <c r="R122" s="765">
        <v>0</v>
      </c>
      <c r="S122" s="765">
        <f>+Q122-R122</f>
        <v>38000</v>
      </c>
      <c r="T122" s="766"/>
      <c r="U122" s="767" t="e">
        <f>P122*#REF!/2</f>
        <v>#REF!</v>
      </c>
      <c r="V122" s="768"/>
      <c r="W122" s="763"/>
      <c r="X122" s="355">
        <v>46140</v>
      </c>
      <c r="Y122" s="765">
        <v>7746</v>
      </c>
      <c r="Z122" s="765">
        <v>7762</v>
      </c>
      <c r="AA122" s="765">
        <f>+Z122-Y122</f>
        <v>16</v>
      </c>
      <c r="AB122" s="765">
        <f>+AA122*1000</f>
        <v>16000</v>
      </c>
      <c r="AC122" s="765">
        <v>0</v>
      </c>
      <c r="AD122" s="765">
        <f>+AB122-AC122</f>
        <v>16000</v>
      </c>
      <c r="AE122" s="766"/>
      <c r="AF122" s="767" t="e">
        <f>AA122*#REF!/2</f>
        <v>#REF!</v>
      </c>
      <c r="AG122" s="768"/>
      <c r="AH122" s="763"/>
    </row>
    <row r="123" spans="2:34" ht="16.5" x14ac:dyDescent="0.35">
      <c r="B123" s="355">
        <v>46146</v>
      </c>
      <c r="C123" s="769">
        <v>19158</v>
      </c>
      <c r="D123" s="769">
        <v>19204</v>
      </c>
      <c r="E123" s="769">
        <f>+D123-C123</f>
        <v>46</v>
      </c>
      <c r="F123" s="769">
        <f>+E123*1000</f>
        <v>46000</v>
      </c>
      <c r="G123" s="769">
        <v>0</v>
      </c>
      <c r="H123" s="769">
        <f>+F123-G123</f>
        <v>46000</v>
      </c>
      <c r="I123" s="770"/>
      <c r="J123" s="767" t="e">
        <f>E123*#REF!/2</f>
        <v>#REF!</v>
      </c>
      <c r="K123" s="768"/>
      <c r="L123" s="362"/>
      <c r="M123" s="355">
        <v>46146</v>
      </c>
      <c r="N123" s="769">
        <v>4253</v>
      </c>
      <c r="O123" s="769">
        <v>4315</v>
      </c>
      <c r="P123" s="769">
        <f>+O123-N123</f>
        <v>62</v>
      </c>
      <c r="Q123" s="769">
        <f>+P123*1000</f>
        <v>62000</v>
      </c>
      <c r="R123" s="769">
        <v>0</v>
      </c>
      <c r="S123" s="769">
        <f>+Q123-R123</f>
        <v>62000</v>
      </c>
      <c r="T123" s="770"/>
      <c r="U123" s="767" t="e">
        <f>P123*#REF!/2</f>
        <v>#REF!</v>
      </c>
      <c r="V123" s="768"/>
      <c r="W123" s="362"/>
      <c r="X123" s="355">
        <v>46146</v>
      </c>
      <c r="Y123" s="769">
        <v>7762</v>
      </c>
      <c r="Z123" s="769">
        <v>7772</v>
      </c>
      <c r="AA123" s="769">
        <f>+Z123-Y123</f>
        <v>10</v>
      </c>
      <c r="AB123" s="769">
        <f>+AA123*1000</f>
        <v>10000</v>
      </c>
      <c r="AC123" s="769">
        <v>0</v>
      </c>
      <c r="AD123" s="769">
        <f>+AB123-AC123</f>
        <v>10000</v>
      </c>
      <c r="AE123" s="770"/>
      <c r="AF123" s="767" t="e">
        <f>AA123*#REF!/2</f>
        <v>#REF!</v>
      </c>
      <c r="AG123" s="768"/>
      <c r="AH123" s="362"/>
    </row>
    <row r="124" spans="2:34" ht="16.5" x14ac:dyDescent="0.35">
      <c r="B124" s="355">
        <v>46150</v>
      </c>
      <c r="C124" s="769">
        <v>19204</v>
      </c>
      <c r="D124" s="769">
        <v>19234</v>
      </c>
      <c r="E124" s="769">
        <f>+D124-C124</f>
        <v>30</v>
      </c>
      <c r="F124" s="769">
        <f>+E124*1000</f>
        <v>30000</v>
      </c>
      <c r="G124" s="769">
        <v>0</v>
      </c>
      <c r="H124" s="769">
        <f>+F124-G124</f>
        <v>30000</v>
      </c>
      <c r="I124" s="770"/>
      <c r="J124" s="767" t="e">
        <f>E124*#REF!/2</f>
        <v>#REF!</v>
      </c>
      <c r="K124" s="768"/>
      <c r="L124" s="362"/>
      <c r="M124" s="355">
        <v>46150</v>
      </c>
      <c r="N124" s="769">
        <v>4315</v>
      </c>
      <c r="O124" s="769">
        <v>4334</v>
      </c>
      <c r="P124" s="769">
        <f>+O124-N124</f>
        <v>19</v>
      </c>
      <c r="Q124" s="769">
        <f>+P124*1000</f>
        <v>19000</v>
      </c>
      <c r="R124" s="769">
        <v>0</v>
      </c>
      <c r="S124" s="769">
        <f>+Q124-R124</f>
        <v>19000</v>
      </c>
      <c r="T124" s="770"/>
      <c r="U124" s="767" t="e">
        <f>P124*#REF!/2</f>
        <v>#REF!</v>
      </c>
      <c r="V124" s="768"/>
      <c r="W124" s="362"/>
      <c r="X124" s="355">
        <v>46150</v>
      </c>
      <c r="Y124" s="769">
        <v>7772</v>
      </c>
      <c r="Z124" s="769">
        <v>7778</v>
      </c>
      <c r="AA124" s="769">
        <f>+Z124-Y124</f>
        <v>6</v>
      </c>
      <c r="AB124" s="769">
        <f>+AA124*1000</f>
        <v>6000</v>
      </c>
      <c r="AC124" s="769">
        <v>0</v>
      </c>
      <c r="AD124" s="769">
        <f>+AB124-AC124</f>
        <v>6000</v>
      </c>
      <c r="AE124" s="770"/>
      <c r="AF124" s="767" t="e">
        <f>AA124*#REF!/2</f>
        <v>#REF!</v>
      </c>
      <c r="AG124" s="768"/>
      <c r="AH124" s="362"/>
    </row>
    <row r="125" spans="2:34" ht="16.5" x14ac:dyDescent="0.35">
      <c r="B125" s="355">
        <v>46153</v>
      </c>
      <c r="C125" s="769">
        <v>19234</v>
      </c>
      <c r="D125" s="769">
        <v>19240</v>
      </c>
      <c r="E125" s="769">
        <f>+D125-C125</f>
        <v>6</v>
      </c>
      <c r="F125" s="769">
        <f>+E125*1000</f>
        <v>6000</v>
      </c>
      <c r="G125" s="769">
        <v>0</v>
      </c>
      <c r="H125" s="769">
        <f>+F125-G125</f>
        <v>6000</v>
      </c>
      <c r="I125" s="770"/>
      <c r="J125" s="767" t="e">
        <f>E125*#REF!/2</f>
        <v>#REF!</v>
      </c>
      <c r="K125" s="771"/>
      <c r="L125" s="364"/>
      <c r="M125" s="355">
        <v>46153</v>
      </c>
      <c r="N125" s="769">
        <v>4334</v>
      </c>
      <c r="O125" s="769">
        <v>4359</v>
      </c>
      <c r="P125" s="769">
        <f>+O125-N125</f>
        <v>25</v>
      </c>
      <c r="Q125" s="769">
        <f>+P125*1000</f>
        <v>25000</v>
      </c>
      <c r="R125" s="769">
        <v>0</v>
      </c>
      <c r="S125" s="769">
        <f>+Q125-R125</f>
        <v>25000</v>
      </c>
      <c r="T125" s="770"/>
      <c r="U125" s="767" t="e">
        <f>P125*#REF!/2</f>
        <v>#REF!</v>
      </c>
      <c r="V125" s="771"/>
      <c r="W125" s="364"/>
      <c r="X125" s="355">
        <v>46153</v>
      </c>
      <c r="Y125" s="769">
        <v>7778</v>
      </c>
      <c r="Z125" s="769">
        <v>7778</v>
      </c>
      <c r="AA125" s="769">
        <f>+Z125-Y125</f>
        <v>0</v>
      </c>
      <c r="AB125" s="769">
        <f>+AA125*1000</f>
        <v>0</v>
      </c>
      <c r="AC125" s="769">
        <v>0</v>
      </c>
      <c r="AD125" s="769">
        <f>+AB125-AC125</f>
        <v>0</v>
      </c>
      <c r="AE125" s="770"/>
      <c r="AF125" s="767" t="e">
        <f>AA125*#REF!/2</f>
        <v>#REF!</v>
      </c>
      <c r="AG125" s="771"/>
      <c r="AH125" s="364"/>
    </row>
    <row r="126" spans="2:34" ht="16.5" x14ac:dyDescent="0.35">
      <c r="B126" s="355">
        <v>46157</v>
      </c>
      <c r="C126" s="769">
        <v>19240</v>
      </c>
      <c r="D126" s="769">
        <v>19280</v>
      </c>
      <c r="E126" s="769">
        <f>+D126-C126</f>
        <v>40</v>
      </c>
      <c r="F126" s="769">
        <f>+E126*1000</f>
        <v>40000</v>
      </c>
      <c r="G126" s="769">
        <v>0</v>
      </c>
      <c r="H126" s="769">
        <f>+F126-G126</f>
        <v>40000</v>
      </c>
      <c r="I126" s="770"/>
      <c r="J126" s="767" t="e">
        <f>E126*#REF!/2</f>
        <v>#REF!</v>
      </c>
      <c r="K126" s="771"/>
      <c r="L126" s="364"/>
      <c r="M126" s="355">
        <v>46157</v>
      </c>
      <c r="N126" s="769">
        <v>4359</v>
      </c>
      <c r="O126" s="769">
        <v>4368</v>
      </c>
      <c r="P126" s="769">
        <f>+O126-N126</f>
        <v>9</v>
      </c>
      <c r="Q126" s="769">
        <f>+P126*1000</f>
        <v>9000</v>
      </c>
      <c r="R126" s="769">
        <v>0</v>
      </c>
      <c r="S126" s="769">
        <f>+Q126-R126</f>
        <v>9000</v>
      </c>
      <c r="T126" s="770"/>
      <c r="U126" s="767" t="e">
        <f>P126*#REF!/2</f>
        <v>#REF!</v>
      </c>
      <c r="V126" s="771"/>
      <c r="W126" s="364"/>
      <c r="X126" s="355">
        <v>46157</v>
      </c>
      <c r="Y126" s="769">
        <v>7778</v>
      </c>
      <c r="Z126" s="769">
        <v>7782</v>
      </c>
      <c r="AA126" s="769">
        <f>+Z126-Y126</f>
        <v>4</v>
      </c>
      <c r="AB126" s="769">
        <f>+AA126*1000</f>
        <v>4000</v>
      </c>
      <c r="AC126" s="769">
        <v>0</v>
      </c>
      <c r="AD126" s="769">
        <f>+AB126-AC126</f>
        <v>4000</v>
      </c>
      <c r="AE126" s="770"/>
      <c r="AF126" s="767" t="e">
        <f>AA126*#REF!/2</f>
        <v>#REF!</v>
      </c>
      <c r="AG126" s="771"/>
      <c r="AH126" s="364"/>
    </row>
    <row r="127" spans="2:34" ht="16.5" x14ac:dyDescent="0.35">
      <c r="B127" s="355"/>
      <c r="C127" s="769"/>
      <c r="D127" s="769"/>
      <c r="E127" s="769">
        <f>+D127-C127</f>
        <v>0</v>
      </c>
      <c r="F127" s="769">
        <f>+E127*1000</f>
        <v>0</v>
      </c>
      <c r="G127" s="769">
        <v>0</v>
      </c>
      <c r="H127" s="769">
        <f>+F127-G127</f>
        <v>0</v>
      </c>
      <c r="I127" s="770"/>
      <c r="J127" s="767" t="e">
        <f>E127*#REF!/2</f>
        <v>#REF!</v>
      </c>
      <c r="K127" s="771"/>
      <c r="L127" s="364"/>
      <c r="M127" s="355"/>
      <c r="N127" s="769"/>
      <c r="O127" s="769"/>
      <c r="P127" s="769">
        <f>+O127-N127</f>
        <v>0</v>
      </c>
      <c r="Q127" s="769">
        <f>+P127*1000</f>
        <v>0</v>
      </c>
      <c r="R127" s="769">
        <v>0</v>
      </c>
      <c r="S127" s="769">
        <f>+Q127-R127</f>
        <v>0</v>
      </c>
      <c r="T127" s="770"/>
      <c r="U127" s="767" t="e">
        <f>P127*#REF!/2</f>
        <v>#REF!</v>
      </c>
      <c r="V127" s="771"/>
      <c r="W127" s="364"/>
      <c r="X127" s="355"/>
      <c r="Y127" s="769"/>
      <c r="Z127" s="769"/>
      <c r="AA127" s="769">
        <f>+Z127-Y127</f>
        <v>0</v>
      </c>
      <c r="AB127" s="769">
        <f>+AA127*1000</f>
        <v>0</v>
      </c>
      <c r="AC127" s="769">
        <v>0</v>
      </c>
      <c r="AD127" s="769">
        <f>+AB127-AC127</f>
        <v>0</v>
      </c>
      <c r="AE127" s="770"/>
      <c r="AF127" s="767" t="e">
        <f>AA127*#REF!/2</f>
        <v>#REF!</v>
      </c>
      <c r="AG127" s="771"/>
      <c r="AH127" s="364"/>
    </row>
    <row r="128" spans="2:34" ht="16.5" x14ac:dyDescent="0.35">
      <c r="B128" s="355"/>
      <c r="C128" s="769"/>
      <c r="D128" s="769"/>
      <c r="E128" s="769">
        <f>+D128-C128</f>
        <v>0</v>
      </c>
      <c r="F128" s="769">
        <f>+E128*1000</f>
        <v>0</v>
      </c>
      <c r="G128" s="769">
        <v>0</v>
      </c>
      <c r="H128" s="769">
        <f>+F128-G128</f>
        <v>0</v>
      </c>
      <c r="I128" s="770"/>
      <c r="J128" s="767" t="e">
        <f>E128*#REF!/2</f>
        <v>#REF!</v>
      </c>
      <c r="K128" s="771"/>
      <c r="L128" s="364"/>
      <c r="M128" s="355"/>
      <c r="N128" s="769"/>
      <c r="O128" s="769"/>
      <c r="P128" s="769">
        <f>+O128-N128</f>
        <v>0</v>
      </c>
      <c r="Q128" s="769">
        <f>+P128*1000</f>
        <v>0</v>
      </c>
      <c r="R128" s="769">
        <v>0</v>
      </c>
      <c r="S128" s="769">
        <f>+Q128-R128</f>
        <v>0</v>
      </c>
      <c r="T128" s="770"/>
      <c r="U128" s="767" t="e">
        <f>P128*#REF!/2</f>
        <v>#REF!</v>
      </c>
      <c r="V128" s="771"/>
      <c r="W128" s="364"/>
      <c r="X128" s="355"/>
      <c r="Y128" s="769"/>
      <c r="Z128" s="769"/>
      <c r="AA128" s="769">
        <f>+Z128-Y128</f>
        <v>0</v>
      </c>
      <c r="AB128" s="769">
        <f>+AA128*1000</f>
        <v>0</v>
      </c>
      <c r="AC128" s="769">
        <v>0</v>
      </c>
      <c r="AD128" s="769">
        <f>+AB128-AC128</f>
        <v>0</v>
      </c>
      <c r="AE128" s="770"/>
      <c r="AF128" s="767" t="e">
        <f>AA128*#REF!/2</f>
        <v>#REF!</v>
      </c>
      <c r="AG128" s="771"/>
      <c r="AH128" s="364"/>
    </row>
    <row r="129" spans="2:34" ht="16.5" x14ac:dyDescent="0.35">
      <c r="B129" s="355"/>
      <c r="C129" s="769"/>
      <c r="D129" s="769"/>
      <c r="E129" s="769">
        <f>+D129-C129</f>
        <v>0</v>
      </c>
      <c r="F129" s="769">
        <f>+E129*1000</f>
        <v>0</v>
      </c>
      <c r="G129" s="769">
        <v>0</v>
      </c>
      <c r="H129" s="769">
        <f>+F129-G129</f>
        <v>0</v>
      </c>
      <c r="I129" s="770"/>
      <c r="J129" s="767" t="e">
        <f>E129*#REF!/2</f>
        <v>#REF!</v>
      </c>
      <c r="K129" s="771"/>
      <c r="L129" s="364"/>
      <c r="M129" s="355"/>
      <c r="N129" s="769"/>
      <c r="O129" s="769"/>
      <c r="P129" s="769">
        <f>+O129-N129</f>
        <v>0</v>
      </c>
      <c r="Q129" s="769">
        <f>+P129*1000</f>
        <v>0</v>
      </c>
      <c r="R129" s="769">
        <v>0</v>
      </c>
      <c r="S129" s="769">
        <f>+Q129-R129</f>
        <v>0</v>
      </c>
      <c r="T129" s="770"/>
      <c r="U129" s="767" t="e">
        <f>P129*#REF!/2</f>
        <v>#REF!</v>
      </c>
      <c r="V129" s="771"/>
      <c r="W129" s="364"/>
      <c r="X129" s="355"/>
      <c r="Y129" s="769"/>
      <c r="Z129" s="769"/>
      <c r="AA129" s="769">
        <f>+Z129-Y129</f>
        <v>0</v>
      </c>
      <c r="AB129" s="769">
        <f>+AA129*1000</f>
        <v>0</v>
      </c>
      <c r="AC129" s="769">
        <v>0</v>
      </c>
      <c r="AD129" s="769">
        <f>+AB129-AC129</f>
        <v>0</v>
      </c>
      <c r="AE129" s="770"/>
      <c r="AF129" s="767" t="e">
        <f>AA129*#REF!/2</f>
        <v>#REF!</v>
      </c>
      <c r="AG129" s="771"/>
      <c r="AH129" s="364"/>
    </row>
    <row r="130" spans="2:34" ht="16.5" x14ac:dyDescent="0.35">
      <c r="B130" s="355"/>
      <c r="C130" s="769"/>
      <c r="D130" s="769"/>
      <c r="E130" s="769">
        <f>+D130-C130</f>
        <v>0</v>
      </c>
      <c r="F130" s="769">
        <f>+E130*1000</f>
        <v>0</v>
      </c>
      <c r="G130" s="769">
        <v>0</v>
      </c>
      <c r="H130" s="769">
        <f>+F130-G130</f>
        <v>0</v>
      </c>
      <c r="I130" s="770"/>
      <c r="J130" s="767" t="e">
        <f>E130*#REF!/2</f>
        <v>#REF!</v>
      </c>
      <c r="K130" s="771"/>
      <c r="L130" s="364" t="s">
        <v>179</v>
      </c>
      <c r="M130" s="355"/>
      <c r="N130" s="769"/>
      <c r="O130" s="769"/>
      <c r="P130" s="769">
        <f>+O130-N130</f>
        <v>0</v>
      </c>
      <c r="Q130" s="769">
        <f>+P130*1000</f>
        <v>0</v>
      </c>
      <c r="R130" s="769">
        <v>0</v>
      </c>
      <c r="S130" s="769">
        <f>+Q130-R130</f>
        <v>0</v>
      </c>
      <c r="T130" s="770"/>
      <c r="U130" s="767" t="e">
        <f>P130*#REF!/2</f>
        <v>#REF!</v>
      </c>
      <c r="V130" s="771"/>
      <c r="W130" s="364" t="s">
        <v>179</v>
      </c>
      <c r="X130" s="355"/>
      <c r="Y130" s="769"/>
      <c r="Z130" s="769"/>
      <c r="AA130" s="769">
        <f>+Z130-Y130</f>
        <v>0</v>
      </c>
      <c r="AB130" s="769">
        <f>+AA130*1000</f>
        <v>0</v>
      </c>
      <c r="AC130" s="769">
        <v>0</v>
      </c>
      <c r="AD130" s="769">
        <f>+AB130-AC130</f>
        <v>0</v>
      </c>
      <c r="AE130" s="770"/>
      <c r="AF130" s="767" t="e">
        <f>AA130*#REF!/2</f>
        <v>#REF!</v>
      </c>
      <c r="AG130" s="771"/>
      <c r="AH130" s="364" t="s">
        <v>179</v>
      </c>
    </row>
    <row r="131" spans="2:34" ht="16.5" x14ac:dyDescent="0.35">
      <c r="B131" s="355"/>
      <c r="C131" s="769"/>
      <c r="D131" s="769"/>
      <c r="E131" s="769">
        <f>+D131-C131</f>
        <v>0</v>
      </c>
      <c r="F131" s="769">
        <f>+E131*1000</f>
        <v>0</v>
      </c>
      <c r="G131" s="769">
        <v>0</v>
      </c>
      <c r="H131" s="769">
        <f>+F131-G131</f>
        <v>0</v>
      </c>
      <c r="I131" s="770"/>
      <c r="J131" s="767" t="e">
        <f>E131*#REF!/2</f>
        <v>#REF!</v>
      </c>
      <c r="K131" s="771"/>
      <c r="L131" s="364"/>
      <c r="M131" s="355"/>
      <c r="N131" s="769"/>
      <c r="O131" s="769"/>
      <c r="P131" s="769">
        <f>+O131-N131</f>
        <v>0</v>
      </c>
      <c r="Q131" s="769">
        <f>+P131*1000</f>
        <v>0</v>
      </c>
      <c r="R131" s="769">
        <v>0</v>
      </c>
      <c r="S131" s="769">
        <f>+Q131-R131</f>
        <v>0</v>
      </c>
      <c r="T131" s="770"/>
      <c r="U131" s="767" t="e">
        <f>P131*#REF!/2</f>
        <v>#REF!</v>
      </c>
      <c r="V131" s="771"/>
      <c r="W131" s="364"/>
      <c r="X131" s="355"/>
      <c r="Y131" s="769"/>
      <c r="Z131" s="769"/>
      <c r="AA131" s="769">
        <f>+Z131-Y131</f>
        <v>0</v>
      </c>
      <c r="AB131" s="769">
        <f>+AA131*1000</f>
        <v>0</v>
      </c>
      <c r="AC131" s="769">
        <v>0</v>
      </c>
      <c r="AD131" s="769">
        <f>+AB131-AC131</f>
        <v>0</v>
      </c>
      <c r="AE131" s="770"/>
      <c r="AF131" s="767" t="e">
        <f>AA131*#REF!/2</f>
        <v>#REF!</v>
      </c>
      <c r="AG131" s="771"/>
      <c r="AH131" s="364"/>
    </row>
    <row r="132" spans="2:34" ht="16.5" x14ac:dyDescent="0.35">
      <c r="B132" s="355"/>
      <c r="C132" s="769"/>
      <c r="D132" s="769"/>
      <c r="E132" s="769">
        <f>+D132-C132</f>
        <v>0</v>
      </c>
      <c r="F132" s="769">
        <f>+E132*1000</f>
        <v>0</v>
      </c>
      <c r="G132" s="769">
        <v>0</v>
      </c>
      <c r="H132" s="769">
        <f>+F132-G132</f>
        <v>0</v>
      </c>
      <c r="I132" s="770"/>
      <c r="J132" s="767" t="e">
        <f>E132*#REF!/2</f>
        <v>#REF!</v>
      </c>
      <c r="K132" s="771"/>
      <c r="L132" s="364"/>
      <c r="M132" s="355"/>
      <c r="N132" s="769"/>
      <c r="O132" s="769"/>
      <c r="P132" s="769">
        <f>+O132-N132</f>
        <v>0</v>
      </c>
      <c r="Q132" s="769">
        <f>+P132*1000</f>
        <v>0</v>
      </c>
      <c r="R132" s="769">
        <v>0</v>
      </c>
      <c r="S132" s="769">
        <f>+Q132-R132</f>
        <v>0</v>
      </c>
      <c r="T132" s="770"/>
      <c r="U132" s="767" t="e">
        <f>P132*#REF!/2</f>
        <v>#REF!</v>
      </c>
      <c r="V132" s="771"/>
      <c r="W132" s="365"/>
      <c r="X132" s="355"/>
      <c r="Y132" s="769"/>
      <c r="Z132" s="769"/>
      <c r="AA132" s="769">
        <f>+Z132-Y132</f>
        <v>0</v>
      </c>
      <c r="AB132" s="769">
        <f>+AA132*1000</f>
        <v>0</v>
      </c>
      <c r="AC132" s="769">
        <v>0</v>
      </c>
      <c r="AD132" s="769">
        <f>+AB132-AC132</f>
        <v>0</v>
      </c>
      <c r="AE132" s="770"/>
      <c r="AF132" s="767" t="e">
        <f>AA132*#REF!/2</f>
        <v>#REF!</v>
      </c>
      <c r="AG132" s="771"/>
      <c r="AH132" s="365"/>
    </row>
    <row r="133" spans="2:34" ht="16.5" x14ac:dyDescent="0.35">
      <c r="B133" s="355"/>
      <c r="C133" s="769"/>
      <c r="D133" s="769"/>
      <c r="E133" s="769">
        <f>+D133-C133</f>
        <v>0</v>
      </c>
      <c r="F133" s="769">
        <f>+E133*1000</f>
        <v>0</v>
      </c>
      <c r="G133" s="769">
        <v>0</v>
      </c>
      <c r="H133" s="769">
        <f>+F133-G133</f>
        <v>0</v>
      </c>
      <c r="I133" s="770"/>
      <c r="J133" s="767" t="e">
        <f>E133*#REF!/2</f>
        <v>#REF!</v>
      </c>
      <c r="K133" s="771"/>
      <c r="L133" s="365"/>
      <c r="M133" s="355"/>
      <c r="N133" s="769"/>
      <c r="O133" s="769"/>
      <c r="P133" s="769">
        <f>+O133-N133</f>
        <v>0</v>
      </c>
      <c r="Q133" s="769">
        <f>+P133*1000</f>
        <v>0</v>
      </c>
      <c r="R133" s="769">
        <v>0</v>
      </c>
      <c r="S133" s="769">
        <f>+Q133-R133</f>
        <v>0</v>
      </c>
      <c r="T133" s="770"/>
      <c r="U133" s="767" t="e">
        <f>P133*#REF!/2</f>
        <v>#REF!</v>
      </c>
      <c r="V133" s="771"/>
      <c r="W133" s="365"/>
      <c r="X133" s="355"/>
      <c r="Y133" s="769"/>
      <c r="Z133" s="769"/>
      <c r="AA133" s="769">
        <f>+Z133-Y133</f>
        <v>0</v>
      </c>
      <c r="AB133" s="769">
        <f>+AA133*1000</f>
        <v>0</v>
      </c>
      <c r="AC133" s="769">
        <v>0</v>
      </c>
      <c r="AD133" s="769">
        <f>+AB133-AC133</f>
        <v>0</v>
      </c>
      <c r="AE133" s="770"/>
      <c r="AF133" s="767" t="e">
        <f>AA133*#REF!/2</f>
        <v>#REF!</v>
      </c>
      <c r="AG133" s="771"/>
      <c r="AH133" s="365"/>
    </row>
    <row r="134" spans="2:34" ht="17.25" thickBot="1" x14ac:dyDescent="0.4">
      <c r="B134" s="366"/>
      <c r="C134" s="772"/>
      <c r="D134" s="773"/>
      <c r="E134" s="773">
        <f>+D134-C134</f>
        <v>0</v>
      </c>
      <c r="F134" s="773">
        <f>+E134*1000</f>
        <v>0</v>
      </c>
      <c r="G134" s="773">
        <v>0</v>
      </c>
      <c r="H134" s="773">
        <f>+F134-G134</f>
        <v>0</v>
      </c>
      <c r="I134" s="774"/>
      <c r="J134" s="775" t="e">
        <f>E134*#REF!/2</f>
        <v>#REF!</v>
      </c>
      <c r="K134" s="776"/>
      <c r="L134" s="364" t="s">
        <v>180</v>
      </c>
      <c r="M134" s="372"/>
      <c r="N134" s="777"/>
      <c r="O134" s="777"/>
      <c r="P134" s="777">
        <f>+O134-N134</f>
        <v>0</v>
      </c>
      <c r="Q134" s="777">
        <f>+P134*1000</f>
        <v>0</v>
      </c>
      <c r="R134" s="777">
        <v>0</v>
      </c>
      <c r="S134" s="777">
        <f>+Q134-R134</f>
        <v>0</v>
      </c>
      <c r="T134" s="778"/>
      <c r="U134" s="779" t="e">
        <f>P134*#REF!/2</f>
        <v>#REF!</v>
      </c>
      <c r="V134" s="776"/>
      <c r="W134" s="364" t="s">
        <v>180</v>
      </c>
      <c r="X134" s="372"/>
      <c r="Y134" s="777"/>
      <c r="Z134" s="777"/>
      <c r="AA134" s="777">
        <f>+Z134-Y134</f>
        <v>0</v>
      </c>
      <c r="AB134" s="777">
        <f>+AA134*1000</f>
        <v>0</v>
      </c>
      <c r="AC134" s="777">
        <v>0</v>
      </c>
      <c r="AD134" s="777">
        <f>+AB134-AC134</f>
        <v>0</v>
      </c>
      <c r="AE134" s="778"/>
      <c r="AF134" s="779" t="e">
        <f>AA134*#REF!/2</f>
        <v>#REF!</v>
      </c>
      <c r="AG134" s="776"/>
      <c r="AH134" s="364" t="s">
        <v>180</v>
      </c>
    </row>
    <row r="135" spans="2:34" ht="17.25" thickBot="1" x14ac:dyDescent="0.4">
      <c r="B135" s="780"/>
      <c r="C135" s="773"/>
      <c r="D135" s="773"/>
      <c r="E135" s="773">
        <f>SUM(E122:E134)</f>
        <v>198</v>
      </c>
      <c r="F135" s="773">
        <f>SUM(F122:F134)</f>
        <v>198000</v>
      </c>
      <c r="G135" s="773">
        <f>SUM(G122:G134)</f>
        <v>0</v>
      </c>
      <c r="H135" s="773">
        <f>SUM(H122:H134)</f>
        <v>198000</v>
      </c>
      <c r="I135" s="773">
        <f>SUM(I122:I134)</f>
        <v>0</v>
      </c>
      <c r="J135" s="773" t="e">
        <f>SUM(J122:J134)</f>
        <v>#REF!</v>
      </c>
      <c r="K135" s="781" t="e">
        <f>+H135*0.6-G135-J135</f>
        <v>#REF!</v>
      </c>
      <c r="L135" s="782" t="e">
        <f>+K135/H135</f>
        <v>#REF!</v>
      </c>
      <c r="M135" s="780"/>
      <c r="N135" s="773"/>
      <c r="O135" s="773"/>
      <c r="P135" s="773">
        <f>SUM(P122:P134)</f>
        <v>153</v>
      </c>
      <c r="Q135" s="773">
        <f>SUM(Q122:Q134)</f>
        <v>153000</v>
      </c>
      <c r="R135" s="773">
        <f>SUM(R122:R134)</f>
        <v>0</v>
      </c>
      <c r="S135" s="773">
        <f>SUM(S122:S134)</f>
        <v>153000</v>
      </c>
      <c r="T135" s="773">
        <f>SUM(T122:T134)</f>
        <v>0</v>
      </c>
      <c r="U135" s="773" t="e">
        <f>SUM(U122:U134)</f>
        <v>#REF!</v>
      </c>
      <c r="V135" s="781" t="e">
        <f>+S135*0.6-R135-U135</f>
        <v>#REF!</v>
      </c>
      <c r="W135" s="782" t="e">
        <f>+V135/S135</f>
        <v>#REF!</v>
      </c>
      <c r="X135" s="780"/>
      <c r="Y135" s="773"/>
      <c r="Z135" s="773"/>
      <c r="AA135" s="773">
        <f>SUM(AA122:AA134)</f>
        <v>36</v>
      </c>
      <c r="AB135" s="773">
        <f>SUM(AB122:AB134)</f>
        <v>36000</v>
      </c>
      <c r="AC135" s="773">
        <f>SUM(AC122:AC134)</f>
        <v>0</v>
      </c>
      <c r="AD135" s="773">
        <f>SUM(AD122:AD134)</f>
        <v>36000</v>
      </c>
      <c r="AE135" s="773">
        <f>SUM(AE122:AE134)</f>
        <v>0</v>
      </c>
      <c r="AF135" s="773" t="e">
        <f>SUM(AF122:AF134)</f>
        <v>#REF!</v>
      </c>
      <c r="AG135" s="781" t="e">
        <f>+AD135*0.6-AC135-AF135</f>
        <v>#REF!</v>
      </c>
      <c r="AH135" s="782" t="e">
        <f>+AG135/AD135</f>
        <v>#REF!</v>
      </c>
    </row>
    <row r="137" spans="2:34" ht="17.25" thickBot="1" x14ac:dyDescent="0.4">
      <c r="B137" s="762" t="s">
        <v>175</v>
      </c>
      <c r="C137" s="763" t="s">
        <v>176</v>
      </c>
      <c r="D137" s="763"/>
      <c r="E137" s="763"/>
      <c r="F137" s="763"/>
      <c r="G137" s="763"/>
      <c r="H137" s="763"/>
      <c r="I137" s="763"/>
      <c r="J137" s="348">
        <v>473.2</v>
      </c>
      <c r="K137" s="763"/>
      <c r="L137" s="763"/>
      <c r="M137" s="764" t="s">
        <v>177</v>
      </c>
      <c r="N137" s="763"/>
      <c r="O137" s="763"/>
      <c r="P137" s="763"/>
      <c r="Q137" s="763"/>
      <c r="R137" s="763"/>
      <c r="S137" s="763"/>
      <c r="T137" s="763"/>
      <c r="U137" s="348">
        <v>473.2</v>
      </c>
      <c r="V137" s="763"/>
      <c r="W137" s="763"/>
      <c r="X137" s="764" t="s">
        <v>178</v>
      </c>
      <c r="Y137" s="763"/>
      <c r="Z137" s="763"/>
      <c r="AA137" s="763"/>
      <c r="AB137" s="763"/>
      <c r="AC137" s="763"/>
      <c r="AD137" s="763"/>
      <c r="AE137" s="763"/>
      <c r="AF137" s="348">
        <v>473.2</v>
      </c>
      <c r="AG137" s="763"/>
      <c r="AH137" s="763"/>
    </row>
    <row r="138" spans="2:34" ht="17.25" thickBot="1" x14ac:dyDescent="0.4">
      <c r="B138" s="350" t="s">
        <v>142</v>
      </c>
      <c r="C138" s="351" t="s">
        <v>162</v>
      </c>
      <c r="D138" s="351" t="s">
        <v>143</v>
      </c>
      <c r="E138" s="351" t="s">
        <v>144</v>
      </c>
      <c r="F138" s="351" t="s">
        <v>145</v>
      </c>
      <c r="G138" s="351" t="s">
        <v>163</v>
      </c>
      <c r="H138" s="351" t="s">
        <v>164</v>
      </c>
      <c r="I138" s="352" t="s">
        <v>165</v>
      </c>
      <c r="J138" s="353" t="s">
        <v>166</v>
      </c>
      <c r="K138" s="354" t="s">
        <v>146</v>
      </c>
      <c r="L138" s="763"/>
      <c r="M138" s="350" t="s">
        <v>142</v>
      </c>
      <c r="N138" s="351" t="s">
        <v>162</v>
      </c>
      <c r="O138" s="351" t="s">
        <v>143</v>
      </c>
      <c r="P138" s="351" t="s">
        <v>144</v>
      </c>
      <c r="Q138" s="351" t="s">
        <v>145</v>
      </c>
      <c r="R138" s="351" t="s">
        <v>163</v>
      </c>
      <c r="S138" s="351" t="s">
        <v>164</v>
      </c>
      <c r="T138" s="352" t="s">
        <v>165</v>
      </c>
      <c r="U138" s="353" t="s">
        <v>166</v>
      </c>
      <c r="V138" s="354" t="s">
        <v>146</v>
      </c>
      <c r="W138" s="763"/>
      <c r="X138" s="350" t="s">
        <v>142</v>
      </c>
      <c r="Y138" s="351" t="s">
        <v>162</v>
      </c>
      <c r="Z138" s="351" t="s">
        <v>143</v>
      </c>
      <c r="AA138" s="351" t="s">
        <v>144</v>
      </c>
      <c r="AB138" s="351" t="s">
        <v>145</v>
      </c>
      <c r="AC138" s="351" t="s">
        <v>163</v>
      </c>
      <c r="AD138" s="351" t="s">
        <v>164</v>
      </c>
      <c r="AE138" s="352" t="s">
        <v>165</v>
      </c>
      <c r="AF138" s="353" t="s">
        <v>166</v>
      </c>
      <c r="AG138" s="354" t="s">
        <v>146</v>
      </c>
      <c r="AH138" s="763"/>
    </row>
    <row r="139" spans="2:34" ht="16.5" x14ac:dyDescent="0.35">
      <c r="B139" s="355">
        <v>46165</v>
      </c>
      <c r="C139" s="765">
        <v>19280</v>
      </c>
      <c r="D139" s="765">
        <v>19314</v>
      </c>
      <c r="E139" s="765">
        <f>+D139-C139</f>
        <v>34</v>
      </c>
      <c r="F139" s="765">
        <f>+E139*1000</f>
        <v>34000</v>
      </c>
      <c r="G139" s="765">
        <v>0</v>
      </c>
      <c r="H139" s="765">
        <f>+F139-G139</f>
        <v>34000</v>
      </c>
      <c r="I139" s="766"/>
      <c r="J139" s="767" t="e">
        <f>E139*#REF!/2</f>
        <v>#REF!</v>
      </c>
      <c r="K139" s="768"/>
      <c r="L139" s="763"/>
      <c r="M139" s="355">
        <v>46165</v>
      </c>
      <c r="N139" s="765">
        <v>4368</v>
      </c>
      <c r="O139" s="765">
        <v>4401</v>
      </c>
      <c r="P139" s="765">
        <f>+O139-N139</f>
        <v>33</v>
      </c>
      <c r="Q139" s="765">
        <f>+P139*1000</f>
        <v>33000</v>
      </c>
      <c r="R139" s="765">
        <v>0</v>
      </c>
      <c r="S139" s="765">
        <f>+Q139-R139</f>
        <v>33000</v>
      </c>
      <c r="T139" s="766"/>
      <c r="U139" s="767" t="e">
        <f>P139*#REF!/2</f>
        <v>#REF!</v>
      </c>
      <c r="V139" s="768"/>
      <c r="W139" s="763"/>
      <c r="X139" s="355">
        <v>46165</v>
      </c>
      <c r="Y139" s="765">
        <v>7782</v>
      </c>
      <c r="Z139" s="765">
        <v>7802</v>
      </c>
      <c r="AA139" s="765">
        <f>+Z139-Y139</f>
        <v>20</v>
      </c>
      <c r="AB139" s="765">
        <f>+AA139*1000</f>
        <v>20000</v>
      </c>
      <c r="AC139" s="765">
        <v>0</v>
      </c>
      <c r="AD139" s="765">
        <f>+AB139-AC139</f>
        <v>20000</v>
      </c>
      <c r="AE139" s="766"/>
      <c r="AF139" s="767" t="e">
        <f>AA139*#REF!/2</f>
        <v>#REF!</v>
      </c>
      <c r="AG139" s="768"/>
      <c r="AH139" s="763"/>
    </row>
    <row r="140" spans="2:34" ht="16.5" x14ac:dyDescent="0.35">
      <c r="B140" s="355">
        <v>46167</v>
      </c>
      <c r="C140" s="769">
        <v>19314</v>
      </c>
      <c r="D140" s="769">
        <v>19332</v>
      </c>
      <c r="E140" s="769">
        <f>+D140-C140</f>
        <v>18</v>
      </c>
      <c r="F140" s="769">
        <f>+E140*1000</f>
        <v>18000</v>
      </c>
      <c r="G140" s="769">
        <v>0</v>
      </c>
      <c r="H140" s="769">
        <f>+F140-G140</f>
        <v>18000</v>
      </c>
      <c r="I140" s="770"/>
      <c r="J140" s="767" t="e">
        <f>E140*#REF!/2</f>
        <v>#REF!</v>
      </c>
      <c r="K140" s="768"/>
      <c r="L140" s="362"/>
      <c r="M140" s="355">
        <v>46167</v>
      </c>
      <c r="N140" s="769">
        <v>4401</v>
      </c>
      <c r="O140" s="769">
        <v>4413</v>
      </c>
      <c r="P140" s="769">
        <f>+O140-N140</f>
        <v>12</v>
      </c>
      <c r="Q140" s="769">
        <f>+P140*1000</f>
        <v>12000</v>
      </c>
      <c r="R140" s="769">
        <v>0</v>
      </c>
      <c r="S140" s="769">
        <f>+Q140-R140</f>
        <v>12000</v>
      </c>
      <c r="T140" s="770"/>
      <c r="U140" s="767" t="e">
        <f>P140*#REF!/2</f>
        <v>#REF!</v>
      </c>
      <c r="V140" s="768"/>
      <c r="W140" s="362"/>
      <c r="X140" s="355">
        <v>46167</v>
      </c>
      <c r="Y140" s="769">
        <v>7802</v>
      </c>
      <c r="Z140" s="769">
        <v>7810</v>
      </c>
      <c r="AA140" s="769">
        <f>+Z140-Y140</f>
        <v>8</v>
      </c>
      <c r="AB140" s="769">
        <f>+AA140*1000</f>
        <v>8000</v>
      </c>
      <c r="AC140" s="769">
        <v>0</v>
      </c>
      <c r="AD140" s="769">
        <f>+AB140-AC140</f>
        <v>8000</v>
      </c>
      <c r="AE140" s="770"/>
      <c r="AF140" s="767" t="e">
        <f>AA140*#REF!/2</f>
        <v>#REF!</v>
      </c>
      <c r="AG140" s="768"/>
      <c r="AH140" s="362"/>
    </row>
    <row r="141" spans="2:34" ht="16.5" x14ac:dyDescent="0.35">
      <c r="B141" s="355"/>
      <c r="C141" s="769"/>
      <c r="D141" s="769"/>
      <c r="E141" s="769">
        <f>+D141-C141</f>
        <v>0</v>
      </c>
      <c r="F141" s="769">
        <f>+E141*1000</f>
        <v>0</v>
      </c>
      <c r="G141" s="769">
        <v>0</v>
      </c>
      <c r="H141" s="769">
        <f>+F141-G141</f>
        <v>0</v>
      </c>
      <c r="I141" s="770"/>
      <c r="J141" s="767" t="e">
        <f>E141*#REF!/2</f>
        <v>#REF!</v>
      </c>
      <c r="K141" s="768"/>
      <c r="L141" s="362"/>
      <c r="M141" s="355"/>
      <c r="N141" s="769"/>
      <c r="O141" s="769"/>
      <c r="P141" s="769">
        <f>+O141-N141</f>
        <v>0</v>
      </c>
      <c r="Q141" s="769">
        <f>+P141*1000</f>
        <v>0</v>
      </c>
      <c r="R141" s="769">
        <v>0</v>
      </c>
      <c r="S141" s="769">
        <f>+Q141-R141</f>
        <v>0</v>
      </c>
      <c r="T141" s="770"/>
      <c r="U141" s="767" t="e">
        <f>P141*#REF!/2</f>
        <v>#REF!</v>
      </c>
      <c r="V141" s="768"/>
      <c r="W141" s="362"/>
      <c r="X141" s="355"/>
      <c r="Y141" s="769"/>
      <c r="Z141" s="769"/>
      <c r="AA141" s="769">
        <f>+Z141-Y141</f>
        <v>0</v>
      </c>
      <c r="AB141" s="769">
        <f>+AA141*1000</f>
        <v>0</v>
      </c>
      <c r="AC141" s="769">
        <v>0</v>
      </c>
      <c r="AD141" s="769">
        <f>+AB141-AC141</f>
        <v>0</v>
      </c>
      <c r="AE141" s="770"/>
      <c r="AF141" s="767" t="e">
        <f>AA141*#REF!/2</f>
        <v>#REF!</v>
      </c>
      <c r="AG141" s="768"/>
      <c r="AH141" s="362"/>
    </row>
    <row r="142" spans="2:34" ht="16.5" x14ac:dyDescent="0.35">
      <c r="B142" s="355"/>
      <c r="C142" s="769"/>
      <c r="D142" s="769"/>
      <c r="E142" s="769">
        <f>+D142-C142</f>
        <v>0</v>
      </c>
      <c r="F142" s="769">
        <f>+E142*1000</f>
        <v>0</v>
      </c>
      <c r="G142" s="769">
        <v>0</v>
      </c>
      <c r="H142" s="769">
        <f>+F142-G142</f>
        <v>0</v>
      </c>
      <c r="I142" s="770"/>
      <c r="J142" s="767" t="e">
        <f>E142*#REF!/2</f>
        <v>#REF!</v>
      </c>
      <c r="K142" s="771"/>
      <c r="L142" s="364"/>
      <c r="M142" s="355"/>
      <c r="N142" s="769"/>
      <c r="O142" s="769"/>
      <c r="P142" s="769">
        <f>+O142-N142</f>
        <v>0</v>
      </c>
      <c r="Q142" s="769">
        <f>+P142*1000</f>
        <v>0</v>
      </c>
      <c r="R142" s="769">
        <v>0</v>
      </c>
      <c r="S142" s="769">
        <f>+Q142-R142</f>
        <v>0</v>
      </c>
      <c r="T142" s="770"/>
      <c r="U142" s="767" t="e">
        <f>P142*#REF!/2</f>
        <v>#REF!</v>
      </c>
      <c r="V142" s="771"/>
      <c r="W142" s="364"/>
      <c r="X142" s="355"/>
      <c r="Y142" s="769"/>
      <c r="Z142" s="769"/>
      <c r="AA142" s="769">
        <f>+Z142-Y142</f>
        <v>0</v>
      </c>
      <c r="AB142" s="769">
        <f>+AA142*1000</f>
        <v>0</v>
      </c>
      <c r="AC142" s="769">
        <v>0</v>
      </c>
      <c r="AD142" s="769">
        <f>+AB142-AC142</f>
        <v>0</v>
      </c>
      <c r="AE142" s="770"/>
      <c r="AF142" s="767" t="e">
        <f>AA142*#REF!/2</f>
        <v>#REF!</v>
      </c>
      <c r="AG142" s="771"/>
      <c r="AH142" s="364"/>
    </row>
    <row r="143" spans="2:34" ht="16.5" x14ac:dyDescent="0.35">
      <c r="B143" s="355"/>
      <c r="C143" s="769"/>
      <c r="D143" s="769"/>
      <c r="E143" s="769">
        <f>+D143-C143</f>
        <v>0</v>
      </c>
      <c r="F143" s="769">
        <f>+E143*1000</f>
        <v>0</v>
      </c>
      <c r="G143" s="769">
        <v>0</v>
      </c>
      <c r="H143" s="769">
        <f>+F143-G143</f>
        <v>0</v>
      </c>
      <c r="I143" s="770"/>
      <c r="J143" s="767" t="e">
        <f>E143*#REF!/2</f>
        <v>#REF!</v>
      </c>
      <c r="K143" s="771"/>
      <c r="L143" s="364"/>
      <c r="M143" s="355"/>
      <c r="N143" s="769"/>
      <c r="O143" s="769"/>
      <c r="P143" s="769">
        <f>+O143-N143</f>
        <v>0</v>
      </c>
      <c r="Q143" s="769">
        <f>+P143*1000</f>
        <v>0</v>
      </c>
      <c r="R143" s="769">
        <v>0</v>
      </c>
      <c r="S143" s="769">
        <f>+Q143-R143</f>
        <v>0</v>
      </c>
      <c r="T143" s="770"/>
      <c r="U143" s="767" t="e">
        <f>P143*#REF!/2</f>
        <v>#REF!</v>
      </c>
      <c r="V143" s="771"/>
      <c r="W143" s="364"/>
      <c r="X143" s="355"/>
      <c r="Y143" s="769"/>
      <c r="Z143" s="769"/>
      <c r="AA143" s="769">
        <f>+Z143-Y143</f>
        <v>0</v>
      </c>
      <c r="AB143" s="769">
        <f>+AA143*1000</f>
        <v>0</v>
      </c>
      <c r="AC143" s="769">
        <v>0</v>
      </c>
      <c r="AD143" s="769">
        <f>+AB143-AC143</f>
        <v>0</v>
      </c>
      <c r="AE143" s="770"/>
      <c r="AF143" s="767" t="e">
        <f>AA143*#REF!/2</f>
        <v>#REF!</v>
      </c>
      <c r="AG143" s="771"/>
      <c r="AH143" s="364"/>
    </row>
    <row r="144" spans="2:34" ht="16.5" x14ac:dyDescent="0.35">
      <c r="B144" s="355"/>
      <c r="C144" s="769"/>
      <c r="D144" s="769"/>
      <c r="E144" s="769">
        <f>+D144-C144</f>
        <v>0</v>
      </c>
      <c r="F144" s="769">
        <f>+E144*1000</f>
        <v>0</v>
      </c>
      <c r="G144" s="769">
        <v>0</v>
      </c>
      <c r="H144" s="769">
        <f>+F144-G144</f>
        <v>0</v>
      </c>
      <c r="I144" s="770"/>
      <c r="J144" s="767" t="e">
        <f>E144*#REF!/2</f>
        <v>#REF!</v>
      </c>
      <c r="K144" s="771"/>
      <c r="L144" s="364"/>
      <c r="M144" s="355"/>
      <c r="N144" s="769"/>
      <c r="O144" s="769"/>
      <c r="P144" s="769">
        <f>+O144-N144</f>
        <v>0</v>
      </c>
      <c r="Q144" s="769">
        <f>+P144*1000</f>
        <v>0</v>
      </c>
      <c r="R144" s="769">
        <v>0</v>
      </c>
      <c r="S144" s="769">
        <f>+Q144-R144</f>
        <v>0</v>
      </c>
      <c r="T144" s="770"/>
      <c r="U144" s="767" t="e">
        <f>P144*#REF!/2</f>
        <v>#REF!</v>
      </c>
      <c r="V144" s="771"/>
      <c r="W144" s="364"/>
      <c r="X144" s="355"/>
      <c r="Y144" s="769"/>
      <c r="Z144" s="769"/>
      <c r="AA144" s="769">
        <f>+Z144-Y144</f>
        <v>0</v>
      </c>
      <c r="AB144" s="769">
        <f>+AA144*1000</f>
        <v>0</v>
      </c>
      <c r="AC144" s="769">
        <v>0</v>
      </c>
      <c r="AD144" s="769">
        <f>+AB144-AC144</f>
        <v>0</v>
      </c>
      <c r="AE144" s="770"/>
      <c r="AF144" s="767" t="e">
        <f>AA144*#REF!/2</f>
        <v>#REF!</v>
      </c>
      <c r="AG144" s="771"/>
      <c r="AH144" s="364"/>
    </row>
    <row r="145" spans="2:34" ht="16.5" x14ac:dyDescent="0.35">
      <c r="B145" s="355"/>
      <c r="C145" s="769"/>
      <c r="D145" s="769"/>
      <c r="E145" s="769">
        <f>+D145-C145</f>
        <v>0</v>
      </c>
      <c r="F145" s="769">
        <f>+E145*1000</f>
        <v>0</v>
      </c>
      <c r="G145" s="769">
        <v>0</v>
      </c>
      <c r="H145" s="769">
        <f>+F145-G145</f>
        <v>0</v>
      </c>
      <c r="I145" s="770"/>
      <c r="J145" s="767" t="e">
        <f>E145*#REF!/2</f>
        <v>#REF!</v>
      </c>
      <c r="K145" s="771"/>
      <c r="L145" s="364"/>
      <c r="M145" s="355"/>
      <c r="N145" s="769"/>
      <c r="O145" s="769"/>
      <c r="P145" s="769">
        <f>+O145-N145</f>
        <v>0</v>
      </c>
      <c r="Q145" s="769">
        <f>+P145*1000</f>
        <v>0</v>
      </c>
      <c r="R145" s="769">
        <v>0</v>
      </c>
      <c r="S145" s="769">
        <f>+Q145-R145</f>
        <v>0</v>
      </c>
      <c r="T145" s="770"/>
      <c r="U145" s="767" t="e">
        <f>P145*#REF!/2</f>
        <v>#REF!</v>
      </c>
      <c r="V145" s="771"/>
      <c r="W145" s="364"/>
      <c r="X145" s="355"/>
      <c r="Y145" s="769"/>
      <c r="Z145" s="769"/>
      <c r="AA145" s="769">
        <f>+Z145-Y145</f>
        <v>0</v>
      </c>
      <c r="AB145" s="769">
        <f>+AA145*1000</f>
        <v>0</v>
      </c>
      <c r="AC145" s="769">
        <v>0</v>
      </c>
      <c r="AD145" s="769">
        <f>+AB145-AC145</f>
        <v>0</v>
      </c>
      <c r="AE145" s="770"/>
      <c r="AF145" s="767" t="e">
        <f>AA145*#REF!/2</f>
        <v>#REF!</v>
      </c>
      <c r="AG145" s="771"/>
      <c r="AH145" s="364"/>
    </row>
    <row r="146" spans="2:34" ht="16.5" x14ac:dyDescent="0.35">
      <c r="B146" s="355"/>
      <c r="C146" s="769"/>
      <c r="D146" s="769"/>
      <c r="E146" s="769">
        <f>+D146-C146</f>
        <v>0</v>
      </c>
      <c r="F146" s="769">
        <f>+E146*1000</f>
        <v>0</v>
      </c>
      <c r="G146" s="769">
        <v>0</v>
      </c>
      <c r="H146" s="769">
        <f>+F146-G146</f>
        <v>0</v>
      </c>
      <c r="I146" s="770"/>
      <c r="J146" s="767" t="e">
        <f>E146*#REF!/2</f>
        <v>#REF!</v>
      </c>
      <c r="K146" s="771"/>
      <c r="L146" s="364"/>
      <c r="M146" s="355"/>
      <c r="N146" s="769"/>
      <c r="O146" s="769"/>
      <c r="P146" s="769">
        <f>+O146-N146</f>
        <v>0</v>
      </c>
      <c r="Q146" s="769">
        <f>+P146*1000</f>
        <v>0</v>
      </c>
      <c r="R146" s="769">
        <v>0</v>
      </c>
      <c r="S146" s="769">
        <f>+Q146-R146</f>
        <v>0</v>
      </c>
      <c r="T146" s="770"/>
      <c r="U146" s="767" t="e">
        <f>P146*#REF!/2</f>
        <v>#REF!</v>
      </c>
      <c r="V146" s="771"/>
      <c r="W146" s="364"/>
      <c r="X146" s="355"/>
      <c r="Y146" s="769"/>
      <c r="Z146" s="769"/>
      <c r="AA146" s="769">
        <f>+Z146-Y146</f>
        <v>0</v>
      </c>
      <c r="AB146" s="769">
        <f>+AA146*1000</f>
        <v>0</v>
      </c>
      <c r="AC146" s="769">
        <v>0</v>
      </c>
      <c r="AD146" s="769">
        <f>+AB146-AC146</f>
        <v>0</v>
      </c>
      <c r="AE146" s="770"/>
      <c r="AF146" s="767" t="e">
        <f>AA146*#REF!/2</f>
        <v>#REF!</v>
      </c>
      <c r="AG146" s="771"/>
      <c r="AH146" s="364"/>
    </row>
    <row r="147" spans="2:34" ht="16.5" x14ac:dyDescent="0.35">
      <c r="B147" s="355"/>
      <c r="C147" s="769"/>
      <c r="D147" s="769"/>
      <c r="E147" s="769">
        <f>+D147-C147</f>
        <v>0</v>
      </c>
      <c r="F147" s="769">
        <f>+E147*1000</f>
        <v>0</v>
      </c>
      <c r="G147" s="769">
        <v>0</v>
      </c>
      <c r="H147" s="769">
        <f>+F147-G147</f>
        <v>0</v>
      </c>
      <c r="I147" s="770"/>
      <c r="J147" s="767" t="e">
        <f>E147*#REF!/2</f>
        <v>#REF!</v>
      </c>
      <c r="K147" s="771"/>
      <c r="L147" s="364" t="s">
        <v>179</v>
      </c>
      <c r="M147" s="355"/>
      <c r="N147" s="769"/>
      <c r="O147" s="769"/>
      <c r="P147" s="769">
        <f>+O147-N147</f>
        <v>0</v>
      </c>
      <c r="Q147" s="769">
        <f>+P147*1000</f>
        <v>0</v>
      </c>
      <c r="R147" s="769">
        <v>0</v>
      </c>
      <c r="S147" s="769">
        <f>+Q147-R147</f>
        <v>0</v>
      </c>
      <c r="T147" s="770"/>
      <c r="U147" s="767" t="e">
        <f>P147*#REF!/2</f>
        <v>#REF!</v>
      </c>
      <c r="V147" s="771"/>
      <c r="W147" s="364" t="s">
        <v>179</v>
      </c>
      <c r="X147" s="355"/>
      <c r="Y147" s="769"/>
      <c r="Z147" s="769"/>
      <c r="AA147" s="769">
        <f>+Z147-Y147</f>
        <v>0</v>
      </c>
      <c r="AB147" s="769">
        <f>+AA147*1000</f>
        <v>0</v>
      </c>
      <c r="AC147" s="769">
        <v>0</v>
      </c>
      <c r="AD147" s="769">
        <f>+AB147-AC147</f>
        <v>0</v>
      </c>
      <c r="AE147" s="770"/>
      <c r="AF147" s="767" t="e">
        <f>AA147*#REF!/2</f>
        <v>#REF!</v>
      </c>
      <c r="AG147" s="771"/>
      <c r="AH147" s="364" t="s">
        <v>179</v>
      </c>
    </row>
    <row r="148" spans="2:34" ht="16.5" x14ac:dyDescent="0.35">
      <c r="B148" s="355"/>
      <c r="C148" s="769"/>
      <c r="D148" s="769"/>
      <c r="E148" s="769">
        <f>+D148-C148</f>
        <v>0</v>
      </c>
      <c r="F148" s="769">
        <f>+E148*1000</f>
        <v>0</v>
      </c>
      <c r="G148" s="769">
        <v>0</v>
      </c>
      <c r="H148" s="769">
        <f>+F148-G148</f>
        <v>0</v>
      </c>
      <c r="I148" s="770"/>
      <c r="J148" s="767" t="e">
        <f>E148*#REF!/2</f>
        <v>#REF!</v>
      </c>
      <c r="K148" s="771"/>
      <c r="L148" s="364"/>
      <c r="M148" s="355"/>
      <c r="N148" s="769"/>
      <c r="O148" s="769"/>
      <c r="P148" s="769">
        <f>+O148-N148</f>
        <v>0</v>
      </c>
      <c r="Q148" s="769">
        <f>+P148*1000</f>
        <v>0</v>
      </c>
      <c r="R148" s="769">
        <v>0</v>
      </c>
      <c r="S148" s="769">
        <f>+Q148-R148</f>
        <v>0</v>
      </c>
      <c r="T148" s="770"/>
      <c r="U148" s="767" t="e">
        <f>P148*#REF!/2</f>
        <v>#REF!</v>
      </c>
      <c r="V148" s="771"/>
      <c r="W148" s="364"/>
      <c r="X148" s="355"/>
      <c r="Y148" s="769"/>
      <c r="Z148" s="769"/>
      <c r="AA148" s="769">
        <f>+Z148-Y148</f>
        <v>0</v>
      </c>
      <c r="AB148" s="769">
        <f>+AA148*1000</f>
        <v>0</v>
      </c>
      <c r="AC148" s="769">
        <v>0</v>
      </c>
      <c r="AD148" s="769">
        <f>+AB148-AC148</f>
        <v>0</v>
      </c>
      <c r="AE148" s="770"/>
      <c r="AF148" s="767" t="e">
        <f>AA148*#REF!/2</f>
        <v>#REF!</v>
      </c>
      <c r="AG148" s="771"/>
      <c r="AH148" s="364"/>
    </row>
    <row r="149" spans="2:34" ht="16.5" x14ac:dyDescent="0.35">
      <c r="B149" s="355"/>
      <c r="C149" s="769"/>
      <c r="D149" s="769"/>
      <c r="E149" s="769">
        <f>+D149-C149</f>
        <v>0</v>
      </c>
      <c r="F149" s="769">
        <f>+E149*1000</f>
        <v>0</v>
      </c>
      <c r="G149" s="769">
        <v>0</v>
      </c>
      <c r="H149" s="769">
        <f>+F149-G149</f>
        <v>0</v>
      </c>
      <c r="I149" s="770"/>
      <c r="J149" s="767" t="e">
        <f>E149*#REF!/2</f>
        <v>#REF!</v>
      </c>
      <c r="K149" s="771"/>
      <c r="L149" s="364"/>
      <c r="M149" s="355"/>
      <c r="N149" s="769"/>
      <c r="O149" s="769"/>
      <c r="P149" s="769">
        <f>+O149-N149</f>
        <v>0</v>
      </c>
      <c r="Q149" s="769">
        <f>+P149*1000</f>
        <v>0</v>
      </c>
      <c r="R149" s="769">
        <v>0</v>
      </c>
      <c r="S149" s="769">
        <f>+Q149-R149</f>
        <v>0</v>
      </c>
      <c r="T149" s="770"/>
      <c r="U149" s="767" t="e">
        <f>P149*#REF!/2</f>
        <v>#REF!</v>
      </c>
      <c r="V149" s="771"/>
      <c r="W149" s="365"/>
      <c r="X149" s="355"/>
      <c r="Y149" s="769"/>
      <c r="Z149" s="769"/>
      <c r="AA149" s="769">
        <f>+Z149-Y149</f>
        <v>0</v>
      </c>
      <c r="AB149" s="769">
        <f>+AA149*1000</f>
        <v>0</v>
      </c>
      <c r="AC149" s="769">
        <v>0</v>
      </c>
      <c r="AD149" s="769">
        <f>+AB149-AC149</f>
        <v>0</v>
      </c>
      <c r="AE149" s="770"/>
      <c r="AF149" s="767" t="e">
        <f>AA149*#REF!/2</f>
        <v>#REF!</v>
      </c>
      <c r="AG149" s="771"/>
      <c r="AH149" s="365"/>
    </row>
    <row r="150" spans="2:34" ht="16.5" x14ac:dyDescent="0.35">
      <c r="B150" s="355"/>
      <c r="C150" s="769"/>
      <c r="D150" s="769"/>
      <c r="E150" s="769">
        <f>+D150-C150</f>
        <v>0</v>
      </c>
      <c r="F150" s="769">
        <f>+E150*1000</f>
        <v>0</v>
      </c>
      <c r="G150" s="769">
        <v>0</v>
      </c>
      <c r="H150" s="769">
        <f>+F150-G150</f>
        <v>0</v>
      </c>
      <c r="I150" s="770"/>
      <c r="J150" s="767" t="e">
        <f>E150*#REF!/2</f>
        <v>#REF!</v>
      </c>
      <c r="K150" s="771"/>
      <c r="L150" s="365"/>
      <c r="M150" s="355"/>
      <c r="N150" s="769"/>
      <c r="O150" s="769"/>
      <c r="P150" s="769">
        <f>+O150-N150</f>
        <v>0</v>
      </c>
      <c r="Q150" s="769">
        <f>+P150*1000</f>
        <v>0</v>
      </c>
      <c r="R150" s="769">
        <v>0</v>
      </c>
      <c r="S150" s="769">
        <f>+Q150-R150</f>
        <v>0</v>
      </c>
      <c r="T150" s="770"/>
      <c r="U150" s="767" t="e">
        <f>P150*#REF!/2</f>
        <v>#REF!</v>
      </c>
      <c r="V150" s="771"/>
      <c r="W150" s="365"/>
      <c r="X150" s="355"/>
      <c r="Y150" s="769"/>
      <c r="Z150" s="769"/>
      <c r="AA150" s="769">
        <f>+Z150-Y150</f>
        <v>0</v>
      </c>
      <c r="AB150" s="769">
        <f>+AA150*1000</f>
        <v>0</v>
      </c>
      <c r="AC150" s="769">
        <v>0</v>
      </c>
      <c r="AD150" s="769">
        <f>+AB150-AC150</f>
        <v>0</v>
      </c>
      <c r="AE150" s="770"/>
      <c r="AF150" s="767" t="e">
        <f>AA150*#REF!/2</f>
        <v>#REF!</v>
      </c>
      <c r="AG150" s="771"/>
      <c r="AH150" s="365"/>
    </row>
    <row r="151" spans="2:34" ht="17.25" thickBot="1" x14ac:dyDescent="0.4">
      <c r="B151" s="366"/>
      <c r="C151" s="772"/>
      <c r="D151" s="773"/>
      <c r="E151" s="773">
        <f>+D151-C151</f>
        <v>0</v>
      </c>
      <c r="F151" s="773">
        <f>+E151*1000</f>
        <v>0</v>
      </c>
      <c r="G151" s="773">
        <v>0</v>
      </c>
      <c r="H151" s="773">
        <f>+F151-G151</f>
        <v>0</v>
      </c>
      <c r="I151" s="774"/>
      <c r="J151" s="775" t="e">
        <f>E151*#REF!/2</f>
        <v>#REF!</v>
      </c>
      <c r="K151" s="776"/>
      <c r="L151" s="364" t="s">
        <v>180</v>
      </c>
      <c r="M151" s="372"/>
      <c r="N151" s="777"/>
      <c r="O151" s="777"/>
      <c r="P151" s="777">
        <f>+O151-N151</f>
        <v>0</v>
      </c>
      <c r="Q151" s="777">
        <f>+P151*1000</f>
        <v>0</v>
      </c>
      <c r="R151" s="777">
        <v>0</v>
      </c>
      <c r="S151" s="777">
        <f>+Q151-R151</f>
        <v>0</v>
      </c>
      <c r="T151" s="778"/>
      <c r="U151" s="779" t="e">
        <f>P151*#REF!/2</f>
        <v>#REF!</v>
      </c>
      <c r="V151" s="776"/>
      <c r="W151" s="364" t="s">
        <v>180</v>
      </c>
      <c r="X151" s="372"/>
      <c r="Y151" s="777"/>
      <c r="Z151" s="777"/>
      <c r="AA151" s="777">
        <f>+Z151-Y151</f>
        <v>0</v>
      </c>
      <c r="AB151" s="777">
        <f>+AA151*1000</f>
        <v>0</v>
      </c>
      <c r="AC151" s="777">
        <v>0</v>
      </c>
      <c r="AD151" s="777">
        <f>+AB151-AC151</f>
        <v>0</v>
      </c>
      <c r="AE151" s="778"/>
      <c r="AF151" s="779" t="e">
        <f>AA151*#REF!/2</f>
        <v>#REF!</v>
      </c>
      <c r="AG151" s="776"/>
      <c r="AH151" s="364" t="s">
        <v>180</v>
      </c>
    </row>
    <row r="152" spans="2:34" ht="17.25" thickBot="1" x14ac:dyDescent="0.4">
      <c r="B152" s="780"/>
      <c r="C152" s="773"/>
      <c r="D152" s="773"/>
      <c r="E152" s="773">
        <f>SUM(E139:E151)</f>
        <v>52</v>
      </c>
      <c r="F152" s="773">
        <f>SUM(F139:F151)</f>
        <v>52000</v>
      </c>
      <c r="G152" s="773">
        <f>SUM(G139:G151)</f>
        <v>0</v>
      </c>
      <c r="H152" s="773">
        <f>SUM(H139:H151)</f>
        <v>52000</v>
      </c>
      <c r="I152" s="773">
        <f>SUM(I139:I151)</f>
        <v>0</v>
      </c>
      <c r="J152" s="773" t="e">
        <f>SUM(J139:J151)</f>
        <v>#REF!</v>
      </c>
      <c r="K152" s="781" t="e">
        <f>+H152*0.6-G152-J152</f>
        <v>#REF!</v>
      </c>
      <c r="L152" s="782" t="e">
        <f>+K152/H152</f>
        <v>#REF!</v>
      </c>
      <c r="M152" s="780"/>
      <c r="N152" s="773"/>
      <c r="O152" s="773"/>
      <c r="P152" s="773">
        <f>SUM(P139:P151)</f>
        <v>45</v>
      </c>
      <c r="Q152" s="773">
        <f>SUM(Q139:Q151)</f>
        <v>45000</v>
      </c>
      <c r="R152" s="773">
        <f>SUM(R139:R151)</f>
        <v>0</v>
      </c>
      <c r="S152" s="773">
        <f>SUM(S139:S151)</f>
        <v>45000</v>
      </c>
      <c r="T152" s="773">
        <f>SUM(T139:T151)</f>
        <v>0</v>
      </c>
      <c r="U152" s="773" t="e">
        <f>SUM(U139:U151)</f>
        <v>#REF!</v>
      </c>
      <c r="V152" s="781" t="e">
        <f>+S152*0.6-R152-U152</f>
        <v>#REF!</v>
      </c>
      <c r="W152" s="782" t="e">
        <f>+V152/S152</f>
        <v>#REF!</v>
      </c>
      <c r="X152" s="780"/>
      <c r="Y152" s="773"/>
      <c r="Z152" s="773"/>
      <c r="AA152" s="773">
        <f>SUM(AA139:AA151)</f>
        <v>28</v>
      </c>
      <c r="AB152" s="773">
        <f>SUM(AB139:AB151)</f>
        <v>28000</v>
      </c>
      <c r="AC152" s="773">
        <f>SUM(AC139:AC151)</f>
        <v>0</v>
      </c>
      <c r="AD152" s="773">
        <f>SUM(AD139:AD151)</f>
        <v>28000</v>
      </c>
      <c r="AE152" s="773">
        <f>SUM(AE139:AE151)</f>
        <v>0</v>
      </c>
      <c r="AF152" s="773" t="e">
        <f>SUM(AF139:AF151)</f>
        <v>#REF!</v>
      </c>
      <c r="AG152" s="781" t="e">
        <f>+AD152*0.6-AC152-AF152</f>
        <v>#REF!</v>
      </c>
      <c r="AH152" s="782" t="e">
        <f>+AG152/AD152</f>
        <v>#REF!</v>
      </c>
    </row>
  </sheetData>
  <phoneticPr fontId="35"/>
  <pageMargins left="0.69930555555555596" right="0.69930555555555596" top="0.75" bottom="0.75" header="0" footer="0"/>
  <pageSetup paperSize="9" scale="3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>
    <pageSetUpPr fitToPage="1"/>
  </sheetPr>
  <dimension ref="B1:V137"/>
  <sheetViews>
    <sheetView topLeftCell="K1" workbookViewId="0">
      <pane ySplit="1" topLeftCell="K82" activePane="bottomLeft" state="frozen"/>
      <selection activeCell="D1" sqref="D1"/>
      <selection pane="bottomLeft" activeCell="O127" sqref="O127"/>
    </sheetView>
  </sheetViews>
  <sheetFormatPr defaultColWidth="14.390625" defaultRowHeight="15" x14ac:dyDescent="0.2"/>
  <cols>
    <col min="1" max="1" width="4.3046875" customWidth="1"/>
    <col min="2" max="2" width="8.47265625" customWidth="1"/>
    <col min="3" max="3" width="0.265625" customWidth="1"/>
    <col min="4" max="4" width="11.703125" customWidth="1"/>
    <col min="5" max="5" width="9.28125" customWidth="1"/>
    <col min="6" max="6" width="14.125" customWidth="1"/>
    <col min="7" max="10" width="0.1328125" customWidth="1"/>
    <col min="11" max="11" width="17.75390625" customWidth="1"/>
    <col min="12" max="13" width="8.875" customWidth="1"/>
    <col min="14" max="14" width="8.875" hidden="1" customWidth="1"/>
    <col min="15" max="15" width="12.5078125" customWidth="1"/>
    <col min="16" max="16" width="13.31640625" customWidth="1"/>
    <col min="17" max="17" width="12.9140625" customWidth="1"/>
    <col min="18" max="21" width="8.875" hidden="1" customWidth="1"/>
    <col min="22" max="22" width="23.26953125" customWidth="1"/>
    <col min="23" max="25" width="9.01171875" customWidth="1"/>
  </cols>
  <sheetData>
    <row r="1" spans="2:11" ht="18.75" thickBot="1" x14ac:dyDescent="0.25">
      <c r="B1" s="82" t="s">
        <v>142</v>
      </c>
      <c r="C1" s="74" t="s">
        <v>162</v>
      </c>
      <c r="D1" s="74" t="s">
        <v>143</v>
      </c>
      <c r="E1" s="74" t="s">
        <v>144</v>
      </c>
      <c r="F1" s="74" t="s">
        <v>145</v>
      </c>
      <c r="G1" s="74" t="s">
        <v>163</v>
      </c>
      <c r="H1" s="74" t="s">
        <v>164</v>
      </c>
      <c r="I1" s="159" t="s">
        <v>165</v>
      </c>
      <c r="J1" s="75" t="s">
        <v>166</v>
      </c>
      <c r="K1" s="75" t="s">
        <v>146</v>
      </c>
    </row>
    <row r="2" spans="2:11" ht="18" x14ac:dyDescent="0.35">
      <c r="B2" s="182">
        <v>45924</v>
      </c>
      <c r="C2" s="183"/>
      <c r="D2" s="183">
        <v>10068</v>
      </c>
      <c r="E2" s="183">
        <v>50</v>
      </c>
      <c r="F2" s="184">
        <v>50000</v>
      </c>
      <c r="G2" s="184">
        <v>0</v>
      </c>
      <c r="H2" s="184">
        <f>+F2-G2</f>
        <v>50000</v>
      </c>
      <c r="I2" s="112"/>
      <c r="J2" s="186" t="e">
        <f>+E2*#REF!</f>
        <v>#REF!</v>
      </c>
      <c r="K2" s="166"/>
    </row>
    <row r="3" spans="2:11" ht="18" x14ac:dyDescent="0.35">
      <c r="B3" s="182">
        <v>45931</v>
      </c>
      <c r="C3" s="114"/>
      <c r="D3" s="183">
        <v>10122</v>
      </c>
      <c r="E3" s="183">
        <f t="shared" ref="E3:E8" si="0">IF(D3="","",D3-D2)</f>
        <v>54</v>
      </c>
      <c r="F3" s="184">
        <f t="shared" ref="F3:F13" si="1">IF(D3="","",E3*1000)</f>
        <v>54000</v>
      </c>
      <c r="G3" s="184">
        <v>0</v>
      </c>
      <c r="H3" s="184">
        <f>+F3-G3</f>
        <v>54000</v>
      </c>
      <c r="I3" s="185"/>
      <c r="J3" s="186" t="e">
        <f>+E3*#REF!</f>
        <v>#REF!</v>
      </c>
      <c r="K3" s="166"/>
    </row>
    <row r="4" spans="2:11" ht="18" x14ac:dyDescent="0.35">
      <c r="B4" s="182">
        <v>45938</v>
      </c>
      <c r="C4" s="114"/>
      <c r="D4" s="183">
        <v>10174</v>
      </c>
      <c r="E4" s="183">
        <f t="shared" si="0"/>
        <v>52</v>
      </c>
      <c r="F4" s="184">
        <f t="shared" si="1"/>
        <v>52000</v>
      </c>
      <c r="G4" s="184">
        <v>0</v>
      </c>
      <c r="H4" s="184">
        <f>+F4-G4</f>
        <v>52000</v>
      </c>
      <c r="I4" s="185"/>
      <c r="J4" s="186" t="e">
        <f>+E4*#REF!</f>
        <v>#REF!</v>
      </c>
      <c r="K4" s="166"/>
    </row>
    <row r="5" spans="2:11" ht="18" x14ac:dyDescent="0.35">
      <c r="B5" s="182">
        <v>45946</v>
      </c>
      <c r="C5" s="114"/>
      <c r="D5" s="183">
        <v>10272</v>
      </c>
      <c r="E5" s="183">
        <f t="shared" si="0"/>
        <v>98</v>
      </c>
      <c r="F5" s="184">
        <f t="shared" si="1"/>
        <v>98000</v>
      </c>
      <c r="G5" s="184">
        <v>0</v>
      </c>
      <c r="H5" s="184">
        <f>+F5-G5</f>
        <v>98000</v>
      </c>
      <c r="I5" s="185"/>
      <c r="J5" s="186" t="e">
        <f>+E5*#REF!</f>
        <v>#REF!</v>
      </c>
      <c r="K5" s="166"/>
    </row>
    <row r="6" spans="2:11" ht="18" x14ac:dyDescent="0.35">
      <c r="B6" s="182"/>
      <c r="C6" s="114"/>
      <c r="D6" s="183"/>
      <c r="E6" s="183" t="str">
        <f t="shared" si="0"/>
        <v/>
      </c>
      <c r="F6" s="184" t="str">
        <f t="shared" si="1"/>
        <v/>
      </c>
      <c r="G6" s="184"/>
      <c r="H6" s="184"/>
      <c r="I6" s="185"/>
      <c r="J6" s="186"/>
      <c r="K6" s="166"/>
    </row>
    <row r="7" spans="2:11" ht="18" x14ac:dyDescent="0.35">
      <c r="B7" s="113"/>
      <c r="C7" s="114"/>
      <c r="D7" s="114"/>
      <c r="E7" s="183" t="str">
        <f t="shared" si="0"/>
        <v/>
      </c>
      <c r="F7" s="184" t="str">
        <f t="shared" si="1"/>
        <v/>
      </c>
      <c r="G7" s="184"/>
      <c r="H7" s="184"/>
      <c r="I7" s="185"/>
      <c r="J7" s="186"/>
      <c r="K7" s="166"/>
    </row>
    <row r="8" spans="2:11" ht="18" x14ac:dyDescent="0.35">
      <c r="B8" s="113"/>
      <c r="C8" s="114"/>
      <c r="D8" s="114"/>
      <c r="E8" s="183" t="str">
        <f t="shared" si="0"/>
        <v/>
      </c>
      <c r="F8" s="184" t="str">
        <f t="shared" si="1"/>
        <v/>
      </c>
      <c r="G8" s="184"/>
      <c r="H8" s="184"/>
      <c r="I8" s="185"/>
      <c r="J8" s="186"/>
      <c r="K8" s="166"/>
    </row>
    <row r="9" spans="2:11" ht="18" x14ac:dyDescent="0.35">
      <c r="B9" s="113"/>
      <c r="C9" s="114"/>
      <c r="D9" s="114"/>
      <c r="E9" s="183" t="str">
        <f>IF(D9="","",D9-D8)</f>
        <v/>
      </c>
      <c r="F9" s="184" t="str">
        <f t="shared" si="1"/>
        <v/>
      </c>
      <c r="G9" s="184"/>
      <c r="H9" s="184"/>
      <c r="I9" s="185"/>
      <c r="J9" s="186"/>
      <c r="K9" s="166"/>
    </row>
    <row r="10" spans="2:11" ht="18" x14ac:dyDescent="0.35">
      <c r="B10" s="113"/>
      <c r="C10" s="114"/>
      <c r="D10" s="114"/>
      <c r="E10" s="183" t="str">
        <f t="shared" ref="E10:E13" si="2">IF(D10="","",D10-D9)</f>
        <v/>
      </c>
      <c r="F10" s="184" t="str">
        <f t="shared" si="1"/>
        <v/>
      </c>
      <c r="G10" s="184"/>
      <c r="H10" s="184"/>
      <c r="I10" s="185"/>
      <c r="J10" s="186"/>
      <c r="K10" s="166"/>
    </row>
    <row r="11" spans="2:11" ht="18" x14ac:dyDescent="0.35">
      <c r="B11" s="113"/>
      <c r="C11" s="114"/>
      <c r="D11" s="114"/>
      <c r="E11" s="183" t="str">
        <f t="shared" si="2"/>
        <v/>
      </c>
      <c r="F11" s="184" t="str">
        <f t="shared" si="1"/>
        <v/>
      </c>
      <c r="G11" s="184"/>
      <c r="H11" s="184"/>
      <c r="I11" s="185"/>
      <c r="J11" s="186"/>
      <c r="K11" s="166"/>
    </row>
    <row r="12" spans="2:11" ht="18" x14ac:dyDescent="0.35">
      <c r="B12" s="113"/>
      <c r="C12" s="114"/>
      <c r="D12" s="114"/>
      <c r="E12" s="183" t="str">
        <f t="shared" si="2"/>
        <v/>
      </c>
      <c r="F12" s="184" t="str">
        <f t="shared" si="1"/>
        <v/>
      </c>
      <c r="G12" s="184">
        <v>0</v>
      </c>
      <c r="H12" s="184" t="e">
        <f>+F12-G12</f>
        <v>#VALUE!</v>
      </c>
      <c r="I12" s="185"/>
      <c r="J12" s="186" t="e">
        <f>+E12*#REF!</f>
        <v>#VALUE!</v>
      </c>
      <c r="K12" s="166"/>
    </row>
    <row r="13" spans="2:11" ht="18.75" thickBot="1" x14ac:dyDescent="0.4">
      <c r="B13" s="116"/>
      <c r="C13" s="117"/>
      <c r="D13" s="230"/>
      <c r="E13" s="232" t="str">
        <f t="shared" si="2"/>
        <v/>
      </c>
      <c r="F13" s="379" t="str">
        <f t="shared" si="1"/>
        <v/>
      </c>
      <c r="G13" s="314">
        <v>0</v>
      </c>
      <c r="H13" s="119" t="e">
        <f>+F13-G13</f>
        <v>#VALUE!</v>
      </c>
      <c r="I13" s="120"/>
      <c r="J13" s="187" t="e">
        <f>+E13*#REF!</f>
        <v>#VALUE!</v>
      </c>
      <c r="K13" s="188"/>
    </row>
    <row r="14" spans="2:11" ht="18.75" thickBot="1" x14ac:dyDescent="0.4">
      <c r="B14" s="121"/>
      <c r="C14" s="118"/>
      <c r="D14" s="118"/>
      <c r="E14" s="118">
        <f t="shared" ref="E14:J14" si="3">SUM(E2:E13)</f>
        <v>254</v>
      </c>
      <c r="F14" s="119">
        <f t="shared" si="3"/>
        <v>254000</v>
      </c>
      <c r="G14" s="119">
        <f t="shared" si="3"/>
        <v>0</v>
      </c>
      <c r="H14" s="119" t="e">
        <f t="shared" si="3"/>
        <v>#VALUE!</v>
      </c>
      <c r="I14" s="122">
        <f t="shared" si="3"/>
        <v>0</v>
      </c>
      <c r="J14" s="122" t="e">
        <f t="shared" si="3"/>
        <v>#REF!</v>
      </c>
      <c r="K14" s="188" t="e">
        <f>+H14*0.6-I14-J14-G14</f>
        <v>#VALUE!</v>
      </c>
    </row>
    <row r="15" spans="2:11" ht="15.75" thickBot="1" x14ac:dyDescent="0.25"/>
    <row r="16" spans="2:11" ht="18.75" thickBot="1" x14ac:dyDescent="0.25">
      <c r="B16" s="82" t="s">
        <v>142</v>
      </c>
      <c r="C16" s="74" t="s">
        <v>162</v>
      </c>
      <c r="D16" s="74" t="s">
        <v>143</v>
      </c>
      <c r="E16" s="74" t="s">
        <v>144</v>
      </c>
      <c r="F16" s="74" t="s">
        <v>145</v>
      </c>
      <c r="G16" s="74" t="s">
        <v>163</v>
      </c>
      <c r="H16" s="74" t="s">
        <v>164</v>
      </c>
      <c r="I16" s="159" t="s">
        <v>165</v>
      </c>
      <c r="J16" s="75" t="s">
        <v>166</v>
      </c>
      <c r="K16" s="75" t="s">
        <v>146</v>
      </c>
    </row>
    <row r="17" spans="2:11" ht="18" x14ac:dyDescent="0.35">
      <c r="B17" s="182">
        <v>45952</v>
      </c>
      <c r="C17" s="183"/>
      <c r="D17" s="183">
        <v>10307</v>
      </c>
      <c r="E17" s="183">
        <f>+D17-D5</f>
        <v>35</v>
      </c>
      <c r="F17" s="184">
        <f>+E17*1000</f>
        <v>35000</v>
      </c>
      <c r="G17" s="184">
        <v>0</v>
      </c>
      <c r="H17" s="184">
        <f>+F17-G17</f>
        <v>35000</v>
      </c>
      <c r="I17" s="112"/>
      <c r="J17" s="186" t="e">
        <f>+E17*#REF!</f>
        <v>#REF!</v>
      </c>
      <c r="K17" s="166"/>
    </row>
    <row r="18" spans="2:11" ht="18" x14ac:dyDescent="0.35">
      <c r="B18" s="182">
        <v>45959</v>
      </c>
      <c r="C18" s="114"/>
      <c r="D18" s="183">
        <v>10345</v>
      </c>
      <c r="E18" s="183">
        <f t="shared" ref="E18:E23" si="4">IF(D18="","",D18-D17)</f>
        <v>38</v>
      </c>
      <c r="F18" s="184">
        <f t="shared" ref="F18:F28" si="5">IF(D18="","",E18*1000)</f>
        <v>38000</v>
      </c>
      <c r="G18" s="184">
        <v>0</v>
      </c>
      <c r="H18" s="184">
        <f>+F18-G18</f>
        <v>38000</v>
      </c>
      <c r="I18" s="185"/>
      <c r="J18" s="186" t="e">
        <f>+E18*#REF!</f>
        <v>#REF!</v>
      </c>
      <c r="K18" s="166"/>
    </row>
    <row r="19" spans="2:11" ht="18" x14ac:dyDescent="0.35">
      <c r="B19" s="182">
        <v>45966</v>
      </c>
      <c r="C19" s="114"/>
      <c r="D19" s="183">
        <v>10390</v>
      </c>
      <c r="E19" s="183">
        <f t="shared" si="4"/>
        <v>45</v>
      </c>
      <c r="F19" s="184">
        <f t="shared" si="5"/>
        <v>45000</v>
      </c>
      <c r="G19" s="184">
        <v>0</v>
      </c>
      <c r="H19" s="184">
        <f>+F19-G19</f>
        <v>45000</v>
      </c>
      <c r="I19" s="185"/>
      <c r="J19" s="186" t="e">
        <f>+E19*#REF!</f>
        <v>#REF!</v>
      </c>
      <c r="K19" s="166"/>
    </row>
    <row r="20" spans="2:11" ht="18" x14ac:dyDescent="0.35">
      <c r="B20" s="182">
        <v>45973</v>
      </c>
      <c r="C20" s="114"/>
      <c r="D20" s="183">
        <v>10435</v>
      </c>
      <c r="E20" s="183">
        <f t="shared" si="4"/>
        <v>45</v>
      </c>
      <c r="F20" s="184">
        <f t="shared" si="5"/>
        <v>45000</v>
      </c>
      <c r="G20" s="184">
        <v>0</v>
      </c>
      <c r="H20" s="184">
        <f>+F20-G20</f>
        <v>45000</v>
      </c>
      <c r="I20" s="185"/>
      <c r="J20" s="186" t="e">
        <f>+E20*#REF!</f>
        <v>#REF!</v>
      </c>
      <c r="K20" s="166"/>
    </row>
    <row r="21" spans="2:11" ht="18" x14ac:dyDescent="0.35">
      <c r="B21" s="182">
        <v>45978</v>
      </c>
      <c r="C21" s="114"/>
      <c r="D21" s="183">
        <v>10481</v>
      </c>
      <c r="E21" s="183">
        <f t="shared" si="4"/>
        <v>46</v>
      </c>
      <c r="F21" s="184">
        <f t="shared" si="5"/>
        <v>46000</v>
      </c>
      <c r="G21" s="184"/>
      <c r="H21" s="184"/>
      <c r="I21" s="185"/>
      <c r="J21" s="186"/>
      <c r="K21" s="166"/>
    </row>
    <row r="22" spans="2:11" ht="18" x14ac:dyDescent="0.35">
      <c r="B22" s="113"/>
      <c r="C22" s="114"/>
      <c r="D22" s="114"/>
      <c r="E22" s="183" t="str">
        <f t="shared" si="4"/>
        <v/>
      </c>
      <c r="F22" s="184" t="str">
        <f t="shared" si="5"/>
        <v/>
      </c>
      <c r="G22" s="184"/>
      <c r="H22" s="184"/>
      <c r="I22" s="185"/>
      <c r="J22" s="186"/>
      <c r="K22" s="166"/>
    </row>
    <row r="23" spans="2:11" ht="18" x14ac:dyDescent="0.35">
      <c r="B23" s="113"/>
      <c r="C23" s="114"/>
      <c r="D23" s="114"/>
      <c r="E23" s="183" t="str">
        <f t="shared" si="4"/>
        <v/>
      </c>
      <c r="F23" s="184" t="str">
        <f t="shared" si="5"/>
        <v/>
      </c>
      <c r="G23" s="184"/>
      <c r="H23" s="184"/>
      <c r="I23" s="185"/>
      <c r="J23" s="186"/>
      <c r="K23" s="166"/>
    </row>
    <row r="24" spans="2:11" ht="18" x14ac:dyDescent="0.35">
      <c r="B24" s="113"/>
      <c r="C24" s="114"/>
      <c r="D24" s="114"/>
      <c r="E24" s="183" t="str">
        <f>IF(D24="","",D24-D23)</f>
        <v/>
      </c>
      <c r="F24" s="184" t="str">
        <f t="shared" si="5"/>
        <v/>
      </c>
      <c r="G24" s="184"/>
      <c r="H24" s="184"/>
      <c r="I24" s="185"/>
      <c r="J24" s="186"/>
      <c r="K24" s="166"/>
    </row>
    <row r="25" spans="2:11" ht="18" x14ac:dyDescent="0.35">
      <c r="B25" s="113"/>
      <c r="C25" s="114"/>
      <c r="D25" s="114"/>
      <c r="E25" s="183" t="str">
        <f t="shared" ref="E25:E28" si="6">IF(D25="","",D25-D24)</f>
        <v/>
      </c>
      <c r="F25" s="184" t="str">
        <f t="shared" si="5"/>
        <v/>
      </c>
      <c r="G25" s="184"/>
      <c r="H25" s="184"/>
      <c r="I25" s="185"/>
      <c r="J25" s="186"/>
      <c r="K25" s="166"/>
    </row>
    <row r="26" spans="2:11" ht="18" x14ac:dyDescent="0.35">
      <c r="B26" s="113"/>
      <c r="C26" s="114"/>
      <c r="D26" s="114"/>
      <c r="E26" s="183" t="str">
        <f t="shared" si="6"/>
        <v/>
      </c>
      <c r="F26" s="184" t="str">
        <f t="shared" si="5"/>
        <v/>
      </c>
      <c r="G26" s="184"/>
      <c r="H26" s="184"/>
      <c r="I26" s="185"/>
      <c r="J26" s="186"/>
      <c r="K26" s="166"/>
    </row>
    <row r="27" spans="2:11" ht="18" x14ac:dyDescent="0.35">
      <c r="B27" s="113"/>
      <c r="C27" s="114"/>
      <c r="D27" s="114"/>
      <c r="E27" s="183" t="str">
        <f t="shared" si="6"/>
        <v/>
      </c>
      <c r="F27" s="184" t="str">
        <f t="shared" si="5"/>
        <v/>
      </c>
      <c r="G27" s="184">
        <v>0</v>
      </c>
      <c r="H27" s="184" t="e">
        <f>+F27-G27</f>
        <v>#VALUE!</v>
      </c>
      <c r="I27" s="185"/>
      <c r="J27" s="186" t="e">
        <f>+E27*#REF!</f>
        <v>#VALUE!</v>
      </c>
      <c r="K27" s="166"/>
    </row>
    <row r="28" spans="2:11" ht="18.75" thickBot="1" x14ac:dyDescent="0.4">
      <c r="B28" s="116"/>
      <c r="C28" s="117"/>
      <c r="D28" s="230"/>
      <c r="E28" s="232" t="str">
        <f t="shared" si="6"/>
        <v/>
      </c>
      <c r="F28" s="379" t="str">
        <f t="shared" si="5"/>
        <v/>
      </c>
      <c r="G28" s="314">
        <v>0</v>
      </c>
      <c r="H28" s="119" t="e">
        <f>+F28-G28</f>
        <v>#VALUE!</v>
      </c>
      <c r="I28" s="120"/>
      <c r="J28" s="187" t="e">
        <f>+E28*#REF!</f>
        <v>#VALUE!</v>
      </c>
      <c r="K28" s="188"/>
    </row>
    <row r="29" spans="2:11" ht="18.75" thickBot="1" x14ac:dyDescent="0.4">
      <c r="B29" s="121"/>
      <c r="C29" s="118"/>
      <c r="D29" s="118"/>
      <c r="E29" s="118">
        <f t="shared" ref="E29:J29" si="7">SUM(E17:E28)</f>
        <v>209</v>
      </c>
      <c r="F29" s="119">
        <f t="shared" si="7"/>
        <v>209000</v>
      </c>
      <c r="G29" s="119">
        <f t="shared" si="7"/>
        <v>0</v>
      </c>
      <c r="H29" s="119" t="e">
        <f t="shared" si="7"/>
        <v>#VALUE!</v>
      </c>
      <c r="I29" s="122">
        <f t="shared" si="7"/>
        <v>0</v>
      </c>
      <c r="J29" s="122" t="e">
        <f t="shared" si="7"/>
        <v>#REF!</v>
      </c>
      <c r="K29" s="188" t="e">
        <f>+H29*0.6-I29-J29-G29</f>
        <v>#VALUE!</v>
      </c>
    </row>
    <row r="30" spans="2:11" ht="15.75" thickBot="1" x14ac:dyDescent="0.25"/>
    <row r="31" spans="2:11" ht="18.75" thickBot="1" x14ac:dyDescent="0.25">
      <c r="B31" s="82" t="s">
        <v>142</v>
      </c>
      <c r="C31" s="74" t="s">
        <v>162</v>
      </c>
      <c r="D31" s="74" t="s">
        <v>143</v>
      </c>
      <c r="E31" s="74" t="s">
        <v>144</v>
      </c>
      <c r="F31" s="74" t="s">
        <v>145</v>
      </c>
      <c r="G31" s="74" t="s">
        <v>163</v>
      </c>
      <c r="H31" s="74" t="s">
        <v>164</v>
      </c>
      <c r="I31" s="159" t="s">
        <v>165</v>
      </c>
      <c r="J31" s="75" t="s">
        <v>166</v>
      </c>
      <c r="K31" s="75" t="s">
        <v>146</v>
      </c>
    </row>
    <row r="32" spans="2:11" ht="18" x14ac:dyDescent="0.35">
      <c r="B32" s="182">
        <v>45986</v>
      </c>
      <c r="C32" s="183"/>
      <c r="D32" s="183">
        <v>10523</v>
      </c>
      <c r="E32" s="183">
        <f>+D32-D21</f>
        <v>42</v>
      </c>
      <c r="F32" s="184">
        <f>+E32*1000</f>
        <v>42000</v>
      </c>
      <c r="G32" s="184">
        <v>0</v>
      </c>
      <c r="H32" s="184">
        <f>+F32-G32</f>
        <v>42000</v>
      </c>
      <c r="I32" s="112"/>
      <c r="J32" s="186" t="e">
        <f>+E32*#REF!</f>
        <v>#REF!</v>
      </c>
      <c r="K32" s="166"/>
    </row>
    <row r="33" spans="2:11" ht="18" x14ac:dyDescent="0.35">
      <c r="B33" s="182">
        <v>45994</v>
      </c>
      <c r="C33" s="114"/>
      <c r="D33" s="183">
        <v>10570</v>
      </c>
      <c r="E33" s="183">
        <f t="shared" ref="E33:E38" si="8">IF(D33="","",D33-D32)</f>
        <v>47</v>
      </c>
      <c r="F33" s="184">
        <f t="shared" ref="F33:F43" si="9">IF(D33="","",E33*1000)</f>
        <v>47000</v>
      </c>
      <c r="G33" s="184">
        <v>0</v>
      </c>
      <c r="H33" s="184">
        <f>+F33-G33</f>
        <v>47000</v>
      </c>
      <c r="I33" s="185"/>
      <c r="J33" s="186" t="e">
        <f>+E33*#REF!</f>
        <v>#REF!</v>
      </c>
      <c r="K33" s="166"/>
    </row>
    <row r="34" spans="2:11" ht="18" x14ac:dyDescent="0.35">
      <c r="B34" s="182">
        <v>46001</v>
      </c>
      <c r="C34" s="114"/>
      <c r="D34" s="183">
        <v>10629</v>
      </c>
      <c r="E34" s="183">
        <f t="shared" si="8"/>
        <v>59</v>
      </c>
      <c r="F34" s="184">
        <f t="shared" si="9"/>
        <v>59000</v>
      </c>
      <c r="G34" s="184">
        <v>0</v>
      </c>
      <c r="H34" s="184">
        <f>+F34-G34</f>
        <v>59000</v>
      </c>
      <c r="I34" s="185"/>
      <c r="J34" s="186" t="e">
        <f>+E34*#REF!</f>
        <v>#REF!</v>
      </c>
      <c r="K34" s="166"/>
    </row>
    <row r="35" spans="2:11" ht="18" x14ac:dyDescent="0.35">
      <c r="B35" s="182">
        <v>46008</v>
      </c>
      <c r="C35" s="114"/>
      <c r="D35" s="183">
        <v>10667</v>
      </c>
      <c r="E35" s="183">
        <f t="shared" si="8"/>
        <v>38</v>
      </c>
      <c r="F35" s="184">
        <f t="shared" si="9"/>
        <v>38000</v>
      </c>
      <c r="G35" s="184">
        <v>0</v>
      </c>
      <c r="H35" s="184">
        <f>+F35-G35</f>
        <v>38000</v>
      </c>
      <c r="I35" s="185"/>
      <c r="J35" s="186" t="e">
        <f>+E35*#REF!</f>
        <v>#REF!</v>
      </c>
      <c r="K35" s="166"/>
    </row>
    <row r="36" spans="2:11" ht="18" x14ac:dyDescent="0.35">
      <c r="B36" s="182"/>
      <c r="C36" s="114"/>
      <c r="D36" s="183"/>
      <c r="E36" s="183" t="str">
        <f t="shared" si="8"/>
        <v/>
      </c>
      <c r="F36" s="184" t="str">
        <f t="shared" si="9"/>
        <v/>
      </c>
      <c r="G36" s="184"/>
      <c r="H36" s="184"/>
      <c r="I36" s="185"/>
      <c r="J36" s="186"/>
      <c r="K36" s="166"/>
    </row>
    <row r="37" spans="2:11" ht="18" x14ac:dyDescent="0.35">
      <c r="B37" s="113"/>
      <c r="C37" s="114"/>
      <c r="D37" s="114"/>
      <c r="E37" s="183" t="str">
        <f t="shared" si="8"/>
        <v/>
      </c>
      <c r="F37" s="184" t="str">
        <f t="shared" si="9"/>
        <v/>
      </c>
      <c r="G37" s="184"/>
      <c r="H37" s="184"/>
      <c r="I37" s="185"/>
      <c r="J37" s="186"/>
      <c r="K37" s="166"/>
    </row>
    <row r="38" spans="2:11" ht="18" x14ac:dyDescent="0.35">
      <c r="B38" s="113"/>
      <c r="C38" s="114"/>
      <c r="D38" s="114"/>
      <c r="E38" s="183" t="str">
        <f t="shared" si="8"/>
        <v/>
      </c>
      <c r="F38" s="184" t="str">
        <f t="shared" si="9"/>
        <v/>
      </c>
      <c r="G38" s="184"/>
      <c r="H38" s="184"/>
      <c r="I38" s="185"/>
      <c r="J38" s="186"/>
      <c r="K38" s="166"/>
    </row>
    <row r="39" spans="2:11" ht="18" x14ac:dyDescent="0.35">
      <c r="B39" s="113"/>
      <c r="C39" s="114"/>
      <c r="D39" s="114"/>
      <c r="E39" s="183" t="str">
        <f>IF(D39="","",D39-D38)</f>
        <v/>
      </c>
      <c r="F39" s="184" t="str">
        <f t="shared" si="9"/>
        <v/>
      </c>
      <c r="G39" s="184"/>
      <c r="H39" s="184"/>
      <c r="I39" s="185"/>
      <c r="J39" s="186"/>
      <c r="K39" s="166"/>
    </row>
    <row r="40" spans="2:11" ht="18" x14ac:dyDescent="0.35">
      <c r="B40" s="113"/>
      <c r="C40" s="114"/>
      <c r="D40" s="114"/>
      <c r="E40" s="183" t="str">
        <f t="shared" ref="E40:E43" si="10">IF(D40="","",D40-D39)</f>
        <v/>
      </c>
      <c r="F40" s="184" t="str">
        <f t="shared" si="9"/>
        <v/>
      </c>
      <c r="G40" s="184"/>
      <c r="H40" s="184"/>
      <c r="I40" s="185"/>
      <c r="J40" s="186"/>
      <c r="K40" s="166"/>
    </row>
    <row r="41" spans="2:11" ht="18" x14ac:dyDescent="0.35">
      <c r="B41" s="113"/>
      <c r="C41" s="114"/>
      <c r="D41" s="114"/>
      <c r="E41" s="183" t="str">
        <f t="shared" si="10"/>
        <v/>
      </c>
      <c r="F41" s="184" t="str">
        <f t="shared" si="9"/>
        <v/>
      </c>
      <c r="G41" s="184"/>
      <c r="H41" s="184"/>
      <c r="I41" s="185"/>
      <c r="J41" s="186"/>
      <c r="K41" s="166"/>
    </row>
    <row r="42" spans="2:11" ht="18" x14ac:dyDescent="0.35">
      <c r="B42" s="113"/>
      <c r="C42" s="114"/>
      <c r="D42" s="114"/>
      <c r="E42" s="183" t="str">
        <f t="shared" si="10"/>
        <v/>
      </c>
      <c r="F42" s="184" t="str">
        <f t="shared" si="9"/>
        <v/>
      </c>
      <c r="G42" s="184">
        <v>0</v>
      </c>
      <c r="H42" s="184" t="e">
        <f>+F42-G42</f>
        <v>#VALUE!</v>
      </c>
      <c r="I42" s="185"/>
      <c r="J42" s="186" t="e">
        <f>+E42*#REF!</f>
        <v>#VALUE!</v>
      </c>
      <c r="K42" s="166"/>
    </row>
    <row r="43" spans="2:11" ht="18.75" thickBot="1" x14ac:dyDescent="0.4">
      <c r="B43" s="116"/>
      <c r="C43" s="117"/>
      <c r="D43" s="230"/>
      <c r="E43" s="232" t="str">
        <f t="shared" si="10"/>
        <v/>
      </c>
      <c r="F43" s="379" t="str">
        <f t="shared" si="9"/>
        <v/>
      </c>
      <c r="G43" s="314">
        <v>0</v>
      </c>
      <c r="H43" s="119" t="e">
        <f>+F43-G43</f>
        <v>#VALUE!</v>
      </c>
      <c r="I43" s="120"/>
      <c r="J43" s="187" t="e">
        <f>+E43*#REF!</f>
        <v>#VALUE!</v>
      </c>
      <c r="K43" s="188"/>
    </row>
    <row r="44" spans="2:11" ht="18.75" thickBot="1" x14ac:dyDescent="0.4">
      <c r="B44" s="121"/>
      <c r="C44" s="118"/>
      <c r="D44" s="118"/>
      <c r="E44" s="118">
        <f t="shared" ref="E44:J44" si="11">SUM(E32:E43)</f>
        <v>186</v>
      </c>
      <c r="F44" s="119">
        <f t="shared" si="11"/>
        <v>186000</v>
      </c>
      <c r="G44" s="119">
        <f t="shared" si="11"/>
        <v>0</v>
      </c>
      <c r="H44" s="119" t="e">
        <f t="shared" si="11"/>
        <v>#VALUE!</v>
      </c>
      <c r="I44" s="122">
        <f t="shared" si="11"/>
        <v>0</v>
      </c>
      <c r="J44" s="122" t="e">
        <f t="shared" si="11"/>
        <v>#REF!</v>
      </c>
      <c r="K44" s="188" t="e">
        <f>+H44*0.6-I44-J44-G44</f>
        <v>#VALUE!</v>
      </c>
    </row>
    <row r="45" spans="2:11" ht="15.75" thickBot="1" x14ac:dyDescent="0.25"/>
    <row r="46" spans="2:11" ht="18.75" thickBot="1" x14ac:dyDescent="0.25">
      <c r="B46" s="82" t="s">
        <v>142</v>
      </c>
      <c r="C46" s="74" t="s">
        <v>162</v>
      </c>
      <c r="D46" s="74" t="s">
        <v>143</v>
      </c>
      <c r="E46" s="74" t="s">
        <v>144</v>
      </c>
      <c r="F46" s="74" t="s">
        <v>145</v>
      </c>
      <c r="G46" s="74" t="s">
        <v>163</v>
      </c>
      <c r="H46" s="74" t="s">
        <v>164</v>
      </c>
      <c r="I46" s="159" t="s">
        <v>165</v>
      </c>
      <c r="J46" s="75" t="s">
        <v>166</v>
      </c>
      <c r="K46" s="75" t="s">
        <v>146</v>
      </c>
    </row>
    <row r="47" spans="2:11" ht="18" x14ac:dyDescent="0.35">
      <c r="B47" s="182">
        <v>46014</v>
      </c>
      <c r="C47" s="183"/>
      <c r="D47" s="183">
        <v>10731</v>
      </c>
      <c r="E47" s="183">
        <f>+D47-D35</f>
        <v>64</v>
      </c>
      <c r="F47" s="184">
        <f>+E47*1000</f>
        <v>64000</v>
      </c>
      <c r="G47" s="184">
        <v>0</v>
      </c>
      <c r="H47" s="184">
        <f>+F47-G47</f>
        <v>64000</v>
      </c>
      <c r="I47" s="112"/>
      <c r="J47" s="186" t="e">
        <f>+E47*#REF!</f>
        <v>#REF!</v>
      </c>
      <c r="K47" s="166"/>
    </row>
    <row r="48" spans="2:11" ht="18" x14ac:dyDescent="0.35">
      <c r="B48" s="182">
        <v>46020</v>
      </c>
      <c r="C48" s="114"/>
      <c r="D48" s="183">
        <v>10758</v>
      </c>
      <c r="E48" s="183">
        <f t="shared" ref="E48:E58" si="12">IF(D48="","",D48-D47)</f>
        <v>27</v>
      </c>
      <c r="F48" s="184">
        <f t="shared" ref="F48:F58" si="13">IF(D48="","",E48*1000)</f>
        <v>27000</v>
      </c>
      <c r="G48" s="184">
        <v>0</v>
      </c>
      <c r="H48" s="184">
        <f>+F48-G48</f>
        <v>27000</v>
      </c>
      <c r="I48" s="185"/>
      <c r="J48" s="186" t="e">
        <f>+E48*#REF!</f>
        <v>#REF!</v>
      </c>
      <c r="K48" s="166"/>
    </row>
    <row r="49" spans="2:11" ht="18" x14ac:dyDescent="0.35">
      <c r="B49" s="182">
        <v>46027</v>
      </c>
      <c r="C49" s="114"/>
      <c r="D49" s="183">
        <v>10840</v>
      </c>
      <c r="E49" s="183">
        <f t="shared" si="12"/>
        <v>82</v>
      </c>
      <c r="F49" s="184">
        <f t="shared" si="13"/>
        <v>82000</v>
      </c>
      <c r="G49" s="184">
        <v>0</v>
      </c>
      <c r="H49" s="184">
        <f>+F49-G49</f>
        <v>82000</v>
      </c>
      <c r="I49" s="185"/>
      <c r="J49" s="186" t="e">
        <f>+E49*#REF!</f>
        <v>#REF!</v>
      </c>
      <c r="K49" s="166"/>
    </row>
    <row r="50" spans="2:11" ht="18" x14ac:dyDescent="0.35">
      <c r="B50" s="182">
        <v>46034</v>
      </c>
      <c r="C50" s="114"/>
      <c r="D50" s="183">
        <v>10907</v>
      </c>
      <c r="E50" s="183">
        <f t="shared" si="12"/>
        <v>67</v>
      </c>
      <c r="F50" s="184">
        <f t="shared" si="13"/>
        <v>67000</v>
      </c>
      <c r="G50" s="184">
        <v>0</v>
      </c>
      <c r="H50" s="184">
        <f>+F50-G50</f>
        <v>67000</v>
      </c>
      <c r="I50" s="185"/>
      <c r="J50" s="186" t="e">
        <f>+E50*#REF!</f>
        <v>#REF!</v>
      </c>
      <c r="K50" s="166"/>
    </row>
    <row r="51" spans="2:11" ht="18" x14ac:dyDescent="0.35">
      <c r="B51" s="182">
        <v>46041</v>
      </c>
      <c r="C51" s="114"/>
      <c r="D51" s="183">
        <v>10944</v>
      </c>
      <c r="E51" s="183">
        <f t="shared" si="12"/>
        <v>37</v>
      </c>
      <c r="F51" s="184">
        <f t="shared" si="13"/>
        <v>37000</v>
      </c>
      <c r="G51" s="184"/>
      <c r="H51" s="184"/>
      <c r="I51" s="185"/>
      <c r="J51" s="186"/>
      <c r="K51" s="166"/>
    </row>
    <row r="52" spans="2:11" ht="18" x14ac:dyDescent="0.35">
      <c r="B52" s="113"/>
      <c r="C52" s="114"/>
      <c r="D52" s="114"/>
      <c r="E52" s="183" t="str">
        <f t="shared" si="12"/>
        <v/>
      </c>
      <c r="F52" s="184" t="str">
        <f t="shared" si="13"/>
        <v/>
      </c>
      <c r="G52" s="184"/>
      <c r="H52" s="184"/>
      <c r="I52" s="185"/>
      <c r="J52" s="186"/>
      <c r="K52" s="166"/>
    </row>
    <row r="53" spans="2:11" ht="18" x14ac:dyDescent="0.35">
      <c r="B53" s="113"/>
      <c r="C53" s="114"/>
      <c r="D53" s="114"/>
      <c r="E53" s="183" t="str">
        <f t="shared" si="12"/>
        <v/>
      </c>
      <c r="F53" s="184" t="str">
        <f t="shared" si="13"/>
        <v/>
      </c>
      <c r="G53" s="184"/>
      <c r="H53" s="184"/>
      <c r="I53" s="185"/>
      <c r="J53" s="186"/>
      <c r="K53" s="166"/>
    </row>
    <row r="54" spans="2:11" ht="18" x14ac:dyDescent="0.35">
      <c r="B54" s="113"/>
      <c r="C54" s="114"/>
      <c r="D54" s="114"/>
      <c r="E54" s="183" t="str">
        <f t="shared" si="12"/>
        <v/>
      </c>
      <c r="F54" s="184" t="str">
        <f t="shared" si="13"/>
        <v/>
      </c>
      <c r="G54" s="184"/>
      <c r="H54" s="184"/>
      <c r="I54" s="185"/>
      <c r="J54" s="186"/>
      <c r="K54" s="166"/>
    </row>
    <row r="55" spans="2:11" ht="18" x14ac:dyDescent="0.35">
      <c r="B55" s="113"/>
      <c r="C55" s="114"/>
      <c r="D55" s="114"/>
      <c r="E55" s="183" t="str">
        <f t="shared" si="12"/>
        <v/>
      </c>
      <c r="F55" s="184" t="str">
        <f t="shared" si="13"/>
        <v/>
      </c>
      <c r="G55" s="184"/>
      <c r="H55" s="184"/>
      <c r="I55" s="185"/>
      <c r="J55" s="186"/>
      <c r="K55" s="166"/>
    </row>
    <row r="56" spans="2:11" ht="18" x14ac:dyDescent="0.35">
      <c r="B56" s="113"/>
      <c r="C56" s="114"/>
      <c r="D56" s="114"/>
      <c r="E56" s="183" t="str">
        <f t="shared" si="12"/>
        <v/>
      </c>
      <c r="F56" s="184" t="str">
        <f t="shared" si="13"/>
        <v/>
      </c>
      <c r="G56" s="184"/>
      <c r="H56" s="184"/>
      <c r="I56" s="185"/>
      <c r="J56" s="186"/>
      <c r="K56" s="166"/>
    </row>
    <row r="57" spans="2:11" ht="18" x14ac:dyDescent="0.35">
      <c r="B57" s="113"/>
      <c r="C57" s="114"/>
      <c r="D57" s="114"/>
      <c r="E57" s="183" t="str">
        <f t="shared" si="12"/>
        <v/>
      </c>
      <c r="F57" s="184" t="str">
        <f t="shared" si="13"/>
        <v/>
      </c>
      <c r="G57" s="184">
        <v>0</v>
      </c>
      <c r="H57" s="184" t="e">
        <f>+F57-G57</f>
        <v>#VALUE!</v>
      </c>
      <c r="I57" s="185"/>
      <c r="J57" s="186" t="e">
        <f>+E57*#REF!</f>
        <v>#VALUE!</v>
      </c>
      <c r="K57" s="166"/>
    </row>
    <row r="58" spans="2:11" ht="18.75" thickBot="1" x14ac:dyDescent="0.4">
      <c r="B58" s="116"/>
      <c r="C58" s="117"/>
      <c r="D58" s="230"/>
      <c r="E58" s="232" t="str">
        <f t="shared" si="12"/>
        <v/>
      </c>
      <c r="F58" s="379" t="str">
        <f t="shared" si="13"/>
        <v/>
      </c>
      <c r="G58" s="314">
        <v>0</v>
      </c>
      <c r="H58" s="119" t="e">
        <f>+F58-G58</f>
        <v>#VALUE!</v>
      </c>
      <c r="I58" s="120"/>
      <c r="J58" s="187" t="e">
        <f>+E58*#REF!</f>
        <v>#VALUE!</v>
      </c>
      <c r="K58" s="188"/>
    </row>
    <row r="59" spans="2:11" ht="18.75" thickBot="1" x14ac:dyDescent="0.4">
      <c r="B59" s="121"/>
      <c r="C59" s="118"/>
      <c r="D59" s="118"/>
      <c r="E59" s="118">
        <f t="shared" ref="E59:J59" si="14">SUM(E47:E58)</f>
        <v>277</v>
      </c>
      <c r="F59" s="119">
        <f t="shared" si="14"/>
        <v>277000</v>
      </c>
      <c r="G59" s="119">
        <f t="shared" si="14"/>
        <v>0</v>
      </c>
      <c r="H59" s="119" t="e">
        <f t="shared" si="14"/>
        <v>#VALUE!</v>
      </c>
      <c r="I59" s="122">
        <f t="shared" si="14"/>
        <v>0</v>
      </c>
      <c r="J59" s="122" t="e">
        <f t="shared" si="14"/>
        <v>#REF!</v>
      </c>
      <c r="K59" s="188" t="e">
        <f>+H59*0.6-I59-J59-G59</f>
        <v>#VALUE!</v>
      </c>
    </row>
    <row r="60" spans="2:11" ht="15.75" thickBot="1" x14ac:dyDescent="0.25"/>
    <row r="61" spans="2:11" ht="18.75" thickBot="1" x14ac:dyDescent="0.25">
      <c r="B61" s="82" t="s">
        <v>142</v>
      </c>
      <c r="C61" s="74" t="s">
        <v>162</v>
      </c>
      <c r="D61" s="74" t="s">
        <v>143</v>
      </c>
      <c r="E61" s="74" t="s">
        <v>144</v>
      </c>
      <c r="F61" s="74" t="s">
        <v>145</v>
      </c>
      <c r="G61" s="74" t="s">
        <v>163</v>
      </c>
      <c r="H61" s="74" t="s">
        <v>164</v>
      </c>
      <c r="I61" s="159" t="s">
        <v>165</v>
      </c>
      <c r="J61" s="75" t="s">
        <v>166</v>
      </c>
      <c r="K61" s="75" t="s">
        <v>146</v>
      </c>
    </row>
    <row r="62" spans="2:11" ht="18" x14ac:dyDescent="0.35">
      <c r="B62" s="182">
        <v>46050</v>
      </c>
      <c r="C62" s="183"/>
      <c r="D62" s="183">
        <v>11003</v>
      </c>
      <c r="E62" s="183">
        <f>+D62-D51</f>
        <v>59</v>
      </c>
      <c r="F62" s="184">
        <f>+E62*1000</f>
        <v>59000</v>
      </c>
      <c r="G62" s="184">
        <v>0</v>
      </c>
      <c r="H62" s="184">
        <f>+F62-G62</f>
        <v>59000</v>
      </c>
      <c r="I62" s="112"/>
      <c r="J62" s="186" t="e">
        <f>+E62*#REF!</f>
        <v>#REF!</v>
      </c>
      <c r="K62" s="166"/>
    </row>
    <row r="63" spans="2:11" ht="18" x14ac:dyDescent="0.35">
      <c r="B63" s="182">
        <v>46057</v>
      </c>
      <c r="C63" s="114"/>
      <c r="D63" s="183">
        <v>11048</v>
      </c>
      <c r="E63" s="183">
        <f t="shared" ref="E63:E73" si="15">IF(D63="","",D63-D62)</f>
        <v>45</v>
      </c>
      <c r="F63" s="184">
        <f t="shared" ref="F63:F73" si="16">IF(D63="","",E63*1000)</f>
        <v>45000</v>
      </c>
      <c r="G63" s="184">
        <v>0</v>
      </c>
      <c r="H63" s="184">
        <f>+F63-G63</f>
        <v>45000</v>
      </c>
      <c r="I63" s="185"/>
      <c r="J63" s="186" t="e">
        <f>+E63*#REF!</f>
        <v>#REF!</v>
      </c>
      <c r="K63" s="166"/>
    </row>
    <row r="64" spans="2:11" ht="18" x14ac:dyDescent="0.35">
      <c r="B64" s="182">
        <v>46063</v>
      </c>
      <c r="C64" s="114"/>
      <c r="D64" s="183">
        <v>11098</v>
      </c>
      <c r="E64" s="183">
        <f t="shared" si="15"/>
        <v>50</v>
      </c>
      <c r="F64" s="184">
        <f t="shared" si="16"/>
        <v>50000</v>
      </c>
      <c r="G64" s="184">
        <v>0</v>
      </c>
      <c r="H64" s="184">
        <f>+F64-G64</f>
        <v>50000</v>
      </c>
      <c r="I64" s="185"/>
      <c r="J64" s="186" t="e">
        <f>+E64*#REF!</f>
        <v>#REF!</v>
      </c>
      <c r="K64" s="166"/>
    </row>
    <row r="65" spans="2:11" ht="18" x14ac:dyDescent="0.35">
      <c r="B65" s="182">
        <v>46071</v>
      </c>
      <c r="C65" s="114"/>
      <c r="D65" s="183">
        <v>11139</v>
      </c>
      <c r="E65" s="183">
        <f t="shared" si="15"/>
        <v>41</v>
      </c>
      <c r="F65" s="184">
        <f t="shared" si="16"/>
        <v>41000</v>
      </c>
      <c r="G65" s="184">
        <v>0</v>
      </c>
      <c r="H65" s="184">
        <f>+F65-G65</f>
        <v>41000</v>
      </c>
      <c r="I65" s="185"/>
      <c r="J65" s="186" t="e">
        <f>+E65*#REF!</f>
        <v>#REF!</v>
      </c>
      <c r="K65" s="166"/>
    </row>
    <row r="66" spans="2:11" ht="18" x14ac:dyDescent="0.35">
      <c r="B66" s="182"/>
      <c r="C66" s="114"/>
      <c r="D66" s="183"/>
      <c r="E66" s="183" t="str">
        <f t="shared" si="15"/>
        <v/>
      </c>
      <c r="F66" s="184" t="str">
        <f t="shared" si="16"/>
        <v/>
      </c>
      <c r="G66" s="184"/>
      <c r="H66" s="184"/>
      <c r="I66" s="185"/>
      <c r="J66" s="186"/>
      <c r="K66" s="166"/>
    </row>
    <row r="67" spans="2:11" ht="18" x14ac:dyDescent="0.35">
      <c r="B67" s="113"/>
      <c r="C67" s="114"/>
      <c r="D67" s="114"/>
      <c r="E67" s="183" t="str">
        <f t="shared" si="15"/>
        <v/>
      </c>
      <c r="F67" s="184" t="str">
        <f t="shared" si="16"/>
        <v/>
      </c>
      <c r="G67" s="184"/>
      <c r="H67" s="184"/>
      <c r="I67" s="185"/>
      <c r="J67" s="186"/>
      <c r="K67" s="166"/>
    </row>
    <row r="68" spans="2:11" ht="18" x14ac:dyDescent="0.35">
      <c r="B68" s="113"/>
      <c r="C68" s="114"/>
      <c r="D68" s="114"/>
      <c r="E68" s="183" t="str">
        <f t="shared" si="15"/>
        <v/>
      </c>
      <c r="F68" s="184" t="str">
        <f t="shared" si="16"/>
        <v/>
      </c>
      <c r="G68" s="184"/>
      <c r="H68" s="184"/>
      <c r="I68" s="185"/>
      <c r="J68" s="186"/>
      <c r="K68" s="166"/>
    </row>
    <row r="69" spans="2:11" ht="18" x14ac:dyDescent="0.35">
      <c r="B69" s="113"/>
      <c r="C69" s="114"/>
      <c r="D69" s="114"/>
      <c r="E69" s="183" t="str">
        <f t="shared" si="15"/>
        <v/>
      </c>
      <c r="F69" s="184" t="str">
        <f t="shared" si="16"/>
        <v/>
      </c>
      <c r="G69" s="184"/>
      <c r="H69" s="184"/>
      <c r="I69" s="185"/>
      <c r="J69" s="186"/>
      <c r="K69" s="166"/>
    </row>
    <row r="70" spans="2:11" ht="18" x14ac:dyDescent="0.35">
      <c r="B70" s="113"/>
      <c r="C70" s="114"/>
      <c r="D70" s="114"/>
      <c r="E70" s="183" t="str">
        <f t="shared" si="15"/>
        <v/>
      </c>
      <c r="F70" s="184" t="str">
        <f t="shared" si="16"/>
        <v/>
      </c>
      <c r="G70" s="184"/>
      <c r="H70" s="184"/>
      <c r="I70" s="185"/>
      <c r="J70" s="186"/>
      <c r="K70" s="166"/>
    </row>
    <row r="71" spans="2:11" ht="18" x14ac:dyDescent="0.35">
      <c r="B71" s="113"/>
      <c r="C71" s="114"/>
      <c r="D71" s="114"/>
      <c r="E71" s="183" t="str">
        <f t="shared" si="15"/>
        <v/>
      </c>
      <c r="F71" s="184" t="str">
        <f t="shared" si="16"/>
        <v/>
      </c>
      <c r="G71" s="184"/>
      <c r="H71" s="184"/>
      <c r="I71" s="185"/>
      <c r="J71" s="186"/>
      <c r="K71" s="166"/>
    </row>
    <row r="72" spans="2:11" ht="18" x14ac:dyDescent="0.35">
      <c r="B72" s="113"/>
      <c r="C72" s="114"/>
      <c r="D72" s="114"/>
      <c r="E72" s="183" t="str">
        <f t="shared" si="15"/>
        <v/>
      </c>
      <c r="F72" s="184" t="str">
        <f t="shared" si="16"/>
        <v/>
      </c>
      <c r="G72" s="184">
        <v>0</v>
      </c>
      <c r="H72" s="184" t="e">
        <f>+F72-G72</f>
        <v>#VALUE!</v>
      </c>
      <c r="I72" s="185"/>
      <c r="J72" s="186" t="e">
        <f>+E72*#REF!</f>
        <v>#VALUE!</v>
      </c>
      <c r="K72" s="166"/>
    </row>
    <row r="73" spans="2:11" ht="18.75" thickBot="1" x14ac:dyDescent="0.4">
      <c r="B73" s="116"/>
      <c r="C73" s="117"/>
      <c r="D73" s="230"/>
      <c r="E73" s="232" t="str">
        <f t="shared" si="15"/>
        <v/>
      </c>
      <c r="F73" s="379" t="str">
        <f t="shared" si="16"/>
        <v/>
      </c>
      <c r="G73" s="314">
        <v>0</v>
      </c>
      <c r="H73" s="119" t="e">
        <f>+F73-G73</f>
        <v>#VALUE!</v>
      </c>
      <c r="I73" s="120"/>
      <c r="J73" s="187" t="e">
        <f>+E73*#REF!</f>
        <v>#VALUE!</v>
      </c>
      <c r="K73" s="188"/>
    </row>
    <row r="74" spans="2:11" ht="18.75" thickBot="1" x14ac:dyDescent="0.4">
      <c r="B74" s="121"/>
      <c r="C74" s="118"/>
      <c r="D74" s="118"/>
      <c r="E74" s="118">
        <f t="shared" ref="E74:J74" si="17">SUM(E62:E73)</f>
        <v>195</v>
      </c>
      <c r="F74" s="119">
        <f t="shared" si="17"/>
        <v>195000</v>
      </c>
      <c r="G74" s="119">
        <f t="shared" si="17"/>
        <v>0</v>
      </c>
      <c r="H74" s="119" t="e">
        <f t="shared" si="17"/>
        <v>#VALUE!</v>
      </c>
      <c r="I74" s="122">
        <f t="shared" si="17"/>
        <v>0</v>
      </c>
      <c r="J74" s="122" t="e">
        <f t="shared" si="17"/>
        <v>#REF!</v>
      </c>
      <c r="K74" s="188" t="e">
        <f>+H74*0.6-I74-J74-G74</f>
        <v>#VALUE!</v>
      </c>
    </row>
    <row r="75" spans="2:11" ht="15.75" thickBot="1" x14ac:dyDescent="0.25"/>
    <row r="76" spans="2:11" ht="18.75" thickBot="1" x14ac:dyDescent="0.25">
      <c r="B76" s="82" t="s">
        <v>142</v>
      </c>
      <c r="C76" s="74" t="s">
        <v>162</v>
      </c>
      <c r="D76" s="74" t="s">
        <v>143</v>
      </c>
      <c r="E76" s="74" t="s">
        <v>144</v>
      </c>
      <c r="F76" s="74" t="s">
        <v>145</v>
      </c>
      <c r="G76" s="74" t="s">
        <v>163</v>
      </c>
      <c r="H76" s="74" t="s">
        <v>164</v>
      </c>
      <c r="I76" s="159" t="s">
        <v>165</v>
      </c>
      <c r="J76" s="75" t="s">
        <v>166</v>
      </c>
      <c r="K76" s="75" t="s">
        <v>146</v>
      </c>
    </row>
    <row r="77" spans="2:11" ht="18" x14ac:dyDescent="0.35">
      <c r="B77" s="182">
        <v>46077</v>
      </c>
      <c r="C77" s="183"/>
      <c r="D77" s="183">
        <v>11170</v>
      </c>
      <c r="E77" s="183">
        <f>+D77-D65</f>
        <v>31</v>
      </c>
      <c r="F77" s="184">
        <f>+E77*1000</f>
        <v>31000</v>
      </c>
      <c r="G77" s="184">
        <v>0</v>
      </c>
      <c r="H77" s="184">
        <f>+F77-G77</f>
        <v>31000</v>
      </c>
      <c r="I77" s="112"/>
      <c r="J77" s="186" t="e">
        <f>+E77*#REF!</f>
        <v>#REF!</v>
      </c>
      <c r="K77" s="166"/>
    </row>
    <row r="78" spans="2:11" ht="18" x14ac:dyDescent="0.35">
      <c r="B78" s="182">
        <v>46085</v>
      </c>
      <c r="C78" s="114"/>
      <c r="D78" s="183">
        <v>11231</v>
      </c>
      <c r="E78" s="183">
        <f t="shared" ref="E78:E88" si="18">IF(D78="","",D78-D77)</f>
        <v>61</v>
      </c>
      <c r="F78" s="184">
        <f t="shared" ref="F78:F88" si="19">IF(D78="","",E78*1000)</f>
        <v>61000</v>
      </c>
      <c r="G78" s="184">
        <v>0</v>
      </c>
      <c r="H78" s="184">
        <f>+F78-G78</f>
        <v>61000</v>
      </c>
      <c r="I78" s="185"/>
      <c r="J78" s="186" t="e">
        <f>+E78*#REF!</f>
        <v>#REF!</v>
      </c>
      <c r="K78" s="166"/>
    </row>
    <row r="79" spans="2:11" ht="18" x14ac:dyDescent="0.35">
      <c r="B79" s="182">
        <v>46092</v>
      </c>
      <c r="C79" s="114"/>
      <c r="D79" s="183">
        <v>11271</v>
      </c>
      <c r="E79" s="183">
        <f t="shared" si="18"/>
        <v>40</v>
      </c>
      <c r="F79" s="184">
        <f t="shared" si="19"/>
        <v>40000</v>
      </c>
      <c r="G79" s="184">
        <v>0</v>
      </c>
      <c r="H79" s="184">
        <f>+F79-G79</f>
        <v>40000</v>
      </c>
      <c r="I79" s="185"/>
      <c r="J79" s="186" t="e">
        <f>+E79*#REF!</f>
        <v>#REF!</v>
      </c>
      <c r="K79" s="166"/>
    </row>
    <row r="80" spans="2:11" ht="18" x14ac:dyDescent="0.35">
      <c r="B80" s="182">
        <v>46097</v>
      </c>
      <c r="C80" s="114"/>
      <c r="D80" s="183">
        <v>11289</v>
      </c>
      <c r="E80" s="183">
        <f t="shared" si="18"/>
        <v>18</v>
      </c>
      <c r="F80" s="184">
        <f t="shared" si="19"/>
        <v>18000</v>
      </c>
      <c r="G80" s="184">
        <v>0</v>
      </c>
      <c r="H80" s="184">
        <f>+F80-G80</f>
        <v>18000</v>
      </c>
      <c r="I80" s="185"/>
      <c r="J80" s="186" t="e">
        <f>+E80*#REF!</f>
        <v>#REF!</v>
      </c>
      <c r="K80" s="166"/>
    </row>
    <row r="81" spans="2:22" ht="18" x14ac:dyDescent="0.35">
      <c r="B81" s="182"/>
      <c r="C81" s="114"/>
      <c r="D81" s="183"/>
      <c r="E81" s="183" t="str">
        <f t="shared" si="18"/>
        <v/>
      </c>
      <c r="F81" s="184" t="str">
        <f t="shared" si="19"/>
        <v/>
      </c>
      <c r="G81" s="184"/>
      <c r="H81" s="184"/>
      <c r="I81" s="185"/>
      <c r="J81" s="186"/>
      <c r="K81" s="166"/>
    </row>
    <row r="82" spans="2:22" ht="18" x14ac:dyDescent="0.35">
      <c r="B82" s="113"/>
      <c r="C82" s="114"/>
      <c r="D82" s="114"/>
      <c r="E82" s="183" t="str">
        <f t="shared" si="18"/>
        <v/>
      </c>
      <c r="F82" s="184" t="str">
        <f t="shared" si="19"/>
        <v/>
      </c>
      <c r="G82" s="184"/>
      <c r="H82" s="184"/>
      <c r="I82" s="185"/>
      <c r="J82" s="186"/>
      <c r="K82" s="166"/>
    </row>
    <row r="83" spans="2:22" ht="18" x14ac:dyDescent="0.35">
      <c r="B83" s="113"/>
      <c r="C83" s="114"/>
      <c r="D83" s="114"/>
      <c r="E83" s="183" t="str">
        <f t="shared" si="18"/>
        <v/>
      </c>
      <c r="F83" s="184" t="str">
        <f t="shared" si="19"/>
        <v/>
      </c>
      <c r="G83" s="184"/>
      <c r="H83" s="184"/>
      <c r="I83" s="185"/>
      <c r="J83" s="186"/>
      <c r="K83" s="166"/>
    </row>
    <row r="84" spans="2:22" ht="18" x14ac:dyDescent="0.35">
      <c r="B84" s="113"/>
      <c r="C84" s="114"/>
      <c r="D84" s="114"/>
      <c r="E84" s="183" t="str">
        <f t="shared" si="18"/>
        <v/>
      </c>
      <c r="F84" s="184" t="str">
        <f t="shared" si="19"/>
        <v/>
      </c>
      <c r="G84" s="184"/>
      <c r="H84" s="184"/>
      <c r="I84" s="185"/>
      <c r="J84" s="186"/>
      <c r="K84" s="166"/>
    </row>
    <row r="85" spans="2:22" ht="18" x14ac:dyDescent="0.35">
      <c r="B85" s="113"/>
      <c r="C85" s="114"/>
      <c r="D85" s="114"/>
      <c r="E85" s="183" t="str">
        <f t="shared" si="18"/>
        <v/>
      </c>
      <c r="F85" s="184" t="str">
        <f t="shared" si="19"/>
        <v/>
      </c>
      <c r="G85" s="184"/>
      <c r="H85" s="184"/>
      <c r="I85" s="185"/>
      <c r="J85" s="186"/>
      <c r="K85" s="166"/>
    </row>
    <row r="86" spans="2:22" ht="18" x14ac:dyDescent="0.35">
      <c r="B86" s="113"/>
      <c r="C86" s="114"/>
      <c r="D86" s="114"/>
      <c r="E86" s="183" t="str">
        <f t="shared" si="18"/>
        <v/>
      </c>
      <c r="F86" s="184" t="str">
        <f t="shared" si="19"/>
        <v/>
      </c>
      <c r="G86" s="184"/>
      <c r="H86" s="184"/>
      <c r="I86" s="185"/>
      <c r="J86" s="186"/>
      <c r="K86" s="166"/>
    </row>
    <row r="87" spans="2:22" ht="18" x14ac:dyDescent="0.35">
      <c r="B87" s="113"/>
      <c r="C87" s="114"/>
      <c r="D87" s="114"/>
      <c r="E87" s="183" t="str">
        <f t="shared" si="18"/>
        <v/>
      </c>
      <c r="F87" s="184" t="str">
        <f t="shared" si="19"/>
        <v/>
      </c>
      <c r="G87" s="184">
        <v>0</v>
      </c>
      <c r="H87" s="184" t="e">
        <f>+F87-G87</f>
        <v>#VALUE!</v>
      </c>
      <c r="I87" s="185"/>
      <c r="J87" s="186" t="e">
        <f>+E87*#REF!</f>
        <v>#VALUE!</v>
      </c>
      <c r="K87" s="166"/>
    </row>
    <row r="88" spans="2:22" ht="18.75" thickBot="1" x14ac:dyDescent="0.4">
      <c r="B88" s="116"/>
      <c r="C88" s="117"/>
      <c r="D88" s="230"/>
      <c r="E88" s="232" t="str">
        <f t="shared" si="18"/>
        <v/>
      </c>
      <c r="F88" s="379" t="str">
        <f t="shared" si="19"/>
        <v/>
      </c>
      <c r="G88" s="314">
        <v>0</v>
      </c>
      <c r="H88" s="119" t="e">
        <f>+F88-G88</f>
        <v>#VALUE!</v>
      </c>
      <c r="I88" s="120"/>
      <c r="J88" s="187" t="e">
        <f>+E88*#REF!</f>
        <v>#VALUE!</v>
      </c>
      <c r="K88" s="188"/>
    </row>
    <row r="89" spans="2:22" ht="18.75" thickBot="1" x14ac:dyDescent="0.4">
      <c r="B89" s="121"/>
      <c r="C89" s="118"/>
      <c r="D89" s="118"/>
      <c r="E89" s="118">
        <f t="shared" ref="E89:J89" si="20">SUM(E77:E88)</f>
        <v>150</v>
      </c>
      <c r="F89" s="119">
        <f t="shared" si="20"/>
        <v>150000</v>
      </c>
      <c r="G89" s="119">
        <f t="shared" si="20"/>
        <v>0</v>
      </c>
      <c r="H89" s="119" t="e">
        <f t="shared" si="20"/>
        <v>#VALUE!</v>
      </c>
      <c r="I89" s="122">
        <f t="shared" si="20"/>
        <v>0</v>
      </c>
      <c r="J89" s="122" t="e">
        <f t="shared" si="20"/>
        <v>#REF!</v>
      </c>
      <c r="K89" s="188" t="e">
        <f>+H89*0.6-I89-J89-G89</f>
        <v>#VALUE!</v>
      </c>
    </row>
    <row r="90" spans="2:22" ht="18" x14ac:dyDescent="0.35">
      <c r="B90" s="704"/>
      <c r="C90" s="704"/>
      <c r="D90" s="704"/>
      <c r="E90" s="704"/>
      <c r="F90" s="705"/>
      <c r="G90" s="705"/>
      <c r="H90" s="705"/>
      <c r="I90" s="705"/>
      <c r="J90" s="705"/>
      <c r="K90" s="705"/>
    </row>
    <row r="91" spans="2:22" ht="15.75" thickBot="1" x14ac:dyDescent="0.25">
      <c r="B91" t="s">
        <v>177</v>
      </c>
      <c r="M91" t="s">
        <v>175</v>
      </c>
    </row>
    <row r="92" spans="2:22" ht="18.75" thickBot="1" x14ac:dyDescent="0.25">
      <c r="B92" s="82" t="s">
        <v>142</v>
      </c>
      <c r="C92" s="74" t="s">
        <v>162</v>
      </c>
      <c r="D92" s="74" t="s">
        <v>143</v>
      </c>
      <c r="E92" s="74" t="s">
        <v>144</v>
      </c>
      <c r="F92" s="74" t="s">
        <v>145</v>
      </c>
      <c r="G92" s="74" t="s">
        <v>163</v>
      </c>
      <c r="H92" s="74" t="s">
        <v>164</v>
      </c>
      <c r="I92" s="159" t="s">
        <v>165</v>
      </c>
      <c r="J92" s="75" t="s">
        <v>166</v>
      </c>
      <c r="K92" s="75" t="s">
        <v>146</v>
      </c>
      <c r="M92" s="82" t="s">
        <v>142</v>
      </c>
      <c r="N92" s="74" t="s">
        <v>162</v>
      </c>
      <c r="O92" s="74" t="s">
        <v>143</v>
      </c>
      <c r="P92" s="74" t="s">
        <v>144</v>
      </c>
      <c r="Q92" s="74" t="s">
        <v>145</v>
      </c>
      <c r="R92" s="74" t="s">
        <v>163</v>
      </c>
      <c r="S92" s="74" t="s">
        <v>164</v>
      </c>
      <c r="T92" s="159" t="s">
        <v>165</v>
      </c>
      <c r="U92" s="75" t="s">
        <v>166</v>
      </c>
      <c r="V92" s="75" t="s">
        <v>146</v>
      </c>
    </row>
    <row r="93" spans="2:22" ht="18" x14ac:dyDescent="0.35">
      <c r="B93" s="182">
        <v>46100</v>
      </c>
      <c r="C93" s="183"/>
      <c r="D93" s="183">
        <v>11295</v>
      </c>
      <c r="E93" s="183">
        <f>+D93-D80</f>
        <v>6</v>
      </c>
      <c r="F93" s="184">
        <f>+E93*1000</f>
        <v>6000</v>
      </c>
      <c r="G93" s="184">
        <v>0</v>
      </c>
      <c r="H93" s="184">
        <f>+F93-G93</f>
        <v>6000</v>
      </c>
      <c r="I93" s="112"/>
      <c r="J93" s="186" t="e">
        <f>+E93*#REF!</f>
        <v>#REF!</v>
      </c>
      <c r="K93" s="166"/>
      <c r="M93" s="182">
        <v>46100</v>
      </c>
      <c r="N93" s="183">
        <v>6535</v>
      </c>
      <c r="O93" s="183">
        <v>6535</v>
      </c>
      <c r="P93" s="183">
        <f>+O93-N93</f>
        <v>0</v>
      </c>
      <c r="Q93" s="184">
        <f>+P93*1000</f>
        <v>0</v>
      </c>
      <c r="R93" s="184">
        <v>0</v>
      </c>
      <c r="S93" s="184">
        <f>+Q93-R93</f>
        <v>0</v>
      </c>
      <c r="T93" s="112"/>
      <c r="U93" s="186" t="e">
        <f>+P93*#REF!</f>
        <v>#REF!</v>
      </c>
      <c r="V93" s="166"/>
    </row>
    <row r="94" spans="2:22" ht="18" x14ac:dyDescent="0.35">
      <c r="B94" s="182">
        <v>46107</v>
      </c>
      <c r="C94" s="114"/>
      <c r="D94" s="183">
        <v>11331</v>
      </c>
      <c r="E94" s="183">
        <f t="shared" ref="E94:E104" si="21">IF(D94="","",D94-D93)</f>
        <v>36</v>
      </c>
      <c r="F94" s="184">
        <f t="shared" ref="F94:F104" si="22">IF(D94="","",E94*1000)</f>
        <v>36000</v>
      </c>
      <c r="G94" s="184">
        <v>0</v>
      </c>
      <c r="H94" s="184">
        <f>+F94-G94</f>
        <v>36000</v>
      </c>
      <c r="I94" s="185"/>
      <c r="J94" s="186" t="e">
        <f>+E94*#REF!</f>
        <v>#REF!</v>
      </c>
      <c r="K94" s="166"/>
      <c r="M94" s="182">
        <v>46107</v>
      </c>
      <c r="N94" s="114">
        <v>6535</v>
      </c>
      <c r="O94" s="183">
        <v>6541</v>
      </c>
      <c r="P94" s="183">
        <f t="shared" ref="P94:P104" si="23">IF(O94="","",O94-O93)</f>
        <v>6</v>
      </c>
      <c r="Q94" s="184">
        <f t="shared" ref="Q94:Q104" si="24">IF(O94="","",P94*1000)</f>
        <v>6000</v>
      </c>
      <c r="R94" s="184">
        <v>0</v>
      </c>
      <c r="S94" s="184">
        <f>+Q94-R94</f>
        <v>6000</v>
      </c>
      <c r="T94" s="185"/>
      <c r="U94" s="186" t="e">
        <f>+P94*#REF!</f>
        <v>#REF!</v>
      </c>
      <c r="V94" s="166"/>
    </row>
    <row r="95" spans="2:22" ht="18" x14ac:dyDescent="0.35">
      <c r="B95" s="182">
        <v>46113</v>
      </c>
      <c r="C95" s="114"/>
      <c r="D95" s="183">
        <v>11354</v>
      </c>
      <c r="E95" s="183">
        <f t="shared" si="21"/>
        <v>23</v>
      </c>
      <c r="F95" s="184">
        <f t="shared" si="22"/>
        <v>23000</v>
      </c>
      <c r="G95" s="184">
        <v>0</v>
      </c>
      <c r="H95" s="184">
        <f>+F95-G95</f>
        <v>23000</v>
      </c>
      <c r="I95" s="185"/>
      <c r="J95" s="186" t="e">
        <f>+E95*#REF!</f>
        <v>#REF!</v>
      </c>
      <c r="K95" s="166"/>
      <c r="M95" s="182">
        <v>46113</v>
      </c>
      <c r="N95" s="114"/>
      <c r="O95" s="183">
        <v>6551</v>
      </c>
      <c r="P95" s="183">
        <f t="shared" si="23"/>
        <v>10</v>
      </c>
      <c r="Q95" s="184">
        <f t="shared" si="24"/>
        <v>10000</v>
      </c>
      <c r="R95" s="184"/>
      <c r="S95" s="184">
        <f t="shared" ref="S95:S104" si="25">IF(Q95="","",R95*1000)</f>
        <v>0</v>
      </c>
      <c r="T95" s="185"/>
      <c r="U95" s="186" t="e">
        <f>+P95*#REF!</f>
        <v>#REF!</v>
      </c>
      <c r="V95" s="166"/>
    </row>
    <row r="96" spans="2:22" ht="18" x14ac:dyDescent="0.35">
      <c r="B96" s="182">
        <v>46120</v>
      </c>
      <c r="C96" s="114"/>
      <c r="D96" s="183">
        <v>11378</v>
      </c>
      <c r="E96" s="183">
        <f t="shared" si="21"/>
        <v>24</v>
      </c>
      <c r="F96" s="184">
        <f t="shared" si="22"/>
        <v>24000</v>
      </c>
      <c r="G96" s="184">
        <v>0</v>
      </c>
      <c r="H96" s="184">
        <f>+F96-G96</f>
        <v>24000</v>
      </c>
      <c r="I96" s="185"/>
      <c r="J96" s="186" t="e">
        <f>+E96*#REF!</f>
        <v>#REF!</v>
      </c>
      <c r="K96" s="166"/>
      <c r="M96" s="182">
        <v>46120</v>
      </c>
      <c r="N96" s="114"/>
      <c r="O96" s="183">
        <v>6563</v>
      </c>
      <c r="P96" s="183">
        <f t="shared" si="23"/>
        <v>12</v>
      </c>
      <c r="Q96" s="184">
        <f t="shared" si="24"/>
        <v>12000</v>
      </c>
      <c r="R96" s="184"/>
      <c r="S96" s="184">
        <f t="shared" si="25"/>
        <v>0</v>
      </c>
      <c r="T96" s="185"/>
      <c r="U96" s="186" t="e">
        <f>+P96*#REF!</f>
        <v>#REF!</v>
      </c>
      <c r="V96" s="166"/>
    </row>
    <row r="97" spans="2:22" ht="18" x14ac:dyDescent="0.35">
      <c r="B97" s="182">
        <v>46128</v>
      </c>
      <c r="C97" s="114"/>
      <c r="D97" s="183">
        <v>11407</v>
      </c>
      <c r="E97" s="183">
        <f t="shared" si="21"/>
        <v>29</v>
      </c>
      <c r="F97" s="184">
        <f t="shared" si="22"/>
        <v>29000</v>
      </c>
      <c r="G97" s="184"/>
      <c r="H97" s="184"/>
      <c r="I97" s="185"/>
      <c r="J97" s="186"/>
      <c r="K97" s="166"/>
      <c r="M97" s="182">
        <v>46128</v>
      </c>
      <c r="N97" s="114"/>
      <c r="O97" s="183">
        <v>6577</v>
      </c>
      <c r="P97" s="183">
        <f t="shared" si="23"/>
        <v>14</v>
      </c>
      <c r="Q97" s="184">
        <f t="shared" si="24"/>
        <v>14000</v>
      </c>
      <c r="R97" s="184"/>
      <c r="S97" s="184">
        <f t="shared" si="25"/>
        <v>0</v>
      </c>
      <c r="T97" s="185"/>
      <c r="U97" s="186"/>
      <c r="V97" s="166"/>
    </row>
    <row r="98" spans="2:22" ht="18" x14ac:dyDescent="0.35">
      <c r="B98" s="113"/>
      <c r="C98" s="114"/>
      <c r="D98" s="114"/>
      <c r="E98" s="183" t="str">
        <f t="shared" si="21"/>
        <v/>
      </c>
      <c r="F98" s="184" t="str">
        <f t="shared" si="22"/>
        <v/>
      </c>
      <c r="G98" s="184"/>
      <c r="H98" s="184"/>
      <c r="I98" s="185"/>
      <c r="J98" s="186"/>
      <c r="K98" s="166"/>
      <c r="M98" s="113"/>
      <c r="N98" s="114"/>
      <c r="O98" s="114"/>
      <c r="P98" s="183" t="str">
        <f t="shared" si="23"/>
        <v/>
      </c>
      <c r="Q98" s="184" t="str">
        <f t="shared" si="24"/>
        <v/>
      </c>
      <c r="R98" s="184"/>
      <c r="S98" s="184" t="str">
        <f t="shared" si="25"/>
        <v/>
      </c>
      <c r="T98" s="185"/>
      <c r="U98" s="186"/>
      <c r="V98" s="166"/>
    </row>
    <row r="99" spans="2:22" ht="18" x14ac:dyDescent="0.35">
      <c r="B99" s="113"/>
      <c r="C99" s="114"/>
      <c r="D99" s="114"/>
      <c r="E99" s="183" t="str">
        <f t="shared" si="21"/>
        <v/>
      </c>
      <c r="F99" s="184" t="str">
        <f t="shared" si="22"/>
        <v/>
      </c>
      <c r="G99" s="184"/>
      <c r="H99" s="184"/>
      <c r="I99" s="185"/>
      <c r="J99" s="186"/>
      <c r="K99" s="166"/>
      <c r="M99" s="113"/>
      <c r="N99" s="114"/>
      <c r="O99" s="114"/>
      <c r="P99" s="183" t="str">
        <f t="shared" si="23"/>
        <v/>
      </c>
      <c r="Q99" s="184" t="str">
        <f t="shared" si="24"/>
        <v/>
      </c>
      <c r="R99" s="184"/>
      <c r="S99" s="184" t="str">
        <f t="shared" si="25"/>
        <v/>
      </c>
      <c r="T99" s="185"/>
      <c r="U99" s="186"/>
      <c r="V99" s="166"/>
    </row>
    <row r="100" spans="2:22" ht="18" x14ac:dyDescent="0.35">
      <c r="B100" s="113"/>
      <c r="C100" s="114"/>
      <c r="D100" s="114"/>
      <c r="E100" s="183" t="str">
        <f t="shared" si="21"/>
        <v/>
      </c>
      <c r="F100" s="184" t="str">
        <f t="shared" si="22"/>
        <v/>
      </c>
      <c r="G100" s="184"/>
      <c r="H100" s="184"/>
      <c r="I100" s="185"/>
      <c r="J100" s="186"/>
      <c r="K100" s="166"/>
      <c r="M100" s="113"/>
      <c r="N100" s="114"/>
      <c r="O100" s="114"/>
      <c r="P100" s="183" t="str">
        <f t="shared" si="23"/>
        <v/>
      </c>
      <c r="Q100" s="184" t="str">
        <f t="shared" si="24"/>
        <v/>
      </c>
      <c r="R100" s="184"/>
      <c r="S100" s="184" t="str">
        <f t="shared" si="25"/>
        <v/>
      </c>
      <c r="T100" s="185"/>
      <c r="U100" s="186"/>
      <c r="V100" s="166"/>
    </row>
    <row r="101" spans="2:22" ht="18" x14ac:dyDescent="0.35">
      <c r="B101" s="113"/>
      <c r="C101" s="114"/>
      <c r="D101" s="114"/>
      <c r="E101" s="183" t="str">
        <f t="shared" si="21"/>
        <v/>
      </c>
      <c r="F101" s="184" t="str">
        <f t="shared" si="22"/>
        <v/>
      </c>
      <c r="G101" s="184"/>
      <c r="H101" s="184"/>
      <c r="I101" s="185"/>
      <c r="J101" s="186"/>
      <c r="K101" s="166"/>
      <c r="M101" s="113"/>
      <c r="N101" s="114"/>
      <c r="O101" s="114"/>
      <c r="P101" s="183" t="str">
        <f t="shared" si="23"/>
        <v/>
      </c>
      <c r="Q101" s="184" t="str">
        <f t="shared" si="24"/>
        <v/>
      </c>
      <c r="R101" s="184"/>
      <c r="S101" s="184" t="str">
        <f t="shared" si="25"/>
        <v/>
      </c>
      <c r="T101" s="185"/>
      <c r="U101" s="186"/>
      <c r="V101" s="166"/>
    </row>
    <row r="102" spans="2:22" ht="18" x14ac:dyDescent="0.35">
      <c r="B102" s="113"/>
      <c r="C102" s="114"/>
      <c r="D102" s="114"/>
      <c r="E102" s="183" t="str">
        <f t="shared" si="21"/>
        <v/>
      </c>
      <c r="F102" s="184" t="str">
        <f t="shared" si="22"/>
        <v/>
      </c>
      <c r="G102" s="184"/>
      <c r="H102" s="184"/>
      <c r="I102" s="185"/>
      <c r="J102" s="186"/>
      <c r="K102" s="166"/>
      <c r="M102" s="113"/>
      <c r="N102" s="114"/>
      <c r="O102" s="114"/>
      <c r="P102" s="183" t="str">
        <f t="shared" si="23"/>
        <v/>
      </c>
      <c r="Q102" s="184" t="str">
        <f t="shared" si="24"/>
        <v/>
      </c>
      <c r="R102" s="184"/>
      <c r="S102" s="184" t="str">
        <f t="shared" si="25"/>
        <v/>
      </c>
      <c r="T102" s="185"/>
      <c r="U102" s="186"/>
      <c r="V102" s="166"/>
    </row>
    <row r="103" spans="2:22" ht="18" x14ac:dyDescent="0.35">
      <c r="B103" s="113"/>
      <c r="C103" s="114"/>
      <c r="D103" s="114"/>
      <c r="E103" s="183" t="str">
        <f t="shared" si="21"/>
        <v/>
      </c>
      <c r="F103" s="184" t="str">
        <f t="shared" si="22"/>
        <v/>
      </c>
      <c r="G103" s="184">
        <v>0</v>
      </c>
      <c r="H103" s="184" t="e">
        <f>+F103-G103</f>
        <v>#VALUE!</v>
      </c>
      <c r="I103" s="185"/>
      <c r="J103" s="186" t="e">
        <f>+E103*#REF!</f>
        <v>#VALUE!</v>
      </c>
      <c r="K103" s="166"/>
      <c r="M103" s="113"/>
      <c r="N103" s="114"/>
      <c r="O103" s="114"/>
      <c r="P103" s="183" t="str">
        <f t="shared" si="23"/>
        <v/>
      </c>
      <c r="Q103" s="184" t="str">
        <f t="shared" si="24"/>
        <v/>
      </c>
      <c r="R103" s="184"/>
      <c r="S103" s="184" t="str">
        <f t="shared" si="25"/>
        <v/>
      </c>
      <c r="T103" s="185"/>
      <c r="U103" s="186" t="e">
        <f>+P103*#REF!</f>
        <v>#VALUE!</v>
      </c>
      <c r="V103" s="166"/>
    </row>
    <row r="104" spans="2:22" ht="18.75" thickBot="1" x14ac:dyDescent="0.4">
      <c r="B104" s="116"/>
      <c r="C104" s="117"/>
      <c r="D104" s="230"/>
      <c r="E104" s="232" t="str">
        <f t="shared" si="21"/>
        <v/>
      </c>
      <c r="F104" s="379" t="str">
        <f t="shared" si="22"/>
        <v/>
      </c>
      <c r="G104" s="314">
        <v>0</v>
      </c>
      <c r="H104" s="119" t="e">
        <f>+F104-G104</f>
        <v>#VALUE!</v>
      </c>
      <c r="I104" s="120"/>
      <c r="J104" s="187" t="e">
        <f>+E104*#REF!</f>
        <v>#VALUE!</v>
      </c>
      <c r="K104" s="188"/>
      <c r="M104" s="116"/>
      <c r="N104" s="117"/>
      <c r="O104" s="230"/>
      <c r="P104" s="232" t="str">
        <f t="shared" si="23"/>
        <v/>
      </c>
      <c r="Q104" s="379" t="str">
        <f t="shared" si="24"/>
        <v/>
      </c>
      <c r="R104" s="314"/>
      <c r="S104" s="119" t="str">
        <f t="shared" si="25"/>
        <v/>
      </c>
      <c r="T104" s="120"/>
      <c r="U104" s="187" t="e">
        <f>+P104*#REF!</f>
        <v>#VALUE!</v>
      </c>
      <c r="V104" s="188"/>
    </row>
    <row r="105" spans="2:22" ht="18.75" thickBot="1" x14ac:dyDescent="0.4">
      <c r="B105" s="121"/>
      <c r="C105" s="118"/>
      <c r="D105" s="118"/>
      <c r="E105" s="118">
        <f t="shared" ref="E105:J105" si="26">SUM(E93:E104)</f>
        <v>118</v>
      </c>
      <c r="F105" s="119">
        <f t="shared" si="26"/>
        <v>118000</v>
      </c>
      <c r="G105" s="119">
        <f t="shared" si="26"/>
        <v>0</v>
      </c>
      <c r="H105" s="119" t="e">
        <f t="shared" si="26"/>
        <v>#VALUE!</v>
      </c>
      <c r="I105" s="122">
        <f t="shared" si="26"/>
        <v>0</v>
      </c>
      <c r="J105" s="122" t="e">
        <f t="shared" si="26"/>
        <v>#REF!</v>
      </c>
      <c r="K105" s="188" t="e">
        <f>+H105*0.6-I105-J105-G105</f>
        <v>#VALUE!</v>
      </c>
      <c r="M105" s="121"/>
      <c r="N105" s="118"/>
      <c r="O105" s="118"/>
      <c r="P105" s="118">
        <f t="shared" ref="P105:U105" si="27">SUM(P93:P104)</f>
        <v>42</v>
      </c>
      <c r="Q105" s="119">
        <f t="shared" si="27"/>
        <v>42000</v>
      </c>
      <c r="R105" s="119">
        <f t="shared" si="27"/>
        <v>0</v>
      </c>
      <c r="S105" s="119">
        <f t="shared" si="27"/>
        <v>6000</v>
      </c>
      <c r="T105" s="122">
        <f t="shared" si="27"/>
        <v>0</v>
      </c>
      <c r="U105" s="122" t="e">
        <f t="shared" si="27"/>
        <v>#REF!</v>
      </c>
      <c r="V105" s="188" t="e">
        <f>+S105*0.6-T105-U105-R105</f>
        <v>#REF!</v>
      </c>
    </row>
    <row r="107" spans="2:22" ht="15.75" thickBot="1" x14ac:dyDescent="0.25">
      <c r="B107" t="s">
        <v>177</v>
      </c>
      <c r="M107" t="s">
        <v>175</v>
      </c>
    </row>
    <row r="108" spans="2:22" ht="18.75" thickBot="1" x14ac:dyDescent="0.25">
      <c r="B108" s="82" t="s">
        <v>142</v>
      </c>
      <c r="C108" s="74" t="s">
        <v>162</v>
      </c>
      <c r="D108" s="74" t="s">
        <v>143</v>
      </c>
      <c r="E108" s="74" t="s">
        <v>144</v>
      </c>
      <c r="F108" s="74" t="s">
        <v>145</v>
      </c>
      <c r="G108" s="74" t="s">
        <v>163</v>
      </c>
      <c r="H108" s="74" t="s">
        <v>164</v>
      </c>
      <c r="I108" s="159" t="s">
        <v>165</v>
      </c>
      <c r="J108" s="75" t="s">
        <v>166</v>
      </c>
      <c r="K108" s="75" t="s">
        <v>146</v>
      </c>
      <c r="M108" s="82" t="s">
        <v>142</v>
      </c>
      <c r="N108" s="74" t="s">
        <v>162</v>
      </c>
      <c r="O108" s="74" t="s">
        <v>143</v>
      </c>
      <c r="P108" s="74" t="s">
        <v>144</v>
      </c>
      <c r="Q108" s="74" t="s">
        <v>145</v>
      </c>
      <c r="R108" s="74" t="s">
        <v>163</v>
      </c>
      <c r="S108" s="74" t="s">
        <v>164</v>
      </c>
      <c r="T108" s="159" t="s">
        <v>165</v>
      </c>
      <c r="U108" s="75" t="s">
        <v>166</v>
      </c>
      <c r="V108" s="75" t="s">
        <v>146</v>
      </c>
    </row>
    <row r="109" spans="2:22" ht="18" x14ac:dyDescent="0.35">
      <c r="B109" s="182">
        <v>46134</v>
      </c>
      <c r="C109" s="183"/>
      <c r="D109" s="183">
        <v>11420</v>
      </c>
      <c r="E109" s="183">
        <f>IF(D109="","",D109-D97)</f>
        <v>13</v>
      </c>
      <c r="F109" s="184">
        <f>+E109*1000</f>
        <v>13000</v>
      </c>
      <c r="G109" s="184">
        <v>0</v>
      </c>
      <c r="H109" s="184">
        <f>+F109-G109</f>
        <v>13000</v>
      </c>
      <c r="I109" s="112"/>
      <c r="J109" s="186" t="e">
        <f>+E109*#REF!</f>
        <v>#REF!</v>
      </c>
      <c r="K109" s="166"/>
      <c r="M109" s="182">
        <v>46134</v>
      </c>
      <c r="N109" s="183"/>
      <c r="O109" s="183">
        <v>6585</v>
      </c>
      <c r="P109" s="183">
        <f>IF(O109="","",O109-O97)</f>
        <v>8</v>
      </c>
      <c r="Q109" s="184">
        <f>+P109*1000</f>
        <v>8000</v>
      </c>
      <c r="R109" s="184">
        <v>0</v>
      </c>
      <c r="S109" s="184">
        <f>+Q109-R109</f>
        <v>8000</v>
      </c>
      <c r="T109" s="112"/>
      <c r="U109" s="186" t="e">
        <f>+P109*#REF!</f>
        <v>#REF!</v>
      </c>
      <c r="V109" s="166"/>
    </row>
    <row r="110" spans="2:22" ht="18" x14ac:dyDescent="0.35">
      <c r="B110" s="182">
        <v>46140</v>
      </c>
      <c r="C110" s="114"/>
      <c r="D110" s="183">
        <v>11433</v>
      </c>
      <c r="E110" s="183">
        <f>IF(D110="","",D110-D109)</f>
        <v>13</v>
      </c>
      <c r="F110" s="184">
        <f>IF(D110="","",E110*1000)</f>
        <v>13000</v>
      </c>
      <c r="G110" s="184">
        <v>0</v>
      </c>
      <c r="H110" s="184">
        <f>+F110-G110</f>
        <v>13000</v>
      </c>
      <c r="I110" s="185"/>
      <c r="J110" s="186" t="e">
        <f>+E110*#REF!</f>
        <v>#REF!</v>
      </c>
      <c r="K110" s="166"/>
      <c r="M110" s="182">
        <v>46140</v>
      </c>
      <c r="N110" s="114"/>
      <c r="O110" s="183">
        <v>6595</v>
      </c>
      <c r="P110" s="183">
        <f>IF(O110="","",O110-O109)</f>
        <v>10</v>
      </c>
      <c r="Q110" s="184">
        <f>IF(O110="","",P110*1000)</f>
        <v>10000</v>
      </c>
      <c r="R110" s="184">
        <v>0</v>
      </c>
      <c r="S110" s="184">
        <f>+Q110-R110</f>
        <v>10000</v>
      </c>
      <c r="T110" s="185"/>
      <c r="U110" s="186" t="e">
        <f>+P110*#REF!</f>
        <v>#REF!</v>
      </c>
      <c r="V110" s="166"/>
    </row>
    <row r="111" spans="2:22" ht="18" x14ac:dyDescent="0.35">
      <c r="B111" s="182">
        <v>46150</v>
      </c>
      <c r="C111" s="114"/>
      <c r="D111" s="183">
        <v>11474</v>
      </c>
      <c r="E111" s="183">
        <f>IF(D111="","",D111-D110)</f>
        <v>41</v>
      </c>
      <c r="F111" s="184">
        <f>IF(D111="","",E111*1000)</f>
        <v>41000</v>
      </c>
      <c r="G111" s="184">
        <v>0</v>
      </c>
      <c r="H111" s="184">
        <f>+F111-G111</f>
        <v>41000</v>
      </c>
      <c r="I111" s="185"/>
      <c r="J111" s="186" t="e">
        <f>+E111*#REF!</f>
        <v>#REF!</v>
      </c>
      <c r="K111" s="166"/>
      <c r="M111" s="182">
        <v>46150</v>
      </c>
      <c r="N111" s="114"/>
      <c r="O111" s="183">
        <v>6631</v>
      </c>
      <c r="P111" s="183">
        <f>IF(O111="","",O111-O110)</f>
        <v>36</v>
      </c>
      <c r="Q111" s="184">
        <f>IF(O111="","",P111*1000)</f>
        <v>36000</v>
      </c>
      <c r="R111" s="184"/>
      <c r="S111" s="184">
        <f>IF(Q111="","",R111*1000)</f>
        <v>0</v>
      </c>
      <c r="T111" s="185"/>
      <c r="U111" s="186" t="e">
        <f>+P111*#REF!</f>
        <v>#REF!</v>
      </c>
      <c r="V111" s="166"/>
    </row>
    <row r="112" spans="2:22" ht="18" x14ac:dyDescent="0.35">
      <c r="B112" s="182">
        <v>46155</v>
      </c>
      <c r="C112" s="114"/>
      <c r="D112" s="183">
        <v>11491</v>
      </c>
      <c r="E112" s="183">
        <f>IF(D112="","",D112-D111)</f>
        <v>17</v>
      </c>
      <c r="F112" s="184">
        <f>IF(D112="","",E112*1000)</f>
        <v>17000</v>
      </c>
      <c r="G112" s="184">
        <v>0</v>
      </c>
      <c r="H112" s="184">
        <f>+F112-G112</f>
        <v>17000</v>
      </c>
      <c r="I112" s="185"/>
      <c r="J112" s="186" t="e">
        <f>+E112*#REF!</f>
        <v>#REF!</v>
      </c>
      <c r="K112" s="166"/>
      <c r="M112" s="182">
        <v>46155</v>
      </c>
      <c r="N112" s="114"/>
      <c r="O112" s="183">
        <v>6641</v>
      </c>
      <c r="P112" s="183">
        <f>IF(O112="","",O112-O111)</f>
        <v>10</v>
      </c>
      <c r="Q112" s="184">
        <f>IF(O112="","",P112*1000)</f>
        <v>10000</v>
      </c>
      <c r="R112" s="184"/>
      <c r="S112" s="184">
        <f>IF(Q112="","",R112*1000)</f>
        <v>0</v>
      </c>
      <c r="T112" s="185"/>
      <c r="U112" s="186" t="e">
        <f>+P112*#REF!</f>
        <v>#REF!</v>
      </c>
      <c r="V112" s="166"/>
    </row>
    <row r="113" spans="2:22" ht="18" x14ac:dyDescent="0.35">
      <c r="B113" s="182">
        <v>46160</v>
      </c>
      <c r="C113" s="114"/>
      <c r="D113" s="183">
        <v>11509</v>
      </c>
      <c r="E113" s="183">
        <f>IF(D113="","",D113-D112)</f>
        <v>18</v>
      </c>
      <c r="F113" s="184">
        <f>IF(D113="","",E113*1000)</f>
        <v>18000</v>
      </c>
      <c r="G113" s="184"/>
      <c r="H113" s="184"/>
      <c r="I113" s="185"/>
      <c r="J113" s="186"/>
      <c r="K113" s="166"/>
      <c r="M113" s="182">
        <v>46160</v>
      </c>
      <c r="N113" s="114"/>
      <c r="O113" s="183">
        <v>6647</v>
      </c>
      <c r="P113" s="183">
        <f>IF(O113="","",O113-O112)</f>
        <v>6</v>
      </c>
      <c r="Q113" s="184">
        <f>IF(O113="","",P113*1000)</f>
        <v>6000</v>
      </c>
      <c r="R113" s="184"/>
      <c r="S113" s="184">
        <f>IF(Q113="","",R113*1000)</f>
        <v>0</v>
      </c>
      <c r="T113" s="185"/>
      <c r="U113" s="186"/>
      <c r="V113" s="166"/>
    </row>
    <row r="114" spans="2:22" ht="18" x14ac:dyDescent="0.35">
      <c r="B114" s="113"/>
      <c r="C114" s="114"/>
      <c r="D114" s="114"/>
      <c r="E114" s="183" t="str">
        <f>IF(D114="","",D114-D113)</f>
        <v/>
      </c>
      <c r="F114" s="184" t="str">
        <f>IF(D114="","",E114*1000)</f>
        <v/>
      </c>
      <c r="G114" s="184"/>
      <c r="H114" s="184"/>
      <c r="I114" s="185"/>
      <c r="J114" s="186"/>
      <c r="K114" s="166"/>
      <c r="M114" s="113"/>
      <c r="N114" s="114"/>
      <c r="O114" s="114"/>
      <c r="P114" s="183" t="str">
        <f>IF(O114="","",O114-O113)</f>
        <v/>
      </c>
      <c r="Q114" s="184" t="str">
        <f>IF(O114="","",P114*1000)</f>
        <v/>
      </c>
      <c r="R114" s="184"/>
      <c r="S114" s="184" t="str">
        <f>IF(Q114="","",R114*1000)</f>
        <v/>
      </c>
      <c r="T114" s="185"/>
      <c r="U114" s="186"/>
      <c r="V114" s="166"/>
    </row>
    <row r="115" spans="2:22" ht="18" x14ac:dyDescent="0.35">
      <c r="B115" s="113"/>
      <c r="C115" s="114"/>
      <c r="D115" s="114"/>
      <c r="E115" s="183" t="str">
        <f>IF(D115="","",D115-D114)</f>
        <v/>
      </c>
      <c r="F115" s="184" t="str">
        <f>IF(D115="","",E115*1000)</f>
        <v/>
      </c>
      <c r="G115" s="184"/>
      <c r="H115" s="184"/>
      <c r="I115" s="185"/>
      <c r="J115" s="186"/>
      <c r="K115" s="166"/>
      <c r="M115" s="113"/>
      <c r="N115" s="114"/>
      <c r="O115" s="114"/>
      <c r="P115" s="183" t="str">
        <f>IF(O115="","",O115-O114)</f>
        <v/>
      </c>
      <c r="Q115" s="184" t="str">
        <f>IF(O115="","",P115*1000)</f>
        <v/>
      </c>
      <c r="R115" s="184"/>
      <c r="S115" s="184" t="str">
        <f>IF(Q115="","",R115*1000)</f>
        <v/>
      </c>
      <c r="T115" s="185"/>
      <c r="U115" s="186"/>
      <c r="V115" s="166"/>
    </row>
    <row r="116" spans="2:22" ht="18" x14ac:dyDescent="0.35">
      <c r="B116" s="113"/>
      <c r="C116" s="114"/>
      <c r="D116" s="114"/>
      <c r="E116" s="183" t="str">
        <f>IF(D116="","",D116-D115)</f>
        <v/>
      </c>
      <c r="F116" s="184" t="str">
        <f>IF(D116="","",E116*1000)</f>
        <v/>
      </c>
      <c r="G116" s="184"/>
      <c r="H116" s="184"/>
      <c r="I116" s="185"/>
      <c r="J116" s="186"/>
      <c r="K116" s="166"/>
      <c r="M116" s="113"/>
      <c r="N116" s="114"/>
      <c r="O116" s="114"/>
      <c r="P116" s="183" t="str">
        <f>IF(O116="","",O116-O115)</f>
        <v/>
      </c>
      <c r="Q116" s="184" t="str">
        <f>IF(O116="","",P116*1000)</f>
        <v/>
      </c>
      <c r="R116" s="184"/>
      <c r="S116" s="184" t="str">
        <f>IF(Q116="","",R116*1000)</f>
        <v/>
      </c>
      <c r="T116" s="185"/>
      <c r="U116" s="186"/>
      <c r="V116" s="166"/>
    </row>
    <row r="117" spans="2:22" ht="18" x14ac:dyDescent="0.35">
      <c r="B117" s="113"/>
      <c r="C117" s="114"/>
      <c r="D117" s="114"/>
      <c r="E117" s="183" t="str">
        <f>IF(D117="","",D117-D116)</f>
        <v/>
      </c>
      <c r="F117" s="184" t="str">
        <f>IF(D117="","",E117*1000)</f>
        <v/>
      </c>
      <c r="G117" s="184"/>
      <c r="H117" s="184"/>
      <c r="I117" s="185"/>
      <c r="J117" s="186"/>
      <c r="K117" s="166"/>
      <c r="M117" s="113"/>
      <c r="N117" s="114"/>
      <c r="O117" s="114"/>
      <c r="P117" s="183" t="str">
        <f>IF(O117="","",O117-O116)</f>
        <v/>
      </c>
      <c r="Q117" s="184" t="str">
        <f>IF(O117="","",P117*1000)</f>
        <v/>
      </c>
      <c r="R117" s="184"/>
      <c r="S117" s="184" t="str">
        <f>IF(Q117="","",R117*1000)</f>
        <v/>
      </c>
      <c r="T117" s="185"/>
      <c r="U117" s="186"/>
      <c r="V117" s="166"/>
    </row>
    <row r="118" spans="2:22" ht="18" x14ac:dyDescent="0.35">
      <c r="B118" s="113"/>
      <c r="C118" s="114"/>
      <c r="D118" s="114"/>
      <c r="E118" s="183" t="str">
        <f>IF(D118="","",D118-D117)</f>
        <v/>
      </c>
      <c r="F118" s="184" t="str">
        <f>IF(D118="","",E118*1000)</f>
        <v/>
      </c>
      <c r="G118" s="184"/>
      <c r="H118" s="184"/>
      <c r="I118" s="185"/>
      <c r="J118" s="186"/>
      <c r="K118" s="166"/>
      <c r="M118" s="113"/>
      <c r="N118" s="114"/>
      <c r="O118" s="114"/>
      <c r="P118" s="183" t="str">
        <f>IF(O118="","",O118-O117)</f>
        <v/>
      </c>
      <c r="Q118" s="184" t="str">
        <f>IF(O118="","",P118*1000)</f>
        <v/>
      </c>
      <c r="R118" s="184"/>
      <c r="S118" s="184" t="str">
        <f>IF(Q118="","",R118*1000)</f>
        <v/>
      </c>
      <c r="T118" s="185"/>
      <c r="U118" s="186"/>
      <c r="V118" s="166"/>
    </row>
    <row r="119" spans="2:22" ht="18" x14ac:dyDescent="0.35">
      <c r="B119" s="113"/>
      <c r="C119" s="114"/>
      <c r="D119" s="114"/>
      <c r="E119" s="183" t="str">
        <f>IF(D119="","",D119-D118)</f>
        <v/>
      </c>
      <c r="F119" s="184" t="str">
        <f>IF(D119="","",E119*1000)</f>
        <v/>
      </c>
      <c r="G119" s="184">
        <v>0</v>
      </c>
      <c r="H119" s="184" t="e">
        <f>+F119-G119</f>
        <v>#VALUE!</v>
      </c>
      <c r="I119" s="185"/>
      <c r="J119" s="186" t="e">
        <f>+E119*#REF!</f>
        <v>#VALUE!</v>
      </c>
      <c r="K119" s="166"/>
      <c r="M119" s="113"/>
      <c r="N119" s="114"/>
      <c r="O119" s="114"/>
      <c r="P119" s="183" t="str">
        <f>IF(O119="","",O119-O118)</f>
        <v/>
      </c>
      <c r="Q119" s="184" t="str">
        <f>IF(O119="","",P119*1000)</f>
        <v/>
      </c>
      <c r="R119" s="184"/>
      <c r="S119" s="184" t="str">
        <f>IF(Q119="","",R119*1000)</f>
        <v/>
      </c>
      <c r="T119" s="185"/>
      <c r="U119" s="186" t="e">
        <f>+P119*#REF!</f>
        <v>#VALUE!</v>
      </c>
      <c r="V119" s="166"/>
    </row>
    <row r="120" spans="2:22" ht="18.75" thickBot="1" x14ac:dyDescent="0.4">
      <c r="B120" s="116"/>
      <c r="C120" s="117"/>
      <c r="D120" s="230"/>
      <c r="E120" s="232" t="str">
        <f>IF(D120="","",D120-D119)</f>
        <v/>
      </c>
      <c r="F120" s="379" t="str">
        <f>IF(D120="","",E120*1000)</f>
        <v/>
      </c>
      <c r="G120" s="314">
        <v>0</v>
      </c>
      <c r="H120" s="119" t="e">
        <f>+F120-G120</f>
        <v>#VALUE!</v>
      </c>
      <c r="I120" s="120"/>
      <c r="J120" s="187" t="e">
        <f>+E120*#REF!</f>
        <v>#VALUE!</v>
      </c>
      <c r="K120" s="188"/>
      <c r="M120" s="116"/>
      <c r="N120" s="117"/>
      <c r="O120" s="230"/>
      <c r="P120" s="232" t="str">
        <f>IF(O120="","",O120-O119)</f>
        <v/>
      </c>
      <c r="Q120" s="379" t="str">
        <f>IF(O120="","",P120*1000)</f>
        <v/>
      </c>
      <c r="R120" s="314"/>
      <c r="S120" s="119" t="str">
        <f>IF(Q120="","",R120*1000)</f>
        <v/>
      </c>
      <c r="T120" s="120"/>
      <c r="U120" s="187" t="e">
        <f>+P120*#REF!</f>
        <v>#VALUE!</v>
      </c>
      <c r="V120" s="188"/>
    </row>
    <row r="121" spans="2:22" ht="18.75" thickBot="1" x14ac:dyDescent="0.4">
      <c r="B121" s="121"/>
      <c r="C121" s="118"/>
      <c r="D121" s="118"/>
      <c r="E121" s="118">
        <f>SUM(E109:E120)</f>
        <v>102</v>
      </c>
      <c r="F121" s="119">
        <f>SUM(F109:F120)</f>
        <v>102000</v>
      </c>
      <c r="G121" s="119">
        <f>SUM(G109:G120)</f>
        <v>0</v>
      </c>
      <c r="H121" s="119" t="e">
        <f>SUM(H109:H120)</f>
        <v>#VALUE!</v>
      </c>
      <c r="I121" s="122">
        <f>SUM(I109:I120)</f>
        <v>0</v>
      </c>
      <c r="J121" s="122" t="e">
        <f>SUM(J109:J120)</f>
        <v>#REF!</v>
      </c>
      <c r="K121" s="188" t="e">
        <f>+H121*0.6-I121-J121-G121</f>
        <v>#VALUE!</v>
      </c>
      <c r="M121" s="121"/>
      <c r="N121" s="118"/>
      <c r="O121" s="118"/>
      <c r="P121" s="118">
        <f>SUM(P109:P120)</f>
        <v>70</v>
      </c>
      <c r="Q121" s="119">
        <f>SUM(Q109:Q120)</f>
        <v>70000</v>
      </c>
      <c r="R121" s="119">
        <f>SUM(R109:R120)</f>
        <v>0</v>
      </c>
      <c r="S121" s="119">
        <f>SUM(S109:S120)</f>
        <v>18000</v>
      </c>
      <c r="T121" s="122">
        <f>SUM(T109:T120)</f>
        <v>0</v>
      </c>
      <c r="U121" s="122" t="e">
        <f>SUM(U109:U120)</f>
        <v>#REF!</v>
      </c>
      <c r="V121" s="188" t="e">
        <f>+S121*0.6-T121-U121-R121</f>
        <v>#REF!</v>
      </c>
    </row>
    <row r="123" spans="2:22" ht="15.75" thickBot="1" x14ac:dyDescent="0.25">
      <c r="B123" s="800" t="s">
        <v>177</v>
      </c>
      <c r="C123" s="800"/>
      <c r="D123" s="800"/>
      <c r="E123" s="800"/>
      <c r="F123" s="800"/>
      <c r="G123" s="800"/>
      <c r="H123" s="800"/>
      <c r="I123" s="800"/>
      <c r="J123" s="800"/>
      <c r="K123" s="800"/>
      <c r="L123" s="800"/>
      <c r="M123" s="800" t="s">
        <v>175</v>
      </c>
      <c r="N123" s="800"/>
      <c r="O123" s="800"/>
      <c r="P123" s="800"/>
      <c r="Q123" s="800"/>
      <c r="R123" s="800"/>
      <c r="S123" s="800"/>
      <c r="T123" s="800"/>
      <c r="U123" s="800"/>
      <c r="V123" s="800"/>
    </row>
    <row r="124" spans="2:22" ht="18.75" thickBot="1" x14ac:dyDescent="0.25">
      <c r="B124" s="82" t="s">
        <v>142</v>
      </c>
      <c r="C124" s="74" t="s">
        <v>162</v>
      </c>
      <c r="D124" s="74" t="s">
        <v>143</v>
      </c>
      <c r="E124" s="74" t="s">
        <v>144</v>
      </c>
      <c r="F124" s="74" t="s">
        <v>145</v>
      </c>
      <c r="G124" s="74" t="s">
        <v>163</v>
      </c>
      <c r="H124" s="74" t="s">
        <v>164</v>
      </c>
      <c r="I124" s="159" t="s">
        <v>165</v>
      </c>
      <c r="J124" s="75" t="s">
        <v>166</v>
      </c>
      <c r="K124" s="75" t="s">
        <v>146</v>
      </c>
      <c r="L124" s="800"/>
      <c r="M124" s="82" t="s">
        <v>142</v>
      </c>
      <c r="N124" s="74" t="s">
        <v>162</v>
      </c>
      <c r="O124" s="74" t="s">
        <v>143</v>
      </c>
      <c r="P124" s="74" t="s">
        <v>144</v>
      </c>
      <c r="Q124" s="74" t="s">
        <v>145</v>
      </c>
      <c r="R124" s="74" t="s">
        <v>163</v>
      </c>
      <c r="S124" s="74" t="s">
        <v>164</v>
      </c>
      <c r="T124" s="159" t="s">
        <v>165</v>
      </c>
      <c r="U124" s="75" t="s">
        <v>166</v>
      </c>
      <c r="V124" s="75" t="s">
        <v>146</v>
      </c>
    </row>
    <row r="125" spans="2:22" ht="18" x14ac:dyDescent="0.35">
      <c r="B125" s="182">
        <v>46162</v>
      </c>
      <c r="C125" s="183"/>
      <c r="D125" s="183">
        <v>11513</v>
      </c>
      <c r="E125" s="183">
        <f>IF(D125="","",D125-D113)</f>
        <v>4</v>
      </c>
      <c r="F125" s="184">
        <f>+E125*1000</f>
        <v>4000</v>
      </c>
      <c r="G125" s="184">
        <v>0</v>
      </c>
      <c r="H125" s="184">
        <f>+F125-G125</f>
        <v>4000</v>
      </c>
      <c r="I125" s="112"/>
      <c r="J125" s="186" t="e">
        <f>+E125*#REF!</f>
        <v>#REF!</v>
      </c>
      <c r="K125" s="166"/>
      <c r="L125" s="800"/>
      <c r="M125" s="182">
        <v>46162</v>
      </c>
      <c r="N125" s="183"/>
      <c r="O125" s="183">
        <v>6653</v>
      </c>
      <c r="P125" s="183">
        <f>IF(O125="","",O125-O113)</f>
        <v>6</v>
      </c>
      <c r="Q125" s="184">
        <f>+P125*1000</f>
        <v>6000</v>
      </c>
      <c r="R125" s="184">
        <v>0</v>
      </c>
      <c r="S125" s="184">
        <f>+Q125-R125</f>
        <v>6000</v>
      </c>
      <c r="T125" s="112"/>
      <c r="U125" s="186" t="e">
        <f>+P125*#REF!</f>
        <v>#REF!</v>
      </c>
      <c r="V125" s="166"/>
    </row>
    <row r="126" spans="2:22" ht="18" x14ac:dyDescent="0.35">
      <c r="B126" s="182">
        <v>46170</v>
      </c>
      <c r="C126" s="114"/>
      <c r="D126" s="183">
        <v>11536</v>
      </c>
      <c r="E126" s="183">
        <f>IF(D126="","",D126-D125)</f>
        <v>23</v>
      </c>
      <c r="F126" s="184">
        <f>IF(D126="","",E126*1000)</f>
        <v>23000</v>
      </c>
      <c r="G126" s="184">
        <v>0</v>
      </c>
      <c r="H126" s="184">
        <f>+F126-G126</f>
        <v>23000</v>
      </c>
      <c r="I126" s="185"/>
      <c r="J126" s="186" t="e">
        <f>+E126*#REF!</f>
        <v>#REF!</v>
      </c>
      <c r="K126" s="166"/>
      <c r="L126" s="800"/>
      <c r="M126" s="182">
        <v>46170</v>
      </c>
      <c r="N126" s="114"/>
      <c r="O126" s="183">
        <v>6671</v>
      </c>
      <c r="P126" s="183">
        <f>IF(O126="","",O126-O125)</f>
        <v>18</v>
      </c>
      <c r="Q126" s="184">
        <f>IF(O126="","",P126*1000)</f>
        <v>18000</v>
      </c>
      <c r="R126" s="184">
        <v>0</v>
      </c>
      <c r="S126" s="184">
        <f>+Q126-R126</f>
        <v>18000</v>
      </c>
      <c r="T126" s="185"/>
      <c r="U126" s="186" t="e">
        <f>+P126*#REF!</f>
        <v>#REF!</v>
      </c>
      <c r="V126" s="166"/>
    </row>
    <row r="127" spans="2:22" ht="18" x14ac:dyDescent="0.35">
      <c r="B127" s="182"/>
      <c r="C127" s="114"/>
      <c r="D127" s="183"/>
      <c r="E127" s="183" t="str">
        <f>IF(D127="","",D127-D126)</f>
        <v/>
      </c>
      <c r="F127" s="184" t="str">
        <f>IF(D127="","",E127*1000)</f>
        <v/>
      </c>
      <c r="G127" s="184">
        <v>0</v>
      </c>
      <c r="H127" s="184" t="e">
        <f>+F127-G127</f>
        <v>#VALUE!</v>
      </c>
      <c r="I127" s="185"/>
      <c r="J127" s="186" t="e">
        <f>+E127*#REF!</f>
        <v>#VALUE!</v>
      </c>
      <c r="K127" s="166"/>
      <c r="L127" s="800"/>
      <c r="M127" s="182"/>
      <c r="N127" s="114"/>
      <c r="O127" s="183"/>
      <c r="P127" s="183" t="str">
        <f>IF(O127="","",O127-O126)</f>
        <v/>
      </c>
      <c r="Q127" s="184" t="str">
        <f>IF(O127="","",P127*1000)</f>
        <v/>
      </c>
      <c r="R127" s="184"/>
      <c r="S127" s="184" t="str">
        <f>IF(Q127="","",R127*1000)</f>
        <v/>
      </c>
      <c r="T127" s="185"/>
      <c r="U127" s="186" t="e">
        <f>+P127*#REF!</f>
        <v>#VALUE!</v>
      </c>
      <c r="V127" s="166"/>
    </row>
    <row r="128" spans="2:22" ht="18" x14ac:dyDescent="0.35">
      <c r="B128" s="182"/>
      <c r="C128" s="114"/>
      <c r="D128" s="183"/>
      <c r="E128" s="183" t="str">
        <f>IF(D128="","",D128-D127)</f>
        <v/>
      </c>
      <c r="F128" s="184" t="str">
        <f>IF(D128="","",E128*1000)</f>
        <v/>
      </c>
      <c r="G128" s="184">
        <v>0</v>
      </c>
      <c r="H128" s="184" t="e">
        <f>+F128-G128</f>
        <v>#VALUE!</v>
      </c>
      <c r="I128" s="185"/>
      <c r="J128" s="186" t="e">
        <f>+E128*#REF!</f>
        <v>#VALUE!</v>
      </c>
      <c r="K128" s="166"/>
      <c r="L128" s="800"/>
      <c r="M128" s="182"/>
      <c r="N128" s="114"/>
      <c r="O128" s="183"/>
      <c r="P128" s="183" t="str">
        <f>IF(O128="","",O128-O127)</f>
        <v/>
      </c>
      <c r="Q128" s="184" t="str">
        <f>IF(O128="","",P128*1000)</f>
        <v/>
      </c>
      <c r="R128" s="184"/>
      <c r="S128" s="184" t="str">
        <f>IF(Q128="","",R128*1000)</f>
        <v/>
      </c>
      <c r="T128" s="185"/>
      <c r="U128" s="186" t="e">
        <f>+P128*#REF!</f>
        <v>#VALUE!</v>
      </c>
      <c r="V128" s="166"/>
    </row>
    <row r="129" spans="2:22" ht="18" x14ac:dyDescent="0.35">
      <c r="B129" s="182"/>
      <c r="C129" s="114"/>
      <c r="D129" s="183"/>
      <c r="E129" s="183" t="str">
        <f>IF(D129="","",D129-D128)</f>
        <v/>
      </c>
      <c r="F129" s="184" t="str">
        <f>IF(D129="","",E129*1000)</f>
        <v/>
      </c>
      <c r="G129" s="184"/>
      <c r="H129" s="184"/>
      <c r="I129" s="185"/>
      <c r="J129" s="186"/>
      <c r="K129" s="166"/>
      <c r="L129" s="800"/>
      <c r="M129" s="182"/>
      <c r="N129" s="114"/>
      <c r="O129" s="183"/>
      <c r="P129" s="183" t="str">
        <f>IF(O129="","",O129-O128)</f>
        <v/>
      </c>
      <c r="Q129" s="184" t="str">
        <f>IF(O129="","",P129*1000)</f>
        <v/>
      </c>
      <c r="R129" s="184"/>
      <c r="S129" s="184" t="str">
        <f>IF(Q129="","",R129*1000)</f>
        <v/>
      </c>
      <c r="T129" s="185"/>
      <c r="U129" s="186"/>
      <c r="V129" s="166"/>
    </row>
    <row r="130" spans="2:22" ht="18" x14ac:dyDescent="0.35">
      <c r="B130" s="113"/>
      <c r="C130" s="114"/>
      <c r="D130" s="114"/>
      <c r="E130" s="183" t="str">
        <f>IF(D130="","",D130-D129)</f>
        <v/>
      </c>
      <c r="F130" s="184" t="str">
        <f>IF(D130="","",E130*1000)</f>
        <v/>
      </c>
      <c r="G130" s="184"/>
      <c r="H130" s="184"/>
      <c r="I130" s="185"/>
      <c r="J130" s="186"/>
      <c r="K130" s="166"/>
      <c r="L130" s="800"/>
      <c r="M130" s="113"/>
      <c r="N130" s="114"/>
      <c r="O130" s="114"/>
      <c r="P130" s="183" t="str">
        <f>IF(O130="","",O130-O129)</f>
        <v/>
      </c>
      <c r="Q130" s="184" t="str">
        <f>IF(O130="","",P130*1000)</f>
        <v/>
      </c>
      <c r="R130" s="184"/>
      <c r="S130" s="184" t="str">
        <f>IF(Q130="","",R130*1000)</f>
        <v/>
      </c>
      <c r="T130" s="185"/>
      <c r="U130" s="186"/>
      <c r="V130" s="166"/>
    </row>
    <row r="131" spans="2:22" ht="18" x14ac:dyDescent="0.35">
      <c r="B131" s="113"/>
      <c r="C131" s="114"/>
      <c r="D131" s="114"/>
      <c r="E131" s="183" t="str">
        <f>IF(D131="","",D131-D130)</f>
        <v/>
      </c>
      <c r="F131" s="184" t="str">
        <f>IF(D131="","",E131*1000)</f>
        <v/>
      </c>
      <c r="G131" s="184"/>
      <c r="H131" s="184"/>
      <c r="I131" s="185"/>
      <c r="J131" s="186"/>
      <c r="K131" s="166"/>
      <c r="L131" s="800"/>
      <c r="M131" s="113"/>
      <c r="N131" s="114"/>
      <c r="O131" s="114"/>
      <c r="P131" s="183" t="str">
        <f>IF(O131="","",O131-O130)</f>
        <v/>
      </c>
      <c r="Q131" s="184" t="str">
        <f>IF(O131="","",P131*1000)</f>
        <v/>
      </c>
      <c r="R131" s="184"/>
      <c r="S131" s="184" t="str">
        <f>IF(Q131="","",R131*1000)</f>
        <v/>
      </c>
      <c r="T131" s="185"/>
      <c r="U131" s="186"/>
      <c r="V131" s="166"/>
    </row>
    <row r="132" spans="2:22" ht="18" x14ac:dyDescent="0.35">
      <c r="B132" s="113"/>
      <c r="C132" s="114"/>
      <c r="D132" s="114"/>
      <c r="E132" s="183" t="str">
        <f>IF(D132="","",D132-D131)</f>
        <v/>
      </c>
      <c r="F132" s="184" t="str">
        <f>IF(D132="","",E132*1000)</f>
        <v/>
      </c>
      <c r="G132" s="184"/>
      <c r="H132" s="184"/>
      <c r="I132" s="185"/>
      <c r="J132" s="186"/>
      <c r="K132" s="166"/>
      <c r="L132" s="800"/>
      <c r="M132" s="113"/>
      <c r="N132" s="114"/>
      <c r="O132" s="114"/>
      <c r="P132" s="183" t="str">
        <f>IF(O132="","",O132-O131)</f>
        <v/>
      </c>
      <c r="Q132" s="184" t="str">
        <f>IF(O132="","",P132*1000)</f>
        <v/>
      </c>
      <c r="R132" s="184"/>
      <c r="S132" s="184" t="str">
        <f>IF(Q132="","",R132*1000)</f>
        <v/>
      </c>
      <c r="T132" s="185"/>
      <c r="U132" s="186"/>
      <c r="V132" s="166"/>
    </row>
    <row r="133" spans="2:22" ht="18" x14ac:dyDescent="0.35">
      <c r="B133" s="113"/>
      <c r="C133" s="114"/>
      <c r="D133" s="114"/>
      <c r="E133" s="183" t="str">
        <f>IF(D133="","",D133-D132)</f>
        <v/>
      </c>
      <c r="F133" s="184" t="str">
        <f>IF(D133="","",E133*1000)</f>
        <v/>
      </c>
      <c r="G133" s="184"/>
      <c r="H133" s="184"/>
      <c r="I133" s="185"/>
      <c r="J133" s="186"/>
      <c r="K133" s="166"/>
      <c r="L133" s="800"/>
      <c r="M133" s="113"/>
      <c r="N133" s="114"/>
      <c r="O133" s="114"/>
      <c r="P133" s="183" t="str">
        <f>IF(O133="","",O133-O132)</f>
        <v/>
      </c>
      <c r="Q133" s="184" t="str">
        <f>IF(O133="","",P133*1000)</f>
        <v/>
      </c>
      <c r="R133" s="184"/>
      <c r="S133" s="184" t="str">
        <f>IF(Q133="","",R133*1000)</f>
        <v/>
      </c>
      <c r="T133" s="185"/>
      <c r="U133" s="186"/>
      <c r="V133" s="166"/>
    </row>
    <row r="134" spans="2:22" ht="18" x14ac:dyDescent="0.35">
      <c r="B134" s="113"/>
      <c r="C134" s="114"/>
      <c r="D134" s="114"/>
      <c r="E134" s="183" t="str">
        <f>IF(D134="","",D134-D133)</f>
        <v/>
      </c>
      <c r="F134" s="184" t="str">
        <f>IF(D134="","",E134*1000)</f>
        <v/>
      </c>
      <c r="G134" s="184"/>
      <c r="H134" s="184"/>
      <c r="I134" s="185"/>
      <c r="J134" s="186"/>
      <c r="K134" s="166"/>
      <c r="L134" s="800"/>
      <c r="M134" s="113"/>
      <c r="N134" s="114"/>
      <c r="O134" s="114"/>
      <c r="P134" s="183" t="str">
        <f>IF(O134="","",O134-O133)</f>
        <v/>
      </c>
      <c r="Q134" s="184" t="str">
        <f>IF(O134="","",P134*1000)</f>
        <v/>
      </c>
      <c r="R134" s="184"/>
      <c r="S134" s="184" t="str">
        <f>IF(Q134="","",R134*1000)</f>
        <v/>
      </c>
      <c r="T134" s="185"/>
      <c r="U134" s="186"/>
      <c r="V134" s="166"/>
    </row>
    <row r="135" spans="2:22" ht="18" x14ac:dyDescent="0.35">
      <c r="B135" s="113"/>
      <c r="C135" s="114"/>
      <c r="D135" s="114"/>
      <c r="E135" s="183" t="str">
        <f>IF(D135="","",D135-D134)</f>
        <v/>
      </c>
      <c r="F135" s="184" t="str">
        <f>IF(D135="","",E135*1000)</f>
        <v/>
      </c>
      <c r="G135" s="184">
        <v>0</v>
      </c>
      <c r="H135" s="184" t="e">
        <f>+F135-G135</f>
        <v>#VALUE!</v>
      </c>
      <c r="I135" s="185"/>
      <c r="J135" s="186" t="e">
        <f>+E135*#REF!</f>
        <v>#VALUE!</v>
      </c>
      <c r="K135" s="166"/>
      <c r="L135" s="800"/>
      <c r="M135" s="113"/>
      <c r="N135" s="114"/>
      <c r="O135" s="114"/>
      <c r="P135" s="183" t="str">
        <f>IF(O135="","",O135-O134)</f>
        <v/>
      </c>
      <c r="Q135" s="184" t="str">
        <f>IF(O135="","",P135*1000)</f>
        <v/>
      </c>
      <c r="R135" s="184"/>
      <c r="S135" s="184" t="str">
        <f>IF(Q135="","",R135*1000)</f>
        <v/>
      </c>
      <c r="T135" s="185"/>
      <c r="U135" s="186" t="e">
        <f>+P135*#REF!</f>
        <v>#VALUE!</v>
      </c>
      <c r="V135" s="166"/>
    </row>
    <row r="136" spans="2:22" ht="18.75" thickBot="1" x14ac:dyDescent="0.4">
      <c r="B136" s="116"/>
      <c r="C136" s="117"/>
      <c r="D136" s="230"/>
      <c r="E136" s="232" t="str">
        <f>IF(D136="","",D136-D135)</f>
        <v/>
      </c>
      <c r="F136" s="379" t="str">
        <f>IF(D136="","",E136*1000)</f>
        <v/>
      </c>
      <c r="G136" s="314">
        <v>0</v>
      </c>
      <c r="H136" s="119" t="e">
        <f>+F136-G136</f>
        <v>#VALUE!</v>
      </c>
      <c r="I136" s="120"/>
      <c r="J136" s="187" t="e">
        <f>+E136*#REF!</f>
        <v>#VALUE!</v>
      </c>
      <c r="K136" s="188"/>
      <c r="L136" s="800"/>
      <c r="M136" s="116"/>
      <c r="N136" s="117"/>
      <c r="O136" s="230"/>
      <c r="P136" s="232" t="str">
        <f>IF(O136="","",O136-O135)</f>
        <v/>
      </c>
      <c r="Q136" s="379" t="str">
        <f>IF(O136="","",P136*1000)</f>
        <v/>
      </c>
      <c r="R136" s="314"/>
      <c r="S136" s="119" t="str">
        <f>IF(Q136="","",R136*1000)</f>
        <v/>
      </c>
      <c r="T136" s="120"/>
      <c r="U136" s="187" t="e">
        <f>+P136*#REF!</f>
        <v>#VALUE!</v>
      </c>
      <c r="V136" s="188"/>
    </row>
    <row r="137" spans="2:22" ht="18.75" thickBot="1" x14ac:dyDescent="0.4">
      <c r="B137" s="121"/>
      <c r="C137" s="118"/>
      <c r="D137" s="118"/>
      <c r="E137" s="118">
        <f>SUM(E125:E136)</f>
        <v>27</v>
      </c>
      <c r="F137" s="119">
        <f>SUM(F125:F136)</f>
        <v>27000</v>
      </c>
      <c r="G137" s="119">
        <f>SUM(G125:G136)</f>
        <v>0</v>
      </c>
      <c r="H137" s="119" t="e">
        <f>SUM(H125:H136)</f>
        <v>#VALUE!</v>
      </c>
      <c r="I137" s="122">
        <f>SUM(I125:I136)</f>
        <v>0</v>
      </c>
      <c r="J137" s="122" t="e">
        <f>SUM(J125:J136)</f>
        <v>#REF!</v>
      </c>
      <c r="K137" s="188" t="e">
        <f>+H137*0.6-I137-J137-G137</f>
        <v>#VALUE!</v>
      </c>
      <c r="L137" s="800"/>
      <c r="M137" s="121"/>
      <c r="N137" s="118"/>
      <c r="O137" s="118"/>
      <c r="P137" s="118">
        <f>SUM(P125:P136)</f>
        <v>24</v>
      </c>
      <c r="Q137" s="119">
        <f>SUM(Q125:Q136)</f>
        <v>24000</v>
      </c>
      <c r="R137" s="119">
        <f>SUM(R125:R136)</f>
        <v>0</v>
      </c>
      <c r="S137" s="119">
        <f>SUM(S125:S136)</f>
        <v>24000</v>
      </c>
      <c r="T137" s="122">
        <f>SUM(T125:T136)</f>
        <v>0</v>
      </c>
      <c r="U137" s="122" t="e">
        <f>SUM(U125:U136)</f>
        <v>#REF!</v>
      </c>
      <c r="V137" s="188" t="e">
        <f>+S137*0.6-T137-U137-R137</f>
        <v>#REF!</v>
      </c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pageSetUpPr fitToPage="1"/>
  </sheetPr>
  <dimension ref="B1:V125"/>
  <sheetViews>
    <sheetView topLeftCell="B1" workbookViewId="0">
      <pane ySplit="1" topLeftCell="B109" activePane="bottomLeft" state="frozen"/>
      <selection activeCell="L1" sqref="L1"/>
      <selection pane="bottomLeft" activeCell="O117" sqref="O117"/>
    </sheetView>
  </sheetViews>
  <sheetFormatPr defaultColWidth="14.390625" defaultRowHeight="15" customHeight="1" x14ac:dyDescent="0.2"/>
  <cols>
    <col min="1" max="1" width="4.3046875" style="265" customWidth="1"/>
    <col min="2" max="2" width="14.9296875" style="265" customWidth="1"/>
    <col min="3" max="3" width="1.07421875" style="265" hidden="1" customWidth="1"/>
    <col min="4" max="4" width="13.046875" style="265" customWidth="1"/>
    <col min="5" max="5" width="9.28125" style="265" customWidth="1"/>
    <col min="6" max="6" width="14.125" style="265" customWidth="1"/>
    <col min="7" max="10" width="0.53515625" style="265" customWidth="1"/>
    <col min="11" max="11" width="18.4296875" style="265" customWidth="1"/>
    <col min="12" max="12" width="3.765625" style="265" customWidth="1"/>
    <col min="13" max="13" width="18.4296875" style="265" customWidth="1"/>
    <col min="14" max="14" width="0.671875" style="265" customWidth="1"/>
    <col min="15" max="15" width="13.046875" style="265" customWidth="1"/>
    <col min="16" max="16" width="12.23828125" style="265" customWidth="1"/>
    <col min="17" max="17" width="14.125" style="265" customWidth="1"/>
    <col min="18" max="21" width="0.265625" style="265" customWidth="1"/>
    <col min="22" max="22" width="26.36328125" style="265" customWidth="1"/>
    <col min="23" max="23" width="11.8359375" style="265" customWidth="1"/>
    <col min="24" max="25" width="9.01171875" style="265" customWidth="1"/>
    <col min="26" max="16384" width="14.390625" style="265"/>
  </cols>
  <sheetData>
    <row r="1" spans="2:22" ht="15" customHeight="1" thickBot="1" x14ac:dyDescent="0.3">
      <c r="B1" s="272" t="s">
        <v>167</v>
      </c>
      <c r="C1" s="301"/>
      <c r="D1" s="301"/>
      <c r="E1" s="301"/>
      <c r="F1" s="301"/>
      <c r="G1" s="301"/>
      <c r="H1" s="301"/>
      <c r="I1" s="301"/>
      <c r="J1" s="266"/>
      <c r="K1" s="301"/>
      <c r="L1" s="301"/>
      <c r="M1" s="312" t="s">
        <v>168</v>
      </c>
      <c r="N1" s="301"/>
      <c r="O1" s="301"/>
      <c r="P1" s="301"/>
      <c r="Q1" s="301"/>
      <c r="R1" s="301"/>
      <c r="S1" s="301"/>
      <c r="T1" s="301"/>
      <c r="U1" s="266"/>
      <c r="V1" s="301"/>
    </row>
    <row r="2" spans="2:22" ht="15" customHeight="1" thickBot="1" x14ac:dyDescent="0.25">
      <c r="B2" s="273" t="s">
        <v>169</v>
      </c>
      <c r="C2" s="268"/>
      <c r="D2" s="268" t="s">
        <v>170</v>
      </c>
      <c r="E2" s="268" t="s">
        <v>171</v>
      </c>
      <c r="F2" s="268" t="s">
        <v>172</v>
      </c>
      <c r="G2" s="268"/>
      <c r="H2" s="268"/>
      <c r="I2" s="269"/>
      <c r="J2" s="270"/>
      <c r="K2" s="270" t="s">
        <v>173</v>
      </c>
      <c r="L2" s="301"/>
      <c r="M2" s="267" t="s">
        <v>169</v>
      </c>
      <c r="N2" s="268"/>
      <c r="O2" s="268" t="s">
        <v>170</v>
      </c>
      <c r="P2" s="268" t="s">
        <v>171</v>
      </c>
      <c r="Q2" s="268" t="s">
        <v>172</v>
      </c>
      <c r="R2" s="268"/>
      <c r="S2" s="268"/>
      <c r="T2" s="269"/>
      <c r="U2" s="270"/>
      <c r="V2" s="270" t="s">
        <v>173</v>
      </c>
    </row>
    <row r="3" spans="2:22" ht="15" customHeight="1" x14ac:dyDescent="0.25">
      <c r="B3" s="274">
        <v>45924</v>
      </c>
      <c r="C3" s="275"/>
      <c r="D3" s="275">
        <v>12224</v>
      </c>
      <c r="E3" s="275">
        <v>64</v>
      </c>
      <c r="F3" s="276">
        <v>64000</v>
      </c>
      <c r="G3" s="276"/>
      <c r="H3" s="276"/>
      <c r="I3" s="277"/>
      <c r="J3" s="278"/>
      <c r="K3" s="302"/>
      <c r="L3" s="301"/>
      <c r="M3" s="274">
        <v>45924</v>
      </c>
      <c r="N3" s="275"/>
      <c r="O3" s="275">
        <v>3527</v>
      </c>
      <c r="P3" s="275">
        <v>113</v>
      </c>
      <c r="Q3" s="276">
        <v>113000</v>
      </c>
      <c r="R3" s="276"/>
      <c r="S3" s="276"/>
      <c r="T3" s="277"/>
      <c r="U3" s="278"/>
      <c r="V3" s="302"/>
    </row>
    <row r="4" spans="2:22" ht="15" customHeight="1" x14ac:dyDescent="0.25">
      <c r="B4" s="279">
        <v>45931</v>
      </c>
      <c r="C4" s="280"/>
      <c r="D4" s="280">
        <v>12370</v>
      </c>
      <c r="E4" s="275">
        <f t="shared" ref="E4:E12" si="0">IF(D4="","",D4-D3)</f>
        <v>146</v>
      </c>
      <c r="F4" s="276">
        <f t="shared" ref="F4:F12" si="1">IF(D4="","",E4*1000)</f>
        <v>146000</v>
      </c>
      <c r="G4" s="276"/>
      <c r="H4" s="276"/>
      <c r="I4" s="281"/>
      <c r="J4" s="278"/>
      <c r="K4" s="302"/>
      <c r="L4" s="301"/>
      <c r="M4" s="274">
        <f t="shared" ref="M4:M12" si="2">IF(B4="","",B4)</f>
        <v>45931</v>
      </c>
      <c r="N4" s="280"/>
      <c r="O4" s="275">
        <v>3588</v>
      </c>
      <c r="P4" s="275">
        <f t="shared" ref="P4:P12" si="3">IF(O4="","",O4-O3)</f>
        <v>61</v>
      </c>
      <c r="Q4" s="276">
        <f t="shared" ref="Q4:Q12" si="4">IF(O4="","",P4*1000)</f>
        <v>61000</v>
      </c>
      <c r="R4" s="276"/>
      <c r="S4" s="276"/>
      <c r="T4" s="281"/>
      <c r="U4" s="278"/>
      <c r="V4" s="302"/>
    </row>
    <row r="5" spans="2:22" ht="15" customHeight="1" x14ac:dyDescent="0.25">
      <c r="B5" s="279">
        <v>45934</v>
      </c>
      <c r="C5" s="280"/>
      <c r="D5" s="280">
        <v>12416</v>
      </c>
      <c r="E5" s="275">
        <f t="shared" si="0"/>
        <v>46</v>
      </c>
      <c r="F5" s="276">
        <f t="shared" si="1"/>
        <v>46000</v>
      </c>
      <c r="G5" s="276"/>
      <c r="H5" s="276"/>
      <c r="I5" s="281"/>
      <c r="J5" s="278"/>
      <c r="K5" s="302"/>
      <c r="L5" s="301"/>
      <c r="M5" s="274">
        <f t="shared" si="2"/>
        <v>45934</v>
      </c>
      <c r="N5" s="280"/>
      <c r="O5" s="275">
        <v>3619</v>
      </c>
      <c r="P5" s="275">
        <f t="shared" si="3"/>
        <v>31</v>
      </c>
      <c r="Q5" s="276">
        <f t="shared" si="4"/>
        <v>31000</v>
      </c>
      <c r="R5" s="276"/>
      <c r="S5" s="276"/>
      <c r="T5" s="281"/>
      <c r="U5" s="278"/>
      <c r="V5" s="302"/>
    </row>
    <row r="6" spans="2:22" ht="15" customHeight="1" x14ac:dyDescent="0.25">
      <c r="B6" s="279">
        <v>45938</v>
      </c>
      <c r="C6" s="280"/>
      <c r="D6" s="280">
        <v>12492</v>
      </c>
      <c r="E6" s="275">
        <f t="shared" si="0"/>
        <v>76</v>
      </c>
      <c r="F6" s="276">
        <f t="shared" si="1"/>
        <v>76000</v>
      </c>
      <c r="G6" s="276"/>
      <c r="H6" s="276"/>
      <c r="I6" s="281"/>
      <c r="J6" s="278"/>
      <c r="K6" s="282"/>
      <c r="L6" s="301"/>
      <c r="M6" s="274">
        <f>IF(B6="","",B6)</f>
        <v>45938</v>
      </c>
      <c r="N6" s="280"/>
      <c r="O6" s="275">
        <v>3652</v>
      </c>
      <c r="P6" s="275">
        <f t="shared" si="3"/>
        <v>33</v>
      </c>
      <c r="Q6" s="276">
        <f t="shared" si="4"/>
        <v>33000</v>
      </c>
      <c r="R6" s="276"/>
      <c r="S6" s="276"/>
      <c r="T6" s="281"/>
      <c r="U6" s="278"/>
      <c r="V6" s="302"/>
    </row>
    <row r="7" spans="2:22" ht="15" customHeight="1" x14ac:dyDescent="0.25">
      <c r="B7" s="279">
        <v>45946</v>
      </c>
      <c r="C7" s="280"/>
      <c r="D7" s="280">
        <v>12626</v>
      </c>
      <c r="E7" s="275">
        <f t="shared" si="0"/>
        <v>134</v>
      </c>
      <c r="F7" s="276">
        <f t="shared" si="1"/>
        <v>134000</v>
      </c>
      <c r="G7" s="276"/>
      <c r="H7" s="276"/>
      <c r="I7" s="281"/>
      <c r="J7" s="278"/>
      <c r="K7" s="302"/>
      <c r="L7" s="301"/>
      <c r="M7" s="274">
        <f t="shared" si="2"/>
        <v>45946</v>
      </c>
      <c r="N7" s="280"/>
      <c r="O7" s="275">
        <v>3757</v>
      </c>
      <c r="P7" s="275">
        <f t="shared" si="3"/>
        <v>105</v>
      </c>
      <c r="Q7" s="276">
        <f t="shared" si="4"/>
        <v>105000</v>
      </c>
      <c r="R7" s="276"/>
      <c r="S7" s="276"/>
      <c r="T7" s="281"/>
      <c r="U7" s="278"/>
      <c r="V7" s="302"/>
    </row>
    <row r="8" spans="2:22" ht="15" customHeight="1" x14ac:dyDescent="0.25">
      <c r="B8" s="279"/>
      <c r="C8" s="280"/>
      <c r="D8" s="280"/>
      <c r="E8" s="275" t="str">
        <f t="shared" si="0"/>
        <v/>
      </c>
      <c r="F8" s="276" t="str">
        <f t="shared" si="1"/>
        <v/>
      </c>
      <c r="G8" s="276"/>
      <c r="H8" s="276"/>
      <c r="I8" s="281"/>
      <c r="J8" s="278"/>
      <c r="K8" s="302"/>
      <c r="L8" s="303"/>
      <c r="M8" s="274" t="str">
        <f t="shared" si="2"/>
        <v/>
      </c>
      <c r="N8" s="280"/>
      <c r="O8" s="275"/>
      <c r="P8" s="275" t="str">
        <f t="shared" si="3"/>
        <v/>
      </c>
      <c r="Q8" s="276" t="str">
        <f t="shared" si="4"/>
        <v/>
      </c>
      <c r="R8" s="276"/>
      <c r="S8" s="276"/>
      <c r="T8" s="281"/>
      <c r="U8" s="278"/>
      <c r="V8" s="302"/>
    </row>
    <row r="9" spans="2:22" ht="15" customHeight="1" x14ac:dyDescent="0.25">
      <c r="B9" s="279"/>
      <c r="C9" s="280"/>
      <c r="D9" s="280"/>
      <c r="E9" s="275" t="str">
        <f t="shared" si="0"/>
        <v/>
      </c>
      <c r="F9" s="276" t="str">
        <f t="shared" si="1"/>
        <v/>
      </c>
      <c r="G9" s="276"/>
      <c r="H9" s="276"/>
      <c r="I9" s="281"/>
      <c r="J9" s="278"/>
      <c r="K9" s="302"/>
      <c r="L9" s="271"/>
      <c r="M9" s="274" t="str">
        <f t="shared" si="2"/>
        <v/>
      </c>
      <c r="N9" s="280"/>
      <c r="O9" s="275"/>
      <c r="P9" s="275" t="str">
        <f t="shared" si="3"/>
        <v/>
      </c>
      <c r="Q9" s="276" t="str">
        <f t="shared" si="4"/>
        <v/>
      </c>
      <c r="R9" s="276"/>
      <c r="S9" s="276"/>
      <c r="T9" s="281"/>
      <c r="U9" s="278"/>
      <c r="V9" s="302"/>
    </row>
    <row r="10" spans="2:22" ht="15" customHeight="1" x14ac:dyDescent="0.25">
      <c r="B10" s="279"/>
      <c r="C10" s="280"/>
      <c r="D10" s="283"/>
      <c r="E10" s="284" t="str">
        <f t="shared" si="0"/>
        <v/>
      </c>
      <c r="F10" s="276" t="str">
        <f t="shared" si="1"/>
        <v/>
      </c>
      <c r="G10" s="285"/>
      <c r="H10" s="285"/>
      <c r="I10" s="286"/>
      <c r="J10" s="287"/>
      <c r="K10" s="304"/>
      <c r="L10" s="303"/>
      <c r="M10" s="311" t="str">
        <f t="shared" si="2"/>
        <v/>
      </c>
      <c r="N10" s="283"/>
      <c r="O10" s="283"/>
      <c r="P10" s="275" t="str">
        <f t="shared" si="3"/>
        <v/>
      </c>
      <c r="Q10" s="276" t="str">
        <f t="shared" si="4"/>
        <v/>
      </c>
      <c r="R10" s="276"/>
      <c r="S10" s="276"/>
      <c r="T10" s="281"/>
      <c r="U10" s="278"/>
      <c r="V10" s="302"/>
    </row>
    <row r="11" spans="2:22" ht="15" customHeight="1" x14ac:dyDescent="0.25">
      <c r="B11" s="279"/>
      <c r="C11" s="280"/>
      <c r="D11" s="283"/>
      <c r="E11" s="284" t="str">
        <f t="shared" si="0"/>
        <v/>
      </c>
      <c r="F11" s="276" t="str">
        <f t="shared" si="1"/>
        <v/>
      </c>
      <c r="G11" s="285"/>
      <c r="H11" s="285"/>
      <c r="I11" s="286"/>
      <c r="J11" s="287"/>
      <c r="K11" s="304"/>
      <c r="L11" s="303"/>
      <c r="M11" s="309" t="str">
        <f t="shared" si="2"/>
        <v/>
      </c>
      <c r="N11" s="308" t="str">
        <f>IF(C11="","",C11)</f>
        <v/>
      </c>
      <c r="O11" s="283"/>
      <c r="P11" s="280" t="str">
        <f t="shared" si="3"/>
        <v/>
      </c>
      <c r="Q11" s="276" t="str">
        <f t="shared" si="4"/>
        <v/>
      </c>
      <c r="R11" s="276"/>
      <c r="S11" s="276"/>
      <c r="T11" s="281"/>
      <c r="U11" s="278"/>
      <c r="V11" s="302"/>
    </row>
    <row r="12" spans="2:22" ht="15" customHeight="1" x14ac:dyDescent="0.25">
      <c r="B12" s="279"/>
      <c r="C12" s="280"/>
      <c r="D12" s="280"/>
      <c r="E12" s="280" t="str">
        <f t="shared" si="0"/>
        <v/>
      </c>
      <c r="F12" s="276" t="str">
        <f t="shared" si="1"/>
        <v/>
      </c>
      <c r="G12" s="288"/>
      <c r="H12" s="288"/>
      <c r="I12" s="289"/>
      <c r="J12" s="290"/>
      <c r="K12" s="305"/>
      <c r="L12" s="306"/>
      <c r="M12" s="310" t="str">
        <f t="shared" si="2"/>
        <v/>
      </c>
      <c r="N12" s="308" t="str">
        <f>IF(C12="","",C12)</f>
        <v/>
      </c>
      <c r="O12" s="280"/>
      <c r="P12" s="275" t="str">
        <f t="shared" si="3"/>
        <v/>
      </c>
      <c r="Q12" s="276" t="str">
        <f t="shared" si="4"/>
        <v/>
      </c>
      <c r="R12" s="276"/>
      <c r="S12" s="276"/>
      <c r="T12" s="281"/>
      <c r="U12" s="278"/>
      <c r="V12" s="302"/>
    </row>
    <row r="13" spans="2:22" ht="15" customHeight="1" thickBot="1" x14ac:dyDescent="0.3">
      <c r="B13" s="291"/>
      <c r="C13" s="292"/>
      <c r="D13" s="293"/>
      <c r="E13" s="293">
        <f>SUM(E3:E12)</f>
        <v>466</v>
      </c>
      <c r="F13" s="293">
        <f>SUM(F3:F12)</f>
        <v>466000</v>
      </c>
      <c r="G13" s="293"/>
      <c r="H13" s="293"/>
      <c r="I13" s="293"/>
      <c r="J13" s="294"/>
      <c r="K13" s="295"/>
      <c r="L13" s="296"/>
      <c r="M13" s="297"/>
      <c r="N13" s="293"/>
      <c r="O13" s="293"/>
      <c r="P13" s="293">
        <f>SUM(P3:P12)</f>
        <v>343</v>
      </c>
      <c r="Q13" s="298">
        <f>SUM(Q3:Q12)</f>
        <v>343000</v>
      </c>
      <c r="R13" s="298"/>
      <c r="S13" s="298"/>
      <c r="T13" s="299"/>
      <c r="U13" s="300"/>
      <c r="V13" s="307"/>
    </row>
    <row r="15" spans="2:22" ht="15" customHeight="1" thickBot="1" x14ac:dyDescent="0.3">
      <c r="B15" s="272" t="s">
        <v>167</v>
      </c>
      <c r="C15" s="301"/>
      <c r="D15" s="301"/>
      <c r="E15" s="301"/>
      <c r="F15" s="301"/>
      <c r="G15" s="301"/>
      <c r="H15" s="301"/>
      <c r="I15" s="301"/>
      <c r="J15" s="266"/>
      <c r="K15" s="301"/>
      <c r="L15" s="301"/>
      <c r="M15" s="312" t="s">
        <v>168</v>
      </c>
      <c r="N15" s="301"/>
      <c r="O15" s="301"/>
      <c r="P15" s="301"/>
      <c r="Q15" s="301"/>
      <c r="R15" s="301"/>
      <c r="S15" s="301"/>
      <c r="T15" s="301"/>
      <c r="U15" s="266"/>
      <c r="V15" s="301"/>
    </row>
    <row r="16" spans="2:22" ht="15" customHeight="1" thickBot="1" x14ac:dyDescent="0.25">
      <c r="B16" s="273" t="s">
        <v>169</v>
      </c>
      <c r="C16" s="268"/>
      <c r="D16" s="268" t="s">
        <v>170</v>
      </c>
      <c r="E16" s="268" t="s">
        <v>171</v>
      </c>
      <c r="F16" s="268" t="s">
        <v>172</v>
      </c>
      <c r="G16" s="268"/>
      <c r="H16" s="268"/>
      <c r="I16" s="269"/>
      <c r="J16" s="270"/>
      <c r="K16" s="270" t="s">
        <v>173</v>
      </c>
      <c r="L16" s="301"/>
      <c r="M16" s="267" t="s">
        <v>169</v>
      </c>
      <c r="N16" s="268"/>
      <c r="O16" s="268" t="s">
        <v>170</v>
      </c>
      <c r="P16" s="268" t="s">
        <v>171</v>
      </c>
      <c r="Q16" s="268" t="s">
        <v>172</v>
      </c>
      <c r="R16" s="268"/>
      <c r="S16" s="268"/>
      <c r="T16" s="269"/>
      <c r="U16" s="270"/>
      <c r="V16" s="270" t="s">
        <v>173</v>
      </c>
    </row>
    <row r="17" spans="2:22" ht="15" customHeight="1" x14ac:dyDescent="0.25">
      <c r="B17" s="274">
        <v>45952</v>
      </c>
      <c r="C17" s="275"/>
      <c r="D17" s="275">
        <v>12696</v>
      </c>
      <c r="E17" s="275">
        <f>IF(D17="","",D17-D7)</f>
        <v>70</v>
      </c>
      <c r="F17" s="276">
        <f t="shared" ref="F17:F26" si="5">IF(D17="","",E17*1000)</f>
        <v>70000</v>
      </c>
      <c r="G17" s="276"/>
      <c r="H17" s="276"/>
      <c r="I17" s="277"/>
      <c r="J17" s="278"/>
      <c r="K17" s="302"/>
      <c r="L17" s="301"/>
      <c r="M17" s="274">
        <f t="shared" ref="M17:M19" si="6">IF(B17="","",B17)</f>
        <v>45952</v>
      </c>
      <c r="N17" s="275"/>
      <c r="O17" s="275">
        <v>3797</v>
      </c>
      <c r="P17" s="275">
        <f>IF(O17="","",O17-O7)</f>
        <v>40</v>
      </c>
      <c r="Q17" s="276">
        <f>IF(O17="","",P17*1000)</f>
        <v>40000</v>
      </c>
      <c r="R17" s="276"/>
      <c r="S17" s="276"/>
      <c r="T17" s="277"/>
      <c r="U17" s="278"/>
      <c r="V17" s="302"/>
    </row>
    <row r="18" spans="2:22" ht="15" customHeight="1" x14ac:dyDescent="0.25">
      <c r="B18" s="279">
        <v>45959</v>
      </c>
      <c r="C18" s="280"/>
      <c r="D18" s="280">
        <v>12738</v>
      </c>
      <c r="E18" s="275">
        <f t="shared" ref="E18:E26" si="7">IF(D18="","",D18-D17)</f>
        <v>42</v>
      </c>
      <c r="F18" s="276">
        <f t="shared" si="5"/>
        <v>42000</v>
      </c>
      <c r="G18" s="276"/>
      <c r="H18" s="276"/>
      <c r="I18" s="281"/>
      <c r="J18" s="278"/>
      <c r="K18" s="302"/>
      <c r="L18" s="301"/>
      <c r="M18" s="274">
        <f t="shared" si="6"/>
        <v>45959</v>
      </c>
      <c r="N18" s="280"/>
      <c r="O18" s="275">
        <v>3864</v>
      </c>
      <c r="P18" s="275">
        <f t="shared" ref="P18:P26" si="8">IF(O18="","",O18-O17)</f>
        <v>67</v>
      </c>
      <c r="Q18" s="276">
        <f t="shared" ref="Q18:Q26" si="9">IF(O18="","",P18*1000)</f>
        <v>67000</v>
      </c>
      <c r="R18" s="276"/>
      <c r="S18" s="276"/>
      <c r="T18" s="281"/>
      <c r="U18" s="278"/>
      <c r="V18" s="302"/>
    </row>
    <row r="19" spans="2:22" ht="15" customHeight="1" x14ac:dyDescent="0.25">
      <c r="B19" s="279">
        <v>45966</v>
      </c>
      <c r="C19" s="280"/>
      <c r="D19" s="280">
        <v>12790</v>
      </c>
      <c r="E19" s="275">
        <f t="shared" si="7"/>
        <v>52</v>
      </c>
      <c r="F19" s="276">
        <f t="shared" si="5"/>
        <v>52000</v>
      </c>
      <c r="G19" s="276"/>
      <c r="H19" s="276"/>
      <c r="I19" s="281"/>
      <c r="J19" s="278"/>
      <c r="K19" s="302"/>
      <c r="L19" s="301"/>
      <c r="M19" s="274">
        <f t="shared" si="6"/>
        <v>45966</v>
      </c>
      <c r="N19" s="280"/>
      <c r="O19" s="275">
        <v>3927</v>
      </c>
      <c r="P19" s="275">
        <f t="shared" si="8"/>
        <v>63</v>
      </c>
      <c r="Q19" s="276">
        <f t="shared" si="9"/>
        <v>63000</v>
      </c>
      <c r="R19" s="276"/>
      <c r="S19" s="276"/>
      <c r="T19" s="281"/>
      <c r="U19" s="278"/>
      <c r="V19" s="302"/>
    </row>
    <row r="20" spans="2:22" ht="15" customHeight="1" x14ac:dyDescent="0.25">
      <c r="B20" s="279">
        <v>45973</v>
      </c>
      <c r="C20" s="280"/>
      <c r="D20" s="280">
        <v>12886</v>
      </c>
      <c r="E20" s="275">
        <f t="shared" si="7"/>
        <v>96</v>
      </c>
      <c r="F20" s="276">
        <f t="shared" si="5"/>
        <v>96000</v>
      </c>
      <c r="G20" s="276"/>
      <c r="H20" s="276"/>
      <c r="I20" s="281"/>
      <c r="J20" s="278"/>
      <c r="K20" s="282"/>
      <c r="L20" s="301"/>
      <c r="M20" s="274">
        <f>IF(B20="","",B20)</f>
        <v>45973</v>
      </c>
      <c r="N20" s="280"/>
      <c r="O20" s="275">
        <v>3996</v>
      </c>
      <c r="P20" s="275">
        <f t="shared" si="8"/>
        <v>69</v>
      </c>
      <c r="Q20" s="276">
        <f t="shared" si="9"/>
        <v>69000</v>
      </c>
      <c r="R20" s="276"/>
      <c r="S20" s="276"/>
      <c r="T20" s="281"/>
      <c r="U20" s="278"/>
      <c r="V20" s="302"/>
    </row>
    <row r="21" spans="2:22" ht="15" customHeight="1" x14ac:dyDescent="0.25">
      <c r="B21" s="279">
        <v>45978</v>
      </c>
      <c r="C21" s="280"/>
      <c r="D21" s="280">
        <v>12908</v>
      </c>
      <c r="E21" s="275">
        <f t="shared" si="7"/>
        <v>22</v>
      </c>
      <c r="F21" s="276">
        <f t="shared" si="5"/>
        <v>22000</v>
      </c>
      <c r="G21" s="276"/>
      <c r="H21" s="276"/>
      <c r="I21" s="281"/>
      <c r="J21" s="278"/>
      <c r="K21" s="302"/>
      <c r="L21" s="301"/>
      <c r="M21" s="274">
        <f>IF(B21="","",B21)</f>
        <v>45978</v>
      </c>
      <c r="N21" s="280"/>
      <c r="O21" s="275">
        <v>4031</v>
      </c>
      <c r="P21" s="275">
        <f t="shared" si="8"/>
        <v>35</v>
      </c>
      <c r="Q21" s="276">
        <f t="shared" si="9"/>
        <v>35000</v>
      </c>
      <c r="R21" s="276"/>
      <c r="S21" s="276"/>
      <c r="T21" s="281"/>
      <c r="U21" s="278"/>
      <c r="V21" s="302"/>
    </row>
    <row r="22" spans="2:22" ht="15" customHeight="1" x14ac:dyDescent="0.25">
      <c r="B22" s="279"/>
      <c r="C22" s="280"/>
      <c r="D22" s="280"/>
      <c r="E22" s="275" t="str">
        <f t="shared" si="7"/>
        <v/>
      </c>
      <c r="F22" s="276" t="str">
        <f t="shared" si="5"/>
        <v/>
      </c>
      <c r="G22" s="276"/>
      <c r="H22" s="276"/>
      <c r="I22" s="281"/>
      <c r="J22" s="278"/>
      <c r="K22" s="302"/>
      <c r="L22" s="303"/>
      <c r="M22" s="274" t="str">
        <f t="shared" ref="M22:M26" si="10">IF(B22="","",B22)</f>
        <v/>
      </c>
      <c r="N22" s="280"/>
      <c r="O22" s="275"/>
      <c r="P22" s="275" t="str">
        <f t="shared" si="8"/>
        <v/>
      </c>
      <c r="Q22" s="276" t="str">
        <f t="shared" si="9"/>
        <v/>
      </c>
      <c r="R22" s="276"/>
      <c r="S22" s="276"/>
      <c r="T22" s="281"/>
      <c r="U22" s="278"/>
      <c r="V22" s="302"/>
    </row>
    <row r="23" spans="2:22" ht="15" customHeight="1" x14ac:dyDescent="0.25">
      <c r="B23" s="279"/>
      <c r="C23" s="280"/>
      <c r="D23" s="280"/>
      <c r="E23" s="275" t="str">
        <f t="shared" si="7"/>
        <v/>
      </c>
      <c r="F23" s="276" t="str">
        <f t="shared" si="5"/>
        <v/>
      </c>
      <c r="G23" s="276"/>
      <c r="H23" s="276"/>
      <c r="I23" s="281"/>
      <c r="J23" s="278"/>
      <c r="K23" s="302"/>
      <c r="L23" s="271"/>
      <c r="M23" s="274" t="str">
        <f t="shared" si="10"/>
        <v/>
      </c>
      <c r="N23" s="280"/>
      <c r="O23" s="275"/>
      <c r="P23" s="275" t="str">
        <f t="shared" si="8"/>
        <v/>
      </c>
      <c r="Q23" s="276" t="str">
        <f t="shared" si="9"/>
        <v/>
      </c>
      <c r="R23" s="276"/>
      <c r="S23" s="276"/>
      <c r="T23" s="281"/>
      <c r="U23" s="278"/>
      <c r="V23" s="302"/>
    </row>
    <row r="24" spans="2:22" ht="15" customHeight="1" x14ac:dyDescent="0.25">
      <c r="B24" s="279"/>
      <c r="C24" s="280"/>
      <c r="D24" s="283"/>
      <c r="E24" s="284" t="str">
        <f t="shared" si="7"/>
        <v/>
      </c>
      <c r="F24" s="276" t="str">
        <f t="shared" si="5"/>
        <v/>
      </c>
      <c r="G24" s="285"/>
      <c r="H24" s="285"/>
      <c r="I24" s="286"/>
      <c r="J24" s="287"/>
      <c r="K24" s="304"/>
      <c r="L24" s="303"/>
      <c r="M24" s="311" t="str">
        <f t="shared" si="10"/>
        <v/>
      </c>
      <c r="N24" s="283"/>
      <c r="O24" s="283"/>
      <c r="P24" s="275" t="str">
        <f t="shared" si="8"/>
        <v/>
      </c>
      <c r="Q24" s="276" t="str">
        <f t="shared" si="9"/>
        <v/>
      </c>
      <c r="R24" s="276"/>
      <c r="S24" s="276"/>
      <c r="T24" s="281"/>
      <c r="U24" s="278"/>
      <c r="V24" s="302"/>
    </row>
    <row r="25" spans="2:22" ht="15" customHeight="1" x14ac:dyDescent="0.25">
      <c r="B25" s="279"/>
      <c r="C25" s="280"/>
      <c r="D25" s="283"/>
      <c r="E25" s="284" t="str">
        <f t="shared" si="7"/>
        <v/>
      </c>
      <c r="F25" s="276" t="str">
        <f t="shared" si="5"/>
        <v/>
      </c>
      <c r="G25" s="285"/>
      <c r="H25" s="285"/>
      <c r="I25" s="286"/>
      <c r="J25" s="287"/>
      <c r="K25" s="304"/>
      <c r="L25" s="303"/>
      <c r="M25" s="309" t="str">
        <f t="shared" si="10"/>
        <v/>
      </c>
      <c r="N25" s="308" t="str">
        <f>IF(C25="","",C25)</f>
        <v/>
      </c>
      <c r="O25" s="283"/>
      <c r="P25" s="280" t="str">
        <f t="shared" si="8"/>
        <v/>
      </c>
      <c r="Q25" s="276" t="str">
        <f t="shared" si="9"/>
        <v/>
      </c>
      <c r="R25" s="276"/>
      <c r="S25" s="276"/>
      <c r="T25" s="281"/>
      <c r="U25" s="278"/>
      <c r="V25" s="302"/>
    </row>
    <row r="26" spans="2:22" ht="15" customHeight="1" x14ac:dyDescent="0.25">
      <c r="B26" s="279"/>
      <c r="C26" s="280"/>
      <c r="D26" s="280"/>
      <c r="E26" s="280" t="str">
        <f t="shared" si="7"/>
        <v/>
      </c>
      <c r="F26" s="276" t="str">
        <f t="shared" si="5"/>
        <v/>
      </c>
      <c r="G26" s="288"/>
      <c r="H26" s="288"/>
      <c r="I26" s="289"/>
      <c r="J26" s="290"/>
      <c r="K26" s="305"/>
      <c r="L26" s="306"/>
      <c r="M26" s="310" t="str">
        <f t="shared" si="10"/>
        <v/>
      </c>
      <c r="N26" s="308" t="str">
        <f>IF(C26="","",C26)</f>
        <v/>
      </c>
      <c r="O26" s="280"/>
      <c r="P26" s="275" t="str">
        <f t="shared" si="8"/>
        <v/>
      </c>
      <c r="Q26" s="276" t="str">
        <f t="shared" si="9"/>
        <v/>
      </c>
      <c r="R26" s="276"/>
      <c r="S26" s="276"/>
      <c r="T26" s="281"/>
      <c r="U26" s="278"/>
      <c r="V26" s="302"/>
    </row>
    <row r="27" spans="2:22" ht="15" customHeight="1" thickBot="1" x14ac:dyDescent="0.3">
      <c r="B27" s="291"/>
      <c r="C27" s="292"/>
      <c r="D27" s="293"/>
      <c r="E27" s="293">
        <f>SUM(E17:E26)</f>
        <v>282</v>
      </c>
      <c r="F27" s="293">
        <f>SUM(F17:F26)</f>
        <v>282000</v>
      </c>
      <c r="G27" s="293"/>
      <c r="H27" s="293"/>
      <c r="I27" s="293"/>
      <c r="J27" s="294"/>
      <c r="K27" s="295"/>
      <c r="L27" s="296"/>
      <c r="M27" s="297"/>
      <c r="N27" s="293"/>
      <c r="O27" s="293"/>
      <c r="P27" s="293">
        <f>SUM(P17:P26)</f>
        <v>274</v>
      </c>
      <c r="Q27" s="298">
        <f>SUM(Q17:Q26)</f>
        <v>274000</v>
      </c>
      <c r="R27" s="298"/>
      <c r="S27" s="298"/>
      <c r="T27" s="299"/>
      <c r="U27" s="300"/>
      <c r="V27" s="307"/>
    </row>
    <row r="29" spans="2:22" ht="15" customHeight="1" thickBot="1" x14ac:dyDescent="0.3">
      <c r="B29" s="272" t="s">
        <v>167</v>
      </c>
      <c r="C29" s="301"/>
      <c r="D29" s="301"/>
      <c r="E29" s="301"/>
      <c r="F29" s="301"/>
      <c r="G29" s="301"/>
      <c r="H29" s="301"/>
      <c r="I29" s="301"/>
      <c r="J29" s="266"/>
      <c r="K29" s="301"/>
      <c r="L29" s="301"/>
      <c r="M29" s="312" t="s">
        <v>168</v>
      </c>
      <c r="N29" s="301"/>
      <c r="O29" s="301"/>
      <c r="P29" s="301"/>
      <c r="Q29" s="301"/>
      <c r="R29" s="301"/>
      <c r="S29" s="301"/>
      <c r="T29" s="301"/>
      <c r="U29" s="266"/>
      <c r="V29" s="301"/>
    </row>
    <row r="30" spans="2:22" ht="15" customHeight="1" thickBot="1" x14ac:dyDescent="0.25">
      <c r="B30" s="273" t="s">
        <v>169</v>
      </c>
      <c r="C30" s="268"/>
      <c r="D30" s="268" t="s">
        <v>170</v>
      </c>
      <c r="E30" s="268" t="s">
        <v>171</v>
      </c>
      <c r="F30" s="268" t="s">
        <v>172</v>
      </c>
      <c r="G30" s="268"/>
      <c r="H30" s="268"/>
      <c r="I30" s="269"/>
      <c r="J30" s="270"/>
      <c r="K30" s="270" t="s">
        <v>173</v>
      </c>
      <c r="L30" s="301"/>
      <c r="M30" s="267" t="s">
        <v>169</v>
      </c>
      <c r="N30" s="268"/>
      <c r="O30" s="268" t="s">
        <v>170</v>
      </c>
      <c r="P30" s="268" t="s">
        <v>171</v>
      </c>
      <c r="Q30" s="268" t="s">
        <v>172</v>
      </c>
      <c r="R30" s="268"/>
      <c r="S30" s="268"/>
      <c r="T30" s="269"/>
      <c r="U30" s="270"/>
      <c r="V30" s="270" t="s">
        <v>173</v>
      </c>
    </row>
    <row r="31" spans="2:22" ht="15" customHeight="1" x14ac:dyDescent="0.25">
      <c r="B31" s="274">
        <v>45986</v>
      </c>
      <c r="C31" s="275"/>
      <c r="D31" s="275">
        <v>12998</v>
      </c>
      <c r="E31" s="275">
        <f>IF(D31="","",D31-D21)</f>
        <v>90</v>
      </c>
      <c r="F31" s="276">
        <f t="shared" ref="F31:F40" si="11">IF(D31="","",E31*1000)</f>
        <v>90000</v>
      </c>
      <c r="G31" s="276"/>
      <c r="H31" s="276"/>
      <c r="I31" s="277"/>
      <c r="J31" s="278"/>
      <c r="K31" s="302"/>
      <c r="L31" s="301"/>
      <c r="M31" s="274">
        <f t="shared" ref="M31:M33" si="12">IF(B31="","",B31)</f>
        <v>45986</v>
      </c>
      <c r="N31" s="275"/>
      <c r="O31" s="275">
        <v>4171</v>
      </c>
      <c r="P31" s="275">
        <f>IF(O31="","",O31-O21)</f>
        <v>140</v>
      </c>
      <c r="Q31" s="276">
        <f>IF(O31="","",P31*1000)</f>
        <v>140000</v>
      </c>
      <c r="R31" s="276"/>
      <c r="S31" s="276"/>
      <c r="T31" s="277"/>
      <c r="U31" s="278"/>
      <c r="V31" s="302"/>
    </row>
    <row r="32" spans="2:22" ht="15" customHeight="1" x14ac:dyDescent="0.25">
      <c r="B32" s="279">
        <v>45994</v>
      </c>
      <c r="C32" s="280"/>
      <c r="D32" s="280">
        <v>13060</v>
      </c>
      <c r="E32" s="275">
        <f t="shared" ref="E32:E40" si="13">IF(D32="","",D32-D31)</f>
        <v>62</v>
      </c>
      <c r="F32" s="276">
        <f t="shared" si="11"/>
        <v>62000</v>
      </c>
      <c r="G32" s="276"/>
      <c r="H32" s="276"/>
      <c r="I32" s="281"/>
      <c r="J32" s="278"/>
      <c r="K32" s="302"/>
      <c r="L32" s="301"/>
      <c r="M32" s="274">
        <f t="shared" si="12"/>
        <v>45994</v>
      </c>
      <c r="N32" s="280"/>
      <c r="O32" s="275">
        <v>4276</v>
      </c>
      <c r="P32" s="275">
        <f t="shared" ref="P32:P40" si="14">IF(O32="","",O32-O31)</f>
        <v>105</v>
      </c>
      <c r="Q32" s="276">
        <f t="shared" ref="Q32:Q40" si="15">IF(O32="","",P32*1000)</f>
        <v>105000</v>
      </c>
      <c r="R32" s="276"/>
      <c r="S32" s="276"/>
      <c r="T32" s="281"/>
      <c r="U32" s="278"/>
      <c r="V32" s="302"/>
    </row>
    <row r="33" spans="2:22" ht="15" customHeight="1" x14ac:dyDescent="0.25">
      <c r="B33" s="279">
        <v>46001</v>
      </c>
      <c r="C33" s="280"/>
      <c r="D33" s="280">
        <v>13092</v>
      </c>
      <c r="E33" s="275">
        <f t="shared" si="13"/>
        <v>32</v>
      </c>
      <c r="F33" s="276">
        <f t="shared" si="11"/>
        <v>32000</v>
      </c>
      <c r="G33" s="276"/>
      <c r="H33" s="276"/>
      <c r="I33" s="281"/>
      <c r="J33" s="278"/>
      <c r="K33" s="302"/>
      <c r="L33" s="301"/>
      <c r="M33" s="274">
        <f t="shared" si="12"/>
        <v>46001</v>
      </c>
      <c r="N33" s="280"/>
      <c r="O33" s="275">
        <v>4309</v>
      </c>
      <c r="P33" s="275">
        <f t="shared" si="14"/>
        <v>33</v>
      </c>
      <c r="Q33" s="276">
        <f t="shared" si="15"/>
        <v>33000</v>
      </c>
      <c r="R33" s="276"/>
      <c r="S33" s="276"/>
      <c r="T33" s="281"/>
      <c r="U33" s="278"/>
      <c r="V33" s="302"/>
    </row>
    <row r="34" spans="2:22" ht="15" customHeight="1" x14ac:dyDescent="0.25">
      <c r="B34" s="279">
        <v>46008</v>
      </c>
      <c r="C34" s="280"/>
      <c r="D34" s="280">
        <v>13168</v>
      </c>
      <c r="E34" s="275">
        <f t="shared" si="13"/>
        <v>76</v>
      </c>
      <c r="F34" s="276">
        <f t="shared" si="11"/>
        <v>76000</v>
      </c>
      <c r="G34" s="276"/>
      <c r="H34" s="276"/>
      <c r="I34" s="281"/>
      <c r="J34" s="278"/>
      <c r="K34" s="282"/>
      <c r="L34" s="301"/>
      <c r="M34" s="274">
        <f>IF(B34="","",B34)</f>
        <v>46008</v>
      </c>
      <c r="N34" s="280"/>
      <c r="O34" s="275">
        <v>4365</v>
      </c>
      <c r="P34" s="275">
        <f t="shared" si="14"/>
        <v>56</v>
      </c>
      <c r="Q34" s="276">
        <f t="shared" si="15"/>
        <v>56000</v>
      </c>
      <c r="R34" s="276"/>
      <c r="S34" s="276"/>
      <c r="T34" s="281"/>
      <c r="U34" s="278"/>
      <c r="V34" s="302"/>
    </row>
    <row r="35" spans="2:22" ht="15" customHeight="1" x14ac:dyDescent="0.25">
      <c r="B35" s="279"/>
      <c r="C35" s="280"/>
      <c r="D35" s="280"/>
      <c r="E35" s="275" t="str">
        <f t="shared" si="13"/>
        <v/>
      </c>
      <c r="F35" s="276" t="str">
        <f t="shared" si="11"/>
        <v/>
      </c>
      <c r="G35" s="276"/>
      <c r="H35" s="276"/>
      <c r="I35" s="281"/>
      <c r="J35" s="278"/>
      <c r="K35" s="302"/>
      <c r="L35" s="301"/>
      <c r="M35" s="274" t="str">
        <f>IF(B35="","",B35)</f>
        <v/>
      </c>
      <c r="N35" s="280"/>
      <c r="O35" s="275"/>
      <c r="P35" s="275" t="str">
        <f t="shared" si="14"/>
        <v/>
      </c>
      <c r="Q35" s="276" t="str">
        <f t="shared" si="15"/>
        <v/>
      </c>
      <c r="R35" s="276"/>
      <c r="S35" s="276"/>
      <c r="T35" s="281"/>
      <c r="U35" s="278"/>
      <c r="V35" s="302"/>
    </row>
    <row r="36" spans="2:22" ht="15" customHeight="1" x14ac:dyDescent="0.25">
      <c r="B36" s="279"/>
      <c r="C36" s="280"/>
      <c r="D36" s="280"/>
      <c r="E36" s="275" t="str">
        <f t="shared" si="13"/>
        <v/>
      </c>
      <c r="F36" s="276" t="str">
        <f t="shared" si="11"/>
        <v/>
      </c>
      <c r="G36" s="276"/>
      <c r="H36" s="276"/>
      <c r="I36" s="281"/>
      <c r="J36" s="278"/>
      <c r="K36" s="302"/>
      <c r="L36" s="303"/>
      <c r="M36" s="274" t="str">
        <f t="shared" ref="M36:M40" si="16">IF(B36="","",B36)</f>
        <v/>
      </c>
      <c r="N36" s="280"/>
      <c r="O36" s="275"/>
      <c r="P36" s="275" t="str">
        <f t="shared" si="14"/>
        <v/>
      </c>
      <c r="Q36" s="276" t="str">
        <f t="shared" si="15"/>
        <v/>
      </c>
      <c r="R36" s="276"/>
      <c r="S36" s="276"/>
      <c r="T36" s="281"/>
      <c r="U36" s="278"/>
      <c r="V36" s="302"/>
    </row>
    <row r="37" spans="2:22" ht="15" customHeight="1" x14ac:dyDescent="0.25">
      <c r="B37" s="279"/>
      <c r="C37" s="280"/>
      <c r="D37" s="280"/>
      <c r="E37" s="275" t="str">
        <f t="shared" si="13"/>
        <v/>
      </c>
      <c r="F37" s="276" t="str">
        <f t="shared" si="11"/>
        <v/>
      </c>
      <c r="G37" s="276"/>
      <c r="H37" s="276"/>
      <c r="I37" s="281"/>
      <c r="J37" s="278"/>
      <c r="K37" s="302"/>
      <c r="L37" s="271"/>
      <c r="M37" s="274" t="str">
        <f t="shared" si="16"/>
        <v/>
      </c>
      <c r="N37" s="280"/>
      <c r="O37" s="275"/>
      <c r="P37" s="275" t="str">
        <f t="shared" si="14"/>
        <v/>
      </c>
      <c r="Q37" s="276" t="str">
        <f t="shared" si="15"/>
        <v/>
      </c>
      <c r="R37" s="276"/>
      <c r="S37" s="276"/>
      <c r="T37" s="281"/>
      <c r="U37" s="278"/>
      <c r="V37" s="302"/>
    </row>
    <row r="38" spans="2:22" ht="15" customHeight="1" x14ac:dyDescent="0.25">
      <c r="B38" s="279"/>
      <c r="C38" s="280"/>
      <c r="D38" s="283"/>
      <c r="E38" s="284" t="str">
        <f t="shared" si="13"/>
        <v/>
      </c>
      <c r="F38" s="276" t="str">
        <f t="shared" si="11"/>
        <v/>
      </c>
      <c r="G38" s="285"/>
      <c r="H38" s="285"/>
      <c r="I38" s="286"/>
      <c r="J38" s="287"/>
      <c r="K38" s="304"/>
      <c r="L38" s="303"/>
      <c r="M38" s="311" t="str">
        <f t="shared" si="16"/>
        <v/>
      </c>
      <c r="N38" s="283"/>
      <c r="O38" s="283"/>
      <c r="P38" s="275" t="str">
        <f t="shared" si="14"/>
        <v/>
      </c>
      <c r="Q38" s="276" t="str">
        <f t="shared" si="15"/>
        <v/>
      </c>
      <c r="R38" s="276"/>
      <c r="S38" s="276"/>
      <c r="T38" s="281"/>
      <c r="U38" s="278"/>
      <c r="V38" s="302"/>
    </row>
    <row r="39" spans="2:22" ht="15" customHeight="1" x14ac:dyDescent="0.25">
      <c r="B39" s="279"/>
      <c r="C39" s="280"/>
      <c r="D39" s="283"/>
      <c r="E39" s="284" t="str">
        <f t="shared" si="13"/>
        <v/>
      </c>
      <c r="F39" s="276" t="str">
        <f t="shared" si="11"/>
        <v/>
      </c>
      <c r="G39" s="285"/>
      <c r="H39" s="285"/>
      <c r="I39" s="286"/>
      <c r="J39" s="287"/>
      <c r="K39" s="304"/>
      <c r="L39" s="303"/>
      <c r="M39" s="309" t="str">
        <f t="shared" si="16"/>
        <v/>
      </c>
      <c r="N39" s="308" t="str">
        <f>IF(C39="","",C39)</f>
        <v/>
      </c>
      <c r="O39" s="283"/>
      <c r="P39" s="280" t="str">
        <f t="shared" si="14"/>
        <v/>
      </c>
      <c r="Q39" s="276" t="str">
        <f t="shared" si="15"/>
        <v/>
      </c>
      <c r="R39" s="276"/>
      <c r="S39" s="276"/>
      <c r="T39" s="281"/>
      <c r="U39" s="278"/>
      <c r="V39" s="302"/>
    </row>
    <row r="40" spans="2:22" ht="15" customHeight="1" x14ac:dyDescent="0.25">
      <c r="B40" s="279"/>
      <c r="C40" s="280"/>
      <c r="D40" s="280"/>
      <c r="E40" s="280" t="str">
        <f t="shared" si="13"/>
        <v/>
      </c>
      <c r="F40" s="276" t="str">
        <f t="shared" si="11"/>
        <v/>
      </c>
      <c r="G40" s="288"/>
      <c r="H40" s="288"/>
      <c r="I40" s="289"/>
      <c r="J40" s="290"/>
      <c r="K40" s="305"/>
      <c r="L40" s="306"/>
      <c r="M40" s="310" t="str">
        <f t="shared" si="16"/>
        <v/>
      </c>
      <c r="N40" s="308" t="str">
        <f>IF(C40="","",C40)</f>
        <v/>
      </c>
      <c r="O40" s="280"/>
      <c r="P40" s="275" t="str">
        <f t="shared" si="14"/>
        <v/>
      </c>
      <c r="Q40" s="276" t="str">
        <f t="shared" si="15"/>
        <v/>
      </c>
      <c r="R40" s="276"/>
      <c r="S40" s="276"/>
      <c r="T40" s="281"/>
      <c r="U40" s="278"/>
      <c r="V40" s="302"/>
    </row>
    <row r="41" spans="2:22" ht="15" customHeight="1" thickBot="1" x14ac:dyDescent="0.3">
      <c r="B41" s="291"/>
      <c r="C41" s="292"/>
      <c r="D41" s="293"/>
      <c r="E41" s="293">
        <f>SUM(E31:E40)</f>
        <v>260</v>
      </c>
      <c r="F41" s="293">
        <f>SUM(F31:F40)</f>
        <v>260000</v>
      </c>
      <c r="G41" s="293"/>
      <c r="H41" s="293"/>
      <c r="I41" s="293"/>
      <c r="J41" s="294"/>
      <c r="K41" s="295"/>
      <c r="L41" s="296"/>
      <c r="M41" s="297"/>
      <c r="N41" s="293"/>
      <c r="O41" s="293"/>
      <c r="P41" s="293">
        <f>SUM(P31:P40)</f>
        <v>334</v>
      </c>
      <c r="Q41" s="298">
        <f>SUM(Q31:Q40)</f>
        <v>334000</v>
      </c>
      <c r="R41" s="298"/>
      <c r="S41" s="298"/>
      <c r="T41" s="299"/>
      <c r="U41" s="300"/>
      <c r="V41" s="307"/>
    </row>
    <row r="43" spans="2:22" ht="15" customHeight="1" thickBot="1" x14ac:dyDescent="0.3">
      <c r="B43" s="272" t="s">
        <v>167</v>
      </c>
      <c r="C43" s="301"/>
      <c r="D43" s="301"/>
      <c r="E43" s="301"/>
      <c r="F43" s="301"/>
      <c r="G43" s="301"/>
      <c r="H43" s="301"/>
      <c r="I43" s="301"/>
      <c r="J43" s="266"/>
      <c r="K43" s="301"/>
      <c r="L43" s="301"/>
      <c r="M43" s="312" t="s">
        <v>168</v>
      </c>
      <c r="N43" s="301"/>
      <c r="O43" s="301"/>
      <c r="P43" s="301"/>
      <c r="Q43" s="301"/>
      <c r="R43" s="301"/>
      <c r="S43" s="301"/>
      <c r="T43" s="301"/>
      <c r="U43" s="266"/>
      <c r="V43" s="301"/>
    </row>
    <row r="44" spans="2:22" ht="15" customHeight="1" thickBot="1" x14ac:dyDescent="0.25">
      <c r="B44" s="273" t="s">
        <v>169</v>
      </c>
      <c r="C44" s="268"/>
      <c r="D44" s="268" t="s">
        <v>170</v>
      </c>
      <c r="E44" s="268" t="s">
        <v>171</v>
      </c>
      <c r="F44" s="268" t="s">
        <v>172</v>
      </c>
      <c r="G44" s="268"/>
      <c r="H44" s="268"/>
      <c r="I44" s="269"/>
      <c r="J44" s="270"/>
      <c r="K44" s="270" t="s">
        <v>173</v>
      </c>
      <c r="L44" s="301"/>
      <c r="M44" s="267" t="s">
        <v>169</v>
      </c>
      <c r="N44" s="268"/>
      <c r="O44" s="268" t="s">
        <v>170</v>
      </c>
      <c r="P44" s="268" t="s">
        <v>171</v>
      </c>
      <c r="Q44" s="268" t="s">
        <v>172</v>
      </c>
      <c r="R44" s="268"/>
      <c r="S44" s="268"/>
      <c r="T44" s="269"/>
      <c r="U44" s="270"/>
      <c r="V44" s="270" t="s">
        <v>173</v>
      </c>
    </row>
    <row r="45" spans="2:22" ht="15" customHeight="1" x14ac:dyDescent="0.25">
      <c r="B45" s="274">
        <v>46014</v>
      </c>
      <c r="C45" s="275"/>
      <c r="D45" s="275">
        <v>13242</v>
      </c>
      <c r="E45" s="275">
        <f>IF(D45="","",D45-D34)</f>
        <v>74</v>
      </c>
      <c r="F45" s="276">
        <f t="shared" ref="F45:F54" si="17">IF(D45="","",E45*1000)</f>
        <v>74000</v>
      </c>
      <c r="G45" s="276"/>
      <c r="H45" s="276"/>
      <c r="I45" s="277"/>
      <c r="J45" s="278"/>
      <c r="K45" s="302"/>
      <c r="L45" s="301"/>
      <c r="M45" s="274">
        <f t="shared" ref="M45:M54" si="18">IF(B45="","",B45)</f>
        <v>46014</v>
      </c>
      <c r="N45" s="275"/>
      <c r="O45" s="275">
        <v>4461</v>
      </c>
      <c r="P45" s="275">
        <f>IF(O45="","",O45-O34)</f>
        <v>96</v>
      </c>
      <c r="Q45" s="276">
        <f t="shared" ref="Q45:Q54" si="19">IF(O45="","",P45*1000)</f>
        <v>96000</v>
      </c>
      <c r="R45" s="276"/>
      <c r="S45" s="276"/>
      <c r="T45" s="277"/>
      <c r="U45" s="278"/>
      <c r="V45" s="302"/>
    </row>
    <row r="46" spans="2:22" ht="15" customHeight="1" x14ac:dyDescent="0.25">
      <c r="B46" s="279">
        <v>46020</v>
      </c>
      <c r="C46" s="280"/>
      <c r="D46" s="280">
        <v>13306</v>
      </c>
      <c r="E46" s="275">
        <f t="shared" ref="E46:E54" si="20">IF(D46="","",D46-D45)</f>
        <v>64</v>
      </c>
      <c r="F46" s="276">
        <f t="shared" si="17"/>
        <v>64000</v>
      </c>
      <c r="G46" s="276"/>
      <c r="H46" s="276"/>
      <c r="I46" s="281"/>
      <c r="J46" s="278"/>
      <c r="K46" s="302"/>
      <c r="L46" s="301"/>
      <c r="M46" s="274">
        <f t="shared" si="18"/>
        <v>46020</v>
      </c>
      <c r="N46" s="280"/>
      <c r="O46" s="275">
        <v>4501</v>
      </c>
      <c r="P46" s="275">
        <f t="shared" ref="P46:P54" si="21">IF(O46="","",O46-O45)</f>
        <v>40</v>
      </c>
      <c r="Q46" s="276">
        <f t="shared" si="19"/>
        <v>40000</v>
      </c>
      <c r="R46" s="276"/>
      <c r="S46" s="276"/>
      <c r="T46" s="281"/>
      <c r="U46" s="278"/>
      <c r="V46" s="302"/>
    </row>
    <row r="47" spans="2:22" ht="15" customHeight="1" x14ac:dyDescent="0.25">
      <c r="B47" s="279">
        <v>46027</v>
      </c>
      <c r="C47" s="280"/>
      <c r="D47" s="280">
        <v>13474</v>
      </c>
      <c r="E47" s="275">
        <f t="shared" si="20"/>
        <v>168</v>
      </c>
      <c r="F47" s="276">
        <f t="shared" si="17"/>
        <v>168000</v>
      </c>
      <c r="G47" s="276"/>
      <c r="H47" s="276"/>
      <c r="I47" s="281"/>
      <c r="J47" s="278"/>
      <c r="K47" s="302"/>
      <c r="L47" s="301"/>
      <c r="M47" s="274">
        <f t="shared" si="18"/>
        <v>46027</v>
      </c>
      <c r="N47" s="280"/>
      <c r="O47" s="275">
        <v>4599</v>
      </c>
      <c r="P47" s="275">
        <f t="shared" si="21"/>
        <v>98</v>
      </c>
      <c r="Q47" s="276">
        <f t="shared" si="19"/>
        <v>98000</v>
      </c>
      <c r="R47" s="276"/>
      <c r="S47" s="276"/>
      <c r="T47" s="281"/>
      <c r="U47" s="278"/>
      <c r="V47" s="302"/>
    </row>
    <row r="48" spans="2:22" ht="15" customHeight="1" x14ac:dyDescent="0.25">
      <c r="B48" s="279">
        <v>46035</v>
      </c>
      <c r="C48" s="280"/>
      <c r="D48" s="280">
        <v>13556</v>
      </c>
      <c r="E48" s="275">
        <f t="shared" si="20"/>
        <v>82</v>
      </c>
      <c r="F48" s="276">
        <f t="shared" si="17"/>
        <v>82000</v>
      </c>
      <c r="G48" s="276"/>
      <c r="H48" s="276"/>
      <c r="I48" s="281"/>
      <c r="J48" s="278"/>
      <c r="K48" s="282"/>
      <c r="L48" s="301"/>
      <c r="M48" s="274">
        <f t="shared" si="18"/>
        <v>46035</v>
      </c>
      <c r="N48" s="280"/>
      <c r="O48" s="275">
        <v>4704</v>
      </c>
      <c r="P48" s="275">
        <f t="shared" si="21"/>
        <v>105</v>
      </c>
      <c r="Q48" s="276">
        <f t="shared" si="19"/>
        <v>105000</v>
      </c>
      <c r="R48" s="276"/>
      <c r="S48" s="276"/>
      <c r="T48" s="281"/>
      <c r="U48" s="278"/>
      <c r="V48" s="302"/>
    </row>
    <row r="49" spans="2:22" ht="15" customHeight="1" x14ac:dyDescent="0.25">
      <c r="B49" s="279">
        <v>46041</v>
      </c>
      <c r="C49" s="280"/>
      <c r="D49" s="280">
        <v>13594</v>
      </c>
      <c r="E49" s="275">
        <f t="shared" si="20"/>
        <v>38</v>
      </c>
      <c r="F49" s="276">
        <f t="shared" si="17"/>
        <v>38000</v>
      </c>
      <c r="G49" s="276"/>
      <c r="H49" s="276"/>
      <c r="I49" s="281"/>
      <c r="J49" s="278"/>
      <c r="K49" s="302"/>
      <c r="L49" s="301"/>
      <c r="M49" s="274">
        <f t="shared" si="18"/>
        <v>46041</v>
      </c>
      <c r="N49" s="280"/>
      <c r="O49" s="275">
        <v>4751</v>
      </c>
      <c r="P49" s="275">
        <f t="shared" si="21"/>
        <v>47</v>
      </c>
      <c r="Q49" s="276">
        <f t="shared" si="19"/>
        <v>47000</v>
      </c>
      <c r="R49" s="276"/>
      <c r="S49" s="276"/>
      <c r="T49" s="281"/>
      <c r="U49" s="278"/>
      <c r="V49" s="302"/>
    </row>
    <row r="50" spans="2:22" ht="15" customHeight="1" x14ac:dyDescent="0.25">
      <c r="B50" s="279"/>
      <c r="C50" s="280"/>
      <c r="D50" s="280"/>
      <c r="E50" s="275" t="str">
        <f t="shared" si="20"/>
        <v/>
      </c>
      <c r="F50" s="276" t="str">
        <f t="shared" si="17"/>
        <v/>
      </c>
      <c r="G50" s="276"/>
      <c r="H50" s="276"/>
      <c r="I50" s="281"/>
      <c r="J50" s="278"/>
      <c r="K50" s="302"/>
      <c r="L50" s="303"/>
      <c r="M50" s="274" t="str">
        <f t="shared" si="18"/>
        <v/>
      </c>
      <c r="N50" s="280"/>
      <c r="O50" s="275"/>
      <c r="P50" s="275" t="str">
        <f t="shared" si="21"/>
        <v/>
      </c>
      <c r="Q50" s="276" t="str">
        <f t="shared" si="19"/>
        <v/>
      </c>
      <c r="R50" s="276"/>
      <c r="S50" s="276"/>
      <c r="T50" s="281"/>
      <c r="U50" s="278"/>
      <c r="V50" s="302"/>
    </row>
    <row r="51" spans="2:22" ht="15" customHeight="1" x14ac:dyDescent="0.25">
      <c r="B51" s="279"/>
      <c r="C51" s="280"/>
      <c r="D51" s="280"/>
      <c r="E51" s="275" t="str">
        <f t="shared" si="20"/>
        <v/>
      </c>
      <c r="F51" s="276" t="str">
        <f t="shared" si="17"/>
        <v/>
      </c>
      <c r="G51" s="276"/>
      <c r="H51" s="276"/>
      <c r="I51" s="281"/>
      <c r="J51" s="278"/>
      <c r="K51" s="302"/>
      <c r="L51" s="271"/>
      <c r="M51" s="274" t="str">
        <f t="shared" si="18"/>
        <v/>
      </c>
      <c r="N51" s="280"/>
      <c r="O51" s="275"/>
      <c r="P51" s="275" t="str">
        <f t="shared" si="21"/>
        <v/>
      </c>
      <c r="Q51" s="276" t="str">
        <f t="shared" si="19"/>
        <v/>
      </c>
      <c r="R51" s="276"/>
      <c r="S51" s="276"/>
      <c r="T51" s="281"/>
      <c r="U51" s="278"/>
      <c r="V51" s="302"/>
    </row>
    <row r="52" spans="2:22" ht="15" customHeight="1" x14ac:dyDescent="0.25">
      <c r="B52" s="279"/>
      <c r="C52" s="280"/>
      <c r="D52" s="283"/>
      <c r="E52" s="284" t="str">
        <f t="shared" si="20"/>
        <v/>
      </c>
      <c r="F52" s="276" t="str">
        <f t="shared" si="17"/>
        <v/>
      </c>
      <c r="G52" s="285"/>
      <c r="H52" s="285"/>
      <c r="I52" s="286"/>
      <c r="J52" s="287"/>
      <c r="K52" s="304"/>
      <c r="L52" s="303"/>
      <c r="M52" s="311" t="str">
        <f t="shared" si="18"/>
        <v/>
      </c>
      <c r="N52" s="283"/>
      <c r="O52" s="283"/>
      <c r="P52" s="275" t="str">
        <f t="shared" si="21"/>
        <v/>
      </c>
      <c r="Q52" s="276" t="str">
        <f t="shared" si="19"/>
        <v/>
      </c>
      <c r="R52" s="276"/>
      <c r="S52" s="276"/>
      <c r="T52" s="281"/>
      <c r="U52" s="278"/>
      <c r="V52" s="302"/>
    </row>
    <row r="53" spans="2:22" ht="15" customHeight="1" x14ac:dyDescent="0.25">
      <c r="B53" s="279"/>
      <c r="C53" s="280"/>
      <c r="D53" s="283"/>
      <c r="E53" s="284" t="str">
        <f t="shared" si="20"/>
        <v/>
      </c>
      <c r="F53" s="276" t="str">
        <f t="shared" si="17"/>
        <v/>
      </c>
      <c r="G53" s="285"/>
      <c r="H53" s="285"/>
      <c r="I53" s="286"/>
      <c r="J53" s="287"/>
      <c r="K53" s="304"/>
      <c r="L53" s="303"/>
      <c r="M53" s="309" t="str">
        <f t="shared" si="18"/>
        <v/>
      </c>
      <c r="N53" s="308" t="str">
        <f>IF(C53="","",C53)</f>
        <v/>
      </c>
      <c r="O53" s="283"/>
      <c r="P53" s="280" t="str">
        <f t="shared" si="21"/>
        <v/>
      </c>
      <c r="Q53" s="276" t="str">
        <f t="shared" si="19"/>
        <v/>
      </c>
      <c r="R53" s="276"/>
      <c r="S53" s="276"/>
      <c r="T53" s="281"/>
      <c r="U53" s="278"/>
      <c r="V53" s="302"/>
    </row>
    <row r="54" spans="2:22" ht="15" customHeight="1" x14ac:dyDescent="0.25">
      <c r="B54" s="279"/>
      <c r="C54" s="280"/>
      <c r="D54" s="280"/>
      <c r="E54" s="280" t="str">
        <f t="shared" si="20"/>
        <v/>
      </c>
      <c r="F54" s="276" t="str">
        <f t="shared" si="17"/>
        <v/>
      </c>
      <c r="G54" s="288"/>
      <c r="H54" s="288"/>
      <c r="I54" s="289"/>
      <c r="J54" s="290"/>
      <c r="K54" s="305"/>
      <c r="L54" s="306"/>
      <c r="M54" s="310" t="str">
        <f t="shared" si="18"/>
        <v/>
      </c>
      <c r="N54" s="308" t="str">
        <f>IF(C54="","",C54)</f>
        <v/>
      </c>
      <c r="O54" s="280"/>
      <c r="P54" s="275" t="str">
        <f t="shared" si="21"/>
        <v/>
      </c>
      <c r="Q54" s="276" t="str">
        <f t="shared" si="19"/>
        <v/>
      </c>
      <c r="R54" s="276"/>
      <c r="S54" s="276"/>
      <c r="T54" s="281"/>
      <c r="U54" s="278"/>
      <c r="V54" s="302"/>
    </row>
    <row r="55" spans="2:22" ht="15" customHeight="1" thickBot="1" x14ac:dyDescent="0.3">
      <c r="B55" s="291"/>
      <c r="C55" s="292"/>
      <c r="D55" s="293"/>
      <c r="E55" s="293">
        <f>SUM(E45:E54)</f>
        <v>426</v>
      </c>
      <c r="F55" s="293">
        <f>SUM(F45:F54)</f>
        <v>426000</v>
      </c>
      <c r="G55" s="293"/>
      <c r="H55" s="293"/>
      <c r="I55" s="293"/>
      <c r="J55" s="294"/>
      <c r="K55" s="295"/>
      <c r="L55" s="296"/>
      <c r="M55" s="297"/>
      <c r="N55" s="293"/>
      <c r="O55" s="293"/>
      <c r="P55" s="293">
        <f>SUM(P45:P54)</f>
        <v>386</v>
      </c>
      <c r="Q55" s="298">
        <f>SUM(Q45:Q54)</f>
        <v>386000</v>
      </c>
      <c r="R55" s="298"/>
      <c r="S55" s="298"/>
      <c r="T55" s="299"/>
      <c r="U55" s="300"/>
      <c r="V55" s="307"/>
    </row>
    <row r="57" spans="2:22" ht="15" customHeight="1" thickBot="1" x14ac:dyDescent="0.3">
      <c r="B57" s="272" t="s">
        <v>167</v>
      </c>
      <c r="C57" s="301"/>
      <c r="D57" s="301"/>
      <c r="E57" s="301"/>
      <c r="F57" s="301"/>
      <c r="G57" s="301"/>
      <c r="H57" s="301"/>
      <c r="I57" s="301"/>
      <c r="J57" s="266"/>
      <c r="K57" s="301"/>
      <c r="L57" s="301"/>
      <c r="M57" s="312" t="s">
        <v>168</v>
      </c>
      <c r="N57" s="301"/>
      <c r="O57" s="301"/>
      <c r="P57" s="301"/>
      <c r="Q57" s="301"/>
      <c r="R57" s="301"/>
      <c r="S57" s="301"/>
      <c r="T57" s="301"/>
      <c r="U57" s="266"/>
      <c r="V57" s="301"/>
    </row>
    <row r="58" spans="2:22" ht="15" customHeight="1" thickBot="1" x14ac:dyDescent="0.25">
      <c r="B58" s="273" t="s">
        <v>169</v>
      </c>
      <c r="C58" s="268"/>
      <c r="D58" s="268" t="s">
        <v>170</v>
      </c>
      <c r="E58" s="268" t="s">
        <v>171</v>
      </c>
      <c r="F58" s="268" t="s">
        <v>172</v>
      </c>
      <c r="G58" s="268"/>
      <c r="H58" s="268"/>
      <c r="I58" s="269"/>
      <c r="J58" s="270"/>
      <c r="K58" s="270" t="s">
        <v>173</v>
      </c>
      <c r="L58" s="301"/>
      <c r="M58" s="267" t="s">
        <v>169</v>
      </c>
      <c r="N58" s="268"/>
      <c r="O58" s="268" t="s">
        <v>170</v>
      </c>
      <c r="P58" s="268" t="s">
        <v>171</v>
      </c>
      <c r="Q58" s="268" t="s">
        <v>172</v>
      </c>
      <c r="R58" s="268"/>
      <c r="S58" s="268"/>
      <c r="T58" s="269"/>
      <c r="U58" s="270"/>
      <c r="V58" s="270" t="s">
        <v>173</v>
      </c>
    </row>
    <row r="59" spans="2:22" ht="15" customHeight="1" x14ac:dyDescent="0.25">
      <c r="B59" s="274">
        <v>46050</v>
      </c>
      <c r="C59" s="275"/>
      <c r="D59" s="275">
        <v>13662</v>
      </c>
      <c r="E59" s="275">
        <f>IF(D59="","",D59-D49)</f>
        <v>68</v>
      </c>
      <c r="F59" s="276">
        <f t="shared" ref="F59:F68" si="22">IF(D59="","",E59*1000)</f>
        <v>68000</v>
      </c>
      <c r="G59" s="276"/>
      <c r="H59" s="276"/>
      <c r="I59" s="277"/>
      <c r="J59" s="278"/>
      <c r="K59" s="302"/>
      <c r="L59" s="301"/>
      <c r="M59" s="274">
        <f t="shared" ref="M59:M68" si="23">IF(B59="","",B59)</f>
        <v>46050</v>
      </c>
      <c r="N59" s="275"/>
      <c r="O59" s="275">
        <v>4817</v>
      </c>
      <c r="P59" s="275">
        <f>IF(O59="","",O59-O49)</f>
        <v>66</v>
      </c>
      <c r="Q59" s="276">
        <f t="shared" ref="Q59:Q68" si="24">IF(O59="","",P59*1000)</f>
        <v>66000</v>
      </c>
      <c r="R59" s="276"/>
      <c r="S59" s="276"/>
      <c r="T59" s="277"/>
      <c r="U59" s="278"/>
      <c r="V59" s="302"/>
    </row>
    <row r="60" spans="2:22" ht="15" customHeight="1" x14ac:dyDescent="0.25">
      <c r="B60" s="279">
        <v>46057</v>
      </c>
      <c r="C60" s="280"/>
      <c r="D60" s="280">
        <v>13718</v>
      </c>
      <c r="E60" s="275">
        <f t="shared" ref="E60:E68" si="25">IF(D60="","",D60-D59)</f>
        <v>56</v>
      </c>
      <c r="F60" s="276">
        <f t="shared" si="22"/>
        <v>56000</v>
      </c>
      <c r="G60" s="276"/>
      <c r="H60" s="276"/>
      <c r="I60" s="281"/>
      <c r="J60" s="278"/>
      <c r="K60" s="302"/>
      <c r="L60" s="301"/>
      <c r="M60" s="274">
        <f t="shared" si="23"/>
        <v>46057</v>
      </c>
      <c r="N60" s="280"/>
      <c r="O60" s="275">
        <v>4903</v>
      </c>
      <c r="P60" s="275">
        <f t="shared" ref="P60:P68" si="26">IF(O60="","",O60-O59)</f>
        <v>86</v>
      </c>
      <c r="Q60" s="276">
        <f t="shared" si="24"/>
        <v>86000</v>
      </c>
      <c r="R60" s="276"/>
      <c r="S60" s="276"/>
      <c r="T60" s="281"/>
      <c r="U60" s="278"/>
      <c r="V60" s="302"/>
    </row>
    <row r="61" spans="2:22" ht="15" customHeight="1" x14ac:dyDescent="0.25">
      <c r="B61" s="279">
        <v>46063</v>
      </c>
      <c r="C61" s="280"/>
      <c r="D61" s="280">
        <v>13762</v>
      </c>
      <c r="E61" s="275">
        <f t="shared" si="25"/>
        <v>44</v>
      </c>
      <c r="F61" s="276">
        <f t="shared" si="22"/>
        <v>44000</v>
      </c>
      <c r="G61" s="276"/>
      <c r="H61" s="276"/>
      <c r="I61" s="281"/>
      <c r="J61" s="278"/>
      <c r="K61" s="302"/>
      <c r="L61" s="301"/>
      <c r="M61" s="274">
        <f t="shared" si="23"/>
        <v>46063</v>
      </c>
      <c r="N61" s="280"/>
      <c r="O61" s="275">
        <v>4964</v>
      </c>
      <c r="P61" s="275">
        <f t="shared" si="26"/>
        <v>61</v>
      </c>
      <c r="Q61" s="276">
        <f t="shared" si="24"/>
        <v>61000</v>
      </c>
      <c r="R61" s="276"/>
      <c r="S61" s="276"/>
      <c r="T61" s="281"/>
      <c r="U61" s="278"/>
      <c r="V61" s="302"/>
    </row>
    <row r="62" spans="2:22" ht="15" customHeight="1" x14ac:dyDescent="0.25">
      <c r="B62" s="279">
        <v>46071</v>
      </c>
      <c r="C62" s="280"/>
      <c r="D62" s="280">
        <v>13836</v>
      </c>
      <c r="E62" s="275">
        <f t="shared" si="25"/>
        <v>74</v>
      </c>
      <c r="F62" s="276">
        <f t="shared" si="22"/>
        <v>74000</v>
      </c>
      <c r="G62" s="276"/>
      <c r="H62" s="276"/>
      <c r="I62" s="281"/>
      <c r="J62" s="278"/>
      <c r="K62" s="282"/>
      <c r="L62" s="301"/>
      <c r="M62" s="274">
        <f t="shared" si="23"/>
        <v>46071</v>
      </c>
      <c r="N62" s="280"/>
      <c r="O62" s="275">
        <v>5110</v>
      </c>
      <c r="P62" s="275">
        <f t="shared" si="26"/>
        <v>146</v>
      </c>
      <c r="Q62" s="276">
        <f t="shared" si="24"/>
        <v>146000</v>
      </c>
      <c r="R62" s="276"/>
      <c r="S62" s="276"/>
      <c r="T62" s="281"/>
      <c r="U62" s="278"/>
      <c r="V62" s="302"/>
    </row>
    <row r="63" spans="2:22" ht="15" customHeight="1" x14ac:dyDescent="0.25">
      <c r="B63" s="279"/>
      <c r="C63" s="280"/>
      <c r="D63" s="280"/>
      <c r="E63" s="275" t="str">
        <f t="shared" si="25"/>
        <v/>
      </c>
      <c r="F63" s="276" t="str">
        <f t="shared" si="22"/>
        <v/>
      </c>
      <c r="G63" s="276"/>
      <c r="H63" s="276"/>
      <c r="I63" s="281"/>
      <c r="J63" s="278"/>
      <c r="K63" s="302"/>
      <c r="L63" s="301"/>
      <c r="M63" s="274"/>
      <c r="N63" s="280"/>
      <c r="O63" s="275"/>
      <c r="P63" s="275" t="str">
        <f t="shared" si="26"/>
        <v/>
      </c>
      <c r="Q63" s="276" t="str">
        <f t="shared" si="24"/>
        <v/>
      </c>
      <c r="R63" s="276"/>
      <c r="S63" s="276"/>
      <c r="T63" s="281"/>
      <c r="U63" s="278"/>
      <c r="V63" s="302"/>
    </row>
    <row r="64" spans="2:22" ht="15" customHeight="1" x14ac:dyDescent="0.25">
      <c r="B64" s="279"/>
      <c r="C64" s="280"/>
      <c r="D64" s="280"/>
      <c r="E64" s="275" t="str">
        <f t="shared" si="25"/>
        <v/>
      </c>
      <c r="F64" s="276" t="str">
        <f t="shared" si="22"/>
        <v/>
      </c>
      <c r="G64" s="276"/>
      <c r="H64" s="276"/>
      <c r="I64" s="281"/>
      <c r="J64" s="278"/>
      <c r="K64" s="302"/>
      <c r="L64" s="303"/>
      <c r="M64" s="274" t="str">
        <f t="shared" si="23"/>
        <v/>
      </c>
      <c r="N64" s="280"/>
      <c r="O64" s="275"/>
      <c r="P64" s="275" t="str">
        <f t="shared" si="26"/>
        <v/>
      </c>
      <c r="Q64" s="276" t="str">
        <f t="shared" si="24"/>
        <v/>
      </c>
      <c r="R64" s="276"/>
      <c r="S64" s="276"/>
      <c r="T64" s="281"/>
      <c r="U64" s="278"/>
      <c r="V64" s="302"/>
    </row>
    <row r="65" spans="2:22" ht="15" customHeight="1" x14ac:dyDescent="0.25">
      <c r="B65" s="279"/>
      <c r="C65" s="280"/>
      <c r="D65" s="280"/>
      <c r="E65" s="275" t="str">
        <f t="shared" si="25"/>
        <v/>
      </c>
      <c r="F65" s="276" t="str">
        <f t="shared" si="22"/>
        <v/>
      </c>
      <c r="G65" s="276"/>
      <c r="H65" s="276"/>
      <c r="I65" s="281"/>
      <c r="J65" s="278"/>
      <c r="K65" s="302"/>
      <c r="L65" s="271"/>
      <c r="M65" s="274" t="str">
        <f t="shared" si="23"/>
        <v/>
      </c>
      <c r="N65" s="280"/>
      <c r="O65" s="275"/>
      <c r="P65" s="275" t="str">
        <f t="shared" si="26"/>
        <v/>
      </c>
      <c r="Q65" s="276" t="str">
        <f t="shared" si="24"/>
        <v/>
      </c>
      <c r="R65" s="276"/>
      <c r="S65" s="276"/>
      <c r="T65" s="281"/>
      <c r="U65" s="278"/>
      <c r="V65" s="302"/>
    </row>
    <row r="66" spans="2:22" ht="15" customHeight="1" x14ac:dyDescent="0.25">
      <c r="B66" s="279"/>
      <c r="C66" s="280"/>
      <c r="D66" s="283"/>
      <c r="E66" s="284" t="str">
        <f t="shared" si="25"/>
        <v/>
      </c>
      <c r="F66" s="276" t="str">
        <f t="shared" si="22"/>
        <v/>
      </c>
      <c r="G66" s="285"/>
      <c r="H66" s="285"/>
      <c r="I66" s="286"/>
      <c r="J66" s="287"/>
      <c r="K66" s="304"/>
      <c r="L66" s="303"/>
      <c r="M66" s="311" t="str">
        <f t="shared" si="23"/>
        <v/>
      </c>
      <c r="N66" s="283"/>
      <c r="O66" s="283"/>
      <c r="P66" s="275" t="str">
        <f t="shared" si="26"/>
        <v/>
      </c>
      <c r="Q66" s="276" t="str">
        <f t="shared" si="24"/>
        <v/>
      </c>
      <c r="R66" s="276"/>
      <c r="S66" s="276"/>
      <c r="T66" s="281"/>
      <c r="U66" s="278"/>
      <c r="V66" s="302"/>
    </row>
    <row r="67" spans="2:22" ht="15" customHeight="1" x14ac:dyDescent="0.25">
      <c r="B67" s="279"/>
      <c r="C67" s="280"/>
      <c r="D67" s="283"/>
      <c r="E67" s="284" t="str">
        <f t="shared" si="25"/>
        <v/>
      </c>
      <c r="F67" s="276" t="str">
        <f t="shared" si="22"/>
        <v/>
      </c>
      <c r="G67" s="285"/>
      <c r="H67" s="285"/>
      <c r="I67" s="286"/>
      <c r="J67" s="287"/>
      <c r="K67" s="304"/>
      <c r="L67" s="303"/>
      <c r="M67" s="309" t="str">
        <f t="shared" si="23"/>
        <v/>
      </c>
      <c r="N67" s="308" t="str">
        <f>IF(C67="","",C67)</f>
        <v/>
      </c>
      <c r="O67" s="283"/>
      <c r="P67" s="280" t="str">
        <f t="shared" si="26"/>
        <v/>
      </c>
      <c r="Q67" s="276" t="str">
        <f t="shared" si="24"/>
        <v/>
      </c>
      <c r="R67" s="276"/>
      <c r="S67" s="276"/>
      <c r="T67" s="281"/>
      <c r="U67" s="278"/>
      <c r="V67" s="302"/>
    </row>
    <row r="68" spans="2:22" ht="15" customHeight="1" x14ac:dyDescent="0.25">
      <c r="B68" s="279"/>
      <c r="C68" s="280"/>
      <c r="D68" s="280"/>
      <c r="E68" s="280" t="str">
        <f t="shared" si="25"/>
        <v/>
      </c>
      <c r="F68" s="276" t="str">
        <f t="shared" si="22"/>
        <v/>
      </c>
      <c r="G68" s="288"/>
      <c r="H68" s="288"/>
      <c r="I68" s="289"/>
      <c r="J68" s="290"/>
      <c r="K68" s="305"/>
      <c r="L68" s="306"/>
      <c r="M68" s="310" t="str">
        <f t="shared" si="23"/>
        <v/>
      </c>
      <c r="N68" s="308" t="str">
        <f>IF(C68="","",C68)</f>
        <v/>
      </c>
      <c r="O68" s="280"/>
      <c r="P68" s="275" t="str">
        <f t="shared" si="26"/>
        <v/>
      </c>
      <c r="Q68" s="276" t="str">
        <f t="shared" si="24"/>
        <v/>
      </c>
      <c r="R68" s="276"/>
      <c r="S68" s="276"/>
      <c r="T68" s="281"/>
      <c r="U68" s="278"/>
      <c r="V68" s="302"/>
    </row>
    <row r="69" spans="2:22" ht="15" customHeight="1" thickBot="1" x14ac:dyDescent="0.3">
      <c r="B69" s="291"/>
      <c r="C69" s="292"/>
      <c r="D69" s="293"/>
      <c r="E69" s="293">
        <f>SUM(E59:E68)</f>
        <v>242</v>
      </c>
      <c r="F69" s="293">
        <f>SUM(F59:F68)</f>
        <v>242000</v>
      </c>
      <c r="G69" s="293"/>
      <c r="H69" s="293"/>
      <c r="I69" s="293"/>
      <c r="J69" s="294"/>
      <c r="K69" s="295"/>
      <c r="L69" s="296"/>
      <c r="M69" s="297"/>
      <c r="N69" s="293"/>
      <c r="O69" s="293"/>
      <c r="P69" s="293">
        <f>SUM(P59:P68)</f>
        <v>359</v>
      </c>
      <c r="Q69" s="298">
        <f>SUM(Q59:Q68)</f>
        <v>359000</v>
      </c>
      <c r="R69" s="298"/>
      <c r="S69" s="298"/>
      <c r="T69" s="299"/>
      <c r="U69" s="300"/>
      <c r="V69" s="307"/>
    </row>
    <row r="71" spans="2:22" ht="15" customHeight="1" thickBot="1" x14ac:dyDescent="0.3">
      <c r="B71" s="272" t="s">
        <v>167</v>
      </c>
      <c r="C71" s="301"/>
      <c r="D71" s="301"/>
      <c r="E71" s="301"/>
      <c r="F71" s="301"/>
      <c r="G71" s="301"/>
      <c r="H71" s="301"/>
      <c r="I71" s="301"/>
      <c r="J71" s="266"/>
      <c r="K71" s="301"/>
      <c r="L71" s="301"/>
      <c r="M71" s="312" t="s">
        <v>168</v>
      </c>
      <c r="N71" s="301"/>
      <c r="O71" s="301"/>
      <c r="P71" s="301"/>
      <c r="Q71" s="301"/>
      <c r="R71" s="301"/>
      <c r="S71" s="301"/>
      <c r="T71" s="301"/>
      <c r="U71" s="266"/>
      <c r="V71" s="301"/>
    </row>
    <row r="72" spans="2:22" ht="15" customHeight="1" thickBot="1" x14ac:dyDescent="0.25">
      <c r="B72" s="273" t="s">
        <v>169</v>
      </c>
      <c r="C72" s="268"/>
      <c r="D72" s="268" t="s">
        <v>170</v>
      </c>
      <c r="E72" s="268" t="s">
        <v>171</v>
      </c>
      <c r="F72" s="268" t="s">
        <v>172</v>
      </c>
      <c r="G72" s="268"/>
      <c r="H72" s="268"/>
      <c r="I72" s="269"/>
      <c r="J72" s="270"/>
      <c r="K72" s="270" t="s">
        <v>173</v>
      </c>
      <c r="L72" s="301"/>
      <c r="M72" s="267" t="s">
        <v>169</v>
      </c>
      <c r="N72" s="268"/>
      <c r="O72" s="268" t="s">
        <v>170</v>
      </c>
      <c r="P72" s="268" t="s">
        <v>171</v>
      </c>
      <c r="Q72" s="268" t="s">
        <v>172</v>
      </c>
      <c r="R72" s="268"/>
      <c r="S72" s="268"/>
      <c r="T72" s="269"/>
      <c r="U72" s="270"/>
      <c r="V72" s="270" t="s">
        <v>173</v>
      </c>
    </row>
    <row r="73" spans="2:22" ht="15" customHeight="1" x14ac:dyDescent="0.25">
      <c r="B73" s="274">
        <v>46077</v>
      </c>
      <c r="C73" s="275"/>
      <c r="D73" s="275">
        <v>13892</v>
      </c>
      <c r="E73" s="275">
        <f>IF(D73="","",D73-D62)</f>
        <v>56</v>
      </c>
      <c r="F73" s="276">
        <f t="shared" ref="F73:F82" si="27">IF(D73="","",E73*1000)</f>
        <v>56000</v>
      </c>
      <c r="G73" s="276"/>
      <c r="H73" s="276"/>
      <c r="I73" s="277"/>
      <c r="J73" s="278"/>
      <c r="K73" s="302"/>
      <c r="L73" s="301"/>
      <c r="M73" s="274">
        <f t="shared" ref="M73:M82" si="28">IF(B73="","",B73)</f>
        <v>46077</v>
      </c>
      <c r="N73" s="274" t="str">
        <f t="shared" ref="N73:N82" si="29">IF(C73="","",C73)</f>
        <v/>
      </c>
      <c r="O73" s="275">
        <v>5167</v>
      </c>
      <c r="P73" s="275">
        <f>IF(O73="","",O73-O62)</f>
        <v>57</v>
      </c>
      <c r="Q73" s="276">
        <f t="shared" ref="Q73:Q82" si="30">IF(O73="","",P73*1000)</f>
        <v>57000</v>
      </c>
      <c r="R73" s="276"/>
      <c r="S73" s="276"/>
      <c r="T73" s="277"/>
      <c r="U73" s="278"/>
      <c r="V73" s="302"/>
    </row>
    <row r="74" spans="2:22" ht="15" customHeight="1" x14ac:dyDescent="0.25">
      <c r="B74" s="279">
        <v>46085</v>
      </c>
      <c r="C74" s="280"/>
      <c r="D74" s="280">
        <v>13952</v>
      </c>
      <c r="E74" s="275">
        <f t="shared" ref="E74:E82" si="31">IF(D74="","",D74-D73)</f>
        <v>60</v>
      </c>
      <c r="F74" s="276">
        <f t="shared" si="27"/>
        <v>60000</v>
      </c>
      <c r="G74" s="276"/>
      <c r="H74" s="276"/>
      <c r="I74" s="281"/>
      <c r="J74" s="278"/>
      <c r="K74" s="302"/>
      <c r="L74" s="301"/>
      <c r="M74" s="274">
        <f t="shared" si="28"/>
        <v>46085</v>
      </c>
      <c r="N74" s="274" t="str">
        <f t="shared" si="29"/>
        <v/>
      </c>
      <c r="O74" s="275">
        <v>5228</v>
      </c>
      <c r="P74" s="275">
        <f t="shared" ref="P74:P82" si="32">IF(O74="","",O74-O73)</f>
        <v>61</v>
      </c>
      <c r="Q74" s="276">
        <f t="shared" si="30"/>
        <v>61000</v>
      </c>
      <c r="R74" s="276"/>
      <c r="S74" s="276"/>
      <c r="T74" s="281"/>
      <c r="U74" s="278"/>
      <c r="V74" s="302"/>
    </row>
    <row r="75" spans="2:22" ht="15" customHeight="1" x14ac:dyDescent="0.25">
      <c r="B75" s="279">
        <v>46092</v>
      </c>
      <c r="C75" s="280"/>
      <c r="D75" s="280">
        <v>13982</v>
      </c>
      <c r="E75" s="275">
        <f t="shared" si="31"/>
        <v>30</v>
      </c>
      <c r="F75" s="276">
        <f t="shared" si="27"/>
        <v>30000</v>
      </c>
      <c r="G75" s="276"/>
      <c r="H75" s="276"/>
      <c r="I75" s="281"/>
      <c r="J75" s="278"/>
      <c r="K75" s="302"/>
      <c r="L75" s="301"/>
      <c r="M75" s="274">
        <f t="shared" si="28"/>
        <v>46092</v>
      </c>
      <c r="N75" s="274" t="str">
        <f t="shared" si="29"/>
        <v/>
      </c>
      <c r="O75" s="275">
        <v>5271</v>
      </c>
      <c r="P75" s="275">
        <f t="shared" si="32"/>
        <v>43</v>
      </c>
      <c r="Q75" s="276">
        <f t="shared" si="30"/>
        <v>43000</v>
      </c>
      <c r="R75" s="276"/>
      <c r="S75" s="276"/>
      <c r="T75" s="281"/>
      <c r="U75" s="278"/>
      <c r="V75" s="302"/>
    </row>
    <row r="76" spans="2:22" ht="15" customHeight="1" x14ac:dyDescent="0.25">
      <c r="B76" s="279">
        <v>46097</v>
      </c>
      <c r="C76" s="280"/>
      <c r="D76" s="280">
        <v>14014</v>
      </c>
      <c r="E76" s="275">
        <f t="shared" si="31"/>
        <v>32</v>
      </c>
      <c r="F76" s="276">
        <f t="shared" si="27"/>
        <v>32000</v>
      </c>
      <c r="G76" s="276"/>
      <c r="H76" s="276"/>
      <c r="I76" s="281"/>
      <c r="J76" s="278"/>
      <c r="K76" s="282"/>
      <c r="L76" s="301"/>
      <c r="M76" s="274">
        <f t="shared" si="28"/>
        <v>46097</v>
      </c>
      <c r="N76" s="274" t="str">
        <f t="shared" si="29"/>
        <v/>
      </c>
      <c r="O76" s="275">
        <v>5307</v>
      </c>
      <c r="P76" s="275">
        <f t="shared" si="32"/>
        <v>36</v>
      </c>
      <c r="Q76" s="276">
        <f t="shared" si="30"/>
        <v>36000</v>
      </c>
      <c r="R76" s="276"/>
      <c r="S76" s="276"/>
      <c r="T76" s="281"/>
      <c r="U76" s="278"/>
      <c r="V76" s="302"/>
    </row>
    <row r="77" spans="2:22" ht="15" customHeight="1" x14ac:dyDescent="0.25">
      <c r="B77" s="279"/>
      <c r="C77" s="280"/>
      <c r="D77" s="280"/>
      <c r="E77" s="275" t="str">
        <f t="shared" si="31"/>
        <v/>
      </c>
      <c r="F77" s="276" t="str">
        <f t="shared" si="27"/>
        <v/>
      </c>
      <c r="G77" s="276"/>
      <c r="H77" s="276"/>
      <c r="I77" s="281"/>
      <c r="J77" s="278"/>
      <c r="K77" s="302"/>
      <c r="L77" s="301"/>
      <c r="M77" s="274" t="str">
        <f t="shared" si="28"/>
        <v/>
      </c>
      <c r="N77" s="274" t="str">
        <f t="shared" si="29"/>
        <v/>
      </c>
      <c r="O77" s="275"/>
      <c r="P77" s="275" t="str">
        <f t="shared" si="32"/>
        <v/>
      </c>
      <c r="Q77" s="276" t="str">
        <f t="shared" si="30"/>
        <v/>
      </c>
      <c r="R77" s="276"/>
      <c r="S77" s="276"/>
      <c r="T77" s="281"/>
      <c r="U77" s="278"/>
      <c r="V77" s="302"/>
    </row>
    <row r="78" spans="2:22" ht="15" customHeight="1" x14ac:dyDescent="0.25">
      <c r="B78" s="279"/>
      <c r="C78" s="280"/>
      <c r="D78" s="280"/>
      <c r="E78" s="275" t="str">
        <f t="shared" si="31"/>
        <v/>
      </c>
      <c r="F78" s="276" t="str">
        <f t="shared" si="27"/>
        <v/>
      </c>
      <c r="G78" s="276"/>
      <c r="H78" s="276"/>
      <c r="I78" s="281"/>
      <c r="J78" s="278"/>
      <c r="K78" s="302"/>
      <c r="L78" s="303"/>
      <c r="M78" s="274" t="str">
        <f t="shared" si="28"/>
        <v/>
      </c>
      <c r="N78" s="274" t="str">
        <f t="shared" si="29"/>
        <v/>
      </c>
      <c r="O78" s="275"/>
      <c r="P78" s="275" t="str">
        <f t="shared" si="32"/>
        <v/>
      </c>
      <c r="Q78" s="276" t="str">
        <f t="shared" si="30"/>
        <v/>
      </c>
      <c r="R78" s="276"/>
      <c r="S78" s="276"/>
      <c r="T78" s="281"/>
      <c r="U78" s="278"/>
      <c r="V78" s="302"/>
    </row>
    <row r="79" spans="2:22" ht="15" customHeight="1" x14ac:dyDescent="0.25">
      <c r="B79" s="279"/>
      <c r="C79" s="280"/>
      <c r="D79" s="280"/>
      <c r="E79" s="275" t="str">
        <f t="shared" si="31"/>
        <v/>
      </c>
      <c r="F79" s="276" t="str">
        <f t="shared" si="27"/>
        <v/>
      </c>
      <c r="G79" s="276"/>
      <c r="H79" s="276"/>
      <c r="I79" s="281"/>
      <c r="J79" s="278"/>
      <c r="K79" s="302"/>
      <c r="L79" s="271"/>
      <c r="M79" s="274" t="str">
        <f t="shared" si="28"/>
        <v/>
      </c>
      <c r="N79" s="274" t="str">
        <f t="shared" si="29"/>
        <v/>
      </c>
      <c r="O79" s="275"/>
      <c r="P79" s="275" t="str">
        <f t="shared" si="32"/>
        <v/>
      </c>
      <c r="Q79" s="276" t="str">
        <f t="shared" si="30"/>
        <v/>
      </c>
      <c r="R79" s="276"/>
      <c r="S79" s="276"/>
      <c r="T79" s="281"/>
      <c r="U79" s="278"/>
      <c r="V79" s="302"/>
    </row>
    <row r="80" spans="2:22" ht="15" customHeight="1" x14ac:dyDescent="0.25">
      <c r="B80" s="279"/>
      <c r="C80" s="280"/>
      <c r="D80" s="283"/>
      <c r="E80" s="284" t="str">
        <f t="shared" si="31"/>
        <v/>
      </c>
      <c r="F80" s="276" t="str">
        <f t="shared" si="27"/>
        <v/>
      </c>
      <c r="G80" s="285"/>
      <c r="H80" s="285"/>
      <c r="I80" s="286"/>
      <c r="J80" s="287"/>
      <c r="K80" s="304"/>
      <c r="L80" s="303"/>
      <c r="M80" s="274" t="str">
        <f t="shared" si="28"/>
        <v/>
      </c>
      <c r="N80" s="274" t="str">
        <f t="shared" si="29"/>
        <v/>
      </c>
      <c r="O80" s="283"/>
      <c r="P80" s="275" t="str">
        <f t="shared" si="32"/>
        <v/>
      </c>
      <c r="Q80" s="276" t="str">
        <f t="shared" si="30"/>
        <v/>
      </c>
      <c r="R80" s="276"/>
      <c r="S80" s="276"/>
      <c r="T80" s="281"/>
      <c r="U80" s="278"/>
      <c r="V80" s="302"/>
    </row>
    <row r="81" spans="2:22" ht="15" customHeight="1" x14ac:dyDescent="0.25">
      <c r="B81" s="279"/>
      <c r="C81" s="280"/>
      <c r="D81" s="283"/>
      <c r="E81" s="284" t="str">
        <f t="shared" si="31"/>
        <v/>
      </c>
      <c r="F81" s="276" t="str">
        <f t="shared" si="27"/>
        <v/>
      </c>
      <c r="G81" s="285"/>
      <c r="H81" s="285"/>
      <c r="I81" s="286"/>
      <c r="J81" s="287"/>
      <c r="K81" s="304"/>
      <c r="L81" s="303"/>
      <c r="M81" s="274" t="str">
        <f t="shared" si="28"/>
        <v/>
      </c>
      <c r="N81" s="274" t="str">
        <f t="shared" si="29"/>
        <v/>
      </c>
      <c r="O81" s="283"/>
      <c r="P81" s="280" t="str">
        <f t="shared" si="32"/>
        <v/>
      </c>
      <c r="Q81" s="276" t="str">
        <f t="shared" si="30"/>
        <v/>
      </c>
      <c r="R81" s="276"/>
      <c r="S81" s="276"/>
      <c r="T81" s="281"/>
      <c r="U81" s="278"/>
      <c r="V81" s="302"/>
    </row>
    <row r="82" spans="2:22" ht="15" customHeight="1" x14ac:dyDescent="0.25">
      <c r="B82" s="279"/>
      <c r="C82" s="280"/>
      <c r="D82" s="280"/>
      <c r="E82" s="280" t="str">
        <f t="shared" si="31"/>
        <v/>
      </c>
      <c r="F82" s="276" t="str">
        <f t="shared" si="27"/>
        <v/>
      </c>
      <c r="G82" s="288"/>
      <c r="H82" s="288"/>
      <c r="I82" s="289"/>
      <c r="J82" s="290"/>
      <c r="K82" s="305"/>
      <c r="L82" s="306"/>
      <c r="M82" s="310" t="str">
        <f t="shared" si="28"/>
        <v/>
      </c>
      <c r="N82" s="310" t="str">
        <f t="shared" si="29"/>
        <v/>
      </c>
      <c r="O82" s="280"/>
      <c r="P82" s="275" t="str">
        <f t="shared" si="32"/>
        <v/>
      </c>
      <c r="Q82" s="276" t="str">
        <f t="shared" si="30"/>
        <v/>
      </c>
      <c r="R82" s="276"/>
      <c r="S82" s="276"/>
      <c r="T82" s="281"/>
      <c r="U82" s="278"/>
      <c r="V82" s="302"/>
    </row>
    <row r="83" spans="2:22" ht="15" customHeight="1" thickBot="1" x14ac:dyDescent="0.3">
      <c r="B83" s="291"/>
      <c r="C83" s="292"/>
      <c r="D83" s="293"/>
      <c r="E83" s="293">
        <f>SUM(E73:E82)</f>
        <v>178</v>
      </c>
      <c r="F83" s="293">
        <f>SUM(F73:F82)</f>
        <v>178000</v>
      </c>
      <c r="G83" s="293"/>
      <c r="H83" s="293"/>
      <c r="I83" s="293"/>
      <c r="J83" s="294"/>
      <c r="K83" s="295"/>
      <c r="L83" s="296"/>
      <c r="M83" s="297"/>
      <c r="N83" s="297"/>
      <c r="O83" s="293"/>
      <c r="P83" s="293">
        <f>SUM(P73:P82)</f>
        <v>197</v>
      </c>
      <c r="Q83" s="298">
        <f>SUM(Q73:Q82)</f>
        <v>197000</v>
      </c>
      <c r="R83" s="298"/>
      <c r="S83" s="298"/>
      <c r="T83" s="299"/>
      <c r="U83" s="300"/>
      <c r="V83" s="307"/>
    </row>
    <row r="85" spans="2:22" ht="15" customHeight="1" thickBot="1" x14ac:dyDescent="0.3">
      <c r="B85" s="272" t="s">
        <v>167</v>
      </c>
      <c r="C85" s="301"/>
      <c r="D85" s="301"/>
      <c r="E85" s="301"/>
      <c r="F85" s="301"/>
      <c r="G85" s="301"/>
      <c r="H85" s="301"/>
      <c r="I85" s="301"/>
      <c r="J85" s="266"/>
      <c r="K85" s="301"/>
      <c r="L85" s="301"/>
      <c r="M85" s="312" t="s">
        <v>168</v>
      </c>
      <c r="N85" s="301"/>
      <c r="O85" s="301"/>
      <c r="P85" s="301"/>
      <c r="Q85" s="301"/>
      <c r="R85" s="301"/>
      <c r="S85" s="301"/>
      <c r="T85" s="301"/>
      <c r="U85" s="266"/>
      <c r="V85" s="301"/>
    </row>
    <row r="86" spans="2:22" ht="15" customHeight="1" thickBot="1" x14ac:dyDescent="0.25">
      <c r="B86" s="273" t="s">
        <v>169</v>
      </c>
      <c r="C86" s="268"/>
      <c r="D86" s="268" t="s">
        <v>170</v>
      </c>
      <c r="E86" s="268" t="s">
        <v>171</v>
      </c>
      <c r="F86" s="268" t="s">
        <v>172</v>
      </c>
      <c r="G86" s="268"/>
      <c r="H86" s="268"/>
      <c r="I86" s="269"/>
      <c r="J86" s="270"/>
      <c r="K86" s="270" t="s">
        <v>173</v>
      </c>
      <c r="L86" s="301"/>
      <c r="M86" s="267" t="s">
        <v>169</v>
      </c>
      <c r="N86" s="268"/>
      <c r="O86" s="268" t="s">
        <v>170</v>
      </c>
      <c r="P86" s="268" t="s">
        <v>171</v>
      </c>
      <c r="Q86" s="268" t="s">
        <v>172</v>
      </c>
      <c r="R86" s="268"/>
      <c r="S86" s="268"/>
      <c r="T86" s="269"/>
      <c r="U86" s="270"/>
      <c r="V86" s="270" t="s">
        <v>173</v>
      </c>
    </row>
    <row r="87" spans="2:22" ht="15" customHeight="1" x14ac:dyDescent="0.25">
      <c r="B87" s="274">
        <v>46107</v>
      </c>
      <c r="C87" s="275"/>
      <c r="D87" s="275">
        <v>14088</v>
      </c>
      <c r="E87" s="275">
        <f>IF(D87="","",D87-D76)</f>
        <v>74</v>
      </c>
      <c r="F87" s="276">
        <f t="shared" ref="F87:F96" si="33">IF(D87="","",E87*1000)</f>
        <v>74000</v>
      </c>
      <c r="G87" s="276"/>
      <c r="H87" s="276"/>
      <c r="I87" s="277"/>
      <c r="J87" s="278"/>
      <c r="K87" s="302"/>
      <c r="L87" s="301"/>
      <c r="M87" s="274">
        <f>IF(B87="","",B87)</f>
        <v>46107</v>
      </c>
      <c r="N87" s="274" t="str">
        <f>IF(C87="","",C87)</f>
        <v/>
      </c>
      <c r="O87" s="275">
        <v>5369</v>
      </c>
      <c r="P87" s="275">
        <f>IF(O87="","",O87-O76)</f>
        <v>62</v>
      </c>
      <c r="Q87" s="276">
        <f t="shared" ref="Q87:Q96" si="34">IF(O87="","",P87*1000)</f>
        <v>62000</v>
      </c>
      <c r="R87" s="276"/>
      <c r="S87" s="276"/>
      <c r="T87" s="277"/>
      <c r="U87" s="278"/>
      <c r="V87" s="302"/>
    </row>
    <row r="88" spans="2:22" ht="15" customHeight="1" x14ac:dyDescent="0.25">
      <c r="B88" s="279">
        <v>46113</v>
      </c>
      <c r="C88" s="280"/>
      <c r="D88" s="280">
        <v>14170</v>
      </c>
      <c r="E88" s="275">
        <f t="shared" ref="E88:E96" si="35">IF(D88="","",D88-D87)</f>
        <v>82</v>
      </c>
      <c r="F88" s="276">
        <f t="shared" si="33"/>
        <v>82000</v>
      </c>
      <c r="G88" s="276"/>
      <c r="H88" s="276"/>
      <c r="I88" s="281"/>
      <c r="J88" s="278"/>
      <c r="K88" s="302"/>
      <c r="L88" s="301"/>
      <c r="M88" s="274">
        <v>46113</v>
      </c>
      <c r="N88" s="274" t="str">
        <f t="shared" ref="N88:N96" si="36">IF(C88="","",C88)</f>
        <v/>
      </c>
      <c r="O88" s="275">
        <v>5386</v>
      </c>
      <c r="P88" s="275">
        <f t="shared" ref="P88:P96" si="37">IF(O88="","",O88-O87)</f>
        <v>17</v>
      </c>
      <c r="Q88" s="276">
        <f t="shared" si="34"/>
        <v>17000</v>
      </c>
      <c r="R88" s="276"/>
      <c r="S88" s="276"/>
      <c r="T88" s="281"/>
      <c r="U88" s="278"/>
      <c r="V88" s="302"/>
    </row>
    <row r="89" spans="2:22" ht="15" customHeight="1" x14ac:dyDescent="0.25">
      <c r="B89" s="279">
        <v>46120</v>
      </c>
      <c r="C89" s="280"/>
      <c r="D89" s="280">
        <v>14188</v>
      </c>
      <c r="E89" s="275">
        <f t="shared" si="35"/>
        <v>18</v>
      </c>
      <c r="F89" s="276">
        <f t="shared" si="33"/>
        <v>18000</v>
      </c>
      <c r="G89" s="276"/>
      <c r="H89" s="276"/>
      <c r="I89" s="281"/>
      <c r="J89" s="278"/>
      <c r="K89" s="302"/>
      <c r="L89" s="301"/>
      <c r="M89" s="274">
        <f t="shared" ref="M89:M96" si="38">IF(B89="","",B89)</f>
        <v>46120</v>
      </c>
      <c r="N89" s="274" t="str">
        <f t="shared" si="36"/>
        <v/>
      </c>
      <c r="O89" s="275">
        <v>5436</v>
      </c>
      <c r="P89" s="275">
        <f t="shared" si="37"/>
        <v>50</v>
      </c>
      <c r="Q89" s="276">
        <f t="shared" si="34"/>
        <v>50000</v>
      </c>
      <c r="R89" s="276"/>
      <c r="S89" s="276"/>
      <c r="T89" s="281"/>
      <c r="U89" s="278"/>
      <c r="V89" s="302"/>
    </row>
    <row r="90" spans="2:22" ht="15" customHeight="1" x14ac:dyDescent="0.25">
      <c r="B90" s="279">
        <v>46128</v>
      </c>
      <c r="C90" s="280"/>
      <c r="D90" s="280">
        <v>14236</v>
      </c>
      <c r="E90" s="275">
        <f t="shared" si="35"/>
        <v>48</v>
      </c>
      <c r="F90" s="276">
        <f t="shared" si="33"/>
        <v>48000</v>
      </c>
      <c r="G90" s="276"/>
      <c r="H90" s="276"/>
      <c r="I90" s="281"/>
      <c r="J90" s="278"/>
      <c r="K90" s="282"/>
      <c r="L90" s="301"/>
      <c r="M90" s="274">
        <f t="shared" si="38"/>
        <v>46128</v>
      </c>
      <c r="N90" s="274" t="str">
        <f t="shared" si="36"/>
        <v/>
      </c>
      <c r="O90" s="275">
        <v>5482</v>
      </c>
      <c r="P90" s="275">
        <f t="shared" si="37"/>
        <v>46</v>
      </c>
      <c r="Q90" s="276">
        <f t="shared" si="34"/>
        <v>46000</v>
      </c>
      <c r="R90" s="276"/>
      <c r="S90" s="276"/>
      <c r="T90" s="281"/>
      <c r="U90" s="278"/>
      <c r="V90" s="302"/>
    </row>
    <row r="91" spans="2:22" ht="15" customHeight="1" x14ac:dyDescent="0.25">
      <c r="B91" s="279"/>
      <c r="C91" s="280"/>
      <c r="D91" s="280"/>
      <c r="E91" s="275" t="str">
        <f t="shared" si="35"/>
        <v/>
      </c>
      <c r="F91" s="276" t="str">
        <f t="shared" si="33"/>
        <v/>
      </c>
      <c r="G91" s="276"/>
      <c r="H91" s="276"/>
      <c r="I91" s="281"/>
      <c r="J91" s="278"/>
      <c r="K91" s="302"/>
      <c r="L91" s="301"/>
      <c r="M91" s="274" t="str">
        <f t="shared" si="38"/>
        <v/>
      </c>
      <c r="N91" s="274" t="str">
        <f t="shared" si="36"/>
        <v/>
      </c>
      <c r="O91" s="275"/>
      <c r="P91" s="275" t="str">
        <f t="shared" si="37"/>
        <v/>
      </c>
      <c r="Q91" s="276" t="str">
        <f t="shared" si="34"/>
        <v/>
      </c>
      <c r="R91" s="276"/>
      <c r="S91" s="276"/>
      <c r="T91" s="281"/>
      <c r="U91" s="278"/>
      <c r="V91" s="302"/>
    </row>
    <row r="92" spans="2:22" ht="15" customHeight="1" x14ac:dyDescent="0.25">
      <c r="B92" s="279"/>
      <c r="C92" s="280"/>
      <c r="D92" s="280"/>
      <c r="E92" s="275" t="str">
        <f t="shared" si="35"/>
        <v/>
      </c>
      <c r="F92" s="276" t="str">
        <f t="shared" si="33"/>
        <v/>
      </c>
      <c r="G92" s="276"/>
      <c r="H92" s="276"/>
      <c r="I92" s="281"/>
      <c r="J92" s="278"/>
      <c r="K92" s="302"/>
      <c r="L92" s="303"/>
      <c r="M92" s="274" t="str">
        <f t="shared" si="38"/>
        <v/>
      </c>
      <c r="N92" s="274" t="str">
        <f t="shared" si="36"/>
        <v/>
      </c>
      <c r="O92" s="275"/>
      <c r="P92" s="275" t="str">
        <f t="shared" si="37"/>
        <v/>
      </c>
      <c r="Q92" s="276" t="str">
        <f t="shared" si="34"/>
        <v/>
      </c>
      <c r="R92" s="276"/>
      <c r="S92" s="276"/>
      <c r="T92" s="281"/>
      <c r="U92" s="278"/>
      <c r="V92" s="302"/>
    </row>
    <row r="93" spans="2:22" ht="15" customHeight="1" x14ac:dyDescent="0.25">
      <c r="B93" s="279"/>
      <c r="C93" s="280"/>
      <c r="D93" s="280"/>
      <c r="E93" s="275" t="str">
        <f t="shared" si="35"/>
        <v/>
      </c>
      <c r="F93" s="276" t="str">
        <f t="shared" si="33"/>
        <v/>
      </c>
      <c r="G93" s="276"/>
      <c r="H93" s="276"/>
      <c r="I93" s="281"/>
      <c r="J93" s="278"/>
      <c r="K93" s="302"/>
      <c r="L93" s="271"/>
      <c r="M93" s="274" t="str">
        <f t="shared" si="38"/>
        <v/>
      </c>
      <c r="N93" s="274" t="str">
        <f t="shared" si="36"/>
        <v/>
      </c>
      <c r="O93" s="275"/>
      <c r="P93" s="275" t="str">
        <f t="shared" si="37"/>
        <v/>
      </c>
      <c r="Q93" s="276" t="str">
        <f t="shared" si="34"/>
        <v/>
      </c>
      <c r="R93" s="276"/>
      <c r="S93" s="276"/>
      <c r="T93" s="281"/>
      <c r="U93" s="278"/>
      <c r="V93" s="302"/>
    </row>
    <row r="94" spans="2:22" ht="15" customHeight="1" x14ac:dyDescent="0.25">
      <c r="B94" s="279"/>
      <c r="C94" s="280"/>
      <c r="D94" s="283"/>
      <c r="E94" s="284" t="str">
        <f t="shared" si="35"/>
        <v/>
      </c>
      <c r="F94" s="276" t="str">
        <f t="shared" si="33"/>
        <v/>
      </c>
      <c r="G94" s="285"/>
      <c r="H94" s="285"/>
      <c r="I94" s="286"/>
      <c r="J94" s="287"/>
      <c r="K94" s="304"/>
      <c r="L94" s="303"/>
      <c r="M94" s="274" t="str">
        <f t="shared" si="38"/>
        <v/>
      </c>
      <c r="N94" s="274" t="str">
        <f t="shared" si="36"/>
        <v/>
      </c>
      <c r="O94" s="283"/>
      <c r="P94" s="275" t="str">
        <f t="shared" si="37"/>
        <v/>
      </c>
      <c r="Q94" s="276" t="str">
        <f t="shared" si="34"/>
        <v/>
      </c>
      <c r="R94" s="276"/>
      <c r="S94" s="276"/>
      <c r="T94" s="281"/>
      <c r="U94" s="278"/>
      <c r="V94" s="302"/>
    </row>
    <row r="95" spans="2:22" ht="15" customHeight="1" x14ac:dyDescent="0.25">
      <c r="B95" s="279"/>
      <c r="C95" s="280"/>
      <c r="D95" s="283"/>
      <c r="E95" s="284" t="str">
        <f t="shared" si="35"/>
        <v/>
      </c>
      <c r="F95" s="276" t="str">
        <f t="shared" si="33"/>
        <v/>
      </c>
      <c r="G95" s="285"/>
      <c r="H95" s="285"/>
      <c r="I95" s="286"/>
      <c r="J95" s="287"/>
      <c r="K95" s="304"/>
      <c r="L95" s="303"/>
      <c r="M95" s="274" t="str">
        <f t="shared" si="38"/>
        <v/>
      </c>
      <c r="N95" s="274" t="str">
        <f t="shared" si="36"/>
        <v/>
      </c>
      <c r="O95" s="283"/>
      <c r="P95" s="280" t="str">
        <f t="shared" si="37"/>
        <v/>
      </c>
      <c r="Q95" s="276" t="str">
        <f t="shared" si="34"/>
        <v/>
      </c>
      <c r="R95" s="276"/>
      <c r="S95" s="276"/>
      <c r="T95" s="281"/>
      <c r="U95" s="278"/>
      <c r="V95" s="302"/>
    </row>
    <row r="96" spans="2:22" ht="15" customHeight="1" x14ac:dyDescent="0.25">
      <c r="B96" s="279"/>
      <c r="C96" s="280"/>
      <c r="D96" s="280"/>
      <c r="E96" s="280" t="str">
        <f t="shared" si="35"/>
        <v/>
      </c>
      <c r="F96" s="276" t="str">
        <f t="shared" si="33"/>
        <v/>
      </c>
      <c r="G96" s="288"/>
      <c r="H96" s="288"/>
      <c r="I96" s="289"/>
      <c r="J96" s="290"/>
      <c r="K96" s="305"/>
      <c r="L96" s="306"/>
      <c r="M96" s="310" t="str">
        <f t="shared" si="38"/>
        <v/>
      </c>
      <c r="N96" s="310" t="str">
        <f t="shared" si="36"/>
        <v/>
      </c>
      <c r="O96" s="280"/>
      <c r="P96" s="275" t="str">
        <f t="shared" si="37"/>
        <v/>
      </c>
      <c r="Q96" s="276" t="str">
        <f t="shared" si="34"/>
        <v/>
      </c>
      <c r="R96" s="276"/>
      <c r="S96" s="276"/>
      <c r="T96" s="281"/>
      <c r="U96" s="278"/>
      <c r="V96" s="302"/>
    </row>
    <row r="97" spans="2:22" ht="15" customHeight="1" thickBot="1" x14ac:dyDescent="0.3">
      <c r="B97" s="291"/>
      <c r="C97" s="292"/>
      <c r="D97" s="293"/>
      <c r="E97" s="293">
        <f>SUM(E87:E96)</f>
        <v>222</v>
      </c>
      <c r="F97" s="293">
        <f>SUM(F87:F96)</f>
        <v>222000</v>
      </c>
      <c r="G97" s="293"/>
      <c r="H97" s="293"/>
      <c r="I97" s="293"/>
      <c r="J97" s="294"/>
      <c r="K97" s="295"/>
      <c r="L97" s="296"/>
      <c r="M97" s="297"/>
      <c r="N97" s="297"/>
      <c r="O97" s="293"/>
      <c r="P97" s="293">
        <f>SUM(P87:P96)</f>
        <v>175</v>
      </c>
      <c r="Q97" s="298">
        <f>SUM(Q87:Q96)</f>
        <v>175000</v>
      </c>
      <c r="R97" s="298"/>
      <c r="S97" s="298"/>
      <c r="T97" s="299"/>
      <c r="U97" s="300"/>
      <c r="V97" s="307"/>
    </row>
    <row r="99" spans="2:22" ht="15" customHeight="1" thickBot="1" x14ac:dyDescent="0.3">
      <c r="B99" s="272" t="s">
        <v>167</v>
      </c>
      <c r="C99" s="738"/>
      <c r="D99" s="738"/>
      <c r="E99" s="738"/>
      <c r="F99" s="738"/>
      <c r="G99" s="738"/>
      <c r="H99" s="738"/>
      <c r="I99" s="738"/>
      <c r="J99" s="266"/>
      <c r="K99" s="738"/>
      <c r="L99" s="738"/>
      <c r="M99" s="312" t="s">
        <v>168</v>
      </c>
      <c r="N99" s="738"/>
      <c r="O99" s="738"/>
      <c r="P99" s="738"/>
      <c r="Q99" s="738"/>
      <c r="R99" s="738"/>
      <c r="S99" s="738"/>
      <c r="T99" s="738"/>
      <c r="U99" s="266"/>
      <c r="V99" s="738"/>
    </row>
    <row r="100" spans="2:22" ht="15" customHeight="1" thickBot="1" x14ac:dyDescent="0.25">
      <c r="B100" s="273" t="s">
        <v>169</v>
      </c>
      <c r="C100" s="268"/>
      <c r="D100" s="268" t="s">
        <v>170</v>
      </c>
      <c r="E100" s="268" t="s">
        <v>171</v>
      </c>
      <c r="F100" s="268" t="s">
        <v>172</v>
      </c>
      <c r="G100" s="268"/>
      <c r="H100" s="268"/>
      <c r="I100" s="269"/>
      <c r="J100" s="270"/>
      <c r="K100" s="270" t="s">
        <v>173</v>
      </c>
      <c r="L100" s="738"/>
      <c r="M100" s="267" t="s">
        <v>169</v>
      </c>
      <c r="N100" s="268"/>
      <c r="O100" s="268" t="s">
        <v>170</v>
      </c>
      <c r="P100" s="268" t="s">
        <v>171</v>
      </c>
      <c r="Q100" s="268" t="s">
        <v>172</v>
      </c>
      <c r="R100" s="268"/>
      <c r="S100" s="268"/>
      <c r="T100" s="269"/>
      <c r="U100" s="270"/>
      <c r="V100" s="270" t="s">
        <v>173</v>
      </c>
    </row>
    <row r="101" spans="2:22" ht="15" customHeight="1" x14ac:dyDescent="0.25">
      <c r="B101" s="274">
        <v>46134</v>
      </c>
      <c r="C101" s="275"/>
      <c r="D101" s="275">
        <v>14290</v>
      </c>
      <c r="E101" s="275">
        <f>IF(D101="","",D101-D90)</f>
        <v>54</v>
      </c>
      <c r="F101" s="276">
        <f>IF(D101="","",E101*1000)</f>
        <v>54000</v>
      </c>
      <c r="G101" s="276"/>
      <c r="H101" s="276"/>
      <c r="I101" s="277"/>
      <c r="J101" s="278"/>
      <c r="K101" s="302"/>
      <c r="L101" s="738"/>
      <c r="M101" s="274">
        <f>IF(B101="","",B101)</f>
        <v>46134</v>
      </c>
      <c r="N101" s="274"/>
      <c r="O101" s="275">
        <v>5502</v>
      </c>
      <c r="P101" s="275">
        <f>IF(O101="","",O101-O90)</f>
        <v>20</v>
      </c>
      <c r="Q101" s="276">
        <f>IF(O101="","",P101*1000)</f>
        <v>20000</v>
      </c>
      <c r="R101" s="276"/>
      <c r="S101" s="276"/>
      <c r="T101" s="277"/>
      <c r="U101" s="278"/>
      <c r="V101" s="302"/>
    </row>
    <row r="102" spans="2:22" ht="15" customHeight="1" x14ac:dyDescent="0.25">
      <c r="B102" s="279">
        <v>46140</v>
      </c>
      <c r="C102" s="280"/>
      <c r="D102" s="280">
        <v>14448</v>
      </c>
      <c r="E102" s="275">
        <f>IF(D102="","",D102-D101)</f>
        <v>158</v>
      </c>
      <c r="F102" s="276">
        <f>IF(D102="","",E102*1000)</f>
        <v>158000</v>
      </c>
      <c r="G102" s="276"/>
      <c r="H102" s="276"/>
      <c r="I102" s="281"/>
      <c r="J102" s="278"/>
      <c r="K102" s="302"/>
      <c r="L102" s="738"/>
      <c r="M102" s="274">
        <f>IF(B102="","",B102)</f>
        <v>46140</v>
      </c>
      <c r="N102" s="274"/>
      <c r="O102" s="275">
        <v>5541</v>
      </c>
      <c r="P102" s="275">
        <f>IF(O102="","",O102-O101)</f>
        <v>39</v>
      </c>
      <c r="Q102" s="276">
        <f>IF(O102="","",P102*1000)</f>
        <v>39000</v>
      </c>
      <c r="R102" s="276"/>
      <c r="S102" s="276"/>
      <c r="T102" s="281"/>
      <c r="U102" s="278"/>
      <c r="V102" s="302"/>
    </row>
    <row r="103" spans="2:22" ht="15" customHeight="1" x14ac:dyDescent="0.25">
      <c r="B103" s="279">
        <v>46146</v>
      </c>
      <c r="C103" s="280"/>
      <c r="D103" s="280">
        <v>14506</v>
      </c>
      <c r="E103" s="275">
        <f>IF(D103="","",D103-D102)</f>
        <v>58</v>
      </c>
      <c r="F103" s="276">
        <f>IF(D103="","",E103*1000)</f>
        <v>58000</v>
      </c>
      <c r="G103" s="276"/>
      <c r="H103" s="276"/>
      <c r="I103" s="281"/>
      <c r="J103" s="278"/>
      <c r="K103" s="302"/>
      <c r="L103" s="738"/>
      <c r="M103" s="274">
        <f>IF(B103="","",B103)</f>
        <v>46146</v>
      </c>
      <c r="N103" s="274"/>
      <c r="O103" s="275">
        <v>5607</v>
      </c>
      <c r="P103" s="275">
        <f>IF(O103="","",O103-O102)</f>
        <v>66</v>
      </c>
      <c r="Q103" s="276">
        <f>IF(O103="","",P103*1000)</f>
        <v>66000</v>
      </c>
      <c r="R103" s="276"/>
      <c r="S103" s="276"/>
      <c r="T103" s="281"/>
      <c r="U103" s="278"/>
      <c r="V103" s="302"/>
    </row>
    <row r="104" spans="2:22" ht="15" customHeight="1" x14ac:dyDescent="0.25">
      <c r="B104" s="279">
        <v>46150</v>
      </c>
      <c r="C104" s="280"/>
      <c r="D104" s="280">
        <v>14518</v>
      </c>
      <c r="E104" s="275">
        <f>IF(D104="","",D104-D103)</f>
        <v>12</v>
      </c>
      <c r="F104" s="276">
        <f>IF(D104="","",E104*1000)</f>
        <v>12000</v>
      </c>
      <c r="G104" s="276"/>
      <c r="H104" s="276"/>
      <c r="I104" s="281"/>
      <c r="J104" s="278"/>
      <c r="K104" s="282"/>
      <c r="L104" s="738"/>
      <c r="M104" s="274">
        <f>IF(B104="","",B104)</f>
        <v>46150</v>
      </c>
      <c r="N104" s="274"/>
      <c r="O104" s="275">
        <v>5629</v>
      </c>
      <c r="P104" s="275">
        <f>IF(O104="","",O104-O103)</f>
        <v>22</v>
      </c>
      <c r="Q104" s="276">
        <f>IF(O104="","",P104*1000)</f>
        <v>22000</v>
      </c>
      <c r="R104" s="276"/>
      <c r="S104" s="276"/>
      <c r="T104" s="281"/>
      <c r="U104" s="278"/>
      <c r="V104" s="302"/>
    </row>
    <row r="105" spans="2:22" ht="15" customHeight="1" x14ac:dyDescent="0.25">
      <c r="B105" s="279">
        <v>46155</v>
      </c>
      <c r="C105" s="280"/>
      <c r="D105" s="280">
        <v>14554</v>
      </c>
      <c r="E105" s="275">
        <f>IF(D105="","",D105-D104)</f>
        <v>36</v>
      </c>
      <c r="F105" s="276">
        <f>IF(D105="","",E105*1000)</f>
        <v>36000</v>
      </c>
      <c r="G105" s="276"/>
      <c r="H105" s="276"/>
      <c r="I105" s="281"/>
      <c r="J105" s="278"/>
      <c r="K105" s="302"/>
      <c r="L105" s="738"/>
      <c r="M105" s="274">
        <f>IF(B105="","",B105)</f>
        <v>46155</v>
      </c>
      <c r="N105" s="274" t="str">
        <f>IF(C105="","",C105)</f>
        <v/>
      </c>
      <c r="O105" s="275">
        <v>5670</v>
      </c>
      <c r="P105" s="275">
        <f>IF(O105="","",O105-O104)</f>
        <v>41</v>
      </c>
      <c r="Q105" s="276">
        <f>IF(O105="","",P105*1000)</f>
        <v>41000</v>
      </c>
      <c r="R105" s="276"/>
      <c r="S105" s="276"/>
      <c r="T105" s="281"/>
      <c r="U105" s="278"/>
      <c r="V105" s="302"/>
    </row>
    <row r="106" spans="2:22" ht="15" customHeight="1" x14ac:dyDescent="0.25">
      <c r="B106" s="279">
        <v>46160</v>
      </c>
      <c r="C106" s="280"/>
      <c r="D106" s="280">
        <v>14570</v>
      </c>
      <c r="E106" s="275">
        <f>IF(D106="","",D106-D105)</f>
        <v>16</v>
      </c>
      <c r="F106" s="276">
        <f>IF(D106="","",E106*1000)</f>
        <v>16000</v>
      </c>
      <c r="G106" s="276"/>
      <c r="H106" s="276"/>
      <c r="I106" s="281"/>
      <c r="J106" s="278"/>
      <c r="K106" s="302"/>
      <c r="L106" s="303"/>
      <c r="M106" s="274">
        <f>IF(B106="","",B106)</f>
        <v>46160</v>
      </c>
      <c r="N106" s="274" t="str">
        <f>IF(C106="","",C106)</f>
        <v/>
      </c>
      <c r="O106" s="275">
        <v>5711</v>
      </c>
      <c r="P106" s="275">
        <f>IF(O106="","",O106-O105)</f>
        <v>41</v>
      </c>
      <c r="Q106" s="276">
        <f>IF(O106="","",P106*1000)</f>
        <v>41000</v>
      </c>
      <c r="R106" s="276"/>
      <c r="S106" s="276"/>
      <c r="T106" s="281"/>
      <c r="U106" s="278"/>
      <c r="V106" s="302"/>
    </row>
    <row r="107" spans="2:22" ht="15" customHeight="1" x14ac:dyDescent="0.25">
      <c r="B107" s="279"/>
      <c r="C107" s="280"/>
      <c r="D107" s="280"/>
      <c r="E107" s="275" t="str">
        <f>IF(D107="","",D107-D106)</f>
        <v/>
      </c>
      <c r="F107" s="276" t="str">
        <f>IF(D107="","",E107*1000)</f>
        <v/>
      </c>
      <c r="G107" s="276"/>
      <c r="H107" s="276"/>
      <c r="I107" s="281"/>
      <c r="J107" s="278"/>
      <c r="K107" s="302"/>
      <c r="L107" s="271"/>
      <c r="M107" s="274" t="str">
        <f>IF(B107="","",B107)</f>
        <v/>
      </c>
      <c r="N107" s="274" t="str">
        <f>IF(C107="","",C107)</f>
        <v/>
      </c>
      <c r="O107" s="275"/>
      <c r="P107" s="275" t="str">
        <f>IF(O107="","",O107-O106)</f>
        <v/>
      </c>
      <c r="Q107" s="276" t="str">
        <f>IF(O107="","",P107*1000)</f>
        <v/>
      </c>
      <c r="R107" s="276"/>
      <c r="S107" s="276"/>
      <c r="T107" s="281"/>
      <c r="U107" s="278"/>
      <c r="V107" s="302"/>
    </row>
    <row r="108" spans="2:22" ht="15" customHeight="1" x14ac:dyDescent="0.25">
      <c r="B108" s="279"/>
      <c r="C108" s="280"/>
      <c r="D108" s="283"/>
      <c r="E108" s="284" t="str">
        <f>IF(D108="","",D108-D107)</f>
        <v/>
      </c>
      <c r="F108" s="276" t="str">
        <f>IF(D108="","",E108*1000)</f>
        <v/>
      </c>
      <c r="G108" s="285"/>
      <c r="H108" s="285"/>
      <c r="I108" s="286"/>
      <c r="J108" s="287"/>
      <c r="K108" s="304"/>
      <c r="L108" s="303"/>
      <c r="M108" s="274" t="str">
        <f>IF(B108="","",B108)</f>
        <v/>
      </c>
      <c r="N108" s="274" t="str">
        <f>IF(C108="","",C108)</f>
        <v/>
      </c>
      <c r="O108" s="283"/>
      <c r="P108" s="275" t="str">
        <f>IF(O108="","",O108-O107)</f>
        <v/>
      </c>
      <c r="Q108" s="276" t="str">
        <f>IF(O108="","",P108*1000)</f>
        <v/>
      </c>
      <c r="R108" s="276"/>
      <c r="S108" s="276"/>
      <c r="T108" s="281"/>
      <c r="U108" s="278"/>
      <c r="V108" s="302"/>
    </row>
    <row r="109" spans="2:22" ht="15" customHeight="1" x14ac:dyDescent="0.25">
      <c r="B109" s="279"/>
      <c r="C109" s="280"/>
      <c r="D109" s="283"/>
      <c r="E109" s="284" t="str">
        <f>IF(D109="","",D109-D108)</f>
        <v/>
      </c>
      <c r="F109" s="276" t="str">
        <f>IF(D109="","",E109*1000)</f>
        <v/>
      </c>
      <c r="G109" s="285"/>
      <c r="H109" s="285"/>
      <c r="I109" s="286"/>
      <c r="J109" s="287"/>
      <c r="K109" s="304"/>
      <c r="L109" s="303"/>
      <c r="M109" s="274" t="str">
        <f>IF(B109="","",B109)</f>
        <v/>
      </c>
      <c r="N109" s="274" t="str">
        <f>IF(C109="","",C109)</f>
        <v/>
      </c>
      <c r="O109" s="283"/>
      <c r="P109" s="280" t="str">
        <f>IF(O109="","",O109-O108)</f>
        <v/>
      </c>
      <c r="Q109" s="276" t="str">
        <f>IF(O109="","",P109*1000)</f>
        <v/>
      </c>
      <c r="R109" s="276"/>
      <c r="S109" s="276"/>
      <c r="T109" s="281"/>
      <c r="U109" s="278"/>
      <c r="V109" s="302"/>
    </row>
    <row r="110" spans="2:22" ht="15" customHeight="1" x14ac:dyDescent="0.25">
      <c r="B110" s="279"/>
      <c r="C110" s="280"/>
      <c r="D110" s="280"/>
      <c r="E110" s="280" t="str">
        <f>IF(D110="","",D110-D109)</f>
        <v/>
      </c>
      <c r="F110" s="276" t="str">
        <f>IF(D110="","",E110*1000)</f>
        <v/>
      </c>
      <c r="G110" s="288"/>
      <c r="H110" s="288"/>
      <c r="I110" s="289"/>
      <c r="J110" s="290"/>
      <c r="K110" s="305"/>
      <c r="L110" s="306"/>
      <c r="M110" s="310" t="str">
        <f>IF(B110="","",B110)</f>
        <v/>
      </c>
      <c r="N110" s="310" t="str">
        <f>IF(C110="","",C110)</f>
        <v/>
      </c>
      <c r="O110" s="280"/>
      <c r="P110" s="275" t="str">
        <f>IF(O110="","",O110-O109)</f>
        <v/>
      </c>
      <c r="Q110" s="276" t="str">
        <f>IF(O110="","",P110*1000)</f>
        <v/>
      </c>
      <c r="R110" s="276"/>
      <c r="S110" s="276"/>
      <c r="T110" s="281"/>
      <c r="U110" s="278"/>
      <c r="V110" s="302"/>
    </row>
    <row r="111" spans="2:22" ht="15" customHeight="1" thickBot="1" x14ac:dyDescent="0.3">
      <c r="B111" s="291"/>
      <c r="C111" s="292"/>
      <c r="D111" s="293"/>
      <c r="E111" s="293">
        <f>SUM(E101:E110)</f>
        <v>334</v>
      </c>
      <c r="F111" s="293">
        <f>SUM(F101:F110)</f>
        <v>334000</v>
      </c>
      <c r="G111" s="293"/>
      <c r="H111" s="293"/>
      <c r="I111" s="293"/>
      <c r="J111" s="294"/>
      <c r="K111" s="295"/>
      <c r="L111" s="739"/>
      <c r="M111" s="297"/>
      <c r="N111" s="297"/>
      <c r="O111" s="293"/>
      <c r="P111" s="293">
        <f>SUM(P101:P110)</f>
        <v>229</v>
      </c>
      <c r="Q111" s="298">
        <f>SUM(Q101:Q110)</f>
        <v>229000</v>
      </c>
      <c r="R111" s="298"/>
      <c r="S111" s="298"/>
      <c r="T111" s="299"/>
      <c r="U111" s="300"/>
      <c r="V111" s="307"/>
    </row>
    <row r="113" spans="2:22" ht="15" customHeight="1" thickBot="1" x14ac:dyDescent="0.3">
      <c r="B113" s="272" t="s">
        <v>167</v>
      </c>
      <c r="C113" s="738"/>
      <c r="D113" s="738"/>
      <c r="E113" s="738"/>
      <c r="F113" s="738"/>
      <c r="G113" s="738"/>
      <c r="H113" s="738"/>
      <c r="I113" s="738"/>
      <c r="J113" s="266"/>
      <c r="K113" s="738"/>
      <c r="L113" s="738"/>
      <c r="M113" s="312" t="s">
        <v>168</v>
      </c>
      <c r="N113" s="738"/>
      <c r="O113" s="738"/>
      <c r="P113" s="738"/>
      <c r="Q113" s="738"/>
      <c r="R113" s="738"/>
      <c r="S113" s="738"/>
      <c r="T113" s="738"/>
      <c r="U113" s="266"/>
      <c r="V113" s="738"/>
    </row>
    <row r="114" spans="2:22" ht="15" customHeight="1" thickBot="1" x14ac:dyDescent="0.25">
      <c r="B114" s="273" t="s">
        <v>169</v>
      </c>
      <c r="C114" s="268"/>
      <c r="D114" s="268" t="s">
        <v>170</v>
      </c>
      <c r="E114" s="268" t="s">
        <v>171</v>
      </c>
      <c r="F114" s="268" t="s">
        <v>172</v>
      </c>
      <c r="G114" s="268"/>
      <c r="H114" s="268"/>
      <c r="I114" s="269"/>
      <c r="J114" s="270"/>
      <c r="K114" s="270" t="s">
        <v>173</v>
      </c>
      <c r="L114" s="738"/>
      <c r="M114" s="267" t="s">
        <v>169</v>
      </c>
      <c r="N114" s="268"/>
      <c r="O114" s="268" t="s">
        <v>170</v>
      </c>
      <c r="P114" s="268" t="s">
        <v>171</v>
      </c>
      <c r="Q114" s="268" t="s">
        <v>172</v>
      </c>
      <c r="R114" s="268"/>
      <c r="S114" s="268"/>
      <c r="T114" s="269"/>
      <c r="U114" s="270"/>
      <c r="V114" s="270" t="s">
        <v>173</v>
      </c>
    </row>
    <row r="115" spans="2:22" ht="15" customHeight="1" x14ac:dyDescent="0.25">
      <c r="B115" s="274">
        <v>46162</v>
      </c>
      <c r="C115" s="275"/>
      <c r="D115" s="275">
        <v>14576</v>
      </c>
      <c r="E115" s="275">
        <f>IF(D115="","",D115-D106)</f>
        <v>6</v>
      </c>
      <c r="F115" s="276">
        <f>IF(D115="","",E115*1000)</f>
        <v>6000</v>
      </c>
      <c r="G115" s="276"/>
      <c r="H115" s="276"/>
      <c r="I115" s="277"/>
      <c r="J115" s="278"/>
      <c r="K115" s="302"/>
      <c r="L115" s="738"/>
      <c r="M115" s="274">
        <f>IF(B115="","",B115)</f>
        <v>46162</v>
      </c>
      <c r="N115" s="274"/>
      <c r="O115" s="275">
        <v>5720</v>
      </c>
      <c r="P115" s="275">
        <f>IF(O115="","",O115-O106)</f>
        <v>9</v>
      </c>
      <c r="Q115" s="276">
        <f>IF(O115="","",P115*1000)</f>
        <v>9000</v>
      </c>
      <c r="R115" s="276"/>
      <c r="S115" s="276"/>
      <c r="T115" s="277"/>
      <c r="U115" s="278"/>
      <c r="V115" s="302"/>
    </row>
    <row r="116" spans="2:22" ht="15" customHeight="1" x14ac:dyDescent="0.25">
      <c r="B116" s="279">
        <v>46170</v>
      </c>
      <c r="C116" s="280"/>
      <c r="D116" s="280">
        <v>14648</v>
      </c>
      <c r="E116" s="275">
        <f>IF(D116="","",D116-D115)</f>
        <v>72</v>
      </c>
      <c r="F116" s="276">
        <f>IF(D116="","",E116*1000)</f>
        <v>72000</v>
      </c>
      <c r="G116" s="276"/>
      <c r="H116" s="276"/>
      <c r="I116" s="281"/>
      <c r="J116" s="278"/>
      <c r="K116" s="302"/>
      <c r="L116" s="738"/>
      <c r="M116" s="274">
        <f>IF(B116="","",B116)</f>
        <v>46170</v>
      </c>
      <c r="N116" s="274"/>
      <c r="O116" s="275">
        <v>5768</v>
      </c>
      <c r="P116" s="275">
        <f>IF(O116="","",O116-O115)</f>
        <v>48</v>
      </c>
      <c r="Q116" s="276">
        <f>IF(O116="","",P116*1000)</f>
        <v>48000</v>
      </c>
      <c r="R116" s="276"/>
      <c r="S116" s="276"/>
      <c r="T116" s="281"/>
      <c r="U116" s="278"/>
      <c r="V116" s="302"/>
    </row>
    <row r="117" spans="2:22" ht="15" customHeight="1" x14ac:dyDescent="0.25">
      <c r="B117" s="279"/>
      <c r="C117" s="280"/>
      <c r="D117" s="280"/>
      <c r="E117" s="275" t="str">
        <f>IF(D117="","",D117-D116)</f>
        <v/>
      </c>
      <c r="F117" s="276" t="str">
        <f>IF(D117="","",E117*1000)</f>
        <v/>
      </c>
      <c r="G117" s="276"/>
      <c r="H117" s="276"/>
      <c r="I117" s="281"/>
      <c r="J117" s="278"/>
      <c r="K117" s="302"/>
      <c r="L117" s="738"/>
      <c r="M117" s="274" t="str">
        <f>IF(B117="","",B117)</f>
        <v/>
      </c>
      <c r="N117" s="274"/>
      <c r="O117" s="275"/>
      <c r="P117" s="275" t="str">
        <f>IF(O117="","",O117-O116)</f>
        <v/>
      </c>
      <c r="Q117" s="276" t="str">
        <f>IF(O117="","",P117*1000)</f>
        <v/>
      </c>
      <c r="R117" s="276"/>
      <c r="S117" s="276"/>
      <c r="T117" s="281"/>
      <c r="U117" s="278"/>
      <c r="V117" s="302"/>
    </row>
    <row r="118" spans="2:22" ht="15" customHeight="1" x14ac:dyDescent="0.25">
      <c r="B118" s="279"/>
      <c r="C118" s="280"/>
      <c r="D118" s="280"/>
      <c r="E118" s="275" t="str">
        <f>IF(D118="","",D118-D117)</f>
        <v/>
      </c>
      <c r="F118" s="276" t="str">
        <f>IF(D118="","",E118*1000)</f>
        <v/>
      </c>
      <c r="G118" s="276"/>
      <c r="H118" s="276"/>
      <c r="I118" s="281"/>
      <c r="J118" s="278"/>
      <c r="K118" s="282"/>
      <c r="L118" s="738"/>
      <c r="M118" s="274" t="str">
        <f>IF(B118="","",B118)</f>
        <v/>
      </c>
      <c r="N118" s="274"/>
      <c r="O118" s="275"/>
      <c r="P118" s="275" t="str">
        <f>IF(O118="","",O118-O117)</f>
        <v/>
      </c>
      <c r="Q118" s="276" t="str">
        <f>IF(O118="","",P118*1000)</f>
        <v/>
      </c>
      <c r="R118" s="276"/>
      <c r="S118" s="276"/>
      <c r="T118" s="281"/>
      <c r="U118" s="278"/>
      <c r="V118" s="302"/>
    </row>
    <row r="119" spans="2:22" ht="15" customHeight="1" x14ac:dyDescent="0.25">
      <c r="B119" s="279"/>
      <c r="C119" s="280"/>
      <c r="D119" s="280"/>
      <c r="E119" s="275" t="str">
        <f>IF(D119="","",D119-D118)</f>
        <v/>
      </c>
      <c r="F119" s="276" t="str">
        <f>IF(D119="","",E119*1000)</f>
        <v/>
      </c>
      <c r="G119" s="276"/>
      <c r="H119" s="276"/>
      <c r="I119" s="281"/>
      <c r="J119" s="278"/>
      <c r="K119" s="302"/>
      <c r="L119" s="738"/>
      <c r="M119" s="274" t="str">
        <f>IF(B119="","",B119)</f>
        <v/>
      </c>
      <c r="N119" s="274" t="str">
        <f>IF(C119="","",C119)</f>
        <v/>
      </c>
      <c r="O119" s="275"/>
      <c r="P119" s="275" t="str">
        <f>IF(O119="","",O119-O118)</f>
        <v/>
      </c>
      <c r="Q119" s="276" t="str">
        <f>IF(O119="","",P119*1000)</f>
        <v/>
      </c>
      <c r="R119" s="276"/>
      <c r="S119" s="276"/>
      <c r="T119" s="281"/>
      <c r="U119" s="278"/>
      <c r="V119" s="302"/>
    </row>
    <row r="120" spans="2:22" ht="15" customHeight="1" x14ac:dyDescent="0.25">
      <c r="B120" s="279"/>
      <c r="C120" s="280"/>
      <c r="D120" s="280"/>
      <c r="E120" s="275" t="str">
        <f>IF(D120="","",D120-D119)</f>
        <v/>
      </c>
      <c r="F120" s="276" t="str">
        <f>IF(D120="","",E120*1000)</f>
        <v/>
      </c>
      <c r="G120" s="276"/>
      <c r="H120" s="276"/>
      <c r="I120" s="281"/>
      <c r="J120" s="278"/>
      <c r="K120" s="302"/>
      <c r="L120" s="303"/>
      <c r="M120" s="274" t="str">
        <f>IF(B120="","",B120)</f>
        <v/>
      </c>
      <c r="N120" s="274" t="str">
        <f>IF(C120="","",C120)</f>
        <v/>
      </c>
      <c r="O120" s="275"/>
      <c r="P120" s="275" t="str">
        <f>IF(O120="","",O120-O119)</f>
        <v/>
      </c>
      <c r="Q120" s="276" t="str">
        <f>IF(O120="","",P120*1000)</f>
        <v/>
      </c>
      <c r="R120" s="276"/>
      <c r="S120" s="276"/>
      <c r="T120" s="281"/>
      <c r="U120" s="278"/>
      <c r="V120" s="302"/>
    </row>
    <row r="121" spans="2:22" ht="15" customHeight="1" x14ac:dyDescent="0.25">
      <c r="B121" s="279"/>
      <c r="C121" s="280"/>
      <c r="D121" s="280"/>
      <c r="E121" s="275" t="str">
        <f>IF(D121="","",D121-D120)</f>
        <v/>
      </c>
      <c r="F121" s="276" t="str">
        <f>IF(D121="","",E121*1000)</f>
        <v/>
      </c>
      <c r="G121" s="276"/>
      <c r="H121" s="276"/>
      <c r="I121" s="281"/>
      <c r="J121" s="278"/>
      <c r="K121" s="302"/>
      <c r="L121" s="271"/>
      <c r="M121" s="274" t="str">
        <f>IF(B121="","",B121)</f>
        <v/>
      </c>
      <c r="N121" s="274" t="str">
        <f>IF(C121="","",C121)</f>
        <v/>
      </c>
      <c r="O121" s="275"/>
      <c r="P121" s="275" t="str">
        <f>IF(O121="","",O121-O120)</f>
        <v/>
      </c>
      <c r="Q121" s="276" t="str">
        <f>IF(O121="","",P121*1000)</f>
        <v/>
      </c>
      <c r="R121" s="276"/>
      <c r="S121" s="276"/>
      <c r="T121" s="281"/>
      <c r="U121" s="278"/>
      <c r="V121" s="302"/>
    </row>
    <row r="122" spans="2:22" ht="15" customHeight="1" x14ac:dyDescent="0.25">
      <c r="B122" s="279"/>
      <c r="C122" s="280"/>
      <c r="D122" s="283"/>
      <c r="E122" s="284" t="str">
        <f>IF(D122="","",D122-D121)</f>
        <v/>
      </c>
      <c r="F122" s="276" t="str">
        <f>IF(D122="","",E122*1000)</f>
        <v/>
      </c>
      <c r="G122" s="285"/>
      <c r="H122" s="285"/>
      <c r="I122" s="286"/>
      <c r="J122" s="287"/>
      <c r="K122" s="304"/>
      <c r="L122" s="303"/>
      <c r="M122" s="274" t="str">
        <f>IF(B122="","",B122)</f>
        <v/>
      </c>
      <c r="N122" s="274" t="str">
        <f>IF(C122="","",C122)</f>
        <v/>
      </c>
      <c r="O122" s="283"/>
      <c r="P122" s="275" t="str">
        <f>IF(O122="","",O122-O121)</f>
        <v/>
      </c>
      <c r="Q122" s="276" t="str">
        <f>IF(O122="","",P122*1000)</f>
        <v/>
      </c>
      <c r="R122" s="276"/>
      <c r="S122" s="276"/>
      <c r="T122" s="281"/>
      <c r="U122" s="278"/>
      <c r="V122" s="302"/>
    </row>
    <row r="123" spans="2:22" ht="15" customHeight="1" x14ac:dyDescent="0.25">
      <c r="B123" s="279"/>
      <c r="C123" s="280"/>
      <c r="D123" s="283"/>
      <c r="E123" s="284" t="str">
        <f>IF(D123="","",D123-D122)</f>
        <v/>
      </c>
      <c r="F123" s="276" t="str">
        <f>IF(D123="","",E123*1000)</f>
        <v/>
      </c>
      <c r="G123" s="285"/>
      <c r="H123" s="285"/>
      <c r="I123" s="286"/>
      <c r="J123" s="287"/>
      <c r="K123" s="304"/>
      <c r="L123" s="303"/>
      <c r="M123" s="274" t="str">
        <f>IF(B123="","",B123)</f>
        <v/>
      </c>
      <c r="N123" s="274" t="str">
        <f>IF(C123="","",C123)</f>
        <v/>
      </c>
      <c r="O123" s="283"/>
      <c r="P123" s="280" t="str">
        <f>IF(O123="","",O123-O122)</f>
        <v/>
      </c>
      <c r="Q123" s="276" t="str">
        <f>IF(O123="","",P123*1000)</f>
        <v/>
      </c>
      <c r="R123" s="276"/>
      <c r="S123" s="276"/>
      <c r="T123" s="281"/>
      <c r="U123" s="278"/>
      <c r="V123" s="302"/>
    </row>
    <row r="124" spans="2:22" ht="15" customHeight="1" x14ac:dyDescent="0.25">
      <c r="B124" s="279"/>
      <c r="C124" s="280"/>
      <c r="D124" s="280"/>
      <c r="E124" s="280" t="str">
        <f>IF(D124="","",D124-D123)</f>
        <v/>
      </c>
      <c r="F124" s="276" t="str">
        <f>IF(D124="","",E124*1000)</f>
        <v/>
      </c>
      <c r="G124" s="288"/>
      <c r="H124" s="288"/>
      <c r="I124" s="289"/>
      <c r="J124" s="290"/>
      <c r="K124" s="305"/>
      <c r="L124" s="306"/>
      <c r="M124" s="310" t="str">
        <f>IF(B124="","",B124)</f>
        <v/>
      </c>
      <c r="N124" s="310" t="str">
        <f>IF(C124="","",C124)</f>
        <v/>
      </c>
      <c r="O124" s="280"/>
      <c r="P124" s="275" t="str">
        <f>IF(O124="","",O124-O123)</f>
        <v/>
      </c>
      <c r="Q124" s="276" t="str">
        <f>IF(O124="","",P124*1000)</f>
        <v/>
      </c>
      <c r="R124" s="276"/>
      <c r="S124" s="276"/>
      <c r="T124" s="281"/>
      <c r="U124" s="278"/>
      <c r="V124" s="302"/>
    </row>
    <row r="125" spans="2:22" ht="15" customHeight="1" thickBot="1" x14ac:dyDescent="0.3">
      <c r="B125" s="291"/>
      <c r="C125" s="292"/>
      <c r="D125" s="293"/>
      <c r="E125" s="293">
        <f>SUM(E115:E124)</f>
        <v>78</v>
      </c>
      <c r="F125" s="293">
        <f>SUM(F115:F124)</f>
        <v>78000</v>
      </c>
      <c r="G125" s="293"/>
      <c r="H125" s="293"/>
      <c r="I125" s="293"/>
      <c r="J125" s="294"/>
      <c r="K125" s="295"/>
      <c r="L125" s="739"/>
      <c r="M125" s="297"/>
      <c r="N125" s="297"/>
      <c r="O125" s="293"/>
      <c r="P125" s="293">
        <f>SUM(P115:P124)</f>
        <v>57</v>
      </c>
      <c r="Q125" s="298">
        <f>SUM(Q115:Q124)</f>
        <v>57000</v>
      </c>
      <c r="R125" s="298"/>
      <c r="S125" s="298"/>
      <c r="T125" s="299"/>
      <c r="U125" s="300"/>
      <c r="V125" s="307"/>
    </row>
  </sheetData>
  <phoneticPr fontId="35"/>
  <pageMargins left="0.69930555555555596" right="0.69930555555555596" top="0.75" bottom="0.75" header="0" footer="0"/>
  <pageSetup paperSize="9" scale="8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1">
    <pageSetUpPr fitToPage="1"/>
  </sheetPr>
  <dimension ref="B1:L150"/>
  <sheetViews>
    <sheetView topLeftCell="B1" workbookViewId="0">
      <pane ySplit="3" topLeftCell="B109" activePane="bottomLeft" state="frozen"/>
      <selection activeCell="B1" sqref="B1"/>
      <selection pane="bottomLeft" activeCell="B1" sqref="B1"/>
    </sheetView>
  </sheetViews>
  <sheetFormatPr defaultColWidth="14.390625" defaultRowHeight="15" customHeight="1" x14ac:dyDescent="0.2"/>
  <cols>
    <col min="1" max="1" width="4.3046875" customWidth="1"/>
    <col min="2" max="2" width="16.27734375" customWidth="1"/>
    <col min="3" max="3" width="0.40234375" customWidth="1"/>
    <col min="4" max="4" width="13.046875" customWidth="1"/>
    <col min="5" max="5" width="9.28125" customWidth="1"/>
    <col min="6" max="6" width="14.125" customWidth="1"/>
    <col min="7" max="10" width="0.40234375" customWidth="1"/>
    <col min="11" max="11" width="28.11328125" customWidth="1"/>
    <col min="12" max="12" width="11.02734375" customWidth="1"/>
    <col min="13" max="26" width="9.01171875" customWidth="1"/>
  </cols>
  <sheetData>
    <row r="1" spans="2:12" ht="15.75" customHeight="1" x14ac:dyDescent="0.35">
      <c r="B1" s="69"/>
      <c r="C1" s="845"/>
      <c r="D1" s="846"/>
      <c r="E1" s="846"/>
      <c r="F1" s="846"/>
      <c r="G1" s="69"/>
      <c r="H1" s="72"/>
      <c r="I1" s="72"/>
      <c r="J1" s="87"/>
      <c r="K1" s="123"/>
      <c r="L1" s="69"/>
    </row>
    <row r="2" spans="2:12" ht="14.25" customHeight="1" x14ac:dyDescent="0.35">
      <c r="B2" s="69"/>
      <c r="C2" s="69"/>
      <c r="D2" s="69"/>
      <c r="E2" s="69"/>
      <c r="F2" s="69"/>
      <c r="G2" s="69"/>
      <c r="H2" s="72"/>
      <c r="I2" s="72"/>
      <c r="J2" s="87"/>
      <c r="K2" s="123"/>
      <c r="L2" s="69"/>
    </row>
    <row r="3" spans="2:12" ht="25.5" customHeight="1" x14ac:dyDescent="0.35">
      <c r="B3" s="88"/>
      <c r="C3" s="604" t="s">
        <v>324</v>
      </c>
      <c r="D3" s="88"/>
      <c r="E3" s="89"/>
      <c r="F3" s="72"/>
      <c r="G3" s="70"/>
      <c r="H3" s="90"/>
      <c r="I3" s="90"/>
      <c r="J3" s="91"/>
      <c r="K3" s="92"/>
      <c r="L3" s="69"/>
    </row>
    <row r="4" spans="2:12" ht="15.75" customHeight="1" x14ac:dyDescent="0.35">
      <c r="B4" s="88"/>
      <c r="C4" s="88"/>
      <c r="D4" s="69"/>
      <c r="E4" s="89"/>
      <c r="F4" s="72"/>
      <c r="G4" s="70"/>
      <c r="H4" s="90"/>
      <c r="I4" s="90"/>
      <c r="J4" s="91"/>
      <c r="K4" s="92"/>
      <c r="L4" s="69"/>
    </row>
    <row r="5" spans="2:12" ht="18" x14ac:dyDescent="0.35">
      <c r="B5" s="72"/>
      <c r="C5" s="69"/>
      <c r="D5" s="69"/>
      <c r="E5" s="69"/>
      <c r="F5" s="69"/>
      <c r="G5" s="73"/>
      <c r="H5" s="73"/>
      <c r="I5" s="73"/>
      <c r="J5" s="109" t="s">
        <v>182</v>
      </c>
      <c r="K5" s="110"/>
      <c r="L5" s="69"/>
    </row>
    <row r="6" spans="2:12" ht="18" x14ac:dyDescent="0.35">
      <c r="B6" s="189" t="s">
        <v>214</v>
      </c>
      <c r="C6" s="181"/>
      <c r="D6" s="69"/>
      <c r="E6" s="69"/>
      <c r="F6" s="69"/>
      <c r="G6" s="73"/>
      <c r="H6" s="73"/>
      <c r="I6" s="73"/>
      <c r="J6" s="80">
        <v>473.2</v>
      </c>
      <c r="K6" s="127"/>
      <c r="L6" s="69"/>
    </row>
    <row r="7" spans="2:12" ht="21" customHeight="1" x14ac:dyDescent="0.35">
      <c r="B7" s="82" t="s">
        <v>142</v>
      </c>
      <c r="C7" s="74" t="s">
        <v>162</v>
      </c>
      <c r="D7" s="74" t="s">
        <v>143</v>
      </c>
      <c r="E7" s="74" t="s">
        <v>144</v>
      </c>
      <c r="F7" s="74" t="s">
        <v>145</v>
      </c>
      <c r="G7" s="74" t="s">
        <v>163</v>
      </c>
      <c r="H7" s="74" t="s">
        <v>164</v>
      </c>
      <c r="I7" s="159" t="s">
        <v>165</v>
      </c>
      <c r="J7" s="75" t="s">
        <v>166</v>
      </c>
      <c r="K7" s="124" t="s">
        <v>146</v>
      </c>
      <c r="L7" s="69"/>
    </row>
    <row r="8" spans="2:12" ht="18" x14ac:dyDescent="0.35">
      <c r="B8" s="182">
        <v>45022</v>
      </c>
      <c r="C8" s="183">
        <v>12</v>
      </c>
      <c r="D8" s="183">
        <v>12</v>
      </c>
      <c r="E8" s="183">
        <f t="shared" ref="E8:E13" si="0">+D8-C8</f>
        <v>0</v>
      </c>
      <c r="F8" s="184">
        <f t="shared" ref="F8:F13" si="1">+E8*1000</f>
        <v>0</v>
      </c>
      <c r="G8" s="184">
        <v>0</v>
      </c>
      <c r="H8" s="184">
        <f t="shared" ref="H8:H13" si="2">+F8-G8</f>
        <v>0</v>
      </c>
      <c r="I8" s="112"/>
      <c r="J8" s="186">
        <f t="shared" ref="J8:J13" si="3">+E8*$J$6/2</f>
        <v>0</v>
      </c>
      <c r="K8" s="162" t="s">
        <v>320</v>
      </c>
      <c r="L8" s="69"/>
    </row>
    <row r="9" spans="2:12" ht="18" x14ac:dyDescent="0.35">
      <c r="B9" s="113">
        <v>45031</v>
      </c>
      <c r="C9" s="114">
        <v>12</v>
      </c>
      <c r="D9" s="114">
        <v>32</v>
      </c>
      <c r="E9" s="183">
        <f t="shared" si="0"/>
        <v>20</v>
      </c>
      <c r="F9" s="184">
        <f t="shared" si="1"/>
        <v>20000</v>
      </c>
      <c r="G9" s="184">
        <v>0</v>
      </c>
      <c r="H9" s="184">
        <f t="shared" si="2"/>
        <v>20000</v>
      </c>
      <c r="I9" s="185"/>
      <c r="J9" s="186">
        <f t="shared" si="3"/>
        <v>4732</v>
      </c>
      <c r="K9" s="162"/>
      <c r="L9" s="69"/>
    </row>
    <row r="10" spans="2:12" ht="18" x14ac:dyDescent="0.35">
      <c r="B10" s="113">
        <v>45036</v>
      </c>
      <c r="C10" s="114">
        <v>32</v>
      </c>
      <c r="D10" s="114">
        <v>42</v>
      </c>
      <c r="E10" s="183">
        <f t="shared" si="0"/>
        <v>10</v>
      </c>
      <c r="F10" s="184">
        <f t="shared" si="1"/>
        <v>10000</v>
      </c>
      <c r="G10" s="184">
        <v>0</v>
      </c>
      <c r="H10" s="184">
        <f t="shared" si="2"/>
        <v>10000</v>
      </c>
      <c r="I10" s="185">
        <v>1925</v>
      </c>
      <c r="J10" s="186">
        <f t="shared" si="3"/>
        <v>2366</v>
      </c>
      <c r="K10" s="162"/>
      <c r="L10" s="69"/>
    </row>
    <row r="11" spans="2:12" ht="21" customHeight="1" x14ac:dyDescent="0.35">
      <c r="B11" s="113"/>
      <c r="C11" s="114"/>
      <c r="D11" s="114"/>
      <c r="E11" s="183">
        <f t="shared" si="0"/>
        <v>0</v>
      </c>
      <c r="F11" s="184">
        <f t="shared" si="1"/>
        <v>0</v>
      </c>
      <c r="G11" s="184">
        <v>0</v>
      </c>
      <c r="H11" s="184">
        <f t="shared" si="2"/>
        <v>0</v>
      </c>
      <c r="I11" s="185"/>
      <c r="J11" s="186">
        <f t="shared" si="3"/>
        <v>0</v>
      </c>
      <c r="K11" s="162"/>
      <c r="L11" s="77" t="s">
        <v>179</v>
      </c>
    </row>
    <row r="12" spans="2:12" ht="21" customHeight="1" x14ac:dyDescent="0.35">
      <c r="B12" s="113"/>
      <c r="C12" s="114"/>
      <c r="D12" s="114"/>
      <c r="E12" s="183">
        <f t="shared" si="0"/>
        <v>0</v>
      </c>
      <c r="F12" s="184">
        <f t="shared" si="1"/>
        <v>0</v>
      </c>
      <c r="G12" s="184">
        <v>0</v>
      </c>
      <c r="H12" s="184">
        <f t="shared" si="2"/>
        <v>0</v>
      </c>
      <c r="I12" s="185"/>
      <c r="J12" s="186">
        <f t="shared" si="3"/>
        <v>0</v>
      </c>
      <c r="K12" s="162"/>
      <c r="L12" s="81">
        <f>+(I14+J14)/H14</f>
        <v>0.30076666666666668</v>
      </c>
    </row>
    <row r="13" spans="2:12" ht="21" customHeight="1" x14ac:dyDescent="0.35">
      <c r="B13" s="116"/>
      <c r="C13" s="117"/>
      <c r="D13" s="117"/>
      <c r="E13" s="118">
        <f t="shared" si="0"/>
        <v>0</v>
      </c>
      <c r="F13" s="119">
        <f t="shared" si="1"/>
        <v>0</v>
      </c>
      <c r="G13" s="119">
        <v>0</v>
      </c>
      <c r="H13" s="119">
        <f t="shared" si="2"/>
        <v>0</v>
      </c>
      <c r="I13" s="120"/>
      <c r="J13" s="187">
        <f t="shared" si="3"/>
        <v>0</v>
      </c>
      <c r="K13" s="165"/>
      <c r="L13" s="77" t="s">
        <v>180</v>
      </c>
    </row>
    <row r="14" spans="2:12" ht="18" x14ac:dyDescent="0.35">
      <c r="B14" s="121"/>
      <c r="C14" s="118"/>
      <c r="D14" s="118"/>
      <c r="E14" s="118">
        <f t="shared" ref="E14:F14" si="4">SUM(E8:E13)</f>
        <v>30</v>
      </c>
      <c r="F14" s="119">
        <f t="shared" si="4"/>
        <v>30000</v>
      </c>
      <c r="G14" s="119"/>
      <c r="H14" s="119">
        <f t="shared" ref="H14:J14" si="5">SUM(H8:H13)</f>
        <v>30000</v>
      </c>
      <c r="I14" s="122">
        <f t="shared" si="5"/>
        <v>1925</v>
      </c>
      <c r="J14" s="122">
        <f t="shared" si="5"/>
        <v>7098</v>
      </c>
      <c r="K14" s="165">
        <f>+H14*0.6-I14-J14-G14</f>
        <v>8977</v>
      </c>
      <c r="L14" s="79">
        <f>+K14/H14</f>
        <v>0.29923333333333335</v>
      </c>
    </row>
    <row r="15" spans="2:12" ht="18" x14ac:dyDescent="0.35">
      <c r="B15" s="72"/>
      <c r="C15" s="69"/>
      <c r="D15" s="69"/>
      <c r="E15" s="69"/>
      <c r="F15" s="69"/>
      <c r="G15" s="73"/>
      <c r="H15" s="73"/>
      <c r="I15" s="73"/>
      <c r="J15" s="109" t="s">
        <v>182</v>
      </c>
      <c r="K15" s="110"/>
      <c r="L15" s="69"/>
    </row>
    <row r="16" spans="2:12" ht="18" x14ac:dyDescent="0.35">
      <c r="B16" s="189" t="s">
        <v>214</v>
      </c>
      <c r="C16" s="181"/>
      <c r="D16" s="69"/>
      <c r="E16" s="69"/>
      <c r="F16" s="69"/>
      <c r="G16" s="73"/>
      <c r="H16" s="73"/>
      <c r="I16" s="73"/>
      <c r="J16" s="80">
        <v>473.2</v>
      </c>
      <c r="K16" s="127"/>
      <c r="L16" s="69"/>
    </row>
    <row r="17" spans="2:12" ht="21" customHeight="1" x14ac:dyDescent="0.35">
      <c r="B17" s="82" t="s">
        <v>142</v>
      </c>
      <c r="C17" s="74" t="s">
        <v>162</v>
      </c>
      <c r="D17" s="74" t="s">
        <v>143</v>
      </c>
      <c r="E17" s="74" t="s">
        <v>144</v>
      </c>
      <c r="F17" s="74" t="s">
        <v>145</v>
      </c>
      <c r="G17" s="74" t="s">
        <v>163</v>
      </c>
      <c r="H17" s="74" t="s">
        <v>164</v>
      </c>
      <c r="I17" s="159" t="s">
        <v>165</v>
      </c>
      <c r="J17" s="75" t="s">
        <v>166</v>
      </c>
      <c r="K17" s="124" t="s">
        <v>146</v>
      </c>
      <c r="L17" s="69"/>
    </row>
    <row r="18" spans="2:12" ht="18" x14ac:dyDescent="0.35">
      <c r="B18" s="182">
        <v>45043</v>
      </c>
      <c r="C18" s="183">
        <v>42</v>
      </c>
      <c r="D18" s="183">
        <v>48</v>
      </c>
      <c r="E18" s="183">
        <f t="shared" ref="E18:E23" si="6">+D18-C18</f>
        <v>6</v>
      </c>
      <c r="F18" s="184">
        <f t="shared" ref="F18:F23" si="7">+E18*1000</f>
        <v>6000</v>
      </c>
      <c r="G18" s="184">
        <v>0</v>
      </c>
      <c r="H18" s="184">
        <f t="shared" ref="H18:H23" si="8">+F18-G18</f>
        <v>6000</v>
      </c>
      <c r="I18" s="112"/>
      <c r="J18" s="186">
        <f t="shared" ref="J18:J23" si="9">+E18*$J$6/2</f>
        <v>1419.6</v>
      </c>
      <c r="K18" s="162"/>
      <c r="L18" s="69"/>
    </row>
    <row r="19" spans="2:12" ht="18" x14ac:dyDescent="0.35">
      <c r="B19" s="113">
        <v>45050</v>
      </c>
      <c r="C19" s="114">
        <v>48</v>
      </c>
      <c r="D19" s="114">
        <v>54</v>
      </c>
      <c r="E19" s="183">
        <f t="shared" si="6"/>
        <v>6</v>
      </c>
      <c r="F19" s="184">
        <f t="shared" si="7"/>
        <v>6000</v>
      </c>
      <c r="G19" s="184">
        <v>0</v>
      </c>
      <c r="H19" s="184">
        <f t="shared" si="8"/>
        <v>6000</v>
      </c>
      <c r="I19" s="185"/>
      <c r="J19" s="186">
        <f t="shared" si="9"/>
        <v>1419.6</v>
      </c>
      <c r="K19" s="162"/>
      <c r="L19" s="69"/>
    </row>
    <row r="20" spans="2:12" ht="18" x14ac:dyDescent="0.35">
      <c r="B20" s="113">
        <v>45057</v>
      </c>
      <c r="C20" s="114">
        <v>54</v>
      </c>
      <c r="D20" s="114">
        <v>56</v>
      </c>
      <c r="E20" s="183">
        <f t="shared" si="6"/>
        <v>2</v>
      </c>
      <c r="F20" s="184">
        <f t="shared" si="7"/>
        <v>2000</v>
      </c>
      <c r="G20" s="184">
        <v>0</v>
      </c>
      <c r="H20" s="184">
        <f t="shared" si="8"/>
        <v>2000</v>
      </c>
      <c r="I20" s="185"/>
      <c r="J20" s="186">
        <f t="shared" si="9"/>
        <v>473.2</v>
      </c>
      <c r="K20" s="162"/>
      <c r="L20" s="69"/>
    </row>
    <row r="21" spans="2:12" ht="21" customHeight="1" x14ac:dyDescent="0.35">
      <c r="B21" s="113">
        <v>45066</v>
      </c>
      <c r="C21" s="114">
        <v>56</v>
      </c>
      <c r="D21" s="114">
        <v>100</v>
      </c>
      <c r="E21" s="183">
        <f t="shared" si="6"/>
        <v>44</v>
      </c>
      <c r="F21" s="184">
        <f t="shared" si="7"/>
        <v>44000</v>
      </c>
      <c r="G21" s="184">
        <v>0</v>
      </c>
      <c r="H21" s="184">
        <f t="shared" si="8"/>
        <v>44000</v>
      </c>
      <c r="I21" s="185">
        <v>3360</v>
      </c>
      <c r="J21" s="186">
        <f t="shared" si="9"/>
        <v>10410.4</v>
      </c>
      <c r="K21" s="162"/>
      <c r="L21" s="77" t="s">
        <v>179</v>
      </c>
    </row>
    <row r="22" spans="2:12" ht="21" customHeight="1" x14ac:dyDescent="0.35">
      <c r="B22" s="113"/>
      <c r="C22" s="114"/>
      <c r="D22" s="114"/>
      <c r="E22" s="183">
        <f t="shared" si="6"/>
        <v>0</v>
      </c>
      <c r="F22" s="184">
        <f t="shared" si="7"/>
        <v>0</v>
      </c>
      <c r="G22" s="184">
        <v>0</v>
      </c>
      <c r="H22" s="184">
        <f t="shared" si="8"/>
        <v>0</v>
      </c>
      <c r="I22" s="185"/>
      <c r="J22" s="186">
        <f t="shared" si="9"/>
        <v>0</v>
      </c>
      <c r="K22" s="162"/>
      <c r="L22" s="81">
        <f>+(I24+J24)/H24</f>
        <v>0.29453103448275864</v>
      </c>
    </row>
    <row r="23" spans="2:12" ht="21" customHeight="1" x14ac:dyDescent="0.35">
      <c r="B23" s="116"/>
      <c r="C23" s="117"/>
      <c r="D23" s="117"/>
      <c r="E23" s="118">
        <f t="shared" si="6"/>
        <v>0</v>
      </c>
      <c r="F23" s="119">
        <f t="shared" si="7"/>
        <v>0</v>
      </c>
      <c r="G23" s="119">
        <v>0</v>
      </c>
      <c r="H23" s="119">
        <f t="shared" si="8"/>
        <v>0</v>
      </c>
      <c r="I23" s="120"/>
      <c r="J23" s="187">
        <f t="shared" si="9"/>
        <v>0</v>
      </c>
      <c r="K23" s="165"/>
      <c r="L23" s="77" t="s">
        <v>180</v>
      </c>
    </row>
    <row r="24" spans="2:12" ht="18" x14ac:dyDescent="0.35">
      <c r="B24" s="121"/>
      <c r="C24" s="118"/>
      <c r="D24" s="118"/>
      <c r="E24" s="118">
        <f t="shared" ref="E24:F24" si="10">SUM(E18:E23)</f>
        <v>58</v>
      </c>
      <c r="F24" s="119">
        <f t="shared" si="10"/>
        <v>58000</v>
      </c>
      <c r="G24" s="119"/>
      <c r="H24" s="119">
        <f t="shared" ref="H24:J24" si="11">SUM(H18:H23)</f>
        <v>58000</v>
      </c>
      <c r="I24" s="122">
        <f t="shared" si="11"/>
        <v>3360</v>
      </c>
      <c r="J24" s="122">
        <f t="shared" si="11"/>
        <v>13722.8</v>
      </c>
      <c r="K24" s="165">
        <f>+H24*0.6-I24-J24-G24</f>
        <v>17717.2</v>
      </c>
      <c r="L24" s="79">
        <f>+K24/H24</f>
        <v>0.3054689655172414</v>
      </c>
    </row>
    <row r="25" spans="2:12" ht="18" x14ac:dyDescent="0.35">
      <c r="B25" s="72"/>
      <c r="C25" s="69"/>
      <c r="D25" s="69"/>
      <c r="E25" s="69"/>
      <c r="F25" s="69"/>
      <c r="G25" s="73"/>
      <c r="H25" s="73"/>
      <c r="I25" s="73"/>
      <c r="J25" s="109" t="s">
        <v>182</v>
      </c>
      <c r="K25" s="110"/>
      <c r="L25" s="69"/>
    </row>
    <row r="26" spans="2:12" ht="18" x14ac:dyDescent="0.35">
      <c r="B26" s="189" t="s">
        <v>214</v>
      </c>
      <c r="C26" s="181"/>
      <c r="D26" s="69"/>
      <c r="E26" s="69"/>
      <c r="F26" s="69"/>
      <c r="G26" s="73"/>
      <c r="H26" s="73"/>
      <c r="I26" s="73"/>
      <c r="J26" s="80">
        <v>473.2</v>
      </c>
      <c r="K26" s="127"/>
      <c r="L26" s="69"/>
    </row>
    <row r="27" spans="2:12" ht="21" customHeight="1" x14ac:dyDescent="0.35">
      <c r="B27" s="82" t="s">
        <v>142</v>
      </c>
      <c r="C27" s="74" t="s">
        <v>162</v>
      </c>
      <c r="D27" s="74" t="s">
        <v>143</v>
      </c>
      <c r="E27" s="74" t="s">
        <v>144</v>
      </c>
      <c r="F27" s="74" t="s">
        <v>145</v>
      </c>
      <c r="G27" s="74" t="s">
        <v>163</v>
      </c>
      <c r="H27" s="74" t="s">
        <v>164</v>
      </c>
      <c r="I27" s="159" t="s">
        <v>165</v>
      </c>
      <c r="J27" s="75" t="s">
        <v>166</v>
      </c>
      <c r="K27" s="124" t="s">
        <v>146</v>
      </c>
      <c r="L27" s="69"/>
    </row>
    <row r="28" spans="2:12" ht="18" x14ac:dyDescent="0.35">
      <c r="B28" s="182">
        <v>45071</v>
      </c>
      <c r="C28" s="183">
        <v>100</v>
      </c>
      <c r="D28" s="183">
        <v>106</v>
      </c>
      <c r="E28" s="183">
        <f t="shared" ref="E28:E33" si="12">+D28-C28</f>
        <v>6</v>
      </c>
      <c r="F28" s="184">
        <f t="shared" ref="F28:F33" si="13">+E28*1000</f>
        <v>6000</v>
      </c>
      <c r="G28" s="184">
        <v>0</v>
      </c>
      <c r="H28" s="184">
        <f t="shared" ref="H28:H33" si="14">+F28-G28</f>
        <v>6000</v>
      </c>
      <c r="I28" s="112"/>
      <c r="J28" s="186">
        <f t="shared" ref="J28:J33" si="15">+E28*$J$6/2</f>
        <v>1419.6</v>
      </c>
      <c r="K28" s="162"/>
      <c r="L28" s="69"/>
    </row>
    <row r="29" spans="2:12" ht="18" x14ac:dyDescent="0.35">
      <c r="B29" s="113">
        <v>45077</v>
      </c>
      <c r="C29" s="114">
        <v>106</v>
      </c>
      <c r="D29" s="114">
        <v>120</v>
      </c>
      <c r="E29" s="183">
        <f t="shared" si="12"/>
        <v>14</v>
      </c>
      <c r="F29" s="184">
        <f t="shared" si="13"/>
        <v>14000</v>
      </c>
      <c r="G29" s="184">
        <v>0</v>
      </c>
      <c r="H29" s="184">
        <f t="shared" si="14"/>
        <v>14000</v>
      </c>
      <c r="I29" s="185">
        <v>2400</v>
      </c>
      <c r="J29" s="186">
        <f t="shared" si="15"/>
        <v>3312.4</v>
      </c>
      <c r="K29" s="162"/>
      <c r="L29" s="69"/>
    </row>
    <row r="30" spans="2:12" ht="18" x14ac:dyDescent="0.35">
      <c r="B30" s="113">
        <v>45085</v>
      </c>
      <c r="C30" s="114">
        <v>120</v>
      </c>
      <c r="D30" s="114">
        <v>182</v>
      </c>
      <c r="E30" s="183">
        <f t="shared" si="12"/>
        <v>62</v>
      </c>
      <c r="F30" s="184">
        <f t="shared" si="13"/>
        <v>62000</v>
      </c>
      <c r="G30" s="184">
        <v>0</v>
      </c>
      <c r="H30" s="184">
        <f t="shared" si="14"/>
        <v>62000</v>
      </c>
      <c r="I30" s="185"/>
      <c r="J30" s="186">
        <f t="shared" si="15"/>
        <v>14669.199999999999</v>
      </c>
      <c r="K30" s="162"/>
      <c r="L30" s="69"/>
    </row>
    <row r="31" spans="2:12" ht="21" customHeight="1" x14ac:dyDescent="0.35">
      <c r="B31" s="113">
        <v>45093</v>
      </c>
      <c r="C31" s="114">
        <v>182</v>
      </c>
      <c r="D31" s="114">
        <v>190</v>
      </c>
      <c r="E31" s="183">
        <f t="shared" si="12"/>
        <v>8</v>
      </c>
      <c r="F31" s="184">
        <f t="shared" si="13"/>
        <v>8000</v>
      </c>
      <c r="G31" s="184">
        <v>0</v>
      </c>
      <c r="H31" s="184">
        <f t="shared" si="14"/>
        <v>8000</v>
      </c>
      <c r="I31" s="185">
        <v>19000</v>
      </c>
      <c r="J31" s="186">
        <f t="shared" si="15"/>
        <v>1892.8</v>
      </c>
      <c r="K31" s="162"/>
      <c r="L31" s="77" t="s">
        <v>179</v>
      </c>
    </row>
    <row r="32" spans="2:12" ht="21" customHeight="1" x14ac:dyDescent="0.35">
      <c r="B32" s="113"/>
      <c r="C32" s="114"/>
      <c r="D32" s="114"/>
      <c r="E32" s="183">
        <f t="shared" si="12"/>
        <v>0</v>
      </c>
      <c r="F32" s="184">
        <f t="shared" si="13"/>
        <v>0</v>
      </c>
      <c r="G32" s="184">
        <v>0</v>
      </c>
      <c r="H32" s="184">
        <f t="shared" si="14"/>
        <v>0</v>
      </c>
      <c r="I32" s="185"/>
      <c r="J32" s="186">
        <f t="shared" si="15"/>
        <v>0</v>
      </c>
      <c r="K32" s="162"/>
      <c r="L32" s="81">
        <f>+(I34+J34)/H34</f>
        <v>0.47437777777777779</v>
      </c>
    </row>
    <row r="33" spans="2:12" ht="21" customHeight="1" x14ac:dyDescent="0.35">
      <c r="B33" s="116"/>
      <c r="C33" s="117"/>
      <c r="D33" s="117"/>
      <c r="E33" s="118">
        <f t="shared" si="12"/>
        <v>0</v>
      </c>
      <c r="F33" s="119">
        <f t="shared" si="13"/>
        <v>0</v>
      </c>
      <c r="G33" s="119">
        <v>0</v>
      </c>
      <c r="H33" s="119">
        <f t="shared" si="14"/>
        <v>0</v>
      </c>
      <c r="I33" s="120"/>
      <c r="J33" s="187">
        <f t="shared" si="15"/>
        <v>0</v>
      </c>
      <c r="K33" s="165"/>
      <c r="L33" s="77" t="s">
        <v>180</v>
      </c>
    </row>
    <row r="34" spans="2:12" ht="18" x14ac:dyDescent="0.35">
      <c r="B34" s="121"/>
      <c r="C34" s="118"/>
      <c r="D34" s="118"/>
      <c r="E34" s="118">
        <f t="shared" ref="E34:F34" si="16">SUM(E28:E33)</f>
        <v>90</v>
      </c>
      <c r="F34" s="119">
        <f t="shared" si="16"/>
        <v>90000</v>
      </c>
      <c r="G34" s="119"/>
      <c r="H34" s="119">
        <f t="shared" ref="H34:J34" si="17">SUM(H28:H33)</f>
        <v>90000</v>
      </c>
      <c r="I34" s="122">
        <f t="shared" si="17"/>
        <v>21400</v>
      </c>
      <c r="J34" s="122">
        <f t="shared" si="17"/>
        <v>21293.999999999996</v>
      </c>
      <c r="K34" s="165">
        <f>+H34*0.6-I34-J34-G34</f>
        <v>11306.000000000004</v>
      </c>
      <c r="L34" s="79">
        <f>+K34/H34</f>
        <v>0.12562222222222227</v>
      </c>
    </row>
    <row r="35" spans="2:12" ht="18" x14ac:dyDescent="0.35">
      <c r="B35" s="72"/>
      <c r="C35" s="69"/>
      <c r="D35" s="69"/>
      <c r="E35" s="69"/>
      <c r="F35" s="69"/>
      <c r="G35" s="73"/>
      <c r="H35" s="73"/>
      <c r="I35" s="73"/>
      <c r="J35" s="109" t="s">
        <v>182</v>
      </c>
      <c r="K35" s="110"/>
      <c r="L35" s="69"/>
    </row>
    <row r="36" spans="2:12" ht="18" x14ac:dyDescent="0.35">
      <c r="B36" s="189" t="s">
        <v>214</v>
      </c>
      <c r="C36" s="181"/>
      <c r="D36" s="69"/>
      <c r="E36" s="69"/>
      <c r="F36" s="69"/>
      <c r="G36" s="73"/>
      <c r="H36" s="73"/>
      <c r="I36" s="73"/>
      <c r="J36" s="80">
        <v>473.2</v>
      </c>
      <c r="K36" s="127"/>
      <c r="L36" s="69"/>
    </row>
    <row r="37" spans="2:12" ht="21" customHeight="1" x14ac:dyDescent="0.35">
      <c r="B37" s="82" t="s">
        <v>142</v>
      </c>
      <c r="C37" s="74" t="s">
        <v>162</v>
      </c>
      <c r="D37" s="74" t="s">
        <v>143</v>
      </c>
      <c r="E37" s="74" t="s">
        <v>144</v>
      </c>
      <c r="F37" s="74" t="s">
        <v>145</v>
      </c>
      <c r="G37" s="74" t="s">
        <v>163</v>
      </c>
      <c r="H37" s="74" t="s">
        <v>164</v>
      </c>
      <c r="I37" s="159" t="s">
        <v>165</v>
      </c>
      <c r="J37" s="75" t="s">
        <v>166</v>
      </c>
      <c r="K37" s="124" t="s">
        <v>146</v>
      </c>
      <c r="L37" s="69"/>
    </row>
    <row r="38" spans="2:12" ht="18" x14ac:dyDescent="0.35">
      <c r="B38" s="182">
        <v>45097</v>
      </c>
      <c r="C38" s="183">
        <v>190</v>
      </c>
      <c r="D38" s="183">
        <v>196</v>
      </c>
      <c r="E38" s="183">
        <f t="shared" ref="E38:E43" si="18">+D38-C38</f>
        <v>6</v>
      </c>
      <c r="F38" s="184">
        <f t="shared" ref="F38:F43" si="19">+E38*1000</f>
        <v>6000</v>
      </c>
      <c r="G38" s="184">
        <v>0</v>
      </c>
      <c r="H38" s="184">
        <f t="shared" ref="H38:H43" si="20">+F38-G38</f>
        <v>6000</v>
      </c>
      <c r="I38" s="112"/>
      <c r="J38" s="186">
        <f t="shared" ref="J38:J43" si="21">+E38*$J$6/2</f>
        <v>1419.6</v>
      </c>
      <c r="K38" s="162"/>
      <c r="L38" s="69"/>
    </row>
    <row r="39" spans="2:12" ht="18" x14ac:dyDescent="0.35">
      <c r="B39" s="113">
        <v>45105</v>
      </c>
      <c r="C39" s="114">
        <v>196</v>
      </c>
      <c r="D39" s="114">
        <v>216</v>
      </c>
      <c r="E39" s="183">
        <f t="shared" si="18"/>
        <v>20</v>
      </c>
      <c r="F39" s="184">
        <f t="shared" si="19"/>
        <v>20000</v>
      </c>
      <c r="G39" s="184">
        <v>0</v>
      </c>
      <c r="H39" s="184">
        <f t="shared" si="20"/>
        <v>20000</v>
      </c>
      <c r="I39" s="185"/>
      <c r="J39" s="186">
        <f t="shared" si="21"/>
        <v>4732</v>
      </c>
      <c r="K39" s="162"/>
      <c r="L39" s="69"/>
    </row>
    <row r="40" spans="2:12" ht="18" x14ac:dyDescent="0.35">
      <c r="B40" s="113">
        <v>45112</v>
      </c>
      <c r="C40" s="114">
        <v>216</v>
      </c>
      <c r="D40" s="114">
        <v>240</v>
      </c>
      <c r="E40" s="183">
        <f t="shared" si="18"/>
        <v>24</v>
      </c>
      <c r="F40" s="184">
        <f t="shared" si="19"/>
        <v>24000</v>
      </c>
      <c r="G40" s="184">
        <v>0</v>
      </c>
      <c r="H40" s="184">
        <f t="shared" si="20"/>
        <v>24000</v>
      </c>
      <c r="I40" s="185"/>
      <c r="J40" s="186">
        <f t="shared" si="21"/>
        <v>5678.4</v>
      </c>
      <c r="K40" s="162"/>
      <c r="L40" s="69"/>
    </row>
    <row r="41" spans="2:12" ht="21" customHeight="1" x14ac:dyDescent="0.35">
      <c r="B41" s="113">
        <v>45121</v>
      </c>
      <c r="C41" s="114">
        <v>240</v>
      </c>
      <c r="D41" s="114">
        <v>252</v>
      </c>
      <c r="E41" s="183">
        <f t="shared" si="18"/>
        <v>12</v>
      </c>
      <c r="F41" s="184">
        <f t="shared" si="19"/>
        <v>12000</v>
      </c>
      <c r="G41" s="184">
        <v>0</v>
      </c>
      <c r="H41" s="184">
        <f t="shared" si="20"/>
        <v>12000</v>
      </c>
      <c r="I41" s="185"/>
      <c r="J41" s="186">
        <f t="shared" si="21"/>
        <v>2839.2</v>
      </c>
      <c r="K41" s="162"/>
      <c r="L41" s="77" t="s">
        <v>179</v>
      </c>
    </row>
    <row r="42" spans="2:12" ht="21" customHeight="1" x14ac:dyDescent="0.35">
      <c r="B42" s="113">
        <v>45124</v>
      </c>
      <c r="C42" s="114">
        <v>252</v>
      </c>
      <c r="D42" s="114">
        <v>256</v>
      </c>
      <c r="E42" s="183">
        <f t="shared" si="18"/>
        <v>4</v>
      </c>
      <c r="F42" s="184">
        <f t="shared" si="19"/>
        <v>4000</v>
      </c>
      <c r="G42" s="184">
        <v>0</v>
      </c>
      <c r="H42" s="184">
        <f t="shared" si="20"/>
        <v>4000</v>
      </c>
      <c r="I42" s="185"/>
      <c r="J42" s="186">
        <f t="shared" si="21"/>
        <v>946.4</v>
      </c>
      <c r="K42" s="162"/>
      <c r="L42" s="81">
        <f>+(I44+J44)/H44</f>
        <v>0.2366</v>
      </c>
    </row>
    <row r="43" spans="2:12" ht="21" customHeight="1" x14ac:dyDescent="0.35">
      <c r="B43" s="116"/>
      <c r="C43" s="117"/>
      <c r="D43" s="117"/>
      <c r="E43" s="118">
        <f t="shared" si="18"/>
        <v>0</v>
      </c>
      <c r="F43" s="119">
        <f t="shared" si="19"/>
        <v>0</v>
      </c>
      <c r="G43" s="119">
        <v>0</v>
      </c>
      <c r="H43" s="119">
        <f t="shared" si="20"/>
        <v>0</v>
      </c>
      <c r="I43" s="120"/>
      <c r="J43" s="187">
        <f t="shared" si="21"/>
        <v>0</v>
      </c>
      <c r="K43" s="165"/>
      <c r="L43" s="77" t="s">
        <v>180</v>
      </c>
    </row>
    <row r="44" spans="2:12" ht="18" x14ac:dyDescent="0.35">
      <c r="B44" s="121"/>
      <c r="C44" s="118"/>
      <c r="D44" s="118"/>
      <c r="E44" s="118">
        <f t="shared" ref="E44:F44" si="22">SUM(E38:E43)</f>
        <v>66</v>
      </c>
      <c r="F44" s="119">
        <f t="shared" si="22"/>
        <v>66000</v>
      </c>
      <c r="G44" s="119"/>
      <c r="H44" s="119">
        <f t="shared" ref="H44:J44" si="23">SUM(H38:H43)</f>
        <v>66000</v>
      </c>
      <c r="I44" s="122">
        <f t="shared" si="23"/>
        <v>0</v>
      </c>
      <c r="J44" s="122">
        <f t="shared" si="23"/>
        <v>15615.6</v>
      </c>
      <c r="K44" s="165">
        <f>+H44*0.6-I44-J44-G44</f>
        <v>23984.400000000001</v>
      </c>
      <c r="L44" s="79">
        <f>+K44/H44</f>
        <v>0.3634</v>
      </c>
    </row>
    <row r="45" spans="2:12" ht="15.75" customHeight="1" x14ac:dyDescent="0.35">
      <c r="B45" s="72"/>
      <c r="C45" s="69"/>
      <c r="D45" s="69"/>
      <c r="E45" s="69"/>
      <c r="F45" s="69"/>
      <c r="G45" s="73"/>
      <c r="H45" s="73"/>
      <c r="I45" s="73"/>
      <c r="J45" s="109" t="s">
        <v>182</v>
      </c>
      <c r="K45" s="110"/>
      <c r="L45" s="69"/>
    </row>
    <row r="46" spans="2:12" ht="15.75" customHeight="1" x14ac:dyDescent="0.35">
      <c r="B46" s="203" t="s">
        <v>214</v>
      </c>
      <c r="C46" s="204"/>
      <c r="D46" s="69"/>
      <c r="E46" s="69"/>
      <c r="F46" s="69"/>
      <c r="G46" s="73"/>
      <c r="H46" s="73"/>
      <c r="I46" s="73"/>
      <c r="J46" s="80">
        <v>473.2</v>
      </c>
      <c r="K46" s="127"/>
      <c r="L46" s="69"/>
    </row>
    <row r="47" spans="2:12" ht="15.75" customHeight="1" x14ac:dyDescent="0.35">
      <c r="B47" s="82" t="s">
        <v>142</v>
      </c>
      <c r="C47" s="74" t="s">
        <v>162</v>
      </c>
      <c r="D47" s="74" t="s">
        <v>143</v>
      </c>
      <c r="E47" s="74" t="s">
        <v>144</v>
      </c>
      <c r="F47" s="74" t="s">
        <v>145</v>
      </c>
      <c r="G47" s="74" t="s">
        <v>163</v>
      </c>
      <c r="H47" s="74" t="s">
        <v>164</v>
      </c>
      <c r="I47" s="159" t="s">
        <v>165</v>
      </c>
      <c r="J47" s="75" t="s">
        <v>166</v>
      </c>
      <c r="K47" s="124" t="s">
        <v>146</v>
      </c>
      <c r="L47" s="69"/>
    </row>
    <row r="48" spans="2:12" ht="15.75" customHeight="1" x14ac:dyDescent="0.35">
      <c r="B48" s="182">
        <v>45135</v>
      </c>
      <c r="C48" s="183">
        <v>256</v>
      </c>
      <c r="D48" s="183">
        <v>292</v>
      </c>
      <c r="E48" s="183">
        <f t="shared" ref="E48:E53" si="24">+D48-C48</f>
        <v>36</v>
      </c>
      <c r="F48" s="184">
        <f t="shared" ref="F48:F53" si="25">+E48*1000</f>
        <v>36000</v>
      </c>
      <c r="G48" s="184">
        <v>0</v>
      </c>
      <c r="H48" s="184">
        <f t="shared" ref="H48:H53" si="26">+F48-G48</f>
        <v>36000</v>
      </c>
      <c r="I48" s="112"/>
      <c r="J48" s="186">
        <f t="shared" ref="J48:J53" si="27">+E48*$J$6/2</f>
        <v>8517.6</v>
      </c>
      <c r="K48" s="162"/>
      <c r="L48" s="69"/>
    </row>
    <row r="49" spans="2:12" ht="15.75" customHeight="1" x14ac:dyDescent="0.35">
      <c r="B49" s="113">
        <v>45138</v>
      </c>
      <c r="C49" s="114">
        <v>292</v>
      </c>
      <c r="D49" s="114">
        <v>298</v>
      </c>
      <c r="E49" s="183">
        <f t="shared" si="24"/>
        <v>6</v>
      </c>
      <c r="F49" s="184">
        <f t="shared" si="25"/>
        <v>6000</v>
      </c>
      <c r="G49" s="184">
        <v>0</v>
      </c>
      <c r="H49" s="184">
        <f t="shared" si="26"/>
        <v>6000</v>
      </c>
      <c r="I49" s="185"/>
      <c r="J49" s="186">
        <f t="shared" si="27"/>
        <v>1419.6</v>
      </c>
      <c r="K49" s="162"/>
      <c r="L49" s="69"/>
    </row>
    <row r="50" spans="2:12" ht="15.75" customHeight="1" x14ac:dyDescent="0.35">
      <c r="B50" s="113">
        <v>45147</v>
      </c>
      <c r="C50" s="114">
        <v>298</v>
      </c>
      <c r="D50" s="114">
        <v>316</v>
      </c>
      <c r="E50" s="183">
        <f t="shared" si="24"/>
        <v>18</v>
      </c>
      <c r="F50" s="184">
        <f t="shared" si="25"/>
        <v>18000</v>
      </c>
      <c r="G50" s="184">
        <v>0</v>
      </c>
      <c r="H50" s="184">
        <f t="shared" si="26"/>
        <v>18000</v>
      </c>
      <c r="I50" s="185"/>
      <c r="J50" s="186">
        <f t="shared" si="27"/>
        <v>4258.8</v>
      </c>
      <c r="K50" s="162"/>
      <c r="L50" s="69"/>
    </row>
    <row r="51" spans="2:12" ht="15.75" customHeight="1" x14ac:dyDescent="0.35">
      <c r="B51" s="113">
        <v>45153</v>
      </c>
      <c r="C51" s="114">
        <v>316</v>
      </c>
      <c r="D51" s="114">
        <v>336</v>
      </c>
      <c r="E51" s="183">
        <f t="shared" si="24"/>
        <v>20</v>
      </c>
      <c r="F51" s="184">
        <f t="shared" si="25"/>
        <v>20000</v>
      </c>
      <c r="G51" s="184">
        <v>0</v>
      </c>
      <c r="H51" s="184">
        <f t="shared" si="26"/>
        <v>20000</v>
      </c>
      <c r="I51" s="185"/>
      <c r="J51" s="186">
        <f t="shared" si="27"/>
        <v>4732</v>
      </c>
      <c r="K51" s="162"/>
      <c r="L51" s="77" t="s">
        <v>179</v>
      </c>
    </row>
    <row r="52" spans="2:12" ht="15.75" customHeight="1" x14ac:dyDescent="0.35">
      <c r="B52" s="113"/>
      <c r="C52" s="114"/>
      <c r="D52" s="114"/>
      <c r="E52" s="183">
        <f t="shared" si="24"/>
        <v>0</v>
      </c>
      <c r="F52" s="184">
        <f t="shared" si="25"/>
        <v>0</v>
      </c>
      <c r="G52" s="184">
        <v>0</v>
      </c>
      <c r="H52" s="184">
        <f t="shared" si="26"/>
        <v>0</v>
      </c>
      <c r="I52" s="185"/>
      <c r="J52" s="186">
        <f t="shared" si="27"/>
        <v>0</v>
      </c>
      <c r="K52" s="162"/>
      <c r="L52" s="81">
        <f>+(I54+J54)/H54</f>
        <v>0.2366</v>
      </c>
    </row>
    <row r="53" spans="2:12" ht="15.75" customHeight="1" x14ac:dyDescent="0.35">
      <c r="B53" s="116"/>
      <c r="C53" s="117"/>
      <c r="D53" s="117"/>
      <c r="E53" s="118">
        <f t="shared" si="24"/>
        <v>0</v>
      </c>
      <c r="F53" s="119">
        <f t="shared" si="25"/>
        <v>0</v>
      </c>
      <c r="G53" s="119">
        <v>0</v>
      </c>
      <c r="H53" s="119">
        <f t="shared" si="26"/>
        <v>0</v>
      </c>
      <c r="I53" s="120"/>
      <c r="J53" s="187">
        <f t="shared" si="27"/>
        <v>0</v>
      </c>
      <c r="K53" s="165"/>
      <c r="L53" s="77" t="s">
        <v>180</v>
      </c>
    </row>
    <row r="54" spans="2:12" ht="15.75" customHeight="1" x14ac:dyDescent="0.35">
      <c r="B54" s="121"/>
      <c r="C54" s="118"/>
      <c r="D54" s="118"/>
      <c r="E54" s="118">
        <f>SUM(E48:E53)</f>
        <v>80</v>
      </c>
      <c r="F54" s="119">
        <f>SUM(F48:F53)</f>
        <v>80000</v>
      </c>
      <c r="G54" s="119"/>
      <c r="H54" s="119">
        <f>SUM(H48:H53)</f>
        <v>80000</v>
      </c>
      <c r="I54" s="122">
        <f>SUM(I48:I53)</f>
        <v>0</v>
      </c>
      <c r="J54" s="122">
        <f>SUM(J48:J53)</f>
        <v>18928</v>
      </c>
      <c r="K54" s="165">
        <f>+H54*0.6-I54-J54-G54</f>
        <v>29072</v>
      </c>
      <c r="L54" s="79">
        <f>+K54/H54</f>
        <v>0.3634</v>
      </c>
    </row>
    <row r="55" spans="2:12" ht="15.75" customHeight="1" x14ac:dyDescent="0.35">
      <c r="B55" s="72"/>
      <c r="C55" s="69"/>
      <c r="D55" s="69"/>
      <c r="E55" s="69"/>
      <c r="F55" s="69"/>
      <c r="G55" s="73"/>
      <c r="H55" s="73"/>
      <c r="I55" s="73"/>
      <c r="J55" s="109" t="s">
        <v>182</v>
      </c>
      <c r="K55" s="110"/>
      <c r="L55" s="69"/>
    </row>
    <row r="56" spans="2:12" ht="15.75" customHeight="1" x14ac:dyDescent="0.35">
      <c r="B56" s="203" t="s">
        <v>214</v>
      </c>
      <c r="C56" s="204"/>
      <c r="D56" s="69"/>
      <c r="E56" s="69"/>
      <c r="F56" s="69"/>
      <c r="G56" s="73"/>
      <c r="H56" s="73"/>
      <c r="I56" s="73"/>
      <c r="J56" s="80">
        <v>473.2</v>
      </c>
      <c r="K56" s="127"/>
      <c r="L56" s="69"/>
    </row>
    <row r="57" spans="2:12" ht="15.75" customHeight="1" x14ac:dyDescent="0.35">
      <c r="B57" s="82" t="s">
        <v>142</v>
      </c>
      <c r="C57" s="74" t="s">
        <v>162</v>
      </c>
      <c r="D57" s="74" t="s">
        <v>143</v>
      </c>
      <c r="E57" s="74" t="s">
        <v>144</v>
      </c>
      <c r="F57" s="74" t="s">
        <v>145</v>
      </c>
      <c r="G57" s="74" t="s">
        <v>163</v>
      </c>
      <c r="H57" s="74" t="s">
        <v>164</v>
      </c>
      <c r="I57" s="159" t="s">
        <v>165</v>
      </c>
      <c r="J57" s="75" t="s">
        <v>166</v>
      </c>
      <c r="K57" s="124" t="s">
        <v>146</v>
      </c>
      <c r="L57" s="69"/>
    </row>
    <row r="58" spans="2:12" ht="15.75" customHeight="1" x14ac:dyDescent="0.35">
      <c r="B58" s="182">
        <v>45159</v>
      </c>
      <c r="C58" s="183">
        <v>336</v>
      </c>
      <c r="D58" s="183">
        <v>358</v>
      </c>
      <c r="E58" s="183">
        <f t="shared" ref="E58:E63" si="28">+D58-C58</f>
        <v>22</v>
      </c>
      <c r="F58" s="184">
        <f t="shared" ref="F58:F63" si="29">+E58*1000</f>
        <v>22000</v>
      </c>
      <c r="G58" s="184">
        <v>0</v>
      </c>
      <c r="H58" s="184">
        <f t="shared" ref="H58:H63" si="30">+F58-G58</f>
        <v>22000</v>
      </c>
      <c r="I58" s="112"/>
      <c r="J58" s="186">
        <f t="shared" ref="J58:J63" si="31">+E58*$J$6/2</f>
        <v>5205.2</v>
      </c>
      <c r="K58" s="162"/>
      <c r="L58" s="69"/>
    </row>
    <row r="59" spans="2:12" ht="15.75" customHeight="1" x14ac:dyDescent="0.35">
      <c r="B59" s="113">
        <v>45163</v>
      </c>
      <c r="C59" s="114">
        <v>358</v>
      </c>
      <c r="D59" s="114">
        <v>372</v>
      </c>
      <c r="E59" s="183">
        <f t="shared" si="28"/>
        <v>14</v>
      </c>
      <c r="F59" s="184">
        <f t="shared" si="29"/>
        <v>14000</v>
      </c>
      <c r="G59" s="184">
        <v>0</v>
      </c>
      <c r="H59" s="184">
        <f t="shared" si="30"/>
        <v>14000</v>
      </c>
      <c r="I59" s="185"/>
      <c r="J59" s="186">
        <f t="shared" si="31"/>
        <v>3312.4</v>
      </c>
      <c r="K59" s="162"/>
      <c r="L59" s="69"/>
    </row>
    <row r="60" spans="2:12" ht="15.75" customHeight="1" x14ac:dyDescent="0.35">
      <c r="B60" s="113">
        <v>45170</v>
      </c>
      <c r="C60" s="114">
        <v>372</v>
      </c>
      <c r="D60" s="114">
        <v>382</v>
      </c>
      <c r="E60" s="183">
        <f t="shared" si="28"/>
        <v>10</v>
      </c>
      <c r="F60" s="184">
        <f t="shared" si="29"/>
        <v>10000</v>
      </c>
      <c r="G60" s="184">
        <v>0</v>
      </c>
      <c r="H60" s="184">
        <f t="shared" si="30"/>
        <v>10000</v>
      </c>
      <c r="I60" s="185"/>
      <c r="J60" s="186">
        <f t="shared" si="31"/>
        <v>2366</v>
      </c>
      <c r="K60" s="162"/>
      <c r="L60" s="69"/>
    </row>
    <row r="61" spans="2:12" ht="15.75" customHeight="1" x14ac:dyDescent="0.35">
      <c r="B61" s="113">
        <v>45175</v>
      </c>
      <c r="C61" s="114">
        <v>382</v>
      </c>
      <c r="D61" s="114">
        <v>414</v>
      </c>
      <c r="E61" s="183">
        <f t="shared" si="28"/>
        <v>32</v>
      </c>
      <c r="F61" s="184">
        <f t="shared" si="29"/>
        <v>32000</v>
      </c>
      <c r="G61" s="184">
        <v>0</v>
      </c>
      <c r="H61" s="184">
        <f t="shared" si="30"/>
        <v>32000</v>
      </c>
      <c r="I61" s="185"/>
      <c r="J61" s="186">
        <f t="shared" si="31"/>
        <v>7571.2</v>
      </c>
      <c r="K61" s="162"/>
      <c r="L61" s="77" t="s">
        <v>179</v>
      </c>
    </row>
    <row r="62" spans="2:12" ht="15.75" customHeight="1" x14ac:dyDescent="0.35">
      <c r="B62" s="113">
        <v>45188</v>
      </c>
      <c r="C62" s="114">
        <v>414</v>
      </c>
      <c r="D62" s="114">
        <v>466</v>
      </c>
      <c r="E62" s="183">
        <f t="shared" si="28"/>
        <v>52</v>
      </c>
      <c r="F62" s="184">
        <f t="shared" si="29"/>
        <v>52000</v>
      </c>
      <c r="G62" s="184">
        <v>0</v>
      </c>
      <c r="H62" s="184">
        <f t="shared" si="30"/>
        <v>52000</v>
      </c>
      <c r="I62" s="185"/>
      <c r="J62" s="186">
        <f t="shared" si="31"/>
        <v>12303.199999999999</v>
      </c>
      <c r="K62" s="162"/>
      <c r="L62" s="81">
        <f>+(I64+J64)/H64</f>
        <v>0.2366</v>
      </c>
    </row>
    <row r="63" spans="2:12" ht="15.75" customHeight="1" x14ac:dyDescent="0.35">
      <c r="B63" s="116"/>
      <c r="C63" s="117"/>
      <c r="D63" s="117"/>
      <c r="E63" s="118">
        <f t="shared" si="28"/>
        <v>0</v>
      </c>
      <c r="F63" s="119">
        <f t="shared" si="29"/>
        <v>0</v>
      </c>
      <c r="G63" s="119">
        <v>0</v>
      </c>
      <c r="H63" s="119">
        <f t="shared" si="30"/>
        <v>0</v>
      </c>
      <c r="I63" s="120"/>
      <c r="J63" s="187">
        <f t="shared" si="31"/>
        <v>0</v>
      </c>
      <c r="K63" s="165"/>
      <c r="L63" s="77" t="s">
        <v>180</v>
      </c>
    </row>
    <row r="64" spans="2:12" ht="15.75" customHeight="1" x14ac:dyDescent="0.35">
      <c r="B64" s="121"/>
      <c r="C64" s="118"/>
      <c r="D64" s="118"/>
      <c r="E64" s="118">
        <f>SUM(E58:E63)</f>
        <v>130</v>
      </c>
      <c r="F64" s="119">
        <f>SUM(F58:F63)</f>
        <v>130000</v>
      </c>
      <c r="G64" s="119"/>
      <c r="H64" s="119">
        <f>SUM(H58:H63)</f>
        <v>130000</v>
      </c>
      <c r="I64" s="122">
        <f>SUM(I58:I63)</f>
        <v>0</v>
      </c>
      <c r="J64" s="122">
        <f>SUM(J58:J63)</f>
        <v>30758</v>
      </c>
      <c r="K64" s="165">
        <f>+H64*0.6-I64-J64-G64</f>
        <v>47242</v>
      </c>
      <c r="L64" s="79">
        <f>+K64/H64</f>
        <v>0.3634</v>
      </c>
    </row>
    <row r="65" spans="2:12" ht="15.75" customHeight="1" x14ac:dyDescent="0.35">
      <c r="B65" s="72"/>
      <c r="C65" s="69"/>
      <c r="D65" s="69"/>
      <c r="E65" s="69"/>
      <c r="F65" s="69"/>
      <c r="G65" s="73"/>
      <c r="H65" s="73"/>
      <c r="I65" s="73"/>
      <c r="J65" s="109" t="s">
        <v>182</v>
      </c>
      <c r="K65" s="110"/>
      <c r="L65" s="69"/>
    </row>
    <row r="66" spans="2:12" ht="15.75" customHeight="1" x14ac:dyDescent="0.35">
      <c r="B66" s="203" t="s">
        <v>214</v>
      </c>
      <c r="C66" s="204"/>
      <c r="D66" s="69"/>
      <c r="E66" s="69"/>
      <c r="F66" s="69"/>
      <c r="G66" s="73"/>
      <c r="H66" s="73"/>
      <c r="I66" s="73"/>
      <c r="J66" s="80">
        <v>473.2</v>
      </c>
      <c r="K66" s="127"/>
      <c r="L66" s="69"/>
    </row>
    <row r="67" spans="2:12" ht="15.75" customHeight="1" x14ac:dyDescent="0.35">
      <c r="B67" s="82" t="s">
        <v>142</v>
      </c>
      <c r="C67" s="74" t="s">
        <v>162</v>
      </c>
      <c r="D67" s="74" t="s">
        <v>143</v>
      </c>
      <c r="E67" s="74" t="s">
        <v>144</v>
      </c>
      <c r="F67" s="74" t="s">
        <v>145</v>
      </c>
      <c r="G67" s="74" t="s">
        <v>163</v>
      </c>
      <c r="H67" s="74" t="s">
        <v>164</v>
      </c>
      <c r="I67" s="159" t="s">
        <v>165</v>
      </c>
      <c r="J67" s="75" t="s">
        <v>166</v>
      </c>
      <c r="K67" s="124" t="s">
        <v>146</v>
      </c>
      <c r="L67" s="69"/>
    </row>
    <row r="68" spans="2:12" ht="15.75" customHeight="1" x14ac:dyDescent="0.35">
      <c r="B68" s="182">
        <v>45195</v>
      </c>
      <c r="C68" s="183">
        <v>466</v>
      </c>
      <c r="D68" s="183">
        <v>496</v>
      </c>
      <c r="E68" s="183">
        <f t="shared" ref="E68:E73" si="32">+D68-C68</f>
        <v>30</v>
      </c>
      <c r="F68" s="184">
        <f t="shared" ref="F68:F73" si="33">+E68*1000</f>
        <v>30000</v>
      </c>
      <c r="G68" s="184">
        <v>0</v>
      </c>
      <c r="H68" s="184">
        <f t="shared" ref="H68:H73" si="34">+F68-G68</f>
        <v>30000</v>
      </c>
      <c r="I68" s="112"/>
      <c r="J68" s="186">
        <f t="shared" ref="J68:J73" si="35">+E68*$J$6/2</f>
        <v>7098</v>
      </c>
      <c r="K68" s="162"/>
      <c r="L68" s="69"/>
    </row>
    <row r="69" spans="2:12" ht="15.75" customHeight="1" x14ac:dyDescent="0.35">
      <c r="B69" s="113">
        <v>45204</v>
      </c>
      <c r="C69" s="114">
        <v>496</v>
      </c>
      <c r="D69" s="114">
        <v>534</v>
      </c>
      <c r="E69" s="183">
        <f t="shared" si="32"/>
        <v>38</v>
      </c>
      <c r="F69" s="184">
        <f t="shared" si="33"/>
        <v>38000</v>
      </c>
      <c r="G69" s="184">
        <v>0</v>
      </c>
      <c r="H69" s="184">
        <f t="shared" si="34"/>
        <v>38000</v>
      </c>
      <c r="I69" s="185"/>
      <c r="J69" s="186">
        <f t="shared" si="35"/>
        <v>8990.7999999999993</v>
      </c>
      <c r="K69" s="162"/>
      <c r="L69" s="69"/>
    </row>
    <row r="70" spans="2:12" ht="15.75" customHeight="1" x14ac:dyDescent="0.35">
      <c r="B70" s="113">
        <v>45213</v>
      </c>
      <c r="C70" s="114">
        <v>534</v>
      </c>
      <c r="D70" s="114">
        <v>552</v>
      </c>
      <c r="E70" s="183">
        <f t="shared" si="32"/>
        <v>18</v>
      </c>
      <c r="F70" s="184">
        <f t="shared" si="33"/>
        <v>18000</v>
      </c>
      <c r="G70" s="184">
        <v>0</v>
      </c>
      <c r="H70" s="184">
        <f t="shared" si="34"/>
        <v>18000</v>
      </c>
      <c r="I70" s="185"/>
      <c r="J70" s="186">
        <f t="shared" si="35"/>
        <v>4258.8</v>
      </c>
      <c r="K70" s="162"/>
      <c r="L70" s="69"/>
    </row>
    <row r="71" spans="2:12" ht="15.75" customHeight="1" x14ac:dyDescent="0.35">
      <c r="B71" s="113">
        <v>45219</v>
      </c>
      <c r="C71" s="114">
        <v>552</v>
      </c>
      <c r="D71" s="114">
        <v>566</v>
      </c>
      <c r="E71" s="183">
        <f t="shared" si="32"/>
        <v>14</v>
      </c>
      <c r="F71" s="184">
        <f t="shared" si="33"/>
        <v>14000</v>
      </c>
      <c r="G71" s="184">
        <v>0</v>
      </c>
      <c r="H71" s="184">
        <f t="shared" si="34"/>
        <v>14000</v>
      </c>
      <c r="I71" s="185"/>
      <c r="J71" s="186">
        <f t="shared" si="35"/>
        <v>3312.4</v>
      </c>
      <c r="K71" s="162"/>
      <c r="L71" s="77" t="s">
        <v>179</v>
      </c>
    </row>
    <row r="72" spans="2:12" ht="15.75" customHeight="1" x14ac:dyDescent="0.35">
      <c r="B72" s="113"/>
      <c r="C72" s="114"/>
      <c r="D72" s="114"/>
      <c r="E72" s="183">
        <f t="shared" si="32"/>
        <v>0</v>
      </c>
      <c r="F72" s="184">
        <f t="shared" si="33"/>
        <v>0</v>
      </c>
      <c r="G72" s="184">
        <v>0</v>
      </c>
      <c r="H72" s="184">
        <f t="shared" si="34"/>
        <v>0</v>
      </c>
      <c r="I72" s="185"/>
      <c r="J72" s="186">
        <f t="shared" si="35"/>
        <v>0</v>
      </c>
      <c r="K72" s="162"/>
      <c r="L72" s="81">
        <f>+(I74+J74)/H74</f>
        <v>0.2366</v>
      </c>
    </row>
    <row r="73" spans="2:12" ht="15.75" customHeight="1" x14ac:dyDescent="0.35">
      <c r="B73" s="116"/>
      <c r="C73" s="117"/>
      <c r="D73" s="117"/>
      <c r="E73" s="118">
        <f t="shared" si="32"/>
        <v>0</v>
      </c>
      <c r="F73" s="119">
        <f t="shared" si="33"/>
        <v>0</v>
      </c>
      <c r="G73" s="119">
        <v>0</v>
      </c>
      <c r="H73" s="119">
        <f t="shared" si="34"/>
        <v>0</v>
      </c>
      <c r="I73" s="120"/>
      <c r="J73" s="187">
        <f t="shared" si="35"/>
        <v>0</v>
      </c>
      <c r="K73" s="165"/>
      <c r="L73" s="77" t="s">
        <v>180</v>
      </c>
    </row>
    <row r="74" spans="2:12" ht="15.75" customHeight="1" x14ac:dyDescent="0.35">
      <c r="B74" s="121"/>
      <c r="C74" s="118"/>
      <c r="D74" s="118"/>
      <c r="E74" s="118">
        <f>SUM(E68:E73)</f>
        <v>100</v>
      </c>
      <c r="F74" s="119">
        <f>SUM(F68:F73)</f>
        <v>100000</v>
      </c>
      <c r="G74" s="119"/>
      <c r="H74" s="119">
        <f>SUM(H68:H73)</f>
        <v>100000</v>
      </c>
      <c r="I74" s="122">
        <f>SUM(I68:I73)</f>
        <v>0</v>
      </c>
      <c r="J74" s="122">
        <f>SUM(J68:J73)</f>
        <v>23660</v>
      </c>
      <c r="K74" s="165">
        <f>+H74*0.6-I74-J74-G74</f>
        <v>36340</v>
      </c>
      <c r="L74" s="79">
        <f>+K74/H74</f>
        <v>0.3634</v>
      </c>
    </row>
    <row r="75" spans="2:12" ht="15.75" customHeight="1" x14ac:dyDescent="0.35">
      <c r="B75" s="72"/>
      <c r="C75" s="69"/>
      <c r="D75" s="69"/>
      <c r="E75" s="69"/>
      <c r="F75" s="69"/>
      <c r="G75" s="73"/>
      <c r="H75" s="73"/>
      <c r="I75" s="73"/>
      <c r="J75" s="109" t="s">
        <v>182</v>
      </c>
      <c r="K75" s="110"/>
      <c r="L75" s="69"/>
    </row>
    <row r="76" spans="2:12" ht="15.75" customHeight="1" x14ac:dyDescent="0.35">
      <c r="B76" s="203" t="s">
        <v>214</v>
      </c>
      <c r="C76" s="204"/>
      <c r="D76" s="69"/>
      <c r="E76" s="69"/>
      <c r="F76" s="69"/>
      <c r="G76" s="73"/>
      <c r="H76" s="73"/>
      <c r="I76" s="73"/>
      <c r="J76" s="80">
        <v>473.2</v>
      </c>
      <c r="K76" s="127"/>
      <c r="L76" s="69"/>
    </row>
    <row r="77" spans="2:12" ht="15.75" customHeight="1" x14ac:dyDescent="0.35">
      <c r="B77" s="82" t="s">
        <v>142</v>
      </c>
      <c r="C77" s="74" t="s">
        <v>162</v>
      </c>
      <c r="D77" s="74" t="s">
        <v>143</v>
      </c>
      <c r="E77" s="74" t="s">
        <v>144</v>
      </c>
      <c r="F77" s="74" t="s">
        <v>145</v>
      </c>
      <c r="G77" s="74" t="s">
        <v>163</v>
      </c>
      <c r="H77" s="74" t="s">
        <v>164</v>
      </c>
      <c r="I77" s="159" t="s">
        <v>165</v>
      </c>
      <c r="J77" s="75" t="s">
        <v>166</v>
      </c>
      <c r="K77" s="124" t="s">
        <v>146</v>
      </c>
      <c r="L77" s="69"/>
    </row>
    <row r="78" spans="2:12" ht="15.75" customHeight="1" x14ac:dyDescent="0.35">
      <c r="B78" s="182">
        <v>45230</v>
      </c>
      <c r="C78" s="183">
        <v>566</v>
      </c>
      <c r="D78" s="183">
        <v>606</v>
      </c>
      <c r="E78" s="183">
        <f t="shared" ref="E78:E83" si="36">+D78-C78</f>
        <v>40</v>
      </c>
      <c r="F78" s="184">
        <f t="shared" ref="F78:F83" si="37">+E78*1000</f>
        <v>40000</v>
      </c>
      <c r="G78" s="184">
        <v>0</v>
      </c>
      <c r="H78" s="184">
        <f t="shared" ref="H78:H83" si="38">+F78-G78</f>
        <v>40000</v>
      </c>
      <c r="I78" s="112"/>
      <c r="J78" s="186">
        <f t="shared" ref="J78:J83" si="39">+E78*$J$6/2</f>
        <v>9464</v>
      </c>
      <c r="K78" s="162"/>
      <c r="L78" s="69"/>
    </row>
    <row r="79" spans="2:12" ht="15.75" customHeight="1" x14ac:dyDescent="0.35">
      <c r="B79" s="113">
        <v>45239</v>
      </c>
      <c r="C79" s="114">
        <v>606</v>
      </c>
      <c r="D79" s="114">
        <v>628</v>
      </c>
      <c r="E79" s="183">
        <f t="shared" si="36"/>
        <v>22</v>
      </c>
      <c r="F79" s="184">
        <f t="shared" si="37"/>
        <v>22000</v>
      </c>
      <c r="G79" s="184">
        <v>0</v>
      </c>
      <c r="H79" s="184">
        <f t="shared" si="38"/>
        <v>22000</v>
      </c>
      <c r="I79" s="185"/>
      <c r="J79" s="186">
        <f t="shared" si="39"/>
        <v>5205.2</v>
      </c>
      <c r="K79" s="162"/>
      <c r="L79" s="69"/>
    </row>
    <row r="80" spans="2:12" ht="15.75" customHeight="1" x14ac:dyDescent="0.35">
      <c r="B80" s="113">
        <v>45247</v>
      </c>
      <c r="C80" s="114">
        <v>628</v>
      </c>
      <c r="D80" s="114">
        <v>656</v>
      </c>
      <c r="E80" s="183">
        <f t="shared" si="36"/>
        <v>28</v>
      </c>
      <c r="F80" s="184">
        <f t="shared" si="37"/>
        <v>28000</v>
      </c>
      <c r="G80" s="184">
        <v>0</v>
      </c>
      <c r="H80" s="184">
        <f t="shared" si="38"/>
        <v>28000</v>
      </c>
      <c r="I80" s="185"/>
      <c r="J80" s="186">
        <f t="shared" si="39"/>
        <v>6624.8</v>
      </c>
      <c r="K80" s="162"/>
      <c r="L80" s="69"/>
    </row>
    <row r="81" spans="2:12" ht="15.75" customHeight="1" x14ac:dyDescent="0.35">
      <c r="B81" s="113"/>
      <c r="C81" s="114"/>
      <c r="D81" s="114"/>
      <c r="E81" s="183">
        <f t="shared" si="36"/>
        <v>0</v>
      </c>
      <c r="F81" s="184">
        <f t="shared" si="37"/>
        <v>0</v>
      </c>
      <c r="G81" s="184">
        <v>0</v>
      </c>
      <c r="H81" s="184">
        <f t="shared" si="38"/>
        <v>0</v>
      </c>
      <c r="I81" s="185"/>
      <c r="J81" s="186">
        <f t="shared" si="39"/>
        <v>0</v>
      </c>
      <c r="K81" s="162"/>
      <c r="L81" s="77" t="s">
        <v>179</v>
      </c>
    </row>
    <row r="82" spans="2:12" ht="15.75" customHeight="1" x14ac:dyDescent="0.35">
      <c r="B82" s="113"/>
      <c r="C82" s="114"/>
      <c r="D82" s="114"/>
      <c r="E82" s="183">
        <f t="shared" si="36"/>
        <v>0</v>
      </c>
      <c r="F82" s="184">
        <f t="shared" si="37"/>
        <v>0</v>
      </c>
      <c r="G82" s="184">
        <v>0</v>
      </c>
      <c r="H82" s="184">
        <f t="shared" si="38"/>
        <v>0</v>
      </c>
      <c r="I82" s="185"/>
      <c r="J82" s="186">
        <f t="shared" si="39"/>
        <v>0</v>
      </c>
      <c r="K82" s="162"/>
      <c r="L82" s="81">
        <f>+(I84+J84)/H84</f>
        <v>0.2366</v>
      </c>
    </row>
    <row r="83" spans="2:12" ht="15.75" customHeight="1" x14ac:dyDescent="0.35">
      <c r="B83" s="116"/>
      <c r="C83" s="117"/>
      <c r="D83" s="117"/>
      <c r="E83" s="118">
        <f t="shared" si="36"/>
        <v>0</v>
      </c>
      <c r="F83" s="119">
        <f t="shared" si="37"/>
        <v>0</v>
      </c>
      <c r="G83" s="119">
        <v>0</v>
      </c>
      <c r="H83" s="119">
        <f t="shared" si="38"/>
        <v>0</v>
      </c>
      <c r="I83" s="120"/>
      <c r="J83" s="187">
        <f t="shared" si="39"/>
        <v>0</v>
      </c>
      <c r="K83" s="165"/>
      <c r="L83" s="77" t="s">
        <v>180</v>
      </c>
    </row>
    <row r="84" spans="2:12" ht="15.75" customHeight="1" x14ac:dyDescent="0.35">
      <c r="B84" s="121"/>
      <c r="C84" s="118"/>
      <c r="D84" s="118"/>
      <c r="E84" s="118">
        <f>SUM(E78:E83)</f>
        <v>90</v>
      </c>
      <c r="F84" s="119">
        <f>SUM(F78:F83)</f>
        <v>90000</v>
      </c>
      <c r="G84" s="119"/>
      <c r="H84" s="119">
        <f>SUM(H78:H83)</f>
        <v>90000</v>
      </c>
      <c r="I84" s="122">
        <f>SUM(I78:I83)</f>
        <v>0</v>
      </c>
      <c r="J84" s="122">
        <f>SUM(J78:J83)</f>
        <v>21294</v>
      </c>
      <c r="K84" s="165">
        <f>+H84*0.6-I84-J84-G84</f>
        <v>32706</v>
      </c>
      <c r="L84" s="79">
        <f>+K84/H84</f>
        <v>0.3634</v>
      </c>
    </row>
    <row r="85" spans="2:12" ht="15.75" customHeight="1" x14ac:dyDescent="0.35">
      <c r="B85" s="72"/>
      <c r="C85" s="69"/>
      <c r="D85" s="69"/>
      <c r="E85" s="69"/>
      <c r="F85" s="69"/>
      <c r="G85" s="73"/>
      <c r="H85" s="73"/>
      <c r="I85" s="73"/>
      <c r="J85" s="109" t="s">
        <v>182</v>
      </c>
      <c r="K85" s="110"/>
      <c r="L85" s="69"/>
    </row>
    <row r="86" spans="2:12" ht="15.75" customHeight="1" x14ac:dyDescent="0.35">
      <c r="B86" s="203" t="s">
        <v>325</v>
      </c>
      <c r="C86" s="204"/>
      <c r="D86" s="69"/>
      <c r="E86" s="69"/>
      <c r="F86" s="69"/>
      <c r="G86" s="73"/>
      <c r="H86" s="73"/>
      <c r="I86" s="73"/>
      <c r="J86" s="80">
        <v>473.2</v>
      </c>
      <c r="K86" s="127"/>
      <c r="L86" s="69"/>
    </row>
    <row r="87" spans="2:12" ht="15.75" customHeight="1" x14ac:dyDescent="0.35">
      <c r="B87" s="82" t="s">
        <v>142</v>
      </c>
      <c r="C87" s="74" t="s">
        <v>162</v>
      </c>
      <c r="D87" s="74" t="s">
        <v>143</v>
      </c>
      <c r="E87" s="74" t="s">
        <v>144</v>
      </c>
      <c r="F87" s="74" t="s">
        <v>145</v>
      </c>
      <c r="G87" s="74" t="s">
        <v>163</v>
      </c>
      <c r="H87" s="74" t="s">
        <v>164</v>
      </c>
      <c r="I87" s="159" t="s">
        <v>165</v>
      </c>
      <c r="J87" s="75" t="s">
        <v>166</v>
      </c>
      <c r="K87" s="124" t="s">
        <v>146</v>
      </c>
      <c r="L87" s="69"/>
    </row>
    <row r="88" spans="2:12" ht="15.75" customHeight="1" x14ac:dyDescent="0.35">
      <c r="B88" s="182">
        <v>45247</v>
      </c>
      <c r="C88" s="183">
        <v>76</v>
      </c>
      <c r="D88" s="183">
        <v>72</v>
      </c>
      <c r="E88" s="183">
        <f t="shared" ref="E88:E93" si="40">+D88-C88</f>
        <v>-4</v>
      </c>
      <c r="F88" s="184">
        <f t="shared" ref="F88:F93" si="41">+E88*1000</f>
        <v>-4000</v>
      </c>
      <c r="G88" s="184">
        <v>0</v>
      </c>
      <c r="H88" s="184">
        <f t="shared" ref="H88:H93" si="42">+F88-G88</f>
        <v>-4000</v>
      </c>
      <c r="I88" s="112"/>
      <c r="J88" s="186">
        <f t="shared" ref="J88:J93" si="43">+E88*$J$6/2</f>
        <v>-946.4</v>
      </c>
      <c r="K88" s="162" t="s">
        <v>320</v>
      </c>
      <c r="L88" s="69"/>
    </row>
    <row r="89" spans="2:12" ht="15.75" customHeight="1" x14ac:dyDescent="0.35">
      <c r="B89" s="113">
        <v>45251</v>
      </c>
      <c r="C89" s="114">
        <v>76</v>
      </c>
      <c r="D89" s="114">
        <v>89</v>
      </c>
      <c r="E89" s="183">
        <f t="shared" si="40"/>
        <v>13</v>
      </c>
      <c r="F89" s="184">
        <f t="shared" si="41"/>
        <v>13000</v>
      </c>
      <c r="G89" s="184">
        <v>0</v>
      </c>
      <c r="H89" s="184">
        <f t="shared" si="42"/>
        <v>13000</v>
      </c>
      <c r="I89" s="185"/>
      <c r="J89" s="186">
        <f t="shared" si="43"/>
        <v>3075.7999999999997</v>
      </c>
      <c r="K89" s="162"/>
      <c r="L89" s="69"/>
    </row>
    <row r="90" spans="2:12" ht="15.75" customHeight="1" x14ac:dyDescent="0.35">
      <c r="B90" s="113">
        <v>45260</v>
      </c>
      <c r="C90" s="114">
        <v>89</v>
      </c>
      <c r="D90" s="114">
        <v>141</v>
      </c>
      <c r="E90" s="183">
        <f t="shared" si="40"/>
        <v>52</v>
      </c>
      <c r="F90" s="184">
        <f t="shared" si="41"/>
        <v>52000</v>
      </c>
      <c r="G90" s="184">
        <v>0</v>
      </c>
      <c r="H90" s="184">
        <f t="shared" si="42"/>
        <v>52000</v>
      </c>
      <c r="I90" s="185"/>
      <c r="J90" s="186">
        <f t="shared" si="43"/>
        <v>12303.199999999999</v>
      </c>
      <c r="K90" s="162"/>
      <c r="L90" s="69"/>
    </row>
    <row r="91" spans="2:12" ht="15.75" customHeight="1" x14ac:dyDescent="0.35">
      <c r="B91" s="113">
        <v>45275</v>
      </c>
      <c r="C91" s="114">
        <v>141</v>
      </c>
      <c r="D91" s="114">
        <v>283</v>
      </c>
      <c r="E91" s="183">
        <f t="shared" si="40"/>
        <v>142</v>
      </c>
      <c r="F91" s="184">
        <f t="shared" si="41"/>
        <v>142000</v>
      </c>
      <c r="G91" s="184">
        <v>0</v>
      </c>
      <c r="H91" s="184">
        <f t="shared" si="42"/>
        <v>142000</v>
      </c>
      <c r="I91" s="185"/>
      <c r="J91" s="186">
        <f t="shared" si="43"/>
        <v>33597.199999999997</v>
      </c>
      <c r="K91" s="162"/>
      <c r="L91" s="77" t="s">
        <v>179</v>
      </c>
    </row>
    <row r="92" spans="2:12" ht="15.75" customHeight="1" x14ac:dyDescent="0.35">
      <c r="B92" s="113"/>
      <c r="C92" s="114"/>
      <c r="D92" s="114"/>
      <c r="E92" s="183">
        <f t="shared" si="40"/>
        <v>0</v>
      </c>
      <c r="F92" s="184">
        <f t="shared" si="41"/>
        <v>0</v>
      </c>
      <c r="G92" s="184">
        <v>0</v>
      </c>
      <c r="H92" s="184">
        <f t="shared" si="42"/>
        <v>0</v>
      </c>
      <c r="I92" s="185"/>
      <c r="J92" s="186">
        <f t="shared" si="43"/>
        <v>0</v>
      </c>
      <c r="K92" s="162"/>
      <c r="L92" s="81">
        <f>+(I94+J94)/H94</f>
        <v>0.23659999999999998</v>
      </c>
    </row>
    <row r="93" spans="2:12" ht="15.75" customHeight="1" x14ac:dyDescent="0.35">
      <c r="B93" s="116"/>
      <c r="C93" s="117"/>
      <c r="D93" s="117">
        <v>1799</v>
      </c>
      <c r="E93" s="118">
        <f t="shared" si="40"/>
        <v>1799</v>
      </c>
      <c r="F93" s="119">
        <f t="shared" si="41"/>
        <v>1799000</v>
      </c>
      <c r="G93" s="119">
        <v>0</v>
      </c>
      <c r="H93" s="119">
        <f t="shared" si="42"/>
        <v>1799000</v>
      </c>
      <c r="I93" s="120"/>
      <c r="J93" s="187">
        <f t="shared" si="43"/>
        <v>425643.39999999997</v>
      </c>
      <c r="K93" s="165"/>
      <c r="L93" s="77" t="s">
        <v>180</v>
      </c>
    </row>
    <row r="94" spans="2:12" ht="15.75" customHeight="1" x14ac:dyDescent="0.35">
      <c r="B94" s="121"/>
      <c r="C94" s="118"/>
      <c r="D94" s="118"/>
      <c r="E94" s="118">
        <f>SUM(E88:E93)</f>
        <v>2002</v>
      </c>
      <c r="F94" s="119">
        <f>SUM(F88:F93)</f>
        <v>2002000</v>
      </c>
      <c r="G94" s="119"/>
      <c r="H94" s="119">
        <f>SUM(H88:H93)</f>
        <v>2002000</v>
      </c>
      <c r="I94" s="122">
        <f>SUM(I88:I93)</f>
        <v>0</v>
      </c>
      <c r="J94" s="122">
        <f>SUM(J88:J93)</f>
        <v>473673.19999999995</v>
      </c>
      <c r="K94" s="165">
        <f>+H94*0.6-I94-J94-G94</f>
        <v>727526.8</v>
      </c>
      <c r="L94" s="79">
        <f>+K94/H94</f>
        <v>0.3634</v>
      </c>
    </row>
    <row r="96" spans="2:12" ht="15" customHeight="1" thickBot="1" x14ac:dyDescent="0.3">
      <c r="B96" s="272" t="s">
        <v>167</v>
      </c>
      <c r="C96" s="301"/>
      <c r="D96" s="301"/>
      <c r="E96" s="301"/>
      <c r="F96" s="301"/>
      <c r="G96" s="301"/>
      <c r="H96" s="301"/>
      <c r="I96" s="301"/>
      <c r="J96" s="266"/>
      <c r="K96" s="301"/>
    </row>
    <row r="97" spans="2:11" ht="15" customHeight="1" thickBot="1" x14ac:dyDescent="0.25">
      <c r="B97" s="273" t="s">
        <v>169</v>
      </c>
      <c r="C97" s="268"/>
      <c r="D97" s="268" t="s">
        <v>170</v>
      </c>
      <c r="E97" s="268" t="s">
        <v>171</v>
      </c>
      <c r="F97" s="268" t="s">
        <v>172</v>
      </c>
      <c r="G97" s="268"/>
      <c r="H97" s="268"/>
      <c r="I97" s="269"/>
      <c r="J97" s="270"/>
      <c r="K97" s="270" t="s">
        <v>173</v>
      </c>
    </row>
    <row r="98" spans="2:11" ht="15" customHeight="1" x14ac:dyDescent="0.25">
      <c r="B98" s="274">
        <v>45606</v>
      </c>
      <c r="C98" s="275"/>
      <c r="D98" s="275">
        <v>1910</v>
      </c>
      <c r="E98" s="275">
        <f>IF(D98="","",D98-D93)</f>
        <v>111</v>
      </c>
      <c r="F98" s="276">
        <f t="shared" ref="F98:F107" si="44">IF(D98="","",E98*1000)</f>
        <v>111000</v>
      </c>
      <c r="G98" s="276"/>
      <c r="H98" s="276"/>
      <c r="I98" s="277"/>
      <c r="J98" s="278"/>
      <c r="K98" s="302"/>
    </row>
    <row r="99" spans="2:11" ht="15" customHeight="1" x14ac:dyDescent="0.25">
      <c r="B99" s="279"/>
      <c r="C99" s="280"/>
      <c r="D99" s="280"/>
      <c r="E99" s="275" t="str">
        <f t="shared" ref="E99:E104" si="45">IF(D99="","",D99-D98)</f>
        <v/>
      </c>
      <c r="F99" s="276" t="str">
        <f t="shared" si="44"/>
        <v/>
      </c>
      <c r="G99" s="276"/>
      <c r="H99" s="276"/>
      <c r="I99" s="281"/>
      <c r="J99" s="278"/>
      <c r="K99" s="302"/>
    </row>
    <row r="100" spans="2:11" ht="15" customHeight="1" x14ac:dyDescent="0.25">
      <c r="B100" s="279"/>
      <c r="C100" s="280"/>
      <c r="D100" s="280"/>
      <c r="E100" s="275" t="str">
        <f t="shared" si="45"/>
        <v/>
      </c>
      <c r="F100" s="276" t="str">
        <f t="shared" si="44"/>
        <v/>
      </c>
      <c r="G100" s="276"/>
      <c r="H100" s="276"/>
      <c r="I100" s="281"/>
      <c r="J100" s="278"/>
      <c r="K100" s="302"/>
    </row>
    <row r="101" spans="2:11" ht="15" customHeight="1" x14ac:dyDescent="0.25">
      <c r="B101" s="279"/>
      <c r="C101" s="280"/>
      <c r="D101" s="280"/>
      <c r="E101" s="275" t="str">
        <f t="shared" si="45"/>
        <v/>
      </c>
      <c r="F101" s="276" t="str">
        <f t="shared" si="44"/>
        <v/>
      </c>
      <c r="G101" s="276"/>
      <c r="H101" s="276"/>
      <c r="I101" s="281"/>
      <c r="J101" s="278"/>
      <c r="K101" s="282"/>
    </row>
    <row r="102" spans="2:11" ht="15" customHeight="1" x14ac:dyDescent="0.25">
      <c r="B102" s="279"/>
      <c r="C102" s="280"/>
      <c r="D102" s="280"/>
      <c r="E102" s="275" t="str">
        <f t="shared" si="45"/>
        <v/>
      </c>
      <c r="F102" s="276" t="str">
        <f t="shared" si="44"/>
        <v/>
      </c>
      <c r="G102" s="276"/>
      <c r="H102" s="276"/>
      <c r="I102" s="281"/>
      <c r="J102" s="278"/>
      <c r="K102" s="302"/>
    </row>
    <row r="103" spans="2:11" ht="15" customHeight="1" x14ac:dyDescent="0.25">
      <c r="B103" s="279"/>
      <c r="C103" s="280"/>
      <c r="D103" s="280"/>
      <c r="E103" s="275" t="str">
        <f t="shared" si="45"/>
        <v/>
      </c>
      <c r="F103" s="276" t="str">
        <f t="shared" si="44"/>
        <v/>
      </c>
      <c r="G103" s="276"/>
      <c r="H103" s="276"/>
      <c r="I103" s="281"/>
      <c r="J103" s="278"/>
      <c r="K103" s="302"/>
    </row>
    <row r="104" spans="2:11" ht="15" customHeight="1" x14ac:dyDescent="0.25">
      <c r="B104" s="279"/>
      <c r="C104" s="280"/>
      <c r="D104" s="280"/>
      <c r="E104" s="275" t="str">
        <f t="shared" si="45"/>
        <v/>
      </c>
      <c r="F104" s="276" t="str">
        <f t="shared" si="44"/>
        <v/>
      </c>
      <c r="G104" s="276"/>
      <c r="H104" s="276"/>
      <c r="I104" s="281"/>
      <c r="J104" s="278"/>
      <c r="K104" s="302"/>
    </row>
    <row r="105" spans="2:11" ht="15" customHeight="1" x14ac:dyDescent="0.25">
      <c r="B105" s="279"/>
      <c r="C105" s="280"/>
      <c r="D105" s="283"/>
      <c r="E105" s="275" t="str">
        <f>IF(D105="","",D105-D104)</f>
        <v/>
      </c>
      <c r="F105" s="276" t="str">
        <f t="shared" si="44"/>
        <v/>
      </c>
      <c r="G105" s="285"/>
      <c r="H105" s="285"/>
      <c r="I105" s="286"/>
      <c r="J105" s="287"/>
      <c r="K105" s="304"/>
    </row>
    <row r="106" spans="2:11" ht="15" customHeight="1" x14ac:dyDescent="0.25">
      <c r="B106" s="279"/>
      <c r="C106" s="280"/>
      <c r="D106" s="283"/>
      <c r="E106" s="275" t="str">
        <f>IF(D106="","",D106-D105)</f>
        <v/>
      </c>
      <c r="F106" s="276" t="str">
        <f t="shared" si="44"/>
        <v/>
      </c>
      <c r="G106" s="285"/>
      <c r="H106" s="285"/>
      <c r="I106" s="286"/>
      <c r="J106" s="287"/>
      <c r="K106" s="304"/>
    </row>
    <row r="107" spans="2:11" ht="15" customHeight="1" x14ac:dyDescent="0.25">
      <c r="B107" s="279"/>
      <c r="C107" s="280"/>
      <c r="D107" s="280">
        <v>1916</v>
      </c>
      <c r="E107" s="275">
        <f>IF(D107="","",D107-D106)</f>
        <v>1916</v>
      </c>
      <c r="F107" s="276">
        <f t="shared" si="44"/>
        <v>1916000</v>
      </c>
      <c r="G107" s="288"/>
      <c r="H107" s="288"/>
      <c r="I107" s="289"/>
      <c r="J107" s="290"/>
      <c r="K107" s="305"/>
    </row>
    <row r="108" spans="2:11" ht="15" customHeight="1" thickBot="1" x14ac:dyDescent="0.3">
      <c r="B108" s="291"/>
      <c r="C108" s="292"/>
      <c r="D108" s="293"/>
      <c r="E108" s="293"/>
      <c r="F108" s="293">
        <f>SUM(F98:F106)</f>
        <v>111000</v>
      </c>
      <c r="G108" s="293"/>
      <c r="H108" s="293"/>
      <c r="I108" s="293"/>
      <c r="J108" s="294"/>
      <c r="K108" s="295"/>
    </row>
    <row r="110" spans="2:11" ht="15" customHeight="1" thickBot="1" x14ac:dyDescent="0.3">
      <c r="B110" s="272" t="s">
        <v>167</v>
      </c>
      <c r="C110" s="301"/>
      <c r="D110" s="301"/>
      <c r="E110" s="301"/>
      <c r="F110" s="301"/>
      <c r="G110" s="301"/>
      <c r="H110" s="301"/>
      <c r="I110" s="301"/>
      <c r="J110" s="266"/>
      <c r="K110" s="301"/>
    </row>
    <row r="111" spans="2:11" ht="15" customHeight="1" thickBot="1" x14ac:dyDescent="0.25">
      <c r="B111" s="273" t="s">
        <v>169</v>
      </c>
      <c r="C111" s="268"/>
      <c r="D111" s="268" t="s">
        <v>170</v>
      </c>
      <c r="E111" s="268" t="s">
        <v>171</v>
      </c>
      <c r="F111" s="268" t="s">
        <v>172</v>
      </c>
      <c r="G111" s="268"/>
      <c r="H111" s="268"/>
      <c r="I111" s="269"/>
      <c r="J111" s="270"/>
      <c r="K111" s="270" t="s">
        <v>173</v>
      </c>
    </row>
    <row r="112" spans="2:11" ht="15" customHeight="1" x14ac:dyDescent="0.25">
      <c r="B112" s="274">
        <v>45617</v>
      </c>
      <c r="C112" s="275"/>
      <c r="D112" s="275">
        <v>2018</v>
      </c>
      <c r="E112" s="275">
        <f>IF(D112="","",D112-D107)</f>
        <v>102</v>
      </c>
      <c r="F112" s="276">
        <f t="shared" ref="F112:F121" si="46">IF(D112="","",E112*1000)</f>
        <v>102000</v>
      </c>
      <c r="G112" s="276"/>
      <c r="H112" s="276"/>
      <c r="I112" s="277"/>
      <c r="J112" s="278"/>
      <c r="K112" s="302"/>
    </row>
    <row r="113" spans="2:11" ht="15" customHeight="1" x14ac:dyDescent="0.25">
      <c r="B113" s="279">
        <v>45621</v>
      </c>
      <c r="C113" s="280"/>
      <c r="D113" s="280">
        <v>2051</v>
      </c>
      <c r="E113" s="275">
        <f t="shared" ref="E113:E121" si="47">IF(D113="","",D113-D112)</f>
        <v>33</v>
      </c>
      <c r="F113" s="276">
        <f t="shared" si="46"/>
        <v>33000</v>
      </c>
      <c r="G113" s="276"/>
      <c r="H113" s="276"/>
      <c r="I113" s="281"/>
      <c r="J113" s="278"/>
      <c r="K113" s="302"/>
    </row>
    <row r="114" spans="2:11" ht="15" customHeight="1" x14ac:dyDescent="0.25">
      <c r="B114" s="279">
        <v>45627</v>
      </c>
      <c r="C114" s="280"/>
      <c r="D114" s="280">
        <v>2114</v>
      </c>
      <c r="E114" s="275">
        <f t="shared" si="47"/>
        <v>63</v>
      </c>
      <c r="F114" s="276">
        <f t="shared" si="46"/>
        <v>63000</v>
      </c>
      <c r="G114" s="276"/>
      <c r="H114" s="276"/>
      <c r="I114" s="281"/>
      <c r="J114" s="278"/>
      <c r="K114" s="302"/>
    </row>
    <row r="115" spans="2:11" ht="15" customHeight="1" x14ac:dyDescent="0.25">
      <c r="B115" s="279">
        <v>45631</v>
      </c>
      <c r="C115" s="280"/>
      <c r="D115" s="280">
        <v>2115</v>
      </c>
      <c r="E115" s="275">
        <f t="shared" si="47"/>
        <v>1</v>
      </c>
      <c r="F115" s="276">
        <f t="shared" si="46"/>
        <v>1000</v>
      </c>
      <c r="G115" s="276"/>
      <c r="H115" s="276"/>
      <c r="I115" s="281"/>
      <c r="J115" s="278"/>
      <c r="K115" s="282"/>
    </row>
    <row r="116" spans="2:11" ht="15" customHeight="1" x14ac:dyDescent="0.25">
      <c r="B116" s="279">
        <v>45636</v>
      </c>
      <c r="C116" s="280"/>
      <c r="D116" s="280">
        <v>2144</v>
      </c>
      <c r="E116" s="275">
        <f t="shared" si="47"/>
        <v>29</v>
      </c>
      <c r="F116" s="276">
        <f t="shared" si="46"/>
        <v>29000</v>
      </c>
      <c r="G116" s="276"/>
      <c r="H116" s="276"/>
      <c r="I116" s="281"/>
      <c r="J116" s="278"/>
      <c r="K116" s="302"/>
    </row>
    <row r="117" spans="2:11" ht="15" customHeight="1" x14ac:dyDescent="0.25">
      <c r="B117" s="279">
        <v>45639</v>
      </c>
      <c r="C117" s="280"/>
      <c r="D117" s="280">
        <v>2150</v>
      </c>
      <c r="E117" s="275">
        <f t="shared" si="47"/>
        <v>6</v>
      </c>
      <c r="F117" s="276">
        <f t="shared" si="46"/>
        <v>6000</v>
      </c>
      <c r="G117" s="276"/>
      <c r="H117" s="276"/>
      <c r="I117" s="281"/>
      <c r="J117" s="278"/>
      <c r="K117" s="302"/>
    </row>
    <row r="118" spans="2:11" ht="15" customHeight="1" x14ac:dyDescent="0.25">
      <c r="B118" s="279"/>
      <c r="C118" s="280"/>
      <c r="D118" s="280"/>
      <c r="E118" s="275" t="str">
        <f t="shared" si="47"/>
        <v/>
      </c>
      <c r="F118" s="276" t="str">
        <f t="shared" si="46"/>
        <v/>
      </c>
      <c r="G118" s="276"/>
      <c r="H118" s="276"/>
      <c r="I118" s="281"/>
      <c r="J118" s="278"/>
      <c r="K118" s="302"/>
    </row>
    <row r="119" spans="2:11" ht="15" customHeight="1" x14ac:dyDescent="0.25">
      <c r="B119" s="279"/>
      <c r="C119" s="280"/>
      <c r="D119" s="283"/>
      <c r="E119" s="284" t="str">
        <f t="shared" si="47"/>
        <v/>
      </c>
      <c r="F119" s="276" t="str">
        <f t="shared" si="46"/>
        <v/>
      </c>
      <c r="G119" s="285"/>
      <c r="H119" s="285"/>
      <c r="I119" s="286"/>
      <c r="J119" s="287"/>
      <c r="K119" s="304"/>
    </row>
    <row r="120" spans="2:11" ht="15" customHeight="1" x14ac:dyDescent="0.25">
      <c r="B120" s="279"/>
      <c r="C120" s="280"/>
      <c r="D120" s="283"/>
      <c r="E120" s="284" t="str">
        <f t="shared" si="47"/>
        <v/>
      </c>
      <c r="F120" s="276" t="str">
        <f t="shared" si="46"/>
        <v/>
      </c>
      <c r="G120" s="285"/>
      <c r="H120" s="285"/>
      <c r="I120" s="286"/>
      <c r="J120" s="287"/>
      <c r="K120" s="304"/>
    </row>
    <row r="121" spans="2:11" ht="15" customHeight="1" x14ac:dyDescent="0.25">
      <c r="B121" s="279"/>
      <c r="C121" s="280"/>
      <c r="D121" s="280"/>
      <c r="E121" s="280" t="str">
        <f t="shared" si="47"/>
        <v/>
      </c>
      <c r="F121" s="276" t="str">
        <f t="shared" si="46"/>
        <v/>
      </c>
      <c r="G121" s="288"/>
      <c r="H121" s="288"/>
      <c r="I121" s="289"/>
      <c r="J121" s="290"/>
      <c r="K121" s="305"/>
    </row>
    <row r="122" spans="2:11" ht="15" customHeight="1" thickBot="1" x14ac:dyDescent="0.3">
      <c r="B122" s="291"/>
      <c r="C122" s="292"/>
      <c r="D122" s="293"/>
      <c r="E122" s="293">
        <f>SUM(E112:E121)</f>
        <v>234</v>
      </c>
      <c r="F122" s="293">
        <f>SUM(F112:F121)</f>
        <v>234000</v>
      </c>
      <c r="G122" s="293"/>
      <c r="H122" s="293"/>
      <c r="I122" s="293"/>
      <c r="J122" s="294"/>
      <c r="K122" s="295"/>
    </row>
    <row r="124" spans="2:11" ht="15" customHeight="1" x14ac:dyDescent="0.25">
      <c r="B124" s="272" t="s">
        <v>167</v>
      </c>
      <c r="C124" s="301"/>
      <c r="D124" s="301"/>
      <c r="E124" s="301"/>
      <c r="F124" s="301"/>
      <c r="G124" s="301"/>
      <c r="H124" s="301"/>
      <c r="I124" s="301"/>
      <c r="J124" s="266"/>
      <c r="K124" s="301"/>
    </row>
    <row r="125" spans="2:11" ht="15" customHeight="1" x14ac:dyDescent="0.2">
      <c r="B125" s="273" t="s">
        <v>169</v>
      </c>
      <c r="C125" s="268"/>
      <c r="D125" s="268" t="s">
        <v>170</v>
      </c>
      <c r="E125" s="268" t="s">
        <v>171</v>
      </c>
      <c r="F125" s="268" t="s">
        <v>172</v>
      </c>
      <c r="G125" s="268"/>
      <c r="H125" s="268"/>
      <c r="I125" s="269"/>
      <c r="J125" s="270"/>
      <c r="K125" s="270" t="s">
        <v>173</v>
      </c>
    </row>
    <row r="126" spans="2:11" ht="15" customHeight="1" x14ac:dyDescent="0.25">
      <c r="B126" s="274">
        <v>45642</v>
      </c>
      <c r="C126" s="275"/>
      <c r="D126" s="275">
        <v>2179</v>
      </c>
      <c r="E126" s="275">
        <f>IF(D126="","",D126-D117)</f>
        <v>29</v>
      </c>
      <c r="F126" s="276">
        <f t="shared" ref="F126:F135" si="48">IF(D126="","",E126*1000)</f>
        <v>29000</v>
      </c>
      <c r="G126" s="276"/>
      <c r="H126" s="276"/>
      <c r="I126" s="277"/>
      <c r="J126" s="278"/>
      <c r="K126" s="302"/>
    </row>
    <row r="127" spans="2:11" ht="15" customHeight="1" x14ac:dyDescent="0.25">
      <c r="B127" s="279">
        <v>45651</v>
      </c>
      <c r="C127" s="280"/>
      <c r="D127" s="280">
        <v>2260</v>
      </c>
      <c r="E127" s="275">
        <f t="shared" ref="E127:E135" si="49">IF(D127="","",D127-D126)</f>
        <v>81</v>
      </c>
      <c r="F127" s="276">
        <f t="shared" si="48"/>
        <v>81000</v>
      </c>
      <c r="G127" s="276"/>
      <c r="H127" s="276"/>
      <c r="I127" s="281"/>
      <c r="J127" s="278"/>
      <c r="K127" s="302"/>
    </row>
    <row r="128" spans="2:11" ht="15" customHeight="1" x14ac:dyDescent="0.25">
      <c r="B128" s="279">
        <v>45657</v>
      </c>
      <c r="C128" s="280"/>
      <c r="D128" s="280">
        <v>2371</v>
      </c>
      <c r="E128" s="275">
        <f t="shared" si="49"/>
        <v>111</v>
      </c>
      <c r="F128" s="276">
        <f t="shared" si="48"/>
        <v>111000</v>
      </c>
      <c r="G128" s="276"/>
      <c r="H128" s="276"/>
      <c r="I128" s="281"/>
      <c r="J128" s="278"/>
      <c r="K128" s="302"/>
    </row>
    <row r="129" spans="2:11" ht="15" customHeight="1" x14ac:dyDescent="0.25">
      <c r="B129" s="279">
        <v>45659</v>
      </c>
      <c r="C129" s="280"/>
      <c r="D129" s="280">
        <v>2394</v>
      </c>
      <c r="E129" s="275">
        <f t="shared" si="49"/>
        <v>23</v>
      </c>
      <c r="F129" s="276">
        <f t="shared" si="48"/>
        <v>23000</v>
      </c>
      <c r="G129" s="276"/>
      <c r="H129" s="276"/>
      <c r="I129" s="281"/>
      <c r="J129" s="278"/>
      <c r="K129" s="282"/>
    </row>
    <row r="130" spans="2:11" ht="15" customHeight="1" x14ac:dyDescent="0.25">
      <c r="B130" s="279">
        <v>45662</v>
      </c>
      <c r="C130" s="280"/>
      <c r="D130" s="280">
        <v>2440</v>
      </c>
      <c r="E130" s="275">
        <f t="shared" si="49"/>
        <v>46</v>
      </c>
      <c r="F130" s="276">
        <f t="shared" si="48"/>
        <v>46000</v>
      </c>
      <c r="G130" s="276"/>
      <c r="H130" s="276"/>
      <c r="I130" s="281"/>
      <c r="J130" s="278"/>
      <c r="K130" s="302"/>
    </row>
    <row r="131" spans="2:11" ht="15" customHeight="1" x14ac:dyDescent="0.25">
      <c r="B131" s="279">
        <v>45665</v>
      </c>
      <c r="C131" s="280"/>
      <c r="D131" s="280">
        <v>2473</v>
      </c>
      <c r="E131" s="275">
        <f t="shared" si="49"/>
        <v>33</v>
      </c>
      <c r="F131" s="276">
        <f t="shared" si="48"/>
        <v>33000</v>
      </c>
      <c r="G131" s="276"/>
      <c r="H131" s="276"/>
      <c r="I131" s="281"/>
      <c r="J131" s="278"/>
      <c r="K131" s="302"/>
    </row>
    <row r="132" spans="2:11" ht="15" customHeight="1" x14ac:dyDescent="0.25">
      <c r="B132" s="279">
        <v>45669</v>
      </c>
      <c r="C132" s="280"/>
      <c r="D132" s="280">
        <v>2485</v>
      </c>
      <c r="E132" s="275">
        <f t="shared" si="49"/>
        <v>12</v>
      </c>
      <c r="F132" s="276">
        <f t="shared" si="48"/>
        <v>12000</v>
      </c>
      <c r="G132" s="276"/>
      <c r="H132" s="276"/>
      <c r="I132" s="281"/>
      <c r="J132" s="278"/>
      <c r="K132" s="302"/>
    </row>
    <row r="133" spans="2:11" ht="15" customHeight="1" x14ac:dyDescent="0.25">
      <c r="B133" s="279">
        <v>45671</v>
      </c>
      <c r="C133" s="280"/>
      <c r="D133" s="283">
        <v>2520</v>
      </c>
      <c r="E133" s="284">
        <f t="shared" si="49"/>
        <v>35</v>
      </c>
      <c r="F133" s="276">
        <f t="shared" si="48"/>
        <v>35000</v>
      </c>
      <c r="G133" s="285"/>
      <c r="H133" s="285"/>
      <c r="I133" s="286"/>
      <c r="J133" s="287"/>
      <c r="K133" s="304"/>
    </row>
    <row r="134" spans="2:11" ht="15" customHeight="1" x14ac:dyDescent="0.25">
      <c r="B134" s="279"/>
      <c r="C134" s="280"/>
      <c r="D134" s="283"/>
      <c r="E134" s="284" t="str">
        <f t="shared" si="49"/>
        <v/>
      </c>
      <c r="F134" s="276" t="str">
        <f t="shared" si="48"/>
        <v/>
      </c>
      <c r="G134" s="285"/>
      <c r="H134" s="285"/>
      <c r="I134" s="286"/>
      <c r="J134" s="287"/>
      <c r="K134" s="304"/>
    </row>
    <row r="135" spans="2:11" ht="15" customHeight="1" x14ac:dyDescent="0.25">
      <c r="B135" s="279"/>
      <c r="C135" s="280"/>
      <c r="D135" s="280"/>
      <c r="E135" s="280" t="str">
        <f t="shared" si="49"/>
        <v/>
      </c>
      <c r="F135" s="276" t="str">
        <f t="shared" si="48"/>
        <v/>
      </c>
      <c r="G135" s="288"/>
      <c r="H135" s="288"/>
      <c r="I135" s="289"/>
      <c r="J135" s="290"/>
      <c r="K135" s="305"/>
    </row>
    <row r="136" spans="2:11" ht="15" customHeight="1" x14ac:dyDescent="0.25">
      <c r="B136" s="291"/>
      <c r="C136" s="292"/>
      <c r="D136" s="293"/>
      <c r="E136" s="293">
        <f>SUM(E126:E135)</f>
        <v>370</v>
      </c>
      <c r="F136" s="293">
        <f>SUM(F126:F135)</f>
        <v>370000</v>
      </c>
      <c r="G136" s="293"/>
      <c r="H136" s="293"/>
      <c r="I136" s="293"/>
      <c r="J136" s="294"/>
      <c r="K136" s="295"/>
    </row>
    <row r="138" spans="2:11" ht="15" customHeight="1" thickBot="1" x14ac:dyDescent="0.3">
      <c r="B138" s="272" t="s">
        <v>167</v>
      </c>
      <c r="C138" s="738"/>
      <c r="D138" s="738"/>
      <c r="E138" s="738"/>
      <c r="F138" s="738"/>
      <c r="G138" s="738"/>
      <c r="H138" s="738"/>
      <c r="I138" s="738"/>
      <c r="J138" s="266"/>
      <c r="K138" s="738"/>
    </row>
    <row r="139" spans="2:11" ht="15" customHeight="1" thickBot="1" x14ac:dyDescent="0.25">
      <c r="B139" s="273" t="s">
        <v>169</v>
      </c>
      <c r="C139" s="268"/>
      <c r="D139" s="268" t="s">
        <v>170</v>
      </c>
      <c r="E139" s="268" t="s">
        <v>171</v>
      </c>
      <c r="F139" s="268" t="s">
        <v>172</v>
      </c>
      <c r="G139" s="268"/>
      <c r="H139" s="268"/>
      <c r="I139" s="269"/>
      <c r="J139" s="270"/>
      <c r="K139" s="270" t="s">
        <v>173</v>
      </c>
    </row>
    <row r="140" spans="2:11" ht="15" customHeight="1" x14ac:dyDescent="0.25">
      <c r="B140" s="274"/>
      <c r="C140" s="275"/>
      <c r="D140" s="275"/>
      <c r="E140" s="275" t="str">
        <f>IF(D140="","",D140-D131)</f>
        <v/>
      </c>
      <c r="F140" s="276" t="str">
        <f>IF(D140="","",E140*1000)</f>
        <v/>
      </c>
      <c r="G140" s="276"/>
      <c r="H140" s="276"/>
      <c r="I140" s="277"/>
      <c r="J140" s="278"/>
      <c r="K140" s="302"/>
    </row>
    <row r="141" spans="2:11" ht="15" customHeight="1" x14ac:dyDescent="0.25">
      <c r="B141" s="279"/>
      <c r="C141" s="280"/>
      <c r="D141" s="280"/>
      <c r="E141" s="275" t="str">
        <f>IF(D141="","",D141-D140)</f>
        <v/>
      </c>
      <c r="F141" s="276" t="str">
        <f>IF(D141="","",E141*1000)</f>
        <v/>
      </c>
      <c r="G141" s="276"/>
      <c r="H141" s="276"/>
      <c r="I141" s="281"/>
      <c r="J141" s="278"/>
      <c r="K141" s="302"/>
    </row>
    <row r="142" spans="2:11" ht="15" customHeight="1" x14ac:dyDescent="0.25">
      <c r="B142" s="279"/>
      <c r="C142" s="280"/>
      <c r="D142" s="280"/>
      <c r="E142" s="275" t="str">
        <f>IF(D142="","",D142-D141)</f>
        <v/>
      </c>
      <c r="F142" s="276" t="str">
        <f>IF(D142="","",E142*1000)</f>
        <v/>
      </c>
      <c r="G142" s="276"/>
      <c r="H142" s="276"/>
      <c r="I142" s="281"/>
      <c r="J142" s="278"/>
      <c r="K142" s="302"/>
    </row>
    <row r="143" spans="2:11" ht="15" customHeight="1" x14ac:dyDescent="0.25">
      <c r="B143" s="279"/>
      <c r="C143" s="280"/>
      <c r="D143" s="280"/>
      <c r="E143" s="275" t="str">
        <f>IF(D143="","",D143-D142)</f>
        <v/>
      </c>
      <c r="F143" s="276" t="str">
        <f>IF(D143="","",E143*1000)</f>
        <v/>
      </c>
      <c r="G143" s="276"/>
      <c r="H143" s="276"/>
      <c r="I143" s="281"/>
      <c r="J143" s="278"/>
      <c r="K143" s="282"/>
    </row>
    <row r="144" spans="2:11" ht="15" customHeight="1" x14ac:dyDescent="0.25">
      <c r="B144" s="279"/>
      <c r="C144" s="280"/>
      <c r="D144" s="280"/>
      <c r="E144" s="275" t="str">
        <f>IF(D144="","",D144-D143)</f>
        <v/>
      </c>
      <c r="F144" s="276" t="str">
        <f>IF(D144="","",E144*1000)</f>
        <v/>
      </c>
      <c r="G144" s="276"/>
      <c r="H144" s="276"/>
      <c r="I144" s="281"/>
      <c r="J144" s="278"/>
      <c r="K144" s="302"/>
    </row>
    <row r="145" spans="2:11" ht="15" customHeight="1" x14ac:dyDescent="0.25">
      <c r="B145" s="279"/>
      <c r="C145" s="280"/>
      <c r="D145" s="280"/>
      <c r="E145" s="275" t="str">
        <f>IF(D145="","",D145-D144)</f>
        <v/>
      </c>
      <c r="F145" s="276" t="str">
        <f>IF(D145="","",E145*1000)</f>
        <v/>
      </c>
      <c r="G145" s="276"/>
      <c r="H145" s="276"/>
      <c r="I145" s="281"/>
      <c r="J145" s="278"/>
      <c r="K145" s="302"/>
    </row>
    <row r="146" spans="2:11" ht="15" customHeight="1" x14ac:dyDescent="0.25">
      <c r="B146" s="279"/>
      <c r="C146" s="280"/>
      <c r="D146" s="280"/>
      <c r="E146" s="275" t="str">
        <f>IF(D146="","",D146-D145)</f>
        <v/>
      </c>
      <c r="F146" s="276" t="str">
        <f>IF(D146="","",E146*1000)</f>
        <v/>
      </c>
      <c r="G146" s="276"/>
      <c r="H146" s="276"/>
      <c r="I146" s="281"/>
      <c r="J146" s="278"/>
      <c r="K146" s="302"/>
    </row>
    <row r="147" spans="2:11" ht="15" customHeight="1" x14ac:dyDescent="0.25">
      <c r="B147" s="279"/>
      <c r="C147" s="280"/>
      <c r="D147" s="283"/>
      <c r="E147" s="284" t="str">
        <f>IF(D147="","",D147-D146)</f>
        <v/>
      </c>
      <c r="F147" s="276" t="str">
        <f>IF(D147="","",E147*1000)</f>
        <v/>
      </c>
      <c r="G147" s="285"/>
      <c r="H147" s="285"/>
      <c r="I147" s="286"/>
      <c r="J147" s="287"/>
      <c r="K147" s="304"/>
    </row>
    <row r="148" spans="2:11" ht="15" customHeight="1" x14ac:dyDescent="0.25">
      <c r="B148" s="279"/>
      <c r="C148" s="280"/>
      <c r="D148" s="283"/>
      <c r="E148" s="284" t="str">
        <f>IF(D148="","",D148-D147)</f>
        <v/>
      </c>
      <c r="F148" s="276" t="str">
        <f>IF(D148="","",E148*1000)</f>
        <v/>
      </c>
      <c r="G148" s="285"/>
      <c r="H148" s="285"/>
      <c r="I148" s="286"/>
      <c r="J148" s="287"/>
      <c r="K148" s="304"/>
    </row>
    <row r="149" spans="2:11" ht="15" customHeight="1" x14ac:dyDescent="0.25">
      <c r="B149" s="279"/>
      <c r="C149" s="280"/>
      <c r="D149" s="280"/>
      <c r="E149" s="280" t="str">
        <f>IF(D149="","",D149-D148)</f>
        <v/>
      </c>
      <c r="F149" s="276" t="str">
        <f>IF(D149="","",E149*1000)</f>
        <v/>
      </c>
      <c r="G149" s="288"/>
      <c r="H149" s="288"/>
      <c r="I149" s="289"/>
      <c r="J149" s="290"/>
      <c r="K149" s="305"/>
    </row>
    <row r="150" spans="2:11" ht="15" customHeight="1" thickBot="1" x14ac:dyDescent="0.3">
      <c r="B150" s="291"/>
      <c r="C150" s="292"/>
      <c r="D150" s="293"/>
      <c r="E150" s="293">
        <f>SUM(E140:E149)</f>
        <v>0</v>
      </c>
      <c r="F150" s="293">
        <f>SUM(F140:F149)</f>
        <v>0</v>
      </c>
      <c r="G150" s="293"/>
      <c r="H150" s="293"/>
      <c r="I150" s="293"/>
      <c r="J150" s="294"/>
      <c r="K150" s="295"/>
    </row>
  </sheetData>
  <mergeCells count="1">
    <mergeCell ref="C1:F1"/>
  </mergeCells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pageSetUpPr fitToPage="1"/>
  </sheetPr>
  <dimension ref="A1:AI17"/>
  <sheetViews>
    <sheetView workbookViewId="0">
      <pane ySplit="1" topLeftCell="A125" activePane="bottomLeft" state="frozen"/>
      <selection pane="bottomLeft" activeCell="AB141" sqref="AB141"/>
    </sheetView>
  </sheetViews>
  <sheetFormatPr defaultColWidth="14.390625" defaultRowHeight="15" customHeight="1" x14ac:dyDescent="0.2"/>
  <cols>
    <col min="1" max="1" width="4.3046875" style="265" customWidth="1"/>
    <col min="2" max="2" width="9.01171875" style="265" customWidth="1"/>
    <col min="3" max="3" width="0.671875" style="265" customWidth="1"/>
    <col min="4" max="4" width="12.64453125" style="265" customWidth="1"/>
    <col min="5" max="5" width="9.28125" style="265" customWidth="1"/>
    <col min="6" max="6" width="12.64453125" style="265" customWidth="1"/>
    <col min="7" max="10" width="0.265625" style="265" customWidth="1"/>
    <col min="11" max="11" width="12.64453125" style="265" customWidth="1"/>
    <col min="12" max="12" width="2.41796875" style="265" customWidth="1"/>
    <col min="13" max="13" width="8.47265625" style="265" customWidth="1"/>
    <col min="14" max="14" width="0.53515625" style="265" customWidth="1"/>
    <col min="15" max="15" width="13.046875" style="265" customWidth="1"/>
    <col min="16" max="16" width="9.28125" style="265" customWidth="1"/>
    <col min="17" max="17" width="14.125" style="265" customWidth="1"/>
    <col min="18" max="21" width="0.671875" style="265" customWidth="1"/>
    <col min="22" max="22" width="19.50390625" style="265" customWidth="1"/>
    <col min="23" max="23" width="4.03515625" style="265" customWidth="1"/>
    <col min="24" max="24" width="8.47265625" style="265" customWidth="1"/>
    <col min="25" max="25" width="0.265625" style="265" customWidth="1"/>
    <col min="26" max="26" width="13.046875" style="265" customWidth="1"/>
    <col min="27" max="27" width="9.28125" style="265" customWidth="1"/>
    <col min="28" max="28" width="14.125" style="265" customWidth="1"/>
    <col min="29" max="32" width="0.671875" style="265" customWidth="1"/>
    <col min="33" max="33" width="19.37109375" style="265" customWidth="1"/>
    <col min="34" max="34" width="1.8828125" style="265" customWidth="1"/>
    <col min="35" max="35" width="11.8359375" style="265" bestFit="1" customWidth="1"/>
    <col min="36" max="16384" width="14.390625" style="265"/>
  </cols>
  <sheetData>
    <row r="1" spans="1:35" ht="15" customHeight="1" x14ac:dyDescent="0.25">
      <c r="A1" s="235"/>
      <c r="B1" s="332" t="s">
        <v>109</v>
      </c>
      <c r="C1" s="740"/>
      <c r="D1" s="740"/>
      <c r="E1" s="740"/>
      <c r="F1" s="740"/>
      <c r="G1" s="740"/>
      <c r="H1" s="740"/>
      <c r="I1" s="740"/>
      <c r="J1" s="320"/>
      <c r="K1" s="740"/>
      <c r="L1" s="235"/>
      <c r="M1" s="332" t="s">
        <v>108</v>
      </c>
      <c r="N1" s="740"/>
      <c r="O1" s="740"/>
      <c r="P1" s="740"/>
      <c r="Q1" s="740"/>
      <c r="R1" s="740"/>
      <c r="S1" s="740"/>
      <c r="T1" s="740"/>
      <c r="U1" s="320"/>
      <c r="V1" s="741"/>
      <c r="W1" s="740"/>
      <c r="X1" s="332" t="s">
        <v>108</v>
      </c>
      <c r="Y1" s="740"/>
      <c r="Z1" s="740"/>
      <c r="AA1" s="740"/>
      <c r="AB1" s="740"/>
      <c r="AC1" s="740"/>
      <c r="AD1" s="740"/>
      <c r="AE1" s="740"/>
      <c r="AF1" s="320"/>
      <c r="AG1" s="741"/>
      <c r="AH1" s="740"/>
      <c r="AI1" s="235"/>
    </row>
    <row r="2" spans="1:35" ht="15" customHeight="1" x14ac:dyDescent="0.2">
      <c r="A2" s="235"/>
      <c r="B2" s="325" t="s">
        <v>114</v>
      </c>
      <c r="C2" s="325"/>
      <c r="D2" s="325" t="s">
        <v>115</v>
      </c>
      <c r="E2" s="325" t="s">
        <v>116</v>
      </c>
      <c r="F2" s="325" t="s">
        <v>117</v>
      </c>
      <c r="G2" s="325"/>
      <c r="H2" s="325"/>
      <c r="I2" s="325"/>
      <c r="J2" s="325"/>
      <c r="K2" s="325" t="s">
        <v>119</v>
      </c>
      <c r="L2" s="235"/>
      <c r="M2" s="645" t="s">
        <v>114</v>
      </c>
      <c r="N2" s="644"/>
      <c r="O2" s="646" t="s">
        <v>115</v>
      </c>
      <c r="P2" s="325" t="s">
        <v>116</v>
      </c>
      <c r="Q2" s="325" t="s">
        <v>117</v>
      </c>
      <c r="R2" s="325"/>
      <c r="S2" s="325"/>
      <c r="T2" s="325"/>
      <c r="U2" s="325"/>
      <c r="V2" s="326" t="s">
        <v>118</v>
      </c>
      <c r="W2" s="740"/>
      <c r="X2" s="645" t="s">
        <v>114</v>
      </c>
      <c r="Y2" s="644"/>
      <c r="Z2" s="646" t="s">
        <v>115</v>
      </c>
      <c r="AA2" s="325" t="s">
        <v>116</v>
      </c>
      <c r="AB2" s="325" t="s">
        <v>117</v>
      </c>
      <c r="AC2" s="325"/>
      <c r="AD2" s="325"/>
      <c r="AE2" s="325"/>
      <c r="AF2" s="325"/>
      <c r="AG2" s="326" t="s">
        <v>118</v>
      </c>
      <c r="AH2" s="740"/>
      <c r="AI2" s="235"/>
    </row>
    <row r="3" spans="1:35" ht="15" customHeight="1" x14ac:dyDescent="0.25">
      <c r="A3" s="235"/>
      <c r="B3" s="333">
        <v>46132</v>
      </c>
      <c r="C3" s="327"/>
      <c r="D3" s="327">
        <v>24491</v>
      </c>
      <c r="E3" s="327">
        <v>26</v>
      </c>
      <c r="F3" s="328">
        <f>IF(D3="","",E3*1000)</f>
        <v>26000</v>
      </c>
      <c r="G3" s="328"/>
      <c r="H3" s="328"/>
      <c r="I3" s="329"/>
      <c r="J3" s="329"/>
      <c r="K3" s="331"/>
      <c r="L3" s="235"/>
      <c r="M3" s="333">
        <f>+B3</f>
        <v>46132</v>
      </c>
      <c r="N3" s="336"/>
      <c r="O3" s="327">
        <v>5061</v>
      </c>
      <c r="P3" s="327">
        <v>35</v>
      </c>
      <c r="Q3" s="328">
        <f>IF(O3="","",P3*100)</f>
        <v>3500</v>
      </c>
      <c r="R3" s="328"/>
      <c r="S3" s="328"/>
      <c r="T3" s="329"/>
      <c r="U3" s="329"/>
      <c r="V3" s="330"/>
      <c r="W3" s="323"/>
      <c r="X3" s="333">
        <f>+B3</f>
        <v>46132</v>
      </c>
      <c r="Y3" s="336"/>
      <c r="Z3" s="327">
        <v>6160</v>
      </c>
      <c r="AA3" s="327">
        <v>15</v>
      </c>
      <c r="AB3" s="328">
        <f>IF(Z3="","",AA3*100)</f>
        <v>1500</v>
      </c>
      <c r="AC3" s="328"/>
      <c r="AD3" s="328"/>
      <c r="AE3" s="329"/>
      <c r="AF3" s="329"/>
      <c r="AG3" s="330"/>
      <c r="AH3" s="323"/>
      <c r="AI3" s="235"/>
    </row>
    <row r="4" spans="1:35" ht="15" customHeight="1" x14ac:dyDescent="0.25">
      <c r="A4" s="235"/>
      <c r="B4" s="333">
        <v>46136</v>
      </c>
      <c r="C4" s="327"/>
      <c r="D4" s="327">
        <v>24511</v>
      </c>
      <c r="E4" s="327">
        <f>IF(D4="","",D4-D3)</f>
        <v>20</v>
      </c>
      <c r="F4" s="328">
        <f>IF(D4="","",E4*1000)</f>
        <v>20000</v>
      </c>
      <c r="G4" s="328"/>
      <c r="H4" s="328"/>
      <c r="I4" s="329"/>
      <c r="J4" s="329"/>
      <c r="K4" s="331"/>
      <c r="L4" s="235"/>
      <c r="M4" s="333">
        <f>+B4</f>
        <v>46136</v>
      </c>
      <c r="N4" s="327"/>
      <c r="O4" s="327">
        <v>5061</v>
      </c>
      <c r="P4" s="327">
        <f>IF(O4="","",O4-O3)</f>
        <v>0</v>
      </c>
      <c r="Q4" s="328">
        <f>IF(O4="","",P4*100)</f>
        <v>0</v>
      </c>
      <c r="R4" s="328"/>
      <c r="S4" s="328"/>
      <c r="T4" s="329"/>
      <c r="U4" s="329"/>
      <c r="V4" s="330"/>
      <c r="W4" s="323"/>
      <c r="X4" s="333">
        <f>+B4</f>
        <v>46136</v>
      </c>
      <c r="Y4" s="327"/>
      <c r="Z4" s="327">
        <v>6180</v>
      </c>
      <c r="AA4" s="327">
        <f>IF(Z4="","",Z4-Z3)</f>
        <v>20</v>
      </c>
      <c r="AB4" s="328">
        <f>IF(Z4="","",AA4*100)</f>
        <v>2000</v>
      </c>
      <c r="AC4" s="328"/>
      <c r="AD4" s="328"/>
      <c r="AE4" s="329"/>
      <c r="AF4" s="329"/>
      <c r="AG4" s="330"/>
      <c r="AH4" s="323"/>
      <c r="AI4" s="235"/>
    </row>
    <row r="5" spans="1:35" ht="15" customHeight="1" x14ac:dyDescent="0.25">
      <c r="A5" s="235"/>
      <c r="B5" s="333"/>
      <c r="C5" s="327"/>
      <c r="D5" s="327">
        <v>24543</v>
      </c>
      <c r="E5" s="327">
        <f>IF(D5="","",D5-D4)</f>
        <v>32</v>
      </c>
      <c r="F5" s="328">
        <f>IF(D5="","",E5*1000)</f>
        <v>32000</v>
      </c>
      <c r="G5" s="328"/>
      <c r="H5" s="328"/>
      <c r="I5" s="329"/>
      <c r="J5" s="329"/>
      <c r="K5" s="331"/>
      <c r="L5" s="235"/>
      <c r="M5" s="333"/>
      <c r="N5" s="336"/>
      <c r="O5" s="327">
        <v>5076</v>
      </c>
      <c r="P5" s="327">
        <f>IF(O5="","",O5-O4)</f>
        <v>15</v>
      </c>
      <c r="Q5" s="328">
        <f>IF(O5="","",P5*100)</f>
        <v>1500</v>
      </c>
      <c r="R5" s="328"/>
      <c r="S5" s="328"/>
      <c r="T5" s="329"/>
      <c r="U5" s="329"/>
      <c r="V5" s="330"/>
      <c r="W5" s="323"/>
      <c r="X5" s="333"/>
      <c r="Y5" s="336"/>
      <c r="Z5" s="327">
        <v>6195</v>
      </c>
      <c r="AA5" s="327">
        <f>IF(Z5="","",Z5-Z4)</f>
        <v>15</v>
      </c>
      <c r="AB5" s="328">
        <f>IF(Z5="","",AA5*100)</f>
        <v>1500</v>
      </c>
      <c r="AC5" s="328"/>
      <c r="AD5" s="328"/>
      <c r="AE5" s="329"/>
      <c r="AF5" s="329"/>
      <c r="AG5" s="330"/>
      <c r="AH5" s="323"/>
      <c r="AI5" s="235"/>
    </row>
    <row r="6" spans="1:35" ht="15" customHeight="1" x14ac:dyDescent="0.25">
      <c r="A6" s="235"/>
      <c r="B6" s="333"/>
      <c r="C6" s="327"/>
      <c r="D6" s="327">
        <v>24563</v>
      </c>
      <c r="E6" s="327">
        <f>IF(D6="","",D6-D5)</f>
        <v>20</v>
      </c>
      <c r="F6" s="328">
        <f>IF(D6="","",E6*1000)</f>
        <v>20000</v>
      </c>
      <c r="G6" s="328"/>
      <c r="H6" s="328"/>
      <c r="I6" s="329"/>
      <c r="J6" s="329"/>
      <c r="K6" s="331"/>
      <c r="L6" s="235"/>
      <c r="M6" s="333"/>
      <c r="N6" s="327"/>
      <c r="O6" s="327">
        <v>5101</v>
      </c>
      <c r="P6" s="327">
        <f>IF(O6="","",O6-O5)</f>
        <v>25</v>
      </c>
      <c r="Q6" s="328">
        <f>IF(O6="","",P6*100)</f>
        <v>2500</v>
      </c>
      <c r="R6" s="328"/>
      <c r="S6" s="328"/>
      <c r="T6" s="329"/>
      <c r="U6" s="329"/>
      <c r="V6" s="330"/>
      <c r="W6" s="323"/>
      <c r="X6" s="333"/>
      <c r="Y6" s="327"/>
      <c r="Z6" s="327">
        <v>6210</v>
      </c>
      <c r="AA6" s="327">
        <f>IF(Z6="","",Z6-Z5)</f>
        <v>15</v>
      </c>
      <c r="AB6" s="328">
        <f>IF(Z6="","",AA6*100)</f>
        <v>1500</v>
      </c>
      <c r="AC6" s="328"/>
      <c r="AD6" s="328"/>
      <c r="AE6" s="329"/>
      <c r="AF6" s="329"/>
      <c r="AG6" s="330"/>
      <c r="AH6" s="323"/>
      <c r="AI6" s="235"/>
    </row>
    <row r="7" spans="1:35" ht="15" customHeight="1" x14ac:dyDescent="0.25">
      <c r="A7" s="235"/>
      <c r="B7" s="333"/>
      <c r="C7" s="327"/>
      <c r="D7" s="327">
        <v>24617</v>
      </c>
      <c r="E7" s="327">
        <f>IF(D7="","",D7-D6)</f>
        <v>54</v>
      </c>
      <c r="F7" s="328">
        <f>IF(D7="","",E7*1000)</f>
        <v>54000</v>
      </c>
      <c r="G7" s="328"/>
      <c r="H7" s="328"/>
      <c r="I7" s="329"/>
      <c r="J7" s="329"/>
      <c r="K7" s="331"/>
      <c r="L7" s="235"/>
      <c r="M7" s="333"/>
      <c r="N7" s="336"/>
      <c r="O7" s="327">
        <v>5146</v>
      </c>
      <c r="P7" s="327">
        <f>IF(O7="","",O7-O6)</f>
        <v>45</v>
      </c>
      <c r="Q7" s="328">
        <f>IF(O7="","",P7*100)</f>
        <v>4500</v>
      </c>
      <c r="R7" s="328"/>
      <c r="S7" s="328"/>
      <c r="T7" s="329"/>
      <c r="U7" s="329"/>
      <c r="V7" s="330"/>
      <c r="W7" s="740"/>
      <c r="X7" s="333"/>
      <c r="Y7" s="336"/>
      <c r="Z7" s="327">
        <v>6265</v>
      </c>
      <c r="AA7" s="327">
        <f>IF(Z7="","",Z7-Z6)</f>
        <v>55</v>
      </c>
      <c r="AB7" s="328">
        <f>IF(Z7="","",AA7*100)</f>
        <v>5500</v>
      </c>
      <c r="AC7" s="328"/>
      <c r="AD7" s="328"/>
      <c r="AE7" s="329"/>
      <c r="AF7" s="329"/>
      <c r="AG7" s="330"/>
      <c r="AH7" s="740"/>
      <c r="AI7" s="235"/>
    </row>
    <row r="8" spans="1:35" ht="15" customHeight="1" thickBot="1" x14ac:dyDescent="0.3">
      <c r="A8" s="235"/>
      <c r="B8" s="743"/>
      <c r="C8" s="744"/>
      <c r="D8" s="744">
        <v>24649</v>
      </c>
      <c r="E8" s="744">
        <f>IF(D8="","",D8-D7)</f>
        <v>32</v>
      </c>
      <c r="F8" s="745">
        <f>IF(D8="","",E8*1000)</f>
        <v>32000</v>
      </c>
      <c r="G8" s="745"/>
      <c r="H8" s="745"/>
      <c r="I8" s="746"/>
      <c r="J8" s="746"/>
      <c r="K8" s="748"/>
      <c r="L8" s="235"/>
      <c r="M8" s="743"/>
      <c r="N8" s="744"/>
      <c r="O8" s="744">
        <v>5161</v>
      </c>
      <c r="P8" s="744">
        <f>IF(O8="","",O8-O7)</f>
        <v>15</v>
      </c>
      <c r="Q8" s="745">
        <f>IF(O8="","",P8*100)</f>
        <v>1500</v>
      </c>
      <c r="R8" s="745"/>
      <c r="S8" s="745"/>
      <c r="T8" s="746"/>
      <c r="U8" s="746"/>
      <c r="V8" s="747"/>
      <c r="W8" s="740"/>
      <c r="X8" s="743"/>
      <c r="Y8" s="744"/>
      <c r="Z8" s="744">
        <v>6280</v>
      </c>
      <c r="AA8" s="744">
        <f>IF(Z8="","",Z8-Z7)</f>
        <v>15</v>
      </c>
      <c r="AB8" s="745">
        <f>IF(Z8="","",AA8*100)</f>
        <v>1500</v>
      </c>
      <c r="AC8" s="745"/>
      <c r="AD8" s="745"/>
      <c r="AE8" s="746"/>
      <c r="AF8" s="746"/>
      <c r="AG8" s="747"/>
      <c r="AH8" s="740"/>
      <c r="AI8" s="235"/>
    </row>
    <row r="9" spans="1:35" ht="15" customHeight="1" thickBot="1" x14ac:dyDescent="0.25">
      <c r="A9" s="742"/>
      <c r="B9" s="754"/>
      <c r="C9" s="755"/>
      <c r="D9" s="755"/>
      <c r="E9" s="755">
        <f>SUM(E3:E8)</f>
        <v>184</v>
      </c>
      <c r="F9" s="753">
        <f>SUM(F3:F8)</f>
        <v>184000</v>
      </c>
      <c r="G9" s="755"/>
      <c r="H9" s="755"/>
      <c r="I9" s="755"/>
      <c r="J9" s="755"/>
      <c r="K9" s="756"/>
      <c r="L9" s="737"/>
      <c r="M9" s="749"/>
      <c r="N9" s="750"/>
      <c r="O9" s="750"/>
      <c r="P9" s="750">
        <f>SUM(P3:P8)</f>
        <v>135</v>
      </c>
      <c r="Q9" s="751">
        <f>SUM(Q3:Q8)</f>
        <v>13500</v>
      </c>
      <c r="R9" s="750"/>
      <c r="S9" s="750"/>
      <c r="T9" s="750"/>
      <c r="U9" s="750"/>
      <c r="V9" s="752"/>
      <c r="W9" s="742"/>
      <c r="X9" s="749"/>
      <c r="Y9" s="750"/>
      <c r="Z9" s="750"/>
      <c r="AA9" s="750">
        <f>SUM(AA3:AA8)</f>
        <v>135</v>
      </c>
      <c r="AB9" s="753">
        <f>SUM(AB3:AB8)</f>
        <v>13500</v>
      </c>
      <c r="AC9" s="750"/>
      <c r="AD9" s="750"/>
      <c r="AE9" s="750"/>
      <c r="AF9" s="750"/>
      <c r="AG9" s="752"/>
      <c r="AH9" s="742"/>
      <c r="AI9" s="742"/>
    </row>
    <row r="10" spans="1:35" ht="15" customHeight="1" x14ac:dyDescent="0.2">
      <c r="A10" s="235"/>
      <c r="B10" s="325" t="s">
        <v>114</v>
      </c>
      <c r="C10" s="325"/>
      <c r="D10" s="325" t="s">
        <v>115</v>
      </c>
      <c r="E10" s="325" t="s">
        <v>116</v>
      </c>
      <c r="F10" s="325" t="s">
        <v>117</v>
      </c>
      <c r="G10" s="325"/>
      <c r="H10" s="325"/>
      <c r="I10" s="325"/>
      <c r="J10" s="325"/>
      <c r="K10" s="325" t="s">
        <v>119</v>
      </c>
      <c r="L10" s="235"/>
      <c r="M10" s="645" t="s">
        <v>114</v>
      </c>
      <c r="N10" s="644"/>
      <c r="O10" s="646" t="s">
        <v>115</v>
      </c>
      <c r="P10" s="325" t="s">
        <v>116</v>
      </c>
      <c r="Q10" s="325" t="s">
        <v>117</v>
      </c>
      <c r="R10" s="325"/>
      <c r="S10" s="325"/>
      <c r="T10" s="325"/>
      <c r="U10" s="325"/>
      <c r="V10" s="326" t="s">
        <v>118</v>
      </c>
      <c r="W10" s="740"/>
      <c r="X10" s="645" t="s">
        <v>114</v>
      </c>
      <c r="Y10" s="644"/>
      <c r="Z10" s="646" t="s">
        <v>115</v>
      </c>
      <c r="AA10" s="325" t="s">
        <v>116</v>
      </c>
      <c r="AB10" s="325" t="s">
        <v>117</v>
      </c>
      <c r="AC10" s="325"/>
      <c r="AD10" s="325"/>
      <c r="AE10" s="325"/>
      <c r="AF10" s="325"/>
      <c r="AG10" s="326" t="s">
        <v>118</v>
      </c>
      <c r="AH10" s="740"/>
      <c r="AI10" s="235"/>
    </row>
    <row r="11" spans="1:35" ht="15" customHeight="1" x14ac:dyDescent="0.25">
      <c r="A11" s="235"/>
      <c r="B11" s="333"/>
      <c r="C11" s="327"/>
      <c r="D11" s="327">
        <v>24749</v>
      </c>
      <c r="E11" s="327">
        <f>+D11-D8</f>
        <v>100</v>
      </c>
      <c r="F11" s="328">
        <f>IF(D11="","",E11*1000)</f>
        <v>100000</v>
      </c>
      <c r="G11" s="328"/>
      <c r="H11" s="328"/>
      <c r="I11" s="329"/>
      <c r="J11" s="329"/>
      <c r="K11" s="331"/>
      <c r="L11" s="235"/>
      <c r="M11" s="333"/>
      <c r="N11" s="336"/>
      <c r="O11" s="327">
        <v>5226</v>
      </c>
      <c r="P11" s="327">
        <f>+O11-O8</f>
        <v>65</v>
      </c>
      <c r="Q11" s="328">
        <f>IF(O11="","",P11*100)</f>
        <v>6500</v>
      </c>
      <c r="R11" s="328"/>
      <c r="S11" s="328"/>
      <c r="T11" s="329"/>
      <c r="U11" s="329"/>
      <c r="V11" s="330"/>
      <c r="W11" s="323"/>
      <c r="X11" s="333"/>
      <c r="Y11" s="336"/>
      <c r="Z11" s="327">
        <v>6350</v>
      </c>
      <c r="AA11" s="327">
        <f>+Z11-Z8</f>
        <v>70</v>
      </c>
      <c r="AB11" s="328">
        <f>IF(Z11="","",AA11*100)</f>
        <v>7000</v>
      </c>
      <c r="AC11" s="328"/>
      <c r="AD11" s="328"/>
      <c r="AE11" s="329"/>
      <c r="AF11" s="329"/>
      <c r="AG11" s="330"/>
      <c r="AH11" s="323"/>
      <c r="AI11" s="235"/>
    </row>
    <row r="12" spans="1:35" ht="15" customHeight="1" x14ac:dyDescent="0.25">
      <c r="A12" s="235"/>
      <c r="B12" s="333"/>
      <c r="C12" s="327"/>
      <c r="D12" s="327"/>
      <c r="E12" s="327" t="str">
        <f>IF(D12="","",D12-D11)</f>
        <v/>
      </c>
      <c r="F12" s="328" t="str">
        <f>IF(D12="","",E12*1000)</f>
        <v/>
      </c>
      <c r="G12" s="328"/>
      <c r="H12" s="328"/>
      <c r="I12" s="329"/>
      <c r="J12" s="329"/>
      <c r="K12" s="331"/>
      <c r="L12" s="235"/>
      <c r="M12" s="333"/>
      <c r="N12" s="327"/>
      <c r="O12" s="327"/>
      <c r="P12" s="327" t="str">
        <f>IF(O12="","",O12-O11)</f>
        <v/>
      </c>
      <c r="Q12" s="328" t="str">
        <f>IF(O12="","",P12*100)</f>
        <v/>
      </c>
      <c r="R12" s="328"/>
      <c r="S12" s="328"/>
      <c r="T12" s="329"/>
      <c r="U12" s="329"/>
      <c r="V12" s="330"/>
      <c r="W12" s="323"/>
      <c r="X12" s="333"/>
      <c r="Y12" s="327"/>
      <c r="Z12" s="327"/>
      <c r="AA12" s="327" t="str">
        <f>IF(Z12="","",Z12-Z11)</f>
        <v/>
      </c>
      <c r="AB12" s="328" t="str">
        <f>IF(Z12="","",AA12*100)</f>
        <v/>
      </c>
      <c r="AC12" s="328"/>
      <c r="AD12" s="328"/>
      <c r="AE12" s="329"/>
      <c r="AF12" s="329"/>
      <c r="AG12" s="330"/>
      <c r="AH12" s="323"/>
      <c r="AI12" s="235"/>
    </row>
    <row r="13" spans="1:35" ht="15" customHeight="1" x14ac:dyDescent="0.25">
      <c r="A13" s="235"/>
      <c r="B13" s="333"/>
      <c r="C13" s="327"/>
      <c r="D13" s="327"/>
      <c r="E13" s="327" t="str">
        <f>IF(D13="","",D13-D12)</f>
        <v/>
      </c>
      <c r="F13" s="328" t="str">
        <f>IF(D13="","",E13*1000)</f>
        <v/>
      </c>
      <c r="G13" s="328"/>
      <c r="H13" s="328"/>
      <c r="I13" s="329"/>
      <c r="J13" s="329"/>
      <c r="K13" s="331"/>
      <c r="L13" s="235"/>
      <c r="M13" s="333"/>
      <c r="N13" s="336"/>
      <c r="O13" s="327"/>
      <c r="P13" s="327" t="str">
        <f>IF(O13="","",O13-O12)</f>
        <v/>
      </c>
      <c r="Q13" s="328" t="str">
        <f>IF(O13="","",P13*100)</f>
        <v/>
      </c>
      <c r="R13" s="328"/>
      <c r="S13" s="328"/>
      <c r="T13" s="329"/>
      <c r="U13" s="329"/>
      <c r="V13" s="330"/>
      <c r="W13" s="323"/>
      <c r="X13" s="333"/>
      <c r="Y13" s="336"/>
      <c r="Z13" s="327"/>
      <c r="AA13" s="327" t="str">
        <f>IF(Z13="","",Z13-Z12)</f>
        <v/>
      </c>
      <c r="AB13" s="328" t="str">
        <f>IF(Z13="","",AA13*100)</f>
        <v/>
      </c>
      <c r="AC13" s="328"/>
      <c r="AD13" s="328"/>
      <c r="AE13" s="329"/>
      <c r="AF13" s="329"/>
      <c r="AG13" s="330"/>
      <c r="AH13" s="323"/>
      <c r="AI13" s="235"/>
    </row>
    <row r="14" spans="1:35" ht="15" customHeight="1" x14ac:dyDescent="0.25">
      <c r="A14" s="235"/>
      <c r="B14" s="333"/>
      <c r="C14" s="327"/>
      <c r="D14" s="327"/>
      <c r="E14" s="327" t="str">
        <f>IF(D14="","",D14-D13)</f>
        <v/>
      </c>
      <c r="F14" s="328" t="str">
        <f>IF(D14="","",E14*1000)</f>
        <v/>
      </c>
      <c r="G14" s="328"/>
      <c r="H14" s="328"/>
      <c r="I14" s="329"/>
      <c r="J14" s="329"/>
      <c r="K14" s="331"/>
      <c r="L14" s="235"/>
      <c r="M14" s="333"/>
      <c r="N14" s="327"/>
      <c r="O14" s="327"/>
      <c r="P14" s="327" t="str">
        <f>IF(O14="","",O14-O13)</f>
        <v/>
      </c>
      <c r="Q14" s="328" t="str">
        <f>IF(O14="","",P14*100)</f>
        <v/>
      </c>
      <c r="R14" s="328"/>
      <c r="S14" s="328"/>
      <c r="T14" s="329"/>
      <c r="U14" s="329"/>
      <c r="V14" s="330"/>
      <c r="W14" s="323"/>
      <c r="X14" s="333"/>
      <c r="Y14" s="327"/>
      <c r="Z14" s="327"/>
      <c r="AA14" s="327" t="str">
        <f>IF(Z14="","",Z14-Z13)</f>
        <v/>
      </c>
      <c r="AB14" s="328" t="str">
        <f>IF(Z14="","",AA14*100)</f>
        <v/>
      </c>
      <c r="AC14" s="328"/>
      <c r="AD14" s="328"/>
      <c r="AE14" s="329"/>
      <c r="AF14" s="329"/>
      <c r="AG14" s="330"/>
      <c r="AH14" s="323"/>
      <c r="AI14" s="235"/>
    </row>
    <row r="15" spans="1:35" ht="15" customHeight="1" x14ac:dyDescent="0.25">
      <c r="A15" s="235"/>
      <c r="B15" s="333"/>
      <c r="C15" s="327"/>
      <c r="D15" s="327"/>
      <c r="E15" s="327" t="str">
        <f>IF(D15="","",D15-D14)</f>
        <v/>
      </c>
      <c r="F15" s="328" t="str">
        <f>IF(D15="","",E15*1000)</f>
        <v/>
      </c>
      <c r="G15" s="328"/>
      <c r="H15" s="328"/>
      <c r="I15" s="329"/>
      <c r="J15" s="329"/>
      <c r="K15" s="331"/>
      <c r="L15" s="235"/>
      <c r="M15" s="333"/>
      <c r="N15" s="336"/>
      <c r="O15" s="327"/>
      <c r="P15" s="327" t="str">
        <f>IF(O15="","",O15-O14)</f>
        <v/>
      </c>
      <c r="Q15" s="328" t="str">
        <f>IF(O15="","",P15*100)</f>
        <v/>
      </c>
      <c r="R15" s="328"/>
      <c r="S15" s="328"/>
      <c r="T15" s="329"/>
      <c r="U15" s="329"/>
      <c r="V15" s="330"/>
      <c r="W15" s="740"/>
      <c r="X15" s="333"/>
      <c r="Y15" s="336"/>
      <c r="Z15" s="327"/>
      <c r="AA15" s="327" t="str">
        <f>IF(Z15="","",Z15-Z14)</f>
        <v/>
      </c>
      <c r="AB15" s="328" t="str">
        <f>IF(Z15="","",AA15*100)</f>
        <v/>
      </c>
      <c r="AC15" s="328"/>
      <c r="AD15" s="328"/>
      <c r="AE15" s="329"/>
      <c r="AF15" s="329"/>
      <c r="AG15" s="330"/>
      <c r="AH15" s="740"/>
      <c r="AI15" s="235"/>
    </row>
    <row r="16" spans="1:35" ht="15" customHeight="1" thickBot="1" x14ac:dyDescent="0.3">
      <c r="A16" s="235"/>
      <c r="B16" s="743"/>
      <c r="C16" s="744"/>
      <c r="D16" s="744"/>
      <c r="E16" s="744" t="str">
        <f>IF(D16="","",D16-D15)</f>
        <v/>
      </c>
      <c r="F16" s="745" t="str">
        <f>IF(D16="","",E16*1000)</f>
        <v/>
      </c>
      <c r="G16" s="745"/>
      <c r="H16" s="745"/>
      <c r="I16" s="746"/>
      <c r="J16" s="746"/>
      <c r="K16" s="748"/>
      <c r="L16" s="235"/>
      <c r="M16" s="743"/>
      <c r="N16" s="744"/>
      <c r="O16" s="744"/>
      <c r="P16" s="744" t="str">
        <f>IF(O16="","",O16-O15)</f>
        <v/>
      </c>
      <c r="Q16" s="745" t="str">
        <f>IF(O16="","",P16*100)</f>
        <v/>
      </c>
      <c r="R16" s="745"/>
      <c r="S16" s="745"/>
      <c r="T16" s="746"/>
      <c r="U16" s="746"/>
      <c r="V16" s="747"/>
      <c r="W16" s="740"/>
      <c r="X16" s="743"/>
      <c r="Y16" s="744"/>
      <c r="Z16" s="744"/>
      <c r="AA16" s="744" t="str">
        <f>IF(Z16="","",Z16-Z15)</f>
        <v/>
      </c>
      <c r="AB16" s="745" t="str">
        <f>IF(Z16="","",AA16*100)</f>
        <v/>
      </c>
      <c r="AC16" s="745"/>
      <c r="AD16" s="745"/>
      <c r="AE16" s="746"/>
      <c r="AF16" s="746"/>
      <c r="AG16" s="747"/>
      <c r="AH16" s="740"/>
      <c r="AI16" s="235"/>
    </row>
    <row r="17" spans="1:35" ht="15" customHeight="1" thickBot="1" x14ac:dyDescent="0.25">
      <c r="A17" s="801"/>
      <c r="B17" s="754"/>
      <c r="C17" s="755"/>
      <c r="D17" s="755"/>
      <c r="E17" s="755">
        <f>SUM(E11:E16)</f>
        <v>100</v>
      </c>
      <c r="F17" s="753">
        <f>SUM(F11:F16)</f>
        <v>100000</v>
      </c>
      <c r="G17" s="755"/>
      <c r="H17" s="755"/>
      <c r="I17" s="755"/>
      <c r="J17" s="755"/>
      <c r="K17" s="756"/>
      <c r="L17" s="801"/>
      <c r="M17" s="754"/>
      <c r="N17" s="755"/>
      <c r="O17" s="755"/>
      <c r="P17" s="755">
        <f>SUM(P11:P16)</f>
        <v>65</v>
      </c>
      <c r="Q17" s="753">
        <f>SUM(Q11:Q16)</f>
        <v>6500</v>
      </c>
      <c r="R17" s="755"/>
      <c r="S17" s="755"/>
      <c r="T17" s="755"/>
      <c r="U17" s="755"/>
      <c r="V17" s="756"/>
      <c r="W17" s="801"/>
      <c r="X17" s="754"/>
      <c r="Y17" s="755"/>
      <c r="Z17" s="755"/>
      <c r="AA17" s="755">
        <f>SUM(AA11:AA16)</f>
        <v>70</v>
      </c>
      <c r="AB17" s="753">
        <f>SUM(AB11:AB16)</f>
        <v>7000</v>
      </c>
      <c r="AC17" s="755"/>
      <c r="AD17" s="755"/>
      <c r="AE17" s="755"/>
      <c r="AF17" s="755"/>
      <c r="AG17" s="756"/>
      <c r="AH17" s="801"/>
      <c r="AI17" s="801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8">
    <pageSetUpPr fitToPage="1"/>
  </sheetPr>
  <dimension ref="A1:W17"/>
  <sheetViews>
    <sheetView workbookViewId="0">
      <pane ySplit="1" topLeftCell="A141" activePane="bottomLeft" state="frozen"/>
      <selection pane="bottomLeft" activeCell="AH132" sqref="AH132"/>
    </sheetView>
  </sheetViews>
  <sheetFormatPr defaultColWidth="14.390625" defaultRowHeight="15" customHeight="1" x14ac:dyDescent="0.2"/>
  <cols>
    <col min="1" max="1" width="4.3046875" customWidth="1"/>
    <col min="2" max="2" width="14.390625" bestFit="1" customWidth="1"/>
    <col min="3" max="3" width="0.40234375" customWidth="1"/>
    <col min="4" max="4" width="13.046875" customWidth="1"/>
    <col min="5" max="5" width="9.28125" customWidth="1"/>
    <col min="6" max="6" width="14.125" customWidth="1"/>
    <col min="7" max="10" width="0.53515625" customWidth="1"/>
    <col min="11" max="11" width="28.11328125" customWidth="1"/>
    <col min="12" max="12" width="4.03515625" customWidth="1"/>
    <col min="13" max="13" width="18.96484375" customWidth="1"/>
    <col min="14" max="14" width="0.265625" customWidth="1"/>
    <col min="15" max="15" width="10.76171875" customWidth="1"/>
    <col min="16" max="16" width="12.64453125" customWidth="1"/>
    <col min="17" max="17" width="12.5078125" customWidth="1"/>
    <col min="18" max="21" width="0.40234375" customWidth="1"/>
    <col min="22" max="22" width="19.50390625" customWidth="1"/>
  </cols>
  <sheetData>
    <row r="1" spans="1:23" ht="15" customHeight="1" x14ac:dyDescent="0.25">
      <c r="A1" s="235"/>
      <c r="B1" s="332" t="s">
        <v>109</v>
      </c>
      <c r="C1" s="740"/>
      <c r="D1" s="740"/>
      <c r="E1" s="740"/>
      <c r="F1" s="740"/>
      <c r="G1" s="740"/>
      <c r="H1" s="740"/>
      <c r="I1" s="740"/>
      <c r="J1" s="320"/>
      <c r="K1" s="740"/>
      <c r="L1" s="235"/>
      <c r="M1" s="332" t="s">
        <v>376</v>
      </c>
      <c r="N1" s="740"/>
      <c r="O1" s="740"/>
      <c r="P1" s="740"/>
      <c r="Q1" s="740"/>
      <c r="R1" s="740"/>
      <c r="S1" s="740"/>
      <c r="T1" s="740"/>
      <c r="U1" s="320"/>
      <c r="V1" s="741"/>
      <c r="W1" s="235"/>
    </row>
    <row r="2" spans="1:23" ht="15" customHeight="1" x14ac:dyDescent="0.2">
      <c r="A2" s="235"/>
      <c r="B2" s="325" t="s">
        <v>114</v>
      </c>
      <c r="C2" s="325"/>
      <c r="D2" s="325" t="s">
        <v>115</v>
      </c>
      <c r="E2" s="325" t="s">
        <v>116</v>
      </c>
      <c r="F2" s="325" t="s">
        <v>117</v>
      </c>
      <c r="G2" s="325"/>
      <c r="H2" s="325"/>
      <c r="I2" s="325"/>
      <c r="J2" s="325"/>
      <c r="K2" s="325" t="s">
        <v>119</v>
      </c>
      <c r="L2" s="235"/>
      <c r="M2" s="645" t="s">
        <v>114</v>
      </c>
      <c r="N2" s="644"/>
      <c r="O2" s="646" t="s">
        <v>115</v>
      </c>
      <c r="P2" s="325" t="s">
        <v>116</v>
      </c>
      <c r="Q2" s="325" t="s">
        <v>117</v>
      </c>
      <c r="R2" s="325"/>
      <c r="S2" s="325"/>
      <c r="T2" s="325"/>
      <c r="U2" s="325"/>
      <c r="V2" s="326" t="s">
        <v>118</v>
      </c>
      <c r="W2" s="235"/>
    </row>
    <row r="3" spans="1:23" ht="15" customHeight="1" x14ac:dyDescent="0.25">
      <c r="A3" s="235"/>
      <c r="B3" s="333">
        <v>46134</v>
      </c>
      <c r="C3" s="327"/>
      <c r="D3" s="327">
        <v>8861</v>
      </c>
      <c r="E3" s="327">
        <v>18</v>
      </c>
      <c r="F3" s="328">
        <f>+E3*1000</f>
        <v>18000</v>
      </c>
      <c r="G3" s="328"/>
      <c r="H3" s="328"/>
      <c r="I3" s="329"/>
      <c r="J3" s="329"/>
      <c r="K3" s="331"/>
      <c r="L3" s="235"/>
      <c r="M3" s="333">
        <f>+B3</f>
        <v>46134</v>
      </c>
      <c r="N3" s="336"/>
      <c r="O3" s="327">
        <v>7376</v>
      </c>
      <c r="P3" s="327">
        <v>120</v>
      </c>
      <c r="Q3" s="328">
        <f>+P3*1000</f>
        <v>120000</v>
      </c>
      <c r="R3" s="328"/>
      <c r="S3" s="328"/>
      <c r="T3" s="329"/>
      <c r="U3" s="329"/>
      <c r="V3" s="330"/>
      <c r="W3" s="235"/>
    </row>
    <row r="4" spans="1:23" ht="15" customHeight="1" x14ac:dyDescent="0.25">
      <c r="A4" s="235"/>
      <c r="B4" s="333">
        <v>46139</v>
      </c>
      <c r="C4" s="327"/>
      <c r="D4" s="327">
        <v>8889</v>
      </c>
      <c r="E4" s="327">
        <f>IF(D4="","",D4-D3)</f>
        <v>28</v>
      </c>
      <c r="F4" s="328">
        <f>IF(D4="","",E4*1000)</f>
        <v>28000</v>
      </c>
      <c r="G4" s="328"/>
      <c r="H4" s="328"/>
      <c r="I4" s="329"/>
      <c r="J4" s="329"/>
      <c r="K4" s="331"/>
      <c r="L4" s="235"/>
      <c r="M4" s="333">
        <f>+B4</f>
        <v>46139</v>
      </c>
      <c r="N4" s="327"/>
      <c r="O4" s="327">
        <v>7443</v>
      </c>
      <c r="P4" s="327">
        <f>IF(O4="","",O4-O3)</f>
        <v>67</v>
      </c>
      <c r="Q4" s="328">
        <f>IF(O4="","",P4*1000)</f>
        <v>67000</v>
      </c>
      <c r="R4" s="328"/>
      <c r="S4" s="328"/>
      <c r="T4" s="329"/>
      <c r="U4" s="329"/>
      <c r="V4" s="330"/>
      <c r="W4" s="235"/>
    </row>
    <row r="5" spans="1:23" ht="15" customHeight="1" x14ac:dyDescent="0.25">
      <c r="A5" s="235"/>
      <c r="B5" s="333"/>
      <c r="C5" s="327"/>
      <c r="D5" s="327">
        <v>8937</v>
      </c>
      <c r="E5" s="327">
        <f>IF(D5="","",D5-D4)</f>
        <v>48</v>
      </c>
      <c r="F5" s="328">
        <f>IF(D5="","",E5*1000)</f>
        <v>48000</v>
      </c>
      <c r="G5" s="328"/>
      <c r="H5" s="328"/>
      <c r="I5" s="329"/>
      <c r="J5" s="329"/>
      <c r="K5" s="331"/>
      <c r="L5" s="235"/>
      <c r="M5" s="333">
        <f>+B5</f>
        <v>0</v>
      </c>
      <c r="N5" s="336"/>
      <c r="O5" s="327">
        <v>7462</v>
      </c>
      <c r="P5" s="327">
        <f>IF(O5="","",O5-O4)</f>
        <v>19</v>
      </c>
      <c r="Q5" s="328">
        <f>IF(O5="","",P5*1000)</f>
        <v>19000</v>
      </c>
      <c r="R5" s="328"/>
      <c r="S5" s="328"/>
      <c r="T5" s="329"/>
      <c r="U5" s="329"/>
      <c r="V5" s="330"/>
      <c r="W5" s="235"/>
    </row>
    <row r="6" spans="1:23" ht="15" customHeight="1" x14ac:dyDescent="0.25">
      <c r="A6" s="235"/>
      <c r="B6" s="333"/>
      <c r="C6" s="327"/>
      <c r="D6" s="327">
        <v>8983</v>
      </c>
      <c r="E6" s="327">
        <f>IF(D6="","",D6-D5)</f>
        <v>46</v>
      </c>
      <c r="F6" s="328">
        <f>IF(D6="","",E6*1000)</f>
        <v>46000</v>
      </c>
      <c r="G6" s="328"/>
      <c r="H6" s="328"/>
      <c r="I6" s="329"/>
      <c r="J6" s="329"/>
      <c r="K6" s="331"/>
      <c r="L6" s="235"/>
      <c r="M6" s="333">
        <f>+B6</f>
        <v>0</v>
      </c>
      <c r="N6" s="327"/>
      <c r="O6" s="327">
        <v>7528</v>
      </c>
      <c r="P6" s="327">
        <f>IF(O6="","",O6-O5)</f>
        <v>66</v>
      </c>
      <c r="Q6" s="328">
        <f>IF(O6="","",P6*1000)</f>
        <v>66000</v>
      </c>
      <c r="R6" s="328"/>
      <c r="S6" s="328"/>
      <c r="T6" s="329"/>
      <c r="U6" s="329"/>
      <c r="V6" s="330"/>
      <c r="W6" s="235"/>
    </row>
    <row r="7" spans="1:23" ht="15" customHeight="1" x14ac:dyDescent="0.25">
      <c r="A7" s="235"/>
      <c r="B7" s="333"/>
      <c r="C7" s="327"/>
      <c r="D7" s="327">
        <v>9009</v>
      </c>
      <c r="E7" s="327">
        <f>IF(D7="","",D7-D6)</f>
        <v>26</v>
      </c>
      <c r="F7" s="328">
        <f>IF(D7="","",E7*1000)</f>
        <v>26000</v>
      </c>
      <c r="G7" s="328"/>
      <c r="H7" s="328"/>
      <c r="I7" s="329"/>
      <c r="J7" s="329"/>
      <c r="K7" s="331"/>
      <c r="L7" s="235"/>
      <c r="M7" s="333">
        <f>+B7</f>
        <v>0</v>
      </c>
      <c r="N7" s="336"/>
      <c r="O7" s="327">
        <v>7544</v>
      </c>
      <c r="P7" s="327">
        <f>IF(O7="","",O7-O6)</f>
        <v>16</v>
      </c>
      <c r="Q7" s="328">
        <f>IF(O7="","",P7*1000)</f>
        <v>16000</v>
      </c>
      <c r="R7" s="328"/>
      <c r="S7" s="328"/>
      <c r="T7" s="329"/>
      <c r="U7" s="329"/>
      <c r="V7" s="330"/>
      <c r="W7" s="235"/>
    </row>
    <row r="8" spans="1:23" ht="15" customHeight="1" thickBot="1" x14ac:dyDescent="0.3">
      <c r="A8" s="235"/>
      <c r="B8" s="743"/>
      <c r="C8" s="744"/>
      <c r="D8" s="744">
        <v>9033</v>
      </c>
      <c r="E8" s="744">
        <f>IF(D8="","",D8-D7)</f>
        <v>24</v>
      </c>
      <c r="F8" s="745">
        <f>IF(D8="","",E8*1000)</f>
        <v>24000</v>
      </c>
      <c r="G8" s="745"/>
      <c r="H8" s="745"/>
      <c r="I8" s="746"/>
      <c r="J8" s="746"/>
      <c r="K8" s="748"/>
      <c r="L8" s="235"/>
      <c r="M8" s="743">
        <f>+B8</f>
        <v>0</v>
      </c>
      <c r="N8" s="744"/>
      <c r="O8" s="744">
        <v>7565</v>
      </c>
      <c r="P8" s="327">
        <f>IF(O8="","",O8-O7)</f>
        <v>21</v>
      </c>
      <c r="Q8" s="328">
        <f>IF(O8="","",P8*1000)</f>
        <v>21000</v>
      </c>
      <c r="R8" s="745"/>
      <c r="S8" s="745"/>
      <c r="T8" s="746"/>
      <c r="U8" s="746"/>
      <c r="V8" s="747"/>
      <c r="W8" s="235"/>
    </row>
    <row r="9" spans="1:23" ht="15" customHeight="1" thickBot="1" x14ac:dyDescent="0.25">
      <c r="B9" s="754"/>
      <c r="C9" s="755"/>
      <c r="D9" s="755"/>
      <c r="E9" s="755">
        <f>SUM(E3:E8)</f>
        <v>190</v>
      </c>
      <c r="F9" s="753">
        <f>SUM(F3:F8)</f>
        <v>190000</v>
      </c>
      <c r="G9" s="755"/>
      <c r="H9" s="755"/>
      <c r="I9" s="755"/>
      <c r="J9" s="755"/>
      <c r="K9" s="756"/>
      <c r="M9" s="754"/>
      <c r="N9" s="755"/>
      <c r="O9" s="755"/>
      <c r="P9" s="755">
        <f>SUM(P3:P8)</f>
        <v>309</v>
      </c>
      <c r="Q9" s="753">
        <f>SUM(Q3:Q8)</f>
        <v>309000</v>
      </c>
      <c r="R9" s="755"/>
      <c r="S9" s="755"/>
      <c r="T9" s="755"/>
      <c r="U9" s="755"/>
      <c r="V9" s="756"/>
    </row>
    <row r="10" spans="1:23" ht="15" customHeight="1" x14ac:dyDescent="0.2">
      <c r="A10" s="235"/>
      <c r="B10" s="325" t="s">
        <v>114</v>
      </c>
      <c r="C10" s="325"/>
      <c r="D10" s="325" t="s">
        <v>115</v>
      </c>
      <c r="E10" s="325" t="s">
        <v>116</v>
      </c>
      <c r="F10" s="325" t="s">
        <v>117</v>
      </c>
      <c r="G10" s="325"/>
      <c r="H10" s="325"/>
      <c r="I10" s="325"/>
      <c r="J10" s="325"/>
      <c r="K10" s="325" t="s">
        <v>119</v>
      </c>
      <c r="L10" s="235"/>
      <c r="M10" s="645" t="s">
        <v>114</v>
      </c>
      <c r="N10" s="644"/>
      <c r="O10" s="646" t="s">
        <v>115</v>
      </c>
      <c r="P10" s="325" t="s">
        <v>116</v>
      </c>
      <c r="Q10" s="325" t="s">
        <v>117</v>
      </c>
      <c r="R10" s="325"/>
      <c r="S10" s="325"/>
      <c r="T10" s="325"/>
      <c r="U10" s="325"/>
      <c r="V10" s="326" t="s">
        <v>118</v>
      </c>
      <c r="W10" s="235"/>
    </row>
    <row r="11" spans="1:23" ht="15" customHeight="1" x14ac:dyDescent="0.25">
      <c r="A11" s="235"/>
      <c r="B11" s="333"/>
      <c r="C11" s="327"/>
      <c r="D11" s="327">
        <v>9059</v>
      </c>
      <c r="E11" s="327">
        <f>+D11-D8</f>
        <v>26</v>
      </c>
      <c r="F11" s="328">
        <f>+E11*1000</f>
        <v>26000</v>
      </c>
      <c r="G11" s="328"/>
      <c r="H11" s="328"/>
      <c r="I11" s="329"/>
      <c r="J11" s="329"/>
      <c r="K11" s="331"/>
      <c r="L11" s="235"/>
      <c r="M11" s="333"/>
      <c r="N11" s="336"/>
      <c r="O11" s="327">
        <v>7594</v>
      </c>
      <c r="P11" s="327">
        <f>+O11-O8</f>
        <v>29</v>
      </c>
      <c r="Q11" s="328">
        <f>+P11*1000</f>
        <v>29000</v>
      </c>
      <c r="R11" s="328"/>
      <c r="S11" s="328"/>
      <c r="T11" s="329"/>
      <c r="U11" s="329"/>
      <c r="V11" s="330"/>
      <c r="W11" s="235"/>
    </row>
    <row r="12" spans="1:23" ht="15" customHeight="1" x14ac:dyDescent="0.25">
      <c r="A12" s="235"/>
      <c r="B12" s="333"/>
      <c r="C12" s="327"/>
      <c r="D12" s="327"/>
      <c r="E12" s="327" t="str">
        <f>IF(D12="","",D12-D11)</f>
        <v/>
      </c>
      <c r="F12" s="328" t="str">
        <f>IF(D12="","",E12*1000)</f>
        <v/>
      </c>
      <c r="G12" s="328"/>
      <c r="H12" s="328"/>
      <c r="I12" s="329"/>
      <c r="J12" s="329"/>
      <c r="K12" s="331"/>
      <c r="L12" s="235"/>
      <c r="M12" s="333"/>
      <c r="N12" s="327"/>
      <c r="O12" s="327"/>
      <c r="P12" s="327" t="str">
        <f>IF(O12="","",O12-O11)</f>
        <v/>
      </c>
      <c r="Q12" s="328" t="str">
        <f>IF(O12="","",P12*1000)</f>
        <v/>
      </c>
      <c r="R12" s="328"/>
      <c r="S12" s="328"/>
      <c r="T12" s="329"/>
      <c r="U12" s="329"/>
      <c r="V12" s="330"/>
      <c r="W12" s="235"/>
    </row>
    <row r="13" spans="1:23" ht="15" customHeight="1" x14ac:dyDescent="0.25">
      <c r="A13" s="235"/>
      <c r="B13" s="333"/>
      <c r="C13" s="327"/>
      <c r="D13" s="327"/>
      <c r="E13" s="327" t="str">
        <f>IF(D13="","",D13-D12)</f>
        <v/>
      </c>
      <c r="F13" s="328" t="str">
        <f>IF(D13="","",E13*1000)</f>
        <v/>
      </c>
      <c r="G13" s="328"/>
      <c r="H13" s="328"/>
      <c r="I13" s="329"/>
      <c r="J13" s="329"/>
      <c r="K13" s="331"/>
      <c r="L13" s="235"/>
      <c r="M13" s="333"/>
      <c r="N13" s="336"/>
      <c r="O13" s="327"/>
      <c r="P13" s="327" t="str">
        <f>IF(O13="","",O13-O12)</f>
        <v/>
      </c>
      <c r="Q13" s="328" t="str">
        <f>IF(O13="","",P13*1000)</f>
        <v/>
      </c>
      <c r="R13" s="328"/>
      <c r="S13" s="328"/>
      <c r="T13" s="329"/>
      <c r="U13" s="329"/>
      <c r="V13" s="330"/>
      <c r="W13" s="235"/>
    </row>
    <row r="14" spans="1:23" ht="15" customHeight="1" x14ac:dyDescent="0.25">
      <c r="A14" s="235"/>
      <c r="B14" s="333"/>
      <c r="C14" s="327"/>
      <c r="D14" s="327"/>
      <c r="E14" s="327" t="str">
        <f>IF(D14="","",D14-D13)</f>
        <v/>
      </c>
      <c r="F14" s="328" t="str">
        <f>IF(D14="","",E14*1000)</f>
        <v/>
      </c>
      <c r="G14" s="328"/>
      <c r="H14" s="328"/>
      <c r="I14" s="329"/>
      <c r="J14" s="329"/>
      <c r="K14" s="331"/>
      <c r="L14" s="235"/>
      <c r="M14" s="333"/>
      <c r="N14" s="327"/>
      <c r="O14" s="327"/>
      <c r="P14" s="327" t="str">
        <f>IF(O14="","",O14-O13)</f>
        <v/>
      </c>
      <c r="Q14" s="328" t="str">
        <f>IF(O14="","",P14*1000)</f>
        <v/>
      </c>
      <c r="R14" s="328"/>
      <c r="S14" s="328"/>
      <c r="T14" s="329"/>
      <c r="U14" s="329"/>
      <c r="V14" s="330"/>
      <c r="W14" s="235"/>
    </row>
    <row r="15" spans="1:23" ht="15" customHeight="1" x14ac:dyDescent="0.25">
      <c r="A15" s="235"/>
      <c r="B15" s="333"/>
      <c r="C15" s="327"/>
      <c r="D15" s="327"/>
      <c r="E15" s="327" t="str">
        <f>IF(D15="","",D15-D14)</f>
        <v/>
      </c>
      <c r="F15" s="328" t="str">
        <f>IF(D15="","",E15*1000)</f>
        <v/>
      </c>
      <c r="G15" s="328"/>
      <c r="H15" s="328"/>
      <c r="I15" s="329"/>
      <c r="J15" s="329"/>
      <c r="K15" s="331"/>
      <c r="L15" s="235"/>
      <c r="M15" s="333"/>
      <c r="N15" s="336"/>
      <c r="O15" s="327"/>
      <c r="P15" s="327" t="str">
        <f>IF(O15="","",O15-O14)</f>
        <v/>
      </c>
      <c r="Q15" s="328" t="str">
        <f>IF(O15="","",P15*1000)</f>
        <v/>
      </c>
      <c r="R15" s="328"/>
      <c r="S15" s="328"/>
      <c r="T15" s="329"/>
      <c r="U15" s="329"/>
      <c r="V15" s="330"/>
      <c r="W15" s="235"/>
    </row>
    <row r="16" spans="1:23" ht="15" customHeight="1" thickBot="1" x14ac:dyDescent="0.3">
      <c r="A16" s="235"/>
      <c r="B16" s="743"/>
      <c r="C16" s="744"/>
      <c r="D16" s="744"/>
      <c r="E16" s="744" t="str">
        <f>IF(D16="","",D16-D15)</f>
        <v/>
      </c>
      <c r="F16" s="745" t="str">
        <f>IF(D16="","",E16*1000)</f>
        <v/>
      </c>
      <c r="G16" s="745"/>
      <c r="H16" s="745"/>
      <c r="I16" s="746"/>
      <c r="J16" s="746"/>
      <c r="K16" s="748"/>
      <c r="L16" s="235"/>
      <c r="M16" s="743"/>
      <c r="N16" s="744"/>
      <c r="O16" s="744"/>
      <c r="P16" s="327" t="str">
        <f>IF(O16="","",O16-O15)</f>
        <v/>
      </c>
      <c r="Q16" s="328" t="str">
        <f>IF(O16="","",P16*1000)</f>
        <v/>
      </c>
      <c r="R16" s="745"/>
      <c r="S16" s="745"/>
      <c r="T16" s="746"/>
      <c r="U16" s="746"/>
      <c r="V16" s="747"/>
      <c r="W16" s="235"/>
    </row>
    <row r="17" spans="2:22" ht="15" customHeight="1" thickBot="1" x14ac:dyDescent="0.25">
      <c r="B17" s="754"/>
      <c r="C17" s="755"/>
      <c r="D17" s="755"/>
      <c r="E17" s="755">
        <f>SUM(E11:E16)</f>
        <v>26</v>
      </c>
      <c r="F17" s="753">
        <f>SUM(F11:F16)</f>
        <v>26000</v>
      </c>
      <c r="G17" s="755"/>
      <c r="H17" s="755"/>
      <c r="I17" s="755"/>
      <c r="J17" s="755"/>
      <c r="K17" s="756"/>
      <c r="M17" s="754"/>
      <c r="N17" s="755"/>
      <c r="O17" s="755"/>
      <c r="P17" s="755">
        <f>SUM(P11:P16)</f>
        <v>29</v>
      </c>
      <c r="Q17" s="753">
        <f>SUM(Q11:Q16)</f>
        <v>29000</v>
      </c>
      <c r="R17" s="755"/>
      <c r="S17" s="755"/>
      <c r="T17" s="755"/>
      <c r="U17" s="755"/>
      <c r="V17" s="756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>
    <pageSetUpPr fitToPage="1"/>
  </sheetPr>
  <dimension ref="B1:K17"/>
  <sheetViews>
    <sheetView workbookViewId="0">
      <pane ySplit="1" topLeftCell="A339" activePane="bottomLeft" state="frozen"/>
      <selection pane="bottomLeft" activeCell="B6" sqref="B6"/>
    </sheetView>
  </sheetViews>
  <sheetFormatPr defaultColWidth="14.390625" defaultRowHeight="15" x14ac:dyDescent="0.2"/>
  <cols>
    <col min="1" max="1" width="4.3046875" customWidth="1"/>
    <col min="2" max="2" width="8.47265625" customWidth="1"/>
    <col min="3" max="3" width="0.1328125" customWidth="1"/>
    <col min="4" max="4" width="13.046875" customWidth="1"/>
    <col min="5" max="5" width="9.28125" customWidth="1"/>
    <col min="6" max="6" width="14.125" customWidth="1"/>
    <col min="7" max="10" width="0.40234375" customWidth="1"/>
    <col min="11" max="11" width="11.296875" customWidth="1"/>
    <col min="12" max="12" width="9.28125" customWidth="1"/>
    <col min="13" max="13" width="14.52734375" customWidth="1"/>
    <col min="14" max="14" width="15.6015625" customWidth="1"/>
    <col min="15" max="15" width="11.56640625" customWidth="1"/>
    <col min="16" max="16" width="14.66015625" customWidth="1"/>
    <col min="17" max="17" width="12.5078125" customWidth="1"/>
    <col min="18" max="18" width="12.64453125" customWidth="1"/>
    <col min="19" max="19" width="13.046875" customWidth="1"/>
    <col min="20" max="20" width="10.22265625" customWidth="1"/>
    <col min="21" max="21" width="18.96484375" customWidth="1"/>
    <col min="22" max="24" width="9.01171875" customWidth="1"/>
  </cols>
  <sheetData>
    <row r="1" spans="2:11" ht="18" x14ac:dyDescent="0.35">
      <c r="B1" s="208" t="s">
        <v>174</v>
      </c>
      <c r="C1" s="209"/>
      <c r="D1" s="69"/>
      <c r="E1" s="69"/>
      <c r="F1" s="69"/>
      <c r="G1" s="73"/>
      <c r="H1" s="73"/>
      <c r="I1" s="73"/>
      <c r="J1" s="80">
        <v>242.1</v>
      </c>
      <c r="K1" s="111"/>
    </row>
    <row r="2" spans="2:11" ht="18" x14ac:dyDescent="0.2">
      <c r="B2" s="82" t="s">
        <v>142</v>
      </c>
      <c r="C2" s="74" t="s">
        <v>162</v>
      </c>
      <c r="D2" s="74" t="s">
        <v>143</v>
      </c>
      <c r="E2" s="74" t="s">
        <v>144</v>
      </c>
      <c r="F2" s="74" t="s">
        <v>145</v>
      </c>
      <c r="G2" s="74" t="s">
        <v>163</v>
      </c>
      <c r="H2" s="74" t="s">
        <v>164</v>
      </c>
      <c r="I2" s="159" t="s">
        <v>165</v>
      </c>
      <c r="J2" s="75" t="s">
        <v>166</v>
      </c>
      <c r="K2" s="757" t="s">
        <v>146</v>
      </c>
    </row>
    <row r="3" spans="2:11" ht="20.25" x14ac:dyDescent="0.35">
      <c r="B3" s="182">
        <v>46136</v>
      </c>
      <c r="C3" s="183">
        <v>7935</v>
      </c>
      <c r="D3" s="183">
        <v>7935</v>
      </c>
      <c r="E3" s="275">
        <v>54</v>
      </c>
      <c r="F3" s="184">
        <f>+E3*1000</f>
        <v>54000</v>
      </c>
      <c r="G3" s="184">
        <v>0</v>
      </c>
      <c r="H3" s="184">
        <f>+F3-G3</f>
        <v>54000</v>
      </c>
      <c r="I3" s="112"/>
      <c r="J3" s="186" t="e">
        <f>+E3*#REF!</f>
        <v>#REF!</v>
      </c>
      <c r="K3" s="162"/>
    </row>
    <row r="4" spans="2:11" ht="20.25" x14ac:dyDescent="0.35">
      <c r="B4" s="113">
        <v>46138</v>
      </c>
      <c r="C4" s="114"/>
      <c r="D4" s="114">
        <v>7938</v>
      </c>
      <c r="E4" s="275">
        <f>IF(D4="","",D4-D3)</f>
        <v>3</v>
      </c>
      <c r="F4" s="184">
        <f>IF(D4="","",E4*1000)</f>
        <v>3000</v>
      </c>
      <c r="G4" s="184">
        <v>0</v>
      </c>
      <c r="H4" s="184">
        <f>+F4-G4</f>
        <v>3000</v>
      </c>
      <c r="I4" s="185"/>
      <c r="J4" s="186" t="e">
        <f>+E4*#REF!</f>
        <v>#REF!</v>
      </c>
      <c r="K4" s="162"/>
    </row>
    <row r="5" spans="2:11" ht="20.25" x14ac:dyDescent="0.35">
      <c r="B5" s="113"/>
      <c r="C5" s="114"/>
      <c r="D5" s="114">
        <v>7946</v>
      </c>
      <c r="E5" s="280">
        <f>IF(D5="","",D5-D4)</f>
        <v>8</v>
      </c>
      <c r="F5" s="125">
        <f t="shared" ref="F5:F6" si="0">IF(D5="","",E5*1000)</f>
        <v>8000</v>
      </c>
      <c r="G5" s="125">
        <v>0</v>
      </c>
      <c r="H5" s="125">
        <f>+F5-G5</f>
        <v>8000</v>
      </c>
      <c r="I5" s="126"/>
      <c r="J5" s="115" t="e">
        <f>+E5*#REF!</f>
        <v>#REF!</v>
      </c>
      <c r="K5" s="86"/>
    </row>
    <row r="6" spans="2:11" ht="20.25" x14ac:dyDescent="0.35">
      <c r="B6" s="233"/>
      <c r="C6" s="234"/>
      <c r="D6" s="228">
        <v>7999</v>
      </c>
      <c r="E6" s="280">
        <f t="shared" ref="E6" si="1">IF(D6="","",D6-D5)</f>
        <v>53</v>
      </c>
      <c r="F6" s="125">
        <f t="shared" si="0"/>
        <v>53000</v>
      </c>
      <c r="G6" s="345"/>
      <c r="H6" s="125"/>
      <c r="I6" s="126"/>
      <c r="J6" s="115"/>
      <c r="K6" s="86"/>
    </row>
    <row r="7" spans="2:11" ht="20.25" x14ac:dyDescent="0.35">
      <c r="B7" s="233"/>
      <c r="C7" s="234"/>
      <c r="D7" s="228">
        <v>8022</v>
      </c>
      <c r="E7" s="344">
        <f>IF(D7="","",D7-D6)</f>
        <v>23</v>
      </c>
      <c r="F7" s="125">
        <f>IF(D7="","",E7*1000)</f>
        <v>23000</v>
      </c>
      <c r="G7" s="345"/>
      <c r="H7" s="125"/>
      <c r="I7" s="126"/>
      <c r="J7" s="115"/>
      <c r="K7" s="86"/>
    </row>
    <row r="8" spans="2:11" ht="20.25" x14ac:dyDescent="0.35">
      <c r="B8" s="116"/>
      <c r="C8" s="117"/>
      <c r="D8" s="229">
        <v>8036</v>
      </c>
      <c r="E8" s="342">
        <f>IF(D8="","",D8-D7)</f>
        <v>14</v>
      </c>
      <c r="F8" s="343">
        <f>IF(D8="","",E8*1000)</f>
        <v>14000</v>
      </c>
      <c r="G8" s="314">
        <v>0</v>
      </c>
      <c r="H8" s="119">
        <f>+F8-G8</f>
        <v>14000</v>
      </c>
      <c r="I8" s="120"/>
      <c r="J8" s="187" t="e">
        <f>+E8*#REF!</f>
        <v>#REF!</v>
      </c>
      <c r="K8" s="165"/>
    </row>
    <row r="9" spans="2:11" ht="18.75" thickBot="1" x14ac:dyDescent="0.4">
      <c r="B9" s="121"/>
      <c r="C9" s="118"/>
      <c r="D9" s="118"/>
      <c r="E9" s="118">
        <f>SUM(E3:E8)</f>
        <v>155</v>
      </c>
      <c r="F9" s="119">
        <f>SUM(F3:F8)</f>
        <v>155000</v>
      </c>
      <c r="G9" s="119"/>
      <c r="H9" s="119">
        <f>SUM(H3:H8)</f>
        <v>79000</v>
      </c>
      <c r="I9" s="122">
        <f>SUM(I3:I8)</f>
        <v>0</v>
      </c>
      <c r="J9" s="122" t="e">
        <f>SUM(J3:J8)</f>
        <v>#REF!</v>
      </c>
      <c r="K9" s="165"/>
    </row>
    <row r="10" spans="2:11" ht="18.75" thickBot="1" x14ac:dyDescent="0.25">
      <c r="B10" s="82" t="s">
        <v>142</v>
      </c>
      <c r="C10" s="74" t="s">
        <v>162</v>
      </c>
      <c r="D10" s="74" t="s">
        <v>143</v>
      </c>
      <c r="E10" s="74" t="s">
        <v>144</v>
      </c>
      <c r="F10" s="74" t="s">
        <v>145</v>
      </c>
      <c r="G10" s="74" t="s">
        <v>163</v>
      </c>
      <c r="H10" s="74" t="s">
        <v>164</v>
      </c>
      <c r="I10" s="159" t="s">
        <v>165</v>
      </c>
      <c r="J10" s="75" t="s">
        <v>166</v>
      </c>
      <c r="K10" s="757" t="s">
        <v>146</v>
      </c>
    </row>
    <row r="11" spans="2:11" ht="20.25" x14ac:dyDescent="0.35">
      <c r="B11" s="182"/>
      <c r="C11" s="183"/>
      <c r="D11" s="183">
        <v>8082</v>
      </c>
      <c r="E11" s="275">
        <f>+D11-D8</f>
        <v>46</v>
      </c>
      <c r="F11" s="184">
        <f>+E11*1000</f>
        <v>46000</v>
      </c>
      <c r="G11" s="184">
        <v>0</v>
      </c>
      <c r="H11" s="184">
        <f>+F11-G11</f>
        <v>46000</v>
      </c>
      <c r="I11" s="112"/>
      <c r="J11" s="186" t="e">
        <f>+E11*#REF!</f>
        <v>#REF!</v>
      </c>
      <c r="K11" s="162"/>
    </row>
    <row r="12" spans="2:11" ht="20.25" x14ac:dyDescent="0.35">
      <c r="B12" s="113"/>
      <c r="C12" s="114"/>
      <c r="D12" s="114"/>
      <c r="E12" s="275" t="str">
        <f>IF(D12="","",D12-D11)</f>
        <v/>
      </c>
      <c r="F12" s="184" t="str">
        <f>IF(D12="","",E12*1000)</f>
        <v/>
      </c>
      <c r="G12" s="184">
        <v>0</v>
      </c>
      <c r="H12" s="184" t="e">
        <f>+F12-G12</f>
        <v>#VALUE!</v>
      </c>
      <c r="I12" s="185"/>
      <c r="J12" s="186" t="e">
        <f>+E12*#REF!</f>
        <v>#VALUE!</v>
      </c>
      <c r="K12" s="162"/>
    </row>
    <row r="13" spans="2:11" ht="20.25" x14ac:dyDescent="0.35">
      <c r="B13" s="113"/>
      <c r="C13" s="114"/>
      <c r="D13" s="114"/>
      <c r="E13" s="280" t="str">
        <f>IF(D13="","",D13-D12)</f>
        <v/>
      </c>
      <c r="F13" s="125" t="str">
        <f>IF(D13="","",E13*1000)</f>
        <v/>
      </c>
      <c r="G13" s="125">
        <v>0</v>
      </c>
      <c r="H13" s="125" t="e">
        <f>+F13-G13</f>
        <v>#VALUE!</v>
      </c>
      <c r="I13" s="126"/>
      <c r="J13" s="115" t="e">
        <f>+E13*#REF!</f>
        <v>#VALUE!</v>
      </c>
      <c r="K13" s="86"/>
    </row>
    <row r="14" spans="2:11" ht="20.25" x14ac:dyDescent="0.35">
      <c r="B14" s="233"/>
      <c r="C14" s="234"/>
      <c r="D14" s="228"/>
      <c r="E14" s="280" t="str">
        <f>IF(D14="","",D14-D13)</f>
        <v/>
      </c>
      <c r="F14" s="125" t="str">
        <f>IF(D14="","",E14*1000)</f>
        <v/>
      </c>
      <c r="G14" s="345"/>
      <c r="H14" s="125"/>
      <c r="I14" s="126"/>
      <c r="J14" s="115"/>
      <c r="K14" s="86"/>
    </row>
    <row r="15" spans="2:11" ht="20.25" x14ac:dyDescent="0.35">
      <c r="B15" s="233"/>
      <c r="C15" s="234"/>
      <c r="D15" s="228"/>
      <c r="E15" s="344" t="str">
        <f>IF(D15="","",D15-D14)</f>
        <v/>
      </c>
      <c r="F15" s="125" t="str">
        <f>IF(D15="","",E15*1000)</f>
        <v/>
      </c>
      <c r="G15" s="345"/>
      <c r="H15" s="125"/>
      <c r="I15" s="126"/>
      <c r="J15" s="115"/>
      <c r="K15" s="86"/>
    </row>
    <row r="16" spans="2:11" ht="21" thickBot="1" x14ac:dyDescent="0.4">
      <c r="B16" s="116"/>
      <c r="C16" s="117"/>
      <c r="D16" s="229"/>
      <c r="E16" s="342" t="str">
        <f>IF(D16="","",D16-D15)</f>
        <v/>
      </c>
      <c r="F16" s="343" t="str">
        <f>IF(D16="","",E16*1000)</f>
        <v/>
      </c>
      <c r="G16" s="314">
        <v>0</v>
      </c>
      <c r="H16" s="119" t="e">
        <f>+F16-G16</f>
        <v>#VALUE!</v>
      </c>
      <c r="I16" s="120"/>
      <c r="J16" s="187" t="e">
        <f>+E16*#REF!</f>
        <v>#VALUE!</v>
      </c>
      <c r="K16" s="165"/>
    </row>
    <row r="17" spans="2:11" ht="18.75" thickBot="1" x14ac:dyDescent="0.4">
      <c r="B17" s="121"/>
      <c r="C17" s="118"/>
      <c r="D17" s="118"/>
      <c r="E17" s="118">
        <f>SUM(E11:E16)</f>
        <v>46</v>
      </c>
      <c r="F17" s="119">
        <f>SUM(F11:F16)</f>
        <v>46000</v>
      </c>
      <c r="G17" s="119"/>
      <c r="H17" s="119" t="e">
        <f>SUM(H11:H16)</f>
        <v>#VALUE!</v>
      </c>
      <c r="I17" s="122">
        <f>SUM(I11:I16)</f>
        <v>0</v>
      </c>
      <c r="J17" s="122" t="e">
        <f>SUM(J11:J16)</f>
        <v>#REF!</v>
      </c>
      <c r="K17" s="165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>
    <pageSetUpPr fitToPage="1"/>
  </sheetPr>
  <dimension ref="B1:K17"/>
  <sheetViews>
    <sheetView workbookViewId="0">
      <pane ySplit="1" topLeftCell="A300" activePane="bottomLeft" state="frozen"/>
      <selection activeCell="B1" sqref="B1"/>
      <selection pane="bottomLeft" activeCell="B1" sqref="B1"/>
    </sheetView>
  </sheetViews>
  <sheetFormatPr defaultColWidth="14.390625" defaultRowHeight="15" customHeight="1" x14ac:dyDescent="0.2"/>
  <cols>
    <col min="1" max="1" width="4.3046875" customWidth="1"/>
    <col min="2" max="2" width="8.47265625" bestFit="1" customWidth="1"/>
    <col min="3" max="3" width="0.265625" customWidth="1"/>
    <col min="4" max="4" width="13.046875" customWidth="1"/>
    <col min="5" max="5" width="9.28125" customWidth="1"/>
    <col min="6" max="6" width="14.125" customWidth="1"/>
    <col min="7" max="10" width="0.265625" customWidth="1"/>
    <col min="11" max="11" width="15.19921875" customWidth="1"/>
    <col min="12" max="12" width="2.015625" customWidth="1"/>
    <col min="13" max="13" width="17.484375" customWidth="1"/>
    <col min="14" max="14" width="0.40234375" customWidth="1"/>
    <col min="15" max="15" width="12.5078125" customWidth="1"/>
    <col min="16" max="16" width="8.47265625" customWidth="1"/>
    <col min="17" max="17" width="11.8359375" customWidth="1"/>
    <col min="18" max="21" width="0.40234375" customWidth="1"/>
    <col min="22" max="22" width="23.26953125" customWidth="1"/>
    <col min="23" max="23" width="8.875" bestFit="1" customWidth="1"/>
    <col min="24" max="26" width="9.01171875" customWidth="1"/>
  </cols>
  <sheetData>
    <row r="1" spans="2:11" ht="15" customHeight="1" thickBot="1" x14ac:dyDescent="0.4">
      <c r="B1" s="760" t="s">
        <v>177</v>
      </c>
      <c r="C1" s="758"/>
      <c r="D1" s="759"/>
      <c r="E1" s="759"/>
      <c r="F1" s="759"/>
      <c r="G1" s="73"/>
      <c r="H1" s="73"/>
      <c r="I1" s="73"/>
      <c r="J1" s="80">
        <v>242.1</v>
      </c>
      <c r="K1" s="111"/>
    </row>
    <row r="2" spans="2:11" ht="15" customHeight="1" thickBot="1" x14ac:dyDescent="0.25">
      <c r="B2" s="82" t="s">
        <v>142</v>
      </c>
      <c r="C2" s="74" t="s">
        <v>162</v>
      </c>
      <c r="D2" s="74" t="s">
        <v>143</v>
      </c>
      <c r="E2" s="74" t="s">
        <v>144</v>
      </c>
      <c r="F2" s="74" t="s">
        <v>145</v>
      </c>
      <c r="G2" s="74" t="s">
        <v>163</v>
      </c>
      <c r="H2" s="74" t="s">
        <v>164</v>
      </c>
      <c r="I2" s="159" t="s">
        <v>165</v>
      </c>
      <c r="J2" s="75" t="s">
        <v>166</v>
      </c>
      <c r="K2" s="757" t="s">
        <v>146</v>
      </c>
    </row>
    <row r="3" spans="2:11" ht="15" customHeight="1" x14ac:dyDescent="0.35">
      <c r="B3" s="182">
        <v>46133</v>
      </c>
      <c r="C3" s="183"/>
      <c r="D3" s="183">
        <v>5413</v>
      </c>
      <c r="E3" s="275">
        <v>20</v>
      </c>
      <c r="F3" s="184">
        <f>+E3*1000</f>
        <v>20000</v>
      </c>
      <c r="G3" s="184">
        <v>0</v>
      </c>
      <c r="H3" s="184">
        <f>+F3-G3</f>
        <v>20000</v>
      </c>
      <c r="I3" s="112"/>
      <c r="J3" s="186" t="e">
        <f>+E3*#REF!</f>
        <v>#REF!</v>
      </c>
      <c r="K3" s="162"/>
    </row>
    <row r="4" spans="2:11" ht="15" customHeight="1" x14ac:dyDescent="0.35">
      <c r="B4" s="113">
        <v>46137</v>
      </c>
      <c r="C4" s="114"/>
      <c r="D4" s="114">
        <v>5416</v>
      </c>
      <c r="E4" s="275">
        <f>IF(D4="","",D4-D3)</f>
        <v>3</v>
      </c>
      <c r="F4" s="184">
        <f>IF(D4="","",E4*1000)</f>
        <v>3000</v>
      </c>
      <c r="G4" s="184">
        <v>0</v>
      </c>
      <c r="H4" s="184">
        <f>+F4-G4</f>
        <v>3000</v>
      </c>
      <c r="I4" s="185"/>
      <c r="J4" s="186" t="e">
        <f>+E4*#REF!</f>
        <v>#REF!</v>
      </c>
      <c r="K4" s="162"/>
    </row>
    <row r="5" spans="2:11" ht="15" customHeight="1" x14ac:dyDescent="0.35">
      <c r="B5" s="113"/>
      <c r="C5" s="114"/>
      <c r="D5" s="114">
        <v>5436</v>
      </c>
      <c r="E5" s="280">
        <f>IF(D5="","",D5-D4)</f>
        <v>20</v>
      </c>
      <c r="F5" s="125">
        <f>IF(D5="","",E5*1000)</f>
        <v>20000</v>
      </c>
      <c r="G5" s="125">
        <v>0</v>
      </c>
      <c r="H5" s="125">
        <f>+F5-G5</f>
        <v>20000</v>
      </c>
      <c r="I5" s="126"/>
      <c r="J5" s="115" t="e">
        <f>+E5*#REF!</f>
        <v>#REF!</v>
      </c>
      <c r="K5" s="86"/>
    </row>
    <row r="6" spans="2:11" ht="15" customHeight="1" x14ac:dyDescent="0.35">
      <c r="B6" s="233"/>
      <c r="C6" s="234"/>
      <c r="D6" s="228">
        <v>5453</v>
      </c>
      <c r="E6" s="280">
        <f>IF(D6="","",D6-D5)</f>
        <v>17</v>
      </c>
      <c r="F6" s="125">
        <f>IF(D6="","",E6*1000)</f>
        <v>17000</v>
      </c>
      <c r="G6" s="345"/>
      <c r="H6" s="125"/>
      <c r="I6" s="126"/>
      <c r="J6" s="115"/>
      <c r="K6" s="86"/>
    </row>
    <row r="7" spans="2:11" ht="15" customHeight="1" x14ac:dyDescent="0.35">
      <c r="B7" s="233"/>
      <c r="C7" s="234"/>
      <c r="D7" s="228">
        <v>5465</v>
      </c>
      <c r="E7" s="344">
        <f>IF(D7="","",D7-D6)</f>
        <v>12</v>
      </c>
      <c r="F7" s="125">
        <f>IF(D7="","",E7*1000)</f>
        <v>12000</v>
      </c>
      <c r="G7" s="345"/>
      <c r="H7" s="125"/>
      <c r="I7" s="126"/>
      <c r="J7" s="115"/>
      <c r="K7" s="86"/>
    </row>
    <row r="8" spans="2:11" ht="15" customHeight="1" thickBot="1" x14ac:dyDescent="0.4">
      <c r="B8" s="116"/>
      <c r="C8" s="117"/>
      <c r="D8" s="229">
        <v>5478</v>
      </c>
      <c r="E8" s="342">
        <f>IF(D8="","",D8-D7)</f>
        <v>13</v>
      </c>
      <c r="F8" s="343">
        <f>IF(D8="","",E8*1000)</f>
        <v>13000</v>
      </c>
      <c r="G8" s="314">
        <v>0</v>
      </c>
      <c r="H8" s="119">
        <f>+F8-G8</f>
        <v>13000</v>
      </c>
      <c r="I8" s="120"/>
      <c r="J8" s="187" t="e">
        <f>+E8*#REF!</f>
        <v>#REF!</v>
      </c>
      <c r="K8" s="165"/>
    </row>
    <row r="9" spans="2:11" ht="15" customHeight="1" thickBot="1" x14ac:dyDescent="0.4">
      <c r="B9" s="121"/>
      <c r="C9" s="118"/>
      <c r="D9" s="118"/>
      <c r="E9" s="118">
        <f>SUM(E3:E8)</f>
        <v>85</v>
      </c>
      <c r="F9" s="119">
        <f>SUM(F3:F8)</f>
        <v>85000</v>
      </c>
      <c r="G9" s="119"/>
      <c r="H9" s="119">
        <f>SUM(H3:H8)</f>
        <v>56000</v>
      </c>
      <c r="I9" s="122">
        <f>SUM(I3:I8)</f>
        <v>0</v>
      </c>
      <c r="J9" s="122" t="e">
        <f>SUM(J3:J8)</f>
        <v>#REF!</v>
      </c>
      <c r="K9" s="165"/>
    </row>
    <row r="10" spans="2:11" ht="15" customHeight="1" thickBot="1" x14ac:dyDescent="0.25">
      <c r="B10" s="82" t="s">
        <v>142</v>
      </c>
      <c r="C10" s="74" t="s">
        <v>162</v>
      </c>
      <c r="D10" s="74" t="s">
        <v>143</v>
      </c>
      <c r="E10" s="74" t="s">
        <v>144</v>
      </c>
      <c r="F10" s="74" t="s">
        <v>145</v>
      </c>
      <c r="G10" s="74" t="s">
        <v>163</v>
      </c>
      <c r="H10" s="74" t="s">
        <v>164</v>
      </c>
      <c r="I10" s="159" t="s">
        <v>165</v>
      </c>
      <c r="J10" s="75" t="s">
        <v>166</v>
      </c>
      <c r="K10" s="757" t="s">
        <v>146</v>
      </c>
    </row>
    <row r="11" spans="2:11" ht="15" customHeight="1" x14ac:dyDescent="0.35">
      <c r="B11" s="182"/>
      <c r="C11" s="183"/>
      <c r="D11" s="183">
        <v>5492</v>
      </c>
      <c r="E11" s="275">
        <f>+D11-D8</f>
        <v>14</v>
      </c>
      <c r="F11" s="184">
        <f>+E11*1000</f>
        <v>14000</v>
      </c>
      <c r="G11" s="184">
        <v>0</v>
      </c>
      <c r="H11" s="184">
        <f>+F11-G11</f>
        <v>14000</v>
      </c>
      <c r="I11" s="112"/>
      <c r="J11" s="186" t="e">
        <f>+E11*#REF!</f>
        <v>#REF!</v>
      </c>
      <c r="K11" s="162"/>
    </row>
    <row r="12" spans="2:11" ht="15" customHeight="1" x14ac:dyDescent="0.35">
      <c r="B12" s="113"/>
      <c r="C12" s="114"/>
      <c r="D12" s="114"/>
      <c r="E12" s="275" t="str">
        <f>IF(D12="","",D12-D11)</f>
        <v/>
      </c>
      <c r="F12" s="184" t="str">
        <f>IF(D12="","",E12*1000)</f>
        <v/>
      </c>
      <c r="G12" s="184">
        <v>0</v>
      </c>
      <c r="H12" s="184" t="e">
        <f>+F12-G12</f>
        <v>#VALUE!</v>
      </c>
      <c r="I12" s="185"/>
      <c r="J12" s="186" t="e">
        <f>+E12*#REF!</f>
        <v>#VALUE!</v>
      </c>
      <c r="K12" s="162"/>
    </row>
    <row r="13" spans="2:11" ht="15" customHeight="1" x14ac:dyDescent="0.35">
      <c r="B13" s="113"/>
      <c r="C13" s="114"/>
      <c r="D13" s="114"/>
      <c r="E13" s="280" t="str">
        <f>IF(D13="","",D13-D12)</f>
        <v/>
      </c>
      <c r="F13" s="125" t="str">
        <f>IF(D13="","",E13*1000)</f>
        <v/>
      </c>
      <c r="G13" s="125">
        <v>0</v>
      </c>
      <c r="H13" s="125" t="e">
        <f>+F13-G13</f>
        <v>#VALUE!</v>
      </c>
      <c r="I13" s="126"/>
      <c r="J13" s="115" t="e">
        <f>+E13*#REF!</f>
        <v>#VALUE!</v>
      </c>
      <c r="K13" s="86"/>
    </row>
    <row r="14" spans="2:11" ht="15" customHeight="1" x14ac:dyDescent="0.35">
      <c r="B14" s="233"/>
      <c r="C14" s="234"/>
      <c r="D14" s="228"/>
      <c r="E14" s="280" t="str">
        <f>IF(D14="","",D14-D13)</f>
        <v/>
      </c>
      <c r="F14" s="125" t="str">
        <f>IF(D14="","",E14*1000)</f>
        <v/>
      </c>
      <c r="G14" s="345"/>
      <c r="H14" s="125"/>
      <c r="I14" s="126"/>
      <c r="J14" s="115"/>
      <c r="K14" s="86"/>
    </row>
    <row r="15" spans="2:11" ht="15" customHeight="1" x14ac:dyDescent="0.35">
      <c r="B15" s="233"/>
      <c r="C15" s="234"/>
      <c r="D15" s="228"/>
      <c r="E15" s="344" t="str">
        <f>IF(D15="","",D15-D14)</f>
        <v/>
      </c>
      <c r="F15" s="125" t="str">
        <f>IF(D15="","",E15*1000)</f>
        <v/>
      </c>
      <c r="G15" s="345"/>
      <c r="H15" s="125"/>
      <c r="I15" s="126"/>
      <c r="J15" s="115"/>
      <c r="K15" s="86"/>
    </row>
    <row r="16" spans="2:11" ht="15" customHeight="1" thickBot="1" x14ac:dyDescent="0.4">
      <c r="B16" s="116"/>
      <c r="C16" s="117"/>
      <c r="D16" s="229"/>
      <c r="E16" s="342" t="str">
        <f>IF(D16="","",D16-D15)</f>
        <v/>
      </c>
      <c r="F16" s="343" t="str">
        <f>IF(D16="","",E16*1000)</f>
        <v/>
      </c>
      <c r="G16" s="314">
        <v>0</v>
      </c>
      <c r="H16" s="119" t="e">
        <f>+F16-G16</f>
        <v>#VALUE!</v>
      </c>
      <c r="I16" s="120"/>
      <c r="J16" s="187" t="e">
        <f>+E16*#REF!</f>
        <v>#VALUE!</v>
      </c>
      <c r="K16" s="165"/>
    </row>
    <row r="17" spans="2:11" ht="15" customHeight="1" thickBot="1" x14ac:dyDescent="0.4">
      <c r="B17" s="121"/>
      <c r="C17" s="118"/>
      <c r="D17" s="118"/>
      <c r="E17" s="118">
        <f>SUM(E11:E16)</f>
        <v>14</v>
      </c>
      <c r="F17" s="119">
        <f>SUM(F11:F16)</f>
        <v>14000</v>
      </c>
      <c r="G17" s="119"/>
      <c r="H17" s="119" t="e">
        <f>SUM(H11:H16)</f>
        <v>#VALUE!</v>
      </c>
      <c r="I17" s="122">
        <f>SUM(I11:I16)</f>
        <v>0</v>
      </c>
      <c r="J17" s="122" t="e">
        <f>SUM(J11:J16)</f>
        <v>#REF!</v>
      </c>
      <c r="K17" s="165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32F3-C578-4CE8-AD96-5A7E1A4B46F6}">
  <sheetPr codeName="Sheet18">
    <pageSetUpPr fitToPage="1"/>
  </sheetPr>
  <dimension ref="A1:AH17"/>
  <sheetViews>
    <sheetView workbookViewId="0">
      <pane ySplit="1" topLeftCell="A141" activePane="bottomLeft" state="frozen"/>
      <selection pane="bottomLeft" activeCell="AH132" sqref="AH132"/>
    </sheetView>
  </sheetViews>
  <sheetFormatPr defaultColWidth="14.390625" defaultRowHeight="15" customHeight="1" x14ac:dyDescent="0.2"/>
  <cols>
    <col min="1" max="1" width="4.3046875" style="737" customWidth="1"/>
    <col min="2" max="2" width="8.875" style="737" bestFit="1" customWidth="1"/>
    <col min="3" max="3" width="0.265625" style="737" customWidth="1"/>
    <col min="4" max="4" width="13.046875" style="737" customWidth="1"/>
    <col min="5" max="5" width="9.28125" style="737" customWidth="1"/>
    <col min="6" max="6" width="14.125" style="737" customWidth="1"/>
    <col min="7" max="10" width="0.265625" style="737" customWidth="1"/>
    <col min="11" max="11" width="8.47265625" style="737" customWidth="1"/>
    <col min="12" max="12" width="4.03515625" style="737" customWidth="1"/>
    <col min="13" max="13" width="8.875" style="737" bestFit="1" customWidth="1"/>
    <col min="14" max="14" width="0.265625" style="737" customWidth="1"/>
    <col min="15" max="15" width="13.046875" style="737" customWidth="1"/>
    <col min="16" max="16" width="9.28125" style="737" customWidth="1"/>
    <col min="17" max="17" width="14.125" style="737" customWidth="1"/>
    <col min="18" max="21" width="0.265625" style="737" customWidth="1"/>
    <col min="22" max="22" width="8.47265625" style="737" customWidth="1"/>
    <col min="23" max="23" width="4.03515625" style="737" customWidth="1"/>
    <col min="24" max="24" width="18.96484375" style="737" customWidth="1"/>
    <col min="25" max="25" width="0.265625" style="737" customWidth="1"/>
    <col min="26" max="26" width="10.89453125" style="737" customWidth="1"/>
    <col min="27" max="27" width="12.64453125" style="737" customWidth="1"/>
    <col min="28" max="28" width="12.375" style="737" customWidth="1"/>
    <col min="29" max="32" width="0.265625" style="737" customWidth="1"/>
    <col min="33" max="33" width="8.33984375" style="737" customWidth="1"/>
    <col min="34" max="16384" width="14.390625" style="737"/>
  </cols>
  <sheetData>
    <row r="1" spans="1:34" ht="15" customHeight="1" x14ac:dyDescent="0.25">
      <c r="A1" s="235"/>
      <c r="B1" s="332" t="s">
        <v>177</v>
      </c>
      <c r="C1" s="740"/>
      <c r="D1" s="740"/>
      <c r="E1" s="740"/>
      <c r="F1" s="740"/>
      <c r="G1" s="740"/>
      <c r="H1" s="740"/>
      <c r="I1" s="740"/>
      <c r="J1" s="320"/>
      <c r="K1" s="740"/>
      <c r="L1" s="235"/>
      <c r="M1" s="332" t="s">
        <v>175</v>
      </c>
      <c r="N1" s="740"/>
      <c r="O1" s="740"/>
      <c r="P1" s="740"/>
      <c r="Q1" s="740"/>
      <c r="R1" s="740"/>
      <c r="S1" s="740"/>
      <c r="T1" s="740"/>
      <c r="U1" s="320"/>
      <c r="V1" s="740"/>
      <c r="W1" s="235"/>
      <c r="X1" s="332" t="s">
        <v>377</v>
      </c>
      <c r="Y1" s="740"/>
      <c r="Z1" s="740"/>
      <c r="AA1" s="740"/>
      <c r="AB1" s="740"/>
      <c r="AC1" s="740"/>
      <c r="AD1" s="740"/>
      <c r="AE1" s="740"/>
      <c r="AF1" s="320"/>
      <c r="AG1" s="740"/>
      <c r="AH1" s="235"/>
    </row>
    <row r="2" spans="1:34" ht="15" customHeight="1" x14ac:dyDescent="0.2">
      <c r="A2" s="235"/>
      <c r="B2" s="325" t="s">
        <v>114</v>
      </c>
      <c r="C2" s="325"/>
      <c r="D2" s="325" t="s">
        <v>115</v>
      </c>
      <c r="E2" s="325" t="s">
        <v>116</v>
      </c>
      <c r="F2" s="325" t="s">
        <v>117</v>
      </c>
      <c r="G2" s="325"/>
      <c r="H2" s="325"/>
      <c r="I2" s="325"/>
      <c r="J2" s="325"/>
      <c r="K2" s="325" t="s">
        <v>119</v>
      </c>
      <c r="L2" s="235"/>
      <c r="M2" s="325" t="s">
        <v>114</v>
      </c>
      <c r="N2" s="325"/>
      <c r="O2" s="325" t="s">
        <v>115</v>
      </c>
      <c r="P2" s="325" t="s">
        <v>116</v>
      </c>
      <c r="Q2" s="325" t="s">
        <v>117</v>
      </c>
      <c r="R2" s="325"/>
      <c r="S2" s="325"/>
      <c r="T2" s="325"/>
      <c r="U2" s="325"/>
      <c r="V2" s="325" t="s">
        <v>119</v>
      </c>
      <c r="W2" s="235"/>
      <c r="X2" s="645" t="s">
        <v>114</v>
      </c>
      <c r="Y2" s="644"/>
      <c r="Z2" s="646" t="s">
        <v>115</v>
      </c>
      <c r="AA2" s="325" t="s">
        <v>116</v>
      </c>
      <c r="AB2" s="325" t="s">
        <v>117</v>
      </c>
      <c r="AC2" s="325"/>
      <c r="AD2" s="325"/>
      <c r="AE2" s="325"/>
      <c r="AF2" s="325"/>
      <c r="AG2" s="325" t="s">
        <v>119</v>
      </c>
      <c r="AH2" s="235"/>
    </row>
    <row r="3" spans="1:34" ht="15" customHeight="1" x14ac:dyDescent="0.25">
      <c r="A3" s="235"/>
      <c r="B3" s="333">
        <v>46133</v>
      </c>
      <c r="C3" s="327"/>
      <c r="D3" s="327">
        <v>9161</v>
      </c>
      <c r="E3" s="327">
        <v>21</v>
      </c>
      <c r="F3" s="328">
        <f>+E3*1000</f>
        <v>21000</v>
      </c>
      <c r="G3" s="328"/>
      <c r="H3" s="328"/>
      <c r="I3" s="329"/>
      <c r="J3" s="329"/>
      <c r="K3" s="331"/>
      <c r="L3" s="235"/>
      <c r="M3" s="333">
        <f>+B3</f>
        <v>46133</v>
      </c>
      <c r="N3" s="327"/>
      <c r="O3" s="327">
        <v>4705</v>
      </c>
      <c r="P3" s="327">
        <v>60</v>
      </c>
      <c r="Q3" s="328">
        <f>+P3*1000</f>
        <v>60000</v>
      </c>
      <c r="R3" s="328"/>
      <c r="S3" s="328"/>
      <c r="T3" s="329"/>
      <c r="U3" s="329"/>
      <c r="V3" s="331"/>
      <c r="W3" s="235"/>
      <c r="X3" s="333">
        <f>+M3</f>
        <v>46133</v>
      </c>
      <c r="Y3" s="336"/>
      <c r="Z3" s="327">
        <v>1826</v>
      </c>
      <c r="AA3" s="327">
        <v>42</v>
      </c>
      <c r="AB3" s="328">
        <f>+AA3*1000</f>
        <v>42000</v>
      </c>
      <c r="AC3" s="328"/>
      <c r="AD3" s="328"/>
      <c r="AE3" s="329"/>
      <c r="AF3" s="329"/>
      <c r="AG3" s="331"/>
      <c r="AH3" s="235"/>
    </row>
    <row r="4" spans="1:34" ht="15" customHeight="1" x14ac:dyDescent="0.25">
      <c r="A4" s="235"/>
      <c r="B4" s="333"/>
      <c r="C4" s="327"/>
      <c r="D4" s="327">
        <v>9171</v>
      </c>
      <c r="E4" s="327">
        <f>IF(D4="","",D4-D3)</f>
        <v>10</v>
      </c>
      <c r="F4" s="328">
        <f>IF(D4="","",E4*1000)</f>
        <v>10000</v>
      </c>
      <c r="G4" s="328"/>
      <c r="H4" s="328"/>
      <c r="I4" s="329"/>
      <c r="J4" s="329"/>
      <c r="K4" s="331"/>
      <c r="L4" s="235"/>
      <c r="M4" s="333">
        <f>+B4</f>
        <v>0</v>
      </c>
      <c r="N4" s="327"/>
      <c r="O4" s="327">
        <v>4747</v>
      </c>
      <c r="P4" s="327">
        <f>IF(O4="","",O4-O3)</f>
        <v>42</v>
      </c>
      <c r="Q4" s="328">
        <f>IF(O4="","",P4*1000)</f>
        <v>42000</v>
      </c>
      <c r="R4" s="328"/>
      <c r="S4" s="328"/>
      <c r="T4" s="329"/>
      <c r="U4" s="329"/>
      <c r="V4" s="331"/>
      <c r="W4" s="235"/>
      <c r="X4" s="333">
        <f>+M4</f>
        <v>0</v>
      </c>
      <c r="Y4" s="327"/>
      <c r="Z4" s="327">
        <v>1930</v>
      </c>
      <c r="AA4" s="327">
        <f>IF(Z4="","",Z4-Z3)</f>
        <v>104</v>
      </c>
      <c r="AB4" s="328">
        <f>IF(Z4="","",AA4*1000)</f>
        <v>104000</v>
      </c>
      <c r="AC4" s="328"/>
      <c r="AD4" s="328"/>
      <c r="AE4" s="329"/>
      <c r="AF4" s="329"/>
      <c r="AG4" s="331"/>
      <c r="AH4" s="235"/>
    </row>
    <row r="5" spans="1:34" ht="15" customHeight="1" x14ac:dyDescent="0.25">
      <c r="A5" s="235"/>
      <c r="B5" s="333"/>
      <c r="C5" s="327"/>
      <c r="D5" s="327">
        <v>9187</v>
      </c>
      <c r="E5" s="327">
        <f>IF(D5="","",D5-D4)</f>
        <v>16</v>
      </c>
      <c r="F5" s="328">
        <f>IF(D5="","",E5*1000)</f>
        <v>16000</v>
      </c>
      <c r="G5" s="328"/>
      <c r="H5" s="328"/>
      <c r="I5" s="329"/>
      <c r="J5" s="329"/>
      <c r="K5" s="331"/>
      <c r="L5" s="235"/>
      <c r="M5" s="333">
        <f>+B5</f>
        <v>0</v>
      </c>
      <c r="N5" s="327"/>
      <c r="O5" s="327">
        <v>4779</v>
      </c>
      <c r="P5" s="327">
        <f>IF(O5="","",O5-O4)</f>
        <v>32</v>
      </c>
      <c r="Q5" s="328">
        <f>IF(O5="","",P5*1000)</f>
        <v>32000</v>
      </c>
      <c r="R5" s="328"/>
      <c r="S5" s="328"/>
      <c r="T5" s="329"/>
      <c r="U5" s="329"/>
      <c r="V5" s="331"/>
      <c r="W5" s="235"/>
      <c r="X5" s="333">
        <f>+M5</f>
        <v>0</v>
      </c>
      <c r="Y5" s="336"/>
      <c r="Z5" s="327">
        <v>2000</v>
      </c>
      <c r="AA5" s="327">
        <f>IF(Z5="","",Z5-Z4)</f>
        <v>70</v>
      </c>
      <c r="AB5" s="328">
        <f>IF(Z5="","",AA5*1000)</f>
        <v>70000</v>
      </c>
      <c r="AC5" s="328"/>
      <c r="AD5" s="328"/>
      <c r="AE5" s="329"/>
      <c r="AF5" s="329"/>
      <c r="AG5" s="331"/>
      <c r="AH5" s="235"/>
    </row>
    <row r="6" spans="1:34" ht="15" customHeight="1" x14ac:dyDescent="0.25">
      <c r="A6" s="235"/>
      <c r="B6" s="333"/>
      <c r="C6" s="327"/>
      <c r="D6" s="327">
        <v>9195</v>
      </c>
      <c r="E6" s="327">
        <f>IF(D6="","",D6-D5)</f>
        <v>8</v>
      </c>
      <c r="F6" s="328">
        <f>IF(D6="","",E6*1000)</f>
        <v>8000</v>
      </c>
      <c r="G6" s="328"/>
      <c r="H6" s="328"/>
      <c r="I6" s="329"/>
      <c r="J6" s="329"/>
      <c r="K6" s="331"/>
      <c r="L6" s="235"/>
      <c r="M6" s="333">
        <f>+B6</f>
        <v>0</v>
      </c>
      <c r="N6" s="327"/>
      <c r="O6" s="327">
        <v>4783</v>
      </c>
      <c r="P6" s="327">
        <f>IF(O6="","",O6-O5)</f>
        <v>4</v>
      </c>
      <c r="Q6" s="328">
        <f>IF(O6="","",P6*1000)</f>
        <v>4000</v>
      </c>
      <c r="R6" s="328"/>
      <c r="S6" s="328"/>
      <c r="T6" s="329"/>
      <c r="U6" s="329"/>
      <c r="V6" s="331"/>
      <c r="W6" s="235"/>
      <c r="X6" s="333">
        <f>+M6</f>
        <v>0</v>
      </c>
      <c r="Y6" s="327"/>
      <c r="Z6" s="327">
        <v>2008</v>
      </c>
      <c r="AA6" s="327">
        <f>IF(Z6="","",Z6-Z5)</f>
        <v>8</v>
      </c>
      <c r="AB6" s="328">
        <f>IF(Z6="","",AA6*1000)</f>
        <v>8000</v>
      </c>
      <c r="AC6" s="328"/>
      <c r="AD6" s="328"/>
      <c r="AE6" s="329"/>
      <c r="AF6" s="329"/>
      <c r="AG6" s="331"/>
      <c r="AH6" s="235"/>
    </row>
    <row r="7" spans="1:34" ht="15" customHeight="1" x14ac:dyDescent="0.25">
      <c r="A7" s="235"/>
      <c r="B7" s="333"/>
      <c r="C7" s="327"/>
      <c r="D7" s="327"/>
      <c r="E7" s="327" t="str">
        <f>IF(D7="","",D7-D6)</f>
        <v/>
      </c>
      <c r="F7" s="328" t="str">
        <f>IF(D7="","",E7*1000)</f>
        <v/>
      </c>
      <c r="G7" s="328"/>
      <c r="H7" s="328"/>
      <c r="I7" s="329"/>
      <c r="J7" s="329"/>
      <c r="K7" s="331"/>
      <c r="L7" s="235"/>
      <c r="M7" s="333">
        <f>+B7</f>
        <v>0</v>
      </c>
      <c r="N7" s="327"/>
      <c r="O7" s="327"/>
      <c r="P7" s="327" t="str">
        <f>IF(O7="","",O7-O6)</f>
        <v/>
      </c>
      <c r="Q7" s="328" t="str">
        <f>IF(O7="","",P7*1000)</f>
        <v/>
      </c>
      <c r="R7" s="328"/>
      <c r="S7" s="328"/>
      <c r="T7" s="329"/>
      <c r="U7" s="329"/>
      <c r="V7" s="331"/>
      <c r="W7" s="235"/>
      <c r="X7" s="333">
        <f>+M7</f>
        <v>0</v>
      </c>
      <c r="Y7" s="336"/>
      <c r="Z7" s="327"/>
      <c r="AA7" s="327" t="str">
        <f>IF(Z7="","",Z7-Z6)</f>
        <v/>
      </c>
      <c r="AB7" s="328" t="str">
        <f>IF(Z7="","",AA7*1000)</f>
        <v/>
      </c>
      <c r="AC7" s="328"/>
      <c r="AD7" s="328"/>
      <c r="AE7" s="329"/>
      <c r="AF7" s="329"/>
      <c r="AG7" s="331"/>
      <c r="AH7" s="235"/>
    </row>
    <row r="8" spans="1:34" ht="15" customHeight="1" thickBot="1" x14ac:dyDescent="0.3">
      <c r="A8" s="235"/>
      <c r="B8" s="743"/>
      <c r="C8" s="744"/>
      <c r="D8" s="744"/>
      <c r="E8" s="744" t="str">
        <f>IF(D8="","",D8-D7)</f>
        <v/>
      </c>
      <c r="F8" s="745" t="str">
        <f>IF(D8="","",E8*1000)</f>
        <v/>
      </c>
      <c r="G8" s="745"/>
      <c r="H8" s="745"/>
      <c r="I8" s="746"/>
      <c r="J8" s="746"/>
      <c r="K8" s="748"/>
      <c r="L8" s="235"/>
      <c r="M8" s="333">
        <f>+B8</f>
        <v>0</v>
      </c>
      <c r="N8" s="744"/>
      <c r="O8" s="744"/>
      <c r="P8" s="744" t="str">
        <f>IF(O8="","",O8-O7)</f>
        <v/>
      </c>
      <c r="Q8" s="745" t="str">
        <f>IF(O8="","",P8*1000)</f>
        <v/>
      </c>
      <c r="R8" s="745"/>
      <c r="S8" s="745"/>
      <c r="T8" s="746"/>
      <c r="U8" s="746"/>
      <c r="V8" s="748"/>
      <c r="W8" s="235"/>
      <c r="X8" s="333">
        <f>+M8</f>
        <v>0</v>
      </c>
      <c r="Y8" s="744"/>
      <c r="Z8" s="744"/>
      <c r="AA8" s="744" t="str">
        <f>IF(Z8="","",Z8-Z7)</f>
        <v/>
      </c>
      <c r="AB8" s="745" t="str">
        <f>IF(Z8="","",AA8*1000)</f>
        <v/>
      </c>
      <c r="AC8" s="745"/>
      <c r="AD8" s="745"/>
      <c r="AE8" s="746"/>
      <c r="AF8" s="746"/>
      <c r="AG8" s="748"/>
      <c r="AH8" s="235"/>
    </row>
    <row r="9" spans="1:34" ht="15" customHeight="1" thickBot="1" x14ac:dyDescent="0.25">
      <c r="B9" s="754"/>
      <c r="C9" s="755"/>
      <c r="D9" s="755"/>
      <c r="E9" s="755">
        <f>SUM(E3:E8)</f>
        <v>55</v>
      </c>
      <c r="F9" s="753">
        <f>SUM(F3:F8)</f>
        <v>55000</v>
      </c>
      <c r="G9" s="755"/>
      <c r="H9" s="755"/>
      <c r="I9" s="755"/>
      <c r="J9" s="755"/>
      <c r="K9" s="756"/>
      <c r="M9" s="754"/>
      <c r="N9" s="755"/>
      <c r="O9" s="755"/>
      <c r="P9" s="755">
        <f>SUM(P3:P8)</f>
        <v>138</v>
      </c>
      <c r="Q9" s="753">
        <f>SUM(Q3:Q8)</f>
        <v>138000</v>
      </c>
      <c r="R9" s="755"/>
      <c r="S9" s="755"/>
      <c r="T9" s="755"/>
      <c r="U9" s="755"/>
      <c r="V9" s="756"/>
      <c r="X9" s="754"/>
      <c r="Y9" s="755"/>
      <c r="Z9" s="755"/>
      <c r="AA9" s="755">
        <f>SUM(AA3:AA8)</f>
        <v>224</v>
      </c>
      <c r="AB9" s="753">
        <f>SUM(AB3:AB8)</f>
        <v>224000</v>
      </c>
      <c r="AC9" s="755"/>
      <c r="AD9" s="755"/>
      <c r="AE9" s="755"/>
      <c r="AF9" s="755"/>
      <c r="AG9" s="756"/>
    </row>
    <row r="10" spans="1:34" ht="15" customHeight="1" x14ac:dyDescent="0.2">
      <c r="A10" s="235"/>
      <c r="B10" s="325" t="s">
        <v>114</v>
      </c>
      <c r="C10" s="325"/>
      <c r="D10" s="325" t="s">
        <v>115</v>
      </c>
      <c r="E10" s="325" t="s">
        <v>116</v>
      </c>
      <c r="F10" s="325" t="s">
        <v>117</v>
      </c>
      <c r="G10" s="325"/>
      <c r="H10" s="325"/>
      <c r="I10" s="325"/>
      <c r="J10" s="325"/>
      <c r="K10" s="325" t="s">
        <v>119</v>
      </c>
      <c r="L10" s="235"/>
      <c r="M10" s="325" t="s">
        <v>114</v>
      </c>
      <c r="N10" s="325"/>
      <c r="O10" s="325" t="s">
        <v>115</v>
      </c>
      <c r="P10" s="325" t="s">
        <v>116</v>
      </c>
      <c r="Q10" s="325" t="s">
        <v>117</v>
      </c>
      <c r="R10" s="325"/>
      <c r="S10" s="325"/>
      <c r="T10" s="325"/>
      <c r="U10" s="325"/>
      <c r="V10" s="325" t="s">
        <v>119</v>
      </c>
      <c r="W10" s="235"/>
      <c r="X10" s="645" t="s">
        <v>114</v>
      </c>
      <c r="Y10" s="644"/>
      <c r="Z10" s="646" t="s">
        <v>115</v>
      </c>
      <c r="AA10" s="325" t="s">
        <v>116</v>
      </c>
      <c r="AB10" s="325" t="s">
        <v>117</v>
      </c>
      <c r="AC10" s="325"/>
      <c r="AD10" s="325"/>
      <c r="AE10" s="325"/>
      <c r="AF10" s="325"/>
      <c r="AG10" s="325" t="s">
        <v>119</v>
      </c>
      <c r="AH10" s="235"/>
    </row>
    <row r="11" spans="1:34" ht="15" customHeight="1" x14ac:dyDescent="0.25">
      <c r="A11" s="235"/>
      <c r="B11" s="333"/>
      <c r="C11" s="327"/>
      <c r="D11" s="327">
        <v>9201</v>
      </c>
      <c r="E11" s="327">
        <f>+D11-D6</f>
        <v>6</v>
      </c>
      <c r="F11" s="328">
        <f>+E11*1000</f>
        <v>6000</v>
      </c>
      <c r="G11" s="328"/>
      <c r="H11" s="328"/>
      <c r="I11" s="329"/>
      <c r="J11" s="329"/>
      <c r="K11" s="331"/>
      <c r="L11" s="235"/>
      <c r="M11" s="333"/>
      <c r="N11" s="327"/>
      <c r="O11" s="327">
        <v>4839</v>
      </c>
      <c r="P11" s="327">
        <f>+O11-O6</f>
        <v>56</v>
      </c>
      <c r="Q11" s="328">
        <f>+P11*1000</f>
        <v>56000</v>
      </c>
      <c r="R11" s="328"/>
      <c r="S11" s="328"/>
      <c r="T11" s="329"/>
      <c r="U11" s="329"/>
      <c r="V11" s="331"/>
      <c r="W11" s="235"/>
      <c r="X11" s="333"/>
      <c r="Y11" s="336"/>
      <c r="Z11" s="327">
        <v>2018</v>
      </c>
      <c r="AA11" s="327">
        <f>+Z11-Z6</f>
        <v>10</v>
      </c>
      <c r="AB11" s="328">
        <f>+AA11*1000</f>
        <v>10000</v>
      </c>
      <c r="AC11" s="328"/>
      <c r="AD11" s="328"/>
      <c r="AE11" s="329"/>
      <c r="AF11" s="329"/>
      <c r="AG11" s="331"/>
      <c r="AH11" s="235"/>
    </row>
    <row r="12" spans="1:34" ht="15" customHeight="1" x14ac:dyDescent="0.25">
      <c r="A12" s="235"/>
      <c r="B12" s="333"/>
      <c r="C12" s="327"/>
      <c r="D12" s="327"/>
      <c r="E12" s="327" t="str">
        <f>IF(D12="","",D12-D11)</f>
        <v/>
      </c>
      <c r="F12" s="328" t="str">
        <f>IF(D12="","",E12*1000)</f>
        <v/>
      </c>
      <c r="G12" s="328"/>
      <c r="H12" s="328"/>
      <c r="I12" s="329"/>
      <c r="J12" s="329"/>
      <c r="K12" s="331"/>
      <c r="L12" s="235"/>
      <c r="M12" s="333"/>
      <c r="N12" s="327"/>
      <c r="O12" s="327"/>
      <c r="P12" s="327" t="str">
        <f>IF(O12="","",O12-O11)</f>
        <v/>
      </c>
      <c r="Q12" s="328" t="str">
        <f>IF(O12="","",P12*1000)</f>
        <v/>
      </c>
      <c r="R12" s="328"/>
      <c r="S12" s="328"/>
      <c r="T12" s="329"/>
      <c r="U12" s="329"/>
      <c r="V12" s="331"/>
      <c r="W12" s="235"/>
      <c r="X12" s="333"/>
      <c r="Y12" s="327"/>
      <c r="Z12" s="327"/>
      <c r="AA12" s="327" t="str">
        <f>IF(Z12="","",Z12-Z11)</f>
        <v/>
      </c>
      <c r="AB12" s="328" t="str">
        <f>IF(Z12="","",AA12*1000)</f>
        <v/>
      </c>
      <c r="AC12" s="328"/>
      <c r="AD12" s="328"/>
      <c r="AE12" s="329"/>
      <c r="AF12" s="329"/>
      <c r="AG12" s="331"/>
      <c r="AH12" s="235"/>
    </row>
    <row r="13" spans="1:34" ht="15" customHeight="1" x14ac:dyDescent="0.25">
      <c r="A13" s="235"/>
      <c r="B13" s="333"/>
      <c r="C13" s="327"/>
      <c r="D13" s="327"/>
      <c r="E13" s="327" t="str">
        <f>IF(D13="","",D13-D12)</f>
        <v/>
      </c>
      <c r="F13" s="328" t="str">
        <f>IF(D13="","",E13*1000)</f>
        <v/>
      </c>
      <c r="G13" s="328"/>
      <c r="H13" s="328"/>
      <c r="I13" s="329"/>
      <c r="J13" s="329"/>
      <c r="K13" s="331"/>
      <c r="L13" s="235"/>
      <c r="M13" s="333"/>
      <c r="N13" s="327"/>
      <c r="O13" s="327"/>
      <c r="P13" s="327" t="str">
        <f>IF(O13="","",O13-O12)</f>
        <v/>
      </c>
      <c r="Q13" s="328" t="str">
        <f>IF(O13="","",P13*1000)</f>
        <v/>
      </c>
      <c r="R13" s="328"/>
      <c r="S13" s="328"/>
      <c r="T13" s="329"/>
      <c r="U13" s="329"/>
      <c r="V13" s="331"/>
      <c r="W13" s="235"/>
      <c r="X13" s="333"/>
      <c r="Y13" s="336"/>
      <c r="Z13" s="327"/>
      <c r="AA13" s="327" t="str">
        <f>IF(Z13="","",Z13-Z12)</f>
        <v/>
      </c>
      <c r="AB13" s="328" t="str">
        <f>IF(Z13="","",AA13*1000)</f>
        <v/>
      </c>
      <c r="AC13" s="328"/>
      <c r="AD13" s="328"/>
      <c r="AE13" s="329"/>
      <c r="AF13" s="329"/>
      <c r="AG13" s="331"/>
      <c r="AH13" s="235"/>
    </row>
    <row r="14" spans="1:34" ht="15" customHeight="1" x14ac:dyDescent="0.25">
      <c r="A14" s="235"/>
      <c r="B14" s="333"/>
      <c r="C14" s="327"/>
      <c r="D14" s="327"/>
      <c r="E14" s="327" t="str">
        <f>IF(D14="","",D14-D13)</f>
        <v/>
      </c>
      <c r="F14" s="328" t="str">
        <f>IF(D14="","",E14*1000)</f>
        <v/>
      </c>
      <c r="G14" s="328"/>
      <c r="H14" s="328"/>
      <c r="I14" s="329"/>
      <c r="J14" s="329"/>
      <c r="K14" s="331"/>
      <c r="L14" s="235"/>
      <c r="M14" s="333"/>
      <c r="N14" s="327"/>
      <c r="O14" s="327"/>
      <c r="P14" s="327" t="str">
        <f>IF(O14="","",O14-O13)</f>
        <v/>
      </c>
      <c r="Q14" s="328" t="str">
        <f>IF(O14="","",P14*1000)</f>
        <v/>
      </c>
      <c r="R14" s="328"/>
      <c r="S14" s="328"/>
      <c r="T14" s="329"/>
      <c r="U14" s="329"/>
      <c r="V14" s="331"/>
      <c r="W14" s="235"/>
      <c r="X14" s="333"/>
      <c r="Y14" s="327"/>
      <c r="Z14" s="327"/>
      <c r="AA14" s="327" t="str">
        <f>IF(Z14="","",Z14-Z13)</f>
        <v/>
      </c>
      <c r="AB14" s="328" t="str">
        <f>IF(Z14="","",AA14*1000)</f>
        <v/>
      </c>
      <c r="AC14" s="328"/>
      <c r="AD14" s="328"/>
      <c r="AE14" s="329"/>
      <c r="AF14" s="329"/>
      <c r="AG14" s="331"/>
      <c r="AH14" s="235"/>
    </row>
    <row r="15" spans="1:34" ht="15" customHeight="1" x14ac:dyDescent="0.25">
      <c r="A15" s="235"/>
      <c r="B15" s="333"/>
      <c r="C15" s="327"/>
      <c r="D15" s="327"/>
      <c r="E15" s="327" t="str">
        <f>IF(D15="","",D15-D14)</f>
        <v/>
      </c>
      <c r="F15" s="328" t="str">
        <f>IF(D15="","",E15*1000)</f>
        <v/>
      </c>
      <c r="G15" s="328"/>
      <c r="H15" s="328"/>
      <c r="I15" s="329"/>
      <c r="J15" s="329"/>
      <c r="K15" s="331"/>
      <c r="L15" s="235"/>
      <c r="M15" s="333"/>
      <c r="N15" s="327"/>
      <c r="O15" s="327"/>
      <c r="P15" s="327" t="str">
        <f>IF(O15="","",O15-O14)</f>
        <v/>
      </c>
      <c r="Q15" s="328" t="str">
        <f>IF(O15="","",P15*1000)</f>
        <v/>
      </c>
      <c r="R15" s="328"/>
      <c r="S15" s="328"/>
      <c r="T15" s="329"/>
      <c r="U15" s="329"/>
      <c r="V15" s="331"/>
      <c r="W15" s="235"/>
      <c r="X15" s="333"/>
      <c r="Y15" s="336"/>
      <c r="Z15" s="327"/>
      <c r="AA15" s="327" t="str">
        <f>IF(Z15="","",Z15-Z14)</f>
        <v/>
      </c>
      <c r="AB15" s="328" t="str">
        <f>IF(Z15="","",AA15*1000)</f>
        <v/>
      </c>
      <c r="AC15" s="328"/>
      <c r="AD15" s="328"/>
      <c r="AE15" s="329"/>
      <c r="AF15" s="329"/>
      <c r="AG15" s="331"/>
      <c r="AH15" s="235"/>
    </row>
    <row r="16" spans="1:34" ht="15" customHeight="1" thickBot="1" x14ac:dyDescent="0.3">
      <c r="A16" s="235"/>
      <c r="B16" s="743"/>
      <c r="C16" s="744"/>
      <c r="D16" s="744"/>
      <c r="E16" s="744" t="str">
        <f>IF(D16="","",D16-D15)</f>
        <v/>
      </c>
      <c r="F16" s="745" t="str">
        <f>IF(D16="","",E16*1000)</f>
        <v/>
      </c>
      <c r="G16" s="745"/>
      <c r="H16" s="745"/>
      <c r="I16" s="746"/>
      <c r="J16" s="746"/>
      <c r="K16" s="748"/>
      <c r="L16" s="235"/>
      <c r="M16" s="333"/>
      <c r="N16" s="744"/>
      <c r="O16" s="744"/>
      <c r="P16" s="744" t="str">
        <f>IF(O16="","",O16-O15)</f>
        <v/>
      </c>
      <c r="Q16" s="745" t="str">
        <f>IF(O16="","",P16*1000)</f>
        <v/>
      </c>
      <c r="R16" s="745"/>
      <c r="S16" s="745"/>
      <c r="T16" s="746"/>
      <c r="U16" s="746"/>
      <c r="V16" s="748"/>
      <c r="W16" s="235"/>
      <c r="X16" s="333"/>
      <c r="Y16" s="744"/>
      <c r="Z16" s="744"/>
      <c r="AA16" s="744" t="str">
        <f>IF(Z16="","",Z16-Z15)</f>
        <v/>
      </c>
      <c r="AB16" s="745" t="str">
        <f>IF(Z16="","",AA16*1000)</f>
        <v/>
      </c>
      <c r="AC16" s="745"/>
      <c r="AD16" s="745"/>
      <c r="AE16" s="746"/>
      <c r="AF16" s="746"/>
      <c r="AG16" s="748"/>
      <c r="AH16" s="235"/>
    </row>
    <row r="17" spans="1:34" ht="15" customHeight="1" thickBot="1" x14ac:dyDescent="0.25">
      <c r="A17" s="801"/>
      <c r="B17" s="754"/>
      <c r="C17" s="755"/>
      <c r="D17" s="755"/>
      <c r="E17" s="755">
        <f>SUM(E11:E16)</f>
        <v>6</v>
      </c>
      <c r="F17" s="753">
        <f>SUM(F11:F16)</f>
        <v>6000</v>
      </c>
      <c r="G17" s="755"/>
      <c r="H17" s="755"/>
      <c r="I17" s="755"/>
      <c r="J17" s="755"/>
      <c r="K17" s="756"/>
      <c r="L17" s="801"/>
      <c r="M17" s="754"/>
      <c r="N17" s="755"/>
      <c r="O17" s="755"/>
      <c r="P17" s="755">
        <f>SUM(P11:P16)</f>
        <v>56</v>
      </c>
      <c r="Q17" s="753">
        <f>SUM(Q11:Q16)</f>
        <v>56000</v>
      </c>
      <c r="R17" s="755"/>
      <c r="S17" s="755"/>
      <c r="T17" s="755"/>
      <c r="U17" s="755"/>
      <c r="V17" s="756"/>
      <c r="W17" s="801"/>
      <c r="X17" s="754"/>
      <c r="Y17" s="755"/>
      <c r="Z17" s="755"/>
      <c r="AA17" s="755">
        <f>SUM(AA11:AA16)</f>
        <v>10</v>
      </c>
      <c r="AB17" s="753">
        <f>SUM(AB11:AB16)</f>
        <v>10000</v>
      </c>
      <c r="AC17" s="755"/>
      <c r="AD17" s="755"/>
      <c r="AE17" s="755"/>
      <c r="AF17" s="755"/>
      <c r="AG17" s="756"/>
      <c r="AH17" s="801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3">
    <pageSetUpPr fitToPage="1"/>
  </sheetPr>
  <dimension ref="B1:L16"/>
  <sheetViews>
    <sheetView workbookViewId="0">
      <pane ySplit="1" topLeftCell="A81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2.015625" customWidth="1"/>
    <col min="2" max="2" width="11.97265625" bestFit="1" customWidth="1"/>
    <col min="3" max="3" width="7.6640625" bestFit="1" customWidth="1"/>
    <col min="4" max="4" width="6.859375" bestFit="1" customWidth="1"/>
    <col min="5" max="5" width="7.93359375" bestFit="1" customWidth="1"/>
    <col min="6" max="6" width="24.6171875" bestFit="1" customWidth="1"/>
    <col min="7" max="7" width="4.03515625" customWidth="1"/>
    <col min="8" max="8" width="11.97265625" bestFit="1" customWidth="1"/>
    <col min="9" max="11" width="9.01171875" customWidth="1"/>
    <col min="12" max="15" width="18.6953125" customWidth="1"/>
    <col min="16" max="16" width="9.01171875" customWidth="1"/>
    <col min="17" max="17" width="14.390625" bestFit="1" customWidth="1"/>
  </cols>
  <sheetData>
    <row r="1" spans="2:12" ht="15" customHeight="1" thickBot="1" x14ac:dyDescent="0.35">
      <c r="B1" s="735" t="s">
        <v>148</v>
      </c>
      <c r="C1" s="736"/>
      <c r="D1" s="736"/>
      <c r="E1" s="736"/>
      <c r="F1" s="26"/>
      <c r="G1" s="718"/>
      <c r="H1" s="719" t="s">
        <v>154</v>
      </c>
      <c r="I1" s="736"/>
      <c r="J1" s="736"/>
      <c r="K1" s="736"/>
      <c r="L1" s="26"/>
    </row>
    <row r="2" spans="2:12" ht="15" customHeight="1" thickBot="1" x14ac:dyDescent="0.25">
      <c r="B2" s="7" t="s">
        <v>142</v>
      </c>
      <c r="C2" s="8" t="s">
        <v>143</v>
      </c>
      <c r="D2" s="8" t="s">
        <v>144</v>
      </c>
      <c r="E2" s="8" t="s">
        <v>145</v>
      </c>
      <c r="F2" s="9" t="s">
        <v>146</v>
      </c>
      <c r="G2" s="718"/>
      <c r="H2" s="7" t="s">
        <v>142</v>
      </c>
      <c r="I2" s="8" t="s">
        <v>143</v>
      </c>
      <c r="J2" s="8" t="s">
        <v>144</v>
      </c>
      <c r="K2" s="8" t="s">
        <v>145</v>
      </c>
      <c r="L2" s="9" t="s">
        <v>146</v>
      </c>
    </row>
    <row r="3" spans="2:12" ht="15" customHeight="1" x14ac:dyDescent="0.3">
      <c r="B3" s="213">
        <v>46130</v>
      </c>
      <c r="C3" s="46">
        <v>3106</v>
      </c>
      <c r="D3" s="170">
        <v>0</v>
      </c>
      <c r="E3" s="171">
        <v>0</v>
      </c>
      <c r="F3" s="172"/>
      <c r="G3" s="718"/>
      <c r="H3" s="213">
        <v>46130</v>
      </c>
      <c r="I3" s="46">
        <v>1772</v>
      </c>
      <c r="J3" s="170">
        <v>0</v>
      </c>
      <c r="K3" s="171">
        <v>0</v>
      </c>
      <c r="L3" s="172"/>
    </row>
    <row r="4" spans="2:12" ht="15" customHeight="1" x14ac:dyDescent="0.3">
      <c r="B4" s="213">
        <v>46132</v>
      </c>
      <c r="C4" s="46">
        <v>3115</v>
      </c>
      <c r="D4" s="170">
        <f>IF(C4="","",C4-C3)</f>
        <v>9</v>
      </c>
      <c r="E4" s="171">
        <f>IF(C4="","",D4*1000)</f>
        <v>9000</v>
      </c>
      <c r="F4" s="172"/>
      <c r="G4" s="718"/>
      <c r="H4" s="661">
        <v>46132</v>
      </c>
      <c r="I4" s="46">
        <v>1774</v>
      </c>
      <c r="J4" s="170">
        <f>IF(I4="","",I4-I3)</f>
        <v>2</v>
      </c>
      <c r="K4" s="171">
        <f>IF(I4="","",J4*2000)</f>
        <v>4000</v>
      </c>
      <c r="L4" s="172"/>
    </row>
    <row r="5" spans="2:12" ht="15" customHeight="1" x14ac:dyDescent="0.3">
      <c r="B5" s="213">
        <v>46136</v>
      </c>
      <c r="C5" s="46">
        <v>3132</v>
      </c>
      <c r="D5" s="170">
        <f>IF(C5="","",C5-C4)</f>
        <v>17</v>
      </c>
      <c r="E5" s="171">
        <f>IF(C5="","",D5*1000)</f>
        <v>17000</v>
      </c>
      <c r="F5" s="172" t="s">
        <v>379</v>
      </c>
      <c r="G5" s="718"/>
      <c r="H5" s="661">
        <v>46136</v>
      </c>
      <c r="I5" s="46">
        <v>1776</v>
      </c>
      <c r="J5" s="170">
        <f>IF(I5="","",I5-I4)</f>
        <v>2</v>
      </c>
      <c r="K5" s="171">
        <f>IF(I5="","",J5*1000)</f>
        <v>2000</v>
      </c>
      <c r="L5" s="51" t="s">
        <v>378</v>
      </c>
    </row>
    <row r="6" spans="2:12" ht="15" customHeight="1" x14ac:dyDescent="0.3">
      <c r="B6" s="212">
        <v>46139</v>
      </c>
      <c r="C6" s="13">
        <v>3151</v>
      </c>
      <c r="D6" s="170">
        <f>IF(C6="","",C6-C5)</f>
        <v>19</v>
      </c>
      <c r="E6" s="171">
        <f>IF(C6="","",D6*1000)</f>
        <v>19000</v>
      </c>
      <c r="F6" s="172" t="s">
        <v>380</v>
      </c>
      <c r="G6" s="718"/>
      <c r="H6" s="661">
        <v>46139</v>
      </c>
      <c r="I6" s="13">
        <v>1781</v>
      </c>
      <c r="J6" s="170">
        <f>IF(I6="","",I6-I5)</f>
        <v>5</v>
      </c>
      <c r="K6" s="171">
        <f>IF(I6="","",J6*1000)</f>
        <v>5000</v>
      </c>
      <c r="L6" s="172" t="s">
        <v>381</v>
      </c>
    </row>
    <row r="7" spans="2:12" ht="15" customHeight="1" x14ac:dyDescent="0.3">
      <c r="B7" s="212">
        <v>46142</v>
      </c>
      <c r="C7" s="13">
        <v>3156</v>
      </c>
      <c r="D7" s="170">
        <f>IF(C7="","",C7-C6)</f>
        <v>5</v>
      </c>
      <c r="E7" s="171">
        <f>IF(C7="","",D7*1000)</f>
        <v>5000</v>
      </c>
      <c r="F7" s="172"/>
      <c r="G7" s="718"/>
      <c r="H7" s="661">
        <v>46142</v>
      </c>
      <c r="I7" s="13">
        <v>1789</v>
      </c>
      <c r="J7" s="170">
        <f>IF(I7="","",I7-I6)</f>
        <v>8</v>
      </c>
      <c r="K7" s="171">
        <f>IF(I7="","",J7*1000)</f>
        <v>8000</v>
      </c>
      <c r="L7" s="225"/>
    </row>
    <row r="8" spans="2:12" ht="15" customHeight="1" x14ac:dyDescent="0.3">
      <c r="B8" s="212">
        <v>46145</v>
      </c>
      <c r="C8" s="13">
        <v>3162</v>
      </c>
      <c r="D8" s="170">
        <f>IF(C8="","",C8-C7)</f>
        <v>6</v>
      </c>
      <c r="E8" s="171">
        <f>IF(C8="","",D8*1000)</f>
        <v>6000</v>
      </c>
      <c r="F8" s="172"/>
      <c r="G8" s="718"/>
      <c r="H8" s="661">
        <v>46145</v>
      </c>
      <c r="I8" s="13">
        <v>1792</v>
      </c>
      <c r="J8" s="170">
        <f>IF(I8="","",I8-I7)</f>
        <v>3</v>
      </c>
      <c r="K8" s="171">
        <f>IF(I8="","",J8*1000)</f>
        <v>3000</v>
      </c>
      <c r="L8" s="225"/>
    </row>
    <row r="9" spans="2:12" ht="15" customHeight="1" x14ac:dyDescent="0.3">
      <c r="B9" s="212">
        <v>46147</v>
      </c>
      <c r="C9" s="13">
        <v>3170</v>
      </c>
      <c r="D9" s="170">
        <f>IF(C9="","",C9-C8)</f>
        <v>8</v>
      </c>
      <c r="E9" s="171">
        <f>IF(C9="","",D9*1000)</f>
        <v>8000</v>
      </c>
      <c r="F9" s="172"/>
      <c r="G9" s="718"/>
      <c r="H9" s="661">
        <v>46147</v>
      </c>
      <c r="I9" s="13">
        <v>1795</v>
      </c>
      <c r="J9" s="170">
        <f>IF(I9="","",I9-I8)</f>
        <v>3</v>
      </c>
      <c r="K9" s="171">
        <f>IF(I9="","",J9*1000)</f>
        <v>3000</v>
      </c>
      <c r="L9" s="172"/>
    </row>
    <row r="10" spans="2:12" ht="15" customHeight="1" x14ac:dyDescent="0.3">
      <c r="B10" s="212">
        <v>46150</v>
      </c>
      <c r="C10" s="13">
        <v>3184</v>
      </c>
      <c r="D10" s="170">
        <f>IF(C10="","",C10-C9)</f>
        <v>14</v>
      </c>
      <c r="E10" s="171">
        <f>IF(C10="","",D10*1000)</f>
        <v>14000</v>
      </c>
      <c r="F10" s="172" t="s">
        <v>385</v>
      </c>
      <c r="G10" s="718"/>
      <c r="H10" s="661">
        <v>46150</v>
      </c>
      <c r="I10" s="13">
        <v>1802</v>
      </c>
      <c r="J10" s="170">
        <f>IF(I10="","",I10-I9)</f>
        <v>7</v>
      </c>
      <c r="K10" s="171">
        <f>IF(I10="","",J10*1000)</f>
        <v>7000</v>
      </c>
      <c r="L10" s="172" t="s">
        <v>386</v>
      </c>
    </row>
    <row r="11" spans="2:12" ht="15" customHeight="1" x14ac:dyDescent="0.3">
      <c r="B11" s="213">
        <v>46153</v>
      </c>
      <c r="C11" s="46">
        <v>3197</v>
      </c>
      <c r="D11" s="170">
        <f>IF(C11="","",C11-C10)</f>
        <v>13</v>
      </c>
      <c r="E11" s="171">
        <f>IF(C11="","",D11*1000)</f>
        <v>13000</v>
      </c>
      <c r="F11" s="172"/>
      <c r="G11" s="718"/>
      <c r="H11" s="661">
        <v>46147</v>
      </c>
      <c r="I11" s="46">
        <v>1807</v>
      </c>
      <c r="J11" s="170">
        <f>IF(I11="","",I11-I10)</f>
        <v>5</v>
      </c>
      <c r="K11" s="171">
        <f>IF(I11="","",J11*1000)</f>
        <v>5000</v>
      </c>
      <c r="L11" s="172"/>
    </row>
    <row r="12" spans="2:12" ht="15" customHeight="1" x14ac:dyDescent="0.3">
      <c r="B12" s="213">
        <v>46157</v>
      </c>
      <c r="C12" s="46">
        <v>3201</v>
      </c>
      <c r="D12" s="170">
        <f>IF(C12="","",C12-C11)</f>
        <v>4</v>
      </c>
      <c r="E12" s="171">
        <f>IF(C12="","",D12*1000)</f>
        <v>4000</v>
      </c>
      <c r="F12" s="172" t="s">
        <v>388</v>
      </c>
      <c r="G12" s="718"/>
      <c r="H12" s="661">
        <v>46157</v>
      </c>
      <c r="I12" s="46">
        <v>1814</v>
      </c>
      <c r="J12" s="170">
        <f>IF(I12="","",I12-I11)</f>
        <v>7</v>
      </c>
      <c r="K12" s="171">
        <f>IF(I12="","",J12*1000)</f>
        <v>7000</v>
      </c>
      <c r="L12" s="172"/>
    </row>
    <row r="13" spans="2:12" ht="15" customHeight="1" x14ac:dyDescent="0.3">
      <c r="B13" s="213">
        <v>46160</v>
      </c>
      <c r="C13" s="46">
        <v>3205</v>
      </c>
      <c r="D13" s="170">
        <f>IF(C13="","",C13-C12)</f>
        <v>4</v>
      </c>
      <c r="E13" s="171">
        <f>IF(C13="","",D13*1000)</f>
        <v>4000</v>
      </c>
      <c r="F13" s="172"/>
      <c r="G13" s="718"/>
      <c r="H13" s="661">
        <f>IF(B13="","",B13)</f>
        <v>46160</v>
      </c>
      <c r="I13" s="46">
        <v>1818</v>
      </c>
      <c r="J13" s="170">
        <f>IF(I13="","",I13-I12)</f>
        <v>4</v>
      </c>
      <c r="K13" s="171">
        <f>IF(I13="","",J13*1000)</f>
        <v>4000</v>
      </c>
      <c r="L13" s="172"/>
    </row>
    <row r="14" spans="2:12" ht="15" customHeight="1" x14ac:dyDescent="0.3">
      <c r="B14" s="213">
        <v>46164</v>
      </c>
      <c r="C14" s="46"/>
      <c r="D14" s="170" t="str">
        <f>IF(C14="","",C14-C13)</f>
        <v/>
      </c>
      <c r="E14" s="171" t="str">
        <f>IF(C14="","",D14*1000)</f>
        <v/>
      </c>
      <c r="F14" s="172"/>
      <c r="G14" s="718"/>
      <c r="H14" s="664">
        <f>IF(B14="","",B14)</f>
        <v>46164</v>
      </c>
      <c r="I14" s="46"/>
      <c r="J14" s="170" t="str">
        <f>IF(I14="","",I14-I13)</f>
        <v/>
      </c>
      <c r="K14" s="171" t="str">
        <f>IF(I14="","",J14*1000)</f>
        <v/>
      </c>
      <c r="L14" s="172"/>
    </row>
    <row r="15" spans="2:12" ht="15" customHeight="1" thickBot="1" x14ac:dyDescent="0.35">
      <c r="B15" s="214">
        <v>46167</v>
      </c>
      <c r="C15" s="39">
        <v>3209</v>
      </c>
      <c r="D15" s="240">
        <f>IF(C15="","",C15-C12)</f>
        <v>8</v>
      </c>
      <c r="E15" s="223">
        <f>IF(C15="","",D15*1000)</f>
        <v>8000</v>
      </c>
      <c r="F15" s="176" t="s">
        <v>394</v>
      </c>
      <c r="G15" s="718"/>
      <c r="H15" s="662">
        <f>IF(B15="","",B15)</f>
        <v>46167</v>
      </c>
      <c r="I15" s="663">
        <v>1823</v>
      </c>
      <c r="J15" s="240">
        <f>IF(I15="","",I15-I12)</f>
        <v>9</v>
      </c>
      <c r="K15" s="223">
        <f>IF(I15="","",J15*1000)</f>
        <v>9000</v>
      </c>
      <c r="L15" s="176" t="s">
        <v>395</v>
      </c>
    </row>
    <row r="16" spans="2:12" ht="15" customHeight="1" thickBot="1" x14ac:dyDescent="0.35">
      <c r="B16" s="15"/>
      <c r="C16" s="16"/>
      <c r="D16" s="16">
        <f>SUM(D3:D15)</f>
        <v>107</v>
      </c>
      <c r="E16" s="17">
        <f>SUM(E3:E15)</f>
        <v>107000</v>
      </c>
      <c r="F16" s="176"/>
      <c r="G16" s="718"/>
      <c r="H16" s="15"/>
      <c r="I16" s="16"/>
      <c r="J16" s="16">
        <f>SUM(J3:J15)</f>
        <v>55</v>
      </c>
      <c r="K16" s="17">
        <f>SUM(K3:K15)</f>
        <v>57000</v>
      </c>
      <c r="L16" s="176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4">
    <pageSetUpPr fitToPage="1"/>
  </sheetPr>
  <dimension ref="B1:F32"/>
  <sheetViews>
    <sheetView topLeftCell="K1" workbookViewId="0">
      <pane ySplit="1" topLeftCell="K107" activePane="bottomLeft" state="frozen"/>
      <selection activeCell="K1" sqref="K1"/>
      <selection pane="bottomLeft" activeCell="K1" sqref="K1:L1"/>
    </sheetView>
  </sheetViews>
  <sheetFormatPr defaultColWidth="14.390625" defaultRowHeight="15" customHeight="1" x14ac:dyDescent="0.2"/>
  <cols>
    <col min="1" max="1" width="2.41796875" customWidth="1"/>
    <col min="2" max="2" width="10.76171875" customWidth="1"/>
    <col min="3" max="4" width="7.3984375" customWidth="1"/>
    <col min="5" max="5" width="11.56640625" customWidth="1"/>
    <col min="6" max="6" width="10.22265625" customWidth="1"/>
    <col min="7" max="7" width="7.53125" customWidth="1"/>
    <col min="8" max="8" width="9.28125" customWidth="1"/>
    <col min="9" max="12" width="9.01171875" customWidth="1"/>
  </cols>
  <sheetData>
    <row r="1" spans="2:6" ht="15" customHeight="1" thickBot="1" x14ac:dyDescent="0.35">
      <c r="B1" s="847" t="s">
        <v>148</v>
      </c>
      <c r="C1" s="847"/>
      <c r="D1" s="5"/>
      <c r="E1" s="5"/>
      <c r="F1" s="26"/>
    </row>
    <row r="2" spans="2:6" ht="15" customHeight="1" thickBot="1" x14ac:dyDescent="0.25">
      <c r="B2" s="7" t="s">
        <v>142</v>
      </c>
      <c r="C2" s="8" t="s">
        <v>143</v>
      </c>
      <c r="D2" s="8" t="s">
        <v>144</v>
      </c>
      <c r="E2" s="8" t="s">
        <v>145</v>
      </c>
      <c r="F2" s="9" t="s">
        <v>146</v>
      </c>
    </row>
    <row r="3" spans="2:6" ht="15" customHeight="1" x14ac:dyDescent="0.3">
      <c r="B3" s="213">
        <v>46098</v>
      </c>
      <c r="C3" s="46">
        <v>1584</v>
      </c>
      <c r="D3" s="170"/>
      <c r="E3" s="171"/>
      <c r="F3" s="172"/>
    </row>
    <row r="4" spans="2:6" ht="15" customHeight="1" x14ac:dyDescent="0.3">
      <c r="B4" s="213">
        <v>1559</v>
      </c>
      <c r="C4" s="46">
        <v>1620</v>
      </c>
      <c r="D4" s="170">
        <f t="shared" ref="D4:D14" si="0">IF(C4="","",C4-C3)</f>
        <v>36</v>
      </c>
      <c r="E4" s="171">
        <f t="shared" ref="E4:E15" si="1">IF(C4="","",D4*1000)</f>
        <v>36000</v>
      </c>
      <c r="F4" s="172"/>
    </row>
    <row r="5" spans="2:6" ht="15" customHeight="1" x14ac:dyDescent="0.3">
      <c r="B5" s="213">
        <v>46130</v>
      </c>
      <c r="C5" s="46">
        <v>1627</v>
      </c>
      <c r="D5" s="170">
        <f t="shared" si="0"/>
        <v>7</v>
      </c>
      <c r="E5" s="171">
        <f t="shared" si="1"/>
        <v>7000</v>
      </c>
      <c r="F5" s="172"/>
    </row>
    <row r="6" spans="2:6" ht="15" customHeight="1" x14ac:dyDescent="0.3">
      <c r="B6" s="212"/>
      <c r="C6" s="13"/>
      <c r="D6" s="170" t="str">
        <f t="shared" si="0"/>
        <v/>
      </c>
      <c r="E6" s="171" t="str">
        <f t="shared" si="1"/>
        <v/>
      </c>
      <c r="F6" s="172"/>
    </row>
    <row r="7" spans="2:6" ht="15" customHeight="1" x14ac:dyDescent="0.3">
      <c r="B7" s="212"/>
      <c r="C7" s="13"/>
      <c r="D7" s="170" t="str">
        <f t="shared" si="0"/>
        <v/>
      </c>
      <c r="E7" s="171" t="str">
        <f t="shared" si="1"/>
        <v/>
      </c>
      <c r="F7" s="172"/>
    </row>
    <row r="8" spans="2:6" ht="15" customHeight="1" x14ac:dyDescent="0.3">
      <c r="B8" s="212"/>
      <c r="C8" s="13"/>
      <c r="D8" s="170" t="str">
        <f t="shared" si="0"/>
        <v/>
      </c>
      <c r="E8" s="171" t="str">
        <f t="shared" si="1"/>
        <v/>
      </c>
      <c r="F8" s="172"/>
    </row>
    <row r="9" spans="2:6" ht="15" customHeight="1" x14ac:dyDescent="0.3">
      <c r="B9" s="212"/>
      <c r="C9" s="13"/>
      <c r="D9" s="170" t="str">
        <f t="shared" si="0"/>
        <v/>
      </c>
      <c r="E9" s="171" t="str">
        <f t="shared" si="1"/>
        <v/>
      </c>
      <c r="F9" s="172"/>
    </row>
    <row r="10" spans="2:6" ht="15" customHeight="1" x14ac:dyDescent="0.3">
      <c r="B10" s="212"/>
      <c r="C10" s="13"/>
      <c r="D10" s="170" t="str">
        <f t="shared" si="0"/>
        <v/>
      </c>
      <c r="E10" s="171" t="str">
        <f t="shared" si="1"/>
        <v/>
      </c>
      <c r="F10" s="172"/>
    </row>
    <row r="11" spans="2:6" ht="15" customHeight="1" x14ac:dyDescent="0.3">
      <c r="B11" s="213"/>
      <c r="C11" s="46"/>
      <c r="D11" s="170" t="str">
        <f t="shared" si="0"/>
        <v/>
      </c>
      <c r="E11" s="171" t="str">
        <f t="shared" si="1"/>
        <v/>
      </c>
      <c r="F11" s="172"/>
    </row>
    <row r="12" spans="2:6" ht="15" customHeight="1" x14ac:dyDescent="0.3">
      <c r="B12" s="213"/>
      <c r="C12" s="46"/>
      <c r="D12" s="170" t="str">
        <f t="shared" si="0"/>
        <v/>
      </c>
      <c r="E12" s="171" t="str">
        <f t="shared" si="1"/>
        <v/>
      </c>
      <c r="F12" s="172"/>
    </row>
    <row r="13" spans="2:6" ht="15" customHeight="1" x14ac:dyDescent="0.3">
      <c r="B13" s="213"/>
      <c r="C13" s="46"/>
      <c r="D13" s="170" t="str">
        <f t="shared" si="0"/>
        <v/>
      </c>
      <c r="E13" s="171" t="str">
        <f t="shared" si="1"/>
        <v/>
      </c>
      <c r="F13" s="51"/>
    </row>
    <row r="14" spans="2:6" ht="15" customHeight="1" x14ac:dyDescent="0.3">
      <c r="B14" s="213"/>
      <c r="C14" s="46"/>
      <c r="D14" s="170" t="str">
        <f t="shared" si="0"/>
        <v/>
      </c>
      <c r="E14" s="171" t="str">
        <f t="shared" si="1"/>
        <v/>
      </c>
      <c r="F14" s="51"/>
    </row>
    <row r="15" spans="2:6" ht="15" customHeight="1" thickBot="1" x14ac:dyDescent="0.35">
      <c r="B15" s="214"/>
      <c r="C15" s="39"/>
      <c r="D15" s="240" t="str">
        <f>IF(C15="","",C15-C12)</f>
        <v/>
      </c>
      <c r="E15" s="223" t="str">
        <f t="shared" si="1"/>
        <v/>
      </c>
      <c r="F15" s="176"/>
    </row>
    <row r="16" spans="2:6" ht="15" customHeight="1" thickBot="1" x14ac:dyDescent="0.35">
      <c r="B16" s="15"/>
      <c r="C16" s="16"/>
      <c r="D16" s="16">
        <f>SUM(D3:D15)</f>
        <v>43</v>
      </c>
      <c r="E16" s="17">
        <f>SUM(E3:E15)</f>
        <v>43000</v>
      </c>
      <c r="F16" s="176"/>
    </row>
    <row r="18" spans="2:6" ht="15" customHeight="1" thickBot="1" x14ac:dyDescent="0.35">
      <c r="B18" s="847" t="s">
        <v>148</v>
      </c>
      <c r="C18" s="847"/>
      <c r="D18" s="736"/>
      <c r="E18" s="736"/>
      <c r="F18" s="26"/>
    </row>
    <row r="19" spans="2:6" ht="15" customHeight="1" thickBot="1" x14ac:dyDescent="0.25">
      <c r="B19" s="7" t="s">
        <v>142</v>
      </c>
      <c r="C19" s="8" t="s">
        <v>143</v>
      </c>
      <c r="D19" s="8" t="s">
        <v>144</v>
      </c>
      <c r="E19" s="8" t="s">
        <v>145</v>
      </c>
      <c r="F19" s="9" t="s">
        <v>146</v>
      </c>
    </row>
    <row r="20" spans="2:6" s="795" customFormat="1" ht="15" customHeight="1" x14ac:dyDescent="0.3">
      <c r="B20" s="213">
        <v>46130</v>
      </c>
      <c r="C20" s="46">
        <v>1627</v>
      </c>
      <c r="D20" s="170"/>
      <c r="E20" s="171"/>
      <c r="F20" s="172"/>
    </row>
    <row r="21" spans="2:6" ht="15" customHeight="1" x14ac:dyDescent="0.3">
      <c r="B21" s="212">
        <v>46146</v>
      </c>
      <c r="C21" s="13">
        <v>1656</v>
      </c>
      <c r="D21" s="170">
        <f>IF(C21="","",C21-C20)</f>
        <v>29</v>
      </c>
      <c r="E21" s="171">
        <f>IF(C21="","",D21*1000)</f>
        <v>29000</v>
      </c>
      <c r="F21" s="172"/>
    </row>
    <row r="22" spans="2:6" ht="15" customHeight="1" x14ac:dyDescent="0.3">
      <c r="B22" s="212">
        <v>46150</v>
      </c>
      <c r="C22" s="13">
        <v>1664</v>
      </c>
      <c r="D22" s="170">
        <f>IF(C22="","",C22-C21)</f>
        <v>8</v>
      </c>
      <c r="E22" s="171">
        <f>IF(C22="","",D22*1000)</f>
        <v>8000</v>
      </c>
      <c r="F22" s="172"/>
    </row>
    <row r="23" spans="2:6" ht="15" customHeight="1" x14ac:dyDescent="0.3">
      <c r="B23" s="212">
        <v>46157</v>
      </c>
      <c r="C23" s="13">
        <v>1672</v>
      </c>
      <c r="D23" s="170">
        <f>IF(C23="","",C23-C22)</f>
        <v>8</v>
      </c>
      <c r="E23" s="171">
        <f>IF(C23="","",D23*1000)</f>
        <v>8000</v>
      </c>
      <c r="F23" s="172"/>
    </row>
    <row r="24" spans="2:6" ht="15" customHeight="1" x14ac:dyDescent="0.3">
      <c r="B24" s="212">
        <v>46160</v>
      </c>
      <c r="C24" s="13">
        <v>1687</v>
      </c>
      <c r="D24" s="170">
        <f>IF(C24="","",C24-C23)</f>
        <v>15</v>
      </c>
      <c r="E24" s="171">
        <f>IF(C24="","",D24*1000)</f>
        <v>15000</v>
      </c>
      <c r="F24" s="172"/>
    </row>
    <row r="25" spans="2:6" ht="15" customHeight="1" x14ac:dyDescent="0.3">
      <c r="B25" s="212">
        <v>46164</v>
      </c>
      <c r="C25" s="13">
        <v>1697</v>
      </c>
      <c r="D25" s="170">
        <f>IF(C25="","",C25-C24)</f>
        <v>10</v>
      </c>
      <c r="E25" s="171">
        <f>IF(C25="","",D25*1000)</f>
        <v>10000</v>
      </c>
      <c r="F25" s="172"/>
    </row>
    <row r="26" spans="2:6" ht="15" customHeight="1" x14ac:dyDescent="0.3">
      <c r="B26" s="213"/>
      <c r="C26" s="46"/>
      <c r="D26" s="170" t="str">
        <f>IF(C26="","",C26-C25)</f>
        <v/>
      </c>
      <c r="E26" s="171" t="str">
        <f>IF(C26="","",D26*1000)</f>
        <v/>
      </c>
      <c r="F26" s="172"/>
    </row>
    <row r="27" spans="2:6" ht="15" customHeight="1" x14ac:dyDescent="0.3">
      <c r="B27" s="213"/>
      <c r="C27" s="46"/>
      <c r="D27" s="170" t="str">
        <f>IF(C27="","",C27-C26)</f>
        <v/>
      </c>
      <c r="E27" s="171" t="str">
        <f>IF(C27="","",D27*1000)</f>
        <v/>
      </c>
      <c r="F27" s="172"/>
    </row>
    <row r="28" spans="2:6" ht="15" customHeight="1" x14ac:dyDescent="0.3">
      <c r="B28" s="213"/>
      <c r="C28" s="46"/>
      <c r="D28" s="170" t="str">
        <f>IF(C28="","",C28-C27)</f>
        <v/>
      </c>
      <c r="E28" s="171" t="str">
        <f>IF(C28="","",D28*1000)</f>
        <v/>
      </c>
      <c r="F28" s="51"/>
    </row>
    <row r="29" spans="2:6" ht="15" customHeight="1" x14ac:dyDescent="0.3">
      <c r="B29" s="213"/>
      <c r="C29" s="46"/>
      <c r="D29" s="170" t="str">
        <f>IF(C29="","",C29-C28)</f>
        <v/>
      </c>
      <c r="E29" s="171" t="str">
        <f>IF(C29="","",D29*1000)</f>
        <v/>
      </c>
      <c r="F29" s="51"/>
    </row>
    <row r="30" spans="2:6" ht="15" customHeight="1" thickBot="1" x14ac:dyDescent="0.35">
      <c r="B30" s="214"/>
      <c r="C30" s="39"/>
      <c r="D30" s="240" t="str">
        <f>IF(C30="","",C30-C27)</f>
        <v/>
      </c>
      <c r="E30" s="223" t="str">
        <f>IF(C30="","",D30*1000)</f>
        <v/>
      </c>
      <c r="F30" s="176"/>
    </row>
    <row r="31" spans="2:6" ht="15" customHeight="1" thickBot="1" x14ac:dyDescent="0.35">
      <c r="B31" s="15"/>
      <c r="C31" s="16"/>
      <c r="D31" s="16">
        <f>SUM(D20:D30)</f>
        <v>70</v>
      </c>
      <c r="E31" s="17">
        <f>SUM(E20:E30)</f>
        <v>70000</v>
      </c>
      <c r="F31" s="176"/>
    </row>
    <row r="32" spans="2:6" ht="15" customHeight="1" x14ac:dyDescent="0.2">
      <c r="E32" s="797"/>
    </row>
  </sheetData>
  <mergeCells count="2">
    <mergeCell ref="B1:C1"/>
    <mergeCell ref="B18:C18"/>
  </mergeCells>
  <phoneticPr fontId="35"/>
  <pageMargins left="0.69930555555555596" right="0.69930555555555596" top="0.75" bottom="0.75" header="0" footer="0"/>
  <pageSetup paperSize="9" scale="87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5">
    <pageSetUpPr fitToPage="1"/>
  </sheetPr>
  <dimension ref="B1:K71"/>
  <sheetViews>
    <sheetView workbookViewId="0">
      <pane ySplit="1" topLeftCell="A120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14.52734375" customWidth="1"/>
    <col min="3" max="3" width="7.3984375" customWidth="1"/>
    <col min="4" max="4" width="9.14453125" bestFit="1" customWidth="1"/>
    <col min="5" max="5" width="6.9921875" bestFit="1" customWidth="1"/>
    <col min="6" max="6" width="10.22265625" customWidth="1"/>
    <col min="7" max="7" width="14.796875" customWidth="1"/>
    <col min="8" max="8" width="9.28125" customWidth="1"/>
    <col min="9" max="9" width="11.43359375" customWidth="1"/>
    <col min="10" max="10" width="10.22265625" customWidth="1"/>
    <col min="11" max="11" width="25.421875" customWidth="1"/>
    <col min="12" max="12" width="10.22265625" customWidth="1"/>
    <col min="13" max="14" width="9.28125" customWidth="1"/>
    <col min="15" max="18" width="5.109375" customWidth="1"/>
    <col min="19" max="25" width="9.01171875" customWidth="1"/>
    <col min="26" max="26" width="8.47265625" customWidth="1"/>
    <col min="27" max="27" width="6.58984375" customWidth="1"/>
    <col min="28" max="28" width="9.4140625" customWidth="1"/>
  </cols>
  <sheetData>
    <row r="1" spans="2:11" ht="15" customHeight="1" x14ac:dyDescent="0.2">
      <c r="B1" s="848" t="s">
        <v>365</v>
      </c>
      <c r="C1" s="848"/>
      <c r="D1" s="848"/>
      <c r="E1" s="848"/>
      <c r="F1" s="848"/>
      <c r="G1" s="319"/>
      <c r="H1" s="319"/>
      <c r="I1" s="319"/>
      <c r="J1" s="320"/>
      <c r="K1" s="321"/>
    </row>
    <row r="2" spans="2:11" ht="15" customHeight="1" x14ac:dyDescent="0.2">
      <c r="B2" s="645" t="s">
        <v>114</v>
      </c>
      <c r="C2" s="644"/>
      <c r="D2" s="646" t="s">
        <v>115</v>
      </c>
      <c r="E2" s="325" t="s">
        <v>116</v>
      </c>
      <c r="F2" s="325" t="s">
        <v>117</v>
      </c>
      <c r="G2" s="326" t="s">
        <v>118</v>
      </c>
    </row>
    <row r="3" spans="2:11" ht="15" customHeight="1" x14ac:dyDescent="0.25">
      <c r="B3" s="695" t="s">
        <v>366</v>
      </c>
      <c r="C3" s="327"/>
      <c r="D3" s="327">
        <v>8610</v>
      </c>
      <c r="E3" s="327"/>
      <c r="F3" s="328"/>
      <c r="G3" s="330"/>
    </row>
    <row r="4" spans="2:11" ht="15" customHeight="1" x14ac:dyDescent="0.25">
      <c r="B4" s="333"/>
      <c r="C4" s="336"/>
      <c r="D4" s="327"/>
      <c r="E4" s="327"/>
      <c r="F4" s="328"/>
      <c r="G4" s="330"/>
    </row>
    <row r="5" spans="2:11" ht="15" customHeight="1" x14ac:dyDescent="0.25">
      <c r="B5" s="695" t="s">
        <v>368</v>
      </c>
      <c r="C5" s="327"/>
      <c r="D5" s="327">
        <v>8620</v>
      </c>
      <c r="E5" s="327">
        <f t="shared" ref="E5:E18" si="0">IF(D5="","",D5-D3)</f>
        <v>10</v>
      </c>
      <c r="F5" s="328">
        <f>IF(D5="","",E5*1000)</f>
        <v>10000</v>
      </c>
      <c r="G5" s="330"/>
    </row>
    <row r="6" spans="2:11" ht="15" customHeight="1" x14ac:dyDescent="0.25">
      <c r="B6" s="333"/>
      <c r="C6" s="336"/>
      <c r="D6" s="327"/>
      <c r="E6" s="327" t="str">
        <f t="shared" si="0"/>
        <v/>
      </c>
      <c r="F6" s="328" t="str">
        <f>IF(D6="","",E6*100)</f>
        <v/>
      </c>
      <c r="G6" s="330"/>
    </row>
    <row r="7" spans="2:11" ht="15" customHeight="1" x14ac:dyDescent="0.25">
      <c r="B7" s="695" t="s">
        <v>369</v>
      </c>
      <c r="C7" s="327"/>
      <c r="D7" s="327">
        <v>8672</v>
      </c>
      <c r="E7" s="327">
        <f t="shared" si="0"/>
        <v>52</v>
      </c>
      <c r="F7" s="328">
        <f>IF(D7="","",E7*1000)</f>
        <v>52000</v>
      </c>
      <c r="G7" s="330"/>
    </row>
    <row r="8" spans="2:11" ht="15" customHeight="1" x14ac:dyDescent="0.25">
      <c r="B8" s="333"/>
      <c r="C8" s="336"/>
      <c r="D8" s="327"/>
      <c r="E8" s="327" t="str">
        <f t="shared" si="0"/>
        <v/>
      </c>
      <c r="F8" s="328" t="str">
        <f t="shared" ref="F8:F22" si="1">IF(D8="","",E8*100)</f>
        <v/>
      </c>
      <c r="G8" s="330"/>
    </row>
    <row r="9" spans="2:11" ht="15" customHeight="1" x14ac:dyDescent="0.25">
      <c r="B9" s="695" t="s">
        <v>373</v>
      </c>
      <c r="C9" s="327"/>
      <c r="D9" s="327">
        <v>8696</v>
      </c>
      <c r="E9" s="327">
        <f t="shared" si="0"/>
        <v>24</v>
      </c>
      <c r="F9" s="328">
        <f>IF(D9="","",E9*1000)</f>
        <v>24000</v>
      </c>
      <c r="G9" s="330"/>
    </row>
    <row r="10" spans="2:11" ht="15" customHeight="1" x14ac:dyDescent="0.25">
      <c r="B10" s="333"/>
      <c r="C10" s="336"/>
      <c r="D10" s="327"/>
      <c r="E10" s="327" t="str">
        <f t="shared" si="0"/>
        <v/>
      </c>
      <c r="F10" s="328" t="str">
        <f t="shared" si="1"/>
        <v/>
      </c>
      <c r="G10" s="330"/>
    </row>
    <row r="11" spans="2:11" ht="15" customHeight="1" x14ac:dyDescent="0.25">
      <c r="B11" s="333">
        <v>46125</v>
      </c>
      <c r="C11" s="327"/>
      <c r="D11" s="327">
        <v>8717</v>
      </c>
      <c r="E11" s="327">
        <f t="shared" si="0"/>
        <v>21</v>
      </c>
      <c r="F11" s="328">
        <f>IF(D11="","",E11*1000)</f>
        <v>21000</v>
      </c>
      <c r="G11" s="330"/>
    </row>
    <row r="12" spans="2:11" ht="15" customHeight="1" x14ac:dyDescent="0.25">
      <c r="B12" s="333"/>
      <c r="C12" s="336"/>
      <c r="D12" s="327"/>
      <c r="E12" s="327" t="str">
        <f t="shared" si="0"/>
        <v/>
      </c>
      <c r="F12" s="328" t="str">
        <f t="shared" si="1"/>
        <v/>
      </c>
      <c r="G12" s="330"/>
    </row>
    <row r="13" spans="2:11" ht="15" customHeight="1" x14ac:dyDescent="0.25">
      <c r="B13" s="333">
        <v>46130</v>
      </c>
      <c r="C13" s="327"/>
      <c r="D13" s="327">
        <v>8731</v>
      </c>
      <c r="E13" s="327">
        <f t="shared" si="0"/>
        <v>14</v>
      </c>
      <c r="F13" s="328">
        <f>IF(D13="","",E13*1000)</f>
        <v>14000</v>
      </c>
      <c r="G13" s="330"/>
    </row>
    <row r="14" spans="2:11" ht="15" customHeight="1" x14ac:dyDescent="0.25">
      <c r="B14" s="333"/>
      <c r="C14" s="336"/>
      <c r="D14" s="327"/>
      <c r="E14" s="327" t="str">
        <f t="shared" si="0"/>
        <v/>
      </c>
      <c r="F14" s="328" t="str">
        <f t="shared" si="1"/>
        <v/>
      </c>
      <c r="G14" s="330"/>
    </row>
    <row r="15" spans="2:11" ht="15" customHeight="1" x14ac:dyDescent="0.25">
      <c r="B15" s="333"/>
      <c r="C15" s="327"/>
      <c r="D15" s="327"/>
      <c r="E15" s="327"/>
      <c r="F15" s="328"/>
      <c r="G15" s="330"/>
    </row>
    <row r="16" spans="2:11" ht="15" customHeight="1" x14ac:dyDescent="0.25">
      <c r="B16" s="333"/>
      <c r="C16" s="327"/>
      <c r="D16" s="327"/>
      <c r="E16" s="327"/>
      <c r="F16" s="328"/>
      <c r="G16" s="330"/>
    </row>
    <row r="17" spans="2:7" ht="15" customHeight="1" x14ac:dyDescent="0.25">
      <c r="B17" s="333"/>
      <c r="C17" s="327"/>
      <c r="D17" s="327"/>
      <c r="E17" s="327"/>
      <c r="F17" s="328"/>
      <c r="G17" s="330"/>
    </row>
    <row r="18" spans="2:7" ht="15" customHeight="1" x14ac:dyDescent="0.25">
      <c r="B18" s="333"/>
      <c r="C18" s="327"/>
      <c r="D18" s="327"/>
      <c r="E18" s="327" t="str">
        <f t="shared" si="0"/>
        <v/>
      </c>
      <c r="F18" s="328" t="str">
        <f>IF(D18="","",E18*100)</f>
        <v/>
      </c>
      <c r="G18" s="330"/>
    </row>
    <row r="19" spans="2:7" ht="15" customHeight="1" x14ac:dyDescent="0.25">
      <c r="B19" s="333"/>
      <c r="C19" s="327"/>
      <c r="D19" s="338"/>
      <c r="E19" s="338" t="str">
        <f>IF(D19="","",D19-#REF!)</f>
        <v/>
      </c>
      <c r="F19" s="328" t="str">
        <f t="shared" si="1"/>
        <v/>
      </c>
      <c r="G19" s="339"/>
    </row>
    <row r="20" spans="2:7" ht="15" customHeight="1" x14ac:dyDescent="0.25">
      <c r="B20" s="333"/>
      <c r="C20" s="327"/>
      <c r="D20" s="327"/>
      <c r="E20" s="327" t="str">
        <f>IF(D20="","",D20-#REF!)</f>
        <v/>
      </c>
      <c r="F20" s="328" t="str">
        <f t="shared" si="1"/>
        <v/>
      </c>
      <c r="G20" s="330"/>
    </row>
    <row r="21" spans="2:7" ht="15" customHeight="1" x14ac:dyDescent="0.25">
      <c r="B21" s="380"/>
      <c r="C21" s="327"/>
      <c r="D21" s="327"/>
      <c r="E21" s="327" t="str">
        <f>IF(D21="","",D21-D19)</f>
        <v/>
      </c>
      <c r="F21" s="328" t="str">
        <f t="shared" si="1"/>
        <v/>
      </c>
      <c r="G21" s="330"/>
    </row>
    <row r="22" spans="2:7" ht="15" customHeight="1" x14ac:dyDescent="0.25">
      <c r="B22" s="380"/>
      <c r="C22" s="327"/>
      <c r="D22" s="327"/>
      <c r="E22" s="327" t="str">
        <f>IF(D22="","",D22-D20)</f>
        <v/>
      </c>
      <c r="F22" s="328" t="str">
        <f t="shared" si="1"/>
        <v/>
      </c>
      <c r="G22" s="330"/>
    </row>
    <row r="23" spans="2:7" ht="15" customHeight="1" x14ac:dyDescent="0.25">
      <c r="B23" s="333"/>
      <c r="C23" s="328"/>
      <c r="D23" s="327"/>
      <c r="E23" s="328">
        <f>SUM(E3:E22)</f>
        <v>121</v>
      </c>
      <c r="F23" s="328">
        <f>SUM(F3:F22)</f>
        <v>121000</v>
      </c>
      <c r="G23" s="330"/>
    </row>
    <row r="25" spans="2:7" ht="15" customHeight="1" x14ac:dyDescent="0.2">
      <c r="B25" s="848" t="s">
        <v>365</v>
      </c>
      <c r="C25" s="848"/>
      <c r="D25" s="848"/>
      <c r="E25" s="848"/>
      <c r="F25" s="848"/>
      <c r="G25" s="740"/>
    </row>
    <row r="26" spans="2:7" ht="15" customHeight="1" x14ac:dyDescent="0.2">
      <c r="B26" s="645" t="s">
        <v>114</v>
      </c>
      <c r="C26" s="644"/>
      <c r="D26" s="646" t="s">
        <v>115</v>
      </c>
      <c r="E26" s="325" t="s">
        <v>116</v>
      </c>
      <c r="F26" s="325" t="s">
        <v>117</v>
      </c>
      <c r="G26" s="326" t="s">
        <v>118</v>
      </c>
    </row>
    <row r="27" spans="2:7" ht="15" customHeight="1" x14ac:dyDescent="0.25">
      <c r="B27" s="333">
        <v>46132</v>
      </c>
      <c r="C27" s="327"/>
      <c r="D27" s="327">
        <v>8761</v>
      </c>
      <c r="E27" s="327">
        <f>IF(D27="","",D27-D13)</f>
        <v>30</v>
      </c>
      <c r="F27" s="328">
        <f>IF(D27="","",E27*1000)</f>
        <v>30000</v>
      </c>
      <c r="G27" s="330"/>
    </row>
    <row r="28" spans="2:7" ht="15" customHeight="1" x14ac:dyDescent="0.25">
      <c r="B28" s="333"/>
      <c r="C28" s="327"/>
      <c r="D28" s="327"/>
      <c r="E28" s="327" t="str">
        <f>IF(D28="","",D28-D26)</f>
        <v/>
      </c>
      <c r="F28" s="328" t="str">
        <f>IF(D28="","",E28*1000)</f>
        <v/>
      </c>
      <c r="G28" s="330"/>
    </row>
    <row r="29" spans="2:7" ht="15" customHeight="1" x14ac:dyDescent="0.25">
      <c r="B29" s="333">
        <v>46136</v>
      </c>
      <c r="C29" s="327"/>
      <c r="D29" s="327">
        <v>8777</v>
      </c>
      <c r="E29" s="327">
        <f>IF(D29="","",D29-D27)</f>
        <v>16</v>
      </c>
      <c r="F29" s="328">
        <f>IF(D29="","",E29*1000)</f>
        <v>16000</v>
      </c>
      <c r="G29" s="330"/>
    </row>
    <row r="30" spans="2:7" ht="15" customHeight="1" x14ac:dyDescent="0.25">
      <c r="B30" s="333"/>
      <c r="C30" s="336"/>
      <c r="D30" s="327"/>
      <c r="E30" s="327" t="str">
        <f>IF(D30="","",D30-D28)</f>
        <v/>
      </c>
      <c r="F30" s="328" t="str">
        <f>IF(D30="","",E30*1000)</f>
        <v/>
      </c>
      <c r="G30" s="330"/>
    </row>
    <row r="31" spans="2:7" ht="15" customHeight="1" x14ac:dyDescent="0.25">
      <c r="B31" s="333">
        <v>46139</v>
      </c>
      <c r="C31" s="327"/>
      <c r="D31" s="327">
        <v>8788</v>
      </c>
      <c r="E31" s="327">
        <f>IF(D31="","",D31-D29)</f>
        <v>11</v>
      </c>
      <c r="F31" s="328">
        <f>IF(D31="","",E31*1000)</f>
        <v>11000</v>
      </c>
      <c r="G31" s="330"/>
    </row>
    <row r="32" spans="2:7" ht="15" customHeight="1" x14ac:dyDescent="0.25">
      <c r="B32" s="333"/>
      <c r="C32" s="336"/>
      <c r="D32" s="327"/>
      <c r="E32" s="327" t="str">
        <f>IF(D32="","",D32-D30)</f>
        <v/>
      </c>
      <c r="F32" s="328" t="str">
        <f>IF(D32="","",E32*1000)</f>
        <v/>
      </c>
      <c r="G32" s="330"/>
    </row>
    <row r="33" spans="2:7" ht="15" customHeight="1" x14ac:dyDescent="0.25">
      <c r="B33" s="333">
        <v>46143</v>
      </c>
      <c r="C33" s="327"/>
      <c r="D33" s="327">
        <v>8808</v>
      </c>
      <c r="E33" s="327">
        <f>IF(D33="","",D33-D31)</f>
        <v>20</v>
      </c>
      <c r="F33" s="328">
        <f>IF(D33="","",E33*1000)</f>
        <v>20000</v>
      </c>
      <c r="G33" s="330"/>
    </row>
    <row r="34" spans="2:7" ht="15" customHeight="1" x14ac:dyDescent="0.25">
      <c r="B34" s="333"/>
      <c r="C34" s="336"/>
      <c r="D34" s="327"/>
      <c r="E34" s="327" t="str">
        <f>IF(D34="","",D34-D32)</f>
        <v/>
      </c>
      <c r="F34" s="328" t="str">
        <f>IF(D34="","",E34*1000)</f>
        <v/>
      </c>
      <c r="G34" s="330"/>
    </row>
    <row r="35" spans="2:7" ht="15" customHeight="1" x14ac:dyDescent="0.25">
      <c r="B35" s="333">
        <v>46146</v>
      </c>
      <c r="C35" s="327"/>
      <c r="D35" s="327">
        <v>8838</v>
      </c>
      <c r="E35" s="327">
        <f>IF(D35="","",D35-D33)</f>
        <v>30</v>
      </c>
      <c r="F35" s="328">
        <f>IF(D35="","",E35*1000)</f>
        <v>30000</v>
      </c>
      <c r="G35" s="330"/>
    </row>
    <row r="36" spans="2:7" ht="15" customHeight="1" x14ac:dyDescent="0.25">
      <c r="B36" s="333"/>
      <c r="C36" s="336"/>
      <c r="D36" s="327"/>
      <c r="E36" s="327" t="str">
        <f>IF(D36="","",D36-D34)</f>
        <v/>
      </c>
      <c r="F36" s="328" t="str">
        <f>IF(D36="","",E36*1000)</f>
        <v/>
      </c>
      <c r="G36" s="330"/>
    </row>
    <row r="37" spans="2:7" ht="15" customHeight="1" x14ac:dyDescent="0.25">
      <c r="B37" s="333">
        <v>46150</v>
      </c>
      <c r="C37" s="327"/>
      <c r="D37" s="327">
        <v>8878</v>
      </c>
      <c r="E37" s="327">
        <f>IF(D37="","",D37-D35)</f>
        <v>40</v>
      </c>
      <c r="F37" s="328">
        <f>IF(D37="","",E37*1000)</f>
        <v>40000</v>
      </c>
      <c r="G37" s="330"/>
    </row>
    <row r="38" spans="2:7" ht="15" customHeight="1" x14ac:dyDescent="0.25">
      <c r="B38" s="333"/>
      <c r="C38" s="336"/>
      <c r="D38" s="327"/>
      <c r="E38" s="327" t="str">
        <f>IF(D38="","",D38-D36)</f>
        <v/>
      </c>
      <c r="F38" s="328" t="str">
        <f>IF(D38="","",E38*1000)</f>
        <v/>
      </c>
      <c r="G38" s="330"/>
    </row>
    <row r="39" spans="2:7" ht="15" customHeight="1" x14ac:dyDescent="0.25">
      <c r="B39" s="333">
        <v>46153</v>
      </c>
      <c r="C39" s="327"/>
      <c r="D39" s="327">
        <v>8899</v>
      </c>
      <c r="E39" s="327">
        <f>IF(D39="","",D39-D37)</f>
        <v>21</v>
      </c>
      <c r="F39" s="328">
        <f>IF(D39="","",E39*1000)</f>
        <v>21000</v>
      </c>
      <c r="G39" s="330"/>
    </row>
    <row r="40" spans="2:7" ht="15" customHeight="1" x14ac:dyDescent="0.25">
      <c r="B40" s="333"/>
      <c r="C40" s="327"/>
      <c r="D40" s="327"/>
      <c r="E40" s="327" t="str">
        <f>IF(D40="","",D40-D38)</f>
        <v/>
      </c>
      <c r="F40" s="328" t="str">
        <f>IF(D40="","",E40*1000)</f>
        <v/>
      </c>
      <c r="G40" s="330"/>
    </row>
    <row r="41" spans="2:7" ht="15" customHeight="1" x14ac:dyDescent="0.25">
      <c r="B41" s="333">
        <v>46157</v>
      </c>
      <c r="C41" s="327"/>
      <c r="D41" s="327">
        <v>8906</v>
      </c>
      <c r="E41" s="327">
        <f>IF(D41="","",D41-D39)</f>
        <v>7</v>
      </c>
      <c r="F41" s="328">
        <f>IF(D41="","",E41*1000)</f>
        <v>7000</v>
      </c>
      <c r="G41" s="330"/>
    </row>
    <row r="42" spans="2:7" ht="15" customHeight="1" x14ac:dyDescent="0.25">
      <c r="B42" s="333"/>
      <c r="C42" s="327"/>
      <c r="D42" s="327"/>
      <c r="E42" s="327" t="str">
        <f>IF(D42="","",D42-D40)</f>
        <v/>
      </c>
      <c r="F42" s="328" t="str">
        <f>IF(D42="","",E42*1000)</f>
        <v/>
      </c>
      <c r="G42" s="330"/>
    </row>
    <row r="43" spans="2:7" ht="15" customHeight="1" x14ac:dyDescent="0.25">
      <c r="B43" s="333"/>
      <c r="C43" s="327"/>
      <c r="D43" s="338"/>
      <c r="E43" s="327"/>
      <c r="F43" s="328"/>
      <c r="G43" s="339"/>
    </row>
    <row r="44" spans="2:7" ht="15" customHeight="1" x14ac:dyDescent="0.25">
      <c r="B44" s="333"/>
      <c r="C44" s="327"/>
      <c r="D44" s="327"/>
      <c r="E44" s="327" t="str">
        <f>IF(D44="","",D44-#REF!)</f>
        <v/>
      </c>
      <c r="F44" s="328" t="str">
        <f>IF(D44="","",E44*1000)</f>
        <v/>
      </c>
      <c r="G44" s="330"/>
    </row>
    <row r="45" spans="2:7" ht="15" customHeight="1" x14ac:dyDescent="0.25">
      <c r="B45" s="380"/>
      <c r="C45" s="327"/>
      <c r="D45" s="327"/>
      <c r="E45" s="327" t="str">
        <f>IF(D45="","",D45-D43)</f>
        <v/>
      </c>
      <c r="F45" s="328" t="str">
        <f>IF(D45="","",E45*1000)</f>
        <v/>
      </c>
      <c r="G45" s="330"/>
    </row>
    <row r="46" spans="2:7" ht="15" customHeight="1" x14ac:dyDescent="0.25">
      <c r="B46" s="380"/>
      <c r="C46" s="327"/>
      <c r="D46" s="327"/>
      <c r="E46" s="327" t="str">
        <f>IF(D46="","",D46-D44)</f>
        <v/>
      </c>
      <c r="F46" s="328" t="str">
        <f>IF(D46="","",E46*1000)</f>
        <v/>
      </c>
      <c r="G46" s="330"/>
    </row>
    <row r="47" spans="2:7" ht="15" customHeight="1" x14ac:dyDescent="0.25">
      <c r="B47" s="333"/>
      <c r="C47" s="328"/>
      <c r="D47" s="327"/>
      <c r="E47" s="328">
        <f>SUM(E27:E46)</f>
        <v>175</v>
      </c>
      <c r="F47" s="328">
        <f>SUM(F27:F46)</f>
        <v>175000</v>
      </c>
      <c r="G47" s="330"/>
    </row>
    <row r="49" spans="2:7" ht="15" customHeight="1" x14ac:dyDescent="0.2">
      <c r="B49" s="848" t="s">
        <v>365</v>
      </c>
      <c r="C49" s="848"/>
      <c r="D49" s="848"/>
      <c r="E49" s="848"/>
      <c r="F49" s="848"/>
      <c r="G49" s="740"/>
    </row>
    <row r="50" spans="2:7" ht="15" customHeight="1" x14ac:dyDescent="0.2">
      <c r="B50" s="645" t="s">
        <v>114</v>
      </c>
      <c r="C50" s="644"/>
      <c r="D50" s="646" t="s">
        <v>115</v>
      </c>
      <c r="E50" s="325" t="s">
        <v>116</v>
      </c>
      <c r="F50" s="325" t="s">
        <v>117</v>
      </c>
      <c r="G50" s="326" t="s">
        <v>118</v>
      </c>
    </row>
    <row r="51" spans="2:7" ht="15" customHeight="1" x14ac:dyDescent="0.25">
      <c r="B51" s="333">
        <v>46160</v>
      </c>
      <c r="C51" s="327"/>
      <c r="D51" s="338">
        <v>8912</v>
      </c>
      <c r="E51" s="327">
        <f>IF(D51="","",D51-D41)</f>
        <v>6</v>
      </c>
      <c r="F51" s="328">
        <f>IF(D51="","",E51*1000)</f>
        <v>6000</v>
      </c>
      <c r="G51" s="330"/>
    </row>
    <row r="52" spans="2:7" ht="15" customHeight="1" x14ac:dyDescent="0.25">
      <c r="B52" s="333"/>
      <c r="C52" s="327"/>
      <c r="D52" s="327"/>
      <c r="E52" s="327" t="str">
        <f>IF(D52="","",D52-D50)</f>
        <v/>
      </c>
      <c r="F52" s="328" t="str">
        <f>IF(D52="","",E52*1000)</f>
        <v/>
      </c>
      <c r="G52" s="330"/>
    </row>
    <row r="53" spans="2:7" ht="15" customHeight="1" x14ac:dyDescent="0.25">
      <c r="B53" s="333">
        <v>46165</v>
      </c>
      <c r="C53" s="327"/>
      <c r="D53" s="327">
        <v>8953</v>
      </c>
      <c r="E53" s="327">
        <f>IF(D53="","",D53-D51)</f>
        <v>41</v>
      </c>
      <c r="F53" s="328">
        <f>IF(D53="","",E53*1000)</f>
        <v>41000</v>
      </c>
      <c r="G53" s="330"/>
    </row>
    <row r="54" spans="2:7" ht="15" customHeight="1" x14ac:dyDescent="0.25">
      <c r="B54" s="333"/>
      <c r="C54" s="336"/>
      <c r="D54" s="327"/>
      <c r="E54" s="327" t="str">
        <f>IF(D54="","",D54-D52)</f>
        <v/>
      </c>
      <c r="F54" s="328" t="str">
        <f>IF(D54="","",E54*1000)</f>
        <v/>
      </c>
      <c r="G54" s="330"/>
    </row>
    <row r="55" spans="2:7" ht="15" customHeight="1" x14ac:dyDescent="0.25">
      <c r="B55" s="333">
        <v>46167</v>
      </c>
      <c r="C55" s="327"/>
      <c r="D55" s="327">
        <v>8980</v>
      </c>
      <c r="E55" s="327">
        <f>IF(D55="","",D55-D53)</f>
        <v>27</v>
      </c>
      <c r="F55" s="328">
        <f>IF(D55="","",E55*1000)</f>
        <v>27000</v>
      </c>
      <c r="G55" s="330"/>
    </row>
    <row r="56" spans="2:7" ht="15" customHeight="1" x14ac:dyDescent="0.25">
      <c r="B56" s="333"/>
      <c r="C56" s="336"/>
      <c r="D56" s="327"/>
      <c r="E56" s="327" t="str">
        <f>IF(D56="","",D56-D54)</f>
        <v/>
      </c>
      <c r="F56" s="328" t="str">
        <f>IF(D56="","",E56*1000)</f>
        <v/>
      </c>
      <c r="G56" s="330"/>
    </row>
    <row r="57" spans="2:7" ht="15" customHeight="1" x14ac:dyDescent="0.25">
      <c r="B57" s="333"/>
      <c r="C57" s="327"/>
      <c r="D57" s="327"/>
      <c r="E57" s="327" t="str">
        <f>IF(D57="","",D57-D55)</f>
        <v/>
      </c>
      <c r="F57" s="328" t="str">
        <f>IF(D57="","",E57*1000)</f>
        <v/>
      </c>
      <c r="G57" s="330"/>
    </row>
    <row r="58" spans="2:7" ht="15" customHeight="1" x14ac:dyDescent="0.25">
      <c r="B58" s="333"/>
      <c r="C58" s="336"/>
      <c r="D58" s="327"/>
      <c r="E58" s="327" t="str">
        <f>IF(D58="","",D58-D56)</f>
        <v/>
      </c>
      <c r="F58" s="328" t="str">
        <f>IF(D58="","",E58*1000)</f>
        <v/>
      </c>
      <c r="G58" s="330"/>
    </row>
    <row r="59" spans="2:7" ht="15" customHeight="1" x14ac:dyDescent="0.25">
      <c r="B59" s="333"/>
      <c r="C59" s="327"/>
      <c r="D59" s="327"/>
      <c r="E59" s="327" t="str">
        <f>IF(D59="","",D59-D57)</f>
        <v/>
      </c>
      <c r="F59" s="328" t="str">
        <f>IF(D59="","",E59*1000)</f>
        <v/>
      </c>
      <c r="G59" s="330"/>
    </row>
    <row r="60" spans="2:7" ht="15" customHeight="1" x14ac:dyDescent="0.25">
      <c r="B60" s="333"/>
      <c r="C60" s="336"/>
      <c r="D60" s="327"/>
      <c r="E60" s="327" t="str">
        <f>IF(D60="","",D60-D58)</f>
        <v/>
      </c>
      <c r="F60" s="328" t="str">
        <f>IF(D60="","",E60*1000)</f>
        <v/>
      </c>
      <c r="G60" s="330"/>
    </row>
    <row r="61" spans="2:7" ht="15" customHeight="1" x14ac:dyDescent="0.25">
      <c r="B61" s="333"/>
      <c r="C61" s="327"/>
      <c r="D61" s="327"/>
      <c r="E61" s="327" t="str">
        <f>IF(D61="","",D61-D59)</f>
        <v/>
      </c>
      <c r="F61" s="328" t="str">
        <f>IF(D61="","",E61*1000)</f>
        <v/>
      </c>
      <c r="G61" s="330"/>
    </row>
    <row r="62" spans="2:7" ht="15" customHeight="1" x14ac:dyDescent="0.25">
      <c r="B62" s="333"/>
      <c r="C62" s="336"/>
      <c r="D62" s="327"/>
      <c r="E62" s="327" t="str">
        <f>IF(D62="","",D62-D60)</f>
        <v/>
      </c>
      <c r="F62" s="328" t="str">
        <f>IF(D62="","",E62*1000)</f>
        <v/>
      </c>
      <c r="G62" s="330"/>
    </row>
    <row r="63" spans="2:7" ht="15" customHeight="1" x14ac:dyDescent="0.25">
      <c r="B63" s="333"/>
      <c r="C63" s="327"/>
      <c r="D63" s="327"/>
      <c r="E63" s="327" t="str">
        <f>IF(D63="","",D63-D61)</f>
        <v/>
      </c>
      <c r="F63" s="328" t="str">
        <f>IF(D63="","",E63*1000)</f>
        <v/>
      </c>
      <c r="G63" s="330"/>
    </row>
    <row r="64" spans="2:7" ht="15" customHeight="1" x14ac:dyDescent="0.25">
      <c r="B64" s="333"/>
      <c r="C64" s="327"/>
      <c r="D64" s="327"/>
      <c r="E64" s="327" t="str">
        <f>IF(D64="","",D64-D62)</f>
        <v/>
      </c>
      <c r="F64" s="328" t="str">
        <f>IF(D64="","",E64*1000)</f>
        <v/>
      </c>
      <c r="G64" s="330"/>
    </row>
    <row r="65" spans="2:7" ht="15" customHeight="1" x14ac:dyDescent="0.25">
      <c r="B65" s="333"/>
      <c r="C65" s="327"/>
      <c r="D65" s="327"/>
      <c r="E65" s="327" t="str">
        <f>IF(D65="","",D65-D63)</f>
        <v/>
      </c>
      <c r="F65" s="328" t="str">
        <f>IF(D65="","",E65*1000)</f>
        <v/>
      </c>
      <c r="G65" s="330"/>
    </row>
    <row r="66" spans="2:7" ht="15" customHeight="1" x14ac:dyDescent="0.25">
      <c r="B66" s="333"/>
      <c r="C66" s="327"/>
      <c r="D66" s="327"/>
      <c r="E66" s="327" t="str">
        <f>IF(D66="","",D66-D64)</f>
        <v/>
      </c>
      <c r="F66" s="328" t="str">
        <f>IF(D66="","",E66*1000)</f>
        <v/>
      </c>
      <c r="G66" s="330"/>
    </row>
    <row r="67" spans="2:7" ht="15" customHeight="1" x14ac:dyDescent="0.25">
      <c r="B67" s="333"/>
      <c r="C67" s="327"/>
      <c r="D67" s="338"/>
      <c r="E67" s="327" t="str">
        <f>IF(D67="","",D67-D65)</f>
        <v/>
      </c>
      <c r="F67" s="328" t="str">
        <f>IF(D67="","",E67*1000)</f>
        <v/>
      </c>
      <c r="G67" s="339"/>
    </row>
    <row r="68" spans="2:7" ht="15" customHeight="1" x14ac:dyDescent="0.25">
      <c r="B68" s="333"/>
      <c r="C68" s="327"/>
      <c r="D68" s="327"/>
      <c r="E68" s="327" t="str">
        <f>IF(D68="","",D68-#REF!)</f>
        <v/>
      </c>
      <c r="F68" s="328" t="str">
        <f>IF(D68="","",E68*1000)</f>
        <v/>
      </c>
      <c r="G68" s="330"/>
    </row>
    <row r="69" spans="2:7" ht="15" customHeight="1" x14ac:dyDescent="0.25">
      <c r="B69" s="380"/>
      <c r="C69" s="327"/>
      <c r="D69" s="327"/>
      <c r="E69" s="327" t="str">
        <f>IF(D69="","",D69-D67)</f>
        <v/>
      </c>
      <c r="F69" s="328" t="str">
        <f>IF(D69="","",E69*1000)</f>
        <v/>
      </c>
      <c r="G69" s="330"/>
    </row>
    <row r="70" spans="2:7" ht="15" customHeight="1" x14ac:dyDescent="0.25">
      <c r="B70" s="380"/>
      <c r="C70" s="327"/>
      <c r="D70" s="327"/>
      <c r="E70" s="327" t="str">
        <f>IF(D70="","",D70-D68)</f>
        <v/>
      </c>
      <c r="F70" s="328" t="str">
        <f>IF(D70="","",E70*1000)</f>
        <v/>
      </c>
      <c r="G70" s="330"/>
    </row>
    <row r="71" spans="2:7" ht="15" customHeight="1" x14ac:dyDescent="0.25">
      <c r="B71" s="333"/>
      <c r="C71" s="328"/>
      <c r="D71" s="327"/>
      <c r="E71" s="328">
        <f>SUM(E51:E70)</f>
        <v>74</v>
      </c>
      <c r="F71" s="328">
        <f>SUM(F51:F70)</f>
        <v>74000</v>
      </c>
      <c r="G71" s="330"/>
    </row>
  </sheetData>
  <mergeCells count="3">
    <mergeCell ref="B1:F1"/>
    <mergeCell ref="B25:F25"/>
    <mergeCell ref="B49:F49"/>
  </mergeCells>
  <phoneticPr fontId="35"/>
  <pageMargins left="0.69930555555555596" right="0.69930555555555596" top="0.75" bottom="0.75" header="0" footer="0"/>
  <pageSetup paperSize="9" scale="54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2">
    <pageSetUpPr fitToPage="1"/>
  </sheetPr>
  <dimension ref="A1:X50"/>
  <sheetViews>
    <sheetView topLeftCell="N1" workbookViewId="0">
      <pane ySplit="1" topLeftCell="N2" activePane="bottomLeft" state="frozen"/>
      <selection activeCell="N1" sqref="N1"/>
      <selection pane="bottomLeft" sqref="A1:B1"/>
    </sheetView>
  </sheetViews>
  <sheetFormatPr defaultColWidth="14.390625" defaultRowHeight="15" customHeight="1" x14ac:dyDescent="0.2"/>
  <cols>
    <col min="1" max="1" width="7.80078125" customWidth="1"/>
    <col min="2" max="2" width="7.6640625" bestFit="1" customWidth="1"/>
    <col min="3" max="4" width="8.47265625" customWidth="1"/>
    <col min="5" max="5" width="6.859375" customWidth="1"/>
    <col min="6" max="6" width="5.109375" customWidth="1"/>
    <col min="7" max="7" width="10.22265625" customWidth="1"/>
    <col min="8" max="8" width="11.1640625" customWidth="1"/>
    <col min="9" max="9" width="10.22265625" customWidth="1"/>
    <col min="10" max="10" width="8.47265625" customWidth="1"/>
    <col min="11" max="11" width="13.5859375" customWidth="1"/>
    <col min="12" max="12" width="8.47265625" customWidth="1"/>
    <col min="13" max="13" width="7.3984375" style="761" customWidth="1"/>
    <col min="14" max="14" width="9.68359375" style="761" customWidth="1"/>
    <col min="15" max="15" width="6.9921875" style="761" customWidth="1"/>
    <col min="16" max="19" width="8.875" style="761" customWidth="1"/>
    <col min="20" max="23" width="9.01171875" style="761" customWidth="1"/>
    <col min="24" max="24" width="14.390625" style="761" bestFit="1" customWidth="1"/>
  </cols>
  <sheetData>
    <row r="1" spans="1:24" ht="15" customHeight="1" thickBot="1" x14ac:dyDescent="0.35">
      <c r="A1" s="847" t="s">
        <v>148</v>
      </c>
      <c r="B1" s="847"/>
      <c r="C1" s="5"/>
      <c r="D1" s="5"/>
      <c r="E1" s="26"/>
      <c r="G1" s="849" t="s">
        <v>154</v>
      </c>
      <c r="H1" s="849"/>
      <c r="I1" s="5"/>
      <c r="J1" s="5"/>
      <c r="K1" s="26"/>
      <c r="M1"/>
      <c r="N1"/>
      <c r="O1"/>
      <c r="P1"/>
      <c r="Q1"/>
      <c r="R1"/>
      <c r="S1"/>
      <c r="T1"/>
      <c r="U1"/>
      <c r="V1"/>
      <c r="W1"/>
      <c r="X1"/>
    </row>
    <row r="2" spans="1:24" ht="15" customHeight="1" thickBot="1" x14ac:dyDescent="0.25">
      <c r="A2" s="7" t="s">
        <v>142</v>
      </c>
      <c r="B2" s="8" t="s">
        <v>143</v>
      </c>
      <c r="C2" s="8" t="s">
        <v>144</v>
      </c>
      <c r="D2" s="8" t="s">
        <v>145</v>
      </c>
      <c r="E2" s="9" t="s">
        <v>146</v>
      </c>
      <c r="G2" s="7" t="s">
        <v>142</v>
      </c>
      <c r="H2" s="8" t="s">
        <v>143</v>
      </c>
      <c r="I2" s="8" t="s">
        <v>144</v>
      </c>
      <c r="J2" s="8" t="s">
        <v>145</v>
      </c>
      <c r="K2" s="9" t="s">
        <v>146</v>
      </c>
      <c r="M2"/>
      <c r="N2"/>
      <c r="O2"/>
      <c r="P2"/>
      <c r="Q2"/>
      <c r="R2"/>
      <c r="S2"/>
      <c r="T2"/>
      <c r="U2"/>
      <c r="V2"/>
      <c r="W2"/>
      <c r="X2"/>
    </row>
    <row r="3" spans="1:24" ht="15" customHeight="1" x14ac:dyDescent="0.3">
      <c r="A3" s="213" t="s">
        <v>370</v>
      </c>
      <c r="B3" s="46">
        <v>5861</v>
      </c>
      <c r="C3" s="170"/>
      <c r="D3" s="171"/>
      <c r="E3" s="172"/>
      <c r="G3" s="661" t="str">
        <f t="shared" ref="G3:G15" si="0">IF(A3="","",A3)</f>
        <v>3/18/金</v>
      </c>
      <c r="H3" s="46">
        <v>16857</v>
      </c>
      <c r="I3" s="170"/>
      <c r="J3" s="171"/>
      <c r="K3" s="172"/>
      <c r="M3"/>
      <c r="N3"/>
      <c r="O3"/>
      <c r="P3"/>
      <c r="Q3"/>
      <c r="R3"/>
      <c r="S3"/>
      <c r="T3"/>
      <c r="U3"/>
      <c r="V3"/>
      <c r="W3"/>
      <c r="X3"/>
    </row>
    <row r="4" spans="1:24" ht="15" customHeight="1" x14ac:dyDescent="0.3">
      <c r="A4" s="213" t="s">
        <v>372</v>
      </c>
      <c r="B4" s="46">
        <v>5875</v>
      </c>
      <c r="C4" s="170">
        <f t="shared" ref="C4:C14" si="1">IF(B4="","",B4-B3)</f>
        <v>14</v>
      </c>
      <c r="D4" s="171">
        <f t="shared" ref="D4:D15" si="2">IF(B4="","",C4*1000)</f>
        <v>14000</v>
      </c>
      <c r="E4" s="172"/>
      <c r="G4" s="661" t="str">
        <f t="shared" si="0"/>
        <v>3/30/月</v>
      </c>
      <c r="H4" s="46">
        <v>16943</v>
      </c>
      <c r="I4" s="170">
        <f t="shared" ref="I4:I14" si="3">IF(H4="","",H4-H3)</f>
        <v>86</v>
      </c>
      <c r="J4" s="171">
        <f t="shared" ref="J4:J15" si="4">IF(H4="","",I4*1000)</f>
        <v>86000</v>
      </c>
      <c r="K4" s="172"/>
      <c r="M4"/>
      <c r="N4"/>
      <c r="O4"/>
      <c r="P4"/>
      <c r="Q4"/>
      <c r="R4"/>
      <c r="S4"/>
      <c r="T4"/>
      <c r="U4"/>
      <c r="V4"/>
      <c r="W4"/>
      <c r="X4"/>
    </row>
    <row r="5" spans="1:24" ht="15" customHeight="1" x14ac:dyDescent="0.3">
      <c r="A5" s="213" t="s">
        <v>371</v>
      </c>
      <c r="B5" s="46">
        <v>5883</v>
      </c>
      <c r="C5" s="170">
        <f t="shared" si="1"/>
        <v>8</v>
      </c>
      <c r="D5" s="171">
        <f t="shared" si="2"/>
        <v>8000</v>
      </c>
      <c r="E5" s="172"/>
      <c r="G5" s="661" t="str">
        <f t="shared" si="0"/>
        <v>4/3/金</v>
      </c>
      <c r="H5" s="46">
        <v>16945</v>
      </c>
      <c r="I5" s="170">
        <f t="shared" si="3"/>
        <v>2</v>
      </c>
      <c r="J5" s="171">
        <f t="shared" si="4"/>
        <v>2000</v>
      </c>
      <c r="K5" s="51"/>
      <c r="M5"/>
      <c r="N5"/>
      <c r="O5"/>
      <c r="P5"/>
      <c r="Q5"/>
      <c r="R5"/>
      <c r="S5"/>
      <c r="T5"/>
      <c r="U5"/>
      <c r="V5"/>
      <c r="W5"/>
      <c r="X5"/>
    </row>
    <row r="6" spans="1:24" ht="15" customHeight="1" x14ac:dyDescent="0.3">
      <c r="A6" s="212">
        <v>46118</v>
      </c>
      <c r="B6" s="13">
        <v>5884</v>
      </c>
      <c r="C6" s="170">
        <f t="shared" si="1"/>
        <v>1</v>
      </c>
      <c r="D6" s="171">
        <f t="shared" si="2"/>
        <v>1000</v>
      </c>
      <c r="E6" s="172"/>
      <c r="G6" s="661">
        <f t="shared" si="0"/>
        <v>46118</v>
      </c>
      <c r="H6" s="13">
        <v>16981</v>
      </c>
      <c r="I6" s="170">
        <f t="shared" si="3"/>
        <v>36</v>
      </c>
      <c r="J6" s="171">
        <f t="shared" si="4"/>
        <v>36000</v>
      </c>
      <c r="K6" s="172"/>
      <c r="M6"/>
      <c r="N6"/>
      <c r="O6"/>
      <c r="P6"/>
      <c r="Q6"/>
      <c r="R6"/>
      <c r="S6"/>
      <c r="T6"/>
      <c r="U6"/>
      <c r="V6"/>
      <c r="W6"/>
      <c r="X6"/>
    </row>
    <row r="7" spans="1:24" ht="15" customHeight="1" x14ac:dyDescent="0.3">
      <c r="A7" s="212">
        <v>46122</v>
      </c>
      <c r="B7" s="13">
        <v>5898</v>
      </c>
      <c r="C7" s="170">
        <f t="shared" si="1"/>
        <v>14</v>
      </c>
      <c r="D7" s="171">
        <f t="shared" si="2"/>
        <v>14000</v>
      </c>
      <c r="E7" s="172"/>
      <c r="G7" s="661">
        <f t="shared" si="0"/>
        <v>46122</v>
      </c>
      <c r="H7" s="13">
        <v>17005</v>
      </c>
      <c r="I7" s="170">
        <f t="shared" si="3"/>
        <v>24</v>
      </c>
      <c r="J7" s="171">
        <f t="shared" si="4"/>
        <v>24000</v>
      </c>
      <c r="K7" s="225"/>
      <c r="M7"/>
      <c r="N7"/>
      <c r="O7"/>
      <c r="P7"/>
      <c r="Q7"/>
      <c r="R7"/>
      <c r="S7"/>
      <c r="T7"/>
      <c r="U7"/>
      <c r="V7"/>
      <c r="W7"/>
      <c r="X7"/>
    </row>
    <row r="8" spans="1:24" ht="15" customHeight="1" x14ac:dyDescent="0.3">
      <c r="A8" s="212">
        <v>46125</v>
      </c>
      <c r="B8" s="13">
        <v>5903</v>
      </c>
      <c r="C8" s="170">
        <f t="shared" si="1"/>
        <v>5</v>
      </c>
      <c r="D8" s="171">
        <f t="shared" si="2"/>
        <v>5000</v>
      </c>
      <c r="E8" s="172"/>
      <c r="G8" s="661">
        <f t="shared" si="0"/>
        <v>46125</v>
      </c>
      <c r="H8" s="13">
        <v>17023</v>
      </c>
      <c r="I8" s="170">
        <f t="shared" si="3"/>
        <v>18</v>
      </c>
      <c r="J8" s="171">
        <f t="shared" si="4"/>
        <v>18000</v>
      </c>
      <c r="K8" s="225"/>
      <c r="M8"/>
      <c r="N8"/>
      <c r="O8"/>
      <c r="P8"/>
      <c r="Q8"/>
      <c r="R8"/>
      <c r="S8"/>
      <c r="T8"/>
      <c r="U8"/>
      <c r="V8"/>
      <c r="W8"/>
      <c r="X8"/>
    </row>
    <row r="9" spans="1:24" ht="15" customHeight="1" x14ac:dyDescent="0.3">
      <c r="A9" s="212">
        <v>46128</v>
      </c>
      <c r="B9" s="13">
        <v>5909</v>
      </c>
      <c r="C9" s="170">
        <f t="shared" si="1"/>
        <v>6</v>
      </c>
      <c r="D9" s="171">
        <f t="shared" si="2"/>
        <v>6000</v>
      </c>
      <c r="E9" s="172"/>
      <c r="G9" s="661">
        <f t="shared" si="0"/>
        <v>46128</v>
      </c>
      <c r="H9" s="13">
        <v>17037</v>
      </c>
      <c r="I9" s="170">
        <f t="shared" si="3"/>
        <v>14</v>
      </c>
      <c r="J9" s="171">
        <f t="shared" si="4"/>
        <v>14000</v>
      </c>
      <c r="K9" s="172"/>
      <c r="M9"/>
      <c r="N9"/>
      <c r="O9"/>
      <c r="P9"/>
      <c r="Q9"/>
      <c r="R9"/>
      <c r="S9"/>
      <c r="T9"/>
      <c r="U9"/>
      <c r="V9"/>
      <c r="W9"/>
      <c r="X9"/>
    </row>
    <row r="10" spans="1:24" ht="15" customHeight="1" x14ac:dyDescent="0.3">
      <c r="A10" s="212"/>
      <c r="B10" s="13"/>
      <c r="C10" s="170"/>
      <c r="D10" s="171"/>
      <c r="E10" s="172"/>
      <c r="G10" s="661"/>
      <c r="H10" s="13"/>
      <c r="I10" s="170" t="str">
        <f t="shared" si="3"/>
        <v/>
      </c>
      <c r="J10" s="171" t="str">
        <f t="shared" si="4"/>
        <v/>
      </c>
      <c r="K10" s="172"/>
      <c r="M10"/>
      <c r="N10"/>
      <c r="O10"/>
      <c r="P10"/>
      <c r="Q10"/>
      <c r="R10"/>
      <c r="S10"/>
      <c r="T10"/>
      <c r="U10"/>
      <c r="V10"/>
      <c r="W10"/>
      <c r="X10"/>
    </row>
    <row r="11" spans="1:24" ht="15" customHeight="1" x14ac:dyDescent="0.3">
      <c r="A11" s="213"/>
      <c r="B11" s="46"/>
      <c r="C11" s="170" t="str">
        <f t="shared" si="1"/>
        <v/>
      </c>
      <c r="D11" s="171" t="str">
        <f t="shared" si="2"/>
        <v/>
      </c>
      <c r="E11" s="172"/>
      <c r="G11" s="661" t="str">
        <f t="shared" si="0"/>
        <v/>
      </c>
      <c r="H11" s="46"/>
      <c r="I11" s="170" t="str">
        <f t="shared" si="3"/>
        <v/>
      </c>
      <c r="J11" s="171" t="str">
        <f t="shared" si="4"/>
        <v/>
      </c>
      <c r="K11" s="51"/>
      <c r="M11"/>
      <c r="N11"/>
      <c r="O11"/>
      <c r="P11"/>
      <c r="Q11"/>
      <c r="R11"/>
      <c r="S11"/>
      <c r="T11"/>
      <c r="U11"/>
      <c r="V11"/>
      <c r="W11"/>
      <c r="X11"/>
    </row>
    <row r="12" spans="1:24" ht="15" customHeight="1" x14ac:dyDescent="0.3">
      <c r="A12" s="213"/>
      <c r="B12" s="46"/>
      <c r="C12" s="170" t="str">
        <f t="shared" si="1"/>
        <v/>
      </c>
      <c r="D12" s="171" t="str">
        <f t="shared" si="2"/>
        <v/>
      </c>
      <c r="E12" s="172"/>
      <c r="G12" s="661" t="str">
        <f t="shared" si="0"/>
        <v/>
      </c>
      <c r="H12" s="46"/>
      <c r="I12" s="170" t="str">
        <f t="shared" si="3"/>
        <v/>
      </c>
      <c r="J12" s="171" t="str">
        <f t="shared" si="4"/>
        <v/>
      </c>
      <c r="K12" s="172"/>
      <c r="M12"/>
      <c r="N12"/>
      <c r="O12"/>
      <c r="P12"/>
      <c r="Q12"/>
      <c r="R12"/>
      <c r="S12"/>
      <c r="T12"/>
      <c r="U12"/>
      <c r="V12"/>
      <c r="W12"/>
      <c r="X12"/>
    </row>
    <row r="13" spans="1:24" ht="15" customHeight="1" x14ac:dyDescent="0.3">
      <c r="A13" s="213"/>
      <c r="B13" s="46"/>
      <c r="C13" s="170" t="str">
        <f t="shared" si="1"/>
        <v/>
      </c>
      <c r="D13" s="171" t="str">
        <f t="shared" si="2"/>
        <v/>
      </c>
      <c r="E13" s="51"/>
      <c r="G13" s="661" t="str">
        <f t="shared" si="0"/>
        <v/>
      </c>
      <c r="H13" s="46"/>
      <c r="I13" s="170" t="str">
        <f t="shared" si="3"/>
        <v/>
      </c>
      <c r="J13" s="171" t="str">
        <f t="shared" si="4"/>
        <v/>
      </c>
      <c r="K13" s="51"/>
      <c r="M13"/>
      <c r="N13"/>
      <c r="O13"/>
      <c r="P13"/>
      <c r="Q13"/>
      <c r="R13"/>
      <c r="S13"/>
      <c r="T13"/>
      <c r="U13"/>
      <c r="V13"/>
      <c r="W13"/>
      <c r="X13"/>
    </row>
    <row r="14" spans="1:24" ht="15" customHeight="1" x14ac:dyDescent="0.3">
      <c r="A14" s="213"/>
      <c r="B14" s="46"/>
      <c r="C14" s="170" t="str">
        <f t="shared" si="1"/>
        <v/>
      </c>
      <c r="D14" s="171" t="str">
        <f t="shared" si="2"/>
        <v/>
      </c>
      <c r="E14" s="51"/>
      <c r="G14" s="664" t="str">
        <f t="shared" si="0"/>
        <v/>
      </c>
      <c r="H14" s="46"/>
      <c r="I14" s="170" t="str">
        <f t="shared" si="3"/>
        <v/>
      </c>
      <c r="J14" s="171" t="str">
        <f t="shared" si="4"/>
        <v/>
      </c>
      <c r="K14" s="51"/>
      <c r="M14"/>
      <c r="N14"/>
      <c r="O14"/>
      <c r="P14"/>
      <c r="Q14"/>
      <c r="R14"/>
      <c r="S14"/>
      <c r="T14"/>
      <c r="U14"/>
      <c r="V14"/>
      <c r="W14"/>
      <c r="X14"/>
    </row>
    <row r="15" spans="1:24" ht="15" customHeight="1" thickBot="1" x14ac:dyDescent="0.35">
      <c r="A15" s="214"/>
      <c r="B15" s="39"/>
      <c r="C15" s="240" t="str">
        <f>IF(B15="","",B15-B12)</f>
        <v/>
      </c>
      <c r="D15" s="223" t="str">
        <f t="shared" si="2"/>
        <v/>
      </c>
      <c r="E15" s="176"/>
      <c r="G15" s="662" t="str">
        <f t="shared" si="0"/>
        <v/>
      </c>
      <c r="H15" s="663"/>
      <c r="I15" s="240" t="str">
        <f>IF(H15="","",H15-H12)</f>
        <v/>
      </c>
      <c r="J15" s="223" t="str">
        <f t="shared" si="4"/>
        <v/>
      </c>
      <c r="K15" s="176"/>
      <c r="M15"/>
      <c r="N15"/>
      <c r="O15"/>
      <c r="P15"/>
      <c r="Q15"/>
      <c r="R15"/>
      <c r="S15"/>
      <c r="T15"/>
      <c r="U15"/>
      <c r="V15"/>
      <c r="W15"/>
      <c r="X15"/>
    </row>
    <row r="16" spans="1:24" ht="15" customHeight="1" thickBot="1" x14ac:dyDescent="0.35">
      <c r="A16" s="15"/>
      <c r="B16" s="16"/>
      <c r="C16" s="16">
        <f>SUM(C3:C15)</f>
        <v>48</v>
      </c>
      <c r="D16" s="17">
        <f>SUM(D3:D15)</f>
        <v>48000</v>
      </c>
      <c r="E16" s="176"/>
      <c r="G16" s="15"/>
      <c r="H16" s="16"/>
      <c r="I16" s="16">
        <f>SUM(I3:I15)</f>
        <v>180</v>
      </c>
      <c r="J16" s="17">
        <f>SUM(J3:J15)</f>
        <v>180000</v>
      </c>
      <c r="K16" s="176"/>
      <c r="M16"/>
      <c r="N16"/>
      <c r="O16"/>
      <c r="P16"/>
      <c r="Q16"/>
      <c r="R16"/>
      <c r="S16"/>
      <c r="T16"/>
      <c r="U16"/>
      <c r="V16"/>
      <c r="W16"/>
      <c r="X16"/>
    </row>
    <row r="17" spans="1:24" ht="15" customHeight="1" x14ac:dyDescent="0.2">
      <c r="M17"/>
      <c r="N17"/>
      <c r="O17"/>
      <c r="P17"/>
      <c r="Q17"/>
      <c r="R17"/>
      <c r="S17"/>
      <c r="T17"/>
      <c r="U17"/>
      <c r="V17"/>
      <c r="W17"/>
      <c r="X17"/>
    </row>
    <row r="18" spans="1:24" ht="15" customHeight="1" thickBot="1" x14ac:dyDescent="0.35">
      <c r="A18" s="847" t="s">
        <v>148</v>
      </c>
      <c r="B18" s="847"/>
      <c r="C18" s="736"/>
      <c r="D18" s="736"/>
      <c r="E18" s="26"/>
      <c r="G18" s="849" t="s">
        <v>154</v>
      </c>
      <c r="H18" s="849"/>
      <c r="I18" s="736"/>
      <c r="J18" s="736"/>
      <c r="K18" s="26"/>
      <c r="M18"/>
      <c r="N18"/>
      <c r="O18"/>
      <c r="P18"/>
      <c r="Q18"/>
      <c r="R18"/>
      <c r="S18"/>
      <c r="T18"/>
      <c r="U18"/>
      <c r="V18"/>
      <c r="W18"/>
      <c r="X18"/>
    </row>
    <row r="19" spans="1:24" ht="15" customHeight="1" thickBot="1" x14ac:dyDescent="0.25">
      <c r="A19" s="7" t="s">
        <v>142</v>
      </c>
      <c r="B19" s="8" t="s">
        <v>143</v>
      </c>
      <c r="C19" s="8" t="s">
        <v>144</v>
      </c>
      <c r="D19" s="8" t="s">
        <v>145</v>
      </c>
      <c r="E19" s="9" t="s">
        <v>146</v>
      </c>
      <c r="G19" s="7" t="s">
        <v>142</v>
      </c>
      <c r="H19" s="8" t="s">
        <v>143</v>
      </c>
      <c r="I19" s="8" t="s">
        <v>144</v>
      </c>
      <c r="J19" s="8" t="s">
        <v>145</v>
      </c>
      <c r="K19" s="9" t="s">
        <v>146</v>
      </c>
    </row>
    <row r="20" spans="1:24" ht="15" customHeight="1" x14ac:dyDescent="0.3">
      <c r="A20" s="212">
        <v>46136</v>
      </c>
      <c r="B20" s="13">
        <v>5911</v>
      </c>
      <c r="C20" s="170">
        <f>IF(B20="","",B20-B9)</f>
        <v>2</v>
      </c>
      <c r="D20" s="171">
        <f>IF(B20="","",C20*1000)</f>
        <v>2000</v>
      </c>
      <c r="E20" s="172"/>
      <c r="G20" s="661">
        <f>IF(A20="","",A20)</f>
        <v>46136</v>
      </c>
      <c r="H20" s="13">
        <v>17037</v>
      </c>
      <c r="I20" s="170">
        <f>IF(H20="","",H20-H9)</f>
        <v>0</v>
      </c>
      <c r="J20" s="171">
        <f>IF(H20="","",I20*1000)</f>
        <v>0</v>
      </c>
      <c r="K20" s="172"/>
    </row>
    <row r="21" spans="1:24" ht="15" customHeight="1" x14ac:dyDescent="0.3">
      <c r="A21" s="213">
        <v>46139</v>
      </c>
      <c r="B21" s="46">
        <v>5914</v>
      </c>
      <c r="C21" s="170">
        <f>IF(B21="","",B21-B20)</f>
        <v>3</v>
      </c>
      <c r="D21" s="171">
        <f>IF(B21="","",C21*1000)</f>
        <v>3000</v>
      </c>
      <c r="E21" s="172"/>
      <c r="G21" s="661">
        <f>IF(A21="","",A21)</f>
        <v>46139</v>
      </c>
      <c r="H21" s="46">
        <v>17063</v>
      </c>
      <c r="I21" s="170">
        <f>IF(H21="","",H21-H20)</f>
        <v>26</v>
      </c>
      <c r="J21" s="171">
        <f>IF(H21="","",I21*1000)</f>
        <v>26000</v>
      </c>
      <c r="K21" s="172"/>
    </row>
    <row r="22" spans="1:24" ht="15" customHeight="1" x14ac:dyDescent="0.3">
      <c r="A22" s="213">
        <v>46143</v>
      </c>
      <c r="B22" s="46">
        <v>5916</v>
      </c>
      <c r="C22" s="170">
        <f>IF(B22="","",B22-B21)</f>
        <v>2</v>
      </c>
      <c r="D22" s="171">
        <f>IF(B22="","",C22*1000)</f>
        <v>2000</v>
      </c>
      <c r="E22" s="172"/>
      <c r="G22" s="661">
        <f>IF(A22="","",A22)</f>
        <v>46143</v>
      </c>
      <c r="H22" s="46">
        <v>17087</v>
      </c>
      <c r="I22" s="170">
        <f>IF(H22="","",H22-H21)</f>
        <v>24</v>
      </c>
      <c r="J22" s="171">
        <f>IF(H22="","",I22*1000)</f>
        <v>24000</v>
      </c>
      <c r="K22" s="51"/>
    </row>
    <row r="23" spans="1:24" ht="15" customHeight="1" x14ac:dyDescent="0.3">
      <c r="A23" s="212">
        <v>46146</v>
      </c>
      <c r="B23" s="13">
        <v>5923</v>
      </c>
      <c r="C23" s="170">
        <f>IF(B23="","",B23-B22)</f>
        <v>7</v>
      </c>
      <c r="D23" s="171">
        <f>IF(B23="","",C23*1000)</f>
        <v>7000</v>
      </c>
      <c r="E23" s="172"/>
      <c r="G23" s="661">
        <f>IF(A23="","",A23)</f>
        <v>46146</v>
      </c>
      <c r="H23" s="13">
        <v>17113</v>
      </c>
      <c r="I23" s="170">
        <f>IF(H23="","",H23-H22)</f>
        <v>26</v>
      </c>
      <c r="J23" s="171">
        <f>IF(H23="","",I23*1000)</f>
        <v>26000</v>
      </c>
      <c r="K23" s="172"/>
    </row>
    <row r="24" spans="1:24" ht="15" customHeight="1" x14ac:dyDescent="0.3">
      <c r="A24" s="212">
        <v>46150</v>
      </c>
      <c r="B24" s="13">
        <v>5926</v>
      </c>
      <c r="C24" s="170">
        <f>IF(B24="","",B24-B23)</f>
        <v>3</v>
      </c>
      <c r="D24" s="171">
        <f>IF(B24="","",C24*1000)</f>
        <v>3000</v>
      </c>
      <c r="E24" s="172"/>
      <c r="G24" s="661">
        <f>IF(A24="","",A24)</f>
        <v>46150</v>
      </c>
      <c r="H24" s="13">
        <v>17137</v>
      </c>
      <c r="I24" s="170">
        <f>IF(H24="","",H24-H23)</f>
        <v>24</v>
      </c>
      <c r="J24" s="171">
        <f>IF(H24="","",I24*1000)</f>
        <v>24000</v>
      </c>
      <c r="K24" s="225"/>
    </row>
    <row r="25" spans="1:24" ht="15" customHeight="1" x14ac:dyDescent="0.3">
      <c r="A25" s="212">
        <v>46153</v>
      </c>
      <c r="B25" s="13">
        <v>5937</v>
      </c>
      <c r="C25" s="170">
        <f>IF(B25="","",B25-B24)</f>
        <v>11</v>
      </c>
      <c r="D25" s="171">
        <f>IF(B25="","",C25*1000)</f>
        <v>11000</v>
      </c>
      <c r="E25" s="172"/>
      <c r="G25" s="661">
        <f>IF(A25="","",A25)</f>
        <v>46153</v>
      </c>
      <c r="H25" s="13">
        <v>17157</v>
      </c>
      <c r="I25" s="170">
        <f>IF(H25="","",H25-H24)</f>
        <v>20</v>
      </c>
      <c r="J25" s="171">
        <f>IF(H25="","",I25*1000)</f>
        <v>20000</v>
      </c>
      <c r="K25" s="225"/>
    </row>
    <row r="26" spans="1:24" ht="15" customHeight="1" x14ac:dyDescent="0.3">
      <c r="A26" s="212">
        <v>46157</v>
      </c>
      <c r="B26" s="13">
        <v>5937</v>
      </c>
      <c r="C26" s="170">
        <f>IF(B26="","",B26-B25)</f>
        <v>0</v>
      </c>
      <c r="D26" s="171">
        <f>IF(B26="","",C26*1000)</f>
        <v>0</v>
      </c>
      <c r="E26" s="172"/>
      <c r="G26" s="661">
        <v>46157</v>
      </c>
      <c r="H26" s="13">
        <v>17227</v>
      </c>
      <c r="I26" s="170">
        <f>IF(H26="","",H26-H25)</f>
        <v>70</v>
      </c>
      <c r="J26" s="171">
        <f>IF(H26="","",I26*1000)</f>
        <v>70000</v>
      </c>
      <c r="K26" s="172"/>
    </row>
    <row r="27" spans="1:24" ht="15" customHeight="1" x14ac:dyDescent="0.3">
      <c r="A27" s="212"/>
      <c r="B27" s="13"/>
      <c r="C27" s="170"/>
      <c r="D27" s="171"/>
      <c r="E27" s="172"/>
      <c r="G27" s="661"/>
      <c r="H27" s="13"/>
      <c r="I27" s="170" t="str">
        <f>IF(H27="","",H27-H26)</f>
        <v/>
      </c>
      <c r="J27" s="171" t="str">
        <f>IF(H27="","",I27*1000)</f>
        <v/>
      </c>
      <c r="K27" s="172" t="s">
        <v>389</v>
      </c>
    </row>
    <row r="28" spans="1:24" ht="15" customHeight="1" x14ac:dyDescent="0.3">
      <c r="A28" s="213"/>
      <c r="B28" s="46"/>
      <c r="C28" s="170" t="str">
        <f>IF(B28="","",B28-B27)</f>
        <v/>
      </c>
      <c r="D28" s="171" t="str">
        <f>IF(B28="","",C28*1000)</f>
        <v/>
      </c>
      <c r="E28" s="172"/>
      <c r="G28" s="661" t="str">
        <f>IF(A28="","",A28)</f>
        <v/>
      </c>
      <c r="H28" s="46"/>
      <c r="I28" s="170" t="str">
        <f>IF(H28="","",H28-H27)</f>
        <v/>
      </c>
      <c r="J28" s="171" t="str">
        <f>IF(H28="","",I28*1000)</f>
        <v/>
      </c>
      <c r="K28" s="51"/>
    </row>
    <row r="29" spans="1:24" ht="15" customHeight="1" x14ac:dyDescent="0.3">
      <c r="A29" s="213"/>
      <c r="B29" s="46"/>
      <c r="C29" s="170" t="str">
        <f>IF(B29="","",B29-B28)</f>
        <v/>
      </c>
      <c r="D29" s="171" t="str">
        <f>IF(B29="","",C29*1000)</f>
        <v/>
      </c>
      <c r="E29" s="172"/>
      <c r="G29" s="661" t="str">
        <f>IF(A29="","",A29)</f>
        <v/>
      </c>
      <c r="H29" s="46"/>
      <c r="I29" s="170" t="str">
        <f>IF(H29="","",H29-H28)</f>
        <v/>
      </c>
      <c r="J29" s="171" t="str">
        <f>IF(H29="","",I29*1000)</f>
        <v/>
      </c>
      <c r="K29" s="172"/>
    </row>
    <row r="30" spans="1:24" ht="15" customHeight="1" x14ac:dyDescent="0.3">
      <c r="A30" s="213"/>
      <c r="B30" s="46"/>
      <c r="C30" s="170" t="str">
        <f>IF(B30="","",B30-B29)</f>
        <v/>
      </c>
      <c r="D30" s="171" t="str">
        <f>IF(B30="","",C30*1000)</f>
        <v/>
      </c>
      <c r="E30" s="51"/>
      <c r="G30" s="661" t="str">
        <f>IF(A30="","",A30)</f>
        <v/>
      </c>
      <c r="H30" s="46"/>
      <c r="I30" s="170" t="str">
        <f>IF(H30="","",H30-H29)</f>
        <v/>
      </c>
      <c r="J30" s="171" t="str">
        <f>IF(H30="","",I30*1000)</f>
        <v/>
      </c>
      <c r="K30" s="51"/>
    </row>
    <row r="31" spans="1:24" ht="15" customHeight="1" x14ac:dyDescent="0.3">
      <c r="A31" s="213"/>
      <c r="B31" s="46"/>
      <c r="C31" s="170" t="str">
        <f>IF(B31="","",B31-B30)</f>
        <v/>
      </c>
      <c r="D31" s="171" t="str">
        <f>IF(B31="","",C31*1000)</f>
        <v/>
      </c>
      <c r="E31" s="51"/>
      <c r="G31" s="664" t="str">
        <f>IF(A31="","",A31)</f>
        <v/>
      </c>
      <c r="H31" s="46"/>
      <c r="I31" s="170" t="str">
        <f>IF(H31="","",H31-H30)</f>
        <v/>
      </c>
      <c r="J31" s="171" t="str">
        <f>IF(H31="","",I31*1000)</f>
        <v/>
      </c>
      <c r="K31" s="51"/>
    </row>
    <row r="32" spans="1:24" ht="15" customHeight="1" thickBot="1" x14ac:dyDescent="0.35">
      <c r="A32" s="214"/>
      <c r="B32" s="39"/>
      <c r="C32" s="240" t="str">
        <f>IF(B32="","",B32-B29)</f>
        <v/>
      </c>
      <c r="D32" s="223" t="str">
        <f>IF(B32="","",C32*1000)</f>
        <v/>
      </c>
      <c r="E32" s="176"/>
      <c r="G32" s="662" t="str">
        <f>IF(A32="","",A32)</f>
        <v/>
      </c>
      <c r="H32" s="663"/>
      <c r="I32" s="240" t="str">
        <f>IF(H32="","",H32-H29)</f>
        <v/>
      </c>
      <c r="J32" s="223" t="str">
        <f>IF(H32="","",I32*1000)</f>
        <v/>
      </c>
      <c r="K32" s="176"/>
    </row>
    <row r="33" spans="1:11" ht="15" customHeight="1" thickBot="1" x14ac:dyDescent="0.35">
      <c r="A33" s="15"/>
      <c r="B33" s="16"/>
      <c r="C33" s="16">
        <f>SUM(C20:C32)</f>
        <v>28</v>
      </c>
      <c r="D33" s="17">
        <f>SUM(D20:D32)</f>
        <v>28000</v>
      </c>
      <c r="E33" s="176"/>
      <c r="G33" s="15"/>
      <c r="H33" s="16"/>
      <c r="I33" s="16">
        <f>SUM(I20:I32)</f>
        <v>190</v>
      </c>
      <c r="J33" s="17">
        <f>SUM(J20:J32)</f>
        <v>190000</v>
      </c>
      <c r="K33" s="176"/>
    </row>
    <row r="35" spans="1:11" ht="15" customHeight="1" thickBot="1" x14ac:dyDescent="0.35">
      <c r="A35" s="847" t="s">
        <v>148</v>
      </c>
      <c r="B35" s="847"/>
      <c r="C35" s="736"/>
      <c r="D35" s="736"/>
      <c r="E35" s="26"/>
      <c r="F35" s="798"/>
      <c r="G35" s="849" t="s">
        <v>154</v>
      </c>
      <c r="H35" s="849"/>
      <c r="I35" s="736"/>
      <c r="J35" s="736"/>
      <c r="K35" s="26"/>
    </row>
    <row r="36" spans="1:11" ht="15" customHeight="1" thickBot="1" x14ac:dyDescent="0.25">
      <c r="A36" s="7" t="s">
        <v>142</v>
      </c>
      <c r="B36" s="8" t="s">
        <v>143</v>
      </c>
      <c r="C36" s="8" t="s">
        <v>144</v>
      </c>
      <c r="D36" s="8" t="s">
        <v>145</v>
      </c>
      <c r="E36" s="9" t="s">
        <v>146</v>
      </c>
      <c r="G36" s="7" t="s">
        <v>142</v>
      </c>
      <c r="H36" s="8" t="s">
        <v>143</v>
      </c>
      <c r="I36" s="8" t="s">
        <v>144</v>
      </c>
      <c r="J36" s="8" t="s">
        <v>145</v>
      </c>
      <c r="K36" s="9" t="s">
        <v>146</v>
      </c>
    </row>
    <row r="37" spans="1:11" ht="15" customHeight="1" x14ac:dyDescent="0.3">
      <c r="A37" s="212">
        <v>46159</v>
      </c>
      <c r="B37" s="13">
        <v>5937</v>
      </c>
      <c r="C37" s="170">
        <f>IF(B37="","",B37-B26)</f>
        <v>0</v>
      </c>
      <c r="D37" s="171">
        <f>IF(B37="","",C37*1000)</f>
        <v>0</v>
      </c>
      <c r="E37" s="172"/>
      <c r="G37" s="661">
        <f>IF(A37="","",A37)</f>
        <v>46159</v>
      </c>
      <c r="H37" s="13">
        <v>17227</v>
      </c>
      <c r="I37" s="170">
        <f>IF(H37="","",H37-H26)</f>
        <v>0</v>
      </c>
      <c r="J37" s="171">
        <f>IF(H37="","",I37*1000)</f>
        <v>0</v>
      </c>
      <c r="K37" s="172" t="s">
        <v>389</v>
      </c>
    </row>
    <row r="38" spans="1:11" ht="15" customHeight="1" x14ac:dyDescent="0.3">
      <c r="A38" s="213">
        <v>46165</v>
      </c>
      <c r="B38" s="46">
        <v>5941</v>
      </c>
      <c r="C38" s="170">
        <f>IF(B38="","",B38-B37)</f>
        <v>4</v>
      </c>
      <c r="D38" s="171">
        <f>IF(B38="","",C38*1000)</f>
        <v>4000</v>
      </c>
      <c r="E38" s="172"/>
      <c r="G38" s="661">
        <f>IF(A38="","",A38)</f>
        <v>46165</v>
      </c>
      <c r="H38" s="46">
        <v>17271</v>
      </c>
      <c r="I38" s="170">
        <f>IF(H38="","",H38-H37)</f>
        <v>44</v>
      </c>
      <c r="J38" s="171">
        <f>IF(H38="","",I38*1000)</f>
        <v>44000</v>
      </c>
      <c r="K38" s="172"/>
    </row>
    <row r="39" spans="1:11" ht="15" customHeight="1" x14ac:dyDescent="0.3">
      <c r="A39" s="213">
        <v>46167</v>
      </c>
      <c r="B39" s="46">
        <v>5941</v>
      </c>
      <c r="C39" s="170">
        <f>IF(B39="","",B39-B38)</f>
        <v>0</v>
      </c>
      <c r="D39" s="171">
        <f>IF(B39="","",C39*1000)</f>
        <v>0</v>
      </c>
      <c r="E39" s="172"/>
      <c r="G39" s="661">
        <f>IF(A39="","",A39)</f>
        <v>46167</v>
      </c>
      <c r="H39" s="46">
        <v>17281</v>
      </c>
      <c r="I39" s="170">
        <f>IF(H39="","",H39-H38)</f>
        <v>10</v>
      </c>
      <c r="J39" s="171">
        <f>IF(H39="","",I39*1000)</f>
        <v>10000</v>
      </c>
      <c r="K39" s="51"/>
    </row>
    <row r="40" spans="1:11" ht="15" customHeight="1" x14ac:dyDescent="0.3">
      <c r="A40" s="212"/>
      <c r="B40" s="13"/>
      <c r="C40" s="170" t="str">
        <f>IF(B40="","",B40-B39)</f>
        <v/>
      </c>
      <c r="D40" s="171" t="str">
        <f>IF(B40="","",C40*1000)</f>
        <v/>
      </c>
      <c r="E40" s="172"/>
      <c r="G40" s="661" t="str">
        <f>IF(A40="","",A40)</f>
        <v/>
      </c>
      <c r="H40" s="13"/>
      <c r="I40" s="170" t="str">
        <f>IF(H40="","",H40-H39)</f>
        <v/>
      </c>
      <c r="J40" s="171" t="str">
        <f>IF(H40="","",I40*1000)</f>
        <v/>
      </c>
      <c r="K40" s="172"/>
    </row>
    <row r="41" spans="1:11" ht="15" customHeight="1" x14ac:dyDescent="0.3">
      <c r="A41" s="212"/>
      <c r="B41" s="13"/>
      <c r="C41" s="170" t="str">
        <f>IF(B41="","",B41-B40)</f>
        <v/>
      </c>
      <c r="D41" s="171" t="str">
        <f>IF(B41="","",C41*1000)</f>
        <v/>
      </c>
      <c r="E41" s="172"/>
      <c r="G41" s="661" t="str">
        <f>IF(A41="","",A41)</f>
        <v/>
      </c>
      <c r="H41" s="13"/>
      <c r="I41" s="170" t="str">
        <f>IF(H41="","",H41-H40)</f>
        <v/>
      </c>
      <c r="J41" s="171" t="str">
        <f>IF(H41="","",I41*1000)</f>
        <v/>
      </c>
      <c r="K41" s="225"/>
    </row>
    <row r="42" spans="1:11" ht="15" customHeight="1" x14ac:dyDescent="0.3">
      <c r="A42" s="212"/>
      <c r="B42" s="13"/>
      <c r="C42" s="170" t="str">
        <f>IF(B42="","",B42-B41)</f>
        <v/>
      </c>
      <c r="D42" s="171" t="str">
        <f>IF(B42="","",C42*1000)</f>
        <v/>
      </c>
      <c r="E42" s="172"/>
      <c r="G42" s="661" t="str">
        <f>IF(A42="","",A42)</f>
        <v/>
      </c>
      <c r="H42" s="13"/>
      <c r="I42" s="170" t="str">
        <f>IF(H42="","",H42-H41)</f>
        <v/>
      </c>
      <c r="J42" s="171" t="str">
        <f>IF(H42="","",I42*1000)</f>
        <v/>
      </c>
      <c r="K42" s="225"/>
    </row>
    <row r="43" spans="1:11" ht="15" customHeight="1" x14ac:dyDescent="0.3">
      <c r="A43" s="212"/>
      <c r="B43" s="13"/>
      <c r="C43" s="170" t="str">
        <f>IF(B43="","",B43-B42)</f>
        <v/>
      </c>
      <c r="D43" s="171" t="str">
        <f>IF(B43="","",C43*1000)</f>
        <v/>
      </c>
      <c r="E43" s="172"/>
      <c r="G43" s="661" t="str">
        <f>IF(A43="","",A43)</f>
        <v/>
      </c>
      <c r="H43" s="13"/>
      <c r="I43" s="170" t="str">
        <f>IF(H43="","",H43-H42)</f>
        <v/>
      </c>
      <c r="J43" s="171" t="str">
        <f>IF(H43="","",I43*1000)</f>
        <v/>
      </c>
      <c r="K43" s="172"/>
    </row>
    <row r="44" spans="1:11" ht="15" customHeight="1" x14ac:dyDescent="0.3">
      <c r="A44" s="212"/>
      <c r="B44" s="13"/>
      <c r="C44" s="170" t="str">
        <f>IF(B44="","",B44-B43)</f>
        <v/>
      </c>
      <c r="D44" s="171" t="str">
        <f>IF(B44="","",C44*1000)</f>
        <v/>
      </c>
      <c r="E44" s="172"/>
      <c r="G44" s="661" t="str">
        <f>IF(A44="","",A44)</f>
        <v/>
      </c>
      <c r="H44" s="13"/>
      <c r="I44" s="170" t="str">
        <f>IF(H44="","",H44-H43)</f>
        <v/>
      </c>
      <c r="J44" s="171" t="str">
        <f>IF(H44="","",I44*1000)</f>
        <v/>
      </c>
      <c r="K44" s="172"/>
    </row>
    <row r="45" spans="1:11" ht="15" customHeight="1" x14ac:dyDescent="0.3">
      <c r="A45" s="213"/>
      <c r="B45" s="46"/>
      <c r="C45" s="170" t="str">
        <f>IF(B45="","",B45-B44)</f>
        <v/>
      </c>
      <c r="D45" s="171" t="str">
        <f>IF(B45="","",C45*1000)</f>
        <v/>
      </c>
      <c r="E45" s="172"/>
      <c r="G45" s="661" t="str">
        <f>IF(A45="","",A45)</f>
        <v/>
      </c>
      <c r="H45" s="46"/>
      <c r="I45" s="170" t="str">
        <f>IF(H45="","",H45-H44)</f>
        <v/>
      </c>
      <c r="J45" s="171" t="str">
        <f>IF(H45="","",I45*1000)</f>
        <v/>
      </c>
      <c r="K45" s="51"/>
    </row>
    <row r="46" spans="1:11" ht="15" customHeight="1" x14ac:dyDescent="0.3">
      <c r="A46" s="213"/>
      <c r="B46" s="46"/>
      <c r="C46" s="170" t="str">
        <f>IF(B46="","",B46-B45)</f>
        <v/>
      </c>
      <c r="D46" s="171" t="str">
        <f>IF(B46="","",C46*1000)</f>
        <v/>
      </c>
      <c r="E46" s="172"/>
      <c r="G46" s="661" t="str">
        <f>IF(A46="","",A46)</f>
        <v/>
      </c>
      <c r="H46" s="46"/>
      <c r="I46" s="170" t="str">
        <f>IF(H46="","",H46-H45)</f>
        <v/>
      </c>
      <c r="J46" s="171" t="str">
        <f>IF(H46="","",I46*1000)</f>
        <v/>
      </c>
      <c r="K46" s="172"/>
    </row>
    <row r="47" spans="1:11" ht="15" customHeight="1" x14ac:dyDescent="0.3">
      <c r="A47" s="213"/>
      <c r="B47" s="46"/>
      <c r="C47" s="170" t="str">
        <f>IF(B47="","",B47-B46)</f>
        <v/>
      </c>
      <c r="D47" s="171" t="str">
        <f>IF(B47="","",C47*1000)</f>
        <v/>
      </c>
      <c r="E47" s="51"/>
      <c r="G47" s="661" t="str">
        <f>IF(A47="","",A47)</f>
        <v/>
      </c>
      <c r="H47" s="46"/>
      <c r="I47" s="170" t="str">
        <f>IF(H47="","",H47-H46)</f>
        <v/>
      </c>
      <c r="J47" s="171" t="str">
        <f>IF(H47="","",I47*1000)</f>
        <v/>
      </c>
      <c r="K47" s="51"/>
    </row>
    <row r="48" spans="1:11" ht="15" customHeight="1" x14ac:dyDescent="0.3">
      <c r="A48" s="213"/>
      <c r="B48" s="46"/>
      <c r="C48" s="170" t="str">
        <f>IF(B48="","",B48-B47)</f>
        <v/>
      </c>
      <c r="D48" s="171" t="str">
        <f>IF(B48="","",C48*1000)</f>
        <v/>
      </c>
      <c r="E48" s="51"/>
      <c r="G48" s="664" t="str">
        <f>IF(A48="","",A48)</f>
        <v/>
      </c>
      <c r="H48" s="46"/>
      <c r="I48" s="170" t="str">
        <f>IF(H48="","",H48-H47)</f>
        <v/>
      </c>
      <c r="J48" s="171" t="str">
        <f>IF(H48="","",I48*1000)</f>
        <v/>
      </c>
      <c r="K48" s="51"/>
    </row>
    <row r="49" spans="1:11" ht="15" customHeight="1" thickBot="1" x14ac:dyDescent="0.35">
      <c r="A49" s="214"/>
      <c r="B49" s="39"/>
      <c r="C49" s="240" t="str">
        <f>IF(B49="","",B49-B46)</f>
        <v/>
      </c>
      <c r="D49" s="223" t="str">
        <f>IF(B49="","",C49*1000)</f>
        <v/>
      </c>
      <c r="E49" s="176"/>
      <c r="G49" s="662" t="str">
        <f>IF(A49="","",A49)</f>
        <v/>
      </c>
      <c r="H49" s="663"/>
      <c r="I49" s="240" t="str">
        <f>IF(H49="","",H49-H46)</f>
        <v/>
      </c>
      <c r="J49" s="223" t="str">
        <f>IF(H49="","",I49*1000)</f>
        <v/>
      </c>
      <c r="K49" s="176"/>
    </row>
    <row r="50" spans="1:11" ht="15" customHeight="1" thickBot="1" x14ac:dyDescent="0.35">
      <c r="A50" s="15"/>
      <c r="B50" s="16"/>
      <c r="C50" s="16">
        <f>SUM(C37:C49)</f>
        <v>4</v>
      </c>
      <c r="D50" s="17">
        <f>SUM(D37:D49)</f>
        <v>4000</v>
      </c>
      <c r="E50" s="176"/>
      <c r="G50" s="15"/>
      <c r="H50" s="16"/>
      <c r="I50" s="16">
        <f>SUM(I37:I49)</f>
        <v>54</v>
      </c>
      <c r="J50" s="17">
        <f>SUM(J37:J49)</f>
        <v>54000</v>
      </c>
      <c r="K50" s="176"/>
    </row>
  </sheetData>
  <mergeCells count="6">
    <mergeCell ref="A1:B1"/>
    <mergeCell ref="G1:H1"/>
    <mergeCell ref="A18:B18"/>
    <mergeCell ref="G18:H18"/>
    <mergeCell ref="A35:B35"/>
    <mergeCell ref="G35:H35"/>
  </mergeCells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>
    <pageSetUpPr fitToPage="1"/>
  </sheetPr>
  <dimension ref="B1:K152"/>
  <sheetViews>
    <sheetView zoomScale="80" zoomScaleNormal="80" workbookViewId="0">
      <pane ySplit="1" topLeftCell="A11" activePane="bottomLeft" state="frozen"/>
      <selection activeCell="M1" sqref="M1"/>
      <selection pane="bottomLeft" activeCell="K139" sqref="K139"/>
    </sheetView>
  </sheetViews>
  <sheetFormatPr defaultColWidth="14.390625" defaultRowHeight="15" x14ac:dyDescent="0.2"/>
  <cols>
    <col min="1" max="1" width="4.3046875" customWidth="1"/>
    <col min="2" max="2" width="14.390625" bestFit="1" customWidth="1"/>
    <col min="3" max="3" width="1.07421875" customWidth="1"/>
    <col min="4" max="4" width="12.5078125" customWidth="1"/>
    <col min="5" max="5" width="6.9921875" bestFit="1" customWidth="1"/>
    <col min="6" max="6" width="13.5859375" customWidth="1"/>
    <col min="7" max="10" width="1.07421875" hidden="1" customWidth="1"/>
    <col min="11" max="11" width="25.01953125" customWidth="1"/>
    <col min="12" max="12" width="4.70703125" customWidth="1"/>
    <col min="13" max="13" width="16.140625" customWidth="1"/>
    <col min="14" max="14" width="0.671875" customWidth="1"/>
    <col min="15" max="15" width="10.76171875" customWidth="1"/>
    <col min="16" max="16" width="8.47265625" customWidth="1"/>
    <col min="17" max="17" width="13.5859375" customWidth="1"/>
    <col min="18" max="21" width="0.53515625" customWidth="1"/>
    <col min="22" max="22" width="31.87890625" customWidth="1"/>
    <col min="23" max="23" width="8.875" bestFit="1" customWidth="1"/>
    <col min="24" max="24" width="23.13671875" customWidth="1"/>
    <col min="25" max="26" width="10.76171875" customWidth="1"/>
    <col min="27" max="27" width="8.875" customWidth="1"/>
    <col min="28" max="28" width="13.5859375" customWidth="1"/>
    <col min="29" max="29" width="8.47265625" customWidth="1"/>
    <col min="30" max="30" width="13.5859375" customWidth="1"/>
    <col min="31" max="31" width="10.22265625" customWidth="1"/>
    <col min="32" max="32" width="9.953125" customWidth="1"/>
    <col min="33" max="33" width="14.66015625" customWidth="1"/>
    <col min="34" max="34" width="20.3125" customWidth="1"/>
    <col min="35" max="35" width="14.66015625" customWidth="1"/>
    <col min="16384" max="16384" width="14.390625" bestFit="1" customWidth="1"/>
  </cols>
  <sheetData>
    <row r="1" spans="2:11" ht="18.75" thickBot="1" x14ac:dyDescent="0.4">
      <c r="B1" t="s">
        <v>141</v>
      </c>
      <c r="C1" s="69"/>
      <c r="D1" s="69"/>
      <c r="E1" s="69"/>
      <c r="F1" s="69"/>
      <c r="G1" s="69"/>
      <c r="H1" s="69"/>
      <c r="I1" s="69"/>
      <c r="J1" s="80"/>
      <c r="K1" s="69"/>
    </row>
    <row r="2" spans="2:11" ht="18.75" thickBot="1" x14ac:dyDescent="0.25">
      <c r="B2" t="s">
        <v>142</v>
      </c>
      <c r="C2" s="383"/>
      <c r="D2" s="383" t="s">
        <v>143</v>
      </c>
      <c r="E2" s="383" t="s">
        <v>144</v>
      </c>
      <c r="F2" s="383" t="s">
        <v>145</v>
      </c>
      <c r="G2" s="383"/>
      <c r="H2" s="383"/>
      <c r="I2" s="384"/>
      <c r="J2" s="385"/>
      <c r="K2" s="385" t="s">
        <v>146</v>
      </c>
    </row>
    <row r="3" spans="2:11" ht="22.5" x14ac:dyDescent="0.45">
      <c r="B3">
        <v>45922</v>
      </c>
      <c r="C3" s="76"/>
      <c r="D3" s="76">
        <v>3585</v>
      </c>
      <c r="E3" s="160">
        <v>74</v>
      </c>
      <c r="F3" s="161">
        <v>74000</v>
      </c>
      <c r="G3" s="161"/>
      <c r="H3" s="161"/>
      <c r="I3" s="163"/>
      <c r="J3" s="164"/>
      <c r="K3" s="166"/>
    </row>
    <row r="4" spans="2:11" ht="22.5" x14ac:dyDescent="0.45">
      <c r="B4">
        <v>45927</v>
      </c>
      <c r="C4" s="76"/>
      <c r="D4" s="83">
        <v>3637</v>
      </c>
      <c r="E4" s="160">
        <f t="shared" ref="E4:E15" si="0">IF(D4="","",D4-D3)</f>
        <v>52</v>
      </c>
      <c r="F4" s="161">
        <f t="shared" ref="F4:F15" si="1">IF(D4="","",E4*1000)</f>
        <v>52000</v>
      </c>
      <c r="G4" s="161"/>
      <c r="H4" s="161"/>
      <c r="I4" s="163"/>
      <c r="J4" s="164"/>
      <c r="K4" s="166"/>
    </row>
    <row r="5" spans="2:11" ht="22.5" x14ac:dyDescent="0.45">
      <c r="B5">
        <v>45930</v>
      </c>
      <c r="C5" s="76"/>
      <c r="D5" s="160">
        <v>3661</v>
      </c>
      <c r="E5" s="160">
        <f t="shared" si="0"/>
        <v>24</v>
      </c>
      <c r="F5" s="161">
        <f t="shared" si="1"/>
        <v>24000</v>
      </c>
      <c r="G5" s="161"/>
      <c r="H5" s="161"/>
      <c r="I5" s="163"/>
      <c r="J5" s="164"/>
      <c r="K5" s="166"/>
    </row>
    <row r="6" spans="2:11" ht="22.5" x14ac:dyDescent="0.45">
      <c r="B6">
        <v>45934</v>
      </c>
      <c r="C6" s="76"/>
      <c r="D6" s="76">
        <v>3735</v>
      </c>
      <c r="E6" s="160">
        <f t="shared" si="0"/>
        <v>74</v>
      </c>
      <c r="F6" s="161">
        <f t="shared" si="1"/>
        <v>74000</v>
      </c>
      <c r="G6" s="161"/>
      <c r="H6" s="161"/>
      <c r="I6" s="163"/>
      <c r="J6" s="164"/>
      <c r="K6" s="172"/>
    </row>
    <row r="7" spans="2:11" ht="22.5" x14ac:dyDescent="0.45">
      <c r="B7">
        <v>45937</v>
      </c>
      <c r="C7" s="76"/>
      <c r="D7" s="160">
        <v>3753</v>
      </c>
      <c r="E7" s="160">
        <f t="shared" si="0"/>
        <v>18</v>
      </c>
      <c r="F7" s="161">
        <f t="shared" si="1"/>
        <v>18000</v>
      </c>
      <c r="G7" s="161"/>
      <c r="H7" s="161"/>
      <c r="I7" s="163"/>
      <c r="J7" s="164"/>
      <c r="K7" s="166" t="s">
        <v>131</v>
      </c>
    </row>
    <row r="8" spans="2:11" ht="22.5" x14ac:dyDescent="0.45">
      <c r="B8">
        <v>45940</v>
      </c>
      <c r="C8" s="76"/>
      <c r="D8" s="160">
        <v>3767</v>
      </c>
      <c r="E8" s="160">
        <f t="shared" si="0"/>
        <v>14</v>
      </c>
      <c r="F8" s="161">
        <f t="shared" si="1"/>
        <v>14000</v>
      </c>
      <c r="G8" s="161"/>
      <c r="H8" s="161"/>
      <c r="I8" s="163"/>
      <c r="J8" s="164"/>
      <c r="K8" s="166"/>
    </row>
    <row r="9" spans="2:11" ht="22.5" x14ac:dyDescent="0.45">
      <c r="B9">
        <v>45944</v>
      </c>
      <c r="C9" s="76"/>
      <c r="D9" s="76">
        <v>3817</v>
      </c>
      <c r="E9" s="160">
        <f t="shared" si="0"/>
        <v>50</v>
      </c>
      <c r="F9" s="161">
        <f t="shared" si="1"/>
        <v>50000</v>
      </c>
      <c r="G9" s="161"/>
      <c r="H9" s="161"/>
      <c r="I9" s="163"/>
      <c r="J9" s="164"/>
      <c r="K9" s="172"/>
    </row>
    <row r="10" spans="2:11" ht="22.5" x14ac:dyDescent="0.45">
      <c r="C10" s="76"/>
      <c r="D10" s="76"/>
      <c r="E10" s="160" t="str">
        <f t="shared" si="0"/>
        <v/>
      </c>
      <c r="F10" s="161" t="str">
        <f t="shared" si="1"/>
        <v/>
      </c>
      <c r="G10" s="161"/>
      <c r="H10" s="161"/>
      <c r="I10" s="163"/>
      <c r="J10" s="164"/>
      <c r="K10" s="172"/>
    </row>
    <row r="11" spans="2:11" ht="22.5" x14ac:dyDescent="0.45">
      <c r="C11" s="76"/>
      <c r="D11" s="76"/>
      <c r="E11" s="160" t="str">
        <f t="shared" si="0"/>
        <v/>
      </c>
      <c r="F11" s="161" t="str">
        <f t="shared" si="1"/>
        <v/>
      </c>
      <c r="G11" s="161"/>
      <c r="H11" s="161"/>
      <c r="I11" s="163"/>
      <c r="J11" s="164"/>
      <c r="K11" s="166"/>
    </row>
    <row r="12" spans="2:11" ht="22.5" x14ac:dyDescent="0.45">
      <c r="C12" s="76"/>
      <c r="D12" s="76"/>
      <c r="E12" s="160" t="str">
        <f t="shared" si="0"/>
        <v/>
      </c>
      <c r="F12" s="161" t="str">
        <f t="shared" si="1"/>
        <v/>
      </c>
      <c r="G12" s="161"/>
      <c r="H12" s="161"/>
      <c r="I12" s="163"/>
      <c r="J12" s="164"/>
      <c r="K12" s="166"/>
    </row>
    <row r="13" spans="2:11" ht="22.5" x14ac:dyDescent="0.45">
      <c r="C13" s="76"/>
      <c r="D13" s="83"/>
      <c r="E13" s="160" t="str">
        <f t="shared" si="0"/>
        <v/>
      </c>
      <c r="F13" s="161" t="str">
        <f t="shared" si="1"/>
        <v/>
      </c>
      <c r="G13" s="84"/>
      <c r="H13" s="84"/>
      <c r="I13" s="167"/>
      <c r="J13" s="85"/>
      <c r="K13" s="166"/>
    </row>
    <row r="14" spans="2:11" ht="22.5" x14ac:dyDescent="0.45">
      <c r="C14" s="76"/>
      <c r="D14" s="83"/>
      <c r="E14" s="160" t="str">
        <f t="shared" si="0"/>
        <v/>
      </c>
      <c r="F14" s="161" t="str">
        <f t="shared" si="1"/>
        <v/>
      </c>
      <c r="G14" s="84"/>
      <c r="H14" s="84"/>
      <c r="I14" s="167"/>
      <c r="J14" s="85"/>
      <c r="K14" s="166"/>
    </row>
    <row r="15" spans="2:11" ht="22.5" x14ac:dyDescent="0.45">
      <c r="C15" s="313"/>
      <c r="D15" s="76"/>
      <c r="E15" s="514" t="str">
        <f t="shared" si="0"/>
        <v/>
      </c>
      <c r="F15" s="161" t="str">
        <f t="shared" si="1"/>
        <v/>
      </c>
      <c r="G15" s="84"/>
      <c r="H15" s="84"/>
      <c r="I15" s="167"/>
      <c r="J15" s="85"/>
      <c r="K15" s="166"/>
    </row>
    <row r="16" spans="2:11" ht="23.25" thickBot="1" x14ac:dyDescent="0.5">
      <c r="C16" s="224"/>
      <c r="D16" s="78"/>
      <c r="E16" s="78">
        <f>SUM(E6:E15)</f>
        <v>156</v>
      </c>
      <c r="F16" s="78">
        <f>SUM(F3:F15)</f>
        <v>306000</v>
      </c>
      <c r="G16" s="78"/>
      <c r="H16" s="78"/>
      <c r="I16" s="78"/>
      <c r="J16" s="207"/>
      <c r="K16" s="206"/>
    </row>
    <row r="18" spans="2:11" ht="18.75" thickBot="1" x14ac:dyDescent="0.4">
      <c r="B18" t="s">
        <v>141</v>
      </c>
      <c r="C18" s="69"/>
      <c r="D18" s="69"/>
      <c r="E18" s="69"/>
      <c r="F18" s="69"/>
      <c r="G18" s="69"/>
      <c r="H18" s="69"/>
      <c r="I18" s="69"/>
      <c r="J18" s="80"/>
      <c r="K18" s="69"/>
    </row>
    <row r="19" spans="2:11" ht="18.75" thickBot="1" x14ac:dyDescent="0.25">
      <c r="B19" t="s">
        <v>142</v>
      </c>
      <c r="C19" s="383"/>
      <c r="D19" s="383" t="s">
        <v>143</v>
      </c>
      <c r="E19" s="383" t="s">
        <v>144</v>
      </c>
      <c r="F19" s="383" t="s">
        <v>145</v>
      </c>
      <c r="G19" s="383"/>
      <c r="H19" s="383"/>
      <c r="I19" s="384"/>
      <c r="J19" s="385"/>
      <c r="K19" s="385" t="s">
        <v>146</v>
      </c>
    </row>
    <row r="20" spans="2:11" ht="22.5" x14ac:dyDescent="0.45">
      <c r="C20" s="76"/>
      <c r="D20" s="76"/>
      <c r="E20" s="160"/>
      <c r="F20" s="161"/>
      <c r="G20" s="161"/>
      <c r="H20" s="161"/>
      <c r="I20" s="163"/>
      <c r="J20" s="164"/>
      <c r="K20" s="166"/>
    </row>
    <row r="21" spans="2:11" ht="22.5" x14ac:dyDescent="0.45">
      <c r="B21">
        <v>45961</v>
      </c>
      <c r="C21" s="76"/>
      <c r="D21" s="83">
        <v>3951</v>
      </c>
      <c r="E21" s="160">
        <f>IF(D21="","",D21-D9)</f>
        <v>134</v>
      </c>
      <c r="F21" s="161">
        <f t="shared" ref="F21:F32" si="2">IF(D21="","",E21*1000)</f>
        <v>134000</v>
      </c>
      <c r="G21" s="161"/>
      <c r="H21" s="161"/>
      <c r="I21" s="163"/>
      <c r="J21" s="164"/>
      <c r="K21" s="166"/>
    </row>
    <row r="22" spans="2:11" ht="22.5" x14ac:dyDescent="0.45">
      <c r="B22">
        <v>45964</v>
      </c>
      <c r="C22" s="76"/>
      <c r="D22" s="160">
        <v>3981</v>
      </c>
      <c r="E22" s="160">
        <f t="shared" ref="E22:E32" si="3">IF(D22="","",D22-D21)</f>
        <v>30</v>
      </c>
      <c r="F22" s="161">
        <f t="shared" si="2"/>
        <v>30000</v>
      </c>
      <c r="G22" s="161"/>
      <c r="H22" s="161"/>
      <c r="I22" s="163"/>
      <c r="J22" s="164"/>
      <c r="K22" s="166"/>
    </row>
    <row r="23" spans="2:11" ht="22.5" x14ac:dyDescent="0.45">
      <c r="B23">
        <v>45968</v>
      </c>
      <c r="C23" s="76"/>
      <c r="D23" s="76">
        <v>4011</v>
      </c>
      <c r="E23" s="160">
        <f t="shared" si="3"/>
        <v>30</v>
      </c>
      <c r="F23" s="161">
        <f t="shared" si="2"/>
        <v>30000</v>
      </c>
      <c r="G23" s="161"/>
      <c r="H23" s="161"/>
      <c r="I23" s="163"/>
      <c r="J23" s="164"/>
      <c r="K23" s="172"/>
    </row>
    <row r="24" spans="2:11" ht="22.5" x14ac:dyDescent="0.45">
      <c r="B24">
        <v>45971</v>
      </c>
      <c r="C24" s="76"/>
      <c r="D24" s="160">
        <v>4025</v>
      </c>
      <c r="E24" s="160">
        <f t="shared" si="3"/>
        <v>14</v>
      </c>
      <c r="F24" s="161">
        <f t="shared" si="2"/>
        <v>14000</v>
      </c>
      <c r="G24" s="161"/>
      <c r="H24" s="161"/>
      <c r="I24" s="163"/>
      <c r="J24" s="164"/>
      <c r="K24" s="166"/>
    </row>
    <row r="25" spans="2:11" ht="22.5" x14ac:dyDescent="0.45">
      <c r="C25" s="76"/>
      <c r="D25" s="160"/>
      <c r="E25" s="160" t="str">
        <f t="shared" si="3"/>
        <v/>
      </c>
      <c r="F25" s="161" t="str">
        <f t="shared" si="2"/>
        <v/>
      </c>
      <c r="G25" s="161"/>
      <c r="H25" s="161"/>
      <c r="I25" s="163"/>
      <c r="J25" s="164"/>
      <c r="K25" s="166"/>
    </row>
    <row r="26" spans="2:11" ht="22.5" x14ac:dyDescent="0.45">
      <c r="C26" s="76"/>
      <c r="D26" s="76"/>
      <c r="E26" s="160" t="str">
        <f t="shared" si="3"/>
        <v/>
      </c>
      <c r="F26" s="161" t="str">
        <f t="shared" si="2"/>
        <v/>
      </c>
      <c r="G26" s="161"/>
      <c r="H26" s="161"/>
      <c r="I26" s="163"/>
      <c r="J26" s="164"/>
      <c r="K26" s="172"/>
    </row>
    <row r="27" spans="2:11" ht="22.5" x14ac:dyDescent="0.45">
      <c r="C27" s="76"/>
      <c r="D27" s="76"/>
      <c r="E27" s="160" t="str">
        <f t="shared" si="3"/>
        <v/>
      </c>
      <c r="F27" s="161" t="str">
        <f t="shared" si="2"/>
        <v/>
      </c>
      <c r="G27" s="161"/>
      <c r="H27" s="161"/>
      <c r="I27" s="163"/>
      <c r="J27" s="164"/>
      <c r="K27" s="172"/>
    </row>
    <row r="28" spans="2:11" ht="22.5" x14ac:dyDescent="0.45">
      <c r="C28" s="76"/>
      <c r="D28" s="76"/>
      <c r="E28" s="160" t="str">
        <f t="shared" si="3"/>
        <v/>
      </c>
      <c r="F28" s="161" t="str">
        <f t="shared" si="2"/>
        <v/>
      </c>
      <c r="G28" s="161"/>
      <c r="H28" s="161"/>
      <c r="I28" s="163"/>
      <c r="J28" s="164"/>
      <c r="K28" s="166"/>
    </row>
    <row r="29" spans="2:11" ht="22.5" x14ac:dyDescent="0.45">
      <c r="C29" s="76"/>
      <c r="D29" s="76"/>
      <c r="E29" s="160" t="str">
        <f t="shared" si="3"/>
        <v/>
      </c>
      <c r="F29" s="161" t="str">
        <f t="shared" si="2"/>
        <v/>
      </c>
      <c r="G29" s="161"/>
      <c r="H29" s="161"/>
      <c r="I29" s="163"/>
      <c r="J29" s="164"/>
      <c r="K29" s="166"/>
    </row>
    <row r="30" spans="2:11" ht="22.5" x14ac:dyDescent="0.45">
      <c r="C30" s="76"/>
      <c r="D30" s="83"/>
      <c r="E30" s="160" t="str">
        <f t="shared" si="3"/>
        <v/>
      </c>
      <c r="F30" s="161" t="str">
        <f t="shared" si="2"/>
        <v/>
      </c>
      <c r="G30" s="84"/>
      <c r="H30" s="84"/>
      <c r="I30" s="167"/>
      <c r="J30" s="85"/>
      <c r="K30" s="166"/>
    </row>
    <row r="31" spans="2:11" ht="22.5" x14ac:dyDescent="0.45">
      <c r="C31" s="76"/>
      <c r="D31" s="83"/>
      <c r="E31" s="160" t="str">
        <f t="shared" si="3"/>
        <v/>
      </c>
      <c r="F31" s="161" t="str">
        <f t="shared" si="2"/>
        <v/>
      </c>
      <c r="G31" s="84"/>
      <c r="H31" s="84"/>
      <c r="I31" s="167"/>
      <c r="J31" s="85"/>
      <c r="K31" s="166"/>
    </row>
    <row r="32" spans="2:11" ht="22.5" x14ac:dyDescent="0.45">
      <c r="C32" s="313"/>
      <c r="D32" s="76"/>
      <c r="E32" s="514" t="str">
        <f t="shared" si="3"/>
        <v/>
      </c>
      <c r="F32" s="161" t="str">
        <f t="shared" si="2"/>
        <v/>
      </c>
      <c r="G32" s="84"/>
      <c r="H32" s="84"/>
      <c r="I32" s="167"/>
      <c r="J32" s="85"/>
      <c r="K32" s="166"/>
    </row>
    <row r="33" spans="2:11" ht="23.25" thickBot="1" x14ac:dyDescent="0.5">
      <c r="C33" s="224"/>
      <c r="D33" s="78"/>
      <c r="E33" s="78">
        <f>SUM(E23:E32)</f>
        <v>44</v>
      </c>
      <c r="F33" s="78">
        <f>SUM(F20:F32)</f>
        <v>208000</v>
      </c>
      <c r="G33" s="78"/>
      <c r="H33" s="78"/>
      <c r="I33" s="78"/>
      <c r="J33" s="207"/>
      <c r="K33" s="206"/>
    </row>
    <row r="35" spans="2:11" ht="18.75" thickBot="1" x14ac:dyDescent="0.4">
      <c r="B35" t="s">
        <v>141</v>
      </c>
      <c r="C35" s="69"/>
      <c r="D35" s="69"/>
      <c r="E35" s="69"/>
      <c r="F35" s="69"/>
      <c r="G35" s="69"/>
      <c r="H35" s="69"/>
      <c r="I35" s="69"/>
      <c r="J35" s="80"/>
      <c r="K35" s="69"/>
    </row>
    <row r="36" spans="2:11" ht="18.75" thickBot="1" x14ac:dyDescent="0.25">
      <c r="B36" t="s">
        <v>142</v>
      </c>
      <c r="C36" s="383"/>
      <c r="D36" s="383" t="s">
        <v>143</v>
      </c>
      <c r="E36" s="383" t="s">
        <v>144</v>
      </c>
      <c r="F36" s="383" t="s">
        <v>145</v>
      </c>
      <c r="G36" s="383"/>
      <c r="H36" s="383"/>
      <c r="I36" s="384"/>
      <c r="J36" s="385"/>
      <c r="K36" s="385" t="s">
        <v>146</v>
      </c>
    </row>
    <row r="37" spans="2:11" ht="22.5" x14ac:dyDescent="0.45">
      <c r="C37" s="76"/>
      <c r="D37" s="76"/>
      <c r="E37" s="160"/>
      <c r="F37" s="161"/>
      <c r="G37" s="161"/>
      <c r="H37" s="161"/>
      <c r="I37" s="163"/>
      <c r="J37" s="164"/>
      <c r="K37" s="166"/>
    </row>
    <row r="38" spans="2:11" ht="22.5" x14ac:dyDescent="0.45">
      <c r="B38">
        <v>45978</v>
      </c>
      <c r="C38" s="76"/>
      <c r="D38" s="83">
        <v>4083</v>
      </c>
      <c r="E38" s="160">
        <f>IF(D38="","",D38-D24)</f>
        <v>58</v>
      </c>
      <c r="F38" s="161">
        <f t="shared" ref="F38:F49" si="4">IF(D38="","",E38*1000)</f>
        <v>58000</v>
      </c>
      <c r="G38" s="161"/>
      <c r="H38" s="161"/>
      <c r="I38" s="163"/>
      <c r="J38" s="164"/>
      <c r="K38" s="166"/>
    </row>
    <row r="39" spans="2:11" ht="22.5" x14ac:dyDescent="0.45">
      <c r="B39">
        <v>45982</v>
      </c>
      <c r="C39" s="76"/>
      <c r="D39" s="160">
        <v>4105</v>
      </c>
      <c r="E39" s="160">
        <f t="shared" ref="E39:E49" si="5">IF(D39="","",D39-D38)</f>
        <v>22</v>
      </c>
      <c r="F39" s="161">
        <f t="shared" si="4"/>
        <v>22000</v>
      </c>
      <c r="G39" s="161"/>
      <c r="H39" s="161"/>
      <c r="I39" s="163"/>
      <c r="J39" s="164"/>
      <c r="K39" s="166"/>
    </row>
    <row r="40" spans="2:11" ht="22.5" x14ac:dyDescent="0.45">
      <c r="B40">
        <v>45984</v>
      </c>
      <c r="C40" s="76"/>
      <c r="D40" s="76">
        <v>4109</v>
      </c>
      <c r="E40" s="160">
        <f t="shared" si="5"/>
        <v>4</v>
      </c>
      <c r="F40" s="161">
        <f t="shared" si="4"/>
        <v>4000</v>
      </c>
      <c r="G40" s="161"/>
      <c r="H40" s="161"/>
      <c r="I40" s="163"/>
      <c r="J40" s="164"/>
      <c r="K40" s="172"/>
    </row>
    <row r="41" spans="2:11" ht="22.5" x14ac:dyDescent="0.45">
      <c r="B41">
        <v>45991</v>
      </c>
      <c r="C41" s="76"/>
      <c r="D41" s="160">
        <v>4175</v>
      </c>
      <c r="E41" s="160">
        <f t="shared" si="5"/>
        <v>66</v>
      </c>
      <c r="F41" s="161">
        <f t="shared" si="4"/>
        <v>66000</v>
      </c>
      <c r="G41" s="161"/>
      <c r="H41" s="161"/>
      <c r="I41" s="163"/>
      <c r="J41" s="164"/>
      <c r="K41" s="166" t="s">
        <v>147</v>
      </c>
    </row>
    <row r="42" spans="2:11" ht="22.5" x14ac:dyDescent="0.45">
      <c r="B42">
        <v>45996</v>
      </c>
      <c r="C42" s="76"/>
      <c r="D42" s="160">
        <v>4197</v>
      </c>
      <c r="E42" s="160">
        <f t="shared" si="5"/>
        <v>22</v>
      </c>
      <c r="F42" s="161">
        <f t="shared" si="4"/>
        <v>22000</v>
      </c>
      <c r="G42" s="161"/>
      <c r="H42" s="161"/>
      <c r="I42" s="163"/>
      <c r="J42" s="164"/>
      <c r="K42" s="166"/>
    </row>
    <row r="43" spans="2:11" ht="22.5" x14ac:dyDescent="0.45">
      <c r="B43">
        <v>45999</v>
      </c>
      <c r="C43" s="76"/>
      <c r="D43" s="76">
        <v>4211</v>
      </c>
      <c r="E43" s="160">
        <f t="shared" si="5"/>
        <v>14</v>
      </c>
      <c r="F43" s="161">
        <f t="shared" si="4"/>
        <v>14000</v>
      </c>
      <c r="G43" s="161"/>
      <c r="H43" s="161"/>
      <c r="I43" s="163"/>
      <c r="J43" s="164"/>
      <c r="K43" s="172"/>
    </row>
    <row r="44" spans="2:11" ht="22.5" x14ac:dyDescent="0.45">
      <c r="B44">
        <v>46003</v>
      </c>
      <c r="C44" s="76"/>
      <c r="D44" s="76">
        <v>4235</v>
      </c>
      <c r="E44" s="160">
        <f t="shared" si="5"/>
        <v>24</v>
      </c>
      <c r="F44" s="161">
        <f t="shared" si="4"/>
        <v>24000</v>
      </c>
      <c r="G44" s="161"/>
      <c r="H44" s="161"/>
      <c r="I44" s="163"/>
      <c r="J44" s="164"/>
      <c r="K44" s="172"/>
    </row>
    <row r="45" spans="2:11" ht="22.5" x14ac:dyDescent="0.45">
      <c r="B45">
        <v>46008</v>
      </c>
      <c r="C45" s="76"/>
      <c r="D45" s="76">
        <v>4253</v>
      </c>
      <c r="E45" s="160">
        <f t="shared" si="5"/>
        <v>18</v>
      </c>
      <c r="F45" s="161">
        <f t="shared" si="4"/>
        <v>18000</v>
      </c>
      <c r="G45" s="161"/>
      <c r="H45" s="161"/>
      <c r="I45" s="163"/>
      <c r="J45" s="164"/>
      <c r="K45" s="166"/>
    </row>
    <row r="46" spans="2:11" ht="22.5" x14ac:dyDescent="0.45">
      <c r="C46" s="76"/>
      <c r="D46" s="76"/>
      <c r="E46" s="160" t="str">
        <f t="shared" si="5"/>
        <v/>
      </c>
      <c r="F46" s="161" t="str">
        <f t="shared" si="4"/>
        <v/>
      </c>
      <c r="G46" s="161"/>
      <c r="H46" s="161"/>
      <c r="I46" s="163"/>
      <c r="J46" s="164"/>
      <c r="K46" s="166"/>
    </row>
    <row r="47" spans="2:11" ht="22.5" x14ac:dyDescent="0.45">
      <c r="C47" s="76"/>
      <c r="D47" s="83"/>
      <c r="E47" s="160" t="str">
        <f t="shared" si="5"/>
        <v/>
      </c>
      <c r="F47" s="161" t="str">
        <f t="shared" si="4"/>
        <v/>
      </c>
      <c r="G47" s="84"/>
      <c r="H47" s="84"/>
      <c r="I47" s="167"/>
      <c r="J47" s="85"/>
      <c r="K47" s="166"/>
    </row>
    <row r="48" spans="2:11" ht="22.5" x14ac:dyDescent="0.45">
      <c r="C48" s="76"/>
      <c r="D48" s="83"/>
      <c r="E48" s="160" t="str">
        <f t="shared" si="5"/>
        <v/>
      </c>
      <c r="F48" s="161" t="str">
        <f t="shared" si="4"/>
        <v/>
      </c>
      <c r="G48" s="84"/>
      <c r="H48" s="84"/>
      <c r="I48" s="167"/>
      <c r="J48" s="85"/>
      <c r="K48" s="166"/>
    </row>
    <row r="49" spans="2:11" ht="22.5" x14ac:dyDescent="0.45">
      <c r="C49" s="313"/>
      <c r="D49" s="76"/>
      <c r="E49" s="514" t="str">
        <f t="shared" si="5"/>
        <v/>
      </c>
      <c r="F49" s="161" t="str">
        <f t="shared" si="4"/>
        <v/>
      </c>
      <c r="G49" s="84"/>
      <c r="H49" s="84"/>
      <c r="I49" s="167"/>
      <c r="J49" s="85"/>
      <c r="K49" s="166"/>
    </row>
    <row r="50" spans="2:11" ht="23.25" thickBot="1" x14ac:dyDescent="0.5">
      <c r="C50" s="224"/>
      <c r="D50" s="78"/>
      <c r="E50" s="78">
        <f>SUM(E40:E49)</f>
        <v>148</v>
      </c>
      <c r="F50" s="78">
        <f>SUM(F37:F49)</f>
        <v>228000</v>
      </c>
      <c r="G50" s="78"/>
      <c r="H50" s="78"/>
      <c r="I50" s="78"/>
      <c r="J50" s="207"/>
      <c r="K50" s="206"/>
    </row>
    <row r="52" spans="2:11" ht="18.75" thickBot="1" x14ac:dyDescent="0.4">
      <c r="B52" t="s">
        <v>141</v>
      </c>
      <c r="C52" s="69"/>
      <c r="D52" s="69"/>
      <c r="E52" s="69"/>
      <c r="F52" s="69"/>
      <c r="G52" s="69"/>
      <c r="H52" s="69"/>
      <c r="I52" s="69"/>
      <c r="J52" s="80"/>
      <c r="K52" s="69"/>
    </row>
    <row r="53" spans="2:11" ht="18.75" thickBot="1" x14ac:dyDescent="0.25">
      <c r="B53" t="s">
        <v>142</v>
      </c>
      <c r="C53" s="383"/>
      <c r="D53" s="383" t="s">
        <v>143</v>
      </c>
      <c r="E53" s="383" t="s">
        <v>144</v>
      </c>
      <c r="F53" s="383" t="s">
        <v>145</v>
      </c>
      <c r="G53" s="383"/>
      <c r="H53" s="383"/>
      <c r="I53" s="384"/>
      <c r="J53" s="385"/>
      <c r="K53" s="385" t="s">
        <v>146</v>
      </c>
    </row>
    <row r="54" spans="2:11" ht="22.5" x14ac:dyDescent="0.45">
      <c r="C54" s="76"/>
      <c r="D54" s="76"/>
      <c r="E54" s="160"/>
      <c r="F54" s="161"/>
      <c r="G54" s="161"/>
      <c r="H54" s="161"/>
      <c r="I54" s="163"/>
      <c r="J54" s="164"/>
      <c r="K54" s="166"/>
    </row>
    <row r="55" spans="2:11" ht="22.5" x14ac:dyDescent="0.45">
      <c r="B55">
        <v>46014</v>
      </c>
      <c r="C55" s="76"/>
      <c r="D55" s="76">
        <v>4295</v>
      </c>
      <c r="E55" s="160">
        <f>IF(D55="","",D55-D45)</f>
        <v>42</v>
      </c>
      <c r="F55" s="161">
        <f t="shared" ref="F55:F66" si="6">IF(D55="","",E55*1000)</f>
        <v>42000</v>
      </c>
      <c r="G55" s="161"/>
      <c r="H55" s="161"/>
      <c r="I55" s="163"/>
      <c r="J55" s="164"/>
      <c r="K55" s="166"/>
    </row>
    <row r="56" spans="2:11" ht="22.5" x14ac:dyDescent="0.45">
      <c r="B56">
        <v>46018</v>
      </c>
      <c r="C56" s="76"/>
      <c r="D56" s="160">
        <v>4325</v>
      </c>
      <c r="E56" s="160">
        <f t="shared" ref="E56:E66" si="7">IF(D56="","",D56-D55)</f>
        <v>30</v>
      </c>
      <c r="F56" s="161">
        <f t="shared" si="6"/>
        <v>30000</v>
      </c>
      <c r="G56" s="161"/>
      <c r="H56" s="161"/>
      <c r="I56" s="163"/>
      <c r="J56" s="164"/>
      <c r="K56" s="166"/>
    </row>
    <row r="57" spans="2:11" ht="22.5" x14ac:dyDescent="0.45">
      <c r="B57">
        <v>46020</v>
      </c>
      <c r="C57" s="76"/>
      <c r="D57" s="76">
        <v>4355</v>
      </c>
      <c r="E57" s="160">
        <f t="shared" si="7"/>
        <v>30</v>
      </c>
      <c r="F57" s="161">
        <f t="shared" si="6"/>
        <v>30000</v>
      </c>
      <c r="G57" s="161"/>
      <c r="H57" s="161"/>
      <c r="I57" s="163"/>
      <c r="J57" s="164"/>
      <c r="K57" s="172" t="s">
        <v>135</v>
      </c>
    </row>
    <row r="58" spans="2:11" ht="22.5" x14ac:dyDescent="0.45">
      <c r="B58">
        <v>46022</v>
      </c>
      <c r="C58" s="76"/>
      <c r="D58" s="160">
        <v>4381</v>
      </c>
      <c r="E58" s="160">
        <f t="shared" si="7"/>
        <v>26</v>
      </c>
      <c r="F58" s="161">
        <f t="shared" si="6"/>
        <v>26000</v>
      </c>
      <c r="G58" s="161"/>
      <c r="H58" s="161"/>
      <c r="I58" s="163"/>
      <c r="J58" s="164"/>
      <c r="K58" s="166"/>
    </row>
    <row r="59" spans="2:11" ht="22.5" x14ac:dyDescent="0.45">
      <c r="B59">
        <v>46024</v>
      </c>
      <c r="C59" s="76"/>
      <c r="D59" s="160">
        <v>4445</v>
      </c>
      <c r="E59" s="160">
        <f t="shared" si="7"/>
        <v>64</v>
      </c>
      <c r="F59" s="161">
        <f t="shared" si="6"/>
        <v>64000</v>
      </c>
      <c r="G59" s="161"/>
      <c r="H59" s="161"/>
      <c r="I59" s="163"/>
      <c r="J59" s="164"/>
      <c r="K59" s="166"/>
    </row>
    <row r="60" spans="2:11" ht="22.5" x14ac:dyDescent="0.45">
      <c r="B60">
        <v>46026</v>
      </c>
      <c r="C60" s="76"/>
      <c r="D60" s="76">
        <v>4517</v>
      </c>
      <c r="E60" s="160">
        <f t="shared" si="7"/>
        <v>72</v>
      </c>
      <c r="F60" s="161">
        <f t="shared" si="6"/>
        <v>72000</v>
      </c>
      <c r="G60" s="161"/>
      <c r="H60" s="161"/>
      <c r="I60" s="163"/>
      <c r="J60" s="164"/>
      <c r="K60" s="172"/>
    </row>
    <row r="61" spans="2:11" ht="22.5" x14ac:dyDescent="0.45">
      <c r="B61">
        <v>46027</v>
      </c>
      <c r="C61" s="76"/>
      <c r="D61" s="76">
        <v>4545</v>
      </c>
      <c r="E61" s="160">
        <f t="shared" si="7"/>
        <v>28</v>
      </c>
      <c r="F61" s="161">
        <f t="shared" si="6"/>
        <v>28000</v>
      </c>
      <c r="G61" s="161"/>
      <c r="H61" s="161"/>
      <c r="I61" s="163"/>
      <c r="J61" s="164"/>
      <c r="K61" s="172"/>
    </row>
    <row r="62" spans="2:11" ht="22.5" x14ac:dyDescent="0.45">
      <c r="B62">
        <v>46031</v>
      </c>
      <c r="C62" s="76"/>
      <c r="D62" s="76">
        <v>4609</v>
      </c>
      <c r="E62" s="160">
        <f t="shared" si="7"/>
        <v>64</v>
      </c>
      <c r="F62" s="161">
        <f t="shared" si="6"/>
        <v>64000</v>
      </c>
      <c r="G62" s="161"/>
      <c r="H62" s="161"/>
      <c r="I62" s="163"/>
      <c r="J62" s="164"/>
      <c r="K62" s="166"/>
    </row>
    <row r="63" spans="2:11" ht="22.5" x14ac:dyDescent="0.45">
      <c r="B63">
        <v>46034</v>
      </c>
      <c r="C63" s="76"/>
      <c r="D63" s="76">
        <v>4669</v>
      </c>
      <c r="E63" s="160">
        <f t="shared" si="7"/>
        <v>60</v>
      </c>
      <c r="F63" s="161">
        <f t="shared" si="6"/>
        <v>60000</v>
      </c>
      <c r="G63" s="161"/>
      <c r="H63" s="161"/>
      <c r="I63" s="163"/>
      <c r="J63" s="164"/>
      <c r="K63" s="166"/>
    </row>
    <row r="64" spans="2:11" ht="22.5" x14ac:dyDescent="0.45">
      <c r="B64">
        <v>46038</v>
      </c>
      <c r="C64" s="76"/>
      <c r="D64" s="83">
        <v>4705</v>
      </c>
      <c r="E64" s="160">
        <f t="shared" si="7"/>
        <v>36</v>
      </c>
      <c r="F64" s="161">
        <f t="shared" si="6"/>
        <v>36000</v>
      </c>
      <c r="G64" s="84"/>
      <c r="H64" s="84"/>
      <c r="I64" s="167"/>
      <c r="J64" s="85"/>
      <c r="K64" s="166"/>
    </row>
    <row r="65" spans="2:11" ht="22.5" x14ac:dyDescent="0.45">
      <c r="C65" s="76"/>
      <c r="D65" s="83"/>
      <c r="E65" s="160" t="str">
        <f>IF(D65="","",D65-D64)</f>
        <v/>
      </c>
      <c r="F65" s="161" t="str">
        <f t="shared" si="6"/>
        <v/>
      </c>
      <c r="G65" s="84"/>
      <c r="H65" s="84"/>
      <c r="I65" s="167"/>
      <c r="J65" s="85"/>
      <c r="K65" s="166"/>
    </row>
    <row r="66" spans="2:11" ht="22.5" x14ac:dyDescent="0.45">
      <c r="C66" s="313"/>
      <c r="D66" s="76"/>
      <c r="E66" s="514" t="str">
        <f t="shared" si="7"/>
        <v/>
      </c>
      <c r="F66" s="161" t="str">
        <f t="shared" si="6"/>
        <v/>
      </c>
      <c r="G66" s="84"/>
      <c r="H66" s="84"/>
      <c r="I66" s="167"/>
      <c r="J66" s="85"/>
      <c r="K66" s="166"/>
    </row>
    <row r="67" spans="2:11" ht="23.25" thickBot="1" x14ac:dyDescent="0.5">
      <c r="C67" s="224"/>
      <c r="D67" s="78"/>
      <c r="E67" s="78">
        <f>SUM(E55:E66)</f>
        <v>452</v>
      </c>
      <c r="F67" s="78">
        <f>SUM(F54:F66)</f>
        <v>452000</v>
      </c>
      <c r="G67" s="78"/>
      <c r="H67" s="78"/>
      <c r="I67" s="78"/>
      <c r="J67" s="207"/>
      <c r="K67" s="206"/>
    </row>
    <row r="69" spans="2:11" ht="18.75" thickBot="1" x14ac:dyDescent="0.4">
      <c r="B69" t="s">
        <v>141</v>
      </c>
      <c r="C69" s="69"/>
      <c r="D69" s="69"/>
      <c r="E69" s="69"/>
      <c r="F69" s="69"/>
      <c r="G69" s="69"/>
      <c r="H69" s="69"/>
      <c r="I69" s="69"/>
      <c r="J69" s="80"/>
      <c r="K69" s="69"/>
    </row>
    <row r="70" spans="2:11" ht="18.75" thickBot="1" x14ac:dyDescent="0.25">
      <c r="B70" t="s">
        <v>142</v>
      </c>
      <c r="C70" s="383"/>
      <c r="D70" s="383" t="s">
        <v>143</v>
      </c>
      <c r="E70" s="383" t="s">
        <v>144</v>
      </c>
      <c r="F70" s="383" t="s">
        <v>145</v>
      </c>
      <c r="G70" s="383"/>
      <c r="H70" s="383"/>
      <c r="I70" s="384"/>
      <c r="J70" s="385"/>
      <c r="K70" s="385" t="s">
        <v>146</v>
      </c>
    </row>
    <row r="71" spans="2:11" ht="22.5" x14ac:dyDescent="0.45">
      <c r="B71">
        <v>46041</v>
      </c>
      <c r="C71" s="76"/>
      <c r="D71" s="83">
        <v>4733</v>
      </c>
      <c r="E71" s="160">
        <v>26</v>
      </c>
      <c r="F71" s="161">
        <v>26000</v>
      </c>
      <c r="G71" s="161"/>
      <c r="H71" s="161"/>
      <c r="I71" s="163"/>
      <c r="J71" s="164"/>
      <c r="K71" s="166"/>
    </row>
    <row r="72" spans="2:11" ht="22.5" x14ac:dyDescent="0.45">
      <c r="B72">
        <v>46045</v>
      </c>
      <c r="C72" s="76"/>
      <c r="D72" s="83">
        <v>4759</v>
      </c>
      <c r="E72" s="160">
        <f t="shared" ref="E72:E83" si="8">IF(D72="","",D72-D71)</f>
        <v>26</v>
      </c>
      <c r="F72" s="161">
        <f t="shared" ref="F72:F83" si="9">IF(D72="","",E72*1000)</f>
        <v>26000</v>
      </c>
      <c r="G72" s="161"/>
      <c r="H72" s="161"/>
      <c r="I72" s="163"/>
      <c r="J72" s="164"/>
      <c r="K72" s="166"/>
    </row>
    <row r="73" spans="2:11" ht="22.5" x14ac:dyDescent="0.45">
      <c r="B73">
        <v>46048</v>
      </c>
      <c r="C73" s="76"/>
      <c r="D73" s="160">
        <v>4809</v>
      </c>
      <c r="E73" s="160">
        <f t="shared" si="8"/>
        <v>50</v>
      </c>
      <c r="F73" s="161">
        <f t="shared" si="9"/>
        <v>50000</v>
      </c>
      <c r="G73" s="161"/>
      <c r="H73" s="161"/>
      <c r="I73" s="163"/>
      <c r="J73" s="164"/>
      <c r="K73" s="166"/>
    </row>
    <row r="74" spans="2:11" ht="22.5" x14ac:dyDescent="0.45">
      <c r="B74">
        <v>46052</v>
      </c>
      <c r="C74" s="76"/>
      <c r="D74" s="76">
        <v>4829</v>
      </c>
      <c r="E74" s="160">
        <f t="shared" si="8"/>
        <v>20</v>
      </c>
      <c r="F74" s="161">
        <f t="shared" si="9"/>
        <v>20000</v>
      </c>
      <c r="G74" s="161"/>
      <c r="H74" s="161"/>
      <c r="I74" s="163"/>
      <c r="J74" s="164"/>
      <c r="K74" s="172"/>
    </row>
    <row r="75" spans="2:11" ht="22.5" x14ac:dyDescent="0.45">
      <c r="B75">
        <v>46055</v>
      </c>
      <c r="C75" s="76"/>
      <c r="D75" s="160">
        <v>4857</v>
      </c>
      <c r="E75" s="160">
        <f t="shared" si="8"/>
        <v>28</v>
      </c>
      <c r="F75" s="161">
        <f t="shared" si="9"/>
        <v>28000</v>
      </c>
      <c r="G75" s="161"/>
      <c r="H75" s="161"/>
      <c r="I75" s="163"/>
      <c r="J75" s="164"/>
      <c r="K75" s="166"/>
    </row>
    <row r="76" spans="2:11" ht="22.5" x14ac:dyDescent="0.45">
      <c r="B76">
        <v>46059</v>
      </c>
      <c r="C76" s="76"/>
      <c r="D76" s="160">
        <v>4903</v>
      </c>
      <c r="E76" s="160">
        <f t="shared" si="8"/>
        <v>46</v>
      </c>
      <c r="F76" s="161">
        <f t="shared" si="9"/>
        <v>46000</v>
      </c>
      <c r="G76" s="161"/>
      <c r="H76" s="161"/>
      <c r="I76" s="163"/>
      <c r="J76" s="164"/>
      <c r="K76" s="166"/>
    </row>
    <row r="77" spans="2:11" ht="22.5" x14ac:dyDescent="0.45">
      <c r="B77">
        <v>46063</v>
      </c>
      <c r="C77" s="76"/>
      <c r="D77" s="76">
        <v>4935</v>
      </c>
      <c r="E77" s="160">
        <f t="shared" si="8"/>
        <v>32</v>
      </c>
      <c r="F77" s="161">
        <f t="shared" si="9"/>
        <v>32000</v>
      </c>
      <c r="G77" s="161"/>
      <c r="H77" s="161"/>
      <c r="I77" s="163"/>
      <c r="J77" s="164"/>
      <c r="K77" s="172"/>
    </row>
    <row r="78" spans="2:11" ht="22.5" x14ac:dyDescent="0.45">
      <c r="B78">
        <v>46066</v>
      </c>
      <c r="C78" s="76"/>
      <c r="D78" s="76">
        <v>4951</v>
      </c>
      <c r="E78" s="160">
        <f t="shared" si="8"/>
        <v>16</v>
      </c>
      <c r="F78" s="161">
        <f t="shared" si="9"/>
        <v>16000</v>
      </c>
      <c r="G78" s="161"/>
      <c r="H78" s="161"/>
      <c r="I78" s="163"/>
      <c r="J78" s="164"/>
      <c r="K78" s="172"/>
    </row>
    <row r="79" spans="2:11" ht="22.5" x14ac:dyDescent="0.45">
      <c r="B79">
        <v>46069</v>
      </c>
      <c r="C79" s="76"/>
      <c r="D79" s="76">
        <v>4977</v>
      </c>
      <c r="E79" s="160">
        <f t="shared" si="8"/>
        <v>26</v>
      </c>
      <c r="F79" s="161">
        <f t="shared" si="9"/>
        <v>26000</v>
      </c>
      <c r="G79" s="161"/>
      <c r="H79" s="161"/>
      <c r="I79" s="163"/>
      <c r="J79" s="164"/>
      <c r="K79" s="166"/>
    </row>
    <row r="80" spans="2:11" ht="22.5" x14ac:dyDescent="0.45">
      <c r="C80" s="76"/>
      <c r="D80" s="76"/>
      <c r="E80" s="160" t="str">
        <f t="shared" si="8"/>
        <v/>
      </c>
      <c r="F80" s="161" t="str">
        <f t="shared" si="9"/>
        <v/>
      </c>
      <c r="G80" s="161"/>
      <c r="H80" s="161"/>
      <c r="I80" s="163"/>
      <c r="J80" s="164"/>
      <c r="K80" s="166"/>
    </row>
    <row r="81" spans="2:11" ht="22.5" x14ac:dyDescent="0.45">
      <c r="C81" s="76"/>
      <c r="D81" s="83"/>
      <c r="E81" s="160" t="str">
        <f t="shared" si="8"/>
        <v/>
      </c>
      <c r="F81" s="161" t="str">
        <f t="shared" si="9"/>
        <v/>
      </c>
      <c r="G81" s="84"/>
      <c r="H81" s="84"/>
      <c r="I81" s="167"/>
      <c r="J81" s="85"/>
      <c r="K81" s="166"/>
    </row>
    <row r="82" spans="2:11" ht="22.5" x14ac:dyDescent="0.45">
      <c r="C82" s="76"/>
      <c r="D82" s="83"/>
      <c r="E82" s="160" t="str">
        <f t="shared" si="8"/>
        <v/>
      </c>
      <c r="F82" s="161" t="str">
        <f t="shared" si="9"/>
        <v/>
      </c>
      <c r="G82" s="84"/>
      <c r="H82" s="84"/>
      <c r="I82" s="167"/>
      <c r="J82" s="85"/>
      <c r="K82" s="166"/>
    </row>
    <row r="83" spans="2:11" ht="22.5" x14ac:dyDescent="0.45">
      <c r="C83" s="313"/>
      <c r="D83" s="76"/>
      <c r="E83" s="514" t="str">
        <f t="shared" si="8"/>
        <v/>
      </c>
      <c r="F83" s="161" t="str">
        <f t="shared" si="9"/>
        <v/>
      </c>
      <c r="G83" s="84"/>
      <c r="H83" s="84"/>
      <c r="I83" s="167"/>
      <c r="J83" s="85"/>
      <c r="K83" s="166"/>
    </row>
    <row r="84" spans="2:11" ht="23.25" thickBot="1" x14ac:dyDescent="0.5">
      <c r="C84" s="224"/>
      <c r="D84" s="78"/>
      <c r="E84" s="78">
        <f>SUM(E72:E83)</f>
        <v>244</v>
      </c>
      <c r="F84" s="78">
        <f>SUM(F71:F83)</f>
        <v>270000</v>
      </c>
      <c r="G84" s="78"/>
      <c r="H84" s="78"/>
      <c r="I84" s="78"/>
      <c r="J84" s="207"/>
      <c r="K84" s="206"/>
    </row>
    <row r="86" spans="2:11" ht="18.75" thickBot="1" x14ac:dyDescent="0.4">
      <c r="B86" t="s">
        <v>141</v>
      </c>
      <c r="C86" s="69"/>
      <c r="D86" s="69"/>
      <c r="E86" s="69"/>
      <c r="F86" s="69"/>
      <c r="G86" s="69"/>
      <c r="H86" s="69"/>
      <c r="I86" s="69"/>
      <c r="J86" s="80"/>
      <c r="K86" s="69"/>
    </row>
    <row r="87" spans="2:11" ht="18.75" thickBot="1" x14ac:dyDescent="0.25">
      <c r="B87" t="s">
        <v>142</v>
      </c>
      <c r="C87" s="383"/>
      <c r="D87" s="383" t="s">
        <v>143</v>
      </c>
      <c r="E87" s="383" t="s">
        <v>144</v>
      </c>
      <c r="F87" s="383" t="s">
        <v>145</v>
      </c>
      <c r="G87" s="383"/>
      <c r="H87" s="383"/>
      <c r="I87" s="384"/>
      <c r="J87" s="385"/>
      <c r="K87" s="385" t="s">
        <v>146</v>
      </c>
    </row>
    <row r="88" spans="2:11" ht="22.5" x14ac:dyDescent="0.45">
      <c r="B88">
        <v>46073</v>
      </c>
      <c r="C88" s="76"/>
      <c r="D88" s="83">
        <v>5019</v>
      </c>
      <c r="E88" s="160">
        <v>42</v>
      </c>
      <c r="F88" s="161">
        <v>26000</v>
      </c>
      <c r="G88" s="161"/>
      <c r="H88" s="161"/>
      <c r="I88" s="163"/>
      <c r="J88" s="164"/>
      <c r="K88" s="166"/>
    </row>
    <row r="89" spans="2:11" ht="22.5" x14ac:dyDescent="0.45">
      <c r="B89">
        <v>46077</v>
      </c>
      <c r="C89" s="76"/>
      <c r="D89" s="83">
        <v>5049</v>
      </c>
      <c r="E89" s="160">
        <f t="shared" ref="E89:E100" si="10">IF(D89="","",D89-D88)</f>
        <v>30</v>
      </c>
      <c r="F89" s="161">
        <f t="shared" ref="F89:F100" si="11">IF(D89="","",E89*1000)</f>
        <v>30000</v>
      </c>
      <c r="G89" s="161"/>
      <c r="H89" s="161"/>
      <c r="I89" s="163"/>
      <c r="J89" s="164"/>
      <c r="K89" s="166"/>
    </row>
    <row r="90" spans="2:11" ht="22.5" x14ac:dyDescent="0.45">
      <c r="B90">
        <v>46080</v>
      </c>
      <c r="C90" s="76"/>
      <c r="D90" s="160">
        <v>5079</v>
      </c>
      <c r="E90" s="160">
        <f t="shared" si="10"/>
        <v>30</v>
      </c>
      <c r="F90" s="161">
        <f t="shared" si="11"/>
        <v>30000</v>
      </c>
      <c r="G90" s="161"/>
      <c r="H90" s="161"/>
      <c r="I90" s="163"/>
      <c r="J90" s="164"/>
      <c r="K90" s="166"/>
    </row>
    <row r="91" spans="2:11" ht="22.5" x14ac:dyDescent="0.45">
      <c r="B91">
        <v>46083</v>
      </c>
      <c r="C91" s="76"/>
      <c r="D91" s="76">
        <v>5111</v>
      </c>
      <c r="E91" s="160">
        <f t="shared" si="10"/>
        <v>32</v>
      </c>
      <c r="F91" s="161">
        <f t="shared" si="11"/>
        <v>32000</v>
      </c>
      <c r="G91" s="161"/>
      <c r="H91" s="161"/>
      <c r="I91" s="163"/>
      <c r="J91" s="164"/>
      <c r="K91" s="172"/>
    </row>
    <row r="92" spans="2:11" ht="22.5" x14ac:dyDescent="0.45">
      <c r="B92">
        <v>46087</v>
      </c>
      <c r="C92" s="76"/>
      <c r="D92" s="160">
        <v>5209</v>
      </c>
      <c r="E92" s="160">
        <f t="shared" si="10"/>
        <v>98</v>
      </c>
      <c r="F92" s="161">
        <f t="shared" si="11"/>
        <v>98000</v>
      </c>
      <c r="G92" s="161"/>
      <c r="H92" s="161"/>
      <c r="I92" s="163"/>
      <c r="J92" s="164"/>
      <c r="K92" s="166"/>
    </row>
    <row r="93" spans="2:11" ht="22.5" x14ac:dyDescent="0.45">
      <c r="B93">
        <v>46090</v>
      </c>
      <c r="C93" s="76"/>
      <c r="D93" s="160">
        <v>5251</v>
      </c>
      <c r="E93" s="160">
        <f t="shared" si="10"/>
        <v>42</v>
      </c>
      <c r="F93" s="161">
        <f t="shared" si="11"/>
        <v>42000</v>
      </c>
      <c r="G93" s="161"/>
      <c r="H93" s="161"/>
      <c r="I93" s="163"/>
      <c r="J93" s="164"/>
      <c r="K93" s="166"/>
    </row>
    <row r="94" spans="2:11" ht="22.5" x14ac:dyDescent="0.45">
      <c r="B94">
        <v>46094</v>
      </c>
      <c r="C94" s="76"/>
      <c r="D94" s="76">
        <v>5275</v>
      </c>
      <c r="E94" s="160">
        <f t="shared" si="10"/>
        <v>24</v>
      </c>
      <c r="F94" s="161">
        <f t="shared" si="11"/>
        <v>24000</v>
      </c>
      <c r="G94" s="161"/>
      <c r="H94" s="161"/>
      <c r="I94" s="163"/>
      <c r="J94" s="164"/>
      <c r="K94" s="172"/>
    </row>
    <row r="95" spans="2:11" ht="22.5" x14ac:dyDescent="0.45">
      <c r="B95" s="237"/>
      <c r="C95" s="76"/>
      <c r="D95" s="76"/>
      <c r="E95" s="160" t="str">
        <f t="shared" si="10"/>
        <v/>
      </c>
      <c r="F95" s="161" t="str">
        <f t="shared" si="11"/>
        <v/>
      </c>
      <c r="G95" s="161"/>
      <c r="H95" s="161"/>
      <c r="I95" s="163"/>
      <c r="J95" s="164"/>
      <c r="K95" s="172"/>
    </row>
    <row r="96" spans="2:11" ht="22.5" x14ac:dyDescent="0.45">
      <c r="C96" s="76"/>
      <c r="D96" s="76"/>
      <c r="E96" s="160" t="str">
        <f t="shared" si="10"/>
        <v/>
      </c>
      <c r="F96" s="161" t="str">
        <f t="shared" si="11"/>
        <v/>
      </c>
      <c r="G96" s="161"/>
      <c r="H96" s="161"/>
      <c r="I96" s="163"/>
      <c r="J96" s="164"/>
      <c r="K96" s="166"/>
    </row>
    <row r="97" spans="2:11" ht="22.5" x14ac:dyDescent="0.45">
      <c r="C97" s="76"/>
      <c r="D97" s="76"/>
      <c r="E97" s="160" t="str">
        <f t="shared" si="10"/>
        <v/>
      </c>
      <c r="F97" s="161" t="str">
        <f t="shared" si="11"/>
        <v/>
      </c>
      <c r="G97" s="161"/>
      <c r="H97" s="161"/>
      <c r="I97" s="163"/>
      <c r="J97" s="164"/>
      <c r="K97" s="166"/>
    </row>
    <row r="98" spans="2:11" ht="22.5" x14ac:dyDescent="0.45">
      <c r="C98" s="76"/>
      <c r="D98" s="83"/>
      <c r="E98" s="160" t="str">
        <f t="shared" si="10"/>
        <v/>
      </c>
      <c r="F98" s="161" t="str">
        <f t="shared" si="11"/>
        <v/>
      </c>
      <c r="G98" s="84"/>
      <c r="H98" s="84"/>
      <c r="I98" s="167"/>
      <c r="J98" s="85"/>
      <c r="K98" s="166"/>
    </row>
    <row r="99" spans="2:11" ht="22.5" x14ac:dyDescent="0.45">
      <c r="C99" s="76"/>
      <c r="D99" s="83"/>
      <c r="E99" s="160" t="str">
        <f t="shared" si="10"/>
        <v/>
      </c>
      <c r="F99" s="161" t="str">
        <f t="shared" si="11"/>
        <v/>
      </c>
      <c r="G99" s="84"/>
      <c r="H99" s="84"/>
      <c r="I99" s="167"/>
      <c r="J99" s="85"/>
      <c r="K99" s="166"/>
    </row>
    <row r="100" spans="2:11" ht="22.5" x14ac:dyDescent="0.45">
      <c r="C100" s="313"/>
      <c r="D100" s="76"/>
      <c r="E100" s="514" t="str">
        <f t="shared" si="10"/>
        <v/>
      </c>
      <c r="F100" s="161" t="str">
        <f t="shared" si="11"/>
        <v/>
      </c>
      <c r="G100" s="84"/>
      <c r="H100" s="84"/>
      <c r="I100" s="167"/>
      <c r="J100" s="85"/>
      <c r="K100" s="166"/>
    </row>
    <row r="101" spans="2:11" ht="23.25" thickBot="1" x14ac:dyDescent="0.5">
      <c r="C101" s="224"/>
      <c r="D101" s="78"/>
      <c r="E101" s="78">
        <f>SUM(E89:E100)</f>
        <v>256</v>
      </c>
      <c r="F101" s="78">
        <f>SUM(F88:F100)</f>
        <v>282000</v>
      </c>
      <c r="G101" s="78"/>
      <c r="H101" s="78"/>
      <c r="I101" s="78"/>
      <c r="J101" s="207"/>
      <c r="K101" s="206"/>
    </row>
    <row r="103" spans="2:11" ht="23.25" thickBot="1" x14ac:dyDescent="0.5">
      <c r="B103" s="699" t="s">
        <v>141</v>
      </c>
      <c r="C103" s="69"/>
      <c r="D103" s="69"/>
      <c r="E103" s="69"/>
      <c r="F103" s="69"/>
      <c r="G103" s="69"/>
      <c r="H103" s="69"/>
      <c r="I103" s="69"/>
      <c r="J103" s="80"/>
      <c r="K103" s="69"/>
    </row>
    <row r="104" spans="2:11" ht="18.75" thickBot="1" x14ac:dyDescent="0.25">
      <c r="B104" s="700" t="s">
        <v>142</v>
      </c>
      <c r="C104" s="383"/>
      <c r="D104" s="383" t="s">
        <v>143</v>
      </c>
      <c r="E104" s="383" t="s">
        <v>144</v>
      </c>
      <c r="F104" s="383" t="s">
        <v>145</v>
      </c>
      <c r="G104" s="383"/>
      <c r="H104" s="383"/>
      <c r="I104" s="384"/>
      <c r="J104" s="385"/>
      <c r="K104" s="385" t="s">
        <v>146</v>
      </c>
    </row>
    <row r="105" spans="2:11" ht="22.5" x14ac:dyDescent="0.45">
      <c r="B105" s="701">
        <v>46101</v>
      </c>
      <c r="C105" s="76"/>
      <c r="D105" s="83">
        <v>5347</v>
      </c>
      <c r="E105" s="160">
        <v>72</v>
      </c>
      <c r="F105" s="161">
        <v>72000</v>
      </c>
      <c r="G105" s="161"/>
      <c r="H105" s="161"/>
      <c r="I105" s="163"/>
      <c r="J105" s="164"/>
      <c r="K105" s="166"/>
    </row>
    <row r="106" spans="2:11" ht="22.5" x14ac:dyDescent="0.45">
      <c r="B106" s="701">
        <v>46104</v>
      </c>
      <c r="C106" s="76"/>
      <c r="D106" s="83">
        <v>5447</v>
      </c>
      <c r="E106" s="160">
        <f>IF(D106="","",D106-D105)</f>
        <v>100</v>
      </c>
      <c r="F106" s="161">
        <f>IF(D106="","",E106*1000)</f>
        <v>100000</v>
      </c>
      <c r="G106" s="161"/>
      <c r="H106" s="161"/>
      <c r="I106" s="163"/>
      <c r="J106" s="164"/>
      <c r="K106" s="166"/>
    </row>
    <row r="107" spans="2:11" ht="22.5" x14ac:dyDescent="0.45">
      <c r="B107" s="701">
        <v>46108</v>
      </c>
      <c r="C107" s="76"/>
      <c r="D107" s="160">
        <v>5479</v>
      </c>
      <c r="E107" s="160">
        <f>IF(D107="","",D107-D106)</f>
        <v>32</v>
      </c>
      <c r="F107" s="161">
        <f>IF(D107="","",E107*1000)</f>
        <v>32000</v>
      </c>
      <c r="G107" s="161"/>
      <c r="H107" s="161"/>
      <c r="I107" s="163"/>
      <c r="J107" s="164"/>
      <c r="K107" s="166"/>
    </row>
    <row r="108" spans="2:11" ht="22.5" x14ac:dyDescent="0.45">
      <c r="B108" s="701">
        <v>46111</v>
      </c>
      <c r="C108" s="76"/>
      <c r="D108" s="76">
        <v>5491</v>
      </c>
      <c r="E108" s="160">
        <f>IF(D108="","",D108-D107)</f>
        <v>12</v>
      </c>
      <c r="F108" s="161">
        <f>IF(D108="","",E108*1000)</f>
        <v>12000</v>
      </c>
      <c r="G108" s="161"/>
      <c r="H108" s="161"/>
      <c r="I108" s="163"/>
      <c r="J108" s="164"/>
      <c r="K108" s="172"/>
    </row>
    <row r="109" spans="2:11" ht="22.5" x14ac:dyDescent="0.45">
      <c r="B109" s="701">
        <v>46117</v>
      </c>
      <c r="C109" s="76"/>
      <c r="D109" s="160">
        <v>5509</v>
      </c>
      <c r="E109" s="160">
        <f>IF(D109="","",D109-D108)</f>
        <v>18</v>
      </c>
      <c r="F109" s="161">
        <f>IF(D109="","",E109*1000)</f>
        <v>18000</v>
      </c>
      <c r="G109" s="161"/>
      <c r="H109" s="161"/>
      <c r="I109" s="163"/>
      <c r="J109" s="164"/>
      <c r="K109" s="166"/>
    </row>
    <row r="110" spans="2:11" ht="22.5" x14ac:dyDescent="0.45">
      <c r="B110" s="701">
        <v>46122</v>
      </c>
      <c r="C110" s="76"/>
      <c r="D110" s="160">
        <v>5523</v>
      </c>
      <c r="E110" s="160">
        <f>IF(D110="","",D110-D109)</f>
        <v>14</v>
      </c>
      <c r="F110" s="161">
        <f>IF(D110="","",E110*1000)</f>
        <v>14000</v>
      </c>
      <c r="G110" s="161"/>
      <c r="H110" s="161"/>
      <c r="I110" s="163"/>
      <c r="J110" s="164"/>
      <c r="K110" s="166"/>
    </row>
    <row r="111" spans="2:11" ht="22.5" x14ac:dyDescent="0.45">
      <c r="B111" s="701"/>
      <c r="C111" s="76"/>
      <c r="D111" s="76"/>
      <c r="E111" s="160"/>
      <c r="F111" s="161"/>
      <c r="G111" s="161"/>
      <c r="H111" s="161"/>
      <c r="I111" s="163"/>
      <c r="J111" s="164"/>
      <c r="K111" s="172"/>
    </row>
    <row r="112" spans="2:11" ht="22.5" x14ac:dyDescent="0.45">
      <c r="B112" s="702"/>
      <c r="C112" s="76"/>
      <c r="D112" s="76"/>
      <c r="E112" s="160" t="str">
        <f t="shared" ref="E112:E117" si="12">IF(D112="","",D112-D111)</f>
        <v/>
      </c>
      <c r="F112" s="161" t="str">
        <f t="shared" ref="F112:F117" si="13">IF(D112="","",E112*1000)</f>
        <v/>
      </c>
      <c r="G112" s="161"/>
      <c r="H112" s="161"/>
      <c r="I112" s="163"/>
      <c r="J112" s="164"/>
      <c r="K112" s="172"/>
    </row>
    <row r="113" spans="2:11" ht="22.5" x14ac:dyDescent="0.45">
      <c r="B113" s="701"/>
      <c r="C113" s="76"/>
      <c r="D113" s="76"/>
      <c r="E113" s="160" t="str">
        <f t="shared" si="12"/>
        <v/>
      </c>
      <c r="F113" s="161" t="str">
        <f t="shared" si="13"/>
        <v/>
      </c>
      <c r="G113" s="161"/>
      <c r="H113" s="161"/>
      <c r="I113" s="163"/>
      <c r="J113" s="164"/>
      <c r="K113" s="166"/>
    </row>
    <row r="114" spans="2:11" ht="22.5" x14ac:dyDescent="0.45">
      <c r="B114" s="701"/>
      <c r="C114" s="76"/>
      <c r="D114" s="76"/>
      <c r="E114" s="160" t="str">
        <f t="shared" si="12"/>
        <v/>
      </c>
      <c r="F114" s="161" t="str">
        <f t="shared" si="13"/>
        <v/>
      </c>
      <c r="G114" s="161"/>
      <c r="H114" s="161"/>
      <c r="I114" s="163"/>
      <c r="J114" s="164"/>
      <c r="K114" s="166"/>
    </row>
    <row r="115" spans="2:11" ht="22.5" x14ac:dyDescent="0.45">
      <c r="B115" s="701"/>
      <c r="C115" s="76"/>
      <c r="D115" s="83"/>
      <c r="E115" s="160" t="str">
        <f t="shared" si="12"/>
        <v/>
      </c>
      <c r="F115" s="161" t="str">
        <f t="shared" si="13"/>
        <v/>
      </c>
      <c r="G115" s="84"/>
      <c r="H115" s="84"/>
      <c r="I115" s="167"/>
      <c r="J115" s="85"/>
      <c r="K115" s="166"/>
    </row>
    <row r="116" spans="2:11" ht="22.5" x14ac:dyDescent="0.45">
      <c r="B116" s="701"/>
      <c r="C116" s="76"/>
      <c r="D116" s="83"/>
      <c r="E116" s="160" t="str">
        <f t="shared" si="12"/>
        <v/>
      </c>
      <c r="F116" s="161" t="str">
        <f t="shared" si="13"/>
        <v/>
      </c>
      <c r="G116" s="84"/>
      <c r="H116" s="84"/>
      <c r="I116" s="167"/>
      <c r="J116" s="85"/>
      <c r="K116" s="166"/>
    </row>
    <row r="117" spans="2:11" ht="22.5" x14ac:dyDescent="0.45">
      <c r="B117" s="701"/>
      <c r="C117" s="313"/>
      <c r="D117" s="76"/>
      <c r="E117" s="514" t="str">
        <f t="shared" si="12"/>
        <v/>
      </c>
      <c r="F117" s="161" t="str">
        <f t="shared" si="13"/>
        <v/>
      </c>
      <c r="G117" s="84"/>
      <c r="H117" s="84"/>
      <c r="I117" s="167"/>
      <c r="J117" s="85"/>
      <c r="K117" s="166"/>
    </row>
    <row r="118" spans="2:11" ht="23.25" thickBot="1" x14ac:dyDescent="0.5">
      <c r="B118" s="703"/>
      <c r="C118" s="224"/>
      <c r="D118" s="78"/>
      <c r="E118" s="78">
        <f>SUM(E106:E117)</f>
        <v>176</v>
      </c>
      <c r="F118" s="78">
        <f>SUM(F105:F117)</f>
        <v>248000</v>
      </c>
      <c r="G118" s="78"/>
      <c r="H118" s="78"/>
      <c r="I118" s="78"/>
      <c r="J118" s="207"/>
      <c r="K118" s="206"/>
    </row>
    <row r="120" spans="2:11" ht="23.25" thickBot="1" x14ac:dyDescent="0.5">
      <c r="B120" s="699" t="s">
        <v>141</v>
      </c>
      <c r="C120" s="69"/>
      <c r="D120" s="69"/>
      <c r="E120" s="69"/>
      <c r="F120" s="69"/>
      <c r="G120" s="69"/>
      <c r="H120" s="69"/>
      <c r="I120" s="69"/>
      <c r="J120" s="80"/>
      <c r="K120" s="69"/>
    </row>
    <row r="121" spans="2:11" ht="18.75" thickBot="1" x14ac:dyDescent="0.25">
      <c r="B121" s="700" t="s">
        <v>142</v>
      </c>
      <c r="C121" s="383"/>
      <c r="D121" s="383" t="s">
        <v>143</v>
      </c>
      <c r="E121" s="383" t="s">
        <v>144</v>
      </c>
      <c r="F121" s="383" t="s">
        <v>145</v>
      </c>
      <c r="G121" s="383"/>
      <c r="H121" s="383"/>
      <c r="I121" s="384"/>
      <c r="J121" s="385"/>
      <c r="K121" s="385" t="s">
        <v>146</v>
      </c>
    </row>
    <row r="122" spans="2:11" ht="22.5" x14ac:dyDescent="0.45">
      <c r="B122" s="701">
        <v>46125</v>
      </c>
      <c r="C122" s="76"/>
      <c r="D122" s="83">
        <v>5547</v>
      </c>
      <c r="E122" s="160">
        <v>24</v>
      </c>
      <c r="F122" s="161">
        <v>24000</v>
      </c>
      <c r="G122" s="161"/>
      <c r="H122" s="161"/>
      <c r="I122" s="163"/>
      <c r="J122" s="164"/>
      <c r="K122" s="166"/>
    </row>
    <row r="123" spans="2:11" ht="22.5" x14ac:dyDescent="0.45">
      <c r="B123" s="701">
        <v>46127</v>
      </c>
      <c r="C123" s="76"/>
      <c r="D123" s="83">
        <v>5551</v>
      </c>
      <c r="E123" s="160">
        <f t="shared" ref="E123:E134" si="14">IF(D123="","",D123-D122)</f>
        <v>4</v>
      </c>
      <c r="F123" s="161">
        <f t="shared" ref="F123:F134" si="15">IF(D123="","",E123*1000)</f>
        <v>4000</v>
      </c>
      <c r="G123" s="161"/>
      <c r="H123" s="161"/>
      <c r="I123" s="163"/>
      <c r="J123" s="164"/>
      <c r="K123" s="166"/>
    </row>
    <row r="124" spans="2:11" ht="22.5" x14ac:dyDescent="0.45">
      <c r="B124" s="701">
        <v>46128</v>
      </c>
      <c r="C124" s="76"/>
      <c r="D124" s="160">
        <v>5553</v>
      </c>
      <c r="E124" s="160">
        <f t="shared" si="14"/>
        <v>2</v>
      </c>
      <c r="F124" s="161">
        <f t="shared" si="15"/>
        <v>2000</v>
      </c>
      <c r="G124" s="161"/>
      <c r="H124" s="161"/>
      <c r="I124" s="163"/>
      <c r="J124" s="164"/>
      <c r="K124" s="166"/>
    </row>
    <row r="125" spans="2:11" ht="22.5" x14ac:dyDescent="0.45">
      <c r="B125" s="701">
        <v>46132</v>
      </c>
      <c r="C125" s="76"/>
      <c r="D125" s="76">
        <v>5581</v>
      </c>
      <c r="E125" s="160">
        <f t="shared" si="14"/>
        <v>28</v>
      </c>
      <c r="F125" s="161">
        <f t="shared" si="15"/>
        <v>28000</v>
      </c>
      <c r="G125" s="161"/>
      <c r="H125" s="161"/>
      <c r="I125" s="163"/>
      <c r="J125" s="164"/>
      <c r="K125" s="172"/>
    </row>
    <row r="126" spans="2:11" ht="22.5" x14ac:dyDescent="0.45">
      <c r="B126" s="701">
        <v>46136</v>
      </c>
      <c r="C126" s="76"/>
      <c r="D126" s="160">
        <v>5593</v>
      </c>
      <c r="E126" s="160">
        <f t="shared" si="14"/>
        <v>12</v>
      </c>
      <c r="F126" s="161">
        <f t="shared" si="15"/>
        <v>12000</v>
      </c>
      <c r="G126" s="161"/>
      <c r="H126" s="161"/>
      <c r="I126" s="163"/>
      <c r="J126" s="164"/>
      <c r="K126" s="166"/>
    </row>
    <row r="127" spans="2:11" ht="22.5" x14ac:dyDescent="0.45">
      <c r="B127" s="701">
        <v>46139</v>
      </c>
      <c r="C127" s="76"/>
      <c r="D127" s="160">
        <v>5611</v>
      </c>
      <c r="E127" s="160">
        <f t="shared" si="14"/>
        <v>18</v>
      </c>
      <c r="F127" s="161">
        <f t="shared" si="15"/>
        <v>18000</v>
      </c>
      <c r="G127" s="161"/>
      <c r="H127" s="161"/>
      <c r="I127" s="163"/>
      <c r="J127" s="164"/>
      <c r="K127" s="166"/>
    </row>
    <row r="128" spans="2:11" ht="22.5" x14ac:dyDescent="0.45">
      <c r="B128" s="701">
        <v>46142</v>
      </c>
      <c r="C128" s="76"/>
      <c r="D128" s="76">
        <v>5623</v>
      </c>
      <c r="E128" s="160">
        <f t="shared" si="14"/>
        <v>12</v>
      </c>
      <c r="F128" s="161">
        <f t="shared" si="15"/>
        <v>12000</v>
      </c>
      <c r="G128" s="161"/>
      <c r="H128" s="161"/>
      <c r="I128" s="163"/>
      <c r="J128" s="164"/>
      <c r="K128" s="172"/>
    </row>
    <row r="129" spans="2:11" ht="22.5" x14ac:dyDescent="0.45">
      <c r="B129" s="702">
        <v>46146</v>
      </c>
      <c r="C129" s="76"/>
      <c r="D129" s="76">
        <v>5649</v>
      </c>
      <c r="E129" s="160">
        <f t="shared" si="14"/>
        <v>26</v>
      </c>
      <c r="F129" s="161">
        <f t="shared" si="15"/>
        <v>26000</v>
      </c>
      <c r="G129" s="161"/>
      <c r="H129" s="161"/>
      <c r="I129" s="163"/>
      <c r="J129" s="164"/>
      <c r="K129" s="172"/>
    </row>
    <row r="130" spans="2:11" ht="22.5" x14ac:dyDescent="0.45">
      <c r="B130" s="701">
        <v>46149</v>
      </c>
      <c r="C130" s="76"/>
      <c r="D130" s="76">
        <v>5663</v>
      </c>
      <c r="E130" s="160">
        <f t="shared" si="14"/>
        <v>14</v>
      </c>
      <c r="F130" s="161">
        <f t="shared" si="15"/>
        <v>14000</v>
      </c>
      <c r="G130" s="161"/>
      <c r="H130" s="161"/>
      <c r="I130" s="163"/>
      <c r="J130" s="164"/>
      <c r="K130" s="166"/>
    </row>
    <row r="131" spans="2:11" ht="22.5" x14ac:dyDescent="0.45">
      <c r="B131" s="701">
        <v>46153</v>
      </c>
      <c r="C131" s="76"/>
      <c r="D131" s="76">
        <v>5673</v>
      </c>
      <c r="E131" s="160">
        <f t="shared" si="14"/>
        <v>10</v>
      </c>
      <c r="F131" s="161">
        <f t="shared" si="15"/>
        <v>10000</v>
      </c>
      <c r="G131" s="161"/>
      <c r="H131" s="161"/>
      <c r="I131" s="163"/>
      <c r="J131" s="164"/>
      <c r="K131" s="166"/>
    </row>
    <row r="132" spans="2:11" ht="22.5" x14ac:dyDescent="0.45">
      <c r="B132" s="701">
        <v>46156</v>
      </c>
      <c r="C132" s="76"/>
      <c r="D132" s="83">
        <v>5677</v>
      </c>
      <c r="E132" s="160">
        <f t="shared" si="14"/>
        <v>4</v>
      </c>
      <c r="F132" s="161">
        <f t="shared" si="15"/>
        <v>4000</v>
      </c>
      <c r="G132" s="84"/>
      <c r="H132" s="84"/>
      <c r="I132" s="167"/>
      <c r="J132" s="85"/>
      <c r="K132" s="166"/>
    </row>
    <row r="133" spans="2:11" ht="22.5" x14ac:dyDescent="0.45">
      <c r="B133" s="701"/>
      <c r="C133" s="76"/>
      <c r="D133" s="83"/>
      <c r="E133" s="160" t="str">
        <f t="shared" si="14"/>
        <v/>
      </c>
      <c r="F133" s="161" t="str">
        <f t="shared" si="15"/>
        <v/>
      </c>
      <c r="G133" s="84"/>
      <c r="H133" s="84"/>
      <c r="I133" s="167"/>
      <c r="J133" s="85"/>
      <c r="K133" s="166"/>
    </row>
    <row r="134" spans="2:11" ht="22.5" x14ac:dyDescent="0.45">
      <c r="B134" s="701"/>
      <c r="C134" s="313"/>
      <c r="D134" s="76"/>
      <c r="E134" s="514" t="str">
        <f t="shared" si="14"/>
        <v/>
      </c>
      <c r="F134" s="161" t="str">
        <f t="shared" si="15"/>
        <v/>
      </c>
      <c r="G134" s="84"/>
      <c r="H134" s="84"/>
      <c r="I134" s="167"/>
      <c r="J134" s="85"/>
      <c r="K134" s="166"/>
    </row>
    <row r="135" spans="2:11" ht="23.25" thickBot="1" x14ac:dyDescent="0.5">
      <c r="B135" s="703"/>
      <c r="C135" s="224"/>
      <c r="D135" s="78"/>
      <c r="E135" s="78">
        <f>SUM(E123:E134)</f>
        <v>130</v>
      </c>
      <c r="F135" s="78">
        <f>SUM(F122:F134)</f>
        <v>154000</v>
      </c>
      <c r="G135" s="78"/>
      <c r="H135" s="78"/>
      <c r="I135" s="78"/>
      <c r="J135" s="207"/>
      <c r="K135" s="206"/>
    </row>
    <row r="137" spans="2:11" ht="23.25" thickBot="1" x14ac:dyDescent="0.5">
      <c r="B137" s="699" t="s">
        <v>141</v>
      </c>
      <c r="C137" s="759"/>
      <c r="D137" s="759"/>
      <c r="E137" s="759"/>
      <c r="F137" s="759"/>
      <c r="G137" s="759"/>
      <c r="H137" s="759"/>
      <c r="I137" s="759"/>
      <c r="J137" s="80"/>
      <c r="K137" s="759"/>
    </row>
    <row r="138" spans="2:11" ht="18.75" thickBot="1" x14ac:dyDescent="0.25">
      <c r="B138" s="700" t="s">
        <v>142</v>
      </c>
      <c r="C138" s="383"/>
      <c r="D138" s="383" t="s">
        <v>143</v>
      </c>
      <c r="E138" s="383" t="s">
        <v>144</v>
      </c>
      <c r="F138" s="383" t="s">
        <v>145</v>
      </c>
      <c r="G138" s="383"/>
      <c r="H138" s="383"/>
      <c r="I138" s="384"/>
      <c r="J138" s="385"/>
      <c r="K138" s="385" t="s">
        <v>146</v>
      </c>
    </row>
    <row r="139" spans="2:11" ht="22.5" x14ac:dyDescent="0.45">
      <c r="B139" s="701">
        <v>46160</v>
      </c>
      <c r="C139" s="76"/>
      <c r="D139" s="83">
        <v>5679</v>
      </c>
      <c r="E139" s="160">
        <f>IF(D139="","",D139-D130)</f>
        <v>16</v>
      </c>
      <c r="F139" s="161">
        <f>IF(D139="","",E139*1000)</f>
        <v>16000</v>
      </c>
      <c r="G139" s="161"/>
      <c r="H139" s="161"/>
      <c r="I139" s="163"/>
      <c r="J139" s="164"/>
      <c r="K139" s="166" t="s">
        <v>131</v>
      </c>
    </row>
    <row r="140" spans="2:11" ht="22.5" x14ac:dyDescent="0.45">
      <c r="B140" s="701">
        <v>46163</v>
      </c>
      <c r="C140" s="76"/>
      <c r="D140" s="83">
        <v>5685</v>
      </c>
      <c r="E140" s="160">
        <f>IF(D140="","",D140-D139)</f>
        <v>6</v>
      </c>
      <c r="F140" s="161">
        <f>IF(D140="","",E140*1000)</f>
        <v>6000</v>
      </c>
      <c r="G140" s="161"/>
      <c r="H140" s="161"/>
      <c r="I140" s="163"/>
      <c r="J140" s="164"/>
      <c r="K140" s="166"/>
    </row>
    <row r="141" spans="2:11" ht="22.5" x14ac:dyDescent="0.45">
      <c r="B141" s="701">
        <v>46167</v>
      </c>
      <c r="C141" s="76"/>
      <c r="D141" s="160">
        <v>5699</v>
      </c>
      <c r="E141" s="160">
        <f>IF(D141="","",D141-D140)</f>
        <v>14</v>
      </c>
      <c r="F141" s="161">
        <f>IF(D141="","",E141*1000)</f>
        <v>14000</v>
      </c>
      <c r="G141" s="161"/>
      <c r="H141" s="161"/>
      <c r="I141" s="163"/>
      <c r="J141" s="164"/>
      <c r="K141" s="166"/>
    </row>
    <row r="142" spans="2:11" ht="22.5" x14ac:dyDescent="0.45">
      <c r="B142" s="701"/>
      <c r="C142" s="76"/>
      <c r="D142" s="76"/>
      <c r="E142" s="160" t="str">
        <f>IF(D142="","",D142-D141)</f>
        <v/>
      </c>
      <c r="F142" s="161" t="str">
        <f>IF(D142="","",E142*1000)</f>
        <v/>
      </c>
      <c r="G142" s="161"/>
      <c r="H142" s="161"/>
      <c r="I142" s="163"/>
      <c r="J142" s="164"/>
      <c r="K142" s="172"/>
    </row>
    <row r="143" spans="2:11" ht="22.5" x14ac:dyDescent="0.45">
      <c r="B143" s="701"/>
      <c r="C143" s="76"/>
      <c r="D143" s="160"/>
      <c r="E143" s="160" t="str">
        <f>IF(D143="","",D143-D142)</f>
        <v/>
      </c>
      <c r="F143" s="161" t="str">
        <f>IF(D143="","",E143*1000)</f>
        <v/>
      </c>
      <c r="G143" s="161"/>
      <c r="H143" s="161"/>
      <c r="I143" s="163"/>
      <c r="J143" s="164"/>
      <c r="K143" s="166"/>
    </row>
    <row r="144" spans="2:11" ht="22.5" x14ac:dyDescent="0.45">
      <c r="B144" s="701"/>
      <c r="C144" s="76"/>
      <c r="D144" s="160"/>
      <c r="E144" s="160" t="str">
        <f>IF(D144="","",D144-D143)</f>
        <v/>
      </c>
      <c r="F144" s="161" t="str">
        <f>IF(D144="","",E144*1000)</f>
        <v/>
      </c>
      <c r="G144" s="161"/>
      <c r="H144" s="161"/>
      <c r="I144" s="163"/>
      <c r="J144" s="164"/>
      <c r="K144" s="166"/>
    </row>
    <row r="145" spans="2:11" ht="22.5" x14ac:dyDescent="0.45">
      <c r="B145" s="701"/>
      <c r="C145" s="76"/>
      <c r="D145" s="76"/>
      <c r="E145" s="160" t="str">
        <f>IF(D145="","",D145-D144)</f>
        <v/>
      </c>
      <c r="F145" s="161" t="str">
        <f>IF(D145="","",E145*1000)</f>
        <v/>
      </c>
      <c r="G145" s="161"/>
      <c r="H145" s="161"/>
      <c r="I145" s="163"/>
      <c r="J145" s="164"/>
      <c r="K145" s="172"/>
    </row>
    <row r="146" spans="2:11" ht="22.5" x14ac:dyDescent="0.45">
      <c r="B146" s="702"/>
      <c r="C146" s="76"/>
      <c r="D146" s="76"/>
      <c r="E146" s="160" t="str">
        <f>IF(D146="","",D146-D145)</f>
        <v/>
      </c>
      <c r="F146" s="161" t="str">
        <f>IF(D146="","",E146*1000)</f>
        <v/>
      </c>
      <c r="G146" s="161"/>
      <c r="H146" s="161"/>
      <c r="I146" s="163"/>
      <c r="J146" s="164"/>
      <c r="K146" s="172"/>
    </row>
    <row r="147" spans="2:11" ht="22.5" x14ac:dyDescent="0.45">
      <c r="B147" s="701"/>
      <c r="C147" s="76"/>
      <c r="D147" s="76"/>
      <c r="E147" s="160" t="str">
        <f>IF(D147="","",D147-D146)</f>
        <v/>
      </c>
      <c r="F147" s="161" t="str">
        <f>IF(D147="","",E147*1000)</f>
        <v/>
      </c>
      <c r="G147" s="161"/>
      <c r="H147" s="161"/>
      <c r="I147" s="163"/>
      <c r="J147" s="164"/>
      <c r="K147" s="166"/>
    </row>
    <row r="148" spans="2:11" ht="22.5" x14ac:dyDescent="0.45">
      <c r="B148" s="701"/>
      <c r="C148" s="76"/>
      <c r="D148" s="76"/>
      <c r="E148" s="160" t="str">
        <f>IF(D148="","",D148-D147)</f>
        <v/>
      </c>
      <c r="F148" s="161" t="str">
        <f>IF(D148="","",E148*1000)</f>
        <v/>
      </c>
      <c r="G148" s="161"/>
      <c r="H148" s="161"/>
      <c r="I148" s="163"/>
      <c r="J148" s="164"/>
      <c r="K148" s="166"/>
    </row>
    <row r="149" spans="2:11" ht="22.5" x14ac:dyDescent="0.45">
      <c r="B149" s="701"/>
      <c r="C149" s="76"/>
      <c r="D149" s="83"/>
      <c r="E149" s="160" t="str">
        <f>IF(D149="","",D149-D148)</f>
        <v/>
      </c>
      <c r="F149" s="161" t="str">
        <f>IF(D149="","",E149*1000)</f>
        <v/>
      </c>
      <c r="G149" s="84"/>
      <c r="H149" s="84"/>
      <c r="I149" s="167"/>
      <c r="J149" s="85"/>
      <c r="K149" s="166"/>
    </row>
    <row r="150" spans="2:11" ht="22.5" x14ac:dyDescent="0.45">
      <c r="B150" s="701"/>
      <c r="C150" s="76"/>
      <c r="D150" s="83"/>
      <c r="E150" s="160" t="str">
        <f>IF(D150="","",D150-D149)</f>
        <v/>
      </c>
      <c r="F150" s="161" t="str">
        <f>IF(D150="","",E150*1000)</f>
        <v/>
      </c>
      <c r="G150" s="84"/>
      <c r="H150" s="84"/>
      <c r="I150" s="167"/>
      <c r="J150" s="85"/>
      <c r="K150" s="166"/>
    </row>
    <row r="151" spans="2:11" ht="22.5" x14ac:dyDescent="0.45">
      <c r="B151" s="701"/>
      <c r="C151" s="313"/>
      <c r="D151" s="76"/>
      <c r="E151" s="514" t="str">
        <f>IF(D151="","",D151-D150)</f>
        <v/>
      </c>
      <c r="F151" s="161" t="str">
        <f>IF(D151="","",E151*1000)</f>
        <v/>
      </c>
      <c r="G151" s="84"/>
      <c r="H151" s="84"/>
      <c r="I151" s="167"/>
      <c r="J151" s="85"/>
      <c r="K151" s="166"/>
    </row>
    <row r="152" spans="2:11" ht="23.25" thickBot="1" x14ac:dyDescent="0.5">
      <c r="B152" s="703"/>
      <c r="C152" s="224"/>
      <c r="D152" s="78"/>
      <c r="E152" s="78">
        <f>SUM(E140:E151)</f>
        <v>20</v>
      </c>
      <c r="F152" s="78">
        <f>SUM(F139:F151)</f>
        <v>36000</v>
      </c>
      <c r="G152" s="78"/>
      <c r="H152" s="78"/>
      <c r="I152" s="78"/>
      <c r="J152" s="207"/>
      <c r="K152" s="206"/>
    </row>
  </sheetData>
  <phoneticPr fontId="35"/>
  <pageMargins left="0.69930555555555596" right="0.69930555555555596" top="0.75" bottom="0.75" header="0" footer="0"/>
  <pageSetup paperSize="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62FA-F4FA-4F15-8EAF-8FB2C273C310}">
  <dimension ref="A1:F33"/>
  <sheetViews>
    <sheetView zoomScaleNormal="100" zoomScaleSheetLayoutView="100" workbookViewId="0">
      <selection activeCell="C26" sqref="C26"/>
    </sheetView>
  </sheetViews>
  <sheetFormatPr defaultRowHeight="15" x14ac:dyDescent="0.2"/>
  <cols>
    <col min="5" max="5" width="13.71875" bestFit="1" customWidth="1"/>
  </cols>
  <sheetData>
    <row r="1" spans="1:5" ht="15.75" thickBot="1" x14ac:dyDescent="0.35">
      <c r="A1" s="849" t="s">
        <v>154</v>
      </c>
      <c r="B1" s="849"/>
      <c r="C1" s="5"/>
      <c r="D1" s="5"/>
      <c r="E1" s="26"/>
    </row>
    <row r="2" spans="1:5" ht="15.75" thickBot="1" x14ac:dyDescent="0.25">
      <c r="A2" s="7" t="s">
        <v>142</v>
      </c>
      <c r="B2" s="8" t="s">
        <v>143</v>
      </c>
      <c r="C2" s="8" t="s">
        <v>144</v>
      </c>
      <c r="D2" s="8" t="s">
        <v>145</v>
      </c>
      <c r="E2" s="9" t="s">
        <v>146</v>
      </c>
    </row>
    <row r="3" spans="1:5" x14ac:dyDescent="0.3">
      <c r="A3" s="661">
        <v>46135</v>
      </c>
      <c r="B3" s="46">
        <v>677</v>
      </c>
      <c r="C3" s="170">
        <f>B3-573</f>
        <v>104</v>
      </c>
      <c r="D3" s="171">
        <f t="shared" ref="D3:D15" si="0">IF(B3="","",C3*1000)</f>
        <v>104000</v>
      </c>
      <c r="E3" s="172" t="s">
        <v>383</v>
      </c>
    </row>
    <row r="4" spans="1:5" x14ac:dyDescent="0.3">
      <c r="A4" s="661">
        <v>46140</v>
      </c>
      <c r="B4" s="46">
        <v>685</v>
      </c>
      <c r="C4" s="170">
        <f>IF(B4="","",B4-B3)</f>
        <v>8</v>
      </c>
      <c r="D4" s="171">
        <f t="shared" si="0"/>
        <v>8000</v>
      </c>
      <c r="E4" s="172"/>
    </row>
    <row r="5" spans="1:5" x14ac:dyDescent="0.3">
      <c r="A5" s="661">
        <v>46143</v>
      </c>
      <c r="B5" s="46">
        <v>765</v>
      </c>
      <c r="C5" s="170">
        <f t="shared" ref="C4:C14" si="1">IF(B5="","",B5-B4)</f>
        <v>80</v>
      </c>
      <c r="D5" s="171">
        <f t="shared" si="0"/>
        <v>80000</v>
      </c>
      <c r="E5" s="51"/>
    </row>
    <row r="6" spans="1:5" x14ac:dyDescent="0.3">
      <c r="A6" s="661">
        <v>46146</v>
      </c>
      <c r="B6" s="13">
        <v>861</v>
      </c>
      <c r="C6" s="170">
        <f t="shared" si="1"/>
        <v>96</v>
      </c>
      <c r="D6" s="171">
        <f t="shared" si="0"/>
        <v>96000</v>
      </c>
      <c r="E6" s="172"/>
    </row>
    <row r="7" spans="1:5" x14ac:dyDescent="0.3">
      <c r="A7" s="661">
        <v>46149</v>
      </c>
      <c r="B7" s="13">
        <v>959</v>
      </c>
      <c r="C7" s="170">
        <f t="shared" si="1"/>
        <v>98</v>
      </c>
      <c r="D7" s="171">
        <f t="shared" si="0"/>
        <v>98000</v>
      </c>
      <c r="E7" s="225" t="s">
        <v>384</v>
      </c>
    </row>
    <row r="8" spans="1:5" x14ac:dyDescent="0.3">
      <c r="A8" s="661">
        <v>46154</v>
      </c>
      <c r="B8" s="13">
        <v>884</v>
      </c>
      <c r="C8" s="170">
        <v>84</v>
      </c>
      <c r="D8" s="171">
        <f t="shared" si="0"/>
        <v>84000</v>
      </c>
      <c r="E8" s="225"/>
    </row>
    <row r="9" spans="1:5" x14ac:dyDescent="0.3">
      <c r="A9" s="661"/>
      <c r="B9" s="13"/>
      <c r="C9" s="170"/>
      <c r="D9" s="171"/>
      <c r="E9" s="172"/>
    </row>
    <row r="10" spans="1:5" x14ac:dyDescent="0.3">
      <c r="A10" s="661"/>
      <c r="B10" s="13"/>
      <c r="C10" s="170"/>
      <c r="D10" s="171"/>
      <c r="E10" s="172"/>
    </row>
    <row r="11" spans="1:5" x14ac:dyDescent="0.3">
      <c r="A11" s="661"/>
      <c r="B11" s="46"/>
      <c r="C11" s="170"/>
      <c r="D11" s="171"/>
      <c r="E11" s="51"/>
    </row>
    <row r="12" spans="1:5" x14ac:dyDescent="0.3">
      <c r="A12" s="661"/>
      <c r="B12" s="46"/>
      <c r="C12" s="170" t="str">
        <f t="shared" si="1"/>
        <v/>
      </c>
      <c r="D12" s="171" t="str">
        <f t="shared" si="0"/>
        <v/>
      </c>
      <c r="E12" s="172"/>
    </row>
    <row r="13" spans="1:5" x14ac:dyDescent="0.3">
      <c r="A13" s="661"/>
      <c r="B13" s="46"/>
      <c r="C13" s="170" t="str">
        <f t="shared" si="1"/>
        <v/>
      </c>
      <c r="D13" s="171" t="str">
        <f t="shared" si="0"/>
        <v/>
      </c>
      <c r="E13" s="51"/>
    </row>
    <row r="14" spans="1:5" x14ac:dyDescent="0.3">
      <c r="A14" s="664"/>
      <c r="B14" s="46"/>
      <c r="C14" s="170" t="str">
        <f t="shared" si="1"/>
        <v/>
      </c>
      <c r="D14" s="171" t="str">
        <f t="shared" si="0"/>
        <v/>
      </c>
      <c r="E14" s="51"/>
    </row>
    <row r="15" spans="1:5" ht="15.75" thickBot="1" x14ac:dyDescent="0.35">
      <c r="A15" s="662"/>
      <c r="B15" s="663"/>
      <c r="C15" s="240" t="str">
        <f>IF(B15="","",B15-B12)</f>
        <v/>
      </c>
      <c r="D15" s="223" t="str">
        <f t="shared" si="0"/>
        <v/>
      </c>
      <c r="E15" s="176"/>
    </row>
    <row r="16" spans="1:5" ht="15.75" thickBot="1" x14ac:dyDescent="0.35">
      <c r="A16" s="15"/>
      <c r="B16" s="16"/>
      <c r="C16" s="16">
        <f>SUM(C3:C15)</f>
        <v>470</v>
      </c>
      <c r="D16" s="17">
        <f>SUM(D3:D15)</f>
        <v>470000</v>
      </c>
      <c r="E16" s="176"/>
    </row>
    <row r="18" spans="1:6" ht="15.75" thickBot="1" x14ac:dyDescent="0.35">
      <c r="A18" s="849" t="s">
        <v>154</v>
      </c>
      <c r="B18" s="849"/>
      <c r="C18" s="5"/>
      <c r="D18" s="5"/>
      <c r="E18" s="26"/>
      <c r="F18" s="799"/>
    </row>
    <row r="19" spans="1:6" ht="15.75" thickBot="1" x14ac:dyDescent="0.25">
      <c r="A19" s="7" t="s">
        <v>142</v>
      </c>
      <c r="B19" s="8" t="s">
        <v>143</v>
      </c>
      <c r="C19" s="8" t="s">
        <v>144</v>
      </c>
      <c r="D19" s="8" t="s">
        <v>145</v>
      </c>
      <c r="E19" s="9" t="s">
        <v>146</v>
      </c>
      <c r="F19" s="799"/>
    </row>
    <row r="20" spans="1:6" x14ac:dyDescent="0.3">
      <c r="A20" s="661">
        <v>46157</v>
      </c>
      <c r="B20" s="13">
        <v>954</v>
      </c>
      <c r="C20" s="170">
        <f>IF(B20="","",B20-B8)</f>
        <v>70</v>
      </c>
      <c r="D20" s="171">
        <f t="shared" ref="D20:D22" si="2">IF(B20="","",C20*1000)</f>
        <v>70000</v>
      </c>
      <c r="E20" s="172"/>
      <c r="F20" s="799"/>
    </row>
    <row r="21" spans="1:6" x14ac:dyDescent="0.3">
      <c r="A21" s="661">
        <v>46159</v>
      </c>
      <c r="B21" s="13">
        <v>24</v>
      </c>
      <c r="C21" s="170">
        <f>IF(B21="","",B21-B20)+1000</f>
        <v>70</v>
      </c>
      <c r="D21" s="171">
        <f t="shared" si="2"/>
        <v>70000</v>
      </c>
      <c r="E21" s="172"/>
      <c r="F21" s="799"/>
    </row>
    <row r="22" spans="1:6" x14ac:dyDescent="0.3">
      <c r="A22" s="661">
        <v>46160</v>
      </c>
      <c r="B22" s="46">
        <v>78</v>
      </c>
      <c r="C22" s="170">
        <f t="shared" ref="C22" si="3">IF(B22="","",B22-B21)</f>
        <v>54</v>
      </c>
      <c r="D22" s="171">
        <f t="shared" si="2"/>
        <v>54000</v>
      </c>
      <c r="E22" s="51"/>
      <c r="F22" s="799"/>
    </row>
    <row r="23" spans="1:6" x14ac:dyDescent="0.3">
      <c r="A23" s="661">
        <v>46163</v>
      </c>
      <c r="B23" s="13">
        <v>130</v>
      </c>
      <c r="C23" s="170">
        <f t="shared" ref="C22:C32" si="4">IF(B23="","",B23-B22)</f>
        <v>52</v>
      </c>
      <c r="D23" s="171">
        <f t="shared" ref="D20:D32" si="5">IF(B23="","",C23*1000)</f>
        <v>52000</v>
      </c>
      <c r="E23" s="172"/>
      <c r="F23" s="799"/>
    </row>
    <row r="24" spans="1:6" x14ac:dyDescent="0.3">
      <c r="A24" s="661">
        <v>46164</v>
      </c>
      <c r="B24" s="13">
        <v>140</v>
      </c>
      <c r="C24" s="170">
        <f t="shared" si="4"/>
        <v>10</v>
      </c>
      <c r="D24" s="171">
        <f t="shared" si="5"/>
        <v>10000</v>
      </c>
      <c r="E24" s="225"/>
      <c r="F24" s="799"/>
    </row>
    <row r="25" spans="1:6" x14ac:dyDescent="0.3">
      <c r="A25" s="661">
        <v>46168</v>
      </c>
      <c r="B25" s="13">
        <v>230</v>
      </c>
      <c r="C25" s="170">
        <f t="shared" ref="C25:C33" si="6">IF(B25="","",B25-B24)</f>
        <v>90</v>
      </c>
      <c r="D25" s="171">
        <f t="shared" si="5"/>
        <v>90000</v>
      </c>
      <c r="E25" s="225"/>
      <c r="F25" s="799"/>
    </row>
    <row r="26" spans="1:6" x14ac:dyDescent="0.3">
      <c r="A26" s="661"/>
      <c r="B26" s="13"/>
      <c r="C26" s="170" t="str">
        <f t="shared" si="6"/>
        <v/>
      </c>
      <c r="D26" s="171" t="str">
        <f t="shared" si="5"/>
        <v/>
      </c>
      <c r="E26" s="172"/>
      <c r="F26" s="799"/>
    </row>
    <row r="27" spans="1:6" x14ac:dyDescent="0.3">
      <c r="A27" s="661"/>
      <c r="B27" s="13"/>
      <c r="C27" s="170" t="str">
        <f>IF(B27="","",B27-B26)</f>
        <v/>
      </c>
      <c r="D27" s="171" t="str">
        <f t="shared" si="5"/>
        <v/>
      </c>
      <c r="E27" s="172"/>
      <c r="F27" s="799"/>
    </row>
    <row r="28" spans="1:6" x14ac:dyDescent="0.3">
      <c r="A28" s="661"/>
      <c r="B28" s="46"/>
      <c r="C28" s="170" t="str">
        <f t="shared" ref="C28:C33" si="7">IF(B28="","",B28-B27)</f>
        <v/>
      </c>
      <c r="D28" s="171" t="str">
        <f t="shared" si="5"/>
        <v/>
      </c>
      <c r="E28" s="51"/>
      <c r="F28" s="799"/>
    </row>
    <row r="29" spans="1:6" x14ac:dyDescent="0.3">
      <c r="A29" s="661"/>
      <c r="B29" s="46"/>
      <c r="C29" s="170" t="str">
        <f t="shared" si="7"/>
        <v/>
      </c>
      <c r="D29" s="171" t="str">
        <f t="shared" si="5"/>
        <v/>
      </c>
      <c r="E29" s="172"/>
      <c r="F29" s="799"/>
    </row>
    <row r="30" spans="1:6" x14ac:dyDescent="0.3">
      <c r="A30" s="661"/>
      <c r="B30" s="46"/>
      <c r="C30" s="170" t="str">
        <f t="shared" si="7"/>
        <v/>
      </c>
      <c r="D30" s="171" t="str">
        <f t="shared" si="5"/>
        <v/>
      </c>
      <c r="E30" s="51"/>
      <c r="F30" s="799"/>
    </row>
    <row r="31" spans="1:6" x14ac:dyDescent="0.3">
      <c r="A31" s="664"/>
      <c r="B31" s="46"/>
      <c r="C31" s="170" t="str">
        <f t="shared" si="7"/>
        <v/>
      </c>
      <c r="D31" s="171" t="str">
        <f t="shared" si="5"/>
        <v/>
      </c>
      <c r="E31" s="51"/>
      <c r="F31" s="799"/>
    </row>
    <row r="32" spans="1:6" ht="15.75" thickBot="1" x14ac:dyDescent="0.35">
      <c r="A32" s="662"/>
      <c r="B32" s="663"/>
      <c r="C32" s="240" t="str">
        <f>IF(B32="","",B32-B29)</f>
        <v/>
      </c>
      <c r="D32" s="223" t="str">
        <f t="shared" si="5"/>
        <v/>
      </c>
      <c r="E32" s="176"/>
      <c r="F32" s="799"/>
    </row>
    <row r="33" spans="1:6" ht="15.75" thickBot="1" x14ac:dyDescent="0.35">
      <c r="A33" s="15"/>
      <c r="B33" s="16"/>
      <c r="C33" s="16">
        <f>SUM(C20:C32)</f>
        <v>346</v>
      </c>
      <c r="D33" s="17">
        <f>SUM(D20:D32)</f>
        <v>346000</v>
      </c>
      <c r="E33" s="176"/>
      <c r="F33" s="799"/>
    </row>
  </sheetData>
  <mergeCells count="2">
    <mergeCell ref="A1:B1"/>
    <mergeCell ref="A18:B18"/>
  </mergeCells>
  <phoneticPr fontId="3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4171-3E0E-446A-AFCC-DF8AFB8E2F7D}">
  <dimension ref="A1"/>
  <sheetViews>
    <sheetView zoomScaleNormal="100" zoomScaleSheetLayoutView="100" workbookViewId="0"/>
  </sheetViews>
  <sheetFormatPr defaultRowHeight="15" x14ac:dyDescent="0.2"/>
  <sheetData/>
  <phoneticPr fontId="35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7">
    <pageSetUpPr fitToPage="1"/>
  </sheetPr>
  <dimension ref="B1:AD12"/>
  <sheetViews>
    <sheetView workbookViewId="0">
      <pane ySplit="2" topLeftCell="A4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6.45703125" customWidth="1"/>
    <col min="3" max="4" width="6.72265625" customWidth="1"/>
    <col min="5" max="5" width="4.9765625" customWidth="1"/>
    <col min="6" max="6" width="7.6640625" customWidth="1"/>
    <col min="7" max="7" width="6.859375" customWidth="1"/>
    <col min="8" max="8" width="7.6640625" customWidth="1"/>
    <col min="9" max="9" width="10.22265625" customWidth="1"/>
    <col min="10" max="10" width="8.47265625" customWidth="1"/>
    <col min="11" max="11" width="9.55078125" customWidth="1"/>
    <col min="12" max="13" width="8.47265625" customWidth="1"/>
    <col min="14" max="14" width="10.22265625" customWidth="1"/>
    <col min="15" max="17" width="2.5546875" customWidth="1"/>
    <col min="18" max="18" width="10.22265625" customWidth="1"/>
    <col min="19" max="20" width="8.47265625" customWidth="1"/>
    <col min="21" max="21" width="6.859375" customWidth="1"/>
    <col min="22" max="22" width="7.26171875" customWidth="1"/>
    <col min="23" max="23" width="6.859375" customWidth="1"/>
    <col min="24" max="24" width="7.26171875" customWidth="1"/>
    <col min="25" max="25" width="10.22265625" customWidth="1"/>
    <col min="26" max="26" width="8.47265625" customWidth="1"/>
    <col min="27" max="27" width="7.26171875" customWidth="1"/>
    <col min="28" max="28" width="8.47265625" customWidth="1"/>
    <col min="29" max="29" width="7.3984375" customWidth="1"/>
    <col min="30" max="30" width="9.68359375" customWidth="1"/>
  </cols>
  <sheetData>
    <row r="1" spans="2:30" ht="15" customHeight="1" x14ac:dyDescent="0.3">
      <c r="B1" s="20" t="s">
        <v>210</v>
      </c>
      <c r="F1" s="21" t="s">
        <v>187</v>
      </c>
      <c r="G1" s="5" t="s">
        <v>163</v>
      </c>
      <c r="H1" s="22" t="s">
        <v>164</v>
      </c>
      <c r="I1" s="22" t="s">
        <v>165</v>
      </c>
      <c r="J1" s="667" t="s">
        <v>166</v>
      </c>
      <c r="K1" s="64" t="s">
        <v>179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  <c r="AA1" s="4"/>
      <c r="AB1" s="4"/>
      <c r="AC1" s="4"/>
      <c r="AD1" s="4"/>
    </row>
    <row r="2" spans="2:30" x14ac:dyDescent="0.3">
      <c r="B2" s="22" t="s">
        <v>148</v>
      </c>
      <c r="C2" s="20"/>
      <c r="E2" s="24"/>
      <c r="F2" s="25">
        <f t="shared" ref="F2:J2" si="0">F11</f>
        <v>689000</v>
      </c>
      <c r="G2" s="25">
        <f t="shared" si="0"/>
        <v>0</v>
      </c>
      <c r="H2" s="25">
        <f t="shared" si="0"/>
        <v>689000</v>
      </c>
      <c r="I2" s="25">
        <f t="shared" si="0"/>
        <v>0</v>
      </c>
      <c r="J2" s="25">
        <f t="shared" si="0"/>
        <v>137800</v>
      </c>
      <c r="K2" s="65">
        <f>(I2+J2)/H2</f>
        <v>0.2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  <c r="AD2" s="4"/>
    </row>
    <row r="3" spans="2:30" x14ac:dyDescent="0.3">
      <c r="B3" s="27"/>
      <c r="C3" s="5"/>
      <c r="D3" s="5"/>
      <c r="E3" s="5"/>
      <c r="F3" s="5"/>
      <c r="G3" s="23"/>
      <c r="H3" s="23"/>
      <c r="I3" s="3" t="s">
        <v>182</v>
      </c>
      <c r="J3" s="6">
        <v>200</v>
      </c>
      <c r="K3" s="66"/>
      <c r="L3" s="5"/>
      <c r="M3" s="5"/>
      <c r="N3" s="5"/>
      <c r="O3" s="5"/>
      <c r="P3" s="5"/>
      <c r="Q3" s="5"/>
      <c r="R3" s="192" t="s">
        <v>193</v>
      </c>
      <c r="S3" s="2"/>
      <c r="T3" s="2"/>
      <c r="U3" s="2"/>
      <c r="V3" s="3"/>
      <c r="W3" s="3"/>
      <c r="X3" s="3"/>
      <c r="Y3" s="3" t="s">
        <v>182</v>
      </c>
      <c r="Z3" s="6">
        <v>473.2</v>
      </c>
      <c r="AA3" s="3"/>
      <c r="AB3" s="4"/>
      <c r="AC3" s="4"/>
      <c r="AD3" s="4"/>
    </row>
    <row r="4" spans="2:30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8" t="s">
        <v>145</v>
      </c>
      <c r="G4" s="8" t="s">
        <v>163</v>
      </c>
      <c r="H4" s="8" t="s">
        <v>164</v>
      </c>
      <c r="I4" s="168" t="s">
        <v>165</v>
      </c>
      <c r="J4" s="9" t="s">
        <v>166</v>
      </c>
      <c r="K4" s="67" t="s">
        <v>146</v>
      </c>
      <c r="L4" s="29" t="s">
        <v>179</v>
      </c>
      <c r="M4" s="5" t="s">
        <v>191</v>
      </c>
      <c r="N4" s="5" t="s">
        <v>194</v>
      </c>
      <c r="O4" s="5"/>
      <c r="P4" s="5"/>
      <c r="Q4" s="5"/>
      <c r="R4" s="7" t="s">
        <v>142</v>
      </c>
      <c r="S4" s="8" t="s">
        <v>143</v>
      </c>
      <c r="T4" s="8" t="s">
        <v>162</v>
      </c>
      <c r="U4" s="8" t="s">
        <v>144</v>
      </c>
      <c r="V4" s="8" t="s">
        <v>145</v>
      </c>
      <c r="W4" s="8" t="s">
        <v>163</v>
      </c>
      <c r="X4" s="8" t="s">
        <v>164</v>
      </c>
      <c r="Y4" s="168" t="s">
        <v>165</v>
      </c>
      <c r="Z4" s="9" t="s">
        <v>166</v>
      </c>
      <c r="AA4" s="9" t="s">
        <v>146</v>
      </c>
      <c r="AB4" s="4" t="s">
        <v>179</v>
      </c>
      <c r="AC4" s="4" t="s">
        <v>191</v>
      </c>
      <c r="AD4" s="4" t="s">
        <v>194</v>
      </c>
    </row>
    <row r="5" spans="2:30" x14ac:dyDescent="0.3">
      <c r="B5" s="178">
        <v>45093</v>
      </c>
      <c r="C5" s="170">
        <v>71</v>
      </c>
      <c r="D5" s="170"/>
      <c r="E5" s="170"/>
      <c r="F5" s="171"/>
      <c r="G5" s="171"/>
      <c r="H5" s="171"/>
      <c r="I5" s="10"/>
      <c r="J5" s="34"/>
      <c r="K5" s="194"/>
      <c r="L5" s="31" t="e">
        <f t="shared" ref="L5:L11" si="1">+(I5+J5)/H5</f>
        <v>#DIV/0!</v>
      </c>
      <c r="M5" s="35" t="e">
        <f>H5/(B5-#REF!)</f>
        <v>#REF!</v>
      </c>
      <c r="N5" s="35" t="e">
        <f>(H5*0.6-I5-J5)/(B5-#REF!)</f>
        <v>#REF!</v>
      </c>
      <c r="O5" s="5"/>
      <c r="P5" s="5"/>
      <c r="Q5" s="5"/>
      <c r="R5" s="169"/>
      <c r="S5" s="170">
        <v>1776</v>
      </c>
      <c r="T5" s="170"/>
      <c r="U5" s="170"/>
      <c r="V5" s="171"/>
      <c r="W5" s="171"/>
      <c r="X5" s="171"/>
      <c r="Y5" s="10"/>
      <c r="Z5" s="174"/>
      <c r="AA5" s="172"/>
      <c r="AB5" s="4"/>
      <c r="AC5" s="11"/>
      <c r="AD5" s="11"/>
    </row>
    <row r="6" spans="2:30" x14ac:dyDescent="0.3">
      <c r="B6" s="32">
        <v>45101</v>
      </c>
      <c r="C6" s="13">
        <v>514</v>
      </c>
      <c r="D6" s="13">
        <v>71</v>
      </c>
      <c r="E6" s="170">
        <f t="shared" ref="E6:E9" si="2">+C6-D6</f>
        <v>443</v>
      </c>
      <c r="F6" s="171">
        <f t="shared" ref="F6:F9" si="3">+E6*1000</f>
        <v>443000</v>
      </c>
      <c r="G6" s="171">
        <v>0</v>
      </c>
      <c r="H6" s="171">
        <f t="shared" ref="H6:H10" si="4">+F6-G6</f>
        <v>443000</v>
      </c>
      <c r="I6" s="33"/>
      <c r="J6" s="34">
        <f t="shared" ref="J6:J10" si="5">+E6*$J$3</f>
        <v>88600</v>
      </c>
      <c r="K6" s="172"/>
      <c r="L6" s="31">
        <f t="shared" si="1"/>
        <v>0.2</v>
      </c>
      <c r="M6" s="35">
        <f t="shared" ref="M6:M10" si="6">H6/(B6-B5)</f>
        <v>55375</v>
      </c>
      <c r="N6" s="35">
        <f t="shared" ref="N6:N10" si="7">(H6*0.6-I6-J6)/(B6-B5)</f>
        <v>22150</v>
      </c>
      <c r="O6" s="5"/>
      <c r="P6" s="5"/>
      <c r="Q6" s="5"/>
      <c r="R6" s="12"/>
      <c r="S6" s="13">
        <v>2029</v>
      </c>
      <c r="T6" s="13">
        <v>1776</v>
      </c>
      <c r="U6" s="170">
        <f t="shared" ref="U6:U10" si="8">+S6-T6</f>
        <v>253</v>
      </c>
      <c r="V6" s="171">
        <f t="shared" ref="V6:V10" si="9">+U6*1000</f>
        <v>253000</v>
      </c>
      <c r="W6" s="171">
        <v>0</v>
      </c>
      <c r="X6" s="171">
        <f t="shared" ref="X6:X10" si="10">+V6-W6</f>
        <v>253000</v>
      </c>
      <c r="Y6" s="173"/>
      <c r="Z6" s="174">
        <f t="shared" ref="Z6:Z10" si="11">+U6*$Z$3/2</f>
        <v>59859.799999999996</v>
      </c>
      <c r="AA6" s="172"/>
      <c r="AB6" s="14">
        <f t="shared" ref="AB6:AB11" si="12">+(Y6+Z6)/X6</f>
        <v>0.23659999999999998</v>
      </c>
      <c r="AC6" s="11" t="e">
        <f t="shared" ref="AC6:AC7" si="13">X6/(R6-R4)</f>
        <v>#VALUE!</v>
      </c>
      <c r="AD6" s="11" t="e">
        <f t="shared" ref="AD6:AD7" si="14">(X6*0.6-Y6-Z6)/(R6-R4)</f>
        <v>#VALUE!</v>
      </c>
    </row>
    <row r="7" spans="2:30" x14ac:dyDescent="0.3">
      <c r="B7" s="32">
        <v>45109</v>
      </c>
      <c r="C7" s="13">
        <v>760</v>
      </c>
      <c r="D7" s="13">
        <v>514</v>
      </c>
      <c r="E7" s="170">
        <f t="shared" si="2"/>
        <v>246</v>
      </c>
      <c r="F7" s="171">
        <f t="shared" si="3"/>
        <v>246000</v>
      </c>
      <c r="G7" s="171">
        <v>0</v>
      </c>
      <c r="H7" s="171">
        <f t="shared" si="4"/>
        <v>246000</v>
      </c>
      <c r="I7" s="33"/>
      <c r="J7" s="36">
        <f t="shared" si="5"/>
        <v>49200</v>
      </c>
      <c r="K7" s="172"/>
      <c r="L7" s="31">
        <f t="shared" si="1"/>
        <v>0.2</v>
      </c>
      <c r="M7" s="35">
        <f t="shared" si="6"/>
        <v>30750</v>
      </c>
      <c r="N7" s="35">
        <f t="shared" si="7"/>
        <v>12300</v>
      </c>
      <c r="O7" s="5"/>
      <c r="P7" s="5"/>
      <c r="Q7" s="5"/>
      <c r="R7" s="12"/>
      <c r="S7" s="13">
        <v>2116</v>
      </c>
      <c r="T7" s="13">
        <v>2029</v>
      </c>
      <c r="U7" s="170">
        <f t="shared" si="8"/>
        <v>87</v>
      </c>
      <c r="V7" s="171">
        <f t="shared" si="9"/>
        <v>87000</v>
      </c>
      <c r="W7" s="171">
        <v>0</v>
      </c>
      <c r="X7" s="171">
        <f t="shared" si="10"/>
        <v>87000</v>
      </c>
      <c r="Y7" s="173"/>
      <c r="Z7" s="174">
        <f t="shared" si="11"/>
        <v>20584.2</v>
      </c>
      <c r="AA7" s="172"/>
      <c r="AB7" s="14">
        <f t="shared" si="12"/>
        <v>0.2366</v>
      </c>
      <c r="AC7" s="11" t="e">
        <f t="shared" si="13"/>
        <v>#DIV/0!</v>
      </c>
      <c r="AD7" s="11" t="e">
        <f t="shared" si="14"/>
        <v>#DIV/0!</v>
      </c>
    </row>
    <row r="8" spans="2:30" x14ac:dyDescent="0.3">
      <c r="B8" s="32"/>
      <c r="C8" s="13"/>
      <c r="D8" s="13"/>
      <c r="E8" s="170">
        <f t="shared" si="2"/>
        <v>0</v>
      </c>
      <c r="F8" s="171">
        <f t="shared" si="3"/>
        <v>0</v>
      </c>
      <c r="G8" s="171">
        <v>0</v>
      </c>
      <c r="H8" s="171">
        <f t="shared" si="4"/>
        <v>0</v>
      </c>
      <c r="I8" s="33"/>
      <c r="J8" s="36">
        <f t="shared" si="5"/>
        <v>0</v>
      </c>
      <c r="K8" s="172"/>
      <c r="L8" s="31" t="e">
        <f t="shared" si="1"/>
        <v>#DIV/0!</v>
      </c>
      <c r="M8" s="35">
        <f t="shared" si="6"/>
        <v>0</v>
      </c>
      <c r="N8" s="35">
        <f t="shared" si="7"/>
        <v>0</v>
      </c>
      <c r="O8" s="5"/>
      <c r="P8" s="5"/>
      <c r="Q8" s="5"/>
      <c r="R8" s="12"/>
      <c r="S8" s="13"/>
      <c r="T8" s="13"/>
      <c r="U8" s="170">
        <f t="shared" si="8"/>
        <v>0</v>
      </c>
      <c r="V8" s="171">
        <f t="shared" si="9"/>
        <v>0</v>
      </c>
      <c r="W8" s="171">
        <v>0</v>
      </c>
      <c r="X8" s="171">
        <f t="shared" si="10"/>
        <v>0</v>
      </c>
      <c r="Y8" s="173"/>
      <c r="Z8" s="174">
        <f t="shared" si="11"/>
        <v>0</v>
      </c>
      <c r="AA8" s="172"/>
      <c r="AB8" s="14" t="e">
        <f t="shared" si="12"/>
        <v>#DIV/0!</v>
      </c>
      <c r="AC8" s="11" t="e">
        <f t="shared" ref="AC8:AC10" si="15">X8/(R8-R7)</f>
        <v>#DIV/0!</v>
      </c>
      <c r="AD8" s="11" t="e">
        <f t="shared" ref="AD8:AD10" si="16">(X8*0.6-Y8-Z8)/(R8-R7)</f>
        <v>#DIV/0!</v>
      </c>
    </row>
    <row r="9" spans="2:30" x14ac:dyDescent="0.3">
      <c r="B9" s="32"/>
      <c r="C9" s="13"/>
      <c r="D9" s="13"/>
      <c r="E9" s="170">
        <f t="shared" si="2"/>
        <v>0</v>
      </c>
      <c r="F9" s="171">
        <f t="shared" si="3"/>
        <v>0</v>
      </c>
      <c r="G9" s="171">
        <v>0</v>
      </c>
      <c r="H9" s="171">
        <f t="shared" si="4"/>
        <v>0</v>
      </c>
      <c r="I9" s="173"/>
      <c r="J9" s="174">
        <f t="shared" si="5"/>
        <v>0</v>
      </c>
      <c r="K9" s="172"/>
      <c r="L9" s="37" t="e">
        <f t="shared" si="1"/>
        <v>#DIV/0!</v>
      </c>
      <c r="M9" s="35" t="e">
        <f t="shared" si="6"/>
        <v>#DIV/0!</v>
      </c>
      <c r="N9" s="35" t="e">
        <f t="shared" si="7"/>
        <v>#DIV/0!</v>
      </c>
      <c r="O9" s="5"/>
      <c r="P9" s="5"/>
      <c r="Q9" s="5"/>
      <c r="R9" s="12"/>
      <c r="S9" s="13"/>
      <c r="T9" s="13"/>
      <c r="U9" s="170">
        <f t="shared" si="8"/>
        <v>0</v>
      </c>
      <c r="V9" s="171">
        <f t="shared" si="9"/>
        <v>0</v>
      </c>
      <c r="W9" s="171">
        <v>0</v>
      </c>
      <c r="X9" s="171">
        <f t="shared" si="10"/>
        <v>0</v>
      </c>
      <c r="Y9" s="173"/>
      <c r="Z9" s="174">
        <f t="shared" si="11"/>
        <v>0</v>
      </c>
      <c r="AA9" s="172"/>
      <c r="AB9" s="14" t="e">
        <f t="shared" si="12"/>
        <v>#DIV/0!</v>
      </c>
      <c r="AC9" s="11" t="e">
        <f t="shared" si="15"/>
        <v>#DIV/0!</v>
      </c>
      <c r="AD9" s="11" t="e">
        <f t="shared" si="16"/>
        <v>#DIV/0!</v>
      </c>
    </row>
    <row r="10" spans="2:30" x14ac:dyDescent="0.3">
      <c r="B10" s="45"/>
      <c r="C10" s="46"/>
      <c r="D10" s="46"/>
      <c r="E10" s="47"/>
      <c r="F10" s="48"/>
      <c r="G10" s="48"/>
      <c r="H10" s="48">
        <f t="shared" si="4"/>
        <v>0</v>
      </c>
      <c r="I10" s="193"/>
      <c r="J10" s="59">
        <f t="shared" si="5"/>
        <v>0</v>
      </c>
      <c r="K10" s="51"/>
      <c r="L10" s="37" t="e">
        <f t="shared" si="1"/>
        <v>#DIV/0!</v>
      </c>
      <c r="M10" s="35" t="e">
        <f t="shared" si="6"/>
        <v>#DIV/0!</v>
      </c>
      <c r="N10" s="35" t="e">
        <f t="shared" si="7"/>
        <v>#DIV/0!</v>
      </c>
      <c r="O10" s="5"/>
      <c r="P10" s="5"/>
      <c r="Q10" s="5"/>
      <c r="R10" s="12"/>
      <c r="S10" s="13"/>
      <c r="T10" s="13"/>
      <c r="U10" s="170">
        <f t="shared" si="8"/>
        <v>0</v>
      </c>
      <c r="V10" s="171">
        <f t="shared" si="9"/>
        <v>0</v>
      </c>
      <c r="W10" s="171">
        <v>0</v>
      </c>
      <c r="X10" s="171">
        <f t="shared" si="10"/>
        <v>0</v>
      </c>
      <c r="Y10" s="173"/>
      <c r="Z10" s="174">
        <f t="shared" si="11"/>
        <v>0</v>
      </c>
      <c r="AA10" s="172"/>
      <c r="AB10" s="14" t="e">
        <f t="shared" si="12"/>
        <v>#DIV/0!</v>
      </c>
      <c r="AC10" s="11" t="e">
        <f t="shared" si="15"/>
        <v>#DIV/0!</v>
      </c>
      <c r="AD10" s="11" t="e">
        <f t="shared" si="16"/>
        <v>#DIV/0!</v>
      </c>
    </row>
    <row r="11" spans="2:30" x14ac:dyDescent="0.3">
      <c r="B11" s="52"/>
      <c r="C11" s="53"/>
      <c r="D11" s="53"/>
      <c r="E11" s="53">
        <f t="shared" ref="E11:J11" si="17">SUM(E5:E10)</f>
        <v>689</v>
      </c>
      <c r="F11" s="54">
        <f t="shared" si="17"/>
        <v>689000</v>
      </c>
      <c r="G11" s="54">
        <f t="shared" si="17"/>
        <v>0</v>
      </c>
      <c r="H11" s="54">
        <f t="shared" si="17"/>
        <v>689000</v>
      </c>
      <c r="I11" s="55">
        <f t="shared" si="17"/>
        <v>0</v>
      </c>
      <c r="J11" s="55">
        <f t="shared" si="17"/>
        <v>137800</v>
      </c>
      <c r="K11" s="56">
        <f>+H11*0.6-I11-J11-G11</f>
        <v>275600</v>
      </c>
      <c r="L11" s="42">
        <f t="shared" si="1"/>
        <v>0.2</v>
      </c>
      <c r="M11" s="31">
        <f>L11+L12</f>
        <v>0.60000000000000009</v>
      </c>
      <c r="N11" s="5"/>
      <c r="O11" s="5"/>
      <c r="P11" s="5"/>
      <c r="Q11" s="5"/>
      <c r="R11" s="15"/>
      <c r="S11" s="16"/>
      <c r="T11" s="16"/>
      <c r="U11" s="16">
        <f t="shared" ref="U11:Z11" si="18">SUM(U5:U10)</f>
        <v>340</v>
      </c>
      <c r="V11" s="17">
        <f t="shared" si="18"/>
        <v>340000</v>
      </c>
      <c r="W11" s="17">
        <f t="shared" si="18"/>
        <v>0</v>
      </c>
      <c r="X11" s="17">
        <f t="shared" si="18"/>
        <v>340000</v>
      </c>
      <c r="Y11" s="18">
        <f t="shared" si="18"/>
        <v>0</v>
      </c>
      <c r="Z11" s="18">
        <f t="shared" si="18"/>
        <v>80444</v>
      </c>
      <c r="AA11" s="176">
        <f>+X11*0.6-Y11-Z11-W11</f>
        <v>123556</v>
      </c>
      <c r="AB11" s="19">
        <f t="shared" si="12"/>
        <v>0.2366</v>
      </c>
      <c r="AC11" s="4"/>
      <c r="AD11" s="4"/>
    </row>
    <row r="12" spans="2:30" x14ac:dyDescent="0.3">
      <c r="B12" s="27"/>
      <c r="C12" s="5"/>
      <c r="D12" s="5"/>
      <c r="E12" s="5"/>
      <c r="F12" s="5"/>
      <c r="G12" s="23"/>
      <c r="H12" s="23"/>
      <c r="I12" s="23"/>
      <c r="J12" s="4"/>
      <c r="K12" s="64">
        <f>H11*0.3</f>
        <v>206700</v>
      </c>
      <c r="L12" s="43">
        <f>+K11/H11</f>
        <v>0.4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  <c r="AA12" s="4">
        <f>X11*0.3</f>
        <v>102000</v>
      </c>
      <c r="AB12" s="19">
        <f>+AA11/X11</f>
        <v>0.3634</v>
      </c>
      <c r="AC12" s="4"/>
      <c r="AD12" s="4"/>
    </row>
  </sheetData>
  <phoneticPr fontId="35"/>
  <pageMargins left="0.69930555555555596" right="0.69930555555555596" top="0.75" bottom="0.75" header="0" footer="0"/>
  <pageSetup paperSize="9" scale="5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76D5-5A07-4C39-A106-90FA4E97AB14}">
  <dimension ref="A1"/>
  <sheetViews>
    <sheetView zoomScaleNormal="100" zoomScaleSheetLayoutView="100" workbookViewId="0"/>
  </sheetViews>
  <sheetFormatPr defaultRowHeight="15" x14ac:dyDescent="0.2"/>
  <sheetData/>
  <phoneticPr fontId="3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9810-FFFB-4F3C-9103-D8402E177947}">
  <dimension ref="A1"/>
  <sheetViews>
    <sheetView zoomScaleNormal="100" zoomScaleSheetLayoutView="100" workbookViewId="0"/>
  </sheetViews>
  <sheetFormatPr defaultRowHeight="15" x14ac:dyDescent="0.2"/>
  <sheetData/>
  <phoneticPr fontId="35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8">
    <pageSetUpPr fitToPage="1"/>
  </sheetPr>
  <dimension ref="B1:AD111"/>
  <sheetViews>
    <sheetView workbookViewId="0">
      <pane ySplit="2" topLeftCell="A3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6.05078125" customWidth="1"/>
    <col min="3" max="4" width="7.3984375" customWidth="1"/>
    <col min="5" max="5" width="5.51171875" customWidth="1"/>
    <col min="6" max="6" width="10.22265625" customWidth="1"/>
    <col min="7" max="7" width="7.6640625" customWidth="1"/>
    <col min="8" max="8" width="10.22265625" customWidth="1"/>
    <col min="9" max="9" width="11.43359375" customWidth="1"/>
    <col min="10" max="10" width="10.22265625" customWidth="1"/>
    <col min="11" max="11" width="21.1171875" customWidth="1"/>
    <col min="12" max="12" width="10.22265625" customWidth="1"/>
    <col min="13" max="13" width="9.28125" customWidth="1"/>
    <col min="14" max="14" width="11.1640625" customWidth="1"/>
    <col min="15" max="17" width="5.109375" customWidth="1"/>
    <col min="18" max="21" width="8.875" customWidth="1"/>
    <col min="22" max="25" width="9.01171875" customWidth="1"/>
    <col min="27" max="27" width="8.203125" customWidth="1"/>
    <col min="28" max="28" width="8.47265625" customWidth="1"/>
    <col min="29" max="29" width="6.45703125" customWidth="1"/>
    <col min="30" max="30" width="9.68359375" customWidth="1"/>
  </cols>
  <sheetData>
    <row r="1" spans="2:30" ht="12" customHeight="1" x14ac:dyDescent="0.3">
      <c r="B1" s="850" t="s">
        <v>211</v>
      </c>
      <c r="C1" s="846"/>
      <c r="D1" s="846"/>
      <c r="E1" s="846"/>
      <c r="F1" s="21" t="s">
        <v>187</v>
      </c>
      <c r="G1" s="5" t="s">
        <v>163</v>
      </c>
      <c r="H1" s="22" t="s">
        <v>164</v>
      </c>
      <c r="I1" s="22" t="s">
        <v>165</v>
      </c>
      <c r="J1" s="667" t="s">
        <v>166</v>
      </c>
      <c r="K1" s="64" t="s">
        <v>179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  <c r="AA1" s="4"/>
      <c r="AB1" s="4"/>
      <c r="AC1" s="4"/>
      <c r="AD1" s="4"/>
    </row>
    <row r="2" spans="2:30" ht="12" customHeight="1" x14ac:dyDescent="0.3">
      <c r="B2" s="851" t="s">
        <v>148</v>
      </c>
      <c r="C2" s="846"/>
      <c r="E2" s="24"/>
      <c r="F2" s="25">
        <f t="shared" ref="F2:J2" si="0">F10</f>
        <v>301000</v>
      </c>
      <c r="G2" s="25">
        <f t="shared" si="0"/>
        <v>0</v>
      </c>
      <c r="H2" s="25">
        <f t="shared" si="0"/>
        <v>301000</v>
      </c>
      <c r="I2" s="25">
        <f t="shared" si="0"/>
        <v>8776</v>
      </c>
      <c r="J2" s="25">
        <f t="shared" si="0"/>
        <v>60200</v>
      </c>
      <c r="K2" s="65">
        <f>(I2+J2)/H2</f>
        <v>0.229156146179402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  <c r="AD2" s="4"/>
    </row>
    <row r="3" spans="2:30" ht="12" customHeight="1" x14ac:dyDescent="0.3">
      <c r="B3" s="27"/>
      <c r="C3" s="5"/>
      <c r="D3" s="5"/>
      <c r="E3" s="5"/>
      <c r="F3" s="5"/>
      <c r="G3" s="23"/>
      <c r="H3" s="23"/>
      <c r="I3" s="3" t="s">
        <v>182</v>
      </c>
      <c r="J3" s="6">
        <v>200</v>
      </c>
      <c r="K3" s="66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  <c r="AA3" s="4"/>
      <c r="AB3" s="4"/>
      <c r="AC3" s="4"/>
      <c r="AD3" s="4"/>
    </row>
    <row r="4" spans="2:30" ht="12" customHeight="1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8" t="s">
        <v>145</v>
      </c>
      <c r="G4" s="8" t="s">
        <v>163</v>
      </c>
      <c r="H4" s="8" t="s">
        <v>164</v>
      </c>
      <c r="I4" s="168" t="s">
        <v>165</v>
      </c>
      <c r="J4" s="9" t="s">
        <v>166</v>
      </c>
      <c r="K4" s="67" t="s">
        <v>146</v>
      </c>
      <c r="L4" s="29" t="s">
        <v>179</v>
      </c>
      <c r="M4" s="5" t="s">
        <v>191</v>
      </c>
      <c r="N4" s="5" t="s">
        <v>194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  <c r="AA4" s="4"/>
      <c r="AB4" s="4"/>
      <c r="AC4" s="4"/>
      <c r="AD4" s="4"/>
    </row>
    <row r="5" spans="2:30" ht="12" customHeight="1" x14ac:dyDescent="0.3">
      <c r="B5" s="178">
        <v>44790</v>
      </c>
      <c r="C5" s="170">
        <v>2051</v>
      </c>
      <c r="D5" s="170">
        <v>2051</v>
      </c>
      <c r="E5" s="170">
        <f t="shared" ref="E5:E9" si="1">+C5-D5</f>
        <v>0</v>
      </c>
      <c r="F5" s="171">
        <f t="shared" ref="F5:F9" si="2">+E5*1000</f>
        <v>0</v>
      </c>
      <c r="G5" s="171"/>
      <c r="H5" s="171">
        <f t="shared" ref="H5:H9" si="3">+F5-G5</f>
        <v>0</v>
      </c>
      <c r="I5" s="10"/>
      <c r="J5" s="30"/>
      <c r="K5" s="194" t="s">
        <v>183</v>
      </c>
      <c r="L5" s="3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  <c r="AA5" s="4"/>
      <c r="AB5" s="4"/>
      <c r="AC5" s="4"/>
      <c r="AD5" s="4"/>
    </row>
    <row r="6" spans="2:30" ht="12" customHeight="1" x14ac:dyDescent="0.3">
      <c r="B6" s="32">
        <v>44797</v>
      </c>
      <c r="C6" s="13">
        <v>2124</v>
      </c>
      <c r="D6" s="13">
        <v>2051</v>
      </c>
      <c r="E6" s="170">
        <f t="shared" si="1"/>
        <v>73</v>
      </c>
      <c r="F6" s="171">
        <f t="shared" si="2"/>
        <v>73000</v>
      </c>
      <c r="G6" s="171">
        <v>0</v>
      </c>
      <c r="H6" s="171">
        <f t="shared" si="3"/>
        <v>73000</v>
      </c>
      <c r="I6" s="33">
        <v>944</v>
      </c>
      <c r="J6" s="34">
        <f t="shared" ref="J6:J9" si="4">+E6*$J$3</f>
        <v>14600</v>
      </c>
      <c r="K6" s="172"/>
      <c r="L6" s="31">
        <f t="shared" ref="L6:L10" si="5">+(I6+J6)/H6</f>
        <v>0.21293150684931506</v>
      </c>
      <c r="M6" s="35">
        <f t="shared" ref="M6:M9" si="6">H6/(B6-B5)</f>
        <v>10428.571428571429</v>
      </c>
      <c r="N6" s="35">
        <f t="shared" ref="N6:N9" si="7">(H6*0.6-I6-J6)/(B6-B5)</f>
        <v>4036.5714285714284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  <c r="AA6" s="4"/>
      <c r="AB6" s="4"/>
      <c r="AC6" s="4"/>
      <c r="AD6" s="4"/>
    </row>
    <row r="7" spans="2:30" ht="12" customHeight="1" x14ac:dyDescent="0.3">
      <c r="B7" s="32">
        <v>44805</v>
      </c>
      <c r="C7" s="13">
        <v>2188</v>
      </c>
      <c r="D7" s="13">
        <v>2124</v>
      </c>
      <c r="E7" s="170">
        <f t="shared" si="1"/>
        <v>64</v>
      </c>
      <c r="F7" s="171">
        <f t="shared" si="2"/>
        <v>64000</v>
      </c>
      <c r="G7" s="171">
        <v>0</v>
      </c>
      <c r="H7" s="171">
        <f t="shared" si="3"/>
        <v>64000</v>
      </c>
      <c r="I7" s="33">
        <v>944</v>
      </c>
      <c r="J7" s="36">
        <f t="shared" si="4"/>
        <v>12800</v>
      </c>
      <c r="K7" s="172"/>
      <c r="L7" s="31">
        <f t="shared" si="5"/>
        <v>0.21475</v>
      </c>
      <c r="M7" s="35">
        <f t="shared" si="6"/>
        <v>8000</v>
      </c>
      <c r="N7" s="35">
        <f t="shared" si="7"/>
        <v>3082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  <c r="AA7" s="4"/>
      <c r="AB7" s="4"/>
      <c r="AC7" s="4"/>
      <c r="AD7" s="4"/>
    </row>
    <row r="8" spans="2:30" ht="12" customHeight="1" x14ac:dyDescent="0.3">
      <c r="B8" s="32">
        <v>44813</v>
      </c>
      <c r="C8" s="13">
        <v>2300</v>
      </c>
      <c r="D8" s="13">
        <v>2188</v>
      </c>
      <c r="E8" s="170">
        <f t="shared" si="1"/>
        <v>112</v>
      </c>
      <c r="F8" s="171">
        <f t="shared" si="2"/>
        <v>112000</v>
      </c>
      <c r="G8" s="171">
        <v>0</v>
      </c>
      <c r="H8" s="171">
        <f t="shared" si="3"/>
        <v>112000</v>
      </c>
      <c r="I8" s="33">
        <v>5000</v>
      </c>
      <c r="J8" s="36">
        <f t="shared" si="4"/>
        <v>22400</v>
      </c>
      <c r="K8" s="172"/>
      <c r="L8" s="31">
        <f t="shared" si="5"/>
        <v>0.24464285714285713</v>
      </c>
      <c r="M8" s="35">
        <f t="shared" si="6"/>
        <v>14000</v>
      </c>
      <c r="N8" s="35">
        <f t="shared" si="7"/>
        <v>4975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  <c r="AA8" s="4"/>
      <c r="AB8" s="4"/>
      <c r="AC8" s="4"/>
      <c r="AD8" s="4"/>
    </row>
    <row r="9" spans="2:30" ht="12" customHeight="1" x14ac:dyDescent="0.3">
      <c r="B9" s="45">
        <v>44818</v>
      </c>
      <c r="C9" s="46">
        <v>2352</v>
      </c>
      <c r="D9" s="46">
        <v>2300</v>
      </c>
      <c r="E9" s="47">
        <f t="shared" si="1"/>
        <v>52</v>
      </c>
      <c r="F9" s="48">
        <f t="shared" si="2"/>
        <v>52000</v>
      </c>
      <c r="G9" s="48">
        <v>0</v>
      </c>
      <c r="H9" s="48">
        <f t="shared" si="3"/>
        <v>52000</v>
      </c>
      <c r="I9" s="193">
        <f>944*2</f>
        <v>1888</v>
      </c>
      <c r="J9" s="59">
        <f t="shared" si="4"/>
        <v>10400</v>
      </c>
      <c r="K9" s="51"/>
      <c r="L9" s="37">
        <f t="shared" si="5"/>
        <v>0.2363076923076923</v>
      </c>
      <c r="M9" s="35">
        <f t="shared" si="6"/>
        <v>10400</v>
      </c>
      <c r="N9" s="35">
        <f t="shared" si="7"/>
        <v>3782.4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  <c r="AA9" s="4"/>
      <c r="AB9" s="4"/>
      <c r="AC9" s="4"/>
      <c r="AD9" s="4"/>
    </row>
    <row r="10" spans="2:30" ht="12" customHeight="1" x14ac:dyDescent="0.3">
      <c r="B10" s="52"/>
      <c r="C10" s="53"/>
      <c r="D10" s="53"/>
      <c r="E10" s="53">
        <f t="shared" ref="E10:J10" si="8">SUM(E5:E9)</f>
        <v>301</v>
      </c>
      <c r="F10" s="54">
        <f t="shared" si="8"/>
        <v>301000</v>
      </c>
      <c r="G10" s="54">
        <f t="shared" si="8"/>
        <v>0</v>
      </c>
      <c r="H10" s="54">
        <f t="shared" si="8"/>
        <v>301000</v>
      </c>
      <c r="I10" s="55">
        <f t="shared" si="8"/>
        <v>8776</v>
      </c>
      <c r="J10" s="55">
        <f t="shared" si="8"/>
        <v>60200</v>
      </c>
      <c r="K10" s="56">
        <f>+H10*0.6-I10-J10-G10</f>
        <v>111624</v>
      </c>
      <c r="L10" s="42">
        <f t="shared" si="5"/>
        <v>0.229156146179402</v>
      </c>
      <c r="M10" s="31">
        <f>L10+L11</f>
        <v>0.6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  <c r="AA10" s="4"/>
      <c r="AB10" s="4"/>
      <c r="AC10" s="4"/>
      <c r="AD10" s="4"/>
    </row>
    <row r="11" spans="2:30" ht="12" customHeight="1" x14ac:dyDescent="0.3">
      <c r="B11" s="27"/>
      <c r="C11" s="5"/>
      <c r="D11" s="5"/>
      <c r="E11" s="5"/>
      <c r="F11" s="5"/>
      <c r="G11" s="23"/>
      <c r="H11" s="23"/>
      <c r="I11" s="23"/>
      <c r="J11" s="4"/>
      <c r="K11" s="64">
        <f>H10*0.3</f>
        <v>90300</v>
      </c>
      <c r="L11" s="43">
        <f>+K10/H10</f>
        <v>0.37084385382059798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  <c r="AA11" s="4"/>
      <c r="AB11" s="4"/>
      <c r="AC11" s="4"/>
      <c r="AD11" s="4"/>
    </row>
    <row r="12" spans="2:30" ht="12" customHeight="1" x14ac:dyDescent="0.3">
      <c r="B12" s="27"/>
      <c r="C12" s="5"/>
      <c r="D12" s="5"/>
      <c r="E12" s="5"/>
      <c r="F12" s="5"/>
      <c r="G12" s="23"/>
      <c r="H12" s="23"/>
      <c r="I12" s="3" t="s">
        <v>182</v>
      </c>
      <c r="J12" s="6">
        <v>200</v>
      </c>
      <c r="K12" s="66"/>
      <c r="L12" s="5"/>
      <c r="M12" s="5"/>
      <c r="N12" s="5"/>
      <c r="O12" s="5"/>
      <c r="P12" s="5"/>
      <c r="Q12" s="5"/>
      <c r="R12" s="192" t="s">
        <v>193</v>
      </c>
      <c r="S12" s="2"/>
      <c r="T12" s="2"/>
      <c r="U12" s="2"/>
      <c r="V12" s="3"/>
      <c r="W12" s="3"/>
      <c r="X12" s="3"/>
      <c r="Y12" s="3"/>
      <c r="Z12" s="3" t="s">
        <v>182</v>
      </c>
      <c r="AA12" s="3"/>
      <c r="AB12" s="4"/>
      <c r="AC12" s="4"/>
      <c r="AD12" s="4"/>
    </row>
    <row r="13" spans="2:30" ht="12" customHeight="1" x14ac:dyDescent="0.3">
      <c r="B13" s="28" t="s">
        <v>142</v>
      </c>
      <c r="C13" s="8" t="s">
        <v>188</v>
      </c>
      <c r="D13" s="8" t="s">
        <v>189</v>
      </c>
      <c r="E13" s="8" t="s">
        <v>190</v>
      </c>
      <c r="F13" s="8" t="s">
        <v>145</v>
      </c>
      <c r="G13" s="8" t="s">
        <v>163</v>
      </c>
      <c r="H13" s="8" t="s">
        <v>164</v>
      </c>
      <c r="I13" s="168" t="s">
        <v>165</v>
      </c>
      <c r="J13" s="9" t="s">
        <v>166</v>
      </c>
      <c r="K13" s="67" t="s">
        <v>146</v>
      </c>
      <c r="L13" s="29" t="s">
        <v>179</v>
      </c>
      <c r="M13" s="5" t="s">
        <v>191</v>
      </c>
      <c r="N13" s="5" t="s">
        <v>194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>
        <v>473.2</v>
      </c>
      <c r="AA13" s="5"/>
      <c r="AB13" s="4"/>
      <c r="AC13" s="4"/>
      <c r="AD13" s="4"/>
    </row>
    <row r="14" spans="2:30" ht="12" customHeight="1" x14ac:dyDescent="0.3">
      <c r="B14" s="178">
        <v>44825</v>
      </c>
      <c r="C14" s="170">
        <v>2411</v>
      </c>
      <c r="D14" s="170">
        <v>2352</v>
      </c>
      <c r="E14" s="170">
        <f t="shared" ref="E14:E18" si="9">+C14-D14</f>
        <v>59</v>
      </c>
      <c r="F14" s="171">
        <f t="shared" ref="F14:F18" si="10">+E14*1000</f>
        <v>59000</v>
      </c>
      <c r="G14" s="171"/>
      <c r="H14" s="171">
        <f t="shared" ref="H14:H19" si="11">+F14-G14</f>
        <v>59000</v>
      </c>
      <c r="I14" s="10"/>
      <c r="J14" s="34">
        <f t="shared" ref="J14:J19" si="12">+E14*$J$3</f>
        <v>11800</v>
      </c>
      <c r="K14" s="194"/>
      <c r="L14" s="31">
        <f t="shared" ref="L14:L20" si="13">+(I14+J14)/H14</f>
        <v>0.2</v>
      </c>
      <c r="M14" s="35">
        <f>H14/(B14-B9)</f>
        <v>8428.5714285714294</v>
      </c>
      <c r="N14" s="35">
        <f>(H14*0.6-I14-J14)/(B14-B9)</f>
        <v>3371.4285714285716</v>
      </c>
      <c r="O14" s="5"/>
      <c r="P14" s="5"/>
      <c r="Q14" s="5"/>
      <c r="R14" s="7" t="s">
        <v>142</v>
      </c>
      <c r="S14" s="8" t="s">
        <v>143</v>
      </c>
      <c r="T14" s="8" t="s">
        <v>162</v>
      </c>
      <c r="U14" s="8" t="s">
        <v>144</v>
      </c>
      <c r="V14" s="8" t="s">
        <v>145</v>
      </c>
      <c r="W14" s="8" t="s">
        <v>163</v>
      </c>
      <c r="X14" s="8" t="s">
        <v>164</v>
      </c>
      <c r="Y14" s="168" t="s">
        <v>165</v>
      </c>
      <c r="Z14" s="9" t="s">
        <v>166</v>
      </c>
      <c r="AA14" s="9" t="s">
        <v>146</v>
      </c>
      <c r="AB14" s="4" t="s">
        <v>179</v>
      </c>
      <c r="AC14" s="4" t="s">
        <v>191</v>
      </c>
      <c r="AD14" s="4" t="s">
        <v>194</v>
      </c>
    </row>
    <row r="15" spans="2:30" ht="12" customHeight="1" x14ac:dyDescent="0.3">
      <c r="B15" s="32">
        <v>44831</v>
      </c>
      <c r="C15" s="13">
        <v>2485</v>
      </c>
      <c r="D15" s="13">
        <v>2411</v>
      </c>
      <c r="E15" s="170">
        <f t="shared" si="9"/>
        <v>74</v>
      </c>
      <c r="F15" s="171">
        <f t="shared" si="10"/>
        <v>74000</v>
      </c>
      <c r="G15" s="171">
        <v>0</v>
      </c>
      <c r="H15" s="171">
        <f t="shared" si="11"/>
        <v>74000</v>
      </c>
      <c r="I15" s="33">
        <f t="shared" ref="I15:I16" si="14">944*2</f>
        <v>1888</v>
      </c>
      <c r="J15" s="34">
        <f t="shared" si="12"/>
        <v>14800</v>
      </c>
      <c r="K15" s="172"/>
      <c r="L15" s="31">
        <f t="shared" si="13"/>
        <v>0.22551351351351351</v>
      </c>
      <c r="M15" s="35">
        <f t="shared" ref="M15:M19" si="15">H15/(B15-B14)</f>
        <v>12333.333333333334</v>
      </c>
      <c r="N15" s="35">
        <f t="shared" ref="N15:N19" si="16">(H15*0.6-I15-J15)/(B15-B14)</f>
        <v>4618.666666666667</v>
      </c>
      <c r="O15" s="5"/>
      <c r="P15" s="5"/>
      <c r="Q15" s="5"/>
      <c r="R15" s="169">
        <v>44831</v>
      </c>
      <c r="S15" s="170">
        <v>5014</v>
      </c>
      <c r="T15" s="170">
        <v>5014</v>
      </c>
      <c r="U15" s="170">
        <f t="shared" ref="U15:U19" si="17">+S15-T15</f>
        <v>0</v>
      </c>
      <c r="V15" s="171">
        <f t="shared" ref="V15:V19" si="18">+U15*1000</f>
        <v>0</v>
      </c>
      <c r="W15" s="171">
        <v>0</v>
      </c>
      <c r="X15" s="171">
        <f t="shared" ref="X15:X19" si="19">+V15-W15</f>
        <v>0</v>
      </c>
      <c r="Y15" s="10"/>
      <c r="Z15" s="174">
        <f t="shared" ref="Z15:Z19" si="20">+U15*$Z$13/2</f>
        <v>0</v>
      </c>
      <c r="AA15" s="172"/>
      <c r="AB15" s="4"/>
      <c r="AC15" s="11"/>
      <c r="AD15" s="11"/>
    </row>
    <row r="16" spans="2:30" ht="12" customHeight="1" x14ac:dyDescent="0.3">
      <c r="B16" s="32">
        <v>44837</v>
      </c>
      <c r="C16" s="13">
        <v>2541</v>
      </c>
      <c r="D16" s="13">
        <v>2485</v>
      </c>
      <c r="E16" s="170">
        <f t="shared" si="9"/>
        <v>56</v>
      </c>
      <c r="F16" s="171">
        <f t="shared" si="10"/>
        <v>56000</v>
      </c>
      <c r="G16" s="171">
        <v>0</v>
      </c>
      <c r="H16" s="171">
        <f t="shared" si="11"/>
        <v>56000</v>
      </c>
      <c r="I16" s="33">
        <f t="shared" si="14"/>
        <v>1888</v>
      </c>
      <c r="J16" s="36">
        <f t="shared" si="12"/>
        <v>11200</v>
      </c>
      <c r="K16" s="172"/>
      <c r="L16" s="31">
        <f t="shared" si="13"/>
        <v>0.23371428571428571</v>
      </c>
      <c r="M16" s="35">
        <f t="shared" si="15"/>
        <v>9333.3333333333339</v>
      </c>
      <c r="N16" s="35">
        <f t="shared" si="16"/>
        <v>3418.6666666666665</v>
      </c>
      <c r="O16" s="5"/>
      <c r="P16" s="5"/>
      <c r="Q16" s="5"/>
      <c r="R16" s="12">
        <v>44837</v>
      </c>
      <c r="S16" s="13">
        <v>5166</v>
      </c>
      <c r="T16" s="13">
        <v>5014</v>
      </c>
      <c r="U16" s="170">
        <f t="shared" si="17"/>
        <v>152</v>
      </c>
      <c r="V16" s="171">
        <f t="shared" si="18"/>
        <v>152000</v>
      </c>
      <c r="W16" s="171">
        <v>0</v>
      </c>
      <c r="X16" s="171">
        <f t="shared" si="19"/>
        <v>152000</v>
      </c>
      <c r="Y16" s="173">
        <f>2000*4+944*3</f>
        <v>10832</v>
      </c>
      <c r="Z16" s="174">
        <f t="shared" si="20"/>
        <v>35963.199999999997</v>
      </c>
      <c r="AA16" s="172"/>
      <c r="AB16" s="14">
        <f t="shared" ref="AB16:AB20" si="21">+(Y16+Z16)/X16</f>
        <v>0.30786315789473684</v>
      </c>
      <c r="AC16" s="11">
        <f t="shared" ref="AC16:AC19" si="22">X16/(R16-R15)</f>
        <v>25333.333333333332</v>
      </c>
      <c r="AD16" s="11">
        <f t="shared" ref="AD16:AD19" si="23">(X16*0.6-Y16-Z16)/(R16-R15)</f>
        <v>7400.8</v>
      </c>
    </row>
    <row r="17" spans="2:30" ht="12" customHeight="1" x14ac:dyDescent="0.3">
      <c r="B17" s="32">
        <v>44846</v>
      </c>
      <c r="C17" s="13">
        <v>2584</v>
      </c>
      <c r="D17" s="13">
        <v>2541</v>
      </c>
      <c r="E17" s="170">
        <f t="shared" si="9"/>
        <v>43</v>
      </c>
      <c r="F17" s="171">
        <f t="shared" si="10"/>
        <v>43000</v>
      </c>
      <c r="G17" s="171">
        <v>0</v>
      </c>
      <c r="H17" s="171">
        <f t="shared" si="11"/>
        <v>43000</v>
      </c>
      <c r="I17" s="33">
        <f>22000+944</f>
        <v>22944</v>
      </c>
      <c r="J17" s="36">
        <f t="shared" si="12"/>
        <v>8600</v>
      </c>
      <c r="K17" s="172"/>
      <c r="L17" s="31">
        <f t="shared" si="13"/>
        <v>0.73358139534883726</v>
      </c>
      <c r="M17" s="35">
        <f t="shared" si="15"/>
        <v>4777.7777777777774</v>
      </c>
      <c r="N17" s="35">
        <f t="shared" si="16"/>
        <v>-638.22222222222217</v>
      </c>
      <c r="O17" s="5"/>
      <c r="P17" s="5"/>
      <c r="Q17" s="5"/>
      <c r="R17" s="12">
        <v>44840</v>
      </c>
      <c r="S17" s="13">
        <v>5234</v>
      </c>
      <c r="T17" s="13">
        <v>5166</v>
      </c>
      <c r="U17" s="170">
        <f t="shared" si="17"/>
        <v>68</v>
      </c>
      <c r="V17" s="171">
        <f t="shared" si="18"/>
        <v>68000</v>
      </c>
      <c r="W17" s="171">
        <v>0</v>
      </c>
      <c r="X17" s="171">
        <f t="shared" si="19"/>
        <v>68000</v>
      </c>
      <c r="Y17" s="173">
        <v>944</v>
      </c>
      <c r="Z17" s="174">
        <f t="shared" si="20"/>
        <v>16088.8</v>
      </c>
      <c r="AA17" s="172"/>
      <c r="AB17" s="14">
        <f t="shared" si="21"/>
        <v>0.25048235294117643</v>
      </c>
      <c r="AC17" s="11">
        <f t="shared" si="22"/>
        <v>22666.666666666668</v>
      </c>
      <c r="AD17" s="11">
        <f t="shared" si="23"/>
        <v>7922.4000000000005</v>
      </c>
    </row>
    <row r="18" spans="2:30" ht="12" customHeight="1" x14ac:dyDescent="0.3">
      <c r="B18" s="32">
        <v>44852</v>
      </c>
      <c r="C18" s="13">
        <v>2612</v>
      </c>
      <c r="D18" s="13">
        <v>2584</v>
      </c>
      <c r="E18" s="170">
        <f t="shared" si="9"/>
        <v>28</v>
      </c>
      <c r="F18" s="171">
        <f t="shared" si="10"/>
        <v>28000</v>
      </c>
      <c r="G18" s="171">
        <v>0</v>
      </c>
      <c r="H18" s="171">
        <f t="shared" si="11"/>
        <v>28000</v>
      </c>
      <c r="I18" s="173">
        <f>944*2</f>
        <v>1888</v>
      </c>
      <c r="J18" s="174">
        <f t="shared" si="12"/>
        <v>5600</v>
      </c>
      <c r="K18" s="172"/>
      <c r="L18" s="37">
        <f t="shared" si="13"/>
        <v>0.2674285714285714</v>
      </c>
      <c r="M18" s="35">
        <f t="shared" si="15"/>
        <v>4666.666666666667</v>
      </c>
      <c r="N18" s="35">
        <f t="shared" si="16"/>
        <v>1552</v>
      </c>
      <c r="O18" s="5"/>
      <c r="P18" s="5"/>
      <c r="Q18" s="5"/>
      <c r="R18" s="12">
        <v>44845</v>
      </c>
      <c r="S18" s="13">
        <v>5346</v>
      </c>
      <c r="T18" s="13">
        <v>5234</v>
      </c>
      <c r="U18" s="170">
        <f t="shared" si="17"/>
        <v>112</v>
      </c>
      <c r="V18" s="171">
        <f t="shared" si="18"/>
        <v>112000</v>
      </c>
      <c r="W18" s="171">
        <v>0</v>
      </c>
      <c r="X18" s="171">
        <f t="shared" si="19"/>
        <v>112000</v>
      </c>
      <c r="Y18" s="173">
        <f>944*2+3400</f>
        <v>5288</v>
      </c>
      <c r="Z18" s="174">
        <f t="shared" si="20"/>
        <v>26499.200000000001</v>
      </c>
      <c r="AA18" s="172"/>
      <c r="AB18" s="14">
        <f t="shared" si="21"/>
        <v>0.28381428571428574</v>
      </c>
      <c r="AC18" s="11">
        <f t="shared" si="22"/>
        <v>22400</v>
      </c>
      <c r="AD18" s="11">
        <f t="shared" si="23"/>
        <v>7082.56</v>
      </c>
    </row>
    <row r="19" spans="2:30" ht="12" customHeight="1" x14ac:dyDescent="0.3">
      <c r="B19" s="45"/>
      <c r="C19" s="46"/>
      <c r="D19" s="46"/>
      <c r="E19" s="47"/>
      <c r="F19" s="48"/>
      <c r="G19" s="48"/>
      <c r="H19" s="48">
        <f t="shared" si="11"/>
        <v>0</v>
      </c>
      <c r="I19" s="193"/>
      <c r="J19" s="59">
        <f t="shared" si="12"/>
        <v>0</v>
      </c>
      <c r="K19" s="51"/>
      <c r="L19" s="37" t="e">
        <f t="shared" si="13"/>
        <v>#DIV/0!</v>
      </c>
      <c r="M19" s="35">
        <f t="shared" si="15"/>
        <v>0</v>
      </c>
      <c r="N19" s="35">
        <f t="shared" si="16"/>
        <v>0</v>
      </c>
      <c r="O19" s="5"/>
      <c r="P19" s="5"/>
      <c r="Q19" s="5"/>
      <c r="R19" s="12">
        <v>44852</v>
      </c>
      <c r="S19" s="13">
        <v>5416</v>
      </c>
      <c r="T19" s="13">
        <v>5346</v>
      </c>
      <c r="U19" s="170">
        <f t="shared" si="17"/>
        <v>70</v>
      </c>
      <c r="V19" s="171">
        <f t="shared" si="18"/>
        <v>70000</v>
      </c>
      <c r="W19" s="171">
        <v>0</v>
      </c>
      <c r="X19" s="171">
        <f t="shared" si="19"/>
        <v>70000</v>
      </c>
      <c r="Y19" s="173">
        <f>944*3+4000</f>
        <v>6832</v>
      </c>
      <c r="Z19" s="174">
        <f t="shared" si="20"/>
        <v>16562</v>
      </c>
      <c r="AA19" s="172"/>
      <c r="AB19" s="14">
        <f t="shared" si="21"/>
        <v>0.3342</v>
      </c>
      <c r="AC19" s="11">
        <f t="shared" si="22"/>
        <v>10000</v>
      </c>
      <c r="AD19" s="11">
        <f t="shared" si="23"/>
        <v>2658</v>
      </c>
    </row>
    <row r="20" spans="2:30" ht="12" customHeight="1" x14ac:dyDescent="0.3">
      <c r="B20" s="52"/>
      <c r="C20" s="53"/>
      <c r="D20" s="53"/>
      <c r="E20" s="53">
        <f t="shared" ref="E20:J20" si="24">SUM(E14:E19)</f>
        <v>260</v>
      </c>
      <c r="F20" s="54">
        <f t="shared" si="24"/>
        <v>260000</v>
      </c>
      <c r="G20" s="54">
        <f t="shared" si="24"/>
        <v>0</v>
      </c>
      <c r="H20" s="54">
        <f t="shared" si="24"/>
        <v>260000</v>
      </c>
      <c r="I20" s="55">
        <f t="shared" si="24"/>
        <v>28608</v>
      </c>
      <c r="J20" s="55">
        <f t="shared" si="24"/>
        <v>52000</v>
      </c>
      <c r="K20" s="56">
        <f>+H20*0.6-I20-J20-G20</f>
        <v>75392</v>
      </c>
      <c r="L20" s="42">
        <f t="shared" si="13"/>
        <v>0.31003076923076922</v>
      </c>
      <c r="M20" s="31">
        <f>L20+L21</f>
        <v>0.6</v>
      </c>
      <c r="N20" s="5"/>
      <c r="O20" s="5"/>
      <c r="P20" s="5"/>
      <c r="Q20" s="5"/>
      <c r="R20" s="15"/>
      <c r="S20" s="16"/>
      <c r="T20" s="16"/>
      <c r="U20" s="16">
        <f t="shared" ref="U20:Z20" si="25">SUM(U15:U19)</f>
        <v>402</v>
      </c>
      <c r="V20" s="17">
        <f t="shared" si="25"/>
        <v>402000</v>
      </c>
      <c r="W20" s="17">
        <f t="shared" si="25"/>
        <v>0</v>
      </c>
      <c r="X20" s="17">
        <f t="shared" si="25"/>
        <v>402000</v>
      </c>
      <c r="Y20" s="18">
        <f t="shared" si="25"/>
        <v>23896</v>
      </c>
      <c r="Z20" s="18">
        <f t="shared" si="25"/>
        <v>95113.2</v>
      </c>
      <c r="AA20" s="176">
        <f>+X20*0.6-Y20-Z20-W20</f>
        <v>122190.8</v>
      </c>
      <c r="AB20" s="19">
        <f t="shared" si="21"/>
        <v>0.29604278606965173</v>
      </c>
      <c r="AC20" s="4"/>
      <c r="AD20" s="4"/>
    </row>
    <row r="21" spans="2:30" ht="12" customHeight="1" x14ac:dyDescent="0.3">
      <c r="B21" s="27"/>
      <c r="C21" s="5"/>
      <c r="D21" s="5"/>
      <c r="E21" s="5"/>
      <c r="F21" s="5"/>
      <c r="G21" s="23"/>
      <c r="H21" s="23"/>
      <c r="I21" s="23"/>
      <c r="J21" s="4"/>
      <c r="K21" s="64">
        <f>H20*0.3</f>
        <v>78000</v>
      </c>
      <c r="L21" s="43">
        <f>+K20/H20</f>
        <v>0.28996923076923076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  <c r="AA21" s="4">
        <f>X20*0.3</f>
        <v>120600</v>
      </c>
      <c r="AB21" s="19">
        <f>+AA20/X20</f>
        <v>0.30395721393034825</v>
      </c>
      <c r="AC21" s="4"/>
      <c r="AD21" s="4"/>
    </row>
    <row r="22" spans="2:30" ht="12" customHeight="1" x14ac:dyDescent="0.3">
      <c r="B22" s="27"/>
      <c r="C22" s="5"/>
      <c r="D22" s="5"/>
      <c r="E22" s="5"/>
      <c r="F22" s="5"/>
      <c r="G22" s="23"/>
      <c r="H22" s="23"/>
      <c r="I22" s="3" t="s">
        <v>182</v>
      </c>
      <c r="J22" s="6">
        <v>200</v>
      </c>
      <c r="K22" s="66"/>
      <c r="L22" s="5"/>
      <c r="M22" s="5"/>
      <c r="N22" s="5"/>
      <c r="O22" s="5"/>
      <c r="P22" s="5"/>
      <c r="Q22" s="5"/>
      <c r="R22" s="192" t="s">
        <v>193</v>
      </c>
      <c r="S22" s="2"/>
      <c r="T22" s="2"/>
      <c r="U22" s="2"/>
      <c r="V22" s="3"/>
      <c r="W22" s="3"/>
      <c r="X22" s="3"/>
      <c r="Y22" s="3"/>
      <c r="Z22" s="3" t="s">
        <v>182</v>
      </c>
      <c r="AA22" s="3"/>
      <c r="AB22" s="4"/>
      <c r="AC22" s="4"/>
      <c r="AD22" s="4"/>
    </row>
    <row r="23" spans="2:30" ht="12" customHeight="1" x14ac:dyDescent="0.3">
      <c r="B23" s="28" t="s">
        <v>142</v>
      </c>
      <c r="C23" s="8" t="s">
        <v>188</v>
      </c>
      <c r="D23" s="8" t="s">
        <v>189</v>
      </c>
      <c r="E23" s="8" t="s">
        <v>190</v>
      </c>
      <c r="F23" s="8" t="s">
        <v>145</v>
      </c>
      <c r="G23" s="8" t="s">
        <v>163</v>
      </c>
      <c r="H23" s="8" t="s">
        <v>164</v>
      </c>
      <c r="I23" s="168" t="s">
        <v>165</v>
      </c>
      <c r="J23" s="9" t="s">
        <v>166</v>
      </c>
      <c r="K23" s="67" t="s">
        <v>146</v>
      </c>
      <c r="L23" s="29" t="s">
        <v>179</v>
      </c>
      <c r="M23" s="5" t="s">
        <v>191</v>
      </c>
      <c r="N23" s="5" t="s">
        <v>194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>
        <v>473.2</v>
      </c>
      <c r="AA23" s="5"/>
      <c r="AB23" s="4"/>
      <c r="AC23" s="4"/>
      <c r="AD23" s="4"/>
    </row>
    <row r="24" spans="2:30" ht="12" customHeight="1" x14ac:dyDescent="0.3">
      <c r="B24" s="178">
        <v>44858</v>
      </c>
      <c r="C24" s="170">
        <v>2646</v>
      </c>
      <c r="D24" s="170">
        <v>2612</v>
      </c>
      <c r="E24" s="170">
        <f t="shared" ref="E24:E28" si="26">+C24-D24</f>
        <v>34</v>
      </c>
      <c r="F24" s="171">
        <f t="shared" ref="F24:F28" si="27">+E24*1000</f>
        <v>34000</v>
      </c>
      <c r="G24" s="171"/>
      <c r="H24" s="171">
        <f t="shared" ref="H24:H29" si="28">+F24-G24</f>
        <v>34000</v>
      </c>
      <c r="I24" s="10">
        <v>944</v>
      </c>
      <c r="J24" s="34">
        <f t="shared" ref="J24:J29" si="29">+E24*$J$3</f>
        <v>6800</v>
      </c>
      <c r="K24" s="194"/>
      <c r="L24" s="31">
        <f t="shared" ref="L24:L30" si="30">+(I24+J24)/H24</f>
        <v>0.22776470588235295</v>
      </c>
      <c r="M24" s="35">
        <f>H24/(B24-B19)</f>
        <v>0.75794730037005664</v>
      </c>
      <c r="N24" s="35">
        <f>(H24*0.6-I24-J24)/(B24-B19)</f>
        <v>0.2821347362789246</v>
      </c>
      <c r="O24" s="5"/>
      <c r="P24" s="5"/>
      <c r="Q24" s="5"/>
      <c r="R24" s="7" t="s">
        <v>142</v>
      </c>
      <c r="S24" s="8" t="s">
        <v>143</v>
      </c>
      <c r="T24" s="8" t="s">
        <v>162</v>
      </c>
      <c r="U24" s="8" t="s">
        <v>144</v>
      </c>
      <c r="V24" s="8" t="s">
        <v>145</v>
      </c>
      <c r="W24" s="8" t="s">
        <v>163</v>
      </c>
      <c r="X24" s="8" t="s">
        <v>164</v>
      </c>
      <c r="Y24" s="168" t="s">
        <v>165</v>
      </c>
      <c r="Z24" s="9" t="s">
        <v>166</v>
      </c>
      <c r="AA24" s="9" t="s">
        <v>146</v>
      </c>
      <c r="AB24" s="4" t="s">
        <v>179</v>
      </c>
      <c r="AC24" s="4" t="s">
        <v>191</v>
      </c>
      <c r="AD24" s="4" t="s">
        <v>194</v>
      </c>
    </row>
    <row r="25" spans="2:30" ht="12" customHeight="1" x14ac:dyDescent="0.3">
      <c r="B25" s="32">
        <v>44865</v>
      </c>
      <c r="C25" s="13">
        <v>2679</v>
      </c>
      <c r="D25" s="13">
        <v>2646</v>
      </c>
      <c r="E25" s="170">
        <f t="shared" si="26"/>
        <v>33</v>
      </c>
      <c r="F25" s="171">
        <f t="shared" si="27"/>
        <v>33000</v>
      </c>
      <c r="G25" s="171">
        <v>0</v>
      </c>
      <c r="H25" s="171">
        <f t="shared" si="28"/>
        <v>33000</v>
      </c>
      <c r="I25" s="33"/>
      <c r="J25" s="34">
        <f t="shared" si="29"/>
        <v>6600</v>
      </c>
      <c r="K25" s="172"/>
      <c r="L25" s="31">
        <f t="shared" si="30"/>
        <v>0.2</v>
      </c>
      <c r="M25" s="35">
        <f t="shared" ref="M25:M29" si="31">H25/(B25-B24)</f>
        <v>4714.2857142857147</v>
      </c>
      <c r="N25" s="35">
        <f t="shared" ref="N25:N29" si="32">(H25*0.6-I25-J25)/(B25-B24)</f>
        <v>1885.7142857142858</v>
      </c>
      <c r="O25" s="5"/>
      <c r="P25" s="5"/>
      <c r="Q25" s="5"/>
      <c r="R25" s="169">
        <v>44858</v>
      </c>
      <c r="S25" s="170">
        <v>5512</v>
      </c>
      <c r="T25" s="170">
        <v>5416</v>
      </c>
      <c r="U25" s="170">
        <f t="shared" ref="U25:U29" si="33">+S25-T25</f>
        <v>96</v>
      </c>
      <c r="V25" s="171">
        <f t="shared" ref="V25:V29" si="34">+U25*1000</f>
        <v>96000</v>
      </c>
      <c r="W25" s="171">
        <v>0</v>
      </c>
      <c r="X25" s="171">
        <f t="shared" ref="X25:X29" si="35">+V25-W25</f>
        <v>96000</v>
      </c>
      <c r="Y25" s="10">
        <f>944*2+25000</f>
        <v>26888</v>
      </c>
      <c r="Z25" s="174">
        <f t="shared" ref="Z25:Z29" si="36">+U25*$Z$23/2</f>
        <v>22713.599999999999</v>
      </c>
      <c r="AA25" s="172"/>
      <c r="AB25" s="4"/>
      <c r="AC25" s="11"/>
      <c r="AD25" s="11"/>
    </row>
    <row r="26" spans="2:30" ht="12" customHeight="1" x14ac:dyDescent="0.3">
      <c r="B26" s="32">
        <v>44872</v>
      </c>
      <c r="C26" s="13">
        <v>2716</v>
      </c>
      <c r="D26" s="13">
        <v>2679</v>
      </c>
      <c r="E26" s="170">
        <f t="shared" si="26"/>
        <v>37</v>
      </c>
      <c r="F26" s="171">
        <f t="shared" si="27"/>
        <v>37000</v>
      </c>
      <c r="G26" s="171">
        <v>0</v>
      </c>
      <c r="H26" s="171">
        <f t="shared" si="28"/>
        <v>37000</v>
      </c>
      <c r="I26" s="33">
        <f>944*2</f>
        <v>1888</v>
      </c>
      <c r="J26" s="36">
        <f t="shared" si="29"/>
        <v>7400</v>
      </c>
      <c r="K26" s="172"/>
      <c r="L26" s="31">
        <f t="shared" si="30"/>
        <v>0.25102702702702701</v>
      </c>
      <c r="M26" s="35">
        <f t="shared" si="31"/>
        <v>5285.7142857142853</v>
      </c>
      <c r="N26" s="35">
        <f t="shared" si="32"/>
        <v>1844.5714285714287</v>
      </c>
      <c r="O26" s="5"/>
      <c r="P26" s="5"/>
      <c r="Q26" s="5"/>
      <c r="R26" s="12">
        <v>44865</v>
      </c>
      <c r="S26" s="13">
        <v>5599</v>
      </c>
      <c r="T26" s="13">
        <v>5512</v>
      </c>
      <c r="U26" s="170">
        <f t="shared" si="33"/>
        <v>87</v>
      </c>
      <c r="V26" s="171">
        <f t="shared" si="34"/>
        <v>87000</v>
      </c>
      <c r="W26" s="171">
        <v>0</v>
      </c>
      <c r="X26" s="171">
        <f t="shared" si="35"/>
        <v>87000</v>
      </c>
      <c r="Y26" s="173">
        <f>944*2+3000</f>
        <v>4888</v>
      </c>
      <c r="Z26" s="174">
        <f t="shared" si="36"/>
        <v>20584.2</v>
      </c>
      <c r="AA26" s="172"/>
      <c r="AB26" s="14">
        <f t="shared" ref="AB26:AB30" si="37">+(Y26+Z26)/X26</f>
        <v>0.29278390804597704</v>
      </c>
      <c r="AC26" s="11">
        <f t="shared" ref="AC26:AC29" si="38">X26/(R26-R25)</f>
        <v>12428.571428571429</v>
      </c>
      <c r="AD26" s="11">
        <f t="shared" ref="AD26:AD29" si="39">(X26*0.6-Y26-Z26)/(R26-R25)</f>
        <v>3818.2571428571428</v>
      </c>
    </row>
    <row r="27" spans="2:30" ht="12" customHeight="1" x14ac:dyDescent="0.3">
      <c r="B27" s="32">
        <v>44881</v>
      </c>
      <c r="C27" s="13">
        <v>2763</v>
      </c>
      <c r="D27" s="13">
        <v>2716</v>
      </c>
      <c r="E27" s="170">
        <f t="shared" si="26"/>
        <v>47</v>
      </c>
      <c r="F27" s="171">
        <f t="shared" si="27"/>
        <v>47000</v>
      </c>
      <c r="G27" s="171">
        <v>0</v>
      </c>
      <c r="H27" s="171">
        <f t="shared" si="28"/>
        <v>47000</v>
      </c>
      <c r="I27" s="33">
        <v>944</v>
      </c>
      <c r="J27" s="36">
        <f t="shared" si="29"/>
        <v>9400</v>
      </c>
      <c r="K27" s="172"/>
      <c r="L27" s="31">
        <f t="shared" si="30"/>
        <v>0.22008510638297873</v>
      </c>
      <c r="M27" s="35">
        <f t="shared" si="31"/>
        <v>5222.2222222222226</v>
      </c>
      <c r="N27" s="35">
        <f t="shared" si="32"/>
        <v>1984</v>
      </c>
      <c r="O27" s="5"/>
      <c r="P27" s="5"/>
      <c r="Q27" s="5"/>
      <c r="R27" s="12">
        <v>44872</v>
      </c>
      <c r="S27" s="13">
        <v>52</v>
      </c>
      <c r="T27" s="13">
        <v>0</v>
      </c>
      <c r="U27" s="170">
        <f t="shared" si="33"/>
        <v>52</v>
      </c>
      <c r="V27" s="171">
        <f t="shared" si="34"/>
        <v>52000</v>
      </c>
      <c r="W27" s="171">
        <v>0</v>
      </c>
      <c r="X27" s="171">
        <f t="shared" si="35"/>
        <v>52000</v>
      </c>
      <c r="Y27" s="173">
        <v>3980</v>
      </c>
      <c r="Z27" s="174">
        <f t="shared" si="36"/>
        <v>12303.199999999999</v>
      </c>
      <c r="AA27" s="172"/>
      <c r="AB27" s="14">
        <f t="shared" si="37"/>
        <v>0.31313846153846153</v>
      </c>
      <c r="AC27" s="11">
        <f t="shared" si="38"/>
        <v>7428.5714285714284</v>
      </c>
      <c r="AD27" s="11">
        <f t="shared" si="39"/>
        <v>2130.9714285714285</v>
      </c>
    </row>
    <row r="28" spans="2:30" ht="12" customHeight="1" x14ac:dyDescent="0.3">
      <c r="B28" s="32"/>
      <c r="C28" s="13"/>
      <c r="D28" s="13"/>
      <c r="E28" s="170">
        <f t="shared" si="26"/>
        <v>0</v>
      </c>
      <c r="F28" s="171">
        <f t="shared" si="27"/>
        <v>0</v>
      </c>
      <c r="G28" s="171">
        <v>0</v>
      </c>
      <c r="H28" s="171">
        <f t="shared" si="28"/>
        <v>0</v>
      </c>
      <c r="I28" s="173"/>
      <c r="J28" s="174">
        <f t="shared" si="29"/>
        <v>0</v>
      </c>
      <c r="K28" s="172"/>
      <c r="L28" s="37" t="e">
        <f t="shared" si="30"/>
        <v>#DIV/0!</v>
      </c>
      <c r="M28" s="35">
        <f t="shared" si="31"/>
        <v>0</v>
      </c>
      <c r="N28" s="35">
        <f t="shared" si="32"/>
        <v>0</v>
      </c>
      <c r="O28" s="5"/>
      <c r="P28" s="5"/>
      <c r="Q28" s="5"/>
      <c r="R28" s="12">
        <v>44881</v>
      </c>
      <c r="S28" s="13">
        <v>158</v>
      </c>
      <c r="T28" s="13">
        <v>52</v>
      </c>
      <c r="U28" s="170">
        <f t="shared" si="33"/>
        <v>106</v>
      </c>
      <c r="V28" s="171">
        <f t="shared" si="34"/>
        <v>106000</v>
      </c>
      <c r="W28" s="171">
        <v>0</v>
      </c>
      <c r="X28" s="171">
        <f t="shared" si="35"/>
        <v>106000</v>
      </c>
      <c r="Y28" s="173"/>
      <c r="Z28" s="174">
        <f t="shared" si="36"/>
        <v>25079.599999999999</v>
      </c>
      <c r="AA28" s="172"/>
      <c r="AB28" s="14">
        <f t="shared" si="37"/>
        <v>0.23659999999999998</v>
      </c>
      <c r="AC28" s="11">
        <f t="shared" si="38"/>
        <v>11777.777777777777</v>
      </c>
      <c r="AD28" s="11">
        <f t="shared" si="39"/>
        <v>4280.0444444444447</v>
      </c>
    </row>
    <row r="29" spans="2:30" ht="12" customHeight="1" x14ac:dyDescent="0.3">
      <c r="B29" s="45"/>
      <c r="C29" s="46"/>
      <c r="D29" s="46"/>
      <c r="E29" s="47"/>
      <c r="F29" s="48"/>
      <c r="G29" s="48"/>
      <c r="H29" s="48">
        <f t="shared" si="28"/>
        <v>0</v>
      </c>
      <c r="I29" s="193"/>
      <c r="J29" s="59">
        <f t="shared" si="29"/>
        <v>0</v>
      </c>
      <c r="K29" s="51"/>
      <c r="L29" s="37" t="e">
        <f t="shared" si="30"/>
        <v>#DIV/0!</v>
      </c>
      <c r="M29" s="35" t="e">
        <f t="shared" si="31"/>
        <v>#DIV/0!</v>
      </c>
      <c r="N29" s="35" t="e">
        <f t="shared" si="32"/>
        <v>#DIV/0!</v>
      </c>
      <c r="O29" s="5"/>
      <c r="P29" s="5"/>
      <c r="Q29" s="5"/>
      <c r="R29" s="12"/>
      <c r="S29" s="13"/>
      <c r="T29" s="13"/>
      <c r="U29" s="170">
        <f t="shared" si="33"/>
        <v>0</v>
      </c>
      <c r="V29" s="171">
        <f t="shared" si="34"/>
        <v>0</v>
      </c>
      <c r="W29" s="171">
        <v>0</v>
      </c>
      <c r="X29" s="171">
        <f t="shared" si="35"/>
        <v>0</v>
      </c>
      <c r="Y29" s="173"/>
      <c r="Z29" s="174">
        <f t="shared" si="36"/>
        <v>0</v>
      </c>
      <c r="AA29" s="172"/>
      <c r="AB29" s="14" t="e">
        <f t="shared" si="37"/>
        <v>#DIV/0!</v>
      </c>
      <c r="AC29" s="11">
        <f t="shared" si="38"/>
        <v>0</v>
      </c>
      <c r="AD29" s="11">
        <f t="shared" si="39"/>
        <v>0</v>
      </c>
    </row>
    <row r="30" spans="2:30" ht="12" customHeight="1" x14ac:dyDescent="0.3">
      <c r="B30" s="52"/>
      <c r="C30" s="53"/>
      <c r="D30" s="53"/>
      <c r="E30" s="53">
        <f t="shared" ref="E30:J30" si="40">SUM(E24:E29)</f>
        <v>151</v>
      </c>
      <c r="F30" s="54">
        <f t="shared" si="40"/>
        <v>151000</v>
      </c>
      <c r="G30" s="54">
        <f t="shared" si="40"/>
        <v>0</v>
      </c>
      <c r="H30" s="54">
        <f t="shared" si="40"/>
        <v>151000</v>
      </c>
      <c r="I30" s="55">
        <f t="shared" si="40"/>
        <v>3776</v>
      </c>
      <c r="J30" s="55">
        <f t="shared" si="40"/>
        <v>30200</v>
      </c>
      <c r="K30" s="56">
        <f>+H30*0.6-I30-J30-G30</f>
        <v>56624</v>
      </c>
      <c r="L30" s="42">
        <f t="shared" si="30"/>
        <v>0.22500662251655629</v>
      </c>
      <c r="M30" s="31">
        <f>L30+L31</f>
        <v>0.6</v>
      </c>
      <c r="N30" s="5"/>
      <c r="O30" s="5"/>
      <c r="P30" s="5"/>
      <c r="Q30" s="5"/>
      <c r="R30" s="15"/>
      <c r="S30" s="16"/>
      <c r="T30" s="16"/>
      <c r="U30" s="16">
        <f t="shared" ref="U30:Z30" si="41">SUM(U25:U29)</f>
        <v>341</v>
      </c>
      <c r="V30" s="17">
        <f t="shared" si="41"/>
        <v>341000</v>
      </c>
      <c r="W30" s="17">
        <f t="shared" si="41"/>
        <v>0</v>
      </c>
      <c r="X30" s="17">
        <f t="shared" si="41"/>
        <v>341000</v>
      </c>
      <c r="Y30" s="18">
        <f t="shared" si="41"/>
        <v>35756</v>
      </c>
      <c r="Z30" s="18">
        <f t="shared" si="41"/>
        <v>80680.600000000006</v>
      </c>
      <c r="AA30" s="176">
        <f>+X30*0.6-Y30-Z30-W30</f>
        <v>88163.4</v>
      </c>
      <c r="AB30" s="19">
        <f t="shared" si="37"/>
        <v>0.34145630498533724</v>
      </c>
      <c r="AC30" s="4"/>
      <c r="AD30" s="4"/>
    </row>
    <row r="31" spans="2:30" ht="12" customHeight="1" x14ac:dyDescent="0.3">
      <c r="B31" s="27"/>
      <c r="C31" s="5"/>
      <c r="D31" s="5"/>
      <c r="E31" s="5"/>
      <c r="F31" s="5"/>
      <c r="G31" s="23"/>
      <c r="H31" s="23"/>
      <c r="I31" s="23"/>
      <c r="J31" s="4"/>
      <c r="K31" s="64">
        <f>H30*0.3</f>
        <v>45300</v>
      </c>
      <c r="L31" s="43">
        <f>+K30/H30</f>
        <v>0.37499337748344369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  <c r="AA31" s="4">
        <f>X30*0.3</f>
        <v>102300</v>
      </c>
      <c r="AB31" s="19">
        <f>+AA30/X30</f>
        <v>0.25854369501466273</v>
      </c>
      <c r="AC31" s="4"/>
      <c r="AD31" s="4"/>
    </row>
    <row r="32" spans="2:30" ht="12" customHeight="1" x14ac:dyDescent="0.3">
      <c r="B32" s="27"/>
      <c r="C32" s="5"/>
      <c r="D32" s="5"/>
      <c r="E32" s="5"/>
      <c r="F32" s="5"/>
      <c r="G32" s="23"/>
      <c r="H32" s="23"/>
      <c r="I32" s="3" t="s">
        <v>182</v>
      </c>
      <c r="J32" s="6">
        <v>200</v>
      </c>
      <c r="K32" s="66"/>
      <c r="L32" s="5"/>
      <c r="M32" s="5"/>
      <c r="N32" s="5"/>
      <c r="O32" s="5"/>
      <c r="P32" s="5"/>
      <c r="Q32" s="5"/>
      <c r="R32" s="192" t="s">
        <v>193</v>
      </c>
      <c r="S32" s="2"/>
      <c r="T32" s="2"/>
      <c r="U32" s="2"/>
      <c r="V32" s="3"/>
      <c r="W32" s="3"/>
      <c r="X32" s="3"/>
      <c r="Y32" s="3"/>
      <c r="Z32" s="3" t="s">
        <v>182</v>
      </c>
      <c r="AA32" s="3"/>
      <c r="AB32" s="4"/>
      <c r="AC32" s="4"/>
      <c r="AD32" s="4"/>
    </row>
    <row r="33" spans="2:30" ht="12" customHeight="1" x14ac:dyDescent="0.3">
      <c r="B33" s="28" t="s">
        <v>142</v>
      </c>
      <c r="C33" s="8" t="s">
        <v>188</v>
      </c>
      <c r="D33" s="8" t="s">
        <v>189</v>
      </c>
      <c r="E33" s="8" t="s">
        <v>190</v>
      </c>
      <c r="F33" s="8" t="s">
        <v>145</v>
      </c>
      <c r="G33" s="8" t="s">
        <v>163</v>
      </c>
      <c r="H33" s="8" t="s">
        <v>164</v>
      </c>
      <c r="I33" s="168" t="s">
        <v>165</v>
      </c>
      <c r="J33" s="9" t="s">
        <v>166</v>
      </c>
      <c r="K33" s="67" t="s">
        <v>146</v>
      </c>
      <c r="L33" s="29" t="s">
        <v>179</v>
      </c>
      <c r="M33" s="5" t="s">
        <v>191</v>
      </c>
      <c r="N33" s="5" t="s">
        <v>194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>
        <v>473.2</v>
      </c>
      <c r="AA33" s="5"/>
      <c r="AB33" s="4"/>
      <c r="AC33" s="4"/>
      <c r="AD33" s="4"/>
    </row>
    <row r="34" spans="2:30" ht="12" customHeight="1" x14ac:dyDescent="0.3">
      <c r="B34" s="178">
        <v>44887</v>
      </c>
      <c r="C34" s="170">
        <v>2787</v>
      </c>
      <c r="D34" s="170">
        <f>C27</f>
        <v>2763</v>
      </c>
      <c r="E34" s="170">
        <f t="shared" ref="E34:E38" si="42">+C34-D34</f>
        <v>24</v>
      </c>
      <c r="F34" s="171">
        <f t="shared" ref="F34:F38" si="43">+E34*1000</f>
        <v>24000</v>
      </c>
      <c r="G34" s="171"/>
      <c r="H34" s="171">
        <f t="shared" ref="H34:H39" si="44">+F34-G34</f>
        <v>24000</v>
      </c>
      <c r="I34" s="10"/>
      <c r="J34" s="34">
        <f t="shared" ref="J34:J39" si="45">+E34*$J$3</f>
        <v>4800</v>
      </c>
      <c r="K34" s="194"/>
      <c r="L34" s="31">
        <f t="shared" ref="L34:L40" si="46">+(I34+J34)/H34</f>
        <v>0.2</v>
      </c>
      <c r="M34" s="35">
        <f>H34/(B34-B29)</f>
        <v>0.53467596408759777</v>
      </c>
      <c r="N34" s="35">
        <f>(H34*0.6-I34-J34)/(B34-B29)</f>
        <v>0.2138703856350391</v>
      </c>
      <c r="O34" s="5"/>
      <c r="P34" s="5"/>
      <c r="Q34" s="5"/>
      <c r="R34" s="7" t="s">
        <v>142</v>
      </c>
      <c r="S34" s="8" t="s">
        <v>143</v>
      </c>
      <c r="T34" s="8" t="s">
        <v>162</v>
      </c>
      <c r="U34" s="8" t="s">
        <v>144</v>
      </c>
      <c r="V34" s="8" t="s">
        <v>145</v>
      </c>
      <c r="W34" s="8" t="s">
        <v>163</v>
      </c>
      <c r="X34" s="8" t="s">
        <v>164</v>
      </c>
      <c r="Y34" s="168" t="s">
        <v>165</v>
      </c>
      <c r="Z34" s="9" t="s">
        <v>166</v>
      </c>
      <c r="AA34" s="9" t="s">
        <v>146</v>
      </c>
      <c r="AB34" s="4" t="s">
        <v>179</v>
      </c>
      <c r="AC34" s="4" t="s">
        <v>191</v>
      </c>
      <c r="AD34" s="4" t="s">
        <v>194</v>
      </c>
    </row>
    <row r="35" spans="2:30" ht="12" customHeight="1" x14ac:dyDescent="0.3">
      <c r="B35" s="32">
        <v>44896</v>
      </c>
      <c r="C35" s="13">
        <v>2811</v>
      </c>
      <c r="D35" s="13">
        <f t="shared" ref="D35:D39" si="47">IF(B35=0,0,C34)</f>
        <v>2787</v>
      </c>
      <c r="E35" s="170">
        <f t="shared" si="42"/>
        <v>24</v>
      </c>
      <c r="F35" s="171">
        <f t="shared" si="43"/>
        <v>24000</v>
      </c>
      <c r="G35" s="171">
        <v>0</v>
      </c>
      <c r="H35" s="171">
        <f t="shared" si="44"/>
        <v>24000</v>
      </c>
      <c r="I35" s="33">
        <f>944*2</f>
        <v>1888</v>
      </c>
      <c r="J35" s="34">
        <f t="shared" si="45"/>
        <v>4800</v>
      </c>
      <c r="K35" s="172"/>
      <c r="L35" s="31">
        <f t="shared" si="46"/>
        <v>0.27866666666666667</v>
      </c>
      <c r="M35" s="35">
        <f t="shared" ref="M35:M39" si="48">H35/(B35-B34)</f>
        <v>2666.6666666666665</v>
      </c>
      <c r="N35" s="35">
        <f t="shared" ref="N35:N39" si="49">(H35*0.6-I35-J35)/(B35-B34)</f>
        <v>856.88888888888891</v>
      </c>
      <c r="O35" s="5"/>
      <c r="P35" s="5"/>
      <c r="Q35" s="5"/>
      <c r="R35" s="169">
        <v>44887</v>
      </c>
      <c r="S35" s="170">
        <v>224</v>
      </c>
      <c r="T35" s="170">
        <f>S28</f>
        <v>158</v>
      </c>
      <c r="U35" s="170">
        <f t="shared" ref="U35:U39" si="50">+S35-T35</f>
        <v>66</v>
      </c>
      <c r="V35" s="171">
        <f t="shared" ref="V35:V39" si="51">+U35*1000</f>
        <v>66000</v>
      </c>
      <c r="W35" s="171">
        <v>0</v>
      </c>
      <c r="X35" s="171">
        <f t="shared" ref="X35:X39" si="52">+V35-W35</f>
        <v>66000</v>
      </c>
      <c r="Y35" s="10">
        <f>944*6</f>
        <v>5664</v>
      </c>
      <c r="Z35" s="174">
        <f t="shared" ref="Z35:Z39" si="53">+U35*$Z$23/2</f>
        <v>15615.6</v>
      </c>
      <c r="AA35" s="172"/>
      <c r="AB35" s="4"/>
      <c r="AC35" s="11"/>
      <c r="AD35" s="11"/>
    </row>
    <row r="36" spans="2:30" ht="12" customHeight="1" x14ac:dyDescent="0.3">
      <c r="B36" s="32">
        <v>44900</v>
      </c>
      <c r="C36" s="13">
        <v>2827</v>
      </c>
      <c r="D36" s="13">
        <f t="shared" si="47"/>
        <v>2811</v>
      </c>
      <c r="E36" s="170">
        <f t="shared" si="42"/>
        <v>16</v>
      </c>
      <c r="F36" s="171">
        <f t="shared" si="43"/>
        <v>16000</v>
      </c>
      <c r="G36" s="171">
        <v>0</v>
      </c>
      <c r="H36" s="171">
        <f t="shared" si="44"/>
        <v>16000</v>
      </c>
      <c r="I36" s="33">
        <v>944</v>
      </c>
      <c r="J36" s="36">
        <f t="shared" si="45"/>
        <v>3200</v>
      </c>
      <c r="K36" s="172"/>
      <c r="L36" s="31">
        <f t="shared" si="46"/>
        <v>0.25900000000000001</v>
      </c>
      <c r="M36" s="35">
        <f t="shared" si="48"/>
        <v>4000</v>
      </c>
      <c r="N36" s="35">
        <f t="shared" si="49"/>
        <v>1364</v>
      </c>
      <c r="O36" s="5"/>
      <c r="P36" s="5"/>
      <c r="Q36" s="5"/>
      <c r="R36" s="12">
        <v>44892</v>
      </c>
      <c r="S36" s="13">
        <v>324</v>
      </c>
      <c r="T36" s="13">
        <f t="shared" ref="T36:T40" si="54">IF(R36=0,0,S35)</f>
        <v>224</v>
      </c>
      <c r="U36" s="170">
        <f t="shared" si="50"/>
        <v>100</v>
      </c>
      <c r="V36" s="171">
        <f t="shared" si="51"/>
        <v>100000</v>
      </c>
      <c r="W36" s="171">
        <v>0</v>
      </c>
      <c r="X36" s="171">
        <f t="shared" si="52"/>
        <v>100000</v>
      </c>
      <c r="Y36" s="173">
        <f>944*5+3450</f>
        <v>8170</v>
      </c>
      <c r="Z36" s="174">
        <f t="shared" si="53"/>
        <v>23660</v>
      </c>
      <c r="AA36" s="172"/>
      <c r="AB36" s="14">
        <f t="shared" ref="AB36:AB40" si="55">+(Y36+Z36)/X36</f>
        <v>0.31830000000000003</v>
      </c>
      <c r="AC36" s="11">
        <f t="shared" ref="AC36:AC39" si="56">X36/(R36-R35)</f>
        <v>20000</v>
      </c>
      <c r="AD36" s="11">
        <f t="shared" ref="AD36:AD39" si="57">(X36*0.6-Y36-Z36)/(R36-R35)</f>
        <v>5634</v>
      </c>
    </row>
    <row r="37" spans="2:30" ht="12" customHeight="1" x14ac:dyDescent="0.3">
      <c r="B37" s="32">
        <v>44913</v>
      </c>
      <c r="C37" s="13">
        <v>2889</v>
      </c>
      <c r="D37" s="13">
        <f t="shared" si="47"/>
        <v>2827</v>
      </c>
      <c r="E37" s="170">
        <f t="shared" si="42"/>
        <v>62</v>
      </c>
      <c r="F37" s="171">
        <f t="shared" si="43"/>
        <v>62000</v>
      </c>
      <c r="G37" s="171">
        <v>0</v>
      </c>
      <c r="H37" s="171">
        <f t="shared" si="44"/>
        <v>62000</v>
      </c>
      <c r="I37" s="33">
        <f>944*3</f>
        <v>2832</v>
      </c>
      <c r="J37" s="36">
        <f t="shared" si="45"/>
        <v>12400</v>
      </c>
      <c r="K37" s="172"/>
      <c r="L37" s="31">
        <f t="shared" si="46"/>
        <v>0.24567741935483872</v>
      </c>
      <c r="M37" s="35">
        <f t="shared" si="48"/>
        <v>4769.2307692307695</v>
      </c>
      <c r="N37" s="35">
        <f t="shared" si="49"/>
        <v>1689.8461538461538</v>
      </c>
      <c r="O37" s="5"/>
      <c r="P37" s="5"/>
      <c r="Q37" s="5"/>
      <c r="R37" s="12">
        <v>44896</v>
      </c>
      <c r="S37" s="13">
        <v>368</v>
      </c>
      <c r="T37" s="13">
        <f t="shared" si="54"/>
        <v>324</v>
      </c>
      <c r="U37" s="170">
        <f t="shared" si="50"/>
        <v>44</v>
      </c>
      <c r="V37" s="171">
        <f t="shared" si="51"/>
        <v>44000</v>
      </c>
      <c r="W37" s="171">
        <v>0</v>
      </c>
      <c r="X37" s="171">
        <f t="shared" si="52"/>
        <v>44000</v>
      </c>
      <c r="Y37" s="173"/>
      <c r="Z37" s="174">
        <f t="shared" si="53"/>
        <v>10410.4</v>
      </c>
      <c r="AA37" s="172"/>
      <c r="AB37" s="14">
        <f t="shared" si="55"/>
        <v>0.2366</v>
      </c>
      <c r="AC37" s="11">
        <f t="shared" si="56"/>
        <v>11000</v>
      </c>
      <c r="AD37" s="11">
        <f t="shared" si="57"/>
        <v>3997.4</v>
      </c>
    </row>
    <row r="38" spans="2:30" ht="12" customHeight="1" x14ac:dyDescent="0.3">
      <c r="B38" s="32"/>
      <c r="C38" s="13"/>
      <c r="D38" s="13">
        <f t="shared" si="47"/>
        <v>0</v>
      </c>
      <c r="E38" s="170">
        <f t="shared" si="42"/>
        <v>0</v>
      </c>
      <c r="F38" s="171">
        <f t="shared" si="43"/>
        <v>0</v>
      </c>
      <c r="G38" s="171">
        <v>0</v>
      </c>
      <c r="H38" s="171">
        <f t="shared" si="44"/>
        <v>0</v>
      </c>
      <c r="I38" s="173"/>
      <c r="J38" s="174">
        <f t="shared" si="45"/>
        <v>0</v>
      </c>
      <c r="K38" s="172"/>
      <c r="L38" s="37" t="e">
        <f t="shared" si="46"/>
        <v>#DIV/0!</v>
      </c>
      <c r="M38" s="35">
        <f t="shared" si="48"/>
        <v>0</v>
      </c>
      <c r="N38" s="35">
        <f t="shared" si="49"/>
        <v>0</v>
      </c>
      <c r="O38" s="5"/>
      <c r="P38" s="5"/>
      <c r="Q38" s="5"/>
      <c r="R38" s="12">
        <v>44900</v>
      </c>
      <c r="S38" s="13">
        <v>396</v>
      </c>
      <c r="T38" s="13">
        <f t="shared" si="54"/>
        <v>368</v>
      </c>
      <c r="U38" s="170">
        <f t="shared" si="50"/>
        <v>28</v>
      </c>
      <c r="V38" s="171">
        <f t="shared" si="51"/>
        <v>28000</v>
      </c>
      <c r="W38" s="171">
        <v>0</v>
      </c>
      <c r="X38" s="171">
        <f t="shared" si="52"/>
        <v>28000</v>
      </c>
      <c r="Y38" s="173"/>
      <c r="Z38" s="174">
        <f t="shared" si="53"/>
        <v>6624.8</v>
      </c>
      <c r="AA38" s="172"/>
      <c r="AB38" s="14">
        <f t="shared" si="55"/>
        <v>0.2366</v>
      </c>
      <c r="AC38" s="11">
        <f t="shared" si="56"/>
        <v>7000</v>
      </c>
      <c r="AD38" s="11">
        <f t="shared" si="57"/>
        <v>2543.8000000000002</v>
      </c>
    </row>
    <row r="39" spans="2:30" ht="12" customHeight="1" x14ac:dyDescent="0.3">
      <c r="B39" s="45"/>
      <c r="C39" s="46"/>
      <c r="D39" s="13">
        <f t="shared" si="47"/>
        <v>0</v>
      </c>
      <c r="E39" s="47"/>
      <c r="F39" s="48"/>
      <c r="G39" s="48"/>
      <c r="H39" s="48">
        <f t="shared" si="44"/>
        <v>0</v>
      </c>
      <c r="I39" s="193"/>
      <c r="J39" s="59">
        <f t="shared" si="45"/>
        <v>0</v>
      </c>
      <c r="K39" s="51"/>
      <c r="L39" s="37" t="e">
        <f t="shared" si="46"/>
        <v>#DIV/0!</v>
      </c>
      <c r="M39" s="35" t="e">
        <f t="shared" si="48"/>
        <v>#DIV/0!</v>
      </c>
      <c r="N39" s="35" t="e">
        <f t="shared" si="49"/>
        <v>#DIV/0!</v>
      </c>
      <c r="O39" s="5"/>
      <c r="P39" s="5"/>
      <c r="Q39" s="5"/>
      <c r="R39" s="12">
        <v>44913</v>
      </c>
      <c r="S39" s="13">
        <v>542</v>
      </c>
      <c r="T39" s="13">
        <f t="shared" si="54"/>
        <v>396</v>
      </c>
      <c r="U39" s="170">
        <f t="shared" si="50"/>
        <v>146</v>
      </c>
      <c r="V39" s="171">
        <f t="shared" si="51"/>
        <v>146000</v>
      </c>
      <c r="W39" s="171">
        <v>0</v>
      </c>
      <c r="X39" s="171">
        <f t="shared" si="52"/>
        <v>146000</v>
      </c>
      <c r="Y39" s="173">
        <f>944*6</f>
        <v>5664</v>
      </c>
      <c r="Z39" s="174">
        <f t="shared" si="53"/>
        <v>34543.599999999999</v>
      </c>
      <c r="AA39" s="172"/>
      <c r="AB39" s="14">
        <f t="shared" si="55"/>
        <v>0.27539452054794522</v>
      </c>
      <c r="AC39" s="11">
        <f t="shared" si="56"/>
        <v>11230.76923076923</v>
      </c>
      <c r="AD39" s="11">
        <f t="shared" si="57"/>
        <v>3645.5692307692307</v>
      </c>
    </row>
    <row r="40" spans="2:30" ht="12" customHeight="1" x14ac:dyDescent="0.3">
      <c r="B40" s="52"/>
      <c r="C40" s="53"/>
      <c r="D40" s="53"/>
      <c r="E40" s="53">
        <f t="shared" ref="E40:J40" si="58">SUM(E34:E39)</f>
        <v>126</v>
      </c>
      <c r="F40" s="54">
        <f t="shared" si="58"/>
        <v>126000</v>
      </c>
      <c r="G40" s="54">
        <f t="shared" si="58"/>
        <v>0</v>
      </c>
      <c r="H40" s="54">
        <f t="shared" si="58"/>
        <v>126000</v>
      </c>
      <c r="I40" s="55">
        <f t="shared" si="58"/>
        <v>5664</v>
      </c>
      <c r="J40" s="55">
        <f t="shared" si="58"/>
        <v>25200</v>
      </c>
      <c r="K40" s="56">
        <f>+H40*0.6-I40-J40-G40</f>
        <v>44736</v>
      </c>
      <c r="L40" s="42">
        <f t="shared" si="46"/>
        <v>0.24495238095238095</v>
      </c>
      <c r="M40" s="31">
        <f>L40+L41</f>
        <v>0.6</v>
      </c>
      <c r="N40" s="5"/>
      <c r="O40" s="5"/>
      <c r="P40" s="5"/>
      <c r="Q40" s="5"/>
      <c r="R40" s="15"/>
      <c r="S40" s="16"/>
      <c r="T40" s="16">
        <f t="shared" si="54"/>
        <v>0</v>
      </c>
      <c r="U40" s="16">
        <f t="shared" ref="U40:Z40" si="59">SUM(U35:U39)</f>
        <v>384</v>
      </c>
      <c r="V40" s="17">
        <f t="shared" si="59"/>
        <v>384000</v>
      </c>
      <c r="W40" s="17">
        <f t="shared" si="59"/>
        <v>0</v>
      </c>
      <c r="X40" s="17">
        <f t="shared" si="59"/>
        <v>384000</v>
      </c>
      <c r="Y40" s="18">
        <f t="shared" si="59"/>
        <v>19498</v>
      </c>
      <c r="Z40" s="18">
        <f t="shared" si="59"/>
        <v>90854.399999999994</v>
      </c>
      <c r="AA40" s="176">
        <f>+X40*0.6-Y40-Z40-W40</f>
        <v>120047.6</v>
      </c>
      <c r="AB40" s="19">
        <f t="shared" si="55"/>
        <v>0.28737604166666664</v>
      </c>
      <c r="AC40" s="4"/>
      <c r="AD40" s="4"/>
    </row>
    <row r="41" spans="2:30" ht="11.25" customHeight="1" x14ac:dyDescent="0.3">
      <c r="B41" s="27"/>
      <c r="C41" s="5"/>
      <c r="D41" s="5"/>
      <c r="E41" s="5"/>
      <c r="F41" s="5"/>
      <c r="G41" s="23"/>
      <c r="H41" s="23"/>
      <c r="I41" s="23"/>
      <c r="J41" s="4"/>
      <c r="K41" s="64">
        <f>H40*0.3</f>
        <v>37800</v>
      </c>
      <c r="L41" s="43">
        <f>+K40/H40</f>
        <v>0.35504761904761906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  <c r="AA41" s="4">
        <f>X40*0.3</f>
        <v>115200</v>
      </c>
      <c r="AB41" s="19">
        <f>+AA40/X40</f>
        <v>0.31262395833333334</v>
      </c>
      <c r="AC41" s="4"/>
      <c r="AD41" s="4"/>
    </row>
    <row r="42" spans="2:30" ht="12" customHeight="1" x14ac:dyDescent="0.3">
      <c r="B42" s="27"/>
      <c r="C42" s="5"/>
      <c r="D42" s="5"/>
      <c r="E42" s="5"/>
      <c r="F42" s="5"/>
      <c r="G42" s="23"/>
      <c r="H42" s="23"/>
      <c r="I42" s="3" t="s">
        <v>182</v>
      </c>
      <c r="J42" s="6">
        <v>200</v>
      </c>
      <c r="K42" s="66"/>
      <c r="L42" s="5"/>
      <c r="M42" s="5"/>
      <c r="N42" s="5"/>
      <c r="O42" s="5"/>
      <c r="P42" s="5"/>
      <c r="Q42" s="5"/>
      <c r="R42" s="192" t="s">
        <v>193</v>
      </c>
      <c r="S42" s="2"/>
      <c r="T42" s="2"/>
      <c r="U42" s="2"/>
      <c r="V42" s="3"/>
      <c r="W42" s="3"/>
      <c r="X42" s="3"/>
      <c r="Y42" s="3"/>
      <c r="Z42" s="3" t="s">
        <v>182</v>
      </c>
      <c r="AA42" s="3"/>
      <c r="AB42" s="4"/>
      <c r="AC42" s="4"/>
      <c r="AD42" s="4"/>
    </row>
    <row r="43" spans="2:30" ht="12" customHeight="1" x14ac:dyDescent="0.3">
      <c r="B43" s="28" t="s">
        <v>142</v>
      </c>
      <c r="C43" s="8" t="s">
        <v>188</v>
      </c>
      <c r="D43" s="8" t="s">
        <v>189</v>
      </c>
      <c r="E43" s="8" t="s">
        <v>190</v>
      </c>
      <c r="F43" s="8" t="s">
        <v>145</v>
      </c>
      <c r="G43" s="8" t="s">
        <v>163</v>
      </c>
      <c r="H43" s="8" t="s">
        <v>164</v>
      </c>
      <c r="I43" s="168" t="s">
        <v>165</v>
      </c>
      <c r="J43" s="9" t="s">
        <v>166</v>
      </c>
      <c r="K43" s="67" t="s">
        <v>146</v>
      </c>
      <c r="L43" s="29" t="s">
        <v>179</v>
      </c>
      <c r="M43" s="5" t="s">
        <v>191</v>
      </c>
      <c r="N43" s="5" t="s">
        <v>194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>
        <v>400</v>
      </c>
      <c r="AA43" s="5"/>
      <c r="AB43" s="4"/>
      <c r="AC43" s="4"/>
      <c r="AD43" s="4"/>
    </row>
    <row r="44" spans="2:30" ht="12" customHeight="1" x14ac:dyDescent="0.3">
      <c r="B44" s="178">
        <v>44917</v>
      </c>
      <c r="C44" s="170">
        <v>2907</v>
      </c>
      <c r="D44" s="170">
        <f>C37</f>
        <v>2889</v>
      </c>
      <c r="E44" s="170">
        <f t="shared" ref="E44:E48" si="60">+C44-D44</f>
        <v>18</v>
      </c>
      <c r="F44" s="171">
        <f t="shared" ref="F44:F48" si="61">+E44*1000</f>
        <v>18000</v>
      </c>
      <c r="G44" s="171"/>
      <c r="H44" s="171">
        <f t="shared" ref="H44:H49" si="62">+F44-G44</f>
        <v>18000</v>
      </c>
      <c r="I44" s="10"/>
      <c r="J44" s="34">
        <f t="shared" ref="J44:J49" si="63">+E44*$J$3</f>
        <v>3600</v>
      </c>
      <c r="K44" s="194"/>
      <c r="L44" s="31">
        <f t="shared" ref="L44:L50" si="64">+(I44+J44)/H44</f>
        <v>0.2</v>
      </c>
      <c r="M44" s="35">
        <f>H44/(B44-B39)</f>
        <v>0.40073914108244096</v>
      </c>
      <c r="N44" s="35">
        <f>(H44*0.6-I44-J44)/(B44-B39)</f>
        <v>0.16029565643297639</v>
      </c>
      <c r="O44" s="5"/>
      <c r="P44" s="5"/>
      <c r="Q44" s="5"/>
      <c r="R44" s="7" t="s">
        <v>142</v>
      </c>
      <c r="S44" s="8" t="s">
        <v>143</v>
      </c>
      <c r="T44" s="8" t="s">
        <v>162</v>
      </c>
      <c r="U44" s="8" t="s">
        <v>144</v>
      </c>
      <c r="V44" s="8" t="s">
        <v>145</v>
      </c>
      <c r="W44" s="8" t="s">
        <v>163</v>
      </c>
      <c r="X44" s="8" t="s">
        <v>164</v>
      </c>
      <c r="Y44" s="168" t="s">
        <v>165</v>
      </c>
      <c r="Z44" s="9" t="s">
        <v>166</v>
      </c>
      <c r="AA44" s="9" t="s">
        <v>146</v>
      </c>
      <c r="AB44" s="4" t="s">
        <v>179</v>
      </c>
      <c r="AC44" s="4" t="s">
        <v>191</v>
      </c>
      <c r="AD44" s="4" t="s">
        <v>194</v>
      </c>
    </row>
    <row r="45" spans="2:30" ht="12" customHeight="1" x14ac:dyDescent="0.3">
      <c r="B45" s="32">
        <v>44922</v>
      </c>
      <c r="C45" s="13">
        <v>2962</v>
      </c>
      <c r="D45" s="13">
        <f t="shared" ref="D45:D49" si="65">IF(B45=0,0,C44)</f>
        <v>2907</v>
      </c>
      <c r="E45" s="170">
        <f t="shared" si="60"/>
        <v>55</v>
      </c>
      <c r="F45" s="171">
        <f t="shared" si="61"/>
        <v>55000</v>
      </c>
      <c r="G45" s="171">
        <v>0</v>
      </c>
      <c r="H45" s="171">
        <f t="shared" si="62"/>
        <v>55000</v>
      </c>
      <c r="I45" s="33">
        <f>944*4</f>
        <v>3776</v>
      </c>
      <c r="J45" s="34">
        <f t="shared" si="63"/>
        <v>11000</v>
      </c>
      <c r="K45" s="172"/>
      <c r="L45" s="31">
        <f t="shared" si="64"/>
        <v>0.26865454545454548</v>
      </c>
      <c r="M45" s="35">
        <f t="shared" ref="M45:M49" si="66">H45/(B45-B44)</f>
        <v>11000</v>
      </c>
      <c r="N45" s="35">
        <f t="shared" ref="N45:N49" si="67">(H45*0.6-I45-J45)/(B45-B44)</f>
        <v>3644.8</v>
      </c>
      <c r="O45" s="5"/>
      <c r="P45" s="5"/>
      <c r="Q45" s="5"/>
      <c r="R45" s="169">
        <v>44917</v>
      </c>
      <c r="S45" s="170">
        <v>586</v>
      </c>
      <c r="T45" s="170">
        <f>S39</f>
        <v>542</v>
      </c>
      <c r="U45" s="170">
        <f t="shared" ref="U45:U49" si="68">+S45-T45</f>
        <v>44</v>
      </c>
      <c r="V45" s="171">
        <f t="shared" ref="V45:V49" si="69">+U45*1000</f>
        <v>44000</v>
      </c>
      <c r="W45" s="171">
        <v>0</v>
      </c>
      <c r="X45" s="171">
        <f t="shared" ref="X45:X48" si="70">+V45-W45</f>
        <v>44000</v>
      </c>
      <c r="Y45" s="10">
        <f>944*4</f>
        <v>3776</v>
      </c>
      <c r="Z45" s="174">
        <f t="shared" ref="Z45:Z49" si="71">+U45*$Z$43/2</f>
        <v>8800</v>
      </c>
      <c r="AA45" s="172"/>
      <c r="AB45" s="4"/>
      <c r="AC45" s="11"/>
      <c r="AD45" s="11"/>
    </row>
    <row r="46" spans="2:30" ht="12" customHeight="1" x14ac:dyDescent="0.3">
      <c r="B46" s="32">
        <v>44927</v>
      </c>
      <c r="C46" s="13">
        <v>3023</v>
      </c>
      <c r="D46" s="13">
        <f t="shared" si="65"/>
        <v>2962</v>
      </c>
      <c r="E46" s="170">
        <f t="shared" si="60"/>
        <v>61</v>
      </c>
      <c r="F46" s="171">
        <f t="shared" si="61"/>
        <v>61000</v>
      </c>
      <c r="G46" s="171">
        <v>0</v>
      </c>
      <c r="H46" s="171">
        <f t="shared" si="62"/>
        <v>61000</v>
      </c>
      <c r="I46" s="33">
        <f>944*3</f>
        <v>2832</v>
      </c>
      <c r="J46" s="36">
        <f t="shared" si="63"/>
        <v>12200</v>
      </c>
      <c r="K46" s="172"/>
      <c r="L46" s="31">
        <f t="shared" si="64"/>
        <v>0.24642622950819673</v>
      </c>
      <c r="M46" s="35">
        <f t="shared" si="66"/>
        <v>12200</v>
      </c>
      <c r="N46" s="35">
        <f t="shared" si="67"/>
        <v>4313.6000000000004</v>
      </c>
      <c r="O46" s="5"/>
      <c r="P46" s="5"/>
      <c r="Q46" s="5"/>
      <c r="R46" s="12">
        <v>44922</v>
      </c>
      <c r="S46" s="13">
        <v>693</v>
      </c>
      <c r="T46" s="13">
        <f t="shared" ref="T46:T50" si="72">IF(R46=0,0,S45)</f>
        <v>586</v>
      </c>
      <c r="U46" s="170">
        <f t="shared" si="68"/>
        <v>107</v>
      </c>
      <c r="V46" s="171">
        <f t="shared" si="69"/>
        <v>107000</v>
      </c>
      <c r="W46" s="171">
        <v>0</v>
      </c>
      <c r="X46" s="171">
        <f t="shared" si="70"/>
        <v>107000</v>
      </c>
      <c r="Y46" s="173">
        <f>944*7+5800+12000</f>
        <v>24408</v>
      </c>
      <c r="Z46" s="174">
        <f t="shared" si="71"/>
        <v>21400</v>
      </c>
      <c r="AA46" s="172"/>
      <c r="AB46" s="14">
        <f t="shared" ref="AB46:AB48" si="73">+(Y46+Z46)/X46</f>
        <v>0.42811214953271026</v>
      </c>
      <c r="AC46" s="11">
        <f t="shared" ref="AC46:AC49" si="74">X46/(R46-R45)</f>
        <v>21400</v>
      </c>
      <c r="AD46" s="11">
        <f t="shared" ref="AD46:AD48" si="75">(X46*0.6-Y46-Z46)/(R46-R45)</f>
        <v>3678.4</v>
      </c>
    </row>
    <row r="47" spans="2:30" ht="12" customHeight="1" x14ac:dyDescent="0.3">
      <c r="B47" s="32">
        <v>44931</v>
      </c>
      <c r="C47" s="13">
        <v>3092</v>
      </c>
      <c r="D47" s="13">
        <f t="shared" si="65"/>
        <v>3023</v>
      </c>
      <c r="E47" s="170">
        <f t="shared" si="60"/>
        <v>69</v>
      </c>
      <c r="F47" s="171">
        <f t="shared" si="61"/>
        <v>69000</v>
      </c>
      <c r="G47" s="171">
        <v>0</v>
      </c>
      <c r="H47" s="171">
        <f t="shared" si="62"/>
        <v>69000</v>
      </c>
      <c r="I47" s="33">
        <f>944*4</f>
        <v>3776</v>
      </c>
      <c r="J47" s="36">
        <f t="shared" si="63"/>
        <v>13800</v>
      </c>
      <c r="K47" s="172"/>
      <c r="L47" s="31">
        <f t="shared" si="64"/>
        <v>0.25472463768115944</v>
      </c>
      <c r="M47" s="35">
        <f t="shared" si="66"/>
        <v>17250</v>
      </c>
      <c r="N47" s="35">
        <f t="shared" si="67"/>
        <v>5956</v>
      </c>
      <c r="O47" s="5"/>
      <c r="P47" s="5"/>
      <c r="Q47" s="5"/>
      <c r="R47" s="12">
        <v>44927</v>
      </c>
      <c r="S47" s="13">
        <v>776</v>
      </c>
      <c r="T47" s="13">
        <f t="shared" si="72"/>
        <v>693</v>
      </c>
      <c r="U47" s="170">
        <f t="shared" si="68"/>
        <v>83</v>
      </c>
      <c r="V47" s="171">
        <f t="shared" si="69"/>
        <v>83000</v>
      </c>
      <c r="W47" s="171">
        <v>0</v>
      </c>
      <c r="X47" s="171">
        <f t="shared" si="70"/>
        <v>83000</v>
      </c>
      <c r="Y47" s="173">
        <f>944*5</f>
        <v>4720</v>
      </c>
      <c r="Z47" s="174">
        <f t="shared" si="71"/>
        <v>16600</v>
      </c>
      <c r="AA47" s="172"/>
      <c r="AB47" s="14">
        <f t="shared" si="73"/>
        <v>0.25686746987951808</v>
      </c>
      <c r="AC47" s="11">
        <f t="shared" si="74"/>
        <v>16600</v>
      </c>
      <c r="AD47" s="11">
        <f t="shared" si="75"/>
        <v>5696</v>
      </c>
    </row>
    <row r="48" spans="2:30" ht="12" customHeight="1" x14ac:dyDescent="0.3">
      <c r="B48" s="32">
        <v>44943</v>
      </c>
      <c r="C48" s="13">
        <v>3199</v>
      </c>
      <c r="D48" s="13">
        <f t="shared" si="65"/>
        <v>3092</v>
      </c>
      <c r="E48" s="170">
        <f t="shared" si="60"/>
        <v>107</v>
      </c>
      <c r="F48" s="171">
        <f t="shared" si="61"/>
        <v>107000</v>
      </c>
      <c r="G48" s="171">
        <v>0</v>
      </c>
      <c r="H48" s="171">
        <f t="shared" si="62"/>
        <v>107000</v>
      </c>
      <c r="I48" s="173">
        <f>944*2</f>
        <v>1888</v>
      </c>
      <c r="J48" s="174">
        <f t="shared" si="63"/>
        <v>21400</v>
      </c>
      <c r="K48" s="172"/>
      <c r="L48" s="37">
        <f t="shared" si="64"/>
        <v>0.21764485981308412</v>
      </c>
      <c r="M48" s="35">
        <f t="shared" si="66"/>
        <v>8916.6666666666661</v>
      </c>
      <c r="N48" s="35">
        <f t="shared" si="67"/>
        <v>3409.3333333333335</v>
      </c>
      <c r="O48" s="5"/>
      <c r="P48" s="5"/>
      <c r="Q48" s="5"/>
      <c r="R48" s="12">
        <v>44931</v>
      </c>
      <c r="S48" s="13">
        <v>1014</v>
      </c>
      <c r="T48" s="13">
        <f t="shared" si="72"/>
        <v>776</v>
      </c>
      <c r="U48" s="170">
        <f t="shared" si="68"/>
        <v>238</v>
      </c>
      <c r="V48" s="171">
        <f t="shared" si="69"/>
        <v>238000</v>
      </c>
      <c r="W48" s="171">
        <v>0</v>
      </c>
      <c r="X48" s="171">
        <f t="shared" si="70"/>
        <v>238000</v>
      </c>
      <c r="Y48" s="173">
        <f>944*15</f>
        <v>14160</v>
      </c>
      <c r="Z48" s="174">
        <f t="shared" si="71"/>
        <v>47600</v>
      </c>
      <c r="AA48" s="172"/>
      <c r="AB48" s="14">
        <f t="shared" si="73"/>
        <v>0.25949579831932773</v>
      </c>
      <c r="AC48" s="11">
        <f t="shared" si="74"/>
        <v>59500</v>
      </c>
      <c r="AD48" s="11">
        <f t="shared" si="75"/>
        <v>20260</v>
      </c>
    </row>
    <row r="49" spans="2:30" ht="12" customHeight="1" x14ac:dyDescent="0.3">
      <c r="B49" s="45"/>
      <c r="C49" s="46"/>
      <c r="D49" s="13">
        <f t="shared" si="65"/>
        <v>0</v>
      </c>
      <c r="E49" s="47"/>
      <c r="F49" s="48"/>
      <c r="G49" s="48"/>
      <c r="H49" s="48">
        <f t="shared" si="62"/>
        <v>0</v>
      </c>
      <c r="I49" s="193"/>
      <c r="J49" s="59">
        <f t="shared" si="63"/>
        <v>0</v>
      </c>
      <c r="K49" s="51"/>
      <c r="L49" s="37" t="e">
        <f t="shared" si="64"/>
        <v>#DIV/0!</v>
      </c>
      <c r="M49" s="35">
        <f t="shared" si="66"/>
        <v>0</v>
      </c>
      <c r="N49" s="35">
        <f t="shared" si="67"/>
        <v>0</v>
      </c>
      <c r="O49" s="5"/>
      <c r="P49" s="5"/>
      <c r="Q49" s="5"/>
      <c r="R49" s="12">
        <v>44943</v>
      </c>
      <c r="S49" s="13">
        <v>1150</v>
      </c>
      <c r="T49" s="13">
        <f t="shared" si="72"/>
        <v>1014</v>
      </c>
      <c r="U49" s="170">
        <f t="shared" si="68"/>
        <v>136</v>
      </c>
      <c r="V49" s="171">
        <f t="shared" si="69"/>
        <v>136000</v>
      </c>
      <c r="W49" s="171">
        <v>0</v>
      </c>
      <c r="X49" s="171">
        <v>139000</v>
      </c>
      <c r="Z49" s="174">
        <f t="shared" si="71"/>
        <v>27200</v>
      </c>
      <c r="AA49" s="172"/>
      <c r="AB49" s="14">
        <f>+(Y50+Z49)/X49</f>
        <v>0.19568345323741007</v>
      </c>
      <c r="AC49" s="11">
        <f t="shared" si="74"/>
        <v>11583.333333333334</v>
      </c>
      <c r="AD49" s="11">
        <f>(X49*0.6-Y50-Z49)/(R49-R48)</f>
        <v>4683.333333333333</v>
      </c>
    </row>
    <row r="50" spans="2:30" ht="12" customHeight="1" x14ac:dyDescent="0.3">
      <c r="B50" s="52"/>
      <c r="C50" s="53"/>
      <c r="D50" s="53"/>
      <c r="E50" s="53">
        <f t="shared" ref="E50:J50" si="76">SUM(E44:E49)</f>
        <v>310</v>
      </c>
      <c r="F50" s="54">
        <f t="shared" si="76"/>
        <v>310000</v>
      </c>
      <c r="G50" s="54">
        <f t="shared" si="76"/>
        <v>0</v>
      </c>
      <c r="H50" s="54">
        <f t="shared" si="76"/>
        <v>310000</v>
      </c>
      <c r="I50" s="55">
        <f t="shared" si="76"/>
        <v>12272</v>
      </c>
      <c r="J50" s="55">
        <f t="shared" si="76"/>
        <v>62000</v>
      </c>
      <c r="K50" s="56">
        <f>+H50*0.6-I50-J50-G50</f>
        <v>111728</v>
      </c>
      <c r="L50" s="42">
        <f t="shared" si="64"/>
        <v>0.23958709677419354</v>
      </c>
      <c r="M50" s="31">
        <f>L50+L51</f>
        <v>0.6</v>
      </c>
      <c r="N50" s="5"/>
      <c r="O50" s="5"/>
      <c r="P50" s="5"/>
      <c r="Q50" s="5"/>
      <c r="R50" s="15"/>
      <c r="S50" s="16"/>
      <c r="T50" s="16">
        <f t="shared" si="72"/>
        <v>0</v>
      </c>
      <c r="U50" s="16">
        <f t="shared" ref="U50:X50" si="77">SUM(U45:U49)</f>
        <v>608</v>
      </c>
      <c r="V50" s="17">
        <f t="shared" si="77"/>
        <v>608000</v>
      </c>
      <c r="W50" s="17">
        <f t="shared" si="77"/>
        <v>0</v>
      </c>
      <c r="X50" s="17">
        <f t="shared" si="77"/>
        <v>611000</v>
      </c>
      <c r="Y50" s="173"/>
      <c r="Z50" s="18">
        <f>SUM(Z45:Z49)</f>
        <v>121600</v>
      </c>
      <c r="AA50" s="176">
        <f>+X50*0.6-Y50-Z50-W50</f>
        <v>245000</v>
      </c>
      <c r="AB50" s="19">
        <f>+(Y50+Z50)/X50</f>
        <v>0.19901800327332242</v>
      </c>
      <c r="AC50" s="4"/>
      <c r="AD50" s="4"/>
    </row>
    <row r="51" spans="2:30" ht="12" customHeight="1" x14ac:dyDescent="0.3">
      <c r="B51" s="27"/>
      <c r="C51" s="5"/>
      <c r="D51" s="5"/>
      <c r="E51" s="5"/>
      <c r="F51" s="5"/>
      <c r="G51" s="23"/>
      <c r="H51" s="23"/>
      <c r="I51" s="23"/>
      <c r="J51" s="4"/>
      <c r="K51" s="64">
        <f>H50*0.3</f>
        <v>93000</v>
      </c>
      <c r="L51" s="43">
        <f>+K50/H50</f>
        <v>0.36041290322580644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  <c r="AA51" s="4">
        <f>X50*0.3</f>
        <v>183300</v>
      </c>
      <c r="AB51" s="19">
        <f>+AA50/X50</f>
        <v>0.40098199672667756</v>
      </c>
      <c r="AC51" s="4"/>
      <c r="AD51" s="4"/>
    </row>
    <row r="52" spans="2:30" ht="12" customHeight="1" x14ac:dyDescent="0.3">
      <c r="B52" s="27"/>
      <c r="C52" s="5"/>
      <c r="D52" s="5"/>
      <c r="E52" s="5"/>
      <c r="F52" s="5"/>
      <c r="G52" s="23"/>
      <c r="H52" s="23"/>
      <c r="I52" s="3" t="s">
        <v>182</v>
      </c>
      <c r="J52" s="6">
        <v>200</v>
      </c>
      <c r="K52" s="66"/>
      <c r="L52" s="5"/>
      <c r="M52" s="5"/>
      <c r="N52" s="5"/>
      <c r="O52" s="5"/>
      <c r="P52" s="5"/>
      <c r="Q52" s="5"/>
      <c r="R52" s="192" t="s">
        <v>193</v>
      </c>
      <c r="S52" s="2"/>
      <c r="T52" s="2"/>
      <c r="U52" s="2"/>
      <c r="V52" s="3"/>
      <c r="W52" s="3"/>
      <c r="X52" s="3"/>
      <c r="Y52" s="3"/>
      <c r="Z52" s="3" t="s">
        <v>182</v>
      </c>
      <c r="AA52" s="3"/>
      <c r="AB52" s="4"/>
      <c r="AC52" s="4"/>
      <c r="AD52" s="4"/>
    </row>
    <row r="53" spans="2:30" ht="12" customHeight="1" x14ac:dyDescent="0.3">
      <c r="B53" s="28" t="s">
        <v>142</v>
      </c>
      <c r="C53" s="8" t="s">
        <v>188</v>
      </c>
      <c r="D53" s="8" t="s">
        <v>189</v>
      </c>
      <c r="E53" s="8" t="s">
        <v>190</v>
      </c>
      <c r="F53" s="8" t="s">
        <v>145</v>
      </c>
      <c r="G53" s="8" t="s">
        <v>163</v>
      </c>
      <c r="H53" s="8" t="s">
        <v>164</v>
      </c>
      <c r="I53" s="168" t="s">
        <v>165</v>
      </c>
      <c r="J53" s="9" t="s">
        <v>166</v>
      </c>
      <c r="K53" s="67" t="s">
        <v>146</v>
      </c>
      <c r="L53" s="29" t="s">
        <v>179</v>
      </c>
      <c r="M53" s="5" t="s">
        <v>191</v>
      </c>
      <c r="N53" s="5" t="s">
        <v>194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>
        <v>400</v>
      </c>
      <c r="AA53" s="5"/>
      <c r="AB53" s="4"/>
      <c r="AC53" s="4"/>
      <c r="AD53" s="4"/>
    </row>
    <row r="54" spans="2:30" ht="12" customHeight="1" x14ac:dyDescent="0.3">
      <c r="B54" s="178">
        <v>44949</v>
      </c>
      <c r="C54" s="170">
        <v>3300</v>
      </c>
      <c r="D54" s="170">
        <f>C48</f>
        <v>3199</v>
      </c>
      <c r="E54" s="170">
        <f t="shared" ref="E54:E58" si="78">+C54-D54</f>
        <v>101</v>
      </c>
      <c r="F54" s="171">
        <f t="shared" ref="F54:F58" si="79">+E54*1000</f>
        <v>101000</v>
      </c>
      <c r="G54" s="171"/>
      <c r="H54" s="171">
        <f t="shared" ref="H54:H59" si="80">+F54-G54</f>
        <v>101000</v>
      </c>
      <c r="I54" s="10"/>
      <c r="J54" s="34">
        <f t="shared" ref="J54:J59" si="81">+E54*$J$3</f>
        <v>20200</v>
      </c>
      <c r="K54" s="194"/>
      <c r="L54" s="31">
        <f t="shared" ref="L54:L60" si="82">+(I54+J54)/H54</f>
        <v>0.2</v>
      </c>
      <c r="M54" s="35">
        <f>H54/(B54-B49)</f>
        <v>2.2469910342832988</v>
      </c>
      <c r="N54" s="35">
        <f>(H54*0.6-I54-J54)/(B54-B49)</f>
        <v>0.89879641371331953</v>
      </c>
      <c r="O54" s="5"/>
      <c r="P54" s="5"/>
      <c r="Q54" s="5"/>
      <c r="R54" s="7" t="s">
        <v>142</v>
      </c>
      <c r="S54" s="8" t="s">
        <v>143</v>
      </c>
      <c r="T54" s="8" t="s">
        <v>162</v>
      </c>
      <c r="U54" s="8" t="s">
        <v>144</v>
      </c>
      <c r="V54" s="8" t="s">
        <v>145</v>
      </c>
      <c r="W54" s="8" t="s">
        <v>163</v>
      </c>
      <c r="X54" s="8" t="s">
        <v>164</v>
      </c>
      <c r="Y54" s="168" t="s">
        <v>165</v>
      </c>
      <c r="Z54" s="9" t="s">
        <v>166</v>
      </c>
      <c r="AA54" s="9" t="s">
        <v>146</v>
      </c>
      <c r="AB54" s="4" t="s">
        <v>179</v>
      </c>
      <c r="AC54" s="4" t="s">
        <v>191</v>
      </c>
      <c r="AD54" s="4" t="s">
        <v>194</v>
      </c>
    </row>
    <row r="55" spans="2:30" ht="12" customHeight="1" x14ac:dyDescent="0.3">
      <c r="B55" s="32">
        <v>44956</v>
      </c>
      <c r="C55" s="13">
        <v>3328</v>
      </c>
      <c r="D55" s="13">
        <f t="shared" ref="D55:D59" si="83">IF(B55=0,0,C54)</f>
        <v>3300</v>
      </c>
      <c r="E55" s="170">
        <f t="shared" si="78"/>
        <v>28</v>
      </c>
      <c r="F55" s="171">
        <f t="shared" si="79"/>
        <v>28000</v>
      </c>
      <c r="G55" s="171">
        <v>0</v>
      </c>
      <c r="H55" s="171">
        <f t="shared" si="80"/>
        <v>28000</v>
      </c>
      <c r="I55" s="33">
        <f>944*4</f>
        <v>3776</v>
      </c>
      <c r="J55" s="34">
        <f t="shared" si="81"/>
        <v>5600</v>
      </c>
      <c r="K55" s="172"/>
      <c r="L55" s="31">
        <f t="shared" si="82"/>
        <v>0.33485714285714285</v>
      </c>
      <c r="M55" s="35">
        <f t="shared" ref="M55:M59" si="84">H55/(B55-B54)</f>
        <v>4000</v>
      </c>
      <c r="N55" s="35">
        <f t="shared" ref="N55:N59" si="85">(H55*0.6-I55-J55)/(B55-B54)</f>
        <v>1060.5714285714287</v>
      </c>
      <c r="O55" s="5"/>
      <c r="P55" s="5"/>
      <c r="Q55" s="5"/>
      <c r="R55" s="169">
        <v>44949</v>
      </c>
      <c r="S55" s="170">
        <v>1206</v>
      </c>
      <c r="T55" s="170">
        <f>S49</f>
        <v>1150</v>
      </c>
      <c r="U55" s="170">
        <f t="shared" ref="U55:U59" si="86">+S55-T55</f>
        <v>56</v>
      </c>
      <c r="V55" s="171">
        <f t="shared" ref="V55:V59" si="87">+U55*1000</f>
        <v>56000</v>
      </c>
      <c r="W55" s="171">
        <v>0</v>
      </c>
      <c r="X55" s="171">
        <f t="shared" ref="X55:X58" si="88">+V55-W55</f>
        <v>56000</v>
      </c>
      <c r="Y55" s="10">
        <f>944*4</f>
        <v>3776</v>
      </c>
      <c r="Z55" s="174">
        <f t="shared" ref="Z55:Z59" si="89">+U55*$Z$43/2</f>
        <v>11200</v>
      </c>
      <c r="AA55" s="172"/>
      <c r="AB55" s="4"/>
      <c r="AC55" s="11"/>
      <c r="AD55" s="11"/>
    </row>
    <row r="56" spans="2:30" ht="12" customHeight="1" x14ac:dyDescent="0.3">
      <c r="B56" s="32">
        <v>44964</v>
      </c>
      <c r="C56" s="13">
        <v>3358</v>
      </c>
      <c r="D56" s="13">
        <f t="shared" si="83"/>
        <v>3328</v>
      </c>
      <c r="E56" s="170">
        <f t="shared" si="78"/>
        <v>30</v>
      </c>
      <c r="F56" s="171">
        <f t="shared" si="79"/>
        <v>30000</v>
      </c>
      <c r="G56" s="171">
        <v>0</v>
      </c>
      <c r="H56" s="171">
        <f t="shared" si="80"/>
        <v>30000</v>
      </c>
      <c r="I56" s="33"/>
      <c r="J56" s="36">
        <f t="shared" si="81"/>
        <v>6000</v>
      </c>
      <c r="K56" s="172"/>
      <c r="L56" s="31">
        <f t="shared" si="82"/>
        <v>0.2</v>
      </c>
      <c r="M56" s="35">
        <f t="shared" si="84"/>
        <v>3750</v>
      </c>
      <c r="N56" s="35">
        <f t="shared" si="85"/>
        <v>1500</v>
      </c>
      <c r="O56" s="5"/>
      <c r="P56" s="5"/>
      <c r="Q56" s="5"/>
      <c r="R56" s="12">
        <v>44956</v>
      </c>
      <c r="S56" s="13">
        <v>1272</v>
      </c>
      <c r="T56" s="13">
        <f t="shared" ref="T56:T60" si="90">IF(R56=0,0,S55)</f>
        <v>1206</v>
      </c>
      <c r="U56" s="170">
        <f t="shared" si="86"/>
        <v>66</v>
      </c>
      <c r="V56" s="171">
        <f t="shared" si="87"/>
        <v>66000</v>
      </c>
      <c r="W56" s="171">
        <v>0</v>
      </c>
      <c r="X56" s="171">
        <f t="shared" si="88"/>
        <v>66000</v>
      </c>
      <c r="Y56" s="173"/>
      <c r="Z56" s="174">
        <f t="shared" si="89"/>
        <v>13200</v>
      </c>
      <c r="AA56" s="172"/>
      <c r="AB56" s="14">
        <f t="shared" ref="AB56:AB58" si="91">+(Y56+Z56)/X56</f>
        <v>0.2</v>
      </c>
      <c r="AC56" s="11">
        <f t="shared" ref="AC56:AC59" si="92">X56/(R56-R55)</f>
        <v>9428.5714285714294</v>
      </c>
      <c r="AD56" s="11">
        <f t="shared" ref="AD56:AD58" si="93">(X56*0.6-Y56-Z56)/(R56-R55)</f>
        <v>3771.4285714285716</v>
      </c>
    </row>
    <row r="57" spans="2:30" ht="12" customHeight="1" x14ac:dyDescent="0.3">
      <c r="B57" s="32">
        <v>44974</v>
      </c>
      <c r="C57" s="13">
        <v>3384</v>
      </c>
      <c r="D57" s="13">
        <f t="shared" si="83"/>
        <v>3358</v>
      </c>
      <c r="E57" s="170">
        <f t="shared" si="78"/>
        <v>26</v>
      </c>
      <c r="F57" s="171">
        <f t="shared" si="79"/>
        <v>26000</v>
      </c>
      <c r="G57" s="171">
        <v>0</v>
      </c>
      <c r="H57" s="171">
        <f t="shared" si="80"/>
        <v>26000</v>
      </c>
      <c r="I57" s="33"/>
      <c r="J57" s="36">
        <f t="shared" si="81"/>
        <v>5200</v>
      </c>
      <c r="K57" s="172"/>
      <c r="L57" s="31">
        <f t="shared" si="82"/>
        <v>0.2</v>
      </c>
      <c r="M57" s="35">
        <f t="shared" si="84"/>
        <v>2600</v>
      </c>
      <c r="N57" s="35">
        <f t="shared" si="85"/>
        <v>1040</v>
      </c>
      <c r="O57" s="5"/>
      <c r="P57" s="5"/>
      <c r="Q57" s="5"/>
      <c r="R57" s="12">
        <v>44964</v>
      </c>
      <c r="S57" s="13">
        <v>1348</v>
      </c>
      <c r="T57" s="13">
        <f t="shared" si="90"/>
        <v>1272</v>
      </c>
      <c r="U57" s="170">
        <f t="shared" si="86"/>
        <v>76</v>
      </c>
      <c r="V57" s="171">
        <f t="shared" si="87"/>
        <v>76000</v>
      </c>
      <c r="W57" s="171">
        <v>0</v>
      </c>
      <c r="X57" s="171">
        <f t="shared" si="88"/>
        <v>76000</v>
      </c>
      <c r="Y57" s="173">
        <f>944*4</f>
        <v>3776</v>
      </c>
      <c r="Z57" s="174">
        <f t="shared" si="89"/>
        <v>15200</v>
      </c>
      <c r="AA57" s="172"/>
      <c r="AB57" s="14">
        <f t="shared" si="91"/>
        <v>0.24968421052631579</v>
      </c>
      <c r="AC57" s="11">
        <f t="shared" si="92"/>
        <v>9500</v>
      </c>
      <c r="AD57" s="11">
        <f t="shared" si="93"/>
        <v>3328</v>
      </c>
    </row>
    <row r="58" spans="2:30" ht="12" customHeight="1" x14ac:dyDescent="0.3">
      <c r="B58" s="32"/>
      <c r="C58" s="13"/>
      <c r="D58" s="13">
        <f t="shared" si="83"/>
        <v>0</v>
      </c>
      <c r="E58" s="170">
        <f t="shared" si="78"/>
        <v>0</v>
      </c>
      <c r="F58" s="171">
        <f t="shared" si="79"/>
        <v>0</v>
      </c>
      <c r="G58" s="171">
        <v>0</v>
      </c>
      <c r="H58" s="171">
        <f t="shared" si="80"/>
        <v>0</v>
      </c>
      <c r="I58" s="173"/>
      <c r="J58" s="174">
        <f t="shared" si="81"/>
        <v>0</v>
      </c>
      <c r="K58" s="172"/>
      <c r="L58" s="37" t="e">
        <f t="shared" si="82"/>
        <v>#DIV/0!</v>
      </c>
      <c r="M58" s="35">
        <f t="shared" si="84"/>
        <v>0</v>
      </c>
      <c r="N58" s="35">
        <f t="shared" si="85"/>
        <v>0</v>
      </c>
      <c r="O58" s="5"/>
      <c r="P58" s="5"/>
      <c r="Q58" s="5"/>
      <c r="R58" s="12">
        <v>44974</v>
      </c>
      <c r="S58" s="13">
        <v>1435</v>
      </c>
      <c r="T58" s="13">
        <f t="shared" si="90"/>
        <v>1348</v>
      </c>
      <c r="U58" s="170">
        <f t="shared" si="86"/>
        <v>87</v>
      </c>
      <c r="V58" s="171">
        <f t="shared" si="87"/>
        <v>87000</v>
      </c>
      <c r="W58" s="171">
        <v>0</v>
      </c>
      <c r="X58" s="171">
        <f t="shared" si="88"/>
        <v>87000</v>
      </c>
      <c r="Y58" s="173"/>
      <c r="Z58" s="174">
        <f t="shared" si="89"/>
        <v>17400</v>
      </c>
      <c r="AA58" s="172"/>
      <c r="AB58" s="14">
        <f t="shared" si="91"/>
        <v>0.2</v>
      </c>
      <c r="AC58" s="11">
        <f t="shared" si="92"/>
        <v>8700</v>
      </c>
      <c r="AD58" s="11">
        <f t="shared" si="93"/>
        <v>3480</v>
      </c>
    </row>
    <row r="59" spans="2:30" ht="12" customHeight="1" x14ac:dyDescent="0.3">
      <c r="B59" s="45"/>
      <c r="C59" s="46"/>
      <c r="D59" s="13">
        <f t="shared" si="83"/>
        <v>0</v>
      </c>
      <c r="E59" s="47"/>
      <c r="F59" s="48"/>
      <c r="G59" s="48"/>
      <c r="H59" s="48">
        <f t="shared" si="80"/>
        <v>0</v>
      </c>
      <c r="I59" s="193"/>
      <c r="J59" s="59">
        <f t="shared" si="81"/>
        <v>0</v>
      </c>
      <c r="K59" s="51"/>
      <c r="L59" s="37" t="e">
        <f t="shared" si="82"/>
        <v>#DIV/0!</v>
      </c>
      <c r="M59" s="35" t="e">
        <f t="shared" si="84"/>
        <v>#DIV/0!</v>
      </c>
      <c r="N59" s="35" t="e">
        <f t="shared" si="85"/>
        <v>#DIV/0!</v>
      </c>
      <c r="O59" s="5"/>
      <c r="P59" s="5"/>
      <c r="Q59" s="5"/>
      <c r="R59" s="12"/>
      <c r="S59" s="13"/>
      <c r="T59" s="13">
        <f t="shared" si="90"/>
        <v>0</v>
      </c>
      <c r="U59" s="170">
        <f t="shared" si="86"/>
        <v>0</v>
      </c>
      <c r="V59" s="171">
        <f t="shared" si="87"/>
        <v>0</v>
      </c>
      <c r="W59" s="171">
        <v>0</v>
      </c>
      <c r="X59" s="171"/>
      <c r="Z59" s="174">
        <f t="shared" si="89"/>
        <v>0</v>
      </c>
      <c r="AA59" s="172"/>
      <c r="AB59" s="14" t="e">
        <f>+(Y60+Z59)/X59</f>
        <v>#DIV/0!</v>
      </c>
      <c r="AC59" s="11">
        <f t="shared" si="92"/>
        <v>0</v>
      </c>
      <c r="AD59" s="11">
        <f>(X59*0.6-Y60-Z59)/(R59-R58)</f>
        <v>0</v>
      </c>
    </row>
    <row r="60" spans="2:30" ht="12" customHeight="1" x14ac:dyDescent="0.3">
      <c r="B60" s="52"/>
      <c r="C60" s="53"/>
      <c r="D60" s="53"/>
      <c r="E60" s="53">
        <f t="shared" ref="E60:J60" si="94">SUM(E54:E59)</f>
        <v>185</v>
      </c>
      <c r="F60" s="54">
        <f t="shared" si="94"/>
        <v>185000</v>
      </c>
      <c r="G60" s="54">
        <f t="shared" si="94"/>
        <v>0</v>
      </c>
      <c r="H60" s="54">
        <f t="shared" si="94"/>
        <v>185000</v>
      </c>
      <c r="I60" s="55">
        <f t="shared" si="94"/>
        <v>3776</v>
      </c>
      <c r="J60" s="55">
        <f t="shared" si="94"/>
        <v>37000</v>
      </c>
      <c r="K60" s="56">
        <f>+H60*0.6-I60-J60-G60</f>
        <v>70224</v>
      </c>
      <c r="L60" s="42">
        <f t="shared" si="82"/>
        <v>0.22041081081081082</v>
      </c>
      <c r="M60" s="31">
        <f>L60+L61</f>
        <v>0.60000000000000009</v>
      </c>
      <c r="N60" s="5"/>
      <c r="O60" s="5"/>
      <c r="P60" s="5"/>
      <c r="Q60" s="5"/>
      <c r="R60" s="15"/>
      <c r="S60" s="16"/>
      <c r="T60" s="16">
        <f t="shared" si="90"/>
        <v>0</v>
      </c>
      <c r="U60" s="16">
        <f t="shared" ref="U60:X60" si="95">SUM(U55:U59)</f>
        <v>285</v>
      </c>
      <c r="V60" s="17">
        <f t="shared" si="95"/>
        <v>285000</v>
      </c>
      <c r="W60" s="17">
        <f t="shared" si="95"/>
        <v>0</v>
      </c>
      <c r="X60" s="17">
        <f t="shared" si="95"/>
        <v>285000</v>
      </c>
      <c r="Y60" s="173"/>
      <c r="Z60" s="18">
        <f>SUM(Z55:Z59)</f>
        <v>57000</v>
      </c>
      <c r="AA60" s="176">
        <f>+X60*0.6-Y60-Z60-W60</f>
        <v>114000</v>
      </c>
      <c r="AB60" s="19">
        <f>+(Y60+Z60)/X60</f>
        <v>0.2</v>
      </c>
      <c r="AC60" s="4"/>
      <c r="AD60" s="4"/>
    </row>
    <row r="61" spans="2:30" ht="12" customHeight="1" x14ac:dyDescent="0.3">
      <c r="B61" s="27"/>
      <c r="C61" s="5"/>
      <c r="D61" s="5"/>
      <c r="E61" s="5"/>
      <c r="F61" s="5"/>
      <c r="G61" s="23"/>
      <c r="H61" s="23"/>
      <c r="I61" s="23"/>
      <c r="J61" s="4"/>
      <c r="K61" s="64">
        <f>H60*0.3</f>
        <v>55500</v>
      </c>
      <c r="L61" s="43">
        <f>+K60/H60</f>
        <v>0.37958918918918921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  <c r="AA61" s="4">
        <f>X60*0.3</f>
        <v>85500</v>
      </c>
      <c r="AB61" s="19">
        <f>+AA60/X60</f>
        <v>0.4</v>
      </c>
      <c r="AC61" s="4"/>
      <c r="AD61" s="4"/>
    </row>
    <row r="62" spans="2:30" ht="12" customHeight="1" x14ac:dyDescent="0.3">
      <c r="B62" s="27"/>
      <c r="C62" s="5"/>
      <c r="D62" s="5"/>
      <c r="E62" s="5"/>
      <c r="F62" s="5"/>
      <c r="G62" s="23"/>
      <c r="H62" s="23"/>
      <c r="I62" s="3" t="s">
        <v>182</v>
      </c>
      <c r="J62" s="6">
        <v>200</v>
      </c>
      <c r="K62" s="66"/>
      <c r="L62" s="5"/>
      <c r="M62" s="5"/>
      <c r="N62" s="5"/>
      <c r="O62" s="5"/>
      <c r="P62" s="5"/>
      <c r="Q62" s="5"/>
      <c r="R62" s="192" t="s">
        <v>193</v>
      </c>
      <c r="S62" s="2"/>
      <c r="T62" s="2"/>
      <c r="U62" s="2"/>
      <c r="V62" s="3"/>
      <c r="W62" s="3"/>
      <c r="X62" s="3"/>
      <c r="Y62" s="3"/>
      <c r="Z62" s="3" t="s">
        <v>182</v>
      </c>
      <c r="AA62" s="3"/>
      <c r="AB62" s="4"/>
      <c r="AC62" s="4"/>
      <c r="AD62" s="4"/>
    </row>
    <row r="63" spans="2:30" ht="12" customHeight="1" x14ac:dyDescent="0.3">
      <c r="B63" s="28" t="s">
        <v>142</v>
      </c>
      <c r="C63" s="8" t="s">
        <v>188</v>
      </c>
      <c r="D63" s="8" t="s">
        <v>189</v>
      </c>
      <c r="E63" s="8" t="s">
        <v>190</v>
      </c>
      <c r="F63" s="8" t="s">
        <v>145</v>
      </c>
      <c r="G63" s="8" t="s">
        <v>163</v>
      </c>
      <c r="H63" s="8" t="s">
        <v>164</v>
      </c>
      <c r="I63" s="168" t="s">
        <v>165</v>
      </c>
      <c r="J63" s="9" t="s">
        <v>166</v>
      </c>
      <c r="K63" s="67" t="s">
        <v>146</v>
      </c>
      <c r="L63" s="29" t="s">
        <v>179</v>
      </c>
      <c r="M63" s="5" t="s">
        <v>191</v>
      </c>
      <c r="N63" s="5" t="s">
        <v>194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>
        <v>400</v>
      </c>
      <c r="AA63" s="5"/>
      <c r="AB63" s="4"/>
      <c r="AC63" s="4"/>
      <c r="AD63" s="4"/>
    </row>
    <row r="64" spans="2:30" ht="12" customHeight="1" x14ac:dyDescent="0.3">
      <c r="B64" s="178">
        <v>44978</v>
      </c>
      <c r="C64" s="170">
        <v>3444</v>
      </c>
      <c r="D64" s="170">
        <f>C57</f>
        <v>3384</v>
      </c>
      <c r="E64" s="170">
        <f t="shared" ref="E64:E68" si="96">+C64-D64</f>
        <v>60</v>
      </c>
      <c r="F64" s="171">
        <f t="shared" ref="F64:F68" si="97">+E64*1000</f>
        <v>60000</v>
      </c>
      <c r="G64" s="171"/>
      <c r="H64" s="171">
        <f t="shared" ref="H64:H69" si="98">+F64-G64</f>
        <v>60000</v>
      </c>
      <c r="I64" s="10">
        <f>944*3</f>
        <v>2832</v>
      </c>
      <c r="J64" s="34">
        <f t="shared" ref="J64:J69" si="99">+E64*$J$3</f>
        <v>12000</v>
      </c>
      <c r="K64" s="194"/>
      <c r="L64" s="31">
        <f t="shared" ref="L64:L70" si="100">+(I64+J64)/H64</f>
        <v>0.2472</v>
      </c>
      <c r="M64" s="35">
        <f>H64/(B64-B59)</f>
        <v>1.3339855040241897</v>
      </c>
      <c r="N64" s="35">
        <f>(H64*0.6-I64-J64)/(B64-B59)</f>
        <v>0.47063008581973409</v>
      </c>
      <c r="O64" s="5"/>
      <c r="P64" s="5"/>
      <c r="Q64" s="5"/>
      <c r="R64" s="7" t="s">
        <v>142</v>
      </c>
      <c r="S64" s="8" t="s">
        <v>143</v>
      </c>
      <c r="T64" s="8" t="s">
        <v>162</v>
      </c>
      <c r="U64" s="8" t="s">
        <v>144</v>
      </c>
      <c r="V64" s="8" t="s">
        <v>145</v>
      </c>
      <c r="W64" s="8" t="s">
        <v>163</v>
      </c>
      <c r="X64" s="8" t="s">
        <v>164</v>
      </c>
      <c r="Y64" s="168" t="s">
        <v>165</v>
      </c>
      <c r="Z64" s="9" t="s">
        <v>166</v>
      </c>
      <c r="AA64" s="9" t="s">
        <v>146</v>
      </c>
      <c r="AB64" s="4" t="s">
        <v>179</v>
      </c>
      <c r="AC64" s="4" t="s">
        <v>191</v>
      </c>
      <c r="AD64" s="4" t="s">
        <v>194</v>
      </c>
    </row>
    <row r="65" spans="2:30" ht="12" customHeight="1" x14ac:dyDescent="0.3">
      <c r="B65" s="32">
        <v>44985</v>
      </c>
      <c r="C65" s="13">
        <v>3534</v>
      </c>
      <c r="D65" s="13">
        <f t="shared" ref="D65:D69" si="101">IF(B65=0,0,C64)</f>
        <v>3444</v>
      </c>
      <c r="E65" s="170">
        <f t="shared" si="96"/>
        <v>90</v>
      </c>
      <c r="F65" s="171">
        <f t="shared" si="97"/>
        <v>90000</v>
      </c>
      <c r="G65" s="171">
        <v>0</v>
      </c>
      <c r="H65" s="171">
        <f t="shared" si="98"/>
        <v>90000</v>
      </c>
      <c r="I65" s="33"/>
      <c r="J65" s="34">
        <f t="shared" si="99"/>
        <v>18000</v>
      </c>
      <c r="K65" s="172"/>
      <c r="L65" s="31">
        <f t="shared" si="100"/>
        <v>0.2</v>
      </c>
      <c r="M65" s="35">
        <f t="shared" ref="M65:M69" si="102">H65/(B65-B64)</f>
        <v>12857.142857142857</v>
      </c>
      <c r="N65" s="35">
        <f t="shared" ref="N65:N69" si="103">(H65*0.6-I65-J65)/(B65-B64)</f>
        <v>5142.8571428571431</v>
      </c>
      <c r="O65" s="5"/>
      <c r="P65" s="5"/>
      <c r="Q65" s="5"/>
      <c r="R65" s="169">
        <v>44978</v>
      </c>
      <c r="S65" s="170">
        <v>1488</v>
      </c>
      <c r="T65" s="170">
        <f>S58</f>
        <v>1435</v>
      </c>
      <c r="U65" s="170">
        <f t="shared" ref="U65:U69" si="104">+S65-T65</f>
        <v>53</v>
      </c>
      <c r="V65" s="171">
        <f t="shared" ref="V65:V69" si="105">+U65*1000</f>
        <v>53000</v>
      </c>
      <c r="W65" s="171">
        <v>0</v>
      </c>
      <c r="X65" s="171">
        <f t="shared" ref="X65:X69" si="106">+V65-W65</f>
        <v>53000</v>
      </c>
      <c r="Y65" s="10"/>
      <c r="Z65" s="174">
        <f t="shared" ref="Z65:Z69" si="107">+U65*$Z$43/2</f>
        <v>10600</v>
      </c>
      <c r="AA65" s="172"/>
      <c r="AB65" s="4"/>
      <c r="AC65" s="11"/>
      <c r="AD65" s="11"/>
    </row>
    <row r="66" spans="2:30" ht="12" customHeight="1" x14ac:dyDescent="0.3">
      <c r="B66" s="32">
        <v>44991</v>
      </c>
      <c r="C66" s="13">
        <v>3595</v>
      </c>
      <c r="D66" s="13">
        <f t="shared" si="101"/>
        <v>3534</v>
      </c>
      <c r="E66" s="170">
        <f t="shared" si="96"/>
        <v>61</v>
      </c>
      <c r="F66" s="171">
        <f t="shared" si="97"/>
        <v>61000</v>
      </c>
      <c r="G66" s="171">
        <v>0</v>
      </c>
      <c r="H66" s="171">
        <f t="shared" si="98"/>
        <v>61000</v>
      </c>
      <c r="I66" s="33"/>
      <c r="J66" s="36">
        <f t="shared" si="99"/>
        <v>12200</v>
      </c>
      <c r="K66" s="172"/>
      <c r="L66" s="31">
        <f t="shared" si="100"/>
        <v>0.2</v>
      </c>
      <c r="M66" s="35">
        <f t="shared" si="102"/>
        <v>10166.666666666666</v>
      </c>
      <c r="N66" s="35">
        <f t="shared" si="103"/>
        <v>4066.6666666666665</v>
      </c>
      <c r="O66" s="5"/>
      <c r="P66" s="5"/>
      <c r="Q66" s="5"/>
      <c r="R66" s="12">
        <v>44991</v>
      </c>
      <c r="S66" s="13">
        <v>110</v>
      </c>
      <c r="T66" s="13">
        <v>110</v>
      </c>
      <c r="U66" s="170">
        <f t="shared" si="104"/>
        <v>0</v>
      </c>
      <c r="V66" s="171">
        <f t="shared" si="105"/>
        <v>0</v>
      </c>
      <c r="W66" s="171">
        <v>0</v>
      </c>
      <c r="X66" s="171">
        <f t="shared" si="106"/>
        <v>0</v>
      </c>
      <c r="Y66" s="173"/>
      <c r="Z66" s="174">
        <f t="shared" si="107"/>
        <v>0</v>
      </c>
      <c r="AA66" s="172"/>
      <c r="AB66" s="14" t="e">
        <f t="shared" ref="AB66:AB68" si="108">+(Y66+Z66)/X66</f>
        <v>#DIV/0!</v>
      </c>
      <c r="AC66" s="11">
        <f t="shared" ref="AC66:AC69" si="109">X66/(R66-R65)</f>
        <v>0</v>
      </c>
      <c r="AD66" s="11">
        <f t="shared" ref="AD66:AD68" si="110">(X66*0.6-Y66-Z66)/(R66-R65)</f>
        <v>0</v>
      </c>
    </row>
    <row r="67" spans="2:30" ht="12" customHeight="1" x14ac:dyDescent="0.3">
      <c r="B67" s="32">
        <v>44999</v>
      </c>
      <c r="C67" s="13">
        <v>3673</v>
      </c>
      <c r="D67" s="13">
        <f t="shared" si="101"/>
        <v>3595</v>
      </c>
      <c r="E67" s="170">
        <f t="shared" si="96"/>
        <v>78</v>
      </c>
      <c r="F67" s="171">
        <f t="shared" si="97"/>
        <v>78000</v>
      </c>
      <c r="G67" s="171">
        <v>0</v>
      </c>
      <c r="H67" s="171">
        <f t="shared" si="98"/>
        <v>78000</v>
      </c>
      <c r="I67" s="33">
        <f>944*3</f>
        <v>2832</v>
      </c>
      <c r="J67" s="36">
        <f t="shared" si="99"/>
        <v>15600</v>
      </c>
      <c r="K67" s="172"/>
      <c r="L67" s="31">
        <f t="shared" si="100"/>
        <v>0.2363076923076923</v>
      </c>
      <c r="M67" s="35">
        <f t="shared" si="102"/>
        <v>9750</v>
      </c>
      <c r="N67" s="35">
        <f t="shared" si="103"/>
        <v>3546</v>
      </c>
      <c r="O67" s="5"/>
      <c r="P67" s="5"/>
      <c r="Q67" s="5"/>
      <c r="R67" s="12">
        <v>44991</v>
      </c>
      <c r="S67" s="13">
        <v>270</v>
      </c>
      <c r="T67" s="13">
        <f t="shared" ref="T67:T70" si="111">IF(R67=0,0,S66)</f>
        <v>110</v>
      </c>
      <c r="U67" s="170">
        <f t="shared" si="104"/>
        <v>160</v>
      </c>
      <c r="V67" s="171">
        <f t="shared" si="105"/>
        <v>160000</v>
      </c>
      <c r="W67" s="171">
        <v>0</v>
      </c>
      <c r="X67" s="171">
        <f t="shared" si="106"/>
        <v>160000</v>
      </c>
      <c r="Y67" s="173">
        <f>944*6</f>
        <v>5664</v>
      </c>
      <c r="Z67" s="174">
        <f t="shared" si="107"/>
        <v>32000</v>
      </c>
      <c r="AA67" s="172"/>
      <c r="AB67" s="14">
        <f t="shared" si="108"/>
        <v>0.2354</v>
      </c>
      <c r="AC67" s="11" t="e">
        <f t="shared" si="109"/>
        <v>#DIV/0!</v>
      </c>
      <c r="AD67" s="11" t="e">
        <f t="shared" si="110"/>
        <v>#DIV/0!</v>
      </c>
    </row>
    <row r="68" spans="2:30" ht="12" customHeight="1" x14ac:dyDescent="0.3">
      <c r="B68" s="32">
        <v>45003</v>
      </c>
      <c r="C68" s="13">
        <v>3702</v>
      </c>
      <c r="D68" s="13">
        <f t="shared" si="101"/>
        <v>3673</v>
      </c>
      <c r="E68" s="170">
        <f t="shared" si="96"/>
        <v>29</v>
      </c>
      <c r="F68" s="171">
        <f t="shared" si="97"/>
        <v>29000</v>
      </c>
      <c r="G68" s="171">
        <v>0</v>
      </c>
      <c r="H68" s="171">
        <f t="shared" si="98"/>
        <v>29000</v>
      </c>
      <c r="I68" s="173"/>
      <c r="J68" s="174">
        <f t="shared" si="99"/>
        <v>5800</v>
      </c>
      <c r="K68" s="172"/>
      <c r="L68" s="37">
        <f t="shared" si="100"/>
        <v>0.2</v>
      </c>
      <c r="M68" s="35">
        <f t="shared" si="102"/>
        <v>7250</v>
      </c>
      <c r="N68" s="35">
        <f t="shared" si="103"/>
        <v>2900</v>
      </c>
      <c r="O68" s="5"/>
      <c r="P68" s="5"/>
      <c r="Q68" s="5"/>
      <c r="R68" s="12">
        <v>44999</v>
      </c>
      <c r="S68" s="13">
        <v>383</v>
      </c>
      <c r="T68" s="13">
        <f t="shared" si="111"/>
        <v>270</v>
      </c>
      <c r="U68" s="170">
        <f t="shared" si="104"/>
        <v>113</v>
      </c>
      <c r="V68" s="171">
        <f t="shared" si="105"/>
        <v>113000</v>
      </c>
      <c r="W68" s="171">
        <v>0</v>
      </c>
      <c r="X68" s="171">
        <f t="shared" si="106"/>
        <v>113000</v>
      </c>
      <c r="Y68" s="173">
        <f t="shared" ref="Y68:Y69" si="112">944*5</f>
        <v>4720</v>
      </c>
      <c r="Z68" s="174">
        <f t="shared" si="107"/>
        <v>22600</v>
      </c>
      <c r="AA68" s="172"/>
      <c r="AB68" s="14">
        <f t="shared" si="108"/>
        <v>0.24176991150442478</v>
      </c>
      <c r="AC68" s="11">
        <f t="shared" si="109"/>
        <v>14125</v>
      </c>
      <c r="AD68" s="11">
        <f t="shared" si="110"/>
        <v>5060</v>
      </c>
    </row>
    <row r="69" spans="2:30" ht="12" customHeight="1" x14ac:dyDescent="0.3">
      <c r="B69" s="45"/>
      <c r="C69" s="46"/>
      <c r="D69" s="13">
        <f t="shared" si="101"/>
        <v>0</v>
      </c>
      <c r="E69" s="47"/>
      <c r="F69" s="48"/>
      <c r="G69" s="48"/>
      <c r="H69" s="48">
        <f t="shared" si="98"/>
        <v>0</v>
      </c>
      <c r="I69" s="193"/>
      <c r="J69" s="59">
        <f t="shared" si="99"/>
        <v>0</v>
      </c>
      <c r="K69" s="51"/>
      <c r="L69" s="37" t="e">
        <f t="shared" si="100"/>
        <v>#DIV/0!</v>
      </c>
      <c r="M69" s="35">
        <f t="shared" si="102"/>
        <v>0</v>
      </c>
      <c r="N69" s="35">
        <f t="shared" si="103"/>
        <v>0</v>
      </c>
      <c r="O69" s="5"/>
      <c r="P69" s="5"/>
      <c r="Q69" s="5"/>
      <c r="R69" s="12">
        <v>45003</v>
      </c>
      <c r="S69" s="13">
        <v>438</v>
      </c>
      <c r="T69" s="13">
        <f t="shared" si="111"/>
        <v>383</v>
      </c>
      <c r="U69" s="170">
        <f t="shared" si="104"/>
        <v>55</v>
      </c>
      <c r="V69" s="171">
        <f t="shared" si="105"/>
        <v>55000</v>
      </c>
      <c r="W69" s="171">
        <v>0</v>
      </c>
      <c r="X69" s="171">
        <f t="shared" si="106"/>
        <v>55000</v>
      </c>
      <c r="Y69" s="1">
        <f t="shared" si="112"/>
        <v>4720</v>
      </c>
      <c r="Z69" s="174">
        <f t="shared" si="107"/>
        <v>11000</v>
      </c>
      <c r="AA69" s="172"/>
      <c r="AB69" s="14">
        <f>+(Y70+Z69)/X69</f>
        <v>0.2</v>
      </c>
      <c r="AC69" s="11">
        <f t="shared" si="109"/>
        <v>13750</v>
      </c>
      <c r="AD69" s="11">
        <f>(X69*0.6-Y70-Z69)/(R69-R68)</f>
        <v>5500</v>
      </c>
    </row>
    <row r="70" spans="2:30" ht="12" customHeight="1" x14ac:dyDescent="0.3">
      <c r="B70" s="52"/>
      <c r="C70" s="53"/>
      <c r="D70" s="53"/>
      <c r="E70" s="53">
        <f t="shared" ref="E70:J70" si="113">SUM(E64:E69)</f>
        <v>318</v>
      </c>
      <c r="F70" s="54">
        <f t="shared" si="113"/>
        <v>318000</v>
      </c>
      <c r="G70" s="54">
        <f t="shared" si="113"/>
        <v>0</v>
      </c>
      <c r="H70" s="54">
        <f t="shared" si="113"/>
        <v>318000</v>
      </c>
      <c r="I70" s="55">
        <f t="shared" si="113"/>
        <v>5664</v>
      </c>
      <c r="J70" s="55">
        <f t="shared" si="113"/>
        <v>63600</v>
      </c>
      <c r="K70" s="56">
        <f>+H70*0.6-I70-J70-G70</f>
        <v>121536</v>
      </c>
      <c r="L70" s="42">
        <f t="shared" si="100"/>
        <v>0.21781132075471699</v>
      </c>
      <c r="M70" s="31">
        <f>L70+L71</f>
        <v>0.6</v>
      </c>
      <c r="N70" s="5"/>
      <c r="O70" s="5"/>
      <c r="P70" s="5"/>
      <c r="Q70" s="5"/>
      <c r="R70" s="15"/>
      <c r="S70" s="16"/>
      <c r="T70" s="16">
        <f t="shared" si="111"/>
        <v>0</v>
      </c>
      <c r="U70" s="16">
        <f t="shared" ref="U70:X70" si="114">SUM(U65:U69)</f>
        <v>381</v>
      </c>
      <c r="V70" s="17">
        <f t="shared" si="114"/>
        <v>381000</v>
      </c>
      <c r="W70" s="17">
        <f t="shared" si="114"/>
        <v>0</v>
      </c>
      <c r="X70" s="17">
        <f t="shared" si="114"/>
        <v>381000</v>
      </c>
      <c r="Y70" s="173"/>
      <c r="Z70" s="18">
        <f>SUM(Z65:Z69)</f>
        <v>76200</v>
      </c>
      <c r="AA70" s="176">
        <f>+X70*0.6-Y70-Z70-W70</f>
        <v>152400</v>
      </c>
      <c r="AB70" s="19">
        <f>+(Y70+Z70)/X70</f>
        <v>0.2</v>
      </c>
      <c r="AC70" s="4"/>
      <c r="AD70" s="4"/>
    </row>
    <row r="71" spans="2:30" ht="12" customHeight="1" x14ac:dyDescent="0.3">
      <c r="B71" s="27"/>
      <c r="C71" s="5"/>
      <c r="D71" s="5"/>
      <c r="E71" s="5"/>
      <c r="F71" s="5"/>
      <c r="G71" s="23"/>
      <c r="H71" s="23"/>
      <c r="I71" s="23"/>
      <c r="J71" s="4"/>
      <c r="K71" s="64">
        <f>H70*0.3</f>
        <v>95400</v>
      </c>
      <c r="L71" s="43">
        <f>+K70/H70</f>
        <v>0.38218867924528299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  <c r="AA71" s="4">
        <f>X70*0.3</f>
        <v>114300</v>
      </c>
      <c r="AB71" s="19">
        <f>+AA70/X70</f>
        <v>0.4</v>
      </c>
      <c r="AC71" s="4"/>
      <c r="AD71" s="4"/>
    </row>
    <row r="72" spans="2:30" ht="12" customHeight="1" x14ac:dyDescent="0.3">
      <c r="B72" s="27"/>
      <c r="C72" s="5"/>
      <c r="D72" s="5"/>
      <c r="E72" s="5"/>
      <c r="F72" s="5"/>
      <c r="G72" s="23"/>
      <c r="H72" s="23"/>
      <c r="I72" s="3" t="s">
        <v>182</v>
      </c>
      <c r="J72" s="6">
        <v>200</v>
      </c>
      <c r="K72" s="66"/>
      <c r="L72" s="5"/>
      <c r="M72" s="5"/>
      <c r="N72" s="5"/>
      <c r="O72" s="5"/>
      <c r="P72" s="5"/>
      <c r="Q72" s="5"/>
      <c r="R72" s="192" t="s">
        <v>193</v>
      </c>
      <c r="S72" s="2"/>
      <c r="T72" s="2"/>
      <c r="U72" s="2"/>
      <c r="V72" s="3"/>
      <c r="W72" s="3"/>
      <c r="X72" s="3"/>
      <c r="Y72" s="3"/>
      <c r="Z72" s="3" t="s">
        <v>182</v>
      </c>
      <c r="AA72" s="3"/>
      <c r="AB72" s="4"/>
      <c r="AC72" s="4"/>
      <c r="AD72" s="4"/>
    </row>
    <row r="73" spans="2:30" ht="12" customHeight="1" x14ac:dyDescent="0.3">
      <c r="B73" s="28" t="s">
        <v>142</v>
      </c>
      <c r="C73" s="8" t="s">
        <v>188</v>
      </c>
      <c r="D73" s="8" t="s">
        <v>189</v>
      </c>
      <c r="E73" s="8" t="s">
        <v>190</v>
      </c>
      <c r="F73" s="8" t="s">
        <v>145</v>
      </c>
      <c r="G73" s="8" t="s">
        <v>163</v>
      </c>
      <c r="H73" s="8" t="s">
        <v>164</v>
      </c>
      <c r="I73" s="168" t="s">
        <v>165</v>
      </c>
      <c r="J73" s="9" t="s">
        <v>166</v>
      </c>
      <c r="K73" s="67" t="s">
        <v>146</v>
      </c>
      <c r="L73" s="29" t="s">
        <v>179</v>
      </c>
      <c r="M73" s="5" t="s">
        <v>191</v>
      </c>
      <c r="N73" s="5" t="s">
        <v>194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>
        <v>400</v>
      </c>
      <c r="AA73" s="5"/>
      <c r="AB73" s="4"/>
      <c r="AC73" s="4"/>
      <c r="AD73" s="4"/>
    </row>
    <row r="74" spans="2:30" ht="12" customHeight="1" x14ac:dyDescent="0.3">
      <c r="B74" s="178">
        <v>45010</v>
      </c>
      <c r="C74" s="170">
        <v>3772</v>
      </c>
      <c r="D74" s="170">
        <f>C68</f>
        <v>3702</v>
      </c>
      <c r="E74" s="170">
        <f t="shared" ref="E74:E78" si="115">+C74-D74</f>
        <v>70</v>
      </c>
      <c r="F74" s="171">
        <f t="shared" ref="F74:F78" si="116">+E74*1000</f>
        <v>70000</v>
      </c>
      <c r="G74" s="171"/>
      <c r="H74" s="171">
        <f t="shared" ref="H74:H79" si="117">+F74-G74</f>
        <v>70000</v>
      </c>
      <c r="I74" s="10"/>
      <c r="J74" s="34">
        <f t="shared" ref="J74:J79" si="118">+E74*$J$3</f>
        <v>14000</v>
      </c>
      <c r="K74" s="194"/>
      <c r="L74" s="31">
        <f t="shared" ref="L74:L80" si="119">+(I74+J74)/H74</f>
        <v>0.2</v>
      </c>
      <c r="M74" s="35">
        <f>H74/(B74-B69)</f>
        <v>1.5552099533437014</v>
      </c>
      <c r="N74" s="35">
        <f>(H74*0.6-I74-J74)/(B74-B69)</f>
        <v>0.62208398133748055</v>
      </c>
      <c r="O74" s="5"/>
      <c r="P74" s="5"/>
      <c r="Q74" s="5"/>
      <c r="R74" s="7" t="s">
        <v>142</v>
      </c>
      <c r="S74" s="8" t="s">
        <v>143</v>
      </c>
      <c r="T74" s="8" t="s">
        <v>162</v>
      </c>
      <c r="U74" s="8" t="s">
        <v>144</v>
      </c>
      <c r="V74" s="8" t="s">
        <v>145</v>
      </c>
      <c r="W74" s="8" t="s">
        <v>163</v>
      </c>
      <c r="X74" s="8" t="s">
        <v>164</v>
      </c>
      <c r="Y74" s="168" t="s">
        <v>165</v>
      </c>
      <c r="Z74" s="9" t="s">
        <v>166</v>
      </c>
      <c r="AA74" s="9" t="s">
        <v>146</v>
      </c>
      <c r="AB74" s="4" t="s">
        <v>179</v>
      </c>
      <c r="AC74" s="4" t="s">
        <v>191</v>
      </c>
      <c r="AD74" s="4" t="s">
        <v>194</v>
      </c>
    </row>
    <row r="75" spans="2:30" ht="12" customHeight="1" x14ac:dyDescent="0.3">
      <c r="B75" s="32">
        <v>45017</v>
      </c>
      <c r="C75" s="13">
        <v>3827</v>
      </c>
      <c r="D75" s="13">
        <f t="shared" ref="D75:D79" si="120">IF(B75=0,0,C74)</f>
        <v>3772</v>
      </c>
      <c r="E75" s="170">
        <f t="shared" si="115"/>
        <v>55</v>
      </c>
      <c r="F75" s="171">
        <f t="shared" si="116"/>
        <v>55000</v>
      </c>
      <c r="G75" s="171">
        <v>0</v>
      </c>
      <c r="H75" s="171">
        <f t="shared" si="117"/>
        <v>55000</v>
      </c>
      <c r="I75" s="33"/>
      <c r="J75" s="34">
        <f t="shared" si="118"/>
        <v>11000</v>
      </c>
      <c r="K75" s="172"/>
      <c r="L75" s="31">
        <f t="shared" si="119"/>
        <v>0.2</v>
      </c>
      <c r="M75" s="35">
        <f t="shared" ref="M75:M79" si="121">H75/(B75-B74)</f>
        <v>7857.1428571428569</v>
      </c>
      <c r="N75" s="35">
        <f t="shared" ref="N75:N79" si="122">(H75*0.6-I75-J75)/(B75-B74)</f>
        <v>3142.8571428571427</v>
      </c>
      <c r="O75" s="5"/>
      <c r="P75" s="5"/>
      <c r="Q75" s="5"/>
      <c r="R75" s="169">
        <v>45010</v>
      </c>
      <c r="S75" s="170">
        <v>610</v>
      </c>
      <c r="T75" s="170">
        <f>S69</f>
        <v>438</v>
      </c>
      <c r="U75" s="170">
        <f t="shared" ref="U75:U79" si="123">+S75-T75</f>
        <v>172</v>
      </c>
      <c r="V75" s="171">
        <f t="shared" ref="V75:V79" si="124">+U75*1000</f>
        <v>172000</v>
      </c>
      <c r="W75" s="171">
        <v>0</v>
      </c>
      <c r="X75" s="171">
        <f t="shared" ref="X75:X79" si="125">+V75-W75</f>
        <v>172000</v>
      </c>
      <c r="Y75" s="10">
        <f>944*5</f>
        <v>4720</v>
      </c>
      <c r="Z75" s="174">
        <f t="shared" ref="Z75:Z79" si="126">+U75*$Z$43/2</f>
        <v>34400</v>
      </c>
      <c r="AA75" s="172"/>
      <c r="AB75" s="4"/>
      <c r="AC75" s="11"/>
      <c r="AD75" s="11"/>
    </row>
    <row r="76" spans="2:30" ht="12" customHeight="1" x14ac:dyDescent="0.3">
      <c r="B76" s="32">
        <v>45022</v>
      </c>
      <c r="C76" s="13">
        <v>3880</v>
      </c>
      <c r="D76" s="13">
        <f t="shared" si="120"/>
        <v>3827</v>
      </c>
      <c r="E76" s="170">
        <f t="shared" si="115"/>
        <v>53</v>
      </c>
      <c r="F76" s="171">
        <f t="shared" si="116"/>
        <v>53000</v>
      </c>
      <c r="G76" s="171">
        <v>0</v>
      </c>
      <c r="H76" s="171">
        <f t="shared" si="117"/>
        <v>53000</v>
      </c>
      <c r="I76" s="33"/>
      <c r="J76" s="36">
        <f t="shared" si="118"/>
        <v>10600</v>
      </c>
      <c r="K76" s="172"/>
      <c r="L76" s="31">
        <f t="shared" si="119"/>
        <v>0.2</v>
      </c>
      <c r="M76" s="35">
        <f t="shared" si="121"/>
        <v>10600</v>
      </c>
      <c r="N76" s="35">
        <f t="shared" si="122"/>
        <v>4240</v>
      </c>
      <c r="O76" s="5"/>
      <c r="P76" s="5"/>
      <c r="Q76" s="5"/>
      <c r="R76" s="12">
        <v>45017</v>
      </c>
      <c r="S76" s="13">
        <v>724</v>
      </c>
      <c r="T76" s="13">
        <f t="shared" ref="T76:T80" si="127">IF(R76=0,0,S75)</f>
        <v>610</v>
      </c>
      <c r="U76" s="170">
        <f t="shared" si="123"/>
        <v>114</v>
      </c>
      <c r="V76" s="171">
        <f t="shared" si="124"/>
        <v>114000</v>
      </c>
      <c r="W76" s="171">
        <v>0</v>
      </c>
      <c r="X76" s="171">
        <f t="shared" si="125"/>
        <v>114000</v>
      </c>
      <c r="Y76" s="173"/>
      <c r="Z76" s="174">
        <f t="shared" si="126"/>
        <v>22800</v>
      </c>
      <c r="AA76" s="172"/>
      <c r="AB76" s="14">
        <f t="shared" ref="AB76:AB78" si="128">+(Y76+Z76)/X76</f>
        <v>0.2</v>
      </c>
      <c r="AC76" s="11">
        <f t="shared" ref="AC76:AC79" si="129">X76/(R76-R75)</f>
        <v>16285.714285714286</v>
      </c>
      <c r="AD76" s="11">
        <f t="shared" ref="AD76:AD78" si="130">(X76*0.6-Y76-Z76)/(R76-R75)</f>
        <v>6514.2857142857147</v>
      </c>
    </row>
    <row r="77" spans="2:30" ht="12" customHeight="1" x14ac:dyDescent="0.3">
      <c r="B77" s="32">
        <v>45029</v>
      </c>
      <c r="C77" s="13">
        <v>3940</v>
      </c>
      <c r="D77" s="13">
        <f t="shared" si="120"/>
        <v>3880</v>
      </c>
      <c r="E77" s="170">
        <f t="shared" si="115"/>
        <v>60</v>
      </c>
      <c r="F77" s="171">
        <f t="shared" si="116"/>
        <v>60000</v>
      </c>
      <c r="G77" s="171">
        <v>0</v>
      </c>
      <c r="H77" s="171">
        <f t="shared" si="117"/>
        <v>60000</v>
      </c>
      <c r="I77" s="33">
        <f>944*5</f>
        <v>4720</v>
      </c>
      <c r="J77" s="36">
        <f t="shared" si="118"/>
        <v>12000</v>
      </c>
      <c r="K77" s="172"/>
      <c r="L77" s="31">
        <f t="shared" si="119"/>
        <v>0.27866666666666667</v>
      </c>
      <c r="M77" s="35">
        <f t="shared" si="121"/>
        <v>8571.4285714285706</v>
      </c>
      <c r="N77" s="35">
        <f t="shared" si="122"/>
        <v>2754.2857142857142</v>
      </c>
      <c r="O77" s="5"/>
      <c r="P77" s="5"/>
      <c r="Q77" s="5"/>
      <c r="R77" s="12">
        <v>45022</v>
      </c>
      <c r="S77" s="13">
        <v>832</v>
      </c>
      <c r="T77" s="13">
        <f t="shared" si="127"/>
        <v>724</v>
      </c>
      <c r="U77" s="170">
        <f t="shared" si="123"/>
        <v>108</v>
      </c>
      <c r="V77" s="171">
        <f t="shared" si="124"/>
        <v>108000</v>
      </c>
      <c r="W77" s="171">
        <v>0</v>
      </c>
      <c r="X77" s="171">
        <f t="shared" si="125"/>
        <v>108000</v>
      </c>
      <c r="Y77" s="173"/>
      <c r="Z77" s="174">
        <f t="shared" si="126"/>
        <v>21600</v>
      </c>
      <c r="AA77" s="172"/>
      <c r="AB77" s="14">
        <f t="shared" si="128"/>
        <v>0.2</v>
      </c>
      <c r="AC77" s="11">
        <f t="shared" si="129"/>
        <v>21600</v>
      </c>
      <c r="AD77" s="11">
        <f t="shared" si="130"/>
        <v>8640</v>
      </c>
    </row>
    <row r="78" spans="2:30" ht="12" customHeight="1" x14ac:dyDescent="0.3">
      <c r="B78" s="32">
        <v>45035</v>
      </c>
      <c r="C78" s="13">
        <v>3970</v>
      </c>
      <c r="D78" s="13">
        <f t="shared" si="120"/>
        <v>3940</v>
      </c>
      <c r="E78" s="170">
        <f t="shared" si="115"/>
        <v>30</v>
      </c>
      <c r="F78" s="171">
        <f t="shared" si="116"/>
        <v>30000</v>
      </c>
      <c r="G78" s="171">
        <v>0</v>
      </c>
      <c r="H78" s="171">
        <f t="shared" si="117"/>
        <v>30000</v>
      </c>
      <c r="I78" s="173"/>
      <c r="J78" s="174">
        <f t="shared" si="118"/>
        <v>6000</v>
      </c>
      <c r="K78" s="172"/>
      <c r="L78" s="37">
        <f t="shared" si="119"/>
        <v>0.2</v>
      </c>
      <c r="M78" s="35">
        <f t="shared" si="121"/>
        <v>5000</v>
      </c>
      <c r="N78" s="35">
        <f t="shared" si="122"/>
        <v>2000</v>
      </c>
      <c r="O78" s="5"/>
      <c r="P78" s="5"/>
      <c r="Q78" s="5"/>
      <c r="R78" s="12">
        <v>45029</v>
      </c>
      <c r="S78" s="13">
        <v>936</v>
      </c>
      <c r="T78" s="13">
        <f t="shared" si="127"/>
        <v>832</v>
      </c>
      <c r="U78" s="170">
        <f t="shared" si="123"/>
        <v>104</v>
      </c>
      <c r="V78" s="171">
        <f t="shared" si="124"/>
        <v>104000</v>
      </c>
      <c r="W78" s="171">
        <v>0</v>
      </c>
      <c r="X78" s="171">
        <f t="shared" si="125"/>
        <v>104000</v>
      </c>
      <c r="Y78" s="173">
        <f>944*6</f>
        <v>5664</v>
      </c>
      <c r="Z78" s="174">
        <f t="shared" si="126"/>
        <v>20800</v>
      </c>
      <c r="AA78" s="172"/>
      <c r="AB78" s="14">
        <f t="shared" si="128"/>
        <v>0.25446153846153846</v>
      </c>
      <c r="AC78" s="11">
        <f t="shared" si="129"/>
        <v>14857.142857142857</v>
      </c>
      <c r="AD78" s="11">
        <f t="shared" si="130"/>
        <v>5133.7142857142853</v>
      </c>
    </row>
    <row r="79" spans="2:30" ht="12" customHeight="1" x14ac:dyDescent="0.3">
      <c r="B79" s="45"/>
      <c r="C79" s="46"/>
      <c r="D79" s="13">
        <f t="shared" si="120"/>
        <v>0</v>
      </c>
      <c r="E79" s="47"/>
      <c r="F79" s="48"/>
      <c r="G79" s="48"/>
      <c r="H79" s="48">
        <f t="shared" si="117"/>
        <v>0</v>
      </c>
      <c r="I79" s="193"/>
      <c r="J79" s="59">
        <f t="shared" si="118"/>
        <v>0</v>
      </c>
      <c r="K79" s="51"/>
      <c r="L79" s="37" t="e">
        <f t="shared" si="119"/>
        <v>#DIV/0!</v>
      </c>
      <c r="M79" s="35">
        <f t="shared" si="121"/>
        <v>0</v>
      </c>
      <c r="N79" s="35">
        <f t="shared" si="122"/>
        <v>0</v>
      </c>
      <c r="O79" s="5"/>
      <c r="P79" s="5"/>
      <c r="Q79" s="5"/>
      <c r="R79" s="12">
        <v>45035</v>
      </c>
      <c r="S79" s="13">
        <v>998</v>
      </c>
      <c r="T79" s="13">
        <f t="shared" si="127"/>
        <v>936</v>
      </c>
      <c r="U79" s="170">
        <f t="shared" si="123"/>
        <v>62</v>
      </c>
      <c r="V79" s="171">
        <f t="shared" si="124"/>
        <v>62000</v>
      </c>
      <c r="W79" s="171">
        <v>0</v>
      </c>
      <c r="X79" s="171">
        <f t="shared" si="125"/>
        <v>62000</v>
      </c>
      <c r="Y79" s="1"/>
      <c r="Z79" s="174">
        <f t="shared" si="126"/>
        <v>12400</v>
      </c>
      <c r="AA79" s="172"/>
      <c r="AB79" s="14">
        <f>+(Y80+Z79)/X79</f>
        <v>0.2</v>
      </c>
      <c r="AC79" s="11">
        <f t="shared" si="129"/>
        <v>10333.333333333334</v>
      </c>
      <c r="AD79" s="11">
        <f>(X79*0.6-Y80-Z79)/(R79-R78)</f>
        <v>4133.333333333333</v>
      </c>
    </row>
    <row r="80" spans="2:30" ht="12" customHeight="1" x14ac:dyDescent="0.3">
      <c r="B80" s="52"/>
      <c r="C80" s="53"/>
      <c r="D80" s="53"/>
      <c r="E80" s="53">
        <f t="shared" ref="E80:J80" si="131">SUM(E74:E79)</f>
        <v>268</v>
      </c>
      <c r="F80" s="54">
        <f t="shared" si="131"/>
        <v>268000</v>
      </c>
      <c r="G80" s="54">
        <f t="shared" si="131"/>
        <v>0</v>
      </c>
      <c r="H80" s="54">
        <f t="shared" si="131"/>
        <v>268000</v>
      </c>
      <c r="I80" s="55">
        <f t="shared" si="131"/>
        <v>4720</v>
      </c>
      <c r="J80" s="55">
        <f t="shared" si="131"/>
        <v>53600</v>
      </c>
      <c r="K80" s="56">
        <f>+H80*0.6-I80-J80-G80</f>
        <v>102480</v>
      </c>
      <c r="L80" s="42">
        <f t="shared" si="119"/>
        <v>0.21761194029850747</v>
      </c>
      <c r="M80" s="31">
        <f>L80+L81</f>
        <v>0.6</v>
      </c>
      <c r="N80" s="5"/>
      <c r="O80" s="5"/>
      <c r="P80" s="5"/>
      <c r="Q80" s="5"/>
      <c r="R80" s="15"/>
      <c r="S80" s="16"/>
      <c r="T80" s="16">
        <f t="shared" si="127"/>
        <v>0</v>
      </c>
      <c r="U80" s="16">
        <f t="shared" ref="U80:X80" si="132">SUM(U75:U79)</f>
        <v>560</v>
      </c>
      <c r="V80" s="17">
        <f t="shared" si="132"/>
        <v>560000</v>
      </c>
      <c r="W80" s="17">
        <f t="shared" si="132"/>
        <v>0</v>
      </c>
      <c r="X80" s="17">
        <f t="shared" si="132"/>
        <v>560000</v>
      </c>
      <c r="Y80" s="173"/>
      <c r="Z80" s="18">
        <f>SUM(Z75:Z79)</f>
        <v>112000</v>
      </c>
      <c r="AA80" s="176">
        <f>+X80*0.6-Y80-Z80-W80</f>
        <v>224000</v>
      </c>
      <c r="AB80" s="19">
        <f>+(Y80+Z80)/X80</f>
        <v>0.2</v>
      </c>
      <c r="AC80" s="4"/>
      <c r="AD80" s="4"/>
    </row>
    <row r="81" spans="2:30" ht="12" customHeight="1" x14ac:dyDescent="0.3">
      <c r="B81" s="27"/>
      <c r="C81" s="5"/>
      <c r="D81" s="5"/>
      <c r="E81" s="5"/>
      <c r="F81" s="5"/>
      <c r="G81" s="23"/>
      <c r="H81" s="23"/>
      <c r="I81" s="23"/>
      <c r="J81" s="4"/>
      <c r="K81" s="64">
        <f>H80*0.3</f>
        <v>80400</v>
      </c>
      <c r="L81" s="43">
        <f>+K80/H80</f>
        <v>0.38238805970149253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  <c r="AA81" s="4">
        <f>X80*0.3</f>
        <v>168000</v>
      </c>
      <c r="AB81" s="19">
        <f>+AA80/X80</f>
        <v>0.4</v>
      </c>
      <c r="AC81" s="4"/>
      <c r="AD81" s="4"/>
    </row>
    <row r="82" spans="2:30" ht="12" customHeight="1" x14ac:dyDescent="0.3">
      <c r="B82" s="27"/>
      <c r="C82" s="5"/>
      <c r="D82" s="5"/>
      <c r="E82" s="5"/>
      <c r="F82" s="5"/>
      <c r="G82" s="23"/>
      <c r="H82" s="23"/>
      <c r="I82" s="3" t="s">
        <v>182</v>
      </c>
      <c r="J82" s="6">
        <v>200</v>
      </c>
      <c r="K82" s="66"/>
      <c r="L82" s="5"/>
      <c r="M82" s="5"/>
      <c r="N82" s="5"/>
      <c r="O82" s="5"/>
      <c r="P82" s="5"/>
      <c r="Q82" s="5"/>
      <c r="R82" s="192" t="s">
        <v>193</v>
      </c>
      <c r="S82" s="2"/>
      <c r="T82" s="2"/>
      <c r="U82" s="2"/>
      <c r="V82" s="3"/>
      <c r="W82" s="3"/>
      <c r="X82" s="3"/>
      <c r="Y82" s="3"/>
      <c r="Z82" s="3" t="s">
        <v>182</v>
      </c>
      <c r="AA82" s="3"/>
      <c r="AB82" s="4"/>
      <c r="AC82" s="4"/>
      <c r="AD82" s="4"/>
    </row>
    <row r="83" spans="2:30" ht="12" customHeight="1" x14ac:dyDescent="0.3">
      <c r="B83" s="28" t="s">
        <v>142</v>
      </c>
      <c r="C83" s="8" t="s">
        <v>188</v>
      </c>
      <c r="D83" s="8" t="s">
        <v>189</v>
      </c>
      <c r="E83" s="8" t="s">
        <v>190</v>
      </c>
      <c r="F83" s="8" t="s">
        <v>145</v>
      </c>
      <c r="G83" s="8" t="s">
        <v>163</v>
      </c>
      <c r="H83" s="8" t="s">
        <v>164</v>
      </c>
      <c r="I83" s="168" t="s">
        <v>165</v>
      </c>
      <c r="J83" s="9" t="s">
        <v>166</v>
      </c>
      <c r="K83" s="67" t="s">
        <v>146</v>
      </c>
      <c r="L83" s="29" t="s">
        <v>179</v>
      </c>
      <c r="M83" s="5" t="s">
        <v>191</v>
      </c>
      <c r="N83" s="5" t="s">
        <v>194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>
        <v>400</v>
      </c>
      <c r="AA83" s="5"/>
      <c r="AB83" s="4"/>
      <c r="AC83" s="4"/>
      <c r="AD83" s="4"/>
    </row>
    <row r="84" spans="2:30" ht="12" customHeight="1" x14ac:dyDescent="0.3">
      <c r="B84" s="178">
        <v>45042</v>
      </c>
      <c r="C84" s="170">
        <v>4006</v>
      </c>
      <c r="D84" s="170">
        <f>C78</f>
        <v>3970</v>
      </c>
      <c r="E84" s="170">
        <f t="shared" ref="E84:E89" si="133">+C84-D84</f>
        <v>36</v>
      </c>
      <c r="F84" s="171">
        <f t="shared" ref="F84:F89" si="134">+E84*1000</f>
        <v>36000</v>
      </c>
      <c r="G84" s="171"/>
      <c r="H84" s="171">
        <f t="shared" ref="H84:H89" si="135">+F84-G84</f>
        <v>36000</v>
      </c>
      <c r="I84" s="10">
        <f>944*2</f>
        <v>1888</v>
      </c>
      <c r="J84" s="34">
        <f t="shared" ref="J84:J89" si="136">+E84*$J$3</f>
        <v>7200</v>
      </c>
      <c r="K84" s="194"/>
      <c r="L84" s="31">
        <f t="shared" ref="L84:L90" si="137">+(I84+J84)/H84</f>
        <v>0.25244444444444447</v>
      </c>
      <c r="M84" s="35">
        <f>H84/(B84-B79)</f>
        <v>0.79925402957239911</v>
      </c>
      <c r="N84" s="35">
        <f>(H84*0.6-I84-J84)/(B84-B79)</f>
        <v>0.2777851782780516</v>
      </c>
      <c r="O84" s="5"/>
      <c r="P84" s="5"/>
      <c r="Q84" s="5"/>
      <c r="R84" s="7" t="s">
        <v>142</v>
      </c>
      <c r="S84" s="8" t="s">
        <v>143</v>
      </c>
      <c r="T84" s="8" t="s">
        <v>162</v>
      </c>
      <c r="U84" s="8" t="s">
        <v>144</v>
      </c>
      <c r="V84" s="8" t="s">
        <v>145</v>
      </c>
      <c r="W84" s="8" t="s">
        <v>163</v>
      </c>
      <c r="X84" s="8" t="s">
        <v>164</v>
      </c>
      <c r="Y84" s="168" t="s">
        <v>165</v>
      </c>
      <c r="Z84" s="9" t="s">
        <v>166</v>
      </c>
      <c r="AA84" s="9" t="s">
        <v>146</v>
      </c>
      <c r="AB84" s="4" t="s">
        <v>179</v>
      </c>
      <c r="AC84" s="4" t="s">
        <v>191</v>
      </c>
      <c r="AD84" s="4" t="s">
        <v>194</v>
      </c>
    </row>
    <row r="85" spans="2:30" ht="12" customHeight="1" x14ac:dyDescent="0.3">
      <c r="B85" s="32">
        <v>45048</v>
      </c>
      <c r="C85" s="13">
        <v>4064</v>
      </c>
      <c r="D85" s="13">
        <f t="shared" ref="D85:D89" si="138">IF(B85=0,0,C84)</f>
        <v>4006</v>
      </c>
      <c r="E85" s="170">
        <f t="shared" si="133"/>
        <v>58</v>
      </c>
      <c r="F85" s="171">
        <f t="shared" si="134"/>
        <v>58000</v>
      </c>
      <c r="G85" s="171">
        <v>0</v>
      </c>
      <c r="H85" s="171">
        <f t="shared" si="135"/>
        <v>58000</v>
      </c>
      <c r="I85" s="33">
        <v>944</v>
      </c>
      <c r="J85" s="34">
        <f t="shared" si="136"/>
        <v>11600</v>
      </c>
      <c r="K85" s="172"/>
      <c r="L85" s="31">
        <f t="shared" si="137"/>
        <v>0.21627586206896551</v>
      </c>
      <c r="M85" s="35">
        <f t="shared" ref="M85:M89" si="139">H85/(B85-B84)</f>
        <v>9666.6666666666661</v>
      </c>
      <c r="N85" s="35">
        <f t="shared" ref="N85:N89" si="140">(H85*0.6-I85-J85)/(B85-B84)</f>
        <v>3709.3333333333335</v>
      </c>
      <c r="O85" s="5"/>
      <c r="P85" s="5"/>
      <c r="Q85" s="5"/>
      <c r="R85" s="169">
        <v>45042</v>
      </c>
      <c r="S85" s="170">
        <v>1102</v>
      </c>
      <c r="T85" s="170">
        <f>S79</f>
        <v>998</v>
      </c>
      <c r="U85" s="170">
        <f t="shared" ref="U85:U89" si="141">+S85-T85</f>
        <v>104</v>
      </c>
      <c r="V85" s="171">
        <f t="shared" ref="V85:V89" si="142">+U85*1000</f>
        <v>104000</v>
      </c>
      <c r="W85" s="171">
        <v>0</v>
      </c>
      <c r="X85" s="171">
        <f t="shared" ref="X85:X89" si="143">+V85-W85</f>
        <v>104000</v>
      </c>
      <c r="Y85" s="10"/>
      <c r="Z85" s="174">
        <f t="shared" ref="Z85:Z89" si="144">+U85*$Z$43/2</f>
        <v>20800</v>
      </c>
      <c r="AA85" s="172"/>
      <c r="AB85" s="4"/>
      <c r="AC85" s="11"/>
      <c r="AD85" s="11"/>
    </row>
    <row r="86" spans="2:30" ht="12" customHeight="1" x14ac:dyDescent="0.3">
      <c r="B86" s="32">
        <v>45054</v>
      </c>
      <c r="C86" s="13">
        <v>4132</v>
      </c>
      <c r="D86" s="13">
        <f t="shared" si="138"/>
        <v>4064</v>
      </c>
      <c r="E86" s="170">
        <f t="shared" si="133"/>
        <v>68</v>
      </c>
      <c r="F86" s="171">
        <f t="shared" si="134"/>
        <v>68000</v>
      </c>
      <c r="G86" s="171">
        <v>0</v>
      </c>
      <c r="H86" s="171">
        <f t="shared" si="135"/>
        <v>68000</v>
      </c>
      <c r="I86" s="33">
        <v>5400</v>
      </c>
      <c r="J86" s="36">
        <f t="shared" si="136"/>
        <v>13600</v>
      </c>
      <c r="K86" s="172"/>
      <c r="L86" s="31">
        <f t="shared" si="137"/>
        <v>0.27941176470588236</v>
      </c>
      <c r="M86" s="35">
        <f t="shared" si="139"/>
        <v>11333.333333333334</v>
      </c>
      <c r="N86" s="35">
        <f t="shared" si="140"/>
        <v>3633.3333333333335</v>
      </c>
      <c r="O86" s="5"/>
      <c r="P86" s="5"/>
      <c r="Q86" s="5"/>
      <c r="R86" s="12">
        <v>45048</v>
      </c>
      <c r="S86" s="13">
        <v>1226</v>
      </c>
      <c r="T86" s="13">
        <f t="shared" ref="T86:T90" si="145">IF(R86=0,0,S85)</f>
        <v>1102</v>
      </c>
      <c r="U86" s="170">
        <f t="shared" si="141"/>
        <v>124</v>
      </c>
      <c r="V86" s="171">
        <f t="shared" si="142"/>
        <v>124000</v>
      </c>
      <c r="W86" s="171">
        <v>0</v>
      </c>
      <c r="X86" s="171">
        <f t="shared" si="143"/>
        <v>124000</v>
      </c>
      <c r="Y86" s="173">
        <f>944*2</f>
        <v>1888</v>
      </c>
      <c r="Z86" s="174">
        <f t="shared" si="144"/>
        <v>24800</v>
      </c>
      <c r="AA86" s="172"/>
      <c r="AB86" s="14">
        <f t="shared" ref="AB86:AB88" si="146">+(Y86+Z86)/X86</f>
        <v>0.21522580645161291</v>
      </c>
      <c r="AC86" s="11">
        <f t="shared" ref="AC86:AC89" si="147">X86/(R86-R85)</f>
        <v>20666.666666666668</v>
      </c>
      <c r="AD86" s="11">
        <f t="shared" ref="AD86:AD88" si="148">(X86*0.6-Y86-Z86)/(R86-R85)</f>
        <v>7952</v>
      </c>
    </row>
    <row r="87" spans="2:30" ht="12" customHeight="1" x14ac:dyDescent="0.3">
      <c r="B87" s="32">
        <v>45057</v>
      </c>
      <c r="C87" s="13">
        <v>4153</v>
      </c>
      <c r="D87" s="13">
        <f t="shared" si="138"/>
        <v>4132</v>
      </c>
      <c r="E87" s="170">
        <f t="shared" si="133"/>
        <v>21</v>
      </c>
      <c r="F87" s="171">
        <f t="shared" si="134"/>
        <v>21000</v>
      </c>
      <c r="G87" s="171">
        <v>0</v>
      </c>
      <c r="H87" s="171">
        <f t="shared" si="135"/>
        <v>21000</v>
      </c>
      <c r="I87" s="33">
        <v>12800</v>
      </c>
      <c r="J87" s="36">
        <f t="shared" si="136"/>
        <v>4200</v>
      </c>
      <c r="K87" s="172"/>
      <c r="L87" s="31">
        <f t="shared" si="137"/>
        <v>0.80952380952380953</v>
      </c>
      <c r="M87" s="35">
        <f t="shared" si="139"/>
        <v>7000</v>
      </c>
      <c r="N87" s="35">
        <f t="shared" si="140"/>
        <v>-1466.6666666666667</v>
      </c>
      <c r="O87" s="5"/>
      <c r="P87" s="5"/>
      <c r="Q87" s="5"/>
      <c r="R87" s="12">
        <v>45054</v>
      </c>
      <c r="S87" s="13">
        <v>1322</v>
      </c>
      <c r="T87" s="13">
        <f t="shared" si="145"/>
        <v>1226</v>
      </c>
      <c r="U87" s="170">
        <f t="shared" si="141"/>
        <v>96</v>
      </c>
      <c r="V87" s="171">
        <f t="shared" si="142"/>
        <v>96000</v>
      </c>
      <c r="W87" s="171">
        <v>0</v>
      </c>
      <c r="X87" s="171">
        <f t="shared" si="143"/>
        <v>96000</v>
      </c>
      <c r="Y87" s="173">
        <v>39800</v>
      </c>
      <c r="Z87" s="174">
        <f t="shared" si="144"/>
        <v>19200</v>
      </c>
      <c r="AA87" s="172"/>
      <c r="AB87" s="14">
        <f t="shared" si="146"/>
        <v>0.61458333333333337</v>
      </c>
      <c r="AC87" s="11">
        <f t="shared" si="147"/>
        <v>16000</v>
      </c>
      <c r="AD87" s="11">
        <f t="shared" si="148"/>
        <v>-233.33333333333334</v>
      </c>
    </row>
    <row r="88" spans="2:30" ht="12" customHeight="1" x14ac:dyDescent="0.3">
      <c r="B88" s="32">
        <v>45060</v>
      </c>
      <c r="C88" s="13">
        <v>4174</v>
      </c>
      <c r="D88" s="13">
        <f t="shared" si="138"/>
        <v>4153</v>
      </c>
      <c r="E88" s="170">
        <f t="shared" si="133"/>
        <v>21</v>
      </c>
      <c r="F88" s="171">
        <f t="shared" si="134"/>
        <v>21000</v>
      </c>
      <c r="G88" s="171">
        <v>0</v>
      </c>
      <c r="H88" s="171">
        <f t="shared" si="135"/>
        <v>21000</v>
      </c>
      <c r="I88" s="173"/>
      <c r="J88" s="174">
        <f t="shared" si="136"/>
        <v>4200</v>
      </c>
      <c r="K88" s="172"/>
      <c r="L88" s="37">
        <f t="shared" si="137"/>
        <v>0.2</v>
      </c>
      <c r="M88" s="35">
        <f t="shared" si="139"/>
        <v>7000</v>
      </c>
      <c r="N88" s="35">
        <f t="shared" si="140"/>
        <v>2800</v>
      </c>
      <c r="O88" s="5"/>
      <c r="P88" s="5"/>
      <c r="Q88" s="5"/>
      <c r="R88" s="12">
        <v>45057</v>
      </c>
      <c r="S88" s="13">
        <v>1356</v>
      </c>
      <c r="T88" s="13">
        <f t="shared" si="145"/>
        <v>1322</v>
      </c>
      <c r="U88" s="170">
        <f t="shared" si="141"/>
        <v>34</v>
      </c>
      <c r="V88" s="171">
        <f t="shared" si="142"/>
        <v>34000</v>
      </c>
      <c r="W88" s="171">
        <v>0</v>
      </c>
      <c r="X88" s="171">
        <f t="shared" si="143"/>
        <v>34000</v>
      </c>
      <c r="Y88" s="173"/>
      <c r="Z88" s="174">
        <f t="shared" si="144"/>
        <v>6800</v>
      </c>
      <c r="AA88" s="172"/>
      <c r="AB88" s="14">
        <f t="shared" si="146"/>
        <v>0.2</v>
      </c>
      <c r="AC88" s="11">
        <f t="shared" si="147"/>
        <v>11333.333333333334</v>
      </c>
      <c r="AD88" s="11">
        <f t="shared" si="148"/>
        <v>4533.333333333333</v>
      </c>
    </row>
    <row r="89" spans="2:30" ht="12" customHeight="1" x14ac:dyDescent="0.3">
      <c r="B89" s="45">
        <v>45064</v>
      </c>
      <c r="C89" s="46">
        <v>4187</v>
      </c>
      <c r="D89" s="13">
        <f t="shared" si="138"/>
        <v>4174</v>
      </c>
      <c r="E89" s="47">
        <f t="shared" si="133"/>
        <v>13</v>
      </c>
      <c r="F89" s="48">
        <f t="shared" si="134"/>
        <v>13000</v>
      </c>
      <c r="G89" s="48"/>
      <c r="H89" s="48">
        <f t="shared" si="135"/>
        <v>13000</v>
      </c>
      <c r="I89" s="193"/>
      <c r="J89" s="59">
        <f t="shared" si="136"/>
        <v>2600</v>
      </c>
      <c r="K89" s="51"/>
      <c r="L89" s="37">
        <f t="shared" si="137"/>
        <v>0.2</v>
      </c>
      <c r="M89" s="35">
        <f t="shared" si="139"/>
        <v>3250</v>
      </c>
      <c r="N89" s="35">
        <f t="shared" si="140"/>
        <v>1300</v>
      </c>
      <c r="O89" s="5"/>
      <c r="P89" s="5"/>
      <c r="Q89" s="5"/>
      <c r="R89" s="12">
        <v>45064</v>
      </c>
      <c r="S89" s="13">
        <v>1434</v>
      </c>
      <c r="T89" s="13">
        <f t="shared" si="145"/>
        <v>1356</v>
      </c>
      <c r="U89" s="170">
        <f t="shared" si="141"/>
        <v>78</v>
      </c>
      <c r="V89" s="171">
        <f t="shared" si="142"/>
        <v>78000</v>
      </c>
      <c r="W89" s="171">
        <v>0</v>
      </c>
      <c r="X89" s="171">
        <f t="shared" si="143"/>
        <v>78000</v>
      </c>
      <c r="Y89" s="1">
        <v>5664</v>
      </c>
      <c r="Z89" s="174">
        <f t="shared" si="144"/>
        <v>15600</v>
      </c>
      <c r="AA89" s="172"/>
      <c r="AB89" s="14">
        <f>+(Y90+Z89)/X89</f>
        <v>0.2</v>
      </c>
      <c r="AC89" s="11">
        <f t="shared" si="147"/>
        <v>11142.857142857143</v>
      </c>
      <c r="AD89" s="11">
        <f>(X89*0.6-Y90-Z89)/(R89-R88)</f>
        <v>4457.1428571428569</v>
      </c>
    </row>
    <row r="90" spans="2:30" ht="12" customHeight="1" x14ac:dyDescent="0.3">
      <c r="B90" s="52"/>
      <c r="C90" s="53"/>
      <c r="D90" s="53"/>
      <c r="E90" s="53">
        <f t="shared" ref="E90:J90" si="149">SUM(E84:E89)</f>
        <v>217</v>
      </c>
      <c r="F90" s="54">
        <f t="shared" si="149"/>
        <v>217000</v>
      </c>
      <c r="G90" s="54">
        <f t="shared" si="149"/>
        <v>0</v>
      </c>
      <c r="H90" s="54">
        <f t="shared" si="149"/>
        <v>217000</v>
      </c>
      <c r="I90" s="55">
        <f t="shared" si="149"/>
        <v>21032</v>
      </c>
      <c r="J90" s="55">
        <f t="shared" si="149"/>
        <v>43400</v>
      </c>
      <c r="K90" s="56">
        <f>+H90*0.6-I90-J90-G90</f>
        <v>65768</v>
      </c>
      <c r="L90" s="42">
        <f t="shared" si="137"/>
        <v>0.29692165898617512</v>
      </c>
      <c r="M90" s="31">
        <f>L90+L91</f>
        <v>0.6</v>
      </c>
      <c r="N90" s="5"/>
      <c r="O90" s="5"/>
      <c r="P90" s="5"/>
      <c r="Q90" s="5"/>
      <c r="R90" s="15"/>
      <c r="S90" s="16"/>
      <c r="T90" s="16">
        <f t="shared" si="145"/>
        <v>0</v>
      </c>
      <c r="U90" s="16">
        <f t="shared" ref="U90:X90" si="150">SUM(U85:U89)</f>
        <v>436</v>
      </c>
      <c r="V90" s="17">
        <f t="shared" si="150"/>
        <v>436000</v>
      </c>
      <c r="W90" s="17">
        <f t="shared" si="150"/>
        <v>0</v>
      </c>
      <c r="X90" s="17">
        <f t="shared" si="150"/>
        <v>436000</v>
      </c>
      <c r="Y90" s="173"/>
      <c r="Z90" s="18">
        <f>SUM(Z85:Z89)</f>
        <v>87200</v>
      </c>
      <c r="AA90" s="176">
        <f>+X90*0.6-Y90-Z90-W90</f>
        <v>174400</v>
      </c>
      <c r="AB90" s="19">
        <f>+(Y90+Z90)/X90</f>
        <v>0.2</v>
      </c>
      <c r="AC90" s="4"/>
      <c r="AD90" s="4"/>
    </row>
    <row r="91" spans="2:30" ht="12" customHeight="1" x14ac:dyDescent="0.3">
      <c r="B91" s="27"/>
      <c r="C91" s="5"/>
      <c r="D91" s="5"/>
      <c r="E91" s="5"/>
      <c r="F91" s="5"/>
      <c r="G91" s="23"/>
      <c r="H91" s="23"/>
      <c r="I91" s="23"/>
      <c r="J91" s="4"/>
      <c r="K91" s="64">
        <f>H90*0.3</f>
        <v>65100</v>
      </c>
      <c r="L91" s="43">
        <f>+K90/H90</f>
        <v>0.30307834101382486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  <c r="AA91" s="4">
        <f>X90*0.3</f>
        <v>130800</v>
      </c>
      <c r="AB91" s="19">
        <f>+AA90/X90</f>
        <v>0.4</v>
      </c>
      <c r="AC91" s="4"/>
      <c r="AD91" s="4"/>
    </row>
    <row r="92" spans="2:30" ht="12" customHeight="1" x14ac:dyDescent="0.3">
      <c r="B92" s="27"/>
      <c r="C92" s="5"/>
      <c r="D92" s="5"/>
      <c r="E92" s="5"/>
      <c r="F92" s="5"/>
      <c r="G92" s="23"/>
      <c r="H92" s="23"/>
      <c r="I92" s="3" t="s">
        <v>182</v>
      </c>
      <c r="J92" s="6">
        <v>200</v>
      </c>
      <c r="K92" s="66"/>
      <c r="L92" s="5"/>
      <c r="M92" s="5"/>
      <c r="N92" s="5"/>
      <c r="O92" s="5"/>
      <c r="P92" s="5"/>
      <c r="Q92" s="5"/>
      <c r="R92" s="192" t="s">
        <v>193</v>
      </c>
      <c r="S92" s="2"/>
      <c r="T92" s="2"/>
      <c r="U92" s="2"/>
      <c r="V92" s="3"/>
      <c r="W92" s="3"/>
      <c r="X92" s="3"/>
      <c r="Y92" s="3"/>
      <c r="Z92" s="3" t="s">
        <v>182</v>
      </c>
      <c r="AA92" s="3"/>
      <c r="AB92" s="4"/>
      <c r="AC92" s="4"/>
      <c r="AD92" s="4"/>
    </row>
    <row r="93" spans="2:30" ht="12" customHeight="1" x14ac:dyDescent="0.3">
      <c r="B93" s="28" t="s">
        <v>142</v>
      </c>
      <c r="C93" s="8" t="s">
        <v>188</v>
      </c>
      <c r="D93" s="8" t="s">
        <v>189</v>
      </c>
      <c r="E93" s="8" t="s">
        <v>190</v>
      </c>
      <c r="F93" s="8" t="s">
        <v>145</v>
      </c>
      <c r="G93" s="8" t="s">
        <v>163</v>
      </c>
      <c r="H93" s="8" t="s">
        <v>164</v>
      </c>
      <c r="I93" s="168" t="s">
        <v>165</v>
      </c>
      <c r="J93" s="9" t="s">
        <v>166</v>
      </c>
      <c r="K93" s="67" t="s">
        <v>146</v>
      </c>
      <c r="L93" s="29" t="s">
        <v>179</v>
      </c>
      <c r="M93" s="5" t="s">
        <v>191</v>
      </c>
      <c r="N93" s="5" t="s">
        <v>194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>
        <v>400</v>
      </c>
      <c r="AA93" s="5"/>
      <c r="AB93" s="4"/>
      <c r="AC93" s="4"/>
      <c r="AD93" s="4"/>
    </row>
    <row r="94" spans="2:30" ht="12" customHeight="1" x14ac:dyDescent="0.3">
      <c r="B94" s="178">
        <v>45071</v>
      </c>
      <c r="C94" s="170">
        <v>4225</v>
      </c>
      <c r="D94" s="170">
        <f>C89</f>
        <v>4187</v>
      </c>
      <c r="E94" s="170">
        <f t="shared" ref="E94:E99" si="151">+C94-D94</f>
        <v>38</v>
      </c>
      <c r="F94" s="171">
        <f t="shared" ref="F94:F99" si="152">+E94*1000</f>
        <v>38000</v>
      </c>
      <c r="G94" s="171"/>
      <c r="H94" s="171">
        <f t="shared" ref="H94:H99" si="153">+F94-G94</f>
        <v>38000</v>
      </c>
      <c r="I94" s="10">
        <f>944*2</f>
        <v>1888</v>
      </c>
      <c r="J94" s="34">
        <f t="shared" ref="J94:J99" si="154">+E94*$J$3</f>
        <v>7600</v>
      </c>
      <c r="K94" s="194"/>
      <c r="L94" s="31">
        <f t="shared" ref="L94:L100" si="155">+(I94+J94)/H94</f>
        <v>0.24968421052631579</v>
      </c>
      <c r="M94" s="35">
        <f>H94/(B94-B89)</f>
        <v>5428.5714285714284</v>
      </c>
      <c r="N94" s="35">
        <f>(H94*0.6-I94-J94)/(B94-B89)</f>
        <v>1901.7142857142858</v>
      </c>
      <c r="O94" s="5"/>
      <c r="P94" s="5"/>
      <c r="Q94" s="5"/>
      <c r="R94" s="7" t="s">
        <v>142</v>
      </c>
      <c r="S94" s="8" t="s">
        <v>143</v>
      </c>
      <c r="T94" s="8" t="s">
        <v>162</v>
      </c>
      <c r="U94" s="8" t="s">
        <v>144</v>
      </c>
      <c r="V94" s="8" t="s">
        <v>145</v>
      </c>
      <c r="W94" s="8" t="s">
        <v>163</v>
      </c>
      <c r="X94" s="8" t="s">
        <v>164</v>
      </c>
      <c r="Y94" s="168" t="s">
        <v>165</v>
      </c>
      <c r="Z94" s="9" t="s">
        <v>166</v>
      </c>
      <c r="AA94" s="9" t="s">
        <v>146</v>
      </c>
      <c r="AB94" s="4" t="s">
        <v>179</v>
      </c>
      <c r="AC94" s="4" t="s">
        <v>191</v>
      </c>
      <c r="AD94" s="4" t="s">
        <v>194</v>
      </c>
    </row>
    <row r="95" spans="2:30" ht="12" customHeight="1" x14ac:dyDescent="0.3">
      <c r="B95" s="32">
        <v>45074</v>
      </c>
      <c r="C95" s="13">
        <v>4253</v>
      </c>
      <c r="D95" s="13">
        <f t="shared" ref="D95:D99" si="156">IF(B95=0,0,C94)</f>
        <v>4225</v>
      </c>
      <c r="E95" s="170">
        <f t="shared" si="151"/>
        <v>28</v>
      </c>
      <c r="F95" s="171">
        <f t="shared" si="152"/>
        <v>28000</v>
      </c>
      <c r="G95" s="171">
        <v>0</v>
      </c>
      <c r="H95" s="171">
        <f t="shared" si="153"/>
        <v>28000</v>
      </c>
      <c r="I95" s="33">
        <v>944</v>
      </c>
      <c r="J95" s="34">
        <f t="shared" si="154"/>
        <v>5600</v>
      </c>
      <c r="K95" s="172"/>
      <c r="L95" s="31">
        <f t="shared" si="155"/>
        <v>0.23371428571428571</v>
      </c>
      <c r="M95" s="35">
        <f t="shared" ref="M95:M99" si="157">H95/(B95-B94)</f>
        <v>9333.3333333333339</v>
      </c>
      <c r="N95" s="35">
        <f t="shared" ref="N95:N99" si="158">(H95*0.6-I95-J95)/(B95-B94)</f>
        <v>3418.6666666666665</v>
      </c>
      <c r="O95" s="5"/>
      <c r="P95" s="5"/>
      <c r="Q95" s="5"/>
      <c r="R95" s="169">
        <v>45071</v>
      </c>
      <c r="S95" s="170">
        <v>1514</v>
      </c>
      <c r="T95" s="170">
        <f>S89</f>
        <v>1434</v>
      </c>
      <c r="U95" s="170">
        <f t="shared" ref="U95:U99" si="159">+S95-T95</f>
        <v>80</v>
      </c>
      <c r="V95" s="171">
        <f t="shared" ref="V95:V99" si="160">+U95*1000</f>
        <v>80000</v>
      </c>
      <c r="W95" s="171">
        <v>0</v>
      </c>
      <c r="X95" s="171">
        <f t="shared" ref="X95:X99" si="161">+V95-W95</f>
        <v>80000</v>
      </c>
      <c r="Y95" s="10">
        <f>944*6</f>
        <v>5664</v>
      </c>
      <c r="Z95" s="174">
        <f t="shared" ref="Z95:Z99" si="162">+U95*$Z$43/2</f>
        <v>16000</v>
      </c>
      <c r="AA95" s="172"/>
      <c r="AB95" s="4"/>
      <c r="AC95" s="11"/>
      <c r="AD95" s="11"/>
    </row>
    <row r="96" spans="2:30" ht="12" customHeight="1" x14ac:dyDescent="0.3">
      <c r="B96" s="32">
        <v>45082</v>
      </c>
      <c r="C96" s="13">
        <v>4304</v>
      </c>
      <c r="D96" s="13">
        <f t="shared" si="156"/>
        <v>4253</v>
      </c>
      <c r="E96" s="170">
        <f t="shared" si="151"/>
        <v>51</v>
      </c>
      <c r="F96" s="171">
        <f t="shared" si="152"/>
        <v>51000</v>
      </c>
      <c r="G96" s="171">
        <v>0</v>
      </c>
      <c r="H96" s="171">
        <f t="shared" si="153"/>
        <v>51000</v>
      </c>
      <c r="I96" s="33">
        <v>3600</v>
      </c>
      <c r="J96" s="36">
        <f t="shared" si="154"/>
        <v>10200</v>
      </c>
      <c r="K96" s="172"/>
      <c r="L96" s="31">
        <f t="shared" si="155"/>
        <v>0.27058823529411763</v>
      </c>
      <c r="M96" s="35">
        <f t="shared" si="157"/>
        <v>6375</v>
      </c>
      <c r="N96" s="35">
        <f t="shared" si="158"/>
        <v>2100</v>
      </c>
      <c r="O96" s="5"/>
      <c r="P96" s="5"/>
      <c r="Q96" s="5"/>
      <c r="R96" s="12">
        <v>45074</v>
      </c>
      <c r="S96" s="13">
        <v>1558</v>
      </c>
      <c r="T96" s="13">
        <f t="shared" ref="T96:T100" si="163">IF(R96=0,0,S95)</f>
        <v>1514</v>
      </c>
      <c r="U96" s="170">
        <f t="shared" si="159"/>
        <v>44</v>
      </c>
      <c r="V96" s="171">
        <f t="shared" si="160"/>
        <v>44000</v>
      </c>
      <c r="W96" s="171">
        <v>0</v>
      </c>
      <c r="X96" s="171">
        <f t="shared" si="161"/>
        <v>44000</v>
      </c>
      <c r="Y96" s="173">
        <f>944*2</f>
        <v>1888</v>
      </c>
      <c r="Z96" s="174">
        <f t="shared" si="162"/>
        <v>8800</v>
      </c>
      <c r="AA96" s="172"/>
      <c r="AB96" s="14">
        <f t="shared" ref="AB96:AB98" si="164">+(Y96+Z96)/X96</f>
        <v>0.24290909090909091</v>
      </c>
      <c r="AC96" s="11">
        <f t="shared" ref="AC96:AC99" si="165">X96/(R96-R95)</f>
        <v>14666.666666666666</v>
      </c>
      <c r="AD96" s="11">
        <f t="shared" ref="AD96:AD98" si="166">(X96*0.6-Y96-Z96)/(R96-R95)</f>
        <v>5237.333333333333</v>
      </c>
    </row>
    <row r="97" spans="2:30" ht="12" customHeight="1" x14ac:dyDescent="0.3">
      <c r="B97" s="32">
        <v>45087</v>
      </c>
      <c r="C97" s="13">
        <v>4322</v>
      </c>
      <c r="D97" s="13">
        <f t="shared" si="156"/>
        <v>4304</v>
      </c>
      <c r="E97" s="170">
        <f t="shared" si="151"/>
        <v>18</v>
      </c>
      <c r="F97" s="171">
        <f t="shared" si="152"/>
        <v>18000</v>
      </c>
      <c r="G97" s="171">
        <v>0</v>
      </c>
      <c r="H97" s="171">
        <f t="shared" si="153"/>
        <v>18000</v>
      </c>
      <c r="I97" s="33">
        <v>5500</v>
      </c>
      <c r="J97" s="36">
        <f t="shared" si="154"/>
        <v>3600</v>
      </c>
      <c r="K97" s="172"/>
      <c r="L97" s="31">
        <f t="shared" si="155"/>
        <v>0.50555555555555554</v>
      </c>
      <c r="M97" s="35">
        <f t="shared" si="157"/>
        <v>3600</v>
      </c>
      <c r="N97" s="35">
        <f t="shared" si="158"/>
        <v>340</v>
      </c>
      <c r="O97" s="5"/>
      <c r="P97" s="5"/>
      <c r="Q97" s="5"/>
      <c r="R97" s="12">
        <v>45082</v>
      </c>
      <c r="S97" s="13">
        <v>1630</v>
      </c>
      <c r="T97" s="13">
        <f t="shared" si="163"/>
        <v>1558</v>
      </c>
      <c r="U97" s="170">
        <f t="shared" si="159"/>
        <v>72</v>
      </c>
      <c r="V97" s="171">
        <f t="shared" si="160"/>
        <v>72000</v>
      </c>
      <c r="W97" s="171">
        <v>0</v>
      </c>
      <c r="X97" s="171">
        <f t="shared" si="161"/>
        <v>72000</v>
      </c>
      <c r="Y97" s="173">
        <v>24300</v>
      </c>
      <c r="Z97" s="174">
        <f t="shared" si="162"/>
        <v>14400</v>
      </c>
      <c r="AA97" s="172"/>
      <c r="AB97" s="14">
        <f t="shared" si="164"/>
        <v>0.53749999999999998</v>
      </c>
      <c r="AC97" s="11">
        <f t="shared" si="165"/>
        <v>9000</v>
      </c>
      <c r="AD97" s="11">
        <f t="shared" si="166"/>
        <v>562.5</v>
      </c>
    </row>
    <row r="98" spans="2:30" ht="12" customHeight="1" x14ac:dyDescent="0.3">
      <c r="B98" s="32">
        <v>45091</v>
      </c>
      <c r="C98" s="13">
        <v>4343</v>
      </c>
      <c r="D98" s="13">
        <f t="shared" si="156"/>
        <v>4322</v>
      </c>
      <c r="E98" s="170">
        <f t="shared" si="151"/>
        <v>21</v>
      </c>
      <c r="F98" s="171">
        <f t="shared" si="152"/>
        <v>21000</v>
      </c>
      <c r="G98" s="171">
        <v>0</v>
      </c>
      <c r="H98" s="171">
        <f t="shared" si="153"/>
        <v>21000</v>
      </c>
      <c r="I98" s="173"/>
      <c r="J98" s="174">
        <f t="shared" si="154"/>
        <v>4200</v>
      </c>
      <c r="K98" s="172"/>
      <c r="L98" s="37">
        <f t="shared" si="155"/>
        <v>0.2</v>
      </c>
      <c r="M98" s="35">
        <f t="shared" si="157"/>
        <v>5250</v>
      </c>
      <c r="N98" s="35">
        <f t="shared" si="158"/>
        <v>2100</v>
      </c>
      <c r="O98" s="5"/>
      <c r="P98" s="5"/>
      <c r="Q98" s="5"/>
      <c r="R98" s="12">
        <v>45087</v>
      </c>
      <c r="S98" s="13">
        <v>1684</v>
      </c>
      <c r="T98" s="13">
        <f t="shared" si="163"/>
        <v>1630</v>
      </c>
      <c r="U98" s="170">
        <f t="shared" si="159"/>
        <v>54</v>
      </c>
      <c r="V98" s="171">
        <f t="shared" si="160"/>
        <v>54000</v>
      </c>
      <c r="W98" s="171">
        <v>0</v>
      </c>
      <c r="X98" s="171">
        <f t="shared" si="161"/>
        <v>54000</v>
      </c>
      <c r="Y98" s="173">
        <v>12500</v>
      </c>
      <c r="Z98" s="174">
        <f t="shared" si="162"/>
        <v>10800</v>
      </c>
      <c r="AA98" s="172"/>
      <c r="AB98" s="14">
        <f t="shared" si="164"/>
        <v>0.43148148148148147</v>
      </c>
      <c r="AC98" s="11">
        <f t="shared" si="165"/>
        <v>10800</v>
      </c>
      <c r="AD98" s="11">
        <f t="shared" si="166"/>
        <v>1820</v>
      </c>
    </row>
    <row r="99" spans="2:30" ht="12" customHeight="1" x14ac:dyDescent="0.3">
      <c r="B99" s="45">
        <v>45095</v>
      </c>
      <c r="C99" s="46">
        <v>4363</v>
      </c>
      <c r="D99" s="13">
        <f t="shared" si="156"/>
        <v>4343</v>
      </c>
      <c r="E99" s="47">
        <f t="shared" si="151"/>
        <v>20</v>
      </c>
      <c r="F99" s="48">
        <f t="shared" si="152"/>
        <v>20000</v>
      </c>
      <c r="G99" s="48"/>
      <c r="H99" s="48">
        <f t="shared" si="153"/>
        <v>20000</v>
      </c>
      <c r="I99" s="193"/>
      <c r="J99" s="59">
        <f t="shared" si="154"/>
        <v>4000</v>
      </c>
      <c r="K99" s="51"/>
      <c r="L99" s="37">
        <f t="shared" si="155"/>
        <v>0.2</v>
      </c>
      <c r="M99" s="35">
        <f t="shared" si="157"/>
        <v>5000</v>
      </c>
      <c r="N99" s="35">
        <f t="shared" si="158"/>
        <v>2000</v>
      </c>
      <c r="O99" s="5"/>
      <c r="P99" s="5"/>
      <c r="Q99" s="5"/>
      <c r="R99" s="12">
        <v>45095</v>
      </c>
      <c r="S99" s="13">
        <v>1743</v>
      </c>
      <c r="T99" s="13">
        <f t="shared" si="163"/>
        <v>1684</v>
      </c>
      <c r="U99" s="170">
        <f t="shared" si="159"/>
        <v>59</v>
      </c>
      <c r="V99" s="171">
        <f t="shared" si="160"/>
        <v>59000</v>
      </c>
      <c r="W99" s="171">
        <v>0</v>
      </c>
      <c r="X99" s="171">
        <f t="shared" si="161"/>
        <v>59000</v>
      </c>
      <c r="Y99" s="1"/>
      <c r="Z99" s="174">
        <f t="shared" si="162"/>
        <v>11800</v>
      </c>
      <c r="AA99" s="172"/>
      <c r="AB99" s="14">
        <f>+(Y100+Z99)/X99</f>
        <v>0.2</v>
      </c>
      <c r="AC99" s="11">
        <f t="shared" si="165"/>
        <v>7375</v>
      </c>
      <c r="AD99" s="11">
        <f>(X99*0.6-Y100-Z99)/(R99-R98)</f>
        <v>2950</v>
      </c>
    </row>
    <row r="100" spans="2:30" ht="12" customHeight="1" x14ac:dyDescent="0.3">
      <c r="B100" s="52"/>
      <c r="C100" s="53"/>
      <c r="D100" s="53"/>
      <c r="E100" s="53">
        <f t="shared" ref="E100:J100" si="167">SUM(E94:E99)</f>
        <v>176</v>
      </c>
      <c r="F100" s="54">
        <f t="shared" si="167"/>
        <v>176000</v>
      </c>
      <c r="G100" s="54">
        <f t="shared" si="167"/>
        <v>0</v>
      </c>
      <c r="H100" s="54">
        <f t="shared" si="167"/>
        <v>176000</v>
      </c>
      <c r="I100" s="55">
        <f t="shared" si="167"/>
        <v>11932</v>
      </c>
      <c r="J100" s="55">
        <f t="shared" si="167"/>
        <v>35200</v>
      </c>
      <c r="K100" s="56">
        <f>+H100*0.6-I100-J100-G100</f>
        <v>58468</v>
      </c>
      <c r="L100" s="42">
        <f t="shared" si="155"/>
        <v>0.26779545454545456</v>
      </c>
      <c r="M100" s="31">
        <f>L100+L101</f>
        <v>0.60000000000000009</v>
      </c>
      <c r="N100" s="5"/>
      <c r="O100" s="5"/>
      <c r="P100" s="5"/>
      <c r="Q100" s="5"/>
      <c r="R100" s="68"/>
      <c r="S100" s="16"/>
      <c r="T100" s="16">
        <f t="shared" si="163"/>
        <v>0</v>
      </c>
      <c r="U100" s="16">
        <f t="shared" ref="U100:X100" si="168">SUM(U95:U99)</f>
        <v>309</v>
      </c>
      <c r="V100" s="17">
        <f t="shared" si="168"/>
        <v>309000</v>
      </c>
      <c r="W100" s="17">
        <f t="shared" si="168"/>
        <v>0</v>
      </c>
      <c r="X100" s="17">
        <f t="shared" si="168"/>
        <v>309000</v>
      </c>
      <c r="Y100" s="173"/>
      <c r="Z100" s="18">
        <f>SUM(Z95:Z99)</f>
        <v>61800</v>
      </c>
      <c r="AA100" s="176">
        <f>+X100*0.6-Y100-Z100-W100</f>
        <v>123600</v>
      </c>
      <c r="AB100" s="19">
        <f>+(Y100+Z100)/X100</f>
        <v>0.2</v>
      </c>
      <c r="AC100" s="4"/>
      <c r="AD100" s="4"/>
    </row>
    <row r="101" spans="2:30" ht="12" customHeight="1" x14ac:dyDescent="0.3">
      <c r="B101" s="27"/>
      <c r="C101" s="5"/>
      <c r="D101" s="5"/>
      <c r="E101" s="5"/>
      <c r="F101" s="5"/>
      <c r="G101" s="23"/>
      <c r="H101" s="23"/>
      <c r="I101" s="23"/>
      <c r="J101" s="4"/>
      <c r="K101" s="64">
        <f>H100*0.3</f>
        <v>52800</v>
      </c>
      <c r="L101" s="43">
        <f>+K100/H100</f>
        <v>0.33220454545454547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  <c r="AA101" s="4">
        <f>X100*0.3</f>
        <v>92700</v>
      </c>
      <c r="AB101" s="19">
        <f>+AA100/X100</f>
        <v>0.4</v>
      </c>
      <c r="AC101" s="4"/>
      <c r="AD101" s="4"/>
    </row>
    <row r="102" spans="2:30" ht="12" customHeight="1" x14ac:dyDescent="0.3">
      <c r="B102" s="27"/>
      <c r="C102" s="5"/>
      <c r="D102" s="5"/>
      <c r="E102" s="5"/>
      <c r="F102" s="5"/>
      <c r="G102" s="23"/>
      <c r="H102" s="23"/>
      <c r="I102" s="3" t="s">
        <v>182</v>
      </c>
      <c r="J102" s="6">
        <v>200</v>
      </c>
      <c r="K102" s="66"/>
      <c r="L102" s="5"/>
      <c r="M102" s="5"/>
      <c r="N102" s="5"/>
      <c r="O102" s="5"/>
      <c r="P102" s="5"/>
      <c r="Q102" s="5"/>
      <c r="R102" s="192" t="s">
        <v>193</v>
      </c>
      <c r="S102" s="2"/>
      <c r="T102" s="2"/>
      <c r="U102" s="2"/>
      <c r="V102" s="3"/>
      <c r="W102" s="3"/>
      <c r="X102" s="3"/>
      <c r="Y102" s="3"/>
      <c r="Z102" s="3" t="s">
        <v>182</v>
      </c>
      <c r="AA102" s="3"/>
      <c r="AB102" s="4"/>
      <c r="AC102" s="4"/>
      <c r="AD102" s="4"/>
    </row>
    <row r="103" spans="2:30" ht="12" customHeight="1" x14ac:dyDescent="0.3">
      <c r="B103" s="28" t="s">
        <v>142</v>
      </c>
      <c r="C103" s="8" t="s">
        <v>188</v>
      </c>
      <c r="D103" s="8" t="s">
        <v>189</v>
      </c>
      <c r="E103" s="8" t="s">
        <v>190</v>
      </c>
      <c r="F103" s="8" t="s">
        <v>145</v>
      </c>
      <c r="G103" s="8" t="s">
        <v>163</v>
      </c>
      <c r="H103" s="8" t="s">
        <v>164</v>
      </c>
      <c r="I103" s="168" t="s">
        <v>165</v>
      </c>
      <c r="J103" s="9" t="s">
        <v>166</v>
      </c>
      <c r="K103" s="67" t="s">
        <v>146</v>
      </c>
      <c r="L103" s="29" t="s">
        <v>179</v>
      </c>
      <c r="M103" s="5" t="s">
        <v>191</v>
      </c>
      <c r="N103" s="5" t="s">
        <v>194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>
        <v>400</v>
      </c>
      <c r="AA103" s="5"/>
      <c r="AB103" s="4"/>
      <c r="AC103" s="4"/>
      <c r="AD103" s="4"/>
    </row>
    <row r="104" spans="2:30" ht="12" customHeight="1" x14ac:dyDescent="0.3">
      <c r="B104" s="178">
        <v>45101</v>
      </c>
      <c r="C104" s="170">
        <v>4418</v>
      </c>
      <c r="D104" s="170">
        <f>C99</f>
        <v>4363</v>
      </c>
      <c r="E104" s="170">
        <f t="shared" ref="E104:E109" si="169">+C104-D104</f>
        <v>55</v>
      </c>
      <c r="F104" s="171">
        <f t="shared" ref="F104:F109" si="170">+E104*1000</f>
        <v>55000</v>
      </c>
      <c r="G104" s="171"/>
      <c r="H104" s="171">
        <f t="shared" ref="H104:H109" si="171">+F104-G104</f>
        <v>55000</v>
      </c>
      <c r="I104" s="10"/>
      <c r="J104" s="34">
        <f t="shared" ref="J104:J109" si="172">+E104*$J$3</f>
        <v>11000</v>
      </c>
      <c r="K104" s="194"/>
      <c r="L104" s="31">
        <f t="shared" ref="L104:L110" si="173">+(I104+J104)/H104</f>
        <v>0.2</v>
      </c>
      <c r="M104" s="35">
        <f>H104/(B104-B99)</f>
        <v>9166.6666666666661</v>
      </c>
      <c r="N104" s="35">
        <f>(H104*0.6-I104-J104)/(B104-B99)</f>
        <v>3666.6666666666665</v>
      </c>
      <c r="O104" s="5"/>
      <c r="P104" s="5"/>
      <c r="Q104" s="5"/>
      <c r="R104" s="7" t="s">
        <v>142</v>
      </c>
      <c r="S104" s="8" t="s">
        <v>143</v>
      </c>
      <c r="T104" s="8" t="s">
        <v>162</v>
      </c>
      <c r="U104" s="8" t="s">
        <v>144</v>
      </c>
      <c r="V104" s="8" t="s">
        <v>145</v>
      </c>
      <c r="W104" s="8" t="s">
        <v>163</v>
      </c>
      <c r="X104" s="8" t="s">
        <v>164</v>
      </c>
      <c r="Y104" s="168" t="s">
        <v>165</v>
      </c>
      <c r="Z104" s="9" t="s">
        <v>166</v>
      </c>
      <c r="AA104" s="9" t="s">
        <v>146</v>
      </c>
      <c r="AB104" s="4" t="s">
        <v>179</v>
      </c>
      <c r="AC104" s="4" t="s">
        <v>191</v>
      </c>
      <c r="AD104" s="4" t="s">
        <v>194</v>
      </c>
    </row>
    <row r="105" spans="2:30" ht="12" customHeight="1" x14ac:dyDescent="0.3">
      <c r="B105" s="32">
        <v>45109</v>
      </c>
      <c r="C105" s="13">
        <v>4484</v>
      </c>
      <c r="D105" s="13">
        <f t="shared" ref="D105:D109" si="174">IF(B105=0,0,C104)</f>
        <v>4418</v>
      </c>
      <c r="E105" s="170">
        <f t="shared" si="169"/>
        <v>66</v>
      </c>
      <c r="F105" s="171">
        <f t="shared" si="170"/>
        <v>66000</v>
      </c>
      <c r="G105" s="171">
        <v>0</v>
      </c>
      <c r="H105" s="171">
        <f t="shared" si="171"/>
        <v>66000</v>
      </c>
      <c r="I105" s="33"/>
      <c r="J105" s="34">
        <f t="shared" si="172"/>
        <v>13200</v>
      </c>
      <c r="K105" s="172"/>
      <c r="L105" s="31">
        <f t="shared" si="173"/>
        <v>0.2</v>
      </c>
      <c r="M105" s="35">
        <f t="shared" ref="M105:M109" si="175">H105/(B105-B104)</f>
        <v>8250</v>
      </c>
      <c r="N105" s="35">
        <f t="shared" ref="N105:N109" si="176">(H105*0.6-I105-J105)/(B105-B104)</f>
        <v>3300</v>
      </c>
      <c r="O105" s="5"/>
      <c r="P105" s="5"/>
      <c r="Q105" s="5"/>
      <c r="R105" s="169"/>
      <c r="S105" s="170">
        <v>1853</v>
      </c>
      <c r="T105" s="170">
        <f>S99</f>
        <v>1743</v>
      </c>
      <c r="U105" s="170">
        <f t="shared" ref="U105:U109" si="177">+S105-T105</f>
        <v>110</v>
      </c>
      <c r="V105" s="171">
        <f t="shared" ref="V105:V109" si="178">+U105*1000</f>
        <v>110000</v>
      </c>
      <c r="W105" s="171">
        <v>0</v>
      </c>
      <c r="X105" s="171">
        <f t="shared" ref="X105:X109" si="179">+V105-W105</f>
        <v>110000</v>
      </c>
      <c r="Y105" s="10">
        <f>944*6</f>
        <v>5664</v>
      </c>
      <c r="Z105" s="174">
        <f t="shared" ref="Z105:Z109" si="180">+U105*$Z$43/2</f>
        <v>22000</v>
      </c>
      <c r="AA105" s="172"/>
      <c r="AB105" s="4"/>
      <c r="AC105" s="11"/>
      <c r="AD105" s="11"/>
    </row>
    <row r="106" spans="2:30" ht="12" customHeight="1" x14ac:dyDescent="0.3">
      <c r="B106" s="32"/>
      <c r="C106" s="13"/>
      <c r="D106" s="13">
        <f t="shared" si="174"/>
        <v>0</v>
      </c>
      <c r="E106" s="170">
        <f t="shared" si="169"/>
        <v>0</v>
      </c>
      <c r="F106" s="171">
        <f t="shared" si="170"/>
        <v>0</v>
      </c>
      <c r="G106" s="171">
        <v>0</v>
      </c>
      <c r="H106" s="171">
        <f t="shared" si="171"/>
        <v>0</v>
      </c>
      <c r="I106" s="33"/>
      <c r="J106" s="36">
        <f t="shared" si="172"/>
        <v>0</v>
      </c>
      <c r="K106" s="172"/>
      <c r="L106" s="31" t="e">
        <f t="shared" si="173"/>
        <v>#DIV/0!</v>
      </c>
      <c r="M106" s="35">
        <f t="shared" si="175"/>
        <v>0</v>
      </c>
      <c r="N106" s="35">
        <f t="shared" si="176"/>
        <v>0</v>
      </c>
      <c r="O106" s="5"/>
      <c r="P106" s="5"/>
      <c r="Q106" s="5"/>
      <c r="R106" s="12">
        <v>45109</v>
      </c>
      <c r="S106" s="13">
        <v>2031</v>
      </c>
      <c r="T106" s="13">
        <f t="shared" ref="T106:T110" si="181">IF(R106=0,0,S105)</f>
        <v>1853</v>
      </c>
      <c r="U106" s="170">
        <f t="shared" si="177"/>
        <v>178</v>
      </c>
      <c r="V106" s="171">
        <f t="shared" si="178"/>
        <v>178000</v>
      </c>
      <c r="W106" s="171">
        <v>0</v>
      </c>
      <c r="X106" s="171">
        <f t="shared" si="179"/>
        <v>178000</v>
      </c>
      <c r="Y106" s="173">
        <f>944*2</f>
        <v>1888</v>
      </c>
      <c r="Z106" s="174">
        <f t="shared" si="180"/>
        <v>35600</v>
      </c>
      <c r="AA106" s="172"/>
      <c r="AB106" s="14">
        <f t="shared" ref="AB106:AB108" si="182">+(Y106+Z106)/X106</f>
        <v>0.21060674157303372</v>
      </c>
      <c r="AC106" s="11">
        <f t="shared" ref="AC106:AC109" si="183">X106/(R106-R105)</f>
        <v>3.9459974727881355</v>
      </c>
      <c r="AD106" s="11">
        <f t="shared" ref="AD106:AD108" si="184">(X106*0.6-Y106-Z106)/(R106-R105)</f>
        <v>1.5365448136735462</v>
      </c>
    </row>
    <row r="107" spans="2:30" ht="12" customHeight="1" x14ac:dyDescent="0.3">
      <c r="B107" s="32"/>
      <c r="C107" s="13"/>
      <c r="D107" s="13">
        <f t="shared" si="174"/>
        <v>0</v>
      </c>
      <c r="E107" s="170">
        <f t="shared" si="169"/>
        <v>0</v>
      </c>
      <c r="F107" s="171">
        <f t="shared" si="170"/>
        <v>0</v>
      </c>
      <c r="G107" s="171">
        <v>0</v>
      </c>
      <c r="H107" s="171">
        <f t="shared" si="171"/>
        <v>0</v>
      </c>
      <c r="I107" s="33"/>
      <c r="J107" s="36">
        <f t="shared" si="172"/>
        <v>0</v>
      </c>
      <c r="K107" s="172"/>
      <c r="L107" s="31" t="e">
        <f t="shared" si="173"/>
        <v>#DIV/0!</v>
      </c>
      <c r="M107" s="35" t="e">
        <f t="shared" si="175"/>
        <v>#DIV/0!</v>
      </c>
      <c r="N107" s="35" t="e">
        <f t="shared" si="176"/>
        <v>#DIV/0!</v>
      </c>
      <c r="O107" s="5"/>
      <c r="P107" s="5"/>
      <c r="Q107" s="5"/>
      <c r="R107" s="12"/>
      <c r="S107" s="13"/>
      <c r="T107" s="13">
        <f t="shared" si="181"/>
        <v>0</v>
      </c>
      <c r="U107" s="170">
        <f t="shared" si="177"/>
        <v>0</v>
      </c>
      <c r="V107" s="171">
        <f t="shared" si="178"/>
        <v>0</v>
      </c>
      <c r="W107" s="171">
        <v>0</v>
      </c>
      <c r="X107" s="171">
        <f t="shared" si="179"/>
        <v>0</v>
      </c>
      <c r="Y107" s="173">
        <v>24300</v>
      </c>
      <c r="Z107" s="174">
        <f t="shared" si="180"/>
        <v>0</v>
      </c>
      <c r="AA107" s="172"/>
      <c r="AB107" s="14" t="e">
        <f t="shared" si="182"/>
        <v>#DIV/0!</v>
      </c>
      <c r="AC107" s="11">
        <f t="shared" si="183"/>
        <v>0</v>
      </c>
      <c r="AD107" s="11">
        <f t="shared" si="184"/>
        <v>0.53869516061096456</v>
      </c>
    </row>
    <row r="108" spans="2:30" ht="12" customHeight="1" x14ac:dyDescent="0.3">
      <c r="B108" s="32"/>
      <c r="C108" s="13"/>
      <c r="D108" s="13">
        <f t="shared" si="174"/>
        <v>0</v>
      </c>
      <c r="E108" s="170">
        <f t="shared" si="169"/>
        <v>0</v>
      </c>
      <c r="F108" s="171">
        <f t="shared" si="170"/>
        <v>0</v>
      </c>
      <c r="G108" s="171">
        <v>0</v>
      </c>
      <c r="H108" s="171">
        <f t="shared" si="171"/>
        <v>0</v>
      </c>
      <c r="I108" s="173"/>
      <c r="J108" s="174">
        <f t="shared" si="172"/>
        <v>0</v>
      </c>
      <c r="K108" s="172"/>
      <c r="L108" s="37" t="e">
        <f t="shared" si="173"/>
        <v>#DIV/0!</v>
      </c>
      <c r="M108" s="35" t="e">
        <f t="shared" si="175"/>
        <v>#DIV/0!</v>
      </c>
      <c r="N108" s="35" t="e">
        <f t="shared" si="176"/>
        <v>#DIV/0!</v>
      </c>
      <c r="O108" s="5"/>
      <c r="P108" s="5"/>
      <c r="Q108" s="5"/>
      <c r="R108" s="12"/>
      <c r="S108" s="13"/>
      <c r="T108" s="13">
        <f t="shared" si="181"/>
        <v>0</v>
      </c>
      <c r="U108" s="170">
        <f t="shared" si="177"/>
        <v>0</v>
      </c>
      <c r="V108" s="171">
        <f t="shared" si="178"/>
        <v>0</v>
      </c>
      <c r="W108" s="171">
        <v>0</v>
      </c>
      <c r="X108" s="171">
        <f t="shared" si="179"/>
        <v>0</v>
      </c>
      <c r="Y108" s="173">
        <v>12500</v>
      </c>
      <c r="Z108" s="174">
        <f t="shared" si="180"/>
        <v>0</v>
      </c>
      <c r="AA108" s="172"/>
      <c r="AB108" s="14" t="e">
        <f t="shared" si="182"/>
        <v>#DIV/0!</v>
      </c>
      <c r="AC108" s="11" t="e">
        <f t="shared" si="183"/>
        <v>#DIV/0!</v>
      </c>
      <c r="AD108" s="11" t="e">
        <f t="shared" si="184"/>
        <v>#DIV/0!</v>
      </c>
    </row>
    <row r="109" spans="2:30" ht="12" customHeight="1" x14ac:dyDescent="0.3">
      <c r="B109" s="45"/>
      <c r="C109" s="46"/>
      <c r="D109" s="13">
        <f t="shared" si="174"/>
        <v>0</v>
      </c>
      <c r="E109" s="47">
        <f t="shared" si="169"/>
        <v>0</v>
      </c>
      <c r="F109" s="48">
        <f t="shared" si="170"/>
        <v>0</v>
      </c>
      <c r="G109" s="48"/>
      <c r="H109" s="48">
        <f t="shared" si="171"/>
        <v>0</v>
      </c>
      <c r="I109" s="193"/>
      <c r="J109" s="59">
        <f t="shared" si="172"/>
        <v>0</v>
      </c>
      <c r="K109" s="51"/>
      <c r="L109" s="37" t="e">
        <f t="shared" si="173"/>
        <v>#DIV/0!</v>
      </c>
      <c r="M109" s="35" t="e">
        <f t="shared" si="175"/>
        <v>#DIV/0!</v>
      </c>
      <c r="N109" s="35" t="e">
        <f t="shared" si="176"/>
        <v>#DIV/0!</v>
      </c>
      <c r="O109" s="5"/>
      <c r="P109" s="5"/>
      <c r="Q109" s="5"/>
      <c r="R109" s="12"/>
      <c r="S109" s="13"/>
      <c r="T109" s="13">
        <f t="shared" si="181"/>
        <v>0</v>
      </c>
      <c r="U109" s="170">
        <f t="shared" si="177"/>
        <v>0</v>
      </c>
      <c r="V109" s="171">
        <f t="shared" si="178"/>
        <v>0</v>
      </c>
      <c r="W109" s="171">
        <v>0</v>
      </c>
      <c r="X109" s="171">
        <f t="shared" si="179"/>
        <v>0</v>
      </c>
      <c r="Y109" s="1"/>
      <c r="Z109" s="174">
        <f t="shared" si="180"/>
        <v>0</v>
      </c>
      <c r="AA109" s="172"/>
      <c r="AB109" s="14" t="e">
        <f>+(Y110+Z109)/X109</f>
        <v>#DIV/0!</v>
      </c>
      <c r="AC109" s="11" t="e">
        <f t="shared" si="183"/>
        <v>#DIV/0!</v>
      </c>
      <c r="AD109" s="11" t="e">
        <f>(X109*0.6-Y110-Z109)/(R109-R108)</f>
        <v>#DIV/0!</v>
      </c>
    </row>
    <row r="110" spans="2:30" ht="12" customHeight="1" x14ac:dyDescent="0.3">
      <c r="B110" s="52"/>
      <c r="C110" s="53"/>
      <c r="D110" s="53"/>
      <c r="E110" s="53">
        <f t="shared" ref="E110:J110" si="185">SUM(E104:E109)</f>
        <v>121</v>
      </c>
      <c r="F110" s="54">
        <f t="shared" si="185"/>
        <v>121000</v>
      </c>
      <c r="G110" s="54">
        <f t="shared" si="185"/>
        <v>0</v>
      </c>
      <c r="H110" s="54">
        <f t="shared" si="185"/>
        <v>121000</v>
      </c>
      <c r="I110" s="55">
        <f t="shared" si="185"/>
        <v>0</v>
      </c>
      <c r="J110" s="55">
        <f t="shared" si="185"/>
        <v>24200</v>
      </c>
      <c r="K110" s="56">
        <f>+H110*0.6-I110-J110-G110</f>
        <v>48400</v>
      </c>
      <c r="L110" s="42">
        <f t="shared" si="173"/>
        <v>0.2</v>
      </c>
      <c r="M110" s="31">
        <f>L110+L111</f>
        <v>0.60000000000000009</v>
      </c>
      <c r="N110" s="5"/>
      <c r="O110" s="5"/>
      <c r="P110" s="5"/>
      <c r="Q110" s="5"/>
      <c r="R110" s="68"/>
      <c r="S110" s="16"/>
      <c r="T110" s="16">
        <f t="shared" si="181"/>
        <v>0</v>
      </c>
      <c r="U110" s="16">
        <f t="shared" ref="U110:X110" si="186">SUM(U105:U109)</f>
        <v>288</v>
      </c>
      <c r="V110" s="17">
        <f t="shared" si="186"/>
        <v>288000</v>
      </c>
      <c r="W110" s="17">
        <f t="shared" si="186"/>
        <v>0</v>
      </c>
      <c r="X110" s="17">
        <f t="shared" si="186"/>
        <v>288000</v>
      </c>
      <c r="Y110" s="173"/>
      <c r="Z110" s="18">
        <f>SUM(Z105:Z109)</f>
        <v>57600</v>
      </c>
      <c r="AA110" s="176">
        <f>+X110*0.6-Y110-Z110-W110</f>
        <v>115200</v>
      </c>
      <c r="AB110" s="19">
        <f>+(Y110+Z110)/X110</f>
        <v>0.2</v>
      </c>
      <c r="AC110" s="4"/>
      <c r="AD110" s="4"/>
    </row>
    <row r="111" spans="2:30" ht="12" customHeight="1" x14ac:dyDescent="0.3">
      <c r="B111" s="27"/>
      <c r="C111" s="5"/>
      <c r="D111" s="5"/>
      <c r="E111" s="5"/>
      <c r="F111" s="5"/>
      <c r="G111" s="23"/>
      <c r="H111" s="23"/>
      <c r="I111" s="23"/>
      <c r="J111" s="4"/>
      <c r="K111" s="64">
        <f>H110*0.3</f>
        <v>36300</v>
      </c>
      <c r="L111" s="43">
        <f>+K110/H110</f>
        <v>0.4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  <c r="AA111" s="4">
        <f>X110*0.3</f>
        <v>86400</v>
      </c>
      <c r="AB111" s="19">
        <f>+AA110/X110</f>
        <v>0.4</v>
      </c>
      <c r="AC111" s="4"/>
      <c r="AD111" s="4"/>
    </row>
  </sheetData>
  <mergeCells count="2">
    <mergeCell ref="B1:E1"/>
    <mergeCell ref="B2:C2"/>
  </mergeCells>
  <phoneticPr fontId="35"/>
  <pageMargins left="0.69930555555555596" right="0.69930555555555596" top="0.75" bottom="0.75" header="0" footer="0"/>
  <pageSetup paperSize="9" scale="4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0">
    <pageSetUpPr fitToPage="1"/>
  </sheetPr>
  <dimension ref="B1:N47"/>
  <sheetViews>
    <sheetView workbookViewId="0">
      <pane ySplit="2" topLeftCell="A4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6.05078125" customWidth="1"/>
    <col min="3" max="4" width="7.3984375" customWidth="1"/>
    <col min="5" max="5" width="5.51171875" customWidth="1"/>
    <col min="6" max="6" width="10.22265625" customWidth="1"/>
    <col min="7" max="7" width="7.6640625" customWidth="1"/>
    <col min="8" max="8" width="10.22265625" customWidth="1"/>
    <col min="9" max="9" width="11.43359375" customWidth="1"/>
    <col min="10" max="10" width="10.22265625" customWidth="1"/>
    <col min="11" max="11" width="21.1171875" customWidth="1"/>
    <col min="12" max="12" width="10.22265625" customWidth="1"/>
    <col min="13" max="13" width="9.28125" customWidth="1"/>
    <col min="14" max="14" width="11.1640625" customWidth="1"/>
    <col min="15" max="17" width="5.109375" customWidth="1"/>
    <col min="18" max="21" width="8.875" customWidth="1"/>
    <col min="22" max="25" width="9.01171875" customWidth="1"/>
    <col min="27" max="27" width="8.203125" customWidth="1"/>
    <col min="28" max="28" width="8.47265625" customWidth="1"/>
    <col min="29" max="29" width="6.45703125" customWidth="1"/>
    <col min="30" max="30" width="9.68359375" customWidth="1"/>
  </cols>
  <sheetData>
    <row r="1" spans="2:14" ht="12" customHeight="1" x14ac:dyDescent="0.3">
      <c r="B1" s="850" t="s">
        <v>213</v>
      </c>
      <c r="C1" s="846"/>
      <c r="D1" s="846"/>
      <c r="E1" s="846"/>
      <c r="F1" s="21" t="s">
        <v>187</v>
      </c>
      <c r="G1" s="5" t="s">
        <v>163</v>
      </c>
      <c r="H1" s="22" t="s">
        <v>164</v>
      </c>
      <c r="I1" s="22" t="s">
        <v>165</v>
      </c>
      <c r="J1" s="667" t="s">
        <v>166</v>
      </c>
      <c r="K1" s="64" t="s">
        <v>179</v>
      </c>
      <c r="L1" s="5"/>
      <c r="M1" s="5"/>
      <c r="N1" s="5"/>
    </row>
    <row r="2" spans="2:14" ht="12" customHeight="1" x14ac:dyDescent="0.3">
      <c r="B2" s="851" t="s">
        <v>214</v>
      </c>
      <c r="C2" s="846"/>
      <c r="E2" s="24"/>
      <c r="F2" s="25">
        <f t="shared" ref="F2:J2" si="0">F10</f>
        <v>56000</v>
      </c>
      <c r="G2" s="25">
        <f t="shared" si="0"/>
        <v>0</v>
      </c>
      <c r="H2" s="25">
        <f t="shared" si="0"/>
        <v>56000</v>
      </c>
      <c r="I2" s="25">
        <f t="shared" si="0"/>
        <v>0</v>
      </c>
      <c r="J2" s="25">
        <f t="shared" si="0"/>
        <v>11200</v>
      </c>
      <c r="K2" s="65">
        <f>(I2+J2)/H2</f>
        <v>0.2</v>
      </c>
      <c r="L2" s="5"/>
      <c r="M2" s="5"/>
      <c r="N2" s="5"/>
    </row>
    <row r="3" spans="2:14" ht="12" customHeight="1" x14ac:dyDescent="0.3">
      <c r="B3" s="27"/>
      <c r="C3" s="5"/>
      <c r="D3" s="5"/>
      <c r="E3" s="5"/>
      <c r="F3" s="5"/>
      <c r="G3" s="23"/>
      <c r="H3" s="23"/>
      <c r="I3" s="3" t="s">
        <v>182</v>
      </c>
      <c r="J3" s="6">
        <v>400</v>
      </c>
      <c r="K3" s="66"/>
      <c r="L3" s="5"/>
      <c r="M3" s="5"/>
      <c r="N3" s="5"/>
    </row>
    <row r="4" spans="2:14" ht="12" customHeight="1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8" t="s">
        <v>145</v>
      </c>
      <c r="G4" s="8" t="s">
        <v>163</v>
      </c>
      <c r="H4" s="8" t="s">
        <v>164</v>
      </c>
      <c r="I4" s="168" t="s">
        <v>165</v>
      </c>
      <c r="J4" s="9" t="s">
        <v>166</v>
      </c>
      <c r="K4" s="67" t="s">
        <v>146</v>
      </c>
      <c r="L4" s="29" t="s">
        <v>179</v>
      </c>
      <c r="M4" s="5" t="s">
        <v>191</v>
      </c>
      <c r="N4" s="5" t="s">
        <v>194</v>
      </c>
    </row>
    <row r="5" spans="2:14" ht="12" customHeight="1" x14ac:dyDescent="0.3">
      <c r="B5" s="169">
        <v>44993</v>
      </c>
      <c r="C5" s="170">
        <v>5</v>
      </c>
      <c r="D5" s="170">
        <v>5</v>
      </c>
      <c r="E5" s="170">
        <f t="shared" ref="E5:E9" si="1">+C5-D5</f>
        <v>0</v>
      </c>
      <c r="F5" s="171">
        <f t="shared" ref="F5:F9" si="2">+E5*1000</f>
        <v>0</v>
      </c>
      <c r="G5" s="171">
        <v>0</v>
      </c>
      <c r="H5" s="171">
        <f t="shared" ref="H5:H9" si="3">+F5-G5</f>
        <v>0</v>
      </c>
      <c r="I5" s="10"/>
      <c r="J5" s="174">
        <f t="shared" ref="J5:J9" si="4">+E5*$J$3/2</f>
        <v>0</v>
      </c>
      <c r="K5" s="194" t="s">
        <v>183</v>
      </c>
      <c r="L5" s="31"/>
      <c r="M5" s="5"/>
      <c r="N5" s="5"/>
    </row>
    <row r="6" spans="2:14" ht="12" customHeight="1" x14ac:dyDescent="0.3">
      <c r="B6" s="12"/>
      <c r="C6" s="13">
        <v>25</v>
      </c>
      <c r="D6" s="13">
        <v>5</v>
      </c>
      <c r="E6" s="170">
        <f t="shared" si="1"/>
        <v>20</v>
      </c>
      <c r="F6" s="171">
        <f t="shared" si="2"/>
        <v>20000</v>
      </c>
      <c r="G6" s="171">
        <v>0</v>
      </c>
      <c r="H6" s="171">
        <f t="shared" si="3"/>
        <v>20000</v>
      </c>
      <c r="I6" s="173"/>
      <c r="J6" s="174">
        <f t="shared" si="4"/>
        <v>4000</v>
      </c>
      <c r="K6" s="172"/>
      <c r="L6" s="31">
        <f t="shared" ref="L6:L10" si="5">+(I6+J6)/H6</f>
        <v>0.2</v>
      </c>
      <c r="M6" s="35">
        <f t="shared" ref="M6:M9" si="6">H6/(B6-B5)</f>
        <v>-0.44451359100304494</v>
      </c>
      <c r="N6" s="35">
        <f t="shared" ref="N6:N9" si="7">(H6*0.6-I6-J6)/(B6-B5)</f>
        <v>-0.17780543640121796</v>
      </c>
    </row>
    <row r="7" spans="2:14" ht="12" customHeight="1" x14ac:dyDescent="0.3">
      <c r="B7" s="12">
        <v>45003</v>
      </c>
      <c r="C7" s="13">
        <v>61</v>
      </c>
      <c r="D7" s="13">
        <f t="shared" ref="D7:D9" si="8">IF(B7=0,0,C6)</f>
        <v>25</v>
      </c>
      <c r="E7" s="170">
        <f t="shared" si="1"/>
        <v>36</v>
      </c>
      <c r="F7" s="171">
        <f t="shared" si="2"/>
        <v>36000</v>
      </c>
      <c r="G7" s="171">
        <v>0</v>
      </c>
      <c r="H7" s="171">
        <f t="shared" si="3"/>
        <v>36000</v>
      </c>
      <c r="I7" s="173"/>
      <c r="J7" s="174">
        <f t="shared" si="4"/>
        <v>7200</v>
      </c>
      <c r="K7" s="172"/>
      <c r="L7" s="31">
        <f t="shared" si="5"/>
        <v>0.2</v>
      </c>
      <c r="M7" s="35">
        <f t="shared" si="6"/>
        <v>0.79994667022198518</v>
      </c>
      <c r="N7" s="35">
        <f t="shared" si="7"/>
        <v>0.3199786680887941</v>
      </c>
    </row>
    <row r="8" spans="2:14" ht="12" customHeight="1" x14ac:dyDescent="0.3">
      <c r="B8" s="32"/>
      <c r="C8" s="13"/>
      <c r="D8" s="13">
        <f t="shared" si="8"/>
        <v>0</v>
      </c>
      <c r="E8" s="170">
        <f t="shared" si="1"/>
        <v>0</v>
      </c>
      <c r="F8" s="171">
        <f t="shared" si="2"/>
        <v>0</v>
      </c>
      <c r="G8" s="171">
        <v>0</v>
      </c>
      <c r="H8" s="171">
        <f t="shared" si="3"/>
        <v>0</v>
      </c>
      <c r="I8" s="33"/>
      <c r="J8" s="174">
        <f t="shared" si="4"/>
        <v>0</v>
      </c>
      <c r="K8" s="172"/>
      <c r="L8" s="31" t="e">
        <f t="shared" si="5"/>
        <v>#DIV/0!</v>
      </c>
      <c r="M8" s="35">
        <f t="shared" si="6"/>
        <v>0</v>
      </c>
      <c r="N8" s="35">
        <f t="shared" si="7"/>
        <v>0</v>
      </c>
    </row>
    <row r="9" spans="2:14" ht="12" customHeight="1" x14ac:dyDescent="0.3">
      <c r="B9" s="45"/>
      <c r="C9" s="46"/>
      <c r="D9" s="13">
        <f t="shared" si="8"/>
        <v>0</v>
      </c>
      <c r="E9" s="47">
        <f t="shared" si="1"/>
        <v>0</v>
      </c>
      <c r="F9" s="48">
        <f t="shared" si="2"/>
        <v>0</v>
      </c>
      <c r="G9" s="48">
        <v>0</v>
      </c>
      <c r="H9" s="48">
        <f t="shared" si="3"/>
        <v>0</v>
      </c>
      <c r="I9" s="193"/>
      <c r="J9" s="174">
        <f t="shared" si="4"/>
        <v>0</v>
      </c>
      <c r="K9" s="51"/>
      <c r="L9" s="37" t="e">
        <f t="shared" si="5"/>
        <v>#DIV/0!</v>
      </c>
      <c r="M9" s="35" t="e">
        <f t="shared" si="6"/>
        <v>#DIV/0!</v>
      </c>
      <c r="N9" s="35" t="e">
        <f t="shared" si="7"/>
        <v>#DIV/0!</v>
      </c>
    </row>
    <row r="10" spans="2:14" ht="12" customHeight="1" x14ac:dyDescent="0.3">
      <c r="B10" s="52"/>
      <c r="C10" s="53"/>
      <c r="D10" s="53"/>
      <c r="E10" s="53">
        <f t="shared" ref="E10:J10" si="9">SUM(E5:E9)</f>
        <v>56</v>
      </c>
      <c r="F10" s="54">
        <f t="shared" si="9"/>
        <v>56000</v>
      </c>
      <c r="G10" s="54">
        <f t="shared" si="9"/>
        <v>0</v>
      </c>
      <c r="H10" s="54">
        <f t="shared" si="9"/>
        <v>56000</v>
      </c>
      <c r="I10" s="55">
        <f t="shared" si="9"/>
        <v>0</v>
      </c>
      <c r="J10" s="55">
        <f t="shared" si="9"/>
        <v>11200</v>
      </c>
      <c r="K10" s="56">
        <f>+H10*0.6-I10-J10-G10</f>
        <v>22400</v>
      </c>
      <c r="L10" s="42">
        <f t="shared" si="5"/>
        <v>0.2</v>
      </c>
      <c r="M10" s="31">
        <f>L10+L11</f>
        <v>0.60000000000000009</v>
      </c>
      <c r="N10" s="5"/>
    </row>
    <row r="11" spans="2:14" ht="12" customHeight="1" x14ac:dyDescent="0.3">
      <c r="B11" s="27"/>
      <c r="C11" s="5"/>
      <c r="D11" s="5"/>
      <c r="E11" s="5"/>
      <c r="F11" s="5"/>
      <c r="G11" s="23"/>
      <c r="H11" s="23"/>
      <c r="I11" s="23"/>
      <c r="J11" s="4"/>
      <c r="K11" s="64">
        <f>H10*0.3</f>
        <v>16800</v>
      </c>
      <c r="L11" s="43">
        <f>+K10/H10</f>
        <v>0.4</v>
      </c>
      <c r="M11" s="5"/>
      <c r="N11" s="5"/>
    </row>
    <row r="12" spans="2:14" ht="12" customHeight="1" x14ac:dyDescent="0.3">
      <c r="B12" s="27"/>
      <c r="C12" s="5"/>
      <c r="D12" s="5"/>
      <c r="E12" s="5"/>
      <c r="F12" s="5"/>
      <c r="G12" s="23"/>
      <c r="H12" s="23"/>
      <c r="I12" s="3" t="s">
        <v>182</v>
      </c>
      <c r="J12" s="6">
        <v>400</v>
      </c>
      <c r="K12" s="66"/>
      <c r="L12" s="5"/>
      <c r="M12" s="5"/>
      <c r="N12" s="5"/>
    </row>
    <row r="13" spans="2:14" ht="12" customHeight="1" x14ac:dyDescent="0.3">
      <c r="B13" s="28" t="s">
        <v>142</v>
      </c>
      <c r="C13" s="8" t="s">
        <v>188</v>
      </c>
      <c r="D13" s="8" t="s">
        <v>189</v>
      </c>
      <c r="E13" s="8" t="s">
        <v>190</v>
      </c>
      <c r="F13" s="8" t="s">
        <v>145</v>
      </c>
      <c r="G13" s="8" t="s">
        <v>163</v>
      </c>
      <c r="H13" s="8" t="s">
        <v>164</v>
      </c>
      <c r="I13" s="168" t="s">
        <v>165</v>
      </c>
      <c r="J13" s="9" t="s">
        <v>166</v>
      </c>
      <c r="K13" s="67" t="s">
        <v>146</v>
      </c>
      <c r="L13" s="29" t="s">
        <v>179</v>
      </c>
      <c r="M13" s="5" t="s">
        <v>191</v>
      </c>
      <c r="N13" s="5" t="s">
        <v>194</v>
      </c>
    </row>
    <row r="14" spans="2:14" ht="12" customHeight="1" x14ac:dyDescent="0.3">
      <c r="B14" s="169">
        <v>45013</v>
      </c>
      <c r="C14" s="170">
        <v>243</v>
      </c>
      <c r="D14" s="13">
        <f>IF(B14=0,0,C7)</f>
        <v>61</v>
      </c>
      <c r="E14" s="170">
        <f t="shared" ref="E14:E18" si="10">+C14-D14</f>
        <v>182</v>
      </c>
      <c r="F14" s="171">
        <f t="shared" ref="F14:F18" si="11">+E14*1000</f>
        <v>182000</v>
      </c>
      <c r="G14" s="171">
        <v>0</v>
      </c>
      <c r="H14" s="171">
        <f t="shared" ref="H14:H18" si="12">+F14-G14</f>
        <v>182000</v>
      </c>
      <c r="I14" s="10">
        <f>944*5</f>
        <v>4720</v>
      </c>
      <c r="J14" s="174">
        <f t="shared" ref="J14:J18" si="13">+E14*$J$3/2</f>
        <v>36400</v>
      </c>
      <c r="K14" s="194" t="s">
        <v>183</v>
      </c>
      <c r="L14" s="31"/>
      <c r="M14" s="5"/>
      <c r="N14" s="5"/>
    </row>
    <row r="15" spans="2:14" ht="12" customHeight="1" x14ac:dyDescent="0.3">
      <c r="B15" s="12">
        <v>45017</v>
      </c>
      <c r="C15" s="13">
        <v>257</v>
      </c>
      <c r="D15" s="13">
        <f t="shared" ref="D15:D18" si="14">IF(B15=0,0,C14)</f>
        <v>243</v>
      </c>
      <c r="E15" s="170">
        <f t="shared" si="10"/>
        <v>14</v>
      </c>
      <c r="F15" s="171">
        <f t="shared" si="11"/>
        <v>14000</v>
      </c>
      <c r="G15" s="171">
        <v>0</v>
      </c>
      <c r="H15" s="171">
        <f t="shared" si="12"/>
        <v>14000</v>
      </c>
      <c r="I15" s="173"/>
      <c r="J15" s="174">
        <f t="shared" si="13"/>
        <v>2800</v>
      </c>
      <c r="K15" s="172"/>
      <c r="L15" s="31">
        <f t="shared" ref="L15:L19" si="15">+(I15+J15)/H15</f>
        <v>0.2</v>
      </c>
      <c r="M15" s="35">
        <f t="shared" ref="M15:M18" si="16">H15/(B15-B14)</f>
        <v>3500</v>
      </c>
      <c r="N15" s="35">
        <f t="shared" ref="N15:N18" si="17">(H15*0.6-I15-J15)/(B15-B14)</f>
        <v>1400</v>
      </c>
    </row>
    <row r="16" spans="2:14" ht="12" customHeight="1" x14ac:dyDescent="0.3">
      <c r="B16" s="12">
        <v>45022</v>
      </c>
      <c r="C16" s="13">
        <v>287</v>
      </c>
      <c r="D16" s="13">
        <f t="shared" si="14"/>
        <v>257</v>
      </c>
      <c r="E16" s="170">
        <f t="shared" si="10"/>
        <v>30</v>
      </c>
      <c r="F16" s="171">
        <f t="shared" si="11"/>
        <v>30000</v>
      </c>
      <c r="G16" s="171">
        <v>0</v>
      </c>
      <c r="H16" s="171">
        <f t="shared" si="12"/>
        <v>30000</v>
      </c>
      <c r="I16" s="173"/>
      <c r="J16" s="174">
        <f t="shared" si="13"/>
        <v>6000</v>
      </c>
      <c r="K16" s="172"/>
      <c r="L16" s="31">
        <f t="shared" si="15"/>
        <v>0.2</v>
      </c>
      <c r="M16" s="35">
        <f t="shared" si="16"/>
        <v>6000</v>
      </c>
      <c r="N16" s="35">
        <f t="shared" si="17"/>
        <v>2400</v>
      </c>
    </row>
    <row r="17" spans="2:14" ht="12" customHeight="1" x14ac:dyDescent="0.3">
      <c r="B17" s="32">
        <v>45029</v>
      </c>
      <c r="C17" s="13">
        <v>307</v>
      </c>
      <c r="D17" s="13">
        <f t="shared" si="14"/>
        <v>287</v>
      </c>
      <c r="E17" s="170">
        <f t="shared" si="10"/>
        <v>20</v>
      </c>
      <c r="F17" s="171">
        <f t="shared" si="11"/>
        <v>20000</v>
      </c>
      <c r="G17" s="171">
        <v>0</v>
      </c>
      <c r="H17" s="171">
        <f t="shared" si="12"/>
        <v>20000</v>
      </c>
      <c r="I17" s="33"/>
      <c r="J17" s="36">
        <f t="shared" si="13"/>
        <v>4000</v>
      </c>
      <c r="K17" s="172"/>
      <c r="L17" s="31">
        <f t="shared" si="15"/>
        <v>0.2</v>
      </c>
      <c r="M17" s="35">
        <f t="shared" si="16"/>
        <v>2857.1428571428573</v>
      </c>
      <c r="N17" s="35">
        <f t="shared" si="17"/>
        <v>1142.8571428571429</v>
      </c>
    </row>
    <row r="18" spans="2:14" ht="12" customHeight="1" x14ac:dyDescent="0.3">
      <c r="B18" s="45">
        <v>45035</v>
      </c>
      <c r="C18" s="46">
        <v>337</v>
      </c>
      <c r="D18" s="13">
        <f t="shared" si="14"/>
        <v>307</v>
      </c>
      <c r="E18" s="47">
        <f t="shared" si="10"/>
        <v>30</v>
      </c>
      <c r="F18" s="48">
        <f t="shared" si="11"/>
        <v>30000</v>
      </c>
      <c r="G18" s="48">
        <v>0</v>
      </c>
      <c r="H18" s="48">
        <f t="shared" si="12"/>
        <v>30000</v>
      </c>
      <c r="I18" s="193"/>
      <c r="J18" s="59">
        <f t="shared" si="13"/>
        <v>6000</v>
      </c>
      <c r="K18" s="51"/>
      <c r="L18" s="37">
        <f t="shared" si="15"/>
        <v>0.2</v>
      </c>
      <c r="M18" s="35">
        <f t="shared" si="16"/>
        <v>5000</v>
      </c>
      <c r="N18" s="35">
        <f t="shared" si="17"/>
        <v>2000</v>
      </c>
    </row>
    <row r="19" spans="2:14" ht="12" customHeight="1" x14ac:dyDescent="0.3">
      <c r="B19" s="52"/>
      <c r="C19" s="53"/>
      <c r="D19" s="53"/>
      <c r="E19" s="53">
        <f t="shared" ref="E19:J19" si="18">SUM(E14:E18)</f>
        <v>276</v>
      </c>
      <c r="F19" s="54">
        <f t="shared" si="18"/>
        <v>276000</v>
      </c>
      <c r="G19" s="54">
        <f t="shared" si="18"/>
        <v>0</v>
      </c>
      <c r="H19" s="54">
        <f t="shared" si="18"/>
        <v>276000</v>
      </c>
      <c r="I19" s="55">
        <f t="shared" si="18"/>
        <v>4720</v>
      </c>
      <c r="J19" s="55">
        <f t="shared" si="18"/>
        <v>55200</v>
      </c>
      <c r="K19" s="56">
        <f>+H19*0.6-I19-J19-G19</f>
        <v>105680</v>
      </c>
      <c r="L19" s="42">
        <f t="shared" si="15"/>
        <v>0.21710144927536232</v>
      </c>
      <c r="M19" s="31">
        <f>L19+L20</f>
        <v>0.6</v>
      </c>
      <c r="N19" s="5"/>
    </row>
    <row r="20" spans="2:14" ht="12" customHeight="1" x14ac:dyDescent="0.3">
      <c r="B20" s="27"/>
      <c r="C20" s="5"/>
      <c r="D20" s="5"/>
      <c r="E20" s="5"/>
      <c r="F20" s="5"/>
      <c r="G20" s="23"/>
      <c r="H20" s="23"/>
      <c r="I20" s="23"/>
      <c r="J20" s="4"/>
      <c r="K20" s="64">
        <f>H19*0.3</f>
        <v>82800</v>
      </c>
      <c r="L20" s="43">
        <f>+K19/H19</f>
        <v>0.38289855072463769</v>
      </c>
      <c r="M20" s="5"/>
      <c r="N20" s="5"/>
    </row>
    <row r="21" spans="2:14" ht="12" customHeight="1" x14ac:dyDescent="0.3">
      <c r="B21" s="27"/>
      <c r="C21" s="5"/>
      <c r="D21" s="5"/>
      <c r="E21" s="5"/>
      <c r="F21" s="5"/>
      <c r="G21" s="23"/>
      <c r="H21" s="23"/>
      <c r="I21" s="3" t="s">
        <v>182</v>
      </c>
      <c r="J21" s="6">
        <v>400</v>
      </c>
      <c r="K21" s="66"/>
      <c r="L21" s="5"/>
      <c r="M21" s="5"/>
      <c r="N21" s="5"/>
    </row>
    <row r="22" spans="2:14" ht="12" customHeight="1" x14ac:dyDescent="0.3">
      <c r="B22" s="28" t="s">
        <v>142</v>
      </c>
      <c r="C22" s="8" t="s">
        <v>188</v>
      </c>
      <c r="D22" s="8" t="s">
        <v>189</v>
      </c>
      <c r="E22" s="8" t="s">
        <v>190</v>
      </c>
      <c r="F22" s="8" t="s">
        <v>145</v>
      </c>
      <c r="G22" s="8" t="s">
        <v>163</v>
      </c>
      <c r="H22" s="8" t="s">
        <v>164</v>
      </c>
      <c r="I22" s="168" t="s">
        <v>165</v>
      </c>
      <c r="J22" s="9" t="s">
        <v>166</v>
      </c>
      <c r="K22" s="67" t="s">
        <v>146</v>
      </c>
      <c r="L22" s="29" t="s">
        <v>179</v>
      </c>
      <c r="M22" s="5" t="s">
        <v>191</v>
      </c>
      <c r="N22" s="5" t="s">
        <v>194</v>
      </c>
    </row>
    <row r="23" spans="2:14" ht="12" customHeight="1" x14ac:dyDescent="0.3">
      <c r="B23" s="169">
        <v>45044</v>
      </c>
      <c r="C23" s="170">
        <v>391</v>
      </c>
      <c r="D23" s="13">
        <f>IF(B23=0,0,C18)</f>
        <v>337</v>
      </c>
      <c r="E23" s="170">
        <f t="shared" ref="E23:E27" si="19">+C23-D23</f>
        <v>54</v>
      </c>
      <c r="F23" s="171">
        <f t="shared" ref="F23:F27" si="20">+E23*1000</f>
        <v>54000</v>
      </c>
      <c r="G23" s="171">
        <v>0</v>
      </c>
      <c r="H23" s="171">
        <f t="shared" ref="H23:H27" si="21">+F23-G23</f>
        <v>54000</v>
      </c>
      <c r="I23" s="10">
        <v>1888</v>
      </c>
      <c r="J23" s="174">
        <f t="shared" ref="J23:J27" si="22">+E23*$J$3/2</f>
        <v>10800</v>
      </c>
      <c r="K23" s="194" t="s">
        <v>183</v>
      </c>
      <c r="L23" s="31"/>
      <c r="M23" s="5"/>
      <c r="N23" s="5"/>
    </row>
    <row r="24" spans="2:14" ht="12" customHeight="1" x14ac:dyDescent="0.3">
      <c r="B24" s="12">
        <v>45048</v>
      </c>
      <c r="C24" s="13">
        <v>424</v>
      </c>
      <c r="D24" s="13">
        <f t="shared" ref="D24:D27" si="23">IF(B24=0,0,C23)</f>
        <v>391</v>
      </c>
      <c r="E24" s="170">
        <f t="shared" si="19"/>
        <v>33</v>
      </c>
      <c r="F24" s="171">
        <f t="shared" si="20"/>
        <v>33000</v>
      </c>
      <c r="G24" s="171">
        <v>0</v>
      </c>
      <c r="H24" s="171">
        <f t="shared" si="21"/>
        <v>33000</v>
      </c>
      <c r="I24" s="173">
        <v>1888</v>
      </c>
      <c r="J24" s="174">
        <f t="shared" si="22"/>
        <v>6600</v>
      </c>
      <c r="K24" s="172"/>
      <c r="L24" s="31">
        <f t="shared" ref="L24:L28" si="24">+(I24+J24)/H24</f>
        <v>0.25721212121212123</v>
      </c>
      <c r="M24" s="35">
        <f t="shared" ref="M24:M27" si="25">H24/(B24-B23)</f>
        <v>8250</v>
      </c>
      <c r="N24" s="35">
        <f t="shared" ref="N24:N27" si="26">(H24*0.6-I24-J24)/(B24-B23)</f>
        <v>2828</v>
      </c>
    </row>
    <row r="25" spans="2:14" ht="12" customHeight="1" x14ac:dyDescent="0.3">
      <c r="B25" s="12">
        <v>45057</v>
      </c>
      <c r="C25" s="13">
        <v>463</v>
      </c>
      <c r="D25" s="13">
        <f t="shared" si="23"/>
        <v>424</v>
      </c>
      <c r="E25" s="170">
        <f t="shared" si="19"/>
        <v>39</v>
      </c>
      <c r="F25" s="171">
        <f t="shared" si="20"/>
        <v>39000</v>
      </c>
      <c r="G25" s="171">
        <v>0</v>
      </c>
      <c r="H25" s="171">
        <f t="shared" si="21"/>
        <v>39000</v>
      </c>
      <c r="I25" s="173">
        <v>5640</v>
      </c>
      <c r="J25" s="174">
        <f t="shared" si="22"/>
        <v>7800</v>
      </c>
      <c r="K25" s="172"/>
      <c r="L25" s="31">
        <f t="shared" si="24"/>
        <v>0.3446153846153846</v>
      </c>
      <c r="M25" s="35">
        <f t="shared" si="25"/>
        <v>4333.333333333333</v>
      </c>
      <c r="N25" s="35">
        <f t="shared" si="26"/>
        <v>1106.6666666666667</v>
      </c>
    </row>
    <row r="26" spans="2:14" ht="12" customHeight="1" x14ac:dyDescent="0.3">
      <c r="B26" s="32">
        <v>45060</v>
      </c>
      <c r="C26" s="13">
        <v>485</v>
      </c>
      <c r="D26" s="13">
        <f t="shared" si="23"/>
        <v>463</v>
      </c>
      <c r="E26" s="170">
        <f t="shared" si="19"/>
        <v>22</v>
      </c>
      <c r="F26" s="171">
        <f t="shared" si="20"/>
        <v>22000</v>
      </c>
      <c r="G26" s="171">
        <v>0</v>
      </c>
      <c r="H26" s="171">
        <f t="shared" si="21"/>
        <v>22000</v>
      </c>
      <c r="I26" s="33">
        <v>1888</v>
      </c>
      <c r="J26" s="36">
        <f t="shared" si="22"/>
        <v>4400</v>
      </c>
      <c r="K26" s="172"/>
      <c r="L26" s="31">
        <f t="shared" si="24"/>
        <v>0.2858181818181818</v>
      </c>
      <c r="M26" s="35">
        <f t="shared" si="25"/>
        <v>7333.333333333333</v>
      </c>
      <c r="N26" s="35">
        <f t="shared" si="26"/>
        <v>2304</v>
      </c>
    </row>
    <row r="27" spans="2:14" ht="12" customHeight="1" x14ac:dyDescent="0.3">
      <c r="B27" s="45">
        <v>45064</v>
      </c>
      <c r="C27" s="46">
        <v>491</v>
      </c>
      <c r="D27" s="13">
        <f t="shared" si="23"/>
        <v>485</v>
      </c>
      <c r="E27" s="47">
        <f t="shared" si="19"/>
        <v>6</v>
      </c>
      <c r="F27" s="48">
        <f t="shared" si="20"/>
        <v>6000</v>
      </c>
      <c r="G27" s="48">
        <v>0</v>
      </c>
      <c r="H27" s="48">
        <f t="shared" si="21"/>
        <v>6000</v>
      </c>
      <c r="I27" s="193">
        <v>1888</v>
      </c>
      <c r="J27" s="59">
        <f t="shared" si="22"/>
        <v>1200</v>
      </c>
      <c r="K27" s="51"/>
      <c r="L27" s="37">
        <f t="shared" si="24"/>
        <v>0.51466666666666672</v>
      </c>
      <c r="M27" s="35">
        <f t="shared" si="25"/>
        <v>1500</v>
      </c>
      <c r="N27" s="35">
        <f t="shared" si="26"/>
        <v>128</v>
      </c>
    </row>
    <row r="28" spans="2:14" ht="12" customHeight="1" x14ac:dyDescent="0.3">
      <c r="B28" s="52"/>
      <c r="C28" s="53"/>
      <c r="D28" s="53"/>
      <c r="E28" s="53">
        <f t="shared" ref="E28:J28" si="27">SUM(E23:E27)</f>
        <v>154</v>
      </c>
      <c r="F28" s="54">
        <f t="shared" si="27"/>
        <v>154000</v>
      </c>
      <c r="G28" s="54">
        <f t="shared" si="27"/>
        <v>0</v>
      </c>
      <c r="H28" s="54">
        <f t="shared" si="27"/>
        <v>154000</v>
      </c>
      <c r="I28" s="55">
        <f t="shared" si="27"/>
        <v>13192</v>
      </c>
      <c r="J28" s="55">
        <f t="shared" si="27"/>
        <v>30800</v>
      </c>
      <c r="K28" s="56">
        <f>+H28*0.6-I28-J28-G28</f>
        <v>48408</v>
      </c>
      <c r="L28" s="42">
        <f t="shared" si="24"/>
        <v>0.28566233766233767</v>
      </c>
      <c r="M28" s="31">
        <f>L28+L29</f>
        <v>0.60000000000000009</v>
      </c>
      <c r="N28" s="5"/>
    </row>
    <row r="29" spans="2:14" ht="12" customHeight="1" x14ac:dyDescent="0.3">
      <c r="B29" s="27"/>
      <c r="C29" s="5"/>
      <c r="D29" s="5"/>
      <c r="E29" s="5"/>
      <c r="F29" s="5"/>
      <c r="G29" s="23"/>
      <c r="H29" s="23"/>
      <c r="I29" s="23"/>
      <c r="J29" s="4"/>
      <c r="K29" s="64">
        <f>H28*0.3</f>
        <v>46200</v>
      </c>
      <c r="L29" s="43">
        <f>+K28/H28</f>
        <v>0.31433766233766236</v>
      </c>
      <c r="M29" s="5"/>
      <c r="N29" s="5"/>
    </row>
    <row r="30" spans="2:14" ht="12" customHeight="1" x14ac:dyDescent="0.3">
      <c r="B30" s="27"/>
      <c r="C30" s="5"/>
      <c r="D30" s="5"/>
      <c r="E30" s="5"/>
      <c r="F30" s="5"/>
      <c r="G30" s="23"/>
      <c r="H30" s="23"/>
      <c r="I30" s="3" t="s">
        <v>182</v>
      </c>
      <c r="J30" s="6">
        <v>400</v>
      </c>
      <c r="K30" s="66"/>
      <c r="L30" s="5"/>
      <c r="M30" s="5"/>
      <c r="N30" s="5"/>
    </row>
    <row r="31" spans="2:14" ht="12" customHeight="1" x14ac:dyDescent="0.3">
      <c r="B31" s="28" t="s">
        <v>142</v>
      </c>
      <c r="C31" s="8" t="s">
        <v>188</v>
      </c>
      <c r="D31" s="8" t="s">
        <v>189</v>
      </c>
      <c r="E31" s="8" t="s">
        <v>190</v>
      </c>
      <c r="F31" s="8" t="s">
        <v>145</v>
      </c>
      <c r="G31" s="8" t="s">
        <v>163</v>
      </c>
      <c r="H31" s="8" t="s">
        <v>164</v>
      </c>
      <c r="I31" s="168" t="s">
        <v>165</v>
      </c>
      <c r="J31" s="9" t="s">
        <v>166</v>
      </c>
      <c r="K31" s="67" t="s">
        <v>146</v>
      </c>
      <c r="L31" s="29" t="s">
        <v>179</v>
      </c>
      <c r="M31" s="5" t="s">
        <v>191</v>
      </c>
      <c r="N31" s="5" t="s">
        <v>194</v>
      </c>
    </row>
    <row r="32" spans="2:14" ht="12" customHeight="1" x14ac:dyDescent="0.3">
      <c r="B32" s="169">
        <v>45070</v>
      </c>
      <c r="C32" s="170">
        <v>511</v>
      </c>
      <c r="D32" s="13">
        <f>IF(B32=0,0,C27)</f>
        <v>491</v>
      </c>
      <c r="E32" s="170">
        <f t="shared" ref="E32:E36" si="28">+C32-D32</f>
        <v>20</v>
      </c>
      <c r="F32" s="171">
        <f t="shared" ref="F32:F36" si="29">+E32*1000</f>
        <v>20000</v>
      </c>
      <c r="G32" s="171">
        <v>0</v>
      </c>
      <c r="H32" s="171">
        <f t="shared" ref="H32:H36" si="30">+F32-G32</f>
        <v>20000</v>
      </c>
      <c r="I32" s="10">
        <v>1888</v>
      </c>
      <c r="J32" s="174">
        <f t="shared" ref="J32:J36" si="31">+E32*$J$3/2</f>
        <v>4000</v>
      </c>
      <c r="K32" s="194" t="s">
        <v>183</v>
      </c>
      <c r="L32" s="31"/>
      <c r="M32" s="5"/>
      <c r="N32" s="5"/>
    </row>
    <row r="33" spans="2:14" ht="12" customHeight="1" x14ac:dyDescent="0.3">
      <c r="B33" s="12">
        <v>45074</v>
      </c>
      <c r="C33" s="13">
        <v>557</v>
      </c>
      <c r="D33" s="13">
        <f t="shared" ref="D33:D36" si="32">IF(B33=0,0,C32)</f>
        <v>511</v>
      </c>
      <c r="E33" s="170">
        <f t="shared" si="28"/>
        <v>46</v>
      </c>
      <c r="F33" s="171">
        <f t="shared" si="29"/>
        <v>46000</v>
      </c>
      <c r="G33" s="171">
        <v>0</v>
      </c>
      <c r="H33" s="171">
        <f t="shared" si="30"/>
        <v>46000</v>
      </c>
      <c r="I33" s="173">
        <v>5466</v>
      </c>
      <c r="J33" s="174">
        <f t="shared" si="31"/>
        <v>9200</v>
      </c>
      <c r="K33" s="172"/>
      <c r="L33" s="31">
        <f t="shared" ref="L33:L37" si="33">+(I33+J33)/H33</f>
        <v>0.31882608695652176</v>
      </c>
      <c r="M33" s="35">
        <f t="shared" ref="M33:M36" si="34">H33/(B33-B32)</f>
        <v>11500</v>
      </c>
      <c r="N33" s="35">
        <f t="shared" ref="N33:N36" si="35">(H33*0.6-I33-J33)/(B33-B32)</f>
        <v>3233.5</v>
      </c>
    </row>
    <row r="34" spans="2:14" ht="12" customHeight="1" x14ac:dyDescent="0.3">
      <c r="B34" s="12">
        <v>45082</v>
      </c>
      <c r="C34" s="13">
        <v>589</v>
      </c>
      <c r="D34" s="13">
        <f t="shared" si="32"/>
        <v>557</v>
      </c>
      <c r="E34" s="170">
        <f t="shared" si="28"/>
        <v>32</v>
      </c>
      <c r="F34" s="171">
        <f t="shared" si="29"/>
        <v>32000</v>
      </c>
      <c r="G34" s="171">
        <v>0</v>
      </c>
      <c r="H34" s="171">
        <f t="shared" si="30"/>
        <v>32000</v>
      </c>
      <c r="I34" s="173">
        <v>1888</v>
      </c>
      <c r="J34" s="174">
        <f t="shared" si="31"/>
        <v>6400</v>
      </c>
      <c r="K34" s="172"/>
      <c r="L34" s="31">
        <f t="shared" si="33"/>
        <v>0.25900000000000001</v>
      </c>
      <c r="M34" s="35">
        <f t="shared" si="34"/>
        <v>4000</v>
      </c>
      <c r="N34" s="35">
        <f t="shared" si="35"/>
        <v>1364</v>
      </c>
    </row>
    <row r="35" spans="2:14" ht="12" customHeight="1" x14ac:dyDescent="0.3">
      <c r="B35" s="32">
        <v>45087</v>
      </c>
      <c r="C35" s="13">
        <v>601</v>
      </c>
      <c r="D35" s="13">
        <f t="shared" si="32"/>
        <v>589</v>
      </c>
      <c r="E35" s="170">
        <f t="shared" si="28"/>
        <v>12</v>
      </c>
      <c r="F35" s="171">
        <f t="shared" si="29"/>
        <v>12000</v>
      </c>
      <c r="G35" s="171">
        <v>0</v>
      </c>
      <c r="H35" s="171">
        <f t="shared" si="30"/>
        <v>12000</v>
      </c>
      <c r="I35" s="33">
        <v>1888</v>
      </c>
      <c r="J35" s="36">
        <f t="shared" si="31"/>
        <v>2400</v>
      </c>
      <c r="K35" s="172"/>
      <c r="L35" s="31">
        <f t="shared" si="33"/>
        <v>0.35733333333333334</v>
      </c>
      <c r="M35" s="35">
        <f t="shared" si="34"/>
        <v>2400</v>
      </c>
      <c r="N35" s="35">
        <f t="shared" si="35"/>
        <v>582.4</v>
      </c>
    </row>
    <row r="36" spans="2:14" ht="12" customHeight="1" x14ac:dyDescent="0.3">
      <c r="B36" s="45">
        <v>45095</v>
      </c>
      <c r="C36" s="46">
        <v>669</v>
      </c>
      <c r="D36" s="13">
        <f t="shared" si="32"/>
        <v>601</v>
      </c>
      <c r="E36" s="47">
        <f t="shared" si="28"/>
        <v>68</v>
      </c>
      <c r="F36" s="48">
        <f t="shared" si="29"/>
        <v>68000</v>
      </c>
      <c r="G36" s="48">
        <v>0</v>
      </c>
      <c r="H36" s="48">
        <f t="shared" si="30"/>
        <v>68000</v>
      </c>
      <c r="I36" s="193"/>
      <c r="J36" s="59">
        <f t="shared" si="31"/>
        <v>13600</v>
      </c>
      <c r="K36" s="51"/>
      <c r="L36" s="37">
        <f t="shared" si="33"/>
        <v>0.2</v>
      </c>
      <c r="M36" s="35">
        <f t="shared" si="34"/>
        <v>8500</v>
      </c>
      <c r="N36" s="35">
        <f t="shared" si="35"/>
        <v>3400</v>
      </c>
    </row>
    <row r="37" spans="2:14" ht="12" customHeight="1" x14ac:dyDescent="0.3">
      <c r="B37" s="52"/>
      <c r="C37" s="53"/>
      <c r="D37" s="53"/>
      <c r="E37" s="53">
        <f t="shared" ref="E37:J37" si="36">SUM(E32:E36)</f>
        <v>178</v>
      </c>
      <c r="F37" s="54">
        <f t="shared" si="36"/>
        <v>178000</v>
      </c>
      <c r="G37" s="54">
        <f t="shared" si="36"/>
        <v>0</v>
      </c>
      <c r="H37" s="54">
        <f t="shared" si="36"/>
        <v>178000</v>
      </c>
      <c r="I37" s="55">
        <f t="shared" si="36"/>
        <v>11130</v>
      </c>
      <c r="J37" s="55">
        <f t="shared" si="36"/>
        <v>35600</v>
      </c>
      <c r="K37" s="56">
        <f>+H37*0.6-I37-J37-G37</f>
        <v>60070</v>
      </c>
      <c r="L37" s="42">
        <f t="shared" si="33"/>
        <v>0.26252808988764043</v>
      </c>
      <c r="M37" s="31">
        <f>L37+L38</f>
        <v>0.6</v>
      </c>
      <c r="N37" s="5"/>
    </row>
    <row r="38" spans="2:14" ht="12" customHeight="1" x14ac:dyDescent="0.3">
      <c r="B38" s="27"/>
      <c r="C38" s="5"/>
      <c r="D38" s="5"/>
      <c r="E38" s="5"/>
      <c r="F38" s="5"/>
      <c r="G38" s="23"/>
      <c r="H38" s="23"/>
      <c r="I38" s="23"/>
      <c r="J38" s="4"/>
      <c r="K38" s="64">
        <f>H37*0.3</f>
        <v>53400</v>
      </c>
      <c r="L38" s="43">
        <f>+K37/H37</f>
        <v>0.33747191011235955</v>
      </c>
      <c r="M38" s="5"/>
      <c r="N38" s="5"/>
    </row>
    <row r="39" spans="2:14" ht="12" customHeight="1" x14ac:dyDescent="0.3">
      <c r="B39" s="27"/>
      <c r="C39" s="5"/>
      <c r="D39" s="5"/>
      <c r="E39" s="5"/>
      <c r="F39" s="5"/>
      <c r="G39" s="23"/>
      <c r="H39" s="23"/>
      <c r="I39" s="3" t="s">
        <v>182</v>
      </c>
      <c r="J39" s="6">
        <v>400</v>
      </c>
      <c r="K39" s="66"/>
      <c r="L39" s="5"/>
      <c r="M39" s="5"/>
      <c r="N39" s="5"/>
    </row>
    <row r="40" spans="2:14" ht="12" customHeight="1" x14ac:dyDescent="0.3">
      <c r="B40" s="28" t="s">
        <v>142</v>
      </c>
      <c r="C40" s="8" t="s">
        <v>188</v>
      </c>
      <c r="D40" s="8" t="s">
        <v>189</v>
      </c>
      <c r="E40" s="8" t="s">
        <v>190</v>
      </c>
      <c r="F40" s="8" t="s">
        <v>145</v>
      </c>
      <c r="G40" s="8" t="s">
        <v>163</v>
      </c>
      <c r="H40" s="8" t="s">
        <v>164</v>
      </c>
      <c r="I40" s="168" t="s">
        <v>165</v>
      </c>
      <c r="J40" s="9" t="s">
        <v>166</v>
      </c>
      <c r="K40" s="67" t="s">
        <v>146</v>
      </c>
      <c r="L40" s="29" t="s">
        <v>179</v>
      </c>
      <c r="M40" s="5" t="s">
        <v>191</v>
      </c>
      <c r="N40" s="5" t="s">
        <v>194</v>
      </c>
    </row>
    <row r="41" spans="2:14" ht="12" customHeight="1" x14ac:dyDescent="0.3">
      <c r="B41" s="169">
        <v>45101</v>
      </c>
      <c r="C41" s="170">
        <v>703</v>
      </c>
      <c r="D41" s="13">
        <f>IF(B41=0,0,C36)</f>
        <v>669</v>
      </c>
      <c r="E41" s="170">
        <f t="shared" ref="E41:E45" si="37">+C41-D41</f>
        <v>34</v>
      </c>
      <c r="F41" s="171">
        <f t="shared" ref="F41:F45" si="38">+E41*1000</f>
        <v>34000</v>
      </c>
      <c r="G41" s="171">
        <v>0</v>
      </c>
      <c r="H41" s="171">
        <f t="shared" ref="H41:H45" si="39">+F41-G41</f>
        <v>34000</v>
      </c>
      <c r="I41" s="10"/>
      <c r="J41" s="174">
        <f t="shared" ref="J41:J45" si="40">+E41*$J$3/2</f>
        <v>6800</v>
      </c>
      <c r="K41" s="194" t="s">
        <v>183</v>
      </c>
      <c r="L41" s="31"/>
      <c r="M41" s="5"/>
      <c r="N41" s="5"/>
    </row>
    <row r="42" spans="2:14" ht="12" customHeight="1" x14ac:dyDescent="0.3">
      <c r="B42" s="12">
        <v>45109</v>
      </c>
      <c r="C42" s="13">
        <v>773</v>
      </c>
      <c r="D42" s="13">
        <f t="shared" ref="D42:D45" si="41">IF(B42=0,0,C41)</f>
        <v>703</v>
      </c>
      <c r="E42" s="170">
        <f t="shared" si="37"/>
        <v>70</v>
      </c>
      <c r="F42" s="171">
        <f t="shared" si="38"/>
        <v>70000</v>
      </c>
      <c r="G42" s="171">
        <v>0</v>
      </c>
      <c r="H42" s="171">
        <f t="shared" si="39"/>
        <v>70000</v>
      </c>
      <c r="I42" s="173"/>
      <c r="J42" s="174">
        <f t="shared" si="40"/>
        <v>14000</v>
      </c>
      <c r="K42" s="172"/>
      <c r="L42" s="31">
        <f t="shared" ref="L42:L46" si="42">+(I42+J42)/H42</f>
        <v>0.2</v>
      </c>
      <c r="M42" s="35">
        <f t="shared" ref="M42:M45" si="43">H42/(B42-B41)</f>
        <v>8750</v>
      </c>
      <c r="N42" s="35">
        <f t="shared" ref="N42:N45" si="44">(H42*0.6-I42-J42)/(B42-B41)</f>
        <v>3500</v>
      </c>
    </row>
    <row r="43" spans="2:14" ht="12" customHeight="1" x14ac:dyDescent="0.3">
      <c r="B43" s="12"/>
      <c r="C43" s="13"/>
      <c r="D43" s="13">
        <f t="shared" si="41"/>
        <v>0</v>
      </c>
      <c r="E43" s="170">
        <f t="shared" si="37"/>
        <v>0</v>
      </c>
      <c r="F43" s="171">
        <f t="shared" si="38"/>
        <v>0</v>
      </c>
      <c r="G43" s="171">
        <v>0</v>
      </c>
      <c r="H43" s="171">
        <f t="shared" si="39"/>
        <v>0</v>
      </c>
      <c r="I43" s="173"/>
      <c r="J43" s="174">
        <f t="shared" si="40"/>
        <v>0</v>
      </c>
      <c r="K43" s="172"/>
      <c r="L43" s="31" t="e">
        <f t="shared" si="42"/>
        <v>#DIV/0!</v>
      </c>
      <c r="M43" s="35">
        <f t="shared" si="43"/>
        <v>0</v>
      </c>
      <c r="N43" s="35">
        <f t="shared" si="44"/>
        <v>0</v>
      </c>
    </row>
    <row r="44" spans="2:14" ht="12" customHeight="1" x14ac:dyDescent="0.3">
      <c r="B44" s="32"/>
      <c r="C44" s="13"/>
      <c r="D44" s="13">
        <f t="shared" si="41"/>
        <v>0</v>
      </c>
      <c r="E44" s="170">
        <f t="shared" si="37"/>
        <v>0</v>
      </c>
      <c r="F44" s="171">
        <f t="shared" si="38"/>
        <v>0</v>
      </c>
      <c r="G44" s="171">
        <v>0</v>
      </c>
      <c r="H44" s="171">
        <f t="shared" si="39"/>
        <v>0</v>
      </c>
      <c r="I44" s="33"/>
      <c r="J44" s="36">
        <f t="shared" si="40"/>
        <v>0</v>
      </c>
      <c r="K44" s="172"/>
      <c r="L44" s="31" t="e">
        <f t="shared" si="42"/>
        <v>#DIV/0!</v>
      </c>
      <c r="M44" s="35" t="e">
        <f t="shared" si="43"/>
        <v>#DIV/0!</v>
      </c>
      <c r="N44" s="35" t="e">
        <f t="shared" si="44"/>
        <v>#DIV/0!</v>
      </c>
    </row>
    <row r="45" spans="2:14" ht="12" customHeight="1" x14ac:dyDescent="0.3">
      <c r="B45" s="45"/>
      <c r="C45" s="46"/>
      <c r="D45" s="13">
        <f t="shared" si="41"/>
        <v>0</v>
      </c>
      <c r="E45" s="47">
        <f t="shared" si="37"/>
        <v>0</v>
      </c>
      <c r="F45" s="48">
        <f t="shared" si="38"/>
        <v>0</v>
      </c>
      <c r="G45" s="48">
        <v>0</v>
      </c>
      <c r="H45" s="48">
        <f t="shared" si="39"/>
        <v>0</v>
      </c>
      <c r="I45" s="193"/>
      <c r="J45" s="59">
        <f t="shared" si="40"/>
        <v>0</v>
      </c>
      <c r="K45" s="51"/>
      <c r="L45" s="37" t="e">
        <f t="shared" si="42"/>
        <v>#DIV/0!</v>
      </c>
      <c r="M45" s="35" t="e">
        <f t="shared" si="43"/>
        <v>#DIV/0!</v>
      </c>
      <c r="N45" s="35" t="e">
        <f t="shared" si="44"/>
        <v>#DIV/0!</v>
      </c>
    </row>
    <row r="46" spans="2:14" ht="12" customHeight="1" x14ac:dyDescent="0.3">
      <c r="B46" s="52"/>
      <c r="C46" s="53"/>
      <c r="D46" s="53"/>
      <c r="E46" s="53">
        <f t="shared" ref="E46:J46" si="45">SUM(E41:E45)</f>
        <v>104</v>
      </c>
      <c r="F46" s="54">
        <f t="shared" si="45"/>
        <v>104000</v>
      </c>
      <c r="G46" s="54">
        <f t="shared" si="45"/>
        <v>0</v>
      </c>
      <c r="H46" s="54">
        <f t="shared" si="45"/>
        <v>104000</v>
      </c>
      <c r="I46" s="55">
        <f t="shared" si="45"/>
        <v>0</v>
      </c>
      <c r="J46" s="55">
        <f t="shared" si="45"/>
        <v>20800</v>
      </c>
      <c r="K46" s="56">
        <f>+H46*0.6-I46-J46-G46</f>
        <v>41600</v>
      </c>
      <c r="L46" s="42">
        <f t="shared" si="42"/>
        <v>0.2</v>
      </c>
      <c r="M46" s="31">
        <f>L46+L47</f>
        <v>0.60000000000000009</v>
      </c>
      <c r="N46" s="5"/>
    </row>
    <row r="47" spans="2:14" ht="12" customHeight="1" x14ac:dyDescent="0.3">
      <c r="B47" s="27"/>
      <c r="C47" s="5"/>
      <c r="D47" s="5"/>
      <c r="E47" s="5"/>
      <c r="F47" s="5"/>
      <c r="G47" s="23"/>
      <c r="H47" s="23"/>
      <c r="I47" s="23"/>
      <c r="J47" s="4"/>
      <c r="K47" s="64">
        <f>H46*0.3</f>
        <v>31200</v>
      </c>
      <c r="L47" s="43">
        <f>+K46/H46</f>
        <v>0.4</v>
      </c>
      <c r="M47" s="5"/>
      <c r="N47" s="5"/>
    </row>
  </sheetData>
  <mergeCells count="2">
    <mergeCell ref="B1:E1"/>
    <mergeCell ref="B2:C2"/>
  </mergeCells>
  <phoneticPr fontId="35"/>
  <pageMargins left="0.69930555555555596" right="0.69930555555555596" top="0.75" bottom="0.75" header="0" footer="0"/>
  <pageSetup paperSize="9" scale="9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C179-1471-41E3-956C-D8DFEC0A766B}">
  <dimension ref="A1"/>
  <sheetViews>
    <sheetView zoomScaleNormal="100" zoomScaleSheetLayoutView="100" workbookViewId="0"/>
  </sheetViews>
  <sheetFormatPr defaultRowHeight="15" x14ac:dyDescent="0.2"/>
  <sheetData/>
  <phoneticPr fontId="35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1">
    <pageSetUpPr fitToPage="1"/>
  </sheetPr>
  <dimension ref="B1:N56"/>
  <sheetViews>
    <sheetView workbookViewId="0">
      <pane ySplit="2" topLeftCell="A4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6.05078125" customWidth="1"/>
    <col min="3" max="4" width="7.3984375" customWidth="1"/>
    <col min="5" max="5" width="5.51171875" customWidth="1"/>
    <col min="6" max="6" width="10.22265625" customWidth="1"/>
    <col min="7" max="7" width="7.6640625" customWidth="1"/>
    <col min="8" max="8" width="10.22265625" customWidth="1"/>
    <col min="9" max="9" width="11.43359375" customWidth="1"/>
    <col min="10" max="10" width="10.22265625" customWidth="1"/>
    <col min="11" max="11" width="21.1171875" customWidth="1"/>
    <col min="12" max="12" width="10.22265625" customWidth="1"/>
    <col min="13" max="13" width="9.28125" customWidth="1"/>
    <col min="14" max="14" width="11.1640625" customWidth="1"/>
    <col min="15" max="17" width="5.109375" customWidth="1"/>
    <col min="18" max="21" width="8.875" customWidth="1"/>
    <col min="22" max="25" width="9.01171875" customWidth="1"/>
    <col min="27" max="27" width="8.203125" customWidth="1"/>
    <col min="28" max="28" width="8.47265625" customWidth="1"/>
    <col min="29" max="29" width="6.45703125" customWidth="1"/>
    <col min="30" max="30" width="9.68359375" customWidth="1"/>
  </cols>
  <sheetData>
    <row r="1" spans="2:14" ht="12" customHeight="1" x14ac:dyDescent="0.3">
      <c r="B1" s="850" t="s">
        <v>215</v>
      </c>
      <c r="C1" s="846"/>
      <c r="D1" s="846"/>
      <c r="E1" s="846"/>
      <c r="F1" s="21" t="s">
        <v>187</v>
      </c>
      <c r="G1" s="5" t="s">
        <v>163</v>
      </c>
      <c r="H1" s="22" t="s">
        <v>164</v>
      </c>
      <c r="I1" s="22" t="s">
        <v>165</v>
      </c>
      <c r="J1" s="667" t="s">
        <v>166</v>
      </c>
      <c r="K1" s="64" t="s">
        <v>179</v>
      </c>
      <c r="L1" s="5"/>
      <c r="M1" s="5"/>
      <c r="N1" s="5"/>
    </row>
    <row r="2" spans="2:14" ht="12" customHeight="1" x14ac:dyDescent="0.3">
      <c r="B2" s="851" t="s">
        <v>214</v>
      </c>
      <c r="C2" s="846"/>
      <c r="E2" s="24"/>
      <c r="F2" s="25">
        <f t="shared" ref="F2:J2" si="0">F10</f>
        <v>133000</v>
      </c>
      <c r="G2" s="25">
        <f t="shared" si="0"/>
        <v>0</v>
      </c>
      <c r="H2" s="25">
        <f t="shared" si="0"/>
        <v>133000</v>
      </c>
      <c r="I2" s="25">
        <f t="shared" si="0"/>
        <v>5664</v>
      </c>
      <c r="J2" s="25">
        <f t="shared" si="0"/>
        <v>26600</v>
      </c>
      <c r="K2" s="65">
        <f>(I2+J2)/H2</f>
        <v>0.24258646616541354</v>
      </c>
      <c r="L2" s="5"/>
      <c r="M2" s="5"/>
      <c r="N2" s="5"/>
    </row>
    <row r="3" spans="2:14" ht="12" customHeight="1" x14ac:dyDescent="0.3">
      <c r="B3" s="27"/>
      <c r="C3" s="5"/>
      <c r="D3" s="5"/>
      <c r="E3" s="5"/>
      <c r="F3" s="5"/>
      <c r="G3" s="23"/>
      <c r="H3" s="23"/>
      <c r="I3" s="3" t="s">
        <v>182</v>
      </c>
      <c r="J3" s="6">
        <v>400</v>
      </c>
      <c r="K3" s="66"/>
      <c r="L3" s="5"/>
      <c r="M3" s="5"/>
      <c r="N3" s="5"/>
    </row>
    <row r="4" spans="2:14" ht="12" customHeight="1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8" t="s">
        <v>145</v>
      </c>
      <c r="G4" s="8" t="s">
        <v>163</v>
      </c>
      <c r="H4" s="8" t="s">
        <v>164</v>
      </c>
      <c r="I4" s="168" t="s">
        <v>165</v>
      </c>
      <c r="J4" s="9" t="s">
        <v>166</v>
      </c>
      <c r="K4" s="67" t="s">
        <v>146</v>
      </c>
      <c r="L4" s="29" t="s">
        <v>179</v>
      </c>
      <c r="M4" s="5" t="s">
        <v>191</v>
      </c>
      <c r="N4" s="5" t="s">
        <v>194</v>
      </c>
    </row>
    <row r="5" spans="2:14" ht="12" customHeight="1" x14ac:dyDescent="0.3">
      <c r="B5" s="169">
        <v>44965</v>
      </c>
      <c r="C5" s="170">
        <v>5876</v>
      </c>
      <c r="D5" s="170">
        <v>5876</v>
      </c>
      <c r="E5" s="170">
        <f t="shared" ref="E5:E9" si="1">+C5-D5</f>
        <v>0</v>
      </c>
      <c r="F5" s="171">
        <f t="shared" ref="F5:F9" si="2">+E5*1000</f>
        <v>0</v>
      </c>
      <c r="G5" s="171">
        <v>0</v>
      </c>
      <c r="H5" s="171">
        <f t="shared" ref="H5:H9" si="3">+F5-G5</f>
        <v>0</v>
      </c>
      <c r="I5" s="10"/>
      <c r="J5" s="174">
        <f t="shared" ref="J5:J9" si="4">+E5*$J$3/2</f>
        <v>0</v>
      </c>
      <c r="K5" s="194" t="s">
        <v>183</v>
      </c>
      <c r="L5" s="31"/>
      <c r="M5" s="5"/>
      <c r="N5" s="5"/>
    </row>
    <row r="6" spans="2:14" ht="12" customHeight="1" x14ac:dyDescent="0.3">
      <c r="B6" s="12">
        <v>44968</v>
      </c>
      <c r="C6" s="13">
        <v>5946</v>
      </c>
      <c r="D6" s="13">
        <f t="shared" ref="D6:D9" si="5">IF(B6=0,0,C5)</f>
        <v>5876</v>
      </c>
      <c r="E6" s="170">
        <f t="shared" si="1"/>
        <v>70</v>
      </c>
      <c r="F6" s="171">
        <f t="shared" si="2"/>
        <v>70000</v>
      </c>
      <c r="G6" s="171">
        <v>0</v>
      </c>
      <c r="H6" s="171">
        <f t="shared" si="3"/>
        <v>70000</v>
      </c>
      <c r="I6" s="173"/>
      <c r="J6" s="174">
        <f t="shared" si="4"/>
        <v>14000</v>
      </c>
      <c r="K6" s="172"/>
      <c r="L6" s="31">
        <f t="shared" ref="L6:L10" si="6">+(I6+J6)/H6</f>
        <v>0.2</v>
      </c>
      <c r="M6" s="35">
        <f t="shared" ref="M6:M9" si="7">H6/(B6-B5)</f>
        <v>23333.333333333332</v>
      </c>
      <c r="N6" s="35">
        <f t="shared" ref="N6:N9" si="8">(H6*0.6-I6-J6)/(B6-B5)</f>
        <v>9333.3333333333339</v>
      </c>
    </row>
    <row r="7" spans="2:14" ht="12" customHeight="1" x14ac:dyDescent="0.3">
      <c r="B7" s="12">
        <v>44972</v>
      </c>
      <c r="C7" s="13">
        <v>6009</v>
      </c>
      <c r="D7" s="13">
        <f t="shared" si="5"/>
        <v>5946</v>
      </c>
      <c r="E7" s="170">
        <f t="shared" si="1"/>
        <v>63</v>
      </c>
      <c r="F7" s="171">
        <f t="shared" si="2"/>
        <v>63000</v>
      </c>
      <c r="G7" s="171">
        <v>0</v>
      </c>
      <c r="H7" s="171">
        <f t="shared" si="3"/>
        <v>63000</v>
      </c>
      <c r="I7" s="173">
        <f>944*6</f>
        <v>5664</v>
      </c>
      <c r="J7" s="174">
        <f t="shared" si="4"/>
        <v>12600</v>
      </c>
      <c r="K7" s="172"/>
      <c r="L7" s="31">
        <f t="shared" si="6"/>
        <v>0.28990476190476189</v>
      </c>
      <c r="M7" s="35">
        <f t="shared" si="7"/>
        <v>15750</v>
      </c>
      <c r="N7" s="35">
        <f t="shared" si="8"/>
        <v>4884</v>
      </c>
    </row>
    <row r="8" spans="2:14" ht="12" customHeight="1" x14ac:dyDescent="0.3">
      <c r="B8" s="32"/>
      <c r="C8" s="13"/>
      <c r="D8" s="13">
        <f t="shared" si="5"/>
        <v>0</v>
      </c>
      <c r="E8" s="170">
        <f t="shared" si="1"/>
        <v>0</v>
      </c>
      <c r="F8" s="171">
        <f t="shared" si="2"/>
        <v>0</v>
      </c>
      <c r="G8" s="171">
        <v>0</v>
      </c>
      <c r="H8" s="171">
        <f t="shared" si="3"/>
        <v>0</v>
      </c>
      <c r="I8" s="33"/>
      <c r="J8" s="174">
        <f t="shared" si="4"/>
        <v>0</v>
      </c>
      <c r="K8" s="172"/>
      <c r="L8" s="31" t="e">
        <f t="shared" si="6"/>
        <v>#DIV/0!</v>
      </c>
      <c r="M8" s="35">
        <f t="shared" si="7"/>
        <v>0</v>
      </c>
      <c r="N8" s="35">
        <f t="shared" si="8"/>
        <v>0</v>
      </c>
    </row>
    <row r="9" spans="2:14" ht="12" customHeight="1" x14ac:dyDescent="0.3">
      <c r="B9" s="45"/>
      <c r="C9" s="46"/>
      <c r="D9" s="13">
        <f t="shared" si="5"/>
        <v>0</v>
      </c>
      <c r="E9" s="47">
        <f t="shared" si="1"/>
        <v>0</v>
      </c>
      <c r="F9" s="48">
        <f t="shared" si="2"/>
        <v>0</v>
      </c>
      <c r="G9" s="48">
        <v>0</v>
      </c>
      <c r="H9" s="48">
        <f t="shared" si="3"/>
        <v>0</v>
      </c>
      <c r="I9" s="193"/>
      <c r="J9" s="174">
        <f t="shared" si="4"/>
        <v>0</v>
      </c>
      <c r="K9" s="51"/>
      <c r="L9" s="37" t="e">
        <f t="shared" si="6"/>
        <v>#DIV/0!</v>
      </c>
      <c r="M9" s="35" t="e">
        <f t="shared" si="7"/>
        <v>#DIV/0!</v>
      </c>
      <c r="N9" s="35" t="e">
        <f t="shared" si="8"/>
        <v>#DIV/0!</v>
      </c>
    </row>
    <row r="10" spans="2:14" ht="12" customHeight="1" x14ac:dyDescent="0.3">
      <c r="B10" s="52"/>
      <c r="C10" s="53"/>
      <c r="D10" s="53"/>
      <c r="E10" s="53">
        <f t="shared" ref="E10:J10" si="9">SUM(E5:E9)</f>
        <v>133</v>
      </c>
      <c r="F10" s="54">
        <f t="shared" si="9"/>
        <v>133000</v>
      </c>
      <c r="G10" s="54">
        <f t="shared" si="9"/>
        <v>0</v>
      </c>
      <c r="H10" s="54">
        <f t="shared" si="9"/>
        <v>133000</v>
      </c>
      <c r="I10" s="55">
        <f t="shared" si="9"/>
        <v>5664</v>
      </c>
      <c r="J10" s="55">
        <f t="shared" si="9"/>
        <v>26600</v>
      </c>
      <c r="K10" s="56">
        <f>+H10*0.6-I10-J10-G10</f>
        <v>47536</v>
      </c>
      <c r="L10" s="42">
        <f t="shared" si="6"/>
        <v>0.24258646616541354</v>
      </c>
      <c r="M10" s="31">
        <f>L10+L11</f>
        <v>0.6</v>
      </c>
      <c r="N10" s="5"/>
    </row>
    <row r="11" spans="2:14" ht="12" customHeight="1" x14ac:dyDescent="0.3">
      <c r="B11" s="27"/>
      <c r="C11" s="5"/>
      <c r="D11" s="5"/>
      <c r="E11" s="5"/>
      <c r="F11" s="5"/>
      <c r="G11" s="23"/>
      <c r="H11" s="23"/>
      <c r="I11" s="23"/>
      <c r="J11" s="4"/>
      <c r="K11" s="64">
        <f>H10*0.3</f>
        <v>39900</v>
      </c>
      <c r="L11" s="43">
        <f>+K10/H10</f>
        <v>0.35741353383458646</v>
      </c>
      <c r="M11" s="5"/>
      <c r="N11" s="5"/>
    </row>
    <row r="12" spans="2:14" ht="12" customHeight="1" x14ac:dyDescent="0.3">
      <c r="B12" s="27"/>
      <c r="C12" s="5"/>
      <c r="D12" s="5"/>
      <c r="E12" s="5"/>
      <c r="F12" s="5"/>
      <c r="G12" s="23"/>
      <c r="H12" s="23"/>
      <c r="I12" s="3" t="s">
        <v>182</v>
      </c>
      <c r="J12" s="6">
        <v>400</v>
      </c>
      <c r="K12" s="66"/>
      <c r="L12" s="5"/>
      <c r="M12" s="5"/>
      <c r="N12" s="5"/>
    </row>
    <row r="13" spans="2:14" ht="12" customHeight="1" x14ac:dyDescent="0.3">
      <c r="B13" s="28" t="s">
        <v>142</v>
      </c>
      <c r="C13" s="8" t="s">
        <v>188</v>
      </c>
      <c r="D13" s="8" t="s">
        <v>189</v>
      </c>
      <c r="E13" s="8" t="s">
        <v>190</v>
      </c>
      <c r="F13" s="8" t="s">
        <v>145</v>
      </c>
      <c r="G13" s="8" t="s">
        <v>163</v>
      </c>
      <c r="H13" s="8" t="s">
        <v>164</v>
      </c>
      <c r="I13" s="168" t="s">
        <v>165</v>
      </c>
      <c r="J13" s="9" t="s">
        <v>166</v>
      </c>
      <c r="K13" s="67" t="s">
        <v>146</v>
      </c>
      <c r="L13" s="29" t="s">
        <v>179</v>
      </c>
      <c r="M13" s="5" t="s">
        <v>191</v>
      </c>
      <c r="N13" s="5" t="s">
        <v>194</v>
      </c>
    </row>
    <row r="14" spans="2:14" ht="12" customHeight="1" x14ac:dyDescent="0.3">
      <c r="B14" s="169">
        <v>44978</v>
      </c>
      <c r="C14" s="170">
        <v>6146</v>
      </c>
      <c r="D14" s="170">
        <f>C7</f>
        <v>6009</v>
      </c>
      <c r="E14" s="170">
        <f t="shared" ref="E14:E18" si="10">+C14-D14</f>
        <v>137</v>
      </c>
      <c r="F14" s="171">
        <f t="shared" ref="F14:F18" si="11">+E14*1000</f>
        <v>137000</v>
      </c>
      <c r="G14" s="171">
        <v>0</v>
      </c>
      <c r="H14" s="171">
        <f t="shared" ref="H14:H18" si="12">+F14-G14</f>
        <v>137000</v>
      </c>
      <c r="I14" s="10">
        <f>944*6</f>
        <v>5664</v>
      </c>
      <c r="J14" s="174">
        <f t="shared" ref="J14:J18" si="13">+E14*$J$3/2</f>
        <v>27400</v>
      </c>
      <c r="K14" s="194" t="s">
        <v>183</v>
      </c>
      <c r="L14" s="31"/>
      <c r="M14" s="5"/>
      <c r="N14" s="5"/>
    </row>
    <row r="15" spans="2:14" ht="12" customHeight="1" x14ac:dyDescent="0.3">
      <c r="B15" s="12">
        <v>44987</v>
      </c>
      <c r="C15" s="13">
        <v>6292</v>
      </c>
      <c r="D15" s="13">
        <f t="shared" ref="D15:D18" si="14">IF(B15=0,0,C14)</f>
        <v>6146</v>
      </c>
      <c r="E15" s="170">
        <f t="shared" si="10"/>
        <v>146</v>
      </c>
      <c r="F15" s="171">
        <f t="shared" si="11"/>
        <v>146000</v>
      </c>
      <c r="G15" s="171">
        <v>0</v>
      </c>
      <c r="H15" s="171">
        <f t="shared" si="12"/>
        <v>146000</v>
      </c>
      <c r="I15" s="173">
        <f>944*8</f>
        <v>7552</v>
      </c>
      <c r="J15" s="174">
        <f t="shared" si="13"/>
        <v>29200</v>
      </c>
      <c r="K15" s="172"/>
      <c r="L15" s="31">
        <f t="shared" ref="L15:L19" si="15">+(I15+J15)/H15</f>
        <v>0.2517260273972603</v>
      </c>
      <c r="M15" s="35">
        <f t="shared" ref="M15:M18" si="16">H15/(B15-B14)</f>
        <v>16222.222222222223</v>
      </c>
      <c r="N15" s="35">
        <f t="shared" ref="N15:N18" si="17">(H15*0.6-I15-J15)/(B15-B14)</f>
        <v>5649.7777777777774</v>
      </c>
    </row>
    <row r="16" spans="2:14" ht="12" customHeight="1" x14ac:dyDescent="0.3">
      <c r="B16" s="12">
        <v>44994</v>
      </c>
      <c r="C16" s="13">
        <v>6389</v>
      </c>
      <c r="D16" s="13">
        <f t="shared" si="14"/>
        <v>6292</v>
      </c>
      <c r="E16" s="170">
        <f t="shared" si="10"/>
        <v>97</v>
      </c>
      <c r="F16" s="171">
        <f t="shared" si="11"/>
        <v>97000</v>
      </c>
      <c r="G16" s="171">
        <v>0</v>
      </c>
      <c r="H16" s="171">
        <f t="shared" si="12"/>
        <v>97000</v>
      </c>
      <c r="I16" s="173">
        <f>944*4</f>
        <v>3776</v>
      </c>
      <c r="J16" s="174">
        <f t="shared" si="13"/>
        <v>19400</v>
      </c>
      <c r="K16" s="172"/>
      <c r="L16" s="31">
        <f t="shared" si="15"/>
        <v>0.23892783505154638</v>
      </c>
      <c r="M16" s="35">
        <f t="shared" si="16"/>
        <v>13857.142857142857</v>
      </c>
      <c r="N16" s="35">
        <f t="shared" si="17"/>
        <v>5003.4285714285716</v>
      </c>
    </row>
    <row r="17" spans="2:14" ht="12" customHeight="1" x14ac:dyDescent="0.3">
      <c r="B17" s="32">
        <v>45005</v>
      </c>
      <c r="C17" s="13">
        <v>6565</v>
      </c>
      <c r="D17" s="13">
        <f t="shared" si="14"/>
        <v>6389</v>
      </c>
      <c r="E17" s="170">
        <f t="shared" si="10"/>
        <v>176</v>
      </c>
      <c r="F17" s="171">
        <f t="shared" si="11"/>
        <v>176000</v>
      </c>
      <c r="G17" s="171">
        <v>0</v>
      </c>
      <c r="H17" s="171">
        <f t="shared" si="12"/>
        <v>176000</v>
      </c>
      <c r="I17" s="33">
        <f>944*6</f>
        <v>5664</v>
      </c>
      <c r="J17" s="36">
        <f t="shared" si="13"/>
        <v>35200</v>
      </c>
      <c r="K17" s="172"/>
      <c r="L17" s="31">
        <f t="shared" si="15"/>
        <v>0.23218181818181818</v>
      </c>
      <c r="M17" s="35">
        <f t="shared" si="16"/>
        <v>16000</v>
      </c>
      <c r="N17" s="35">
        <f t="shared" si="17"/>
        <v>5885.090909090909</v>
      </c>
    </row>
    <row r="18" spans="2:14" ht="12" customHeight="1" x14ac:dyDescent="0.3">
      <c r="B18" s="45"/>
      <c r="C18" s="46"/>
      <c r="D18" s="13">
        <f t="shared" si="14"/>
        <v>0</v>
      </c>
      <c r="E18" s="47">
        <f t="shared" si="10"/>
        <v>0</v>
      </c>
      <c r="F18" s="48">
        <f t="shared" si="11"/>
        <v>0</v>
      </c>
      <c r="G18" s="48">
        <v>0</v>
      </c>
      <c r="H18" s="48">
        <f t="shared" si="12"/>
        <v>0</v>
      </c>
      <c r="I18" s="193"/>
      <c r="J18" s="59">
        <f t="shared" si="13"/>
        <v>0</v>
      </c>
      <c r="K18" s="51"/>
      <c r="L18" s="37" t="e">
        <f t="shared" si="15"/>
        <v>#DIV/0!</v>
      </c>
      <c r="M18" s="35">
        <f t="shared" si="16"/>
        <v>0</v>
      </c>
      <c r="N18" s="35">
        <f t="shared" si="17"/>
        <v>0</v>
      </c>
    </row>
    <row r="19" spans="2:14" ht="12" customHeight="1" x14ac:dyDescent="0.3">
      <c r="B19" s="52"/>
      <c r="C19" s="53"/>
      <c r="D19" s="53"/>
      <c r="E19" s="53">
        <f t="shared" ref="E19:J19" si="18">SUM(E14:E18)</f>
        <v>556</v>
      </c>
      <c r="F19" s="54">
        <f t="shared" si="18"/>
        <v>556000</v>
      </c>
      <c r="G19" s="54">
        <f t="shared" si="18"/>
        <v>0</v>
      </c>
      <c r="H19" s="54">
        <f t="shared" si="18"/>
        <v>556000</v>
      </c>
      <c r="I19" s="55">
        <f t="shared" si="18"/>
        <v>22656</v>
      </c>
      <c r="J19" s="55">
        <f t="shared" si="18"/>
        <v>111200</v>
      </c>
      <c r="K19" s="56">
        <f>+H19*0.6-I19-J19-G19</f>
        <v>199744</v>
      </c>
      <c r="L19" s="42">
        <f t="shared" si="15"/>
        <v>0.24074820143884892</v>
      </c>
      <c r="M19" s="31">
        <f>L19+L20</f>
        <v>0.6</v>
      </c>
      <c r="N19" s="5"/>
    </row>
    <row r="20" spans="2:14" ht="12" customHeight="1" x14ac:dyDescent="0.3">
      <c r="B20" s="27"/>
      <c r="C20" s="5"/>
      <c r="D20" s="5"/>
      <c r="E20" s="5"/>
      <c r="F20" s="5"/>
      <c r="G20" s="23"/>
      <c r="H20" s="23"/>
      <c r="I20" s="23"/>
      <c r="J20" s="4"/>
      <c r="K20" s="64">
        <f>H19*0.3</f>
        <v>166800</v>
      </c>
      <c r="L20" s="43">
        <f>+K19/H19</f>
        <v>0.35925179856115108</v>
      </c>
      <c r="M20" s="5"/>
      <c r="N20" s="5"/>
    </row>
    <row r="21" spans="2:14" ht="12" customHeight="1" x14ac:dyDescent="0.3">
      <c r="B21" s="27"/>
      <c r="C21" s="5"/>
      <c r="D21" s="5"/>
      <c r="E21" s="5"/>
      <c r="F21" s="5"/>
      <c r="G21" s="23"/>
      <c r="H21" s="23"/>
      <c r="I21" s="3" t="s">
        <v>182</v>
      </c>
      <c r="J21" s="6">
        <v>400</v>
      </c>
      <c r="K21" s="66"/>
      <c r="L21" s="5"/>
      <c r="M21" s="5"/>
      <c r="N21" s="5"/>
    </row>
    <row r="22" spans="2:14" ht="12" customHeight="1" x14ac:dyDescent="0.3">
      <c r="B22" s="28" t="s">
        <v>142</v>
      </c>
      <c r="C22" s="8" t="s">
        <v>188</v>
      </c>
      <c r="D22" s="8" t="s">
        <v>189</v>
      </c>
      <c r="E22" s="8" t="s">
        <v>190</v>
      </c>
      <c r="F22" s="8" t="s">
        <v>145</v>
      </c>
      <c r="G22" s="8" t="s">
        <v>163</v>
      </c>
      <c r="H22" s="8" t="s">
        <v>164</v>
      </c>
      <c r="I22" s="168" t="s">
        <v>165</v>
      </c>
      <c r="J22" s="9" t="s">
        <v>166</v>
      </c>
      <c r="K22" s="67" t="s">
        <v>146</v>
      </c>
      <c r="L22" s="29" t="s">
        <v>179</v>
      </c>
      <c r="M22" s="5" t="s">
        <v>191</v>
      </c>
      <c r="N22" s="5" t="s">
        <v>194</v>
      </c>
    </row>
    <row r="23" spans="2:14" ht="12" customHeight="1" x14ac:dyDescent="0.3">
      <c r="B23" s="169">
        <v>45010</v>
      </c>
      <c r="C23" s="170">
        <v>6634</v>
      </c>
      <c r="D23" s="170">
        <f>C17</f>
        <v>6565</v>
      </c>
      <c r="E23" s="170">
        <f t="shared" ref="E23:E27" si="19">+C23-D23</f>
        <v>69</v>
      </c>
      <c r="F23" s="171">
        <f t="shared" ref="F23:F27" si="20">+E23*1000</f>
        <v>69000</v>
      </c>
      <c r="G23" s="171">
        <v>0</v>
      </c>
      <c r="H23" s="171">
        <f t="shared" ref="H23:H27" si="21">+F23-G23</f>
        <v>69000</v>
      </c>
      <c r="I23" s="10">
        <f>944*4</f>
        <v>3776</v>
      </c>
      <c r="J23" s="174">
        <f t="shared" ref="J23:J27" si="22">+E23*$J$3/2</f>
        <v>13800</v>
      </c>
      <c r="K23" s="194" t="s">
        <v>183</v>
      </c>
      <c r="L23" s="31"/>
      <c r="M23" s="5"/>
      <c r="N23" s="5"/>
    </row>
    <row r="24" spans="2:14" ht="12" customHeight="1" x14ac:dyDescent="0.3">
      <c r="B24" s="12">
        <v>45013</v>
      </c>
      <c r="C24" s="13">
        <v>6663</v>
      </c>
      <c r="D24" s="13">
        <f t="shared" ref="D24:D27" si="23">IF(B24=0,0,C23)</f>
        <v>6634</v>
      </c>
      <c r="E24" s="170">
        <f t="shared" si="19"/>
        <v>29</v>
      </c>
      <c r="F24" s="171">
        <f t="shared" si="20"/>
        <v>29000</v>
      </c>
      <c r="G24" s="171">
        <v>0</v>
      </c>
      <c r="H24" s="171">
        <f t="shared" si="21"/>
        <v>29000</v>
      </c>
      <c r="I24" s="173">
        <f>944*1+5000</f>
        <v>5944</v>
      </c>
      <c r="J24" s="174">
        <f t="shared" si="22"/>
        <v>5800</v>
      </c>
      <c r="K24" s="172"/>
      <c r="L24" s="31">
        <f t="shared" ref="L24:L28" si="24">+(I24+J24)/H24</f>
        <v>0.4049655172413793</v>
      </c>
      <c r="M24" s="35">
        <f t="shared" ref="M24:M27" si="25">H24/(B24-B23)</f>
        <v>9666.6666666666661</v>
      </c>
      <c r="N24" s="35">
        <f t="shared" ref="N24:N27" si="26">(H24*0.6-I24-J24)/(B24-B23)</f>
        <v>1885.3333333333333</v>
      </c>
    </row>
    <row r="25" spans="2:14" ht="12" customHeight="1" x14ac:dyDescent="0.3">
      <c r="B25" s="12">
        <v>45022</v>
      </c>
      <c r="C25" s="13">
        <v>6771</v>
      </c>
      <c r="D25" s="13">
        <f t="shared" si="23"/>
        <v>6663</v>
      </c>
      <c r="E25" s="170">
        <f t="shared" si="19"/>
        <v>108</v>
      </c>
      <c r="F25" s="171">
        <f t="shared" si="20"/>
        <v>108000</v>
      </c>
      <c r="G25" s="171">
        <v>0</v>
      </c>
      <c r="H25" s="171">
        <f t="shared" si="21"/>
        <v>108000</v>
      </c>
      <c r="I25" s="173">
        <v>28000</v>
      </c>
      <c r="J25" s="174">
        <f t="shared" si="22"/>
        <v>21600</v>
      </c>
      <c r="K25" s="172"/>
      <c r="L25" s="31">
        <f t="shared" si="24"/>
        <v>0.45925925925925926</v>
      </c>
      <c r="M25" s="35">
        <f t="shared" si="25"/>
        <v>12000</v>
      </c>
      <c r="N25" s="35">
        <f t="shared" si="26"/>
        <v>1688.8888888888889</v>
      </c>
    </row>
    <row r="26" spans="2:14" ht="12" customHeight="1" x14ac:dyDescent="0.3">
      <c r="B26" s="32">
        <v>45029</v>
      </c>
      <c r="C26" s="13">
        <v>6850</v>
      </c>
      <c r="D26" s="13">
        <f t="shared" si="23"/>
        <v>6771</v>
      </c>
      <c r="E26" s="170">
        <f t="shared" si="19"/>
        <v>79</v>
      </c>
      <c r="F26" s="171">
        <f t="shared" si="20"/>
        <v>79000</v>
      </c>
      <c r="G26" s="171">
        <v>0</v>
      </c>
      <c r="H26" s="171">
        <f t="shared" si="21"/>
        <v>79000</v>
      </c>
      <c r="I26" s="33">
        <f>944*3</f>
        <v>2832</v>
      </c>
      <c r="J26" s="36">
        <f t="shared" si="22"/>
        <v>15800</v>
      </c>
      <c r="K26" s="172"/>
      <c r="L26" s="31">
        <f t="shared" si="24"/>
        <v>0.23584810126582278</v>
      </c>
      <c r="M26" s="35">
        <f t="shared" si="25"/>
        <v>11285.714285714286</v>
      </c>
      <c r="N26" s="35">
        <f t="shared" si="26"/>
        <v>4109.7142857142853</v>
      </c>
    </row>
    <row r="27" spans="2:14" ht="12" customHeight="1" x14ac:dyDescent="0.3">
      <c r="B27" s="45">
        <v>45035</v>
      </c>
      <c r="C27" s="46">
        <v>6897</v>
      </c>
      <c r="D27" s="13">
        <f t="shared" si="23"/>
        <v>6850</v>
      </c>
      <c r="E27" s="47">
        <f t="shared" si="19"/>
        <v>47</v>
      </c>
      <c r="F27" s="48">
        <f t="shared" si="20"/>
        <v>47000</v>
      </c>
      <c r="G27" s="48">
        <v>0</v>
      </c>
      <c r="H27" s="48">
        <f t="shared" si="21"/>
        <v>47000</v>
      </c>
      <c r="I27" s="193"/>
      <c r="J27" s="59">
        <f t="shared" si="22"/>
        <v>9400</v>
      </c>
      <c r="K27" s="51"/>
      <c r="L27" s="37">
        <f t="shared" si="24"/>
        <v>0.2</v>
      </c>
      <c r="M27" s="35">
        <f t="shared" si="25"/>
        <v>7833.333333333333</v>
      </c>
      <c r="N27" s="35">
        <f t="shared" si="26"/>
        <v>3133.3333333333335</v>
      </c>
    </row>
    <row r="28" spans="2:14" ht="12" customHeight="1" x14ac:dyDescent="0.3">
      <c r="B28" s="52"/>
      <c r="C28" s="53"/>
      <c r="D28" s="53"/>
      <c r="E28" s="53">
        <f t="shared" ref="E28:J28" si="27">SUM(E23:E27)</f>
        <v>332</v>
      </c>
      <c r="F28" s="54">
        <f t="shared" si="27"/>
        <v>332000</v>
      </c>
      <c r="G28" s="54">
        <f t="shared" si="27"/>
        <v>0</v>
      </c>
      <c r="H28" s="54">
        <f t="shared" si="27"/>
        <v>332000</v>
      </c>
      <c r="I28" s="55">
        <f t="shared" si="27"/>
        <v>40552</v>
      </c>
      <c r="J28" s="55">
        <f t="shared" si="27"/>
        <v>66400</v>
      </c>
      <c r="K28" s="56">
        <f>+H28*0.6-I28-J28-G28</f>
        <v>92248</v>
      </c>
      <c r="L28" s="42">
        <f t="shared" si="24"/>
        <v>0.32214457831325299</v>
      </c>
      <c r="M28" s="31">
        <f>L28+L29</f>
        <v>0.6</v>
      </c>
      <c r="N28" s="5"/>
    </row>
    <row r="29" spans="2:14" ht="12" customHeight="1" x14ac:dyDescent="0.3">
      <c r="B29" s="27"/>
      <c r="C29" s="5"/>
      <c r="D29" s="5"/>
      <c r="E29" s="5"/>
      <c r="F29" s="5"/>
      <c r="G29" s="23"/>
      <c r="H29" s="23"/>
      <c r="I29" s="23"/>
      <c r="J29" s="4"/>
      <c r="K29" s="64">
        <f>H28*0.3</f>
        <v>99600</v>
      </c>
      <c r="L29" s="43">
        <f>+K28/H28</f>
        <v>0.27785542168674698</v>
      </c>
      <c r="M29" s="5"/>
      <c r="N29" s="5"/>
    </row>
    <row r="30" spans="2:14" ht="12" customHeight="1" x14ac:dyDescent="0.3">
      <c r="B30" s="27"/>
      <c r="C30" s="5"/>
      <c r="D30" s="5"/>
      <c r="E30" s="5"/>
      <c r="F30" s="5"/>
      <c r="G30" s="23"/>
      <c r="H30" s="23"/>
      <c r="I30" s="3" t="s">
        <v>182</v>
      </c>
      <c r="J30" s="6">
        <v>400</v>
      </c>
      <c r="K30" s="66"/>
      <c r="L30" s="5"/>
      <c r="M30" s="5"/>
      <c r="N30" s="5"/>
    </row>
    <row r="31" spans="2:14" ht="12" customHeight="1" x14ac:dyDescent="0.3">
      <c r="B31" s="28" t="s">
        <v>142</v>
      </c>
      <c r="C31" s="8" t="s">
        <v>188</v>
      </c>
      <c r="D31" s="8" t="s">
        <v>189</v>
      </c>
      <c r="E31" s="8" t="s">
        <v>190</v>
      </c>
      <c r="F31" s="8" t="s">
        <v>145</v>
      </c>
      <c r="G31" s="8" t="s">
        <v>163</v>
      </c>
      <c r="H31" s="8" t="s">
        <v>164</v>
      </c>
      <c r="I31" s="168" t="s">
        <v>165</v>
      </c>
      <c r="J31" s="9" t="s">
        <v>166</v>
      </c>
      <c r="K31" s="67" t="s">
        <v>146</v>
      </c>
      <c r="L31" s="29" t="s">
        <v>179</v>
      </c>
      <c r="M31" s="5" t="s">
        <v>191</v>
      </c>
      <c r="N31" s="5" t="s">
        <v>194</v>
      </c>
    </row>
    <row r="32" spans="2:14" ht="12" customHeight="1" x14ac:dyDescent="0.3">
      <c r="B32" s="169">
        <v>45044</v>
      </c>
      <c r="C32" s="170">
        <v>7033</v>
      </c>
      <c r="D32" s="170">
        <f>C27</f>
        <v>6897</v>
      </c>
      <c r="E32" s="170">
        <f t="shared" ref="E32:E36" si="28">+C32-D32</f>
        <v>136</v>
      </c>
      <c r="F32" s="171">
        <f t="shared" ref="F32:F36" si="29">+E32*1000</f>
        <v>136000</v>
      </c>
      <c r="G32" s="171">
        <v>0</v>
      </c>
      <c r="H32" s="171">
        <f t="shared" ref="H32:H36" si="30">+F32-G32</f>
        <v>136000</v>
      </c>
      <c r="I32" s="10">
        <f>944*6</f>
        <v>5664</v>
      </c>
      <c r="J32" s="174">
        <f t="shared" ref="J32:J36" si="31">+E32*$J$3/2</f>
        <v>27200</v>
      </c>
      <c r="K32" s="194" t="s">
        <v>183</v>
      </c>
      <c r="L32" s="31"/>
      <c r="M32" s="5"/>
      <c r="N32" s="5"/>
    </row>
    <row r="33" spans="2:14" ht="12" customHeight="1" x14ac:dyDescent="0.3">
      <c r="B33" s="12">
        <v>45048</v>
      </c>
      <c r="C33" s="13">
        <v>7132</v>
      </c>
      <c r="D33" s="13">
        <f t="shared" ref="D33:D36" si="32">IF(B33=0,0,C32)</f>
        <v>7033</v>
      </c>
      <c r="E33" s="170">
        <f t="shared" si="28"/>
        <v>99</v>
      </c>
      <c r="F33" s="171">
        <f t="shared" si="29"/>
        <v>99000</v>
      </c>
      <c r="G33" s="171">
        <v>0</v>
      </c>
      <c r="H33" s="171">
        <f t="shared" si="30"/>
        <v>99000</v>
      </c>
      <c r="I33" s="173">
        <f>944*4</f>
        <v>3776</v>
      </c>
      <c r="J33" s="174">
        <f t="shared" si="31"/>
        <v>19800</v>
      </c>
      <c r="K33" s="172"/>
      <c r="L33" s="31">
        <f t="shared" ref="L33:L37" si="33">+(I33+J33)/H33</f>
        <v>0.23814141414141415</v>
      </c>
      <c r="M33" s="35">
        <f t="shared" ref="M33:M36" si="34">H33/(B33-B32)</f>
        <v>24750</v>
      </c>
      <c r="N33" s="35">
        <f t="shared" ref="N33:N36" si="35">(H33*0.6-I33-J33)/(B33-B32)</f>
        <v>8956</v>
      </c>
    </row>
    <row r="34" spans="2:14" ht="12" customHeight="1" x14ac:dyDescent="0.3">
      <c r="B34" s="12">
        <v>45057</v>
      </c>
      <c r="C34" s="13">
        <v>7305</v>
      </c>
      <c r="D34" s="13">
        <f t="shared" si="32"/>
        <v>7132</v>
      </c>
      <c r="E34" s="170">
        <f t="shared" si="28"/>
        <v>173</v>
      </c>
      <c r="F34" s="171">
        <f t="shared" si="29"/>
        <v>173000</v>
      </c>
      <c r="G34" s="171">
        <v>0</v>
      </c>
      <c r="H34" s="171">
        <f t="shared" si="30"/>
        <v>173000</v>
      </c>
      <c r="I34" s="173">
        <v>28900</v>
      </c>
      <c r="J34" s="174">
        <f t="shared" si="31"/>
        <v>34600</v>
      </c>
      <c r="K34" s="172"/>
      <c r="L34" s="31">
        <f t="shared" si="33"/>
        <v>0.36705202312138729</v>
      </c>
      <c r="M34" s="35">
        <f t="shared" si="34"/>
        <v>19222.222222222223</v>
      </c>
      <c r="N34" s="35">
        <f t="shared" si="35"/>
        <v>4477.7777777777774</v>
      </c>
    </row>
    <row r="35" spans="2:14" ht="12" customHeight="1" x14ac:dyDescent="0.3">
      <c r="B35" s="32">
        <v>45060</v>
      </c>
      <c r="C35" s="13">
        <v>7376</v>
      </c>
      <c r="D35" s="13">
        <f t="shared" si="32"/>
        <v>7305</v>
      </c>
      <c r="E35" s="170">
        <f t="shared" si="28"/>
        <v>71</v>
      </c>
      <c r="F35" s="171">
        <f t="shared" si="29"/>
        <v>71000</v>
      </c>
      <c r="G35" s="171">
        <v>0</v>
      </c>
      <c r="H35" s="171">
        <f t="shared" si="30"/>
        <v>71000</v>
      </c>
      <c r="I35" s="33">
        <v>5944</v>
      </c>
      <c r="J35" s="36">
        <f t="shared" si="31"/>
        <v>14200</v>
      </c>
      <c r="K35" s="172"/>
      <c r="L35" s="31">
        <f t="shared" si="33"/>
        <v>0.28371830985915492</v>
      </c>
      <c r="M35" s="35">
        <f t="shared" si="34"/>
        <v>23666.666666666668</v>
      </c>
      <c r="N35" s="35">
        <f t="shared" si="35"/>
        <v>7485.333333333333</v>
      </c>
    </row>
    <row r="36" spans="2:14" ht="12" customHeight="1" x14ac:dyDescent="0.3">
      <c r="B36" s="45">
        <v>45064</v>
      </c>
      <c r="C36" s="46">
        <v>7407</v>
      </c>
      <c r="D36" s="13">
        <f t="shared" si="32"/>
        <v>7376</v>
      </c>
      <c r="E36" s="47">
        <f t="shared" si="28"/>
        <v>31</v>
      </c>
      <c r="F36" s="48">
        <f t="shared" si="29"/>
        <v>31000</v>
      </c>
      <c r="G36" s="48">
        <v>0</v>
      </c>
      <c r="H36" s="48">
        <f t="shared" si="30"/>
        <v>31000</v>
      </c>
      <c r="I36" s="193">
        <v>5664</v>
      </c>
      <c r="J36" s="59">
        <f t="shared" si="31"/>
        <v>6200</v>
      </c>
      <c r="K36" s="51"/>
      <c r="L36" s="37">
        <f t="shared" si="33"/>
        <v>0.38270967741935485</v>
      </c>
      <c r="M36" s="35">
        <f t="shared" si="34"/>
        <v>7750</v>
      </c>
      <c r="N36" s="35">
        <f t="shared" si="35"/>
        <v>1684</v>
      </c>
    </row>
    <row r="37" spans="2:14" ht="12" customHeight="1" x14ac:dyDescent="0.3">
      <c r="B37" s="52"/>
      <c r="C37" s="53"/>
      <c r="D37" s="53"/>
      <c r="E37" s="53">
        <f t="shared" ref="E37:J37" si="36">SUM(E32:E36)</f>
        <v>510</v>
      </c>
      <c r="F37" s="54">
        <f t="shared" si="36"/>
        <v>510000</v>
      </c>
      <c r="G37" s="54">
        <f t="shared" si="36"/>
        <v>0</v>
      </c>
      <c r="H37" s="54">
        <f t="shared" si="36"/>
        <v>510000</v>
      </c>
      <c r="I37" s="55">
        <f t="shared" si="36"/>
        <v>49948</v>
      </c>
      <c r="J37" s="55">
        <f t="shared" si="36"/>
        <v>102000</v>
      </c>
      <c r="K37" s="56">
        <f>+H37*0.6-I37-J37-G37</f>
        <v>154052</v>
      </c>
      <c r="L37" s="42">
        <f t="shared" si="33"/>
        <v>0.29793725490196077</v>
      </c>
      <c r="M37" s="31">
        <f>L37+L38</f>
        <v>0.6</v>
      </c>
      <c r="N37" s="5"/>
    </row>
    <row r="38" spans="2:14" ht="12" customHeight="1" x14ac:dyDescent="0.3">
      <c r="B38" s="27"/>
      <c r="C38" s="5"/>
      <c r="D38" s="5"/>
      <c r="E38" s="5"/>
      <c r="F38" s="5"/>
      <c r="G38" s="23"/>
      <c r="H38" s="23"/>
      <c r="I38" s="23"/>
      <c r="J38" s="4"/>
      <c r="K38" s="64">
        <f>H37*0.3</f>
        <v>153000</v>
      </c>
      <c r="L38" s="43">
        <f>+K37/H37</f>
        <v>0.30206274509803921</v>
      </c>
      <c r="M38" s="5"/>
      <c r="N38" s="5"/>
    </row>
    <row r="39" spans="2:14" ht="12" customHeight="1" x14ac:dyDescent="0.3">
      <c r="B39" s="27"/>
      <c r="C39" s="5"/>
      <c r="D39" s="5"/>
      <c r="E39" s="5"/>
      <c r="F39" s="5"/>
      <c r="G39" s="23"/>
      <c r="H39" s="23"/>
      <c r="I39" s="3" t="s">
        <v>182</v>
      </c>
      <c r="J39" s="6">
        <v>400</v>
      </c>
      <c r="K39" s="66"/>
      <c r="L39" s="5"/>
      <c r="M39" s="5"/>
      <c r="N39" s="5"/>
    </row>
    <row r="40" spans="2:14" ht="12" customHeight="1" x14ac:dyDescent="0.3">
      <c r="B40" s="28" t="s">
        <v>142</v>
      </c>
      <c r="C40" s="8" t="s">
        <v>188</v>
      </c>
      <c r="D40" s="8" t="s">
        <v>189</v>
      </c>
      <c r="E40" s="8" t="s">
        <v>190</v>
      </c>
      <c r="F40" s="8" t="s">
        <v>145</v>
      </c>
      <c r="G40" s="8" t="s">
        <v>163</v>
      </c>
      <c r="H40" s="8" t="s">
        <v>164</v>
      </c>
      <c r="I40" s="168" t="s">
        <v>165</v>
      </c>
      <c r="J40" s="9" t="s">
        <v>166</v>
      </c>
      <c r="K40" s="67" t="s">
        <v>146</v>
      </c>
      <c r="L40" s="29" t="s">
        <v>179</v>
      </c>
      <c r="M40" s="5" t="s">
        <v>191</v>
      </c>
      <c r="N40" s="5" t="s">
        <v>194</v>
      </c>
    </row>
    <row r="41" spans="2:14" ht="12" customHeight="1" x14ac:dyDescent="0.3">
      <c r="B41" s="169">
        <v>45071</v>
      </c>
      <c r="C41" s="170">
        <v>7861</v>
      </c>
      <c r="D41" s="170">
        <f>C36</f>
        <v>7407</v>
      </c>
      <c r="E41" s="170">
        <f t="shared" ref="E41:E45" si="37">+C41-D41</f>
        <v>454</v>
      </c>
      <c r="F41" s="171">
        <f t="shared" ref="F41:F45" si="38">+E41*1000</f>
        <v>454000</v>
      </c>
      <c r="G41" s="171">
        <v>0</v>
      </c>
      <c r="H41" s="171">
        <f t="shared" ref="H41:H45" si="39">+F41-G41</f>
        <v>454000</v>
      </c>
      <c r="I41" s="10">
        <v>150000</v>
      </c>
      <c r="J41" s="174">
        <f t="shared" ref="J41:J45" si="40">+E41*$J$3/2</f>
        <v>90800</v>
      </c>
      <c r="K41" s="194" t="s">
        <v>183</v>
      </c>
      <c r="L41" s="31"/>
      <c r="M41" s="5"/>
      <c r="N41" s="5"/>
    </row>
    <row r="42" spans="2:14" ht="12" customHeight="1" x14ac:dyDescent="0.3">
      <c r="B42" s="12">
        <v>45074</v>
      </c>
      <c r="C42" s="13">
        <v>7948</v>
      </c>
      <c r="D42" s="13">
        <f t="shared" ref="D42:D45" si="41">IF(B42=0,0,C41)</f>
        <v>7861</v>
      </c>
      <c r="E42" s="170">
        <f t="shared" si="37"/>
        <v>87</v>
      </c>
      <c r="F42" s="171">
        <f t="shared" si="38"/>
        <v>87000</v>
      </c>
      <c r="G42" s="171">
        <v>0</v>
      </c>
      <c r="H42" s="171">
        <f t="shared" si="39"/>
        <v>87000</v>
      </c>
      <c r="I42" s="173">
        <v>1888</v>
      </c>
      <c r="J42" s="174">
        <f t="shared" si="40"/>
        <v>17400</v>
      </c>
      <c r="K42" s="172"/>
      <c r="L42" s="31">
        <f t="shared" ref="L42:L46" si="42">+(I42+J42)/H42</f>
        <v>0.22170114942528735</v>
      </c>
      <c r="M42" s="35">
        <f t="shared" ref="M42:M45" si="43">H42/(B42-B41)</f>
        <v>29000</v>
      </c>
      <c r="N42" s="35">
        <f t="shared" ref="N42:N45" si="44">(H42*0.6-I42-J42)/(B42-B41)</f>
        <v>10970.666666666666</v>
      </c>
    </row>
    <row r="43" spans="2:14" ht="12" customHeight="1" x14ac:dyDescent="0.3">
      <c r="B43" s="12">
        <v>45082</v>
      </c>
      <c r="C43" s="13">
        <v>8064</v>
      </c>
      <c r="D43" s="13">
        <f t="shared" si="41"/>
        <v>7948</v>
      </c>
      <c r="E43" s="170">
        <f t="shared" si="37"/>
        <v>116</v>
      </c>
      <c r="F43" s="171">
        <f t="shared" si="38"/>
        <v>116000</v>
      </c>
      <c r="G43" s="171">
        <v>0</v>
      </c>
      <c r="H43" s="171">
        <f t="shared" si="39"/>
        <v>116000</v>
      </c>
      <c r="I43" s="173">
        <v>18900</v>
      </c>
      <c r="J43" s="174">
        <f t="shared" si="40"/>
        <v>23200</v>
      </c>
      <c r="K43" s="172"/>
      <c r="L43" s="31">
        <f t="shared" si="42"/>
        <v>0.3629310344827586</v>
      </c>
      <c r="M43" s="35">
        <f t="shared" si="43"/>
        <v>14500</v>
      </c>
      <c r="N43" s="35">
        <f t="shared" si="44"/>
        <v>3437.5</v>
      </c>
    </row>
    <row r="44" spans="2:14" ht="12" customHeight="1" x14ac:dyDescent="0.3">
      <c r="B44" s="32">
        <v>45087</v>
      </c>
      <c r="C44" s="13">
        <v>8134</v>
      </c>
      <c r="D44" s="13">
        <f t="shared" si="41"/>
        <v>8064</v>
      </c>
      <c r="E44" s="170">
        <f t="shared" si="37"/>
        <v>70</v>
      </c>
      <c r="F44" s="171">
        <f t="shared" si="38"/>
        <v>70000</v>
      </c>
      <c r="G44" s="171">
        <v>0</v>
      </c>
      <c r="H44" s="171">
        <f t="shared" si="39"/>
        <v>70000</v>
      </c>
      <c r="I44" s="33">
        <v>12500</v>
      </c>
      <c r="J44" s="36">
        <f t="shared" si="40"/>
        <v>14000</v>
      </c>
      <c r="K44" s="172"/>
      <c r="L44" s="31">
        <f t="shared" si="42"/>
        <v>0.37857142857142856</v>
      </c>
      <c r="M44" s="35">
        <f t="shared" si="43"/>
        <v>14000</v>
      </c>
      <c r="N44" s="35">
        <f t="shared" si="44"/>
        <v>3100</v>
      </c>
    </row>
    <row r="45" spans="2:14" ht="12" customHeight="1" x14ac:dyDescent="0.3">
      <c r="B45" s="45">
        <v>45096</v>
      </c>
      <c r="C45" s="46">
        <v>8245</v>
      </c>
      <c r="D45" s="13">
        <f t="shared" si="41"/>
        <v>8134</v>
      </c>
      <c r="E45" s="47">
        <f t="shared" si="37"/>
        <v>111</v>
      </c>
      <c r="F45" s="48">
        <f t="shared" si="38"/>
        <v>111000</v>
      </c>
      <c r="G45" s="48">
        <v>0</v>
      </c>
      <c r="H45" s="48">
        <f t="shared" si="39"/>
        <v>111000</v>
      </c>
      <c r="I45" s="193"/>
      <c r="J45" s="59">
        <f t="shared" si="40"/>
        <v>22200</v>
      </c>
      <c r="K45" s="51"/>
      <c r="L45" s="37">
        <f t="shared" si="42"/>
        <v>0.2</v>
      </c>
      <c r="M45" s="35">
        <f t="shared" si="43"/>
        <v>12333.333333333334</v>
      </c>
      <c r="N45" s="35">
        <f t="shared" si="44"/>
        <v>4933.333333333333</v>
      </c>
    </row>
    <row r="46" spans="2:14" ht="12" customHeight="1" x14ac:dyDescent="0.3">
      <c r="B46" s="52"/>
      <c r="C46" s="53"/>
      <c r="D46" s="53"/>
      <c r="E46" s="53">
        <f t="shared" ref="E46:J46" si="45">SUM(E41:E45)</f>
        <v>838</v>
      </c>
      <c r="F46" s="54">
        <f t="shared" si="45"/>
        <v>838000</v>
      </c>
      <c r="G46" s="54">
        <f t="shared" si="45"/>
        <v>0</v>
      </c>
      <c r="H46" s="54">
        <f t="shared" si="45"/>
        <v>838000</v>
      </c>
      <c r="I46" s="55">
        <f t="shared" si="45"/>
        <v>183288</v>
      </c>
      <c r="J46" s="55">
        <f t="shared" si="45"/>
        <v>167600</v>
      </c>
      <c r="K46" s="56">
        <f>+H46*0.6-I46-J46-G46</f>
        <v>151912</v>
      </c>
      <c r="L46" s="42">
        <f t="shared" si="42"/>
        <v>0.41872076372315037</v>
      </c>
      <c r="M46" s="31">
        <f>L46+L47</f>
        <v>0.6</v>
      </c>
      <c r="N46" s="5"/>
    </row>
    <row r="47" spans="2:14" ht="12" customHeight="1" x14ac:dyDescent="0.3">
      <c r="B47" s="27"/>
      <c r="C47" s="5"/>
      <c r="D47" s="5"/>
      <c r="E47" s="5"/>
      <c r="F47" s="5"/>
      <c r="G47" s="23"/>
      <c r="H47" s="23"/>
      <c r="I47" s="23"/>
      <c r="J47" s="4"/>
      <c r="K47" s="64">
        <f>H46*0.3</f>
        <v>251400</v>
      </c>
      <c r="L47" s="43">
        <f>+K46/H46</f>
        <v>0.18127923627684964</v>
      </c>
      <c r="M47" s="5"/>
      <c r="N47" s="5"/>
    </row>
    <row r="48" spans="2:14" ht="12" customHeight="1" x14ac:dyDescent="0.3">
      <c r="B48" s="27"/>
      <c r="C48" s="5"/>
      <c r="D48" s="5"/>
      <c r="E48" s="5"/>
      <c r="F48" s="5"/>
      <c r="G48" s="23"/>
      <c r="H48" s="23"/>
      <c r="I48" s="3" t="s">
        <v>182</v>
      </c>
      <c r="J48" s="6">
        <v>400</v>
      </c>
      <c r="K48" s="66"/>
      <c r="L48" s="5"/>
      <c r="M48" s="5"/>
      <c r="N48" s="5"/>
    </row>
    <row r="49" spans="2:14" ht="12" customHeight="1" x14ac:dyDescent="0.3">
      <c r="B49" s="28" t="s">
        <v>142</v>
      </c>
      <c r="C49" s="8" t="s">
        <v>188</v>
      </c>
      <c r="D49" s="8" t="s">
        <v>189</v>
      </c>
      <c r="E49" s="8" t="s">
        <v>190</v>
      </c>
      <c r="F49" s="8" t="s">
        <v>145</v>
      </c>
      <c r="G49" s="8" t="s">
        <v>163</v>
      </c>
      <c r="H49" s="8" t="s">
        <v>164</v>
      </c>
      <c r="I49" s="168" t="s">
        <v>165</v>
      </c>
      <c r="J49" s="9" t="s">
        <v>166</v>
      </c>
      <c r="K49" s="67" t="s">
        <v>146</v>
      </c>
      <c r="L49" s="29" t="s">
        <v>179</v>
      </c>
      <c r="M49" s="5" t="s">
        <v>191</v>
      </c>
      <c r="N49" s="5" t="s">
        <v>194</v>
      </c>
    </row>
    <row r="50" spans="2:14" ht="12" customHeight="1" x14ac:dyDescent="0.3">
      <c r="B50" s="169">
        <v>45101</v>
      </c>
      <c r="C50" s="170">
        <v>8323</v>
      </c>
      <c r="D50" s="170">
        <f>C45</f>
        <v>8245</v>
      </c>
      <c r="E50" s="170">
        <f t="shared" ref="E50:E54" si="46">+C50-D50</f>
        <v>78</v>
      </c>
      <c r="F50" s="171">
        <f t="shared" ref="F50:F54" si="47">+E50*1000</f>
        <v>78000</v>
      </c>
      <c r="G50" s="171">
        <v>0</v>
      </c>
      <c r="H50" s="171">
        <f t="shared" ref="H50:H54" si="48">+F50-G50</f>
        <v>78000</v>
      </c>
      <c r="I50" s="10"/>
      <c r="J50" s="174">
        <f t="shared" ref="J50:J54" si="49">+E50*$J$3/2</f>
        <v>15600</v>
      </c>
      <c r="K50" s="194" t="s">
        <v>183</v>
      </c>
      <c r="L50" s="31"/>
      <c r="M50" s="5"/>
      <c r="N50" s="5"/>
    </row>
    <row r="51" spans="2:14" ht="12" customHeight="1" x14ac:dyDescent="0.3">
      <c r="B51" s="12">
        <v>45109</v>
      </c>
      <c r="C51" s="13">
        <v>8456</v>
      </c>
      <c r="D51" s="13">
        <f t="shared" ref="D51:D54" si="50">IF(B51=0,0,C50)</f>
        <v>8323</v>
      </c>
      <c r="E51" s="170">
        <f t="shared" si="46"/>
        <v>133</v>
      </c>
      <c r="F51" s="171">
        <f t="shared" si="47"/>
        <v>133000</v>
      </c>
      <c r="G51" s="171">
        <v>0</v>
      </c>
      <c r="H51" s="171">
        <f t="shared" si="48"/>
        <v>133000</v>
      </c>
      <c r="I51" s="173"/>
      <c r="J51" s="174">
        <f t="shared" si="49"/>
        <v>26600</v>
      </c>
      <c r="K51" s="172"/>
      <c r="L51" s="31">
        <f t="shared" ref="L51:L55" si="51">+(I51+J51)/H51</f>
        <v>0.2</v>
      </c>
      <c r="M51" s="35">
        <f t="shared" ref="M51:M54" si="52">H51/(B51-B50)</f>
        <v>16625</v>
      </c>
      <c r="N51" s="35">
        <f t="shared" ref="N51:N54" si="53">(H51*0.6-I51-J51)/(B51-B50)</f>
        <v>6650</v>
      </c>
    </row>
    <row r="52" spans="2:14" ht="12" customHeight="1" x14ac:dyDescent="0.3">
      <c r="B52" s="12"/>
      <c r="C52" s="13"/>
      <c r="D52" s="13">
        <f t="shared" si="50"/>
        <v>0</v>
      </c>
      <c r="E52" s="170">
        <f t="shared" si="46"/>
        <v>0</v>
      </c>
      <c r="F52" s="171">
        <f t="shared" si="47"/>
        <v>0</v>
      </c>
      <c r="G52" s="171">
        <v>0</v>
      </c>
      <c r="H52" s="171">
        <f t="shared" si="48"/>
        <v>0</v>
      </c>
      <c r="I52" s="173"/>
      <c r="J52" s="174">
        <f t="shared" si="49"/>
        <v>0</v>
      </c>
      <c r="K52" s="172"/>
      <c r="L52" s="31" t="e">
        <f t="shared" si="51"/>
        <v>#DIV/0!</v>
      </c>
      <c r="M52" s="35">
        <f t="shared" si="52"/>
        <v>0</v>
      </c>
      <c r="N52" s="35">
        <f t="shared" si="53"/>
        <v>0</v>
      </c>
    </row>
    <row r="53" spans="2:14" ht="12" customHeight="1" x14ac:dyDescent="0.3">
      <c r="B53" s="32"/>
      <c r="C53" s="13"/>
      <c r="D53" s="13">
        <f t="shared" si="50"/>
        <v>0</v>
      </c>
      <c r="E53" s="170">
        <f t="shared" si="46"/>
        <v>0</v>
      </c>
      <c r="F53" s="171">
        <f t="shared" si="47"/>
        <v>0</v>
      </c>
      <c r="G53" s="171">
        <v>0</v>
      </c>
      <c r="H53" s="171">
        <f t="shared" si="48"/>
        <v>0</v>
      </c>
      <c r="I53" s="33"/>
      <c r="J53" s="36">
        <f t="shared" si="49"/>
        <v>0</v>
      </c>
      <c r="K53" s="172"/>
      <c r="L53" s="31" t="e">
        <f t="shared" si="51"/>
        <v>#DIV/0!</v>
      </c>
      <c r="M53" s="35" t="e">
        <f t="shared" si="52"/>
        <v>#DIV/0!</v>
      </c>
      <c r="N53" s="35" t="e">
        <f t="shared" si="53"/>
        <v>#DIV/0!</v>
      </c>
    </row>
    <row r="54" spans="2:14" ht="12" customHeight="1" x14ac:dyDescent="0.3">
      <c r="B54" s="45"/>
      <c r="C54" s="46"/>
      <c r="D54" s="13">
        <f t="shared" si="50"/>
        <v>0</v>
      </c>
      <c r="E54" s="47">
        <f t="shared" si="46"/>
        <v>0</v>
      </c>
      <c r="F54" s="48">
        <f t="shared" si="47"/>
        <v>0</v>
      </c>
      <c r="G54" s="48">
        <v>0</v>
      </c>
      <c r="H54" s="48">
        <f t="shared" si="48"/>
        <v>0</v>
      </c>
      <c r="I54" s="193"/>
      <c r="J54" s="59">
        <f t="shared" si="49"/>
        <v>0</v>
      </c>
      <c r="K54" s="51"/>
      <c r="L54" s="37" t="e">
        <f t="shared" si="51"/>
        <v>#DIV/0!</v>
      </c>
      <c r="M54" s="35" t="e">
        <f t="shared" si="52"/>
        <v>#DIV/0!</v>
      </c>
      <c r="N54" s="35" t="e">
        <f t="shared" si="53"/>
        <v>#DIV/0!</v>
      </c>
    </row>
    <row r="55" spans="2:14" ht="12" customHeight="1" x14ac:dyDescent="0.3">
      <c r="B55" s="52"/>
      <c r="C55" s="53"/>
      <c r="D55" s="53"/>
      <c r="E55" s="53">
        <f t="shared" ref="E55:J55" si="54">SUM(E50:E54)</f>
        <v>211</v>
      </c>
      <c r="F55" s="54">
        <f t="shared" si="54"/>
        <v>211000</v>
      </c>
      <c r="G55" s="54">
        <f t="shared" si="54"/>
        <v>0</v>
      </c>
      <c r="H55" s="54">
        <f t="shared" si="54"/>
        <v>211000</v>
      </c>
      <c r="I55" s="55">
        <f t="shared" si="54"/>
        <v>0</v>
      </c>
      <c r="J55" s="55">
        <f t="shared" si="54"/>
        <v>42200</v>
      </c>
      <c r="K55" s="56">
        <f>+H55*0.6-I55-J55-G55</f>
        <v>84400</v>
      </c>
      <c r="L55" s="42">
        <f t="shared" si="51"/>
        <v>0.2</v>
      </c>
      <c r="M55" s="31">
        <f>L55+L56</f>
        <v>0.60000000000000009</v>
      </c>
      <c r="N55" s="5"/>
    </row>
    <row r="56" spans="2:14" ht="12" customHeight="1" x14ac:dyDescent="0.3">
      <c r="B56" s="27"/>
      <c r="C56" s="5"/>
      <c r="D56" s="5"/>
      <c r="E56" s="5"/>
      <c r="F56" s="5"/>
      <c r="G56" s="23"/>
      <c r="H56" s="23"/>
      <c r="I56" s="23"/>
      <c r="J56" s="4"/>
      <c r="K56" s="64">
        <f>H55*0.3</f>
        <v>63300</v>
      </c>
      <c r="L56" s="43">
        <f>+K55/H55</f>
        <v>0.4</v>
      </c>
      <c r="M56" s="5"/>
      <c r="N56" s="5"/>
    </row>
  </sheetData>
  <mergeCells count="2">
    <mergeCell ref="B1:E1"/>
    <mergeCell ref="B2:C2"/>
  </mergeCells>
  <phoneticPr fontId="35"/>
  <pageMargins left="0.69930555555555596" right="0.69930555555555596" top="0.75" bottom="0.75" header="0" footer="0"/>
  <pageSetup paperSize="9" scale="9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B1:V416"/>
  <sheetViews>
    <sheetView workbookViewId="0">
      <pane ySplit="1" topLeftCell="A395" activePane="bottomLeft" state="frozen"/>
      <selection activeCell="J1" sqref="J1"/>
      <selection pane="bottomLeft" activeCell="J1" sqref="J1"/>
    </sheetView>
  </sheetViews>
  <sheetFormatPr defaultColWidth="14.390625" defaultRowHeight="15" x14ac:dyDescent="0.2"/>
  <cols>
    <col min="1" max="1" width="1.07421875" customWidth="1"/>
    <col min="2" max="2" width="12.5078125" bestFit="1" customWidth="1"/>
    <col min="3" max="3" width="0.53515625" customWidth="1"/>
    <col min="4" max="4" width="8.47265625" bestFit="1" customWidth="1"/>
    <col min="5" max="5" width="6.859375" bestFit="1" customWidth="1"/>
    <col min="6" max="6" width="8.203125" bestFit="1" customWidth="1"/>
    <col min="7" max="10" width="0.94140625" customWidth="1"/>
    <col min="11" max="11" width="20.04296875" customWidth="1"/>
    <col min="12" max="12" width="2.28515625" customWidth="1"/>
    <col min="13" max="13" width="12.64453125" customWidth="1"/>
    <col min="14" max="14" width="0.53515625" customWidth="1"/>
    <col min="15" max="15" width="8.47265625" bestFit="1" customWidth="1"/>
    <col min="16" max="16" width="6.859375" bestFit="1" customWidth="1"/>
    <col min="17" max="17" width="8.203125" bestFit="1" customWidth="1"/>
    <col min="18" max="21" width="0.53515625" customWidth="1"/>
    <col min="22" max="22" width="42.5078125" bestFit="1" customWidth="1"/>
    <col min="23" max="23" width="8.47265625" bestFit="1" customWidth="1"/>
    <col min="24" max="24" width="9.01171875" customWidth="1"/>
    <col min="25" max="26" width="10.76171875" customWidth="1"/>
    <col min="33" max="33" width="20.84765625" customWidth="1"/>
  </cols>
  <sheetData>
    <row r="1" spans="2:11" ht="18" x14ac:dyDescent="0.35">
      <c r="B1" s="853" t="s">
        <v>216</v>
      </c>
      <c r="C1" s="853"/>
      <c r="D1" s="853"/>
      <c r="E1" s="853"/>
      <c r="F1" s="853"/>
      <c r="G1" s="70"/>
      <c r="H1" s="90"/>
      <c r="I1" s="90"/>
      <c r="J1" s="91"/>
      <c r="K1" s="92"/>
    </row>
    <row r="2" spans="2:11" x14ac:dyDescent="0.3">
      <c r="B2" s="20"/>
      <c r="C2" s="20"/>
      <c r="D2" s="20"/>
      <c r="E2" s="24"/>
      <c r="F2" s="22"/>
      <c r="G2" s="93"/>
      <c r="H2" s="94"/>
      <c r="I2" s="94"/>
      <c r="J2" s="95"/>
      <c r="K2" s="94"/>
    </row>
    <row r="3" spans="2:11" x14ac:dyDescent="0.3">
      <c r="B3" s="22" t="s">
        <v>148</v>
      </c>
      <c r="C3" s="5"/>
      <c r="D3" s="5"/>
      <c r="E3" s="5"/>
      <c r="F3" s="5"/>
      <c r="G3" s="23"/>
      <c r="H3" s="23"/>
      <c r="I3" s="23"/>
      <c r="J3" s="23" t="s">
        <v>182</v>
      </c>
      <c r="K3" s="23" t="s">
        <v>179</v>
      </c>
    </row>
    <row r="4" spans="2:11" ht="15.75" thickBot="1" x14ac:dyDescent="0.35">
      <c r="B4" s="22"/>
      <c r="C4" s="5"/>
      <c r="D4" s="5"/>
      <c r="E4" s="5"/>
      <c r="F4" s="5"/>
      <c r="G4" s="23"/>
      <c r="H4" s="23"/>
      <c r="I4" s="23"/>
      <c r="J4" s="96">
        <v>259.67929050815002</v>
      </c>
      <c r="K4" s="97">
        <f>+(I19+J19)/H19</f>
        <v>0.40419928466871097</v>
      </c>
    </row>
    <row r="5" spans="2:11" ht="15.75" thickBot="1" x14ac:dyDescent="0.25">
      <c r="B5" s="7" t="s">
        <v>142</v>
      </c>
      <c r="C5" s="8" t="s">
        <v>162</v>
      </c>
      <c r="D5" s="8" t="s">
        <v>143</v>
      </c>
      <c r="E5" s="8" t="s">
        <v>144</v>
      </c>
      <c r="F5" s="8" t="s">
        <v>145</v>
      </c>
      <c r="G5" s="8" t="s">
        <v>163</v>
      </c>
      <c r="H5" s="8" t="s">
        <v>164</v>
      </c>
      <c r="I5" s="168" t="s">
        <v>165</v>
      </c>
      <c r="J5" s="9" t="s">
        <v>166</v>
      </c>
      <c r="K5" s="98" t="s">
        <v>146</v>
      </c>
    </row>
    <row r="6" spans="2:11" x14ac:dyDescent="0.3">
      <c r="B6" s="169">
        <v>44488</v>
      </c>
      <c r="C6" s="170">
        <v>1188</v>
      </c>
      <c r="D6" s="170">
        <v>1188</v>
      </c>
      <c r="E6" s="170">
        <f t="shared" ref="E6:E18" si="0">+D6-C6</f>
        <v>0</v>
      </c>
      <c r="F6" s="171">
        <f t="shared" ref="F6:F18" si="1">+E6*1000</f>
        <v>0</v>
      </c>
      <c r="G6" s="171">
        <v>0</v>
      </c>
      <c r="H6" s="171">
        <f t="shared" ref="H6:H18" si="2">+F6-G6</f>
        <v>0</v>
      </c>
      <c r="I6" s="10"/>
      <c r="J6" s="30"/>
      <c r="K6" s="172" t="s">
        <v>217</v>
      </c>
    </row>
    <row r="7" spans="2:11" x14ac:dyDescent="0.3">
      <c r="B7" s="12">
        <v>44491</v>
      </c>
      <c r="C7" s="13">
        <f>+D6</f>
        <v>1188</v>
      </c>
      <c r="D7" s="13">
        <v>1203</v>
      </c>
      <c r="E7" s="170">
        <f t="shared" si="0"/>
        <v>15</v>
      </c>
      <c r="F7" s="171">
        <f t="shared" si="1"/>
        <v>15000</v>
      </c>
      <c r="G7" s="171">
        <v>0</v>
      </c>
      <c r="H7" s="171">
        <f t="shared" si="2"/>
        <v>15000</v>
      </c>
      <c r="I7" s="33">
        <v>912</v>
      </c>
      <c r="J7" s="34">
        <f t="shared" ref="J7:J18" si="3">+E7*$J$4</f>
        <v>3895.1893576222501</v>
      </c>
      <c r="K7" s="172" t="s">
        <v>218</v>
      </c>
    </row>
    <row r="8" spans="2:11" x14ac:dyDescent="0.3">
      <c r="B8" s="12">
        <v>44494</v>
      </c>
      <c r="C8" s="13">
        <v>1203</v>
      </c>
      <c r="D8" s="13">
        <v>1231</v>
      </c>
      <c r="E8" s="170">
        <f t="shared" si="0"/>
        <v>28</v>
      </c>
      <c r="F8" s="171">
        <f t="shared" si="1"/>
        <v>28000</v>
      </c>
      <c r="G8" s="171">
        <v>0</v>
      </c>
      <c r="H8" s="171">
        <f t="shared" si="2"/>
        <v>28000</v>
      </c>
      <c r="I8" s="33">
        <v>1881</v>
      </c>
      <c r="J8" s="36">
        <f t="shared" si="3"/>
        <v>7271.0201342282007</v>
      </c>
      <c r="K8" s="172" t="s">
        <v>219</v>
      </c>
    </row>
    <row r="9" spans="2:11" x14ac:dyDescent="0.3">
      <c r="B9" s="12">
        <v>44499</v>
      </c>
      <c r="C9" s="13">
        <v>1231</v>
      </c>
      <c r="D9" s="13">
        <v>1289</v>
      </c>
      <c r="E9" s="170">
        <f t="shared" si="0"/>
        <v>58</v>
      </c>
      <c r="F9" s="171">
        <f t="shared" si="1"/>
        <v>58000</v>
      </c>
      <c r="G9" s="171">
        <v>0</v>
      </c>
      <c r="H9" s="171">
        <f t="shared" si="2"/>
        <v>58000</v>
      </c>
      <c r="I9" s="33">
        <v>12200</v>
      </c>
      <c r="J9" s="36">
        <f t="shared" si="3"/>
        <v>15061.398849472702</v>
      </c>
      <c r="K9" s="172" t="s">
        <v>220</v>
      </c>
    </row>
    <row r="10" spans="2:11" x14ac:dyDescent="0.3">
      <c r="B10" s="12">
        <v>44501</v>
      </c>
      <c r="C10" s="13">
        <v>1289</v>
      </c>
      <c r="D10" s="13">
        <v>1312</v>
      </c>
      <c r="E10" s="170">
        <f t="shared" si="0"/>
        <v>23</v>
      </c>
      <c r="F10" s="171">
        <f t="shared" si="1"/>
        <v>23000</v>
      </c>
      <c r="G10" s="171">
        <v>1000</v>
      </c>
      <c r="H10" s="171">
        <f t="shared" si="2"/>
        <v>22000</v>
      </c>
      <c r="I10" s="173">
        <v>950</v>
      </c>
      <c r="J10" s="174">
        <f t="shared" si="3"/>
        <v>5972.6236816874507</v>
      </c>
      <c r="K10" s="172" t="s">
        <v>221</v>
      </c>
    </row>
    <row r="11" spans="2:11" x14ac:dyDescent="0.3">
      <c r="B11" s="12">
        <v>44506</v>
      </c>
      <c r="C11" s="13">
        <v>1312</v>
      </c>
      <c r="D11" s="13">
        <v>1337</v>
      </c>
      <c r="E11" s="170">
        <f t="shared" si="0"/>
        <v>25</v>
      </c>
      <c r="F11" s="171">
        <f t="shared" si="1"/>
        <v>25000</v>
      </c>
      <c r="G11" s="171">
        <v>0</v>
      </c>
      <c r="H11" s="171">
        <f t="shared" si="2"/>
        <v>25000</v>
      </c>
      <c r="I11" s="173">
        <v>3821</v>
      </c>
      <c r="J11" s="174">
        <f t="shared" si="3"/>
        <v>6491.9822627037502</v>
      </c>
      <c r="K11" s="172" t="s">
        <v>222</v>
      </c>
    </row>
    <row r="12" spans="2:11" x14ac:dyDescent="0.3">
      <c r="B12" s="12">
        <v>44508</v>
      </c>
      <c r="C12" s="13">
        <v>1337</v>
      </c>
      <c r="D12" s="13">
        <v>1357</v>
      </c>
      <c r="E12" s="170">
        <f t="shared" si="0"/>
        <v>20</v>
      </c>
      <c r="F12" s="171">
        <f t="shared" si="1"/>
        <v>20000</v>
      </c>
      <c r="G12" s="171">
        <v>0</v>
      </c>
      <c r="H12" s="171">
        <f t="shared" si="2"/>
        <v>20000</v>
      </c>
      <c r="I12" s="173">
        <v>0</v>
      </c>
      <c r="J12" s="174">
        <f t="shared" si="3"/>
        <v>5193.5858101630001</v>
      </c>
      <c r="K12" s="172"/>
    </row>
    <row r="13" spans="2:11" x14ac:dyDescent="0.3">
      <c r="B13" s="12">
        <v>44512</v>
      </c>
      <c r="C13" s="13">
        <v>1357</v>
      </c>
      <c r="D13" s="13">
        <v>1398</v>
      </c>
      <c r="E13" s="170">
        <f t="shared" si="0"/>
        <v>41</v>
      </c>
      <c r="F13" s="171">
        <f t="shared" si="1"/>
        <v>41000</v>
      </c>
      <c r="G13" s="171">
        <v>0</v>
      </c>
      <c r="H13" s="171">
        <f t="shared" si="2"/>
        <v>41000</v>
      </c>
      <c r="I13" s="173">
        <v>12021</v>
      </c>
      <c r="J13" s="174">
        <f t="shared" si="3"/>
        <v>10646.850910834151</v>
      </c>
      <c r="K13" s="172" t="s">
        <v>223</v>
      </c>
    </row>
    <row r="14" spans="2:11" x14ac:dyDescent="0.3">
      <c r="B14" s="12">
        <v>44516</v>
      </c>
      <c r="C14" s="13">
        <v>1398</v>
      </c>
      <c r="D14" s="13">
        <v>1422</v>
      </c>
      <c r="E14" s="170">
        <f t="shared" si="0"/>
        <v>24</v>
      </c>
      <c r="F14" s="171">
        <f t="shared" si="1"/>
        <v>24000</v>
      </c>
      <c r="G14" s="171">
        <v>0</v>
      </c>
      <c r="H14" s="171">
        <f t="shared" si="2"/>
        <v>24000</v>
      </c>
      <c r="I14" s="173">
        <v>912</v>
      </c>
      <c r="J14" s="174">
        <f t="shared" si="3"/>
        <v>6232.3029721956009</v>
      </c>
      <c r="K14" s="172" t="s">
        <v>224</v>
      </c>
    </row>
    <row r="15" spans="2:11" x14ac:dyDescent="0.3">
      <c r="B15" s="12">
        <v>44518</v>
      </c>
      <c r="C15" s="13">
        <v>1422</v>
      </c>
      <c r="D15" s="13">
        <v>1433</v>
      </c>
      <c r="E15" s="170">
        <f t="shared" si="0"/>
        <v>11</v>
      </c>
      <c r="F15" s="171">
        <f t="shared" si="1"/>
        <v>11000</v>
      </c>
      <c r="G15" s="171">
        <v>0</v>
      </c>
      <c r="H15" s="171">
        <f t="shared" si="2"/>
        <v>11000</v>
      </c>
      <c r="I15" s="173">
        <v>1902</v>
      </c>
      <c r="J15" s="174">
        <f t="shared" si="3"/>
        <v>2856.4721955896503</v>
      </c>
      <c r="K15" s="172" t="s">
        <v>225</v>
      </c>
    </row>
    <row r="16" spans="2:11" x14ac:dyDescent="0.3">
      <c r="B16" s="99" t="s">
        <v>226</v>
      </c>
      <c r="C16" s="13"/>
      <c r="D16" s="13"/>
      <c r="E16" s="170">
        <f t="shared" si="0"/>
        <v>0</v>
      </c>
      <c r="F16" s="171">
        <f t="shared" si="1"/>
        <v>0</v>
      </c>
      <c r="G16" s="171">
        <v>1000</v>
      </c>
      <c r="H16" s="171">
        <f t="shared" si="2"/>
        <v>-1000</v>
      </c>
      <c r="I16" s="173"/>
      <c r="J16" s="174">
        <f t="shared" si="3"/>
        <v>0</v>
      </c>
      <c r="K16" s="172"/>
    </row>
    <row r="17" spans="2:11" x14ac:dyDescent="0.3">
      <c r="B17" s="99"/>
      <c r="C17" s="13"/>
      <c r="D17" s="13"/>
      <c r="E17" s="170">
        <f t="shared" si="0"/>
        <v>0</v>
      </c>
      <c r="F17" s="171">
        <f t="shared" si="1"/>
        <v>0</v>
      </c>
      <c r="G17" s="171"/>
      <c r="H17" s="171">
        <f t="shared" si="2"/>
        <v>0</v>
      </c>
      <c r="I17" s="173"/>
      <c r="J17" s="174">
        <f t="shared" si="3"/>
        <v>0</v>
      </c>
      <c r="K17" s="172"/>
    </row>
    <row r="18" spans="2:11" ht="15.75" thickBot="1" x14ac:dyDescent="0.35">
      <c r="B18" s="60"/>
      <c r="C18" s="39"/>
      <c r="D18" s="39"/>
      <c r="E18" s="16">
        <f t="shared" si="0"/>
        <v>0</v>
      </c>
      <c r="F18" s="17">
        <f t="shared" si="1"/>
        <v>0</v>
      </c>
      <c r="G18" s="17"/>
      <c r="H18" s="17">
        <f t="shared" si="2"/>
        <v>0</v>
      </c>
      <c r="I18" s="40"/>
      <c r="J18" s="175">
        <f t="shared" si="3"/>
        <v>0</v>
      </c>
      <c r="K18" s="176"/>
    </row>
    <row r="19" spans="2:11" ht="15.75" thickBot="1" x14ac:dyDescent="0.35">
      <c r="B19" s="15"/>
      <c r="C19" s="16"/>
      <c r="D19" s="16"/>
      <c r="E19" s="16">
        <f t="shared" ref="E19:J19" si="4">SUM(E6:E18)</f>
        <v>245</v>
      </c>
      <c r="F19" s="17">
        <f t="shared" si="4"/>
        <v>245000</v>
      </c>
      <c r="G19" s="17">
        <f t="shared" si="4"/>
        <v>2000</v>
      </c>
      <c r="H19" s="17">
        <f t="shared" si="4"/>
        <v>243000</v>
      </c>
      <c r="I19" s="18">
        <f t="shared" si="4"/>
        <v>34599</v>
      </c>
      <c r="J19" s="18">
        <f t="shared" si="4"/>
        <v>63621.426174496766</v>
      </c>
      <c r="K19" s="176">
        <f>+H19*0.6-I19-J19-G19</f>
        <v>45579.573825503234</v>
      </c>
    </row>
    <row r="20" spans="2:11" ht="15.75" thickBot="1" x14ac:dyDescent="0.35">
      <c r="B20" s="5"/>
      <c r="C20" s="5"/>
      <c r="D20" s="5"/>
      <c r="E20" s="5"/>
      <c r="F20" s="5"/>
      <c r="G20" s="5"/>
      <c r="H20" s="5"/>
      <c r="I20" s="5"/>
      <c r="J20" s="29"/>
      <c r="K20" s="5"/>
    </row>
    <row r="21" spans="2:11" ht="15.75" thickBot="1" x14ac:dyDescent="0.25">
      <c r="B21" s="100" t="s">
        <v>142</v>
      </c>
      <c r="C21" s="101" t="s">
        <v>162</v>
      </c>
      <c r="D21" s="8" t="s">
        <v>143</v>
      </c>
      <c r="E21" s="8" t="s">
        <v>144</v>
      </c>
      <c r="F21" s="8" t="s">
        <v>145</v>
      </c>
      <c r="G21" s="8" t="s">
        <v>163</v>
      </c>
      <c r="H21" s="8" t="s">
        <v>164</v>
      </c>
      <c r="I21" s="168" t="s">
        <v>165</v>
      </c>
      <c r="J21" s="9" t="s">
        <v>166</v>
      </c>
      <c r="K21" s="98" t="s">
        <v>146</v>
      </c>
    </row>
    <row r="22" spans="2:11" x14ac:dyDescent="0.3">
      <c r="B22" s="169">
        <v>44521</v>
      </c>
      <c r="C22" s="170">
        <v>1433</v>
      </c>
      <c r="D22" s="170">
        <v>1469</v>
      </c>
      <c r="E22" s="170">
        <f t="shared" ref="E22:E32" si="5">+D22-C22</f>
        <v>36</v>
      </c>
      <c r="F22" s="171">
        <f t="shared" ref="F22:F32" si="6">+E22*1000</f>
        <v>36000</v>
      </c>
      <c r="G22" s="171">
        <v>0</v>
      </c>
      <c r="H22" s="171">
        <f t="shared" ref="H22:H32" si="7">+F22-G22</f>
        <v>36000</v>
      </c>
      <c r="I22" s="102">
        <v>1881</v>
      </c>
      <c r="J22" s="103">
        <f t="shared" ref="J22:J32" si="8">+E22*$J$4</f>
        <v>9348.4544582934013</v>
      </c>
      <c r="K22" s="172" t="s">
        <v>227</v>
      </c>
    </row>
    <row r="23" spans="2:11" x14ac:dyDescent="0.3">
      <c r="B23" s="12">
        <v>44525</v>
      </c>
      <c r="C23" s="13">
        <v>1469</v>
      </c>
      <c r="D23" s="13">
        <v>1495</v>
      </c>
      <c r="E23" s="170">
        <f t="shared" si="5"/>
        <v>26</v>
      </c>
      <c r="F23" s="171">
        <f t="shared" si="6"/>
        <v>26000</v>
      </c>
      <c r="G23" s="171">
        <v>0</v>
      </c>
      <c r="H23" s="171">
        <f t="shared" si="7"/>
        <v>26000</v>
      </c>
      <c r="I23" s="104">
        <v>0</v>
      </c>
      <c r="J23" s="103">
        <f t="shared" si="8"/>
        <v>6751.6615532119004</v>
      </c>
      <c r="K23" s="172"/>
    </row>
    <row r="24" spans="2:11" x14ac:dyDescent="0.3">
      <c r="B24" s="12">
        <v>44529</v>
      </c>
      <c r="C24" s="13">
        <v>1495</v>
      </c>
      <c r="D24" s="13">
        <v>1531</v>
      </c>
      <c r="E24" s="170">
        <f t="shared" si="5"/>
        <v>36</v>
      </c>
      <c r="F24" s="171">
        <f t="shared" si="6"/>
        <v>36000</v>
      </c>
      <c r="G24" s="171">
        <v>0</v>
      </c>
      <c r="H24" s="171">
        <f t="shared" si="7"/>
        <v>36000</v>
      </c>
      <c r="I24" s="104">
        <v>912</v>
      </c>
      <c r="J24" s="103">
        <f t="shared" si="8"/>
        <v>9348.4544582934013</v>
      </c>
      <c r="K24" s="172"/>
    </row>
    <row r="25" spans="2:11" x14ac:dyDescent="0.3">
      <c r="B25" s="12">
        <v>44532</v>
      </c>
      <c r="C25" s="13">
        <v>1531</v>
      </c>
      <c r="D25" s="13">
        <v>1550</v>
      </c>
      <c r="E25" s="170">
        <f t="shared" si="5"/>
        <v>19</v>
      </c>
      <c r="F25" s="171">
        <f t="shared" si="6"/>
        <v>19000</v>
      </c>
      <c r="G25" s="171">
        <v>0</v>
      </c>
      <c r="H25" s="171">
        <f t="shared" si="7"/>
        <v>19000</v>
      </c>
      <c r="I25" s="104">
        <v>0</v>
      </c>
      <c r="J25" s="103">
        <f t="shared" si="8"/>
        <v>4933.9065196548499</v>
      </c>
      <c r="K25" s="172"/>
    </row>
    <row r="26" spans="2:11" x14ac:dyDescent="0.3">
      <c r="B26" s="12">
        <v>44536</v>
      </c>
      <c r="C26" s="13">
        <v>1550</v>
      </c>
      <c r="D26" s="13">
        <v>1585</v>
      </c>
      <c r="E26" s="170">
        <f t="shared" si="5"/>
        <v>35</v>
      </c>
      <c r="F26" s="171">
        <f t="shared" si="6"/>
        <v>35000</v>
      </c>
      <c r="G26" s="171">
        <v>0</v>
      </c>
      <c r="H26" s="171">
        <f t="shared" si="7"/>
        <v>35000</v>
      </c>
      <c r="I26" s="104">
        <v>948</v>
      </c>
      <c r="J26" s="103">
        <f t="shared" si="8"/>
        <v>9088.7751677852502</v>
      </c>
      <c r="K26" s="172" t="s">
        <v>228</v>
      </c>
    </row>
    <row r="27" spans="2:11" x14ac:dyDescent="0.3">
      <c r="B27" s="12">
        <v>44539</v>
      </c>
      <c r="C27" s="13">
        <v>1585</v>
      </c>
      <c r="D27" s="13">
        <v>1600</v>
      </c>
      <c r="E27" s="170">
        <f t="shared" si="5"/>
        <v>15</v>
      </c>
      <c r="F27" s="171">
        <f t="shared" si="6"/>
        <v>15000</v>
      </c>
      <c r="G27" s="171">
        <v>0</v>
      </c>
      <c r="H27" s="171">
        <f t="shared" si="7"/>
        <v>15000</v>
      </c>
      <c r="I27" s="177">
        <v>952</v>
      </c>
      <c r="J27" s="103">
        <f t="shared" si="8"/>
        <v>3895.1893576222501</v>
      </c>
      <c r="K27" s="172" t="s">
        <v>184</v>
      </c>
    </row>
    <row r="28" spans="2:11" x14ac:dyDescent="0.3">
      <c r="B28" s="12">
        <v>44546</v>
      </c>
      <c r="C28" s="13">
        <v>1600</v>
      </c>
      <c r="D28" s="13">
        <v>1650</v>
      </c>
      <c r="E28" s="170">
        <f t="shared" si="5"/>
        <v>50</v>
      </c>
      <c r="F28" s="171">
        <f t="shared" si="6"/>
        <v>50000</v>
      </c>
      <c r="G28" s="171">
        <v>0</v>
      </c>
      <c r="H28" s="171">
        <f t="shared" si="7"/>
        <v>50000</v>
      </c>
      <c r="I28" s="177">
        <v>7666</v>
      </c>
      <c r="J28" s="103">
        <f t="shared" si="8"/>
        <v>12983.9645254075</v>
      </c>
      <c r="K28" s="172"/>
    </row>
    <row r="29" spans="2:11" x14ac:dyDescent="0.3">
      <c r="B29" s="12">
        <v>44547</v>
      </c>
      <c r="C29" s="13">
        <v>1650</v>
      </c>
      <c r="D29" s="13">
        <v>1658</v>
      </c>
      <c r="E29" s="170">
        <f t="shared" si="5"/>
        <v>8</v>
      </c>
      <c r="F29" s="171">
        <f t="shared" si="6"/>
        <v>8000</v>
      </c>
      <c r="G29" s="171">
        <v>0</v>
      </c>
      <c r="H29" s="171">
        <f t="shared" si="7"/>
        <v>8000</v>
      </c>
      <c r="I29" s="177">
        <v>0</v>
      </c>
      <c r="J29" s="103">
        <f t="shared" si="8"/>
        <v>2077.4343240652001</v>
      </c>
      <c r="K29" s="172"/>
    </row>
    <row r="30" spans="2:11" x14ac:dyDescent="0.3">
      <c r="B30" s="12"/>
      <c r="C30" s="13"/>
      <c r="D30" s="13"/>
      <c r="E30" s="170">
        <f t="shared" si="5"/>
        <v>0</v>
      </c>
      <c r="F30" s="171">
        <f t="shared" si="6"/>
        <v>0</v>
      </c>
      <c r="G30" s="171">
        <v>0</v>
      </c>
      <c r="H30" s="171">
        <f t="shared" si="7"/>
        <v>0</v>
      </c>
      <c r="I30" s="177"/>
      <c r="J30" s="103">
        <f t="shared" si="8"/>
        <v>0</v>
      </c>
      <c r="K30" s="172"/>
    </row>
    <row r="31" spans="2:11" x14ac:dyDescent="0.3">
      <c r="B31" s="99"/>
      <c r="C31" s="13"/>
      <c r="D31" s="13"/>
      <c r="E31" s="170">
        <f t="shared" si="5"/>
        <v>0</v>
      </c>
      <c r="F31" s="171">
        <f t="shared" si="6"/>
        <v>0</v>
      </c>
      <c r="G31" s="171">
        <v>0</v>
      </c>
      <c r="H31" s="171">
        <f t="shared" si="7"/>
        <v>0</v>
      </c>
      <c r="I31" s="177"/>
      <c r="J31" s="103">
        <f t="shared" si="8"/>
        <v>0</v>
      </c>
      <c r="K31" s="172"/>
    </row>
    <row r="32" spans="2:11" ht="15.75" thickBot="1" x14ac:dyDescent="0.35">
      <c r="B32" s="60"/>
      <c r="C32" s="39"/>
      <c r="D32" s="39"/>
      <c r="E32" s="16">
        <f t="shared" si="5"/>
        <v>0</v>
      </c>
      <c r="F32" s="17">
        <f t="shared" si="6"/>
        <v>0</v>
      </c>
      <c r="G32" s="17">
        <v>0</v>
      </c>
      <c r="H32" s="17">
        <f t="shared" si="7"/>
        <v>0</v>
      </c>
      <c r="I32" s="105"/>
      <c r="J32" s="106">
        <f t="shared" si="8"/>
        <v>0</v>
      </c>
      <c r="K32" s="176"/>
    </row>
    <row r="33" spans="2:11" ht="15.75" thickBot="1" x14ac:dyDescent="0.35">
      <c r="B33" s="15"/>
      <c r="C33" s="16"/>
      <c r="D33" s="16"/>
      <c r="E33" s="16">
        <f t="shared" ref="E33:J33" si="9">SUM(E22:E32)</f>
        <v>225</v>
      </c>
      <c r="F33" s="17">
        <f t="shared" si="9"/>
        <v>225000</v>
      </c>
      <c r="G33" s="17">
        <f t="shared" si="9"/>
        <v>0</v>
      </c>
      <c r="H33" s="17">
        <f t="shared" si="9"/>
        <v>225000</v>
      </c>
      <c r="I33" s="18">
        <f t="shared" si="9"/>
        <v>12359</v>
      </c>
      <c r="J33" s="18">
        <f t="shared" si="9"/>
        <v>58427.840364333759</v>
      </c>
      <c r="K33" s="176">
        <f>+H33*0.6-I33-J33</f>
        <v>64213.159635666241</v>
      </c>
    </row>
    <row r="34" spans="2:11" x14ac:dyDescent="0.3">
      <c r="B34" s="5"/>
      <c r="C34" s="5"/>
      <c r="D34" s="5"/>
      <c r="E34" s="5"/>
      <c r="F34" s="5"/>
      <c r="G34" s="5"/>
      <c r="H34" s="5"/>
      <c r="I34" s="5"/>
      <c r="J34" s="23" t="s">
        <v>182</v>
      </c>
      <c r="K34" s="5"/>
    </row>
    <row r="35" spans="2:11" ht="15.75" thickBot="1" x14ac:dyDescent="0.35">
      <c r="B35" s="5"/>
      <c r="C35" s="5"/>
      <c r="D35" s="5"/>
      <c r="E35" s="5"/>
      <c r="F35" s="5"/>
      <c r="G35" s="5"/>
      <c r="H35" s="5"/>
      <c r="I35" s="5"/>
      <c r="J35" s="107">
        <v>189</v>
      </c>
      <c r="K35" s="5"/>
    </row>
    <row r="36" spans="2:11" ht="15.75" thickBot="1" x14ac:dyDescent="0.25">
      <c r="B36" s="100" t="s">
        <v>142</v>
      </c>
      <c r="C36" s="101" t="s">
        <v>162</v>
      </c>
      <c r="D36" s="8" t="s">
        <v>143</v>
      </c>
      <c r="E36" s="8" t="s">
        <v>144</v>
      </c>
      <c r="F36" s="8" t="s">
        <v>145</v>
      </c>
      <c r="G36" s="8" t="s">
        <v>163</v>
      </c>
      <c r="H36" s="8" t="s">
        <v>164</v>
      </c>
      <c r="I36" s="168" t="s">
        <v>165</v>
      </c>
      <c r="J36" s="9" t="s">
        <v>166</v>
      </c>
      <c r="K36" s="98" t="s">
        <v>146</v>
      </c>
    </row>
    <row r="37" spans="2:11" x14ac:dyDescent="0.3">
      <c r="B37" s="169">
        <v>44550</v>
      </c>
      <c r="C37" s="170">
        <v>1658</v>
      </c>
      <c r="D37" s="170">
        <v>1688</v>
      </c>
      <c r="E37" s="170">
        <f t="shared" ref="E37:E47" si="10">+D37-C37</f>
        <v>30</v>
      </c>
      <c r="F37" s="171">
        <f t="shared" ref="F37:F47" si="11">+E37*1000</f>
        <v>30000</v>
      </c>
      <c r="G37" s="171">
        <v>0</v>
      </c>
      <c r="H37" s="171">
        <f t="shared" ref="H37:H47" si="12">+F37-G37</f>
        <v>30000</v>
      </c>
      <c r="I37" s="102">
        <v>2928</v>
      </c>
      <c r="J37" s="103">
        <f t="shared" ref="J37:J47" si="13">+E37*$J$35</f>
        <v>5670</v>
      </c>
      <c r="K37" s="172" t="s">
        <v>229</v>
      </c>
    </row>
    <row r="38" spans="2:11" x14ac:dyDescent="0.3">
      <c r="B38" s="12">
        <v>44554</v>
      </c>
      <c r="C38" s="13">
        <v>1688</v>
      </c>
      <c r="D38" s="13">
        <v>1713</v>
      </c>
      <c r="E38" s="170">
        <f t="shared" si="10"/>
        <v>25</v>
      </c>
      <c r="F38" s="171">
        <f t="shared" si="11"/>
        <v>25000</v>
      </c>
      <c r="G38" s="171">
        <v>0</v>
      </c>
      <c r="H38" s="171">
        <f t="shared" si="12"/>
        <v>25000</v>
      </c>
      <c r="I38" s="104">
        <v>0</v>
      </c>
      <c r="J38" s="103">
        <f t="shared" si="13"/>
        <v>4725</v>
      </c>
      <c r="K38" s="172"/>
    </row>
    <row r="39" spans="2:11" x14ac:dyDescent="0.3">
      <c r="B39" s="12">
        <v>44923</v>
      </c>
      <c r="C39" s="13">
        <v>1713</v>
      </c>
      <c r="D39" s="13">
        <v>1766</v>
      </c>
      <c r="E39" s="170">
        <f t="shared" si="10"/>
        <v>53</v>
      </c>
      <c r="F39" s="171">
        <f t="shared" si="11"/>
        <v>53000</v>
      </c>
      <c r="G39" s="171">
        <v>0</v>
      </c>
      <c r="H39" s="171">
        <f t="shared" si="12"/>
        <v>53000</v>
      </c>
      <c r="I39" s="104">
        <v>4353</v>
      </c>
      <c r="J39" s="103">
        <f t="shared" si="13"/>
        <v>10017</v>
      </c>
      <c r="K39" s="172" t="s">
        <v>230</v>
      </c>
    </row>
    <row r="40" spans="2:11" x14ac:dyDescent="0.3">
      <c r="B40" s="12">
        <v>44926</v>
      </c>
      <c r="C40" s="13">
        <v>1766</v>
      </c>
      <c r="D40" s="13">
        <v>1819</v>
      </c>
      <c r="E40" s="170">
        <f t="shared" si="10"/>
        <v>53</v>
      </c>
      <c r="F40" s="171">
        <f t="shared" si="11"/>
        <v>53000</v>
      </c>
      <c r="G40" s="171">
        <v>0</v>
      </c>
      <c r="H40" s="171">
        <f t="shared" si="12"/>
        <v>53000</v>
      </c>
      <c r="I40" s="104">
        <v>7742</v>
      </c>
      <c r="J40" s="103">
        <f t="shared" si="13"/>
        <v>10017</v>
      </c>
      <c r="K40" s="172" t="s">
        <v>231</v>
      </c>
    </row>
    <row r="41" spans="2:11" x14ac:dyDescent="0.3">
      <c r="B41" s="12">
        <v>44563</v>
      </c>
      <c r="C41" s="13">
        <v>1819</v>
      </c>
      <c r="D41" s="13">
        <v>1877</v>
      </c>
      <c r="E41" s="170">
        <f t="shared" si="10"/>
        <v>58</v>
      </c>
      <c r="F41" s="171">
        <f t="shared" si="11"/>
        <v>58000</v>
      </c>
      <c r="G41" s="171">
        <v>0</v>
      </c>
      <c r="H41" s="171">
        <f t="shared" si="12"/>
        <v>58000</v>
      </c>
      <c r="I41" s="104">
        <v>3766</v>
      </c>
      <c r="J41" s="103">
        <f t="shared" si="13"/>
        <v>10962</v>
      </c>
      <c r="K41" s="172" t="s">
        <v>232</v>
      </c>
    </row>
    <row r="42" spans="2:11" x14ac:dyDescent="0.3">
      <c r="B42" s="12">
        <v>44565</v>
      </c>
      <c r="C42" s="13">
        <v>1877</v>
      </c>
      <c r="D42" s="13">
        <v>1929</v>
      </c>
      <c r="E42" s="170">
        <f t="shared" si="10"/>
        <v>52</v>
      </c>
      <c r="F42" s="171">
        <f t="shared" si="11"/>
        <v>52000</v>
      </c>
      <c r="G42" s="171">
        <v>0</v>
      </c>
      <c r="H42" s="171">
        <f t="shared" si="12"/>
        <v>52000</v>
      </c>
      <c r="I42" s="177">
        <v>1862</v>
      </c>
      <c r="J42" s="103">
        <f t="shared" si="13"/>
        <v>9828</v>
      </c>
      <c r="K42" s="172" t="s">
        <v>233</v>
      </c>
    </row>
    <row r="43" spans="2:11" x14ac:dyDescent="0.3">
      <c r="B43" s="12">
        <v>44569</v>
      </c>
      <c r="C43" s="13">
        <v>1929</v>
      </c>
      <c r="D43" s="13">
        <v>1948</v>
      </c>
      <c r="E43" s="170">
        <f t="shared" si="10"/>
        <v>19</v>
      </c>
      <c r="F43" s="171">
        <f t="shared" si="11"/>
        <v>19000</v>
      </c>
      <c r="G43" s="171">
        <v>0</v>
      </c>
      <c r="H43" s="171">
        <f t="shared" si="12"/>
        <v>19000</v>
      </c>
      <c r="I43" s="177">
        <v>948</v>
      </c>
      <c r="J43" s="103">
        <f t="shared" si="13"/>
        <v>3591</v>
      </c>
      <c r="K43" s="172" t="s">
        <v>234</v>
      </c>
    </row>
    <row r="44" spans="2:11" x14ac:dyDescent="0.3">
      <c r="B44" s="12">
        <v>44571</v>
      </c>
      <c r="C44" s="13">
        <v>1948</v>
      </c>
      <c r="D44" s="13">
        <v>2004</v>
      </c>
      <c r="E44" s="170">
        <f t="shared" si="10"/>
        <v>56</v>
      </c>
      <c r="F44" s="171">
        <f t="shared" si="11"/>
        <v>56000</v>
      </c>
      <c r="G44" s="171">
        <v>0</v>
      </c>
      <c r="H44" s="171">
        <f t="shared" si="12"/>
        <v>56000</v>
      </c>
      <c r="I44" s="177">
        <v>2836</v>
      </c>
      <c r="J44" s="103">
        <f t="shared" si="13"/>
        <v>10584</v>
      </c>
      <c r="K44" s="172" t="s">
        <v>235</v>
      </c>
    </row>
    <row r="45" spans="2:11" x14ac:dyDescent="0.3">
      <c r="B45" s="12">
        <v>44575</v>
      </c>
      <c r="C45" s="13">
        <v>2004</v>
      </c>
      <c r="D45" s="13">
        <v>2030</v>
      </c>
      <c r="E45" s="170">
        <f t="shared" si="10"/>
        <v>26</v>
      </c>
      <c r="F45" s="171">
        <f t="shared" si="11"/>
        <v>26000</v>
      </c>
      <c r="G45" s="171">
        <v>0</v>
      </c>
      <c r="H45" s="171">
        <f t="shared" si="12"/>
        <v>26000</v>
      </c>
      <c r="I45" s="177">
        <v>3737</v>
      </c>
      <c r="J45" s="103">
        <f t="shared" si="13"/>
        <v>4914</v>
      </c>
      <c r="K45" s="172" t="s">
        <v>236</v>
      </c>
    </row>
    <row r="46" spans="2:11" x14ac:dyDescent="0.3">
      <c r="B46" s="12">
        <v>44580</v>
      </c>
      <c r="C46" s="13">
        <v>2030</v>
      </c>
      <c r="D46" s="13">
        <v>2082</v>
      </c>
      <c r="E46" s="170">
        <f t="shared" si="10"/>
        <v>52</v>
      </c>
      <c r="F46" s="171">
        <f t="shared" si="11"/>
        <v>52000</v>
      </c>
      <c r="G46" s="171">
        <v>0</v>
      </c>
      <c r="H46" s="171">
        <f t="shared" si="12"/>
        <v>52000</v>
      </c>
      <c r="I46" s="177">
        <v>912</v>
      </c>
      <c r="J46" s="103">
        <f t="shared" si="13"/>
        <v>9828</v>
      </c>
      <c r="K46" s="172" t="s">
        <v>237</v>
      </c>
    </row>
    <row r="47" spans="2:11" ht="15.75" thickBot="1" x14ac:dyDescent="0.35">
      <c r="B47" s="60"/>
      <c r="C47" s="39"/>
      <c r="D47" s="39"/>
      <c r="E47" s="16">
        <f t="shared" si="10"/>
        <v>0</v>
      </c>
      <c r="F47" s="17">
        <f t="shared" si="11"/>
        <v>0</v>
      </c>
      <c r="G47" s="17"/>
      <c r="H47" s="17">
        <f t="shared" si="12"/>
        <v>0</v>
      </c>
      <c r="I47" s="105"/>
      <c r="J47" s="106">
        <f t="shared" si="13"/>
        <v>0</v>
      </c>
      <c r="K47" s="176"/>
    </row>
    <row r="48" spans="2:11" ht="15.75" thickBot="1" x14ac:dyDescent="0.35">
      <c r="B48" s="15"/>
      <c r="C48" s="16"/>
      <c r="D48" s="16"/>
      <c r="E48" s="16">
        <f t="shared" ref="E48:J48" si="14">SUM(E37:E47)</f>
        <v>424</v>
      </c>
      <c r="F48" s="17">
        <f t="shared" si="14"/>
        <v>424000</v>
      </c>
      <c r="G48" s="17">
        <f t="shared" si="14"/>
        <v>0</v>
      </c>
      <c r="H48" s="17">
        <f t="shared" si="14"/>
        <v>424000</v>
      </c>
      <c r="I48" s="18">
        <f t="shared" si="14"/>
        <v>29084</v>
      </c>
      <c r="J48" s="18">
        <f t="shared" si="14"/>
        <v>80136</v>
      </c>
      <c r="K48" s="176">
        <f>+H48*0.6-I48-J48</f>
        <v>145180</v>
      </c>
    </row>
    <row r="49" spans="2:11" x14ac:dyDescent="0.3">
      <c r="B49" s="5"/>
      <c r="C49" s="5"/>
      <c r="D49" s="5"/>
      <c r="E49" s="5"/>
      <c r="F49" s="5"/>
      <c r="G49" s="5"/>
      <c r="H49" s="5"/>
      <c r="I49" s="5"/>
      <c r="J49" s="3" t="s">
        <v>182</v>
      </c>
      <c r="K49" s="5"/>
    </row>
    <row r="50" spans="2:11" ht="15.75" thickBot="1" x14ac:dyDescent="0.35">
      <c r="B50" s="5"/>
      <c r="C50" s="5"/>
      <c r="D50" s="5"/>
      <c r="E50" s="5"/>
      <c r="F50" s="5"/>
      <c r="G50" s="5"/>
      <c r="H50" s="5"/>
      <c r="I50" s="5"/>
      <c r="J50" s="6">
        <v>211.2</v>
      </c>
      <c r="K50" s="5"/>
    </row>
    <row r="51" spans="2:11" ht="15.75" thickBot="1" x14ac:dyDescent="0.25">
      <c r="B51" s="100" t="s">
        <v>142</v>
      </c>
      <c r="C51" s="101" t="s">
        <v>162</v>
      </c>
      <c r="D51" s="8" t="s">
        <v>143</v>
      </c>
      <c r="E51" s="8" t="s">
        <v>144</v>
      </c>
      <c r="F51" s="8" t="s">
        <v>145</v>
      </c>
      <c r="G51" s="8" t="s">
        <v>163</v>
      </c>
      <c r="H51" s="8" t="s">
        <v>164</v>
      </c>
      <c r="I51" s="168" t="s">
        <v>165</v>
      </c>
      <c r="J51" s="9" t="s">
        <v>166</v>
      </c>
      <c r="K51" s="98" t="s">
        <v>146</v>
      </c>
    </row>
    <row r="52" spans="2:11" x14ac:dyDescent="0.3">
      <c r="B52" s="169">
        <v>44585</v>
      </c>
      <c r="C52" s="170">
        <v>2082</v>
      </c>
      <c r="D52" s="170">
        <v>2119</v>
      </c>
      <c r="E52" s="170">
        <f t="shared" ref="E52:E58" si="15">+D52-C52</f>
        <v>37</v>
      </c>
      <c r="F52" s="171">
        <f t="shared" ref="F52:F58" si="16">+E52*1000</f>
        <v>37000</v>
      </c>
      <c r="G52" s="171">
        <v>0</v>
      </c>
      <c r="H52" s="171">
        <f t="shared" ref="H52:H58" si="17">+F52-G52</f>
        <v>37000</v>
      </c>
      <c r="I52" s="102">
        <v>1869</v>
      </c>
      <c r="J52" s="103">
        <f t="shared" ref="J52:J58" si="18">+E52*$J$50</f>
        <v>7814.4</v>
      </c>
      <c r="K52" s="172" t="s">
        <v>238</v>
      </c>
    </row>
    <row r="53" spans="2:11" x14ac:dyDescent="0.3">
      <c r="B53" s="12">
        <v>44592</v>
      </c>
      <c r="C53" s="13">
        <v>2119</v>
      </c>
      <c r="D53" s="13">
        <v>2164</v>
      </c>
      <c r="E53" s="170">
        <f t="shared" si="15"/>
        <v>45</v>
      </c>
      <c r="F53" s="171">
        <f t="shared" si="16"/>
        <v>45000</v>
      </c>
      <c r="G53" s="171">
        <v>0</v>
      </c>
      <c r="H53" s="171">
        <f t="shared" si="17"/>
        <v>45000</v>
      </c>
      <c r="I53" s="104">
        <v>1900</v>
      </c>
      <c r="J53" s="103">
        <f t="shared" si="18"/>
        <v>9504</v>
      </c>
      <c r="K53" s="172" t="s">
        <v>239</v>
      </c>
    </row>
    <row r="54" spans="2:11" x14ac:dyDescent="0.3">
      <c r="B54" s="12">
        <v>44599</v>
      </c>
      <c r="C54" s="13">
        <v>2164</v>
      </c>
      <c r="D54" s="13">
        <v>2208</v>
      </c>
      <c r="E54" s="170">
        <f t="shared" si="15"/>
        <v>44</v>
      </c>
      <c r="F54" s="171">
        <f t="shared" si="16"/>
        <v>44000</v>
      </c>
      <c r="G54" s="171">
        <v>0</v>
      </c>
      <c r="H54" s="171">
        <f t="shared" si="17"/>
        <v>44000</v>
      </c>
      <c r="I54" s="104">
        <v>4649</v>
      </c>
      <c r="J54" s="103">
        <f t="shared" si="18"/>
        <v>9292.7999999999993</v>
      </c>
      <c r="K54" s="172" t="s">
        <v>240</v>
      </c>
    </row>
    <row r="55" spans="2:11" x14ac:dyDescent="0.3">
      <c r="B55" s="12">
        <v>44607</v>
      </c>
      <c r="C55" s="13">
        <v>2208</v>
      </c>
      <c r="D55" s="13">
        <v>2241</v>
      </c>
      <c r="E55" s="170">
        <f t="shared" si="15"/>
        <v>33</v>
      </c>
      <c r="F55" s="171">
        <f t="shared" si="16"/>
        <v>33000</v>
      </c>
      <c r="G55" s="171">
        <v>0</v>
      </c>
      <c r="H55" s="171">
        <f t="shared" si="17"/>
        <v>33000</v>
      </c>
      <c r="I55" s="104">
        <v>950</v>
      </c>
      <c r="J55" s="103">
        <f t="shared" si="18"/>
        <v>6969.5999999999995</v>
      </c>
      <c r="K55" s="172" t="s">
        <v>241</v>
      </c>
    </row>
    <row r="56" spans="2:11" x14ac:dyDescent="0.3">
      <c r="B56" s="12"/>
      <c r="C56" s="13"/>
      <c r="D56" s="13"/>
      <c r="E56" s="170">
        <f t="shared" si="15"/>
        <v>0</v>
      </c>
      <c r="F56" s="171">
        <f t="shared" si="16"/>
        <v>0</v>
      </c>
      <c r="G56" s="171">
        <v>0</v>
      </c>
      <c r="H56" s="171">
        <f t="shared" si="17"/>
        <v>0</v>
      </c>
      <c r="I56" s="177"/>
      <c r="J56" s="103">
        <f t="shared" si="18"/>
        <v>0</v>
      </c>
      <c r="K56" s="172"/>
    </row>
    <row r="57" spans="2:11" x14ac:dyDescent="0.3">
      <c r="B57" s="12"/>
      <c r="C57" s="13"/>
      <c r="D57" s="13"/>
      <c r="E57" s="170">
        <f t="shared" si="15"/>
        <v>0</v>
      </c>
      <c r="F57" s="171">
        <f t="shared" si="16"/>
        <v>0</v>
      </c>
      <c r="G57" s="171">
        <v>0</v>
      </c>
      <c r="H57" s="171">
        <f t="shared" si="17"/>
        <v>0</v>
      </c>
      <c r="I57" s="177"/>
      <c r="J57" s="103">
        <f t="shared" si="18"/>
        <v>0</v>
      </c>
      <c r="K57" s="172"/>
    </row>
    <row r="58" spans="2:11" ht="15.75" thickBot="1" x14ac:dyDescent="0.35">
      <c r="B58" s="60"/>
      <c r="C58" s="39"/>
      <c r="D58" s="39"/>
      <c r="E58" s="16">
        <f t="shared" si="15"/>
        <v>0</v>
      </c>
      <c r="F58" s="17">
        <f t="shared" si="16"/>
        <v>0</v>
      </c>
      <c r="G58" s="17">
        <v>0</v>
      </c>
      <c r="H58" s="17">
        <f t="shared" si="17"/>
        <v>0</v>
      </c>
      <c r="I58" s="105"/>
      <c r="J58" s="106">
        <f t="shared" si="18"/>
        <v>0</v>
      </c>
      <c r="K58" s="176"/>
    </row>
    <row r="59" spans="2:11" ht="15.75" thickBot="1" x14ac:dyDescent="0.35">
      <c r="B59" s="15"/>
      <c r="C59" s="16"/>
      <c r="D59" s="16"/>
      <c r="E59" s="16">
        <f t="shared" ref="E59:J59" si="19">SUM(E52:E58)</f>
        <v>159</v>
      </c>
      <c r="F59" s="17">
        <f t="shared" si="19"/>
        <v>159000</v>
      </c>
      <c r="G59" s="17">
        <f t="shared" si="19"/>
        <v>0</v>
      </c>
      <c r="H59" s="17">
        <f t="shared" si="19"/>
        <v>159000</v>
      </c>
      <c r="I59" s="18">
        <f t="shared" si="19"/>
        <v>9368</v>
      </c>
      <c r="J59" s="18">
        <f t="shared" si="19"/>
        <v>33580.800000000003</v>
      </c>
      <c r="K59" s="176">
        <f>+H59*0.6-I59-J59</f>
        <v>52451.199999999997</v>
      </c>
    </row>
    <row r="60" spans="2:11" x14ac:dyDescent="0.3">
      <c r="B60" s="5"/>
      <c r="C60" s="5"/>
      <c r="D60" s="5"/>
      <c r="E60" s="5"/>
      <c r="F60" s="5"/>
      <c r="G60" s="5"/>
      <c r="H60" s="5"/>
      <c r="I60" s="5"/>
      <c r="J60" s="3" t="s">
        <v>182</v>
      </c>
      <c r="K60" s="5"/>
    </row>
    <row r="61" spans="2:11" ht="15.75" thickBot="1" x14ac:dyDescent="0.35">
      <c r="B61" s="5"/>
      <c r="C61" s="5"/>
      <c r="D61" s="5"/>
      <c r="E61" s="5"/>
      <c r="F61" s="5"/>
      <c r="G61" s="5"/>
      <c r="H61" s="5"/>
      <c r="I61" s="5"/>
      <c r="J61" s="6">
        <v>224.19598906107601</v>
      </c>
      <c r="K61" s="5"/>
    </row>
    <row r="62" spans="2:11" ht="15.75" thickBot="1" x14ac:dyDescent="0.25">
      <c r="B62" s="100" t="s">
        <v>142</v>
      </c>
      <c r="C62" s="101" t="s">
        <v>162</v>
      </c>
      <c r="D62" s="8" t="s">
        <v>143</v>
      </c>
      <c r="E62" s="8" t="s">
        <v>144</v>
      </c>
      <c r="F62" s="8" t="s">
        <v>145</v>
      </c>
      <c r="G62" s="8" t="s">
        <v>163</v>
      </c>
      <c r="H62" s="8" t="s">
        <v>164</v>
      </c>
      <c r="I62" s="168" t="s">
        <v>165</v>
      </c>
      <c r="J62" s="9" t="s">
        <v>166</v>
      </c>
      <c r="K62" s="98" t="s">
        <v>146</v>
      </c>
    </row>
    <row r="63" spans="2:11" x14ac:dyDescent="0.3">
      <c r="B63" s="169">
        <v>44610</v>
      </c>
      <c r="C63" s="170">
        <v>2241</v>
      </c>
      <c r="D63" s="170">
        <v>2260</v>
      </c>
      <c r="E63" s="170">
        <f t="shared" ref="E63:E72" si="20">+D63-C63</f>
        <v>19</v>
      </c>
      <c r="F63" s="171">
        <f t="shared" ref="F63:F72" si="21">+E63*1000</f>
        <v>19000</v>
      </c>
      <c r="G63" s="171">
        <v>0</v>
      </c>
      <c r="H63" s="171">
        <f t="shared" ref="H63:H72" si="22">+F63-G63</f>
        <v>19000</v>
      </c>
      <c r="I63" s="102">
        <v>1862</v>
      </c>
      <c r="J63" s="103">
        <f t="shared" ref="J63:J72" si="23">+E63*$J$50</f>
        <v>4012.7999999999997</v>
      </c>
      <c r="K63" s="172" t="s">
        <v>242</v>
      </c>
    </row>
    <row r="64" spans="2:11" x14ac:dyDescent="0.3">
      <c r="B64" s="12">
        <v>44613</v>
      </c>
      <c r="C64" s="13">
        <v>2260</v>
      </c>
      <c r="D64" s="13">
        <v>2284</v>
      </c>
      <c r="E64" s="170">
        <f t="shared" si="20"/>
        <v>24</v>
      </c>
      <c r="F64" s="171">
        <f t="shared" si="21"/>
        <v>24000</v>
      </c>
      <c r="G64" s="171">
        <v>0</v>
      </c>
      <c r="H64" s="171">
        <f t="shared" si="22"/>
        <v>24000</v>
      </c>
      <c r="I64" s="104">
        <v>950</v>
      </c>
      <c r="J64" s="103">
        <f t="shared" si="23"/>
        <v>5068.7999999999993</v>
      </c>
      <c r="K64" s="172" t="s">
        <v>243</v>
      </c>
    </row>
    <row r="65" spans="2:11" x14ac:dyDescent="0.3">
      <c r="B65" s="12">
        <v>44620</v>
      </c>
      <c r="C65" s="13">
        <v>2284</v>
      </c>
      <c r="D65" s="13">
        <v>2335</v>
      </c>
      <c r="E65" s="170">
        <f t="shared" si="20"/>
        <v>51</v>
      </c>
      <c r="F65" s="171">
        <f t="shared" si="21"/>
        <v>51000</v>
      </c>
      <c r="G65" s="171">
        <v>0</v>
      </c>
      <c r="H65" s="171">
        <f t="shared" si="22"/>
        <v>51000</v>
      </c>
      <c r="I65" s="104">
        <v>3726</v>
      </c>
      <c r="J65" s="103">
        <f t="shared" si="23"/>
        <v>10771.199999999999</v>
      </c>
      <c r="K65" s="172" t="s">
        <v>244</v>
      </c>
    </row>
    <row r="66" spans="2:11" x14ac:dyDescent="0.3">
      <c r="B66" s="12">
        <v>44627</v>
      </c>
      <c r="C66" s="13">
        <v>2335</v>
      </c>
      <c r="D66" s="13">
        <v>2386</v>
      </c>
      <c r="E66" s="170">
        <f t="shared" si="20"/>
        <v>51</v>
      </c>
      <c r="F66" s="171">
        <f t="shared" si="21"/>
        <v>51000</v>
      </c>
      <c r="G66" s="171">
        <v>0</v>
      </c>
      <c r="H66" s="171">
        <f t="shared" si="22"/>
        <v>51000</v>
      </c>
      <c r="I66" s="104">
        <v>6804</v>
      </c>
      <c r="J66" s="103">
        <f t="shared" si="23"/>
        <v>10771.199999999999</v>
      </c>
      <c r="K66" s="172" t="s">
        <v>245</v>
      </c>
    </row>
    <row r="67" spans="2:11" x14ac:dyDescent="0.3">
      <c r="B67" s="12">
        <v>44630</v>
      </c>
      <c r="C67" s="13">
        <v>2386</v>
      </c>
      <c r="D67" s="13">
        <v>2399</v>
      </c>
      <c r="E67" s="170">
        <f t="shared" si="20"/>
        <v>13</v>
      </c>
      <c r="F67" s="171">
        <f t="shared" si="21"/>
        <v>13000</v>
      </c>
      <c r="G67" s="171">
        <v>0</v>
      </c>
      <c r="H67" s="171">
        <f t="shared" si="22"/>
        <v>13000</v>
      </c>
      <c r="I67" s="104">
        <v>0</v>
      </c>
      <c r="J67" s="103">
        <f t="shared" si="23"/>
        <v>2745.6</v>
      </c>
      <c r="K67" s="172"/>
    </row>
    <row r="68" spans="2:11" x14ac:dyDescent="0.3">
      <c r="B68" s="12">
        <v>44634</v>
      </c>
      <c r="C68" s="13">
        <v>2399</v>
      </c>
      <c r="D68" s="13">
        <v>2427</v>
      </c>
      <c r="E68" s="170">
        <f t="shared" si="20"/>
        <v>28</v>
      </c>
      <c r="F68" s="171">
        <f t="shared" si="21"/>
        <v>28000</v>
      </c>
      <c r="G68" s="171">
        <v>0</v>
      </c>
      <c r="H68" s="171">
        <f t="shared" si="22"/>
        <v>28000</v>
      </c>
      <c r="I68" s="177">
        <v>1862</v>
      </c>
      <c r="J68" s="103">
        <f t="shared" si="23"/>
        <v>5913.5999999999995</v>
      </c>
      <c r="K68" s="172" t="s">
        <v>246</v>
      </c>
    </row>
    <row r="69" spans="2:11" x14ac:dyDescent="0.3">
      <c r="B69" s="12">
        <v>44636</v>
      </c>
      <c r="C69" s="13">
        <v>2427</v>
      </c>
      <c r="D69" s="13">
        <v>2435</v>
      </c>
      <c r="E69" s="170">
        <f t="shared" si="20"/>
        <v>8</v>
      </c>
      <c r="F69" s="171">
        <f t="shared" si="21"/>
        <v>8000</v>
      </c>
      <c r="G69" s="171">
        <v>0</v>
      </c>
      <c r="H69" s="171">
        <f t="shared" si="22"/>
        <v>8000</v>
      </c>
      <c r="I69" s="177">
        <v>0</v>
      </c>
      <c r="J69" s="103">
        <f t="shared" si="23"/>
        <v>1689.6</v>
      </c>
      <c r="K69" s="172"/>
    </row>
    <row r="70" spans="2:11" x14ac:dyDescent="0.3">
      <c r="B70" s="12"/>
      <c r="C70" s="13"/>
      <c r="D70" s="13"/>
      <c r="E70" s="170">
        <f t="shared" si="20"/>
        <v>0</v>
      </c>
      <c r="F70" s="171">
        <f t="shared" si="21"/>
        <v>0</v>
      </c>
      <c r="G70" s="171">
        <v>0</v>
      </c>
      <c r="H70" s="171">
        <f t="shared" si="22"/>
        <v>0</v>
      </c>
      <c r="I70" s="177"/>
      <c r="J70" s="103">
        <f t="shared" si="23"/>
        <v>0</v>
      </c>
      <c r="K70" s="172"/>
    </row>
    <row r="71" spans="2:11" x14ac:dyDescent="0.3">
      <c r="B71" s="12"/>
      <c r="C71" s="13"/>
      <c r="D71" s="13"/>
      <c r="E71" s="170">
        <f t="shared" si="20"/>
        <v>0</v>
      </c>
      <c r="F71" s="171">
        <f t="shared" si="21"/>
        <v>0</v>
      </c>
      <c r="G71" s="171">
        <v>0</v>
      </c>
      <c r="H71" s="171">
        <f t="shared" si="22"/>
        <v>0</v>
      </c>
      <c r="I71" s="177"/>
      <c r="J71" s="103">
        <f t="shared" si="23"/>
        <v>0</v>
      </c>
      <c r="K71" s="172"/>
    </row>
    <row r="72" spans="2:11" ht="15.75" thickBot="1" x14ac:dyDescent="0.35">
      <c r="B72" s="60"/>
      <c r="C72" s="39"/>
      <c r="D72" s="39"/>
      <c r="E72" s="16">
        <f t="shared" si="20"/>
        <v>0</v>
      </c>
      <c r="F72" s="17">
        <f t="shared" si="21"/>
        <v>0</v>
      </c>
      <c r="G72" s="17">
        <v>0</v>
      </c>
      <c r="H72" s="17">
        <f t="shared" si="22"/>
        <v>0</v>
      </c>
      <c r="I72" s="105"/>
      <c r="J72" s="106">
        <f t="shared" si="23"/>
        <v>0</v>
      </c>
      <c r="K72" s="176"/>
    </row>
    <row r="73" spans="2:11" ht="15.75" thickBot="1" x14ac:dyDescent="0.35">
      <c r="B73" s="15"/>
      <c r="C73" s="16"/>
      <c r="D73" s="16"/>
      <c r="E73" s="16">
        <f t="shared" ref="E73:J73" si="24">SUM(E63:E72)</f>
        <v>194</v>
      </c>
      <c r="F73" s="17">
        <f t="shared" si="24"/>
        <v>194000</v>
      </c>
      <c r="G73" s="17">
        <f t="shared" si="24"/>
        <v>0</v>
      </c>
      <c r="H73" s="17">
        <f t="shared" si="24"/>
        <v>194000</v>
      </c>
      <c r="I73" s="18">
        <f t="shared" si="24"/>
        <v>15204</v>
      </c>
      <c r="J73" s="18">
        <f t="shared" si="24"/>
        <v>40972.799999999988</v>
      </c>
      <c r="K73" s="176">
        <f>+H73*0.6-I73-J73</f>
        <v>60223.200000000012</v>
      </c>
    </row>
    <row r="74" spans="2:11" x14ac:dyDescent="0.3">
      <c r="B74" s="5"/>
      <c r="C74" s="5"/>
      <c r="D74" s="5"/>
      <c r="E74" s="5"/>
      <c r="F74" s="5"/>
      <c r="G74" s="5"/>
      <c r="H74" s="5"/>
      <c r="I74" s="5"/>
      <c r="J74" s="3" t="s">
        <v>182</v>
      </c>
      <c r="K74" s="5"/>
    </row>
    <row r="75" spans="2:11" ht="15.75" thickBot="1" x14ac:dyDescent="0.35">
      <c r="B75" s="5"/>
      <c r="C75" s="5"/>
      <c r="D75" s="5"/>
      <c r="E75" s="5"/>
      <c r="F75" s="5"/>
      <c r="G75" s="5"/>
      <c r="H75" s="5"/>
      <c r="I75" s="5"/>
      <c r="J75" s="6">
        <v>224.19598906107601</v>
      </c>
      <c r="K75" s="5"/>
    </row>
    <row r="76" spans="2:11" ht="15.75" thickBot="1" x14ac:dyDescent="0.25">
      <c r="B76" s="100" t="s">
        <v>142</v>
      </c>
      <c r="C76" s="101" t="s">
        <v>162</v>
      </c>
      <c r="D76" s="8" t="s">
        <v>143</v>
      </c>
      <c r="E76" s="8" t="s">
        <v>144</v>
      </c>
      <c r="F76" s="8" t="s">
        <v>145</v>
      </c>
      <c r="G76" s="8" t="s">
        <v>163</v>
      </c>
      <c r="H76" s="8" t="s">
        <v>164</v>
      </c>
      <c r="I76" s="168" t="s">
        <v>165</v>
      </c>
      <c r="J76" s="9" t="s">
        <v>166</v>
      </c>
      <c r="K76" s="98" t="s">
        <v>146</v>
      </c>
    </row>
    <row r="77" spans="2:11" x14ac:dyDescent="0.3">
      <c r="B77" s="169">
        <v>44643</v>
      </c>
      <c r="C77" s="170">
        <v>2435</v>
      </c>
      <c r="D77" s="170">
        <v>2480</v>
      </c>
      <c r="E77" s="170">
        <f t="shared" ref="E77:E87" si="25">+D77-C77</f>
        <v>45</v>
      </c>
      <c r="F77" s="171">
        <f t="shared" ref="F77:F87" si="26">+E77*1000</f>
        <v>45000</v>
      </c>
      <c r="G77" s="171">
        <v>0</v>
      </c>
      <c r="H77" s="171">
        <f t="shared" ref="H77:H87" si="27">+F77-G77</f>
        <v>45000</v>
      </c>
      <c r="I77" s="102">
        <v>3648</v>
      </c>
      <c r="J77" s="103">
        <f t="shared" ref="J77:J87" si="28">+E77*$J$50</f>
        <v>9504</v>
      </c>
      <c r="K77" s="172" t="s">
        <v>247</v>
      </c>
    </row>
    <row r="78" spans="2:11" x14ac:dyDescent="0.3">
      <c r="B78" s="12">
        <v>44648</v>
      </c>
      <c r="C78" s="13">
        <v>2480</v>
      </c>
      <c r="D78" s="13">
        <v>2516</v>
      </c>
      <c r="E78" s="170">
        <f t="shared" si="25"/>
        <v>36</v>
      </c>
      <c r="F78" s="171">
        <f t="shared" si="26"/>
        <v>36000</v>
      </c>
      <c r="G78" s="171">
        <v>0</v>
      </c>
      <c r="H78" s="171">
        <f t="shared" si="27"/>
        <v>36000</v>
      </c>
      <c r="I78" s="104">
        <v>1824</v>
      </c>
      <c r="J78" s="103">
        <f t="shared" si="28"/>
        <v>7603.2</v>
      </c>
      <c r="K78" s="172" t="s">
        <v>185</v>
      </c>
    </row>
    <row r="79" spans="2:11" x14ac:dyDescent="0.3">
      <c r="B79" s="12">
        <v>44652</v>
      </c>
      <c r="C79" s="13">
        <v>2516</v>
      </c>
      <c r="D79" s="13">
        <v>2537</v>
      </c>
      <c r="E79" s="170">
        <f t="shared" si="25"/>
        <v>21</v>
      </c>
      <c r="F79" s="171">
        <f t="shared" si="26"/>
        <v>21000</v>
      </c>
      <c r="G79" s="171">
        <v>0</v>
      </c>
      <c r="H79" s="171">
        <f t="shared" si="27"/>
        <v>21000</v>
      </c>
      <c r="I79" s="104">
        <v>1824</v>
      </c>
      <c r="J79" s="103">
        <f t="shared" si="28"/>
        <v>4435.2</v>
      </c>
      <c r="K79" s="172" t="s">
        <v>248</v>
      </c>
    </row>
    <row r="80" spans="2:11" x14ac:dyDescent="0.3">
      <c r="B80" s="12">
        <v>44656</v>
      </c>
      <c r="C80" s="13">
        <v>2537</v>
      </c>
      <c r="D80" s="13">
        <v>2550</v>
      </c>
      <c r="E80" s="170">
        <f t="shared" si="25"/>
        <v>13</v>
      </c>
      <c r="F80" s="171">
        <f t="shared" si="26"/>
        <v>13000</v>
      </c>
      <c r="G80" s="171">
        <v>0</v>
      </c>
      <c r="H80" s="171">
        <f t="shared" si="27"/>
        <v>13000</v>
      </c>
      <c r="I80" s="104">
        <v>0</v>
      </c>
      <c r="J80" s="103">
        <f t="shared" si="28"/>
        <v>2745.6</v>
      </c>
      <c r="K80" s="172"/>
    </row>
    <row r="81" spans="2:11" x14ac:dyDescent="0.3">
      <c r="B81" s="12">
        <v>44659</v>
      </c>
      <c r="C81" s="13">
        <v>2550</v>
      </c>
      <c r="D81" s="13">
        <v>2563</v>
      </c>
      <c r="E81" s="170">
        <f t="shared" si="25"/>
        <v>13</v>
      </c>
      <c r="F81" s="171">
        <f t="shared" si="26"/>
        <v>13000</v>
      </c>
      <c r="G81" s="171">
        <v>0</v>
      </c>
      <c r="H81" s="171">
        <f t="shared" si="27"/>
        <v>13000</v>
      </c>
      <c r="I81" s="104">
        <v>0</v>
      </c>
      <c r="J81" s="103">
        <f t="shared" si="28"/>
        <v>2745.6</v>
      </c>
      <c r="K81" s="172"/>
    </row>
    <row r="82" spans="2:11" x14ac:dyDescent="0.3">
      <c r="B82" s="12">
        <v>44666</v>
      </c>
      <c r="C82" s="13">
        <v>2563</v>
      </c>
      <c r="D82" s="13">
        <v>2578</v>
      </c>
      <c r="E82" s="170">
        <f t="shared" si="25"/>
        <v>15</v>
      </c>
      <c r="F82" s="171">
        <f t="shared" si="26"/>
        <v>15000</v>
      </c>
      <c r="G82" s="171">
        <v>0</v>
      </c>
      <c r="H82" s="171">
        <f t="shared" si="27"/>
        <v>15000</v>
      </c>
      <c r="I82" s="177">
        <v>924</v>
      </c>
      <c r="J82" s="103">
        <f t="shared" si="28"/>
        <v>3168</v>
      </c>
      <c r="K82" s="172" t="s">
        <v>249</v>
      </c>
    </row>
    <row r="83" spans="2:11" x14ac:dyDescent="0.3">
      <c r="B83" s="12">
        <v>44669</v>
      </c>
      <c r="C83" s="13">
        <v>2578</v>
      </c>
      <c r="D83" s="13">
        <v>2610</v>
      </c>
      <c r="E83" s="170">
        <f t="shared" si="25"/>
        <v>32</v>
      </c>
      <c r="F83" s="171">
        <f t="shared" si="26"/>
        <v>32000</v>
      </c>
      <c r="G83" s="171">
        <v>0</v>
      </c>
      <c r="H83" s="171">
        <f t="shared" si="27"/>
        <v>32000</v>
      </c>
      <c r="I83" s="177">
        <v>2736</v>
      </c>
      <c r="J83" s="103">
        <f t="shared" si="28"/>
        <v>6758.4</v>
      </c>
      <c r="K83" s="172" t="s">
        <v>250</v>
      </c>
    </row>
    <row r="84" spans="2:11" x14ac:dyDescent="0.3">
      <c r="B84" s="12">
        <v>44671</v>
      </c>
      <c r="C84" s="13">
        <v>2610</v>
      </c>
      <c r="D84" s="13">
        <v>2613</v>
      </c>
      <c r="E84" s="170">
        <f t="shared" si="25"/>
        <v>3</v>
      </c>
      <c r="F84" s="171">
        <f t="shared" si="26"/>
        <v>3000</v>
      </c>
      <c r="G84" s="171">
        <v>0</v>
      </c>
      <c r="H84" s="171">
        <f t="shared" si="27"/>
        <v>3000</v>
      </c>
      <c r="I84" s="177">
        <v>0</v>
      </c>
      <c r="J84" s="103">
        <f t="shared" si="28"/>
        <v>633.59999999999991</v>
      </c>
      <c r="K84" s="172"/>
    </row>
    <row r="85" spans="2:11" x14ac:dyDescent="0.3">
      <c r="B85" s="12"/>
      <c r="C85" s="13"/>
      <c r="D85" s="13"/>
      <c r="E85" s="170">
        <f t="shared" si="25"/>
        <v>0</v>
      </c>
      <c r="F85" s="171">
        <f t="shared" si="26"/>
        <v>0</v>
      </c>
      <c r="G85" s="171">
        <v>0</v>
      </c>
      <c r="H85" s="171">
        <f t="shared" si="27"/>
        <v>0</v>
      </c>
      <c r="I85" s="177"/>
      <c r="J85" s="103">
        <f t="shared" si="28"/>
        <v>0</v>
      </c>
      <c r="K85" s="172"/>
    </row>
    <row r="86" spans="2:11" x14ac:dyDescent="0.3">
      <c r="B86" s="12"/>
      <c r="C86" s="13"/>
      <c r="D86" s="13"/>
      <c r="E86" s="170">
        <f t="shared" si="25"/>
        <v>0</v>
      </c>
      <c r="F86" s="171">
        <f t="shared" si="26"/>
        <v>0</v>
      </c>
      <c r="G86" s="171">
        <v>0</v>
      </c>
      <c r="H86" s="171">
        <f t="shared" si="27"/>
        <v>0</v>
      </c>
      <c r="I86" s="177"/>
      <c r="J86" s="103">
        <f t="shared" si="28"/>
        <v>0</v>
      </c>
      <c r="K86" s="172"/>
    </row>
    <row r="87" spans="2:11" ht="15.75" thickBot="1" x14ac:dyDescent="0.35">
      <c r="B87" s="60"/>
      <c r="C87" s="39"/>
      <c r="D87" s="39"/>
      <c r="E87" s="16">
        <f t="shared" si="25"/>
        <v>0</v>
      </c>
      <c r="F87" s="17">
        <f t="shared" si="26"/>
        <v>0</v>
      </c>
      <c r="G87" s="17">
        <v>0</v>
      </c>
      <c r="H87" s="17">
        <f t="shared" si="27"/>
        <v>0</v>
      </c>
      <c r="I87" s="105"/>
      <c r="J87" s="106">
        <f t="shared" si="28"/>
        <v>0</v>
      </c>
      <c r="K87" s="176"/>
    </row>
    <row r="88" spans="2:11" ht="15.75" thickBot="1" x14ac:dyDescent="0.35">
      <c r="B88" s="15"/>
      <c r="C88" s="16"/>
      <c r="D88" s="16"/>
      <c r="E88" s="16">
        <f t="shared" ref="E88:J88" si="29">SUM(E77:E87)</f>
        <v>178</v>
      </c>
      <c r="F88" s="17">
        <f t="shared" si="29"/>
        <v>178000</v>
      </c>
      <c r="G88" s="17">
        <f t="shared" si="29"/>
        <v>0</v>
      </c>
      <c r="H88" s="17">
        <f t="shared" si="29"/>
        <v>178000</v>
      </c>
      <c r="I88" s="18">
        <f t="shared" si="29"/>
        <v>10956</v>
      </c>
      <c r="J88" s="18">
        <f t="shared" si="29"/>
        <v>37593.599999999999</v>
      </c>
      <c r="K88" s="176">
        <f>+H88*0.6-I88-J88</f>
        <v>58250.400000000001</v>
      </c>
    </row>
    <row r="89" spans="2:11" x14ac:dyDescent="0.3">
      <c r="B89" s="5"/>
      <c r="C89" s="5"/>
      <c r="D89" s="5"/>
      <c r="E89" s="5"/>
      <c r="F89" s="5"/>
      <c r="G89" s="5"/>
      <c r="H89" s="5"/>
      <c r="I89" s="5"/>
      <c r="J89" s="3" t="s">
        <v>182</v>
      </c>
      <c r="K89" s="5"/>
    </row>
    <row r="90" spans="2:11" ht="15.75" thickBot="1" x14ac:dyDescent="0.35">
      <c r="B90" s="5"/>
      <c r="C90" s="5"/>
      <c r="D90" s="5"/>
      <c r="E90" s="5"/>
      <c r="F90" s="5"/>
      <c r="G90" s="5"/>
      <c r="H90" s="5"/>
      <c r="I90" s="5"/>
      <c r="J90" s="6">
        <v>224.19598906107601</v>
      </c>
      <c r="K90" s="5"/>
    </row>
    <row r="91" spans="2:11" ht="15.75" thickBot="1" x14ac:dyDescent="0.25">
      <c r="B91" s="100" t="s">
        <v>142</v>
      </c>
      <c r="C91" s="101" t="s">
        <v>162</v>
      </c>
      <c r="D91" s="8" t="s">
        <v>143</v>
      </c>
      <c r="E91" s="8" t="s">
        <v>144</v>
      </c>
      <c r="F91" s="8" t="s">
        <v>145</v>
      </c>
      <c r="G91" s="8" t="s">
        <v>163</v>
      </c>
      <c r="H91" s="8" t="s">
        <v>164</v>
      </c>
      <c r="I91" s="168" t="s">
        <v>165</v>
      </c>
      <c r="J91" s="9" t="s">
        <v>166</v>
      </c>
      <c r="K91" s="98" t="s">
        <v>146</v>
      </c>
    </row>
    <row r="92" spans="2:11" x14ac:dyDescent="0.3">
      <c r="B92" s="169">
        <v>44677</v>
      </c>
      <c r="C92" s="170">
        <v>2613</v>
      </c>
      <c r="D92" s="170">
        <v>2653</v>
      </c>
      <c r="E92" s="170">
        <f t="shared" ref="E92:E99" si="30">+D92-C92</f>
        <v>40</v>
      </c>
      <c r="F92" s="171">
        <f t="shared" ref="F92:F99" si="31">+E92*1000</f>
        <v>40000</v>
      </c>
      <c r="G92" s="171">
        <v>0</v>
      </c>
      <c r="H92" s="171">
        <f t="shared" ref="H92:H99" si="32">+F92-G92</f>
        <v>40000</v>
      </c>
      <c r="I92" s="102">
        <v>2763</v>
      </c>
      <c r="J92" s="103">
        <f t="shared" ref="J92:J99" si="33">+E92*$J$50</f>
        <v>8448</v>
      </c>
      <c r="K92" s="172" t="s">
        <v>251</v>
      </c>
    </row>
    <row r="93" spans="2:11" x14ac:dyDescent="0.3">
      <c r="B93" s="12">
        <v>44680</v>
      </c>
      <c r="C93" s="13">
        <v>2653</v>
      </c>
      <c r="D93" s="13">
        <v>2665</v>
      </c>
      <c r="E93" s="170">
        <f t="shared" si="30"/>
        <v>12</v>
      </c>
      <c r="F93" s="171">
        <f t="shared" si="31"/>
        <v>12000</v>
      </c>
      <c r="G93" s="171">
        <v>0</v>
      </c>
      <c r="H93" s="171">
        <f t="shared" si="32"/>
        <v>12000</v>
      </c>
      <c r="I93" s="104">
        <v>912</v>
      </c>
      <c r="J93" s="103">
        <f t="shared" si="33"/>
        <v>2534.3999999999996</v>
      </c>
      <c r="K93" s="172" t="s">
        <v>252</v>
      </c>
    </row>
    <row r="94" spans="2:11" x14ac:dyDescent="0.3">
      <c r="B94" s="12">
        <v>44683</v>
      </c>
      <c r="C94" s="13">
        <v>2665</v>
      </c>
      <c r="D94" s="13">
        <v>2696</v>
      </c>
      <c r="E94" s="170">
        <f t="shared" si="30"/>
        <v>31</v>
      </c>
      <c r="F94" s="171">
        <f t="shared" si="31"/>
        <v>31000</v>
      </c>
      <c r="G94" s="171">
        <v>0</v>
      </c>
      <c r="H94" s="171">
        <f t="shared" si="32"/>
        <v>31000</v>
      </c>
      <c r="I94" s="104">
        <v>1842</v>
      </c>
      <c r="J94" s="103">
        <f t="shared" si="33"/>
        <v>6547.2</v>
      </c>
      <c r="K94" s="172" t="s">
        <v>253</v>
      </c>
    </row>
    <row r="95" spans="2:11" x14ac:dyDescent="0.3">
      <c r="B95" s="12">
        <v>44685</v>
      </c>
      <c r="C95" s="13">
        <v>2696</v>
      </c>
      <c r="D95" s="13">
        <v>2707</v>
      </c>
      <c r="E95" s="170">
        <f t="shared" si="30"/>
        <v>11</v>
      </c>
      <c r="F95" s="171">
        <f t="shared" si="31"/>
        <v>11000</v>
      </c>
      <c r="G95" s="171">
        <v>0</v>
      </c>
      <c r="H95" s="171">
        <f t="shared" si="32"/>
        <v>11000</v>
      </c>
      <c r="I95" s="104">
        <v>944</v>
      </c>
      <c r="J95" s="103">
        <f t="shared" si="33"/>
        <v>2323.1999999999998</v>
      </c>
      <c r="K95" s="172" t="s">
        <v>254</v>
      </c>
    </row>
    <row r="96" spans="2:11" x14ac:dyDescent="0.3">
      <c r="B96" s="12">
        <v>44688</v>
      </c>
      <c r="C96" s="13">
        <v>2707</v>
      </c>
      <c r="D96" s="13">
        <v>2735</v>
      </c>
      <c r="E96" s="170">
        <f t="shared" si="30"/>
        <v>28</v>
      </c>
      <c r="F96" s="171">
        <f t="shared" si="31"/>
        <v>28000</v>
      </c>
      <c r="G96" s="171">
        <v>0</v>
      </c>
      <c r="H96" s="171">
        <f t="shared" si="32"/>
        <v>28000</v>
      </c>
      <c r="I96" s="104">
        <v>2763</v>
      </c>
      <c r="J96" s="103">
        <f t="shared" si="33"/>
        <v>5913.5999999999995</v>
      </c>
      <c r="K96" s="172" t="s">
        <v>255</v>
      </c>
    </row>
    <row r="97" spans="2:11" x14ac:dyDescent="0.3">
      <c r="B97" s="12">
        <v>44693</v>
      </c>
      <c r="C97" s="13">
        <v>2735</v>
      </c>
      <c r="D97" s="13">
        <v>2768</v>
      </c>
      <c r="E97" s="170">
        <f t="shared" si="30"/>
        <v>33</v>
      </c>
      <c r="F97" s="171">
        <f t="shared" si="31"/>
        <v>33000</v>
      </c>
      <c r="G97" s="171">
        <v>0</v>
      </c>
      <c r="H97" s="171">
        <f t="shared" si="32"/>
        <v>33000</v>
      </c>
      <c r="I97" s="177">
        <v>3684</v>
      </c>
      <c r="J97" s="103">
        <f t="shared" si="33"/>
        <v>6969.5999999999995</v>
      </c>
      <c r="K97" s="172" t="s">
        <v>256</v>
      </c>
    </row>
    <row r="98" spans="2:11" x14ac:dyDescent="0.3">
      <c r="B98" s="12">
        <v>44701</v>
      </c>
      <c r="C98" s="13">
        <v>2768</v>
      </c>
      <c r="D98" s="13">
        <v>2836</v>
      </c>
      <c r="E98" s="170">
        <f t="shared" si="30"/>
        <v>68</v>
      </c>
      <c r="F98" s="171">
        <f t="shared" si="31"/>
        <v>68000</v>
      </c>
      <c r="G98" s="171">
        <v>0</v>
      </c>
      <c r="H98" s="171">
        <f t="shared" si="32"/>
        <v>68000</v>
      </c>
      <c r="I98" s="177">
        <v>5544</v>
      </c>
      <c r="J98" s="103">
        <f t="shared" si="33"/>
        <v>14361.599999999999</v>
      </c>
      <c r="K98" s="172" t="s">
        <v>257</v>
      </c>
    </row>
    <row r="99" spans="2:11" ht="15.75" thickBot="1" x14ac:dyDescent="0.35">
      <c r="B99" s="60"/>
      <c r="C99" s="39"/>
      <c r="D99" s="39"/>
      <c r="E99" s="16">
        <f t="shared" si="30"/>
        <v>0</v>
      </c>
      <c r="F99" s="17">
        <f t="shared" si="31"/>
        <v>0</v>
      </c>
      <c r="G99" s="17">
        <v>0</v>
      </c>
      <c r="H99" s="17">
        <f t="shared" si="32"/>
        <v>0</v>
      </c>
      <c r="I99" s="105"/>
      <c r="J99" s="106">
        <f t="shared" si="33"/>
        <v>0</v>
      </c>
      <c r="K99" s="176"/>
    </row>
    <row r="100" spans="2:11" ht="15.75" thickBot="1" x14ac:dyDescent="0.35">
      <c r="B100" s="15"/>
      <c r="C100" s="16"/>
      <c r="D100" s="16"/>
      <c r="E100" s="16">
        <f t="shared" ref="E100:J100" si="34">SUM(E92:E99)</f>
        <v>223</v>
      </c>
      <c r="F100" s="17">
        <f t="shared" si="34"/>
        <v>223000</v>
      </c>
      <c r="G100" s="17">
        <f t="shared" si="34"/>
        <v>0</v>
      </c>
      <c r="H100" s="17">
        <f t="shared" si="34"/>
        <v>223000</v>
      </c>
      <c r="I100" s="18">
        <f t="shared" si="34"/>
        <v>18452</v>
      </c>
      <c r="J100" s="18">
        <f t="shared" si="34"/>
        <v>47097.599999999991</v>
      </c>
      <c r="K100" s="176">
        <f>+H100*0.6-I100-J100</f>
        <v>68250.400000000009</v>
      </c>
    </row>
    <row r="101" spans="2:11" x14ac:dyDescent="0.3">
      <c r="B101" s="2"/>
      <c r="C101" s="2"/>
      <c r="D101" s="2"/>
      <c r="E101" s="2"/>
      <c r="F101" s="3"/>
      <c r="G101" s="3"/>
      <c r="H101" s="3"/>
      <c r="I101" s="3"/>
      <c r="J101" s="3" t="s">
        <v>182</v>
      </c>
      <c r="K101" s="3"/>
    </row>
    <row r="102" spans="2:11" ht="15.75" thickBot="1" x14ac:dyDescent="0.35">
      <c r="B102" s="5"/>
      <c r="C102" s="5"/>
      <c r="D102" s="5"/>
      <c r="E102" s="5"/>
      <c r="F102" s="5"/>
      <c r="G102" s="5"/>
      <c r="H102" s="5"/>
      <c r="I102" s="5"/>
      <c r="J102" s="6">
        <v>217.6</v>
      </c>
      <c r="K102" s="5"/>
    </row>
    <row r="103" spans="2:11" ht="15.75" thickBot="1" x14ac:dyDescent="0.25">
      <c r="B103" s="7" t="s">
        <v>142</v>
      </c>
      <c r="C103" s="8" t="s">
        <v>162</v>
      </c>
      <c r="D103" s="8" t="s">
        <v>143</v>
      </c>
      <c r="E103" s="8" t="s">
        <v>144</v>
      </c>
      <c r="F103" s="8" t="s">
        <v>145</v>
      </c>
      <c r="G103" s="8" t="s">
        <v>163</v>
      </c>
      <c r="H103" s="8" t="s">
        <v>164</v>
      </c>
      <c r="I103" s="168" t="s">
        <v>165</v>
      </c>
      <c r="J103" s="9" t="s">
        <v>166</v>
      </c>
      <c r="K103" s="98" t="s">
        <v>146</v>
      </c>
    </row>
    <row r="104" spans="2:11" x14ac:dyDescent="0.3">
      <c r="B104" s="169">
        <v>44708</v>
      </c>
      <c r="C104" s="170">
        <v>2836</v>
      </c>
      <c r="D104" s="170">
        <v>2891</v>
      </c>
      <c r="E104" s="170">
        <f t="shared" ref="E104:E109" si="35">+D104-C104</f>
        <v>55</v>
      </c>
      <c r="F104" s="171">
        <f t="shared" ref="F104:F109" si="36">+E104*1000</f>
        <v>55000</v>
      </c>
      <c r="G104" s="171">
        <v>0</v>
      </c>
      <c r="H104" s="171">
        <f t="shared" ref="H104:H109" si="37">+F104-G104</f>
        <v>55000</v>
      </c>
      <c r="I104" s="10">
        <v>2772</v>
      </c>
      <c r="J104" s="174">
        <f t="shared" ref="J104:J109" si="38">+E104*$J$102</f>
        <v>11968</v>
      </c>
      <c r="K104" s="172" t="s">
        <v>258</v>
      </c>
    </row>
    <row r="105" spans="2:11" x14ac:dyDescent="0.3">
      <c r="B105" s="12">
        <v>44715</v>
      </c>
      <c r="C105" s="13">
        <v>2891</v>
      </c>
      <c r="D105" s="13">
        <v>2947</v>
      </c>
      <c r="E105" s="170">
        <f t="shared" si="35"/>
        <v>56</v>
      </c>
      <c r="F105" s="171">
        <f t="shared" si="36"/>
        <v>56000</v>
      </c>
      <c r="G105" s="171">
        <v>0</v>
      </c>
      <c r="H105" s="171">
        <f t="shared" si="37"/>
        <v>56000</v>
      </c>
      <c r="I105" s="33">
        <v>4650</v>
      </c>
      <c r="J105" s="174">
        <f t="shared" si="38"/>
        <v>12185.6</v>
      </c>
      <c r="K105" s="172" t="s">
        <v>259</v>
      </c>
    </row>
    <row r="106" spans="2:11" x14ac:dyDescent="0.3">
      <c r="B106" s="12">
        <v>44721</v>
      </c>
      <c r="C106" s="13">
        <v>2947</v>
      </c>
      <c r="D106" s="13">
        <v>2987</v>
      </c>
      <c r="E106" s="170">
        <f t="shared" si="35"/>
        <v>40</v>
      </c>
      <c r="F106" s="171">
        <f t="shared" si="36"/>
        <v>40000</v>
      </c>
      <c r="G106" s="171">
        <v>0</v>
      </c>
      <c r="H106" s="171">
        <f t="shared" si="37"/>
        <v>40000</v>
      </c>
      <c r="I106" s="173">
        <v>2736</v>
      </c>
      <c r="J106" s="174">
        <f t="shared" si="38"/>
        <v>8704</v>
      </c>
      <c r="K106" s="172" t="s">
        <v>260</v>
      </c>
    </row>
    <row r="107" spans="2:11" x14ac:dyDescent="0.3">
      <c r="B107" s="12">
        <v>44729</v>
      </c>
      <c r="C107" s="13">
        <v>2987</v>
      </c>
      <c r="D107" s="13">
        <v>3064</v>
      </c>
      <c r="E107" s="170">
        <f t="shared" si="35"/>
        <v>77</v>
      </c>
      <c r="F107" s="171">
        <f t="shared" si="36"/>
        <v>77000</v>
      </c>
      <c r="G107" s="171">
        <v>0</v>
      </c>
      <c r="H107" s="171">
        <f t="shared" si="37"/>
        <v>77000</v>
      </c>
      <c r="I107" s="173">
        <v>6460</v>
      </c>
      <c r="J107" s="174">
        <f t="shared" si="38"/>
        <v>16755.2</v>
      </c>
      <c r="K107" s="172" t="s">
        <v>261</v>
      </c>
    </row>
    <row r="108" spans="2:11" x14ac:dyDescent="0.3">
      <c r="B108" s="12"/>
      <c r="C108" s="13"/>
      <c r="D108" s="13"/>
      <c r="E108" s="170">
        <f t="shared" si="35"/>
        <v>0</v>
      </c>
      <c r="F108" s="171">
        <f t="shared" si="36"/>
        <v>0</v>
      </c>
      <c r="G108" s="171">
        <v>0</v>
      </c>
      <c r="H108" s="171">
        <f t="shared" si="37"/>
        <v>0</v>
      </c>
      <c r="I108" s="173"/>
      <c r="J108" s="174">
        <f t="shared" si="38"/>
        <v>0</v>
      </c>
      <c r="K108" s="172"/>
    </row>
    <row r="109" spans="2:11" ht="15.75" thickBot="1" x14ac:dyDescent="0.35">
      <c r="B109" s="60"/>
      <c r="C109" s="39"/>
      <c r="D109" s="39"/>
      <c r="E109" s="16">
        <f t="shared" si="35"/>
        <v>0</v>
      </c>
      <c r="F109" s="17">
        <f t="shared" si="36"/>
        <v>0</v>
      </c>
      <c r="G109" s="17">
        <v>0</v>
      </c>
      <c r="H109" s="17">
        <f t="shared" si="37"/>
        <v>0</v>
      </c>
      <c r="I109" s="40"/>
      <c r="J109" s="175">
        <f t="shared" si="38"/>
        <v>0</v>
      </c>
      <c r="K109" s="176"/>
    </row>
    <row r="110" spans="2:11" ht="15.75" thickBot="1" x14ac:dyDescent="0.35">
      <c r="B110" s="15"/>
      <c r="C110" s="16"/>
      <c r="D110" s="16"/>
      <c r="E110" s="16">
        <f t="shared" ref="E110:J110" si="39">SUM(E104:E109)</f>
        <v>228</v>
      </c>
      <c r="F110" s="17">
        <f t="shared" si="39"/>
        <v>228000</v>
      </c>
      <c r="G110" s="17">
        <f t="shared" si="39"/>
        <v>0</v>
      </c>
      <c r="H110" s="17">
        <f t="shared" si="39"/>
        <v>228000</v>
      </c>
      <c r="I110" s="18">
        <f t="shared" si="39"/>
        <v>16618</v>
      </c>
      <c r="J110" s="18">
        <f t="shared" si="39"/>
        <v>49612.800000000003</v>
      </c>
      <c r="K110" s="176">
        <f>+H110*0.6-I110-J110-G110</f>
        <v>70569.2</v>
      </c>
    </row>
    <row r="111" spans="2:11" x14ac:dyDescent="0.3">
      <c r="B111" s="2"/>
      <c r="C111" s="2"/>
      <c r="D111" s="2"/>
      <c r="E111" s="2"/>
      <c r="F111" s="3"/>
      <c r="G111" s="3"/>
      <c r="H111" s="3"/>
      <c r="I111" s="3"/>
      <c r="J111" s="3" t="s">
        <v>182</v>
      </c>
      <c r="K111" s="3"/>
    </row>
    <row r="112" spans="2:11" ht="15.75" thickBot="1" x14ac:dyDescent="0.35">
      <c r="B112" s="5"/>
      <c r="C112" s="5"/>
      <c r="D112" s="5"/>
      <c r="E112" s="5"/>
      <c r="F112" s="5"/>
      <c r="G112" s="5"/>
      <c r="H112" s="5"/>
      <c r="I112" s="5"/>
      <c r="J112" s="6">
        <v>234.4</v>
      </c>
      <c r="K112" s="5"/>
    </row>
    <row r="113" spans="2:11" ht="15.75" thickBot="1" x14ac:dyDescent="0.25">
      <c r="B113" s="7" t="s">
        <v>142</v>
      </c>
      <c r="C113" s="8" t="s">
        <v>162</v>
      </c>
      <c r="D113" s="8" t="s">
        <v>143</v>
      </c>
      <c r="E113" s="8" t="s">
        <v>144</v>
      </c>
      <c r="F113" s="8" t="s">
        <v>145</v>
      </c>
      <c r="G113" s="8" t="s">
        <v>163</v>
      </c>
      <c r="H113" s="8" t="s">
        <v>164</v>
      </c>
      <c r="I113" s="168" t="s">
        <v>165</v>
      </c>
      <c r="J113" s="9" t="s">
        <v>166</v>
      </c>
      <c r="K113" s="98" t="s">
        <v>146</v>
      </c>
    </row>
    <row r="114" spans="2:11" x14ac:dyDescent="0.3">
      <c r="B114" s="169">
        <v>44736</v>
      </c>
      <c r="C114" s="170">
        <v>3064</v>
      </c>
      <c r="D114" s="170">
        <v>3096</v>
      </c>
      <c r="E114" s="170">
        <f t="shared" ref="E114:E119" si="40">+D114-C114</f>
        <v>32</v>
      </c>
      <c r="F114" s="171">
        <f t="shared" ref="F114:F119" si="41">+E114*1000</f>
        <v>32000</v>
      </c>
      <c r="G114" s="171">
        <v>0</v>
      </c>
      <c r="H114" s="171">
        <f t="shared" ref="H114:H119" si="42">+F114-G114</f>
        <v>32000</v>
      </c>
      <c r="I114" s="10">
        <v>3696</v>
      </c>
      <c r="J114" s="174">
        <f t="shared" ref="J114:J119" si="43">+E114*$J$112</f>
        <v>7500.8</v>
      </c>
      <c r="K114" s="172" t="s">
        <v>262</v>
      </c>
    </row>
    <row r="115" spans="2:11" x14ac:dyDescent="0.3">
      <c r="B115" s="12">
        <v>44740</v>
      </c>
      <c r="C115" s="13">
        <v>3096</v>
      </c>
      <c r="D115" s="13">
        <v>3144</v>
      </c>
      <c r="E115" s="170">
        <f t="shared" si="40"/>
        <v>48</v>
      </c>
      <c r="F115" s="171">
        <f t="shared" si="41"/>
        <v>48000</v>
      </c>
      <c r="G115" s="171">
        <v>0</v>
      </c>
      <c r="H115" s="171">
        <f t="shared" si="42"/>
        <v>48000</v>
      </c>
      <c r="I115" s="33">
        <v>1832</v>
      </c>
      <c r="J115" s="174">
        <f t="shared" si="43"/>
        <v>11251.2</v>
      </c>
      <c r="K115" s="172" t="s">
        <v>263</v>
      </c>
    </row>
    <row r="116" spans="2:11" x14ac:dyDescent="0.3">
      <c r="B116" s="12">
        <v>44746</v>
      </c>
      <c r="C116" s="13">
        <v>3144</v>
      </c>
      <c r="D116" s="13">
        <v>3175</v>
      </c>
      <c r="E116" s="170">
        <f t="shared" si="40"/>
        <v>31</v>
      </c>
      <c r="F116" s="171">
        <f t="shared" si="41"/>
        <v>31000</v>
      </c>
      <c r="G116" s="171">
        <v>0</v>
      </c>
      <c r="H116" s="171">
        <f t="shared" si="42"/>
        <v>31000</v>
      </c>
      <c r="I116" s="173">
        <v>1848</v>
      </c>
      <c r="J116" s="174">
        <f t="shared" si="43"/>
        <v>7266.4000000000005</v>
      </c>
      <c r="K116" s="172" t="s">
        <v>264</v>
      </c>
    </row>
    <row r="117" spans="2:11" x14ac:dyDescent="0.3">
      <c r="B117" s="12">
        <v>44753</v>
      </c>
      <c r="C117" s="13">
        <v>3175</v>
      </c>
      <c r="D117" s="13">
        <v>3207</v>
      </c>
      <c r="E117" s="170">
        <f t="shared" si="40"/>
        <v>32</v>
      </c>
      <c r="F117" s="171">
        <f t="shared" si="41"/>
        <v>32000</v>
      </c>
      <c r="G117" s="171">
        <v>0</v>
      </c>
      <c r="H117" s="171">
        <f t="shared" si="42"/>
        <v>32000</v>
      </c>
      <c r="I117" s="173">
        <v>0</v>
      </c>
      <c r="J117" s="174">
        <f t="shared" si="43"/>
        <v>7500.8</v>
      </c>
      <c r="K117" s="172"/>
    </row>
    <row r="118" spans="2:11" x14ac:dyDescent="0.3">
      <c r="B118" s="12">
        <v>44761</v>
      </c>
      <c r="C118" s="13">
        <v>3207</v>
      </c>
      <c r="D118" s="13">
        <v>3252</v>
      </c>
      <c r="E118" s="170">
        <f t="shared" si="40"/>
        <v>45</v>
      </c>
      <c r="F118" s="171">
        <f t="shared" si="41"/>
        <v>45000</v>
      </c>
      <c r="G118" s="171">
        <v>0</v>
      </c>
      <c r="H118" s="171">
        <f t="shared" si="42"/>
        <v>45000</v>
      </c>
      <c r="I118" s="173">
        <v>2850</v>
      </c>
      <c r="J118" s="174">
        <f t="shared" si="43"/>
        <v>10548</v>
      </c>
      <c r="K118" s="172" t="s">
        <v>265</v>
      </c>
    </row>
    <row r="119" spans="2:11" ht="15.75" thickBot="1" x14ac:dyDescent="0.35">
      <c r="B119" s="60"/>
      <c r="C119" s="39"/>
      <c r="D119" s="39"/>
      <c r="E119" s="16">
        <f t="shared" si="40"/>
        <v>0</v>
      </c>
      <c r="F119" s="17">
        <f t="shared" si="41"/>
        <v>0</v>
      </c>
      <c r="G119" s="17">
        <v>0</v>
      </c>
      <c r="H119" s="17">
        <f t="shared" si="42"/>
        <v>0</v>
      </c>
      <c r="I119" s="40"/>
      <c r="J119" s="175">
        <f t="shared" si="43"/>
        <v>0</v>
      </c>
      <c r="K119" s="176"/>
    </row>
    <row r="120" spans="2:11" ht="15.75" thickBot="1" x14ac:dyDescent="0.35">
      <c r="B120" s="15"/>
      <c r="C120" s="16"/>
      <c r="D120" s="16"/>
      <c r="E120" s="16">
        <f t="shared" ref="E120:J120" si="44">SUM(E114:E119)</f>
        <v>188</v>
      </c>
      <c r="F120" s="17">
        <f t="shared" si="44"/>
        <v>188000</v>
      </c>
      <c r="G120" s="17">
        <f t="shared" si="44"/>
        <v>0</v>
      </c>
      <c r="H120" s="17">
        <f t="shared" si="44"/>
        <v>188000</v>
      </c>
      <c r="I120" s="18">
        <f t="shared" si="44"/>
        <v>10226</v>
      </c>
      <c r="J120" s="18">
        <f t="shared" si="44"/>
        <v>44067.200000000004</v>
      </c>
      <c r="K120" s="176">
        <f>+H120*0.6-I120-J120-G120</f>
        <v>58506.799999999996</v>
      </c>
    </row>
    <row r="121" spans="2:11" x14ac:dyDescent="0.3">
      <c r="B121" s="2"/>
      <c r="C121" s="2"/>
      <c r="D121" s="2"/>
      <c r="E121" s="2"/>
      <c r="F121" s="3"/>
      <c r="G121" s="3"/>
      <c r="H121" s="3"/>
      <c r="I121" s="3"/>
      <c r="J121" s="3" t="s">
        <v>182</v>
      </c>
      <c r="K121" s="3"/>
    </row>
    <row r="122" spans="2:11" ht="15.75" thickBot="1" x14ac:dyDescent="0.35">
      <c r="B122" s="5"/>
      <c r="C122" s="5"/>
      <c r="D122" s="5"/>
      <c r="E122" s="5"/>
      <c r="F122" s="5"/>
      <c r="G122" s="5"/>
      <c r="H122" s="5"/>
      <c r="I122" s="5"/>
      <c r="J122" s="6">
        <v>234.4</v>
      </c>
      <c r="K122" s="5"/>
    </row>
    <row r="123" spans="2:11" ht="15.75" thickBot="1" x14ac:dyDescent="0.25">
      <c r="B123" s="7" t="s">
        <v>142</v>
      </c>
      <c r="C123" s="8" t="s">
        <v>162</v>
      </c>
      <c r="D123" s="8" t="s">
        <v>143</v>
      </c>
      <c r="E123" s="8" t="s">
        <v>144</v>
      </c>
      <c r="F123" s="8" t="s">
        <v>145</v>
      </c>
      <c r="G123" s="8" t="s">
        <v>163</v>
      </c>
      <c r="H123" s="8" t="s">
        <v>164</v>
      </c>
      <c r="I123" s="168" t="s">
        <v>165</v>
      </c>
      <c r="J123" s="9" t="s">
        <v>166</v>
      </c>
      <c r="K123" s="98" t="s">
        <v>146</v>
      </c>
    </row>
    <row r="124" spans="2:11" x14ac:dyDescent="0.3">
      <c r="B124" s="169">
        <v>44767</v>
      </c>
      <c r="C124" s="170">
        <v>3252</v>
      </c>
      <c r="D124" s="170">
        <v>3308</v>
      </c>
      <c r="E124" s="170">
        <f t="shared" ref="E124:E129" si="45">+D124-C124</f>
        <v>56</v>
      </c>
      <c r="F124" s="171">
        <f t="shared" ref="F124:F129" si="46">+E124*1000</f>
        <v>56000</v>
      </c>
      <c r="G124" s="171">
        <v>0</v>
      </c>
      <c r="H124" s="171">
        <f t="shared" ref="H124:H129" si="47">+F124-G124</f>
        <v>56000</v>
      </c>
      <c r="I124" s="10">
        <v>3700</v>
      </c>
      <c r="J124" s="174">
        <f t="shared" ref="J124:J129" si="48">+E124*$J$122</f>
        <v>13126.4</v>
      </c>
      <c r="K124" s="172" t="s">
        <v>266</v>
      </c>
    </row>
    <row r="125" spans="2:11" x14ac:dyDescent="0.3">
      <c r="B125" s="12">
        <v>44774</v>
      </c>
      <c r="C125" s="13">
        <v>3308</v>
      </c>
      <c r="D125" s="13">
        <v>3373</v>
      </c>
      <c r="E125" s="170">
        <f t="shared" si="45"/>
        <v>65</v>
      </c>
      <c r="F125" s="171">
        <f t="shared" si="46"/>
        <v>65000</v>
      </c>
      <c r="G125" s="171">
        <v>0</v>
      </c>
      <c r="H125" s="171">
        <f t="shared" si="47"/>
        <v>65000</v>
      </c>
      <c r="I125" s="33">
        <v>2910</v>
      </c>
      <c r="J125" s="174">
        <f t="shared" si="48"/>
        <v>15236</v>
      </c>
      <c r="K125" s="172" t="s">
        <v>267</v>
      </c>
    </row>
    <row r="126" spans="2:11" x14ac:dyDescent="0.3">
      <c r="B126" s="12">
        <v>44783</v>
      </c>
      <c r="C126" s="13">
        <v>3373</v>
      </c>
      <c r="D126" s="13">
        <v>3433</v>
      </c>
      <c r="E126" s="170">
        <f t="shared" si="45"/>
        <v>60</v>
      </c>
      <c r="F126" s="171">
        <f t="shared" si="46"/>
        <v>60000</v>
      </c>
      <c r="G126" s="171">
        <v>0</v>
      </c>
      <c r="H126" s="171">
        <f t="shared" si="47"/>
        <v>60000</v>
      </c>
      <c r="I126" s="173">
        <v>3900</v>
      </c>
      <c r="J126" s="174">
        <f t="shared" si="48"/>
        <v>14064</v>
      </c>
      <c r="K126" s="172"/>
    </row>
    <row r="127" spans="2:11" x14ac:dyDescent="0.3">
      <c r="B127" s="12">
        <v>44789</v>
      </c>
      <c r="C127" s="13">
        <v>3433</v>
      </c>
      <c r="D127" s="13">
        <v>3518</v>
      </c>
      <c r="E127" s="170">
        <f t="shared" si="45"/>
        <v>85</v>
      </c>
      <c r="F127" s="171">
        <f t="shared" si="46"/>
        <v>85000</v>
      </c>
      <c r="G127" s="171">
        <v>0</v>
      </c>
      <c r="H127" s="171">
        <f t="shared" si="47"/>
        <v>85000</v>
      </c>
      <c r="I127" s="173">
        <v>5700</v>
      </c>
      <c r="J127" s="174">
        <f t="shared" si="48"/>
        <v>19924</v>
      </c>
      <c r="K127" s="172"/>
    </row>
    <row r="128" spans="2:11" x14ac:dyDescent="0.3">
      <c r="B128" s="12"/>
      <c r="C128" s="13"/>
      <c r="D128" s="13"/>
      <c r="E128" s="170">
        <f t="shared" si="45"/>
        <v>0</v>
      </c>
      <c r="F128" s="171">
        <f t="shared" si="46"/>
        <v>0</v>
      </c>
      <c r="G128" s="171">
        <v>0</v>
      </c>
      <c r="H128" s="171">
        <f t="shared" si="47"/>
        <v>0</v>
      </c>
      <c r="I128" s="173"/>
      <c r="J128" s="174">
        <f t="shared" si="48"/>
        <v>0</v>
      </c>
      <c r="K128" s="172"/>
    </row>
    <row r="129" spans="2:11" ht="15.75" thickBot="1" x14ac:dyDescent="0.35">
      <c r="B129" s="60"/>
      <c r="C129" s="39"/>
      <c r="D129" s="39"/>
      <c r="E129" s="16">
        <f t="shared" si="45"/>
        <v>0</v>
      </c>
      <c r="F129" s="17">
        <f t="shared" si="46"/>
        <v>0</v>
      </c>
      <c r="G129" s="17">
        <v>0</v>
      </c>
      <c r="H129" s="17">
        <f t="shared" si="47"/>
        <v>0</v>
      </c>
      <c r="I129" s="40"/>
      <c r="J129" s="175">
        <f t="shared" si="48"/>
        <v>0</v>
      </c>
      <c r="K129" s="176"/>
    </row>
    <row r="130" spans="2:11" ht="15.75" thickBot="1" x14ac:dyDescent="0.35">
      <c r="B130" s="15"/>
      <c r="C130" s="16"/>
      <c r="D130" s="16"/>
      <c r="E130" s="16">
        <f t="shared" ref="E130:J130" si="49">SUM(E124:E129)</f>
        <v>266</v>
      </c>
      <c r="F130" s="17">
        <f t="shared" si="49"/>
        <v>266000</v>
      </c>
      <c r="G130" s="17">
        <f t="shared" si="49"/>
        <v>0</v>
      </c>
      <c r="H130" s="17">
        <f t="shared" si="49"/>
        <v>266000</v>
      </c>
      <c r="I130" s="18">
        <f t="shared" si="49"/>
        <v>16210</v>
      </c>
      <c r="J130" s="18">
        <f t="shared" si="49"/>
        <v>62350.400000000001</v>
      </c>
      <c r="K130" s="176">
        <f>+H130*0.6-I130-J130-G130</f>
        <v>81039.600000000006</v>
      </c>
    </row>
    <row r="131" spans="2:11" x14ac:dyDescent="0.3">
      <c r="B131" s="2"/>
      <c r="C131" s="2"/>
      <c r="D131" s="2"/>
      <c r="E131" s="2"/>
      <c r="F131" s="3"/>
      <c r="G131" s="3"/>
      <c r="H131" s="3"/>
      <c r="I131" s="3"/>
      <c r="J131" s="3" t="s">
        <v>182</v>
      </c>
      <c r="K131" s="3"/>
    </row>
    <row r="132" spans="2:11" ht="15.75" thickBot="1" x14ac:dyDescent="0.35">
      <c r="B132" s="5"/>
      <c r="C132" s="5"/>
      <c r="D132" s="5"/>
      <c r="E132" s="5"/>
      <c r="F132" s="5"/>
      <c r="G132" s="5"/>
      <c r="H132" s="5"/>
      <c r="I132" s="5"/>
      <c r="J132" s="6">
        <v>234.4</v>
      </c>
      <c r="K132" s="5"/>
    </row>
    <row r="133" spans="2:11" ht="15.75" thickBot="1" x14ac:dyDescent="0.25">
      <c r="B133" s="7" t="s">
        <v>142</v>
      </c>
      <c r="C133" s="8" t="s">
        <v>162</v>
      </c>
      <c r="D133" s="8" t="s">
        <v>143</v>
      </c>
      <c r="E133" s="8" t="s">
        <v>144</v>
      </c>
      <c r="F133" s="8" t="s">
        <v>145</v>
      </c>
      <c r="G133" s="8" t="s">
        <v>163</v>
      </c>
      <c r="H133" s="8" t="s">
        <v>164</v>
      </c>
      <c r="I133" s="168" t="s">
        <v>165</v>
      </c>
      <c r="J133" s="9" t="s">
        <v>166</v>
      </c>
      <c r="K133" s="98" t="s">
        <v>146</v>
      </c>
    </row>
    <row r="134" spans="2:11" x14ac:dyDescent="0.3">
      <c r="B134" s="169">
        <v>44796</v>
      </c>
      <c r="C134" s="170">
        <v>3518</v>
      </c>
      <c r="D134" s="170">
        <v>3565</v>
      </c>
      <c r="E134" s="170">
        <f t="shared" ref="E134:E139" si="50">+D134-C134</f>
        <v>47</v>
      </c>
      <c r="F134" s="171">
        <f t="shared" ref="F134:F139" si="51">+E134*1000</f>
        <v>47000</v>
      </c>
      <c r="G134" s="171">
        <v>0</v>
      </c>
      <c r="H134" s="171">
        <f t="shared" ref="H134:H139" si="52">+F134-G134</f>
        <v>47000</v>
      </c>
      <c r="I134" s="10">
        <v>4000</v>
      </c>
      <c r="J134" s="174">
        <f t="shared" ref="J134:J139" si="53">+E134*$J$122</f>
        <v>11016.800000000001</v>
      </c>
      <c r="K134" s="172"/>
    </row>
    <row r="135" spans="2:11" x14ac:dyDescent="0.3">
      <c r="B135" s="12">
        <v>44805</v>
      </c>
      <c r="C135" s="13">
        <v>3565</v>
      </c>
      <c r="D135" s="13">
        <v>3681</v>
      </c>
      <c r="E135" s="170">
        <f t="shared" si="50"/>
        <v>116</v>
      </c>
      <c r="F135" s="171">
        <f t="shared" si="51"/>
        <v>116000</v>
      </c>
      <c r="G135" s="171">
        <v>0</v>
      </c>
      <c r="H135" s="171">
        <f t="shared" si="52"/>
        <v>116000</v>
      </c>
      <c r="I135" s="33">
        <v>21000</v>
      </c>
      <c r="J135" s="174">
        <f t="shared" si="53"/>
        <v>27190.400000000001</v>
      </c>
      <c r="K135" s="172" t="s">
        <v>268</v>
      </c>
    </row>
    <row r="136" spans="2:11" x14ac:dyDescent="0.3">
      <c r="B136" s="12">
        <v>44812</v>
      </c>
      <c r="C136" s="13">
        <v>3681</v>
      </c>
      <c r="D136" s="13">
        <v>3757</v>
      </c>
      <c r="E136" s="170">
        <f t="shared" si="50"/>
        <v>76</v>
      </c>
      <c r="F136" s="171">
        <f t="shared" si="51"/>
        <v>76000</v>
      </c>
      <c r="G136" s="171">
        <v>0</v>
      </c>
      <c r="H136" s="171">
        <f t="shared" si="52"/>
        <v>76000</v>
      </c>
      <c r="I136" s="173">
        <v>9000</v>
      </c>
      <c r="J136" s="174">
        <f t="shared" si="53"/>
        <v>17814.400000000001</v>
      </c>
      <c r="K136" s="172" t="s">
        <v>269</v>
      </c>
    </row>
    <row r="137" spans="2:11" x14ac:dyDescent="0.3">
      <c r="B137" s="12">
        <v>44817</v>
      </c>
      <c r="C137" s="13">
        <v>3757</v>
      </c>
      <c r="D137" s="13">
        <v>3796</v>
      </c>
      <c r="E137" s="170">
        <f t="shared" si="50"/>
        <v>39</v>
      </c>
      <c r="F137" s="171">
        <f t="shared" si="51"/>
        <v>39000</v>
      </c>
      <c r="G137" s="171">
        <v>0</v>
      </c>
      <c r="H137" s="171">
        <f t="shared" si="52"/>
        <v>39000</v>
      </c>
      <c r="I137" s="173"/>
      <c r="J137" s="174">
        <f t="shared" si="53"/>
        <v>9141.6</v>
      </c>
      <c r="K137" s="172"/>
    </row>
    <row r="138" spans="2:11" x14ac:dyDescent="0.3">
      <c r="B138" s="12"/>
      <c r="C138" s="13"/>
      <c r="D138" s="13"/>
      <c r="E138" s="170">
        <f t="shared" si="50"/>
        <v>0</v>
      </c>
      <c r="F138" s="171">
        <f t="shared" si="51"/>
        <v>0</v>
      </c>
      <c r="G138" s="171">
        <v>0</v>
      </c>
      <c r="H138" s="171">
        <f t="shared" si="52"/>
        <v>0</v>
      </c>
      <c r="I138" s="173"/>
      <c r="J138" s="174">
        <f t="shared" si="53"/>
        <v>0</v>
      </c>
      <c r="K138" s="172"/>
    </row>
    <row r="139" spans="2:11" ht="15.75" thickBot="1" x14ac:dyDescent="0.35">
      <c r="B139" s="60"/>
      <c r="C139" s="39"/>
      <c r="D139" s="39"/>
      <c r="E139" s="16">
        <f t="shared" si="50"/>
        <v>0</v>
      </c>
      <c r="F139" s="17">
        <f t="shared" si="51"/>
        <v>0</v>
      </c>
      <c r="G139" s="17">
        <v>0</v>
      </c>
      <c r="H139" s="17">
        <f t="shared" si="52"/>
        <v>0</v>
      </c>
      <c r="I139" s="40"/>
      <c r="J139" s="175">
        <f t="shared" si="53"/>
        <v>0</v>
      </c>
      <c r="K139" s="176"/>
    </row>
    <row r="140" spans="2:11" ht="15.75" thickBot="1" x14ac:dyDescent="0.35">
      <c r="B140" s="15"/>
      <c r="C140" s="16"/>
      <c r="D140" s="16"/>
      <c r="E140" s="16">
        <f t="shared" ref="E140:J140" si="54">SUM(E134:E139)</f>
        <v>278</v>
      </c>
      <c r="F140" s="17">
        <f t="shared" si="54"/>
        <v>278000</v>
      </c>
      <c r="G140" s="17">
        <f t="shared" si="54"/>
        <v>0</v>
      </c>
      <c r="H140" s="17">
        <f t="shared" si="54"/>
        <v>278000</v>
      </c>
      <c r="I140" s="18">
        <f t="shared" si="54"/>
        <v>34000</v>
      </c>
      <c r="J140" s="18">
        <f t="shared" si="54"/>
        <v>65163.200000000004</v>
      </c>
      <c r="K140" s="176">
        <f>+H140*0.6-I140-J140-G140</f>
        <v>67636.799999999988</v>
      </c>
    </row>
    <row r="141" spans="2:11" x14ac:dyDescent="0.3">
      <c r="B141" s="2"/>
      <c r="C141" s="2"/>
      <c r="D141" s="2"/>
      <c r="E141" s="2"/>
      <c r="F141" s="3"/>
      <c r="G141" s="3"/>
      <c r="H141" s="3"/>
      <c r="I141" s="3"/>
      <c r="J141" s="3" t="s">
        <v>182</v>
      </c>
      <c r="K141" s="3"/>
    </row>
    <row r="142" spans="2:11" ht="15.75" thickBot="1" x14ac:dyDescent="0.35">
      <c r="B142" s="5"/>
      <c r="C142" s="5"/>
      <c r="D142" s="5"/>
      <c r="E142" s="5"/>
      <c r="F142" s="5"/>
      <c r="G142" s="5"/>
      <c r="H142" s="5"/>
      <c r="I142" s="5"/>
      <c r="J142" s="6">
        <v>234.4</v>
      </c>
      <c r="K142" s="5"/>
    </row>
    <row r="143" spans="2:11" ht="15.75" thickBot="1" x14ac:dyDescent="0.25">
      <c r="B143" s="7" t="s">
        <v>142</v>
      </c>
      <c r="C143" s="8" t="s">
        <v>162</v>
      </c>
      <c r="D143" s="8" t="s">
        <v>143</v>
      </c>
      <c r="E143" s="8" t="s">
        <v>144</v>
      </c>
      <c r="F143" s="8" t="s">
        <v>145</v>
      </c>
      <c r="G143" s="8" t="s">
        <v>163</v>
      </c>
      <c r="H143" s="8" t="s">
        <v>164</v>
      </c>
      <c r="I143" s="168" t="s">
        <v>165</v>
      </c>
      <c r="J143" s="9" t="s">
        <v>166</v>
      </c>
      <c r="K143" s="98" t="s">
        <v>146</v>
      </c>
    </row>
    <row r="144" spans="2:11" x14ac:dyDescent="0.3">
      <c r="B144" s="169">
        <v>44819</v>
      </c>
      <c r="C144" s="170">
        <v>3796</v>
      </c>
      <c r="D144" s="170">
        <v>3819</v>
      </c>
      <c r="E144" s="170">
        <f t="shared" ref="E144:E149" si="55">+D144-C144</f>
        <v>23</v>
      </c>
      <c r="F144" s="171">
        <f t="shared" ref="F144:F149" si="56">+E144*1000</f>
        <v>23000</v>
      </c>
      <c r="G144" s="171">
        <v>0</v>
      </c>
      <c r="H144" s="171">
        <f t="shared" ref="H144:H149" si="57">+F144-G144</f>
        <v>23000</v>
      </c>
      <c r="I144" s="10"/>
      <c r="J144" s="174">
        <f t="shared" ref="J144:J149" si="58">+E144*$J$122</f>
        <v>5391.2</v>
      </c>
      <c r="K144" s="172"/>
    </row>
    <row r="145" spans="2:11" x14ac:dyDescent="0.3">
      <c r="B145" s="12">
        <v>44826</v>
      </c>
      <c r="C145" s="13">
        <v>3819</v>
      </c>
      <c r="D145" s="13">
        <v>3849</v>
      </c>
      <c r="E145" s="170">
        <f t="shared" si="55"/>
        <v>30</v>
      </c>
      <c r="F145" s="171">
        <f t="shared" si="56"/>
        <v>30000</v>
      </c>
      <c r="G145" s="171">
        <v>0</v>
      </c>
      <c r="H145" s="171">
        <f t="shared" si="57"/>
        <v>30000</v>
      </c>
      <c r="I145" s="33">
        <v>1824</v>
      </c>
      <c r="J145" s="174">
        <f t="shared" si="58"/>
        <v>7032</v>
      </c>
      <c r="K145" s="172" t="s">
        <v>270</v>
      </c>
    </row>
    <row r="146" spans="2:11" x14ac:dyDescent="0.3">
      <c r="B146" s="12">
        <v>44832</v>
      </c>
      <c r="C146" s="13">
        <v>3849</v>
      </c>
      <c r="D146" s="13">
        <v>3918</v>
      </c>
      <c r="E146" s="170">
        <f t="shared" si="55"/>
        <v>69</v>
      </c>
      <c r="F146" s="171">
        <f t="shared" si="56"/>
        <v>69000</v>
      </c>
      <c r="G146" s="171">
        <v>0</v>
      </c>
      <c r="H146" s="171">
        <f t="shared" si="57"/>
        <v>69000</v>
      </c>
      <c r="I146" s="173">
        <v>3000</v>
      </c>
      <c r="J146" s="174">
        <f t="shared" si="58"/>
        <v>16173.6</v>
      </c>
      <c r="K146" s="172" t="s">
        <v>271</v>
      </c>
    </row>
    <row r="147" spans="2:11" x14ac:dyDescent="0.3">
      <c r="B147" s="12">
        <v>44838</v>
      </c>
      <c r="C147" s="13">
        <v>3918</v>
      </c>
      <c r="D147" s="13">
        <v>3987</v>
      </c>
      <c r="E147" s="170">
        <f t="shared" si="55"/>
        <v>69</v>
      </c>
      <c r="F147" s="171">
        <f t="shared" si="56"/>
        <v>69000</v>
      </c>
      <c r="G147" s="171">
        <v>0</v>
      </c>
      <c r="H147" s="171">
        <f t="shared" si="57"/>
        <v>69000</v>
      </c>
      <c r="I147" s="173">
        <v>3728</v>
      </c>
      <c r="J147" s="174">
        <f t="shared" si="58"/>
        <v>16173.6</v>
      </c>
      <c r="K147" s="172" t="s">
        <v>272</v>
      </c>
    </row>
    <row r="148" spans="2:11" x14ac:dyDescent="0.3">
      <c r="B148" s="12">
        <v>44845</v>
      </c>
      <c r="C148" s="13">
        <v>3987</v>
      </c>
      <c r="D148" s="13">
        <v>4071</v>
      </c>
      <c r="E148" s="170">
        <f t="shared" si="55"/>
        <v>84</v>
      </c>
      <c r="F148" s="171">
        <f t="shared" si="56"/>
        <v>84000</v>
      </c>
      <c r="G148" s="171">
        <v>0</v>
      </c>
      <c r="H148" s="171">
        <f t="shared" si="57"/>
        <v>84000</v>
      </c>
      <c r="I148" s="173">
        <v>4402</v>
      </c>
      <c r="J148" s="174">
        <f t="shared" si="58"/>
        <v>19689.600000000002</v>
      </c>
      <c r="K148" s="172" t="s">
        <v>273</v>
      </c>
    </row>
    <row r="149" spans="2:11" ht="15.75" thickBot="1" x14ac:dyDescent="0.35">
      <c r="B149" s="62">
        <v>44852</v>
      </c>
      <c r="C149" s="39">
        <v>4071</v>
      </c>
      <c r="D149" s="39">
        <v>4100</v>
      </c>
      <c r="E149" s="16">
        <f t="shared" si="55"/>
        <v>29</v>
      </c>
      <c r="F149" s="17">
        <f t="shared" si="56"/>
        <v>29000</v>
      </c>
      <c r="G149" s="17">
        <v>0</v>
      </c>
      <c r="H149" s="17">
        <f t="shared" si="57"/>
        <v>29000</v>
      </c>
      <c r="I149" s="40">
        <v>0</v>
      </c>
      <c r="J149" s="175">
        <f t="shared" si="58"/>
        <v>6797.6</v>
      </c>
      <c r="K149" s="176"/>
    </row>
    <row r="150" spans="2:11" ht="15.75" thickBot="1" x14ac:dyDescent="0.35">
      <c r="B150" s="15"/>
      <c r="C150" s="16"/>
      <c r="D150" s="16"/>
      <c r="E150" s="16">
        <f t="shared" ref="E150:J150" si="59">SUM(E144:E149)</f>
        <v>304</v>
      </c>
      <c r="F150" s="17">
        <f t="shared" si="59"/>
        <v>304000</v>
      </c>
      <c r="G150" s="17">
        <f t="shared" si="59"/>
        <v>0</v>
      </c>
      <c r="H150" s="17">
        <f t="shared" si="59"/>
        <v>304000</v>
      </c>
      <c r="I150" s="18">
        <f t="shared" si="59"/>
        <v>12954</v>
      </c>
      <c r="J150" s="18">
        <f t="shared" si="59"/>
        <v>71257.600000000006</v>
      </c>
      <c r="K150" s="176">
        <f>+H150*0.6-I150-J150-G150</f>
        <v>98188.4</v>
      </c>
    </row>
    <row r="151" spans="2:11" x14ac:dyDescent="0.3">
      <c r="B151" s="2"/>
      <c r="C151" s="2"/>
      <c r="D151" s="2"/>
      <c r="E151" s="2"/>
      <c r="F151" s="3"/>
      <c r="G151" s="3"/>
      <c r="H151" s="3"/>
      <c r="I151" s="3"/>
      <c r="J151" s="3" t="s">
        <v>182</v>
      </c>
      <c r="K151" s="3"/>
    </row>
    <row r="152" spans="2:11" ht="15.75" thickBot="1" x14ac:dyDescent="0.35">
      <c r="B152" s="5"/>
      <c r="C152" s="5"/>
      <c r="D152" s="5"/>
      <c r="E152" s="5"/>
      <c r="F152" s="5"/>
      <c r="G152" s="5"/>
      <c r="H152" s="5"/>
      <c r="I152" s="5"/>
      <c r="J152" s="6">
        <v>234.4</v>
      </c>
      <c r="K152" s="5"/>
    </row>
    <row r="153" spans="2:11" ht="15.75" thickBot="1" x14ac:dyDescent="0.25">
      <c r="B153" s="7" t="s">
        <v>142</v>
      </c>
      <c r="C153" s="8" t="s">
        <v>162</v>
      </c>
      <c r="D153" s="8" t="s">
        <v>143</v>
      </c>
      <c r="E153" s="8" t="s">
        <v>144</v>
      </c>
      <c r="F153" s="8" t="s">
        <v>145</v>
      </c>
      <c r="G153" s="8" t="s">
        <v>163</v>
      </c>
      <c r="H153" s="8" t="s">
        <v>164</v>
      </c>
      <c r="I153" s="168" t="s">
        <v>165</v>
      </c>
      <c r="J153" s="9" t="s">
        <v>166</v>
      </c>
      <c r="K153" s="98" t="s">
        <v>146</v>
      </c>
    </row>
    <row r="154" spans="2:11" x14ac:dyDescent="0.3">
      <c r="B154" s="178">
        <v>44861</v>
      </c>
      <c r="C154" s="170">
        <v>4100</v>
      </c>
      <c r="D154" s="170">
        <v>4162</v>
      </c>
      <c r="E154" s="170">
        <f t="shared" ref="E154:E159" si="60">+D154-C154</f>
        <v>62</v>
      </c>
      <c r="F154" s="171">
        <f t="shared" ref="F154:F159" si="61">+E154*1000</f>
        <v>62000</v>
      </c>
      <c r="G154" s="171">
        <v>0</v>
      </c>
      <c r="H154" s="171">
        <f t="shared" ref="H154:H159" si="62">+F154-G154</f>
        <v>62000</v>
      </c>
      <c r="I154" s="10">
        <v>2880</v>
      </c>
      <c r="J154" s="174">
        <f t="shared" ref="J154:J159" si="63">+E154*$J$122</f>
        <v>14532.800000000001</v>
      </c>
      <c r="K154" s="172" t="s">
        <v>274</v>
      </c>
    </row>
    <row r="155" spans="2:11" x14ac:dyDescent="0.3">
      <c r="B155" s="32">
        <v>44867</v>
      </c>
      <c r="C155" s="13">
        <v>4162</v>
      </c>
      <c r="D155" s="13">
        <v>4197</v>
      </c>
      <c r="E155" s="170">
        <f t="shared" si="60"/>
        <v>35</v>
      </c>
      <c r="F155" s="171">
        <f t="shared" si="61"/>
        <v>35000</v>
      </c>
      <c r="G155" s="171">
        <v>0</v>
      </c>
      <c r="H155" s="171">
        <f t="shared" si="62"/>
        <v>35000</v>
      </c>
      <c r="I155" s="33">
        <v>2772</v>
      </c>
      <c r="J155" s="174">
        <f t="shared" si="63"/>
        <v>8204</v>
      </c>
      <c r="K155" s="172" t="s">
        <v>275</v>
      </c>
    </row>
    <row r="156" spans="2:11" x14ac:dyDescent="0.3">
      <c r="B156" s="32">
        <v>44875</v>
      </c>
      <c r="C156" s="13">
        <v>4197</v>
      </c>
      <c r="D156" s="13">
        <v>4281</v>
      </c>
      <c r="E156" s="170">
        <f t="shared" si="60"/>
        <v>84</v>
      </c>
      <c r="F156" s="171">
        <f t="shared" si="61"/>
        <v>84000</v>
      </c>
      <c r="G156" s="171">
        <v>0</v>
      </c>
      <c r="H156" s="171">
        <f t="shared" si="62"/>
        <v>84000</v>
      </c>
      <c r="I156" s="173">
        <v>11536</v>
      </c>
      <c r="J156" s="174">
        <f t="shared" si="63"/>
        <v>19689.600000000002</v>
      </c>
      <c r="K156" s="172" t="s">
        <v>276</v>
      </c>
    </row>
    <row r="157" spans="2:11" x14ac:dyDescent="0.3">
      <c r="B157" s="32">
        <v>44880</v>
      </c>
      <c r="C157" s="13">
        <v>4281</v>
      </c>
      <c r="D157" s="13">
        <v>4302</v>
      </c>
      <c r="E157" s="170">
        <f t="shared" si="60"/>
        <v>21</v>
      </c>
      <c r="F157" s="171">
        <f t="shared" si="61"/>
        <v>21000</v>
      </c>
      <c r="G157" s="171">
        <v>0</v>
      </c>
      <c r="H157" s="171">
        <f t="shared" si="62"/>
        <v>21000</v>
      </c>
      <c r="I157" s="173">
        <v>1924</v>
      </c>
      <c r="J157" s="174">
        <f t="shared" si="63"/>
        <v>4922.4000000000005</v>
      </c>
      <c r="K157" s="172" t="s">
        <v>277</v>
      </c>
    </row>
    <row r="158" spans="2:11" x14ac:dyDescent="0.3">
      <c r="B158" s="32"/>
      <c r="C158" s="13"/>
      <c r="D158" s="13"/>
      <c r="E158" s="170">
        <f t="shared" si="60"/>
        <v>0</v>
      </c>
      <c r="F158" s="171">
        <f t="shared" si="61"/>
        <v>0</v>
      </c>
      <c r="G158" s="171">
        <v>0</v>
      </c>
      <c r="H158" s="171">
        <f t="shared" si="62"/>
        <v>0</v>
      </c>
      <c r="I158" s="173"/>
      <c r="J158" s="174">
        <f t="shared" si="63"/>
        <v>0</v>
      </c>
      <c r="K158" s="172"/>
    </row>
    <row r="159" spans="2:11" ht="15.75" thickBot="1" x14ac:dyDescent="0.35">
      <c r="B159" s="38"/>
      <c r="C159" s="39"/>
      <c r="D159" s="39"/>
      <c r="E159" s="16">
        <f t="shared" si="60"/>
        <v>0</v>
      </c>
      <c r="F159" s="17">
        <f t="shared" si="61"/>
        <v>0</v>
      </c>
      <c r="G159" s="17">
        <v>0</v>
      </c>
      <c r="H159" s="17">
        <f t="shared" si="62"/>
        <v>0</v>
      </c>
      <c r="I159" s="40"/>
      <c r="J159" s="175">
        <f t="shared" si="63"/>
        <v>0</v>
      </c>
      <c r="K159" s="176"/>
    </row>
    <row r="160" spans="2:11" ht="15.75" thickBot="1" x14ac:dyDescent="0.35">
      <c r="B160" s="15"/>
      <c r="C160" s="16"/>
      <c r="D160" s="16"/>
      <c r="E160" s="16">
        <f t="shared" ref="E160:J160" si="64">SUM(E154:E159)</f>
        <v>202</v>
      </c>
      <c r="F160" s="17">
        <f t="shared" si="64"/>
        <v>202000</v>
      </c>
      <c r="G160" s="17">
        <f t="shared" si="64"/>
        <v>0</v>
      </c>
      <c r="H160" s="17">
        <f t="shared" si="64"/>
        <v>202000</v>
      </c>
      <c r="I160" s="18">
        <f t="shared" si="64"/>
        <v>19112</v>
      </c>
      <c r="J160" s="18">
        <f t="shared" si="64"/>
        <v>47348.80000000001</v>
      </c>
      <c r="K160" s="176">
        <f>+H160*0.6-I160-J160-G160</f>
        <v>54739.19999999999</v>
      </c>
    </row>
    <row r="161" spans="2:11" x14ac:dyDescent="0.3">
      <c r="B161" s="2"/>
      <c r="C161" s="2"/>
      <c r="D161" s="2"/>
      <c r="E161" s="2"/>
      <c r="F161" s="3"/>
      <c r="G161" s="3"/>
      <c r="H161" s="3"/>
      <c r="I161" s="3"/>
      <c r="J161" s="3" t="s">
        <v>182</v>
      </c>
      <c r="K161" s="3"/>
    </row>
    <row r="162" spans="2:11" ht="15.75" thickBot="1" x14ac:dyDescent="0.35">
      <c r="B162" s="5"/>
      <c r="C162" s="5"/>
      <c r="D162" s="5"/>
      <c r="E162" s="5"/>
      <c r="F162" s="5"/>
      <c r="G162" s="5"/>
      <c r="H162" s="5"/>
      <c r="I162" s="5"/>
      <c r="J162" s="6">
        <v>234.4</v>
      </c>
      <c r="K162" s="5"/>
    </row>
    <row r="163" spans="2:11" ht="15.75" thickBot="1" x14ac:dyDescent="0.25">
      <c r="B163" s="7" t="s">
        <v>142</v>
      </c>
      <c r="C163" s="8" t="s">
        <v>162</v>
      </c>
      <c r="D163" s="8" t="s">
        <v>143</v>
      </c>
      <c r="E163" s="8" t="s">
        <v>144</v>
      </c>
      <c r="F163" s="8" t="s">
        <v>145</v>
      </c>
      <c r="G163" s="8" t="s">
        <v>163</v>
      </c>
      <c r="H163" s="8" t="s">
        <v>164</v>
      </c>
      <c r="I163" s="168" t="s">
        <v>165</v>
      </c>
      <c r="J163" s="9" t="s">
        <v>166</v>
      </c>
      <c r="K163" s="98" t="s">
        <v>146</v>
      </c>
    </row>
    <row r="164" spans="2:11" x14ac:dyDescent="0.3">
      <c r="B164" s="178">
        <v>44886</v>
      </c>
      <c r="C164" s="170">
        <v>4302</v>
      </c>
      <c r="D164" s="170">
        <v>4353</v>
      </c>
      <c r="E164" s="170">
        <f t="shared" ref="E164:E169" si="65">+D164-C164</f>
        <v>51</v>
      </c>
      <c r="F164" s="171">
        <f t="shared" ref="F164:F169" si="66">+E164*1000</f>
        <v>51000</v>
      </c>
      <c r="G164" s="171">
        <v>0</v>
      </c>
      <c r="H164" s="171">
        <f t="shared" ref="H164:H169" si="67">+F164-G164</f>
        <v>51000</v>
      </c>
      <c r="I164" s="10">
        <v>6380</v>
      </c>
      <c r="J164" s="174">
        <f t="shared" ref="J164:J169" si="68">+E164*$J$122</f>
        <v>11954.4</v>
      </c>
      <c r="K164" s="172" t="s">
        <v>278</v>
      </c>
    </row>
    <row r="165" spans="2:11" x14ac:dyDescent="0.3">
      <c r="B165" s="32">
        <v>44893</v>
      </c>
      <c r="C165" s="13">
        <v>4353</v>
      </c>
      <c r="D165" s="13">
        <v>4411</v>
      </c>
      <c r="E165" s="170">
        <f t="shared" si="65"/>
        <v>58</v>
      </c>
      <c r="F165" s="171">
        <f t="shared" si="66"/>
        <v>58000</v>
      </c>
      <c r="G165" s="171">
        <v>0</v>
      </c>
      <c r="H165" s="171">
        <f t="shared" si="67"/>
        <v>58000</v>
      </c>
      <c r="I165" s="33">
        <v>1988</v>
      </c>
      <c r="J165" s="174">
        <f t="shared" si="68"/>
        <v>13595.2</v>
      </c>
      <c r="K165" s="172" t="s">
        <v>279</v>
      </c>
    </row>
    <row r="166" spans="2:11" x14ac:dyDescent="0.3">
      <c r="B166" s="32">
        <v>44902</v>
      </c>
      <c r="C166" s="13">
        <v>4411</v>
      </c>
      <c r="D166" s="13">
        <v>4475</v>
      </c>
      <c r="E166" s="170">
        <f t="shared" si="65"/>
        <v>64</v>
      </c>
      <c r="F166" s="171">
        <f t="shared" si="66"/>
        <v>64000</v>
      </c>
      <c r="G166" s="171">
        <v>0</v>
      </c>
      <c r="H166" s="171">
        <f t="shared" si="67"/>
        <v>64000</v>
      </c>
      <c r="I166" s="173">
        <v>2850</v>
      </c>
      <c r="J166" s="174">
        <f t="shared" si="68"/>
        <v>15001.6</v>
      </c>
      <c r="K166" s="172" t="s">
        <v>280</v>
      </c>
    </row>
    <row r="167" spans="2:11" x14ac:dyDescent="0.3">
      <c r="B167" s="32">
        <v>44907</v>
      </c>
      <c r="C167" s="13">
        <v>4475</v>
      </c>
      <c r="D167" s="13">
        <v>4502</v>
      </c>
      <c r="E167" s="170">
        <f t="shared" si="65"/>
        <v>27</v>
      </c>
      <c r="F167" s="171">
        <f t="shared" si="66"/>
        <v>27000</v>
      </c>
      <c r="G167" s="171">
        <v>0</v>
      </c>
      <c r="H167" s="171">
        <f t="shared" si="67"/>
        <v>27000</v>
      </c>
      <c r="I167" s="173">
        <v>1988</v>
      </c>
      <c r="J167" s="174">
        <f t="shared" si="68"/>
        <v>6328.8</v>
      </c>
      <c r="K167" s="172" t="s">
        <v>281</v>
      </c>
    </row>
    <row r="168" spans="2:11" x14ac:dyDescent="0.3">
      <c r="B168" s="32">
        <v>44912</v>
      </c>
      <c r="C168" s="13">
        <v>4502</v>
      </c>
      <c r="D168" s="13">
        <v>4528</v>
      </c>
      <c r="E168" s="170">
        <f t="shared" si="65"/>
        <v>26</v>
      </c>
      <c r="F168" s="171">
        <f t="shared" si="66"/>
        <v>26000</v>
      </c>
      <c r="G168" s="171">
        <v>0</v>
      </c>
      <c r="H168" s="171">
        <f t="shared" si="67"/>
        <v>26000</v>
      </c>
      <c r="I168" s="173">
        <v>1988</v>
      </c>
      <c r="J168" s="174">
        <f t="shared" si="68"/>
        <v>6094.4000000000005</v>
      </c>
      <c r="K168" s="172" t="s">
        <v>282</v>
      </c>
    </row>
    <row r="169" spans="2:11" ht="15.75" thickBot="1" x14ac:dyDescent="0.35">
      <c r="B169" s="38"/>
      <c r="C169" s="39"/>
      <c r="D169" s="39"/>
      <c r="E169" s="16">
        <f t="shared" si="65"/>
        <v>0</v>
      </c>
      <c r="F169" s="17">
        <f t="shared" si="66"/>
        <v>0</v>
      </c>
      <c r="G169" s="17">
        <v>0</v>
      </c>
      <c r="H169" s="17">
        <f t="shared" si="67"/>
        <v>0</v>
      </c>
      <c r="I169" s="40"/>
      <c r="J169" s="175">
        <f t="shared" si="68"/>
        <v>0</v>
      </c>
      <c r="K169" s="176"/>
    </row>
    <row r="170" spans="2:11" ht="15.75" thickBot="1" x14ac:dyDescent="0.35">
      <c r="B170" s="15"/>
      <c r="C170" s="16"/>
      <c r="D170" s="16"/>
      <c r="E170" s="16">
        <f t="shared" ref="E170:J170" si="69">SUM(E164:E169)</f>
        <v>226</v>
      </c>
      <c r="F170" s="17">
        <f t="shared" si="69"/>
        <v>226000</v>
      </c>
      <c r="G170" s="17">
        <f t="shared" si="69"/>
        <v>0</v>
      </c>
      <c r="H170" s="17">
        <f t="shared" si="69"/>
        <v>226000</v>
      </c>
      <c r="I170" s="18">
        <f t="shared" si="69"/>
        <v>15194</v>
      </c>
      <c r="J170" s="18">
        <f t="shared" si="69"/>
        <v>52974.400000000001</v>
      </c>
      <c r="K170" s="176">
        <f>+H170*0.6-I170-J170-G170</f>
        <v>67431.600000000006</v>
      </c>
    </row>
    <row r="171" spans="2:11" x14ac:dyDescent="0.3">
      <c r="B171" s="2"/>
      <c r="C171" s="2"/>
      <c r="D171" s="2"/>
      <c r="E171" s="2"/>
      <c r="F171" s="3"/>
      <c r="G171" s="3"/>
      <c r="H171" s="3"/>
      <c r="I171" s="3"/>
      <c r="J171" s="3" t="s">
        <v>182</v>
      </c>
      <c r="K171" s="3"/>
    </row>
    <row r="172" spans="2:11" ht="15.75" thickBot="1" x14ac:dyDescent="0.35">
      <c r="B172" s="22" t="s">
        <v>148</v>
      </c>
      <c r="C172" s="5"/>
      <c r="D172" s="5"/>
      <c r="E172" s="5"/>
      <c r="F172" s="5"/>
      <c r="G172" s="5"/>
      <c r="H172" s="5"/>
      <c r="I172" s="5"/>
      <c r="J172" s="6">
        <v>234.4</v>
      </c>
      <c r="K172" s="5"/>
    </row>
    <row r="173" spans="2:11" ht="15.75" thickBot="1" x14ac:dyDescent="0.25">
      <c r="B173" s="7" t="s">
        <v>142</v>
      </c>
      <c r="C173" s="8" t="s">
        <v>162</v>
      </c>
      <c r="D173" s="8" t="s">
        <v>143</v>
      </c>
      <c r="E173" s="8" t="s">
        <v>144</v>
      </c>
      <c r="F173" s="8" t="s">
        <v>145</v>
      </c>
      <c r="G173" s="8" t="s">
        <v>163</v>
      </c>
      <c r="H173" s="8" t="s">
        <v>164</v>
      </c>
      <c r="I173" s="168" t="s">
        <v>165</v>
      </c>
      <c r="J173" s="9" t="s">
        <v>166</v>
      </c>
      <c r="K173" s="98" t="s">
        <v>146</v>
      </c>
    </row>
    <row r="174" spans="2:11" x14ac:dyDescent="0.3">
      <c r="B174" s="178">
        <v>44915</v>
      </c>
      <c r="C174" s="170">
        <v>4528</v>
      </c>
      <c r="D174" s="170">
        <v>4541</v>
      </c>
      <c r="E174" s="170">
        <f t="shared" ref="E174:E179" si="70">+D174-C174</f>
        <v>13</v>
      </c>
      <c r="F174" s="171">
        <f t="shared" ref="F174:F179" si="71">+E174*1000</f>
        <v>13000</v>
      </c>
      <c r="G174" s="171">
        <v>0</v>
      </c>
      <c r="H174" s="171">
        <f t="shared" ref="H174:H179" si="72">+F174-G174</f>
        <v>13000</v>
      </c>
      <c r="I174" s="10">
        <v>0</v>
      </c>
      <c r="J174" s="174">
        <f t="shared" ref="J174:J179" si="73">+E174*$J$122</f>
        <v>3047.2000000000003</v>
      </c>
      <c r="K174" s="172"/>
    </row>
    <row r="175" spans="2:11" x14ac:dyDescent="0.3">
      <c r="B175" s="32">
        <v>44924</v>
      </c>
      <c r="C175" s="13">
        <v>4541</v>
      </c>
      <c r="D175" s="13">
        <v>4613</v>
      </c>
      <c r="E175" s="170">
        <f t="shared" si="70"/>
        <v>72</v>
      </c>
      <c r="F175" s="171">
        <f t="shared" si="71"/>
        <v>72000</v>
      </c>
      <c r="G175" s="171">
        <v>0</v>
      </c>
      <c r="H175" s="171">
        <f t="shared" si="72"/>
        <v>72000</v>
      </c>
      <c r="I175" s="33">
        <v>4856</v>
      </c>
      <c r="J175" s="174">
        <f t="shared" si="73"/>
        <v>16876.8</v>
      </c>
      <c r="K175" s="172" t="s">
        <v>283</v>
      </c>
    </row>
    <row r="176" spans="2:11" x14ac:dyDescent="0.3">
      <c r="B176" s="32">
        <v>44927</v>
      </c>
      <c r="C176" s="13">
        <v>4613</v>
      </c>
      <c r="D176" s="13">
        <v>4657</v>
      </c>
      <c r="E176" s="170">
        <f t="shared" si="70"/>
        <v>44</v>
      </c>
      <c r="F176" s="171">
        <f t="shared" si="71"/>
        <v>44000</v>
      </c>
      <c r="G176" s="171">
        <v>0</v>
      </c>
      <c r="H176" s="171">
        <f t="shared" si="72"/>
        <v>44000</v>
      </c>
      <c r="I176" s="173">
        <v>5700</v>
      </c>
      <c r="J176" s="174">
        <f t="shared" si="73"/>
        <v>10313.6</v>
      </c>
      <c r="K176" s="172" t="s">
        <v>284</v>
      </c>
    </row>
    <row r="177" spans="2:11" x14ac:dyDescent="0.3">
      <c r="B177" s="32">
        <v>44935</v>
      </c>
      <c r="C177" s="13">
        <v>4657</v>
      </c>
      <c r="D177" s="13">
        <v>4772</v>
      </c>
      <c r="E177" s="170">
        <f t="shared" si="70"/>
        <v>115</v>
      </c>
      <c r="F177" s="171">
        <f t="shared" si="71"/>
        <v>115000</v>
      </c>
      <c r="G177" s="171">
        <v>0</v>
      </c>
      <c r="H177" s="171">
        <f t="shared" si="72"/>
        <v>115000</v>
      </c>
      <c r="I177" s="173">
        <v>5750</v>
      </c>
      <c r="J177" s="174">
        <f t="shared" si="73"/>
        <v>26956</v>
      </c>
      <c r="K177" s="172" t="s">
        <v>285</v>
      </c>
    </row>
    <row r="178" spans="2:11" x14ac:dyDescent="0.3">
      <c r="B178" s="32">
        <v>44939</v>
      </c>
      <c r="C178" s="13">
        <v>4772</v>
      </c>
      <c r="D178" s="13">
        <v>4798</v>
      </c>
      <c r="E178" s="170">
        <f t="shared" si="70"/>
        <v>26</v>
      </c>
      <c r="F178" s="171">
        <f t="shared" si="71"/>
        <v>26000</v>
      </c>
      <c r="G178" s="171">
        <v>0</v>
      </c>
      <c r="H178" s="171">
        <f t="shared" si="72"/>
        <v>26000</v>
      </c>
      <c r="I178" s="173">
        <v>4096</v>
      </c>
      <c r="J178" s="174">
        <f t="shared" si="73"/>
        <v>6094.4000000000005</v>
      </c>
      <c r="K178" s="172" t="s">
        <v>286</v>
      </c>
    </row>
    <row r="179" spans="2:11" ht="15.75" thickBot="1" x14ac:dyDescent="0.35">
      <c r="B179" s="38"/>
      <c r="C179" s="39"/>
      <c r="D179" s="39"/>
      <c r="E179" s="16">
        <f t="shared" si="70"/>
        <v>0</v>
      </c>
      <c r="F179" s="17">
        <f t="shared" si="71"/>
        <v>0</v>
      </c>
      <c r="G179" s="17">
        <v>0</v>
      </c>
      <c r="H179" s="17">
        <f t="shared" si="72"/>
        <v>0</v>
      </c>
      <c r="I179" s="40"/>
      <c r="J179" s="175">
        <f t="shared" si="73"/>
        <v>0</v>
      </c>
      <c r="K179" s="176"/>
    </row>
    <row r="180" spans="2:11" ht="15.75" thickBot="1" x14ac:dyDescent="0.35">
      <c r="B180" s="15"/>
      <c r="C180" s="16"/>
      <c r="D180" s="16"/>
      <c r="E180" s="16">
        <f t="shared" ref="E180:J180" si="74">SUM(E174:E179)</f>
        <v>270</v>
      </c>
      <c r="F180" s="17">
        <f t="shared" si="74"/>
        <v>270000</v>
      </c>
      <c r="G180" s="17">
        <f t="shared" si="74"/>
        <v>0</v>
      </c>
      <c r="H180" s="17">
        <f t="shared" si="74"/>
        <v>270000</v>
      </c>
      <c r="I180" s="18">
        <f t="shared" si="74"/>
        <v>20402</v>
      </c>
      <c r="J180" s="18">
        <f t="shared" si="74"/>
        <v>63288</v>
      </c>
      <c r="K180" s="176">
        <f>+H180*0.6-I180-J180-G180</f>
        <v>78310</v>
      </c>
    </row>
    <row r="181" spans="2:11" x14ac:dyDescent="0.3">
      <c r="B181" s="2"/>
      <c r="C181" s="2"/>
      <c r="D181" s="2"/>
      <c r="E181" s="2"/>
      <c r="F181" s="3"/>
      <c r="G181" s="3"/>
      <c r="H181" s="3"/>
      <c r="I181" s="3"/>
      <c r="J181" s="3" t="s">
        <v>182</v>
      </c>
      <c r="K181" s="3"/>
    </row>
    <row r="182" spans="2:11" ht="15.75" thickBot="1" x14ac:dyDescent="0.35">
      <c r="B182" s="22" t="s">
        <v>148</v>
      </c>
      <c r="C182" s="5"/>
      <c r="D182" s="5"/>
      <c r="E182" s="5"/>
      <c r="F182" s="5"/>
      <c r="G182" s="5"/>
      <c r="H182" s="5"/>
      <c r="I182" s="5"/>
      <c r="J182" s="6">
        <v>234.4</v>
      </c>
      <c r="K182" s="5"/>
    </row>
    <row r="183" spans="2:11" ht="15.75" thickBot="1" x14ac:dyDescent="0.25">
      <c r="B183" s="7" t="s">
        <v>142</v>
      </c>
      <c r="C183" s="8" t="s">
        <v>162</v>
      </c>
      <c r="D183" s="8" t="s">
        <v>143</v>
      </c>
      <c r="E183" s="8" t="s">
        <v>144</v>
      </c>
      <c r="F183" s="8" t="s">
        <v>145</v>
      </c>
      <c r="G183" s="8" t="s">
        <v>163</v>
      </c>
      <c r="H183" s="8" t="s">
        <v>164</v>
      </c>
      <c r="I183" s="168" t="s">
        <v>165</v>
      </c>
      <c r="J183" s="9" t="s">
        <v>166</v>
      </c>
      <c r="K183" s="98" t="s">
        <v>146</v>
      </c>
    </row>
    <row r="184" spans="2:11" x14ac:dyDescent="0.3">
      <c r="B184" s="178">
        <v>44943</v>
      </c>
      <c r="C184" s="170">
        <v>4798</v>
      </c>
      <c r="D184" s="170">
        <v>4840</v>
      </c>
      <c r="E184" s="170">
        <f t="shared" ref="E184:E189" si="75">+D184-C184</f>
        <v>42</v>
      </c>
      <c r="F184" s="171">
        <f t="shared" ref="F184:F189" si="76">+E184*1000</f>
        <v>42000</v>
      </c>
      <c r="G184" s="171">
        <v>0</v>
      </c>
      <c r="H184" s="171">
        <f t="shared" ref="H184:H189" si="77">+F184-G184</f>
        <v>42000</v>
      </c>
      <c r="I184" s="10">
        <v>1902</v>
      </c>
      <c r="J184" s="174">
        <f t="shared" ref="J184:J189" si="78">+E184*$J$122</f>
        <v>9844.8000000000011</v>
      </c>
      <c r="K184" s="172" t="s">
        <v>287</v>
      </c>
    </row>
    <row r="185" spans="2:11" x14ac:dyDescent="0.3">
      <c r="B185" s="32">
        <v>44949</v>
      </c>
      <c r="C185" s="13">
        <v>4840</v>
      </c>
      <c r="D185" s="13">
        <v>4883</v>
      </c>
      <c r="E185" s="170">
        <f t="shared" si="75"/>
        <v>43</v>
      </c>
      <c r="F185" s="171">
        <f t="shared" si="76"/>
        <v>43000</v>
      </c>
      <c r="G185" s="171">
        <v>0</v>
      </c>
      <c r="H185" s="171">
        <f t="shared" si="77"/>
        <v>43000</v>
      </c>
      <c r="I185" s="33">
        <v>6280</v>
      </c>
      <c r="J185" s="174">
        <f t="shared" si="78"/>
        <v>10079.200000000001</v>
      </c>
      <c r="K185" s="172" t="s">
        <v>288</v>
      </c>
    </row>
    <row r="186" spans="2:11" x14ac:dyDescent="0.3">
      <c r="B186" s="32">
        <v>44956</v>
      </c>
      <c r="C186" s="13">
        <v>4883</v>
      </c>
      <c r="D186" s="13">
        <v>4937</v>
      </c>
      <c r="E186" s="170">
        <f t="shared" si="75"/>
        <v>54</v>
      </c>
      <c r="F186" s="171">
        <f t="shared" si="76"/>
        <v>54000</v>
      </c>
      <c r="G186" s="171">
        <v>0</v>
      </c>
      <c r="H186" s="171">
        <f t="shared" si="77"/>
        <v>54000</v>
      </c>
      <c r="I186" s="173">
        <v>3740</v>
      </c>
      <c r="J186" s="174">
        <f t="shared" si="78"/>
        <v>12657.6</v>
      </c>
      <c r="K186" s="172" t="s">
        <v>289</v>
      </c>
    </row>
    <row r="187" spans="2:11" x14ac:dyDescent="0.3">
      <c r="B187" s="32">
        <v>44963</v>
      </c>
      <c r="C187" s="13">
        <v>4937</v>
      </c>
      <c r="D187" s="13">
        <v>4967</v>
      </c>
      <c r="E187" s="170">
        <f t="shared" si="75"/>
        <v>30</v>
      </c>
      <c r="F187" s="171">
        <f t="shared" si="76"/>
        <v>30000</v>
      </c>
      <c r="G187" s="171">
        <v>0</v>
      </c>
      <c r="H187" s="171">
        <f t="shared" si="77"/>
        <v>30000</v>
      </c>
      <c r="I187" s="173">
        <v>1924</v>
      </c>
      <c r="J187" s="174">
        <f t="shared" si="78"/>
        <v>7032</v>
      </c>
      <c r="K187" s="172" t="s">
        <v>290</v>
      </c>
    </row>
    <row r="188" spans="2:11" x14ac:dyDescent="0.3">
      <c r="B188" s="32">
        <v>44970</v>
      </c>
      <c r="C188" s="13">
        <v>4967</v>
      </c>
      <c r="D188" s="13">
        <v>5004</v>
      </c>
      <c r="E188" s="170">
        <f t="shared" si="75"/>
        <v>37</v>
      </c>
      <c r="F188" s="171">
        <f t="shared" si="76"/>
        <v>37000</v>
      </c>
      <c r="G188" s="171">
        <v>0</v>
      </c>
      <c r="H188" s="171">
        <f t="shared" si="77"/>
        <v>37000</v>
      </c>
      <c r="I188" s="173">
        <v>1924</v>
      </c>
      <c r="J188" s="174">
        <f t="shared" si="78"/>
        <v>8672.8000000000011</v>
      </c>
      <c r="K188" s="172" t="s">
        <v>291</v>
      </c>
    </row>
    <row r="189" spans="2:11" ht="15.75" thickBot="1" x14ac:dyDescent="0.35">
      <c r="B189" s="38">
        <v>44974</v>
      </c>
      <c r="C189" s="39">
        <v>5004</v>
      </c>
      <c r="D189" s="39">
        <v>5024</v>
      </c>
      <c r="E189" s="16">
        <f t="shared" si="75"/>
        <v>20</v>
      </c>
      <c r="F189" s="17">
        <f t="shared" si="76"/>
        <v>20000</v>
      </c>
      <c r="G189" s="17">
        <v>0</v>
      </c>
      <c r="H189" s="17">
        <f t="shared" si="77"/>
        <v>20000</v>
      </c>
      <c r="I189" s="40">
        <v>948</v>
      </c>
      <c r="J189" s="175">
        <f t="shared" si="78"/>
        <v>4688</v>
      </c>
      <c r="K189" s="176" t="s">
        <v>186</v>
      </c>
    </row>
    <row r="190" spans="2:11" ht="15.75" thickBot="1" x14ac:dyDescent="0.35">
      <c r="B190" s="15"/>
      <c r="C190" s="16"/>
      <c r="D190" s="16"/>
      <c r="E190" s="16">
        <f t="shared" ref="E190:J190" si="79">SUM(E184:E189)</f>
        <v>226</v>
      </c>
      <c r="F190" s="17">
        <f t="shared" si="79"/>
        <v>226000</v>
      </c>
      <c r="G190" s="17">
        <f t="shared" si="79"/>
        <v>0</v>
      </c>
      <c r="H190" s="17">
        <f t="shared" si="79"/>
        <v>226000</v>
      </c>
      <c r="I190" s="18">
        <f t="shared" si="79"/>
        <v>16718</v>
      </c>
      <c r="J190" s="18">
        <f t="shared" si="79"/>
        <v>52974.400000000001</v>
      </c>
      <c r="K190" s="176">
        <f>+H190*0.6-I190-J190-G190</f>
        <v>65907.600000000006</v>
      </c>
    </row>
    <row r="191" spans="2:11" x14ac:dyDescent="0.3">
      <c r="B191" s="2"/>
      <c r="C191" s="2"/>
      <c r="D191" s="2"/>
      <c r="E191" s="2"/>
      <c r="F191" s="3"/>
      <c r="G191" s="3"/>
      <c r="H191" s="3"/>
      <c r="I191" s="3"/>
      <c r="J191" s="3" t="s">
        <v>182</v>
      </c>
      <c r="K191" s="3"/>
    </row>
    <row r="192" spans="2:11" ht="15.75" thickBot="1" x14ac:dyDescent="0.35">
      <c r="B192" s="22" t="s">
        <v>148</v>
      </c>
      <c r="C192" s="5"/>
      <c r="D192" s="5"/>
      <c r="E192" s="5"/>
      <c r="F192" s="5"/>
      <c r="G192" s="5"/>
      <c r="H192" s="5"/>
      <c r="I192" s="5"/>
      <c r="J192" s="6">
        <v>234.4</v>
      </c>
      <c r="K192" s="5"/>
    </row>
    <row r="193" spans="2:22" ht="15.75" thickBot="1" x14ac:dyDescent="0.35">
      <c r="B193" s="7" t="s">
        <v>142</v>
      </c>
      <c r="C193" s="8" t="s">
        <v>162</v>
      </c>
      <c r="D193" s="8" t="s">
        <v>143</v>
      </c>
      <c r="E193" s="8" t="s">
        <v>144</v>
      </c>
      <c r="F193" s="8" t="s">
        <v>145</v>
      </c>
      <c r="G193" s="8" t="s">
        <v>163</v>
      </c>
      <c r="H193" s="8" t="s">
        <v>164</v>
      </c>
      <c r="I193" s="168" t="s">
        <v>165</v>
      </c>
      <c r="J193" s="9" t="s">
        <v>166</v>
      </c>
      <c r="K193" s="98" t="s">
        <v>146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2:22" x14ac:dyDescent="0.3">
      <c r="B194" s="178">
        <v>44981</v>
      </c>
      <c r="C194" s="170">
        <v>5024</v>
      </c>
      <c r="D194" s="170">
        <v>5060</v>
      </c>
      <c r="E194" s="170">
        <f t="shared" ref="E194:E199" si="80">+D194-C194</f>
        <v>36</v>
      </c>
      <c r="F194" s="171">
        <f t="shared" ref="F194:F199" si="81">+E194*1000</f>
        <v>36000</v>
      </c>
      <c r="G194" s="171">
        <v>0</v>
      </c>
      <c r="H194" s="171">
        <f t="shared" ref="H194:H199" si="82">+F194-G194</f>
        <v>36000</v>
      </c>
      <c r="I194" s="10">
        <v>1050</v>
      </c>
      <c r="J194" s="174">
        <f t="shared" ref="J194:J199" si="83">+E194*$J$122</f>
        <v>8438.4</v>
      </c>
      <c r="K194" s="172" t="s">
        <v>287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2:22" x14ac:dyDescent="0.3">
      <c r="B195" s="32">
        <v>44988</v>
      </c>
      <c r="C195" s="13">
        <v>5060</v>
      </c>
      <c r="D195" s="13">
        <v>5091</v>
      </c>
      <c r="E195" s="170">
        <f t="shared" si="80"/>
        <v>31</v>
      </c>
      <c r="F195" s="171">
        <f t="shared" si="81"/>
        <v>31000</v>
      </c>
      <c r="G195" s="171">
        <v>0</v>
      </c>
      <c r="H195" s="171">
        <f t="shared" si="82"/>
        <v>31000</v>
      </c>
      <c r="I195" s="33">
        <v>0</v>
      </c>
      <c r="J195" s="174">
        <f t="shared" si="83"/>
        <v>7266.4000000000005</v>
      </c>
      <c r="K195" s="172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2:22" x14ac:dyDescent="0.3">
      <c r="B196" s="32">
        <v>44995</v>
      </c>
      <c r="C196" s="13">
        <v>5091</v>
      </c>
      <c r="D196" s="13">
        <v>5111</v>
      </c>
      <c r="E196" s="170">
        <f t="shared" si="80"/>
        <v>20</v>
      </c>
      <c r="F196" s="171">
        <f t="shared" si="81"/>
        <v>20000</v>
      </c>
      <c r="G196" s="171">
        <v>0</v>
      </c>
      <c r="H196" s="171">
        <f t="shared" si="82"/>
        <v>20000</v>
      </c>
      <c r="I196" s="173">
        <v>1050</v>
      </c>
      <c r="J196" s="174">
        <f t="shared" si="83"/>
        <v>4688</v>
      </c>
      <c r="K196" s="172" t="s">
        <v>292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2:22" x14ac:dyDescent="0.3">
      <c r="B197" s="32">
        <v>45002</v>
      </c>
      <c r="C197" s="13">
        <v>5111</v>
      </c>
      <c r="D197" s="13">
        <v>5129</v>
      </c>
      <c r="E197" s="170">
        <f t="shared" si="80"/>
        <v>18</v>
      </c>
      <c r="F197" s="171">
        <f t="shared" si="81"/>
        <v>18000</v>
      </c>
      <c r="G197" s="171">
        <v>0</v>
      </c>
      <c r="H197" s="171">
        <f t="shared" si="82"/>
        <v>18000</v>
      </c>
      <c r="I197" s="173"/>
      <c r="J197" s="174">
        <f t="shared" si="83"/>
        <v>4219.2</v>
      </c>
      <c r="K197" s="172"/>
      <c r="L197" s="29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2:22" x14ac:dyDescent="0.3">
      <c r="B198" s="32"/>
      <c r="C198" s="13"/>
      <c r="D198" s="13"/>
      <c r="E198" s="170">
        <f t="shared" si="80"/>
        <v>0</v>
      </c>
      <c r="F198" s="171">
        <f t="shared" si="81"/>
        <v>0</v>
      </c>
      <c r="G198" s="171">
        <v>0</v>
      </c>
      <c r="H198" s="171">
        <f t="shared" si="82"/>
        <v>0</v>
      </c>
      <c r="I198" s="173"/>
      <c r="J198" s="174">
        <f t="shared" si="83"/>
        <v>0</v>
      </c>
      <c r="K198" s="172"/>
      <c r="L198" s="42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2:22" ht="15.75" thickBot="1" x14ac:dyDescent="0.35">
      <c r="B199" s="38"/>
      <c r="C199" s="39"/>
      <c r="D199" s="39"/>
      <c r="E199" s="16">
        <f t="shared" si="80"/>
        <v>0</v>
      </c>
      <c r="F199" s="17">
        <f t="shared" si="81"/>
        <v>0</v>
      </c>
      <c r="G199" s="17">
        <v>0</v>
      </c>
      <c r="H199" s="17">
        <f t="shared" si="82"/>
        <v>0</v>
      </c>
      <c r="I199" s="40"/>
      <c r="J199" s="175">
        <f t="shared" si="83"/>
        <v>0</v>
      </c>
      <c r="K199" s="176"/>
      <c r="L199" s="29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2:22" ht="15.75" thickBot="1" x14ac:dyDescent="0.35">
      <c r="B200" s="15"/>
      <c r="C200" s="16"/>
      <c r="D200" s="16"/>
      <c r="E200" s="16">
        <f t="shared" ref="E200:J200" si="84">SUM(E194:E199)</f>
        <v>105</v>
      </c>
      <c r="F200" s="17">
        <f t="shared" si="84"/>
        <v>105000</v>
      </c>
      <c r="G200" s="17">
        <f t="shared" si="84"/>
        <v>0</v>
      </c>
      <c r="H200" s="17">
        <f t="shared" si="84"/>
        <v>105000</v>
      </c>
      <c r="I200" s="18">
        <f t="shared" si="84"/>
        <v>2100</v>
      </c>
      <c r="J200" s="18">
        <f t="shared" si="84"/>
        <v>24612</v>
      </c>
      <c r="K200" s="176">
        <f>+H200*0.6-I200-J200-G200</f>
        <v>36288</v>
      </c>
      <c r="L200" s="43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2:22" x14ac:dyDescent="0.3">
      <c r="B201" s="2"/>
      <c r="C201" s="2"/>
      <c r="D201" s="2"/>
      <c r="E201" s="2"/>
      <c r="F201" s="3"/>
      <c r="G201" s="3"/>
      <c r="H201" s="3"/>
      <c r="I201" s="3"/>
      <c r="J201" s="3" t="s">
        <v>182</v>
      </c>
      <c r="K201" s="3"/>
      <c r="L201" s="43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2:22" ht="15.75" thickBot="1" x14ac:dyDescent="0.35">
      <c r="B202" s="22" t="s">
        <v>148</v>
      </c>
      <c r="C202" s="5"/>
      <c r="D202" s="5"/>
      <c r="E202" s="5"/>
      <c r="F202" s="5"/>
      <c r="G202" s="5"/>
      <c r="H202" s="5"/>
      <c r="I202" s="5"/>
      <c r="J202" s="6">
        <v>234.4</v>
      </c>
      <c r="K202" s="5"/>
      <c r="L202" s="5"/>
      <c r="M202" s="22" t="s">
        <v>293</v>
      </c>
      <c r="N202" s="5"/>
      <c r="O202" s="5"/>
      <c r="P202" s="5"/>
      <c r="Q202" s="5"/>
      <c r="R202" s="5"/>
      <c r="S202" s="5"/>
      <c r="T202" s="5"/>
      <c r="U202" s="6">
        <v>473.2</v>
      </c>
      <c r="V202" s="5"/>
    </row>
    <row r="203" spans="2:22" ht="15.75" thickBot="1" x14ac:dyDescent="0.35">
      <c r="B203" s="7" t="s">
        <v>142</v>
      </c>
      <c r="C203" s="8" t="s">
        <v>162</v>
      </c>
      <c r="D203" s="8" t="s">
        <v>143</v>
      </c>
      <c r="E203" s="8" t="s">
        <v>144</v>
      </c>
      <c r="F203" s="8" t="s">
        <v>145</v>
      </c>
      <c r="G203" s="8" t="s">
        <v>163</v>
      </c>
      <c r="H203" s="8" t="s">
        <v>164</v>
      </c>
      <c r="I203" s="168" t="s">
        <v>165</v>
      </c>
      <c r="J203" s="9" t="s">
        <v>166</v>
      </c>
      <c r="K203" s="98" t="s">
        <v>146</v>
      </c>
      <c r="L203" s="5"/>
      <c r="M203" s="7" t="s">
        <v>142</v>
      </c>
      <c r="N203" s="8" t="s">
        <v>162</v>
      </c>
      <c r="O203" s="8" t="s">
        <v>143</v>
      </c>
      <c r="P203" s="8" t="s">
        <v>144</v>
      </c>
      <c r="Q203" s="8" t="s">
        <v>145</v>
      </c>
      <c r="R203" s="8" t="s">
        <v>163</v>
      </c>
      <c r="S203" s="8" t="s">
        <v>164</v>
      </c>
      <c r="T203" s="168" t="s">
        <v>165</v>
      </c>
      <c r="U203" s="9" t="s">
        <v>166</v>
      </c>
      <c r="V203" s="98" t="s">
        <v>146</v>
      </c>
    </row>
    <row r="204" spans="2:22" x14ac:dyDescent="0.3">
      <c r="B204" s="178">
        <v>45009</v>
      </c>
      <c r="C204" s="170">
        <v>5129</v>
      </c>
      <c r="D204" s="170">
        <v>5164</v>
      </c>
      <c r="E204" s="170">
        <f t="shared" ref="E204:E209" si="85">+D204-C204</f>
        <v>35</v>
      </c>
      <c r="F204" s="171">
        <f t="shared" ref="F204:F209" si="86">+E204*1000</f>
        <v>35000</v>
      </c>
      <c r="G204" s="171">
        <v>0</v>
      </c>
      <c r="H204" s="171">
        <f t="shared" ref="H204:H209" si="87">+F204-G204</f>
        <v>35000</v>
      </c>
      <c r="I204" s="10">
        <v>1902</v>
      </c>
      <c r="J204" s="174">
        <f t="shared" ref="J204:J209" si="88">+E204*$J$122</f>
        <v>8204</v>
      </c>
      <c r="K204" s="172" t="s">
        <v>294</v>
      </c>
      <c r="L204" s="5"/>
      <c r="M204" s="178">
        <v>45012</v>
      </c>
      <c r="N204" s="170">
        <v>92</v>
      </c>
      <c r="O204" s="170">
        <v>92</v>
      </c>
      <c r="P204" s="170">
        <f t="shared" ref="P204:P209" si="89">+O204-N204</f>
        <v>0</v>
      </c>
      <c r="Q204" s="171">
        <f t="shared" ref="Q204:Q209" si="90">+P204*1000</f>
        <v>0</v>
      </c>
      <c r="R204" s="171">
        <v>0</v>
      </c>
      <c r="S204" s="171">
        <f t="shared" ref="S204:S209" si="91">+Q204-R204</f>
        <v>0</v>
      </c>
      <c r="T204" s="10"/>
      <c r="U204" s="174">
        <f t="shared" ref="U204:U209" si="92">+P204*$J$122</f>
        <v>0</v>
      </c>
      <c r="V204" s="172" t="s">
        <v>295</v>
      </c>
    </row>
    <row r="205" spans="2:22" x14ac:dyDescent="0.3">
      <c r="B205" s="32">
        <v>45012</v>
      </c>
      <c r="C205" s="13">
        <v>5164</v>
      </c>
      <c r="D205" s="13">
        <v>5175</v>
      </c>
      <c r="E205" s="170">
        <f t="shared" si="85"/>
        <v>11</v>
      </c>
      <c r="F205" s="171">
        <f t="shared" si="86"/>
        <v>11000</v>
      </c>
      <c r="G205" s="171">
        <v>0</v>
      </c>
      <c r="H205" s="171">
        <f t="shared" si="87"/>
        <v>11000</v>
      </c>
      <c r="I205" s="33">
        <v>950</v>
      </c>
      <c r="J205" s="174">
        <f t="shared" si="88"/>
        <v>2578.4</v>
      </c>
      <c r="K205" s="172"/>
      <c r="L205" s="5"/>
      <c r="M205" s="32">
        <v>45019</v>
      </c>
      <c r="N205" s="13">
        <v>92</v>
      </c>
      <c r="O205" s="13">
        <v>111</v>
      </c>
      <c r="P205" s="170">
        <f t="shared" si="89"/>
        <v>19</v>
      </c>
      <c r="Q205" s="171">
        <f t="shared" si="90"/>
        <v>19000</v>
      </c>
      <c r="R205" s="171">
        <v>0</v>
      </c>
      <c r="S205" s="171">
        <f t="shared" si="91"/>
        <v>19000</v>
      </c>
      <c r="T205" s="33">
        <v>3280</v>
      </c>
      <c r="U205" s="174">
        <f t="shared" si="92"/>
        <v>4453.6000000000004</v>
      </c>
      <c r="V205" s="172" t="s">
        <v>296</v>
      </c>
    </row>
    <row r="206" spans="2:22" x14ac:dyDescent="0.3">
      <c r="B206" s="32">
        <v>45019</v>
      </c>
      <c r="C206" s="13">
        <v>5175</v>
      </c>
      <c r="D206" s="13">
        <v>5213</v>
      </c>
      <c r="E206" s="170">
        <f t="shared" si="85"/>
        <v>38</v>
      </c>
      <c r="F206" s="171">
        <f t="shared" si="86"/>
        <v>38000</v>
      </c>
      <c r="G206" s="171">
        <v>0</v>
      </c>
      <c r="H206" s="171">
        <f t="shared" si="87"/>
        <v>38000</v>
      </c>
      <c r="I206" s="173">
        <v>0</v>
      </c>
      <c r="J206" s="174">
        <f t="shared" si="88"/>
        <v>8907.2000000000007</v>
      </c>
      <c r="K206" s="108" t="s">
        <v>297</v>
      </c>
      <c r="L206" s="5"/>
      <c r="M206" s="32">
        <v>45026</v>
      </c>
      <c r="N206" s="13">
        <v>111</v>
      </c>
      <c r="O206" s="13">
        <v>129</v>
      </c>
      <c r="P206" s="170">
        <f t="shared" si="89"/>
        <v>18</v>
      </c>
      <c r="Q206" s="171">
        <f t="shared" si="90"/>
        <v>18000</v>
      </c>
      <c r="R206" s="171">
        <v>0</v>
      </c>
      <c r="S206" s="171">
        <f t="shared" si="91"/>
        <v>18000</v>
      </c>
      <c r="T206" s="173"/>
      <c r="U206" s="174">
        <f t="shared" si="92"/>
        <v>4219.2</v>
      </c>
      <c r="V206" s="172"/>
    </row>
    <row r="207" spans="2:22" x14ac:dyDescent="0.3">
      <c r="B207" s="32">
        <v>45026</v>
      </c>
      <c r="C207" s="13">
        <v>5213</v>
      </c>
      <c r="D207" s="13">
        <v>5239</v>
      </c>
      <c r="E207" s="170">
        <f t="shared" si="85"/>
        <v>26</v>
      </c>
      <c r="F207" s="171">
        <f t="shared" si="86"/>
        <v>26000</v>
      </c>
      <c r="G207" s="171">
        <v>0</v>
      </c>
      <c r="H207" s="171">
        <f t="shared" si="87"/>
        <v>26000</v>
      </c>
      <c r="I207" s="173">
        <v>4688</v>
      </c>
      <c r="J207" s="174">
        <f t="shared" si="88"/>
        <v>6094.4000000000005</v>
      </c>
      <c r="K207" s="172"/>
      <c r="L207" s="29"/>
      <c r="M207" s="32">
        <v>45030</v>
      </c>
      <c r="N207" s="13">
        <v>129</v>
      </c>
      <c r="O207" s="13">
        <v>137</v>
      </c>
      <c r="P207" s="170">
        <f t="shared" si="89"/>
        <v>8</v>
      </c>
      <c r="Q207" s="171">
        <f t="shared" si="90"/>
        <v>8000</v>
      </c>
      <c r="R207" s="171">
        <v>0</v>
      </c>
      <c r="S207" s="171">
        <f t="shared" si="91"/>
        <v>8000</v>
      </c>
      <c r="T207" s="173">
        <v>3380</v>
      </c>
      <c r="U207" s="174">
        <f t="shared" si="92"/>
        <v>1875.2</v>
      </c>
      <c r="V207" s="172"/>
    </row>
    <row r="208" spans="2:22" x14ac:dyDescent="0.3">
      <c r="B208" s="32">
        <v>45030</v>
      </c>
      <c r="C208" s="13">
        <v>5239</v>
      </c>
      <c r="D208" s="13">
        <v>5253</v>
      </c>
      <c r="E208" s="170">
        <f t="shared" si="85"/>
        <v>14</v>
      </c>
      <c r="F208" s="171">
        <f t="shared" si="86"/>
        <v>14000</v>
      </c>
      <c r="G208" s="171">
        <v>0</v>
      </c>
      <c r="H208" s="171">
        <f t="shared" si="87"/>
        <v>14000</v>
      </c>
      <c r="I208" s="173">
        <v>950</v>
      </c>
      <c r="J208" s="174">
        <f t="shared" si="88"/>
        <v>3281.6</v>
      </c>
      <c r="K208" s="172"/>
      <c r="L208" s="42"/>
      <c r="M208" s="32"/>
      <c r="N208" s="13"/>
      <c r="O208" s="13"/>
      <c r="P208" s="170">
        <f t="shared" si="89"/>
        <v>0</v>
      </c>
      <c r="Q208" s="171">
        <f t="shared" si="90"/>
        <v>0</v>
      </c>
      <c r="R208" s="171">
        <v>0</v>
      </c>
      <c r="S208" s="171">
        <f t="shared" si="91"/>
        <v>0</v>
      </c>
      <c r="T208" s="173"/>
      <c r="U208" s="174">
        <f t="shared" si="92"/>
        <v>0</v>
      </c>
      <c r="V208" s="172"/>
    </row>
    <row r="209" spans="2:22" ht="15.75" thickBot="1" x14ac:dyDescent="0.35">
      <c r="B209" s="38"/>
      <c r="C209" s="39"/>
      <c r="D209" s="39"/>
      <c r="E209" s="16">
        <f t="shared" si="85"/>
        <v>0</v>
      </c>
      <c r="F209" s="17">
        <f t="shared" si="86"/>
        <v>0</v>
      </c>
      <c r="G209" s="17">
        <v>0</v>
      </c>
      <c r="H209" s="17">
        <f t="shared" si="87"/>
        <v>0</v>
      </c>
      <c r="I209" s="40"/>
      <c r="J209" s="175">
        <f t="shared" si="88"/>
        <v>0</v>
      </c>
      <c r="K209" s="176"/>
      <c r="L209" s="29"/>
      <c r="M209" s="38"/>
      <c r="N209" s="39"/>
      <c r="O209" s="39"/>
      <c r="P209" s="16">
        <f t="shared" si="89"/>
        <v>0</v>
      </c>
      <c r="Q209" s="17">
        <f t="shared" si="90"/>
        <v>0</v>
      </c>
      <c r="R209" s="17">
        <v>0</v>
      </c>
      <c r="S209" s="17">
        <f t="shared" si="91"/>
        <v>0</v>
      </c>
      <c r="T209" s="40"/>
      <c r="U209" s="175">
        <f t="shared" si="92"/>
        <v>0</v>
      </c>
      <c r="V209" s="176"/>
    </row>
    <row r="210" spans="2:22" ht="15.75" thickBot="1" x14ac:dyDescent="0.35">
      <c r="B210" s="15"/>
      <c r="C210" s="16"/>
      <c r="D210" s="16"/>
      <c r="E210" s="16">
        <f t="shared" ref="E210:J210" si="93">SUM(E204:E209)</f>
        <v>124</v>
      </c>
      <c r="F210" s="17">
        <f t="shared" si="93"/>
        <v>124000</v>
      </c>
      <c r="G210" s="17">
        <f t="shared" si="93"/>
        <v>0</v>
      </c>
      <c r="H210" s="17">
        <f t="shared" si="93"/>
        <v>124000</v>
      </c>
      <c r="I210" s="18">
        <f t="shared" si="93"/>
        <v>8490</v>
      </c>
      <c r="J210" s="18">
        <f t="shared" si="93"/>
        <v>29065.599999999999</v>
      </c>
      <c r="K210" s="176">
        <f>+H210*0.6-I210-J210-G210</f>
        <v>36844.400000000001</v>
      </c>
      <c r="L210" s="43"/>
      <c r="M210" s="15"/>
      <c r="N210" s="16"/>
      <c r="O210" s="16"/>
      <c r="P210" s="16">
        <f t="shared" ref="P210:U210" si="94">SUM(P204:P209)</f>
        <v>45</v>
      </c>
      <c r="Q210" s="17">
        <f t="shared" si="94"/>
        <v>45000</v>
      </c>
      <c r="R210" s="17">
        <f t="shared" si="94"/>
        <v>0</v>
      </c>
      <c r="S210" s="17">
        <f t="shared" si="94"/>
        <v>45000</v>
      </c>
      <c r="T210" s="18">
        <f t="shared" si="94"/>
        <v>6660</v>
      </c>
      <c r="U210" s="18">
        <f t="shared" si="94"/>
        <v>10548</v>
      </c>
      <c r="V210" s="176">
        <f>+S210*0.6-T210-U210-R210</f>
        <v>9792</v>
      </c>
    </row>
    <row r="211" spans="2:22" x14ac:dyDescent="0.3">
      <c r="B211" s="2"/>
      <c r="C211" s="2"/>
      <c r="D211" s="2"/>
      <c r="E211" s="2"/>
      <c r="F211" s="3"/>
      <c r="G211" s="3"/>
      <c r="H211" s="3"/>
      <c r="I211" s="3"/>
      <c r="J211" s="3" t="s">
        <v>182</v>
      </c>
      <c r="K211" s="3"/>
      <c r="L211" s="43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2:22" ht="15.75" thickBot="1" x14ac:dyDescent="0.35">
      <c r="B212" s="179" t="s">
        <v>298</v>
      </c>
      <c r="C212" s="180"/>
      <c r="D212" s="5"/>
      <c r="E212" s="5"/>
      <c r="F212" s="5"/>
      <c r="G212" s="5"/>
      <c r="H212" s="5"/>
      <c r="I212" s="5"/>
      <c r="J212" s="6">
        <v>234.4</v>
      </c>
      <c r="K212" s="5"/>
      <c r="L212" s="5"/>
      <c r="M212" s="22" t="s">
        <v>293</v>
      </c>
      <c r="N212" s="5"/>
      <c r="O212" s="5"/>
      <c r="P212" s="5"/>
      <c r="Q212" s="5"/>
      <c r="R212" s="5"/>
      <c r="S212" s="5"/>
      <c r="T212" s="5"/>
      <c r="U212" s="6">
        <v>473.2</v>
      </c>
      <c r="V212" s="5"/>
    </row>
    <row r="213" spans="2:22" ht="15.75" thickBot="1" x14ac:dyDescent="0.35">
      <c r="B213" s="7" t="s">
        <v>142</v>
      </c>
      <c r="C213" s="8" t="s">
        <v>162</v>
      </c>
      <c r="D213" s="8" t="s">
        <v>143</v>
      </c>
      <c r="E213" s="8" t="s">
        <v>144</v>
      </c>
      <c r="F213" s="8" t="s">
        <v>145</v>
      </c>
      <c r="G213" s="8" t="s">
        <v>163</v>
      </c>
      <c r="H213" s="8" t="s">
        <v>164</v>
      </c>
      <c r="I213" s="168" t="s">
        <v>165</v>
      </c>
      <c r="J213" s="9" t="s">
        <v>166</v>
      </c>
      <c r="K213" s="98" t="s">
        <v>146</v>
      </c>
      <c r="L213" s="5"/>
      <c r="M213" s="7" t="s">
        <v>142</v>
      </c>
      <c r="N213" s="8" t="s">
        <v>162</v>
      </c>
      <c r="O213" s="8" t="s">
        <v>143</v>
      </c>
      <c r="P213" s="8" t="s">
        <v>144</v>
      </c>
      <c r="Q213" s="8" t="s">
        <v>145</v>
      </c>
      <c r="R213" s="8" t="s">
        <v>163</v>
      </c>
      <c r="S213" s="8" t="s">
        <v>164</v>
      </c>
      <c r="T213" s="168" t="s">
        <v>165</v>
      </c>
      <c r="U213" s="9" t="s">
        <v>166</v>
      </c>
      <c r="V213" s="98" t="s">
        <v>146</v>
      </c>
    </row>
    <row r="214" spans="2:22" x14ac:dyDescent="0.3">
      <c r="B214" s="178">
        <v>45041</v>
      </c>
      <c r="C214" s="170">
        <v>5253</v>
      </c>
      <c r="D214" s="170">
        <v>5284</v>
      </c>
      <c r="E214" s="170">
        <f t="shared" ref="E214:E219" si="95">+D214-C214</f>
        <v>31</v>
      </c>
      <c r="F214" s="171">
        <f t="shared" ref="F214:F219" si="96">+E214*1000</f>
        <v>31000</v>
      </c>
      <c r="G214" s="171">
        <v>0</v>
      </c>
      <c r="H214" s="171">
        <f t="shared" ref="H214:H219" si="97">+F214-G214</f>
        <v>31000</v>
      </c>
      <c r="I214" s="10">
        <v>1980</v>
      </c>
      <c r="J214" s="174">
        <f t="shared" ref="J214:J219" si="98">+E214*$J$122</f>
        <v>7266.4000000000005</v>
      </c>
      <c r="K214" s="172" t="s">
        <v>299</v>
      </c>
      <c r="L214" s="5"/>
      <c r="M214" s="178">
        <v>45041</v>
      </c>
      <c r="N214" s="170">
        <v>137</v>
      </c>
      <c r="O214" s="170">
        <v>180</v>
      </c>
      <c r="P214" s="170">
        <f t="shared" ref="P214:P219" si="99">+O214-N214</f>
        <v>43</v>
      </c>
      <c r="Q214" s="171">
        <f t="shared" ref="Q214:Q219" si="100">+P214*1000</f>
        <v>43000</v>
      </c>
      <c r="R214" s="171">
        <v>0</v>
      </c>
      <c r="S214" s="171">
        <f t="shared" ref="S214:S219" si="101">+Q214-R214</f>
        <v>43000</v>
      </c>
      <c r="T214" s="10">
        <v>2420</v>
      </c>
      <c r="U214" s="174">
        <f t="shared" ref="U214:U219" si="102">+P214*$J$122</f>
        <v>10079.200000000001</v>
      </c>
      <c r="V214" s="172" t="s">
        <v>300</v>
      </c>
    </row>
    <row r="215" spans="2:22" x14ac:dyDescent="0.3">
      <c r="B215" s="32">
        <v>45047</v>
      </c>
      <c r="C215" s="13">
        <v>5284</v>
      </c>
      <c r="D215" s="13">
        <v>5299</v>
      </c>
      <c r="E215" s="170">
        <f t="shared" si="95"/>
        <v>15</v>
      </c>
      <c r="F215" s="171">
        <f t="shared" si="96"/>
        <v>15000</v>
      </c>
      <c r="G215" s="171">
        <v>0</v>
      </c>
      <c r="H215" s="171">
        <f t="shared" si="97"/>
        <v>15000</v>
      </c>
      <c r="I215" s="33">
        <v>950</v>
      </c>
      <c r="J215" s="174">
        <f t="shared" si="98"/>
        <v>3516</v>
      </c>
      <c r="K215" s="172" t="s">
        <v>301</v>
      </c>
      <c r="L215" s="5"/>
      <c r="M215" s="32">
        <v>45047</v>
      </c>
      <c r="N215" s="13">
        <v>180</v>
      </c>
      <c r="O215" s="13">
        <v>250</v>
      </c>
      <c r="P215" s="170">
        <f t="shared" si="99"/>
        <v>70</v>
      </c>
      <c r="Q215" s="171">
        <f t="shared" si="100"/>
        <v>70000</v>
      </c>
      <c r="R215" s="171">
        <v>0</v>
      </c>
      <c r="S215" s="171">
        <f t="shared" si="101"/>
        <v>70000</v>
      </c>
      <c r="T215" s="33">
        <v>4747</v>
      </c>
      <c r="U215" s="174">
        <f t="shared" si="102"/>
        <v>16408</v>
      </c>
      <c r="V215" s="172" t="s">
        <v>302</v>
      </c>
    </row>
    <row r="216" spans="2:22" x14ac:dyDescent="0.3">
      <c r="B216" s="32">
        <v>45058</v>
      </c>
      <c r="C216" s="13">
        <v>5299</v>
      </c>
      <c r="D216" s="13">
        <v>5379</v>
      </c>
      <c r="E216" s="170">
        <f t="shared" si="95"/>
        <v>80</v>
      </c>
      <c r="F216" s="171">
        <f t="shared" si="96"/>
        <v>80000</v>
      </c>
      <c r="G216" s="171">
        <v>0</v>
      </c>
      <c r="H216" s="171">
        <f t="shared" si="97"/>
        <v>80000</v>
      </c>
      <c r="I216" s="173">
        <v>12000</v>
      </c>
      <c r="J216" s="174">
        <f t="shared" si="98"/>
        <v>18752</v>
      </c>
      <c r="K216" s="172"/>
      <c r="L216" s="5"/>
      <c r="M216" s="32">
        <v>45058</v>
      </c>
      <c r="N216" s="13">
        <v>250</v>
      </c>
      <c r="O216" s="13">
        <v>306</v>
      </c>
      <c r="P216" s="170">
        <f t="shared" si="99"/>
        <v>56</v>
      </c>
      <c r="Q216" s="171">
        <f t="shared" si="100"/>
        <v>56000</v>
      </c>
      <c r="R216" s="171">
        <v>0</v>
      </c>
      <c r="S216" s="171">
        <f t="shared" si="101"/>
        <v>56000</v>
      </c>
      <c r="T216" s="173">
        <v>2320</v>
      </c>
      <c r="U216" s="174">
        <f t="shared" si="102"/>
        <v>13126.4</v>
      </c>
      <c r="V216" s="172"/>
    </row>
    <row r="217" spans="2:22" x14ac:dyDescent="0.3">
      <c r="B217" s="32">
        <v>45065</v>
      </c>
      <c r="C217" s="13">
        <v>5379</v>
      </c>
      <c r="D217" s="13">
        <v>5397</v>
      </c>
      <c r="E217" s="170">
        <f t="shared" si="95"/>
        <v>18</v>
      </c>
      <c r="F217" s="171">
        <f t="shared" si="96"/>
        <v>18000</v>
      </c>
      <c r="G217" s="171">
        <v>0</v>
      </c>
      <c r="H217" s="171">
        <f t="shared" si="97"/>
        <v>18000</v>
      </c>
      <c r="I217" s="173">
        <v>2300</v>
      </c>
      <c r="J217" s="174">
        <f t="shared" si="98"/>
        <v>4219.2</v>
      </c>
      <c r="K217" s="172"/>
      <c r="L217" s="29"/>
      <c r="M217" s="32">
        <v>45065</v>
      </c>
      <c r="N217" s="13">
        <v>306</v>
      </c>
      <c r="O217" s="13">
        <v>343</v>
      </c>
      <c r="P217" s="170">
        <f t="shared" si="99"/>
        <v>37</v>
      </c>
      <c r="Q217" s="171">
        <f t="shared" si="100"/>
        <v>37000</v>
      </c>
      <c r="R217" s="171">
        <v>0</v>
      </c>
      <c r="S217" s="171">
        <f t="shared" si="101"/>
        <v>37000</v>
      </c>
      <c r="T217" s="173">
        <v>1050</v>
      </c>
      <c r="U217" s="174">
        <f t="shared" si="102"/>
        <v>8672.8000000000011</v>
      </c>
      <c r="V217" s="172"/>
    </row>
    <row r="218" spans="2:22" x14ac:dyDescent="0.3">
      <c r="B218" s="32"/>
      <c r="C218" s="13"/>
      <c r="D218" s="13"/>
      <c r="E218" s="170">
        <f t="shared" si="95"/>
        <v>0</v>
      </c>
      <c r="F218" s="171">
        <f t="shared" si="96"/>
        <v>0</v>
      </c>
      <c r="G218" s="171">
        <v>0</v>
      </c>
      <c r="H218" s="171">
        <f t="shared" si="97"/>
        <v>0</v>
      </c>
      <c r="I218" s="173"/>
      <c r="J218" s="174">
        <f t="shared" si="98"/>
        <v>0</v>
      </c>
      <c r="K218" s="172"/>
      <c r="L218" s="42"/>
      <c r="M218" s="32"/>
      <c r="N218" s="13"/>
      <c r="O218" s="13"/>
      <c r="P218" s="170">
        <f t="shared" si="99"/>
        <v>0</v>
      </c>
      <c r="Q218" s="171">
        <f t="shared" si="100"/>
        <v>0</v>
      </c>
      <c r="R218" s="171">
        <v>0</v>
      </c>
      <c r="S218" s="171">
        <f t="shared" si="101"/>
        <v>0</v>
      </c>
      <c r="T218" s="173"/>
      <c r="U218" s="174">
        <f t="shared" si="102"/>
        <v>0</v>
      </c>
      <c r="V218" s="172"/>
    </row>
    <row r="219" spans="2:22" ht="15.75" thickBot="1" x14ac:dyDescent="0.35">
      <c r="B219" s="38"/>
      <c r="C219" s="39"/>
      <c r="D219" s="39"/>
      <c r="E219" s="16">
        <f t="shared" si="95"/>
        <v>0</v>
      </c>
      <c r="F219" s="17">
        <f t="shared" si="96"/>
        <v>0</v>
      </c>
      <c r="G219" s="17">
        <v>0</v>
      </c>
      <c r="H219" s="17">
        <f t="shared" si="97"/>
        <v>0</v>
      </c>
      <c r="I219" s="40"/>
      <c r="J219" s="175">
        <f t="shared" si="98"/>
        <v>0</v>
      </c>
      <c r="K219" s="176"/>
      <c r="L219" s="29"/>
      <c r="M219" s="38"/>
      <c r="N219" s="39"/>
      <c r="O219" s="39"/>
      <c r="P219" s="16">
        <f t="shared" si="99"/>
        <v>0</v>
      </c>
      <c r="Q219" s="17">
        <f t="shared" si="100"/>
        <v>0</v>
      </c>
      <c r="R219" s="17">
        <v>0</v>
      </c>
      <c r="S219" s="17">
        <f t="shared" si="101"/>
        <v>0</v>
      </c>
      <c r="T219" s="40"/>
      <c r="U219" s="175">
        <f t="shared" si="102"/>
        <v>0</v>
      </c>
      <c r="V219" s="176"/>
    </row>
    <row r="220" spans="2:22" ht="15.75" thickBot="1" x14ac:dyDescent="0.35">
      <c r="B220" s="15"/>
      <c r="C220" s="16"/>
      <c r="D220" s="16"/>
      <c r="E220" s="16">
        <f t="shared" ref="E220:J220" si="103">SUM(E214:E219)</f>
        <v>144</v>
      </c>
      <c r="F220" s="17">
        <f t="shared" si="103"/>
        <v>144000</v>
      </c>
      <c r="G220" s="17">
        <f t="shared" si="103"/>
        <v>0</v>
      </c>
      <c r="H220" s="17">
        <f t="shared" si="103"/>
        <v>144000</v>
      </c>
      <c r="I220" s="18">
        <f t="shared" si="103"/>
        <v>17230</v>
      </c>
      <c r="J220" s="18">
        <f t="shared" si="103"/>
        <v>33753.599999999999</v>
      </c>
      <c r="K220" s="176">
        <f>+H220*0.6-I220-J220-G220</f>
        <v>35416.400000000001</v>
      </c>
      <c r="L220" s="43"/>
      <c r="M220" s="15"/>
      <c r="N220" s="16"/>
      <c r="O220" s="16"/>
      <c r="P220" s="16">
        <f t="shared" ref="P220:U220" si="104">SUM(P214:P219)</f>
        <v>206</v>
      </c>
      <c r="Q220" s="17">
        <f t="shared" si="104"/>
        <v>206000</v>
      </c>
      <c r="R220" s="17">
        <f t="shared" si="104"/>
        <v>0</v>
      </c>
      <c r="S220" s="17">
        <f t="shared" si="104"/>
        <v>206000</v>
      </c>
      <c r="T220" s="18">
        <f t="shared" si="104"/>
        <v>10537</v>
      </c>
      <c r="U220" s="18">
        <f t="shared" si="104"/>
        <v>48286.400000000001</v>
      </c>
      <c r="V220" s="176">
        <f>+S220*0.6-T220-U220-R220</f>
        <v>64776.6</v>
      </c>
    </row>
    <row r="221" spans="2:22" x14ac:dyDescent="0.3">
      <c r="B221" s="2"/>
      <c r="C221" s="2"/>
      <c r="D221" s="2"/>
      <c r="E221" s="2"/>
      <c r="F221" s="3"/>
      <c r="G221" s="3"/>
      <c r="H221" s="3"/>
      <c r="I221" s="3"/>
      <c r="J221" s="3" t="s">
        <v>182</v>
      </c>
      <c r="K221" s="3"/>
      <c r="L221" s="43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2:22" ht="15.75" thickBot="1" x14ac:dyDescent="0.35">
      <c r="B222" s="179" t="s">
        <v>298</v>
      </c>
      <c r="C222" s="180"/>
      <c r="D222" s="5"/>
      <c r="E222" s="5"/>
      <c r="F222" s="5"/>
      <c r="G222" s="5"/>
      <c r="H222" s="5"/>
      <c r="I222" s="5"/>
      <c r="J222" s="6">
        <v>234.4</v>
      </c>
      <c r="K222" s="5"/>
      <c r="L222" s="5"/>
      <c r="M222" s="22" t="s">
        <v>293</v>
      </c>
      <c r="N222" s="5"/>
      <c r="O222" s="5"/>
      <c r="P222" s="5"/>
      <c r="Q222" s="5"/>
      <c r="R222" s="5"/>
      <c r="S222" s="5"/>
      <c r="T222" s="5"/>
      <c r="U222" s="6">
        <v>473.2</v>
      </c>
      <c r="V222" s="5"/>
    </row>
    <row r="223" spans="2:22" ht="15.75" thickBot="1" x14ac:dyDescent="0.35">
      <c r="B223" s="7" t="s">
        <v>142</v>
      </c>
      <c r="C223" s="8" t="s">
        <v>162</v>
      </c>
      <c r="D223" s="8" t="s">
        <v>143</v>
      </c>
      <c r="E223" s="8" t="s">
        <v>144</v>
      </c>
      <c r="F223" s="8" t="s">
        <v>145</v>
      </c>
      <c r="G223" s="8" t="s">
        <v>163</v>
      </c>
      <c r="H223" s="8" t="s">
        <v>164</v>
      </c>
      <c r="I223" s="168" t="s">
        <v>165</v>
      </c>
      <c r="J223" s="9" t="s">
        <v>166</v>
      </c>
      <c r="K223" s="98" t="s">
        <v>146</v>
      </c>
      <c r="L223" s="5"/>
      <c r="M223" s="7" t="s">
        <v>142</v>
      </c>
      <c r="N223" s="8" t="s">
        <v>162</v>
      </c>
      <c r="O223" s="8" t="s">
        <v>143</v>
      </c>
      <c r="P223" s="8" t="s">
        <v>144</v>
      </c>
      <c r="Q223" s="8" t="s">
        <v>145</v>
      </c>
      <c r="R223" s="8" t="s">
        <v>163</v>
      </c>
      <c r="S223" s="8" t="s">
        <v>164</v>
      </c>
      <c r="T223" s="168" t="s">
        <v>165</v>
      </c>
      <c r="U223" s="9" t="s">
        <v>166</v>
      </c>
      <c r="V223" s="98" t="s">
        <v>146</v>
      </c>
    </row>
    <row r="224" spans="2:22" x14ac:dyDescent="0.3">
      <c r="B224" s="178">
        <v>45072</v>
      </c>
      <c r="C224" s="170">
        <v>5397</v>
      </c>
      <c r="D224" s="170">
        <v>5403</v>
      </c>
      <c r="E224" s="170">
        <f t="shared" ref="E224:E229" si="105">+D224-C224</f>
        <v>6</v>
      </c>
      <c r="F224" s="171">
        <f t="shared" ref="F224:F229" si="106">+E224*1000</f>
        <v>6000</v>
      </c>
      <c r="G224" s="171">
        <v>0</v>
      </c>
      <c r="H224" s="171">
        <f t="shared" ref="H224:H229" si="107">+F224-G224</f>
        <v>6000</v>
      </c>
      <c r="I224" s="10"/>
      <c r="J224" s="174">
        <f t="shared" ref="J224:J229" si="108">+E224*$J$122</f>
        <v>1406.4</v>
      </c>
      <c r="K224" s="172"/>
      <c r="L224" s="5"/>
      <c r="M224" s="178">
        <v>45072</v>
      </c>
      <c r="N224" s="170">
        <v>343</v>
      </c>
      <c r="O224" s="170">
        <v>366</v>
      </c>
      <c r="P224" s="170">
        <f t="shared" ref="P224:P229" si="109">+O224-N224</f>
        <v>23</v>
      </c>
      <c r="Q224" s="171">
        <f t="shared" ref="Q224:Q229" si="110">+P224*1000</f>
        <v>23000</v>
      </c>
      <c r="R224" s="171">
        <v>0</v>
      </c>
      <c r="S224" s="171">
        <f t="shared" ref="S224:S229" si="111">+Q224-R224</f>
        <v>23000</v>
      </c>
      <c r="T224" s="10">
        <v>3300</v>
      </c>
      <c r="U224" s="174">
        <f t="shared" ref="U224:U229" si="112">+P224*$J$122</f>
        <v>5391.2</v>
      </c>
      <c r="V224" s="172"/>
    </row>
    <row r="225" spans="2:22" x14ac:dyDescent="0.3">
      <c r="B225" s="32">
        <v>45075</v>
      </c>
      <c r="C225" s="13">
        <v>5403</v>
      </c>
      <c r="D225" s="13">
        <v>5413</v>
      </c>
      <c r="E225" s="170">
        <f t="shared" si="105"/>
        <v>10</v>
      </c>
      <c r="F225" s="171">
        <f t="shared" si="106"/>
        <v>10000</v>
      </c>
      <c r="G225" s="171">
        <v>0</v>
      </c>
      <c r="H225" s="171">
        <f t="shared" si="107"/>
        <v>10000</v>
      </c>
      <c r="I225" s="33">
        <v>1980</v>
      </c>
      <c r="J225" s="174">
        <f t="shared" si="108"/>
        <v>2344</v>
      </c>
      <c r="K225" s="172"/>
      <c r="L225" s="5"/>
      <c r="M225" s="32">
        <v>45075</v>
      </c>
      <c r="N225" s="13">
        <v>366</v>
      </c>
      <c r="O225" s="13">
        <v>381</v>
      </c>
      <c r="P225" s="170">
        <f t="shared" si="109"/>
        <v>15</v>
      </c>
      <c r="Q225" s="171">
        <f t="shared" si="110"/>
        <v>15000</v>
      </c>
      <c r="R225" s="171">
        <v>0</v>
      </c>
      <c r="S225" s="171">
        <f t="shared" si="111"/>
        <v>15000</v>
      </c>
      <c r="T225" s="33">
        <v>1880</v>
      </c>
      <c r="U225" s="174">
        <f t="shared" si="112"/>
        <v>3516</v>
      </c>
      <c r="V225" s="172"/>
    </row>
    <row r="226" spans="2:22" x14ac:dyDescent="0.3">
      <c r="B226" s="32">
        <v>45082</v>
      </c>
      <c r="C226" s="13">
        <v>5413</v>
      </c>
      <c r="D226" s="13">
        <v>5423</v>
      </c>
      <c r="E226" s="170">
        <f t="shared" si="105"/>
        <v>10</v>
      </c>
      <c r="F226" s="171">
        <f t="shared" si="106"/>
        <v>10000</v>
      </c>
      <c r="G226" s="171">
        <v>0</v>
      </c>
      <c r="H226" s="171">
        <f t="shared" si="107"/>
        <v>10000</v>
      </c>
      <c r="I226" s="173">
        <v>2200</v>
      </c>
      <c r="J226" s="174">
        <f t="shared" si="108"/>
        <v>2344</v>
      </c>
      <c r="K226" s="172"/>
      <c r="L226" s="5"/>
      <c r="M226" s="32">
        <v>45082</v>
      </c>
      <c r="N226" s="13">
        <v>381</v>
      </c>
      <c r="O226" s="13">
        <v>397</v>
      </c>
      <c r="P226" s="170">
        <f t="shared" si="109"/>
        <v>16</v>
      </c>
      <c r="Q226" s="171">
        <f t="shared" si="110"/>
        <v>16000</v>
      </c>
      <c r="R226" s="171">
        <v>0</v>
      </c>
      <c r="S226" s="171">
        <f t="shared" si="111"/>
        <v>16000</v>
      </c>
      <c r="T226" s="173">
        <v>4230</v>
      </c>
      <c r="U226" s="174">
        <f t="shared" si="112"/>
        <v>3750.4</v>
      </c>
      <c r="V226" s="172"/>
    </row>
    <row r="227" spans="2:22" x14ac:dyDescent="0.3">
      <c r="B227" s="32">
        <v>45087</v>
      </c>
      <c r="C227" s="13">
        <v>5423</v>
      </c>
      <c r="D227" s="13">
        <v>5445</v>
      </c>
      <c r="E227" s="170">
        <f t="shared" si="105"/>
        <v>22</v>
      </c>
      <c r="F227" s="171">
        <f t="shared" si="106"/>
        <v>22000</v>
      </c>
      <c r="G227" s="171">
        <v>0</v>
      </c>
      <c r="H227" s="171">
        <f t="shared" si="107"/>
        <v>22000</v>
      </c>
      <c r="I227" s="173">
        <v>3400</v>
      </c>
      <c r="J227" s="174">
        <f t="shared" si="108"/>
        <v>5156.8</v>
      </c>
      <c r="K227" s="172"/>
      <c r="L227" s="29"/>
      <c r="M227" s="32">
        <v>45087</v>
      </c>
      <c r="N227" s="13">
        <v>397</v>
      </c>
      <c r="O227" s="13">
        <v>418</v>
      </c>
      <c r="P227" s="170">
        <f t="shared" si="109"/>
        <v>21</v>
      </c>
      <c r="Q227" s="171">
        <f t="shared" si="110"/>
        <v>21000</v>
      </c>
      <c r="R227" s="171">
        <v>0</v>
      </c>
      <c r="S227" s="171">
        <f t="shared" si="111"/>
        <v>21000</v>
      </c>
      <c r="T227" s="173">
        <v>3300</v>
      </c>
      <c r="U227" s="174">
        <f t="shared" si="112"/>
        <v>4922.4000000000005</v>
      </c>
      <c r="V227" s="172"/>
    </row>
    <row r="228" spans="2:22" x14ac:dyDescent="0.3">
      <c r="B228" s="32"/>
      <c r="C228" s="13"/>
      <c r="D228" s="13"/>
      <c r="E228" s="170">
        <f t="shared" si="105"/>
        <v>0</v>
      </c>
      <c r="F228" s="171">
        <f t="shared" si="106"/>
        <v>0</v>
      </c>
      <c r="G228" s="171">
        <v>0</v>
      </c>
      <c r="H228" s="171">
        <f t="shared" si="107"/>
        <v>0</v>
      </c>
      <c r="I228" s="173"/>
      <c r="J228" s="174">
        <f t="shared" si="108"/>
        <v>0</v>
      </c>
      <c r="K228" s="172"/>
      <c r="L228" s="42"/>
      <c r="M228" s="32"/>
      <c r="N228" s="13"/>
      <c r="O228" s="13"/>
      <c r="P228" s="170">
        <f t="shared" si="109"/>
        <v>0</v>
      </c>
      <c r="Q228" s="171">
        <f t="shared" si="110"/>
        <v>0</v>
      </c>
      <c r="R228" s="171">
        <v>0</v>
      </c>
      <c r="S228" s="171">
        <f t="shared" si="111"/>
        <v>0</v>
      </c>
      <c r="T228" s="173"/>
      <c r="U228" s="174">
        <f t="shared" si="112"/>
        <v>0</v>
      </c>
      <c r="V228" s="172"/>
    </row>
    <row r="229" spans="2:22" ht="15.75" thickBot="1" x14ac:dyDescent="0.35">
      <c r="B229" s="38"/>
      <c r="C229" s="39"/>
      <c r="D229" s="39"/>
      <c r="E229" s="16">
        <f t="shared" si="105"/>
        <v>0</v>
      </c>
      <c r="F229" s="17">
        <f t="shared" si="106"/>
        <v>0</v>
      </c>
      <c r="G229" s="17">
        <v>0</v>
      </c>
      <c r="H229" s="17">
        <f t="shared" si="107"/>
        <v>0</v>
      </c>
      <c r="I229" s="40"/>
      <c r="J229" s="175">
        <f t="shared" si="108"/>
        <v>0</v>
      </c>
      <c r="K229" s="176"/>
      <c r="L229" s="29"/>
      <c r="M229" s="38"/>
      <c r="N229" s="39"/>
      <c r="O229" s="39"/>
      <c r="P229" s="16">
        <f t="shared" si="109"/>
        <v>0</v>
      </c>
      <c r="Q229" s="17">
        <f t="shared" si="110"/>
        <v>0</v>
      </c>
      <c r="R229" s="17">
        <v>0</v>
      </c>
      <c r="S229" s="17">
        <f t="shared" si="111"/>
        <v>0</v>
      </c>
      <c r="T229" s="40"/>
      <c r="U229" s="175">
        <f t="shared" si="112"/>
        <v>0</v>
      </c>
      <c r="V229" s="176"/>
    </row>
    <row r="230" spans="2:22" ht="15.75" thickBot="1" x14ac:dyDescent="0.35">
      <c r="B230" s="15"/>
      <c r="C230" s="16"/>
      <c r="D230" s="16"/>
      <c r="E230" s="16">
        <f t="shared" ref="E230:J230" si="113">SUM(E224:E229)</f>
        <v>48</v>
      </c>
      <c r="F230" s="17">
        <f t="shared" si="113"/>
        <v>48000</v>
      </c>
      <c r="G230" s="17">
        <f t="shared" si="113"/>
        <v>0</v>
      </c>
      <c r="H230" s="17">
        <f t="shared" si="113"/>
        <v>48000</v>
      </c>
      <c r="I230" s="18">
        <f t="shared" si="113"/>
        <v>7580</v>
      </c>
      <c r="J230" s="18">
        <f t="shared" si="113"/>
        <v>11251.2</v>
      </c>
      <c r="K230" s="176">
        <f>+H230*0.6-I230-J230-G230</f>
        <v>9968.7999999999993</v>
      </c>
      <c r="L230" s="43"/>
      <c r="M230" s="15"/>
      <c r="N230" s="16"/>
      <c r="O230" s="16"/>
      <c r="P230" s="16">
        <f t="shared" ref="P230:U230" si="114">SUM(P224:P229)</f>
        <v>75</v>
      </c>
      <c r="Q230" s="17">
        <f t="shared" si="114"/>
        <v>75000</v>
      </c>
      <c r="R230" s="17">
        <f t="shared" si="114"/>
        <v>0</v>
      </c>
      <c r="S230" s="17">
        <f t="shared" si="114"/>
        <v>75000</v>
      </c>
      <c r="T230" s="18">
        <f t="shared" si="114"/>
        <v>12710</v>
      </c>
      <c r="U230" s="18">
        <f t="shared" si="114"/>
        <v>17580</v>
      </c>
      <c r="V230" s="176">
        <f>+S230*0.6-T230-U230-R230</f>
        <v>14710</v>
      </c>
    </row>
    <row r="231" spans="2:22" x14ac:dyDescent="0.3">
      <c r="B231" s="2"/>
      <c r="C231" s="2"/>
      <c r="D231" s="2"/>
      <c r="E231" s="2"/>
      <c r="F231" s="3"/>
      <c r="G231" s="3"/>
      <c r="H231" s="3"/>
      <c r="I231" s="3"/>
      <c r="J231" s="3" t="s">
        <v>182</v>
      </c>
      <c r="K231" s="3"/>
      <c r="L231" s="43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2:22" ht="15.75" thickBot="1" x14ac:dyDescent="0.35">
      <c r="B232" s="179" t="s">
        <v>298</v>
      </c>
      <c r="C232" s="180"/>
      <c r="D232" s="5"/>
      <c r="E232" s="5"/>
      <c r="F232" s="5"/>
      <c r="G232" s="5"/>
      <c r="H232" s="5"/>
      <c r="I232" s="5"/>
      <c r="J232" s="6">
        <v>234.4</v>
      </c>
      <c r="K232" s="5"/>
      <c r="L232" s="5"/>
      <c r="M232" s="22" t="s">
        <v>293</v>
      </c>
      <c r="N232" s="5"/>
      <c r="O232" s="5"/>
      <c r="P232" s="5"/>
      <c r="Q232" s="5"/>
      <c r="R232" s="5"/>
      <c r="S232" s="5"/>
      <c r="T232" s="5"/>
      <c r="U232" s="6">
        <v>473.2</v>
      </c>
      <c r="V232" s="5"/>
    </row>
    <row r="233" spans="2:22" ht="15.75" thickBot="1" x14ac:dyDescent="0.35">
      <c r="B233" s="7" t="s">
        <v>142</v>
      </c>
      <c r="C233" s="8" t="s">
        <v>162</v>
      </c>
      <c r="D233" s="8" t="s">
        <v>143</v>
      </c>
      <c r="E233" s="8" t="s">
        <v>144</v>
      </c>
      <c r="F233" s="8" t="s">
        <v>145</v>
      </c>
      <c r="G233" s="8" t="s">
        <v>163</v>
      </c>
      <c r="H233" s="8" t="s">
        <v>164</v>
      </c>
      <c r="I233" s="168" t="s">
        <v>165</v>
      </c>
      <c r="J233" s="9" t="s">
        <v>166</v>
      </c>
      <c r="K233" s="98" t="s">
        <v>146</v>
      </c>
      <c r="L233" s="5"/>
      <c r="M233" s="7" t="s">
        <v>142</v>
      </c>
      <c r="N233" s="8" t="s">
        <v>162</v>
      </c>
      <c r="O233" s="8" t="s">
        <v>143</v>
      </c>
      <c r="P233" s="8" t="s">
        <v>144</v>
      </c>
      <c r="Q233" s="8" t="s">
        <v>145</v>
      </c>
      <c r="R233" s="8" t="s">
        <v>163</v>
      </c>
      <c r="S233" s="8" t="s">
        <v>164</v>
      </c>
      <c r="T233" s="168" t="s">
        <v>165</v>
      </c>
      <c r="U233" s="9" t="s">
        <v>166</v>
      </c>
      <c r="V233" s="98" t="s">
        <v>146</v>
      </c>
    </row>
    <row r="234" spans="2:22" x14ac:dyDescent="0.3">
      <c r="B234" s="178">
        <v>45099</v>
      </c>
      <c r="C234" s="170">
        <v>5445</v>
      </c>
      <c r="D234" s="170">
        <v>5469</v>
      </c>
      <c r="E234" s="170">
        <f t="shared" ref="E234:E239" si="115">+D234-C234</f>
        <v>24</v>
      </c>
      <c r="F234" s="171">
        <f t="shared" ref="F234:F239" si="116">+E234*1000</f>
        <v>24000</v>
      </c>
      <c r="G234" s="171">
        <v>0</v>
      </c>
      <c r="H234" s="171">
        <f t="shared" ref="H234:H239" si="117">+F234-G234</f>
        <v>24000</v>
      </c>
      <c r="I234" s="10"/>
      <c r="J234" s="174">
        <f t="shared" ref="J234:J239" si="118">+E234*$J$122</f>
        <v>5625.6</v>
      </c>
      <c r="K234" s="172"/>
      <c r="L234" s="5"/>
      <c r="M234" s="178">
        <v>45099</v>
      </c>
      <c r="N234" s="170">
        <v>418</v>
      </c>
      <c r="O234" s="170">
        <v>492</v>
      </c>
      <c r="P234" s="170">
        <f t="shared" ref="P234:P239" si="119">+O234-N234</f>
        <v>74</v>
      </c>
      <c r="Q234" s="171">
        <f t="shared" ref="Q234:Q239" si="120">+P234*1000</f>
        <v>74000</v>
      </c>
      <c r="R234" s="171">
        <v>0</v>
      </c>
      <c r="S234" s="171">
        <f t="shared" ref="S234:S239" si="121">+Q234-R234</f>
        <v>74000</v>
      </c>
      <c r="T234" s="10"/>
      <c r="U234" s="174">
        <f t="shared" ref="U234:U239" si="122">+P234*$J$122</f>
        <v>17345.600000000002</v>
      </c>
      <c r="V234" s="172"/>
    </row>
    <row r="235" spans="2:22" x14ac:dyDescent="0.3">
      <c r="B235" s="32">
        <v>45104</v>
      </c>
      <c r="C235" s="13">
        <v>5469</v>
      </c>
      <c r="D235" s="13">
        <v>5483</v>
      </c>
      <c r="E235" s="170">
        <f t="shared" si="115"/>
        <v>14</v>
      </c>
      <c r="F235" s="171">
        <f t="shared" si="116"/>
        <v>14000</v>
      </c>
      <c r="G235" s="171">
        <v>0</v>
      </c>
      <c r="H235" s="171">
        <f t="shared" si="117"/>
        <v>14000</v>
      </c>
      <c r="I235" s="33"/>
      <c r="J235" s="174">
        <f t="shared" si="118"/>
        <v>3281.6</v>
      </c>
      <c r="K235" s="172"/>
      <c r="L235" s="5"/>
      <c r="M235" s="32">
        <v>45104</v>
      </c>
      <c r="N235" s="13">
        <v>492</v>
      </c>
      <c r="O235" s="13">
        <v>506</v>
      </c>
      <c r="P235" s="170">
        <f t="shared" si="119"/>
        <v>14</v>
      </c>
      <c r="Q235" s="171">
        <f t="shared" si="120"/>
        <v>14000</v>
      </c>
      <c r="R235" s="171">
        <v>0</v>
      </c>
      <c r="S235" s="171">
        <f t="shared" si="121"/>
        <v>14000</v>
      </c>
      <c r="T235" s="33"/>
      <c r="U235" s="174">
        <f t="shared" si="122"/>
        <v>3281.6</v>
      </c>
      <c r="V235" s="172"/>
    </row>
    <row r="236" spans="2:22" x14ac:dyDescent="0.3">
      <c r="B236" s="32">
        <v>45110</v>
      </c>
      <c r="C236" s="13">
        <v>5483</v>
      </c>
      <c r="D236" s="13">
        <v>5505</v>
      </c>
      <c r="E236" s="170">
        <f t="shared" si="115"/>
        <v>22</v>
      </c>
      <c r="F236" s="171">
        <f t="shared" si="116"/>
        <v>22000</v>
      </c>
      <c r="G236" s="171">
        <v>0</v>
      </c>
      <c r="H236" s="171">
        <f t="shared" si="117"/>
        <v>22000</v>
      </c>
      <c r="I236" s="173"/>
      <c r="J236" s="174">
        <f t="shared" si="118"/>
        <v>5156.8</v>
      </c>
      <c r="K236" s="172"/>
      <c r="L236" s="5"/>
      <c r="M236" s="32">
        <v>45110</v>
      </c>
      <c r="N236" s="13">
        <v>506</v>
      </c>
      <c r="O236" s="13">
        <v>538</v>
      </c>
      <c r="P236" s="170">
        <f t="shared" si="119"/>
        <v>32</v>
      </c>
      <c r="Q236" s="171">
        <f t="shared" si="120"/>
        <v>32000</v>
      </c>
      <c r="R236" s="171">
        <v>0</v>
      </c>
      <c r="S236" s="171">
        <f t="shared" si="121"/>
        <v>32000</v>
      </c>
      <c r="T236" s="173"/>
      <c r="U236" s="174">
        <f t="shared" si="122"/>
        <v>7500.8</v>
      </c>
      <c r="V236" s="172"/>
    </row>
    <row r="237" spans="2:22" x14ac:dyDescent="0.3">
      <c r="B237" s="32">
        <v>45115</v>
      </c>
      <c r="C237" s="13">
        <v>5505</v>
      </c>
      <c r="D237" s="13">
        <v>5519</v>
      </c>
      <c r="E237" s="170">
        <f t="shared" si="115"/>
        <v>14</v>
      </c>
      <c r="F237" s="171">
        <f t="shared" si="116"/>
        <v>14000</v>
      </c>
      <c r="G237" s="171">
        <v>0</v>
      </c>
      <c r="H237" s="171">
        <f t="shared" si="117"/>
        <v>14000</v>
      </c>
      <c r="I237" s="173"/>
      <c r="J237" s="174">
        <f t="shared" si="118"/>
        <v>3281.6</v>
      </c>
      <c r="K237" s="172"/>
      <c r="L237" s="29"/>
      <c r="M237" s="32">
        <v>45115</v>
      </c>
      <c r="N237" s="13">
        <v>538</v>
      </c>
      <c r="O237" s="13">
        <v>549</v>
      </c>
      <c r="P237" s="170">
        <f t="shared" si="119"/>
        <v>11</v>
      </c>
      <c r="Q237" s="171">
        <f t="shared" si="120"/>
        <v>11000</v>
      </c>
      <c r="R237" s="171">
        <v>0</v>
      </c>
      <c r="S237" s="171">
        <f t="shared" si="121"/>
        <v>11000</v>
      </c>
      <c r="T237" s="173"/>
      <c r="U237" s="174">
        <f t="shared" si="122"/>
        <v>2578.4</v>
      </c>
      <c r="V237" s="172"/>
    </row>
    <row r="238" spans="2:22" x14ac:dyDescent="0.3">
      <c r="B238" s="32">
        <v>45125</v>
      </c>
      <c r="C238" s="13">
        <v>5519</v>
      </c>
      <c r="D238" s="13">
        <v>5541</v>
      </c>
      <c r="E238" s="170">
        <f t="shared" si="115"/>
        <v>22</v>
      </c>
      <c r="F238" s="171">
        <f t="shared" si="116"/>
        <v>22000</v>
      </c>
      <c r="G238" s="171">
        <v>0</v>
      </c>
      <c r="H238" s="171">
        <f t="shared" si="117"/>
        <v>22000</v>
      </c>
      <c r="I238" s="173"/>
      <c r="J238" s="174">
        <f t="shared" si="118"/>
        <v>5156.8</v>
      </c>
      <c r="K238" s="172"/>
      <c r="L238" s="42"/>
      <c r="M238" s="32">
        <v>45125</v>
      </c>
      <c r="N238" s="13">
        <v>549</v>
      </c>
      <c r="O238" s="13">
        <v>586</v>
      </c>
      <c r="P238" s="170">
        <f t="shared" si="119"/>
        <v>37</v>
      </c>
      <c r="Q238" s="171">
        <f t="shared" si="120"/>
        <v>37000</v>
      </c>
      <c r="R238" s="171">
        <v>0</v>
      </c>
      <c r="S238" s="171">
        <f t="shared" si="121"/>
        <v>37000</v>
      </c>
      <c r="T238" s="173"/>
      <c r="U238" s="174">
        <f t="shared" si="122"/>
        <v>8672.8000000000011</v>
      </c>
      <c r="V238" s="172"/>
    </row>
    <row r="239" spans="2:22" ht="15.75" thickBot="1" x14ac:dyDescent="0.35">
      <c r="B239" s="38"/>
      <c r="C239" s="39"/>
      <c r="D239" s="39"/>
      <c r="E239" s="16">
        <f t="shared" si="115"/>
        <v>0</v>
      </c>
      <c r="F239" s="17">
        <f t="shared" si="116"/>
        <v>0</v>
      </c>
      <c r="G239" s="17">
        <v>0</v>
      </c>
      <c r="H239" s="17">
        <f t="shared" si="117"/>
        <v>0</v>
      </c>
      <c r="I239" s="40"/>
      <c r="J239" s="175">
        <f t="shared" si="118"/>
        <v>0</v>
      </c>
      <c r="K239" s="176"/>
      <c r="L239" s="29"/>
      <c r="M239" s="38"/>
      <c r="N239" s="39"/>
      <c r="O239" s="39"/>
      <c r="P239" s="16">
        <f t="shared" si="119"/>
        <v>0</v>
      </c>
      <c r="Q239" s="17">
        <f t="shared" si="120"/>
        <v>0</v>
      </c>
      <c r="R239" s="17">
        <v>0</v>
      </c>
      <c r="S239" s="17">
        <f t="shared" si="121"/>
        <v>0</v>
      </c>
      <c r="T239" s="40"/>
      <c r="U239" s="175">
        <f t="shared" si="122"/>
        <v>0</v>
      </c>
      <c r="V239" s="176"/>
    </row>
    <row r="240" spans="2:22" ht="15.75" thickBot="1" x14ac:dyDescent="0.35">
      <c r="B240" s="15"/>
      <c r="C240" s="16"/>
      <c r="D240" s="16"/>
      <c r="E240" s="16">
        <f t="shared" ref="E240:J240" si="123">SUM(E234:E239)</f>
        <v>96</v>
      </c>
      <c r="F240" s="17">
        <f t="shared" si="123"/>
        <v>96000</v>
      </c>
      <c r="G240" s="17">
        <f t="shared" si="123"/>
        <v>0</v>
      </c>
      <c r="H240" s="17">
        <f t="shared" si="123"/>
        <v>96000</v>
      </c>
      <c r="I240" s="18">
        <f t="shared" si="123"/>
        <v>0</v>
      </c>
      <c r="J240" s="18">
        <f t="shared" si="123"/>
        <v>22502.399999999998</v>
      </c>
      <c r="K240" s="176">
        <f>+H240*0.6-I240-J240-G240</f>
        <v>35097.600000000006</v>
      </c>
      <c r="L240" s="43"/>
      <c r="M240" s="15"/>
      <c r="N240" s="16"/>
      <c r="O240" s="16"/>
      <c r="P240" s="16">
        <f t="shared" ref="P240:U240" si="124">SUM(P234:P239)</f>
        <v>168</v>
      </c>
      <c r="Q240" s="17">
        <f t="shared" si="124"/>
        <v>168000</v>
      </c>
      <c r="R240" s="17">
        <f t="shared" si="124"/>
        <v>0</v>
      </c>
      <c r="S240" s="17">
        <f t="shared" si="124"/>
        <v>168000</v>
      </c>
      <c r="T240" s="18">
        <f t="shared" si="124"/>
        <v>0</v>
      </c>
      <c r="U240" s="18">
        <f t="shared" si="124"/>
        <v>39379.200000000004</v>
      </c>
      <c r="V240" s="176">
        <f>+S240*0.6-T240-U240-R240</f>
        <v>61420.799999999996</v>
      </c>
    </row>
    <row r="241" spans="2:22" x14ac:dyDescent="0.3">
      <c r="B241" s="2"/>
      <c r="C241" s="2"/>
      <c r="D241" s="2"/>
      <c r="E241" s="2"/>
      <c r="F241" s="3"/>
      <c r="G241" s="3"/>
      <c r="H241" s="3"/>
      <c r="I241" s="3"/>
      <c r="J241" s="3" t="s">
        <v>182</v>
      </c>
      <c r="K241" s="3"/>
      <c r="L241" s="43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2:22" ht="15.75" thickBot="1" x14ac:dyDescent="0.35">
      <c r="B242" s="201" t="s">
        <v>298</v>
      </c>
      <c r="C242" s="202"/>
      <c r="D242" s="5"/>
      <c r="E242" s="5"/>
      <c r="F242" s="5"/>
      <c r="G242" s="5"/>
      <c r="H242" s="5"/>
      <c r="I242" s="5"/>
      <c r="J242" s="6">
        <v>234.4</v>
      </c>
      <c r="K242" s="5"/>
      <c r="L242" s="5"/>
      <c r="M242" s="22" t="s">
        <v>293</v>
      </c>
      <c r="N242" s="5"/>
      <c r="O242" s="5"/>
      <c r="P242" s="5"/>
      <c r="Q242" s="5"/>
      <c r="R242" s="5"/>
      <c r="S242" s="5"/>
      <c r="T242" s="5"/>
      <c r="U242" s="6">
        <v>473.2</v>
      </c>
      <c r="V242" s="5"/>
    </row>
    <row r="243" spans="2:22" ht="15.75" thickBot="1" x14ac:dyDescent="0.35">
      <c r="B243" s="7" t="s">
        <v>142</v>
      </c>
      <c r="C243" s="8" t="s">
        <v>162</v>
      </c>
      <c r="D243" s="8" t="s">
        <v>143</v>
      </c>
      <c r="E243" s="8" t="s">
        <v>144</v>
      </c>
      <c r="F243" s="8" t="s">
        <v>145</v>
      </c>
      <c r="G243" s="8" t="s">
        <v>163</v>
      </c>
      <c r="H243" s="8" t="s">
        <v>164</v>
      </c>
      <c r="I243" s="168" t="s">
        <v>165</v>
      </c>
      <c r="J243" s="9" t="s">
        <v>166</v>
      </c>
      <c r="K243" s="98" t="s">
        <v>146</v>
      </c>
      <c r="L243" s="5"/>
      <c r="M243" s="7" t="s">
        <v>142</v>
      </c>
      <c r="N243" s="8" t="s">
        <v>162</v>
      </c>
      <c r="O243" s="8" t="s">
        <v>143</v>
      </c>
      <c r="P243" s="8" t="s">
        <v>144</v>
      </c>
      <c r="Q243" s="8" t="s">
        <v>145</v>
      </c>
      <c r="R243" s="8" t="s">
        <v>163</v>
      </c>
      <c r="S243" s="8" t="s">
        <v>164</v>
      </c>
      <c r="T243" s="168" t="s">
        <v>165</v>
      </c>
      <c r="U243" s="9" t="s">
        <v>166</v>
      </c>
      <c r="V243" s="98" t="s">
        <v>146</v>
      </c>
    </row>
    <row r="244" spans="2:22" x14ac:dyDescent="0.3">
      <c r="B244" s="178">
        <v>45140</v>
      </c>
      <c r="C244" s="170">
        <v>5541</v>
      </c>
      <c r="D244" s="170">
        <v>5585</v>
      </c>
      <c r="E244" s="170">
        <f t="shared" ref="E244:E249" si="125">+D244-C244</f>
        <v>44</v>
      </c>
      <c r="F244" s="171">
        <f t="shared" ref="F244:F249" si="126">+E244*1000</f>
        <v>44000</v>
      </c>
      <c r="G244" s="171">
        <v>0</v>
      </c>
      <c r="H244" s="171">
        <f t="shared" ref="H244:H249" si="127">+F244-G244</f>
        <v>44000</v>
      </c>
      <c r="I244" s="10"/>
      <c r="J244" s="174">
        <f t="shared" ref="J244:J249" si="128">+E244*$J$122</f>
        <v>10313.6</v>
      </c>
      <c r="K244" s="172"/>
      <c r="L244" s="5"/>
      <c r="M244" s="178">
        <v>45140</v>
      </c>
      <c r="N244" s="170">
        <v>586</v>
      </c>
      <c r="O244" s="170">
        <v>632</v>
      </c>
      <c r="P244" s="170">
        <f t="shared" ref="P244:P249" si="129">+O244-N244</f>
        <v>46</v>
      </c>
      <c r="Q244" s="171">
        <f t="shared" ref="Q244:Q249" si="130">+P244*1000</f>
        <v>46000</v>
      </c>
      <c r="R244" s="171">
        <v>0</v>
      </c>
      <c r="S244" s="171">
        <f t="shared" ref="S244:S249" si="131">+Q244-R244</f>
        <v>46000</v>
      </c>
      <c r="T244" s="10"/>
      <c r="U244" s="174">
        <f t="shared" ref="U244:U249" si="132">+P244*$J$122</f>
        <v>10782.4</v>
      </c>
      <c r="V244" s="172"/>
    </row>
    <row r="245" spans="2:22" x14ac:dyDescent="0.3">
      <c r="B245" s="32">
        <v>45150</v>
      </c>
      <c r="C245" s="13">
        <v>5585</v>
      </c>
      <c r="D245" s="13">
        <v>5601</v>
      </c>
      <c r="E245" s="170">
        <f t="shared" si="125"/>
        <v>16</v>
      </c>
      <c r="F245" s="171">
        <f t="shared" si="126"/>
        <v>16000</v>
      </c>
      <c r="G245" s="171">
        <v>0</v>
      </c>
      <c r="H245" s="171">
        <f t="shared" si="127"/>
        <v>16000</v>
      </c>
      <c r="I245" s="33"/>
      <c r="J245" s="174">
        <f t="shared" si="128"/>
        <v>3750.4</v>
      </c>
      <c r="K245" s="172"/>
      <c r="L245" s="5"/>
      <c r="M245" s="32">
        <v>45150</v>
      </c>
      <c r="N245" s="13">
        <v>632</v>
      </c>
      <c r="O245" s="13">
        <v>655</v>
      </c>
      <c r="P245" s="170">
        <f t="shared" si="129"/>
        <v>23</v>
      </c>
      <c r="Q245" s="171">
        <f t="shared" si="130"/>
        <v>23000</v>
      </c>
      <c r="R245" s="171">
        <v>0</v>
      </c>
      <c r="S245" s="171">
        <f t="shared" si="131"/>
        <v>23000</v>
      </c>
      <c r="T245" s="33"/>
      <c r="U245" s="174">
        <f t="shared" si="132"/>
        <v>5391.2</v>
      </c>
      <c r="V245" s="172"/>
    </row>
    <row r="246" spans="2:22" x14ac:dyDescent="0.3">
      <c r="B246" s="32">
        <v>45157</v>
      </c>
      <c r="C246" s="13">
        <v>5601</v>
      </c>
      <c r="D246" s="13">
        <v>5629</v>
      </c>
      <c r="E246" s="170">
        <f t="shared" si="125"/>
        <v>28</v>
      </c>
      <c r="F246" s="171">
        <f t="shared" si="126"/>
        <v>28000</v>
      </c>
      <c r="G246" s="171">
        <v>0</v>
      </c>
      <c r="H246" s="171">
        <f t="shared" si="127"/>
        <v>28000</v>
      </c>
      <c r="I246" s="173"/>
      <c r="J246" s="174">
        <f t="shared" si="128"/>
        <v>6563.2</v>
      </c>
      <c r="K246" s="172"/>
      <c r="L246" s="5"/>
      <c r="M246" s="32">
        <v>45157</v>
      </c>
      <c r="N246" s="13">
        <v>655</v>
      </c>
      <c r="O246" s="13">
        <v>723</v>
      </c>
      <c r="P246" s="170">
        <f t="shared" si="129"/>
        <v>68</v>
      </c>
      <c r="Q246" s="171">
        <f t="shared" si="130"/>
        <v>68000</v>
      </c>
      <c r="R246" s="171">
        <v>0</v>
      </c>
      <c r="S246" s="171">
        <f t="shared" si="131"/>
        <v>68000</v>
      </c>
      <c r="T246" s="173"/>
      <c r="U246" s="174">
        <f t="shared" si="132"/>
        <v>15939.2</v>
      </c>
      <c r="V246" s="172"/>
    </row>
    <row r="247" spans="2:22" x14ac:dyDescent="0.3">
      <c r="B247" s="32"/>
      <c r="C247" s="13"/>
      <c r="D247" s="13"/>
      <c r="E247" s="170">
        <f t="shared" si="125"/>
        <v>0</v>
      </c>
      <c r="F247" s="171">
        <f t="shared" si="126"/>
        <v>0</v>
      </c>
      <c r="G247" s="171">
        <v>0</v>
      </c>
      <c r="H247" s="171">
        <f t="shared" si="127"/>
        <v>0</v>
      </c>
      <c r="I247" s="173"/>
      <c r="J247" s="174">
        <f t="shared" si="128"/>
        <v>0</v>
      </c>
      <c r="K247" s="172"/>
      <c r="L247" s="29"/>
      <c r="M247" s="32"/>
      <c r="N247" s="13"/>
      <c r="O247" s="13"/>
      <c r="P247" s="170">
        <f t="shared" si="129"/>
        <v>0</v>
      </c>
      <c r="Q247" s="171">
        <f t="shared" si="130"/>
        <v>0</v>
      </c>
      <c r="R247" s="171">
        <v>0</v>
      </c>
      <c r="S247" s="171">
        <f t="shared" si="131"/>
        <v>0</v>
      </c>
      <c r="T247" s="173"/>
      <c r="U247" s="174">
        <f t="shared" si="132"/>
        <v>0</v>
      </c>
      <c r="V247" s="172"/>
    </row>
    <row r="248" spans="2:22" x14ac:dyDescent="0.3">
      <c r="B248" s="32"/>
      <c r="C248" s="13"/>
      <c r="D248" s="13"/>
      <c r="E248" s="170">
        <f t="shared" si="125"/>
        <v>0</v>
      </c>
      <c r="F248" s="171">
        <f t="shared" si="126"/>
        <v>0</v>
      </c>
      <c r="G248" s="171">
        <v>0</v>
      </c>
      <c r="H248" s="171">
        <f t="shared" si="127"/>
        <v>0</v>
      </c>
      <c r="I248" s="173"/>
      <c r="J248" s="174">
        <f t="shared" si="128"/>
        <v>0</v>
      </c>
      <c r="K248" s="172"/>
      <c r="L248" s="42"/>
      <c r="M248" s="32"/>
      <c r="N248" s="13"/>
      <c r="O248" s="13"/>
      <c r="P248" s="170">
        <f t="shared" si="129"/>
        <v>0</v>
      </c>
      <c r="Q248" s="171">
        <f t="shared" si="130"/>
        <v>0</v>
      </c>
      <c r="R248" s="171">
        <v>0</v>
      </c>
      <c r="S248" s="171">
        <f t="shared" si="131"/>
        <v>0</v>
      </c>
      <c r="T248" s="173"/>
      <c r="U248" s="174">
        <f t="shared" si="132"/>
        <v>0</v>
      </c>
      <c r="V248" s="172"/>
    </row>
    <row r="249" spans="2:22" ht="15.75" thickBot="1" x14ac:dyDescent="0.35">
      <c r="B249" s="38"/>
      <c r="C249" s="39"/>
      <c r="D249" s="39"/>
      <c r="E249" s="16">
        <f t="shared" si="125"/>
        <v>0</v>
      </c>
      <c r="F249" s="17">
        <f t="shared" si="126"/>
        <v>0</v>
      </c>
      <c r="G249" s="17">
        <v>0</v>
      </c>
      <c r="H249" s="17">
        <f t="shared" si="127"/>
        <v>0</v>
      </c>
      <c r="I249" s="40"/>
      <c r="J249" s="175">
        <f t="shared" si="128"/>
        <v>0</v>
      </c>
      <c r="K249" s="176"/>
      <c r="L249" s="29"/>
      <c r="M249" s="38"/>
      <c r="N249" s="39"/>
      <c r="O249" s="39"/>
      <c r="P249" s="16">
        <f t="shared" si="129"/>
        <v>0</v>
      </c>
      <c r="Q249" s="17">
        <f t="shared" si="130"/>
        <v>0</v>
      </c>
      <c r="R249" s="17">
        <v>0</v>
      </c>
      <c r="S249" s="17">
        <f t="shared" si="131"/>
        <v>0</v>
      </c>
      <c r="T249" s="40"/>
      <c r="U249" s="175">
        <f t="shared" si="132"/>
        <v>0</v>
      </c>
      <c r="V249" s="176"/>
    </row>
    <row r="250" spans="2:22" ht="15.75" thickBot="1" x14ac:dyDescent="0.35">
      <c r="B250" s="15"/>
      <c r="C250" s="16"/>
      <c r="D250" s="16"/>
      <c r="E250" s="16">
        <f t="shared" ref="E250:J250" si="133">SUM(E244:E249)</f>
        <v>88</v>
      </c>
      <c r="F250" s="17">
        <f t="shared" si="133"/>
        <v>88000</v>
      </c>
      <c r="G250" s="17">
        <f t="shared" si="133"/>
        <v>0</v>
      </c>
      <c r="H250" s="17">
        <f t="shared" si="133"/>
        <v>88000</v>
      </c>
      <c r="I250" s="18">
        <f t="shared" si="133"/>
        <v>0</v>
      </c>
      <c r="J250" s="18">
        <f t="shared" si="133"/>
        <v>20627.2</v>
      </c>
      <c r="K250" s="176">
        <f>+H250*0.6-I250-J250-G250</f>
        <v>32172.799999999999</v>
      </c>
      <c r="L250" s="43"/>
      <c r="M250" s="15"/>
      <c r="N250" s="16"/>
      <c r="O250" s="16"/>
      <c r="P250" s="16">
        <f t="shared" ref="P250:U250" si="134">SUM(P244:P249)</f>
        <v>137</v>
      </c>
      <c r="Q250" s="17">
        <f t="shared" si="134"/>
        <v>137000</v>
      </c>
      <c r="R250" s="17">
        <f t="shared" si="134"/>
        <v>0</v>
      </c>
      <c r="S250" s="17">
        <f t="shared" si="134"/>
        <v>137000</v>
      </c>
      <c r="T250" s="18">
        <f t="shared" si="134"/>
        <v>0</v>
      </c>
      <c r="U250" s="18">
        <f t="shared" si="134"/>
        <v>32112.799999999999</v>
      </c>
      <c r="V250" s="176">
        <f>+S250*0.6-T250-U250-R250</f>
        <v>50087.199999999997</v>
      </c>
    </row>
    <row r="251" spans="2:22" x14ac:dyDescent="0.3">
      <c r="B251" s="2"/>
      <c r="C251" s="2"/>
      <c r="D251" s="2"/>
      <c r="E251" s="2"/>
      <c r="F251" s="3"/>
      <c r="G251" s="3"/>
      <c r="H251" s="3"/>
      <c r="I251" s="3"/>
      <c r="J251" s="3" t="s">
        <v>182</v>
      </c>
      <c r="K251" s="3"/>
      <c r="L251" s="43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2:22" ht="15.75" thickBot="1" x14ac:dyDescent="0.35">
      <c r="B252" s="201" t="s">
        <v>298</v>
      </c>
      <c r="C252" s="202"/>
      <c r="D252" s="5"/>
      <c r="E252" s="5"/>
      <c r="F252" s="5"/>
      <c r="G252" s="5"/>
      <c r="H252" s="5"/>
      <c r="I252" s="5"/>
      <c r="J252" s="6">
        <v>234.4</v>
      </c>
      <c r="K252" s="5"/>
      <c r="L252" s="5"/>
      <c r="M252" s="22" t="s">
        <v>293</v>
      </c>
      <c r="N252" s="5"/>
      <c r="O252" s="5"/>
      <c r="P252" s="5"/>
      <c r="Q252" s="5"/>
      <c r="R252" s="5"/>
      <c r="S252" s="5"/>
      <c r="T252" s="5"/>
      <c r="U252" s="6">
        <v>473.2</v>
      </c>
      <c r="V252" s="5"/>
    </row>
    <row r="253" spans="2:22" ht="15.75" thickBot="1" x14ac:dyDescent="0.35">
      <c r="B253" s="7" t="s">
        <v>142</v>
      </c>
      <c r="C253" s="8" t="s">
        <v>162</v>
      </c>
      <c r="D253" s="8" t="s">
        <v>143</v>
      </c>
      <c r="E253" s="8" t="s">
        <v>144</v>
      </c>
      <c r="F253" s="8" t="s">
        <v>145</v>
      </c>
      <c r="G253" s="8" t="s">
        <v>163</v>
      </c>
      <c r="H253" s="8" t="s">
        <v>164</v>
      </c>
      <c r="I253" s="168" t="s">
        <v>165</v>
      </c>
      <c r="J253" s="9" t="s">
        <v>166</v>
      </c>
      <c r="K253" s="98" t="s">
        <v>146</v>
      </c>
      <c r="L253" s="5"/>
      <c r="M253" s="7" t="s">
        <v>142</v>
      </c>
      <c r="N253" s="8" t="s">
        <v>162</v>
      </c>
      <c r="O253" s="8" t="s">
        <v>143</v>
      </c>
      <c r="P253" s="8" t="s">
        <v>144</v>
      </c>
      <c r="Q253" s="8" t="s">
        <v>145</v>
      </c>
      <c r="R253" s="8" t="s">
        <v>163</v>
      </c>
      <c r="S253" s="8" t="s">
        <v>164</v>
      </c>
      <c r="T253" s="168" t="s">
        <v>165</v>
      </c>
      <c r="U253" s="9" t="s">
        <v>166</v>
      </c>
      <c r="V253" s="98" t="s">
        <v>146</v>
      </c>
    </row>
    <row r="254" spans="2:22" x14ac:dyDescent="0.3">
      <c r="B254" s="32">
        <v>45168</v>
      </c>
      <c r="C254" s="13">
        <v>5629</v>
      </c>
      <c r="D254" s="13">
        <v>5681</v>
      </c>
      <c r="E254" s="170">
        <f t="shared" ref="E254:E257" si="135">+D254-C254</f>
        <v>52</v>
      </c>
      <c r="F254" s="171">
        <f t="shared" ref="F254:F257" si="136">+E254*1000</f>
        <v>52000</v>
      </c>
      <c r="G254" s="171">
        <v>0</v>
      </c>
      <c r="H254" s="171">
        <f t="shared" ref="H254:H257" si="137">+F254-G254</f>
        <v>52000</v>
      </c>
      <c r="I254" s="173"/>
      <c r="J254" s="174">
        <f t="shared" ref="J254:J257" si="138">+E254*$J$122</f>
        <v>12188.800000000001</v>
      </c>
      <c r="K254" s="172"/>
      <c r="L254" s="5"/>
      <c r="M254" s="32">
        <v>45168</v>
      </c>
      <c r="N254" s="13">
        <v>723</v>
      </c>
      <c r="O254" s="13">
        <v>763</v>
      </c>
      <c r="P254" s="170">
        <f t="shared" ref="P254:P257" si="139">+O254-N254</f>
        <v>40</v>
      </c>
      <c r="Q254" s="171">
        <f t="shared" ref="Q254:Q257" si="140">+P254*1000</f>
        <v>40000</v>
      </c>
      <c r="R254" s="171">
        <v>0</v>
      </c>
      <c r="S254" s="171">
        <f t="shared" ref="S254:S257" si="141">+Q254-R254</f>
        <v>40000</v>
      </c>
      <c r="T254" s="173"/>
      <c r="U254" s="174">
        <f t="shared" ref="U254:U257" si="142">+P254*$J$122</f>
        <v>9376</v>
      </c>
      <c r="V254" s="172"/>
    </row>
    <row r="255" spans="2:22" x14ac:dyDescent="0.3">
      <c r="B255" s="32">
        <v>45177</v>
      </c>
      <c r="C255" s="13">
        <v>5681</v>
      </c>
      <c r="D255" s="13">
        <v>5693</v>
      </c>
      <c r="E255" s="170">
        <f t="shared" si="135"/>
        <v>12</v>
      </c>
      <c r="F255" s="171">
        <f t="shared" si="136"/>
        <v>12000</v>
      </c>
      <c r="G255" s="171">
        <v>0</v>
      </c>
      <c r="H255" s="171">
        <f t="shared" si="137"/>
        <v>12000</v>
      </c>
      <c r="I255" s="173"/>
      <c r="J255" s="174">
        <f t="shared" si="138"/>
        <v>2812.8</v>
      </c>
      <c r="K255" s="172"/>
      <c r="L255" s="29"/>
      <c r="M255" s="32">
        <v>45177</v>
      </c>
      <c r="N255" s="13">
        <v>763</v>
      </c>
      <c r="O255" s="13">
        <v>793</v>
      </c>
      <c r="P255" s="170">
        <f t="shared" si="139"/>
        <v>30</v>
      </c>
      <c r="Q255" s="171">
        <f t="shared" si="140"/>
        <v>30000</v>
      </c>
      <c r="R255" s="171">
        <v>0</v>
      </c>
      <c r="S255" s="171">
        <f t="shared" si="141"/>
        <v>30000</v>
      </c>
      <c r="T255" s="173"/>
      <c r="U255" s="174">
        <f t="shared" si="142"/>
        <v>7032</v>
      </c>
      <c r="V255" s="172"/>
    </row>
    <row r="256" spans="2:22" x14ac:dyDescent="0.3">
      <c r="B256" s="32">
        <v>45186</v>
      </c>
      <c r="C256" s="13">
        <v>5693</v>
      </c>
      <c r="D256" s="13">
        <v>5705</v>
      </c>
      <c r="E256" s="170">
        <f t="shared" si="135"/>
        <v>12</v>
      </c>
      <c r="F256" s="171">
        <f t="shared" si="136"/>
        <v>12000</v>
      </c>
      <c r="G256" s="171">
        <v>0</v>
      </c>
      <c r="H256" s="171">
        <f t="shared" si="137"/>
        <v>12000</v>
      </c>
      <c r="I256" s="173"/>
      <c r="J256" s="174">
        <f t="shared" si="138"/>
        <v>2812.8</v>
      </c>
      <c r="K256" s="172"/>
      <c r="L256" s="42"/>
      <c r="M256" s="32">
        <v>45186</v>
      </c>
      <c r="N256" s="13">
        <v>793</v>
      </c>
      <c r="O256" s="13">
        <v>820</v>
      </c>
      <c r="P256" s="170">
        <f t="shared" si="139"/>
        <v>27</v>
      </c>
      <c r="Q256" s="171">
        <f t="shared" si="140"/>
        <v>27000</v>
      </c>
      <c r="R256" s="171">
        <v>0</v>
      </c>
      <c r="S256" s="171">
        <f t="shared" si="141"/>
        <v>27000</v>
      </c>
      <c r="T256" s="173"/>
      <c r="U256" s="174">
        <f t="shared" si="142"/>
        <v>6328.8</v>
      </c>
      <c r="V256" s="172"/>
    </row>
    <row r="257" spans="2:22" ht="15.75" thickBot="1" x14ac:dyDescent="0.35">
      <c r="B257" s="38"/>
      <c r="C257" s="39"/>
      <c r="D257" s="39"/>
      <c r="E257" s="16">
        <f t="shared" si="135"/>
        <v>0</v>
      </c>
      <c r="F257" s="17">
        <f t="shared" si="136"/>
        <v>0</v>
      </c>
      <c r="G257" s="17">
        <v>0</v>
      </c>
      <c r="H257" s="17">
        <f t="shared" si="137"/>
        <v>0</v>
      </c>
      <c r="I257" s="40"/>
      <c r="J257" s="175">
        <f t="shared" si="138"/>
        <v>0</v>
      </c>
      <c r="K257" s="176"/>
      <c r="L257" s="29"/>
      <c r="M257" s="38"/>
      <c r="N257" s="39"/>
      <c r="O257" s="39"/>
      <c r="P257" s="16">
        <f t="shared" si="139"/>
        <v>0</v>
      </c>
      <c r="Q257" s="17">
        <f t="shared" si="140"/>
        <v>0</v>
      </c>
      <c r="R257" s="17">
        <v>0</v>
      </c>
      <c r="S257" s="17">
        <f t="shared" si="141"/>
        <v>0</v>
      </c>
      <c r="T257" s="40"/>
      <c r="U257" s="175">
        <f t="shared" si="142"/>
        <v>0</v>
      </c>
      <c r="V257" s="176"/>
    </row>
    <row r="258" spans="2:22" ht="15.75" thickBot="1" x14ac:dyDescent="0.35">
      <c r="B258" s="15"/>
      <c r="C258" s="16"/>
      <c r="D258" s="16"/>
      <c r="E258" s="16">
        <f t="shared" ref="E258:J258" si="143">SUM(E254:E257)</f>
        <v>76</v>
      </c>
      <c r="F258" s="17">
        <f t="shared" si="143"/>
        <v>76000</v>
      </c>
      <c r="G258" s="17">
        <f t="shared" si="143"/>
        <v>0</v>
      </c>
      <c r="H258" s="17">
        <f t="shared" si="143"/>
        <v>76000</v>
      </c>
      <c r="I258" s="18">
        <f t="shared" si="143"/>
        <v>0</v>
      </c>
      <c r="J258" s="18">
        <f t="shared" si="143"/>
        <v>17814.400000000001</v>
      </c>
      <c r="K258" s="176">
        <f>+H258*0.6-I258-J258-G258</f>
        <v>27785.599999999999</v>
      </c>
      <c r="L258" s="43"/>
      <c r="M258" s="15"/>
      <c r="N258" s="16"/>
      <c r="O258" s="16"/>
      <c r="P258" s="16">
        <f t="shared" ref="P258:U258" si="144">SUM(P254:P257)</f>
        <v>97</v>
      </c>
      <c r="Q258" s="17">
        <f t="shared" si="144"/>
        <v>97000</v>
      </c>
      <c r="R258" s="17">
        <f t="shared" si="144"/>
        <v>0</v>
      </c>
      <c r="S258" s="17">
        <f t="shared" si="144"/>
        <v>97000</v>
      </c>
      <c r="T258" s="18">
        <f t="shared" si="144"/>
        <v>0</v>
      </c>
      <c r="U258" s="18">
        <f t="shared" si="144"/>
        <v>22736.799999999999</v>
      </c>
      <c r="V258" s="176">
        <f>+S258*0.6-T258-U258-R258</f>
        <v>35463.199999999997</v>
      </c>
    </row>
    <row r="259" spans="2:22" x14ac:dyDescent="0.3">
      <c r="B259" s="2"/>
      <c r="C259" s="2"/>
      <c r="D259" s="2"/>
      <c r="E259" s="2"/>
      <c r="F259" s="3"/>
      <c r="G259" s="3"/>
      <c r="H259" s="3"/>
      <c r="I259" s="3"/>
      <c r="J259" s="3" t="s">
        <v>182</v>
      </c>
      <c r="K259" s="3"/>
      <c r="L259" s="43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2:22" ht="15.75" thickBot="1" x14ac:dyDescent="0.35">
      <c r="B260" s="201" t="s">
        <v>298</v>
      </c>
      <c r="C260" s="202"/>
      <c r="D260" s="5"/>
      <c r="E260" s="5"/>
      <c r="F260" s="5"/>
      <c r="G260" s="5"/>
      <c r="H260" s="5"/>
      <c r="I260" s="5"/>
      <c r="J260" s="6">
        <v>234.4</v>
      </c>
      <c r="K260" s="5"/>
      <c r="L260" s="5"/>
      <c r="M260" s="22" t="s">
        <v>293</v>
      </c>
      <c r="N260" s="5"/>
      <c r="O260" s="5"/>
      <c r="P260" s="5"/>
      <c r="Q260" s="5"/>
      <c r="R260" s="5"/>
      <c r="S260" s="5"/>
      <c r="T260" s="5"/>
      <c r="U260" s="6">
        <v>473.2</v>
      </c>
      <c r="V260" s="5"/>
    </row>
    <row r="261" spans="2:22" ht="15.75" thickBot="1" x14ac:dyDescent="0.35">
      <c r="B261" s="7" t="s">
        <v>142</v>
      </c>
      <c r="C261" s="8" t="s">
        <v>162</v>
      </c>
      <c r="D261" s="8" t="s">
        <v>143</v>
      </c>
      <c r="E261" s="8" t="s">
        <v>144</v>
      </c>
      <c r="F261" s="8" t="s">
        <v>145</v>
      </c>
      <c r="G261" s="8" t="s">
        <v>163</v>
      </c>
      <c r="H261" s="8" t="s">
        <v>164</v>
      </c>
      <c r="I261" s="168" t="s">
        <v>165</v>
      </c>
      <c r="J261" s="9" t="s">
        <v>166</v>
      </c>
      <c r="K261" s="98" t="s">
        <v>146</v>
      </c>
      <c r="L261" s="5"/>
      <c r="M261" s="7" t="s">
        <v>142</v>
      </c>
      <c r="N261" s="8" t="s">
        <v>162</v>
      </c>
      <c r="O261" s="8" t="s">
        <v>143</v>
      </c>
      <c r="P261" s="8" t="s">
        <v>144</v>
      </c>
      <c r="Q261" s="8" t="s">
        <v>145</v>
      </c>
      <c r="R261" s="8" t="s">
        <v>163</v>
      </c>
      <c r="S261" s="8" t="s">
        <v>164</v>
      </c>
      <c r="T261" s="168" t="s">
        <v>165</v>
      </c>
      <c r="U261" s="9" t="s">
        <v>166</v>
      </c>
      <c r="V261" s="98" t="s">
        <v>146</v>
      </c>
    </row>
    <row r="262" spans="2:22" x14ac:dyDescent="0.3">
      <c r="B262" s="32">
        <v>45201</v>
      </c>
      <c r="C262" s="13">
        <v>5705</v>
      </c>
      <c r="D262" s="13">
        <v>5751</v>
      </c>
      <c r="E262" s="170">
        <f t="shared" ref="E262:E265" si="145">+D262-C262</f>
        <v>46</v>
      </c>
      <c r="F262" s="171">
        <f t="shared" ref="F262:F265" si="146">+E262*1000</f>
        <v>46000</v>
      </c>
      <c r="G262" s="171">
        <v>0</v>
      </c>
      <c r="H262" s="171">
        <f t="shared" ref="H262:H265" si="147">+F262-G262</f>
        <v>46000</v>
      </c>
      <c r="I262" s="173"/>
      <c r="J262" s="174">
        <f t="shared" ref="J262:J265" si="148">+E262*$J$122</f>
        <v>10782.4</v>
      </c>
      <c r="K262" s="172"/>
      <c r="L262" s="5"/>
      <c r="M262" s="32">
        <v>45201</v>
      </c>
      <c r="N262" s="13">
        <v>820</v>
      </c>
      <c r="O262" s="13">
        <v>896</v>
      </c>
      <c r="P262" s="170">
        <f t="shared" ref="P262:P265" si="149">+O262-N262</f>
        <v>76</v>
      </c>
      <c r="Q262" s="171">
        <f t="shared" ref="Q262:Q265" si="150">+P262*1000</f>
        <v>76000</v>
      </c>
      <c r="R262" s="171">
        <v>0</v>
      </c>
      <c r="S262" s="171">
        <f t="shared" ref="S262:S265" si="151">+Q262-R262</f>
        <v>76000</v>
      </c>
      <c r="T262" s="173"/>
      <c r="U262" s="174">
        <f t="shared" ref="U262:U265" si="152">+P262*$J$122</f>
        <v>17814.400000000001</v>
      </c>
      <c r="V262" s="172"/>
    </row>
    <row r="263" spans="2:22" x14ac:dyDescent="0.3">
      <c r="B263" s="32">
        <v>45208</v>
      </c>
      <c r="C263" s="13">
        <v>5751</v>
      </c>
      <c r="D263" s="13">
        <v>5757</v>
      </c>
      <c r="E263" s="170">
        <f t="shared" si="145"/>
        <v>6</v>
      </c>
      <c r="F263" s="171">
        <f t="shared" si="146"/>
        <v>6000</v>
      </c>
      <c r="G263" s="171">
        <v>0</v>
      </c>
      <c r="H263" s="171">
        <f t="shared" si="147"/>
        <v>6000</v>
      </c>
      <c r="I263" s="173"/>
      <c r="J263" s="174">
        <f t="shared" si="148"/>
        <v>1406.4</v>
      </c>
      <c r="K263" s="172"/>
      <c r="L263" s="29"/>
      <c r="M263" s="32">
        <v>45208</v>
      </c>
      <c r="N263" s="13">
        <v>896</v>
      </c>
      <c r="O263" s="13">
        <v>917</v>
      </c>
      <c r="P263" s="170">
        <f t="shared" si="149"/>
        <v>21</v>
      </c>
      <c r="Q263" s="171">
        <f t="shared" si="150"/>
        <v>21000</v>
      </c>
      <c r="R263" s="171">
        <v>0</v>
      </c>
      <c r="S263" s="171">
        <f t="shared" si="151"/>
        <v>21000</v>
      </c>
      <c r="T263" s="173"/>
      <c r="U263" s="174">
        <f t="shared" si="152"/>
        <v>4922.4000000000005</v>
      </c>
      <c r="V263" s="172"/>
    </row>
    <row r="264" spans="2:22" x14ac:dyDescent="0.3">
      <c r="B264" s="32">
        <v>45213</v>
      </c>
      <c r="C264" s="13">
        <v>5757</v>
      </c>
      <c r="D264" s="13">
        <v>5765</v>
      </c>
      <c r="E264" s="170">
        <f t="shared" si="145"/>
        <v>8</v>
      </c>
      <c r="F264" s="171">
        <f t="shared" si="146"/>
        <v>8000</v>
      </c>
      <c r="G264" s="171">
        <v>0</v>
      </c>
      <c r="H264" s="171">
        <f t="shared" si="147"/>
        <v>8000</v>
      </c>
      <c r="I264" s="173"/>
      <c r="J264" s="174">
        <f t="shared" si="148"/>
        <v>1875.2</v>
      </c>
      <c r="K264" s="172"/>
      <c r="L264" s="42"/>
      <c r="M264" s="32">
        <v>45213</v>
      </c>
      <c r="N264" s="13">
        <v>917</v>
      </c>
      <c r="O264" s="13">
        <v>936</v>
      </c>
      <c r="P264" s="170">
        <f t="shared" si="149"/>
        <v>19</v>
      </c>
      <c r="Q264" s="171">
        <f t="shared" si="150"/>
        <v>19000</v>
      </c>
      <c r="R264" s="171">
        <v>0</v>
      </c>
      <c r="S264" s="171">
        <f t="shared" si="151"/>
        <v>19000</v>
      </c>
      <c r="T264" s="173"/>
      <c r="U264" s="174">
        <f t="shared" si="152"/>
        <v>4453.6000000000004</v>
      </c>
      <c r="V264" s="172"/>
    </row>
    <row r="265" spans="2:22" ht="15.75" thickBot="1" x14ac:dyDescent="0.35">
      <c r="B265" s="38"/>
      <c r="C265" s="39"/>
      <c r="D265" s="39"/>
      <c r="E265" s="16">
        <f t="shared" si="145"/>
        <v>0</v>
      </c>
      <c r="F265" s="17">
        <f t="shared" si="146"/>
        <v>0</v>
      </c>
      <c r="G265" s="17">
        <v>0</v>
      </c>
      <c r="H265" s="17">
        <f t="shared" si="147"/>
        <v>0</v>
      </c>
      <c r="I265" s="40"/>
      <c r="J265" s="175">
        <f t="shared" si="148"/>
        <v>0</v>
      </c>
      <c r="K265" s="176"/>
      <c r="L265" s="29"/>
      <c r="M265" s="38"/>
      <c r="N265" s="39"/>
      <c r="O265" s="39"/>
      <c r="P265" s="16">
        <f t="shared" si="149"/>
        <v>0</v>
      </c>
      <c r="Q265" s="17">
        <f t="shared" si="150"/>
        <v>0</v>
      </c>
      <c r="R265" s="17">
        <v>0</v>
      </c>
      <c r="S265" s="17">
        <f t="shared" si="151"/>
        <v>0</v>
      </c>
      <c r="T265" s="40"/>
      <c r="U265" s="175">
        <f t="shared" si="152"/>
        <v>0</v>
      </c>
      <c r="V265" s="176"/>
    </row>
    <row r="266" spans="2:22" ht="15.75" thickBot="1" x14ac:dyDescent="0.35">
      <c r="B266" s="15"/>
      <c r="C266" s="16"/>
      <c r="D266" s="16"/>
      <c r="E266" s="16">
        <f t="shared" ref="E266:J266" si="153">SUM(E262:E265)</f>
        <v>60</v>
      </c>
      <c r="F266" s="17">
        <f t="shared" si="153"/>
        <v>60000</v>
      </c>
      <c r="G266" s="17">
        <f t="shared" si="153"/>
        <v>0</v>
      </c>
      <c r="H266" s="17">
        <f t="shared" si="153"/>
        <v>60000</v>
      </c>
      <c r="I266" s="18">
        <f t="shared" si="153"/>
        <v>0</v>
      </c>
      <c r="J266" s="18">
        <f t="shared" si="153"/>
        <v>14064</v>
      </c>
      <c r="K266" s="176">
        <f>+H266*0.6-I266-J266-G266</f>
        <v>21936</v>
      </c>
      <c r="L266" s="43"/>
      <c r="M266" s="15"/>
      <c r="N266" s="16"/>
      <c r="O266" s="16"/>
      <c r="P266" s="16">
        <f t="shared" ref="P266:U266" si="154">SUM(P262:P265)</f>
        <v>116</v>
      </c>
      <c r="Q266" s="17">
        <f t="shared" si="154"/>
        <v>116000</v>
      </c>
      <c r="R266" s="17">
        <f t="shared" si="154"/>
        <v>0</v>
      </c>
      <c r="S266" s="17">
        <f t="shared" si="154"/>
        <v>116000</v>
      </c>
      <c r="T266" s="18">
        <f t="shared" si="154"/>
        <v>0</v>
      </c>
      <c r="U266" s="18">
        <f t="shared" si="154"/>
        <v>27190.400000000001</v>
      </c>
      <c r="V266" s="176">
        <f>+S266*0.6-T266-U266-R266</f>
        <v>42409.599999999999</v>
      </c>
    </row>
    <row r="267" spans="2:22" x14ac:dyDescent="0.3">
      <c r="B267" s="2"/>
      <c r="C267" s="2"/>
      <c r="D267" s="2"/>
      <c r="E267" s="2"/>
      <c r="F267" s="3"/>
      <c r="G267" s="3"/>
      <c r="H267" s="3"/>
      <c r="I267" s="3"/>
      <c r="J267" s="3" t="s">
        <v>182</v>
      </c>
      <c r="K267" s="3"/>
      <c r="L267" s="43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2:22" ht="15.75" thickBot="1" x14ac:dyDescent="0.35">
      <c r="B268" s="201" t="s">
        <v>298</v>
      </c>
      <c r="C268" s="202"/>
      <c r="D268" s="5"/>
      <c r="E268" s="5"/>
      <c r="F268" s="5"/>
      <c r="G268" s="5"/>
      <c r="H268" s="5"/>
      <c r="I268" s="5"/>
      <c r="J268" s="6">
        <v>234.4</v>
      </c>
      <c r="K268" s="5"/>
      <c r="L268" s="5"/>
      <c r="M268" s="22" t="s">
        <v>293</v>
      </c>
      <c r="N268" s="5"/>
      <c r="O268" s="5"/>
      <c r="P268" s="5"/>
      <c r="Q268" s="5"/>
      <c r="R268" s="5"/>
      <c r="S268" s="5"/>
      <c r="T268" s="5"/>
      <c r="U268" s="6">
        <v>473.2</v>
      </c>
      <c r="V268" s="5"/>
    </row>
    <row r="269" spans="2:22" ht="15.75" thickBot="1" x14ac:dyDescent="0.35">
      <c r="B269" s="7" t="s">
        <v>142</v>
      </c>
      <c r="C269" s="8" t="s">
        <v>162</v>
      </c>
      <c r="D269" s="8" t="s">
        <v>143</v>
      </c>
      <c r="E269" s="8" t="s">
        <v>144</v>
      </c>
      <c r="F269" s="8" t="s">
        <v>145</v>
      </c>
      <c r="G269" s="8" t="s">
        <v>163</v>
      </c>
      <c r="H269" s="8" t="s">
        <v>164</v>
      </c>
      <c r="I269" s="168" t="s">
        <v>165</v>
      </c>
      <c r="J269" s="9" t="s">
        <v>166</v>
      </c>
      <c r="K269" s="98" t="s">
        <v>146</v>
      </c>
      <c r="L269" s="5"/>
      <c r="M269" s="7" t="s">
        <v>142</v>
      </c>
      <c r="N269" s="8" t="s">
        <v>162</v>
      </c>
      <c r="O269" s="8" t="s">
        <v>143</v>
      </c>
      <c r="P269" s="8" t="s">
        <v>144</v>
      </c>
      <c r="Q269" s="8" t="s">
        <v>145</v>
      </c>
      <c r="R269" s="8" t="s">
        <v>163</v>
      </c>
      <c r="S269" s="8" t="s">
        <v>164</v>
      </c>
      <c r="T269" s="168" t="s">
        <v>165</v>
      </c>
      <c r="U269" s="9" t="s">
        <v>166</v>
      </c>
      <c r="V269" s="98" t="s">
        <v>146</v>
      </c>
    </row>
    <row r="270" spans="2:22" x14ac:dyDescent="0.3">
      <c r="B270" s="32">
        <v>45223</v>
      </c>
      <c r="C270" s="13">
        <v>5765</v>
      </c>
      <c r="D270" s="13">
        <v>5795</v>
      </c>
      <c r="E270" s="170">
        <f t="shared" ref="E270:E273" si="155">+D270-C270</f>
        <v>30</v>
      </c>
      <c r="F270" s="171">
        <f t="shared" ref="F270:F273" si="156">+E270*1000</f>
        <v>30000</v>
      </c>
      <c r="G270" s="171">
        <v>0</v>
      </c>
      <c r="H270" s="171">
        <f t="shared" ref="H270:H273" si="157">+F270-G270</f>
        <v>30000</v>
      </c>
      <c r="I270" s="173"/>
      <c r="J270" s="174">
        <f t="shared" ref="J270:J273" si="158">+E270*$J$122</f>
        <v>7032</v>
      </c>
      <c r="K270" s="172"/>
      <c r="L270" s="5"/>
      <c r="M270" s="32">
        <v>45223</v>
      </c>
      <c r="N270" s="13">
        <v>936</v>
      </c>
      <c r="O270" s="13">
        <v>954</v>
      </c>
      <c r="P270" s="170">
        <f t="shared" ref="P270:P273" si="159">+O270-N270</f>
        <v>18</v>
      </c>
      <c r="Q270" s="171">
        <f t="shared" ref="Q270:Q273" si="160">+P270*1000</f>
        <v>18000</v>
      </c>
      <c r="R270" s="171">
        <v>0</v>
      </c>
      <c r="S270" s="171">
        <f t="shared" ref="S270:S273" si="161">+Q270-R270</f>
        <v>18000</v>
      </c>
      <c r="T270" s="173"/>
      <c r="U270" s="174">
        <f t="shared" ref="U270:U273" si="162">+P270*$J$122</f>
        <v>4219.2</v>
      </c>
      <c r="V270" s="172"/>
    </row>
    <row r="271" spans="2:22" x14ac:dyDescent="0.3">
      <c r="B271" s="32">
        <v>45238</v>
      </c>
      <c r="C271" s="13">
        <v>5795</v>
      </c>
      <c r="D271" s="13">
        <v>5819</v>
      </c>
      <c r="E271" s="170">
        <f t="shared" si="155"/>
        <v>24</v>
      </c>
      <c r="F271" s="171">
        <f t="shared" si="156"/>
        <v>24000</v>
      </c>
      <c r="G271" s="171">
        <v>0</v>
      </c>
      <c r="H271" s="171">
        <f t="shared" si="157"/>
        <v>24000</v>
      </c>
      <c r="I271" s="173"/>
      <c r="J271" s="174">
        <f t="shared" si="158"/>
        <v>5625.6</v>
      </c>
      <c r="K271" s="172"/>
      <c r="L271" s="29"/>
      <c r="M271" s="32">
        <v>45238</v>
      </c>
      <c r="N271" s="13">
        <v>954</v>
      </c>
      <c r="O271" s="13">
        <v>1034</v>
      </c>
      <c r="P271" s="170">
        <f t="shared" si="159"/>
        <v>80</v>
      </c>
      <c r="Q271" s="171">
        <f t="shared" si="160"/>
        <v>80000</v>
      </c>
      <c r="R271" s="171">
        <v>0</v>
      </c>
      <c r="S271" s="171">
        <f t="shared" si="161"/>
        <v>80000</v>
      </c>
      <c r="T271" s="173"/>
      <c r="U271" s="174">
        <f t="shared" si="162"/>
        <v>18752</v>
      </c>
      <c r="V271" s="172"/>
    </row>
    <row r="272" spans="2:22" x14ac:dyDescent="0.3">
      <c r="B272" s="32">
        <v>45243</v>
      </c>
      <c r="C272" s="13">
        <v>5819</v>
      </c>
      <c r="D272" s="13">
        <v>5841</v>
      </c>
      <c r="E272" s="170">
        <f t="shared" si="155"/>
        <v>22</v>
      </c>
      <c r="F272" s="171">
        <f t="shared" si="156"/>
        <v>22000</v>
      </c>
      <c r="G272" s="171">
        <v>0</v>
      </c>
      <c r="H272" s="171">
        <f t="shared" si="157"/>
        <v>22000</v>
      </c>
      <c r="I272" s="173"/>
      <c r="J272" s="174">
        <f t="shared" si="158"/>
        <v>5156.8</v>
      </c>
      <c r="K272" s="172"/>
      <c r="L272" s="42"/>
      <c r="M272" s="32">
        <v>45243</v>
      </c>
      <c r="N272" s="13">
        <v>1034</v>
      </c>
      <c r="O272" s="13">
        <v>1038</v>
      </c>
      <c r="P272" s="170">
        <f t="shared" si="159"/>
        <v>4</v>
      </c>
      <c r="Q272" s="171">
        <f t="shared" si="160"/>
        <v>4000</v>
      </c>
      <c r="R272" s="171">
        <v>0</v>
      </c>
      <c r="S272" s="171">
        <f t="shared" si="161"/>
        <v>4000</v>
      </c>
      <c r="T272" s="173"/>
      <c r="U272" s="174">
        <f t="shared" si="162"/>
        <v>937.6</v>
      </c>
      <c r="V272" s="172"/>
    </row>
    <row r="273" spans="2:22" ht="15.75" thickBot="1" x14ac:dyDescent="0.35">
      <c r="B273" s="38">
        <v>45248</v>
      </c>
      <c r="C273" s="39">
        <v>5841</v>
      </c>
      <c r="D273" s="39">
        <v>5863</v>
      </c>
      <c r="E273" s="16">
        <f t="shared" si="155"/>
        <v>22</v>
      </c>
      <c r="F273" s="17">
        <f t="shared" si="156"/>
        <v>22000</v>
      </c>
      <c r="G273" s="17">
        <v>0</v>
      </c>
      <c r="H273" s="17">
        <f t="shared" si="157"/>
        <v>22000</v>
      </c>
      <c r="I273" s="40"/>
      <c r="J273" s="175">
        <f t="shared" si="158"/>
        <v>5156.8</v>
      </c>
      <c r="K273" s="176"/>
      <c r="L273" s="29"/>
      <c r="M273" s="38">
        <v>45248</v>
      </c>
      <c r="N273" s="39">
        <v>1038</v>
      </c>
      <c r="O273" s="39">
        <v>1061</v>
      </c>
      <c r="P273" s="16">
        <f t="shared" si="159"/>
        <v>23</v>
      </c>
      <c r="Q273" s="17">
        <f t="shared" si="160"/>
        <v>23000</v>
      </c>
      <c r="R273" s="17">
        <v>0</v>
      </c>
      <c r="S273" s="17">
        <f t="shared" si="161"/>
        <v>23000</v>
      </c>
      <c r="T273" s="40"/>
      <c r="U273" s="175">
        <f t="shared" si="162"/>
        <v>5391.2</v>
      </c>
      <c r="V273" s="176"/>
    </row>
    <row r="274" spans="2:22" ht="15.75" thickBot="1" x14ac:dyDescent="0.35">
      <c r="B274" s="15"/>
      <c r="C274" s="16"/>
      <c r="D274" s="16"/>
      <c r="E274" s="16">
        <f t="shared" ref="E274:J274" si="163">SUM(E270:E273)</f>
        <v>98</v>
      </c>
      <c r="F274" s="17">
        <f t="shared" si="163"/>
        <v>98000</v>
      </c>
      <c r="G274" s="17">
        <f t="shared" si="163"/>
        <v>0</v>
      </c>
      <c r="H274" s="17">
        <f t="shared" si="163"/>
        <v>98000</v>
      </c>
      <c r="I274" s="18">
        <f t="shared" si="163"/>
        <v>0</v>
      </c>
      <c r="J274" s="18">
        <f t="shared" si="163"/>
        <v>22971.200000000001</v>
      </c>
      <c r="K274" s="176">
        <f>+H274*0.6-I274-J274-G274</f>
        <v>35828.800000000003</v>
      </c>
      <c r="L274" s="43"/>
      <c r="M274" s="15"/>
      <c r="N274" s="16"/>
      <c r="O274" s="16"/>
      <c r="P274" s="16">
        <f t="shared" ref="P274:U274" si="164">SUM(P270:P273)</f>
        <v>125</v>
      </c>
      <c r="Q274" s="17">
        <f t="shared" si="164"/>
        <v>125000</v>
      </c>
      <c r="R274" s="17">
        <f t="shared" si="164"/>
        <v>0</v>
      </c>
      <c r="S274" s="17">
        <f t="shared" si="164"/>
        <v>125000</v>
      </c>
      <c r="T274" s="18">
        <f t="shared" si="164"/>
        <v>0</v>
      </c>
      <c r="U274" s="18">
        <f t="shared" si="164"/>
        <v>29300</v>
      </c>
      <c r="V274" s="176">
        <f>+S274*0.6-T274-U274-R274</f>
        <v>45700</v>
      </c>
    </row>
    <row r="276" spans="2:22" ht="15.75" thickBot="1" x14ac:dyDescent="0.35">
      <c r="B276" s="201" t="s">
        <v>298</v>
      </c>
      <c r="C276" s="202"/>
      <c r="D276" s="5"/>
      <c r="E276" s="5"/>
      <c r="F276" s="5"/>
      <c r="G276" s="5"/>
      <c r="H276" s="5"/>
      <c r="I276" s="5"/>
      <c r="J276" s="6">
        <v>234.4</v>
      </c>
      <c r="K276" s="5"/>
      <c r="L276" s="5"/>
      <c r="M276" s="22" t="s">
        <v>293</v>
      </c>
      <c r="N276" s="5"/>
      <c r="O276" s="5"/>
      <c r="P276" s="5"/>
      <c r="Q276" s="5"/>
      <c r="R276" s="5"/>
      <c r="S276" s="5"/>
      <c r="T276" s="5"/>
      <c r="U276" s="6">
        <v>473.2</v>
      </c>
      <c r="V276" s="5"/>
    </row>
    <row r="277" spans="2:22" ht="15.75" thickBot="1" x14ac:dyDescent="0.35">
      <c r="B277" s="7" t="s">
        <v>142</v>
      </c>
      <c r="C277" s="8" t="s">
        <v>162</v>
      </c>
      <c r="D277" s="8" t="s">
        <v>143</v>
      </c>
      <c r="E277" s="8" t="s">
        <v>144</v>
      </c>
      <c r="F277" s="8" t="s">
        <v>145</v>
      </c>
      <c r="G277" s="8" t="s">
        <v>163</v>
      </c>
      <c r="H277" s="8" t="s">
        <v>164</v>
      </c>
      <c r="I277" s="168" t="s">
        <v>165</v>
      </c>
      <c r="J277" s="9" t="s">
        <v>166</v>
      </c>
      <c r="K277" s="98" t="s">
        <v>146</v>
      </c>
      <c r="L277" s="5"/>
      <c r="M277" s="7" t="s">
        <v>142</v>
      </c>
      <c r="N277" s="8" t="s">
        <v>162</v>
      </c>
      <c r="O277" s="8" t="s">
        <v>143</v>
      </c>
      <c r="P277" s="8" t="s">
        <v>144</v>
      </c>
      <c r="Q277" s="8" t="s">
        <v>145</v>
      </c>
      <c r="R277" s="8" t="s">
        <v>163</v>
      </c>
      <c r="S277" s="8" t="s">
        <v>164</v>
      </c>
      <c r="T277" s="168" t="s">
        <v>165</v>
      </c>
      <c r="U277" s="9" t="s">
        <v>166</v>
      </c>
      <c r="V277" s="98" t="s">
        <v>146</v>
      </c>
    </row>
    <row r="278" spans="2:22" x14ac:dyDescent="0.3">
      <c r="B278" s="32">
        <v>45251</v>
      </c>
      <c r="C278" s="13">
        <v>5863</v>
      </c>
      <c r="D278" s="13">
        <v>5873</v>
      </c>
      <c r="E278" s="170">
        <f t="shared" ref="E278:E284" si="165">+D278-C278</f>
        <v>10</v>
      </c>
      <c r="F278" s="171">
        <f t="shared" ref="F278:F284" si="166">+E278*1000</f>
        <v>10000</v>
      </c>
      <c r="G278" s="171">
        <v>0</v>
      </c>
      <c r="H278" s="171">
        <f t="shared" ref="H278:H284" si="167">+F278-G278</f>
        <v>10000</v>
      </c>
      <c r="I278" s="173"/>
      <c r="J278" s="174">
        <f t="shared" ref="J278:J284" si="168">+E278*$J$122</f>
        <v>2344</v>
      </c>
      <c r="K278" s="172" t="s">
        <v>131</v>
      </c>
      <c r="L278" s="5"/>
      <c r="M278" s="32">
        <v>45251</v>
      </c>
      <c r="N278" s="13">
        <v>1061</v>
      </c>
      <c r="O278" s="13">
        <v>1077</v>
      </c>
      <c r="P278" s="170">
        <f t="shared" ref="P278:P284" si="169">+O278-N278</f>
        <v>16</v>
      </c>
      <c r="Q278" s="171">
        <f t="shared" ref="Q278:Q284" si="170">+P278*1000</f>
        <v>16000</v>
      </c>
      <c r="R278" s="171">
        <v>0</v>
      </c>
      <c r="S278" s="171">
        <f t="shared" ref="S278:S284" si="171">+Q278-R278</f>
        <v>16000</v>
      </c>
      <c r="T278" s="173"/>
      <c r="U278" s="174">
        <f t="shared" ref="U278:U284" si="172">+P278*$J$122</f>
        <v>3750.4</v>
      </c>
      <c r="V278" s="172"/>
    </row>
    <row r="279" spans="2:22" x14ac:dyDescent="0.3">
      <c r="B279" s="32">
        <v>45256</v>
      </c>
      <c r="C279" s="13">
        <v>5873</v>
      </c>
      <c r="D279" s="13">
        <v>5881</v>
      </c>
      <c r="E279" s="170">
        <f t="shared" si="165"/>
        <v>8</v>
      </c>
      <c r="F279" s="171">
        <f t="shared" si="166"/>
        <v>8000</v>
      </c>
      <c r="G279" s="171">
        <v>0</v>
      </c>
      <c r="H279" s="171">
        <f t="shared" si="167"/>
        <v>8000</v>
      </c>
      <c r="I279" s="173"/>
      <c r="J279" s="174">
        <f t="shared" si="168"/>
        <v>1875.2</v>
      </c>
      <c r="K279" s="172"/>
      <c r="M279" s="32">
        <v>45256</v>
      </c>
      <c r="N279" s="13">
        <v>1077</v>
      </c>
      <c r="O279" s="13">
        <v>1108</v>
      </c>
      <c r="P279" s="170">
        <f t="shared" si="169"/>
        <v>31</v>
      </c>
      <c r="Q279" s="171">
        <f t="shared" si="170"/>
        <v>31000</v>
      </c>
      <c r="R279" s="171">
        <v>0</v>
      </c>
      <c r="S279" s="171">
        <f t="shared" si="171"/>
        <v>31000</v>
      </c>
      <c r="T279" s="173"/>
      <c r="U279" s="174">
        <f t="shared" si="172"/>
        <v>7266.4000000000005</v>
      </c>
      <c r="V279" s="172"/>
    </row>
    <row r="280" spans="2:22" x14ac:dyDescent="0.3">
      <c r="B280" s="32">
        <v>45259</v>
      </c>
      <c r="C280" s="13">
        <v>5881</v>
      </c>
      <c r="D280" s="13">
        <v>5883</v>
      </c>
      <c r="E280" s="170">
        <f t="shared" ref="E280" si="173">+D280-C280</f>
        <v>2</v>
      </c>
      <c r="F280" s="171">
        <f t="shared" ref="F280" si="174">+E280*1000</f>
        <v>2000</v>
      </c>
      <c r="G280" s="171">
        <v>0</v>
      </c>
      <c r="H280" s="171">
        <f t="shared" ref="H280" si="175">+F280-G280</f>
        <v>2000</v>
      </c>
      <c r="I280" s="173"/>
      <c r="J280" s="174">
        <f>+E280*$J$122</f>
        <v>468.8</v>
      </c>
      <c r="K280" s="172" t="s">
        <v>131</v>
      </c>
      <c r="L280" s="29"/>
      <c r="M280" s="32">
        <v>45259</v>
      </c>
      <c r="N280" s="13">
        <v>1108</v>
      </c>
      <c r="O280" s="13">
        <v>1110</v>
      </c>
      <c r="P280" s="170">
        <f t="shared" ref="P280" si="176">+O280-N280</f>
        <v>2</v>
      </c>
      <c r="Q280" s="171">
        <f t="shared" ref="Q280" si="177">+P280*1000</f>
        <v>2000</v>
      </c>
      <c r="R280" s="171">
        <v>0</v>
      </c>
      <c r="S280" s="171">
        <f t="shared" ref="S280" si="178">+Q280-R280</f>
        <v>2000</v>
      </c>
      <c r="T280" s="173"/>
      <c r="U280" s="174">
        <f>+P280*$J$122</f>
        <v>468.8</v>
      </c>
      <c r="V280" s="172"/>
    </row>
    <row r="281" spans="2:22" x14ac:dyDescent="0.3">
      <c r="B281" s="32">
        <v>45263</v>
      </c>
      <c r="C281" s="13">
        <v>5883</v>
      </c>
      <c r="D281" s="13">
        <v>5901</v>
      </c>
      <c r="E281" s="170">
        <f>+D281-C281</f>
        <v>18</v>
      </c>
      <c r="F281" s="171">
        <f>+E281*1000</f>
        <v>18000</v>
      </c>
      <c r="G281" s="171">
        <v>0</v>
      </c>
      <c r="H281" s="171">
        <f>+F281-G281</f>
        <v>18000</v>
      </c>
      <c r="I281" s="173"/>
      <c r="J281" s="174">
        <f>+E281*$J$122</f>
        <v>4219.2</v>
      </c>
      <c r="K281" s="172"/>
      <c r="M281" s="32">
        <v>45263</v>
      </c>
      <c r="N281" s="13">
        <v>1110</v>
      </c>
      <c r="O281" s="13">
        <v>1124</v>
      </c>
      <c r="P281" s="170">
        <f>+O281-N281</f>
        <v>14</v>
      </c>
      <c r="Q281" s="171">
        <f>+P281*1000</f>
        <v>14000</v>
      </c>
      <c r="R281" s="171">
        <v>0</v>
      </c>
      <c r="S281" s="171">
        <f>+Q281-R281</f>
        <v>14000</v>
      </c>
      <c r="T281" s="173"/>
      <c r="U281" s="174">
        <f>+P281*$J$122</f>
        <v>3281.6</v>
      </c>
      <c r="V281" s="172"/>
    </row>
    <row r="282" spans="2:22" x14ac:dyDescent="0.3">
      <c r="B282" s="32">
        <v>45266</v>
      </c>
      <c r="C282" s="13">
        <v>5901</v>
      </c>
      <c r="D282" s="13">
        <v>5915</v>
      </c>
      <c r="E282" s="170">
        <f>+D282-C282</f>
        <v>14</v>
      </c>
      <c r="F282" s="171">
        <f>+E282*1000</f>
        <v>14000</v>
      </c>
      <c r="G282" s="171">
        <v>0</v>
      </c>
      <c r="H282" s="171">
        <f>+F282-G282</f>
        <v>14000</v>
      </c>
      <c r="I282" s="173"/>
      <c r="J282" s="174">
        <f>+E282*$J$122</f>
        <v>3281.6</v>
      </c>
      <c r="K282" s="172"/>
      <c r="L282" s="29"/>
      <c r="M282" s="32">
        <v>45266</v>
      </c>
      <c r="N282" s="13">
        <v>1124</v>
      </c>
      <c r="O282" s="13">
        <v>1139</v>
      </c>
      <c r="P282" s="170">
        <f>+O282-N282</f>
        <v>15</v>
      </c>
      <c r="Q282" s="171">
        <f>+P282*1000</f>
        <v>15000</v>
      </c>
      <c r="R282" s="171">
        <v>0</v>
      </c>
      <c r="S282" s="171">
        <f>+Q282-R282</f>
        <v>15000</v>
      </c>
      <c r="T282" s="173"/>
      <c r="U282" s="174">
        <f>+P282*$J$122</f>
        <v>3516</v>
      </c>
      <c r="V282" s="172"/>
    </row>
    <row r="283" spans="2:22" x14ac:dyDescent="0.3">
      <c r="B283" s="32">
        <v>45275</v>
      </c>
      <c r="C283" s="13">
        <v>5915</v>
      </c>
      <c r="D283" s="13">
        <v>5947</v>
      </c>
      <c r="E283" s="170">
        <f>+D283-C283</f>
        <v>32</v>
      </c>
      <c r="F283" s="171">
        <f>+E283*1000</f>
        <v>32000</v>
      </c>
      <c r="G283" s="171">
        <v>0</v>
      </c>
      <c r="H283" s="171">
        <f>+F283-G283</f>
        <v>32000</v>
      </c>
      <c r="I283" s="173"/>
      <c r="J283" s="174">
        <f>+E283*$J$122</f>
        <v>7500.8</v>
      </c>
      <c r="K283" s="172"/>
      <c r="L283" s="42"/>
      <c r="M283" s="32">
        <v>45275</v>
      </c>
      <c r="N283" s="13">
        <v>1139</v>
      </c>
      <c r="O283" s="13">
        <v>1185</v>
      </c>
      <c r="P283" s="170">
        <f>+O283-N283</f>
        <v>46</v>
      </c>
      <c r="Q283" s="171">
        <f>+P283*1000</f>
        <v>46000</v>
      </c>
      <c r="R283" s="171">
        <v>0</v>
      </c>
      <c r="S283" s="171">
        <f>+Q283-R283</f>
        <v>46000</v>
      </c>
      <c r="T283" s="173"/>
      <c r="U283" s="174">
        <f>+P283*$J$122</f>
        <v>10782.4</v>
      </c>
      <c r="V283" s="172"/>
    </row>
    <row r="284" spans="2:22" ht="15.75" thickBot="1" x14ac:dyDescent="0.35">
      <c r="B284" s="38">
        <v>45279</v>
      </c>
      <c r="C284" s="39">
        <v>5947</v>
      </c>
      <c r="D284" s="39">
        <v>5961</v>
      </c>
      <c r="E284" s="16">
        <f t="shared" si="165"/>
        <v>14</v>
      </c>
      <c r="F284" s="17">
        <f t="shared" si="166"/>
        <v>14000</v>
      </c>
      <c r="G284" s="17">
        <v>0</v>
      </c>
      <c r="H284" s="17">
        <f t="shared" si="167"/>
        <v>14000</v>
      </c>
      <c r="I284" s="40"/>
      <c r="J284" s="175">
        <f t="shared" si="168"/>
        <v>3281.6</v>
      </c>
      <c r="K284" s="176"/>
      <c r="L284" s="29"/>
      <c r="M284" s="38">
        <v>45279</v>
      </c>
      <c r="N284" s="39">
        <v>1185</v>
      </c>
      <c r="O284" s="39">
        <v>1195</v>
      </c>
      <c r="P284" s="16">
        <f t="shared" si="169"/>
        <v>10</v>
      </c>
      <c r="Q284" s="17">
        <f t="shared" si="170"/>
        <v>10000</v>
      </c>
      <c r="R284" s="17">
        <v>0</v>
      </c>
      <c r="S284" s="17">
        <f t="shared" si="171"/>
        <v>10000</v>
      </c>
      <c r="T284" s="40"/>
      <c r="U284" s="175">
        <f t="shared" si="172"/>
        <v>2344</v>
      </c>
      <c r="V284" s="176"/>
    </row>
    <row r="285" spans="2:22" ht="15.75" thickBot="1" x14ac:dyDescent="0.35">
      <c r="B285" s="15"/>
      <c r="C285" s="16"/>
      <c r="D285" s="16"/>
      <c r="E285" s="16">
        <f t="shared" ref="E285:J285" si="179">SUM(E278:E284)</f>
        <v>98</v>
      </c>
      <c r="F285" s="17">
        <f t="shared" si="179"/>
        <v>98000</v>
      </c>
      <c r="G285" s="17">
        <f t="shared" si="179"/>
        <v>0</v>
      </c>
      <c r="H285" s="17">
        <f t="shared" si="179"/>
        <v>98000</v>
      </c>
      <c r="I285" s="18">
        <f t="shared" si="179"/>
        <v>0</v>
      </c>
      <c r="J285" s="18">
        <f t="shared" si="179"/>
        <v>22971.200000000001</v>
      </c>
      <c r="K285" s="176">
        <f>+H285*0.6-I285-J285-G285</f>
        <v>35828.800000000003</v>
      </c>
      <c r="L285" s="43"/>
      <c r="M285" s="15"/>
      <c r="N285" s="16"/>
      <c r="O285" s="16"/>
      <c r="P285" s="16">
        <f t="shared" ref="P285:U285" si="180">SUM(P278:P284)</f>
        <v>134</v>
      </c>
      <c r="Q285" s="17">
        <f t="shared" si="180"/>
        <v>134000</v>
      </c>
      <c r="R285" s="17">
        <f t="shared" si="180"/>
        <v>0</v>
      </c>
      <c r="S285" s="17">
        <f t="shared" si="180"/>
        <v>134000</v>
      </c>
      <c r="T285" s="18">
        <f t="shared" si="180"/>
        <v>0</v>
      </c>
      <c r="U285" s="18">
        <f t="shared" si="180"/>
        <v>31409.599999999999</v>
      </c>
      <c r="V285" s="176">
        <f>+S285*0.6-T285-U285-R285</f>
        <v>48990.400000000001</v>
      </c>
    </row>
    <row r="287" spans="2:22" ht="15.75" thickBot="1" x14ac:dyDescent="0.35">
      <c r="B287" s="201" t="s">
        <v>298</v>
      </c>
      <c r="C287" s="202"/>
      <c r="D287" s="5"/>
      <c r="E287" s="5"/>
      <c r="F287" s="5"/>
      <c r="G287" s="5"/>
      <c r="H287" s="5"/>
      <c r="I287" s="5"/>
      <c r="J287" s="6">
        <v>234.4</v>
      </c>
      <c r="K287" s="5"/>
      <c r="L287" s="5"/>
      <c r="M287" s="22" t="s">
        <v>293</v>
      </c>
      <c r="N287" s="5"/>
      <c r="O287" s="5"/>
      <c r="P287" s="5"/>
      <c r="Q287" s="5"/>
      <c r="R287" s="5"/>
      <c r="S287" s="5"/>
      <c r="T287" s="5"/>
      <c r="U287" s="6">
        <v>473.2</v>
      </c>
      <c r="V287" s="5"/>
    </row>
    <row r="288" spans="2:22" ht="15.75" thickBot="1" x14ac:dyDescent="0.35">
      <c r="B288" s="7" t="s">
        <v>142</v>
      </c>
      <c r="C288" s="8" t="s">
        <v>162</v>
      </c>
      <c r="D288" s="8" t="s">
        <v>143</v>
      </c>
      <c r="E288" s="8" t="s">
        <v>144</v>
      </c>
      <c r="F288" s="8" t="s">
        <v>145</v>
      </c>
      <c r="G288" s="8" t="s">
        <v>163</v>
      </c>
      <c r="H288" s="8" t="s">
        <v>164</v>
      </c>
      <c r="I288" s="168" t="s">
        <v>165</v>
      </c>
      <c r="J288" s="9" t="s">
        <v>166</v>
      </c>
      <c r="K288" s="98" t="s">
        <v>146</v>
      </c>
      <c r="L288" s="5"/>
      <c r="M288" s="7" t="s">
        <v>142</v>
      </c>
      <c r="N288" s="8" t="s">
        <v>162</v>
      </c>
      <c r="O288" s="8" t="s">
        <v>143</v>
      </c>
      <c r="P288" s="8" t="s">
        <v>144</v>
      </c>
      <c r="Q288" s="8" t="s">
        <v>145</v>
      </c>
      <c r="R288" s="8" t="s">
        <v>163</v>
      </c>
      <c r="S288" s="8" t="s">
        <v>164</v>
      </c>
      <c r="T288" s="168" t="s">
        <v>165</v>
      </c>
      <c r="U288" s="9" t="s">
        <v>166</v>
      </c>
      <c r="V288" s="98" t="s">
        <v>146</v>
      </c>
    </row>
    <row r="289" spans="2:22" x14ac:dyDescent="0.3">
      <c r="B289" s="32">
        <v>45286</v>
      </c>
      <c r="C289" s="13">
        <v>5961</v>
      </c>
      <c r="D289" s="13">
        <v>5983</v>
      </c>
      <c r="E289" s="170">
        <f t="shared" ref="E289:E291" si="181">+D289-C289</f>
        <v>22</v>
      </c>
      <c r="F289" s="171">
        <f t="shared" ref="F289:F291" si="182">+E289*1000</f>
        <v>22000</v>
      </c>
      <c r="G289" s="171">
        <v>0</v>
      </c>
      <c r="H289" s="171">
        <f t="shared" ref="H289:H291" si="183">+F289-G289</f>
        <v>22000</v>
      </c>
      <c r="I289" s="173"/>
      <c r="J289" s="174">
        <f t="shared" ref="J289:J290" si="184">+E289*$J$122</f>
        <v>5156.8</v>
      </c>
      <c r="K289" s="172"/>
      <c r="L289" s="5"/>
      <c r="M289" s="32">
        <v>45286</v>
      </c>
      <c r="N289" s="13">
        <v>1195</v>
      </c>
      <c r="O289" s="13">
        <v>1220</v>
      </c>
      <c r="P289" s="170">
        <f t="shared" ref="P289:P291" si="185">+O289-N289</f>
        <v>25</v>
      </c>
      <c r="Q289" s="171">
        <f t="shared" ref="Q289:Q291" si="186">+P289*1000</f>
        <v>25000</v>
      </c>
      <c r="R289" s="171">
        <v>0</v>
      </c>
      <c r="S289" s="171">
        <f t="shared" ref="S289:S291" si="187">+Q289-R289</f>
        <v>25000</v>
      </c>
      <c r="T289" s="173"/>
      <c r="U289" s="174">
        <f t="shared" ref="U289:U290" si="188">+P289*$J$122</f>
        <v>5860</v>
      </c>
      <c r="V289" s="172"/>
    </row>
    <row r="290" spans="2:22" x14ac:dyDescent="0.3">
      <c r="B290" s="32">
        <v>45292</v>
      </c>
      <c r="C290" s="13">
        <v>5983</v>
      </c>
      <c r="D290" s="13">
        <v>6019</v>
      </c>
      <c r="E290" s="170">
        <f t="shared" si="181"/>
        <v>36</v>
      </c>
      <c r="F290" s="171">
        <f t="shared" si="182"/>
        <v>36000</v>
      </c>
      <c r="G290" s="171">
        <v>0</v>
      </c>
      <c r="H290" s="171">
        <f t="shared" si="183"/>
        <v>36000</v>
      </c>
      <c r="I290" s="173"/>
      <c r="J290" s="174">
        <f t="shared" si="184"/>
        <v>8438.4</v>
      </c>
      <c r="K290" s="172"/>
      <c r="M290" s="32">
        <v>45292</v>
      </c>
      <c r="N290" s="13">
        <v>1220</v>
      </c>
      <c r="O290" s="13">
        <v>1267</v>
      </c>
      <c r="P290" s="170">
        <f t="shared" si="185"/>
        <v>47</v>
      </c>
      <c r="Q290" s="171">
        <f t="shared" si="186"/>
        <v>47000</v>
      </c>
      <c r="R290" s="171">
        <v>0</v>
      </c>
      <c r="S290" s="171">
        <f t="shared" si="187"/>
        <v>47000</v>
      </c>
      <c r="T290" s="173"/>
      <c r="U290" s="174">
        <f t="shared" si="188"/>
        <v>11016.800000000001</v>
      </c>
      <c r="V290" s="172"/>
    </row>
    <row r="291" spans="2:22" x14ac:dyDescent="0.3">
      <c r="B291" s="32">
        <v>45297</v>
      </c>
      <c r="C291" s="13">
        <v>6019</v>
      </c>
      <c r="D291" s="13">
        <v>6059</v>
      </c>
      <c r="E291" s="170">
        <f t="shared" si="181"/>
        <v>40</v>
      </c>
      <c r="F291" s="171">
        <f t="shared" si="182"/>
        <v>40000</v>
      </c>
      <c r="G291" s="171">
        <v>0</v>
      </c>
      <c r="H291" s="171">
        <f t="shared" si="183"/>
        <v>40000</v>
      </c>
      <c r="I291" s="173"/>
      <c r="J291" s="174">
        <f>+E291*$J$122</f>
        <v>9376</v>
      </c>
      <c r="K291" s="172"/>
      <c r="L291" s="29"/>
      <c r="M291" s="32">
        <v>45297</v>
      </c>
      <c r="N291" s="13">
        <v>1267</v>
      </c>
      <c r="O291" s="13">
        <v>1331</v>
      </c>
      <c r="P291" s="170">
        <f t="shared" si="185"/>
        <v>64</v>
      </c>
      <c r="Q291" s="171">
        <f t="shared" si="186"/>
        <v>64000</v>
      </c>
      <c r="R291" s="171">
        <v>0</v>
      </c>
      <c r="S291" s="171">
        <f t="shared" si="187"/>
        <v>64000</v>
      </c>
      <c r="T291" s="173"/>
      <c r="U291" s="174">
        <f>+P291*$J$122</f>
        <v>15001.6</v>
      </c>
      <c r="V291" s="172"/>
    </row>
    <row r="292" spans="2:22" x14ac:dyDescent="0.3">
      <c r="B292" s="32">
        <v>45299</v>
      </c>
      <c r="C292" s="13">
        <v>6059</v>
      </c>
      <c r="D292" s="13">
        <v>6069</v>
      </c>
      <c r="E292" s="170">
        <f>+D292-C292</f>
        <v>10</v>
      </c>
      <c r="F292" s="171">
        <f>+E292*1000</f>
        <v>10000</v>
      </c>
      <c r="G292" s="171">
        <v>0</v>
      </c>
      <c r="H292" s="171">
        <f>+F292-G292</f>
        <v>10000</v>
      </c>
      <c r="I292" s="173"/>
      <c r="J292" s="174">
        <f>+E292*$J$122</f>
        <v>2344</v>
      </c>
      <c r="K292" s="172"/>
      <c r="M292" s="32">
        <v>45299</v>
      </c>
      <c r="N292" s="13">
        <v>1331</v>
      </c>
      <c r="O292" s="13">
        <v>1349</v>
      </c>
      <c r="P292" s="170">
        <f>+O292-N292</f>
        <v>18</v>
      </c>
      <c r="Q292" s="171">
        <f>+P292*1000</f>
        <v>18000</v>
      </c>
      <c r="R292" s="171">
        <v>0</v>
      </c>
      <c r="S292" s="171">
        <f>+Q292-R292</f>
        <v>18000</v>
      </c>
      <c r="T292" s="173"/>
      <c r="U292" s="174">
        <f>+P292*$J$122</f>
        <v>4219.2</v>
      </c>
      <c r="V292" s="172"/>
    </row>
    <row r="293" spans="2:22" x14ac:dyDescent="0.3">
      <c r="B293" s="32">
        <v>45303</v>
      </c>
      <c r="C293" s="13">
        <v>6069</v>
      </c>
      <c r="D293" s="13">
        <v>6081</v>
      </c>
      <c r="E293" s="170">
        <f>+D293-C293</f>
        <v>12</v>
      </c>
      <c r="F293" s="171">
        <f>+E293*1000</f>
        <v>12000</v>
      </c>
      <c r="G293" s="171">
        <v>0</v>
      </c>
      <c r="H293" s="171">
        <f>+F293-G293</f>
        <v>12000</v>
      </c>
      <c r="I293" s="173"/>
      <c r="J293" s="174">
        <f>+E293*$J$122</f>
        <v>2812.8</v>
      </c>
      <c r="K293" s="172"/>
      <c r="L293" s="29"/>
      <c r="M293" s="32">
        <v>45307</v>
      </c>
      <c r="N293" s="13">
        <v>1349</v>
      </c>
      <c r="O293" s="13">
        <v>1377</v>
      </c>
      <c r="P293" s="170">
        <f>+O293-N293</f>
        <v>28</v>
      </c>
      <c r="Q293" s="171">
        <f>+P293*1000</f>
        <v>28000</v>
      </c>
      <c r="R293" s="171">
        <v>0</v>
      </c>
      <c r="S293" s="171">
        <f>+Q293-R293</f>
        <v>28000</v>
      </c>
      <c r="T293" s="173"/>
      <c r="U293" s="174">
        <f>+P293*$J$122</f>
        <v>6563.2</v>
      </c>
      <c r="V293" s="172"/>
    </row>
    <row r="294" spans="2:22" x14ac:dyDescent="0.3">
      <c r="B294" s="32">
        <v>45308</v>
      </c>
      <c r="C294" s="13">
        <v>6081</v>
      </c>
      <c r="D294" s="13">
        <v>6083</v>
      </c>
      <c r="E294" s="170">
        <f>+D294-C294</f>
        <v>2</v>
      </c>
      <c r="F294" s="171">
        <f>+E294*1000</f>
        <v>2000</v>
      </c>
      <c r="G294" s="171">
        <v>0</v>
      </c>
      <c r="H294" s="171">
        <f>+F294-G294</f>
        <v>2000</v>
      </c>
      <c r="I294" s="173"/>
      <c r="J294" s="174">
        <f>+E294*$J$122</f>
        <v>468.8</v>
      </c>
      <c r="K294" s="172"/>
      <c r="L294" s="42"/>
      <c r="M294" s="32"/>
      <c r="N294" s="13"/>
      <c r="O294" s="13"/>
      <c r="P294" s="170">
        <f>+O294-N294</f>
        <v>0</v>
      </c>
      <c r="Q294" s="171">
        <f>+P294*1000</f>
        <v>0</v>
      </c>
      <c r="R294" s="171">
        <v>0</v>
      </c>
      <c r="S294" s="171">
        <f>+Q294-R294</f>
        <v>0</v>
      </c>
      <c r="T294" s="173"/>
      <c r="U294" s="174">
        <f>+P294*$J$122</f>
        <v>0</v>
      </c>
      <c r="V294" s="172"/>
    </row>
    <row r="295" spans="2:22" ht="15.75" thickBot="1" x14ac:dyDescent="0.35">
      <c r="B295" s="38"/>
      <c r="C295" s="39"/>
      <c r="D295" s="39"/>
      <c r="E295" s="16">
        <f t="shared" ref="E295" si="189">+D295-C295</f>
        <v>0</v>
      </c>
      <c r="F295" s="17">
        <f t="shared" ref="F295" si="190">+E295*1000</f>
        <v>0</v>
      </c>
      <c r="G295" s="17">
        <v>0</v>
      </c>
      <c r="H295" s="17">
        <f t="shared" ref="H295" si="191">+F295-G295</f>
        <v>0</v>
      </c>
      <c r="I295" s="40"/>
      <c r="J295" s="175">
        <f t="shared" ref="J295" si="192">+E295*$J$122</f>
        <v>0</v>
      </c>
      <c r="K295" s="176"/>
      <c r="L295" s="29"/>
      <c r="M295" s="38"/>
      <c r="N295" s="39"/>
      <c r="O295" s="39"/>
      <c r="P295" s="16">
        <f t="shared" ref="P295" si="193">+O295-N295</f>
        <v>0</v>
      </c>
      <c r="Q295" s="17">
        <f t="shared" ref="Q295" si="194">+P295*1000</f>
        <v>0</v>
      </c>
      <c r="R295" s="17">
        <v>0</v>
      </c>
      <c r="S295" s="17">
        <f t="shared" ref="S295" si="195">+Q295-R295</f>
        <v>0</v>
      </c>
      <c r="T295" s="40"/>
      <c r="U295" s="175">
        <f t="shared" ref="U295" si="196">+P295*$J$122</f>
        <v>0</v>
      </c>
      <c r="V295" s="176"/>
    </row>
    <row r="296" spans="2:22" ht="15.75" thickBot="1" x14ac:dyDescent="0.35">
      <c r="B296" s="15"/>
      <c r="C296" s="16"/>
      <c r="D296" s="16"/>
      <c r="E296" s="16">
        <f t="shared" ref="E296:J296" si="197">SUM(E289:E295)</f>
        <v>122</v>
      </c>
      <c r="F296" s="17">
        <f t="shared" si="197"/>
        <v>122000</v>
      </c>
      <c r="G296" s="17">
        <f t="shared" si="197"/>
        <v>0</v>
      </c>
      <c r="H296" s="17">
        <f t="shared" si="197"/>
        <v>122000</v>
      </c>
      <c r="I296" s="18">
        <f t="shared" si="197"/>
        <v>0</v>
      </c>
      <c r="J296" s="18">
        <f t="shared" si="197"/>
        <v>28596.799999999999</v>
      </c>
      <c r="K296" s="176">
        <f>+H296*0.6-I296-J296-G296</f>
        <v>44603.199999999997</v>
      </c>
      <c r="L296" s="43"/>
      <c r="M296" s="15"/>
      <c r="N296" s="16"/>
      <c r="O296" s="16"/>
      <c r="P296" s="16">
        <f t="shared" ref="P296:U296" si="198">SUM(P289:P295)</f>
        <v>182</v>
      </c>
      <c r="Q296" s="17">
        <f t="shared" si="198"/>
        <v>182000</v>
      </c>
      <c r="R296" s="17">
        <f t="shared" si="198"/>
        <v>0</v>
      </c>
      <c r="S296" s="17">
        <f t="shared" si="198"/>
        <v>182000</v>
      </c>
      <c r="T296" s="18">
        <f t="shared" si="198"/>
        <v>0</v>
      </c>
      <c r="U296" s="18">
        <f t="shared" si="198"/>
        <v>42660.799999999996</v>
      </c>
      <c r="V296" s="176">
        <f>+S296*0.6-T296-U296-R296</f>
        <v>66539.200000000012</v>
      </c>
    </row>
    <row r="298" spans="2:22" ht="15.75" thickBot="1" x14ac:dyDescent="0.35">
      <c r="B298" s="201" t="s">
        <v>298</v>
      </c>
      <c r="C298" s="202"/>
      <c r="D298" s="5"/>
      <c r="E298" s="5"/>
      <c r="F298" s="5"/>
      <c r="G298" s="5"/>
      <c r="H298" s="5"/>
      <c r="I298" s="5"/>
      <c r="J298" s="6">
        <v>234.4</v>
      </c>
      <c r="K298" s="5"/>
      <c r="L298" s="5"/>
      <c r="M298" s="22" t="s">
        <v>293</v>
      </c>
      <c r="N298" s="5"/>
      <c r="O298" s="5"/>
      <c r="P298" s="5"/>
      <c r="Q298" s="5"/>
      <c r="R298" s="5"/>
      <c r="S298" s="5"/>
      <c r="T298" s="5"/>
      <c r="U298" s="6">
        <v>473.2</v>
      </c>
      <c r="V298" s="5"/>
    </row>
    <row r="299" spans="2:22" ht="15.75" thickBot="1" x14ac:dyDescent="0.35">
      <c r="B299" s="7" t="s">
        <v>142</v>
      </c>
      <c r="C299" s="8" t="s">
        <v>162</v>
      </c>
      <c r="D299" s="8" t="s">
        <v>143</v>
      </c>
      <c r="E299" s="8" t="s">
        <v>144</v>
      </c>
      <c r="F299" s="8" t="s">
        <v>145</v>
      </c>
      <c r="G299" s="8" t="s">
        <v>163</v>
      </c>
      <c r="H299" s="8" t="s">
        <v>164</v>
      </c>
      <c r="I299" s="168" t="s">
        <v>165</v>
      </c>
      <c r="J299" s="9" t="s">
        <v>166</v>
      </c>
      <c r="K299" s="98" t="s">
        <v>146</v>
      </c>
      <c r="L299" s="5"/>
      <c r="M299" s="7" t="s">
        <v>142</v>
      </c>
      <c r="N299" s="8" t="s">
        <v>162</v>
      </c>
      <c r="O299" s="8" t="s">
        <v>143</v>
      </c>
      <c r="P299" s="8" t="s">
        <v>144</v>
      </c>
      <c r="Q299" s="8" t="s">
        <v>145</v>
      </c>
      <c r="R299" s="8" t="s">
        <v>163</v>
      </c>
      <c r="S299" s="8" t="s">
        <v>164</v>
      </c>
      <c r="T299" s="168" t="s">
        <v>165</v>
      </c>
      <c r="U299" s="9" t="s">
        <v>166</v>
      </c>
      <c r="V299" s="98" t="s">
        <v>146</v>
      </c>
    </row>
    <row r="300" spans="2:22" x14ac:dyDescent="0.3">
      <c r="B300" s="32">
        <v>45312</v>
      </c>
      <c r="C300" s="13">
        <v>6083</v>
      </c>
      <c r="D300" s="13">
        <v>6127</v>
      </c>
      <c r="E300" s="170">
        <f t="shared" ref="E300:E307" si="199">+D300-C300</f>
        <v>44</v>
      </c>
      <c r="F300" s="171">
        <f t="shared" ref="F300:F307" si="200">+E300*1000</f>
        <v>44000</v>
      </c>
      <c r="G300" s="171">
        <v>0</v>
      </c>
      <c r="H300" s="171">
        <f t="shared" ref="H300:H307" si="201">+F300-G300</f>
        <v>44000</v>
      </c>
      <c r="I300" s="173"/>
      <c r="J300" s="174">
        <f t="shared" ref="J300:J307" si="202">+E300*$J$122</f>
        <v>10313.6</v>
      </c>
      <c r="K300" s="172"/>
      <c r="L300" s="5"/>
      <c r="M300" s="32">
        <v>45312</v>
      </c>
      <c r="N300" s="13">
        <v>1377</v>
      </c>
      <c r="O300" s="13">
        <v>1397</v>
      </c>
      <c r="P300" s="170">
        <f t="shared" ref="P300:P307" si="203">+O300-N300</f>
        <v>20</v>
      </c>
      <c r="Q300" s="171">
        <f t="shared" ref="Q300:Q307" si="204">+P300*1000</f>
        <v>20000</v>
      </c>
      <c r="R300" s="171">
        <v>0</v>
      </c>
      <c r="S300" s="171">
        <f t="shared" ref="S300:S307" si="205">+Q300-R300</f>
        <v>20000</v>
      </c>
      <c r="T300" s="173"/>
      <c r="U300" s="174">
        <f t="shared" ref="U300:U307" si="206">+P300*$J$122</f>
        <v>4688</v>
      </c>
      <c r="V300" s="172"/>
    </row>
    <row r="301" spans="2:22" x14ac:dyDescent="0.3">
      <c r="B301" s="32">
        <v>45317</v>
      </c>
      <c r="C301" s="13">
        <v>6127</v>
      </c>
      <c r="D301" s="13">
        <v>6143</v>
      </c>
      <c r="E301" s="170">
        <f t="shared" si="199"/>
        <v>16</v>
      </c>
      <c r="F301" s="171">
        <f t="shared" si="200"/>
        <v>16000</v>
      </c>
      <c r="G301" s="171">
        <v>0</v>
      </c>
      <c r="H301" s="171">
        <f t="shared" si="201"/>
        <v>16000</v>
      </c>
      <c r="I301" s="173"/>
      <c r="J301" s="174">
        <f t="shared" si="202"/>
        <v>3750.4</v>
      </c>
      <c r="K301" s="172"/>
      <c r="M301" s="32">
        <v>45317</v>
      </c>
      <c r="N301" s="13">
        <v>1397</v>
      </c>
      <c r="O301" s="13">
        <v>1406</v>
      </c>
      <c r="P301" s="170">
        <f t="shared" si="203"/>
        <v>9</v>
      </c>
      <c r="Q301" s="171">
        <f t="shared" si="204"/>
        <v>9000</v>
      </c>
      <c r="R301" s="171">
        <v>0</v>
      </c>
      <c r="S301" s="171">
        <f t="shared" si="205"/>
        <v>9000</v>
      </c>
      <c r="T301" s="173"/>
      <c r="U301" s="174">
        <f t="shared" si="206"/>
        <v>2109.6</v>
      </c>
      <c r="V301" s="172"/>
    </row>
    <row r="302" spans="2:22" x14ac:dyDescent="0.3">
      <c r="B302" s="32">
        <v>45320</v>
      </c>
      <c r="C302" s="13">
        <v>6143</v>
      </c>
      <c r="D302" s="13">
        <v>6155</v>
      </c>
      <c r="E302" s="170">
        <f t="shared" si="199"/>
        <v>12</v>
      </c>
      <c r="F302" s="171">
        <f t="shared" si="200"/>
        <v>12000</v>
      </c>
      <c r="G302" s="171">
        <v>0</v>
      </c>
      <c r="H302" s="171">
        <f t="shared" si="201"/>
        <v>12000</v>
      </c>
      <c r="I302" s="173"/>
      <c r="J302" s="174">
        <f t="shared" si="202"/>
        <v>2812.8</v>
      </c>
      <c r="K302" s="172"/>
      <c r="L302" s="29"/>
      <c r="M302" s="32">
        <v>45320</v>
      </c>
      <c r="N302" s="13">
        <v>1406</v>
      </c>
      <c r="O302" s="13">
        <v>1410</v>
      </c>
      <c r="P302" s="170">
        <f t="shared" si="203"/>
        <v>4</v>
      </c>
      <c r="Q302" s="171">
        <f t="shared" si="204"/>
        <v>4000</v>
      </c>
      <c r="R302" s="171">
        <v>0</v>
      </c>
      <c r="S302" s="171">
        <f t="shared" si="205"/>
        <v>4000</v>
      </c>
      <c r="T302" s="173"/>
      <c r="U302" s="174">
        <f t="shared" si="206"/>
        <v>937.6</v>
      </c>
      <c r="V302" s="172"/>
    </row>
    <row r="303" spans="2:22" x14ac:dyDescent="0.3">
      <c r="B303" s="32">
        <v>45324</v>
      </c>
      <c r="C303" s="13">
        <v>6155</v>
      </c>
      <c r="D303" s="13">
        <v>6171</v>
      </c>
      <c r="E303" s="170">
        <f t="shared" si="199"/>
        <v>16</v>
      </c>
      <c r="F303" s="171">
        <f t="shared" si="200"/>
        <v>16000</v>
      </c>
      <c r="G303" s="171">
        <v>0</v>
      </c>
      <c r="H303" s="171">
        <f t="shared" si="201"/>
        <v>16000</v>
      </c>
      <c r="I303" s="173"/>
      <c r="J303" s="174">
        <f t="shared" si="202"/>
        <v>3750.4</v>
      </c>
      <c r="K303" s="172"/>
      <c r="M303" s="32">
        <v>45324</v>
      </c>
      <c r="N303" s="13">
        <v>1410</v>
      </c>
      <c r="O303" s="13">
        <v>1429</v>
      </c>
      <c r="P303" s="170">
        <f t="shared" si="203"/>
        <v>19</v>
      </c>
      <c r="Q303" s="171">
        <f t="shared" si="204"/>
        <v>19000</v>
      </c>
      <c r="R303" s="171">
        <v>0</v>
      </c>
      <c r="S303" s="171">
        <f t="shared" si="205"/>
        <v>19000</v>
      </c>
      <c r="T303" s="173"/>
      <c r="U303" s="174">
        <f t="shared" si="206"/>
        <v>4453.6000000000004</v>
      </c>
      <c r="V303" s="172"/>
    </row>
    <row r="304" spans="2:22" x14ac:dyDescent="0.3">
      <c r="B304" s="32">
        <v>45327</v>
      </c>
      <c r="C304" s="13">
        <v>6171</v>
      </c>
      <c r="D304" s="13">
        <v>6183</v>
      </c>
      <c r="E304" s="170">
        <f t="shared" si="199"/>
        <v>12</v>
      </c>
      <c r="F304" s="171">
        <f t="shared" si="200"/>
        <v>12000</v>
      </c>
      <c r="G304" s="171">
        <v>0</v>
      </c>
      <c r="H304" s="171">
        <f t="shared" si="201"/>
        <v>12000</v>
      </c>
      <c r="I304" s="173"/>
      <c r="J304" s="174">
        <f t="shared" si="202"/>
        <v>2812.8</v>
      </c>
      <c r="K304" s="172"/>
      <c r="L304" s="29"/>
      <c r="M304" s="32">
        <v>45327</v>
      </c>
      <c r="N304" s="13">
        <v>1429</v>
      </c>
      <c r="O304" s="13">
        <v>1446</v>
      </c>
      <c r="P304" s="170">
        <f t="shared" si="203"/>
        <v>17</v>
      </c>
      <c r="Q304" s="171">
        <f t="shared" si="204"/>
        <v>17000</v>
      </c>
      <c r="R304" s="171">
        <v>0</v>
      </c>
      <c r="S304" s="171">
        <f t="shared" si="205"/>
        <v>17000</v>
      </c>
      <c r="T304" s="173"/>
      <c r="U304" s="174">
        <f t="shared" si="206"/>
        <v>3984.8</v>
      </c>
      <c r="V304" s="172"/>
    </row>
    <row r="305" spans="2:22" x14ac:dyDescent="0.3">
      <c r="B305" s="32">
        <v>45331</v>
      </c>
      <c r="C305" s="13">
        <v>6183</v>
      </c>
      <c r="D305" s="13">
        <v>6187</v>
      </c>
      <c r="E305" s="170">
        <f t="shared" si="199"/>
        <v>4</v>
      </c>
      <c r="F305" s="171">
        <f t="shared" si="200"/>
        <v>4000</v>
      </c>
      <c r="G305" s="171">
        <v>0</v>
      </c>
      <c r="H305" s="171">
        <f t="shared" si="201"/>
        <v>4000</v>
      </c>
      <c r="I305" s="173"/>
      <c r="J305" s="174">
        <f t="shared" si="202"/>
        <v>937.6</v>
      </c>
      <c r="K305" s="172"/>
      <c r="L305" s="42"/>
      <c r="M305" s="32">
        <v>45331</v>
      </c>
      <c r="N305" s="13">
        <v>1446</v>
      </c>
      <c r="O305" s="13">
        <v>1459</v>
      </c>
      <c r="P305" s="170">
        <f t="shared" si="203"/>
        <v>13</v>
      </c>
      <c r="Q305" s="171">
        <f t="shared" si="204"/>
        <v>13000</v>
      </c>
      <c r="R305" s="171">
        <v>0</v>
      </c>
      <c r="S305" s="171">
        <f t="shared" si="205"/>
        <v>13000</v>
      </c>
      <c r="T305" s="173"/>
      <c r="U305" s="174">
        <f t="shared" si="206"/>
        <v>3047.2000000000003</v>
      </c>
      <c r="V305" s="172"/>
    </row>
    <row r="306" spans="2:22" x14ac:dyDescent="0.3">
      <c r="B306" s="45">
        <v>45335</v>
      </c>
      <c r="C306" s="46">
        <v>6187</v>
      </c>
      <c r="D306" s="46">
        <v>6195</v>
      </c>
      <c r="E306" s="170">
        <f t="shared" ref="E306" si="207">+D306-C306</f>
        <v>8</v>
      </c>
      <c r="F306" s="171">
        <f t="shared" ref="F306" si="208">+E306*1000</f>
        <v>8000</v>
      </c>
      <c r="G306" s="171">
        <v>0</v>
      </c>
      <c r="H306" s="171">
        <f t="shared" ref="H306" si="209">+F306-G306</f>
        <v>8000</v>
      </c>
      <c r="I306" s="193"/>
      <c r="J306" s="174">
        <f t="shared" si="202"/>
        <v>1875.2</v>
      </c>
      <c r="K306" s="51"/>
      <c r="L306" s="42"/>
      <c r="M306" s="45">
        <v>45335</v>
      </c>
      <c r="N306" s="46">
        <v>1459</v>
      </c>
      <c r="O306" s="46">
        <v>1509</v>
      </c>
      <c r="P306" s="170">
        <f>+O306-N306</f>
        <v>50</v>
      </c>
      <c r="Q306" s="171">
        <f t="shared" ref="Q306" si="210">+P306*1000</f>
        <v>50000</v>
      </c>
      <c r="R306" s="171">
        <v>0</v>
      </c>
      <c r="S306" s="171">
        <f t="shared" ref="S306" si="211">+Q306-R306</f>
        <v>50000</v>
      </c>
      <c r="T306" s="173"/>
      <c r="U306" s="174">
        <f t="shared" ref="U306" si="212">+P306*$J$122</f>
        <v>11720</v>
      </c>
      <c r="V306" s="172"/>
    </row>
    <row r="307" spans="2:22" ht="15.75" thickBot="1" x14ac:dyDescent="0.35">
      <c r="B307" s="38">
        <v>45339</v>
      </c>
      <c r="C307" s="39">
        <v>6195</v>
      </c>
      <c r="D307" s="39">
        <v>6205</v>
      </c>
      <c r="E307" s="16">
        <f t="shared" si="199"/>
        <v>10</v>
      </c>
      <c r="F307" s="17">
        <f t="shared" si="200"/>
        <v>10000</v>
      </c>
      <c r="G307" s="17">
        <v>0</v>
      </c>
      <c r="H307" s="17">
        <f t="shared" si="201"/>
        <v>10000</v>
      </c>
      <c r="I307" s="40"/>
      <c r="J307" s="175">
        <f t="shared" si="202"/>
        <v>2344</v>
      </c>
      <c r="K307" s="176"/>
      <c r="L307" s="29"/>
      <c r="M307" s="38">
        <v>45339</v>
      </c>
      <c r="N307" s="39">
        <v>1509</v>
      </c>
      <c r="O307" s="39">
        <v>1533</v>
      </c>
      <c r="P307" s="16">
        <f t="shared" si="203"/>
        <v>24</v>
      </c>
      <c r="Q307" s="17">
        <f t="shared" si="204"/>
        <v>24000</v>
      </c>
      <c r="R307" s="17">
        <v>0</v>
      </c>
      <c r="S307" s="17">
        <f t="shared" si="205"/>
        <v>24000</v>
      </c>
      <c r="T307" s="40"/>
      <c r="U307" s="175">
        <f t="shared" si="206"/>
        <v>5625.6</v>
      </c>
      <c r="V307" s="172"/>
    </row>
    <row r="308" spans="2:22" ht="15.75" thickBot="1" x14ac:dyDescent="0.35">
      <c r="B308" s="15"/>
      <c r="C308" s="16"/>
      <c r="D308" s="16"/>
      <c r="E308" s="16">
        <f t="shared" ref="E308:J308" si="213">SUM(E300:E307)</f>
        <v>122</v>
      </c>
      <c r="F308" s="17">
        <f t="shared" si="213"/>
        <v>122000</v>
      </c>
      <c r="G308" s="17">
        <f t="shared" si="213"/>
        <v>0</v>
      </c>
      <c r="H308" s="17">
        <f t="shared" si="213"/>
        <v>122000</v>
      </c>
      <c r="I308" s="18">
        <f t="shared" si="213"/>
        <v>0</v>
      </c>
      <c r="J308" s="18">
        <f t="shared" si="213"/>
        <v>28596.799999999999</v>
      </c>
      <c r="K308" s="176">
        <f>+H308*0.6-I308-J308-G308</f>
        <v>44603.199999999997</v>
      </c>
      <c r="L308" s="43"/>
      <c r="M308" s="15"/>
      <c r="N308" s="16"/>
      <c r="O308" s="16"/>
      <c r="P308" s="16">
        <f t="shared" ref="P308:U308" si="214">SUM(P300:P307)</f>
        <v>156</v>
      </c>
      <c r="Q308" s="17">
        <f t="shared" si="214"/>
        <v>156000</v>
      </c>
      <c r="R308" s="17">
        <f t="shared" si="214"/>
        <v>0</v>
      </c>
      <c r="S308" s="17">
        <f t="shared" si="214"/>
        <v>156000</v>
      </c>
      <c r="T308" s="18">
        <f t="shared" si="214"/>
        <v>0</v>
      </c>
      <c r="U308" s="18">
        <f t="shared" si="214"/>
        <v>36566.400000000001</v>
      </c>
      <c r="V308" s="172"/>
    </row>
    <row r="309" spans="2:22" x14ac:dyDescent="0.3">
      <c r="V309" s="172"/>
    </row>
    <row r="310" spans="2:22" ht="15.75" thickBot="1" x14ac:dyDescent="0.35">
      <c r="B310" s="201" t="s">
        <v>298</v>
      </c>
      <c r="C310" s="202"/>
      <c r="D310" s="5"/>
      <c r="E310" s="5"/>
      <c r="F310" s="5"/>
      <c r="G310" s="5"/>
      <c r="H310" s="5"/>
      <c r="I310" s="5"/>
      <c r="J310" s="6">
        <v>234.4</v>
      </c>
      <c r="K310" s="5"/>
      <c r="L310" s="5"/>
      <c r="M310" s="22" t="s">
        <v>293</v>
      </c>
      <c r="N310" s="5"/>
      <c r="O310" s="5"/>
      <c r="P310" s="5"/>
      <c r="Q310" s="5"/>
      <c r="R310" s="5"/>
      <c r="S310" s="5"/>
      <c r="T310" s="5"/>
      <c r="U310" s="6">
        <v>473.2</v>
      </c>
      <c r="V310" s="5"/>
    </row>
    <row r="311" spans="2:22" ht="15.75" thickBot="1" x14ac:dyDescent="0.35">
      <c r="B311" s="7" t="s">
        <v>142</v>
      </c>
      <c r="C311" s="8" t="s">
        <v>162</v>
      </c>
      <c r="D311" s="8" t="s">
        <v>143</v>
      </c>
      <c r="E311" s="8" t="s">
        <v>144</v>
      </c>
      <c r="F311" s="8" t="s">
        <v>145</v>
      </c>
      <c r="G311" s="8" t="s">
        <v>163</v>
      </c>
      <c r="H311" s="8" t="s">
        <v>164</v>
      </c>
      <c r="I311" s="168" t="s">
        <v>165</v>
      </c>
      <c r="J311" s="9" t="s">
        <v>166</v>
      </c>
      <c r="K311" s="98" t="s">
        <v>146</v>
      </c>
      <c r="L311" s="5"/>
      <c r="M311" s="7" t="s">
        <v>142</v>
      </c>
      <c r="N311" s="8" t="s">
        <v>162</v>
      </c>
      <c r="O311" s="8" t="s">
        <v>143</v>
      </c>
      <c r="P311" s="8" t="s">
        <v>144</v>
      </c>
      <c r="Q311" s="8" t="s">
        <v>145</v>
      </c>
      <c r="R311" s="8" t="s">
        <v>163</v>
      </c>
      <c r="S311" s="8" t="s">
        <v>164</v>
      </c>
      <c r="T311" s="168" t="s">
        <v>165</v>
      </c>
      <c r="U311" s="9" t="s">
        <v>166</v>
      </c>
      <c r="V311" s="98" t="s">
        <v>146</v>
      </c>
    </row>
    <row r="312" spans="2:22" x14ac:dyDescent="0.3">
      <c r="B312" s="32">
        <v>45341</v>
      </c>
      <c r="C312" s="13">
        <v>6205</v>
      </c>
      <c r="D312" s="13">
        <v>6217</v>
      </c>
      <c r="E312" s="170">
        <f t="shared" ref="E312:E319" si="215">+D312-C312</f>
        <v>12</v>
      </c>
      <c r="F312" s="171">
        <f t="shared" ref="F312:F319" si="216">+E312*1000</f>
        <v>12000</v>
      </c>
      <c r="G312" s="171">
        <v>0</v>
      </c>
      <c r="H312" s="171">
        <f t="shared" ref="H312:H319" si="217">+F312-G312</f>
        <v>12000</v>
      </c>
      <c r="I312" s="173"/>
      <c r="J312" s="174">
        <f t="shared" ref="J312:J319" si="218">+E312*$J$122</f>
        <v>2812.8</v>
      </c>
      <c r="K312" s="172"/>
      <c r="L312" s="5"/>
      <c r="M312" s="32">
        <v>45341</v>
      </c>
      <c r="N312" s="13">
        <v>1533</v>
      </c>
      <c r="O312" s="13">
        <v>1542</v>
      </c>
      <c r="P312" s="170">
        <f t="shared" ref="P312:P317" si="219">+O312-N312</f>
        <v>9</v>
      </c>
      <c r="Q312" s="171">
        <f t="shared" ref="Q312:Q319" si="220">+P312*1000</f>
        <v>9000</v>
      </c>
      <c r="R312" s="171">
        <v>0</v>
      </c>
      <c r="S312" s="171">
        <f t="shared" ref="S312:S319" si="221">+Q312-R312</f>
        <v>9000</v>
      </c>
      <c r="T312" s="173"/>
      <c r="U312" s="174">
        <f t="shared" ref="U312:U319" si="222">+P312*$J$122</f>
        <v>2109.6</v>
      </c>
      <c r="V312" s="172"/>
    </row>
    <row r="313" spans="2:22" x14ac:dyDescent="0.3">
      <c r="B313" s="32">
        <v>45345</v>
      </c>
      <c r="C313" s="13">
        <v>6217</v>
      </c>
      <c r="D313" s="13">
        <v>6233</v>
      </c>
      <c r="E313" s="170">
        <f t="shared" si="215"/>
        <v>16</v>
      </c>
      <c r="F313" s="171">
        <f t="shared" si="216"/>
        <v>16000</v>
      </c>
      <c r="G313" s="171">
        <v>0</v>
      </c>
      <c r="H313" s="171">
        <f t="shared" si="217"/>
        <v>16000</v>
      </c>
      <c r="I313" s="173"/>
      <c r="J313" s="174">
        <f t="shared" si="218"/>
        <v>3750.4</v>
      </c>
      <c r="K313" s="172"/>
      <c r="M313" s="32">
        <v>45345</v>
      </c>
      <c r="N313" s="13">
        <v>1542</v>
      </c>
      <c r="O313" s="13">
        <v>1558</v>
      </c>
      <c r="P313" s="170">
        <f t="shared" si="219"/>
        <v>16</v>
      </c>
      <c r="Q313" s="171">
        <f t="shared" si="220"/>
        <v>16000</v>
      </c>
      <c r="R313" s="171">
        <v>0</v>
      </c>
      <c r="S313" s="171">
        <f t="shared" si="221"/>
        <v>16000</v>
      </c>
      <c r="T313" s="173"/>
      <c r="U313" s="174">
        <f t="shared" si="222"/>
        <v>3750.4</v>
      </c>
      <c r="V313" s="172"/>
    </row>
    <row r="314" spans="2:22" x14ac:dyDescent="0.3">
      <c r="B314" s="32">
        <v>45348</v>
      </c>
      <c r="C314" s="13">
        <v>6233</v>
      </c>
      <c r="D314" s="13">
        <v>6233</v>
      </c>
      <c r="E314" s="170">
        <f t="shared" si="215"/>
        <v>0</v>
      </c>
      <c r="F314" s="171">
        <f t="shared" si="216"/>
        <v>0</v>
      </c>
      <c r="G314" s="171">
        <v>0</v>
      </c>
      <c r="H314" s="171">
        <f t="shared" si="217"/>
        <v>0</v>
      </c>
      <c r="I314" s="173"/>
      <c r="J314" s="174">
        <f t="shared" si="218"/>
        <v>0</v>
      </c>
      <c r="K314" s="172"/>
      <c r="L314" s="29"/>
      <c r="M314" s="32">
        <v>45348</v>
      </c>
      <c r="N314" s="13">
        <v>1558</v>
      </c>
      <c r="O314" s="13">
        <v>1572</v>
      </c>
      <c r="P314" s="170">
        <f t="shared" si="219"/>
        <v>14</v>
      </c>
      <c r="Q314" s="171">
        <f t="shared" si="220"/>
        <v>14000</v>
      </c>
      <c r="R314" s="171">
        <v>0</v>
      </c>
      <c r="S314" s="171">
        <f t="shared" si="221"/>
        <v>14000</v>
      </c>
      <c r="T314" s="173"/>
      <c r="U314" s="174">
        <f t="shared" si="222"/>
        <v>3281.6</v>
      </c>
      <c r="V314" s="172"/>
    </row>
    <row r="315" spans="2:22" x14ac:dyDescent="0.3">
      <c r="B315" s="32">
        <v>45352</v>
      </c>
      <c r="C315" s="13">
        <v>6233</v>
      </c>
      <c r="D315" s="13">
        <v>6241</v>
      </c>
      <c r="E315" s="170">
        <f t="shared" si="215"/>
        <v>8</v>
      </c>
      <c r="F315" s="171">
        <f t="shared" si="216"/>
        <v>8000</v>
      </c>
      <c r="G315" s="171">
        <v>0</v>
      </c>
      <c r="H315" s="171">
        <f t="shared" si="217"/>
        <v>8000</v>
      </c>
      <c r="I315" s="173"/>
      <c r="J315" s="174">
        <f t="shared" si="218"/>
        <v>1875.2</v>
      </c>
      <c r="K315" s="172"/>
      <c r="M315" s="32">
        <v>45352</v>
      </c>
      <c r="N315" s="13">
        <v>1572</v>
      </c>
      <c r="O315" s="13">
        <v>1628</v>
      </c>
      <c r="P315" s="170">
        <f t="shared" si="219"/>
        <v>56</v>
      </c>
      <c r="Q315" s="171">
        <f t="shared" si="220"/>
        <v>56000</v>
      </c>
      <c r="R315" s="171">
        <v>0</v>
      </c>
      <c r="S315" s="171">
        <f t="shared" si="221"/>
        <v>56000</v>
      </c>
      <c r="T315" s="173"/>
      <c r="U315" s="174">
        <f t="shared" si="222"/>
        <v>13126.4</v>
      </c>
      <c r="V315" s="172" t="s">
        <v>303</v>
      </c>
    </row>
    <row r="316" spans="2:22" x14ac:dyDescent="0.3">
      <c r="B316" s="32">
        <v>45355</v>
      </c>
      <c r="C316" s="13">
        <v>6241</v>
      </c>
      <c r="D316" s="13">
        <v>6273</v>
      </c>
      <c r="E316" s="170">
        <f t="shared" si="215"/>
        <v>32</v>
      </c>
      <c r="F316" s="171">
        <f t="shared" si="216"/>
        <v>32000</v>
      </c>
      <c r="G316" s="171">
        <v>0</v>
      </c>
      <c r="H316" s="171">
        <f t="shared" si="217"/>
        <v>32000</v>
      </c>
      <c r="I316" s="173"/>
      <c r="J316" s="174">
        <f t="shared" si="218"/>
        <v>7500.8</v>
      </c>
      <c r="K316" s="172"/>
      <c r="L316" s="29"/>
      <c r="M316" s="32">
        <v>45355</v>
      </c>
      <c r="N316" s="13">
        <v>1628</v>
      </c>
      <c r="O316" s="13">
        <v>1653</v>
      </c>
      <c r="P316" s="170">
        <f t="shared" si="219"/>
        <v>25</v>
      </c>
      <c r="Q316" s="171">
        <f t="shared" si="220"/>
        <v>25000</v>
      </c>
      <c r="R316" s="171">
        <v>0</v>
      </c>
      <c r="S316" s="171">
        <f t="shared" si="221"/>
        <v>25000</v>
      </c>
      <c r="T316" s="173"/>
      <c r="U316" s="174">
        <f t="shared" si="222"/>
        <v>5860</v>
      </c>
      <c r="V316" s="172"/>
    </row>
    <row r="317" spans="2:22" x14ac:dyDescent="0.3">
      <c r="B317" s="32">
        <v>45359</v>
      </c>
      <c r="C317" s="13">
        <v>6273</v>
      </c>
      <c r="D317" s="13">
        <v>6279</v>
      </c>
      <c r="E317" s="170">
        <f t="shared" si="215"/>
        <v>6</v>
      </c>
      <c r="F317" s="171">
        <f t="shared" si="216"/>
        <v>6000</v>
      </c>
      <c r="G317" s="171">
        <v>0</v>
      </c>
      <c r="H317" s="171">
        <f t="shared" si="217"/>
        <v>6000</v>
      </c>
      <c r="I317" s="173"/>
      <c r="J317" s="174">
        <f t="shared" si="218"/>
        <v>1406.4</v>
      </c>
      <c r="K317" s="172"/>
      <c r="L317" s="42"/>
      <c r="M317" s="32">
        <v>45359</v>
      </c>
      <c r="N317" s="13">
        <v>1653</v>
      </c>
      <c r="O317" s="13">
        <v>1660</v>
      </c>
      <c r="P317" s="170">
        <f t="shared" si="219"/>
        <v>7</v>
      </c>
      <c r="Q317" s="171">
        <f t="shared" si="220"/>
        <v>7000</v>
      </c>
      <c r="R317" s="171">
        <v>0</v>
      </c>
      <c r="S317" s="171">
        <f t="shared" si="221"/>
        <v>7000</v>
      </c>
      <c r="T317" s="173"/>
      <c r="U317" s="174">
        <f t="shared" si="222"/>
        <v>1640.8</v>
      </c>
      <c r="V317" s="172"/>
    </row>
    <row r="318" spans="2:22" x14ac:dyDescent="0.3">
      <c r="B318" s="45">
        <v>45362</v>
      </c>
      <c r="C318" s="46">
        <v>6279</v>
      </c>
      <c r="D318" s="46">
        <v>6289</v>
      </c>
      <c r="E318" s="170">
        <f t="shared" si="215"/>
        <v>10</v>
      </c>
      <c r="F318" s="171">
        <f t="shared" si="216"/>
        <v>10000</v>
      </c>
      <c r="G318" s="171">
        <v>0</v>
      </c>
      <c r="H318" s="171">
        <f t="shared" si="217"/>
        <v>10000</v>
      </c>
      <c r="I318" s="193"/>
      <c r="J318" s="174">
        <f t="shared" si="218"/>
        <v>2344</v>
      </c>
      <c r="K318" s="51"/>
      <c r="L318" s="42"/>
      <c r="M318" s="45">
        <v>45362</v>
      </c>
      <c r="N318" s="46">
        <v>1660</v>
      </c>
      <c r="O318" s="46">
        <v>1669</v>
      </c>
      <c r="P318" s="170">
        <f>+O318-N318</f>
        <v>9</v>
      </c>
      <c r="Q318" s="171">
        <f t="shared" si="220"/>
        <v>9000</v>
      </c>
      <c r="R318" s="171">
        <v>0</v>
      </c>
      <c r="S318" s="171">
        <f t="shared" si="221"/>
        <v>9000</v>
      </c>
      <c r="T318" s="173"/>
      <c r="U318" s="174">
        <f t="shared" si="222"/>
        <v>2109.6</v>
      </c>
      <c r="V318" s="51"/>
    </row>
    <row r="319" spans="2:22" ht="15.75" thickBot="1" x14ac:dyDescent="0.35">
      <c r="B319" s="38">
        <v>45366</v>
      </c>
      <c r="C319" s="39">
        <v>6289</v>
      </c>
      <c r="D319" s="39">
        <v>6339</v>
      </c>
      <c r="E319" s="16">
        <f t="shared" si="215"/>
        <v>50</v>
      </c>
      <c r="F319" s="17">
        <f t="shared" si="216"/>
        <v>50000</v>
      </c>
      <c r="G319" s="17">
        <v>0</v>
      </c>
      <c r="H319" s="17">
        <f t="shared" si="217"/>
        <v>50000</v>
      </c>
      <c r="I319" s="40"/>
      <c r="J319" s="175">
        <f t="shared" si="218"/>
        <v>11720</v>
      </c>
      <c r="K319" s="176"/>
      <c r="L319" s="29"/>
      <c r="M319" s="38">
        <v>45366</v>
      </c>
      <c r="N319" s="39">
        <v>1669</v>
      </c>
      <c r="O319" s="39">
        <v>1673</v>
      </c>
      <c r="P319" s="16">
        <f t="shared" ref="P319" si="223">+O319-N319</f>
        <v>4</v>
      </c>
      <c r="Q319" s="17">
        <f t="shared" si="220"/>
        <v>4000</v>
      </c>
      <c r="R319" s="17">
        <v>0</v>
      </c>
      <c r="S319" s="17">
        <f t="shared" si="221"/>
        <v>4000</v>
      </c>
      <c r="T319" s="40"/>
      <c r="U319" s="175">
        <f t="shared" si="222"/>
        <v>937.6</v>
      </c>
      <c r="V319" s="176"/>
    </row>
    <row r="320" spans="2:22" ht="15.75" thickBot="1" x14ac:dyDescent="0.35">
      <c r="B320" s="15"/>
      <c r="C320" s="16"/>
      <c r="D320" s="16"/>
      <c r="E320" s="16">
        <f t="shared" ref="E320:J320" si="224">SUM(E312:E319)</f>
        <v>134</v>
      </c>
      <c r="F320" s="17">
        <f t="shared" si="224"/>
        <v>134000</v>
      </c>
      <c r="G320" s="17">
        <f t="shared" si="224"/>
        <v>0</v>
      </c>
      <c r="H320" s="17">
        <f t="shared" si="224"/>
        <v>134000</v>
      </c>
      <c r="I320" s="18">
        <f t="shared" si="224"/>
        <v>0</v>
      </c>
      <c r="J320" s="18">
        <f t="shared" si="224"/>
        <v>31409.600000000002</v>
      </c>
      <c r="K320" s="176">
        <f>+H320*0.6-I320-J320-G320</f>
        <v>48990.399999999994</v>
      </c>
      <c r="L320" s="43"/>
      <c r="M320" s="15"/>
      <c r="N320" s="16"/>
      <c r="O320" s="16"/>
      <c r="P320" s="16">
        <f t="shared" ref="P320:U320" si="225">SUM(P312:P319)</f>
        <v>140</v>
      </c>
      <c r="Q320" s="17">
        <f t="shared" si="225"/>
        <v>140000</v>
      </c>
      <c r="R320" s="17">
        <f t="shared" si="225"/>
        <v>0</v>
      </c>
      <c r="S320" s="17">
        <f t="shared" si="225"/>
        <v>140000</v>
      </c>
      <c r="T320" s="18">
        <f t="shared" si="225"/>
        <v>0</v>
      </c>
      <c r="U320" s="18">
        <f t="shared" si="225"/>
        <v>32816</v>
      </c>
      <c r="V320" s="176">
        <f>+S320*0.6-T320-U320-R320</f>
        <v>51184</v>
      </c>
    </row>
    <row r="322" spans="2:22" ht="15.75" thickBot="1" x14ac:dyDescent="0.35">
      <c r="B322" s="847" t="s">
        <v>298</v>
      </c>
      <c r="C322" s="847"/>
      <c r="D322" s="847"/>
      <c r="E322" s="847"/>
      <c r="F322" s="5"/>
      <c r="G322" s="5"/>
      <c r="H322" s="5"/>
      <c r="I322" s="5"/>
      <c r="J322" s="6"/>
      <c r="K322" s="5"/>
      <c r="L322" s="5"/>
      <c r="M322" s="852" t="s">
        <v>293</v>
      </c>
      <c r="N322" s="852"/>
      <c r="O322" s="852"/>
      <c r="P322" s="5"/>
      <c r="Q322" s="5"/>
      <c r="R322" s="5"/>
      <c r="S322" s="5"/>
      <c r="T322" s="5"/>
      <c r="U322" s="6"/>
      <c r="V322" s="5"/>
    </row>
    <row r="323" spans="2:22" ht="15.75" thickBot="1" x14ac:dyDescent="0.35">
      <c r="B323" s="7" t="s">
        <v>142</v>
      </c>
      <c r="C323" s="8"/>
      <c r="D323" s="8" t="s">
        <v>143</v>
      </c>
      <c r="E323" s="8" t="s">
        <v>144</v>
      </c>
      <c r="F323" s="8" t="s">
        <v>145</v>
      </c>
      <c r="G323" s="8"/>
      <c r="H323" s="8"/>
      <c r="I323" s="168"/>
      <c r="J323" s="9"/>
      <c r="K323" s="98" t="s">
        <v>146</v>
      </c>
      <c r="L323" s="5"/>
      <c r="M323" s="7" t="s">
        <v>142</v>
      </c>
      <c r="N323" s="8"/>
      <c r="O323" s="8" t="s">
        <v>143</v>
      </c>
      <c r="P323" s="8" t="s">
        <v>144</v>
      </c>
      <c r="Q323" s="8" t="s">
        <v>145</v>
      </c>
      <c r="R323" s="8"/>
      <c r="S323" s="8"/>
      <c r="T323" s="168"/>
      <c r="U323" s="9"/>
      <c r="V323" s="98" t="s">
        <v>146</v>
      </c>
    </row>
    <row r="324" spans="2:22" x14ac:dyDescent="0.3">
      <c r="B324" s="218">
        <v>45372</v>
      </c>
      <c r="C324" s="217"/>
      <c r="D324" s="215">
        <v>6373</v>
      </c>
      <c r="E324" s="170">
        <f>IF(D324="","",D324-D319)</f>
        <v>34</v>
      </c>
      <c r="F324" s="171">
        <f>IF(D324="","",E324*1000)</f>
        <v>34000</v>
      </c>
      <c r="G324" s="171"/>
      <c r="H324" s="171"/>
      <c r="I324" s="173"/>
      <c r="J324" s="174"/>
      <c r="K324" s="172"/>
      <c r="L324" s="5"/>
      <c r="M324" s="210">
        <f>IF(B324="","",B324)</f>
        <v>45372</v>
      </c>
      <c r="N324" s="13"/>
      <c r="O324" s="13">
        <v>1711</v>
      </c>
      <c r="P324" s="170">
        <f>IF(O324="","",O324-O319)</f>
        <v>38</v>
      </c>
      <c r="Q324" s="171">
        <f>IF(O324="","",P324*1000)</f>
        <v>38000</v>
      </c>
      <c r="R324" s="171"/>
      <c r="S324" s="171"/>
      <c r="T324" s="173"/>
      <c r="U324" s="174"/>
      <c r="V324" s="172"/>
    </row>
    <row r="325" spans="2:22" x14ac:dyDescent="0.3">
      <c r="B325" s="218">
        <v>45376</v>
      </c>
      <c r="C325" s="13"/>
      <c r="D325" s="13">
        <v>6383</v>
      </c>
      <c r="E325" s="170">
        <f>IF(D325="","",D325-D324)</f>
        <v>10</v>
      </c>
      <c r="F325" s="171">
        <f t="shared" ref="F325:F328" si="226">IF(D325="","",E325*1000)</f>
        <v>10000</v>
      </c>
      <c r="G325" s="171"/>
      <c r="H325" s="171"/>
      <c r="I325" s="173"/>
      <c r="J325" s="174"/>
      <c r="K325" s="172"/>
      <c r="M325" s="210">
        <f t="shared" ref="M325:M331" si="227">IF(B325="","",B325)</f>
        <v>45376</v>
      </c>
      <c r="N325" s="13"/>
      <c r="O325" s="13">
        <v>1721</v>
      </c>
      <c r="P325" s="170">
        <f>IF(O325="","",O325-O324)</f>
        <v>10</v>
      </c>
      <c r="Q325" s="171">
        <f t="shared" ref="Q325:Q328" si="228">IF(O325="","",P325*1000)</f>
        <v>10000</v>
      </c>
      <c r="R325" s="171"/>
      <c r="S325" s="171"/>
      <c r="T325" s="173"/>
      <c r="U325" s="174"/>
      <c r="V325" s="172"/>
    </row>
    <row r="326" spans="2:22" x14ac:dyDescent="0.3">
      <c r="B326" s="218">
        <v>45380</v>
      </c>
      <c r="C326" s="13"/>
      <c r="D326" s="13">
        <v>6389</v>
      </c>
      <c r="E326" s="170">
        <f t="shared" ref="E326:E331" si="229">IF(D326="","",D326-D325)</f>
        <v>6</v>
      </c>
      <c r="F326" s="171">
        <f t="shared" si="226"/>
        <v>6000</v>
      </c>
      <c r="G326" s="171"/>
      <c r="H326" s="171"/>
      <c r="I326" s="173"/>
      <c r="J326" s="174"/>
      <c r="K326" s="172"/>
      <c r="L326" s="29"/>
      <c r="M326" s="210">
        <f t="shared" si="227"/>
        <v>45380</v>
      </c>
      <c r="N326" s="13"/>
      <c r="O326" s="13">
        <v>1739</v>
      </c>
      <c r="P326" s="170">
        <f t="shared" ref="P326" si="230">IF(O326="","",O326-O325)</f>
        <v>18</v>
      </c>
      <c r="Q326" s="171">
        <f t="shared" si="228"/>
        <v>18000</v>
      </c>
      <c r="R326" s="171"/>
      <c r="S326" s="171"/>
      <c r="T326" s="173"/>
      <c r="U326" s="174"/>
      <c r="V326" s="172"/>
    </row>
    <row r="327" spans="2:22" x14ac:dyDescent="0.3">
      <c r="B327" s="218">
        <v>45383</v>
      </c>
      <c r="C327" s="13"/>
      <c r="D327" s="13">
        <v>6395</v>
      </c>
      <c r="E327" s="170">
        <f t="shared" si="229"/>
        <v>6</v>
      </c>
      <c r="F327" s="171">
        <f t="shared" si="226"/>
        <v>6000</v>
      </c>
      <c r="G327" s="171"/>
      <c r="H327" s="171"/>
      <c r="I327" s="173"/>
      <c r="J327" s="174"/>
      <c r="K327" s="172"/>
      <c r="M327" s="210">
        <f t="shared" si="227"/>
        <v>45383</v>
      </c>
      <c r="N327" s="13"/>
      <c r="O327" s="13">
        <v>1750</v>
      </c>
      <c r="P327" s="170">
        <f t="shared" ref="P327" si="231">IF(O327="","",O327-O326)</f>
        <v>11</v>
      </c>
      <c r="Q327" s="171">
        <f t="shared" si="228"/>
        <v>11000</v>
      </c>
      <c r="R327" s="171"/>
      <c r="S327" s="171"/>
      <c r="T327" s="173"/>
      <c r="U327" s="174"/>
      <c r="V327" s="172"/>
    </row>
    <row r="328" spans="2:22" x14ac:dyDescent="0.3">
      <c r="B328" s="218">
        <v>45384</v>
      </c>
      <c r="C328" s="13"/>
      <c r="D328" s="13">
        <v>6402</v>
      </c>
      <c r="E328" s="170">
        <f t="shared" si="229"/>
        <v>7</v>
      </c>
      <c r="F328" s="171">
        <f t="shared" si="226"/>
        <v>7000</v>
      </c>
      <c r="G328" s="171"/>
      <c r="H328" s="171"/>
      <c r="I328" s="173"/>
      <c r="J328" s="174"/>
      <c r="K328" s="172" t="s">
        <v>131</v>
      </c>
      <c r="L328" s="29"/>
      <c r="M328" s="210">
        <f t="shared" si="227"/>
        <v>45384</v>
      </c>
      <c r="N328" s="13"/>
      <c r="O328" s="13">
        <v>1772</v>
      </c>
      <c r="P328" s="170">
        <f t="shared" ref="P328" si="232">IF(O328="","",O328-O327)</f>
        <v>22</v>
      </c>
      <c r="Q328" s="171">
        <f t="shared" si="228"/>
        <v>22000</v>
      </c>
      <c r="R328" s="171"/>
      <c r="S328" s="171"/>
      <c r="T328" s="173"/>
      <c r="U328" s="174"/>
      <c r="V328" s="172" t="s">
        <v>304</v>
      </c>
    </row>
    <row r="329" spans="2:22" x14ac:dyDescent="0.3">
      <c r="B329" s="218">
        <v>45390</v>
      </c>
      <c r="C329" s="13"/>
      <c r="D329" s="13">
        <v>6431</v>
      </c>
      <c r="E329" s="170">
        <f t="shared" si="229"/>
        <v>29</v>
      </c>
      <c r="F329" s="171">
        <f>IF(D329="","",E329*1000)</f>
        <v>29000</v>
      </c>
      <c r="G329" s="171"/>
      <c r="H329" s="171"/>
      <c r="I329" s="173"/>
      <c r="J329" s="174"/>
      <c r="K329" s="172"/>
      <c r="L329" s="42"/>
      <c r="M329" s="210">
        <f t="shared" si="227"/>
        <v>45390</v>
      </c>
      <c r="N329" s="13"/>
      <c r="O329" s="13">
        <v>1843</v>
      </c>
      <c r="P329" s="170">
        <f t="shared" ref="P329" si="233">IF(O329="","",O329-O328)</f>
        <v>71</v>
      </c>
      <c r="Q329" s="171">
        <f>IF(O329="","",P329*1000)</f>
        <v>71000</v>
      </c>
      <c r="R329" s="171"/>
      <c r="S329" s="171"/>
      <c r="T329" s="173"/>
      <c r="U329" s="174"/>
      <c r="V329" s="172"/>
    </row>
    <row r="330" spans="2:22" x14ac:dyDescent="0.3">
      <c r="B330" s="219">
        <v>45394</v>
      </c>
      <c r="C330" s="46"/>
      <c r="D330" s="46">
        <v>6445</v>
      </c>
      <c r="E330" s="170">
        <f t="shared" si="229"/>
        <v>14</v>
      </c>
      <c r="F330" s="171">
        <f>IF(D330="","",E330*1000)</f>
        <v>14000</v>
      </c>
      <c r="G330" s="171"/>
      <c r="H330" s="171"/>
      <c r="I330" s="193"/>
      <c r="J330" s="174"/>
      <c r="K330" s="51"/>
      <c r="L330" s="42"/>
      <c r="M330" s="210">
        <f t="shared" si="227"/>
        <v>45394</v>
      </c>
      <c r="N330" s="46"/>
      <c r="O330" s="46">
        <v>1856</v>
      </c>
      <c r="P330" s="170">
        <f t="shared" ref="P330" si="234">IF(O330="","",O330-O329)</f>
        <v>13</v>
      </c>
      <c r="Q330" s="171">
        <f>IF(O330="","",P330*1000)</f>
        <v>13000</v>
      </c>
      <c r="R330" s="171"/>
      <c r="S330" s="171"/>
      <c r="T330" s="173"/>
      <c r="U330" s="174"/>
      <c r="V330" s="51"/>
    </row>
    <row r="331" spans="2:22" ht="15.75" thickBot="1" x14ac:dyDescent="0.35">
      <c r="B331" s="220">
        <v>45398</v>
      </c>
      <c r="C331" s="39"/>
      <c r="D331" s="39">
        <v>6460</v>
      </c>
      <c r="E331" s="16">
        <f t="shared" si="229"/>
        <v>15</v>
      </c>
      <c r="F331" s="223">
        <f>IF(D331="","",E331*1000)</f>
        <v>15000</v>
      </c>
      <c r="G331" s="17"/>
      <c r="H331" s="17"/>
      <c r="I331" s="40"/>
      <c r="J331" s="175"/>
      <c r="K331" s="176"/>
      <c r="L331" s="29"/>
      <c r="M331" s="211">
        <f t="shared" si="227"/>
        <v>45398</v>
      </c>
      <c r="N331" s="39"/>
      <c r="O331" s="39">
        <v>1877</v>
      </c>
      <c r="P331" s="16">
        <f t="shared" ref="P331" si="235">IF(O331="","",O331-O330)</f>
        <v>21</v>
      </c>
      <c r="Q331" s="223">
        <f>IF(O331="","",P331*1000)</f>
        <v>21000</v>
      </c>
      <c r="R331" s="17"/>
      <c r="S331" s="17"/>
      <c r="T331" s="40"/>
      <c r="U331" s="175"/>
      <c r="V331" s="176"/>
    </row>
    <row r="332" spans="2:22" ht="15.75" thickBot="1" x14ac:dyDescent="0.35">
      <c r="B332" s="15"/>
      <c r="C332" s="16"/>
      <c r="D332" s="16"/>
      <c r="E332" s="16">
        <f t="shared" ref="E332:F332" si="236">SUM(E324:E331)</f>
        <v>121</v>
      </c>
      <c r="F332" s="17">
        <f t="shared" si="236"/>
        <v>121000</v>
      </c>
      <c r="G332" s="17"/>
      <c r="H332" s="17"/>
      <c r="I332" s="18"/>
      <c r="J332" s="18"/>
      <c r="K332" s="176"/>
      <c r="L332" s="43"/>
      <c r="M332" s="15"/>
      <c r="N332" s="16"/>
      <c r="O332" s="16"/>
      <c r="P332" s="16">
        <f t="shared" ref="P332" si="237">SUM(P324:P331)</f>
        <v>204</v>
      </c>
      <c r="Q332" s="17">
        <f t="shared" ref="Q332" si="238">SUM(Q324:Q331)</f>
        <v>204000</v>
      </c>
      <c r="R332" s="17"/>
      <c r="S332" s="17"/>
      <c r="T332" s="18"/>
      <c r="U332" s="18"/>
      <c r="V332" s="176"/>
    </row>
    <row r="334" spans="2:22" ht="15.75" thickBot="1" x14ac:dyDescent="0.35">
      <c r="B334" s="847" t="s">
        <v>305</v>
      </c>
      <c r="C334" s="847"/>
      <c r="D334" s="847"/>
      <c r="E334" s="847"/>
      <c r="F334" s="5"/>
      <c r="G334" s="5"/>
      <c r="H334" s="5"/>
      <c r="I334" s="5"/>
      <c r="J334" s="6"/>
      <c r="K334" s="5"/>
      <c r="L334" s="5"/>
      <c r="M334" s="852" t="s">
        <v>293</v>
      </c>
      <c r="N334" s="852"/>
      <c r="O334" s="852"/>
      <c r="P334" s="5"/>
      <c r="Q334" s="5"/>
      <c r="R334" s="5"/>
      <c r="S334" s="5"/>
      <c r="T334" s="5"/>
      <c r="U334" s="6"/>
      <c r="V334" s="5"/>
    </row>
    <row r="335" spans="2:22" ht="15.75" thickBot="1" x14ac:dyDescent="0.35">
      <c r="B335" s="7"/>
      <c r="C335" s="8"/>
      <c r="D335" s="8" t="s">
        <v>143</v>
      </c>
      <c r="E335" s="8" t="s">
        <v>144</v>
      </c>
      <c r="F335" s="8" t="s">
        <v>145</v>
      </c>
      <c r="G335" s="8"/>
      <c r="H335" s="8"/>
      <c r="I335" s="168"/>
      <c r="J335" s="9"/>
      <c r="K335" s="98" t="s">
        <v>146</v>
      </c>
      <c r="L335" s="5"/>
      <c r="M335" s="7" t="s">
        <v>142</v>
      </c>
      <c r="N335" s="8"/>
      <c r="O335" s="8" t="s">
        <v>143</v>
      </c>
      <c r="P335" s="8" t="s">
        <v>144</v>
      </c>
      <c r="Q335" s="8" t="s">
        <v>145</v>
      </c>
      <c r="R335" s="8"/>
      <c r="S335" s="8"/>
      <c r="T335" s="168"/>
      <c r="U335" s="9"/>
      <c r="V335" s="98" t="s">
        <v>146</v>
      </c>
    </row>
    <row r="336" spans="2:22" x14ac:dyDescent="0.3">
      <c r="B336" s="218">
        <v>45404</v>
      </c>
      <c r="C336" s="217"/>
      <c r="D336" s="215">
        <v>6472</v>
      </c>
      <c r="E336" s="170">
        <f>IF(D336="","",D336-D331)</f>
        <v>12</v>
      </c>
      <c r="F336" s="171">
        <f>IF(D336="","",E336*1000)</f>
        <v>12000</v>
      </c>
      <c r="G336" s="171"/>
      <c r="H336" s="171"/>
      <c r="I336" s="173"/>
      <c r="J336" s="174"/>
      <c r="K336" s="172"/>
      <c r="L336" s="5"/>
      <c r="M336" s="210">
        <f>IF(B336="","",B336)</f>
        <v>45404</v>
      </c>
      <c r="N336" s="13"/>
      <c r="O336" s="13">
        <v>1906</v>
      </c>
      <c r="P336" s="170">
        <f>IF(O336="","",O336-O331)</f>
        <v>29</v>
      </c>
      <c r="Q336" s="171">
        <f>IF(O336="","",P336*1000)</f>
        <v>29000</v>
      </c>
      <c r="R336" s="171"/>
      <c r="S336" s="171"/>
      <c r="T336" s="173"/>
      <c r="U336" s="174"/>
      <c r="V336" s="172"/>
    </row>
    <row r="337" spans="2:22" x14ac:dyDescent="0.3">
      <c r="B337" s="218">
        <v>45407</v>
      </c>
      <c r="C337" s="13"/>
      <c r="D337" s="13">
        <v>6483</v>
      </c>
      <c r="E337" s="170">
        <f>IF(D337="","",D337-D336)</f>
        <v>11</v>
      </c>
      <c r="F337" s="171">
        <f t="shared" ref="F337:F340" si="239">IF(D337="","",E337*1000)</f>
        <v>11000</v>
      </c>
      <c r="G337" s="171"/>
      <c r="H337" s="171"/>
      <c r="I337" s="173"/>
      <c r="J337" s="174"/>
      <c r="K337" s="172"/>
      <c r="M337" s="210">
        <f t="shared" ref="M337:M343" si="240">IF(B337="","",B337)</f>
        <v>45407</v>
      </c>
      <c r="N337" s="13"/>
      <c r="O337" s="13">
        <v>1913</v>
      </c>
      <c r="P337" s="170">
        <f>IF(O337="","",O337-O336)</f>
        <v>7</v>
      </c>
      <c r="Q337" s="171">
        <f t="shared" ref="Q337:Q340" si="241">IF(O337="","",P337*1000)</f>
        <v>7000</v>
      </c>
      <c r="R337" s="171"/>
      <c r="S337" s="171"/>
      <c r="T337" s="173"/>
      <c r="U337" s="174"/>
      <c r="V337" s="172"/>
    </row>
    <row r="338" spans="2:22" x14ac:dyDescent="0.3">
      <c r="B338" s="218">
        <v>45410</v>
      </c>
      <c r="C338" s="13"/>
      <c r="D338" s="13">
        <v>6502</v>
      </c>
      <c r="E338" s="170">
        <f t="shared" ref="E338:E343" si="242">IF(D338="","",D338-D337)</f>
        <v>19</v>
      </c>
      <c r="F338" s="171">
        <f t="shared" si="239"/>
        <v>19000</v>
      </c>
      <c r="G338" s="171"/>
      <c r="H338" s="171"/>
      <c r="I338" s="173"/>
      <c r="J338" s="174"/>
      <c r="K338" s="172"/>
      <c r="L338" s="29"/>
      <c r="M338" s="210">
        <f t="shared" si="240"/>
        <v>45410</v>
      </c>
      <c r="N338" s="13"/>
      <c r="O338" s="13">
        <v>1937</v>
      </c>
      <c r="P338" s="170">
        <f t="shared" ref="P338:P343" si="243">IF(O338="","",O338-O337)</f>
        <v>24</v>
      </c>
      <c r="Q338" s="171">
        <f t="shared" si="241"/>
        <v>24000</v>
      </c>
      <c r="R338" s="171"/>
      <c r="S338" s="171"/>
      <c r="T338" s="173"/>
      <c r="U338" s="174"/>
      <c r="V338" s="172" t="s">
        <v>306</v>
      </c>
    </row>
    <row r="339" spans="2:22" x14ac:dyDescent="0.3">
      <c r="B339" s="218">
        <v>45415</v>
      </c>
      <c r="C339" s="13"/>
      <c r="D339" s="13">
        <v>6538</v>
      </c>
      <c r="E339" s="170">
        <f t="shared" si="242"/>
        <v>36</v>
      </c>
      <c r="F339" s="171">
        <f t="shared" si="239"/>
        <v>36000</v>
      </c>
      <c r="G339" s="171"/>
      <c r="H339" s="171"/>
      <c r="I339" s="173"/>
      <c r="J339" s="174"/>
      <c r="K339" s="172" t="s">
        <v>131</v>
      </c>
      <c r="M339" s="210">
        <f t="shared" si="240"/>
        <v>45415</v>
      </c>
      <c r="N339" s="13"/>
      <c r="O339" s="13">
        <v>1969</v>
      </c>
      <c r="P339" s="170">
        <f t="shared" si="243"/>
        <v>32</v>
      </c>
      <c r="Q339" s="171">
        <f t="shared" si="241"/>
        <v>32000</v>
      </c>
      <c r="R339" s="171"/>
      <c r="S339" s="171"/>
      <c r="T339" s="173"/>
      <c r="U339" s="174"/>
      <c r="V339" s="172"/>
    </row>
    <row r="340" spans="2:22" x14ac:dyDescent="0.3">
      <c r="B340" s="218">
        <v>45422</v>
      </c>
      <c r="C340" s="13"/>
      <c r="D340" s="13">
        <v>6600</v>
      </c>
      <c r="E340" s="170">
        <f t="shared" si="242"/>
        <v>62</v>
      </c>
      <c r="F340" s="171">
        <f t="shared" si="239"/>
        <v>62000</v>
      </c>
      <c r="G340" s="171"/>
      <c r="H340" s="171"/>
      <c r="I340" s="173"/>
      <c r="J340" s="174"/>
      <c r="K340" s="172"/>
      <c r="L340" s="29"/>
      <c r="M340" s="210">
        <f t="shared" si="240"/>
        <v>45422</v>
      </c>
      <c r="N340" s="13"/>
      <c r="O340" s="13">
        <v>1988</v>
      </c>
      <c r="P340" s="170">
        <f t="shared" si="243"/>
        <v>19</v>
      </c>
      <c r="Q340" s="171">
        <f t="shared" si="241"/>
        <v>19000</v>
      </c>
      <c r="R340" s="171"/>
      <c r="S340" s="171"/>
      <c r="T340" s="173"/>
      <c r="U340" s="174"/>
      <c r="V340" s="172"/>
    </row>
    <row r="341" spans="2:22" x14ac:dyDescent="0.3">
      <c r="B341" s="218">
        <v>45426</v>
      </c>
      <c r="C341" s="13"/>
      <c r="D341" s="13">
        <v>6615</v>
      </c>
      <c r="E341" s="170">
        <f t="shared" si="242"/>
        <v>15</v>
      </c>
      <c r="F341" s="171">
        <f>IF(D341="","",E341*1000)</f>
        <v>15000</v>
      </c>
      <c r="G341" s="171"/>
      <c r="H341" s="171"/>
      <c r="I341" s="173"/>
      <c r="J341" s="174"/>
      <c r="K341" s="172"/>
      <c r="L341" s="42"/>
      <c r="M341" s="210">
        <f t="shared" si="240"/>
        <v>45426</v>
      </c>
      <c r="N341" s="13"/>
      <c r="O341" s="13">
        <v>1997</v>
      </c>
      <c r="P341" s="170">
        <f t="shared" si="243"/>
        <v>9</v>
      </c>
      <c r="Q341" s="171">
        <f>IF(O341="","",P341*1000)</f>
        <v>9000</v>
      </c>
      <c r="R341" s="171"/>
      <c r="S341" s="171"/>
      <c r="T341" s="173"/>
      <c r="U341" s="174"/>
      <c r="V341" s="172" t="s">
        <v>307</v>
      </c>
    </row>
    <row r="342" spans="2:22" x14ac:dyDescent="0.3">
      <c r="B342" s="219">
        <v>45427</v>
      </c>
      <c r="C342" s="46"/>
      <c r="D342" s="46">
        <v>6615</v>
      </c>
      <c r="E342" s="170">
        <f t="shared" si="242"/>
        <v>0</v>
      </c>
      <c r="F342" s="171">
        <f>IF(D342="","",E342*1000)</f>
        <v>0</v>
      </c>
      <c r="G342" s="171"/>
      <c r="H342" s="171"/>
      <c r="I342" s="193"/>
      <c r="J342" s="174"/>
      <c r="K342" s="51"/>
      <c r="L342" s="42"/>
      <c r="M342" s="210">
        <f t="shared" si="240"/>
        <v>45427</v>
      </c>
      <c r="N342" s="46"/>
      <c r="O342" s="46">
        <v>1999</v>
      </c>
      <c r="P342" s="170">
        <f t="shared" si="243"/>
        <v>2</v>
      </c>
      <c r="Q342" s="171">
        <f>IF(O342="","",P342*1000)</f>
        <v>2000</v>
      </c>
      <c r="R342" s="171"/>
      <c r="S342" s="171"/>
      <c r="T342" s="173"/>
      <c r="U342" s="174"/>
      <c r="V342" s="51"/>
    </row>
    <row r="343" spans="2:22" ht="15.75" thickBot="1" x14ac:dyDescent="0.35">
      <c r="B343" s="220"/>
      <c r="C343" s="39"/>
      <c r="D343" s="39"/>
      <c r="E343" s="16" t="str">
        <f t="shared" si="242"/>
        <v/>
      </c>
      <c r="F343" s="223" t="str">
        <f>IF(D343="","",E343*1000)</f>
        <v/>
      </c>
      <c r="G343" s="17"/>
      <c r="H343" s="17"/>
      <c r="I343" s="40"/>
      <c r="J343" s="175"/>
      <c r="K343" s="176"/>
      <c r="L343" s="29"/>
      <c r="M343" s="211" t="str">
        <f t="shared" si="240"/>
        <v/>
      </c>
      <c r="N343" s="39"/>
      <c r="O343" s="39"/>
      <c r="P343" s="16" t="str">
        <f t="shared" si="243"/>
        <v/>
      </c>
      <c r="Q343" s="223" t="str">
        <f>IF(O343="","",P343*1000)</f>
        <v/>
      </c>
      <c r="R343" s="17"/>
      <c r="S343" s="17"/>
      <c r="T343" s="40"/>
      <c r="U343" s="175"/>
      <c r="V343" s="176"/>
    </row>
    <row r="344" spans="2:22" ht="15.75" thickBot="1" x14ac:dyDescent="0.35">
      <c r="B344" s="15"/>
      <c r="C344" s="16"/>
      <c r="D344" s="16"/>
      <c r="E344" s="16">
        <f t="shared" ref="E344:F344" si="244">SUM(E336:E343)</f>
        <v>155</v>
      </c>
      <c r="F344" s="17">
        <f t="shared" si="244"/>
        <v>155000</v>
      </c>
      <c r="G344" s="17"/>
      <c r="H344" s="17"/>
      <c r="I344" s="18"/>
      <c r="J344" s="18"/>
      <c r="K344" s="176"/>
      <c r="L344" s="43"/>
      <c r="M344" s="15"/>
      <c r="N344" s="16"/>
      <c r="O344" s="16"/>
      <c r="P344" s="16">
        <f t="shared" ref="P344:Q344" si="245">SUM(P336:P343)</f>
        <v>122</v>
      </c>
      <c r="Q344" s="17">
        <f t="shared" si="245"/>
        <v>122000</v>
      </c>
      <c r="R344" s="17"/>
      <c r="S344" s="17"/>
      <c r="T344" s="18"/>
      <c r="U344" s="18"/>
      <c r="V344" s="176"/>
    </row>
    <row r="346" spans="2:22" ht="15.75" thickBot="1" x14ac:dyDescent="0.35">
      <c r="B346" s="847" t="s">
        <v>305</v>
      </c>
      <c r="C346" s="847"/>
      <c r="D346" s="847"/>
      <c r="E346" s="847"/>
      <c r="F346" s="5"/>
      <c r="G346" s="5"/>
      <c r="H346" s="5"/>
      <c r="I346" s="5"/>
      <c r="J346" s="6"/>
      <c r="K346" s="5"/>
      <c r="L346" s="5"/>
      <c r="M346" s="852" t="s">
        <v>293</v>
      </c>
      <c r="N346" s="852"/>
      <c r="O346" s="852"/>
      <c r="P346" s="5"/>
      <c r="Q346" s="5"/>
      <c r="R346" s="5"/>
      <c r="S346" s="5"/>
      <c r="T346" s="5"/>
      <c r="U346" s="6"/>
      <c r="V346" s="5"/>
    </row>
    <row r="347" spans="2:22" ht="15.75" thickBot="1" x14ac:dyDescent="0.35">
      <c r="B347" s="7"/>
      <c r="C347" s="8"/>
      <c r="D347" s="8" t="s">
        <v>143</v>
      </c>
      <c r="E347" s="8" t="s">
        <v>144</v>
      </c>
      <c r="F347" s="8" t="s">
        <v>145</v>
      </c>
      <c r="G347" s="8"/>
      <c r="H347" s="8"/>
      <c r="I347" s="168"/>
      <c r="J347" s="9"/>
      <c r="K347" s="98" t="s">
        <v>146</v>
      </c>
      <c r="L347" s="5"/>
      <c r="M347" s="7" t="s">
        <v>142</v>
      </c>
      <c r="N347" s="8"/>
      <c r="O347" s="8" t="s">
        <v>143</v>
      </c>
      <c r="P347" s="8" t="s">
        <v>144</v>
      </c>
      <c r="Q347" s="8" t="s">
        <v>145</v>
      </c>
      <c r="R347" s="8"/>
      <c r="S347" s="8"/>
      <c r="T347" s="168"/>
      <c r="U347" s="9"/>
      <c r="V347" s="98" t="s">
        <v>146</v>
      </c>
    </row>
    <row r="348" spans="2:22" x14ac:dyDescent="0.3">
      <c r="B348" s="218">
        <v>45433</v>
      </c>
      <c r="C348" s="217"/>
      <c r="D348" s="215">
        <v>6627</v>
      </c>
      <c r="E348" s="170">
        <f>IF(D348="","",D348-D342)</f>
        <v>12</v>
      </c>
      <c r="F348" s="171">
        <f>IF(D348="","",E348*1000)</f>
        <v>12000</v>
      </c>
      <c r="G348" s="171"/>
      <c r="H348" s="171"/>
      <c r="I348" s="173"/>
      <c r="J348" s="174"/>
      <c r="K348" s="172"/>
      <c r="L348" s="5"/>
      <c r="M348" s="210">
        <f>IF(B348="","",B348)</f>
        <v>45433</v>
      </c>
      <c r="N348" s="13"/>
      <c r="O348" s="13">
        <v>2024</v>
      </c>
      <c r="P348" s="170">
        <f>IF(O348="","",O348-O342)</f>
        <v>25</v>
      </c>
      <c r="Q348" s="171">
        <f>IF(O348="","",P348*1000)</f>
        <v>25000</v>
      </c>
      <c r="R348" s="171"/>
      <c r="S348" s="171"/>
      <c r="T348" s="173"/>
      <c r="U348" s="174"/>
      <c r="V348" s="172"/>
    </row>
    <row r="349" spans="2:22" x14ac:dyDescent="0.3">
      <c r="B349" s="218">
        <v>45439</v>
      </c>
      <c r="C349" s="13"/>
      <c r="D349" s="13">
        <v>6634</v>
      </c>
      <c r="E349" s="170">
        <f>IF(D349="","",D349-D348)</f>
        <v>7</v>
      </c>
      <c r="F349" s="171">
        <f t="shared" ref="F349:F352" si="246">IF(D349="","",E349*1000)</f>
        <v>7000</v>
      </c>
      <c r="G349" s="171"/>
      <c r="H349" s="171"/>
      <c r="I349" s="173"/>
      <c r="J349" s="174"/>
      <c r="K349" s="172"/>
      <c r="M349" s="210">
        <f t="shared" ref="M349:M355" si="247">IF(B349="","",B349)</f>
        <v>45439</v>
      </c>
      <c r="N349" s="13"/>
      <c r="O349" s="13">
        <v>2043</v>
      </c>
      <c r="P349" s="170">
        <f>IF(O349="","",O349-O348)</f>
        <v>19</v>
      </c>
      <c r="Q349" s="171">
        <f t="shared" ref="Q349:Q352" si="248">IF(O349="","",P349*1000)</f>
        <v>19000</v>
      </c>
      <c r="R349" s="171"/>
      <c r="S349" s="171"/>
      <c r="T349" s="173"/>
      <c r="U349" s="174"/>
      <c r="V349" s="172"/>
    </row>
    <row r="350" spans="2:22" x14ac:dyDescent="0.3">
      <c r="B350" s="218">
        <v>45446</v>
      </c>
      <c r="C350" s="13"/>
      <c r="D350" s="13">
        <v>6693</v>
      </c>
      <c r="E350" s="170">
        <f t="shared" ref="E350:E355" si="249">IF(D350="","",D350-D349)</f>
        <v>59</v>
      </c>
      <c r="F350" s="171">
        <f t="shared" si="246"/>
        <v>59000</v>
      </c>
      <c r="G350" s="171"/>
      <c r="H350" s="171"/>
      <c r="I350" s="173"/>
      <c r="J350" s="174"/>
      <c r="K350" s="172" t="s">
        <v>308</v>
      </c>
      <c r="L350" s="29"/>
      <c r="M350" s="210">
        <f t="shared" si="247"/>
        <v>45446</v>
      </c>
      <c r="N350" s="13"/>
      <c r="O350" s="13">
        <v>2058</v>
      </c>
      <c r="P350" s="170">
        <f t="shared" ref="P350:P355" si="250">IF(O350="","",O350-O349)</f>
        <v>15</v>
      </c>
      <c r="Q350" s="171">
        <f t="shared" si="248"/>
        <v>15000</v>
      </c>
      <c r="R350" s="171"/>
      <c r="S350" s="171"/>
      <c r="T350" s="173"/>
      <c r="U350" s="174"/>
      <c r="V350" s="172" t="s">
        <v>308</v>
      </c>
    </row>
    <row r="351" spans="2:22" x14ac:dyDescent="0.3">
      <c r="B351" s="218">
        <v>45450</v>
      </c>
      <c r="C351" s="13"/>
      <c r="D351" s="13">
        <v>6703</v>
      </c>
      <c r="E351" s="170">
        <f t="shared" si="249"/>
        <v>10</v>
      </c>
      <c r="F351" s="171">
        <f t="shared" si="246"/>
        <v>10000</v>
      </c>
      <c r="G351" s="171"/>
      <c r="H351" s="171"/>
      <c r="I351" s="173"/>
      <c r="J351" s="174"/>
      <c r="K351" s="172" t="s">
        <v>131</v>
      </c>
      <c r="M351" s="210">
        <f t="shared" si="247"/>
        <v>45450</v>
      </c>
      <c r="N351" s="13"/>
      <c r="O351" s="13">
        <v>2061</v>
      </c>
      <c r="P351" s="170">
        <f t="shared" si="250"/>
        <v>3</v>
      </c>
      <c r="Q351" s="171">
        <f t="shared" si="248"/>
        <v>3000</v>
      </c>
      <c r="R351" s="171"/>
      <c r="S351" s="171"/>
      <c r="T351" s="173"/>
      <c r="U351" s="174"/>
      <c r="V351" s="172"/>
    </row>
    <row r="352" spans="2:22" x14ac:dyDescent="0.3">
      <c r="B352" s="218">
        <v>45457</v>
      </c>
      <c r="C352" s="13"/>
      <c r="D352" s="13">
        <v>6718</v>
      </c>
      <c r="E352" s="170">
        <f t="shared" si="249"/>
        <v>15</v>
      </c>
      <c r="F352" s="171">
        <f t="shared" si="246"/>
        <v>15000</v>
      </c>
      <c r="G352" s="171"/>
      <c r="H352" s="171"/>
      <c r="I352" s="173"/>
      <c r="J352" s="174"/>
      <c r="K352" s="172"/>
      <c r="L352" s="29"/>
      <c r="M352" s="210">
        <f t="shared" si="247"/>
        <v>45457</v>
      </c>
      <c r="N352" s="13"/>
      <c r="O352" s="13">
        <v>2077</v>
      </c>
      <c r="P352" s="170">
        <f t="shared" si="250"/>
        <v>16</v>
      </c>
      <c r="Q352" s="171">
        <f t="shared" si="248"/>
        <v>16000</v>
      </c>
      <c r="R352" s="171"/>
      <c r="S352" s="171"/>
      <c r="T352" s="173"/>
      <c r="U352" s="174"/>
      <c r="V352" s="172"/>
    </row>
    <row r="353" spans="2:22" x14ac:dyDescent="0.3">
      <c r="B353" s="218">
        <v>45460</v>
      </c>
      <c r="C353" s="13"/>
      <c r="D353" s="13">
        <v>6737</v>
      </c>
      <c r="E353" s="170">
        <f t="shared" si="249"/>
        <v>19</v>
      </c>
      <c r="F353" s="171">
        <f>IF(D353="","",E353*1000)</f>
        <v>19000</v>
      </c>
      <c r="G353" s="171"/>
      <c r="H353" s="171"/>
      <c r="I353" s="173"/>
      <c r="J353" s="174"/>
      <c r="K353" s="172" t="s">
        <v>309</v>
      </c>
      <c r="L353" s="42"/>
      <c r="M353" s="210">
        <f t="shared" si="247"/>
        <v>45460</v>
      </c>
      <c r="N353" s="13"/>
      <c r="O353" s="13">
        <v>2081</v>
      </c>
      <c r="P353" s="170">
        <f t="shared" si="250"/>
        <v>4</v>
      </c>
      <c r="Q353" s="171">
        <f>IF(O353="","",P353*1000)</f>
        <v>4000</v>
      </c>
      <c r="R353" s="171"/>
      <c r="S353" s="171"/>
      <c r="T353" s="173"/>
      <c r="U353" s="174"/>
      <c r="V353" s="172" t="s">
        <v>131</v>
      </c>
    </row>
    <row r="354" spans="2:22" x14ac:dyDescent="0.3">
      <c r="B354" s="219">
        <v>45461</v>
      </c>
      <c r="C354" s="46"/>
      <c r="D354" s="46">
        <v>6738</v>
      </c>
      <c r="E354" s="170">
        <f t="shared" si="249"/>
        <v>1</v>
      </c>
      <c r="F354" s="171">
        <f>IF(D354="","",E354*1000)</f>
        <v>1000</v>
      </c>
      <c r="G354" s="171"/>
      <c r="H354" s="171"/>
      <c r="I354" s="193"/>
      <c r="J354" s="174"/>
      <c r="K354" s="51"/>
      <c r="L354" s="42"/>
      <c r="M354" s="210">
        <f t="shared" si="247"/>
        <v>45461</v>
      </c>
      <c r="N354" s="46"/>
      <c r="O354" s="46">
        <v>2085</v>
      </c>
      <c r="P354" s="170">
        <f t="shared" si="250"/>
        <v>4</v>
      </c>
      <c r="Q354" s="171">
        <f>IF(O354="","",P354*1000)</f>
        <v>4000</v>
      </c>
      <c r="R354" s="171"/>
      <c r="S354" s="171"/>
      <c r="T354" s="173"/>
      <c r="U354" s="174"/>
      <c r="V354" s="51"/>
    </row>
    <row r="355" spans="2:22" ht="15.75" thickBot="1" x14ac:dyDescent="0.35">
      <c r="B355" s="220"/>
      <c r="C355" s="39"/>
      <c r="D355" s="39"/>
      <c r="E355" s="16" t="str">
        <f t="shared" si="249"/>
        <v/>
      </c>
      <c r="F355" s="223" t="str">
        <f>IF(D355="","",E355*1000)</f>
        <v/>
      </c>
      <c r="G355" s="17"/>
      <c r="H355" s="17"/>
      <c r="I355" s="40"/>
      <c r="J355" s="175"/>
      <c r="K355" s="176"/>
      <c r="L355" s="29"/>
      <c r="M355" s="211" t="str">
        <f t="shared" si="247"/>
        <v/>
      </c>
      <c r="N355" s="39"/>
      <c r="O355" s="39"/>
      <c r="P355" s="16" t="str">
        <f t="shared" si="250"/>
        <v/>
      </c>
      <c r="Q355" s="223" t="str">
        <f>IF(O355="","",P355*1000)</f>
        <v/>
      </c>
      <c r="R355" s="17"/>
      <c r="S355" s="17"/>
      <c r="T355" s="40"/>
      <c r="U355" s="175"/>
      <c r="V355" s="176"/>
    </row>
    <row r="356" spans="2:22" ht="15.75" thickBot="1" x14ac:dyDescent="0.35">
      <c r="B356" s="15"/>
      <c r="C356" s="16"/>
      <c r="D356" s="16"/>
      <c r="E356" s="16">
        <f t="shared" ref="E356:F356" si="251">SUM(E348:E355)</f>
        <v>123</v>
      </c>
      <c r="F356" s="17">
        <f t="shared" si="251"/>
        <v>123000</v>
      </c>
      <c r="G356" s="17"/>
      <c r="H356" s="17"/>
      <c r="I356" s="18"/>
      <c r="J356" s="18"/>
      <c r="K356" s="176"/>
      <c r="L356" s="43"/>
      <c r="M356" s="15"/>
      <c r="N356" s="16"/>
      <c r="O356" s="16"/>
      <c r="P356" s="16">
        <f t="shared" ref="P356:Q356" si="252">SUM(P348:P355)</f>
        <v>86</v>
      </c>
      <c r="Q356" s="17">
        <f t="shared" si="252"/>
        <v>86000</v>
      </c>
      <c r="R356" s="17"/>
      <c r="S356" s="17"/>
      <c r="T356" s="18"/>
      <c r="U356" s="18"/>
      <c r="V356" s="176"/>
    </row>
    <row r="358" spans="2:22" ht="15.75" thickBot="1" x14ac:dyDescent="0.35">
      <c r="B358" s="847" t="s">
        <v>305</v>
      </c>
      <c r="C358" s="847"/>
      <c r="D358" s="847"/>
      <c r="E358" s="847"/>
      <c r="F358" s="5"/>
      <c r="G358" s="5"/>
      <c r="H358" s="5"/>
      <c r="I358" s="5"/>
      <c r="J358" s="6"/>
      <c r="K358" s="5"/>
      <c r="L358" s="5"/>
      <c r="M358" s="852" t="s">
        <v>293</v>
      </c>
      <c r="N358" s="852"/>
      <c r="O358" s="852"/>
      <c r="P358" s="5"/>
      <c r="Q358" s="5"/>
      <c r="R358" s="5"/>
      <c r="S358" s="5"/>
      <c r="T358" s="5"/>
      <c r="U358" s="6"/>
      <c r="V358" s="5"/>
    </row>
    <row r="359" spans="2:22" ht="15.75" thickBot="1" x14ac:dyDescent="0.35">
      <c r="B359" s="7"/>
      <c r="C359" s="8"/>
      <c r="D359" s="8" t="s">
        <v>143</v>
      </c>
      <c r="E359" s="8" t="s">
        <v>144</v>
      </c>
      <c r="F359" s="8" t="s">
        <v>145</v>
      </c>
      <c r="G359" s="8"/>
      <c r="H359" s="8"/>
      <c r="I359" s="168"/>
      <c r="J359" s="9"/>
      <c r="K359" s="98" t="s">
        <v>146</v>
      </c>
      <c r="L359" s="5"/>
      <c r="M359" s="7" t="s">
        <v>142</v>
      </c>
      <c r="N359" s="8"/>
      <c r="O359" s="8" t="s">
        <v>143</v>
      </c>
      <c r="P359" s="8" t="s">
        <v>144</v>
      </c>
      <c r="Q359" s="8" t="s">
        <v>145</v>
      </c>
      <c r="R359" s="8"/>
      <c r="S359" s="8"/>
      <c r="T359" s="168"/>
      <c r="U359" s="9"/>
      <c r="V359" s="98" t="s">
        <v>146</v>
      </c>
    </row>
    <row r="360" spans="2:22" x14ac:dyDescent="0.3">
      <c r="B360" s="218">
        <v>45467</v>
      </c>
      <c r="C360" s="217"/>
      <c r="D360" s="215">
        <v>6742</v>
      </c>
      <c r="E360" s="170">
        <f>IF(D360="","",D360-D354)</f>
        <v>4</v>
      </c>
      <c r="F360" s="171">
        <f>IF(D360="","",E360*1000)</f>
        <v>4000</v>
      </c>
      <c r="G360" s="171"/>
      <c r="H360" s="171"/>
      <c r="I360" s="173"/>
      <c r="J360" s="174"/>
      <c r="K360" s="172"/>
      <c r="L360" s="5"/>
      <c r="M360" s="210">
        <f>IF(B360="","",B360)</f>
        <v>45467</v>
      </c>
      <c r="N360" s="13"/>
      <c r="O360" s="13">
        <v>2114</v>
      </c>
      <c r="P360" s="170">
        <f>IF(O360="","",O360-O354)</f>
        <v>29</v>
      </c>
      <c r="Q360" s="171">
        <f>IF(O360="","",P360*1000)</f>
        <v>29000</v>
      </c>
      <c r="R360" s="171"/>
      <c r="S360" s="171"/>
      <c r="T360" s="173"/>
      <c r="U360" s="174"/>
      <c r="V360" s="172"/>
    </row>
    <row r="361" spans="2:22" x14ac:dyDescent="0.3">
      <c r="B361" s="218">
        <v>45474</v>
      </c>
      <c r="C361" s="13"/>
      <c r="D361" s="13">
        <v>6760</v>
      </c>
      <c r="E361" s="170">
        <f>IF(D361="","",D361-D360)</f>
        <v>18</v>
      </c>
      <c r="F361" s="171">
        <f t="shared" ref="F361:F363" si="253">IF(D361="","",E361*1000)</f>
        <v>18000</v>
      </c>
      <c r="G361" s="171"/>
      <c r="H361" s="171"/>
      <c r="I361" s="173"/>
      <c r="J361" s="174"/>
      <c r="K361" s="172"/>
      <c r="M361" s="210">
        <f t="shared" ref="M361:M367" si="254">IF(B361="","",B361)</f>
        <v>45474</v>
      </c>
      <c r="N361" s="13"/>
      <c r="O361" s="13">
        <v>2139</v>
      </c>
      <c r="P361" s="170">
        <f>IF(O361="","",O361-O360)</f>
        <v>25</v>
      </c>
      <c r="Q361" s="171">
        <f t="shared" ref="Q361:Q364" si="255">IF(O361="","",P361*1000)</f>
        <v>25000</v>
      </c>
      <c r="R361" s="171"/>
      <c r="S361" s="171"/>
      <c r="T361" s="173"/>
      <c r="U361" s="174"/>
      <c r="V361" s="172"/>
    </row>
    <row r="362" spans="2:22" x14ac:dyDescent="0.3">
      <c r="B362" s="218">
        <v>45478</v>
      </c>
      <c r="C362" s="13"/>
      <c r="D362" s="13">
        <v>6767</v>
      </c>
      <c r="E362" s="170">
        <f t="shared" ref="E362:E367" si="256">IF(D362="","",D362-D361)</f>
        <v>7</v>
      </c>
      <c r="F362" s="171">
        <f t="shared" si="253"/>
        <v>7000</v>
      </c>
      <c r="G362" s="171"/>
      <c r="H362" s="171"/>
      <c r="I362" s="173"/>
      <c r="J362" s="174"/>
      <c r="K362" s="172"/>
      <c r="L362" s="29"/>
      <c r="M362" s="210">
        <f t="shared" si="254"/>
        <v>45478</v>
      </c>
      <c r="N362" s="13"/>
      <c r="O362" s="13">
        <v>2147</v>
      </c>
      <c r="P362" s="170">
        <f t="shared" ref="P362:P367" si="257">IF(O362="","",O362-O361)</f>
        <v>8</v>
      </c>
      <c r="Q362" s="171">
        <f t="shared" si="255"/>
        <v>8000</v>
      </c>
      <c r="R362" s="171"/>
      <c r="S362" s="171"/>
      <c r="T362" s="173"/>
      <c r="U362" s="174"/>
      <c r="V362" s="172"/>
    </row>
    <row r="363" spans="2:22" x14ac:dyDescent="0.3">
      <c r="B363" s="218">
        <v>45483</v>
      </c>
      <c r="C363" s="13"/>
      <c r="D363" s="13">
        <v>6774</v>
      </c>
      <c r="E363" s="170">
        <f t="shared" si="256"/>
        <v>7</v>
      </c>
      <c r="F363" s="171">
        <f t="shared" si="253"/>
        <v>7000</v>
      </c>
      <c r="G363" s="171"/>
      <c r="H363" s="171"/>
      <c r="I363" s="173"/>
      <c r="J363" s="174"/>
      <c r="K363" s="172"/>
      <c r="M363" s="210">
        <f t="shared" si="254"/>
        <v>45483</v>
      </c>
      <c r="N363" s="13"/>
      <c r="O363" s="13">
        <v>2147</v>
      </c>
      <c r="P363" s="170">
        <f t="shared" si="257"/>
        <v>0</v>
      </c>
      <c r="Q363" s="171">
        <f t="shared" si="255"/>
        <v>0</v>
      </c>
      <c r="R363" s="171"/>
      <c r="S363" s="171"/>
      <c r="T363" s="173"/>
      <c r="U363" s="174"/>
      <c r="V363" s="172"/>
    </row>
    <row r="364" spans="2:22" x14ac:dyDescent="0.3">
      <c r="B364" s="218">
        <v>45490</v>
      </c>
      <c r="C364" s="13"/>
      <c r="D364" s="13">
        <v>5348</v>
      </c>
      <c r="E364" s="170">
        <f t="shared" si="256"/>
        <v>-1426</v>
      </c>
      <c r="F364" s="171">
        <v>30000</v>
      </c>
      <c r="G364" s="171"/>
      <c r="H364" s="171"/>
      <c r="I364" s="173"/>
      <c r="J364" s="174"/>
      <c r="K364" s="172"/>
      <c r="L364" s="29"/>
      <c r="M364" s="210">
        <f t="shared" si="254"/>
        <v>45490</v>
      </c>
      <c r="N364" s="13"/>
      <c r="O364" s="13">
        <v>2230</v>
      </c>
      <c r="P364" s="170">
        <f t="shared" si="257"/>
        <v>83</v>
      </c>
      <c r="Q364" s="171">
        <f t="shared" si="255"/>
        <v>83000</v>
      </c>
      <c r="R364" s="171"/>
      <c r="S364" s="171"/>
      <c r="T364" s="173"/>
      <c r="U364" s="174"/>
      <c r="V364" s="172"/>
    </row>
    <row r="365" spans="2:22" x14ac:dyDescent="0.3">
      <c r="B365" s="218"/>
      <c r="C365" s="13"/>
      <c r="D365" s="13"/>
      <c r="E365" s="170" t="str">
        <f t="shared" si="256"/>
        <v/>
      </c>
      <c r="F365" s="171" t="str">
        <f>IF(D365="","",E365*1000)</f>
        <v/>
      </c>
      <c r="G365" s="171"/>
      <c r="H365" s="171"/>
      <c r="I365" s="173"/>
      <c r="J365" s="174"/>
      <c r="K365" s="172"/>
      <c r="L365" s="42"/>
      <c r="M365" s="210" t="str">
        <f t="shared" si="254"/>
        <v/>
      </c>
      <c r="N365" s="13"/>
      <c r="O365" s="13"/>
      <c r="P365" s="170" t="str">
        <f t="shared" si="257"/>
        <v/>
      </c>
      <c r="Q365" s="171" t="str">
        <f>IF(O365="","",P365*1000)</f>
        <v/>
      </c>
      <c r="R365" s="171"/>
      <c r="S365" s="171"/>
      <c r="T365" s="173"/>
      <c r="U365" s="174"/>
      <c r="V365" s="172"/>
    </row>
    <row r="366" spans="2:22" x14ac:dyDescent="0.3">
      <c r="B366" s="219"/>
      <c r="C366" s="46"/>
      <c r="D366" s="46"/>
      <c r="E366" s="170" t="str">
        <f t="shared" si="256"/>
        <v/>
      </c>
      <c r="F366" s="171" t="str">
        <f>IF(D366="","",E366*1000)</f>
        <v/>
      </c>
      <c r="G366" s="171"/>
      <c r="H366" s="171"/>
      <c r="I366" s="193"/>
      <c r="J366" s="174"/>
      <c r="K366" s="51"/>
      <c r="L366" s="42"/>
      <c r="M366" s="210" t="str">
        <f t="shared" si="254"/>
        <v/>
      </c>
      <c r="N366" s="46"/>
      <c r="O366" s="46"/>
      <c r="P366" s="170" t="str">
        <f t="shared" si="257"/>
        <v/>
      </c>
      <c r="Q366" s="171" t="str">
        <f>IF(O366="","",P366*1000)</f>
        <v/>
      </c>
      <c r="R366" s="171"/>
      <c r="S366" s="171"/>
      <c r="T366" s="173"/>
      <c r="U366" s="174"/>
      <c r="V366" s="51"/>
    </row>
    <row r="367" spans="2:22" ht="15.75" thickBot="1" x14ac:dyDescent="0.35">
      <c r="B367" s="220"/>
      <c r="C367" s="39"/>
      <c r="D367" s="39"/>
      <c r="E367" s="16" t="str">
        <f t="shared" si="256"/>
        <v/>
      </c>
      <c r="F367" s="223" t="str">
        <f>IF(D367="","",E367*1000)</f>
        <v/>
      </c>
      <c r="G367" s="17"/>
      <c r="H367" s="17"/>
      <c r="I367" s="40"/>
      <c r="J367" s="175"/>
      <c r="K367" s="176"/>
      <c r="L367" s="29"/>
      <c r="M367" s="211" t="str">
        <f t="shared" si="254"/>
        <v/>
      </c>
      <c r="N367" s="39"/>
      <c r="O367" s="39"/>
      <c r="P367" s="16" t="str">
        <f t="shared" si="257"/>
        <v/>
      </c>
      <c r="Q367" s="223" t="str">
        <f>IF(O367="","",P367*1000)</f>
        <v/>
      </c>
      <c r="R367" s="17"/>
      <c r="S367" s="17"/>
      <c r="T367" s="40"/>
      <c r="U367" s="175"/>
      <c r="V367" s="176"/>
    </row>
    <row r="368" spans="2:22" ht="15.75" thickBot="1" x14ac:dyDescent="0.35">
      <c r="B368" s="15"/>
      <c r="C368" s="16"/>
      <c r="D368" s="16"/>
      <c r="E368" s="16">
        <f t="shared" ref="E368:F368" si="258">SUM(E360:E367)</f>
        <v>-1390</v>
      </c>
      <c r="F368" s="17">
        <f t="shared" si="258"/>
        <v>66000</v>
      </c>
      <c r="G368" s="17"/>
      <c r="H368" s="17"/>
      <c r="I368" s="18"/>
      <c r="J368" s="18"/>
      <c r="K368" s="176"/>
      <c r="L368" s="43"/>
      <c r="M368" s="15"/>
      <c r="N368" s="16"/>
      <c r="O368" s="16"/>
      <c r="P368" s="16">
        <f t="shared" ref="P368:Q368" si="259">SUM(P360:P367)</f>
        <v>145</v>
      </c>
      <c r="Q368" s="17">
        <f t="shared" si="259"/>
        <v>145000</v>
      </c>
      <c r="R368" s="17"/>
      <c r="S368" s="17"/>
      <c r="T368" s="18"/>
      <c r="U368" s="18"/>
      <c r="V368" s="176"/>
    </row>
    <row r="370" spans="2:22" ht="15.75" thickBot="1" x14ac:dyDescent="0.35">
      <c r="B370" s="847" t="s">
        <v>310</v>
      </c>
      <c r="C370" s="847"/>
      <c r="D370" s="847"/>
      <c r="E370" s="847"/>
      <c r="F370" s="5"/>
      <c r="G370" s="5"/>
      <c r="H370" s="5"/>
      <c r="I370" s="5"/>
      <c r="J370" s="6"/>
      <c r="K370" s="5"/>
      <c r="L370" s="5"/>
      <c r="M370" s="852" t="s">
        <v>154</v>
      </c>
      <c r="N370" s="852"/>
      <c r="O370" s="852"/>
      <c r="P370" s="5"/>
      <c r="Q370" s="5"/>
      <c r="R370" s="5"/>
      <c r="S370" s="5"/>
      <c r="T370" s="5"/>
      <c r="U370" s="6"/>
      <c r="V370" s="5"/>
    </row>
    <row r="371" spans="2:22" ht="15.75" thickBot="1" x14ac:dyDescent="0.35">
      <c r="B371" s="7"/>
      <c r="C371" s="8"/>
      <c r="D371" s="8" t="s">
        <v>143</v>
      </c>
      <c r="E371" s="8" t="s">
        <v>144</v>
      </c>
      <c r="F371" s="8" t="s">
        <v>145</v>
      </c>
      <c r="G371" s="8"/>
      <c r="H371" s="8"/>
      <c r="I371" s="168"/>
      <c r="J371" s="9"/>
      <c r="K371" s="98" t="s">
        <v>146</v>
      </c>
      <c r="L371" s="5"/>
      <c r="M371" s="7" t="s">
        <v>142</v>
      </c>
      <c r="N371" s="8"/>
      <c r="O371" s="8" t="s">
        <v>143</v>
      </c>
      <c r="P371" s="8" t="s">
        <v>144</v>
      </c>
      <c r="Q371" s="8" t="s">
        <v>145</v>
      </c>
      <c r="R371" s="8"/>
      <c r="S371" s="8"/>
      <c r="T371" s="168"/>
      <c r="U371" s="9"/>
      <c r="V371" s="98" t="s">
        <v>146</v>
      </c>
    </row>
    <row r="372" spans="2:22" x14ac:dyDescent="0.3">
      <c r="B372" s="218">
        <v>45495</v>
      </c>
      <c r="C372" s="217"/>
      <c r="D372">
        <v>5363</v>
      </c>
      <c r="E372" s="170">
        <f>IF(D372="","",D372-D364)</f>
        <v>15</v>
      </c>
      <c r="F372" s="171">
        <f t="shared" ref="F372:F379" si="260">IF(D372="","",E372*1000)</f>
        <v>15000</v>
      </c>
      <c r="G372" s="171"/>
      <c r="H372" s="171"/>
      <c r="I372" s="173"/>
      <c r="J372" s="174"/>
      <c r="K372" s="172" t="s">
        <v>311</v>
      </c>
      <c r="L372" s="5"/>
      <c r="M372" s="210">
        <f t="shared" ref="M372:M379" si="261">IF(B372="","",B372)</f>
        <v>45495</v>
      </c>
      <c r="N372" s="13"/>
      <c r="O372" s="13">
        <v>2242</v>
      </c>
      <c r="P372" s="170">
        <f>IF(O372="","",O372-O364)</f>
        <v>12</v>
      </c>
      <c r="Q372" s="171">
        <f t="shared" ref="Q372:Q379" si="262">IF(O372="","",P372*1000)</f>
        <v>12000</v>
      </c>
      <c r="R372" s="171"/>
      <c r="S372" s="171"/>
      <c r="T372" s="173"/>
      <c r="U372" s="174"/>
      <c r="V372" s="172" t="s">
        <v>312</v>
      </c>
    </row>
    <row r="373" spans="2:22" x14ac:dyDescent="0.3">
      <c r="B373" s="218">
        <v>45499</v>
      </c>
      <c r="C373" s="13"/>
      <c r="D373" s="13">
        <v>5366</v>
      </c>
      <c r="E373" s="170">
        <f t="shared" ref="E373:E379" si="263">IF(D373="","",D373-D372)</f>
        <v>3</v>
      </c>
      <c r="F373" s="171">
        <f t="shared" si="260"/>
        <v>3000</v>
      </c>
      <c r="G373" s="171"/>
      <c r="H373" s="171"/>
      <c r="I373" s="173"/>
      <c r="J373" s="174"/>
      <c r="K373" s="172"/>
      <c r="M373" s="210">
        <f t="shared" si="261"/>
        <v>45499</v>
      </c>
      <c r="N373" s="13"/>
      <c r="O373" s="13">
        <v>2252</v>
      </c>
      <c r="P373" s="170">
        <f t="shared" ref="P373:P379" si="264">IF(O373="","",O373-O372)</f>
        <v>10</v>
      </c>
      <c r="Q373" s="171">
        <f t="shared" si="262"/>
        <v>10000</v>
      </c>
      <c r="R373" s="171"/>
      <c r="S373" s="171"/>
      <c r="T373" s="173"/>
      <c r="U373" s="174"/>
      <c r="V373" s="172" t="s">
        <v>313</v>
      </c>
    </row>
    <row r="374" spans="2:22" x14ac:dyDescent="0.3">
      <c r="B374" s="218">
        <v>45505</v>
      </c>
      <c r="C374" s="13"/>
      <c r="D374" s="13">
        <v>5383</v>
      </c>
      <c r="E374" s="170">
        <f t="shared" si="263"/>
        <v>17</v>
      </c>
      <c r="F374" s="171">
        <f t="shared" si="260"/>
        <v>17000</v>
      </c>
      <c r="G374" s="171"/>
      <c r="H374" s="171"/>
      <c r="I374" s="173"/>
      <c r="J374" s="174"/>
      <c r="K374" s="172"/>
      <c r="L374" s="29"/>
      <c r="M374" s="210">
        <f t="shared" si="261"/>
        <v>45505</v>
      </c>
      <c r="N374" s="13"/>
      <c r="O374" s="13">
        <v>2286</v>
      </c>
      <c r="P374" s="170">
        <f t="shared" si="264"/>
        <v>34</v>
      </c>
      <c r="Q374" s="171">
        <f t="shared" si="262"/>
        <v>34000</v>
      </c>
      <c r="R374" s="171"/>
      <c r="S374" s="171"/>
      <c r="T374" s="173"/>
      <c r="U374" s="174"/>
      <c r="V374" s="172"/>
    </row>
    <row r="375" spans="2:22" x14ac:dyDescent="0.3">
      <c r="B375" s="218">
        <v>45513</v>
      </c>
      <c r="C375" s="13"/>
      <c r="D375" s="13">
        <v>5401</v>
      </c>
      <c r="E375" s="170">
        <f t="shared" si="263"/>
        <v>18</v>
      </c>
      <c r="F375" s="171">
        <f t="shared" si="260"/>
        <v>18000</v>
      </c>
      <c r="G375" s="171"/>
      <c r="H375" s="171"/>
      <c r="I375" s="173"/>
      <c r="J375" s="174"/>
      <c r="K375" s="172"/>
      <c r="M375" s="210">
        <f t="shared" si="261"/>
        <v>45513</v>
      </c>
      <c r="N375" s="13"/>
      <c r="O375" s="13">
        <v>2300</v>
      </c>
      <c r="P375" s="170">
        <f t="shared" si="264"/>
        <v>14</v>
      </c>
      <c r="Q375" s="171">
        <f t="shared" si="262"/>
        <v>14000</v>
      </c>
      <c r="R375" s="171"/>
      <c r="S375" s="171"/>
      <c r="T375" s="173"/>
      <c r="U375" s="174"/>
      <c r="V375" s="172"/>
    </row>
    <row r="376" spans="2:22" x14ac:dyDescent="0.3">
      <c r="B376" s="218">
        <v>45516</v>
      </c>
      <c r="C376" s="13"/>
      <c r="D376" s="13">
        <v>5428</v>
      </c>
      <c r="E376" s="170">
        <f t="shared" si="263"/>
        <v>27</v>
      </c>
      <c r="F376" s="171">
        <f t="shared" si="260"/>
        <v>27000</v>
      </c>
      <c r="G376" s="171"/>
      <c r="H376" s="171"/>
      <c r="I376" s="173"/>
      <c r="J376" s="174"/>
      <c r="K376" s="172" t="s">
        <v>135</v>
      </c>
      <c r="L376" s="29"/>
      <c r="M376" s="210">
        <f t="shared" si="261"/>
        <v>45516</v>
      </c>
      <c r="N376" s="13"/>
      <c r="O376" s="13">
        <v>2331</v>
      </c>
      <c r="P376" s="170">
        <f t="shared" si="264"/>
        <v>31</v>
      </c>
      <c r="Q376" s="171">
        <f t="shared" si="262"/>
        <v>31000</v>
      </c>
      <c r="R376" s="171"/>
      <c r="S376" s="171"/>
      <c r="T376" s="173"/>
      <c r="U376" s="174"/>
      <c r="V376" s="172"/>
    </row>
    <row r="377" spans="2:22" x14ac:dyDescent="0.3">
      <c r="B377" s="218">
        <v>45520</v>
      </c>
      <c r="C377" s="13"/>
      <c r="D377" s="13">
        <v>5443</v>
      </c>
      <c r="E377" s="170">
        <f t="shared" si="263"/>
        <v>15</v>
      </c>
      <c r="F377" s="171">
        <f t="shared" si="260"/>
        <v>15000</v>
      </c>
      <c r="G377" s="171"/>
      <c r="H377" s="171"/>
      <c r="I377" s="173"/>
      <c r="J377" s="174"/>
      <c r="K377" s="172"/>
      <c r="L377" s="42"/>
      <c r="M377" s="210">
        <f t="shared" si="261"/>
        <v>45520</v>
      </c>
      <c r="N377" s="13"/>
      <c r="O377" s="13">
        <v>2341</v>
      </c>
      <c r="P377" s="170">
        <f t="shared" si="264"/>
        <v>10</v>
      </c>
      <c r="Q377" s="171">
        <f t="shared" si="262"/>
        <v>10000</v>
      </c>
      <c r="R377" s="171"/>
      <c r="S377" s="171"/>
      <c r="T377" s="173"/>
      <c r="U377" s="174"/>
      <c r="V377" s="172"/>
    </row>
    <row r="378" spans="2:22" x14ac:dyDescent="0.3">
      <c r="B378" s="219">
        <v>45524</v>
      </c>
      <c r="C378" s="46"/>
      <c r="D378" s="46">
        <v>5460</v>
      </c>
      <c r="E378" s="170">
        <f t="shared" si="263"/>
        <v>17</v>
      </c>
      <c r="F378" s="171">
        <f t="shared" si="260"/>
        <v>17000</v>
      </c>
      <c r="G378" s="171"/>
      <c r="H378" s="171"/>
      <c r="I378" s="193"/>
      <c r="J378" s="174"/>
      <c r="K378" s="51"/>
      <c r="L378" s="42"/>
      <c r="M378" s="210">
        <f t="shared" si="261"/>
        <v>45524</v>
      </c>
      <c r="N378" s="46"/>
      <c r="O378" s="46">
        <v>2360</v>
      </c>
      <c r="P378" s="170">
        <f t="shared" si="264"/>
        <v>19</v>
      </c>
      <c r="Q378" s="171">
        <f t="shared" si="262"/>
        <v>19000</v>
      </c>
      <c r="R378" s="171"/>
      <c r="S378" s="171"/>
      <c r="T378" s="173"/>
      <c r="U378" s="174"/>
      <c r="V378" s="51"/>
    </row>
    <row r="379" spans="2:22" ht="15.75" thickBot="1" x14ac:dyDescent="0.35">
      <c r="B379" s="220"/>
      <c r="C379" s="39"/>
      <c r="D379" s="39"/>
      <c r="E379" s="16" t="str">
        <f t="shared" si="263"/>
        <v/>
      </c>
      <c r="F379" s="223" t="str">
        <f t="shared" si="260"/>
        <v/>
      </c>
      <c r="G379" s="17"/>
      <c r="H379" s="17"/>
      <c r="I379" s="40"/>
      <c r="J379" s="175"/>
      <c r="K379" s="176"/>
      <c r="L379" s="29"/>
      <c r="M379" s="211" t="str">
        <f t="shared" si="261"/>
        <v/>
      </c>
      <c r="N379" s="39"/>
      <c r="O379" s="39"/>
      <c r="P379" s="16" t="str">
        <f t="shared" si="264"/>
        <v/>
      </c>
      <c r="Q379" s="223" t="str">
        <f t="shared" si="262"/>
        <v/>
      </c>
      <c r="R379" s="17"/>
      <c r="S379" s="17"/>
      <c r="T379" s="40"/>
      <c r="U379" s="175"/>
      <c r="V379" s="176"/>
    </row>
    <row r="380" spans="2:22" ht="15.75" thickBot="1" x14ac:dyDescent="0.35">
      <c r="B380" s="15"/>
      <c r="C380" s="16"/>
      <c r="D380" s="16"/>
      <c r="E380" s="16">
        <f>SUM(E372:E379)</f>
        <v>112</v>
      </c>
      <c r="F380" s="17">
        <f>SUM(F372:F379)</f>
        <v>112000</v>
      </c>
      <c r="G380" s="17"/>
      <c r="H380" s="17"/>
      <c r="I380" s="18"/>
      <c r="J380" s="18"/>
      <c r="K380" s="176"/>
      <c r="L380" s="43"/>
      <c r="M380" s="15"/>
      <c r="N380" s="16"/>
      <c r="O380" s="16"/>
      <c r="P380" s="16">
        <f>SUM(P372:P379)</f>
        <v>130</v>
      </c>
      <c r="Q380" s="17">
        <f>SUM(Q372:Q379)</f>
        <v>130000</v>
      </c>
      <c r="R380" s="17"/>
      <c r="S380" s="17"/>
      <c r="T380" s="18"/>
      <c r="U380" s="18"/>
      <c r="V380" s="176"/>
    </row>
    <row r="382" spans="2:22" ht="15.75" thickBot="1" x14ac:dyDescent="0.35">
      <c r="B382" s="847" t="s">
        <v>310</v>
      </c>
      <c r="C382" s="847"/>
      <c r="D382" s="847"/>
      <c r="E382" s="847"/>
      <c r="F382" s="5"/>
      <c r="G382" s="5"/>
      <c r="H382" s="5"/>
      <c r="I382" s="5"/>
      <c r="J382" s="6"/>
      <c r="K382" s="5"/>
      <c r="L382" s="5"/>
      <c r="M382" s="852" t="s">
        <v>154</v>
      </c>
      <c r="N382" s="852"/>
      <c r="O382" s="852"/>
      <c r="P382" s="5"/>
      <c r="Q382" s="5"/>
      <c r="R382" s="5"/>
      <c r="S382" s="5"/>
      <c r="T382" s="5"/>
      <c r="U382" s="6"/>
      <c r="V382" s="5"/>
    </row>
    <row r="383" spans="2:22" ht="15.75" thickBot="1" x14ac:dyDescent="0.35">
      <c r="B383" s="7"/>
      <c r="C383" s="8"/>
      <c r="D383" s="8" t="s">
        <v>143</v>
      </c>
      <c r="E383" s="8" t="s">
        <v>144</v>
      </c>
      <c r="F383" s="8" t="s">
        <v>145</v>
      </c>
      <c r="G383" s="8"/>
      <c r="H383" s="8"/>
      <c r="I383" s="168"/>
      <c r="J383" s="9"/>
      <c r="K383" s="98" t="s">
        <v>146</v>
      </c>
      <c r="L383" s="5"/>
      <c r="M383" s="7" t="s">
        <v>142</v>
      </c>
      <c r="N383" s="8"/>
      <c r="O383" s="8" t="s">
        <v>143</v>
      </c>
      <c r="P383" s="8" t="s">
        <v>144</v>
      </c>
      <c r="Q383" s="8" t="s">
        <v>145</v>
      </c>
      <c r="R383" s="8"/>
      <c r="S383" s="8"/>
      <c r="T383" s="168"/>
      <c r="U383" s="9"/>
      <c r="V383" s="98" t="s">
        <v>146</v>
      </c>
    </row>
    <row r="384" spans="2:22" x14ac:dyDescent="0.3">
      <c r="B384" s="218">
        <v>45530</v>
      </c>
      <c r="C384" s="217"/>
      <c r="D384">
        <v>5471</v>
      </c>
      <c r="E384" s="170">
        <f>IF(D384="","",D384-D378)</f>
        <v>11</v>
      </c>
      <c r="F384" s="171">
        <f t="shared" ref="F384:F391" si="265">IF(D384="","",E384*1000)</f>
        <v>11000</v>
      </c>
      <c r="G384" s="171"/>
      <c r="H384" s="171"/>
      <c r="I384" s="173"/>
      <c r="J384" s="174"/>
      <c r="K384" s="172" t="s">
        <v>131</v>
      </c>
      <c r="L384" s="5"/>
      <c r="M384" s="210">
        <f t="shared" ref="M384:M391" si="266">IF(B384="","",B384)</f>
        <v>45530</v>
      </c>
      <c r="N384" s="13"/>
      <c r="O384" s="13">
        <v>2396</v>
      </c>
      <c r="P384" s="170">
        <f>IF(O384="","",O384-O378)</f>
        <v>36</v>
      </c>
      <c r="Q384" s="171">
        <f t="shared" ref="Q384:Q391" si="267">IF(O384="","",P384*1000)</f>
        <v>36000</v>
      </c>
      <c r="R384" s="171"/>
      <c r="S384" s="171"/>
      <c r="T384" s="173"/>
      <c r="U384" s="174"/>
      <c r="V384" s="172" t="s">
        <v>131</v>
      </c>
    </row>
    <row r="385" spans="2:22" x14ac:dyDescent="0.3">
      <c r="B385" s="218">
        <v>45539</v>
      </c>
      <c r="C385" s="13"/>
      <c r="D385" s="13">
        <v>5493</v>
      </c>
      <c r="E385" s="170">
        <f t="shared" ref="E385:E391" si="268">IF(D385="","",D385-D384)</f>
        <v>22</v>
      </c>
      <c r="F385" s="171">
        <f t="shared" si="265"/>
        <v>22000</v>
      </c>
      <c r="G385" s="171"/>
      <c r="H385" s="171"/>
      <c r="I385" s="173"/>
      <c r="J385" s="174"/>
      <c r="K385" s="172"/>
      <c r="M385" s="210">
        <f t="shared" si="266"/>
        <v>45539</v>
      </c>
      <c r="N385" s="13"/>
      <c r="O385" s="13">
        <v>2440</v>
      </c>
      <c r="P385" s="170">
        <f t="shared" ref="P385:P391" si="269">IF(O385="","",O385-O384)</f>
        <v>44</v>
      </c>
      <c r="Q385" s="171">
        <f t="shared" si="267"/>
        <v>44000</v>
      </c>
      <c r="R385" s="171"/>
      <c r="S385" s="171"/>
      <c r="T385" s="173"/>
      <c r="U385" s="174"/>
      <c r="V385" s="172"/>
    </row>
    <row r="386" spans="2:22" x14ac:dyDescent="0.3">
      <c r="B386" s="218">
        <v>45540</v>
      </c>
      <c r="C386" s="13"/>
      <c r="D386" s="13">
        <v>5497</v>
      </c>
      <c r="E386" s="170">
        <f t="shared" si="268"/>
        <v>4</v>
      </c>
      <c r="F386" s="171">
        <f t="shared" si="265"/>
        <v>4000</v>
      </c>
      <c r="G386" s="171"/>
      <c r="H386" s="171"/>
      <c r="I386" s="173"/>
      <c r="J386" s="174"/>
      <c r="K386" s="172"/>
      <c r="L386" s="29"/>
      <c r="M386" s="210">
        <f t="shared" si="266"/>
        <v>45540</v>
      </c>
      <c r="N386" s="13"/>
      <c r="O386" s="13">
        <v>2448</v>
      </c>
      <c r="P386" s="170">
        <f t="shared" si="269"/>
        <v>8</v>
      </c>
      <c r="Q386" s="171">
        <f t="shared" si="267"/>
        <v>8000</v>
      </c>
      <c r="R386" s="171"/>
      <c r="S386" s="171"/>
      <c r="T386" s="173"/>
      <c r="U386" s="174"/>
      <c r="V386" s="172"/>
    </row>
    <row r="387" spans="2:22" x14ac:dyDescent="0.3">
      <c r="B387" s="218">
        <v>45547</v>
      </c>
      <c r="C387" s="13"/>
      <c r="D387" s="13">
        <v>5507</v>
      </c>
      <c r="E387" s="170">
        <f t="shared" si="268"/>
        <v>10</v>
      </c>
      <c r="F387" s="171">
        <f t="shared" si="265"/>
        <v>10000</v>
      </c>
      <c r="G387" s="171"/>
      <c r="H387" s="171"/>
      <c r="I387" s="173"/>
      <c r="J387" s="174"/>
      <c r="K387" s="172"/>
      <c r="M387" s="210">
        <f t="shared" si="266"/>
        <v>45547</v>
      </c>
      <c r="N387" s="13"/>
      <c r="O387" s="13">
        <v>2462</v>
      </c>
      <c r="P387" s="170">
        <f t="shared" si="269"/>
        <v>14</v>
      </c>
      <c r="Q387" s="171">
        <f t="shared" si="267"/>
        <v>14000</v>
      </c>
      <c r="R387" s="171"/>
      <c r="S387" s="171"/>
      <c r="T387" s="173"/>
      <c r="U387" s="174"/>
      <c r="V387" s="172"/>
    </row>
    <row r="388" spans="2:22" x14ac:dyDescent="0.3">
      <c r="B388" s="218">
        <v>45552</v>
      </c>
      <c r="C388" s="13"/>
      <c r="D388" s="13">
        <v>5516</v>
      </c>
      <c r="E388" s="170">
        <f t="shared" si="268"/>
        <v>9</v>
      </c>
      <c r="F388" s="171">
        <f t="shared" si="265"/>
        <v>9000</v>
      </c>
      <c r="G388" s="171"/>
      <c r="H388" s="171"/>
      <c r="I388" s="173"/>
      <c r="J388" s="174"/>
      <c r="K388" s="172"/>
      <c r="L388" s="29"/>
      <c r="M388" s="210">
        <f t="shared" si="266"/>
        <v>45552</v>
      </c>
      <c r="N388" s="13"/>
      <c r="O388" s="13">
        <v>2468</v>
      </c>
      <c r="P388" s="170">
        <f t="shared" si="269"/>
        <v>6</v>
      </c>
      <c r="Q388" s="171">
        <f t="shared" si="267"/>
        <v>6000</v>
      </c>
      <c r="R388" s="171"/>
      <c r="S388" s="171"/>
      <c r="T388" s="173"/>
      <c r="U388" s="174"/>
      <c r="V388" s="172" t="s">
        <v>314</v>
      </c>
    </row>
    <row r="389" spans="2:22" x14ac:dyDescent="0.3">
      <c r="B389" s="218"/>
      <c r="C389" s="13"/>
      <c r="D389" s="13"/>
      <c r="E389" s="170" t="str">
        <f t="shared" si="268"/>
        <v/>
      </c>
      <c r="F389" s="171" t="str">
        <f t="shared" si="265"/>
        <v/>
      </c>
      <c r="G389" s="171"/>
      <c r="H389" s="171"/>
      <c r="I389" s="173"/>
      <c r="J389" s="174"/>
      <c r="K389" s="172"/>
      <c r="L389" s="42"/>
      <c r="M389" s="210" t="str">
        <f t="shared" si="266"/>
        <v/>
      </c>
      <c r="N389" s="13"/>
      <c r="O389" s="13"/>
      <c r="P389" s="170" t="str">
        <f t="shared" si="269"/>
        <v/>
      </c>
      <c r="Q389" s="171" t="str">
        <f t="shared" si="267"/>
        <v/>
      </c>
      <c r="R389" s="171"/>
      <c r="S389" s="171"/>
      <c r="T389" s="173"/>
      <c r="U389" s="174"/>
      <c r="V389" s="172"/>
    </row>
    <row r="390" spans="2:22" x14ac:dyDescent="0.3">
      <c r="B390" s="219"/>
      <c r="C390" s="46"/>
      <c r="D390" s="46"/>
      <c r="E390" s="170" t="str">
        <f t="shared" si="268"/>
        <v/>
      </c>
      <c r="F390" s="171" t="str">
        <f t="shared" si="265"/>
        <v/>
      </c>
      <c r="G390" s="171"/>
      <c r="H390" s="171"/>
      <c r="I390" s="193"/>
      <c r="J390" s="174"/>
      <c r="K390" s="51"/>
      <c r="L390" s="42"/>
      <c r="M390" s="210" t="str">
        <f t="shared" si="266"/>
        <v/>
      </c>
      <c r="N390" s="46"/>
      <c r="O390" s="46"/>
      <c r="P390" s="170" t="str">
        <f t="shared" si="269"/>
        <v/>
      </c>
      <c r="Q390" s="171" t="str">
        <f t="shared" si="267"/>
        <v/>
      </c>
      <c r="R390" s="171"/>
      <c r="S390" s="171"/>
      <c r="T390" s="173"/>
      <c r="U390" s="174"/>
      <c r="V390" s="51"/>
    </row>
    <row r="391" spans="2:22" ht="15.75" thickBot="1" x14ac:dyDescent="0.35">
      <c r="B391" s="220"/>
      <c r="C391" s="39"/>
      <c r="D391" s="39"/>
      <c r="E391" s="16" t="str">
        <f t="shared" si="268"/>
        <v/>
      </c>
      <c r="F391" s="223" t="str">
        <f t="shared" si="265"/>
        <v/>
      </c>
      <c r="G391" s="17"/>
      <c r="H391" s="17"/>
      <c r="I391" s="40"/>
      <c r="J391" s="175"/>
      <c r="K391" s="176"/>
      <c r="L391" s="29"/>
      <c r="M391" s="211" t="str">
        <f t="shared" si="266"/>
        <v/>
      </c>
      <c r="N391" s="39"/>
      <c r="O391" s="39"/>
      <c r="P391" s="16" t="str">
        <f t="shared" si="269"/>
        <v/>
      </c>
      <c r="Q391" s="223" t="str">
        <f t="shared" si="267"/>
        <v/>
      </c>
      <c r="R391" s="17"/>
      <c r="S391" s="17"/>
      <c r="T391" s="40"/>
      <c r="U391" s="175"/>
      <c r="V391" s="176"/>
    </row>
    <row r="392" spans="2:22" ht="15.75" thickBot="1" x14ac:dyDescent="0.35">
      <c r="B392" s="15"/>
      <c r="C392" s="16"/>
      <c r="D392" s="16"/>
      <c r="E392" s="16">
        <f>SUM(E384:E391)</f>
        <v>56</v>
      </c>
      <c r="F392" s="17">
        <f>SUM(F384:F391)</f>
        <v>56000</v>
      </c>
      <c r="G392" s="17"/>
      <c r="H392" s="17"/>
      <c r="I392" s="18"/>
      <c r="J392" s="18"/>
      <c r="K392" s="176"/>
      <c r="L392" s="43"/>
      <c r="M392" s="15"/>
      <c r="N392" s="16"/>
      <c r="O392" s="16"/>
      <c r="P392" s="16">
        <f>SUM(P384:P391)</f>
        <v>108</v>
      </c>
      <c r="Q392" s="17">
        <f>SUM(Q384:Q391)</f>
        <v>108000</v>
      </c>
      <c r="R392" s="17"/>
      <c r="S392" s="17"/>
      <c r="T392" s="18"/>
      <c r="U392" s="18"/>
      <c r="V392" s="176"/>
    </row>
    <row r="394" spans="2:22" ht="15.75" thickBot="1" x14ac:dyDescent="0.35">
      <c r="B394" s="847" t="s">
        <v>310</v>
      </c>
      <c r="C394" s="847"/>
      <c r="D394" s="847"/>
      <c r="E394" s="847"/>
      <c r="F394" s="5"/>
      <c r="G394" s="5"/>
      <c r="H394" s="5"/>
      <c r="I394" s="5"/>
      <c r="J394" s="6"/>
      <c r="K394" s="5"/>
      <c r="L394" s="5"/>
      <c r="M394" s="852" t="s">
        <v>154</v>
      </c>
      <c r="N394" s="852"/>
      <c r="O394" s="852"/>
      <c r="P394" s="5"/>
      <c r="Q394" s="5"/>
      <c r="R394" s="5"/>
      <c r="S394" s="5"/>
      <c r="T394" s="5"/>
      <c r="U394" s="6"/>
      <c r="V394" s="5"/>
    </row>
    <row r="395" spans="2:22" ht="15.75" thickBot="1" x14ac:dyDescent="0.35">
      <c r="B395" s="7"/>
      <c r="C395" s="8"/>
      <c r="D395" s="8" t="s">
        <v>143</v>
      </c>
      <c r="E395" s="8" t="s">
        <v>144</v>
      </c>
      <c r="F395" s="8" t="s">
        <v>145</v>
      </c>
      <c r="G395" s="8"/>
      <c r="H395" s="8"/>
      <c r="I395" s="168"/>
      <c r="J395" s="9"/>
      <c r="K395" s="98" t="s">
        <v>146</v>
      </c>
      <c r="L395" s="5"/>
      <c r="M395" s="7" t="s">
        <v>142</v>
      </c>
      <c r="N395" s="8"/>
      <c r="O395" s="8" t="s">
        <v>143</v>
      </c>
      <c r="P395" s="8" t="s">
        <v>144</v>
      </c>
      <c r="Q395" s="8" t="s">
        <v>145</v>
      </c>
      <c r="R395" s="8"/>
      <c r="S395" s="8"/>
      <c r="T395" s="168"/>
      <c r="U395" s="9"/>
      <c r="V395" s="98" t="s">
        <v>146</v>
      </c>
    </row>
    <row r="396" spans="2:22" x14ac:dyDescent="0.3">
      <c r="B396" s="218">
        <v>45559</v>
      </c>
      <c r="C396" s="217"/>
      <c r="D396">
        <v>5525</v>
      </c>
      <c r="E396" s="170">
        <f>IF(D396="","",D396-D388)</f>
        <v>9</v>
      </c>
      <c r="F396" s="171">
        <f t="shared" ref="F396:F403" si="270">IF(D396="","",E396*1000)</f>
        <v>9000</v>
      </c>
      <c r="G396" s="171"/>
      <c r="H396" s="171"/>
      <c r="I396" s="173"/>
      <c r="J396" s="174"/>
      <c r="K396" s="172"/>
      <c r="L396" s="5"/>
      <c r="M396" s="210">
        <f t="shared" ref="M396:M403" si="271">IF(B396="","",B396)</f>
        <v>45559</v>
      </c>
      <c r="N396" s="13"/>
      <c r="O396" s="13">
        <v>2484</v>
      </c>
      <c r="P396" s="170">
        <f>IF(O396="","",O396-O388)</f>
        <v>16</v>
      </c>
      <c r="Q396" s="171">
        <f t="shared" ref="Q396:Q403" si="272">IF(O396="","",P396*1000)</f>
        <v>16000</v>
      </c>
      <c r="R396" s="171"/>
      <c r="S396" s="171"/>
      <c r="T396" s="173"/>
      <c r="U396" s="174"/>
      <c r="V396" s="172" t="s">
        <v>308</v>
      </c>
    </row>
    <row r="397" spans="2:22" x14ac:dyDescent="0.3">
      <c r="B397" s="218">
        <v>45562</v>
      </c>
      <c r="C397" s="13"/>
      <c r="D397" s="13">
        <v>5531</v>
      </c>
      <c r="E397" s="170">
        <f t="shared" ref="E397:E403" si="273">IF(D397="","",D397-D396)</f>
        <v>6</v>
      </c>
      <c r="F397" s="171">
        <f t="shared" si="270"/>
        <v>6000</v>
      </c>
      <c r="G397" s="171"/>
      <c r="H397" s="171"/>
      <c r="I397" s="173"/>
      <c r="J397" s="174"/>
      <c r="K397" s="172" t="s">
        <v>315</v>
      </c>
      <c r="M397" s="210">
        <f t="shared" si="271"/>
        <v>45562</v>
      </c>
      <c r="N397" s="13"/>
      <c r="O397" s="13">
        <v>2486</v>
      </c>
      <c r="P397" s="170">
        <f t="shared" ref="P397:P403" si="274">IF(O397="","",O397-O396)</f>
        <v>2</v>
      </c>
      <c r="Q397" s="171">
        <f t="shared" si="272"/>
        <v>2000</v>
      </c>
      <c r="R397" s="171"/>
      <c r="S397" s="171"/>
      <c r="T397" s="173"/>
      <c r="U397" s="174"/>
      <c r="V397" s="172" t="s">
        <v>316</v>
      </c>
    </row>
    <row r="398" spans="2:22" x14ac:dyDescent="0.3">
      <c r="B398" s="218">
        <v>45565</v>
      </c>
      <c r="C398" s="13"/>
      <c r="D398" s="13">
        <v>5537</v>
      </c>
      <c r="E398" s="170">
        <f t="shared" si="273"/>
        <v>6</v>
      </c>
      <c r="F398" s="171">
        <f t="shared" si="270"/>
        <v>6000</v>
      </c>
      <c r="G398" s="171"/>
      <c r="H398" s="171"/>
      <c r="I398" s="173"/>
      <c r="J398" s="174"/>
      <c r="K398" s="172"/>
      <c r="L398" s="29"/>
      <c r="M398" s="210">
        <f t="shared" si="271"/>
        <v>45565</v>
      </c>
      <c r="N398" s="13"/>
      <c r="O398" s="13">
        <v>2492</v>
      </c>
      <c r="P398" s="170">
        <f t="shared" si="274"/>
        <v>6</v>
      </c>
      <c r="Q398" s="171">
        <f t="shared" si="272"/>
        <v>6000</v>
      </c>
      <c r="R398" s="171"/>
      <c r="S398" s="171"/>
      <c r="T398" s="173"/>
      <c r="U398" s="174"/>
      <c r="V398" s="172"/>
    </row>
    <row r="399" spans="2:22" x14ac:dyDescent="0.3">
      <c r="B399" s="218">
        <v>45572</v>
      </c>
      <c r="C399" s="13"/>
      <c r="D399" s="13">
        <v>5555</v>
      </c>
      <c r="E399" s="170">
        <f t="shared" si="273"/>
        <v>18</v>
      </c>
      <c r="F399" s="171">
        <f t="shared" si="270"/>
        <v>18000</v>
      </c>
      <c r="G399" s="171"/>
      <c r="H399" s="171"/>
      <c r="I399" s="173"/>
      <c r="J399" s="174"/>
      <c r="K399" s="172"/>
      <c r="M399" s="210">
        <f t="shared" si="271"/>
        <v>45572</v>
      </c>
      <c r="N399" s="13"/>
      <c r="O399" s="13">
        <v>2508</v>
      </c>
      <c r="P399" s="170">
        <f t="shared" si="274"/>
        <v>16</v>
      </c>
      <c r="Q399" s="171">
        <f t="shared" si="272"/>
        <v>16000</v>
      </c>
      <c r="R399" s="171"/>
      <c r="S399" s="171"/>
      <c r="T399" s="173"/>
      <c r="U399" s="174"/>
      <c r="V399" s="172" t="s">
        <v>135</v>
      </c>
    </row>
    <row r="400" spans="2:22" x14ac:dyDescent="0.3">
      <c r="B400" s="218">
        <v>45576</v>
      </c>
      <c r="C400" s="13"/>
      <c r="D400" s="13">
        <v>5562</v>
      </c>
      <c r="E400" s="170">
        <f t="shared" si="273"/>
        <v>7</v>
      </c>
      <c r="F400" s="171">
        <f t="shared" si="270"/>
        <v>7000</v>
      </c>
      <c r="G400" s="171"/>
      <c r="H400" s="171"/>
      <c r="I400" s="173"/>
      <c r="J400" s="174"/>
      <c r="K400" s="172"/>
      <c r="L400" s="29"/>
      <c r="M400" s="210">
        <f t="shared" si="271"/>
        <v>45576</v>
      </c>
      <c r="N400" s="13"/>
      <c r="O400" s="13">
        <v>2522</v>
      </c>
      <c r="P400" s="170">
        <f t="shared" si="274"/>
        <v>14</v>
      </c>
      <c r="Q400" s="171">
        <f t="shared" si="272"/>
        <v>14000</v>
      </c>
      <c r="R400" s="171"/>
      <c r="S400" s="171"/>
      <c r="T400" s="173"/>
      <c r="U400" s="174"/>
      <c r="V400" s="172"/>
    </row>
    <row r="401" spans="2:22" x14ac:dyDescent="0.3">
      <c r="B401" s="218">
        <v>45580</v>
      </c>
      <c r="C401" s="13"/>
      <c r="D401" s="13">
        <v>5571</v>
      </c>
      <c r="E401" s="170">
        <f t="shared" si="273"/>
        <v>9</v>
      </c>
      <c r="F401" s="171">
        <f t="shared" si="270"/>
        <v>9000</v>
      </c>
      <c r="G401" s="171"/>
      <c r="H401" s="171"/>
      <c r="I401" s="173"/>
      <c r="J401" s="174"/>
      <c r="K401" s="172" t="s">
        <v>131</v>
      </c>
      <c r="L401" s="42"/>
      <c r="M401" s="210">
        <f t="shared" si="271"/>
        <v>45580</v>
      </c>
      <c r="N401" s="13"/>
      <c r="O401" s="13">
        <v>2574</v>
      </c>
      <c r="P401" s="170">
        <f t="shared" si="274"/>
        <v>52</v>
      </c>
      <c r="Q401" s="171">
        <f t="shared" si="272"/>
        <v>52000</v>
      </c>
      <c r="R401" s="171"/>
      <c r="S401" s="171"/>
      <c r="T401" s="173"/>
      <c r="U401" s="174"/>
      <c r="V401" s="172"/>
    </row>
    <row r="402" spans="2:22" x14ac:dyDescent="0.3">
      <c r="B402" s="219"/>
      <c r="C402" s="46"/>
      <c r="D402" s="46"/>
      <c r="E402" s="170" t="str">
        <f t="shared" si="273"/>
        <v/>
      </c>
      <c r="F402" s="171" t="str">
        <f t="shared" si="270"/>
        <v/>
      </c>
      <c r="G402" s="171"/>
      <c r="H402" s="171"/>
      <c r="I402" s="193"/>
      <c r="J402" s="174"/>
      <c r="K402" s="51"/>
      <c r="L402" s="42"/>
      <c r="M402" s="210" t="str">
        <f t="shared" si="271"/>
        <v/>
      </c>
      <c r="N402" s="46"/>
      <c r="O402" s="46"/>
      <c r="P402" s="170" t="str">
        <f t="shared" si="274"/>
        <v/>
      </c>
      <c r="Q402" s="171" t="str">
        <f t="shared" si="272"/>
        <v/>
      </c>
      <c r="R402" s="171"/>
      <c r="S402" s="171"/>
      <c r="T402" s="173"/>
      <c r="U402" s="174"/>
      <c r="V402" s="51"/>
    </row>
    <row r="403" spans="2:22" ht="15.75" thickBot="1" x14ac:dyDescent="0.35">
      <c r="B403" s="220"/>
      <c r="C403" s="39"/>
      <c r="D403" s="39"/>
      <c r="E403" s="16" t="str">
        <f t="shared" si="273"/>
        <v/>
      </c>
      <c r="F403" s="223" t="str">
        <f t="shared" si="270"/>
        <v/>
      </c>
      <c r="G403" s="17"/>
      <c r="H403" s="17"/>
      <c r="I403" s="40"/>
      <c r="J403" s="175"/>
      <c r="K403" s="176"/>
      <c r="L403" s="29"/>
      <c r="M403" s="211" t="str">
        <f t="shared" si="271"/>
        <v/>
      </c>
      <c r="N403" s="39"/>
      <c r="O403" s="39"/>
      <c r="P403" s="16" t="str">
        <f t="shared" si="274"/>
        <v/>
      </c>
      <c r="Q403" s="223" t="str">
        <f t="shared" si="272"/>
        <v/>
      </c>
      <c r="R403" s="17"/>
      <c r="S403" s="17"/>
      <c r="T403" s="40"/>
      <c r="U403" s="175"/>
      <c r="V403" s="176"/>
    </row>
    <row r="404" spans="2:22" ht="15.75" thickBot="1" x14ac:dyDescent="0.35">
      <c r="B404" s="15"/>
      <c r="C404" s="16"/>
      <c r="D404" s="16"/>
      <c r="E404" s="16">
        <f>SUM(E396:E403)</f>
        <v>55</v>
      </c>
      <c r="F404" s="17">
        <f>SUM(F396:F403)</f>
        <v>55000</v>
      </c>
      <c r="G404" s="17"/>
      <c r="H404" s="17"/>
      <c r="I404" s="18"/>
      <c r="J404" s="18"/>
      <c r="K404" s="176"/>
      <c r="L404" s="43"/>
      <c r="M404" s="15"/>
      <c r="N404" s="16"/>
      <c r="O404" s="16"/>
      <c r="P404" s="16">
        <f>SUM(P396:P403)</f>
        <v>106</v>
      </c>
      <c r="Q404" s="17">
        <f>SUM(Q396:Q403)</f>
        <v>106000</v>
      </c>
      <c r="R404" s="17"/>
      <c r="S404" s="17"/>
      <c r="T404" s="18"/>
      <c r="U404" s="18"/>
      <c r="V404" s="176"/>
    </row>
    <row r="406" spans="2:22" ht="15.75" thickBot="1" x14ac:dyDescent="0.35">
      <c r="B406" s="847" t="s">
        <v>310</v>
      </c>
      <c r="C406" s="847"/>
      <c r="D406" s="847"/>
      <c r="E406" s="847"/>
      <c r="F406" s="5"/>
      <c r="G406" s="5"/>
      <c r="H406" s="5"/>
      <c r="I406" s="5"/>
      <c r="J406" s="6"/>
      <c r="K406" s="5"/>
      <c r="L406" s="5"/>
      <c r="M406" s="852" t="s">
        <v>154</v>
      </c>
      <c r="N406" s="852"/>
      <c r="O406" s="852"/>
      <c r="P406" s="5"/>
      <c r="Q406" s="5"/>
      <c r="R406" s="5"/>
      <c r="S406" s="5"/>
      <c r="T406" s="5"/>
      <c r="U406" s="6"/>
      <c r="V406" s="5"/>
    </row>
    <row r="407" spans="2:22" ht="15.75" thickBot="1" x14ac:dyDescent="0.35">
      <c r="B407" s="7"/>
      <c r="C407" s="8"/>
      <c r="D407" s="8" t="s">
        <v>143</v>
      </c>
      <c r="E407" s="8" t="s">
        <v>144</v>
      </c>
      <c r="F407" s="8" t="s">
        <v>145</v>
      </c>
      <c r="G407" s="8"/>
      <c r="H407" s="8"/>
      <c r="I407" s="168"/>
      <c r="J407" s="9"/>
      <c r="K407" s="98" t="s">
        <v>146</v>
      </c>
      <c r="L407" s="5"/>
      <c r="M407" s="7" t="s">
        <v>142</v>
      </c>
      <c r="N407" s="8"/>
      <c r="O407" s="8" t="s">
        <v>143</v>
      </c>
      <c r="P407" s="8" t="s">
        <v>144</v>
      </c>
      <c r="Q407" s="8" t="s">
        <v>145</v>
      </c>
      <c r="R407" s="8"/>
      <c r="S407" s="8"/>
      <c r="T407" s="168"/>
      <c r="U407" s="9"/>
      <c r="V407" s="98" t="s">
        <v>146</v>
      </c>
    </row>
    <row r="408" spans="2:22" x14ac:dyDescent="0.3">
      <c r="B408" s="218">
        <v>45588</v>
      </c>
      <c r="C408" s="217"/>
      <c r="D408">
        <v>5591</v>
      </c>
      <c r="E408" s="170">
        <f>IF(D408="","",D408-D401)</f>
        <v>20</v>
      </c>
      <c r="F408" s="171">
        <f t="shared" ref="F408:F415" si="275">IF(D408="","",E408*1000)</f>
        <v>20000</v>
      </c>
      <c r="G408" s="171"/>
      <c r="H408" s="171"/>
      <c r="I408" s="173"/>
      <c r="J408" s="174"/>
      <c r="K408" s="172"/>
      <c r="L408" s="5"/>
      <c r="M408" s="210">
        <f t="shared" ref="M408:M415" si="276">IF(B408="","",B408)</f>
        <v>45588</v>
      </c>
      <c r="N408" s="13"/>
      <c r="O408" s="13">
        <v>2596</v>
      </c>
      <c r="P408" s="170">
        <f>IF(O408="","",O408-O401)</f>
        <v>22</v>
      </c>
      <c r="Q408" s="171">
        <f t="shared" ref="Q408:Q415" si="277">IF(O408="","",P408*1000)</f>
        <v>22000</v>
      </c>
      <c r="R408" s="171"/>
      <c r="S408" s="171"/>
      <c r="T408" s="173"/>
      <c r="U408" s="174"/>
      <c r="V408" s="172"/>
    </row>
    <row r="409" spans="2:22" x14ac:dyDescent="0.3">
      <c r="B409" s="218">
        <v>45592</v>
      </c>
      <c r="C409" s="13"/>
      <c r="D409" s="13">
        <v>5600</v>
      </c>
      <c r="E409" s="170">
        <f t="shared" ref="E409:E415" si="278">IF(D409="","",D409-D408)</f>
        <v>9</v>
      </c>
      <c r="F409" s="171">
        <f t="shared" si="275"/>
        <v>9000</v>
      </c>
      <c r="G409" s="171"/>
      <c r="H409" s="171"/>
      <c r="I409" s="173"/>
      <c r="J409" s="174"/>
      <c r="K409" s="172"/>
      <c r="M409" s="210">
        <f t="shared" si="276"/>
        <v>45592</v>
      </c>
      <c r="N409" s="13"/>
      <c r="O409" s="13">
        <v>2596</v>
      </c>
      <c r="P409" s="170">
        <f t="shared" ref="P409:P415" si="279">IF(O409="","",O409-O408)</f>
        <v>0</v>
      </c>
      <c r="Q409" s="171">
        <f t="shared" si="277"/>
        <v>0</v>
      </c>
      <c r="R409" s="171"/>
      <c r="S409" s="171"/>
      <c r="T409" s="173"/>
      <c r="U409" s="174"/>
      <c r="V409" s="172"/>
    </row>
    <row r="410" spans="2:22" x14ac:dyDescent="0.3">
      <c r="B410" s="218">
        <v>45596</v>
      </c>
      <c r="C410" s="13"/>
      <c r="D410" s="13">
        <v>5600</v>
      </c>
      <c r="E410" s="170">
        <f t="shared" si="278"/>
        <v>0</v>
      </c>
      <c r="F410" s="171">
        <f t="shared" si="275"/>
        <v>0</v>
      </c>
      <c r="G410" s="171"/>
      <c r="H410" s="171"/>
      <c r="I410" s="173"/>
      <c r="J410" s="174"/>
      <c r="K410" s="172"/>
      <c r="L410" s="29"/>
      <c r="M410" s="210">
        <f t="shared" si="276"/>
        <v>45596</v>
      </c>
      <c r="N410" s="13"/>
      <c r="O410" s="13">
        <v>2596</v>
      </c>
      <c r="P410" s="170">
        <f t="shared" si="279"/>
        <v>0</v>
      </c>
      <c r="Q410" s="171">
        <f t="shared" si="277"/>
        <v>0</v>
      </c>
      <c r="R410" s="171"/>
      <c r="S410" s="171"/>
      <c r="T410" s="173"/>
      <c r="U410" s="174"/>
      <c r="V410" s="172"/>
    </row>
    <row r="411" spans="2:22" x14ac:dyDescent="0.3">
      <c r="B411" s="218">
        <v>45607</v>
      </c>
      <c r="C411" s="13"/>
      <c r="D411" s="13">
        <v>5600</v>
      </c>
      <c r="E411" s="170">
        <f t="shared" si="278"/>
        <v>0</v>
      </c>
      <c r="F411" s="171">
        <f t="shared" si="275"/>
        <v>0</v>
      </c>
      <c r="G411" s="171"/>
      <c r="H411" s="171"/>
      <c r="I411" s="173"/>
      <c r="J411" s="174"/>
      <c r="K411" s="172"/>
      <c r="M411" s="210">
        <f t="shared" si="276"/>
        <v>45607</v>
      </c>
      <c r="N411" s="13"/>
      <c r="O411" s="13">
        <v>2710</v>
      </c>
      <c r="P411" s="170">
        <f t="shared" si="279"/>
        <v>114</v>
      </c>
      <c r="Q411" s="171">
        <f t="shared" si="277"/>
        <v>114000</v>
      </c>
      <c r="R411" s="171"/>
      <c r="S411" s="171"/>
      <c r="T411" s="173"/>
      <c r="U411" s="174"/>
      <c r="V411" s="172"/>
    </row>
    <row r="412" spans="2:22" x14ac:dyDescent="0.3">
      <c r="B412" s="218">
        <v>45610</v>
      </c>
      <c r="C412" s="13"/>
      <c r="D412" s="13">
        <v>5672</v>
      </c>
      <c r="E412" s="170">
        <f t="shared" si="278"/>
        <v>72</v>
      </c>
      <c r="F412" s="171">
        <f t="shared" si="275"/>
        <v>72000</v>
      </c>
      <c r="G412" s="171"/>
      <c r="H412" s="171"/>
      <c r="I412" s="173"/>
      <c r="J412" s="174"/>
      <c r="K412" s="172"/>
      <c r="L412" s="29"/>
      <c r="M412" s="210">
        <f t="shared" si="276"/>
        <v>45610</v>
      </c>
      <c r="N412" s="13"/>
      <c r="O412" s="13">
        <v>2712</v>
      </c>
      <c r="P412" s="170">
        <f t="shared" si="279"/>
        <v>2</v>
      </c>
      <c r="Q412" s="171">
        <f t="shared" si="277"/>
        <v>2000</v>
      </c>
      <c r="R412" s="171"/>
      <c r="S412" s="171"/>
      <c r="T412" s="173"/>
      <c r="U412" s="174"/>
      <c r="V412" s="172"/>
    </row>
    <row r="413" spans="2:22" x14ac:dyDescent="0.3">
      <c r="B413" s="218"/>
      <c r="C413" s="13"/>
      <c r="D413" s="13"/>
      <c r="E413" s="170" t="str">
        <f t="shared" si="278"/>
        <v/>
      </c>
      <c r="F413" s="171" t="str">
        <f t="shared" si="275"/>
        <v/>
      </c>
      <c r="G413" s="171"/>
      <c r="H413" s="171"/>
      <c r="I413" s="173"/>
      <c r="J413" s="174"/>
      <c r="K413" s="172"/>
      <c r="L413" s="42"/>
      <c r="M413" s="210" t="str">
        <f t="shared" si="276"/>
        <v/>
      </c>
      <c r="N413" s="13"/>
      <c r="O413" s="13"/>
      <c r="P413" s="170" t="str">
        <f t="shared" si="279"/>
        <v/>
      </c>
      <c r="Q413" s="171" t="str">
        <f t="shared" si="277"/>
        <v/>
      </c>
      <c r="R413" s="171"/>
      <c r="S413" s="171"/>
      <c r="T413" s="173"/>
      <c r="U413" s="174"/>
      <c r="V413" s="172"/>
    </row>
    <row r="414" spans="2:22" x14ac:dyDescent="0.3">
      <c r="B414" s="219"/>
      <c r="C414" s="46"/>
      <c r="D414" s="46"/>
      <c r="E414" s="170" t="str">
        <f t="shared" si="278"/>
        <v/>
      </c>
      <c r="F414" s="171" t="str">
        <f t="shared" si="275"/>
        <v/>
      </c>
      <c r="G414" s="171"/>
      <c r="H414" s="171"/>
      <c r="I414" s="193"/>
      <c r="J414" s="174"/>
      <c r="K414" s="51"/>
      <c r="L414" s="42"/>
      <c r="M414" s="210" t="str">
        <f t="shared" si="276"/>
        <v/>
      </c>
      <c r="N414" s="46"/>
      <c r="O414" s="46"/>
      <c r="P414" s="170" t="str">
        <f t="shared" si="279"/>
        <v/>
      </c>
      <c r="Q414" s="171" t="str">
        <f t="shared" si="277"/>
        <v/>
      </c>
      <c r="R414" s="171"/>
      <c r="S414" s="171"/>
      <c r="T414" s="173"/>
      <c r="U414" s="174"/>
      <c r="V414" s="51"/>
    </row>
    <row r="415" spans="2:22" ht="15.75" thickBot="1" x14ac:dyDescent="0.35">
      <c r="B415" s="220"/>
      <c r="C415" s="39"/>
      <c r="D415" s="39"/>
      <c r="E415" s="16" t="str">
        <f t="shared" si="278"/>
        <v/>
      </c>
      <c r="F415" s="223" t="str">
        <f t="shared" si="275"/>
        <v/>
      </c>
      <c r="G415" s="17"/>
      <c r="H415" s="17"/>
      <c r="I415" s="40"/>
      <c r="J415" s="175"/>
      <c r="K415" s="176"/>
      <c r="L415" s="29"/>
      <c r="M415" s="211" t="str">
        <f t="shared" si="276"/>
        <v/>
      </c>
      <c r="N415" s="39"/>
      <c r="O415" s="39"/>
      <c r="P415" s="16" t="str">
        <f t="shared" si="279"/>
        <v/>
      </c>
      <c r="Q415" s="223" t="str">
        <f t="shared" si="277"/>
        <v/>
      </c>
      <c r="R415" s="17"/>
      <c r="S415" s="17"/>
      <c r="T415" s="40"/>
      <c r="U415" s="175"/>
      <c r="V415" s="176"/>
    </row>
    <row r="416" spans="2:22" ht="15.75" thickBot="1" x14ac:dyDescent="0.35">
      <c r="B416" s="15"/>
      <c r="C416" s="16"/>
      <c r="D416" s="16"/>
      <c r="E416" s="16">
        <f>SUM(E408:E415)</f>
        <v>101</v>
      </c>
      <c r="F416" s="17">
        <f>SUM(F408:F415)</f>
        <v>101000</v>
      </c>
      <c r="G416" s="17"/>
      <c r="H416" s="17"/>
      <c r="I416" s="18"/>
      <c r="J416" s="18"/>
      <c r="K416" s="176"/>
      <c r="L416" s="43"/>
      <c r="M416" s="15"/>
      <c r="N416" s="16"/>
      <c r="O416" s="16"/>
      <c r="P416" s="16">
        <f>SUM(P408:P415)</f>
        <v>138</v>
      </c>
      <c r="Q416" s="17">
        <f>SUM(Q408:Q415)</f>
        <v>138000</v>
      </c>
      <c r="R416" s="17"/>
      <c r="S416" s="17"/>
      <c r="T416" s="18"/>
      <c r="U416" s="18"/>
      <c r="V416" s="176"/>
    </row>
  </sheetData>
  <mergeCells count="17">
    <mergeCell ref="B1:F1"/>
    <mergeCell ref="B322:E322"/>
    <mergeCell ref="M322:O322"/>
    <mergeCell ref="B334:E334"/>
    <mergeCell ref="M334:O334"/>
    <mergeCell ref="B406:E406"/>
    <mergeCell ref="M406:O406"/>
    <mergeCell ref="B394:E394"/>
    <mergeCell ref="M394:O394"/>
    <mergeCell ref="B346:E346"/>
    <mergeCell ref="M346:O346"/>
    <mergeCell ref="B382:E382"/>
    <mergeCell ref="M382:O382"/>
    <mergeCell ref="B370:E370"/>
    <mergeCell ref="M370:O370"/>
    <mergeCell ref="B358:E358"/>
    <mergeCell ref="M358:O358"/>
  </mergeCells>
  <phoneticPr fontId="35"/>
  <pageMargins left="0.69930555555555596" right="0.69930555555555596" top="0.75" bottom="0.75" header="0" footer="0"/>
  <pageSetup paperSize="9" scale="90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9">
    <pageSetUpPr fitToPage="1"/>
  </sheetPr>
  <dimension ref="B1:AD92"/>
  <sheetViews>
    <sheetView workbookViewId="0">
      <pane ySplit="2" topLeftCell="A4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6.45703125" customWidth="1"/>
    <col min="3" max="4" width="6.72265625" customWidth="1"/>
    <col min="5" max="5" width="4.9765625" customWidth="1"/>
    <col min="6" max="6" width="7.6640625" customWidth="1"/>
    <col min="7" max="7" width="6.859375" customWidth="1"/>
    <col min="8" max="8" width="7.6640625" customWidth="1"/>
    <col min="9" max="9" width="10.22265625" customWidth="1"/>
    <col min="10" max="10" width="8.47265625" customWidth="1"/>
    <col min="11" max="11" width="9.55078125" customWidth="1"/>
    <col min="12" max="13" width="8.47265625" customWidth="1"/>
    <col min="14" max="14" width="10.22265625" customWidth="1"/>
    <col min="15" max="17" width="2.5546875" customWidth="1"/>
    <col min="18" max="18" width="10.22265625" customWidth="1"/>
    <col min="19" max="20" width="8.47265625" customWidth="1"/>
    <col min="21" max="21" width="6.859375" customWidth="1"/>
    <col min="22" max="22" width="7.26171875" customWidth="1"/>
    <col min="23" max="23" width="6.859375" customWidth="1"/>
    <col min="24" max="24" width="7.26171875" customWidth="1"/>
    <col min="25" max="25" width="10.22265625" customWidth="1"/>
    <col min="26" max="26" width="8.47265625" customWidth="1"/>
    <col min="27" max="27" width="7.26171875" customWidth="1"/>
    <col min="28" max="28" width="8.47265625" customWidth="1"/>
    <col min="29" max="29" width="7.3984375" customWidth="1"/>
    <col min="30" max="30" width="9.68359375" customWidth="1"/>
  </cols>
  <sheetData>
    <row r="1" spans="2:30" x14ac:dyDescent="0.3">
      <c r="B1" s="20" t="s">
        <v>210</v>
      </c>
      <c r="F1" s="21" t="s">
        <v>187</v>
      </c>
      <c r="G1" s="5" t="s">
        <v>163</v>
      </c>
      <c r="H1" s="22" t="s">
        <v>164</v>
      </c>
      <c r="I1" s="22" t="s">
        <v>165</v>
      </c>
      <c r="J1" s="667" t="s">
        <v>166</v>
      </c>
      <c r="K1" s="64" t="s">
        <v>179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  <c r="AA1" s="4"/>
      <c r="AB1" s="4"/>
      <c r="AC1" s="4"/>
      <c r="AD1" s="4"/>
    </row>
    <row r="2" spans="2:30" x14ac:dyDescent="0.3">
      <c r="B2" s="22" t="s">
        <v>148</v>
      </c>
      <c r="C2" s="20"/>
      <c r="E2" s="24"/>
      <c r="F2" s="25">
        <f t="shared" ref="F2:J2" si="0">F11</f>
        <v>100000</v>
      </c>
      <c r="G2" s="25">
        <f t="shared" si="0"/>
        <v>0</v>
      </c>
      <c r="H2" s="25">
        <f t="shared" si="0"/>
        <v>100000</v>
      </c>
      <c r="I2" s="25">
        <f t="shared" si="0"/>
        <v>5664</v>
      </c>
      <c r="J2" s="25">
        <f t="shared" si="0"/>
        <v>20000</v>
      </c>
      <c r="K2" s="65">
        <f>(I2+J2)/H2</f>
        <v>0.25663999999999998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4"/>
      <c r="AC2" s="4"/>
      <c r="AD2" s="4"/>
    </row>
    <row r="3" spans="2:30" x14ac:dyDescent="0.3">
      <c r="B3" s="27"/>
      <c r="C3" s="5"/>
      <c r="D3" s="5"/>
      <c r="E3" s="5"/>
      <c r="F3" s="5"/>
      <c r="G3" s="23"/>
      <c r="H3" s="23"/>
      <c r="I3" s="3" t="s">
        <v>182</v>
      </c>
      <c r="J3" s="6">
        <v>200</v>
      </c>
      <c r="K3" s="66"/>
      <c r="L3" s="5"/>
      <c r="M3" s="5"/>
      <c r="N3" s="5"/>
      <c r="O3" s="5"/>
      <c r="P3" s="5"/>
      <c r="Q3" s="5"/>
      <c r="R3" s="192" t="s">
        <v>193</v>
      </c>
      <c r="S3" s="2"/>
      <c r="T3" s="2"/>
      <c r="U3" s="2"/>
      <c r="V3" s="3"/>
      <c r="W3" s="3"/>
      <c r="X3" s="3"/>
      <c r="Y3" s="3"/>
      <c r="Z3" s="3" t="s">
        <v>182</v>
      </c>
      <c r="AA3" s="3"/>
      <c r="AB3" s="4"/>
      <c r="AC3" s="4"/>
      <c r="AD3" s="4"/>
    </row>
    <row r="4" spans="2:30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8" t="s">
        <v>145</v>
      </c>
      <c r="G4" s="8" t="s">
        <v>163</v>
      </c>
      <c r="H4" s="8" t="s">
        <v>164</v>
      </c>
      <c r="I4" s="168" t="s">
        <v>165</v>
      </c>
      <c r="J4" s="9" t="s">
        <v>166</v>
      </c>
      <c r="K4" s="67" t="s">
        <v>146</v>
      </c>
      <c r="L4" s="29" t="s">
        <v>179</v>
      </c>
      <c r="M4" s="5" t="s">
        <v>191</v>
      </c>
      <c r="N4" s="5" t="s">
        <v>194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>
        <v>473.2</v>
      </c>
      <c r="AA4" s="5"/>
      <c r="AB4" s="4"/>
      <c r="AC4" s="4"/>
      <c r="AD4" s="4"/>
    </row>
    <row r="5" spans="2:30" x14ac:dyDescent="0.3">
      <c r="B5" s="178">
        <v>44858</v>
      </c>
      <c r="C5" s="170">
        <v>2306</v>
      </c>
      <c r="D5" s="170">
        <v>2282</v>
      </c>
      <c r="E5" s="170">
        <f t="shared" ref="E5:E9" si="1">+C5-D5</f>
        <v>24</v>
      </c>
      <c r="F5" s="171">
        <f t="shared" ref="F5:F9" si="2">+E5*1000</f>
        <v>24000</v>
      </c>
      <c r="G5" s="171"/>
      <c r="H5" s="171">
        <f t="shared" ref="H5:H10" si="3">+F5-G5</f>
        <v>24000</v>
      </c>
      <c r="I5" s="10"/>
      <c r="J5" s="34">
        <f t="shared" ref="J5:J10" si="4">+E5*$J$3</f>
        <v>4800</v>
      </c>
      <c r="K5" s="194" t="s">
        <v>212</v>
      </c>
      <c r="L5" s="31">
        <f t="shared" ref="L5:L11" si="5">+(I5+J5)/H5</f>
        <v>0.2</v>
      </c>
      <c r="M5" s="35" t="e">
        <f>H5/(B5-#REF!)</f>
        <v>#REF!</v>
      </c>
      <c r="N5" s="35" t="e">
        <f>(H5*0.6-I5-J5)/(B5-#REF!)</f>
        <v>#REF!</v>
      </c>
      <c r="O5" s="5"/>
      <c r="P5" s="5"/>
      <c r="Q5" s="5"/>
      <c r="R5" s="7" t="s">
        <v>142</v>
      </c>
      <c r="S5" s="8" t="s">
        <v>143</v>
      </c>
      <c r="T5" s="8" t="s">
        <v>162</v>
      </c>
      <c r="U5" s="8" t="s">
        <v>144</v>
      </c>
      <c r="V5" s="8" t="s">
        <v>145</v>
      </c>
      <c r="W5" s="8" t="s">
        <v>163</v>
      </c>
      <c r="X5" s="8" t="s">
        <v>164</v>
      </c>
      <c r="Y5" s="168" t="s">
        <v>165</v>
      </c>
      <c r="Z5" s="9" t="s">
        <v>166</v>
      </c>
      <c r="AA5" s="9" t="s">
        <v>146</v>
      </c>
      <c r="AB5" s="4" t="s">
        <v>179</v>
      </c>
      <c r="AC5" s="4" t="s">
        <v>191</v>
      </c>
      <c r="AD5" s="4" t="s">
        <v>194</v>
      </c>
    </row>
    <row r="6" spans="2:30" x14ac:dyDescent="0.3">
      <c r="B6" s="32">
        <v>44865</v>
      </c>
      <c r="C6" s="13">
        <v>2324</v>
      </c>
      <c r="D6" s="13">
        <v>2306</v>
      </c>
      <c r="E6" s="170">
        <f t="shared" si="1"/>
        <v>18</v>
      </c>
      <c r="F6" s="171">
        <f t="shared" si="2"/>
        <v>18000</v>
      </c>
      <c r="G6" s="171">
        <v>0</v>
      </c>
      <c r="H6" s="171">
        <f t="shared" si="3"/>
        <v>18000</v>
      </c>
      <c r="I6" s="33">
        <f>944*2</f>
        <v>1888</v>
      </c>
      <c r="J6" s="34">
        <f t="shared" si="4"/>
        <v>3600</v>
      </c>
      <c r="K6" s="172"/>
      <c r="L6" s="31">
        <f t="shared" si="5"/>
        <v>0.30488888888888888</v>
      </c>
      <c r="M6" s="35">
        <f t="shared" ref="M6:M10" si="6">H6/(B6-B5)</f>
        <v>2571.4285714285716</v>
      </c>
      <c r="N6" s="35">
        <f t="shared" ref="N6:N10" si="7">(H6*0.6-I6-J6)/(B6-B5)</f>
        <v>758.85714285714289</v>
      </c>
      <c r="O6" s="5"/>
      <c r="P6" s="5"/>
      <c r="Q6" s="5"/>
      <c r="R6" s="169">
        <v>44858</v>
      </c>
      <c r="S6" s="170">
        <v>4782</v>
      </c>
      <c r="T6" s="170">
        <v>4768</v>
      </c>
      <c r="U6" s="170">
        <f t="shared" ref="U6:U10" si="8">+S6-T6</f>
        <v>14</v>
      </c>
      <c r="V6" s="171">
        <f t="shared" ref="V6:V10" si="9">+U6*1000</f>
        <v>14000</v>
      </c>
      <c r="W6" s="171">
        <v>0</v>
      </c>
      <c r="X6" s="171">
        <f t="shared" ref="X6:X10" si="10">+V6-W6</f>
        <v>14000</v>
      </c>
      <c r="Y6" s="10"/>
      <c r="Z6" s="174">
        <f t="shared" ref="Z6:Z10" si="11">+U6*$Z$4/2</f>
        <v>3312.4</v>
      </c>
      <c r="AA6" s="172"/>
      <c r="AB6" s="4"/>
      <c r="AC6" s="11"/>
      <c r="AD6" s="11"/>
    </row>
    <row r="7" spans="2:30" x14ac:dyDescent="0.3">
      <c r="B7" s="32">
        <v>44872</v>
      </c>
      <c r="C7" s="13">
        <v>2358</v>
      </c>
      <c r="D7" s="13">
        <v>2324</v>
      </c>
      <c r="E7" s="170">
        <f t="shared" si="1"/>
        <v>34</v>
      </c>
      <c r="F7" s="171">
        <f t="shared" si="2"/>
        <v>34000</v>
      </c>
      <c r="G7" s="171">
        <v>0</v>
      </c>
      <c r="H7" s="171">
        <f t="shared" si="3"/>
        <v>34000</v>
      </c>
      <c r="I7" s="33">
        <f>944*3</f>
        <v>2832</v>
      </c>
      <c r="J7" s="36">
        <f t="shared" si="4"/>
        <v>6800</v>
      </c>
      <c r="K7" s="172"/>
      <c r="L7" s="31">
        <f t="shared" si="5"/>
        <v>0.28329411764705881</v>
      </c>
      <c r="M7" s="35">
        <f t="shared" si="6"/>
        <v>4857.1428571428569</v>
      </c>
      <c r="N7" s="35">
        <f t="shared" si="7"/>
        <v>1538.2857142857142</v>
      </c>
      <c r="O7" s="5"/>
      <c r="P7" s="5"/>
      <c r="Q7" s="5"/>
      <c r="R7" s="12">
        <v>44865</v>
      </c>
      <c r="S7" s="13">
        <v>4814</v>
      </c>
      <c r="T7" s="13">
        <v>4782</v>
      </c>
      <c r="U7" s="170">
        <f t="shared" si="8"/>
        <v>32</v>
      </c>
      <c r="V7" s="171">
        <f t="shared" si="9"/>
        <v>32000</v>
      </c>
      <c r="W7" s="171">
        <v>0</v>
      </c>
      <c r="X7" s="171">
        <f t="shared" si="10"/>
        <v>32000</v>
      </c>
      <c r="Y7" s="173"/>
      <c r="Z7" s="174">
        <f t="shared" si="11"/>
        <v>7571.2</v>
      </c>
      <c r="AA7" s="172"/>
      <c r="AB7" s="14">
        <f t="shared" ref="AB7:AB11" si="12">+(Y7+Z7)/X7</f>
        <v>0.2366</v>
      </c>
      <c r="AC7" s="11">
        <f t="shared" ref="AC7:AC10" si="13">X7/(R7-R6)</f>
        <v>4571.4285714285716</v>
      </c>
      <c r="AD7" s="11">
        <f t="shared" ref="AD7:AD10" si="14">(X7*0.6-Y7-Z7)/(R7-R6)</f>
        <v>1661.2571428571428</v>
      </c>
    </row>
    <row r="8" spans="2:30" x14ac:dyDescent="0.3">
      <c r="B8" s="32">
        <v>44881</v>
      </c>
      <c r="C8" s="13">
        <v>2382</v>
      </c>
      <c r="D8" s="13">
        <v>2358</v>
      </c>
      <c r="E8" s="170">
        <f t="shared" si="1"/>
        <v>24</v>
      </c>
      <c r="F8" s="171">
        <f t="shared" si="2"/>
        <v>24000</v>
      </c>
      <c r="G8" s="171">
        <v>0</v>
      </c>
      <c r="H8" s="171">
        <f t="shared" si="3"/>
        <v>24000</v>
      </c>
      <c r="I8" s="33">
        <v>944</v>
      </c>
      <c r="J8" s="36">
        <f t="shared" si="4"/>
        <v>4800</v>
      </c>
      <c r="K8" s="172"/>
      <c r="L8" s="31">
        <f t="shared" si="5"/>
        <v>0.23933333333333334</v>
      </c>
      <c r="M8" s="35">
        <f t="shared" si="6"/>
        <v>2666.6666666666665</v>
      </c>
      <c r="N8" s="35">
        <f t="shared" si="7"/>
        <v>961.77777777777783</v>
      </c>
      <c r="O8" s="5"/>
      <c r="P8" s="5"/>
      <c r="Q8" s="5"/>
      <c r="R8" s="12">
        <v>44872</v>
      </c>
      <c r="S8" s="13">
        <v>4854</v>
      </c>
      <c r="T8" s="13">
        <v>4814</v>
      </c>
      <c r="U8" s="170">
        <f t="shared" si="8"/>
        <v>40</v>
      </c>
      <c r="V8" s="171">
        <f t="shared" si="9"/>
        <v>40000</v>
      </c>
      <c r="W8" s="171">
        <v>0</v>
      </c>
      <c r="X8" s="171">
        <f t="shared" si="10"/>
        <v>40000</v>
      </c>
      <c r="Y8" s="173">
        <f>944*4</f>
        <v>3776</v>
      </c>
      <c r="Z8" s="174">
        <f t="shared" si="11"/>
        <v>9464</v>
      </c>
      <c r="AA8" s="172"/>
      <c r="AB8" s="14">
        <f t="shared" si="12"/>
        <v>0.33100000000000002</v>
      </c>
      <c r="AC8" s="11">
        <f t="shared" si="13"/>
        <v>5714.2857142857147</v>
      </c>
      <c r="AD8" s="11">
        <f t="shared" si="14"/>
        <v>1537.1428571428571</v>
      </c>
    </row>
    <row r="9" spans="2:30" x14ac:dyDescent="0.3">
      <c r="B9" s="32"/>
      <c r="C9" s="13"/>
      <c r="D9" s="13"/>
      <c r="E9" s="170">
        <f t="shared" si="1"/>
        <v>0</v>
      </c>
      <c r="F9" s="171">
        <f t="shared" si="2"/>
        <v>0</v>
      </c>
      <c r="G9" s="171">
        <v>0</v>
      </c>
      <c r="H9" s="171">
        <f t="shared" si="3"/>
        <v>0</v>
      </c>
      <c r="I9" s="173"/>
      <c r="J9" s="174">
        <f t="shared" si="4"/>
        <v>0</v>
      </c>
      <c r="K9" s="172"/>
      <c r="L9" s="37" t="e">
        <f t="shared" si="5"/>
        <v>#DIV/0!</v>
      </c>
      <c r="M9" s="35">
        <f t="shared" si="6"/>
        <v>0</v>
      </c>
      <c r="N9" s="35">
        <f t="shared" si="7"/>
        <v>0</v>
      </c>
      <c r="O9" s="5"/>
      <c r="P9" s="5"/>
      <c r="Q9" s="5"/>
      <c r="R9" s="12">
        <v>44881</v>
      </c>
      <c r="S9" s="13">
        <v>4890</v>
      </c>
      <c r="T9" s="13">
        <v>4854</v>
      </c>
      <c r="U9" s="170">
        <f t="shared" si="8"/>
        <v>36</v>
      </c>
      <c r="V9" s="171">
        <f t="shared" si="9"/>
        <v>36000</v>
      </c>
      <c r="W9" s="171">
        <v>0</v>
      </c>
      <c r="X9" s="171">
        <f t="shared" si="10"/>
        <v>36000</v>
      </c>
      <c r="Y9" s="173"/>
      <c r="Z9" s="174">
        <f t="shared" si="11"/>
        <v>8517.6</v>
      </c>
      <c r="AA9" s="172"/>
      <c r="AB9" s="14">
        <f t="shared" si="12"/>
        <v>0.2366</v>
      </c>
      <c r="AC9" s="11">
        <f t="shared" si="13"/>
        <v>4000</v>
      </c>
      <c r="AD9" s="11">
        <f t="shared" si="14"/>
        <v>1453.6</v>
      </c>
    </row>
    <row r="10" spans="2:30" x14ac:dyDescent="0.3">
      <c r="B10" s="45"/>
      <c r="C10" s="46"/>
      <c r="D10" s="46"/>
      <c r="E10" s="47"/>
      <c r="F10" s="48"/>
      <c r="G10" s="48"/>
      <c r="H10" s="48">
        <f t="shared" si="3"/>
        <v>0</v>
      </c>
      <c r="I10" s="193"/>
      <c r="J10" s="59">
        <f t="shared" si="4"/>
        <v>0</v>
      </c>
      <c r="K10" s="51"/>
      <c r="L10" s="37" t="e">
        <f t="shared" si="5"/>
        <v>#DIV/0!</v>
      </c>
      <c r="M10" s="35" t="e">
        <f t="shared" si="6"/>
        <v>#DIV/0!</v>
      </c>
      <c r="N10" s="35" t="e">
        <f t="shared" si="7"/>
        <v>#DIV/0!</v>
      </c>
      <c r="O10" s="5"/>
      <c r="P10" s="5"/>
      <c r="Q10" s="5"/>
      <c r="R10" s="12"/>
      <c r="S10" s="13"/>
      <c r="T10" s="13"/>
      <c r="U10" s="170">
        <f t="shared" si="8"/>
        <v>0</v>
      </c>
      <c r="V10" s="171">
        <f t="shared" si="9"/>
        <v>0</v>
      </c>
      <c r="W10" s="171">
        <v>0</v>
      </c>
      <c r="X10" s="171">
        <f t="shared" si="10"/>
        <v>0</v>
      </c>
      <c r="Y10" s="173"/>
      <c r="Z10" s="174">
        <f t="shared" si="11"/>
        <v>0</v>
      </c>
      <c r="AA10" s="172"/>
      <c r="AB10" s="14" t="e">
        <f t="shared" si="12"/>
        <v>#DIV/0!</v>
      </c>
      <c r="AC10" s="11">
        <f t="shared" si="13"/>
        <v>0</v>
      </c>
      <c r="AD10" s="11">
        <f t="shared" si="14"/>
        <v>0</v>
      </c>
    </row>
    <row r="11" spans="2:30" x14ac:dyDescent="0.3">
      <c r="B11" s="52"/>
      <c r="C11" s="53"/>
      <c r="D11" s="53"/>
      <c r="E11" s="53">
        <f t="shared" ref="E11:J11" si="15">SUM(E5:E10)</f>
        <v>100</v>
      </c>
      <c r="F11" s="54">
        <f t="shared" si="15"/>
        <v>100000</v>
      </c>
      <c r="G11" s="54">
        <f t="shared" si="15"/>
        <v>0</v>
      </c>
      <c r="H11" s="54">
        <f t="shared" si="15"/>
        <v>100000</v>
      </c>
      <c r="I11" s="55">
        <f t="shared" si="15"/>
        <v>5664</v>
      </c>
      <c r="J11" s="55">
        <f t="shared" si="15"/>
        <v>20000</v>
      </c>
      <c r="K11" s="56">
        <f>+H11*0.6-I11-J11-G11</f>
        <v>34336</v>
      </c>
      <c r="L11" s="42">
        <f t="shared" si="5"/>
        <v>0.25663999999999998</v>
      </c>
      <c r="M11" s="31">
        <f>L11+L12</f>
        <v>0.6</v>
      </c>
      <c r="N11" s="5"/>
      <c r="O11" s="5"/>
      <c r="P11" s="5"/>
      <c r="Q11" s="5"/>
      <c r="R11" s="15"/>
      <c r="S11" s="16"/>
      <c r="T11" s="16"/>
      <c r="U11" s="16">
        <f t="shared" ref="U11:Z11" si="16">SUM(U6:U10)</f>
        <v>122</v>
      </c>
      <c r="V11" s="17">
        <f t="shared" si="16"/>
        <v>122000</v>
      </c>
      <c r="W11" s="17">
        <f t="shared" si="16"/>
        <v>0</v>
      </c>
      <c r="X11" s="17">
        <f t="shared" si="16"/>
        <v>122000</v>
      </c>
      <c r="Y11" s="18">
        <f t="shared" si="16"/>
        <v>3776</v>
      </c>
      <c r="Z11" s="18">
        <f t="shared" si="16"/>
        <v>28865.199999999997</v>
      </c>
      <c r="AA11" s="176">
        <f>+X11*0.6-Y11-Z11-W11</f>
        <v>40558.800000000003</v>
      </c>
      <c r="AB11" s="19">
        <f t="shared" si="12"/>
        <v>0.26755081967213112</v>
      </c>
      <c r="AC11" s="4"/>
      <c r="AD11" s="4"/>
    </row>
    <row r="12" spans="2:30" x14ac:dyDescent="0.3">
      <c r="B12" s="27"/>
      <c r="C12" s="5"/>
      <c r="D12" s="5"/>
      <c r="E12" s="5"/>
      <c r="F12" s="5"/>
      <c r="G12" s="23"/>
      <c r="H12" s="23"/>
      <c r="I12" s="23"/>
      <c r="J12" s="4"/>
      <c r="K12" s="64">
        <f>H11*0.3</f>
        <v>30000</v>
      </c>
      <c r="L12" s="43">
        <f>+K11/H11</f>
        <v>0.34336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  <c r="AA12" s="4">
        <f>X11*0.3</f>
        <v>36600</v>
      </c>
      <c r="AB12" s="19">
        <f>+AA11/X11</f>
        <v>0.33244918032786885</v>
      </c>
      <c r="AC12" s="4"/>
      <c r="AD12" s="4"/>
    </row>
    <row r="13" spans="2:30" x14ac:dyDescent="0.3">
      <c r="B13" s="27"/>
      <c r="C13" s="5"/>
      <c r="D13" s="5"/>
      <c r="E13" s="5"/>
      <c r="F13" s="5"/>
      <c r="G13" s="23"/>
      <c r="H13" s="23"/>
      <c r="I13" s="3" t="s">
        <v>182</v>
      </c>
      <c r="J13" s="6">
        <v>200</v>
      </c>
      <c r="K13" s="66"/>
      <c r="L13" s="5"/>
      <c r="M13" s="5"/>
      <c r="N13" s="5"/>
      <c r="O13" s="5"/>
      <c r="P13" s="5"/>
      <c r="Q13" s="5"/>
      <c r="R13" s="192" t="s">
        <v>193</v>
      </c>
      <c r="S13" s="2"/>
      <c r="T13" s="2"/>
      <c r="U13" s="2"/>
      <c r="V13" s="3"/>
      <c r="W13" s="3"/>
      <c r="X13" s="3"/>
      <c r="Y13" s="3"/>
      <c r="Z13" s="3" t="s">
        <v>182</v>
      </c>
      <c r="AA13" s="3"/>
      <c r="AB13" s="4"/>
      <c r="AC13" s="4"/>
      <c r="AD13" s="4"/>
    </row>
    <row r="14" spans="2:30" x14ac:dyDescent="0.3">
      <c r="B14" s="28" t="s">
        <v>142</v>
      </c>
      <c r="C14" s="8" t="s">
        <v>188</v>
      </c>
      <c r="D14" s="8" t="s">
        <v>189</v>
      </c>
      <c r="E14" s="8" t="s">
        <v>190</v>
      </c>
      <c r="F14" s="8" t="s">
        <v>145</v>
      </c>
      <c r="G14" s="8" t="s">
        <v>163</v>
      </c>
      <c r="H14" s="8" t="s">
        <v>164</v>
      </c>
      <c r="I14" s="168" t="s">
        <v>165</v>
      </c>
      <c r="J14" s="9" t="s">
        <v>166</v>
      </c>
      <c r="K14" s="67" t="s">
        <v>146</v>
      </c>
      <c r="L14" s="29" t="s">
        <v>179</v>
      </c>
      <c r="M14" s="5" t="s">
        <v>191</v>
      </c>
      <c r="N14" s="5" t="s">
        <v>194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>
        <v>400</v>
      </c>
      <c r="AA14" s="5"/>
      <c r="AB14" s="4"/>
      <c r="AC14" s="4"/>
      <c r="AD14" s="4"/>
    </row>
    <row r="15" spans="2:30" x14ac:dyDescent="0.3">
      <c r="B15" s="178">
        <v>44887</v>
      </c>
      <c r="C15" s="170">
        <v>2404</v>
      </c>
      <c r="D15" s="170">
        <f>C8</f>
        <v>2382</v>
      </c>
      <c r="E15" s="170">
        <f t="shared" ref="E15:E19" si="17">+C15-D15</f>
        <v>22</v>
      </c>
      <c r="F15" s="171">
        <f t="shared" ref="F15:F19" si="18">+E15*1000</f>
        <v>22000</v>
      </c>
      <c r="G15" s="171"/>
      <c r="H15" s="171">
        <f t="shared" ref="H15:H20" si="19">+F15-G15</f>
        <v>22000</v>
      </c>
      <c r="I15" s="10">
        <v>944</v>
      </c>
      <c r="J15" s="34">
        <f t="shared" ref="J15:J20" si="20">+E15*$J$3</f>
        <v>4400</v>
      </c>
      <c r="K15" s="194" t="s">
        <v>212</v>
      </c>
      <c r="L15" s="31">
        <f t="shared" ref="L15:L21" si="21">+(I15+J15)/H15</f>
        <v>0.24290909090909091</v>
      </c>
      <c r="M15" s="35" t="e">
        <f>H15/(B15-#REF!)</f>
        <v>#REF!</v>
      </c>
      <c r="N15" s="35" t="e">
        <f>(H15*0.6-I15-J15)/(B15-#REF!)</f>
        <v>#REF!</v>
      </c>
      <c r="O15" s="5"/>
      <c r="P15" s="5"/>
      <c r="Q15" s="5"/>
      <c r="R15" s="7" t="s">
        <v>142</v>
      </c>
      <c r="S15" s="8" t="s">
        <v>143</v>
      </c>
      <c r="T15" s="8" t="s">
        <v>162</v>
      </c>
      <c r="U15" s="8" t="s">
        <v>144</v>
      </c>
      <c r="V15" s="8" t="s">
        <v>145</v>
      </c>
      <c r="W15" s="8" t="s">
        <v>163</v>
      </c>
      <c r="X15" s="8" t="s">
        <v>164</v>
      </c>
      <c r="Y15" s="168" t="s">
        <v>165</v>
      </c>
      <c r="Z15" s="9" t="s">
        <v>166</v>
      </c>
      <c r="AA15" s="9" t="s">
        <v>146</v>
      </c>
      <c r="AB15" s="4" t="s">
        <v>179</v>
      </c>
      <c r="AC15" s="4" t="s">
        <v>191</v>
      </c>
      <c r="AD15" s="4" t="s">
        <v>194</v>
      </c>
    </row>
    <row r="16" spans="2:30" x14ac:dyDescent="0.3">
      <c r="B16" s="32">
        <v>44896</v>
      </c>
      <c r="C16" s="13">
        <v>2419</v>
      </c>
      <c r="D16" s="13">
        <f t="shared" ref="D16:D20" si="22">IF(B16=0,0,C15)</f>
        <v>2404</v>
      </c>
      <c r="E16" s="170">
        <f t="shared" si="17"/>
        <v>15</v>
      </c>
      <c r="F16" s="171">
        <f t="shared" si="18"/>
        <v>15000</v>
      </c>
      <c r="G16" s="171">
        <v>0</v>
      </c>
      <c r="H16" s="171">
        <f t="shared" si="19"/>
        <v>15000</v>
      </c>
      <c r="I16" s="33">
        <v>944</v>
      </c>
      <c r="J16" s="34">
        <f t="shared" si="20"/>
        <v>3000</v>
      </c>
      <c r="K16" s="172"/>
      <c r="L16" s="31">
        <f t="shared" si="21"/>
        <v>0.26293333333333335</v>
      </c>
      <c r="M16" s="35">
        <f t="shared" ref="M16:M20" si="23">H16/(B16-B15)</f>
        <v>1666.6666666666667</v>
      </c>
      <c r="N16" s="35">
        <f t="shared" ref="N16:N20" si="24">(H16*0.6-I16-J16)/(B16-B15)</f>
        <v>561.77777777777783</v>
      </c>
      <c r="O16" s="5"/>
      <c r="P16" s="5"/>
      <c r="Q16" s="5"/>
      <c r="R16" s="169">
        <v>44887</v>
      </c>
      <c r="S16" s="170">
        <v>4912</v>
      </c>
      <c r="T16" s="170">
        <f>S9</f>
        <v>4890</v>
      </c>
      <c r="U16" s="170">
        <f t="shared" ref="U16:U20" si="25">+S16-T16</f>
        <v>22</v>
      </c>
      <c r="V16" s="171">
        <f t="shared" ref="V16:V20" si="26">+U16*1000</f>
        <v>22000</v>
      </c>
      <c r="W16" s="171">
        <v>0</v>
      </c>
      <c r="X16" s="171">
        <f t="shared" ref="X16:X20" si="27">+V16-W16</f>
        <v>22000</v>
      </c>
      <c r="Y16" s="10">
        <v>944</v>
      </c>
      <c r="Z16" s="174">
        <f t="shared" ref="Z16:Z20" si="28">+U16*$Z$4/2</f>
        <v>5205.2</v>
      </c>
      <c r="AA16" s="172"/>
      <c r="AB16" s="4"/>
      <c r="AC16" s="11"/>
      <c r="AD16" s="11"/>
    </row>
    <row r="17" spans="2:30" x14ac:dyDescent="0.3">
      <c r="B17" s="32">
        <v>44900</v>
      </c>
      <c r="C17" s="13">
        <v>2445</v>
      </c>
      <c r="D17" s="13">
        <f t="shared" si="22"/>
        <v>2419</v>
      </c>
      <c r="E17" s="170">
        <f t="shared" si="17"/>
        <v>26</v>
      </c>
      <c r="F17" s="171">
        <f t="shared" si="18"/>
        <v>26000</v>
      </c>
      <c r="G17" s="171">
        <v>0</v>
      </c>
      <c r="H17" s="171">
        <f t="shared" si="19"/>
        <v>26000</v>
      </c>
      <c r="I17" s="33">
        <v>944</v>
      </c>
      <c r="J17" s="36">
        <f t="shared" si="20"/>
        <v>5200</v>
      </c>
      <c r="K17" s="172"/>
      <c r="L17" s="31">
        <f t="shared" si="21"/>
        <v>0.2363076923076923</v>
      </c>
      <c r="M17" s="35">
        <f t="shared" si="23"/>
        <v>6500</v>
      </c>
      <c r="N17" s="35">
        <f t="shared" si="24"/>
        <v>2364</v>
      </c>
      <c r="O17" s="5"/>
      <c r="P17" s="5"/>
      <c r="Q17" s="5"/>
      <c r="R17" s="12">
        <v>44896</v>
      </c>
      <c r="S17" s="13">
        <v>4948</v>
      </c>
      <c r="T17" s="13">
        <f t="shared" ref="T17:T20" si="29">IF(R17=0,0,S16)</f>
        <v>4912</v>
      </c>
      <c r="U17" s="170">
        <f t="shared" si="25"/>
        <v>36</v>
      </c>
      <c r="V17" s="171">
        <f t="shared" si="26"/>
        <v>36000</v>
      </c>
      <c r="W17" s="171">
        <v>0</v>
      </c>
      <c r="X17" s="171">
        <f t="shared" si="27"/>
        <v>36000</v>
      </c>
      <c r="Y17" s="173">
        <v>944</v>
      </c>
      <c r="Z17" s="174">
        <f t="shared" si="28"/>
        <v>8517.6</v>
      </c>
      <c r="AA17" s="172"/>
      <c r="AB17" s="14">
        <f t="shared" ref="AB17:AB21" si="30">+(Y17+Z17)/X17</f>
        <v>0.26282222222222223</v>
      </c>
      <c r="AC17" s="11">
        <f t="shared" ref="AC17:AC20" si="31">X17/(R17-R16)</f>
        <v>4000</v>
      </c>
      <c r="AD17" s="11">
        <f t="shared" ref="AD17:AD20" si="32">(X17*0.6-Y17-Z17)/(R17-R16)</f>
        <v>1348.711111111111</v>
      </c>
    </row>
    <row r="18" spans="2:30" x14ac:dyDescent="0.3">
      <c r="B18" s="32">
        <v>44913</v>
      </c>
      <c r="C18" s="13">
        <v>2558</v>
      </c>
      <c r="D18" s="13">
        <f t="shared" si="22"/>
        <v>2445</v>
      </c>
      <c r="E18" s="170">
        <f t="shared" si="17"/>
        <v>113</v>
      </c>
      <c r="F18" s="171">
        <f t="shared" si="18"/>
        <v>113000</v>
      </c>
      <c r="G18" s="171">
        <v>0</v>
      </c>
      <c r="H18" s="171">
        <f t="shared" si="19"/>
        <v>113000</v>
      </c>
      <c r="I18" s="33">
        <f>944*3+3000</f>
        <v>5832</v>
      </c>
      <c r="J18" s="36">
        <f t="shared" si="20"/>
        <v>22600</v>
      </c>
      <c r="K18" s="172"/>
      <c r="L18" s="31">
        <f t="shared" si="21"/>
        <v>0.25161061946902658</v>
      </c>
      <c r="M18" s="35">
        <f t="shared" si="23"/>
        <v>8692.3076923076915</v>
      </c>
      <c r="N18" s="35">
        <f t="shared" si="24"/>
        <v>3028.3076923076924</v>
      </c>
      <c r="O18" s="5"/>
      <c r="P18" s="5"/>
      <c r="Q18" s="5"/>
      <c r="R18" s="12">
        <v>44900</v>
      </c>
      <c r="S18" s="13">
        <v>4982</v>
      </c>
      <c r="T18" s="13">
        <f t="shared" si="29"/>
        <v>4948</v>
      </c>
      <c r="U18" s="170">
        <f t="shared" si="25"/>
        <v>34</v>
      </c>
      <c r="V18" s="171">
        <f t="shared" si="26"/>
        <v>34000</v>
      </c>
      <c r="W18" s="171">
        <v>0</v>
      </c>
      <c r="X18" s="171">
        <f t="shared" si="27"/>
        <v>34000</v>
      </c>
      <c r="Y18" s="173">
        <f>2000+944</f>
        <v>2944</v>
      </c>
      <c r="Z18" s="174">
        <f t="shared" si="28"/>
        <v>8044.4</v>
      </c>
      <c r="AA18" s="172"/>
      <c r="AB18" s="14">
        <f t="shared" si="30"/>
        <v>0.32318823529411761</v>
      </c>
      <c r="AC18" s="11">
        <f t="shared" si="31"/>
        <v>8500</v>
      </c>
      <c r="AD18" s="11">
        <f t="shared" si="32"/>
        <v>2352.9</v>
      </c>
    </row>
    <row r="19" spans="2:30" x14ac:dyDescent="0.3">
      <c r="B19" s="32"/>
      <c r="C19" s="13"/>
      <c r="D19" s="13">
        <f t="shared" si="22"/>
        <v>0</v>
      </c>
      <c r="E19" s="170">
        <f t="shared" si="17"/>
        <v>0</v>
      </c>
      <c r="F19" s="171">
        <f t="shared" si="18"/>
        <v>0</v>
      </c>
      <c r="G19" s="171">
        <v>0</v>
      </c>
      <c r="H19" s="171">
        <f t="shared" si="19"/>
        <v>0</v>
      </c>
      <c r="I19" s="173"/>
      <c r="J19" s="174">
        <f t="shared" si="20"/>
        <v>0</v>
      </c>
      <c r="K19" s="172"/>
      <c r="L19" s="37" t="e">
        <f t="shared" si="21"/>
        <v>#DIV/0!</v>
      </c>
      <c r="M19" s="35">
        <f t="shared" si="23"/>
        <v>0</v>
      </c>
      <c r="N19" s="35">
        <f t="shared" si="24"/>
        <v>0</v>
      </c>
      <c r="O19" s="5"/>
      <c r="P19" s="5"/>
      <c r="Q19" s="5"/>
      <c r="R19" s="12">
        <v>44913</v>
      </c>
      <c r="S19" s="13">
        <v>5064</v>
      </c>
      <c r="T19" s="13">
        <f t="shared" si="29"/>
        <v>4982</v>
      </c>
      <c r="U19" s="170">
        <f t="shared" si="25"/>
        <v>82</v>
      </c>
      <c r="V19" s="171">
        <f t="shared" si="26"/>
        <v>82000</v>
      </c>
      <c r="W19" s="171">
        <v>0</v>
      </c>
      <c r="X19" s="171">
        <f t="shared" si="27"/>
        <v>82000</v>
      </c>
      <c r="Y19" s="173">
        <f>944*4+5000+10000</f>
        <v>18776</v>
      </c>
      <c r="Z19" s="174">
        <f t="shared" si="28"/>
        <v>19401.2</v>
      </c>
      <c r="AA19" s="172"/>
      <c r="AB19" s="14">
        <f t="shared" si="30"/>
        <v>0.46557560975609752</v>
      </c>
      <c r="AC19" s="11">
        <f t="shared" si="31"/>
        <v>6307.6923076923076</v>
      </c>
      <c r="AD19" s="11">
        <f t="shared" si="32"/>
        <v>847.90769230769229</v>
      </c>
    </row>
    <row r="20" spans="2:30" x14ac:dyDescent="0.3">
      <c r="B20" s="45"/>
      <c r="C20" s="46"/>
      <c r="D20" s="46">
        <f t="shared" si="22"/>
        <v>0</v>
      </c>
      <c r="E20" s="47"/>
      <c r="F20" s="48"/>
      <c r="G20" s="48"/>
      <c r="H20" s="48">
        <f t="shared" si="19"/>
        <v>0</v>
      </c>
      <c r="I20" s="193"/>
      <c r="J20" s="59">
        <f t="shared" si="20"/>
        <v>0</v>
      </c>
      <c r="K20" s="51"/>
      <c r="L20" s="37" t="e">
        <f t="shared" si="21"/>
        <v>#DIV/0!</v>
      </c>
      <c r="M20" s="35" t="e">
        <f t="shared" si="23"/>
        <v>#DIV/0!</v>
      </c>
      <c r="N20" s="35" t="e">
        <f t="shared" si="24"/>
        <v>#DIV/0!</v>
      </c>
      <c r="O20" s="5"/>
      <c r="P20" s="5"/>
      <c r="Q20" s="5"/>
      <c r="R20" s="61"/>
      <c r="S20" s="46"/>
      <c r="T20" s="46">
        <f t="shared" si="29"/>
        <v>0</v>
      </c>
      <c r="U20" s="47">
        <f t="shared" si="25"/>
        <v>0</v>
      </c>
      <c r="V20" s="48">
        <f t="shared" si="26"/>
        <v>0</v>
      </c>
      <c r="W20" s="48">
        <v>0</v>
      </c>
      <c r="X20" s="48">
        <f t="shared" si="27"/>
        <v>0</v>
      </c>
      <c r="Y20" s="193"/>
      <c r="Z20" s="59">
        <f t="shared" si="28"/>
        <v>0</v>
      </c>
      <c r="AA20" s="51"/>
      <c r="AB20" s="14" t="e">
        <f t="shared" si="30"/>
        <v>#DIV/0!</v>
      </c>
      <c r="AC20" s="11">
        <f t="shared" si="31"/>
        <v>0</v>
      </c>
      <c r="AD20" s="11">
        <f t="shared" si="32"/>
        <v>0</v>
      </c>
    </row>
    <row r="21" spans="2:30" ht="15.75" customHeight="1" x14ac:dyDescent="0.3">
      <c r="B21" s="52"/>
      <c r="C21" s="53"/>
      <c r="D21" s="53"/>
      <c r="E21" s="53">
        <f t="shared" ref="E21:J21" si="33">SUM(E15:E20)</f>
        <v>176</v>
      </c>
      <c r="F21" s="54">
        <f t="shared" si="33"/>
        <v>176000</v>
      </c>
      <c r="G21" s="54">
        <f t="shared" si="33"/>
        <v>0</v>
      </c>
      <c r="H21" s="54">
        <f t="shared" si="33"/>
        <v>176000</v>
      </c>
      <c r="I21" s="55">
        <f t="shared" si="33"/>
        <v>8664</v>
      </c>
      <c r="J21" s="55">
        <f t="shared" si="33"/>
        <v>35200</v>
      </c>
      <c r="K21" s="56">
        <f>+H21*0.6-I21-J21-G21</f>
        <v>61736</v>
      </c>
      <c r="L21" s="42">
        <f t="shared" si="21"/>
        <v>0.24922727272727271</v>
      </c>
      <c r="M21" s="31">
        <f>L21+L22</f>
        <v>0.6</v>
      </c>
      <c r="N21" s="5"/>
      <c r="O21" s="5"/>
      <c r="P21" s="5"/>
      <c r="Q21" s="5"/>
      <c r="R21" s="63"/>
      <c r="S21" s="53"/>
      <c r="T21" s="53"/>
      <c r="U21" s="53">
        <f t="shared" ref="U21:Z21" si="34">SUM(U16:U20)</f>
        <v>174</v>
      </c>
      <c r="V21" s="54">
        <f t="shared" si="34"/>
        <v>174000</v>
      </c>
      <c r="W21" s="54">
        <f t="shared" si="34"/>
        <v>0</v>
      </c>
      <c r="X21" s="54">
        <f t="shared" si="34"/>
        <v>174000</v>
      </c>
      <c r="Y21" s="55">
        <f t="shared" si="34"/>
        <v>23608</v>
      </c>
      <c r="Z21" s="55">
        <f t="shared" si="34"/>
        <v>41168.399999999994</v>
      </c>
      <c r="AA21" s="56">
        <f>+X21*0.6-Y21-Z21-W21</f>
        <v>39623.600000000006</v>
      </c>
      <c r="AB21" s="19">
        <f t="shared" si="30"/>
        <v>0.37227816091954019</v>
      </c>
      <c r="AC21" s="4"/>
      <c r="AD21" s="4"/>
    </row>
    <row r="22" spans="2:30" ht="15.75" customHeight="1" x14ac:dyDescent="0.3">
      <c r="B22" s="27"/>
      <c r="C22" s="5"/>
      <c r="D22" s="5"/>
      <c r="E22" s="5"/>
      <c r="F22" s="5"/>
      <c r="G22" s="23"/>
      <c r="H22" s="23"/>
      <c r="I22" s="23"/>
      <c r="J22" s="4"/>
      <c r="K22" s="64">
        <f>H21*0.3</f>
        <v>52800</v>
      </c>
      <c r="L22" s="43">
        <f>+K21/H21</f>
        <v>0.35077272727272729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  <c r="AA22" s="4">
        <f>X21*0.3</f>
        <v>52200</v>
      </c>
      <c r="AB22" s="19">
        <f>+AA21/X21</f>
        <v>0.22772183908045981</v>
      </c>
      <c r="AC22" s="4"/>
      <c r="AD22" s="4"/>
    </row>
    <row r="23" spans="2:30" x14ac:dyDescent="0.3">
      <c r="B23" s="27"/>
      <c r="C23" s="5"/>
      <c r="D23" s="5"/>
      <c r="E23" s="5"/>
      <c r="F23" s="5"/>
      <c r="G23" s="23"/>
      <c r="H23" s="23"/>
      <c r="I23" s="3" t="s">
        <v>182</v>
      </c>
      <c r="J23" s="6">
        <v>200</v>
      </c>
      <c r="K23" s="66"/>
      <c r="L23" s="5"/>
      <c r="M23" s="5"/>
      <c r="N23" s="5"/>
      <c r="O23" s="5"/>
      <c r="P23" s="5"/>
      <c r="Q23" s="5"/>
      <c r="R23" s="192" t="s">
        <v>193</v>
      </c>
      <c r="S23" s="2"/>
      <c r="T23" s="2"/>
      <c r="U23" s="2"/>
      <c r="V23" s="3"/>
      <c r="W23" s="3"/>
      <c r="X23" s="3"/>
      <c r="Y23" s="3"/>
      <c r="Z23" s="3" t="s">
        <v>182</v>
      </c>
      <c r="AA23" s="3"/>
      <c r="AB23" s="4"/>
      <c r="AC23" s="4"/>
      <c r="AD23" s="4"/>
    </row>
    <row r="24" spans="2:30" x14ac:dyDescent="0.3">
      <c r="B24" s="28" t="s">
        <v>142</v>
      </c>
      <c r="C24" s="8" t="s">
        <v>188</v>
      </c>
      <c r="D24" s="8" t="s">
        <v>189</v>
      </c>
      <c r="E24" s="8" t="s">
        <v>190</v>
      </c>
      <c r="F24" s="8" t="s">
        <v>145</v>
      </c>
      <c r="G24" s="8" t="s">
        <v>163</v>
      </c>
      <c r="H24" s="8" t="s">
        <v>164</v>
      </c>
      <c r="I24" s="168" t="s">
        <v>165</v>
      </c>
      <c r="J24" s="9" t="s">
        <v>166</v>
      </c>
      <c r="K24" s="67" t="s">
        <v>146</v>
      </c>
      <c r="L24" s="29" t="s">
        <v>179</v>
      </c>
      <c r="M24" s="5" t="s">
        <v>191</v>
      </c>
      <c r="N24" s="5" t="s">
        <v>194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>
        <v>400</v>
      </c>
      <c r="AA24" s="5"/>
      <c r="AB24" s="4"/>
      <c r="AC24" s="4"/>
      <c r="AD24" s="4"/>
    </row>
    <row r="25" spans="2:30" x14ac:dyDescent="0.3">
      <c r="B25" s="178">
        <v>44922</v>
      </c>
      <c r="C25" s="170">
        <v>2601</v>
      </c>
      <c r="D25" s="170">
        <f>C18</f>
        <v>2558</v>
      </c>
      <c r="E25" s="170">
        <f t="shared" ref="E25:E29" si="35">+C25-D25</f>
        <v>43</v>
      </c>
      <c r="F25" s="171">
        <f t="shared" ref="F25:F29" si="36">+E25*1000</f>
        <v>43000</v>
      </c>
      <c r="G25" s="171"/>
      <c r="H25" s="171">
        <f t="shared" ref="H25:H30" si="37">+F25-G25</f>
        <v>43000</v>
      </c>
      <c r="I25" s="10">
        <f>944*2</f>
        <v>1888</v>
      </c>
      <c r="J25" s="34">
        <f t="shared" ref="J25:J30" si="38">+E25*$J$3</f>
        <v>8600</v>
      </c>
      <c r="K25" s="194" t="s">
        <v>212</v>
      </c>
      <c r="L25" s="31">
        <f t="shared" ref="L25:L31" si="39">+(I25+J25)/H25</f>
        <v>0.24390697674418604</v>
      </c>
      <c r="M25" s="35">
        <f>H25/(B25-B18)</f>
        <v>4777.7777777777774</v>
      </c>
      <c r="N25" s="35">
        <f>(H25*0.6-I25-J25)/(B25-B18)</f>
        <v>1701.3333333333333</v>
      </c>
      <c r="O25" s="5"/>
      <c r="P25" s="5"/>
      <c r="Q25" s="5"/>
      <c r="R25" s="7" t="s">
        <v>142</v>
      </c>
      <c r="S25" s="8" t="s">
        <v>143</v>
      </c>
      <c r="T25" s="8" t="s">
        <v>162</v>
      </c>
      <c r="U25" s="8" t="s">
        <v>144</v>
      </c>
      <c r="V25" s="8" t="s">
        <v>145</v>
      </c>
      <c r="W25" s="8" t="s">
        <v>163</v>
      </c>
      <c r="X25" s="8" t="s">
        <v>164</v>
      </c>
      <c r="Y25" s="168" t="s">
        <v>165</v>
      </c>
      <c r="Z25" s="9" t="s">
        <v>166</v>
      </c>
      <c r="AA25" s="9" t="s">
        <v>146</v>
      </c>
      <c r="AB25" s="4" t="s">
        <v>179</v>
      </c>
      <c r="AC25" s="4" t="s">
        <v>191</v>
      </c>
      <c r="AD25" s="4" t="s">
        <v>194</v>
      </c>
    </row>
    <row r="26" spans="2:30" x14ac:dyDescent="0.3">
      <c r="B26" s="32">
        <v>44929</v>
      </c>
      <c r="C26" s="13">
        <v>2717</v>
      </c>
      <c r="D26" s="13">
        <f t="shared" ref="D26:D30" si="40">IF(B26=0,0,C25)</f>
        <v>2601</v>
      </c>
      <c r="E26" s="170">
        <f t="shared" si="35"/>
        <v>116</v>
      </c>
      <c r="F26" s="171">
        <f t="shared" si="36"/>
        <v>116000</v>
      </c>
      <c r="G26" s="171">
        <v>0</v>
      </c>
      <c r="H26" s="171">
        <f t="shared" si="37"/>
        <v>116000</v>
      </c>
      <c r="I26" s="33">
        <f>944*4</f>
        <v>3776</v>
      </c>
      <c r="J26" s="34">
        <f t="shared" si="38"/>
        <v>23200</v>
      </c>
      <c r="K26" s="172"/>
      <c r="L26" s="31">
        <f t="shared" si="39"/>
        <v>0.23255172413793104</v>
      </c>
      <c r="M26" s="35">
        <f t="shared" ref="M26:M30" si="41">H26/(B26-B25)</f>
        <v>16571.428571428572</v>
      </c>
      <c r="N26" s="35">
        <f t="shared" ref="N26:N30" si="42">(H26*0.6-I26-J26)/(B26-B25)</f>
        <v>6089.1428571428569</v>
      </c>
      <c r="O26" s="5"/>
      <c r="P26" s="5"/>
      <c r="Q26" s="5"/>
      <c r="R26" s="169">
        <v>44922</v>
      </c>
      <c r="S26" s="170">
        <v>5090</v>
      </c>
      <c r="T26" s="170">
        <f>S19</f>
        <v>5064</v>
      </c>
      <c r="U26" s="170">
        <f t="shared" ref="U26:U30" si="43">+S26-T26</f>
        <v>26</v>
      </c>
      <c r="V26" s="171">
        <f t="shared" ref="V26:V30" si="44">+U26*1000</f>
        <v>26000</v>
      </c>
      <c r="W26" s="171">
        <v>0</v>
      </c>
      <c r="X26" s="171">
        <f t="shared" ref="X26:X30" si="45">+V26-W26</f>
        <v>26000</v>
      </c>
      <c r="Y26" s="10">
        <f>944*3</f>
        <v>2832</v>
      </c>
      <c r="Z26" s="174">
        <f t="shared" ref="Z26:Z30" si="46">+U26*$Z$4/2</f>
        <v>6151.5999999999995</v>
      </c>
      <c r="AA26" s="172"/>
      <c r="AB26" s="4"/>
      <c r="AC26" s="11"/>
      <c r="AD26" s="11"/>
    </row>
    <row r="27" spans="2:30" x14ac:dyDescent="0.3">
      <c r="B27" s="32">
        <v>44937</v>
      </c>
      <c r="C27" s="13">
        <v>2795</v>
      </c>
      <c r="D27" s="13">
        <f t="shared" si="40"/>
        <v>2717</v>
      </c>
      <c r="E27" s="170">
        <f t="shared" si="35"/>
        <v>78</v>
      </c>
      <c r="F27" s="171">
        <f t="shared" si="36"/>
        <v>78000</v>
      </c>
      <c r="G27" s="171">
        <v>0</v>
      </c>
      <c r="H27" s="171">
        <f t="shared" si="37"/>
        <v>78000</v>
      </c>
      <c r="I27" s="33">
        <f t="shared" ref="I27:I28" si="47">944*2</f>
        <v>1888</v>
      </c>
      <c r="J27" s="36">
        <f t="shared" si="38"/>
        <v>15600</v>
      </c>
      <c r="K27" s="172"/>
      <c r="L27" s="31">
        <f t="shared" si="39"/>
        <v>0.2242051282051282</v>
      </c>
      <c r="M27" s="35">
        <f t="shared" si="41"/>
        <v>9750</v>
      </c>
      <c r="N27" s="35">
        <f t="shared" si="42"/>
        <v>3664</v>
      </c>
      <c r="O27" s="5"/>
      <c r="P27" s="5"/>
      <c r="Q27" s="5"/>
      <c r="R27" s="12">
        <v>44929</v>
      </c>
      <c r="S27" s="13">
        <v>5204</v>
      </c>
      <c r="T27" s="13">
        <f t="shared" ref="T27:T30" si="48">IF(R27=0,0,S26)</f>
        <v>5090</v>
      </c>
      <c r="U27" s="170">
        <f t="shared" si="43"/>
        <v>114</v>
      </c>
      <c r="V27" s="171">
        <f t="shared" si="44"/>
        <v>114000</v>
      </c>
      <c r="W27" s="171">
        <v>0</v>
      </c>
      <c r="X27" s="171">
        <f t="shared" si="45"/>
        <v>114000</v>
      </c>
      <c r="Y27" s="173">
        <f>944*9</f>
        <v>8496</v>
      </c>
      <c r="Z27" s="174">
        <f t="shared" si="46"/>
        <v>26972.399999999998</v>
      </c>
      <c r="AA27" s="172"/>
      <c r="AB27" s="14">
        <f t="shared" ref="AB27:AB31" si="49">+(Y27+Z27)/X27</f>
        <v>0.31112631578947364</v>
      </c>
      <c r="AC27" s="11">
        <f t="shared" ref="AC27:AC30" si="50">X27/(R27-R26)</f>
        <v>16285.714285714286</v>
      </c>
      <c r="AD27" s="11">
        <f t="shared" ref="AD27:AD30" si="51">(X27*0.6-Y27-Z27)/(R27-R26)</f>
        <v>4704.5142857142864</v>
      </c>
    </row>
    <row r="28" spans="2:30" x14ac:dyDescent="0.3">
      <c r="B28" s="32">
        <v>44945</v>
      </c>
      <c r="C28" s="13">
        <v>2841</v>
      </c>
      <c r="D28" s="13">
        <f t="shared" si="40"/>
        <v>2795</v>
      </c>
      <c r="E28" s="170">
        <f t="shared" si="35"/>
        <v>46</v>
      </c>
      <c r="F28" s="171">
        <f t="shared" si="36"/>
        <v>46000</v>
      </c>
      <c r="G28" s="171">
        <v>0</v>
      </c>
      <c r="H28" s="171">
        <f t="shared" si="37"/>
        <v>46000</v>
      </c>
      <c r="I28" s="33">
        <f t="shared" si="47"/>
        <v>1888</v>
      </c>
      <c r="J28" s="36">
        <f t="shared" si="38"/>
        <v>9200</v>
      </c>
      <c r="K28" s="172"/>
      <c r="L28" s="31">
        <f t="shared" si="39"/>
        <v>0.24104347826086955</v>
      </c>
      <c r="M28" s="35">
        <f t="shared" si="41"/>
        <v>5750</v>
      </c>
      <c r="N28" s="35">
        <f t="shared" si="42"/>
        <v>2064</v>
      </c>
      <c r="O28" s="5"/>
      <c r="P28" s="5"/>
      <c r="Q28" s="5"/>
      <c r="R28" s="12">
        <v>44937</v>
      </c>
      <c r="S28" s="13">
        <v>5276</v>
      </c>
      <c r="T28" s="13">
        <f t="shared" si="48"/>
        <v>5204</v>
      </c>
      <c r="U28" s="170">
        <f t="shared" si="43"/>
        <v>72</v>
      </c>
      <c r="V28" s="171">
        <f t="shared" si="44"/>
        <v>72000</v>
      </c>
      <c r="W28" s="171">
        <v>0</v>
      </c>
      <c r="X28" s="171">
        <f t="shared" si="45"/>
        <v>72000</v>
      </c>
      <c r="Y28" s="173">
        <f t="shared" ref="Y28:Y29" si="52">944*5</f>
        <v>4720</v>
      </c>
      <c r="Z28" s="174">
        <f t="shared" si="46"/>
        <v>17035.2</v>
      </c>
      <c r="AA28" s="172"/>
      <c r="AB28" s="14">
        <f t="shared" si="49"/>
        <v>0.30215555555555557</v>
      </c>
      <c r="AC28" s="11">
        <f t="shared" si="50"/>
        <v>9000</v>
      </c>
      <c r="AD28" s="11">
        <f t="shared" si="51"/>
        <v>2680.6</v>
      </c>
    </row>
    <row r="29" spans="2:30" x14ac:dyDescent="0.3">
      <c r="B29" s="32"/>
      <c r="C29" s="13"/>
      <c r="D29" s="13">
        <f t="shared" si="40"/>
        <v>0</v>
      </c>
      <c r="E29" s="170">
        <f t="shared" si="35"/>
        <v>0</v>
      </c>
      <c r="F29" s="171">
        <f t="shared" si="36"/>
        <v>0</v>
      </c>
      <c r="G29" s="171">
        <v>0</v>
      </c>
      <c r="H29" s="171">
        <f t="shared" si="37"/>
        <v>0</v>
      </c>
      <c r="I29" s="173"/>
      <c r="J29" s="174">
        <f t="shared" si="38"/>
        <v>0</v>
      </c>
      <c r="K29" s="172"/>
      <c r="L29" s="37" t="e">
        <f t="shared" si="39"/>
        <v>#DIV/0!</v>
      </c>
      <c r="M29" s="35">
        <f t="shared" si="41"/>
        <v>0</v>
      </c>
      <c r="N29" s="35">
        <f t="shared" si="42"/>
        <v>0</v>
      </c>
      <c r="O29" s="5"/>
      <c r="P29" s="5"/>
      <c r="Q29" s="5"/>
      <c r="R29" s="12">
        <v>44945</v>
      </c>
      <c r="S29" s="13">
        <v>5304</v>
      </c>
      <c r="T29" s="13">
        <f t="shared" si="48"/>
        <v>5276</v>
      </c>
      <c r="U29" s="170">
        <f t="shared" si="43"/>
        <v>28</v>
      </c>
      <c r="V29" s="171">
        <f t="shared" si="44"/>
        <v>28000</v>
      </c>
      <c r="W29" s="171">
        <v>0</v>
      </c>
      <c r="X29" s="171">
        <f t="shared" si="45"/>
        <v>28000</v>
      </c>
      <c r="Y29" s="173">
        <f t="shared" si="52"/>
        <v>4720</v>
      </c>
      <c r="Z29" s="174">
        <f t="shared" si="46"/>
        <v>6624.8</v>
      </c>
      <c r="AA29" s="172"/>
      <c r="AB29" s="14">
        <f t="shared" si="49"/>
        <v>0.40517142857142857</v>
      </c>
      <c r="AC29" s="11">
        <f t="shared" si="50"/>
        <v>3500</v>
      </c>
      <c r="AD29" s="11">
        <f t="shared" si="51"/>
        <v>681.9</v>
      </c>
    </row>
    <row r="30" spans="2:30" x14ac:dyDescent="0.3">
      <c r="B30" s="45"/>
      <c r="C30" s="46"/>
      <c r="D30" s="46">
        <f t="shared" si="40"/>
        <v>0</v>
      </c>
      <c r="E30" s="47"/>
      <c r="F30" s="48"/>
      <c r="G30" s="48"/>
      <c r="H30" s="48">
        <f t="shared" si="37"/>
        <v>0</v>
      </c>
      <c r="I30" s="193"/>
      <c r="J30" s="59">
        <f t="shared" si="38"/>
        <v>0</v>
      </c>
      <c r="K30" s="51"/>
      <c r="L30" s="37" t="e">
        <f t="shared" si="39"/>
        <v>#DIV/0!</v>
      </c>
      <c r="M30" s="35" t="e">
        <f t="shared" si="41"/>
        <v>#DIV/0!</v>
      </c>
      <c r="N30" s="35" t="e">
        <f t="shared" si="42"/>
        <v>#DIV/0!</v>
      </c>
      <c r="O30" s="5"/>
      <c r="P30" s="5"/>
      <c r="Q30" s="5"/>
      <c r="R30" s="61"/>
      <c r="S30" s="46"/>
      <c r="T30" s="46">
        <f t="shared" si="48"/>
        <v>0</v>
      </c>
      <c r="U30" s="47">
        <f t="shared" si="43"/>
        <v>0</v>
      </c>
      <c r="V30" s="48">
        <f t="shared" si="44"/>
        <v>0</v>
      </c>
      <c r="W30" s="48">
        <v>0</v>
      </c>
      <c r="X30" s="48">
        <f t="shared" si="45"/>
        <v>0</v>
      </c>
      <c r="Y30" s="193"/>
      <c r="Z30" s="59">
        <f t="shared" si="46"/>
        <v>0</v>
      </c>
      <c r="AA30" s="51"/>
      <c r="AB30" s="14" t="e">
        <f t="shared" si="49"/>
        <v>#DIV/0!</v>
      </c>
      <c r="AC30" s="11">
        <f t="shared" si="50"/>
        <v>0</v>
      </c>
      <c r="AD30" s="11">
        <f t="shared" si="51"/>
        <v>0</v>
      </c>
    </row>
    <row r="31" spans="2:30" ht="15.75" customHeight="1" x14ac:dyDescent="0.3">
      <c r="B31" s="52"/>
      <c r="C31" s="53"/>
      <c r="D31" s="53"/>
      <c r="E31" s="53">
        <f t="shared" ref="E31:J31" si="53">SUM(E25:E30)</f>
        <v>283</v>
      </c>
      <c r="F31" s="54">
        <f t="shared" si="53"/>
        <v>283000</v>
      </c>
      <c r="G31" s="54">
        <f t="shared" si="53"/>
        <v>0</v>
      </c>
      <c r="H31" s="54">
        <f t="shared" si="53"/>
        <v>283000</v>
      </c>
      <c r="I31" s="55">
        <f t="shared" si="53"/>
        <v>9440</v>
      </c>
      <c r="J31" s="55">
        <f t="shared" si="53"/>
        <v>56600</v>
      </c>
      <c r="K31" s="56">
        <f>+H31*0.6-I31-J31-G31</f>
        <v>103760</v>
      </c>
      <c r="L31" s="42">
        <f t="shared" si="39"/>
        <v>0.23335689045936395</v>
      </c>
      <c r="M31" s="31">
        <f>L31+L32</f>
        <v>0.6</v>
      </c>
      <c r="N31" s="5"/>
      <c r="O31" s="5"/>
      <c r="P31" s="5"/>
      <c r="Q31" s="5"/>
      <c r="R31" s="63"/>
      <c r="S31" s="53"/>
      <c r="T31" s="53"/>
      <c r="U31" s="53">
        <f t="shared" ref="U31:Z31" si="54">SUM(U26:U30)</f>
        <v>240</v>
      </c>
      <c r="V31" s="54">
        <f t="shared" si="54"/>
        <v>240000</v>
      </c>
      <c r="W31" s="54">
        <f t="shared" si="54"/>
        <v>0</v>
      </c>
      <c r="X31" s="54">
        <f t="shared" si="54"/>
        <v>240000</v>
      </c>
      <c r="Y31" s="55">
        <f t="shared" si="54"/>
        <v>20768</v>
      </c>
      <c r="Z31" s="55">
        <f t="shared" si="54"/>
        <v>56784</v>
      </c>
      <c r="AA31" s="56">
        <f>+X31*0.6-Y31-Z31-W31</f>
        <v>66448</v>
      </c>
      <c r="AB31" s="19">
        <f t="shared" si="49"/>
        <v>0.32313333333333333</v>
      </c>
      <c r="AC31" s="4"/>
      <c r="AD31" s="4"/>
    </row>
    <row r="32" spans="2:30" ht="15.75" customHeight="1" x14ac:dyDescent="0.3">
      <c r="B32" s="27"/>
      <c r="C32" s="5"/>
      <c r="D32" s="5"/>
      <c r="E32" s="5"/>
      <c r="F32" s="5"/>
      <c r="G32" s="23"/>
      <c r="H32" s="23"/>
      <c r="I32" s="23"/>
      <c r="J32" s="4"/>
      <c r="K32" s="64">
        <f>H31*0.3</f>
        <v>84900</v>
      </c>
      <c r="L32" s="43">
        <f>+K31/H31</f>
        <v>0.36664310954063606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  <c r="AA32" s="4">
        <f>X31*0.3</f>
        <v>72000</v>
      </c>
      <c r="AB32" s="19">
        <f>+AA31/X31</f>
        <v>0.27686666666666665</v>
      </c>
      <c r="AC32" s="4"/>
      <c r="AD32" s="4"/>
    </row>
    <row r="33" spans="2:30" x14ac:dyDescent="0.3">
      <c r="B33" s="27"/>
      <c r="C33" s="5"/>
      <c r="D33" s="5"/>
      <c r="E33" s="5"/>
      <c r="F33" s="5"/>
      <c r="G33" s="23"/>
      <c r="H33" s="23"/>
      <c r="I33" s="3" t="s">
        <v>182</v>
      </c>
      <c r="J33" s="6">
        <v>200</v>
      </c>
      <c r="K33" s="66"/>
      <c r="L33" s="5"/>
      <c r="M33" s="5"/>
      <c r="N33" s="5"/>
      <c r="O33" s="5"/>
      <c r="P33" s="5"/>
      <c r="Q33" s="5"/>
      <c r="R33" s="192" t="s">
        <v>193</v>
      </c>
      <c r="S33" s="2"/>
      <c r="T33" s="2"/>
      <c r="U33" s="2"/>
      <c r="V33" s="3"/>
      <c r="W33" s="3"/>
      <c r="X33" s="3"/>
      <c r="Y33" s="3"/>
      <c r="Z33" s="3" t="s">
        <v>182</v>
      </c>
      <c r="AA33" s="3"/>
      <c r="AB33" s="4"/>
      <c r="AC33" s="4"/>
      <c r="AD33" s="4"/>
    </row>
    <row r="34" spans="2:30" x14ac:dyDescent="0.3">
      <c r="B34" s="28" t="s">
        <v>142</v>
      </c>
      <c r="C34" s="8" t="s">
        <v>188</v>
      </c>
      <c r="D34" s="8" t="s">
        <v>189</v>
      </c>
      <c r="E34" s="8" t="s">
        <v>190</v>
      </c>
      <c r="F34" s="8" t="s">
        <v>145</v>
      </c>
      <c r="G34" s="8" t="s">
        <v>163</v>
      </c>
      <c r="H34" s="8" t="s">
        <v>164</v>
      </c>
      <c r="I34" s="168" t="s">
        <v>165</v>
      </c>
      <c r="J34" s="9" t="s">
        <v>166</v>
      </c>
      <c r="K34" s="67" t="s">
        <v>146</v>
      </c>
      <c r="L34" s="29" t="s">
        <v>179</v>
      </c>
      <c r="M34" s="5" t="s">
        <v>191</v>
      </c>
      <c r="N34" s="5" t="s">
        <v>194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>
        <v>400</v>
      </c>
      <c r="AA34" s="5"/>
      <c r="AB34" s="4"/>
      <c r="AC34" s="4"/>
      <c r="AD34" s="4"/>
    </row>
    <row r="35" spans="2:30" x14ac:dyDescent="0.3">
      <c r="B35" s="178">
        <v>44956</v>
      </c>
      <c r="C35" s="170">
        <v>2910</v>
      </c>
      <c r="D35" s="170">
        <f>C28</f>
        <v>2841</v>
      </c>
      <c r="E35" s="170">
        <f t="shared" ref="E35:E39" si="55">+C35-D35</f>
        <v>69</v>
      </c>
      <c r="F35" s="171">
        <f t="shared" ref="F35:F39" si="56">+E35*1000</f>
        <v>69000</v>
      </c>
      <c r="G35" s="171"/>
      <c r="H35" s="171">
        <f t="shared" ref="H35:H40" si="57">+F35-G35</f>
        <v>69000</v>
      </c>
      <c r="I35" s="10">
        <f>944*2</f>
        <v>1888</v>
      </c>
      <c r="J35" s="34">
        <f t="shared" ref="J35:J40" si="58">+E35*$J$3</f>
        <v>13800</v>
      </c>
      <c r="K35" s="194" t="s">
        <v>212</v>
      </c>
      <c r="L35" s="31">
        <f t="shared" ref="L35:L41" si="59">+(I35+J35)/H35</f>
        <v>0.2273623188405797</v>
      </c>
      <c r="M35" s="35">
        <f>H35/(B35-B28)</f>
        <v>6272.727272727273</v>
      </c>
      <c r="N35" s="35">
        <f>(H35*0.6-I35-J35)/(B35-B28)</f>
        <v>2337.4545454545455</v>
      </c>
      <c r="O35" s="5"/>
      <c r="P35" s="5"/>
      <c r="Q35" s="5"/>
      <c r="R35" s="7" t="s">
        <v>142</v>
      </c>
      <c r="S35" s="8" t="s">
        <v>143</v>
      </c>
      <c r="T35" s="8" t="s">
        <v>162</v>
      </c>
      <c r="U35" s="8" t="s">
        <v>144</v>
      </c>
      <c r="V35" s="8" t="s">
        <v>145</v>
      </c>
      <c r="W35" s="8" t="s">
        <v>163</v>
      </c>
      <c r="X35" s="8" t="s">
        <v>164</v>
      </c>
      <c r="Y35" s="168" t="s">
        <v>165</v>
      </c>
      <c r="Z35" s="9" t="s">
        <v>166</v>
      </c>
      <c r="AA35" s="9" t="s">
        <v>146</v>
      </c>
      <c r="AB35" s="4" t="s">
        <v>179</v>
      </c>
      <c r="AC35" s="4" t="s">
        <v>191</v>
      </c>
      <c r="AD35" s="4" t="s">
        <v>194</v>
      </c>
    </row>
    <row r="36" spans="2:30" x14ac:dyDescent="0.3">
      <c r="B36" s="32">
        <v>44967</v>
      </c>
      <c r="C36" s="13">
        <v>2941</v>
      </c>
      <c r="D36" s="13">
        <f t="shared" ref="D36:D40" si="60">IF(B36=0,0,C35)</f>
        <v>2910</v>
      </c>
      <c r="E36" s="170">
        <f t="shared" si="55"/>
        <v>31</v>
      </c>
      <c r="F36" s="171">
        <f t="shared" si="56"/>
        <v>31000</v>
      </c>
      <c r="G36" s="171">
        <v>0</v>
      </c>
      <c r="H36" s="171">
        <f t="shared" si="57"/>
        <v>31000</v>
      </c>
      <c r="I36" s="33">
        <f>944*4</f>
        <v>3776</v>
      </c>
      <c r="J36" s="34">
        <f t="shared" si="58"/>
        <v>6200</v>
      </c>
      <c r="K36" s="172"/>
      <c r="L36" s="31">
        <f t="shared" si="59"/>
        <v>0.32180645161290322</v>
      </c>
      <c r="M36" s="35">
        <f t="shared" ref="M36:M40" si="61">H36/(B36-B35)</f>
        <v>2818.181818181818</v>
      </c>
      <c r="N36" s="35">
        <f t="shared" ref="N36:N40" si="62">(H36*0.6-I36-J36)/(B36-B35)</f>
        <v>784</v>
      </c>
      <c r="O36" s="5"/>
      <c r="P36" s="5"/>
      <c r="Q36" s="5"/>
      <c r="R36" s="169">
        <v>44956</v>
      </c>
      <c r="S36" s="170">
        <v>5340</v>
      </c>
      <c r="T36" s="170">
        <f>S29</f>
        <v>5304</v>
      </c>
      <c r="U36" s="170">
        <f t="shared" ref="U36:U40" si="63">+S36-T36</f>
        <v>36</v>
      </c>
      <c r="V36" s="171">
        <f t="shared" ref="V36:V40" si="64">+U36*1000</f>
        <v>36000</v>
      </c>
      <c r="W36" s="171">
        <v>0</v>
      </c>
      <c r="X36" s="171">
        <f t="shared" ref="X36:X40" si="65">+V36-W36</f>
        <v>36000</v>
      </c>
      <c r="Y36" s="10">
        <f>944*3</f>
        <v>2832</v>
      </c>
      <c r="Z36" s="174">
        <f t="shared" ref="Z36:Z40" si="66">+U36*$Z$4/2</f>
        <v>8517.6</v>
      </c>
      <c r="AA36" s="172"/>
      <c r="AB36" s="4"/>
      <c r="AC36" s="11"/>
      <c r="AD36" s="11"/>
    </row>
    <row r="37" spans="2:30" x14ac:dyDescent="0.3">
      <c r="B37" s="32">
        <v>44973</v>
      </c>
      <c r="C37" s="13">
        <v>2977</v>
      </c>
      <c r="D37" s="13">
        <f t="shared" si="60"/>
        <v>2941</v>
      </c>
      <c r="E37" s="170">
        <f t="shared" si="55"/>
        <v>36</v>
      </c>
      <c r="F37" s="171">
        <f t="shared" si="56"/>
        <v>36000</v>
      </c>
      <c r="G37" s="171">
        <v>0</v>
      </c>
      <c r="H37" s="171">
        <f t="shared" si="57"/>
        <v>36000</v>
      </c>
      <c r="I37" s="33">
        <f>944*2</f>
        <v>1888</v>
      </c>
      <c r="J37" s="36">
        <f t="shared" si="58"/>
        <v>7200</v>
      </c>
      <c r="K37" s="172"/>
      <c r="L37" s="31">
        <f t="shared" si="59"/>
        <v>0.25244444444444447</v>
      </c>
      <c r="M37" s="35">
        <f t="shared" si="61"/>
        <v>6000</v>
      </c>
      <c r="N37" s="35">
        <f t="shared" si="62"/>
        <v>2085.3333333333335</v>
      </c>
      <c r="O37" s="5"/>
      <c r="P37" s="5"/>
      <c r="Q37" s="5"/>
      <c r="R37" s="12">
        <v>44967</v>
      </c>
      <c r="S37" s="13">
        <v>5378</v>
      </c>
      <c r="T37" s="13">
        <f t="shared" ref="T37:T40" si="67">IF(R37=0,0,S36)</f>
        <v>5340</v>
      </c>
      <c r="U37" s="170">
        <f t="shared" si="63"/>
        <v>38</v>
      </c>
      <c r="V37" s="171">
        <f t="shared" si="64"/>
        <v>38000</v>
      </c>
      <c r="W37" s="171">
        <v>0</v>
      </c>
      <c r="X37" s="171">
        <f t="shared" si="65"/>
        <v>38000</v>
      </c>
      <c r="Y37" s="173">
        <f>944*9</f>
        <v>8496</v>
      </c>
      <c r="Z37" s="174">
        <f t="shared" si="66"/>
        <v>8990.7999999999993</v>
      </c>
      <c r="AA37" s="172"/>
      <c r="AB37" s="14">
        <f t="shared" ref="AB37:AB41" si="68">+(Y37+Z37)/X37</f>
        <v>0.46017894736842102</v>
      </c>
      <c r="AC37" s="11">
        <f t="shared" ref="AC37:AC40" si="69">X37/(R37-R36)</f>
        <v>3454.5454545454545</v>
      </c>
      <c r="AD37" s="11">
        <f t="shared" ref="AD37:AD40" si="70">(X37*0.6-Y37-Z37)/(R37-R36)</f>
        <v>483.01818181818186</v>
      </c>
    </row>
    <row r="38" spans="2:30" x14ac:dyDescent="0.3">
      <c r="B38" s="32"/>
      <c r="C38" s="13"/>
      <c r="D38" s="13">
        <f t="shared" si="60"/>
        <v>0</v>
      </c>
      <c r="E38" s="170">
        <f t="shared" si="55"/>
        <v>0</v>
      </c>
      <c r="F38" s="171">
        <f t="shared" si="56"/>
        <v>0</v>
      </c>
      <c r="G38" s="171">
        <v>0</v>
      </c>
      <c r="H38" s="171">
        <f t="shared" si="57"/>
        <v>0</v>
      </c>
      <c r="I38" s="33"/>
      <c r="J38" s="36">
        <f t="shared" si="58"/>
        <v>0</v>
      </c>
      <c r="K38" s="172"/>
      <c r="L38" s="31" t="e">
        <f t="shared" si="59"/>
        <v>#DIV/0!</v>
      </c>
      <c r="M38" s="35">
        <f t="shared" si="61"/>
        <v>0</v>
      </c>
      <c r="N38" s="35">
        <f t="shared" si="62"/>
        <v>0</v>
      </c>
      <c r="O38" s="5"/>
      <c r="P38" s="5"/>
      <c r="Q38" s="5"/>
      <c r="R38" s="12">
        <v>44973</v>
      </c>
      <c r="S38" s="13">
        <v>5400</v>
      </c>
      <c r="T38" s="13">
        <f t="shared" si="67"/>
        <v>5378</v>
      </c>
      <c r="U38" s="170">
        <f t="shared" si="63"/>
        <v>22</v>
      </c>
      <c r="V38" s="171">
        <f t="shared" si="64"/>
        <v>22000</v>
      </c>
      <c r="W38" s="171">
        <v>0</v>
      </c>
      <c r="X38" s="171">
        <f t="shared" si="65"/>
        <v>22000</v>
      </c>
      <c r="Y38" s="173">
        <f>944*5</f>
        <v>4720</v>
      </c>
      <c r="Z38" s="174">
        <f t="shared" si="66"/>
        <v>5205.2</v>
      </c>
      <c r="AA38" s="172"/>
      <c r="AB38" s="14">
        <f t="shared" si="68"/>
        <v>0.45114545454545457</v>
      </c>
      <c r="AC38" s="11">
        <f t="shared" si="69"/>
        <v>3666.6666666666665</v>
      </c>
      <c r="AD38" s="11">
        <f t="shared" si="70"/>
        <v>545.80000000000007</v>
      </c>
    </row>
    <row r="39" spans="2:30" x14ac:dyDescent="0.3">
      <c r="B39" s="32"/>
      <c r="C39" s="13"/>
      <c r="D39" s="13">
        <f t="shared" si="60"/>
        <v>0</v>
      </c>
      <c r="E39" s="170">
        <f t="shared" si="55"/>
        <v>0</v>
      </c>
      <c r="F39" s="171">
        <f t="shared" si="56"/>
        <v>0</v>
      </c>
      <c r="G39" s="171">
        <v>0</v>
      </c>
      <c r="H39" s="171">
        <f t="shared" si="57"/>
        <v>0</v>
      </c>
      <c r="I39" s="173"/>
      <c r="J39" s="174">
        <f t="shared" si="58"/>
        <v>0</v>
      </c>
      <c r="K39" s="172"/>
      <c r="L39" s="37" t="e">
        <f t="shared" si="59"/>
        <v>#DIV/0!</v>
      </c>
      <c r="M39" s="35" t="e">
        <f t="shared" si="61"/>
        <v>#DIV/0!</v>
      </c>
      <c r="N39" s="35" t="e">
        <f t="shared" si="62"/>
        <v>#DIV/0!</v>
      </c>
      <c r="O39" s="5"/>
      <c r="P39" s="5"/>
      <c r="Q39" s="5"/>
      <c r="R39" s="12"/>
      <c r="S39" s="13"/>
      <c r="T39" s="13">
        <f t="shared" si="67"/>
        <v>0</v>
      </c>
      <c r="U39" s="170">
        <f t="shared" si="63"/>
        <v>0</v>
      </c>
      <c r="V39" s="171">
        <f t="shared" si="64"/>
        <v>0</v>
      </c>
      <c r="W39" s="171">
        <v>0</v>
      </c>
      <c r="X39" s="171">
        <f t="shared" si="65"/>
        <v>0</v>
      </c>
      <c r="Y39" s="173"/>
      <c r="Z39" s="174">
        <f t="shared" si="66"/>
        <v>0</v>
      </c>
      <c r="AA39" s="172"/>
      <c r="AB39" s="14" t="e">
        <f t="shared" si="68"/>
        <v>#DIV/0!</v>
      </c>
      <c r="AC39" s="11">
        <f t="shared" si="69"/>
        <v>0</v>
      </c>
      <c r="AD39" s="11">
        <f t="shared" si="70"/>
        <v>0</v>
      </c>
    </row>
    <row r="40" spans="2:30" x14ac:dyDescent="0.3">
      <c r="B40" s="45"/>
      <c r="C40" s="46"/>
      <c r="D40" s="46">
        <f t="shared" si="60"/>
        <v>0</v>
      </c>
      <c r="E40" s="47"/>
      <c r="F40" s="48"/>
      <c r="G40" s="48"/>
      <c r="H40" s="48">
        <f t="shared" si="57"/>
        <v>0</v>
      </c>
      <c r="I40" s="193"/>
      <c r="J40" s="59">
        <f t="shared" si="58"/>
        <v>0</v>
      </c>
      <c r="K40" s="51"/>
      <c r="L40" s="37" t="e">
        <f t="shared" si="59"/>
        <v>#DIV/0!</v>
      </c>
      <c r="M40" s="35" t="e">
        <f t="shared" si="61"/>
        <v>#DIV/0!</v>
      </c>
      <c r="N40" s="35" t="e">
        <f t="shared" si="62"/>
        <v>#DIV/0!</v>
      </c>
      <c r="O40" s="5"/>
      <c r="P40" s="5"/>
      <c r="Q40" s="5"/>
      <c r="R40" s="61"/>
      <c r="S40" s="46"/>
      <c r="T40" s="46">
        <f t="shared" si="67"/>
        <v>0</v>
      </c>
      <c r="U40" s="47">
        <f t="shared" si="63"/>
        <v>0</v>
      </c>
      <c r="V40" s="48">
        <f t="shared" si="64"/>
        <v>0</v>
      </c>
      <c r="W40" s="48">
        <v>0</v>
      </c>
      <c r="X40" s="48">
        <f t="shared" si="65"/>
        <v>0</v>
      </c>
      <c r="Y40" s="193"/>
      <c r="Z40" s="59">
        <f t="shared" si="66"/>
        <v>0</v>
      </c>
      <c r="AA40" s="51"/>
      <c r="AB40" s="14" t="e">
        <f t="shared" si="68"/>
        <v>#DIV/0!</v>
      </c>
      <c r="AC40" s="11" t="e">
        <f t="shared" si="69"/>
        <v>#DIV/0!</v>
      </c>
      <c r="AD40" s="11" t="e">
        <f t="shared" si="70"/>
        <v>#DIV/0!</v>
      </c>
    </row>
    <row r="41" spans="2:30" ht="15.75" customHeight="1" x14ac:dyDescent="0.3">
      <c r="B41" s="52"/>
      <c r="C41" s="53"/>
      <c r="D41" s="53"/>
      <c r="E41" s="53">
        <f t="shared" ref="E41:J41" si="71">SUM(E35:E40)</f>
        <v>136</v>
      </c>
      <c r="F41" s="54">
        <f t="shared" si="71"/>
        <v>136000</v>
      </c>
      <c r="G41" s="54">
        <f t="shared" si="71"/>
        <v>0</v>
      </c>
      <c r="H41" s="54">
        <f t="shared" si="71"/>
        <v>136000</v>
      </c>
      <c r="I41" s="55">
        <f t="shared" si="71"/>
        <v>7552</v>
      </c>
      <c r="J41" s="55">
        <f t="shared" si="71"/>
        <v>27200</v>
      </c>
      <c r="K41" s="56">
        <f>+H41*0.6-I41-J41-G41</f>
        <v>46848</v>
      </c>
      <c r="L41" s="42">
        <f t="shared" si="59"/>
        <v>0.25552941176470589</v>
      </c>
      <c r="M41" s="31">
        <f>L41+L42</f>
        <v>0.60000000000000009</v>
      </c>
      <c r="N41" s="5"/>
      <c r="O41" s="5"/>
      <c r="P41" s="5"/>
      <c r="Q41" s="5"/>
      <c r="R41" s="63"/>
      <c r="S41" s="53"/>
      <c r="T41" s="53"/>
      <c r="U41" s="53">
        <f t="shared" ref="U41:Z41" si="72">SUM(U36:U40)</f>
        <v>96</v>
      </c>
      <c r="V41" s="54">
        <f t="shared" si="72"/>
        <v>96000</v>
      </c>
      <c r="W41" s="54">
        <f t="shared" si="72"/>
        <v>0</v>
      </c>
      <c r="X41" s="54">
        <f t="shared" si="72"/>
        <v>96000</v>
      </c>
      <c r="Y41" s="55">
        <f t="shared" si="72"/>
        <v>16048</v>
      </c>
      <c r="Z41" s="55">
        <f t="shared" si="72"/>
        <v>22713.600000000002</v>
      </c>
      <c r="AA41" s="56">
        <f>+X41*0.6-Y41-Z41-W41</f>
        <v>18838.399999999998</v>
      </c>
      <c r="AB41" s="19">
        <f t="shared" si="68"/>
        <v>0.40376666666666672</v>
      </c>
      <c r="AC41" s="4"/>
      <c r="AD41" s="4"/>
    </row>
    <row r="42" spans="2:30" ht="15.75" customHeight="1" x14ac:dyDescent="0.3">
      <c r="B42" s="27"/>
      <c r="C42" s="5"/>
      <c r="D42" s="5"/>
      <c r="E42" s="5"/>
      <c r="F42" s="5"/>
      <c r="G42" s="23"/>
      <c r="H42" s="23"/>
      <c r="I42" s="23"/>
      <c r="J42" s="4"/>
      <c r="K42" s="64">
        <f>H41*0.3</f>
        <v>40800</v>
      </c>
      <c r="L42" s="43">
        <f>+K41/H41</f>
        <v>0.34447058823529414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  <c r="AA42" s="4">
        <f>X41*0.3</f>
        <v>28800</v>
      </c>
      <c r="AB42" s="19">
        <f>+AA41/X41</f>
        <v>0.19623333333333332</v>
      </c>
      <c r="AC42" s="4"/>
      <c r="AD42" s="4"/>
    </row>
    <row r="43" spans="2:30" x14ac:dyDescent="0.3">
      <c r="B43" s="27"/>
      <c r="C43" s="5"/>
      <c r="D43" s="5"/>
      <c r="E43" s="5"/>
      <c r="F43" s="5"/>
      <c r="G43" s="23"/>
      <c r="H43" s="23"/>
      <c r="I43" s="3" t="s">
        <v>182</v>
      </c>
      <c r="J43" s="6">
        <v>200</v>
      </c>
      <c r="K43" s="66"/>
      <c r="L43" s="5"/>
      <c r="M43" s="5"/>
      <c r="N43" s="5"/>
      <c r="O43" s="5"/>
      <c r="P43" s="5"/>
      <c r="Q43" s="5"/>
      <c r="R43" s="192" t="s">
        <v>193</v>
      </c>
      <c r="S43" s="2"/>
      <c r="T43" s="2"/>
      <c r="U43" s="2"/>
      <c r="V43" s="3"/>
      <c r="W43" s="3"/>
      <c r="X43" s="3"/>
      <c r="Y43" s="3"/>
      <c r="Z43" s="3" t="s">
        <v>182</v>
      </c>
      <c r="AA43" s="3"/>
      <c r="AB43" s="4"/>
      <c r="AC43" s="4"/>
      <c r="AD43" s="4"/>
    </row>
    <row r="44" spans="2:30" x14ac:dyDescent="0.3">
      <c r="B44" s="28" t="s">
        <v>142</v>
      </c>
      <c r="C44" s="8" t="s">
        <v>188</v>
      </c>
      <c r="D44" s="8" t="s">
        <v>189</v>
      </c>
      <c r="E44" s="8" t="s">
        <v>190</v>
      </c>
      <c r="F44" s="8" t="s">
        <v>145</v>
      </c>
      <c r="G44" s="8" t="s">
        <v>163</v>
      </c>
      <c r="H44" s="8" t="s">
        <v>164</v>
      </c>
      <c r="I44" s="168" t="s">
        <v>165</v>
      </c>
      <c r="J44" s="9" t="s">
        <v>166</v>
      </c>
      <c r="K44" s="67" t="s">
        <v>146</v>
      </c>
      <c r="L44" s="29" t="s">
        <v>179</v>
      </c>
      <c r="M44" s="5" t="s">
        <v>191</v>
      </c>
      <c r="N44" s="5" t="s">
        <v>194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>
        <v>400</v>
      </c>
      <c r="AA44" s="5"/>
      <c r="AB44" s="4"/>
      <c r="AC44" s="4"/>
      <c r="AD44" s="4"/>
    </row>
    <row r="45" spans="2:30" x14ac:dyDescent="0.3">
      <c r="B45" s="178">
        <v>44984</v>
      </c>
      <c r="C45" s="170">
        <v>3052</v>
      </c>
      <c r="D45" s="170">
        <f>C37</f>
        <v>2977</v>
      </c>
      <c r="E45" s="170">
        <f t="shared" ref="E45:E49" si="73">+C45-D45</f>
        <v>75</v>
      </c>
      <c r="F45" s="171">
        <f t="shared" ref="F45:F49" si="74">+E45*1000</f>
        <v>75000</v>
      </c>
      <c r="G45" s="171"/>
      <c r="H45" s="171">
        <f t="shared" ref="H45:H50" si="75">+F45-G45</f>
        <v>75000</v>
      </c>
      <c r="I45" s="10"/>
      <c r="J45" s="34">
        <f t="shared" ref="J45:J50" si="76">+E45*$J$3</f>
        <v>15000</v>
      </c>
      <c r="K45" s="194"/>
      <c r="L45" s="31">
        <f t="shared" ref="L45:L51" si="77">+(I45+J45)/H45</f>
        <v>0.2</v>
      </c>
      <c r="M45" s="35">
        <f>H45/(B45-B38)</f>
        <v>1.6672594700337897</v>
      </c>
      <c r="N45" s="35">
        <f>(H45*0.6-I45-J45)/(B45-B38)</f>
        <v>0.66690378801351591</v>
      </c>
      <c r="O45" s="5"/>
      <c r="P45" s="5"/>
      <c r="Q45" s="5"/>
      <c r="R45" s="7" t="s">
        <v>142</v>
      </c>
      <c r="S45" s="8" t="s">
        <v>143</v>
      </c>
      <c r="T45" s="8" t="s">
        <v>162</v>
      </c>
      <c r="U45" s="8" t="s">
        <v>144</v>
      </c>
      <c r="V45" s="8" t="s">
        <v>145</v>
      </c>
      <c r="W45" s="8" t="s">
        <v>163</v>
      </c>
      <c r="X45" s="8" t="s">
        <v>164</v>
      </c>
      <c r="Y45" s="168" t="s">
        <v>165</v>
      </c>
      <c r="Z45" s="9" t="s">
        <v>166</v>
      </c>
      <c r="AA45" s="9" t="s">
        <v>146</v>
      </c>
      <c r="AB45" s="4" t="s">
        <v>179</v>
      </c>
      <c r="AC45" s="4" t="s">
        <v>191</v>
      </c>
      <c r="AD45" s="4" t="s">
        <v>194</v>
      </c>
    </row>
    <row r="46" spans="2:30" x14ac:dyDescent="0.3">
      <c r="B46" s="32">
        <v>45003</v>
      </c>
      <c r="C46" s="13">
        <v>3081</v>
      </c>
      <c r="D46" s="13">
        <f t="shared" ref="D46:D50" si="78">IF(B46=0,0,C45)</f>
        <v>3052</v>
      </c>
      <c r="E46" s="170">
        <f t="shared" si="73"/>
        <v>29</v>
      </c>
      <c r="F46" s="171">
        <f t="shared" si="74"/>
        <v>29000</v>
      </c>
      <c r="G46" s="171">
        <v>0</v>
      </c>
      <c r="H46" s="171">
        <f t="shared" si="75"/>
        <v>29000</v>
      </c>
      <c r="I46" s="33">
        <f>944*2</f>
        <v>1888</v>
      </c>
      <c r="J46" s="34">
        <f t="shared" si="76"/>
        <v>5800</v>
      </c>
      <c r="K46" s="172"/>
      <c r="L46" s="31">
        <f t="shared" si="77"/>
        <v>0.26510344827586207</v>
      </c>
      <c r="M46" s="35">
        <f t="shared" ref="M46:M50" si="79">H46/(B46-B45)</f>
        <v>1526.3157894736842</v>
      </c>
      <c r="N46" s="35">
        <f t="shared" ref="N46:N50" si="80">(H46*0.6-I46-J46)/(B46-B45)</f>
        <v>511.15789473684208</v>
      </c>
      <c r="O46" s="5"/>
      <c r="P46" s="5"/>
      <c r="Q46" s="5"/>
      <c r="R46" s="169">
        <v>44984</v>
      </c>
      <c r="S46" s="170">
        <v>5486</v>
      </c>
      <c r="T46" s="170">
        <f>S38</f>
        <v>5400</v>
      </c>
      <c r="U46" s="170">
        <f t="shared" ref="U46:U50" si="81">+S46-T46</f>
        <v>86</v>
      </c>
      <c r="V46" s="171">
        <f t="shared" ref="V46:V50" si="82">+U46*1000</f>
        <v>86000</v>
      </c>
      <c r="W46" s="171">
        <v>0</v>
      </c>
      <c r="X46" s="171">
        <f t="shared" ref="X46:X50" si="83">+V46-W46</f>
        <v>86000</v>
      </c>
      <c r="Y46" s="10">
        <f>944*5</f>
        <v>4720</v>
      </c>
      <c r="Z46" s="174">
        <f t="shared" ref="Z46:Z50" si="84">+U46*$Z$4/2</f>
        <v>20347.599999999999</v>
      </c>
      <c r="AA46" s="172"/>
      <c r="AB46" s="4"/>
      <c r="AC46" s="11"/>
      <c r="AD46" s="11"/>
    </row>
    <row r="47" spans="2:30" x14ac:dyDescent="0.3">
      <c r="B47" s="32"/>
      <c r="C47" s="13"/>
      <c r="D47" s="13">
        <f t="shared" si="78"/>
        <v>0</v>
      </c>
      <c r="E47" s="170">
        <f t="shared" si="73"/>
        <v>0</v>
      </c>
      <c r="F47" s="171">
        <f t="shared" si="74"/>
        <v>0</v>
      </c>
      <c r="G47" s="171">
        <v>0</v>
      </c>
      <c r="H47" s="171">
        <f t="shared" si="75"/>
        <v>0</v>
      </c>
      <c r="I47" s="33"/>
      <c r="J47" s="36">
        <f t="shared" si="76"/>
        <v>0</v>
      </c>
      <c r="K47" s="172"/>
      <c r="L47" s="31" t="e">
        <f t="shared" si="77"/>
        <v>#DIV/0!</v>
      </c>
      <c r="M47" s="35">
        <f t="shared" si="79"/>
        <v>0</v>
      </c>
      <c r="N47" s="35">
        <f t="shared" si="80"/>
        <v>0</v>
      </c>
      <c r="O47" s="5"/>
      <c r="P47" s="5"/>
      <c r="Q47" s="5"/>
      <c r="R47" s="12">
        <v>45003</v>
      </c>
      <c r="S47" s="13">
        <v>5534</v>
      </c>
      <c r="T47" s="13">
        <f t="shared" ref="T47:T50" si="85">IF(R47=0,0,S46)</f>
        <v>5486</v>
      </c>
      <c r="U47" s="170">
        <f t="shared" si="81"/>
        <v>48</v>
      </c>
      <c r="V47" s="171">
        <f t="shared" si="82"/>
        <v>48000</v>
      </c>
      <c r="W47" s="171">
        <v>0</v>
      </c>
      <c r="X47" s="171">
        <f t="shared" si="83"/>
        <v>48000</v>
      </c>
      <c r="Y47" s="173">
        <f>944*2</f>
        <v>1888</v>
      </c>
      <c r="Z47" s="174">
        <f t="shared" si="84"/>
        <v>11356.8</v>
      </c>
      <c r="AA47" s="172"/>
      <c r="AB47" s="14">
        <f t="shared" ref="AB47:AB51" si="86">+(Y47+Z47)/X47</f>
        <v>0.27593333333333331</v>
      </c>
      <c r="AC47" s="11">
        <f t="shared" ref="AC47:AC50" si="87">X47/(R47-R46)</f>
        <v>2526.3157894736842</v>
      </c>
      <c r="AD47" s="11">
        <f t="shared" ref="AD47:AD50" si="88">(X47*0.6-Y47-Z47)/(R47-R46)</f>
        <v>818.69473684210527</v>
      </c>
    </row>
    <row r="48" spans="2:30" x14ac:dyDescent="0.3">
      <c r="B48" s="32"/>
      <c r="C48" s="13"/>
      <c r="D48" s="13">
        <f t="shared" si="78"/>
        <v>0</v>
      </c>
      <c r="E48" s="170">
        <f t="shared" si="73"/>
        <v>0</v>
      </c>
      <c r="F48" s="171">
        <f t="shared" si="74"/>
        <v>0</v>
      </c>
      <c r="G48" s="171">
        <v>0</v>
      </c>
      <c r="H48" s="171">
        <f t="shared" si="75"/>
        <v>0</v>
      </c>
      <c r="I48" s="33"/>
      <c r="J48" s="36">
        <f t="shared" si="76"/>
        <v>0</v>
      </c>
      <c r="K48" s="172"/>
      <c r="L48" s="31" t="e">
        <f t="shared" si="77"/>
        <v>#DIV/0!</v>
      </c>
      <c r="M48" s="35" t="e">
        <f t="shared" si="79"/>
        <v>#DIV/0!</v>
      </c>
      <c r="N48" s="35" t="e">
        <f t="shared" si="80"/>
        <v>#DIV/0!</v>
      </c>
      <c r="O48" s="5"/>
      <c r="P48" s="5"/>
      <c r="Q48" s="5"/>
      <c r="R48" s="12"/>
      <c r="S48" s="13"/>
      <c r="T48" s="13">
        <f t="shared" si="85"/>
        <v>0</v>
      </c>
      <c r="U48" s="170">
        <f t="shared" si="81"/>
        <v>0</v>
      </c>
      <c r="V48" s="171">
        <f t="shared" si="82"/>
        <v>0</v>
      </c>
      <c r="W48" s="171">
        <v>0</v>
      </c>
      <c r="X48" s="171">
        <f t="shared" si="83"/>
        <v>0</v>
      </c>
      <c r="Y48" s="173"/>
      <c r="Z48" s="174">
        <f t="shared" si="84"/>
        <v>0</v>
      </c>
      <c r="AA48" s="172"/>
      <c r="AB48" s="14" t="e">
        <f t="shared" si="86"/>
        <v>#DIV/0!</v>
      </c>
      <c r="AC48" s="11">
        <f t="shared" si="87"/>
        <v>0</v>
      </c>
      <c r="AD48" s="11">
        <f t="shared" si="88"/>
        <v>0</v>
      </c>
    </row>
    <row r="49" spans="2:30" x14ac:dyDescent="0.3">
      <c r="B49" s="32"/>
      <c r="C49" s="13"/>
      <c r="D49" s="13">
        <f t="shared" si="78"/>
        <v>0</v>
      </c>
      <c r="E49" s="170">
        <f t="shared" si="73"/>
        <v>0</v>
      </c>
      <c r="F49" s="171">
        <f t="shared" si="74"/>
        <v>0</v>
      </c>
      <c r="G49" s="171">
        <v>0</v>
      </c>
      <c r="H49" s="171">
        <f t="shared" si="75"/>
        <v>0</v>
      </c>
      <c r="I49" s="173"/>
      <c r="J49" s="174">
        <f t="shared" si="76"/>
        <v>0</v>
      </c>
      <c r="K49" s="172"/>
      <c r="L49" s="37" t="e">
        <f t="shared" si="77"/>
        <v>#DIV/0!</v>
      </c>
      <c r="M49" s="35" t="e">
        <f t="shared" si="79"/>
        <v>#DIV/0!</v>
      </c>
      <c r="N49" s="35" t="e">
        <f t="shared" si="80"/>
        <v>#DIV/0!</v>
      </c>
      <c r="O49" s="5"/>
      <c r="P49" s="5"/>
      <c r="Q49" s="5"/>
      <c r="R49" s="12"/>
      <c r="S49" s="13"/>
      <c r="T49" s="13">
        <f t="shared" si="85"/>
        <v>0</v>
      </c>
      <c r="U49" s="170">
        <f t="shared" si="81"/>
        <v>0</v>
      </c>
      <c r="V49" s="171">
        <f t="shared" si="82"/>
        <v>0</v>
      </c>
      <c r="W49" s="171">
        <v>0</v>
      </c>
      <c r="X49" s="171">
        <f t="shared" si="83"/>
        <v>0</v>
      </c>
      <c r="Y49" s="173"/>
      <c r="Z49" s="174">
        <f t="shared" si="84"/>
        <v>0</v>
      </c>
      <c r="AA49" s="172"/>
      <c r="AB49" s="14" t="e">
        <f t="shared" si="86"/>
        <v>#DIV/0!</v>
      </c>
      <c r="AC49" s="11" t="e">
        <f t="shared" si="87"/>
        <v>#DIV/0!</v>
      </c>
      <c r="AD49" s="11" t="e">
        <f t="shared" si="88"/>
        <v>#DIV/0!</v>
      </c>
    </row>
    <row r="50" spans="2:30" x14ac:dyDescent="0.3">
      <c r="B50" s="45"/>
      <c r="C50" s="46"/>
      <c r="D50" s="46">
        <f t="shared" si="78"/>
        <v>0</v>
      </c>
      <c r="E50" s="47"/>
      <c r="F50" s="48"/>
      <c r="G50" s="48"/>
      <c r="H50" s="48">
        <f t="shared" si="75"/>
        <v>0</v>
      </c>
      <c r="I50" s="193"/>
      <c r="J50" s="59">
        <f t="shared" si="76"/>
        <v>0</v>
      </c>
      <c r="K50" s="51"/>
      <c r="L50" s="37" t="e">
        <f t="shared" si="77"/>
        <v>#DIV/0!</v>
      </c>
      <c r="M50" s="35" t="e">
        <f t="shared" si="79"/>
        <v>#DIV/0!</v>
      </c>
      <c r="N50" s="35" t="e">
        <f t="shared" si="80"/>
        <v>#DIV/0!</v>
      </c>
      <c r="O50" s="5"/>
      <c r="P50" s="5"/>
      <c r="Q50" s="5"/>
      <c r="R50" s="61"/>
      <c r="S50" s="46"/>
      <c r="T50" s="46">
        <f t="shared" si="85"/>
        <v>0</v>
      </c>
      <c r="U50" s="47">
        <f t="shared" si="81"/>
        <v>0</v>
      </c>
      <c r="V50" s="48">
        <f t="shared" si="82"/>
        <v>0</v>
      </c>
      <c r="W50" s="48">
        <v>0</v>
      </c>
      <c r="X50" s="48">
        <f t="shared" si="83"/>
        <v>0</v>
      </c>
      <c r="Y50" s="193"/>
      <c r="Z50" s="59">
        <f t="shared" si="84"/>
        <v>0</v>
      </c>
      <c r="AA50" s="51"/>
      <c r="AB50" s="14" t="e">
        <f t="shared" si="86"/>
        <v>#DIV/0!</v>
      </c>
      <c r="AC50" s="11" t="e">
        <f t="shared" si="87"/>
        <v>#DIV/0!</v>
      </c>
      <c r="AD50" s="11" t="e">
        <f t="shared" si="88"/>
        <v>#DIV/0!</v>
      </c>
    </row>
    <row r="51" spans="2:30" ht="15.75" customHeight="1" x14ac:dyDescent="0.3">
      <c r="B51" s="52"/>
      <c r="C51" s="53"/>
      <c r="D51" s="53"/>
      <c r="E51" s="53">
        <f t="shared" ref="E51:J51" si="89">SUM(E45:E50)</f>
        <v>104</v>
      </c>
      <c r="F51" s="54">
        <f t="shared" si="89"/>
        <v>104000</v>
      </c>
      <c r="G51" s="54">
        <f t="shared" si="89"/>
        <v>0</v>
      </c>
      <c r="H51" s="54">
        <f t="shared" si="89"/>
        <v>104000</v>
      </c>
      <c r="I51" s="55">
        <f t="shared" si="89"/>
        <v>1888</v>
      </c>
      <c r="J51" s="55">
        <f t="shared" si="89"/>
        <v>20800</v>
      </c>
      <c r="K51" s="56">
        <f>+H51*0.6-I51-J51-G51</f>
        <v>39712</v>
      </c>
      <c r="L51" s="42">
        <f t="shared" si="77"/>
        <v>0.21815384615384614</v>
      </c>
      <c r="M51" s="31">
        <f>L51+L52</f>
        <v>0.6</v>
      </c>
      <c r="N51" s="5"/>
      <c r="O51" s="5"/>
      <c r="P51" s="5"/>
      <c r="Q51" s="5"/>
      <c r="R51" s="63"/>
      <c r="S51" s="53"/>
      <c r="T51" s="53"/>
      <c r="U51" s="53">
        <f t="shared" ref="U51:Z51" si="90">SUM(U46:U50)</f>
        <v>134</v>
      </c>
      <c r="V51" s="54">
        <f t="shared" si="90"/>
        <v>134000</v>
      </c>
      <c r="W51" s="54">
        <f t="shared" si="90"/>
        <v>0</v>
      </c>
      <c r="X51" s="54">
        <f t="shared" si="90"/>
        <v>134000</v>
      </c>
      <c r="Y51" s="55">
        <f t="shared" si="90"/>
        <v>6608</v>
      </c>
      <c r="Z51" s="55">
        <f t="shared" si="90"/>
        <v>31704.399999999998</v>
      </c>
      <c r="AA51" s="56">
        <f>+X51*0.6-Y51-Z51-W51</f>
        <v>42087.600000000006</v>
      </c>
      <c r="AB51" s="19">
        <f t="shared" si="86"/>
        <v>0.28591343283582082</v>
      </c>
      <c r="AC51" s="4"/>
      <c r="AD51" s="4"/>
    </row>
    <row r="52" spans="2:30" ht="15.75" customHeight="1" x14ac:dyDescent="0.3">
      <c r="B52" s="27"/>
      <c r="C52" s="5"/>
      <c r="D52" s="5"/>
      <c r="E52" s="5"/>
      <c r="F52" s="5"/>
      <c r="G52" s="23"/>
      <c r="H52" s="23"/>
      <c r="I52" s="23"/>
      <c r="J52" s="4"/>
      <c r="K52" s="64">
        <f>H51*0.3</f>
        <v>31200</v>
      </c>
      <c r="L52" s="43">
        <f>+K51/H51</f>
        <v>0.38184615384615384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  <c r="AA52" s="4">
        <f>X51*0.3</f>
        <v>40200</v>
      </c>
      <c r="AB52" s="19">
        <f>+AA51/X51</f>
        <v>0.31408656716417915</v>
      </c>
      <c r="AC52" s="4"/>
      <c r="AD52" s="4"/>
    </row>
    <row r="53" spans="2:30" x14ac:dyDescent="0.3">
      <c r="B53" s="27"/>
      <c r="C53" s="5"/>
      <c r="D53" s="5"/>
      <c r="E53" s="5"/>
      <c r="F53" s="5"/>
      <c r="G53" s="23"/>
      <c r="H53" s="23"/>
      <c r="I53" s="3" t="s">
        <v>182</v>
      </c>
      <c r="J53" s="6">
        <v>200</v>
      </c>
      <c r="K53" s="66"/>
      <c r="L53" s="5"/>
      <c r="M53" s="5"/>
      <c r="N53" s="5"/>
      <c r="O53" s="5"/>
      <c r="P53" s="5"/>
      <c r="Q53" s="5"/>
      <c r="R53" s="192" t="s">
        <v>193</v>
      </c>
      <c r="S53" s="2"/>
      <c r="T53" s="2"/>
      <c r="U53" s="2"/>
      <c r="V53" s="3"/>
      <c r="W53" s="3"/>
      <c r="X53" s="3"/>
      <c r="Y53" s="3"/>
      <c r="Z53" s="3" t="s">
        <v>182</v>
      </c>
      <c r="AA53" s="3"/>
      <c r="AB53" s="4"/>
      <c r="AC53" s="4"/>
      <c r="AD53" s="4"/>
    </row>
    <row r="54" spans="2:30" x14ac:dyDescent="0.3">
      <c r="B54" s="28" t="s">
        <v>142</v>
      </c>
      <c r="C54" s="8" t="s">
        <v>188</v>
      </c>
      <c r="D54" s="8" t="s">
        <v>189</v>
      </c>
      <c r="E54" s="8" t="s">
        <v>190</v>
      </c>
      <c r="F54" s="8" t="s">
        <v>145</v>
      </c>
      <c r="G54" s="8" t="s">
        <v>163</v>
      </c>
      <c r="H54" s="8" t="s">
        <v>164</v>
      </c>
      <c r="I54" s="168" t="s">
        <v>165</v>
      </c>
      <c r="J54" s="9" t="s">
        <v>166</v>
      </c>
      <c r="K54" s="67" t="s">
        <v>146</v>
      </c>
      <c r="L54" s="29" t="s">
        <v>179</v>
      </c>
      <c r="M54" s="5" t="s">
        <v>191</v>
      </c>
      <c r="N54" s="5" t="s">
        <v>194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>
        <v>400</v>
      </c>
      <c r="AA54" s="5"/>
      <c r="AB54" s="4"/>
      <c r="AC54" s="4"/>
      <c r="AD54" s="4"/>
    </row>
    <row r="55" spans="2:30" x14ac:dyDescent="0.3">
      <c r="B55" s="178">
        <v>45013</v>
      </c>
      <c r="C55" s="170">
        <v>3092</v>
      </c>
      <c r="D55" s="170">
        <f>C46</f>
        <v>3081</v>
      </c>
      <c r="E55" s="170">
        <f t="shared" ref="E55:E59" si="91">+C55-D55</f>
        <v>11</v>
      </c>
      <c r="F55" s="171">
        <f t="shared" ref="F55:F59" si="92">+E55*1000</f>
        <v>11000</v>
      </c>
      <c r="G55" s="171"/>
      <c r="H55" s="171">
        <f t="shared" ref="H55:H60" si="93">+F55-G55</f>
        <v>11000</v>
      </c>
      <c r="I55" s="10">
        <v>944</v>
      </c>
      <c r="J55" s="34">
        <f t="shared" ref="J55:J60" si="94">+E55*$J$3</f>
        <v>2200</v>
      </c>
      <c r="K55" s="194"/>
      <c r="L55" s="31">
        <f t="shared" ref="L55:L61" si="95">+(I55+J55)/H55</f>
        <v>0.2858181818181818</v>
      </c>
      <c r="M55" s="35">
        <f>H55/(B55-B48)</f>
        <v>0.24437384755515074</v>
      </c>
      <c r="N55" s="35">
        <f>(H55*0.6-I55-J55)/(B55-B48)</f>
        <v>7.6777819740963718E-2</v>
      </c>
      <c r="O55" s="5"/>
      <c r="P55" s="5"/>
      <c r="Q55" s="5"/>
      <c r="R55" s="7" t="s">
        <v>142</v>
      </c>
      <c r="S55" s="8" t="s">
        <v>143</v>
      </c>
      <c r="T55" s="8" t="s">
        <v>162</v>
      </c>
      <c r="U55" s="8" t="s">
        <v>144</v>
      </c>
      <c r="V55" s="8" t="s">
        <v>145</v>
      </c>
      <c r="W55" s="8" t="s">
        <v>163</v>
      </c>
      <c r="X55" s="8" t="s">
        <v>164</v>
      </c>
      <c r="Y55" s="168" t="s">
        <v>165</v>
      </c>
      <c r="Z55" s="9" t="s">
        <v>166</v>
      </c>
      <c r="AA55" s="9" t="s">
        <v>146</v>
      </c>
      <c r="AB55" s="4" t="s">
        <v>179</v>
      </c>
      <c r="AC55" s="4" t="s">
        <v>191</v>
      </c>
      <c r="AD55" s="4" t="s">
        <v>194</v>
      </c>
    </row>
    <row r="56" spans="2:30" x14ac:dyDescent="0.3">
      <c r="B56" s="32"/>
      <c r="C56" s="13"/>
      <c r="D56" s="13">
        <f t="shared" ref="D56:D60" si="96">IF(B56=0,0,C55)</f>
        <v>0</v>
      </c>
      <c r="E56" s="170">
        <f t="shared" si="91"/>
        <v>0</v>
      </c>
      <c r="F56" s="171">
        <f t="shared" si="92"/>
        <v>0</v>
      </c>
      <c r="G56" s="171">
        <v>0</v>
      </c>
      <c r="H56" s="171">
        <f t="shared" si="93"/>
        <v>0</v>
      </c>
      <c r="I56" s="33"/>
      <c r="J56" s="34">
        <f t="shared" si="94"/>
        <v>0</v>
      </c>
      <c r="K56" s="172"/>
      <c r="L56" s="31" t="e">
        <f t="shared" si="95"/>
        <v>#DIV/0!</v>
      </c>
      <c r="M56" s="35">
        <f t="shared" ref="M56:M60" si="97">H56/(B56-B55)</f>
        <v>0</v>
      </c>
      <c r="N56" s="35">
        <f t="shared" ref="N56:N60" si="98">(H56*0.6-I56-J56)/(B56-B55)</f>
        <v>0</v>
      </c>
      <c r="O56" s="5"/>
      <c r="P56" s="5"/>
      <c r="Q56" s="5"/>
      <c r="R56" s="169">
        <v>45013</v>
      </c>
      <c r="S56" s="170">
        <v>5566</v>
      </c>
      <c r="T56" s="170">
        <f>S47</f>
        <v>5534</v>
      </c>
      <c r="U56" s="170">
        <f t="shared" ref="U56:U60" si="99">+S56-T56</f>
        <v>32</v>
      </c>
      <c r="V56" s="171">
        <f t="shared" ref="V56:V60" si="100">+U56*1000</f>
        <v>32000</v>
      </c>
      <c r="W56" s="171">
        <v>0</v>
      </c>
      <c r="X56" s="171">
        <f t="shared" ref="X56:X60" si="101">+V56-W56</f>
        <v>32000</v>
      </c>
      <c r="Y56" s="10">
        <f>944*2</f>
        <v>1888</v>
      </c>
      <c r="Z56" s="174">
        <f t="shared" ref="Z56:Z60" si="102">+U56*$Z$4/2</f>
        <v>7571.2</v>
      </c>
      <c r="AA56" s="172"/>
      <c r="AB56" s="4"/>
      <c r="AC56" s="11"/>
      <c r="AD56" s="11"/>
    </row>
    <row r="57" spans="2:30" x14ac:dyDescent="0.3">
      <c r="B57" s="32"/>
      <c r="C57" s="13"/>
      <c r="D57" s="13">
        <f t="shared" si="96"/>
        <v>0</v>
      </c>
      <c r="E57" s="170">
        <f t="shared" si="91"/>
        <v>0</v>
      </c>
      <c r="F57" s="171">
        <f t="shared" si="92"/>
        <v>0</v>
      </c>
      <c r="G57" s="171">
        <v>0</v>
      </c>
      <c r="H57" s="171">
        <f t="shared" si="93"/>
        <v>0</v>
      </c>
      <c r="I57" s="33"/>
      <c r="J57" s="36">
        <f t="shared" si="94"/>
        <v>0</v>
      </c>
      <c r="K57" s="172"/>
      <c r="L57" s="31" t="e">
        <f t="shared" si="95"/>
        <v>#DIV/0!</v>
      </c>
      <c r="M57" s="35" t="e">
        <f t="shared" si="97"/>
        <v>#DIV/0!</v>
      </c>
      <c r="N57" s="35" t="e">
        <f t="shared" si="98"/>
        <v>#DIV/0!</v>
      </c>
      <c r="O57" s="5"/>
      <c r="P57" s="5"/>
      <c r="Q57" s="5"/>
      <c r="R57" s="12"/>
      <c r="S57" s="13">
        <v>3</v>
      </c>
      <c r="T57" s="13">
        <v>3</v>
      </c>
      <c r="U57" s="170">
        <f t="shared" si="99"/>
        <v>0</v>
      </c>
      <c r="V57" s="171">
        <f t="shared" si="100"/>
        <v>0</v>
      </c>
      <c r="W57" s="171">
        <v>0</v>
      </c>
      <c r="X57" s="171">
        <f t="shared" si="101"/>
        <v>0</v>
      </c>
      <c r="Y57" s="173"/>
      <c r="Z57" s="174">
        <f t="shared" si="102"/>
        <v>0</v>
      </c>
      <c r="AA57" s="172"/>
      <c r="AB57" s="14" t="e">
        <f t="shared" ref="AB57:AB61" si="103">+(Y57+Z57)/X57</f>
        <v>#DIV/0!</v>
      </c>
      <c r="AC57" s="11">
        <f t="shared" ref="AC57:AC60" si="104">X57/(R57-R56)</f>
        <v>0</v>
      </c>
      <c r="AD57" s="11">
        <f t="shared" ref="AD57:AD60" si="105">(X57*0.6-Y57-Z57)/(R57-R56)</f>
        <v>0</v>
      </c>
    </row>
    <row r="58" spans="2:30" x14ac:dyDescent="0.3">
      <c r="B58" s="32"/>
      <c r="C58" s="13"/>
      <c r="D58" s="13">
        <f t="shared" si="96"/>
        <v>0</v>
      </c>
      <c r="E58" s="170">
        <f t="shared" si="91"/>
        <v>0</v>
      </c>
      <c r="F58" s="171">
        <f t="shared" si="92"/>
        <v>0</v>
      </c>
      <c r="G58" s="171">
        <v>0</v>
      </c>
      <c r="H58" s="171">
        <f t="shared" si="93"/>
        <v>0</v>
      </c>
      <c r="I58" s="33"/>
      <c r="J58" s="36">
        <f t="shared" si="94"/>
        <v>0</v>
      </c>
      <c r="K58" s="172"/>
      <c r="L58" s="31" t="e">
        <f t="shared" si="95"/>
        <v>#DIV/0!</v>
      </c>
      <c r="M58" s="35" t="e">
        <f t="shared" si="97"/>
        <v>#DIV/0!</v>
      </c>
      <c r="N58" s="35" t="e">
        <f t="shared" si="98"/>
        <v>#DIV/0!</v>
      </c>
      <c r="O58" s="5"/>
      <c r="P58" s="5"/>
      <c r="Q58" s="5"/>
      <c r="R58" s="12">
        <v>45022</v>
      </c>
      <c r="S58" s="13">
        <v>60</v>
      </c>
      <c r="T58" s="13">
        <f t="shared" ref="T58:T60" si="106">IF(R58=0,0,S57)</f>
        <v>3</v>
      </c>
      <c r="U58" s="170">
        <f t="shared" si="99"/>
        <v>57</v>
      </c>
      <c r="V58" s="171">
        <f t="shared" si="100"/>
        <v>57000</v>
      </c>
      <c r="W58" s="171">
        <v>0</v>
      </c>
      <c r="X58" s="171">
        <f t="shared" si="101"/>
        <v>57000</v>
      </c>
      <c r="Y58" s="173"/>
      <c r="Z58" s="174">
        <f t="shared" si="102"/>
        <v>13486.199999999999</v>
      </c>
      <c r="AA58" s="172"/>
      <c r="AB58" s="14">
        <f t="shared" si="103"/>
        <v>0.23659999999999998</v>
      </c>
      <c r="AC58" s="11">
        <f t="shared" si="104"/>
        <v>1.2660477100084404</v>
      </c>
      <c r="AD58" s="11">
        <f t="shared" si="105"/>
        <v>0.46008173781706729</v>
      </c>
    </row>
    <row r="59" spans="2:30" x14ac:dyDescent="0.3">
      <c r="B59" s="32"/>
      <c r="C59" s="13"/>
      <c r="D59" s="13">
        <f t="shared" si="96"/>
        <v>0</v>
      </c>
      <c r="E59" s="170">
        <f t="shared" si="91"/>
        <v>0</v>
      </c>
      <c r="F59" s="171">
        <f t="shared" si="92"/>
        <v>0</v>
      </c>
      <c r="G59" s="171">
        <v>0</v>
      </c>
      <c r="H59" s="171">
        <f t="shared" si="93"/>
        <v>0</v>
      </c>
      <c r="I59" s="173"/>
      <c r="J59" s="174">
        <f t="shared" si="94"/>
        <v>0</v>
      </c>
      <c r="K59" s="172"/>
      <c r="L59" s="37" t="e">
        <f t="shared" si="95"/>
        <v>#DIV/0!</v>
      </c>
      <c r="M59" s="35" t="e">
        <f t="shared" si="97"/>
        <v>#DIV/0!</v>
      </c>
      <c r="N59" s="35" t="e">
        <f t="shared" si="98"/>
        <v>#DIV/0!</v>
      </c>
      <c r="O59" s="5"/>
      <c r="P59" s="5"/>
      <c r="Q59" s="5"/>
      <c r="R59" s="12">
        <v>45029</v>
      </c>
      <c r="S59" s="13">
        <v>104</v>
      </c>
      <c r="T59" s="13">
        <f t="shared" si="106"/>
        <v>60</v>
      </c>
      <c r="U59" s="170">
        <f t="shared" si="99"/>
        <v>44</v>
      </c>
      <c r="V59" s="171">
        <f t="shared" si="100"/>
        <v>44000</v>
      </c>
      <c r="W59" s="171">
        <v>0</v>
      </c>
      <c r="X59" s="171">
        <f t="shared" si="101"/>
        <v>44000</v>
      </c>
      <c r="Y59" s="173">
        <f>944*2</f>
        <v>1888</v>
      </c>
      <c r="Z59" s="174">
        <f t="shared" si="102"/>
        <v>10410.4</v>
      </c>
      <c r="AA59" s="172"/>
      <c r="AB59" s="14">
        <f t="shared" si="103"/>
        <v>0.27950909090909087</v>
      </c>
      <c r="AC59" s="11">
        <f t="shared" si="104"/>
        <v>6285.7142857142853</v>
      </c>
      <c r="AD59" s="11">
        <f t="shared" si="105"/>
        <v>2014.5142857142857</v>
      </c>
    </row>
    <row r="60" spans="2:30" x14ac:dyDescent="0.3">
      <c r="B60" s="45"/>
      <c r="C60" s="46">
        <v>130</v>
      </c>
      <c r="D60" s="46">
        <f t="shared" si="96"/>
        <v>0</v>
      </c>
      <c r="E60" s="47"/>
      <c r="F60" s="48"/>
      <c r="G60" s="48"/>
      <c r="H60" s="48">
        <f t="shared" si="93"/>
        <v>0</v>
      </c>
      <c r="I60" s="193"/>
      <c r="J60" s="59">
        <f t="shared" si="94"/>
        <v>0</v>
      </c>
      <c r="K60" s="51"/>
      <c r="L60" s="37" t="e">
        <f t="shared" si="95"/>
        <v>#DIV/0!</v>
      </c>
      <c r="M60" s="35" t="e">
        <f t="shared" si="97"/>
        <v>#DIV/0!</v>
      </c>
      <c r="N60" s="35" t="e">
        <f t="shared" si="98"/>
        <v>#DIV/0!</v>
      </c>
      <c r="O60" s="5"/>
      <c r="P60" s="5"/>
      <c r="Q60" s="5"/>
      <c r="R60" s="61">
        <v>45035</v>
      </c>
      <c r="S60" s="46">
        <v>130</v>
      </c>
      <c r="T60" s="46">
        <f t="shared" si="106"/>
        <v>104</v>
      </c>
      <c r="U60" s="47">
        <f t="shared" si="99"/>
        <v>26</v>
      </c>
      <c r="V60" s="48">
        <f t="shared" si="100"/>
        <v>26000</v>
      </c>
      <c r="W60" s="48">
        <v>0</v>
      </c>
      <c r="X60" s="48">
        <f t="shared" si="101"/>
        <v>26000</v>
      </c>
      <c r="Y60" s="193"/>
      <c r="Z60" s="59">
        <f t="shared" si="102"/>
        <v>6151.5999999999995</v>
      </c>
      <c r="AA60" s="51"/>
      <c r="AB60" s="14">
        <f t="shared" si="103"/>
        <v>0.23659999999999998</v>
      </c>
      <c r="AC60" s="11">
        <f t="shared" si="104"/>
        <v>4333.333333333333</v>
      </c>
      <c r="AD60" s="11">
        <f t="shared" si="105"/>
        <v>1574.7333333333336</v>
      </c>
    </row>
    <row r="61" spans="2:30" ht="15.75" customHeight="1" x14ac:dyDescent="0.3">
      <c r="B61" s="52"/>
      <c r="C61" s="53"/>
      <c r="D61" s="53"/>
      <c r="E61" s="53">
        <f t="shared" ref="E61:J61" si="107">SUM(E55:E60)</f>
        <v>11</v>
      </c>
      <c r="F61" s="54">
        <f t="shared" si="107"/>
        <v>11000</v>
      </c>
      <c r="G61" s="54">
        <f t="shared" si="107"/>
        <v>0</v>
      </c>
      <c r="H61" s="54">
        <f t="shared" si="107"/>
        <v>11000</v>
      </c>
      <c r="I61" s="55">
        <f t="shared" si="107"/>
        <v>944</v>
      </c>
      <c r="J61" s="55">
        <f t="shared" si="107"/>
        <v>2200</v>
      </c>
      <c r="K61" s="56">
        <f>+H61*0.6-I61-J61-G61</f>
        <v>3456</v>
      </c>
      <c r="L61" s="42">
        <f t="shared" si="95"/>
        <v>0.2858181818181818</v>
      </c>
      <c r="M61" s="31">
        <f>L61+L62</f>
        <v>0.6</v>
      </c>
      <c r="N61" s="5"/>
      <c r="O61" s="5"/>
      <c r="P61" s="5"/>
      <c r="Q61" s="5"/>
      <c r="R61" s="63"/>
      <c r="S61" s="53"/>
      <c r="T61" s="53"/>
      <c r="U61" s="53">
        <f t="shared" ref="U61:Z61" si="108">SUM(U56:U60)</f>
        <v>159</v>
      </c>
      <c r="V61" s="54">
        <f t="shared" si="108"/>
        <v>159000</v>
      </c>
      <c r="W61" s="54">
        <f t="shared" si="108"/>
        <v>0</v>
      </c>
      <c r="X61" s="54">
        <f t="shared" si="108"/>
        <v>159000</v>
      </c>
      <c r="Y61" s="55">
        <f t="shared" si="108"/>
        <v>3776</v>
      </c>
      <c r="Z61" s="55">
        <f t="shared" si="108"/>
        <v>37619.399999999994</v>
      </c>
      <c r="AA61" s="56">
        <f>+X61*0.6-Y61-Z61-W61</f>
        <v>54004.600000000006</v>
      </c>
      <c r="AB61" s="19">
        <f t="shared" si="103"/>
        <v>0.26034842767295596</v>
      </c>
      <c r="AC61" s="4"/>
      <c r="AD61" s="4"/>
    </row>
    <row r="62" spans="2:30" ht="15.75" customHeight="1" x14ac:dyDescent="0.3">
      <c r="B62" s="27"/>
      <c r="C62" s="5"/>
      <c r="D62" s="5"/>
      <c r="E62" s="5"/>
      <c r="F62" s="5"/>
      <c r="G62" s="23"/>
      <c r="H62" s="23"/>
      <c r="I62" s="23"/>
      <c r="J62" s="4"/>
      <c r="K62" s="64">
        <f>H61*0.3</f>
        <v>3300</v>
      </c>
      <c r="L62" s="43">
        <f>+K61/H61</f>
        <v>0.31418181818181817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  <c r="AA62" s="4">
        <f>X61*0.3</f>
        <v>47700</v>
      </c>
      <c r="AB62" s="19">
        <f>+AA61/X61</f>
        <v>0.33965157232704407</v>
      </c>
      <c r="AC62" s="4"/>
      <c r="AD62" s="4"/>
    </row>
    <row r="63" spans="2:30" x14ac:dyDescent="0.3">
      <c r="B63" s="27"/>
      <c r="C63" s="5"/>
      <c r="D63" s="5"/>
      <c r="E63" s="5"/>
      <c r="F63" s="5"/>
      <c r="G63" s="23"/>
      <c r="H63" s="23"/>
      <c r="I63" s="3" t="s">
        <v>182</v>
      </c>
      <c r="J63" s="6">
        <v>400</v>
      </c>
      <c r="K63" s="66"/>
      <c r="L63" s="5"/>
      <c r="M63" s="5"/>
      <c r="N63" s="5"/>
      <c r="O63" s="5"/>
      <c r="P63" s="5"/>
      <c r="Q63" s="5"/>
      <c r="R63" s="192" t="s">
        <v>193</v>
      </c>
      <c r="S63" s="2"/>
      <c r="T63" s="2"/>
      <c r="U63" s="2"/>
      <c r="V63" s="3"/>
      <c r="W63" s="3"/>
      <c r="X63" s="3"/>
      <c r="Y63" s="3"/>
      <c r="Z63" s="3" t="s">
        <v>182</v>
      </c>
      <c r="AA63" s="3"/>
      <c r="AB63" s="4"/>
      <c r="AC63" s="4"/>
      <c r="AD63" s="4"/>
    </row>
    <row r="64" spans="2:30" x14ac:dyDescent="0.3">
      <c r="B64" s="28" t="s">
        <v>142</v>
      </c>
      <c r="C64" s="8" t="s">
        <v>188</v>
      </c>
      <c r="D64" s="8" t="s">
        <v>189</v>
      </c>
      <c r="E64" s="8" t="s">
        <v>190</v>
      </c>
      <c r="F64" s="8" t="s">
        <v>145</v>
      </c>
      <c r="G64" s="8" t="s">
        <v>163</v>
      </c>
      <c r="H64" s="8" t="s">
        <v>164</v>
      </c>
      <c r="I64" s="168" t="s">
        <v>165</v>
      </c>
      <c r="J64" s="9" t="s">
        <v>166</v>
      </c>
      <c r="K64" s="67" t="s">
        <v>146</v>
      </c>
      <c r="L64" s="29" t="s">
        <v>179</v>
      </c>
      <c r="M64" s="5" t="s">
        <v>191</v>
      </c>
      <c r="N64" s="5" t="s">
        <v>194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>
        <v>400</v>
      </c>
      <c r="AA64" s="5"/>
      <c r="AB64" s="4"/>
      <c r="AC64" s="4"/>
      <c r="AD64" s="4"/>
    </row>
    <row r="65" spans="2:30" x14ac:dyDescent="0.3">
      <c r="B65" s="178">
        <v>45044</v>
      </c>
      <c r="C65" s="170">
        <v>155</v>
      </c>
      <c r="D65" s="170">
        <v>155</v>
      </c>
      <c r="E65" s="170">
        <f t="shared" ref="E65:E69" si="109">+C65-D65</f>
        <v>0</v>
      </c>
      <c r="F65" s="171">
        <f t="shared" ref="F65:F69" si="110">+E65*1000</f>
        <v>0</v>
      </c>
      <c r="G65" s="171"/>
      <c r="H65" s="171">
        <f t="shared" ref="H65:H70" si="111">+F65-G65</f>
        <v>0</v>
      </c>
      <c r="I65" s="10">
        <v>944</v>
      </c>
      <c r="J65" s="34">
        <f t="shared" ref="J65:J70" si="112">+E65*$J$3</f>
        <v>0</v>
      </c>
      <c r="K65" s="194"/>
      <c r="L65" s="31" t="e">
        <f t="shared" ref="L65:L71" si="113">+(I65+J65)/H65</f>
        <v>#DIV/0!</v>
      </c>
      <c r="M65" s="35">
        <f>H65/(B65-B58)</f>
        <v>0</v>
      </c>
      <c r="N65" s="35">
        <f>(H65*0.6-I65-J65)/(B65-B58)</f>
        <v>-2.0957286209040051E-2</v>
      </c>
      <c r="O65" s="5"/>
      <c r="P65" s="5"/>
      <c r="Q65" s="5"/>
      <c r="R65" s="7" t="s">
        <v>142</v>
      </c>
      <c r="S65" s="8" t="s">
        <v>143</v>
      </c>
      <c r="T65" s="8" t="s">
        <v>162</v>
      </c>
      <c r="U65" s="8" t="s">
        <v>144</v>
      </c>
      <c r="V65" s="8" t="s">
        <v>145</v>
      </c>
      <c r="W65" s="8" t="s">
        <v>163</v>
      </c>
      <c r="X65" s="8" t="s">
        <v>164</v>
      </c>
      <c r="Y65" s="168" t="s">
        <v>165</v>
      </c>
      <c r="Z65" s="9" t="s">
        <v>166</v>
      </c>
      <c r="AA65" s="9" t="s">
        <v>146</v>
      </c>
      <c r="AB65" s="4" t="s">
        <v>179</v>
      </c>
      <c r="AC65" s="4" t="s">
        <v>191</v>
      </c>
      <c r="AD65" s="4" t="s">
        <v>194</v>
      </c>
    </row>
    <row r="66" spans="2:30" x14ac:dyDescent="0.3">
      <c r="B66" s="32">
        <v>45050</v>
      </c>
      <c r="C66" s="13">
        <v>209</v>
      </c>
      <c r="D66" s="13">
        <f t="shared" ref="D66:D70" si="114">IF(B66=0,0,C65)</f>
        <v>155</v>
      </c>
      <c r="E66" s="170">
        <f t="shared" si="109"/>
        <v>54</v>
      </c>
      <c r="F66" s="171">
        <f t="shared" si="110"/>
        <v>54000</v>
      </c>
      <c r="G66" s="171">
        <v>0</v>
      </c>
      <c r="H66" s="171">
        <f t="shared" si="111"/>
        <v>54000</v>
      </c>
      <c r="I66" s="33">
        <f>944*5</f>
        <v>4720</v>
      </c>
      <c r="J66" s="34">
        <f t="shared" si="112"/>
        <v>10800</v>
      </c>
      <c r="K66" s="172"/>
      <c r="L66" s="31">
        <f t="shared" si="113"/>
        <v>0.28740740740740739</v>
      </c>
      <c r="M66" s="35">
        <f t="shared" ref="M66:M70" si="115">H66/(B66-B65)</f>
        <v>9000</v>
      </c>
      <c r="N66" s="35">
        <f t="shared" ref="N66:N70" si="116">(H66*0.6-I66-J66)/(B66-B65)</f>
        <v>2813.3333333333335</v>
      </c>
      <c r="O66" s="5"/>
      <c r="P66" s="5"/>
      <c r="Q66" s="5"/>
      <c r="R66" s="169"/>
      <c r="S66" s="170"/>
      <c r="T66" s="170">
        <f>S57</f>
        <v>3</v>
      </c>
      <c r="U66" s="170">
        <f t="shared" ref="U66:U70" si="117">+S66-T66</f>
        <v>-3</v>
      </c>
      <c r="V66" s="171">
        <f t="shared" ref="V66:V70" si="118">+U66*1000</f>
        <v>-3000</v>
      </c>
      <c r="W66" s="171">
        <v>0</v>
      </c>
      <c r="X66" s="171">
        <f t="shared" ref="X66:X70" si="119">+V66-W66</f>
        <v>-3000</v>
      </c>
      <c r="Y66" s="10">
        <f>944*2</f>
        <v>1888</v>
      </c>
      <c r="Z66" s="174">
        <f t="shared" ref="Z66:Z70" si="120">+U66*$Z$4/2</f>
        <v>-709.8</v>
      </c>
      <c r="AA66" s="172"/>
      <c r="AB66" s="4"/>
      <c r="AC66" s="11"/>
      <c r="AD66" s="11"/>
    </row>
    <row r="67" spans="2:30" x14ac:dyDescent="0.3">
      <c r="B67" s="32">
        <v>45054</v>
      </c>
      <c r="C67" s="13">
        <v>289</v>
      </c>
      <c r="D67" s="13">
        <f t="shared" si="114"/>
        <v>209</v>
      </c>
      <c r="E67" s="170">
        <f t="shared" si="109"/>
        <v>80</v>
      </c>
      <c r="F67" s="171">
        <f t="shared" si="110"/>
        <v>80000</v>
      </c>
      <c r="G67" s="171">
        <v>0</v>
      </c>
      <c r="H67" s="171">
        <f t="shared" si="111"/>
        <v>80000</v>
      </c>
      <c r="I67" s="33">
        <v>12800</v>
      </c>
      <c r="J67" s="36">
        <f t="shared" si="112"/>
        <v>16000</v>
      </c>
      <c r="K67" s="172"/>
      <c r="L67" s="31">
        <f t="shared" si="113"/>
        <v>0.36</v>
      </c>
      <c r="M67" s="35">
        <f t="shared" si="115"/>
        <v>20000</v>
      </c>
      <c r="N67" s="35">
        <f t="shared" si="116"/>
        <v>4800</v>
      </c>
      <c r="O67" s="5"/>
      <c r="P67" s="5"/>
      <c r="Q67" s="5"/>
      <c r="R67" s="12"/>
      <c r="S67" s="13"/>
      <c r="T67" s="13">
        <v>3</v>
      </c>
      <c r="U67" s="170">
        <f t="shared" si="117"/>
        <v>-3</v>
      </c>
      <c r="V67" s="171">
        <f t="shared" si="118"/>
        <v>-3000</v>
      </c>
      <c r="W67" s="171">
        <v>0</v>
      </c>
      <c r="X67" s="171">
        <f t="shared" si="119"/>
        <v>-3000</v>
      </c>
      <c r="Y67" s="173"/>
      <c r="Z67" s="174">
        <f t="shared" si="120"/>
        <v>-709.8</v>
      </c>
      <c r="AA67" s="172"/>
      <c r="AB67" s="14">
        <f t="shared" ref="AB67:AB71" si="121">+(Y67+Z67)/X67</f>
        <v>0.23659999999999998</v>
      </c>
      <c r="AC67" s="11" t="e">
        <f t="shared" ref="AC67:AC70" si="122">X67/(R67-R66)</f>
        <v>#DIV/0!</v>
      </c>
      <c r="AD67" s="11" t="e">
        <f t="shared" ref="AD67:AD70" si="123">(X67*0.6-Y67-Z67)/(R67-R66)</f>
        <v>#DIV/0!</v>
      </c>
    </row>
    <row r="68" spans="2:30" x14ac:dyDescent="0.3">
      <c r="B68" s="32">
        <v>45060</v>
      </c>
      <c r="C68" s="13">
        <v>300</v>
      </c>
      <c r="D68" s="13">
        <f t="shared" si="114"/>
        <v>289</v>
      </c>
      <c r="E68" s="170">
        <f t="shared" si="109"/>
        <v>11</v>
      </c>
      <c r="F68" s="171">
        <f t="shared" si="110"/>
        <v>11000</v>
      </c>
      <c r="G68" s="171">
        <v>0</v>
      </c>
      <c r="H68" s="171">
        <f t="shared" si="111"/>
        <v>11000</v>
      </c>
      <c r="I68" s="33">
        <v>5664</v>
      </c>
      <c r="J68" s="36">
        <f t="shared" si="112"/>
        <v>2200</v>
      </c>
      <c r="K68" s="172"/>
      <c r="L68" s="31">
        <f t="shared" si="113"/>
        <v>0.71490909090909094</v>
      </c>
      <c r="M68" s="35">
        <f t="shared" si="115"/>
        <v>1833.3333333333333</v>
      </c>
      <c r="N68" s="35">
        <f t="shared" si="116"/>
        <v>-210.66666666666666</v>
      </c>
      <c r="O68" s="5"/>
      <c r="P68" s="5"/>
      <c r="Q68" s="5"/>
      <c r="R68" s="12"/>
      <c r="S68" s="13"/>
      <c r="T68" s="13">
        <f t="shared" ref="T68:T70" si="124">IF(R68=0,0,S67)</f>
        <v>0</v>
      </c>
      <c r="U68" s="170">
        <f t="shared" si="117"/>
        <v>0</v>
      </c>
      <c r="V68" s="171">
        <f t="shared" si="118"/>
        <v>0</v>
      </c>
      <c r="W68" s="171">
        <v>0</v>
      </c>
      <c r="X68" s="171">
        <f t="shared" si="119"/>
        <v>0</v>
      </c>
      <c r="Y68" s="173"/>
      <c r="Z68" s="174">
        <f t="shared" si="120"/>
        <v>0</v>
      </c>
      <c r="AA68" s="172"/>
      <c r="AB68" s="14" t="e">
        <f t="shared" si="121"/>
        <v>#DIV/0!</v>
      </c>
      <c r="AC68" s="11" t="e">
        <f t="shared" si="122"/>
        <v>#DIV/0!</v>
      </c>
      <c r="AD68" s="11" t="e">
        <f t="shared" si="123"/>
        <v>#DIV/0!</v>
      </c>
    </row>
    <row r="69" spans="2:30" x14ac:dyDescent="0.3">
      <c r="B69" s="32">
        <v>45064</v>
      </c>
      <c r="C69" s="13">
        <v>309</v>
      </c>
      <c r="D69" s="13">
        <f t="shared" si="114"/>
        <v>300</v>
      </c>
      <c r="E69" s="170">
        <f t="shared" si="109"/>
        <v>9</v>
      </c>
      <c r="F69" s="171">
        <f t="shared" si="110"/>
        <v>9000</v>
      </c>
      <c r="G69" s="171">
        <v>0</v>
      </c>
      <c r="H69" s="171">
        <f t="shared" si="111"/>
        <v>9000</v>
      </c>
      <c r="I69" s="173">
        <v>1800</v>
      </c>
      <c r="J69" s="174">
        <f t="shared" si="112"/>
        <v>1800</v>
      </c>
      <c r="K69" s="172"/>
      <c r="L69" s="37">
        <f t="shared" si="113"/>
        <v>0.4</v>
      </c>
      <c r="M69" s="35">
        <f t="shared" si="115"/>
        <v>2250</v>
      </c>
      <c r="N69" s="35">
        <f t="shared" si="116"/>
        <v>450</v>
      </c>
      <c r="O69" s="5"/>
      <c r="P69" s="5"/>
      <c r="Q69" s="5"/>
      <c r="R69" s="12"/>
      <c r="S69" s="13"/>
      <c r="T69" s="13">
        <f t="shared" si="124"/>
        <v>0</v>
      </c>
      <c r="U69" s="170">
        <f t="shared" si="117"/>
        <v>0</v>
      </c>
      <c r="V69" s="171">
        <f t="shared" si="118"/>
        <v>0</v>
      </c>
      <c r="W69" s="171">
        <v>0</v>
      </c>
      <c r="X69" s="171">
        <f t="shared" si="119"/>
        <v>0</v>
      </c>
      <c r="Y69" s="173">
        <f>944*2</f>
        <v>1888</v>
      </c>
      <c r="Z69" s="174">
        <f t="shared" si="120"/>
        <v>0</v>
      </c>
      <c r="AA69" s="172"/>
      <c r="AB69" s="14" t="e">
        <f t="shared" si="121"/>
        <v>#DIV/0!</v>
      </c>
      <c r="AC69" s="11" t="e">
        <f t="shared" si="122"/>
        <v>#DIV/0!</v>
      </c>
      <c r="AD69" s="11" t="e">
        <f t="shared" si="123"/>
        <v>#DIV/0!</v>
      </c>
    </row>
    <row r="70" spans="2:30" x14ac:dyDescent="0.3">
      <c r="B70" s="45"/>
      <c r="C70" s="46"/>
      <c r="D70" s="46">
        <f t="shared" si="114"/>
        <v>0</v>
      </c>
      <c r="E70" s="47"/>
      <c r="F70" s="48"/>
      <c r="G70" s="48"/>
      <c r="H70" s="48">
        <f t="shared" si="111"/>
        <v>0</v>
      </c>
      <c r="I70" s="193"/>
      <c r="J70" s="59">
        <f t="shared" si="112"/>
        <v>0</v>
      </c>
      <c r="K70" s="51"/>
      <c r="L70" s="37" t="e">
        <f t="shared" si="113"/>
        <v>#DIV/0!</v>
      </c>
      <c r="M70" s="35">
        <f t="shared" si="115"/>
        <v>0</v>
      </c>
      <c r="N70" s="35">
        <f t="shared" si="116"/>
        <v>0</v>
      </c>
      <c r="O70" s="5"/>
      <c r="P70" s="5"/>
      <c r="Q70" s="5"/>
      <c r="R70" s="61"/>
      <c r="S70" s="46"/>
      <c r="T70" s="46">
        <f t="shared" si="124"/>
        <v>0</v>
      </c>
      <c r="U70" s="47">
        <f t="shared" si="117"/>
        <v>0</v>
      </c>
      <c r="V70" s="48">
        <f t="shared" si="118"/>
        <v>0</v>
      </c>
      <c r="W70" s="48">
        <v>0</v>
      </c>
      <c r="X70" s="48">
        <f t="shared" si="119"/>
        <v>0</v>
      </c>
      <c r="Y70" s="193"/>
      <c r="Z70" s="59">
        <f t="shared" si="120"/>
        <v>0</v>
      </c>
      <c r="AA70" s="51"/>
      <c r="AB70" s="14" t="e">
        <f t="shared" si="121"/>
        <v>#DIV/0!</v>
      </c>
      <c r="AC70" s="11" t="e">
        <f t="shared" si="122"/>
        <v>#DIV/0!</v>
      </c>
      <c r="AD70" s="11" t="e">
        <f t="shared" si="123"/>
        <v>#DIV/0!</v>
      </c>
    </row>
    <row r="71" spans="2:30" ht="15.75" customHeight="1" x14ac:dyDescent="0.3">
      <c r="B71" s="52"/>
      <c r="C71" s="53"/>
      <c r="D71" s="53"/>
      <c r="E71" s="53">
        <f t="shared" ref="E71:J71" si="125">SUM(E65:E70)</f>
        <v>154</v>
      </c>
      <c r="F71" s="54">
        <f t="shared" si="125"/>
        <v>154000</v>
      </c>
      <c r="G71" s="54">
        <f t="shared" si="125"/>
        <v>0</v>
      </c>
      <c r="H71" s="54">
        <f t="shared" si="125"/>
        <v>154000</v>
      </c>
      <c r="I71" s="55">
        <f t="shared" si="125"/>
        <v>25928</v>
      </c>
      <c r="J71" s="55">
        <f t="shared" si="125"/>
        <v>30800</v>
      </c>
      <c r="K71" s="56">
        <f>+H71*0.6-I71-J71-G71</f>
        <v>35672</v>
      </c>
      <c r="L71" s="42">
        <f t="shared" si="113"/>
        <v>0.36836363636363634</v>
      </c>
      <c r="M71" s="31">
        <f>L71+L72</f>
        <v>0.6</v>
      </c>
      <c r="N71" s="5"/>
      <c r="O71" s="5"/>
      <c r="P71" s="5"/>
      <c r="Q71" s="5"/>
      <c r="R71" s="63"/>
      <c r="S71" s="53"/>
      <c r="T71" s="53"/>
      <c r="U71" s="53">
        <f t="shared" ref="U71:Z71" si="126">SUM(U66:U70)</f>
        <v>-6</v>
      </c>
      <c r="V71" s="54">
        <f t="shared" si="126"/>
        <v>-6000</v>
      </c>
      <c r="W71" s="54">
        <f t="shared" si="126"/>
        <v>0</v>
      </c>
      <c r="X71" s="54">
        <f t="shared" si="126"/>
        <v>-6000</v>
      </c>
      <c r="Y71" s="55">
        <f t="shared" si="126"/>
        <v>3776</v>
      </c>
      <c r="Z71" s="55">
        <f t="shared" si="126"/>
        <v>-1419.6</v>
      </c>
      <c r="AA71" s="56">
        <f>+X71*0.6-Y71-Z71-W71</f>
        <v>-5956.4</v>
      </c>
      <c r="AB71" s="19">
        <f t="shared" si="121"/>
        <v>-0.39273333333333332</v>
      </c>
      <c r="AC71" s="4"/>
      <c r="AD71" s="4"/>
    </row>
    <row r="72" spans="2:30" ht="15.75" customHeight="1" x14ac:dyDescent="0.3">
      <c r="B72" s="27"/>
      <c r="C72" s="5"/>
      <c r="D72" s="5"/>
      <c r="E72" s="5"/>
      <c r="F72" s="5"/>
      <c r="G72" s="23"/>
      <c r="H72" s="23"/>
      <c r="I72" s="23"/>
      <c r="J72" s="4"/>
      <c r="K72" s="64">
        <f>H71*0.3</f>
        <v>46200</v>
      </c>
      <c r="L72" s="43">
        <f>+K71/H71</f>
        <v>0.23163636363636364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  <c r="AA72" s="4">
        <f>X71*0.3</f>
        <v>-1800</v>
      </c>
      <c r="AB72" s="19">
        <f>+AA71/X71</f>
        <v>0.99273333333333325</v>
      </c>
      <c r="AC72" s="4"/>
      <c r="AD72" s="4"/>
    </row>
    <row r="73" spans="2:30" x14ac:dyDescent="0.3">
      <c r="B73" s="27"/>
      <c r="C73" s="5"/>
      <c r="D73" s="5"/>
      <c r="E73" s="5"/>
      <c r="F73" s="5"/>
      <c r="G73" s="23"/>
      <c r="H73" s="23"/>
      <c r="I73" s="3" t="s">
        <v>182</v>
      </c>
      <c r="J73" s="6">
        <v>400</v>
      </c>
      <c r="K73" s="66"/>
      <c r="L73" s="5"/>
      <c r="M73" s="5"/>
      <c r="N73" s="5"/>
      <c r="O73" s="5"/>
      <c r="P73" s="5"/>
      <c r="Q73" s="5"/>
      <c r="R73" s="192" t="s">
        <v>193</v>
      </c>
      <c r="S73" s="2"/>
      <c r="T73" s="2"/>
      <c r="U73" s="2"/>
      <c r="V73" s="3"/>
      <c r="W73" s="3"/>
      <c r="X73" s="3"/>
      <c r="Y73" s="3"/>
      <c r="Z73" s="3" t="s">
        <v>182</v>
      </c>
      <c r="AA73" s="3"/>
      <c r="AB73" s="4"/>
      <c r="AC73" s="4"/>
      <c r="AD73" s="4"/>
    </row>
    <row r="74" spans="2:30" x14ac:dyDescent="0.3">
      <c r="B74" s="28" t="s">
        <v>142</v>
      </c>
      <c r="C74" s="8" t="s">
        <v>188</v>
      </c>
      <c r="D74" s="8" t="s">
        <v>189</v>
      </c>
      <c r="E74" s="8" t="s">
        <v>190</v>
      </c>
      <c r="F74" s="8" t="s">
        <v>145</v>
      </c>
      <c r="G74" s="8" t="s">
        <v>163</v>
      </c>
      <c r="H74" s="8" t="s">
        <v>164</v>
      </c>
      <c r="I74" s="168" t="s">
        <v>165</v>
      </c>
      <c r="J74" s="9" t="s">
        <v>166</v>
      </c>
      <c r="K74" s="67" t="s">
        <v>146</v>
      </c>
      <c r="L74" s="29" t="s">
        <v>179</v>
      </c>
      <c r="M74" s="5" t="s">
        <v>191</v>
      </c>
      <c r="N74" s="5" t="s">
        <v>194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>
        <v>400</v>
      </c>
      <c r="AA74" s="5"/>
      <c r="AB74" s="4"/>
      <c r="AC74" s="4"/>
      <c r="AD74" s="4"/>
    </row>
    <row r="75" spans="2:30" x14ac:dyDescent="0.3">
      <c r="B75" s="178">
        <v>45071</v>
      </c>
      <c r="C75" s="170">
        <v>444</v>
      </c>
      <c r="D75" s="170">
        <f>C69</f>
        <v>309</v>
      </c>
      <c r="E75" s="170">
        <f t="shared" ref="E75:E79" si="127">+C75-D75</f>
        <v>135</v>
      </c>
      <c r="F75" s="171">
        <f t="shared" ref="F75:F79" si="128">+E75*1000</f>
        <v>135000</v>
      </c>
      <c r="G75" s="171"/>
      <c r="H75" s="171">
        <f t="shared" ref="H75:H80" si="129">+F75-G75</f>
        <v>135000</v>
      </c>
      <c r="I75" s="10">
        <v>22000</v>
      </c>
      <c r="J75" s="34">
        <f t="shared" ref="J75:J80" si="130">+E75*$J$3</f>
        <v>27000</v>
      </c>
      <c r="K75" s="194"/>
      <c r="L75" s="31">
        <f t="shared" ref="L75:L81" si="131">+(I75+J75)/H75</f>
        <v>0.36296296296296299</v>
      </c>
      <c r="M75" s="35">
        <f>H75/(B75-B68)</f>
        <v>12272.727272727272</v>
      </c>
      <c r="N75" s="35">
        <f>(H75*0.6-I75-J75)/(B75-B68)</f>
        <v>2909.090909090909</v>
      </c>
      <c r="O75" s="5"/>
      <c r="P75" s="5"/>
      <c r="Q75" s="5"/>
      <c r="R75" s="7" t="s">
        <v>142</v>
      </c>
      <c r="S75" s="8" t="s">
        <v>143</v>
      </c>
      <c r="T75" s="8" t="s">
        <v>162</v>
      </c>
      <c r="U75" s="8" t="s">
        <v>144</v>
      </c>
      <c r="V75" s="8" t="s">
        <v>145</v>
      </c>
      <c r="W75" s="8" t="s">
        <v>163</v>
      </c>
      <c r="X75" s="8" t="s">
        <v>164</v>
      </c>
      <c r="Y75" s="168" t="s">
        <v>165</v>
      </c>
      <c r="Z75" s="9" t="s">
        <v>166</v>
      </c>
      <c r="AA75" s="9" t="s">
        <v>146</v>
      </c>
      <c r="AB75" s="4" t="s">
        <v>179</v>
      </c>
      <c r="AC75" s="4" t="s">
        <v>191</v>
      </c>
      <c r="AD75" s="4" t="s">
        <v>194</v>
      </c>
    </row>
    <row r="76" spans="2:30" x14ac:dyDescent="0.3">
      <c r="B76" s="32">
        <v>45082</v>
      </c>
      <c r="C76" s="13">
        <v>477</v>
      </c>
      <c r="D76" s="13">
        <f t="shared" ref="D76:D80" si="132">IF(B76=0,0,C75)</f>
        <v>444</v>
      </c>
      <c r="E76" s="170">
        <f t="shared" si="127"/>
        <v>33</v>
      </c>
      <c r="F76" s="171">
        <f t="shared" si="128"/>
        <v>33000</v>
      </c>
      <c r="G76" s="171">
        <v>0</v>
      </c>
      <c r="H76" s="171">
        <f t="shared" si="129"/>
        <v>33000</v>
      </c>
      <c r="I76" s="33">
        <v>1888</v>
      </c>
      <c r="J76" s="34">
        <f t="shared" si="130"/>
        <v>6600</v>
      </c>
      <c r="K76" s="172"/>
      <c r="L76" s="31">
        <f t="shared" si="131"/>
        <v>0.25721212121212123</v>
      </c>
      <c r="M76" s="35">
        <f t="shared" ref="M76:M80" si="133">H76/(B76-B75)</f>
        <v>3000</v>
      </c>
      <c r="N76" s="35">
        <f t="shared" ref="N76:N80" si="134">(H76*0.6-I76-J76)/(B76-B75)</f>
        <v>1028.3636363636363</v>
      </c>
      <c r="O76" s="5"/>
      <c r="P76" s="5"/>
      <c r="Q76" s="5"/>
      <c r="R76" s="169"/>
      <c r="S76" s="170"/>
      <c r="T76" s="170">
        <f>S67</f>
        <v>0</v>
      </c>
      <c r="U76" s="170">
        <f t="shared" ref="U76:U80" si="135">+S76-T76</f>
        <v>0</v>
      </c>
      <c r="V76" s="171">
        <f t="shared" ref="V76:V80" si="136">+U76*1000</f>
        <v>0</v>
      </c>
      <c r="W76" s="171">
        <v>0</v>
      </c>
      <c r="X76" s="171">
        <f t="shared" ref="X76:X80" si="137">+V76-W76</f>
        <v>0</v>
      </c>
      <c r="Y76" s="10">
        <f>944*2</f>
        <v>1888</v>
      </c>
      <c r="Z76" s="174">
        <f t="shared" ref="Z76:Z80" si="138">+U76*$Z$4/2</f>
        <v>0</v>
      </c>
      <c r="AA76" s="172"/>
      <c r="AB76" s="4"/>
      <c r="AC76" s="11"/>
      <c r="AD76" s="11"/>
    </row>
    <row r="77" spans="2:30" x14ac:dyDescent="0.3">
      <c r="B77" s="32">
        <v>45087</v>
      </c>
      <c r="C77" s="13">
        <v>511</v>
      </c>
      <c r="D77" s="13">
        <f t="shared" si="132"/>
        <v>477</v>
      </c>
      <c r="E77" s="170">
        <f t="shared" si="127"/>
        <v>34</v>
      </c>
      <c r="F77" s="171">
        <f t="shared" si="128"/>
        <v>34000</v>
      </c>
      <c r="G77" s="171">
        <v>0</v>
      </c>
      <c r="H77" s="171">
        <f t="shared" si="129"/>
        <v>34000</v>
      </c>
      <c r="I77" s="33">
        <v>5664</v>
      </c>
      <c r="J77" s="36">
        <f t="shared" si="130"/>
        <v>6800</v>
      </c>
      <c r="K77" s="172"/>
      <c r="L77" s="31">
        <f t="shared" si="131"/>
        <v>0.36658823529411766</v>
      </c>
      <c r="M77" s="35">
        <f t="shared" si="133"/>
        <v>6800</v>
      </c>
      <c r="N77" s="35">
        <f t="shared" si="134"/>
        <v>1587.2</v>
      </c>
      <c r="O77" s="5"/>
      <c r="P77" s="5"/>
      <c r="Q77" s="5"/>
      <c r="R77" s="12"/>
      <c r="S77" s="13"/>
      <c r="T77" s="13">
        <v>3</v>
      </c>
      <c r="U77" s="170">
        <f t="shared" si="135"/>
        <v>-3</v>
      </c>
      <c r="V77" s="171">
        <f t="shared" si="136"/>
        <v>-3000</v>
      </c>
      <c r="W77" s="171">
        <v>0</v>
      </c>
      <c r="X77" s="171">
        <f t="shared" si="137"/>
        <v>-3000</v>
      </c>
      <c r="Y77" s="173"/>
      <c r="Z77" s="174">
        <f t="shared" si="138"/>
        <v>-709.8</v>
      </c>
      <c r="AA77" s="172"/>
      <c r="AB77" s="14">
        <f t="shared" ref="AB77:AB81" si="139">+(Y77+Z77)/X77</f>
        <v>0.23659999999999998</v>
      </c>
      <c r="AC77" s="11" t="e">
        <f t="shared" ref="AC77:AC80" si="140">X77/(R77-R76)</f>
        <v>#DIV/0!</v>
      </c>
      <c r="AD77" s="11" t="e">
        <f t="shared" ref="AD77:AD80" si="141">(X77*0.6-Y77-Z77)/(R77-R76)</f>
        <v>#DIV/0!</v>
      </c>
    </row>
    <row r="78" spans="2:30" x14ac:dyDescent="0.3">
      <c r="B78" s="32">
        <v>45091</v>
      </c>
      <c r="C78" s="13">
        <v>522</v>
      </c>
      <c r="D78" s="13">
        <f t="shared" si="132"/>
        <v>511</v>
      </c>
      <c r="E78" s="170">
        <f t="shared" si="127"/>
        <v>11</v>
      </c>
      <c r="F78" s="171">
        <f t="shared" si="128"/>
        <v>11000</v>
      </c>
      <c r="G78" s="171">
        <v>0</v>
      </c>
      <c r="H78" s="171">
        <f t="shared" si="129"/>
        <v>11000</v>
      </c>
      <c r="I78" s="33"/>
      <c r="J78" s="36">
        <f t="shared" si="130"/>
        <v>2200</v>
      </c>
      <c r="K78" s="172"/>
      <c r="L78" s="31">
        <f t="shared" si="131"/>
        <v>0.2</v>
      </c>
      <c r="M78" s="35">
        <f t="shared" si="133"/>
        <v>2750</v>
      </c>
      <c r="N78" s="35">
        <f t="shared" si="134"/>
        <v>1100</v>
      </c>
      <c r="O78" s="5"/>
      <c r="P78" s="5"/>
      <c r="Q78" s="5"/>
      <c r="R78" s="12"/>
      <c r="S78" s="13"/>
      <c r="T78" s="13">
        <f t="shared" ref="T78:T80" si="142">IF(R78=0,0,S77)</f>
        <v>0</v>
      </c>
      <c r="U78" s="170">
        <f t="shared" si="135"/>
        <v>0</v>
      </c>
      <c r="V78" s="171">
        <f t="shared" si="136"/>
        <v>0</v>
      </c>
      <c r="W78" s="171">
        <v>0</v>
      </c>
      <c r="X78" s="171">
        <f t="shared" si="137"/>
        <v>0</v>
      </c>
      <c r="Y78" s="173"/>
      <c r="Z78" s="174">
        <f t="shared" si="138"/>
        <v>0</v>
      </c>
      <c r="AA78" s="172"/>
      <c r="AB78" s="14" t="e">
        <f t="shared" si="139"/>
        <v>#DIV/0!</v>
      </c>
      <c r="AC78" s="11" t="e">
        <f t="shared" si="140"/>
        <v>#DIV/0!</v>
      </c>
      <c r="AD78" s="11" t="e">
        <f t="shared" si="141"/>
        <v>#DIV/0!</v>
      </c>
    </row>
    <row r="79" spans="2:30" x14ac:dyDescent="0.3">
      <c r="B79" s="32">
        <v>45096</v>
      </c>
      <c r="C79" s="13">
        <v>552</v>
      </c>
      <c r="D79" s="13">
        <f t="shared" si="132"/>
        <v>522</v>
      </c>
      <c r="E79" s="170">
        <f t="shared" si="127"/>
        <v>30</v>
      </c>
      <c r="F79" s="171">
        <f t="shared" si="128"/>
        <v>30000</v>
      </c>
      <c r="G79" s="171">
        <v>0</v>
      </c>
      <c r="H79" s="171">
        <f t="shared" si="129"/>
        <v>30000</v>
      </c>
      <c r="I79" s="173"/>
      <c r="J79" s="174">
        <f t="shared" si="130"/>
        <v>6000</v>
      </c>
      <c r="K79" s="172"/>
      <c r="L79" s="37">
        <f t="shared" si="131"/>
        <v>0.2</v>
      </c>
      <c r="M79" s="35">
        <f t="shared" si="133"/>
        <v>6000</v>
      </c>
      <c r="N79" s="35">
        <f t="shared" si="134"/>
        <v>2400</v>
      </c>
      <c r="O79" s="5"/>
      <c r="P79" s="5"/>
      <c r="Q79" s="5"/>
      <c r="R79" s="12"/>
      <c r="S79" s="13"/>
      <c r="T79" s="13">
        <f t="shared" si="142"/>
        <v>0</v>
      </c>
      <c r="U79" s="170">
        <f t="shared" si="135"/>
        <v>0</v>
      </c>
      <c r="V79" s="171">
        <f t="shared" si="136"/>
        <v>0</v>
      </c>
      <c r="W79" s="171">
        <v>0</v>
      </c>
      <c r="X79" s="171">
        <f t="shared" si="137"/>
        <v>0</v>
      </c>
      <c r="Y79" s="173">
        <f>944*2</f>
        <v>1888</v>
      </c>
      <c r="Z79" s="174">
        <f t="shared" si="138"/>
        <v>0</v>
      </c>
      <c r="AA79" s="172"/>
      <c r="AB79" s="14" t="e">
        <f t="shared" si="139"/>
        <v>#DIV/0!</v>
      </c>
      <c r="AC79" s="11" t="e">
        <f t="shared" si="140"/>
        <v>#DIV/0!</v>
      </c>
      <c r="AD79" s="11" t="e">
        <f t="shared" si="141"/>
        <v>#DIV/0!</v>
      </c>
    </row>
    <row r="80" spans="2:30" x14ac:dyDescent="0.3">
      <c r="B80" s="45"/>
      <c r="C80" s="46"/>
      <c r="D80" s="46">
        <f t="shared" si="132"/>
        <v>0</v>
      </c>
      <c r="E80" s="47"/>
      <c r="F80" s="48"/>
      <c r="G80" s="48"/>
      <c r="H80" s="48">
        <f t="shared" si="129"/>
        <v>0</v>
      </c>
      <c r="I80" s="193"/>
      <c r="J80" s="59">
        <f t="shared" si="130"/>
        <v>0</v>
      </c>
      <c r="K80" s="51"/>
      <c r="L80" s="37" t="e">
        <f t="shared" si="131"/>
        <v>#DIV/0!</v>
      </c>
      <c r="M80" s="35">
        <f t="shared" si="133"/>
        <v>0</v>
      </c>
      <c r="N80" s="35">
        <f t="shared" si="134"/>
        <v>0</v>
      </c>
      <c r="O80" s="5"/>
      <c r="P80" s="5"/>
      <c r="Q80" s="5"/>
      <c r="R80" s="61"/>
      <c r="S80" s="46"/>
      <c r="T80" s="46">
        <f t="shared" si="142"/>
        <v>0</v>
      </c>
      <c r="U80" s="47">
        <f t="shared" si="135"/>
        <v>0</v>
      </c>
      <c r="V80" s="48">
        <f t="shared" si="136"/>
        <v>0</v>
      </c>
      <c r="W80" s="48">
        <v>0</v>
      </c>
      <c r="X80" s="48">
        <f t="shared" si="137"/>
        <v>0</v>
      </c>
      <c r="Y80" s="193"/>
      <c r="Z80" s="59">
        <f t="shared" si="138"/>
        <v>0</v>
      </c>
      <c r="AA80" s="51"/>
      <c r="AB80" s="14" t="e">
        <f t="shared" si="139"/>
        <v>#DIV/0!</v>
      </c>
      <c r="AC80" s="11" t="e">
        <f t="shared" si="140"/>
        <v>#DIV/0!</v>
      </c>
      <c r="AD80" s="11" t="e">
        <f t="shared" si="141"/>
        <v>#DIV/0!</v>
      </c>
    </row>
    <row r="81" spans="2:30" ht="15.75" customHeight="1" x14ac:dyDescent="0.3">
      <c r="B81" s="52"/>
      <c r="C81" s="53"/>
      <c r="D81" s="53"/>
      <c r="E81" s="53">
        <f t="shared" ref="E81:J81" si="143">SUM(E75:E80)</f>
        <v>243</v>
      </c>
      <c r="F81" s="54">
        <f t="shared" si="143"/>
        <v>243000</v>
      </c>
      <c r="G81" s="54">
        <f t="shared" si="143"/>
        <v>0</v>
      </c>
      <c r="H81" s="54">
        <f t="shared" si="143"/>
        <v>243000</v>
      </c>
      <c r="I81" s="55">
        <f t="shared" si="143"/>
        <v>29552</v>
      </c>
      <c r="J81" s="55">
        <f t="shared" si="143"/>
        <v>48600</v>
      </c>
      <c r="K81" s="56">
        <f>+H81*0.6-I81-J81-G81</f>
        <v>67648</v>
      </c>
      <c r="L81" s="42">
        <f t="shared" si="131"/>
        <v>0.32161316872427986</v>
      </c>
      <c r="M81" s="31">
        <f>L81+L82</f>
        <v>0.60000000000000009</v>
      </c>
      <c r="N81" s="5"/>
      <c r="O81" s="5"/>
      <c r="P81" s="5"/>
      <c r="Q81" s="5"/>
      <c r="R81" s="63"/>
      <c r="S81" s="53"/>
      <c r="T81" s="53"/>
      <c r="U81" s="53">
        <f t="shared" ref="U81:Z81" si="144">SUM(U76:U80)</f>
        <v>-3</v>
      </c>
      <c r="V81" s="54">
        <f t="shared" si="144"/>
        <v>-3000</v>
      </c>
      <c r="W81" s="54">
        <f t="shared" si="144"/>
        <v>0</v>
      </c>
      <c r="X81" s="54">
        <f t="shared" si="144"/>
        <v>-3000</v>
      </c>
      <c r="Y81" s="55">
        <f t="shared" si="144"/>
        <v>3776</v>
      </c>
      <c r="Z81" s="55">
        <f t="shared" si="144"/>
        <v>-709.8</v>
      </c>
      <c r="AA81" s="56">
        <f>+X81*0.6-Y81-Z81-W81</f>
        <v>-4866.2</v>
      </c>
      <c r="AB81" s="19">
        <f t="shared" si="139"/>
        <v>-1.0220666666666667</v>
      </c>
      <c r="AC81" s="4"/>
      <c r="AD81" s="4"/>
    </row>
    <row r="82" spans="2:30" ht="15.75" customHeight="1" x14ac:dyDescent="0.3">
      <c r="B82" s="27"/>
      <c r="C82" s="5"/>
      <c r="D82" s="5"/>
      <c r="E82" s="5"/>
      <c r="F82" s="5"/>
      <c r="G82" s="23"/>
      <c r="H82" s="23"/>
      <c r="I82" s="23"/>
      <c r="J82" s="4"/>
      <c r="K82" s="64">
        <f>H81*0.3</f>
        <v>72900</v>
      </c>
      <c r="L82" s="43">
        <f>+K81/H81</f>
        <v>0.27838683127572017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  <c r="AA82" s="4">
        <f>X81*0.3</f>
        <v>-900</v>
      </c>
      <c r="AB82" s="19">
        <f>+AA81/X81</f>
        <v>1.6220666666666665</v>
      </c>
      <c r="AC82" s="4"/>
      <c r="AD82" s="4"/>
    </row>
    <row r="83" spans="2:30" x14ac:dyDescent="0.3">
      <c r="B83" s="27"/>
      <c r="C83" s="5"/>
      <c r="D83" s="5"/>
      <c r="E83" s="5"/>
      <c r="F83" s="5"/>
      <c r="G83" s="23"/>
      <c r="H83" s="23"/>
      <c r="I83" s="3" t="s">
        <v>182</v>
      </c>
      <c r="J83" s="6">
        <v>400</v>
      </c>
      <c r="K83" s="66"/>
      <c r="L83" s="5"/>
      <c r="M83" s="5"/>
      <c r="N83" s="5"/>
      <c r="O83" s="5"/>
      <c r="P83" s="5"/>
      <c r="Q83" s="5"/>
      <c r="R83" s="192" t="s">
        <v>193</v>
      </c>
      <c r="S83" s="2"/>
      <c r="T83" s="2"/>
      <c r="U83" s="2"/>
      <c r="V83" s="3"/>
      <c r="W83" s="3"/>
      <c r="X83" s="3"/>
      <c r="Y83" s="3"/>
      <c r="Z83" s="3" t="s">
        <v>182</v>
      </c>
      <c r="AA83" s="3"/>
      <c r="AB83" s="4"/>
      <c r="AC83" s="4"/>
      <c r="AD83" s="4"/>
    </row>
    <row r="84" spans="2:30" x14ac:dyDescent="0.3">
      <c r="B84" s="28" t="s">
        <v>142</v>
      </c>
      <c r="C84" s="8" t="s">
        <v>188</v>
      </c>
      <c r="D84" s="8" t="s">
        <v>189</v>
      </c>
      <c r="E84" s="8" t="s">
        <v>190</v>
      </c>
      <c r="F84" s="8" t="s">
        <v>145</v>
      </c>
      <c r="G84" s="8" t="s">
        <v>163</v>
      </c>
      <c r="H84" s="8" t="s">
        <v>164</v>
      </c>
      <c r="I84" s="168" t="s">
        <v>165</v>
      </c>
      <c r="J84" s="9" t="s">
        <v>166</v>
      </c>
      <c r="K84" s="67" t="s">
        <v>146</v>
      </c>
      <c r="L84" s="29" t="s">
        <v>179</v>
      </c>
      <c r="M84" s="5" t="s">
        <v>191</v>
      </c>
      <c r="N84" s="5" t="s">
        <v>194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>
        <v>400</v>
      </c>
      <c r="AA84" s="5"/>
      <c r="AB84" s="4"/>
      <c r="AC84" s="4"/>
      <c r="AD84" s="4"/>
    </row>
    <row r="85" spans="2:30" x14ac:dyDescent="0.3">
      <c r="B85" s="178">
        <v>45101</v>
      </c>
      <c r="C85" s="170">
        <v>580</v>
      </c>
      <c r="D85" s="170">
        <f>C79</f>
        <v>552</v>
      </c>
      <c r="E85" s="170">
        <f t="shared" ref="E85:E89" si="145">+C85-D85</f>
        <v>28</v>
      </c>
      <c r="F85" s="171">
        <f t="shared" ref="F85:F89" si="146">+E85*1000</f>
        <v>28000</v>
      </c>
      <c r="G85" s="171"/>
      <c r="H85" s="171">
        <f t="shared" ref="H85:H90" si="147">+F85-G85</f>
        <v>28000</v>
      </c>
      <c r="I85" s="10"/>
      <c r="J85" s="34">
        <f t="shared" ref="J85:J90" si="148">+E85*$J$3</f>
        <v>5600</v>
      </c>
      <c r="K85" s="194"/>
      <c r="L85" s="31">
        <f t="shared" ref="L85:L91" si="149">+(I85+J85)/H85</f>
        <v>0.2</v>
      </c>
      <c r="M85" s="35">
        <f>H85/(B85-B78)</f>
        <v>2800</v>
      </c>
      <c r="N85" s="35">
        <f>(H85*0.6-I85-J85)/(B85-B78)</f>
        <v>1120</v>
      </c>
      <c r="O85" s="5"/>
      <c r="P85" s="5"/>
      <c r="Q85" s="5"/>
      <c r="R85" s="7" t="s">
        <v>142</v>
      </c>
      <c r="S85" s="8" t="s">
        <v>143</v>
      </c>
      <c r="T85" s="8" t="s">
        <v>162</v>
      </c>
      <c r="U85" s="8" t="s">
        <v>144</v>
      </c>
      <c r="V85" s="8" t="s">
        <v>145</v>
      </c>
      <c r="W85" s="8" t="s">
        <v>163</v>
      </c>
      <c r="X85" s="8" t="s">
        <v>164</v>
      </c>
      <c r="Y85" s="168" t="s">
        <v>165</v>
      </c>
      <c r="Z85" s="9" t="s">
        <v>166</v>
      </c>
      <c r="AA85" s="9" t="s">
        <v>146</v>
      </c>
      <c r="AB85" s="4" t="s">
        <v>179</v>
      </c>
      <c r="AC85" s="4" t="s">
        <v>191</v>
      </c>
      <c r="AD85" s="4" t="s">
        <v>194</v>
      </c>
    </row>
    <row r="86" spans="2:30" x14ac:dyDescent="0.3">
      <c r="B86" s="32">
        <v>45109</v>
      </c>
      <c r="C86" s="13">
        <v>606</v>
      </c>
      <c r="D86" s="13">
        <f t="shared" ref="D86:D90" si="150">IF(B86=0,0,C85)</f>
        <v>580</v>
      </c>
      <c r="E86" s="170">
        <f t="shared" si="145"/>
        <v>26</v>
      </c>
      <c r="F86" s="171">
        <f t="shared" si="146"/>
        <v>26000</v>
      </c>
      <c r="G86" s="171">
        <v>0</v>
      </c>
      <c r="H86" s="171">
        <f t="shared" si="147"/>
        <v>26000</v>
      </c>
      <c r="I86" s="33"/>
      <c r="J86" s="34">
        <f t="shared" si="148"/>
        <v>5200</v>
      </c>
      <c r="K86" s="172"/>
      <c r="L86" s="31">
        <f t="shared" si="149"/>
        <v>0.2</v>
      </c>
      <c r="M86" s="35">
        <f t="shared" ref="M86:M90" si="151">H86/(B86-B85)</f>
        <v>3250</v>
      </c>
      <c r="N86" s="35">
        <f t="shared" ref="N86:N90" si="152">(H86*0.6-I86-J86)/(B86-B85)</f>
        <v>1300</v>
      </c>
      <c r="O86" s="5"/>
      <c r="P86" s="5"/>
      <c r="Q86" s="5"/>
      <c r="R86" s="169"/>
      <c r="S86" s="170"/>
      <c r="T86" s="170">
        <f>S77</f>
        <v>0</v>
      </c>
      <c r="U86" s="170">
        <f t="shared" ref="U86:U90" si="153">+S86-T86</f>
        <v>0</v>
      </c>
      <c r="V86" s="171">
        <f t="shared" ref="V86:V90" si="154">+U86*1000</f>
        <v>0</v>
      </c>
      <c r="W86" s="171">
        <v>0</v>
      </c>
      <c r="X86" s="171">
        <f t="shared" ref="X86:X90" si="155">+V86-W86</f>
        <v>0</v>
      </c>
      <c r="Y86" s="10">
        <f>944*2</f>
        <v>1888</v>
      </c>
      <c r="Z86" s="174">
        <f t="shared" ref="Z86:Z90" si="156">+U86*$Z$4/2</f>
        <v>0</v>
      </c>
      <c r="AA86" s="172"/>
      <c r="AB86" s="4"/>
      <c r="AC86" s="11"/>
      <c r="AD86" s="11"/>
    </row>
    <row r="87" spans="2:30" x14ac:dyDescent="0.3">
      <c r="B87" s="32"/>
      <c r="C87" s="13"/>
      <c r="D87" s="13">
        <f t="shared" si="150"/>
        <v>0</v>
      </c>
      <c r="E87" s="170">
        <f t="shared" si="145"/>
        <v>0</v>
      </c>
      <c r="F87" s="171">
        <f t="shared" si="146"/>
        <v>0</v>
      </c>
      <c r="G87" s="171">
        <v>0</v>
      </c>
      <c r="H87" s="171">
        <f t="shared" si="147"/>
        <v>0</v>
      </c>
      <c r="I87" s="33"/>
      <c r="J87" s="36">
        <f t="shared" si="148"/>
        <v>0</v>
      </c>
      <c r="K87" s="172"/>
      <c r="L87" s="31" t="e">
        <f t="shared" si="149"/>
        <v>#DIV/0!</v>
      </c>
      <c r="M87" s="35">
        <f t="shared" si="151"/>
        <v>0</v>
      </c>
      <c r="N87" s="35">
        <f t="shared" si="152"/>
        <v>0</v>
      </c>
      <c r="O87" s="5"/>
      <c r="P87" s="5"/>
      <c r="Q87" s="5"/>
      <c r="R87" s="12"/>
      <c r="S87" s="13"/>
      <c r="T87" s="13">
        <v>3</v>
      </c>
      <c r="U87" s="170">
        <f t="shared" si="153"/>
        <v>-3</v>
      </c>
      <c r="V87" s="171">
        <f t="shared" si="154"/>
        <v>-3000</v>
      </c>
      <c r="W87" s="171">
        <v>0</v>
      </c>
      <c r="X87" s="171">
        <f t="shared" si="155"/>
        <v>-3000</v>
      </c>
      <c r="Y87" s="173"/>
      <c r="Z87" s="174">
        <f t="shared" si="156"/>
        <v>-709.8</v>
      </c>
      <c r="AA87" s="172"/>
      <c r="AB87" s="14">
        <f t="shared" ref="AB87:AB91" si="157">+(Y87+Z87)/X87</f>
        <v>0.23659999999999998</v>
      </c>
      <c r="AC87" s="11" t="e">
        <f t="shared" ref="AC87:AC90" si="158">X87/(R87-R86)</f>
        <v>#DIV/0!</v>
      </c>
      <c r="AD87" s="11" t="e">
        <f t="shared" ref="AD87:AD90" si="159">(X87*0.6-Y87-Z87)/(R87-R86)</f>
        <v>#DIV/0!</v>
      </c>
    </row>
    <row r="88" spans="2:30" x14ac:dyDescent="0.3">
      <c r="B88" s="32"/>
      <c r="C88" s="13"/>
      <c r="D88" s="13">
        <f t="shared" si="150"/>
        <v>0</v>
      </c>
      <c r="E88" s="170">
        <f t="shared" si="145"/>
        <v>0</v>
      </c>
      <c r="F88" s="171">
        <f t="shared" si="146"/>
        <v>0</v>
      </c>
      <c r="G88" s="171">
        <v>0</v>
      </c>
      <c r="H88" s="171">
        <f t="shared" si="147"/>
        <v>0</v>
      </c>
      <c r="I88" s="33"/>
      <c r="J88" s="36">
        <f t="shared" si="148"/>
        <v>0</v>
      </c>
      <c r="K88" s="172"/>
      <c r="L88" s="31" t="e">
        <f t="shared" si="149"/>
        <v>#DIV/0!</v>
      </c>
      <c r="M88" s="35" t="e">
        <f t="shared" si="151"/>
        <v>#DIV/0!</v>
      </c>
      <c r="N88" s="35" t="e">
        <f t="shared" si="152"/>
        <v>#DIV/0!</v>
      </c>
      <c r="O88" s="5"/>
      <c r="P88" s="5"/>
      <c r="Q88" s="5"/>
      <c r="R88" s="12"/>
      <c r="S88" s="13"/>
      <c r="T88" s="13">
        <f t="shared" ref="T88:T90" si="160">IF(R88=0,0,S87)</f>
        <v>0</v>
      </c>
      <c r="U88" s="170">
        <f t="shared" si="153"/>
        <v>0</v>
      </c>
      <c r="V88" s="171">
        <f t="shared" si="154"/>
        <v>0</v>
      </c>
      <c r="W88" s="171">
        <v>0</v>
      </c>
      <c r="X88" s="171">
        <f t="shared" si="155"/>
        <v>0</v>
      </c>
      <c r="Y88" s="173"/>
      <c r="Z88" s="174">
        <f t="shared" si="156"/>
        <v>0</v>
      </c>
      <c r="AA88" s="172"/>
      <c r="AB88" s="14" t="e">
        <f t="shared" si="157"/>
        <v>#DIV/0!</v>
      </c>
      <c r="AC88" s="11" t="e">
        <f t="shared" si="158"/>
        <v>#DIV/0!</v>
      </c>
      <c r="AD88" s="11" t="e">
        <f t="shared" si="159"/>
        <v>#DIV/0!</v>
      </c>
    </row>
    <row r="89" spans="2:30" x14ac:dyDescent="0.3">
      <c r="B89" s="32"/>
      <c r="C89" s="13"/>
      <c r="D89" s="13">
        <f t="shared" si="150"/>
        <v>0</v>
      </c>
      <c r="E89" s="170">
        <f t="shared" si="145"/>
        <v>0</v>
      </c>
      <c r="F89" s="171">
        <f t="shared" si="146"/>
        <v>0</v>
      </c>
      <c r="G89" s="171">
        <v>0</v>
      </c>
      <c r="H89" s="171">
        <f t="shared" si="147"/>
        <v>0</v>
      </c>
      <c r="I89" s="173"/>
      <c r="J89" s="174">
        <f t="shared" si="148"/>
        <v>0</v>
      </c>
      <c r="K89" s="172"/>
      <c r="L89" s="37" t="e">
        <f t="shared" si="149"/>
        <v>#DIV/0!</v>
      </c>
      <c r="M89" s="35" t="e">
        <f t="shared" si="151"/>
        <v>#DIV/0!</v>
      </c>
      <c r="N89" s="35" t="e">
        <f t="shared" si="152"/>
        <v>#DIV/0!</v>
      </c>
      <c r="O89" s="5"/>
      <c r="P89" s="5"/>
      <c r="Q89" s="5"/>
      <c r="R89" s="12"/>
      <c r="S89" s="13"/>
      <c r="T89" s="13">
        <f t="shared" si="160"/>
        <v>0</v>
      </c>
      <c r="U89" s="170">
        <f t="shared" si="153"/>
        <v>0</v>
      </c>
      <c r="V89" s="171">
        <f t="shared" si="154"/>
        <v>0</v>
      </c>
      <c r="W89" s="171">
        <v>0</v>
      </c>
      <c r="X89" s="171">
        <f t="shared" si="155"/>
        <v>0</v>
      </c>
      <c r="Y89" s="173">
        <f>944*2</f>
        <v>1888</v>
      </c>
      <c r="Z89" s="174">
        <f t="shared" si="156"/>
        <v>0</v>
      </c>
      <c r="AA89" s="172"/>
      <c r="AB89" s="14" t="e">
        <f t="shared" si="157"/>
        <v>#DIV/0!</v>
      </c>
      <c r="AC89" s="11" t="e">
        <f t="shared" si="158"/>
        <v>#DIV/0!</v>
      </c>
      <c r="AD89" s="11" t="e">
        <f t="shared" si="159"/>
        <v>#DIV/0!</v>
      </c>
    </row>
    <row r="90" spans="2:30" x14ac:dyDescent="0.3">
      <c r="B90" s="45"/>
      <c r="C90" s="46"/>
      <c r="D90" s="46">
        <f t="shared" si="150"/>
        <v>0</v>
      </c>
      <c r="E90" s="47"/>
      <c r="F90" s="48"/>
      <c r="G90" s="48"/>
      <c r="H90" s="48">
        <f t="shared" si="147"/>
        <v>0</v>
      </c>
      <c r="I90" s="193"/>
      <c r="J90" s="59">
        <f t="shared" si="148"/>
        <v>0</v>
      </c>
      <c r="K90" s="51"/>
      <c r="L90" s="37" t="e">
        <f t="shared" si="149"/>
        <v>#DIV/0!</v>
      </c>
      <c r="M90" s="35" t="e">
        <f t="shared" si="151"/>
        <v>#DIV/0!</v>
      </c>
      <c r="N90" s="35" t="e">
        <f t="shared" si="152"/>
        <v>#DIV/0!</v>
      </c>
      <c r="O90" s="5"/>
      <c r="P90" s="5"/>
      <c r="Q90" s="5"/>
      <c r="R90" s="61"/>
      <c r="S90" s="46"/>
      <c r="T90" s="46">
        <f t="shared" si="160"/>
        <v>0</v>
      </c>
      <c r="U90" s="47">
        <f t="shared" si="153"/>
        <v>0</v>
      </c>
      <c r="V90" s="48">
        <f t="shared" si="154"/>
        <v>0</v>
      </c>
      <c r="W90" s="48">
        <v>0</v>
      </c>
      <c r="X90" s="48">
        <f t="shared" si="155"/>
        <v>0</v>
      </c>
      <c r="Y90" s="193"/>
      <c r="Z90" s="59">
        <f t="shared" si="156"/>
        <v>0</v>
      </c>
      <c r="AA90" s="51"/>
      <c r="AB90" s="14" t="e">
        <f t="shared" si="157"/>
        <v>#DIV/0!</v>
      </c>
      <c r="AC90" s="11" t="e">
        <f t="shared" si="158"/>
        <v>#DIV/0!</v>
      </c>
      <c r="AD90" s="11" t="e">
        <f t="shared" si="159"/>
        <v>#DIV/0!</v>
      </c>
    </row>
    <row r="91" spans="2:30" ht="15.75" customHeight="1" x14ac:dyDescent="0.3">
      <c r="B91" s="52"/>
      <c r="C91" s="53"/>
      <c r="D91" s="53"/>
      <c r="E91" s="53">
        <f t="shared" ref="E91:J91" si="161">SUM(E85:E90)</f>
        <v>54</v>
      </c>
      <c r="F91" s="54">
        <f t="shared" si="161"/>
        <v>54000</v>
      </c>
      <c r="G91" s="54">
        <f t="shared" si="161"/>
        <v>0</v>
      </c>
      <c r="H91" s="54">
        <f t="shared" si="161"/>
        <v>54000</v>
      </c>
      <c r="I91" s="55">
        <f t="shared" si="161"/>
        <v>0</v>
      </c>
      <c r="J91" s="55">
        <f t="shared" si="161"/>
        <v>10800</v>
      </c>
      <c r="K91" s="56">
        <f>+H91*0.6-I91-J91-G91</f>
        <v>21600</v>
      </c>
      <c r="L91" s="42">
        <f t="shared" si="149"/>
        <v>0.2</v>
      </c>
      <c r="M91" s="31">
        <f>L91+L92</f>
        <v>0.60000000000000009</v>
      </c>
      <c r="N91" s="5"/>
      <c r="O91" s="5"/>
      <c r="P91" s="5"/>
      <c r="Q91" s="5"/>
      <c r="R91" s="63"/>
      <c r="S91" s="53"/>
      <c r="T91" s="53"/>
      <c r="U91" s="53">
        <f t="shared" ref="U91:Z91" si="162">SUM(U86:U90)</f>
        <v>-3</v>
      </c>
      <c r="V91" s="54">
        <f t="shared" si="162"/>
        <v>-3000</v>
      </c>
      <c r="W91" s="54">
        <f t="shared" si="162"/>
        <v>0</v>
      </c>
      <c r="X91" s="54">
        <f t="shared" si="162"/>
        <v>-3000</v>
      </c>
      <c r="Y91" s="55">
        <f t="shared" si="162"/>
        <v>3776</v>
      </c>
      <c r="Z91" s="55">
        <f t="shared" si="162"/>
        <v>-709.8</v>
      </c>
      <c r="AA91" s="56">
        <f>+X91*0.6-Y91-Z91-W91</f>
        <v>-4866.2</v>
      </c>
      <c r="AB91" s="19">
        <f t="shared" si="157"/>
        <v>-1.0220666666666667</v>
      </c>
      <c r="AC91" s="4"/>
      <c r="AD91" s="4"/>
    </row>
    <row r="92" spans="2:30" ht="15.75" customHeight="1" x14ac:dyDescent="0.3">
      <c r="B92" s="27"/>
      <c r="C92" s="5"/>
      <c r="D92" s="5"/>
      <c r="E92" s="5"/>
      <c r="F92" s="5"/>
      <c r="G92" s="23"/>
      <c r="H92" s="23"/>
      <c r="I92" s="23"/>
      <c r="J92" s="4"/>
      <c r="K92" s="64">
        <f>H91*0.3</f>
        <v>16200</v>
      </c>
      <c r="L92" s="43">
        <f>+K91/H91</f>
        <v>0.4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  <c r="AA92" s="4">
        <f>X91*0.3</f>
        <v>-900</v>
      </c>
      <c r="AB92" s="19">
        <f>+AA91/X91</f>
        <v>1.6220666666666665</v>
      </c>
      <c r="AC92" s="4"/>
      <c r="AD92" s="4"/>
    </row>
  </sheetData>
  <phoneticPr fontId="35"/>
  <pageMargins left="0.69930555555555596" right="0.69930555555555596" top="0.75" bottom="0.75" header="0" footer="0"/>
  <pageSetup paperSize="9" scale="5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B1:N94"/>
  <sheetViews>
    <sheetView workbookViewId="0">
      <pane ySplit="2" topLeftCell="A65" activePane="bottomLeft" state="frozen"/>
      <selection activeCell="C1" sqref="C1"/>
      <selection pane="bottomLeft" activeCell="C1" sqref="C1"/>
    </sheetView>
  </sheetViews>
  <sheetFormatPr defaultColWidth="14.390625" defaultRowHeight="15" customHeight="1" x14ac:dyDescent="0.2"/>
  <cols>
    <col min="1" max="1" width="4.3046875" customWidth="1"/>
    <col min="2" max="2" width="9.55078125" customWidth="1"/>
    <col min="3" max="4" width="7.3984375" customWidth="1"/>
    <col min="5" max="5" width="5.51171875" customWidth="1"/>
    <col min="6" max="6" width="10.22265625" style="241" customWidth="1"/>
    <col min="7" max="7" width="7.53125" customWidth="1"/>
    <col min="8" max="8" width="10.22265625" customWidth="1"/>
    <col min="9" max="9" width="11.43359375" customWidth="1"/>
    <col min="10" max="10" width="10.22265625" style="241" customWidth="1"/>
    <col min="11" max="11" width="24.75" customWidth="1"/>
    <col min="12" max="12" width="10.22265625" customWidth="1"/>
    <col min="13" max="14" width="9.28125" customWidth="1"/>
    <col min="15" max="15" width="4.3046875" customWidth="1"/>
    <col min="16" max="18" width="5.109375" customWidth="1"/>
    <col min="19" max="25" width="9.01171875" customWidth="1"/>
  </cols>
  <sheetData>
    <row r="1" spans="2:14" ht="12.75" customHeight="1" x14ac:dyDescent="0.3">
      <c r="B1" s="20" t="s">
        <v>317</v>
      </c>
      <c r="F1" s="247" t="s">
        <v>187</v>
      </c>
      <c r="G1" s="5" t="s">
        <v>163</v>
      </c>
      <c r="H1" s="22" t="s">
        <v>164</v>
      </c>
      <c r="I1" s="22" t="s">
        <v>165</v>
      </c>
      <c r="J1" s="254" t="s">
        <v>166</v>
      </c>
      <c r="K1" s="23" t="s">
        <v>179</v>
      </c>
      <c r="L1" s="5"/>
      <c r="M1" s="5"/>
      <c r="N1" s="5"/>
    </row>
    <row r="2" spans="2:14" ht="12.75" customHeight="1" x14ac:dyDescent="0.3">
      <c r="B2" s="22" t="s">
        <v>214</v>
      </c>
      <c r="C2" s="20"/>
      <c r="E2" s="24"/>
      <c r="F2" s="248">
        <f t="shared" ref="F2:J2" si="0">F9</f>
        <v>72000</v>
      </c>
      <c r="G2" s="25">
        <f t="shared" si="0"/>
        <v>0</v>
      </c>
      <c r="H2" s="25">
        <f t="shared" si="0"/>
        <v>72000</v>
      </c>
      <c r="I2" s="25">
        <f t="shared" si="0"/>
        <v>1888</v>
      </c>
      <c r="J2" s="248">
        <f t="shared" si="0"/>
        <v>17035.2</v>
      </c>
      <c r="K2" s="26">
        <f>(I2+J2)/H2</f>
        <v>0.26282222222222223</v>
      </c>
      <c r="L2" s="5"/>
      <c r="M2" s="5"/>
      <c r="N2" s="5"/>
    </row>
    <row r="3" spans="2:14" ht="12.75" customHeight="1" x14ac:dyDescent="0.3">
      <c r="B3" s="27"/>
      <c r="C3" s="5"/>
      <c r="D3" s="5"/>
      <c r="E3" s="5"/>
      <c r="F3" s="249"/>
      <c r="G3" s="23"/>
      <c r="H3" s="23"/>
      <c r="I3" s="3" t="s">
        <v>182</v>
      </c>
      <c r="J3" s="255">
        <v>473.2</v>
      </c>
      <c r="K3" s="4"/>
      <c r="L3" s="5"/>
      <c r="M3" s="5"/>
      <c r="N3" s="5"/>
    </row>
    <row r="4" spans="2:14" ht="12.75" customHeight="1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250" t="s">
        <v>145</v>
      </c>
      <c r="G4" s="8" t="s">
        <v>163</v>
      </c>
      <c r="H4" s="8" t="s">
        <v>164</v>
      </c>
      <c r="I4" s="168" t="s">
        <v>165</v>
      </c>
      <c r="J4" s="256" t="s">
        <v>166</v>
      </c>
      <c r="K4" s="9" t="s">
        <v>146</v>
      </c>
      <c r="L4" s="29" t="s">
        <v>179</v>
      </c>
      <c r="M4" s="5" t="s">
        <v>191</v>
      </c>
      <c r="N4" s="5" t="s">
        <v>192</v>
      </c>
    </row>
    <row r="5" spans="2:14" ht="12.75" customHeight="1" x14ac:dyDescent="0.3">
      <c r="B5" s="178">
        <v>44902</v>
      </c>
      <c r="C5" s="170">
        <v>2830</v>
      </c>
      <c r="D5" s="170">
        <v>2830</v>
      </c>
      <c r="E5" s="170">
        <f t="shared" ref="E5:E8" si="1">+C5-D5</f>
        <v>0</v>
      </c>
      <c r="F5" s="251">
        <f t="shared" ref="F5:F8" si="2">+E5*1000</f>
        <v>0</v>
      </c>
      <c r="G5" s="171"/>
      <c r="H5" s="171">
        <f t="shared" ref="H5:H8" si="3">+F5-G5</f>
        <v>0</v>
      </c>
      <c r="I5" s="10"/>
      <c r="J5" s="257"/>
      <c r="K5" s="194" t="s">
        <v>183</v>
      </c>
      <c r="L5" s="31"/>
      <c r="M5" s="5"/>
      <c r="N5" s="5"/>
    </row>
    <row r="6" spans="2:14" ht="12.75" customHeight="1" x14ac:dyDescent="0.3">
      <c r="B6" s="32">
        <v>44912</v>
      </c>
      <c r="C6" s="13">
        <v>2902</v>
      </c>
      <c r="D6" s="13">
        <f t="shared" ref="D6:D8" si="4">IF(B6=0,0,C5)</f>
        <v>2830</v>
      </c>
      <c r="E6" s="170">
        <f t="shared" si="1"/>
        <v>72</v>
      </c>
      <c r="F6" s="251">
        <f t="shared" si="2"/>
        <v>72000</v>
      </c>
      <c r="G6" s="171">
        <v>0</v>
      </c>
      <c r="H6" s="171">
        <f t="shared" si="3"/>
        <v>72000</v>
      </c>
      <c r="I6" s="33">
        <f>944*2</f>
        <v>1888</v>
      </c>
      <c r="J6" s="258">
        <f t="shared" ref="J6:J8" si="5">+E6*$J$3/2</f>
        <v>17035.2</v>
      </c>
      <c r="K6" s="172"/>
      <c r="L6" s="31">
        <f t="shared" ref="L6:L9" si="6">+(I6+J6)/H6</f>
        <v>0.26282222222222223</v>
      </c>
      <c r="M6" s="35">
        <f t="shared" ref="M6:M8" si="7">H6/(B6-B5)</f>
        <v>7200</v>
      </c>
      <c r="N6" s="35">
        <f t="shared" ref="N6:N8" si="8">(H6*0.65-I6-J6)/(B6-B5)</f>
        <v>2787.68</v>
      </c>
    </row>
    <row r="7" spans="2:14" ht="12.75" customHeight="1" x14ac:dyDescent="0.3">
      <c r="B7" s="32"/>
      <c r="C7" s="13"/>
      <c r="D7" s="13">
        <f t="shared" si="4"/>
        <v>0</v>
      </c>
      <c r="E7" s="170">
        <f t="shared" si="1"/>
        <v>0</v>
      </c>
      <c r="F7" s="251">
        <f t="shared" si="2"/>
        <v>0</v>
      </c>
      <c r="G7" s="171">
        <v>0</v>
      </c>
      <c r="H7" s="171">
        <f t="shared" si="3"/>
        <v>0</v>
      </c>
      <c r="I7" s="33"/>
      <c r="J7" s="259">
        <f t="shared" si="5"/>
        <v>0</v>
      </c>
      <c r="K7" s="172"/>
      <c r="L7" s="31" t="e">
        <f t="shared" si="6"/>
        <v>#DIV/0!</v>
      </c>
      <c r="M7" s="35">
        <f t="shared" si="7"/>
        <v>0</v>
      </c>
      <c r="N7" s="35">
        <f t="shared" si="8"/>
        <v>0</v>
      </c>
    </row>
    <row r="8" spans="2:14" ht="12.75" customHeight="1" x14ac:dyDescent="0.3">
      <c r="B8" s="32"/>
      <c r="C8" s="13"/>
      <c r="D8" s="13">
        <f t="shared" si="4"/>
        <v>0</v>
      </c>
      <c r="E8" s="170">
        <f t="shared" si="1"/>
        <v>0</v>
      </c>
      <c r="F8" s="251">
        <f t="shared" si="2"/>
        <v>0</v>
      </c>
      <c r="G8" s="171">
        <v>0</v>
      </c>
      <c r="H8" s="171">
        <f t="shared" si="3"/>
        <v>0</v>
      </c>
      <c r="I8" s="33"/>
      <c r="J8" s="259">
        <f t="shared" si="5"/>
        <v>0</v>
      </c>
      <c r="K8" s="172"/>
      <c r="L8" s="31" t="e">
        <f t="shared" si="6"/>
        <v>#DIV/0!</v>
      </c>
      <c r="M8" s="35" t="e">
        <f t="shared" si="7"/>
        <v>#DIV/0!</v>
      </c>
      <c r="N8" s="35" t="e">
        <f t="shared" si="8"/>
        <v>#DIV/0!</v>
      </c>
    </row>
    <row r="9" spans="2:14" ht="12.75" customHeight="1" x14ac:dyDescent="0.3">
      <c r="B9" s="41"/>
      <c r="C9" s="16"/>
      <c r="D9" s="16"/>
      <c r="E9" s="16">
        <f t="shared" ref="E9:J9" si="9">SUM(E5:E8)</f>
        <v>72</v>
      </c>
      <c r="F9" s="252">
        <f t="shared" si="9"/>
        <v>72000</v>
      </c>
      <c r="G9" s="17">
        <f t="shared" si="9"/>
        <v>0</v>
      </c>
      <c r="H9" s="17">
        <f t="shared" si="9"/>
        <v>72000</v>
      </c>
      <c r="I9" s="18">
        <f t="shared" si="9"/>
        <v>1888</v>
      </c>
      <c r="J9" s="260">
        <f t="shared" si="9"/>
        <v>17035.2</v>
      </c>
      <c r="K9" s="176">
        <f>+H9*0.65-I9-J9-G9</f>
        <v>27876.799999999999</v>
      </c>
      <c r="L9" s="42">
        <f t="shared" si="6"/>
        <v>0.26282222222222223</v>
      </c>
      <c r="M9" s="31">
        <f>L9+L10</f>
        <v>0.65</v>
      </c>
      <c r="N9" s="5"/>
    </row>
    <row r="10" spans="2:14" ht="12.75" customHeight="1" x14ac:dyDescent="0.3">
      <c r="B10" s="27"/>
      <c r="C10" s="5"/>
      <c r="D10" s="5"/>
      <c r="E10" s="5"/>
      <c r="F10" s="249"/>
      <c r="G10" s="23"/>
      <c r="H10" s="23"/>
      <c r="I10" s="23"/>
      <c r="J10" s="261"/>
      <c r="K10" s="23">
        <f>H9*0.3</f>
        <v>21600</v>
      </c>
      <c r="L10" s="43">
        <f>+K9/H9</f>
        <v>0.38717777777777779</v>
      </c>
      <c r="M10" s="5"/>
      <c r="N10" s="5"/>
    </row>
    <row r="11" spans="2:14" ht="12.75" customHeight="1" x14ac:dyDescent="0.3">
      <c r="B11" s="27"/>
      <c r="C11" s="5"/>
      <c r="D11" s="5"/>
      <c r="E11" s="5"/>
      <c r="F11" s="249"/>
      <c r="G11" s="23"/>
      <c r="H11" s="23"/>
      <c r="I11" s="3" t="s">
        <v>182</v>
      </c>
      <c r="J11" s="255">
        <v>473.2</v>
      </c>
      <c r="K11" s="4"/>
      <c r="L11" s="5"/>
      <c r="M11" s="5"/>
      <c r="N11" s="5"/>
    </row>
    <row r="12" spans="2:14" ht="12.75" customHeight="1" x14ac:dyDescent="0.3">
      <c r="B12" s="28" t="s">
        <v>142</v>
      </c>
      <c r="C12" s="8" t="s">
        <v>188</v>
      </c>
      <c r="D12" s="8" t="s">
        <v>189</v>
      </c>
      <c r="E12" s="8" t="s">
        <v>190</v>
      </c>
      <c r="F12" s="250" t="s">
        <v>145</v>
      </c>
      <c r="G12" s="8" t="s">
        <v>163</v>
      </c>
      <c r="H12" s="8" t="s">
        <v>164</v>
      </c>
      <c r="I12" s="168" t="s">
        <v>165</v>
      </c>
      <c r="J12" s="256" t="s">
        <v>166</v>
      </c>
      <c r="K12" s="9" t="s">
        <v>146</v>
      </c>
      <c r="L12" s="29" t="s">
        <v>179</v>
      </c>
      <c r="M12" s="5" t="s">
        <v>191</v>
      </c>
      <c r="N12" s="5" t="s">
        <v>192</v>
      </c>
    </row>
    <row r="13" spans="2:14" ht="12.75" customHeight="1" x14ac:dyDescent="0.3">
      <c r="B13" s="178">
        <v>44921</v>
      </c>
      <c r="C13" s="170">
        <v>2962</v>
      </c>
      <c r="D13" s="170">
        <f>C6</f>
        <v>2902</v>
      </c>
      <c r="E13" s="170">
        <f t="shared" ref="E13:E19" si="10">+C13-D13</f>
        <v>60</v>
      </c>
      <c r="F13" s="251">
        <f t="shared" ref="F13:F19" si="11">+E13*1000</f>
        <v>60000</v>
      </c>
      <c r="G13" s="171"/>
      <c r="H13" s="171">
        <f t="shared" ref="H13:H19" si="12">+F13-G13</f>
        <v>60000</v>
      </c>
      <c r="I13" s="10">
        <v>944</v>
      </c>
      <c r="J13" s="257"/>
      <c r="K13" s="194" t="s">
        <v>183</v>
      </c>
      <c r="L13" s="31">
        <f t="shared" ref="L13:L18" si="13">+(I13+J13)/H13</f>
        <v>1.5733333333333332E-2</v>
      </c>
      <c r="M13" s="35">
        <f>H13/(B13-B6)</f>
        <v>6666.666666666667</v>
      </c>
      <c r="N13" s="35">
        <f>(H13*0.65-I13-J13)/(B13-B6)</f>
        <v>4228.4444444444443</v>
      </c>
    </row>
    <row r="14" spans="2:14" ht="12.75" customHeight="1" x14ac:dyDescent="0.3">
      <c r="B14" s="32">
        <v>44930</v>
      </c>
      <c r="C14" s="13">
        <v>3064</v>
      </c>
      <c r="D14" s="13">
        <f t="shared" ref="D14:D19" si="14">IF(B14=0,0,C13)</f>
        <v>2962</v>
      </c>
      <c r="E14" s="170">
        <f t="shared" si="10"/>
        <v>102</v>
      </c>
      <c r="F14" s="251">
        <f t="shared" si="11"/>
        <v>102000</v>
      </c>
      <c r="G14" s="171">
        <v>0</v>
      </c>
      <c r="H14" s="171">
        <f t="shared" si="12"/>
        <v>102000</v>
      </c>
      <c r="I14" s="33">
        <f>944*3</f>
        <v>2832</v>
      </c>
      <c r="J14" s="258">
        <f t="shared" ref="J14:J19" si="15">+E14*$J$3/2</f>
        <v>24133.200000000001</v>
      </c>
      <c r="K14" s="172"/>
      <c r="L14" s="31">
        <f t="shared" si="13"/>
        <v>0.26436470588235295</v>
      </c>
      <c r="M14" s="35">
        <f t="shared" ref="M14:M18" si="16">H14/(B14-B13)</f>
        <v>11333.333333333334</v>
      </c>
      <c r="N14" s="35">
        <f t="shared" ref="N14:N18" si="17">(H14*0.65-I14-J14)/(B14-B13)</f>
        <v>4370.5333333333338</v>
      </c>
    </row>
    <row r="15" spans="2:14" ht="12.75" customHeight="1" x14ac:dyDescent="0.3">
      <c r="B15" s="32">
        <v>44936</v>
      </c>
      <c r="C15" s="13">
        <v>3122</v>
      </c>
      <c r="D15" s="13">
        <f t="shared" si="14"/>
        <v>3064</v>
      </c>
      <c r="E15" s="170">
        <f t="shared" si="10"/>
        <v>58</v>
      </c>
      <c r="F15" s="251">
        <f t="shared" si="11"/>
        <v>58000</v>
      </c>
      <c r="G15" s="171">
        <v>0</v>
      </c>
      <c r="H15" s="171">
        <f t="shared" si="12"/>
        <v>58000</v>
      </c>
      <c r="I15" s="33">
        <f>944*4</f>
        <v>3776</v>
      </c>
      <c r="J15" s="259">
        <f t="shared" si="15"/>
        <v>13722.8</v>
      </c>
      <c r="K15" s="172"/>
      <c r="L15" s="31">
        <f t="shared" si="13"/>
        <v>0.30170344827586204</v>
      </c>
      <c r="M15" s="35">
        <f t="shared" si="16"/>
        <v>9666.6666666666661</v>
      </c>
      <c r="N15" s="35">
        <f t="shared" si="17"/>
        <v>3366.8666666666668</v>
      </c>
    </row>
    <row r="16" spans="2:14" ht="12.75" customHeight="1" x14ac:dyDescent="0.3">
      <c r="B16" s="32">
        <v>44944</v>
      </c>
      <c r="C16" s="13">
        <v>3192</v>
      </c>
      <c r="D16" s="13">
        <f t="shared" si="14"/>
        <v>3122</v>
      </c>
      <c r="E16" s="170">
        <f t="shared" si="10"/>
        <v>70</v>
      </c>
      <c r="F16" s="251">
        <f t="shared" si="11"/>
        <v>70000</v>
      </c>
      <c r="G16" s="171">
        <v>0</v>
      </c>
      <c r="H16" s="171">
        <f t="shared" si="12"/>
        <v>70000</v>
      </c>
      <c r="I16" s="33">
        <f>944*2</f>
        <v>1888</v>
      </c>
      <c r="J16" s="259">
        <f t="shared" si="15"/>
        <v>16562</v>
      </c>
      <c r="K16" s="172"/>
      <c r="L16" s="31">
        <f t="shared" si="13"/>
        <v>0.26357142857142857</v>
      </c>
      <c r="M16" s="35">
        <f t="shared" si="16"/>
        <v>8750</v>
      </c>
      <c r="N16" s="35">
        <f t="shared" si="17"/>
        <v>3381.25</v>
      </c>
    </row>
    <row r="17" spans="2:14" ht="12.75" customHeight="1" x14ac:dyDescent="0.3">
      <c r="B17" s="32"/>
      <c r="C17" s="13"/>
      <c r="D17" s="13">
        <f t="shared" si="14"/>
        <v>0</v>
      </c>
      <c r="E17" s="170">
        <f t="shared" si="10"/>
        <v>0</v>
      </c>
      <c r="F17" s="251">
        <f t="shared" si="11"/>
        <v>0</v>
      </c>
      <c r="G17" s="171">
        <v>0</v>
      </c>
      <c r="H17" s="171">
        <f t="shared" si="12"/>
        <v>0</v>
      </c>
      <c r="I17" s="173"/>
      <c r="J17" s="262">
        <f t="shared" si="15"/>
        <v>0</v>
      </c>
      <c r="K17" s="172"/>
      <c r="L17" s="37" t="e">
        <f t="shared" si="13"/>
        <v>#DIV/0!</v>
      </c>
      <c r="M17" s="35">
        <f t="shared" si="16"/>
        <v>0</v>
      </c>
      <c r="N17" s="35">
        <f t="shared" si="17"/>
        <v>0</v>
      </c>
    </row>
    <row r="18" spans="2:14" ht="12.75" customHeight="1" x14ac:dyDescent="0.3">
      <c r="B18" s="32"/>
      <c r="C18" s="13"/>
      <c r="D18" s="13">
        <f t="shared" si="14"/>
        <v>0</v>
      </c>
      <c r="E18" s="170">
        <f t="shared" si="10"/>
        <v>0</v>
      </c>
      <c r="F18" s="251">
        <f t="shared" si="11"/>
        <v>0</v>
      </c>
      <c r="G18" s="171">
        <v>0</v>
      </c>
      <c r="H18" s="171">
        <f t="shared" si="12"/>
        <v>0</v>
      </c>
      <c r="I18" s="173"/>
      <c r="J18" s="262">
        <f t="shared" si="15"/>
        <v>0</v>
      </c>
      <c r="K18" s="172"/>
      <c r="L18" s="37" t="e">
        <f t="shared" si="13"/>
        <v>#DIV/0!</v>
      </c>
      <c r="M18" s="35" t="e">
        <f t="shared" si="16"/>
        <v>#DIV/0!</v>
      </c>
      <c r="N18" s="35" t="e">
        <f t="shared" si="17"/>
        <v>#DIV/0!</v>
      </c>
    </row>
    <row r="19" spans="2:14" ht="12.75" customHeight="1" x14ac:dyDescent="0.3">
      <c r="B19" s="38"/>
      <c r="C19" s="39"/>
      <c r="D19" s="13">
        <f t="shared" si="14"/>
        <v>0</v>
      </c>
      <c r="E19" s="16">
        <f t="shared" si="10"/>
        <v>0</v>
      </c>
      <c r="F19" s="252">
        <f t="shared" si="11"/>
        <v>0</v>
      </c>
      <c r="G19" s="17"/>
      <c r="H19" s="17">
        <f t="shared" si="12"/>
        <v>0</v>
      </c>
      <c r="I19" s="40"/>
      <c r="J19" s="263">
        <f t="shared" si="15"/>
        <v>0</v>
      </c>
      <c r="K19" s="176"/>
      <c r="L19" s="21"/>
      <c r="M19" s="5"/>
      <c r="N19" s="5"/>
    </row>
    <row r="20" spans="2:14" ht="12.75" customHeight="1" x14ac:dyDescent="0.3">
      <c r="B20" s="41"/>
      <c r="C20" s="16"/>
      <c r="D20" s="16"/>
      <c r="E20" s="16">
        <f t="shared" ref="E20:J20" si="18">SUM(E13:E19)</f>
        <v>290</v>
      </c>
      <c r="F20" s="252">
        <f t="shared" si="18"/>
        <v>290000</v>
      </c>
      <c r="G20" s="17">
        <f t="shared" si="18"/>
        <v>0</v>
      </c>
      <c r="H20" s="17">
        <f t="shared" si="18"/>
        <v>290000</v>
      </c>
      <c r="I20" s="18">
        <f t="shared" si="18"/>
        <v>9440</v>
      </c>
      <c r="J20" s="260">
        <f t="shared" si="18"/>
        <v>54418</v>
      </c>
      <c r="K20" s="176">
        <f>+H20*0.65-I20-J20-G20</f>
        <v>124642</v>
      </c>
      <c r="L20" s="42">
        <f>+(I20+J20)/H20</f>
        <v>0.22020000000000001</v>
      </c>
      <c r="M20" s="31">
        <f>L20+L21</f>
        <v>0.65</v>
      </c>
      <c r="N20" s="5"/>
    </row>
    <row r="21" spans="2:14" ht="12.75" customHeight="1" x14ac:dyDescent="0.3">
      <c r="B21" s="27"/>
      <c r="C21" s="5"/>
      <c r="D21" s="5"/>
      <c r="E21" s="5"/>
      <c r="F21" s="249"/>
      <c r="G21" s="23"/>
      <c r="H21" s="23"/>
      <c r="I21" s="23"/>
      <c r="J21" s="261"/>
      <c r="K21" s="23">
        <f>H20*0.3</f>
        <v>87000</v>
      </c>
      <c r="L21" s="43">
        <f>+K20/H20</f>
        <v>0.42980000000000002</v>
      </c>
      <c r="M21" s="5"/>
      <c r="N21" s="5"/>
    </row>
    <row r="22" spans="2:14" ht="12.75" customHeight="1" x14ac:dyDescent="0.3">
      <c r="B22" s="27"/>
      <c r="C22" s="5"/>
      <c r="D22" s="5"/>
      <c r="E22" s="5"/>
      <c r="F22" s="249"/>
      <c r="G22" s="23"/>
      <c r="H22" s="23"/>
      <c r="I22" s="3" t="s">
        <v>182</v>
      </c>
      <c r="J22" s="255">
        <v>473.2</v>
      </c>
      <c r="K22" s="4"/>
      <c r="L22" s="5"/>
      <c r="M22" s="5"/>
      <c r="N22" s="5"/>
    </row>
    <row r="23" spans="2:14" ht="12.75" customHeight="1" x14ac:dyDescent="0.3">
      <c r="B23" s="28" t="s">
        <v>142</v>
      </c>
      <c r="C23" s="8" t="s">
        <v>188</v>
      </c>
      <c r="D23" s="8" t="s">
        <v>189</v>
      </c>
      <c r="E23" s="8" t="s">
        <v>190</v>
      </c>
      <c r="F23" s="250" t="s">
        <v>145</v>
      </c>
      <c r="G23" s="8" t="s">
        <v>163</v>
      </c>
      <c r="H23" s="8" t="s">
        <v>164</v>
      </c>
      <c r="I23" s="168" t="s">
        <v>165</v>
      </c>
      <c r="J23" s="256" t="s">
        <v>166</v>
      </c>
      <c r="K23" s="9" t="s">
        <v>146</v>
      </c>
      <c r="L23" s="29" t="s">
        <v>179</v>
      </c>
      <c r="M23" s="5" t="s">
        <v>191</v>
      </c>
      <c r="N23" s="5" t="s">
        <v>192</v>
      </c>
    </row>
    <row r="24" spans="2:14" ht="12.75" customHeight="1" x14ac:dyDescent="0.3">
      <c r="B24" s="178">
        <v>44949</v>
      </c>
      <c r="C24" s="170">
        <v>3212</v>
      </c>
      <c r="D24" s="170">
        <f>C16</f>
        <v>3192</v>
      </c>
      <c r="E24" s="170">
        <f t="shared" ref="E24:E30" si="19">+C24-D24</f>
        <v>20</v>
      </c>
      <c r="F24" s="251">
        <f t="shared" ref="F24:F30" si="20">+E24*1000</f>
        <v>20000</v>
      </c>
      <c r="G24" s="171"/>
      <c r="H24" s="171">
        <f t="shared" ref="H24:H30" si="21">+F24-G24</f>
        <v>20000</v>
      </c>
      <c r="I24" s="10"/>
      <c r="J24" s="257"/>
      <c r="K24" s="194" t="s">
        <v>183</v>
      </c>
      <c r="L24" s="31">
        <f t="shared" ref="L24:L29" si="22">+(I24+J24)/H24</f>
        <v>0</v>
      </c>
      <c r="M24" s="35">
        <f>H24/(B24-B17)</f>
        <v>0.44494871966005917</v>
      </c>
      <c r="N24" s="35">
        <f>(H24*0.65-I24-J24)/(B24-B17)</f>
        <v>0.28921666777903848</v>
      </c>
    </row>
    <row r="25" spans="2:14" ht="12.75" customHeight="1" x14ac:dyDescent="0.3">
      <c r="B25" s="32">
        <v>44953</v>
      </c>
      <c r="C25" s="13">
        <v>3230</v>
      </c>
      <c r="D25" s="13">
        <f t="shared" ref="D25:D30" si="23">IF(B25=0,0,C24)</f>
        <v>3212</v>
      </c>
      <c r="E25" s="170">
        <f t="shared" si="19"/>
        <v>18</v>
      </c>
      <c r="F25" s="251">
        <f t="shared" si="20"/>
        <v>18000</v>
      </c>
      <c r="G25" s="171">
        <v>0</v>
      </c>
      <c r="H25" s="171">
        <f t="shared" si="21"/>
        <v>18000</v>
      </c>
      <c r="I25" s="33"/>
      <c r="J25" s="258">
        <f t="shared" ref="J25:J30" si="24">+E25*$J$3/2</f>
        <v>4258.8</v>
      </c>
      <c r="K25" s="172"/>
      <c r="L25" s="31">
        <f t="shared" si="22"/>
        <v>0.2366</v>
      </c>
      <c r="M25" s="35">
        <f t="shared" ref="M25:M29" si="25">H25/(B25-B24)</f>
        <v>4500</v>
      </c>
      <c r="N25" s="35">
        <f t="shared" ref="N25:N29" si="26">(H25*0.65-I25-J25)/(B25-B24)</f>
        <v>1860.3</v>
      </c>
    </row>
    <row r="26" spans="2:14" ht="12.75" customHeight="1" x14ac:dyDescent="0.3">
      <c r="B26" s="32">
        <v>44957</v>
      </c>
      <c r="C26" s="13">
        <v>3240</v>
      </c>
      <c r="D26" s="13">
        <f t="shared" si="23"/>
        <v>3230</v>
      </c>
      <c r="E26" s="170">
        <f t="shared" si="19"/>
        <v>10</v>
      </c>
      <c r="F26" s="251">
        <f t="shared" si="20"/>
        <v>10000</v>
      </c>
      <c r="G26" s="171">
        <v>0</v>
      </c>
      <c r="H26" s="171">
        <f t="shared" si="21"/>
        <v>10000</v>
      </c>
      <c r="I26" s="33"/>
      <c r="J26" s="259">
        <f t="shared" si="24"/>
        <v>2366</v>
      </c>
      <c r="K26" s="172"/>
      <c r="L26" s="31">
        <f t="shared" si="22"/>
        <v>0.2366</v>
      </c>
      <c r="M26" s="35">
        <f t="shared" si="25"/>
        <v>2500</v>
      </c>
      <c r="N26" s="35">
        <f t="shared" si="26"/>
        <v>1033.5</v>
      </c>
    </row>
    <row r="27" spans="2:14" ht="12.75" customHeight="1" x14ac:dyDescent="0.3">
      <c r="B27" s="32">
        <v>44967</v>
      </c>
      <c r="C27" s="13">
        <v>3282</v>
      </c>
      <c r="D27" s="13">
        <f t="shared" si="23"/>
        <v>3240</v>
      </c>
      <c r="E27" s="170">
        <f t="shared" si="19"/>
        <v>42</v>
      </c>
      <c r="F27" s="251">
        <f t="shared" si="20"/>
        <v>42000</v>
      </c>
      <c r="G27" s="171">
        <v>0</v>
      </c>
      <c r="H27" s="171">
        <f t="shared" si="21"/>
        <v>42000</v>
      </c>
      <c r="I27" s="33"/>
      <c r="J27" s="259">
        <f t="shared" si="24"/>
        <v>9937.1999999999989</v>
      </c>
      <c r="K27" s="172"/>
      <c r="L27" s="31">
        <f t="shared" si="22"/>
        <v>0.23659999999999998</v>
      </c>
      <c r="M27" s="35">
        <f t="shared" si="25"/>
        <v>4200</v>
      </c>
      <c r="N27" s="35">
        <f t="shared" si="26"/>
        <v>1736.2800000000002</v>
      </c>
    </row>
    <row r="28" spans="2:14" ht="12.75" customHeight="1" x14ac:dyDescent="0.3">
      <c r="B28" s="32">
        <v>44973</v>
      </c>
      <c r="C28" s="13">
        <v>3296</v>
      </c>
      <c r="D28" s="13">
        <f t="shared" si="23"/>
        <v>3282</v>
      </c>
      <c r="E28" s="170">
        <f t="shared" si="19"/>
        <v>14</v>
      </c>
      <c r="F28" s="251">
        <f t="shared" si="20"/>
        <v>14000</v>
      </c>
      <c r="G28" s="171">
        <v>0</v>
      </c>
      <c r="H28" s="171">
        <f t="shared" si="21"/>
        <v>14000</v>
      </c>
      <c r="I28" s="173"/>
      <c r="J28" s="262">
        <f t="shared" si="24"/>
        <v>3312.4</v>
      </c>
      <c r="K28" s="172"/>
      <c r="L28" s="37">
        <f t="shared" si="22"/>
        <v>0.2366</v>
      </c>
      <c r="M28" s="35">
        <f t="shared" si="25"/>
        <v>2333.3333333333335</v>
      </c>
      <c r="N28" s="35">
        <f t="shared" si="26"/>
        <v>964.6</v>
      </c>
    </row>
    <row r="29" spans="2:14" ht="12.75" customHeight="1" x14ac:dyDescent="0.3">
      <c r="B29" s="32"/>
      <c r="C29" s="13"/>
      <c r="D29" s="13">
        <f t="shared" si="23"/>
        <v>0</v>
      </c>
      <c r="E29" s="170">
        <f t="shared" si="19"/>
        <v>0</v>
      </c>
      <c r="F29" s="251">
        <f t="shared" si="20"/>
        <v>0</v>
      </c>
      <c r="G29" s="171">
        <v>0</v>
      </c>
      <c r="H29" s="171">
        <f t="shared" si="21"/>
        <v>0</v>
      </c>
      <c r="I29" s="173"/>
      <c r="J29" s="262">
        <f t="shared" si="24"/>
        <v>0</v>
      </c>
      <c r="K29" s="172"/>
      <c r="L29" s="37" t="e">
        <f t="shared" si="22"/>
        <v>#DIV/0!</v>
      </c>
      <c r="M29" s="35">
        <f t="shared" si="25"/>
        <v>0</v>
      </c>
      <c r="N29" s="35">
        <f t="shared" si="26"/>
        <v>0</v>
      </c>
    </row>
    <row r="30" spans="2:14" ht="12.75" customHeight="1" x14ac:dyDescent="0.3">
      <c r="B30" s="38"/>
      <c r="C30" s="39"/>
      <c r="D30" s="13">
        <f t="shared" si="23"/>
        <v>0</v>
      </c>
      <c r="E30" s="16">
        <f t="shared" si="19"/>
        <v>0</v>
      </c>
      <c r="F30" s="252">
        <f t="shared" si="20"/>
        <v>0</v>
      </c>
      <c r="G30" s="17"/>
      <c r="H30" s="17">
        <f t="shared" si="21"/>
        <v>0</v>
      </c>
      <c r="I30" s="40"/>
      <c r="J30" s="263">
        <f t="shared" si="24"/>
        <v>0</v>
      </c>
      <c r="K30" s="176"/>
      <c r="L30" s="21"/>
      <c r="M30" s="5"/>
      <c r="N30" s="5"/>
    </row>
    <row r="31" spans="2:14" ht="12.75" customHeight="1" x14ac:dyDescent="0.3">
      <c r="B31" s="41"/>
      <c r="C31" s="16"/>
      <c r="D31" s="16"/>
      <c r="E31" s="16">
        <f t="shared" ref="E31:J31" si="27">SUM(E24:E30)</f>
        <v>104</v>
      </c>
      <c r="F31" s="252">
        <f t="shared" si="27"/>
        <v>104000</v>
      </c>
      <c r="G31" s="17">
        <f t="shared" si="27"/>
        <v>0</v>
      </c>
      <c r="H31" s="17">
        <f t="shared" si="27"/>
        <v>104000</v>
      </c>
      <c r="I31" s="18">
        <f t="shared" si="27"/>
        <v>0</v>
      </c>
      <c r="J31" s="260">
        <f t="shared" si="27"/>
        <v>19874.400000000001</v>
      </c>
      <c r="K31" s="176">
        <f>+H31*0.65-I31-J31-G31</f>
        <v>47725.599999999999</v>
      </c>
      <c r="L31" s="42">
        <f>+(I31+J31)/H31</f>
        <v>0.19110000000000002</v>
      </c>
      <c r="M31" s="31">
        <f>L31+L32</f>
        <v>0.65</v>
      </c>
      <c r="N31" s="5"/>
    </row>
    <row r="32" spans="2:14" ht="12.75" customHeight="1" x14ac:dyDescent="0.3">
      <c r="B32" s="27"/>
      <c r="C32" s="5"/>
      <c r="D32" s="5"/>
      <c r="E32" s="5"/>
      <c r="F32" s="249"/>
      <c r="G32" s="23"/>
      <c r="H32" s="23"/>
      <c r="I32" s="23"/>
      <c r="J32" s="261"/>
      <c r="K32" s="23">
        <f>H31*0.3</f>
        <v>31200</v>
      </c>
      <c r="L32" s="43">
        <f>+K31/H31</f>
        <v>0.45889999999999997</v>
      </c>
      <c r="M32" s="5"/>
      <c r="N32" s="5"/>
    </row>
    <row r="33" spans="2:14" ht="12.75" customHeight="1" x14ac:dyDescent="0.3">
      <c r="B33" s="27"/>
      <c r="C33" s="5"/>
      <c r="D33" s="5"/>
      <c r="E33" s="5"/>
      <c r="F33" s="249"/>
      <c r="G33" s="23"/>
      <c r="H33" s="23"/>
      <c r="I33" s="3" t="s">
        <v>182</v>
      </c>
      <c r="J33" s="255">
        <v>473.2</v>
      </c>
      <c r="K33" s="4"/>
      <c r="L33" s="5"/>
      <c r="M33" s="5"/>
      <c r="N33" s="5"/>
    </row>
    <row r="34" spans="2:14" ht="12.75" customHeight="1" x14ac:dyDescent="0.3">
      <c r="B34" s="28" t="s">
        <v>142</v>
      </c>
      <c r="C34" s="8" t="s">
        <v>188</v>
      </c>
      <c r="D34" s="8" t="s">
        <v>189</v>
      </c>
      <c r="E34" s="8" t="s">
        <v>190</v>
      </c>
      <c r="F34" s="250" t="s">
        <v>145</v>
      </c>
      <c r="G34" s="8" t="s">
        <v>163</v>
      </c>
      <c r="H34" s="8" t="s">
        <v>164</v>
      </c>
      <c r="I34" s="168" t="s">
        <v>165</v>
      </c>
      <c r="J34" s="256" t="s">
        <v>166</v>
      </c>
      <c r="K34" s="9" t="s">
        <v>146</v>
      </c>
      <c r="L34" s="29" t="s">
        <v>179</v>
      </c>
      <c r="M34" s="5" t="s">
        <v>191</v>
      </c>
      <c r="N34" s="5" t="s">
        <v>192</v>
      </c>
    </row>
    <row r="35" spans="2:14" ht="12.75" customHeight="1" x14ac:dyDescent="0.3">
      <c r="B35" s="178">
        <v>44987</v>
      </c>
      <c r="C35" s="170">
        <v>3366</v>
      </c>
      <c r="D35" s="170">
        <f>C28</f>
        <v>3296</v>
      </c>
      <c r="E35" s="170">
        <f t="shared" ref="E35:E41" si="28">+C35-D35</f>
        <v>70</v>
      </c>
      <c r="F35" s="251">
        <f t="shared" ref="F35:F41" si="29">+E35*1000</f>
        <v>70000</v>
      </c>
      <c r="G35" s="171"/>
      <c r="H35" s="171">
        <f t="shared" ref="H35:H41" si="30">+F35-G35</f>
        <v>70000</v>
      </c>
      <c r="I35" s="10">
        <f>944*2</f>
        <v>1888</v>
      </c>
      <c r="J35" s="257"/>
      <c r="K35" s="194" t="s">
        <v>183</v>
      </c>
      <c r="L35" s="31">
        <f t="shared" ref="L35:L40" si="31">+(I35+J35)/H35</f>
        <v>2.697142857142857E-2</v>
      </c>
      <c r="M35" s="35">
        <f>H35/(B35-B28)</f>
        <v>5000</v>
      </c>
      <c r="N35" s="35">
        <f>(H35*0.65-I35-J35)/(B35-B28)</f>
        <v>3115.1428571428573</v>
      </c>
    </row>
    <row r="36" spans="2:14" ht="12.75" customHeight="1" x14ac:dyDescent="0.3">
      <c r="B36" s="32">
        <v>44992</v>
      </c>
      <c r="C36" s="13">
        <v>3372</v>
      </c>
      <c r="D36" s="13">
        <f t="shared" ref="D36:D41" si="32">IF(B36=0,0,C35)</f>
        <v>3366</v>
      </c>
      <c r="E36" s="170">
        <f t="shared" si="28"/>
        <v>6</v>
      </c>
      <c r="F36" s="251">
        <f t="shared" si="29"/>
        <v>6000</v>
      </c>
      <c r="G36" s="171">
        <v>0</v>
      </c>
      <c r="H36" s="171">
        <f t="shared" si="30"/>
        <v>6000</v>
      </c>
      <c r="I36" s="33"/>
      <c r="J36" s="258">
        <f t="shared" ref="J36:J41" si="33">+E36*$J$3/2</f>
        <v>1419.6</v>
      </c>
      <c r="K36" s="172"/>
      <c r="L36" s="31">
        <f t="shared" si="31"/>
        <v>0.23659999999999998</v>
      </c>
      <c r="M36" s="35">
        <f t="shared" ref="M36:M40" si="34">H36/(B36-B35)</f>
        <v>1200</v>
      </c>
      <c r="N36" s="35">
        <f t="shared" ref="N36:N40" si="35">(H36*0.65-I36-J36)/(B36-B35)</f>
        <v>496.08000000000004</v>
      </c>
    </row>
    <row r="37" spans="2:14" ht="12.75" customHeight="1" x14ac:dyDescent="0.3">
      <c r="B37" s="32">
        <v>45001</v>
      </c>
      <c r="C37" s="13">
        <v>3396</v>
      </c>
      <c r="D37" s="13">
        <f t="shared" si="32"/>
        <v>3372</v>
      </c>
      <c r="E37" s="170">
        <f t="shared" si="28"/>
        <v>24</v>
      </c>
      <c r="F37" s="251">
        <f t="shared" si="29"/>
        <v>24000</v>
      </c>
      <c r="G37" s="171">
        <v>0</v>
      </c>
      <c r="H37" s="171">
        <f t="shared" si="30"/>
        <v>24000</v>
      </c>
      <c r="I37" s="33">
        <f>944*3</f>
        <v>2832</v>
      </c>
      <c r="J37" s="259">
        <f t="shared" si="33"/>
        <v>5678.4</v>
      </c>
      <c r="K37" s="172"/>
      <c r="L37" s="31">
        <f t="shared" si="31"/>
        <v>0.35459999999999997</v>
      </c>
      <c r="M37" s="35">
        <f t="shared" si="34"/>
        <v>2666.6666666666665</v>
      </c>
      <c r="N37" s="35">
        <f t="shared" si="35"/>
        <v>787.73333333333335</v>
      </c>
    </row>
    <row r="38" spans="2:14" ht="12.75" customHeight="1" x14ac:dyDescent="0.3">
      <c r="B38" s="32"/>
      <c r="C38" s="13"/>
      <c r="D38" s="13">
        <f t="shared" si="32"/>
        <v>0</v>
      </c>
      <c r="E38" s="170">
        <f t="shared" si="28"/>
        <v>0</v>
      </c>
      <c r="F38" s="251">
        <f t="shared" si="29"/>
        <v>0</v>
      </c>
      <c r="G38" s="171">
        <v>0</v>
      </c>
      <c r="H38" s="171">
        <f t="shared" si="30"/>
        <v>0</v>
      </c>
      <c r="I38" s="33"/>
      <c r="J38" s="259">
        <f t="shared" si="33"/>
        <v>0</v>
      </c>
      <c r="K38" s="172"/>
      <c r="L38" s="31" t="e">
        <f t="shared" si="31"/>
        <v>#DIV/0!</v>
      </c>
      <c r="M38" s="35">
        <f t="shared" si="34"/>
        <v>0</v>
      </c>
      <c r="N38" s="35">
        <f t="shared" si="35"/>
        <v>0</v>
      </c>
    </row>
    <row r="39" spans="2:14" ht="12.75" customHeight="1" x14ac:dyDescent="0.3">
      <c r="B39" s="32"/>
      <c r="C39" s="13"/>
      <c r="D39" s="13">
        <f t="shared" si="32"/>
        <v>0</v>
      </c>
      <c r="E39" s="170">
        <f t="shared" si="28"/>
        <v>0</v>
      </c>
      <c r="F39" s="251">
        <f t="shared" si="29"/>
        <v>0</v>
      </c>
      <c r="G39" s="171">
        <v>0</v>
      </c>
      <c r="H39" s="171">
        <f t="shared" si="30"/>
        <v>0</v>
      </c>
      <c r="I39" s="173"/>
      <c r="J39" s="262">
        <f t="shared" si="33"/>
        <v>0</v>
      </c>
      <c r="K39" s="172"/>
      <c r="L39" s="37" t="e">
        <f t="shared" si="31"/>
        <v>#DIV/0!</v>
      </c>
      <c r="M39" s="35" t="e">
        <f t="shared" si="34"/>
        <v>#DIV/0!</v>
      </c>
      <c r="N39" s="35" t="e">
        <f t="shared" si="35"/>
        <v>#DIV/0!</v>
      </c>
    </row>
    <row r="40" spans="2:14" ht="12.75" customHeight="1" x14ac:dyDescent="0.3">
      <c r="B40" s="32"/>
      <c r="C40" s="13"/>
      <c r="D40" s="13">
        <f t="shared" si="32"/>
        <v>0</v>
      </c>
      <c r="E40" s="170">
        <f t="shared" si="28"/>
        <v>0</v>
      </c>
      <c r="F40" s="251">
        <f t="shared" si="29"/>
        <v>0</v>
      </c>
      <c r="G40" s="171">
        <v>0</v>
      </c>
      <c r="H40" s="171">
        <f t="shared" si="30"/>
        <v>0</v>
      </c>
      <c r="I40" s="173"/>
      <c r="J40" s="262">
        <f t="shared" si="33"/>
        <v>0</v>
      </c>
      <c r="K40" s="172"/>
      <c r="L40" s="37" t="e">
        <f t="shared" si="31"/>
        <v>#DIV/0!</v>
      </c>
      <c r="M40" s="35" t="e">
        <f t="shared" si="34"/>
        <v>#DIV/0!</v>
      </c>
      <c r="N40" s="35" t="e">
        <f t="shared" si="35"/>
        <v>#DIV/0!</v>
      </c>
    </row>
    <row r="41" spans="2:14" ht="12.75" customHeight="1" x14ac:dyDescent="0.3">
      <c r="B41" s="38"/>
      <c r="C41" s="39"/>
      <c r="D41" s="13">
        <f t="shared" si="32"/>
        <v>0</v>
      </c>
      <c r="E41" s="16">
        <f t="shared" si="28"/>
        <v>0</v>
      </c>
      <c r="F41" s="252">
        <f t="shared" si="29"/>
        <v>0</v>
      </c>
      <c r="G41" s="17"/>
      <c r="H41" s="17">
        <f t="shared" si="30"/>
        <v>0</v>
      </c>
      <c r="I41" s="40"/>
      <c r="J41" s="263">
        <f t="shared" si="33"/>
        <v>0</v>
      </c>
      <c r="K41" s="176"/>
      <c r="L41" s="21"/>
      <c r="M41" s="5"/>
      <c r="N41" s="5"/>
    </row>
    <row r="42" spans="2:14" ht="12.75" customHeight="1" x14ac:dyDescent="0.3">
      <c r="B42" s="41"/>
      <c r="C42" s="16"/>
      <c r="D42" s="16"/>
      <c r="E42" s="16">
        <f t="shared" ref="E42:J42" si="36">SUM(E35:E41)</f>
        <v>100</v>
      </c>
      <c r="F42" s="252">
        <f t="shared" si="36"/>
        <v>100000</v>
      </c>
      <c r="G42" s="17">
        <f t="shared" si="36"/>
        <v>0</v>
      </c>
      <c r="H42" s="17">
        <f t="shared" si="36"/>
        <v>100000</v>
      </c>
      <c r="I42" s="18">
        <f t="shared" si="36"/>
        <v>4720</v>
      </c>
      <c r="J42" s="260">
        <f t="shared" si="36"/>
        <v>7098</v>
      </c>
      <c r="K42" s="176">
        <f>+H42*0.65-I42-J42-G42</f>
        <v>53182</v>
      </c>
      <c r="L42" s="42">
        <f>+(I42+J42)/H42</f>
        <v>0.11817999999999999</v>
      </c>
      <c r="M42" s="31">
        <f>L42+L43</f>
        <v>0.64999999999999991</v>
      </c>
      <c r="N42" s="5"/>
    </row>
    <row r="43" spans="2:14" ht="12.75" customHeight="1" x14ac:dyDescent="0.3">
      <c r="B43" s="27"/>
      <c r="C43" s="5"/>
      <c r="D43" s="5"/>
      <c r="E43" s="5"/>
      <c r="F43" s="249"/>
      <c r="G43" s="23"/>
      <c r="H43" s="23"/>
      <c r="I43" s="23"/>
      <c r="J43" s="261"/>
      <c r="K43" s="23">
        <f>H42*0.3</f>
        <v>30000</v>
      </c>
      <c r="L43" s="43">
        <f>+K42/H42</f>
        <v>0.53181999999999996</v>
      </c>
      <c r="M43" s="5"/>
      <c r="N43" s="5"/>
    </row>
    <row r="44" spans="2:14" ht="12.75" customHeight="1" x14ac:dyDescent="0.3">
      <c r="B44" s="27"/>
      <c r="C44" s="5"/>
      <c r="D44" s="5"/>
      <c r="E44" s="5"/>
      <c r="F44" s="249"/>
      <c r="G44" s="23"/>
      <c r="H44" s="23"/>
      <c r="I44" s="3" t="s">
        <v>182</v>
      </c>
      <c r="J44" s="255">
        <v>473.2</v>
      </c>
      <c r="K44" s="4"/>
      <c r="L44" s="5"/>
      <c r="M44" s="5"/>
      <c r="N44" s="5"/>
    </row>
    <row r="45" spans="2:14" ht="12.75" customHeight="1" x14ac:dyDescent="0.3">
      <c r="B45" s="28" t="s">
        <v>142</v>
      </c>
      <c r="C45" s="8" t="s">
        <v>188</v>
      </c>
      <c r="D45" s="8" t="s">
        <v>189</v>
      </c>
      <c r="E45" s="8" t="s">
        <v>190</v>
      </c>
      <c r="F45" s="250" t="s">
        <v>145</v>
      </c>
      <c r="G45" s="8" t="s">
        <v>163</v>
      </c>
      <c r="H45" s="8" t="s">
        <v>164</v>
      </c>
      <c r="I45" s="168" t="s">
        <v>165</v>
      </c>
      <c r="J45" s="256" t="s">
        <v>166</v>
      </c>
      <c r="K45" s="9" t="s">
        <v>146</v>
      </c>
      <c r="L45" s="29" t="s">
        <v>179</v>
      </c>
      <c r="M45" s="5" t="s">
        <v>191</v>
      </c>
      <c r="N45" s="5" t="s">
        <v>192</v>
      </c>
    </row>
    <row r="46" spans="2:14" ht="12.75" customHeight="1" x14ac:dyDescent="0.3">
      <c r="B46" s="178">
        <v>45012</v>
      </c>
      <c r="C46" s="170">
        <v>3416</v>
      </c>
      <c r="D46" s="170">
        <f>C37</f>
        <v>3396</v>
      </c>
      <c r="E46" s="170">
        <f t="shared" ref="E46:E52" si="37">+C46-D46</f>
        <v>20</v>
      </c>
      <c r="F46" s="251">
        <f t="shared" ref="F46:F52" si="38">+E46*1000</f>
        <v>20000</v>
      </c>
      <c r="G46" s="171"/>
      <c r="H46" s="171">
        <f t="shared" ref="H46:H52" si="39">+F46-G46</f>
        <v>20000</v>
      </c>
      <c r="I46" s="10">
        <v>944</v>
      </c>
      <c r="J46" s="257"/>
      <c r="K46" s="194" t="s">
        <v>183</v>
      </c>
      <c r="L46" s="31">
        <f t="shared" ref="L46:L51" si="40">+(I46+J46)/H46</f>
        <v>4.7199999999999999E-2</v>
      </c>
      <c r="M46" s="35">
        <f>H46/(B46-B39)</f>
        <v>0.44432595752243847</v>
      </c>
      <c r="N46" s="35">
        <f>(H46*0.65-I46-J46)/(B46-B39)</f>
        <v>0.26783968719452589</v>
      </c>
    </row>
    <row r="47" spans="2:14" ht="12.75" customHeight="1" x14ac:dyDescent="0.3">
      <c r="B47" s="32">
        <v>45026</v>
      </c>
      <c r="C47" s="13">
        <v>3450</v>
      </c>
      <c r="D47" s="13">
        <f t="shared" ref="D47:D52" si="41">IF(B47=0,0,C46)</f>
        <v>3416</v>
      </c>
      <c r="E47" s="170">
        <f t="shared" si="37"/>
        <v>34</v>
      </c>
      <c r="F47" s="251">
        <f t="shared" si="38"/>
        <v>34000</v>
      </c>
      <c r="G47" s="171">
        <v>0</v>
      </c>
      <c r="H47" s="171">
        <f t="shared" si="39"/>
        <v>34000</v>
      </c>
      <c r="I47" s="33"/>
      <c r="J47" s="258">
        <f t="shared" ref="J47:J52" si="42">+E47*$J$3/2</f>
        <v>8044.4</v>
      </c>
      <c r="K47" s="172"/>
      <c r="L47" s="31">
        <f t="shared" si="40"/>
        <v>0.23659999999999998</v>
      </c>
      <c r="M47" s="35">
        <f t="shared" ref="M47:M51" si="43">H47/(B47-B46)</f>
        <v>2428.5714285714284</v>
      </c>
      <c r="N47" s="35">
        <f t="shared" ref="N47:N51" si="44">(H47*0.65-I47-J47)/(B47-B46)</f>
        <v>1003.9714285714286</v>
      </c>
    </row>
    <row r="48" spans="2:14" ht="12.75" customHeight="1" x14ac:dyDescent="0.3">
      <c r="B48" s="32">
        <v>45034</v>
      </c>
      <c r="C48" s="13">
        <v>3456</v>
      </c>
      <c r="D48" s="13">
        <f t="shared" si="41"/>
        <v>3450</v>
      </c>
      <c r="E48" s="170">
        <f t="shared" si="37"/>
        <v>6</v>
      </c>
      <c r="F48" s="251">
        <f t="shared" si="38"/>
        <v>6000</v>
      </c>
      <c r="G48" s="171">
        <v>0</v>
      </c>
      <c r="H48" s="171">
        <f t="shared" si="39"/>
        <v>6000</v>
      </c>
      <c r="I48" s="33"/>
      <c r="J48" s="259">
        <f t="shared" si="42"/>
        <v>1419.6</v>
      </c>
      <c r="K48" s="172"/>
      <c r="L48" s="31">
        <f t="shared" si="40"/>
        <v>0.23659999999999998</v>
      </c>
      <c r="M48" s="35">
        <f t="shared" si="43"/>
        <v>750</v>
      </c>
      <c r="N48" s="35">
        <f t="shared" si="44"/>
        <v>310.05</v>
      </c>
    </row>
    <row r="49" spans="2:14" ht="12.75" customHeight="1" x14ac:dyDescent="0.3">
      <c r="B49" s="32"/>
      <c r="C49" s="13"/>
      <c r="D49" s="13">
        <f t="shared" si="41"/>
        <v>0</v>
      </c>
      <c r="E49" s="170">
        <f t="shared" si="37"/>
        <v>0</v>
      </c>
      <c r="F49" s="251">
        <f t="shared" si="38"/>
        <v>0</v>
      </c>
      <c r="G49" s="171">
        <v>0</v>
      </c>
      <c r="H49" s="171">
        <f t="shared" si="39"/>
        <v>0</v>
      </c>
      <c r="I49" s="33"/>
      <c r="J49" s="259">
        <f t="shared" si="42"/>
        <v>0</v>
      </c>
      <c r="K49" s="172"/>
      <c r="L49" s="31" t="e">
        <f t="shared" si="40"/>
        <v>#DIV/0!</v>
      </c>
      <c r="M49" s="35">
        <f t="shared" si="43"/>
        <v>0</v>
      </c>
      <c r="N49" s="35">
        <f t="shared" si="44"/>
        <v>0</v>
      </c>
    </row>
    <row r="50" spans="2:14" ht="12.75" customHeight="1" x14ac:dyDescent="0.3">
      <c r="B50" s="32"/>
      <c r="C50" s="13"/>
      <c r="D50" s="13">
        <f t="shared" si="41"/>
        <v>0</v>
      </c>
      <c r="E50" s="170">
        <f t="shared" si="37"/>
        <v>0</v>
      </c>
      <c r="F50" s="251">
        <f t="shared" si="38"/>
        <v>0</v>
      </c>
      <c r="G50" s="171">
        <v>0</v>
      </c>
      <c r="H50" s="171">
        <f t="shared" si="39"/>
        <v>0</v>
      </c>
      <c r="I50" s="173"/>
      <c r="J50" s="262">
        <f t="shared" si="42"/>
        <v>0</v>
      </c>
      <c r="K50" s="172"/>
      <c r="L50" s="37" t="e">
        <f t="shared" si="40"/>
        <v>#DIV/0!</v>
      </c>
      <c r="M50" s="35" t="e">
        <f t="shared" si="43"/>
        <v>#DIV/0!</v>
      </c>
      <c r="N50" s="35" t="e">
        <f t="shared" si="44"/>
        <v>#DIV/0!</v>
      </c>
    </row>
    <row r="51" spans="2:14" ht="12.75" customHeight="1" x14ac:dyDescent="0.3">
      <c r="B51" s="32"/>
      <c r="C51" s="13"/>
      <c r="D51" s="13">
        <f t="shared" si="41"/>
        <v>0</v>
      </c>
      <c r="E51" s="170">
        <f t="shared" si="37"/>
        <v>0</v>
      </c>
      <c r="F51" s="251">
        <f t="shared" si="38"/>
        <v>0</v>
      </c>
      <c r="G51" s="171">
        <v>0</v>
      </c>
      <c r="H51" s="171">
        <f t="shared" si="39"/>
        <v>0</v>
      </c>
      <c r="I51" s="173"/>
      <c r="J51" s="262">
        <f t="shared" si="42"/>
        <v>0</v>
      </c>
      <c r="K51" s="172"/>
      <c r="L51" s="37" t="e">
        <f t="shared" si="40"/>
        <v>#DIV/0!</v>
      </c>
      <c r="M51" s="35" t="e">
        <f t="shared" si="43"/>
        <v>#DIV/0!</v>
      </c>
      <c r="N51" s="35" t="e">
        <f t="shared" si="44"/>
        <v>#DIV/0!</v>
      </c>
    </row>
    <row r="52" spans="2:14" ht="12.75" customHeight="1" x14ac:dyDescent="0.3">
      <c r="B52" s="38"/>
      <c r="C52" s="39"/>
      <c r="D52" s="13">
        <f t="shared" si="41"/>
        <v>0</v>
      </c>
      <c r="E52" s="16">
        <f t="shared" si="37"/>
        <v>0</v>
      </c>
      <c r="F52" s="252">
        <f t="shared" si="38"/>
        <v>0</v>
      </c>
      <c r="G52" s="17"/>
      <c r="H52" s="17">
        <f t="shared" si="39"/>
        <v>0</v>
      </c>
      <c r="I52" s="40"/>
      <c r="J52" s="263">
        <f t="shared" si="42"/>
        <v>0</v>
      </c>
      <c r="K52" s="176"/>
      <c r="L52" s="21"/>
      <c r="M52" s="5"/>
      <c r="N52" s="5"/>
    </row>
    <row r="53" spans="2:14" ht="12.75" customHeight="1" x14ac:dyDescent="0.3">
      <c r="B53" s="41"/>
      <c r="C53" s="16"/>
      <c r="D53" s="16"/>
      <c r="E53" s="16">
        <f t="shared" ref="E53:J53" si="45">SUM(E46:E52)</f>
        <v>60</v>
      </c>
      <c r="F53" s="252">
        <f t="shared" si="45"/>
        <v>60000</v>
      </c>
      <c r="G53" s="17">
        <f t="shared" si="45"/>
        <v>0</v>
      </c>
      <c r="H53" s="17">
        <f t="shared" si="45"/>
        <v>60000</v>
      </c>
      <c r="I53" s="18">
        <f t="shared" si="45"/>
        <v>944</v>
      </c>
      <c r="J53" s="260">
        <f t="shared" si="45"/>
        <v>9464</v>
      </c>
      <c r="K53" s="176">
        <f>+H53*0.65-I53-J53-G53</f>
        <v>28592</v>
      </c>
      <c r="L53" s="42">
        <f>+(I53+J53)/H53</f>
        <v>0.17346666666666666</v>
      </c>
      <c r="M53" s="31">
        <f>L53+L54</f>
        <v>0.64999999999999991</v>
      </c>
      <c r="N53" s="5"/>
    </row>
    <row r="54" spans="2:14" ht="12.75" customHeight="1" x14ac:dyDescent="0.3">
      <c r="B54" s="27"/>
      <c r="C54" s="5"/>
      <c r="D54" s="5"/>
      <c r="E54" s="5"/>
      <c r="F54" s="249"/>
      <c r="G54" s="23"/>
      <c r="H54" s="23"/>
      <c r="I54" s="23"/>
      <c r="J54" s="261"/>
      <c r="K54" s="23">
        <f>H53*0.3</f>
        <v>18000</v>
      </c>
      <c r="L54" s="43">
        <f>+K53/H53</f>
        <v>0.47653333333333331</v>
      </c>
      <c r="M54" s="5"/>
      <c r="N54" s="5"/>
    </row>
    <row r="55" spans="2:14" ht="12.75" customHeight="1" x14ac:dyDescent="0.3">
      <c r="B55" s="27"/>
      <c r="C55" s="5"/>
      <c r="D55" s="5"/>
      <c r="E55" s="5"/>
      <c r="F55" s="249"/>
      <c r="G55" s="23"/>
      <c r="H55" s="23"/>
      <c r="I55" s="3" t="s">
        <v>182</v>
      </c>
      <c r="J55" s="255">
        <v>473.2</v>
      </c>
      <c r="K55" s="4"/>
      <c r="L55" s="5"/>
      <c r="M55" s="5"/>
      <c r="N55" s="5"/>
    </row>
    <row r="56" spans="2:14" ht="12.75" customHeight="1" x14ac:dyDescent="0.3">
      <c r="B56" s="28" t="s">
        <v>142</v>
      </c>
      <c r="C56" s="8" t="s">
        <v>188</v>
      </c>
      <c r="D56" s="8" t="s">
        <v>189</v>
      </c>
      <c r="E56" s="8" t="s">
        <v>190</v>
      </c>
      <c r="F56" s="250" t="s">
        <v>145</v>
      </c>
      <c r="G56" s="8" t="s">
        <v>163</v>
      </c>
      <c r="H56" s="8" t="s">
        <v>164</v>
      </c>
      <c r="I56" s="168" t="s">
        <v>165</v>
      </c>
      <c r="J56" s="256" t="s">
        <v>166</v>
      </c>
      <c r="K56" s="9" t="s">
        <v>146</v>
      </c>
      <c r="L56" s="29" t="s">
        <v>179</v>
      </c>
      <c r="M56" s="5" t="s">
        <v>191</v>
      </c>
      <c r="N56" s="5" t="s">
        <v>192</v>
      </c>
    </row>
    <row r="57" spans="2:14" ht="12.75" customHeight="1" x14ac:dyDescent="0.3">
      <c r="B57" s="178">
        <v>45041</v>
      </c>
      <c r="C57" s="170">
        <v>3460</v>
      </c>
      <c r="D57" s="170">
        <f>C48</f>
        <v>3456</v>
      </c>
      <c r="E57" s="170">
        <f t="shared" ref="E57:E63" si="46">+C57-D57</f>
        <v>4</v>
      </c>
      <c r="F57" s="251">
        <f t="shared" ref="F57:F63" si="47">+E57*1000</f>
        <v>4000</v>
      </c>
      <c r="G57" s="171"/>
      <c r="H57" s="171">
        <f t="shared" ref="H57:H63" si="48">+F57-G57</f>
        <v>4000</v>
      </c>
      <c r="I57" s="10"/>
      <c r="J57" s="257"/>
      <c r="K57" s="194" t="s">
        <v>183</v>
      </c>
      <c r="L57" s="31">
        <f t="shared" ref="L57:L62" si="49">+(I57+J57)/H57</f>
        <v>0</v>
      </c>
      <c r="M57" s="35">
        <f>H57/(B57-B50)</f>
        <v>8.8807974956151059E-2</v>
      </c>
      <c r="N57" s="35">
        <f>(H57*0.65-I57-J57)/(B57-B50)</f>
        <v>5.7725183721498194E-2</v>
      </c>
    </row>
    <row r="58" spans="2:14" ht="12.75" customHeight="1" x14ac:dyDescent="0.3">
      <c r="B58" s="32">
        <v>45056</v>
      </c>
      <c r="C58" s="13">
        <v>3484</v>
      </c>
      <c r="D58" s="13">
        <f t="shared" ref="D58:D63" si="50">IF(B58=0,0,C57)</f>
        <v>3460</v>
      </c>
      <c r="E58" s="170">
        <f t="shared" si="46"/>
        <v>24</v>
      </c>
      <c r="F58" s="251">
        <f t="shared" si="47"/>
        <v>24000</v>
      </c>
      <c r="G58" s="171">
        <v>0</v>
      </c>
      <c r="H58" s="171">
        <f t="shared" si="48"/>
        <v>24000</v>
      </c>
      <c r="I58" s="33">
        <v>1888</v>
      </c>
      <c r="J58" s="258">
        <f t="shared" ref="J58:J63" si="51">+E58*$J$3/2</f>
        <v>5678.4</v>
      </c>
      <c r="K58" s="172"/>
      <c r="L58" s="31">
        <f t="shared" si="49"/>
        <v>0.31526666666666664</v>
      </c>
      <c r="M58" s="35">
        <f t="shared" ref="M58:M62" si="52">H58/(B58-B57)</f>
        <v>1600</v>
      </c>
      <c r="N58" s="35">
        <f t="shared" ref="N58:N62" si="53">(H58*0.65-I58-J58)/(B58-B57)</f>
        <v>535.57333333333338</v>
      </c>
    </row>
    <row r="59" spans="2:14" ht="12.75" customHeight="1" x14ac:dyDescent="0.3">
      <c r="B59" s="32">
        <v>45060</v>
      </c>
      <c r="C59" s="13">
        <v>3496</v>
      </c>
      <c r="D59" s="13">
        <f t="shared" si="50"/>
        <v>3484</v>
      </c>
      <c r="E59" s="170">
        <f t="shared" si="46"/>
        <v>12</v>
      </c>
      <c r="F59" s="251">
        <f t="shared" si="47"/>
        <v>12000</v>
      </c>
      <c r="G59" s="171">
        <v>0</v>
      </c>
      <c r="H59" s="171">
        <f t="shared" si="48"/>
        <v>12000</v>
      </c>
      <c r="I59" s="33"/>
      <c r="J59" s="259">
        <f t="shared" si="51"/>
        <v>2839.2</v>
      </c>
      <c r="K59" s="172"/>
      <c r="L59" s="31">
        <f t="shared" si="49"/>
        <v>0.23659999999999998</v>
      </c>
      <c r="M59" s="35">
        <f t="shared" si="52"/>
        <v>3000</v>
      </c>
      <c r="N59" s="35">
        <f t="shared" si="53"/>
        <v>1240.2</v>
      </c>
    </row>
    <row r="60" spans="2:14" ht="12.75" customHeight="1" x14ac:dyDescent="0.3">
      <c r="B60" s="32">
        <v>45063</v>
      </c>
      <c r="C60" s="13">
        <v>3500</v>
      </c>
      <c r="D60" s="13">
        <f t="shared" si="50"/>
        <v>3496</v>
      </c>
      <c r="E60" s="170">
        <f t="shared" si="46"/>
        <v>4</v>
      </c>
      <c r="F60" s="251">
        <f t="shared" si="47"/>
        <v>4000</v>
      </c>
      <c r="G60" s="171">
        <v>0</v>
      </c>
      <c r="H60" s="171">
        <f t="shared" si="48"/>
        <v>4000</v>
      </c>
      <c r="I60" s="33">
        <v>1888</v>
      </c>
      <c r="J60" s="259">
        <f t="shared" si="51"/>
        <v>946.4</v>
      </c>
      <c r="K60" s="172"/>
      <c r="L60" s="31">
        <f t="shared" si="49"/>
        <v>0.70860000000000001</v>
      </c>
      <c r="M60" s="35">
        <f t="shared" si="52"/>
        <v>1333.3333333333333</v>
      </c>
      <c r="N60" s="35">
        <f t="shared" si="53"/>
        <v>-78.133333333333326</v>
      </c>
    </row>
    <row r="61" spans="2:14" ht="12.75" customHeight="1" x14ac:dyDescent="0.3">
      <c r="B61" s="32"/>
      <c r="C61" s="13"/>
      <c r="D61" s="13">
        <f t="shared" si="50"/>
        <v>0</v>
      </c>
      <c r="E61" s="170">
        <f t="shared" si="46"/>
        <v>0</v>
      </c>
      <c r="F61" s="251">
        <f t="shared" si="47"/>
        <v>0</v>
      </c>
      <c r="G61" s="171">
        <v>0</v>
      </c>
      <c r="H61" s="171">
        <f t="shared" si="48"/>
        <v>0</v>
      </c>
      <c r="I61" s="173"/>
      <c r="J61" s="262">
        <f t="shared" si="51"/>
        <v>0</v>
      </c>
      <c r="K61" s="172"/>
      <c r="L61" s="37" t="e">
        <f t="shared" si="49"/>
        <v>#DIV/0!</v>
      </c>
      <c r="M61" s="35">
        <f t="shared" si="52"/>
        <v>0</v>
      </c>
      <c r="N61" s="35">
        <f t="shared" si="53"/>
        <v>0</v>
      </c>
    </row>
    <row r="62" spans="2:14" ht="12.75" customHeight="1" x14ac:dyDescent="0.3">
      <c r="B62" s="32"/>
      <c r="C62" s="13"/>
      <c r="D62" s="13">
        <f t="shared" si="50"/>
        <v>0</v>
      </c>
      <c r="E62" s="170">
        <f t="shared" si="46"/>
        <v>0</v>
      </c>
      <c r="F62" s="251">
        <f t="shared" si="47"/>
        <v>0</v>
      </c>
      <c r="G62" s="171">
        <v>0</v>
      </c>
      <c r="H62" s="171">
        <f t="shared" si="48"/>
        <v>0</v>
      </c>
      <c r="I62" s="173"/>
      <c r="J62" s="262">
        <f t="shared" si="51"/>
        <v>0</v>
      </c>
      <c r="K62" s="172"/>
      <c r="L62" s="37" t="e">
        <f t="shared" si="49"/>
        <v>#DIV/0!</v>
      </c>
      <c r="M62" s="35" t="e">
        <f t="shared" si="52"/>
        <v>#DIV/0!</v>
      </c>
      <c r="N62" s="35" t="e">
        <f t="shared" si="53"/>
        <v>#DIV/0!</v>
      </c>
    </row>
    <row r="63" spans="2:14" ht="12.75" customHeight="1" x14ac:dyDescent="0.3">
      <c r="B63" s="38"/>
      <c r="C63" s="39"/>
      <c r="D63" s="13">
        <f t="shared" si="50"/>
        <v>0</v>
      </c>
      <c r="E63" s="16">
        <f t="shared" si="46"/>
        <v>0</v>
      </c>
      <c r="F63" s="252">
        <f t="shared" si="47"/>
        <v>0</v>
      </c>
      <c r="G63" s="17"/>
      <c r="H63" s="17">
        <f t="shared" si="48"/>
        <v>0</v>
      </c>
      <c r="I63" s="40"/>
      <c r="J63" s="263">
        <f t="shared" si="51"/>
        <v>0</v>
      </c>
      <c r="K63" s="176"/>
      <c r="L63" s="21"/>
      <c r="M63" s="5"/>
      <c r="N63" s="5"/>
    </row>
    <row r="64" spans="2:14" ht="12.75" customHeight="1" x14ac:dyDescent="0.3">
      <c r="B64" s="41"/>
      <c r="C64" s="16"/>
      <c r="D64" s="16"/>
      <c r="E64" s="16">
        <f t="shared" ref="E64:J64" si="54">SUM(E57:E63)</f>
        <v>44</v>
      </c>
      <c r="F64" s="252">
        <f t="shared" si="54"/>
        <v>44000</v>
      </c>
      <c r="G64" s="17">
        <f t="shared" si="54"/>
        <v>0</v>
      </c>
      <c r="H64" s="17">
        <f t="shared" si="54"/>
        <v>44000</v>
      </c>
      <c r="I64" s="18">
        <f t="shared" si="54"/>
        <v>3776</v>
      </c>
      <c r="J64" s="260">
        <f t="shared" si="54"/>
        <v>9463.9999999999982</v>
      </c>
      <c r="K64" s="176">
        <f>+H64*0.65-I64-J64-G64</f>
        <v>15360.000000000002</v>
      </c>
      <c r="L64" s="42">
        <f>+(I64+J64)/H64</f>
        <v>0.30090909090909085</v>
      </c>
      <c r="M64" s="31">
        <f>L64+L65</f>
        <v>0.64999999999999991</v>
      </c>
      <c r="N64" s="5"/>
    </row>
    <row r="65" spans="2:14" ht="12.75" customHeight="1" x14ac:dyDescent="0.3">
      <c r="B65" s="27"/>
      <c r="C65" s="5"/>
      <c r="D65" s="5"/>
      <c r="E65" s="5"/>
      <c r="F65" s="249"/>
      <c r="G65" s="23"/>
      <c r="H65" s="23"/>
      <c r="I65" s="23"/>
      <c r="J65" s="261"/>
      <c r="K65" s="23">
        <f>H64*0.3</f>
        <v>13200</v>
      </c>
      <c r="L65" s="43">
        <f>+K64/H64</f>
        <v>0.34909090909090912</v>
      </c>
      <c r="M65" s="5"/>
      <c r="N65" s="5"/>
    </row>
    <row r="66" spans="2:14" ht="12.75" customHeight="1" x14ac:dyDescent="0.3">
      <c r="B66" s="27"/>
      <c r="C66" s="5"/>
      <c r="D66" s="5"/>
      <c r="E66" s="5"/>
      <c r="F66" s="249"/>
      <c r="G66" s="23"/>
      <c r="H66" s="23"/>
      <c r="I66" s="3" t="s">
        <v>182</v>
      </c>
      <c r="J66" s="255">
        <v>473.2</v>
      </c>
      <c r="K66" s="4"/>
      <c r="L66" s="5"/>
      <c r="M66" s="5"/>
      <c r="N66" s="5"/>
    </row>
    <row r="67" spans="2:14" ht="12.75" customHeight="1" x14ac:dyDescent="0.3">
      <c r="B67" s="28" t="s">
        <v>142</v>
      </c>
      <c r="C67" s="8" t="s">
        <v>188</v>
      </c>
      <c r="D67" s="8" t="s">
        <v>189</v>
      </c>
      <c r="E67" s="8" t="s">
        <v>190</v>
      </c>
      <c r="F67" s="250" t="s">
        <v>145</v>
      </c>
      <c r="G67" s="8" t="s">
        <v>163</v>
      </c>
      <c r="H67" s="8" t="s">
        <v>164</v>
      </c>
      <c r="I67" s="168" t="s">
        <v>165</v>
      </c>
      <c r="J67" s="256" t="s">
        <v>166</v>
      </c>
      <c r="K67" s="9" t="s">
        <v>146</v>
      </c>
      <c r="L67" s="29" t="s">
        <v>179</v>
      </c>
      <c r="M67" s="5" t="s">
        <v>191</v>
      </c>
      <c r="N67" s="5" t="s">
        <v>192</v>
      </c>
    </row>
    <row r="68" spans="2:14" ht="12.75" customHeight="1" x14ac:dyDescent="0.3">
      <c r="B68" s="178">
        <v>45070</v>
      </c>
      <c r="C68" s="170">
        <v>3516</v>
      </c>
      <c r="D68" s="170">
        <f>C60</f>
        <v>3500</v>
      </c>
      <c r="E68" s="170">
        <f t="shared" ref="E68:E74" si="55">+C68-D68</f>
        <v>16</v>
      </c>
      <c r="F68" s="251">
        <f t="shared" ref="F68:F74" si="56">+E68*1000</f>
        <v>16000</v>
      </c>
      <c r="G68" s="171"/>
      <c r="H68" s="171">
        <f t="shared" ref="H68:H74" si="57">+F68-G68</f>
        <v>16000</v>
      </c>
      <c r="I68" s="10">
        <v>1888</v>
      </c>
      <c r="J68" s="259">
        <f t="shared" ref="J68:J74" si="58">+E68*$J$3/2</f>
        <v>3785.6</v>
      </c>
      <c r="K68" s="194" t="s">
        <v>183</v>
      </c>
      <c r="L68" s="31">
        <f t="shared" ref="L68:L73" si="59">+(I68+J68)/H68</f>
        <v>0.35460000000000003</v>
      </c>
      <c r="M68" s="35">
        <f>H68/(B68-B61)</f>
        <v>0.35500332815620145</v>
      </c>
      <c r="N68" s="35">
        <f>(H68*0.65-I68-J68)/(B68-B61)</f>
        <v>0.1048679831373419</v>
      </c>
    </row>
    <row r="69" spans="2:14" ht="12.75" customHeight="1" x14ac:dyDescent="0.3">
      <c r="B69" s="32">
        <v>45082</v>
      </c>
      <c r="C69" s="13">
        <v>3538</v>
      </c>
      <c r="D69" s="13">
        <f t="shared" ref="D69:D74" si="60">IF(B69=0,0,C68)</f>
        <v>3516</v>
      </c>
      <c r="E69" s="170">
        <f t="shared" si="55"/>
        <v>22</v>
      </c>
      <c r="F69" s="251">
        <f t="shared" si="56"/>
        <v>22000</v>
      </c>
      <c r="G69" s="171">
        <v>0</v>
      </c>
      <c r="H69" s="171">
        <f t="shared" si="57"/>
        <v>22000</v>
      </c>
      <c r="I69" s="33">
        <v>1888</v>
      </c>
      <c r="J69" s="259">
        <f t="shared" si="58"/>
        <v>5205.2</v>
      </c>
      <c r="K69" s="172"/>
      <c r="L69" s="31">
        <f t="shared" si="59"/>
        <v>0.32241818181818183</v>
      </c>
      <c r="M69" s="35">
        <f t="shared" ref="M69:M73" si="61">H69/(B69-B68)</f>
        <v>1833.3333333333333</v>
      </c>
      <c r="N69" s="35">
        <f t="shared" ref="N69:N73" si="62">(H69*0.65-I69-J69)/(B69-B68)</f>
        <v>600.56666666666672</v>
      </c>
    </row>
    <row r="70" spans="2:14" ht="12.75" customHeight="1" x14ac:dyDescent="0.3">
      <c r="B70" s="32">
        <v>45087</v>
      </c>
      <c r="C70" s="13">
        <v>3540</v>
      </c>
      <c r="D70" s="13">
        <f t="shared" si="60"/>
        <v>3538</v>
      </c>
      <c r="E70" s="170">
        <f t="shared" si="55"/>
        <v>2</v>
      </c>
      <c r="F70" s="251">
        <f t="shared" si="56"/>
        <v>2000</v>
      </c>
      <c r="G70" s="171">
        <v>0</v>
      </c>
      <c r="H70" s="171">
        <f t="shared" si="57"/>
        <v>2000</v>
      </c>
      <c r="I70" s="33"/>
      <c r="J70" s="259">
        <f t="shared" si="58"/>
        <v>473.2</v>
      </c>
      <c r="K70" s="172"/>
      <c r="L70" s="31">
        <f t="shared" si="59"/>
        <v>0.2366</v>
      </c>
      <c r="M70" s="35">
        <f t="shared" si="61"/>
        <v>400</v>
      </c>
      <c r="N70" s="35">
        <f t="shared" si="62"/>
        <v>165.35999999999999</v>
      </c>
    </row>
    <row r="71" spans="2:14" ht="12.75" customHeight="1" x14ac:dyDescent="0.3">
      <c r="B71" s="32">
        <v>45091</v>
      </c>
      <c r="C71" s="13">
        <v>3550</v>
      </c>
      <c r="D71" s="13">
        <f t="shared" si="60"/>
        <v>3540</v>
      </c>
      <c r="E71" s="170">
        <f t="shared" si="55"/>
        <v>10</v>
      </c>
      <c r="F71" s="251">
        <f t="shared" si="56"/>
        <v>10000</v>
      </c>
      <c r="G71" s="171">
        <v>0</v>
      </c>
      <c r="H71" s="171">
        <f t="shared" si="57"/>
        <v>10000</v>
      </c>
      <c r="I71" s="33"/>
      <c r="J71" s="259">
        <f t="shared" si="58"/>
        <v>2366</v>
      </c>
      <c r="K71" s="172"/>
      <c r="L71" s="31">
        <f t="shared" si="59"/>
        <v>0.2366</v>
      </c>
      <c r="M71" s="35">
        <f t="shared" si="61"/>
        <v>2500</v>
      </c>
      <c r="N71" s="35">
        <f t="shared" si="62"/>
        <v>1033.5</v>
      </c>
    </row>
    <row r="72" spans="2:14" ht="12.75" customHeight="1" x14ac:dyDescent="0.3">
      <c r="B72" s="32">
        <v>45093</v>
      </c>
      <c r="C72" s="13">
        <v>3550</v>
      </c>
      <c r="D72" s="13">
        <f t="shared" si="60"/>
        <v>3550</v>
      </c>
      <c r="E72" s="170">
        <f t="shared" si="55"/>
        <v>0</v>
      </c>
      <c r="F72" s="251">
        <f t="shared" si="56"/>
        <v>0</v>
      </c>
      <c r="G72" s="171">
        <v>0</v>
      </c>
      <c r="H72" s="171">
        <f t="shared" si="57"/>
        <v>0</v>
      </c>
      <c r="I72" s="173"/>
      <c r="J72" s="262">
        <f t="shared" si="58"/>
        <v>0</v>
      </c>
      <c r="K72" s="172"/>
      <c r="L72" s="37" t="e">
        <f t="shared" si="59"/>
        <v>#DIV/0!</v>
      </c>
      <c r="M72" s="35">
        <f t="shared" si="61"/>
        <v>0</v>
      </c>
      <c r="N72" s="35">
        <f t="shared" si="62"/>
        <v>0</v>
      </c>
    </row>
    <row r="73" spans="2:14" ht="12.75" customHeight="1" x14ac:dyDescent="0.3">
      <c r="B73" s="32"/>
      <c r="C73" s="13"/>
      <c r="D73" s="13">
        <f t="shared" si="60"/>
        <v>0</v>
      </c>
      <c r="E73" s="170">
        <f t="shared" si="55"/>
        <v>0</v>
      </c>
      <c r="F73" s="251">
        <f t="shared" si="56"/>
        <v>0</v>
      </c>
      <c r="G73" s="171">
        <v>0</v>
      </c>
      <c r="H73" s="171">
        <f t="shared" si="57"/>
        <v>0</v>
      </c>
      <c r="I73" s="173"/>
      <c r="J73" s="262">
        <f t="shared" si="58"/>
        <v>0</v>
      </c>
      <c r="K73" s="172"/>
      <c r="L73" s="37" t="e">
        <f t="shared" si="59"/>
        <v>#DIV/0!</v>
      </c>
      <c r="M73" s="35">
        <f t="shared" si="61"/>
        <v>0</v>
      </c>
      <c r="N73" s="35">
        <f t="shared" si="62"/>
        <v>0</v>
      </c>
    </row>
    <row r="74" spans="2:14" ht="12.75" customHeight="1" x14ac:dyDescent="0.3">
      <c r="B74" s="38"/>
      <c r="C74" s="39"/>
      <c r="D74" s="13">
        <f t="shared" si="60"/>
        <v>0</v>
      </c>
      <c r="E74" s="16">
        <f t="shared" si="55"/>
        <v>0</v>
      </c>
      <c r="F74" s="252">
        <f t="shared" si="56"/>
        <v>0</v>
      </c>
      <c r="G74" s="17"/>
      <c r="H74" s="17">
        <f t="shared" si="57"/>
        <v>0</v>
      </c>
      <c r="I74" s="40"/>
      <c r="J74" s="263">
        <f t="shared" si="58"/>
        <v>0</v>
      </c>
      <c r="K74" s="176"/>
      <c r="L74" s="21"/>
      <c r="M74" s="5"/>
      <c r="N74" s="5"/>
    </row>
    <row r="75" spans="2:14" ht="12.75" customHeight="1" x14ac:dyDescent="0.3">
      <c r="B75" s="41"/>
      <c r="C75" s="16"/>
      <c r="D75" s="16"/>
      <c r="E75" s="16">
        <f t="shared" ref="E75:J75" si="63">SUM(E68:E74)</f>
        <v>50</v>
      </c>
      <c r="F75" s="252">
        <f t="shared" si="63"/>
        <v>50000</v>
      </c>
      <c r="G75" s="17">
        <f t="shared" si="63"/>
        <v>0</v>
      </c>
      <c r="H75" s="17">
        <f t="shared" si="63"/>
        <v>50000</v>
      </c>
      <c r="I75" s="18">
        <f t="shared" si="63"/>
        <v>3776</v>
      </c>
      <c r="J75" s="260">
        <f t="shared" si="63"/>
        <v>11830</v>
      </c>
      <c r="K75" s="176">
        <f>+H75*0.65-I75-J75-G75</f>
        <v>16894</v>
      </c>
      <c r="L75" s="42">
        <f>+(I75+J75)/H75</f>
        <v>0.31212000000000001</v>
      </c>
      <c r="M75" s="31">
        <f>L75+L76</f>
        <v>0.65</v>
      </c>
      <c r="N75" s="5"/>
    </row>
    <row r="76" spans="2:14" ht="12.75" customHeight="1" x14ac:dyDescent="0.3">
      <c r="B76" s="27"/>
      <c r="C76" s="5"/>
      <c r="D76" s="5"/>
      <c r="E76" s="5"/>
      <c r="F76" s="249"/>
      <c r="G76" s="23"/>
      <c r="H76" s="23"/>
      <c r="I76" s="23"/>
      <c r="J76" s="261"/>
      <c r="K76" s="23">
        <f>H75*0.3</f>
        <v>15000</v>
      </c>
      <c r="L76" s="43">
        <f>+K75/H75</f>
        <v>0.33788000000000001</v>
      </c>
      <c r="M76" s="5"/>
      <c r="N76" s="5"/>
    </row>
    <row r="77" spans="2:14" ht="12.75" customHeight="1" x14ac:dyDescent="0.3">
      <c r="B77" s="27"/>
      <c r="C77" s="5"/>
      <c r="D77" s="5"/>
      <c r="E77" s="5"/>
      <c r="F77" s="249"/>
      <c r="G77" s="23"/>
      <c r="H77" s="23"/>
      <c r="I77" s="3" t="s">
        <v>182</v>
      </c>
      <c r="J77" s="255">
        <v>473.2</v>
      </c>
      <c r="K77" s="4"/>
      <c r="L77" s="5"/>
      <c r="M77" s="5"/>
      <c r="N77" s="5"/>
    </row>
    <row r="78" spans="2:14" ht="12.75" customHeight="1" x14ac:dyDescent="0.3">
      <c r="B78" s="28" t="s">
        <v>142</v>
      </c>
      <c r="C78" s="8" t="s">
        <v>188</v>
      </c>
      <c r="D78" s="8" t="s">
        <v>189</v>
      </c>
      <c r="E78" s="8" t="s">
        <v>190</v>
      </c>
      <c r="F78" s="250" t="s">
        <v>145</v>
      </c>
      <c r="G78" s="8" t="s">
        <v>163</v>
      </c>
      <c r="H78" s="8" t="s">
        <v>164</v>
      </c>
      <c r="I78" s="168" t="s">
        <v>165</v>
      </c>
      <c r="J78" s="256" t="s">
        <v>166</v>
      </c>
      <c r="K78" s="9" t="s">
        <v>146</v>
      </c>
      <c r="L78" s="29" t="s">
        <v>179</v>
      </c>
      <c r="M78" s="5" t="s">
        <v>191</v>
      </c>
      <c r="N78" s="5" t="s">
        <v>192</v>
      </c>
    </row>
    <row r="79" spans="2:14" ht="12.75" customHeight="1" x14ac:dyDescent="0.3">
      <c r="B79" s="178">
        <v>45101</v>
      </c>
      <c r="C79" s="170">
        <v>3574</v>
      </c>
      <c r="D79" s="170">
        <f>C72</f>
        <v>3550</v>
      </c>
      <c r="E79" s="170">
        <f t="shared" ref="E79:E85" si="64">+C79-D79</f>
        <v>24</v>
      </c>
      <c r="F79" s="251">
        <f t="shared" ref="F79:F85" si="65">+E79*1000</f>
        <v>24000</v>
      </c>
      <c r="G79" s="171"/>
      <c r="H79" s="171">
        <f t="shared" ref="H79:H85" si="66">+F79-G79</f>
        <v>24000</v>
      </c>
      <c r="I79" s="10"/>
      <c r="J79" s="259">
        <f t="shared" ref="J79:J85" si="67">+E79*$J$3/2</f>
        <v>5678.4</v>
      </c>
      <c r="K79" s="194" t="s">
        <v>183</v>
      </c>
      <c r="L79" s="31">
        <f t="shared" ref="L79:L84" si="68">+(I79+J79)/H79</f>
        <v>0.23659999999999998</v>
      </c>
      <c r="M79" s="35">
        <f>H79/(B79-B72)</f>
        <v>3000</v>
      </c>
      <c r="N79" s="35">
        <f>(H79*0.65-I79-J79)/(B79-B72)</f>
        <v>1240.2</v>
      </c>
    </row>
    <row r="80" spans="2:14" ht="12.75" customHeight="1" x14ac:dyDescent="0.3">
      <c r="B80" s="32">
        <v>45109</v>
      </c>
      <c r="C80" s="13">
        <v>3596</v>
      </c>
      <c r="D80" s="13">
        <f t="shared" ref="D80:D85" si="69">IF(B80=0,0,C79)</f>
        <v>3574</v>
      </c>
      <c r="E80" s="170">
        <f t="shared" si="64"/>
        <v>22</v>
      </c>
      <c r="F80" s="251">
        <f t="shared" si="65"/>
        <v>22000</v>
      </c>
      <c r="G80" s="171">
        <v>0</v>
      </c>
      <c r="H80" s="171">
        <f t="shared" si="66"/>
        <v>22000</v>
      </c>
      <c r="I80" s="33"/>
      <c r="J80" s="259">
        <f t="shared" si="67"/>
        <v>5205.2</v>
      </c>
      <c r="K80" s="172"/>
      <c r="L80" s="31">
        <f t="shared" si="68"/>
        <v>0.2366</v>
      </c>
      <c r="M80" s="35">
        <f t="shared" ref="M80:M84" si="70">H80/(B80-B79)</f>
        <v>2750</v>
      </c>
      <c r="N80" s="35">
        <f t="shared" ref="N80:N84" si="71">(H80*0.65-I80-J80)/(B80-B79)</f>
        <v>1136.8499999999999</v>
      </c>
    </row>
    <row r="81" spans="2:14" ht="12.75" customHeight="1" x14ac:dyDescent="0.3">
      <c r="B81" s="32"/>
      <c r="C81" s="13"/>
      <c r="D81" s="13">
        <f t="shared" si="69"/>
        <v>0</v>
      </c>
      <c r="E81" s="170">
        <f t="shared" si="64"/>
        <v>0</v>
      </c>
      <c r="F81" s="251">
        <f t="shared" si="65"/>
        <v>0</v>
      </c>
      <c r="G81" s="171">
        <v>0</v>
      </c>
      <c r="H81" s="171">
        <f t="shared" si="66"/>
        <v>0</v>
      </c>
      <c r="I81" s="33"/>
      <c r="J81" s="259">
        <f t="shared" si="67"/>
        <v>0</v>
      </c>
      <c r="K81" s="172"/>
      <c r="L81" s="31" t="e">
        <f t="shared" si="68"/>
        <v>#DIV/0!</v>
      </c>
      <c r="M81" s="35">
        <f t="shared" si="70"/>
        <v>0</v>
      </c>
      <c r="N81" s="35">
        <f t="shared" si="71"/>
        <v>0</v>
      </c>
    </row>
    <row r="82" spans="2:14" ht="12.75" customHeight="1" x14ac:dyDescent="0.3">
      <c r="B82" s="32"/>
      <c r="C82" s="13"/>
      <c r="D82" s="13">
        <f t="shared" si="69"/>
        <v>0</v>
      </c>
      <c r="E82" s="170">
        <f t="shared" si="64"/>
        <v>0</v>
      </c>
      <c r="F82" s="251">
        <f t="shared" si="65"/>
        <v>0</v>
      </c>
      <c r="G82" s="171">
        <v>0</v>
      </c>
      <c r="H82" s="171">
        <f t="shared" si="66"/>
        <v>0</v>
      </c>
      <c r="I82" s="33"/>
      <c r="J82" s="259">
        <f t="shared" si="67"/>
        <v>0</v>
      </c>
      <c r="K82" s="172"/>
      <c r="L82" s="31" t="e">
        <f t="shared" si="68"/>
        <v>#DIV/0!</v>
      </c>
      <c r="M82" s="35" t="e">
        <f t="shared" si="70"/>
        <v>#DIV/0!</v>
      </c>
      <c r="N82" s="35" t="e">
        <f t="shared" si="71"/>
        <v>#DIV/0!</v>
      </c>
    </row>
    <row r="83" spans="2:14" ht="12.75" customHeight="1" x14ac:dyDescent="0.3">
      <c r="B83" s="32"/>
      <c r="C83" s="13"/>
      <c r="D83" s="13">
        <f t="shared" si="69"/>
        <v>0</v>
      </c>
      <c r="E83" s="170">
        <f t="shared" si="64"/>
        <v>0</v>
      </c>
      <c r="F83" s="251">
        <f t="shared" si="65"/>
        <v>0</v>
      </c>
      <c r="G83" s="171">
        <v>0</v>
      </c>
      <c r="H83" s="171">
        <f t="shared" si="66"/>
        <v>0</v>
      </c>
      <c r="I83" s="173"/>
      <c r="J83" s="262">
        <f t="shared" si="67"/>
        <v>0</v>
      </c>
      <c r="K83" s="172"/>
      <c r="L83" s="37" t="e">
        <f t="shared" si="68"/>
        <v>#DIV/0!</v>
      </c>
      <c r="M83" s="35" t="e">
        <f t="shared" si="70"/>
        <v>#DIV/0!</v>
      </c>
      <c r="N83" s="35" t="e">
        <f t="shared" si="71"/>
        <v>#DIV/0!</v>
      </c>
    </row>
    <row r="84" spans="2:14" ht="12.75" customHeight="1" x14ac:dyDescent="0.3">
      <c r="B84" s="32"/>
      <c r="C84" s="13"/>
      <c r="D84" s="13">
        <f t="shared" si="69"/>
        <v>0</v>
      </c>
      <c r="E84" s="170">
        <f t="shared" si="64"/>
        <v>0</v>
      </c>
      <c r="F84" s="251">
        <f t="shared" si="65"/>
        <v>0</v>
      </c>
      <c r="G84" s="171">
        <v>0</v>
      </c>
      <c r="H84" s="171">
        <f t="shared" si="66"/>
        <v>0</v>
      </c>
      <c r="I84" s="173"/>
      <c r="J84" s="262">
        <f t="shared" si="67"/>
        <v>0</v>
      </c>
      <c r="K84" s="172"/>
      <c r="L84" s="37" t="e">
        <f t="shared" si="68"/>
        <v>#DIV/0!</v>
      </c>
      <c r="M84" s="35" t="e">
        <f t="shared" si="70"/>
        <v>#DIV/0!</v>
      </c>
      <c r="N84" s="35" t="e">
        <f t="shared" si="71"/>
        <v>#DIV/0!</v>
      </c>
    </row>
    <row r="85" spans="2:14" ht="12.75" customHeight="1" thickBot="1" x14ac:dyDescent="0.35">
      <c r="B85" s="38"/>
      <c r="C85" s="39"/>
      <c r="D85" s="221">
        <f t="shared" si="69"/>
        <v>0</v>
      </c>
      <c r="E85" s="16">
        <f t="shared" si="64"/>
        <v>0</v>
      </c>
      <c r="F85" s="252">
        <f t="shared" si="65"/>
        <v>0</v>
      </c>
      <c r="G85" s="17"/>
      <c r="H85" s="17">
        <f t="shared" si="66"/>
        <v>0</v>
      </c>
      <c r="I85" s="40"/>
      <c r="J85" s="263">
        <f t="shared" si="67"/>
        <v>0</v>
      </c>
      <c r="K85" s="176"/>
      <c r="L85" s="21"/>
      <c r="M85" s="5"/>
      <c r="N85" s="5"/>
    </row>
    <row r="86" spans="2:14" ht="12.75" customHeight="1" thickBot="1" x14ac:dyDescent="0.35">
      <c r="B86" s="41"/>
      <c r="C86" s="16"/>
      <c r="D86" s="16"/>
      <c r="E86" s="16">
        <f t="shared" ref="E86:J86" si="72">SUM(E79:E85)</f>
        <v>46</v>
      </c>
      <c r="F86" s="252">
        <f t="shared" si="72"/>
        <v>46000</v>
      </c>
      <c r="G86" s="17">
        <f t="shared" si="72"/>
        <v>0</v>
      </c>
      <c r="H86" s="17">
        <f t="shared" si="72"/>
        <v>46000</v>
      </c>
      <c r="I86" s="18">
        <f t="shared" si="72"/>
        <v>0</v>
      </c>
      <c r="J86" s="260">
        <f t="shared" si="72"/>
        <v>10883.599999999999</v>
      </c>
      <c r="K86" s="176">
        <f>+H86*0.65-I86-J86-G86</f>
        <v>19016.400000000001</v>
      </c>
      <c r="L86" s="42">
        <f>+(I86+J86)/H86</f>
        <v>0.23659999999999998</v>
      </c>
      <c r="M86" s="31">
        <f>L86+L87</f>
        <v>0.65</v>
      </c>
      <c r="N86" s="5"/>
    </row>
    <row r="87" spans="2:14" ht="12.75" customHeight="1" x14ac:dyDescent="0.3">
      <c r="B87" s="27"/>
      <c r="C87" s="5"/>
      <c r="D87" s="5"/>
      <c r="E87" s="5"/>
      <c r="F87" s="249"/>
      <c r="G87" s="23"/>
      <c r="H87" s="23"/>
      <c r="I87" s="23"/>
      <c r="J87" s="261"/>
      <c r="K87" s="23">
        <f>H86*0.3</f>
        <v>13800</v>
      </c>
      <c r="L87" s="43">
        <f>+K86/H86</f>
        <v>0.41340000000000005</v>
      </c>
      <c r="M87" s="5"/>
      <c r="N87" s="5"/>
    </row>
    <row r="88" spans="2:14" ht="12.75" customHeight="1" x14ac:dyDescent="0.3">
      <c r="B88" s="27"/>
      <c r="C88" s="5"/>
      <c r="D88" s="5"/>
      <c r="E88" s="5"/>
      <c r="F88" s="249"/>
      <c r="G88" s="23"/>
      <c r="H88" s="23"/>
      <c r="I88" s="23"/>
      <c r="J88" s="261"/>
      <c r="K88" s="23"/>
      <c r="L88" s="43"/>
      <c r="M88" s="5"/>
      <c r="N88" s="5"/>
    </row>
    <row r="89" spans="2:14" ht="12.75" customHeight="1" x14ac:dyDescent="0.3">
      <c r="B89" s="242" t="s">
        <v>310</v>
      </c>
      <c r="C89" s="243"/>
      <c r="D89" s="243"/>
      <c r="E89" s="243"/>
      <c r="F89" s="253"/>
      <c r="G89" s="23"/>
      <c r="H89" s="246" t="s">
        <v>318</v>
      </c>
      <c r="I89" s="246"/>
      <c r="J89" s="264"/>
      <c r="K89" s="23"/>
      <c r="L89" s="43"/>
      <c r="M89" s="5"/>
      <c r="N89" s="5"/>
    </row>
    <row r="90" spans="2:14" ht="15" customHeight="1" x14ac:dyDescent="0.2">
      <c r="B90" s="244">
        <v>45581</v>
      </c>
      <c r="C90" s="231"/>
      <c r="D90" s="231">
        <v>4938</v>
      </c>
      <c r="E90" s="231"/>
      <c r="F90" s="245"/>
      <c r="H90" s="231">
        <v>32835</v>
      </c>
      <c r="I90" s="231"/>
      <c r="J90" s="245"/>
    </row>
    <row r="91" spans="2:14" ht="15" customHeight="1" x14ac:dyDescent="0.2">
      <c r="B91" s="244">
        <v>45596</v>
      </c>
      <c r="C91" s="231"/>
      <c r="D91" s="231">
        <v>4961</v>
      </c>
      <c r="E91" s="231">
        <f>D91-D90</f>
        <v>23</v>
      </c>
      <c r="F91" s="245">
        <f>E91*1000</f>
        <v>23000</v>
      </c>
      <c r="H91" s="231">
        <v>33017</v>
      </c>
      <c r="I91" s="231">
        <f>H91-H90</f>
        <v>182</v>
      </c>
      <c r="J91" s="245">
        <f>I91*100</f>
        <v>18200</v>
      </c>
    </row>
    <row r="92" spans="2:14" ht="15" customHeight="1" x14ac:dyDescent="0.2">
      <c r="B92" s="231"/>
      <c r="C92" s="231"/>
      <c r="D92" s="231"/>
      <c r="E92" s="231"/>
      <c r="F92" s="245"/>
      <c r="H92" s="231"/>
      <c r="I92" s="231"/>
      <c r="J92" s="245"/>
    </row>
    <row r="93" spans="2:14" ht="15" customHeight="1" x14ac:dyDescent="0.2">
      <c r="B93" s="231"/>
      <c r="C93" s="231"/>
      <c r="D93" s="231"/>
      <c r="E93" s="231"/>
      <c r="F93" s="245"/>
      <c r="H93" s="231"/>
      <c r="I93" s="231"/>
      <c r="J93" s="245"/>
    </row>
    <row r="94" spans="2:14" ht="15" customHeight="1" x14ac:dyDescent="0.2">
      <c r="B94" s="231"/>
      <c r="C94" s="231"/>
      <c r="D94" s="231"/>
      <c r="E94" s="231"/>
      <c r="F94" s="245">
        <f>SUM(F90:F93)</f>
        <v>23000</v>
      </c>
      <c r="H94" s="231"/>
      <c r="I94" s="231"/>
      <c r="J94" s="245">
        <f>SUM(J90:J93)</f>
        <v>18200</v>
      </c>
    </row>
  </sheetData>
  <phoneticPr fontId="35"/>
  <pageMargins left="0.69930555555555596" right="0.69930555555555596" top="0.75" bottom="0.75" header="0" footer="0"/>
  <pageSetup paperSize="9" scale="95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6">
    <pageSetUpPr fitToPage="1"/>
  </sheetPr>
  <dimension ref="B1:R136"/>
  <sheetViews>
    <sheetView workbookViewId="0">
      <pane ySplit="2" topLeftCell="A119" activePane="bottomLeft" state="frozen"/>
      <selection pane="bottomLeft" activeCell="B4" sqref="B4"/>
    </sheetView>
  </sheetViews>
  <sheetFormatPr defaultColWidth="14.390625" defaultRowHeight="15" customHeight="1" x14ac:dyDescent="0.2"/>
  <cols>
    <col min="1" max="1" width="4.3046875" customWidth="1"/>
    <col min="2" max="2" width="6.05078125" customWidth="1"/>
    <col min="3" max="4" width="7.3984375" customWidth="1"/>
    <col min="5" max="5" width="5.51171875" customWidth="1"/>
    <col min="6" max="6" width="10.22265625" customWidth="1"/>
    <col min="7" max="7" width="7.53125" customWidth="1"/>
    <col min="8" max="8" width="10.22265625" customWidth="1"/>
    <col min="9" max="9" width="11.43359375" customWidth="1"/>
    <col min="10" max="10" width="10.22265625" customWidth="1"/>
    <col min="11" max="11" width="24.75" customWidth="1"/>
    <col min="12" max="12" width="10.22265625" customWidth="1"/>
    <col min="13" max="14" width="9.28125" customWidth="1"/>
    <col min="15" max="15" width="4.3046875" customWidth="1"/>
    <col min="16" max="18" width="5.109375" customWidth="1"/>
    <col min="19" max="25" width="9.01171875" customWidth="1"/>
  </cols>
  <sheetData>
    <row r="1" spans="2:18" ht="12.75" customHeight="1" x14ac:dyDescent="0.3">
      <c r="B1" s="20" t="s">
        <v>195</v>
      </c>
      <c r="F1" s="21" t="s">
        <v>187</v>
      </c>
      <c r="G1" s="5" t="s">
        <v>163</v>
      </c>
      <c r="H1" s="22" t="s">
        <v>164</v>
      </c>
      <c r="I1" s="22" t="s">
        <v>165</v>
      </c>
      <c r="J1" s="667" t="s">
        <v>166</v>
      </c>
      <c r="K1" s="23" t="s">
        <v>179</v>
      </c>
      <c r="L1" s="5"/>
      <c r="M1" s="5"/>
      <c r="N1" s="5"/>
      <c r="O1" s="5"/>
      <c r="P1" s="5"/>
      <c r="Q1" s="5"/>
      <c r="R1" s="5"/>
    </row>
    <row r="2" spans="2:18" ht="12.75" customHeight="1" x14ac:dyDescent="0.3">
      <c r="B2" s="22" t="s">
        <v>148</v>
      </c>
      <c r="C2" s="20"/>
      <c r="E2" s="24"/>
      <c r="F2" s="25">
        <f t="shared" ref="F2:J2" si="0">F12+F20+F29</f>
        <v>618000</v>
      </c>
      <c r="G2" s="25">
        <f t="shared" si="0"/>
        <v>0</v>
      </c>
      <c r="H2" s="25">
        <f t="shared" si="0"/>
        <v>618000</v>
      </c>
      <c r="I2" s="25">
        <f t="shared" si="0"/>
        <v>59163</v>
      </c>
      <c r="J2" s="25">
        <f t="shared" si="0"/>
        <v>122489.07584320886</v>
      </c>
      <c r="K2" s="26">
        <f>(I2+J2)/H2</f>
        <v>0.29393539780454508</v>
      </c>
      <c r="L2" s="5"/>
      <c r="M2" s="5"/>
      <c r="N2" s="5"/>
      <c r="O2" s="5"/>
      <c r="P2" s="5"/>
      <c r="Q2" s="5"/>
      <c r="R2" s="5"/>
    </row>
    <row r="3" spans="2:18" ht="12.75" customHeight="1" x14ac:dyDescent="0.3">
      <c r="B3" s="27"/>
      <c r="C3" s="5"/>
      <c r="D3" s="5"/>
      <c r="E3" s="5"/>
      <c r="F3" s="5"/>
      <c r="G3" s="23"/>
      <c r="H3" s="23"/>
      <c r="I3" s="3" t="s">
        <v>182</v>
      </c>
      <c r="J3" s="6">
        <v>224.19598906107601</v>
      </c>
      <c r="K3" s="4"/>
      <c r="L3" s="5"/>
      <c r="M3" s="5"/>
      <c r="N3" s="5"/>
      <c r="O3" s="5"/>
      <c r="P3" s="5"/>
      <c r="Q3" s="5"/>
      <c r="R3" s="5"/>
    </row>
    <row r="4" spans="2:18" ht="12.75" customHeight="1" x14ac:dyDescent="0.3">
      <c r="B4" s="28" t="s">
        <v>142</v>
      </c>
      <c r="C4" s="8" t="s">
        <v>188</v>
      </c>
      <c r="D4" s="8" t="s">
        <v>189</v>
      </c>
      <c r="E4" s="8" t="s">
        <v>190</v>
      </c>
      <c r="F4" s="8" t="s">
        <v>145</v>
      </c>
      <c r="G4" s="8" t="s">
        <v>163</v>
      </c>
      <c r="H4" s="8" t="s">
        <v>164</v>
      </c>
      <c r="I4" s="168" t="s">
        <v>165</v>
      </c>
      <c r="J4" s="9" t="s">
        <v>166</v>
      </c>
      <c r="K4" s="9" t="s">
        <v>146</v>
      </c>
      <c r="L4" s="29" t="s">
        <v>179</v>
      </c>
      <c r="M4" s="5" t="s">
        <v>191</v>
      </c>
      <c r="N4" s="5" t="s">
        <v>192</v>
      </c>
      <c r="O4" s="5"/>
      <c r="P4" s="5"/>
      <c r="Q4" s="5"/>
      <c r="R4" s="5"/>
    </row>
    <row r="5" spans="2:18" ht="12.75" customHeight="1" x14ac:dyDescent="0.3">
      <c r="B5" s="178">
        <v>44676</v>
      </c>
      <c r="C5" s="170">
        <v>1248</v>
      </c>
      <c r="D5" s="170">
        <v>1248</v>
      </c>
      <c r="E5" s="170">
        <f t="shared" ref="E5:E11" si="1">+C5-D5</f>
        <v>0</v>
      </c>
      <c r="F5" s="171">
        <f t="shared" ref="F5:F11" si="2">+E5*1000</f>
        <v>0</v>
      </c>
      <c r="G5" s="171"/>
      <c r="H5" s="171">
        <f t="shared" ref="H5:H11" si="3">+F5-G5</f>
        <v>0</v>
      </c>
      <c r="I5" s="10"/>
      <c r="J5" s="30"/>
      <c r="K5" s="194" t="s">
        <v>183</v>
      </c>
      <c r="L5" s="31"/>
      <c r="M5" s="5"/>
      <c r="N5" s="5"/>
      <c r="O5" s="5"/>
      <c r="P5" s="5"/>
      <c r="Q5" s="5"/>
      <c r="R5" s="5"/>
    </row>
    <row r="6" spans="2:18" ht="12.75" customHeight="1" x14ac:dyDescent="0.3">
      <c r="B6" s="32">
        <v>44680</v>
      </c>
      <c r="C6" s="13">
        <v>1259</v>
      </c>
      <c r="D6" s="13">
        <v>1248</v>
      </c>
      <c r="E6" s="170">
        <f t="shared" si="1"/>
        <v>11</v>
      </c>
      <c r="F6" s="171">
        <f t="shared" si="2"/>
        <v>11000</v>
      </c>
      <c r="G6" s="171">
        <v>0</v>
      </c>
      <c r="H6" s="171">
        <f t="shared" si="3"/>
        <v>11000</v>
      </c>
      <c r="I6" s="33"/>
      <c r="J6" s="34">
        <f t="shared" ref="J6:J11" si="4">+E6*$J$3</f>
        <v>2466.1558796718359</v>
      </c>
      <c r="K6" s="172"/>
      <c r="L6" s="31">
        <f t="shared" ref="L6:L10" si="5">+(I6+J6)/H6</f>
        <v>0.22419598906107599</v>
      </c>
      <c r="M6" s="35">
        <f t="shared" ref="M6:M10" si="6">H6/(B6-B5)</f>
        <v>2750</v>
      </c>
      <c r="N6" s="35">
        <f t="shared" ref="N6:N10" si="7">(H6*0.65-I6-J6)/(B6-B5)</f>
        <v>1170.9610300820409</v>
      </c>
      <c r="O6" s="5"/>
      <c r="P6" s="5"/>
      <c r="Q6" s="5"/>
      <c r="R6" s="5"/>
    </row>
    <row r="7" spans="2:18" ht="12.75" customHeight="1" x14ac:dyDescent="0.3">
      <c r="B7" s="32">
        <v>44683</v>
      </c>
      <c r="C7" s="13">
        <v>1279</v>
      </c>
      <c r="D7" s="13">
        <v>1259</v>
      </c>
      <c r="E7" s="170">
        <f t="shared" si="1"/>
        <v>20</v>
      </c>
      <c r="F7" s="171">
        <f t="shared" si="2"/>
        <v>20000</v>
      </c>
      <c r="G7" s="171">
        <v>0</v>
      </c>
      <c r="H7" s="171">
        <f t="shared" si="3"/>
        <v>20000</v>
      </c>
      <c r="I7" s="33"/>
      <c r="J7" s="36">
        <f t="shared" si="4"/>
        <v>4483.9197812215198</v>
      </c>
      <c r="K7" s="172"/>
      <c r="L7" s="31">
        <f t="shared" si="5"/>
        <v>0.22419598906107599</v>
      </c>
      <c r="M7" s="35">
        <f t="shared" si="6"/>
        <v>6666.666666666667</v>
      </c>
      <c r="N7" s="35">
        <f t="shared" si="7"/>
        <v>2838.6934062594933</v>
      </c>
      <c r="O7" s="5"/>
      <c r="P7" s="5"/>
      <c r="Q7" s="5"/>
      <c r="R7" s="5"/>
    </row>
    <row r="8" spans="2:18" ht="12.75" customHeight="1" x14ac:dyDescent="0.3">
      <c r="B8" s="32">
        <v>44687</v>
      </c>
      <c r="C8" s="13">
        <v>1343</v>
      </c>
      <c r="D8" s="13">
        <v>1279</v>
      </c>
      <c r="E8" s="170">
        <f t="shared" si="1"/>
        <v>64</v>
      </c>
      <c r="F8" s="171">
        <f t="shared" si="2"/>
        <v>64000</v>
      </c>
      <c r="G8" s="171">
        <v>0</v>
      </c>
      <c r="H8" s="171">
        <f t="shared" si="3"/>
        <v>64000</v>
      </c>
      <c r="I8" s="33">
        <v>29083</v>
      </c>
      <c r="J8" s="36">
        <f t="shared" si="4"/>
        <v>14348.543299908864</v>
      </c>
      <c r="K8" s="172" t="s">
        <v>196</v>
      </c>
      <c r="L8" s="31">
        <f t="shared" si="5"/>
        <v>0.67861786406107605</v>
      </c>
      <c r="M8" s="35">
        <f t="shared" si="6"/>
        <v>16000</v>
      </c>
      <c r="N8" s="35">
        <f t="shared" si="7"/>
        <v>-457.88582497721609</v>
      </c>
      <c r="O8" s="5"/>
      <c r="P8" s="5"/>
      <c r="Q8" s="5"/>
      <c r="R8" s="5"/>
    </row>
    <row r="9" spans="2:18" ht="12.75" customHeight="1" x14ac:dyDescent="0.3">
      <c r="B9" s="32">
        <v>44691</v>
      </c>
      <c r="C9" s="13">
        <v>1397</v>
      </c>
      <c r="D9" s="13">
        <v>1343</v>
      </c>
      <c r="E9" s="170">
        <f t="shared" si="1"/>
        <v>54</v>
      </c>
      <c r="F9" s="171">
        <f t="shared" si="2"/>
        <v>54000</v>
      </c>
      <c r="G9" s="171">
        <v>0</v>
      </c>
      <c r="H9" s="171">
        <f t="shared" si="3"/>
        <v>54000</v>
      </c>
      <c r="I9" s="173">
        <v>2763</v>
      </c>
      <c r="J9" s="174">
        <f t="shared" si="4"/>
        <v>12106.583409298104</v>
      </c>
      <c r="K9" s="172" t="s">
        <v>197</v>
      </c>
      <c r="L9" s="37">
        <f t="shared" si="5"/>
        <v>0.27536265572774266</v>
      </c>
      <c r="M9" s="35">
        <f t="shared" si="6"/>
        <v>13500</v>
      </c>
      <c r="N9" s="35">
        <f t="shared" si="7"/>
        <v>5057.6041476754745</v>
      </c>
      <c r="O9" s="5"/>
      <c r="P9" s="5"/>
      <c r="Q9" s="5"/>
      <c r="R9" s="5"/>
    </row>
    <row r="10" spans="2:18" ht="12.75" customHeight="1" x14ac:dyDescent="0.3">
      <c r="B10" s="32">
        <v>44699</v>
      </c>
      <c r="C10" s="13">
        <v>1437</v>
      </c>
      <c r="D10" s="13">
        <v>1397</v>
      </c>
      <c r="E10" s="170">
        <f t="shared" si="1"/>
        <v>40</v>
      </c>
      <c r="F10" s="171">
        <f t="shared" si="2"/>
        <v>40000</v>
      </c>
      <c r="G10" s="171">
        <v>0</v>
      </c>
      <c r="H10" s="171">
        <f t="shared" si="3"/>
        <v>40000</v>
      </c>
      <c r="I10" s="173">
        <v>4620</v>
      </c>
      <c r="J10" s="174">
        <f t="shared" si="4"/>
        <v>8967.8395624430395</v>
      </c>
      <c r="K10" s="172" t="s">
        <v>198</v>
      </c>
      <c r="L10" s="37">
        <f t="shared" si="5"/>
        <v>0.33969598906107601</v>
      </c>
      <c r="M10" s="35">
        <f t="shared" si="6"/>
        <v>5000</v>
      </c>
      <c r="N10" s="35">
        <f t="shared" si="7"/>
        <v>1551.5200546946201</v>
      </c>
      <c r="O10" s="5"/>
      <c r="P10" s="5"/>
      <c r="Q10" s="5"/>
      <c r="R10" s="5"/>
    </row>
    <row r="11" spans="2:18" ht="12.75" customHeight="1" x14ac:dyDescent="0.3">
      <c r="B11" s="38"/>
      <c r="C11" s="39"/>
      <c r="D11" s="39"/>
      <c r="E11" s="16">
        <f t="shared" si="1"/>
        <v>0</v>
      </c>
      <c r="F11" s="17">
        <f t="shared" si="2"/>
        <v>0</v>
      </c>
      <c r="G11" s="17"/>
      <c r="H11" s="17">
        <f t="shared" si="3"/>
        <v>0</v>
      </c>
      <c r="I11" s="40"/>
      <c r="J11" s="175">
        <f t="shared" si="4"/>
        <v>0</v>
      </c>
      <c r="K11" s="176"/>
      <c r="L11" s="21"/>
      <c r="M11" s="5"/>
      <c r="N11" s="5"/>
      <c r="O11" s="5"/>
      <c r="P11" s="5"/>
      <c r="Q11" s="5"/>
      <c r="R11" s="5"/>
    </row>
    <row r="12" spans="2:18" ht="12.75" customHeight="1" x14ac:dyDescent="0.3">
      <c r="B12" s="41"/>
      <c r="C12" s="16"/>
      <c r="D12" s="16"/>
      <c r="E12" s="16">
        <f t="shared" ref="E12:J12" si="8">SUM(E5:E11)</f>
        <v>189</v>
      </c>
      <c r="F12" s="17">
        <f t="shared" si="8"/>
        <v>189000</v>
      </c>
      <c r="G12" s="17">
        <f t="shared" si="8"/>
        <v>0</v>
      </c>
      <c r="H12" s="17">
        <f t="shared" si="8"/>
        <v>189000</v>
      </c>
      <c r="I12" s="18">
        <f t="shared" si="8"/>
        <v>36466</v>
      </c>
      <c r="J12" s="18">
        <f t="shared" si="8"/>
        <v>42373.041932543361</v>
      </c>
      <c r="K12" s="176">
        <f>+H12*0.65-I12-J12-G12</f>
        <v>44010.958067456639</v>
      </c>
      <c r="L12" s="42">
        <f>+(I12+J12)/H12</f>
        <v>0.41713778800287493</v>
      </c>
      <c r="M12" s="31">
        <f>L12+L13</f>
        <v>0.65</v>
      </c>
      <c r="N12" s="5"/>
      <c r="O12" s="5"/>
      <c r="P12" s="5"/>
      <c r="Q12" s="5"/>
      <c r="R12" s="5"/>
    </row>
    <row r="13" spans="2:18" ht="12.75" customHeight="1" x14ac:dyDescent="0.3">
      <c r="B13" s="27"/>
      <c r="C13" s="5"/>
      <c r="D13" s="5"/>
      <c r="E13" s="5"/>
      <c r="F13" s="5"/>
      <c r="G13" s="23"/>
      <c r="H13" s="23"/>
      <c r="I13" s="23"/>
      <c r="J13" s="4"/>
      <c r="K13" s="23">
        <f>H12*0.3</f>
        <v>56700</v>
      </c>
      <c r="L13" s="43">
        <f>+K12/H12</f>
        <v>0.23286221199712506</v>
      </c>
      <c r="M13" s="5"/>
      <c r="N13" s="5"/>
      <c r="O13" s="5"/>
      <c r="P13" s="5"/>
      <c r="Q13" s="5"/>
      <c r="R13" s="5"/>
    </row>
    <row r="14" spans="2:18" ht="12.75" customHeight="1" x14ac:dyDescent="0.3">
      <c r="B14" s="27"/>
      <c r="C14" s="5"/>
      <c r="D14" s="5"/>
      <c r="E14" s="5"/>
      <c r="F14" s="5"/>
      <c r="G14" s="23"/>
      <c r="H14" s="23"/>
      <c r="I14" s="3" t="s">
        <v>182</v>
      </c>
      <c r="J14" s="6">
        <v>217.6</v>
      </c>
      <c r="K14" s="26"/>
      <c r="L14" s="5"/>
      <c r="M14" s="5"/>
      <c r="N14" s="5"/>
      <c r="O14" s="5"/>
      <c r="P14" s="5"/>
      <c r="Q14" s="5"/>
      <c r="R14" s="5"/>
    </row>
    <row r="15" spans="2:18" ht="12.75" customHeight="1" x14ac:dyDescent="0.3">
      <c r="B15" s="28" t="s">
        <v>142</v>
      </c>
      <c r="C15" s="8" t="s">
        <v>188</v>
      </c>
      <c r="D15" s="8" t="s">
        <v>189</v>
      </c>
      <c r="E15" s="8" t="s">
        <v>190</v>
      </c>
      <c r="F15" s="8" t="s">
        <v>145</v>
      </c>
      <c r="G15" s="8" t="s">
        <v>163</v>
      </c>
      <c r="H15" s="8" t="s">
        <v>164</v>
      </c>
      <c r="I15" s="168" t="s">
        <v>165</v>
      </c>
      <c r="J15" s="9" t="s">
        <v>166</v>
      </c>
      <c r="K15" s="9" t="s">
        <v>146</v>
      </c>
      <c r="L15" s="29" t="s">
        <v>179</v>
      </c>
      <c r="M15" s="5" t="s">
        <v>191</v>
      </c>
      <c r="N15" s="5" t="s">
        <v>192</v>
      </c>
      <c r="O15" s="5"/>
      <c r="P15" s="5"/>
      <c r="Q15" s="5"/>
      <c r="R15" s="5"/>
    </row>
    <row r="16" spans="2:18" ht="12.75" customHeight="1" x14ac:dyDescent="0.3">
      <c r="B16" s="178">
        <v>44705</v>
      </c>
      <c r="C16" s="170">
        <v>1473</v>
      </c>
      <c r="D16" s="170">
        <v>1437</v>
      </c>
      <c r="E16" s="170">
        <f t="shared" ref="E16:E19" si="9">+C16-D16</f>
        <v>36</v>
      </c>
      <c r="F16" s="171">
        <f t="shared" ref="F16:F19" si="10">+E16*1000</f>
        <v>36000</v>
      </c>
      <c r="G16" s="171"/>
      <c r="H16" s="171">
        <f t="shared" ref="H16:H19" si="11">+F16-G16</f>
        <v>36000</v>
      </c>
      <c r="I16" s="10">
        <f>775+883</f>
        <v>1658</v>
      </c>
      <c r="J16" s="36">
        <f t="shared" ref="J16:J19" si="12">+E16*$J$3</f>
        <v>8071.0556061987363</v>
      </c>
      <c r="K16" s="172" t="s">
        <v>199</v>
      </c>
      <c r="L16" s="31">
        <f t="shared" ref="L16:L20" si="13">+(I16+J16)/H16</f>
        <v>0.27025154461663159</v>
      </c>
      <c r="M16" s="44">
        <f>H16/(B16-B10)</f>
        <v>6000</v>
      </c>
      <c r="N16" s="44">
        <f>(H16*0.65-I16-J16)/(B16-B10)</f>
        <v>2278.4907323002103</v>
      </c>
      <c r="O16" s="5"/>
      <c r="P16" s="5">
        <v>282</v>
      </c>
      <c r="Q16" s="5">
        <v>266</v>
      </c>
      <c r="R16" s="5"/>
    </row>
    <row r="17" spans="2:18" ht="12.75" customHeight="1" x14ac:dyDescent="0.3">
      <c r="B17" s="32">
        <v>44714</v>
      </c>
      <c r="C17" s="13">
        <v>1539</v>
      </c>
      <c r="D17" s="13">
        <v>1473</v>
      </c>
      <c r="E17" s="170">
        <f t="shared" si="9"/>
        <v>66</v>
      </c>
      <c r="F17" s="171">
        <f t="shared" si="10"/>
        <v>66000</v>
      </c>
      <c r="G17" s="171"/>
      <c r="H17" s="171">
        <f t="shared" si="11"/>
        <v>66000</v>
      </c>
      <c r="I17" s="33">
        <v>2617</v>
      </c>
      <c r="J17" s="36">
        <f t="shared" si="12"/>
        <v>14796.935278031016</v>
      </c>
      <c r="K17" s="172" t="s">
        <v>200</v>
      </c>
      <c r="L17" s="31">
        <f t="shared" si="13"/>
        <v>0.26384750421259112</v>
      </c>
      <c r="M17" s="44">
        <f t="shared" ref="M17:M19" si="14">H17/(B17-B16)</f>
        <v>7333.333333333333</v>
      </c>
      <c r="N17" s="44">
        <f t="shared" ref="N17:N19" si="15">(H17*0.65-I17-J17)/(B17-B16)</f>
        <v>2831.7849691076649</v>
      </c>
      <c r="O17" s="5"/>
      <c r="P17" s="5">
        <v>271</v>
      </c>
      <c r="Q17" s="5">
        <v>227</v>
      </c>
      <c r="R17" s="5">
        <v>285</v>
      </c>
    </row>
    <row r="18" spans="2:18" ht="12.75" customHeight="1" x14ac:dyDescent="0.3">
      <c r="B18" s="32">
        <v>44721</v>
      </c>
      <c r="C18" s="13">
        <v>1573</v>
      </c>
      <c r="D18" s="13">
        <v>1539</v>
      </c>
      <c r="E18" s="170">
        <f t="shared" si="9"/>
        <v>34</v>
      </c>
      <c r="F18" s="171">
        <f t="shared" si="10"/>
        <v>34000</v>
      </c>
      <c r="G18" s="171"/>
      <c r="H18" s="171">
        <f t="shared" si="11"/>
        <v>34000</v>
      </c>
      <c r="I18" s="33">
        <v>2577</v>
      </c>
      <c r="J18" s="36">
        <f t="shared" si="12"/>
        <v>7622.6636280765842</v>
      </c>
      <c r="K18" s="172" t="s">
        <v>201</v>
      </c>
      <c r="L18" s="31">
        <f t="shared" si="13"/>
        <v>0.29999010670813486</v>
      </c>
      <c r="M18" s="44">
        <f t="shared" si="14"/>
        <v>4857.1428571428569</v>
      </c>
      <c r="N18" s="44">
        <f t="shared" si="15"/>
        <v>1700.0480531319165</v>
      </c>
      <c r="O18" s="5"/>
      <c r="P18" s="5">
        <v>282</v>
      </c>
      <c r="Q18" s="5">
        <v>279</v>
      </c>
      <c r="R18" s="5">
        <v>272</v>
      </c>
    </row>
    <row r="19" spans="2:18" ht="12.75" customHeight="1" x14ac:dyDescent="0.3">
      <c r="B19" s="45">
        <v>44728</v>
      </c>
      <c r="C19" s="46">
        <v>1628</v>
      </c>
      <c r="D19" s="46">
        <v>1573</v>
      </c>
      <c r="E19" s="47">
        <f t="shared" si="9"/>
        <v>55</v>
      </c>
      <c r="F19" s="48">
        <f t="shared" si="10"/>
        <v>55000</v>
      </c>
      <c r="G19" s="48"/>
      <c r="H19" s="48">
        <f t="shared" si="11"/>
        <v>55000</v>
      </c>
      <c r="I19" s="49">
        <v>1618</v>
      </c>
      <c r="J19" s="50">
        <f t="shared" si="12"/>
        <v>12330.77939835918</v>
      </c>
      <c r="K19" s="51" t="s">
        <v>202</v>
      </c>
      <c r="L19" s="31">
        <f t="shared" si="13"/>
        <v>0.25361417087925781</v>
      </c>
      <c r="M19" s="44">
        <f t="shared" si="14"/>
        <v>7857.1428571428569</v>
      </c>
      <c r="N19" s="44">
        <f t="shared" si="15"/>
        <v>3114.4600859486886</v>
      </c>
      <c r="O19" s="5"/>
      <c r="P19" s="5">
        <v>273</v>
      </c>
      <c r="Q19" s="5"/>
      <c r="R19" s="5">
        <v>262</v>
      </c>
    </row>
    <row r="20" spans="2:18" ht="12.75" customHeight="1" x14ac:dyDescent="0.3">
      <c r="B20" s="52"/>
      <c r="C20" s="53"/>
      <c r="D20" s="53"/>
      <c r="E20" s="53">
        <f t="shared" ref="E20:F20" si="16">SUM(E16:E19)</f>
        <v>191</v>
      </c>
      <c r="F20" s="54">
        <f t="shared" si="16"/>
        <v>191000</v>
      </c>
      <c r="G20" s="54"/>
      <c r="H20" s="54">
        <f t="shared" ref="H20:J20" si="17">SUM(H16:H19)</f>
        <v>191000</v>
      </c>
      <c r="I20" s="55">
        <f t="shared" si="17"/>
        <v>8470</v>
      </c>
      <c r="J20" s="55">
        <f t="shared" si="17"/>
        <v>42821.433910665517</v>
      </c>
      <c r="K20" s="56">
        <f>+H20*0.65-I20-J20-G20</f>
        <v>72858.56608933449</v>
      </c>
      <c r="L20" s="42">
        <f t="shared" si="13"/>
        <v>0.26854153879929588</v>
      </c>
      <c r="M20" s="57">
        <f>L20+L21</f>
        <v>0.65</v>
      </c>
      <c r="N20" s="5"/>
      <c r="O20" s="5"/>
      <c r="P20" s="5"/>
      <c r="Q20" s="5"/>
      <c r="R20" s="5"/>
    </row>
    <row r="21" spans="2:18" ht="12.75" customHeight="1" x14ac:dyDescent="0.3">
      <c r="B21" s="27"/>
      <c r="C21" s="5"/>
      <c r="D21" s="5"/>
      <c r="E21" s="5"/>
      <c r="F21" s="5"/>
      <c r="G21" s="23"/>
      <c r="H21" s="23"/>
      <c r="I21" s="23"/>
      <c r="J21" s="4"/>
      <c r="K21" s="23">
        <f>H20*0.3</f>
        <v>57300</v>
      </c>
      <c r="L21" s="43">
        <f>+K20/H20</f>
        <v>0.38145846120070415</v>
      </c>
      <c r="M21" s="5"/>
      <c r="N21" s="5"/>
      <c r="O21" s="5"/>
      <c r="P21" s="5"/>
      <c r="Q21" s="5"/>
      <c r="R21" s="5"/>
    </row>
    <row r="22" spans="2:18" ht="12.75" customHeight="1" x14ac:dyDescent="0.3">
      <c r="B22" s="27"/>
      <c r="C22" s="5"/>
      <c r="D22" s="5"/>
      <c r="E22" s="5"/>
      <c r="F22" s="5"/>
      <c r="G22" s="23"/>
      <c r="H22" s="23"/>
      <c r="I22" s="3" t="s">
        <v>182</v>
      </c>
      <c r="J22" s="6">
        <v>156.69999999999999</v>
      </c>
      <c r="K22" s="26"/>
      <c r="L22" s="5"/>
      <c r="M22" s="5"/>
      <c r="N22" s="5"/>
      <c r="O22" s="5"/>
      <c r="P22" s="5"/>
      <c r="Q22" s="5"/>
      <c r="R22" s="5"/>
    </row>
    <row r="23" spans="2:18" ht="12.75" customHeight="1" x14ac:dyDescent="0.3">
      <c r="B23" s="28" t="s">
        <v>142</v>
      </c>
      <c r="C23" s="8" t="s">
        <v>188</v>
      </c>
      <c r="D23" s="8" t="s">
        <v>189</v>
      </c>
      <c r="E23" s="8" t="s">
        <v>190</v>
      </c>
      <c r="F23" s="8" t="s">
        <v>145</v>
      </c>
      <c r="G23" s="8" t="s">
        <v>163</v>
      </c>
      <c r="H23" s="8" t="s">
        <v>164</v>
      </c>
      <c r="I23" s="168" t="s">
        <v>165</v>
      </c>
      <c r="J23" s="9" t="s">
        <v>166</v>
      </c>
      <c r="K23" s="9" t="s">
        <v>146</v>
      </c>
      <c r="L23" s="29" t="s">
        <v>179</v>
      </c>
      <c r="M23" s="5" t="s">
        <v>191</v>
      </c>
      <c r="N23" s="5" t="s">
        <v>192</v>
      </c>
      <c r="O23" s="5"/>
      <c r="P23" s="5"/>
      <c r="Q23" s="5"/>
      <c r="R23" s="5"/>
    </row>
    <row r="24" spans="2:18" ht="12.75" customHeight="1" x14ac:dyDescent="0.3">
      <c r="B24" s="178">
        <v>44735</v>
      </c>
      <c r="C24" s="170">
        <v>1652</v>
      </c>
      <c r="D24" s="170">
        <v>1628</v>
      </c>
      <c r="E24" s="170">
        <f t="shared" ref="E24:E28" si="18">+C24-D24</f>
        <v>24</v>
      </c>
      <c r="F24" s="171">
        <f t="shared" ref="F24:F28" si="19">+E24*1000</f>
        <v>24000</v>
      </c>
      <c r="G24" s="171"/>
      <c r="H24" s="171">
        <f t="shared" ref="H24:H28" si="20">+F24-G24</f>
        <v>24000</v>
      </c>
      <c r="I24" s="10">
        <v>451</v>
      </c>
      <c r="J24" s="36">
        <f>+E24*J22</f>
        <v>3760.7999999999997</v>
      </c>
      <c r="K24" s="172" t="s">
        <v>203</v>
      </c>
      <c r="L24" s="31">
        <f t="shared" ref="L24:L29" si="21">+(I24+J24)/H24</f>
        <v>0.17549166666666663</v>
      </c>
      <c r="M24" s="44">
        <f>H24/(B24-B19)</f>
        <v>3428.5714285714284</v>
      </c>
      <c r="N24" s="44">
        <f>(H24*0.65-I24-J24)/(B24-B19)</f>
        <v>1626.8857142857144</v>
      </c>
      <c r="O24" s="5"/>
      <c r="P24" s="5"/>
      <c r="Q24" s="5"/>
      <c r="R24" s="5"/>
    </row>
    <row r="25" spans="2:18" ht="12.75" customHeight="1" x14ac:dyDescent="0.3">
      <c r="B25" s="32">
        <v>44742</v>
      </c>
      <c r="C25" s="13">
        <v>1686</v>
      </c>
      <c r="D25" s="13">
        <v>1652</v>
      </c>
      <c r="E25" s="170">
        <f t="shared" si="18"/>
        <v>34</v>
      </c>
      <c r="F25" s="171">
        <f t="shared" si="19"/>
        <v>34000</v>
      </c>
      <c r="G25" s="171"/>
      <c r="H25" s="171">
        <f t="shared" si="20"/>
        <v>34000</v>
      </c>
      <c r="I25" s="33">
        <f>944*2</f>
        <v>1888</v>
      </c>
      <c r="J25" s="36">
        <f>+E25*J22</f>
        <v>5327.7999999999993</v>
      </c>
      <c r="K25" s="172" t="s">
        <v>204</v>
      </c>
      <c r="L25" s="31">
        <f t="shared" si="21"/>
        <v>0.21222941176470586</v>
      </c>
      <c r="M25" s="44">
        <f t="shared" ref="M25:M28" si="22">H25/(B25-B24)</f>
        <v>4857.1428571428569</v>
      </c>
      <c r="N25" s="44">
        <f t="shared" ref="N25:N28" si="23">(H25*0.65-I25-J25)/(B25-B24)</f>
        <v>2126.3142857142857</v>
      </c>
      <c r="O25" s="5"/>
      <c r="P25" s="5"/>
      <c r="Q25" s="5"/>
      <c r="R25" s="5"/>
    </row>
    <row r="26" spans="2:18" ht="12.75" customHeight="1" x14ac:dyDescent="0.3">
      <c r="B26" s="32">
        <v>44749</v>
      </c>
      <c r="C26" s="13">
        <v>1767</v>
      </c>
      <c r="D26" s="13">
        <v>1686</v>
      </c>
      <c r="E26" s="170">
        <f t="shared" si="18"/>
        <v>81</v>
      </c>
      <c r="F26" s="171">
        <f t="shared" si="19"/>
        <v>81000</v>
      </c>
      <c r="G26" s="171"/>
      <c r="H26" s="171">
        <f t="shared" si="20"/>
        <v>81000</v>
      </c>
      <c r="I26" s="33">
        <v>10000</v>
      </c>
      <c r="J26" s="36">
        <f>+E26*J22</f>
        <v>12692.699999999999</v>
      </c>
      <c r="K26" s="172" t="s">
        <v>205</v>
      </c>
      <c r="L26" s="31">
        <f t="shared" si="21"/>
        <v>0.28015679012345673</v>
      </c>
      <c r="M26" s="44">
        <f t="shared" si="22"/>
        <v>11571.428571428571</v>
      </c>
      <c r="N26" s="44">
        <f t="shared" si="23"/>
        <v>4279.6142857142859</v>
      </c>
      <c r="O26" s="5"/>
      <c r="P26" s="5"/>
      <c r="Q26" s="5"/>
      <c r="R26" s="5"/>
    </row>
    <row r="27" spans="2:18" ht="12.75" customHeight="1" x14ac:dyDescent="0.3">
      <c r="B27" s="32">
        <v>44756</v>
      </c>
      <c r="C27" s="13">
        <v>1817</v>
      </c>
      <c r="D27" s="13">
        <v>1767</v>
      </c>
      <c r="E27" s="170">
        <f t="shared" si="18"/>
        <v>50</v>
      </c>
      <c r="F27" s="171">
        <f t="shared" si="19"/>
        <v>50000</v>
      </c>
      <c r="G27" s="171"/>
      <c r="H27" s="171">
        <f t="shared" si="20"/>
        <v>50000</v>
      </c>
      <c r="I27" s="33">
        <f>944*2</f>
        <v>1888</v>
      </c>
      <c r="J27" s="36">
        <f>+E27*J22</f>
        <v>7834.9999999999991</v>
      </c>
      <c r="K27" s="172" t="s">
        <v>206</v>
      </c>
      <c r="L27" s="31">
        <f t="shared" si="21"/>
        <v>0.19445999999999999</v>
      </c>
      <c r="M27" s="44">
        <f t="shared" si="22"/>
        <v>7142.8571428571431</v>
      </c>
      <c r="N27" s="44">
        <f t="shared" si="23"/>
        <v>3253.8571428571427</v>
      </c>
      <c r="O27" s="5"/>
      <c r="P27" s="5"/>
      <c r="Q27" s="5"/>
      <c r="R27" s="5"/>
    </row>
    <row r="28" spans="2:18" ht="12.75" customHeight="1" x14ac:dyDescent="0.3">
      <c r="B28" s="32">
        <v>44762</v>
      </c>
      <c r="C28" s="13">
        <v>1866</v>
      </c>
      <c r="D28" s="13">
        <v>1817</v>
      </c>
      <c r="E28" s="170">
        <f t="shared" si="18"/>
        <v>49</v>
      </c>
      <c r="F28" s="171">
        <f t="shared" si="19"/>
        <v>49000</v>
      </c>
      <c r="G28" s="171"/>
      <c r="H28" s="171">
        <f t="shared" si="20"/>
        <v>49000</v>
      </c>
      <c r="I28" s="173">
        <v>0</v>
      </c>
      <c r="J28" s="174">
        <f>+E28*J22</f>
        <v>7678.2999999999993</v>
      </c>
      <c r="K28" s="172"/>
      <c r="L28" s="37">
        <f t="shared" si="21"/>
        <v>0.15669999999999998</v>
      </c>
      <c r="M28" s="44">
        <f t="shared" si="22"/>
        <v>8166.666666666667</v>
      </c>
      <c r="N28" s="44">
        <f t="shared" si="23"/>
        <v>4028.6166666666668</v>
      </c>
      <c r="O28" s="5"/>
      <c r="P28" s="5"/>
      <c r="Q28" s="5"/>
      <c r="R28" s="5"/>
    </row>
    <row r="29" spans="2:18" ht="12.75" customHeight="1" x14ac:dyDescent="0.3">
      <c r="B29" s="41"/>
      <c r="C29" s="16"/>
      <c r="D29" s="16"/>
      <c r="E29" s="16">
        <f t="shared" ref="E29:F29" si="24">SUM(E24:E28)</f>
        <v>238</v>
      </c>
      <c r="F29" s="17">
        <f t="shared" si="24"/>
        <v>238000</v>
      </c>
      <c r="G29" s="17"/>
      <c r="H29" s="17">
        <f t="shared" ref="H29:J29" si="25">SUM(H24:H28)</f>
        <v>238000</v>
      </c>
      <c r="I29" s="18">
        <f t="shared" si="25"/>
        <v>14227</v>
      </c>
      <c r="J29" s="18">
        <f t="shared" si="25"/>
        <v>37294.599999999991</v>
      </c>
      <c r="K29" s="176">
        <f>+H29*0.65-I29-J29-G29</f>
        <v>103178.40000000001</v>
      </c>
      <c r="L29" s="42">
        <f t="shared" si="21"/>
        <v>0.2164773109243697</v>
      </c>
      <c r="M29" s="57">
        <f>L29+L30</f>
        <v>0.65</v>
      </c>
      <c r="N29" s="5"/>
      <c r="O29" s="5"/>
      <c r="P29" s="5"/>
      <c r="Q29" s="5"/>
      <c r="R29" s="5"/>
    </row>
    <row r="30" spans="2:18" ht="12.75" customHeight="1" x14ac:dyDescent="0.3">
      <c r="B30" s="58"/>
      <c r="C30" s="5"/>
      <c r="D30" s="5"/>
      <c r="E30" s="5"/>
      <c r="F30" s="5"/>
      <c r="G30" s="5"/>
      <c r="H30" s="5"/>
      <c r="I30" s="5"/>
      <c r="J30" s="29"/>
      <c r="K30" s="5"/>
      <c r="L30" s="43">
        <f>+K29/H29</f>
        <v>0.4335226890756303</v>
      </c>
      <c r="M30" s="5"/>
      <c r="N30" s="5"/>
      <c r="O30" s="5"/>
      <c r="P30" s="5"/>
      <c r="Q30" s="5"/>
      <c r="R30" s="5"/>
    </row>
    <row r="31" spans="2:18" ht="12.75" customHeight="1" x14ac:dyDescent="0.3">
      <c r="B31" s="27"/>
      <c r="C31" s="5"/>
      <c r="D31" s="5"/>
      <c r="E31" s="5"/>
      <c r="F31" s="5"/>
      <c r="G31" s="23"/>
      <c r="H31" s="23"/>
      <c r="I31" s="3" t="s">
        <v>182</v>
      </c>
      <c r="J31" s="6">
        <v>156.69999999999999</v>
      </c>
      <c r="K31" s="26"/>
      <c r="L31" s="5"/>
      <c r="M31" s="5"/>
      <c r="N31" s="5"/>
      <c r="O31" s="5"/>
      <c r="P31" s="5"/>
      <c r="Q31" s="5"/>
      <c r="R31" s="5"/>
    </row>
    <row r="32" spans="2:18" ht="12.75" customHeight="1" x14ac:dyDescent="0.3">
      <c r="B32" s="28" t="s">
        <v>142</v>
      </c>
      <c r="C32" s="8" t="s">
        <v>188</v>
      </c>
      <c r="D32" s="8" t="s">
        <v>189</v>
      </c>
      <c r="E32" s="8" t="s">
        <v>190</v>
      </c>
      <c r="F32" s="8" t="s">
        <v>145</v>
      </c>
      <c r="G32" s="8" t="s">
        <v>163</v>
      </c>
      <c r="H32" s="8" t="s">
        <v>164</v>
      </c>
      <c r="I32" s="168" t="s">
        <v>165</v>
      </c>
      <c r="J32" s="9" t="s">
        <v>166</v>
      </c>
      <c r="K32" s="9" t="s">
        <v>146</v>
      </c>
      <c r="L32" s="29" t="s">
        <v>179</v>
      </c>
      <c r="M32" s="5" t="s">
        <v>191</v>
      </c>
      <c r="N32" s="5" t="s">
        <v>192</v>
      </c>
      <c r="O32" s="5"/>
      <c r="P32" s="5"/>
      <c r="Q32" s="5"/>
      <c r="R32" s="5"/>
    </row>
    <row r="33" spans="2:14" ht="12.75" customHeight="1" x14ac:dyDescent="0.3">
      <c r="B33" s="178">
        <v>44771</v>
      </c>
      <c r="C33" s="170">
        <v>1916</v>
      </c>
      <c r="D33" s="170">
        <v>1866</v>
      </c>
      <c r="E33" s="170">
        <f t="shared" ref="E33:E36" si="26">+C33-D33</f>
        <v>50</v>
      </c>
      <c r="F33" s="171">
        <v>50000</v>
      </c>
      <c r="G33" s="171"/>
      <c r="H33" s="171">
        <f t="shared" ref="H33:H36" si="27">+F33-G33</f>
        <v>50000</v>
      </c>
      <c r="I33" s="10">
        <v>0</v>
      </c>
      <c r="J33" s="36">
        <f>+E33*J31</f>
        <v>7834.9999999999991</v>
      </c>
      <c r="K33" s="172"/>
      <c r="L33" s="31">
        <f t="shared" ref="L33:L37" si="28">+(I33+J33)/H33</f>
        <v>0.15669999999999998</v>
      </c>
      <c r="M33" s="44">
        <f>H33/(B33-B28)</f>
        <v>5555.5555555555557</v>
      </c>
      <c r="N33" s="44">
        <f>(H33*0.65-I33-J33)/(B33-B28)</f>
        <v>2740.5555555555557</v>
      </c>
    </row>
    <row r="34" spans="2:14" ht="12.75" customHeight="1" x14ac:dyDescent="0.3">
      <c r="B34" s="32">
        <v>44777</v>
      </c>
      <c r="C34" s="13">
        <v>1935</v>
      </c>
      <c r="D34" s="13">
        <v>1916</v>
      </c>
      <c r="E34" s="170">
        <f t="shared" si="26"/>
        <v>19</v>
      </c>
      <c r="F34" s="171">
        <v>19000</v>
      </c>
      <c r="G34" s="171"/>
      <c r="H34" s="171">
        <f t="shared" si="27"/>
        <v>19000</v>
      </c>
      <c r="I34" s="33">
        <f>944*2</f>
        <v>1888</v>
      </c>
      <c r="J34" s="36">
        <f>+E34*J31</f>
        <v>2977.2999999999997</v>
      </c>
      <c r="K34" s="172" t="s">
        <v>207</v>
      </c>
      <c r="L34" s="31">
        <f t="shared" si="28"/>
        <v>0.25606842105263156</v>
      </c>
      <c r="M34" s="44">
        <f t="shared" ref="M34:M36" si="29">H34/(B34-B33)</f>
        <v>3166.6666666666665</v>
      </c>
      <c r="N34" s="44">
        <f t="shared" ref="N34:N36" si="30">(H34*0.65-I34-J34)/(B34-B33)</f>
        <v>1247.45</v>
      </c>
    </row>
    <row r="35" spans="2:14" ht="12.75" customHeight="1" x14ac:dyDescent="0.3">
      <c r="B35" s="32">
        <v>44783</v>
      </c>
      <c r="C35" s="13">
        <v>1960</v>
      </c>
      <c r="D35" s="13">
        <v>1935</v>
      </c>
      <c r="E35" s="170">
        <f t="shared" si="26"/>
        <v>25</v>
      </c>
      <c r="F35" s="171">
        <v>25000</v>
      </c>
      <c r="G35" s="171"/>
      <c r="H35" s="171">
        <f t="shared" si="27"/>
        <v>25000</v>
      </c>
      <c r="I35" s="33">
        <f>866*2</f>
        <v>1732</v>
      </c>
      <c r="J35" s="36">
        <f>+E35*J31</f>
        <v>3917.4999999999995</v>
      </c>
      <c r="K35" s="172" t="s">
        <v>208</v>
      </c>
      <c r="L35" s="31">
        <f t="shared" si="28"/>
        <v>0.22597999999999999</v>
      </c>
      <c r="M35" s="44">
        <f t="shared" si="29"/>
        <v>4166.666666666667</v>
      </c>
      <c r="N35" s="44">
        <f t="shared" si="30"/>
        <v>1766.75</v>
      </c>
    </row>
    <row r="36" spans="2:14" ht="12.75" customHeight="1" x14ac:dyDescent="0.3">
      <c r="B36" s="32">
        <v>44791</v>
      </c>
      <c r="C36" s="13">
        <v>2030</v>
      </c>
      <c r="D36" s="13">
        <v>1960</v>
      </c>
      <c r="E36" s="170">
        <f t="shared" si="26"/>
        <v>70</v>
      </c>
      <c r="F36" s="171">
        <v>70000</v>
      </c>
      <c r="G36" s="171"/>
      <c r="H36" s="171">
        <f t="shared" si="27"/>
        <v>70000</v>
      </c>
      <c r="I36" s="33">
        <v>944</v>
      </c>
      <c r="J36" s="36">
        <f>+E36*J31</f>
        <v>10969</v>
      </c>
      <c r="K36" s="172" t="s">
        <v>209</v>
      </c>
      <c r="L36" s="31">
        <f t="shared" si="28"/>
        <v>0.17018571428571427</v>
      </c>
      <c r="M36" s="44">
        <f t="shared" si="29"/>
        <v>8750</v>
      </c>
      <c r="N36" s="44">
        <f t="shared" si="30"/>
        <v>4198.375</v>
      </c>
    </row>
    <row r="37" spans="2:14" ht="12.75" customHeight="1" x14ac:dyDescent="0.3">
      <c r="B37" s="52"/>
      <c r="C37" s="53"/>
      <c r="D37" s="53"/>
      <c r="E37" s="53">
        <f t="shared" ref="E37:F37" si="31">SUM(E33:E36)</f>
        <v>164</v>
      </c>
      <c r="F37" s="54">
        <f t="shared" si="31"/>
        <v>164000</v>
      </c>
      <c r="G37" s="54"/>
      <c r="H37" s="54">
        <f t="shared" ref="H37:J37" si="32">SUM(H33:H36)</f>
        <v>164000</v>
      </c>
      <c r="I37" s="55">
        <f t="shared" si="32"/>
        <v>4564</v>
      </c>
      <c r="J37" s="55">
        <f t="shared" si="32"/>
        <v>25698.799999999999</v>
      </c>
      <c r="K37" s="56">
        <f>+H37*0.65-I37-J37-G37</f>
        <v>76337.2</v>
      </c>
      <c r="L37" s="42">
        <f t="shared" si="28"/>
        <v>0.18452926829268293</v>
      </c>
      <c r="M37" s="57">
        <f>L37+L38</f>
        <v>0.65</v>
      </c>
      <c r="N37" s="5"/>
    </row>
    <row r="38" spans="2:14" ht="12.75" customHeight="1" x14ac:dyDescent="0.3">
      <c r="B38" s="58"/>
      <c r="C38" s="5"/>
      <c r="D38" s="5"/>
      <c r="E38" s="5"/>
      <c r="F38" s="5"/>
      <c r="G38" s="5"/>
      <c r="H38" s="5"/>
      <c r="I38" s="5"/>
      <c r="J38" s="29"/>
      <c r="K38" s="5"/>
      <c r="L38" s="43">
        <f>+K37/H37</f>
        <v>0.46547073170731706</v>
      </c>
      <c r="M38" s="5"/>
      <c r="N38" s="5"/>
    </row>
    <row r="39" spans="2:14" ht="12.75" customHeight="1" x14ac:dyDescent="0.3">
      <c r="B39" s="27"/>
      <c r="C39" s="5"/>
      <c r="D39" s="5"/>
      <c r="E39" s="5"/>
      <c r="F39" s="5"/>
      <c r="G39" s="23"/>
      <c r="H39" s="23"/>
      <c r="I39" s="3" t="s">
        <v>182</v>
      </c>
      <c r="J39" s="6">
        <v>200</v>
      </c>
      <c r="K39" s="26"/>
      <c r="L39" s="5"/>
      <c r="M39" s="5"/>
      <c r="N39" s="5"/>
    </row>
    <row r="40" spans="2:14" ht="12.75" customHeight="1" x14ac:dyDescent="0.3">
      <c r="B40" s="28" t="s">
        <v>142</v>
      </c>
      <c r="C40" s="8" t="s">
        <v>188</v>
      </c>
      <c r="D40" s="8" t="s">
        <v>189</v>
      </c>
      <c r="E40" s="8" t="s">
        <v>190</v>
      </c>
      <c r="F40" s="8" t="s">
        <v>145</v>
      </c>
      <c r="G40" s="8" t="s">
        <v>163</v>
      </c>
      <c r="H40" s="8" t="s">
        <v>164</v>
      </c>
      <c r="I40" s="168" t="s">
        <v>165</v>
      </c>
      <c r="J40" s="9" t="s">
        <v>166</v>
      </c>
      <c r="K40" s="9" t="s">
        <v>146</v>
      </c>
      <c r="L40" s="29" t="s">
        <v>179</v>
      </c>
      <c r="M40" s="5" t="s">
        <v>191</v>
      </c>
      <c r="N40" s="5" t="s">
        <v>192</v>
      </c>
    </row>
    <row r="41" spans="2:14" ht="12.75" customHeight="1" x14ac:dyDescent="0.3">
      <c r="B41" s="178">
        <v>44796</v>
      </c>
      <c r="C41" s="170">
        <v>2071</v>
      </c>
      <c r="D41" s="170">
        <v>2030</v>
      </c>
      <c r="E41" s="170">
        <f t="shared" ref="E41:E44" si="33">+C41-D41</f>
        <v>41</v>
      </c>
      <c r="F41" s="171">
        <f t="shared" ref="F41:F44" si="34">E41*1000</f>
        <v>41000</v>
      </c>
      <c r="G41" s="171"/>
      <c r="H41" s="171">
        <f t="shared" ref="H41:H44" si="35">+F41-G41</f>
        <v>41000</v>
      </c>
      <c r="I41" s="10"/>
      <c r="J41" s="36">
        <f>+E41*J39</f>
        <v>8200</v>
      </c>
      <c r="K41" s="172"/>
      <c r="L41" s="31">
        <f t="shared" ref="L41:L45" si="36">+(I41+J41)/H41</f>
        <v>0.2</v>
      </c>
      <c r="M41" s="44">
        <f>H41/(B41-B36)</f>
        <v>8200</v>
      </c>
      <c r="N41" s="44">
        <f>(H41*0.65-I41-J41)/(B41-B36)</f>
        <v>3690</v>
      </c>
    </row>
    <row r="42" spans="2:14" ht="12.75" customHeight="1" x14ac:dyDescent="0.3">
      <c r="B42" s="32">
        <v>44804</v>
      </c>
      <c r="C42" s="13">
        <v>2089</v>
      </c>
      <c r="D42" s="13">
        <v>2071</v>
      </c>
      <c r="E42" s="170">
        <f t="shared" si="33"/>
        <v>18</v>
      </c>
      <c r="F42" s="171">
        <f t="shared" si="34"/>
        <v>18000</v>
      </c>
      <c r="G42" s="171"/>
      <c r="H42" s="171">
        <f t="shared" si="35"/>
        <v>18000</v>
      </c>
      <c r="I42" s="33">
        <v>944</v>
      </c>
      <c r="J42" s="36">
        <f>+E42*J39</f>
        <v>3600</v>
      </c>
      <c r="K42" s="172"/>
      <c r="L42" s="31">
        <f t="shared" si="36"/>
        <v>0.25244444444444447</v>
      </c>
      <c r="M42" s="44">
        <f t="shared" ref="M42:M44" si="37">H42/(B42-B41)</f>
        <v>2250</v>
      </c>
      <c r="N42" s="44">
        <f t="shared" ref="N42:N44" si="38">(H42*0.65-I42-J42)/(B42-B41)</f>
        <v>894.5</v>
      </c>
    </row>
    <row r="43" spans="2:14" ht="12.75" customHeight="1" x14ac:dyDescent="0.3">
      <c r="B43" s="32">
        <v>44812</v>
      </c>
      <c r="C43" s="13">
        <v>2159</v>
      </c>
      <c r="D43" s="13">
        <v>2089</v>
      </c>
      <c r="E43" s="170">
        <f t="shared" si="33"/>
        <v>70</v>
      </c>
      <c r="F43" s="171">
        <f t="shared" si="34"/>
        <v>70000</v>
      </c>
      <c r="G43" s="171"/>
      <c r="H43" s="171">
        <f t="shared" si="35"/>
        <v>70000</v>
      </c>
      <c r="I43" s="33">
        <f>944*2</f>
        <v>1888</v>
      </c>
      <c r="J43" s="36">
        <f>+E43*J39</f>
        <v>14000</v>
      </c>
      <c r="K43" s="172"/>
      <c r="L43" s="31">
        <f t="shared" si="36"/>
        <v>0.22697142857142857</v>
      </c>
      <c r="M43" s="44">
        <f t="shared" si="37"/>
        <v>8750</v>
      </c>
      <c r="N43" s="44">
        <f t="shared" si="38"/>
        <v>3701.5</v>
      </c>
    </row>
    <row r="44" spans="2:14" ht="12.75" customHeight="1" x14ac:dyDescent="0.3">
      <c r="B44" s="32">
        <v>44819</v>
      </c>
      <c r="C44" s="13">
        <v>2203</v>
      </c>
      <c r="D44" s="13">
        <v>2159</v>
      </c>
      <c r="E44" s="170">
        <f t="shared" si="33"/>
        <v>44</v>
      </c>
      <c r="F44" s="171">
        <f t="shared" si="34"/>
        <v>44000</v>
      </c>
      <c r="G44" s="171"/>
      <c r="H44" s="171">
        <f t="shared" si="35"/>
        <v>44000</v>
      </c>
      <c r="I44" s="33">
        <v>3150</v>
      </c>
      <c r="J44" s="36">
        <f>+E44*J39</f>
        <v>8800</v>
      </c>
      <c r="K44" s="172"/>
      <c r="L44" s="31">
        <f t="shared" si="36"/>
        <v>0.27159090909090911</v>
      </c>
      <c r="M44" s="44">
        <f t="shared" si="37"/>
        <v>6285.7142857142853</v>
      </c>
      <c r="N44" s="44">
        <f t="shared" si="38"/>
        <v>2378.5714285714284</v>
      </c>
    </row>
    <row r="45" spans="2:14" ht="12.75" customHeight="1" x14ac:dyDescent="0.3">
      <c r="B45" s="52"/>
      <c r="C45" s="53"/>
      <c r="D45" s="53"/>
      <c r="E45" s="53">
        <f t="shared" ref="E45:F45" si="39">SUM(E41:E44)</f>
        <v>173</v>
      </c>
      <c r="F45" s="54">
        <f t="shared" si="39"/>
        <v>173000</v>
      </c>
      <c r="G45" s="54"/>
      <c r="H45" s="54">
        <f t="shared" ref="H45:J45" si="40">SUM(H41:H44)</f>
        <v>173000</v>
      </c>
      <c r="I45" s="55">
        <f t="shared" si="40"/>
        <v>5982</v>
      </c>
      <c r="J45" s="55">
        <f t="shared" si="40"/>
        <v>34600</v>
      </c>
      <c r="K45" s="56">
        <f>+H45*0.65-I45-J45-G45</f>
        <v>71868</v>
      </c>
      <c r="L45" s="42">
        <f t="shared" si="36"/>
        <v>0.23457803468208094</v>
      </c>
      <c r="M45" s="57">
        <f>L45+L46</f>
        <v>0.65</v>
      </c>
      <c r="N45" s="5"/>
    </row>
    <row r="46" spans="2:14" ht="12.75" customHeight="1" x14ac:dyDescent="0.3">
      <c r="B46" s="58"/>
      <c r="C46" s="5"/>
      <c r="D46" s="5"/>
      <c r="E46" s="5"/>
      <c r="F46" s="5"/>
      <c r="G46" s="5"/>
      <c r="H46" s="5"/>
      <c r="I46" s="5"/>
      <c r="J46" s="29"/>
      <c r="K46" s="5"/>
      <c r="L46" s="43">
        <f>+K45/H45</f>
        <v>0.41542196531791908</v>
      </c>
      <c r="M46" s="5"/>
      <c r="N46" s="5"/>
    </row>
    <row r="47" spans="2:14" ht="12.75" customHeight="1" x14ac:dyDescent="0.3">
      <c r="B47" s="27"/>
      <c r="C47" s="5"/>
      <c r="D47" s="5"/>
      <c r="E47" s="5"/>
      <c r="F47" s="5"/>
      <c r="G47" s="23"/>
      <c r="H47" s="23"/>
      <c r="I47" s="3" t="s">
        <v>182</v>
      </c>
      <c r="J47" s="6">
        <v>200</v>
      </c>
      <c r="K47" s="26"/>
      <c r="L47" s="5"/>
      <c r="M47" s="5"/>
      <c r="N47" s="5"/>
    </row>
    <row r="48" spans="2:14" ht="15.75" customHeight="1" x14ac:dyDescent="0.3">
      <c r="B48" s="28" t="s">
        <v>142</v>
      </c>
      <c r="C48" s="8" t="s">
        <v>188</v>
      </c>
      <c r="D48" s="8" t="s">
        <v>189</v>
      </c>
      <c r="E48" s="8" t="s">
        <v>190</v>
      </c>
      <c r="F48" s="8" t="s">
        <v>145</v>
      </c>
      <c r="G48" s="8" t="s">
        <v>163</v>
      </c>
      <c r="H48" s="8" t="s">
        <v>164</v>
      </c>
      <c r="I48" s="168" t="s">
        <v>165</v>
      </c>
      <c r="J48" s="9" t="s">
        <v>166</v>
      </c>
      <c r="K48" s="9" t="s">
        <v>146</v>
      </c>
      <c r="L48" s="29" t="s">
        <v>179</v>
      </c>
      <c r="M48" s="5" t="s">
        <v>191</v>
      </c>
      <c r="N48" s="5" t="s">
        <v>192</v>
      </c>
    </row>
    <row r="49" spans="2:14" ht="15.75" customHeight="1" x14ac:dyDescent="0.3">
      <c r="B49" s="178">
        <v>44826</v>
      </c>
      <c r="C49" s="170">
        <v>2256</v>
      </c>
      <c r="D49" s="170">
        <v>2203</v>
      </c>
      <c r="E49" s="170">
        <f t="shared" ref="E49:E53" si="41">+C49-D49</f>
        <v>53</v>
      </c>
      <c r="F49" s="171">
        <f t="shared" ref="F49:F53" si="42">E49*1000</f>
        <v>53000</v>
      </c>
      <c r="G49" s="171"/>
      <c r="H49" s="171">
        <f t="shared" ref="H49:H53" si="43">+F49-G49</f>
        <v>53000</v>
      </c>
      <c r="I49" s="10">
        <v>944</v>
      </c>
      <c r="J49" s="36">
        <f>+E49*J47</f>
        <v>10600</v>
      </c>
      <c r="K49" s="172"/>
      <c r="L49" s="31">
        <f t="shared" ref="L49:L54" si="44">+(I49+J49)/H49</f>
        <v>0.21781132075471699</v>
      </c>
      <c r="M49" s="44">
        <f>H49/(B49-B44)</f>
        <v>7571.4285714285716</v>
      </c>
      <c r="N49" s="44">
        <f>(H49*0.65-I49-J49)/(B49-B44)</f>
        <v>3272.2857142857142</v>
      </c>
    </row>
    <row r="50" spans="2:14" ht="12.75" customHeight="1" x14ac:dyDescent="0.3">
      <c r="B50" s="32">
        <v>44834</v>
      </c>
      <c r="C50" s="13">
        <v>2371</v>
      </c>
      <c r="D50" s="13">
        <v>2256</v>
      </c>
      <c r="E50" s="170">
        <f t="shared" si="41"/>
        <v>115</v>
      </c>
      <c r="F50" s="171">
        <f t="shared" si="42"/>
        <v>115000</v>
      </c>
      <c r="G50" s="171"/>
      <c r="H50" s="171">
        <f t="shared" si="43"/>
        <v>115000</v>
      </c>
      <c r="I50" s="33">
        <f>944*2+4980</f>
        <v>6868</v>
      </c>
      <c r="J50" s="36">
        <f>+E50*J47</f>
        <v>23000</v>
      </c>
      <c r="K50" s="172"/>
      <c r="L50" s="31">
        <f t="shared" si="44"/>
        <v>0.25972173913043478</v>
      </c>
      <c r="M50" s="44">
        <f t="shared" ref="M50:M52" si="45">H50/(B50-B49)</f>
        <v>14375</v>
      </c>
      <c r="N50" s="44">
        <f t="shared" ref="N50:N52" si="46">(H50*0.65-I50-J50)/(B50-B49)</f>
        <v>5610.25</v>
      </c>
    </row>
    <row r="51" spans="2:14" ht="12.75" customHeight="1" x14ac:dyDescent="0.3">
      <c r="B51" s="32">
        <v>44840</v>
      </c>
      <c r="C51" s="13">
        <v>2389</v>
      </c>
      <c r="D51" s="13">
        <v>2371</v>
      </c>
      <c r="E51" s="170">
        <f t="shared" si="41"/>
        <v>18</v>
      </c>
      <c r="F51" s="171">
        <f t="shared" si="42"/>
        <v>18000</v>
      </c>
      <c r="G51" s="171"/>
      <c r="H51" s="171">
        <f t="shared" si="43"/>
        <v>18000</v>
      </c>
      <c r="I51" s="33">
        <v>0</v>
      </c>
      <c r="J51" s="36">
        <f>+E51*J47</f>
        <v>3600</v>
      </c>
      <c r="K51" s="172"/>
      <c r="L51" s="31">
        <f t="shared" si="44"/>
        <v>0.2</v>
      </c>
      <c r="M51" s="44">
        <f t="shared" si="45"/>
        <v>3000</v>
      </c>
      <c r="N51" s="44">
        <f t="shared" si="46"/>
        <v>1350</v>
      </c>
    </row>
    <row r="52" spans="2:14" ht="12.75" customHeight="1" x14ac:dyDescent="0.3">
      <c r="B52" s="32">
        <v>44847</v>
      </c>
      <c r="C52" s="13">
        <v>2423</v>
      </c>
      <c r="D52" s="13">
        <v>2389</v>
      </c>
      <c r="E52" s="170">
        <f t="shared" si="41"/>
        <v>34</v>
      </c>
      <c r="F52" s="171">
        <f t="shared" si="42"/>
        <v>34000</v>
      </c>
      <c r="G52" s="171"/>
      <c r="H52" s="171">
        <f t="shared" si="43"/>
        <v>34000</v>
      </c>
      <c r="I52" s="33">
        <f>944*3</f>
        <v>2832</v>
      </c>
      <c r="J52" s="36">
        <f>+E52*J47</f>
        <v>6800</v>
      </c>
      <c r="K52" s="172"/>
      <c r="L52" s="31">
        <f t="shared" si="44"/>
        <v>0.28329411764705881</v>
      </c>
      <c r="M52" s="44">
        <f t="shared" si="45"/>
        <v>4857.1428571428569</v>
      </c>
      <c r="N52" s="44">
        <f t="shared" si="46"/>
        <v>1781.1428571428571</v>
      </c>
    </row>
    <row r="53" spans="2:14" ht="12.75" customHeight="1" x14ac:dyDescent="0.3">
      <c r="B53" s="32">
        <v>44854</v>
      </c>
      <c r="C53" s="13">
        <v>2460</v>
      </c>
      <c r="D53" s="13">
        <v>2423</v>
      </c>
      <c r="E53" s="170">
        <f t="shared" si="41"/>
        <v>37</v>
      </c>
      <c r="F53" s="171">
        <f t="shared" si="42"/>
        <v>37000</v>
      </c>
      <c r="G53" s="171"/>
      <c r="H53" s="171">
        <f t="shared" si="43"/>
        <v>37000</v>
      </c>
      <c r="I53" s="33">
        <f>944*2</f>
        <v>1888</v>
      </c>
      <c r="J53" s="36">
        <f>+E53*J47</f>
        <v>7400</v>
      </c>
      <c r="K53" s="172"/>
      <c r="L53" s="31">
        <f t="shared" si="44"/>
        <v>0.25102702702702701</v>
      </c>
      <c r="M53" s="44">
        <f>H53/(B53-B51)</f>
        <v>2642.8571428571427</v>
      </c>
      <c r="N53" s="44">
        <f>(H53*0.65-I53-J53)/(B53-B51)</f>
        <v>1054.4285714285713</v>
      </c>
    </row>
    <row r="54" spans="2:14" ht="15.75" customHeight="1" x14ac:dyDescent="0.3">
      <c r="B54" s="52"/>
      <c r="C54" s="53"/>
      <c r="D54" s="53"/>
      <c r="E54" s="53">
        <f t="shared" ref="E54:F54" si="47">SUM(E49:E53)</f>
        <v>257</v>
      </c>
      <c r="F54" s="54">
        <f t="shared" si="47"/>
        <v>257000</v>
      </c>
      <c r="G54" s="54"/>
      <c r="H54" s="54">
        <f t="shared" ref="H54:J54" si="48">SUM(H49:H53)</f>
        <v>257000</v>
      </c>
      <c r="I54" s="55">
        <f t="shared" si="48"/>
        <v>12532</v>
      </c>
      <c r="J54" s="55">
        <f t="shared" si="48"/>
        <v>51400</v>
      </c>
      <c r="K54" s="56">
        <f>+H54*0.65-I54-J54-G54</f>
        <v>103118</v>
      </c>
      <c r="L54" s="42">
        <f t="shared" si="44"/>
        <v>0.2487626459143969</v>
      </c>
      <c r="M54" s="57">
        <f>L54+L55</f>
        <v>0.65</v>
      </c>
      <c r="N54" s="5"/>
    </row>
    <row r="55" spans="2:14" ht="12.75" customHeight="1" x14ac:dyDescent="0.3">
      <c r="B55" s="58"/>
      <c r="C55" s="5"/>
      <c r="D55" s="5"/>
      <c r="E55" s="5"/>
      <c r="F55" s="5"/>
      <c r="G55" s="5"/>
      <c r="H55" s="5"/>
      <c r="I55" s="5"/>
      <c r="J55" s="29"/>
      <c r="K55" s="5"/>
      <c r="L55" s="43">
        <f>+K54/H54</f>
        <v>0.40123735408560313</v>
      </c>
      <c r="M55" s="5"/>
      <c r="N55" s="5"/>
    </row>
    <row r="56" spans="2:14" ht="12.75" customHeight="1" x14ac:dyDescent="0.3">
      <c r="B56" s="27"/>
      <c r="C56" s="5"/>
      <c r="D56" s="5"/>
      <c r="E56" s="5"/>
      <c r="F56" s="5"/>
      <c r="G56" s="23"/>
      <c r="H56" s="23"/>
      <c r="I56" s="3" t="s">
        <v>182</v>
      </c>
      <c r="J56" s="6">
        <v>200</v>
      </c>
      <c r="K56" s="26"/>
      <c r="L56" s="5"/>
      <c r="M56" s="5"/>
      <c r="N56" s="5"/>
    </row>
    <row r="57" spans="2:14" ht="15.75" customHeight="1" x14ac:dyDescent="0.3">
      <c r="B57" s="28" t="s">
        <v>142</v>
      </c>
      <c r="C57" s="8" t="s">
        <v>188</v>
      </c>
      <c r="D57" s="8" t="s">
        <v>189</v>
      </c>
      <c r="E57" s="8" t="s">
        <v>190</v>
      </c>
      <c r="F57" s="8" t="s">
        <v>145</v>
      </c>
      <c r="G57" s="8" t="s">
        <v>163</v>
      </c>
      <c r="H57" s="8" t="s">
        <v>164</v>
      </c>
      <c r="I57" s="168" t="s">
        <v>165</v>
      </c>
      <c r="J57" s="9" t="s">
        <v>166</v>
      </c>
      <c r="K57" s="9" t="s">
        <v>146</v>
      </c>
      <c r="L57" s="29" t="s">
        <v>179</v>
      </c>
      <c r="M57" s="5" t="s">
        <v>191</v>
      </c>
      <c r="N57" s="5" t="s">
        <v>192</v>
      </c>
    </row>
    <row r="58" spans="2:14" ht="15.75" customHeight="1" x14ac:dyDescent="0.3">
      <c r="B58" s="178">
        <v>44860</v>
      </c>
      <c r="C58" s="170">
        <v>2496</v>
      </c>
      <c r="D58" s="170">
        <v>2460</v>
      </c>
      <c r="E58" s="170">
        <f t="shared" ref="E58:E62" si="49">+C58-D58</f>
        <v>36</v>
      </c>
      <c r="F58" s="171">
        <f t="shared" ref="F58:F62" si="50">E58*1000</f>
        <v>36000</v>
      </c>
      <c r="G58" s="171"/>
      <c r="H58" s="171">
        <f t="shared" ref="H58:H62" si="51">+F58-G58</f>
        <v>36000</v>
      </c>
      <c r="I58" s="10">
        <f>944*4</f>
        <v>3776</v>
      </c>
      <c r="J58" s="36">
        <f>+E58*J56</f>
        <v>7200</v>
      </c>
      <c r="K58" s="172"/>
      <c r="L58" s="31">
        <f t="shared" ref="L58:L63" si="52">+(I58+J58)/H58</f>
        <v>0.30488888888888888</v>
      </c>
      <c r="M58" s="44">
        <f>H58/(B58-B53)</f>
        <v>6000</v>
      </c>
      <c r="N58" s="44">
        <f>(H58*0.65-I58-J58)/(B58-B53)</f>
        <v>2070.6666666666665</v>
      </c>
    </row>
    <row r="59" spans="2:14" ht="12.75" customHeight="1" x14ac:dyDescent="0.3">
      <c r="B59" s="32">
        <v>44867</v>
      </c>
      <c r="C59" s="13">
        <v>2538</v>
      </c>
      <c r="D59" s="13">
        <v>2496</v>
      </c>
      <c r="E59" s="170">
        <f t="shared" si="49"/>
        <v>42</v>
      </c>
      <c r="F59" s="171">
        <f t="shared" si="50"/>
        <v>42000</v>
      </c>
      <c r="G59" s="171"/>
      <c r="H59" s="171">
        <f t="shared" si="51"/>
        <v>42000</v>
      </c>
      <c r="I59" s="33">
        <f>944*3</f>
        <v>2832</v>
      </c>
      <c r="J59" s="36">
        <f>+E59*J56</f>
        <v>8400</v>
      </c>
      <c r="K59" s="172"/>
      <c r="L59" s="31">
        <f t="shared" si="52"/>
        <v>0.2674285714285714</v>
      </c>
      <c r="M59" s="44">
        <f t="shared" ref="M59:M61" si="53">H59/(B59-B58)</f>
        <v>6000</v>
      </c>
      <c r="N59" s="44">
        <f t="shared" ref="N59:N61" si="54">(H59*0.65-I59-J59)/(B59-B58)</f>
        <v>2295.4285714285716</v>
      </c>
    </row>
    <row r="60" spans="2:14" ht="12.75" customHeight="1" x14ac:dyDescent="0.3">
      <c r="B60" s="32">
        <v>44875</v>
      </c>
      <c r="C60" s="13">
        <v>2599</v>
      </c>
      <c r="D60" s="13">
        <v>2538</v>
      </c>
      <c r="E60" s="170">
        <f t="shared" si="49"/>
        <v>61</v>
      </c>
      <c r="F60" s="171">
        <f t="shared" si="50"/>
        <v>61000</v>
      </c>
      <c r="G60" s="171"/>
      <c r="H60" s="171">
        <f t="shared" si="51"/>
        <v>61000</v>
      </c>
      <c r="I60" s="33">
        <f>944*6</f>
        <v>5664</v>
      </c>
      <c r="J60" s="36">
        <f>+E60*J56</f>
        <v>12200</v>
      </c>
      <c r="K60" s="172"/>
      <c r="L60" s="31">
        <f t="shared" si="52"/>
        <v>0.29285245901639345</v>
      </c>
      <c r="M60" s="44">
        <f t="shared" si="53"/>
        <v>7625</v>
      </c>
      <c r="N60" s="44">
        <f t="shared" si="54"/>
        <v>2723.25</v>
      </c>
    </row>
    <row r="61" spans="2:14" ht="12.75" customHeight="1" x14ac:dyDescent="0.3">
      <c r="B61" s="32">
        <v>44882</v>
      </c>
      <c r="C61" s="13">
        <v>2640</v>
      </c>
      <c r="D61" s="13">
        <v>2599</v>
      </c>
      <c r="E61" s="170">
        <f t="shared" si="49"/>
        <v>41</v>
      </c>
      <c r="F61" s="171">
        <f t="shared" si="50"/>
        <v>41000</v>
      </c>
      <c r="G61" s="171"/>
      <c r="H61" s="171">
        <f t="shared" si="51"/>
        <v>41000</v>
      </c>
      <c r="I61" s="33">
        <f>944*3</f>
        <v>2832</v>
      </c>
      <c r="J61" s="36">
        <f>+E61*J56</f>
        <v>8200</v>
      </c>
      <c r="K61" s="172"/>
      <c r="L61" s="31">
        <f t="shared" si="52"/>
        <v>0.26907317073170733</v>
      </c>
      <c r="M61" s="44">
        <f t="shared" si="53"/>
        <v>5857.1428571428569</v>
      </c>
      <c r="N61" s="44">
        <f t="shared" si="54"/>
        <v>2231.1428571428573</v>
      </c>
    </row>
    <row r="62" spans="2:14" ht="12.75" customHeight="1" x14ac:dyDescent="0.3">
      <c r="B62" s="32"/>
      <c r="C62" s="13"/>
      <c r="D62" s="13"/>
      <c r="E62" s="170">
        <f t="shared" si="49"/>
        <v>0</v>
      </c>
      <c r="F62" s="171">
        <f t="shared" si="50"/>
        <v>0</v>
      </c>
      <c r="G62" s="171"/>
      <c r="H62" s="171">
        <f t="shared" si="51"/>
        <v>0</v>
      </c>
      <c r="I62" s="33"/>
      <c r="J62" s="36">
        <f>+E62*J56</f>
        <v>0</v>
      </c>
      <c r="K62" s="172"/>
      <c r="L62" s="31" t="e">
        <f t="shared" si="52"/>
        <v>#DIV/0!</v>
      </c>
      <c r="M62" s="44">
        <f>H62/(B62-B60)</f>
        <v>0</v>
      </c>
      <c r="N62" s="44">
        <f>(H62*0.65-I62-J62)/(B62-B60)</f>
        <v>0</v>
      </c>
    </row>
    <row r="63" spans="2:14" ht="15.75" customHeight="1" x14ac:dyDescent="0.3">
      <c r="B63" s="52"/>
      <c r="C63" s="53"/>
      <c r="D63" s="53"/>
      <c r="E63" s="53">
        <f t="shared" ref="E63:F63" si="55">SUM(E58:E62)</f>
        <v>180</v>
      </c>
      <c r="F63" s="54">
        <f t="shared" si="55"/>
        <v>180000</v>
      </c>
      <c r="G63" s="54"/>
      <c r="H63" s="54">
        <f t="shared" ref="H63:J63" si="56">SUM(H58:H62)</f>
        <v>180000</v>
      </c>
      <c r="I63" s="55">
        <f t="shared" si="56"/>
        <v>15104</v>
      </c>
      <c r="J63" s="55">
        <f t="shared" si="56"/>
        <v>36000</v>
      </c>
      <c r="K63" s="56">
        <f>+H63*0.65-I63-J63-G63</f>
        <v>65896</v>
      </c>
      <c r="L63" s="42">
        <f t="shared" si="52"/>
        <v>0.28391111111111111</v>
      </c>
      <c r="M63" s="57">
        <f>L63+L64</f>
        <v>0.65</v>
      </c>
      <c r="N63" s="5"/>
    </row>
    <row r="64" spans="2:14" ht="12.75" customHeight="1" x14ac:dyDescent="0.3">
      <c r="B64" s="58"/>
      <c r="C64" s="5"/>
      <c r="D64" s="5"/>
      <c r="E64" s="5"/>
      <c r="F64" s="5"/>
      <c r="G64" s="5"/>
      <c r="H64" s="5"/>
      <c r="I64" s="5"/>
      <c r="J64" s="29"/>
      <c r="K64" s="5"/>
      <c r="L64" s="43">
        <f>+K63/H63</f>
        <v>0.36608888888888891</v>
      </c>
      <c r="M64" s="5"/>
      <c r="N64" s="5"/>
    </row>
    <row r="65" spans="2:14" ht="12.75" customHeight="1" x14ac:dyDescent="0.3">
      <c r="B65" s="27"/>
      <c r="C65" s="5"/>
      <c r="D65" s="5"/>
      <c r="E65" s="5"/>
      <c r="F65" s="5"/>
      <c r="G65" s="23"/>
      <c r="H65" s="23"/>
      <c r="I65" s="3" t="s">
        <v>182</v>
      </c>
      <c r="J65" s="6">
        <v>200</v>
      </c>
      <c r="K65" s="26"/>
      <c r="L65" s="5"/>
      <c r="M65" s="5"/>
      <c r="N65" s="5"/>
    </row>
    <row r="66" spans="2:14" ht="15.75" customHeight="1" x14ac:dyDescent="0.3">
      <c r="B66" s="28" t="s">
        <v>142</v>
      </c>
      <c r="C66" s="8" t="s">
        <v>188</v>
      </c>
      <c r="D66" s="8" t="s">
        <v>189</v>
      </c>
      <c r="E66" s="8" t="s">
        <v>190</v>
      </c>
      <c r="F66" s="8" t="s">
        <v>145</v>
      </c>
      <c r="G66" s="8" t="s">
        <v>163</v>
      </c>
      <c r="H66" s="8" t="s">
        <v>164</v>
      </c>
      <c r="I66" s="168" t="s">
        <v>165</v>
      </c>
      <c r="J66" s="9" t="s">
        <v>166</v>
      </c>
      <c r="K66" s="9" t="s">
        <v>146</v>
      </c>
      <c r="L66" s="29" t="s">
        <v>179</v>
      </c>
      <c r="M66" s="5" t="s">
        <v>191</v>
      </c>
      <c r="N66" s="5" t="s">
        <v>192</v>
      </c>
    </row>
    <row r="67" spans="2:14" ht="15.75" customHeight="1" x14ac:dyDescent="0.3">
      <c r="B67" s="178">
        <v>44890</v>
      </c>
      <c r="C67" s="170">
        <v>2722</v>
      </c>
      <c r="D67" s="170">
        <f>C61</f>
        <v>2640</v>
      </c>
      <c r="E67" s="170">
        <f t="shared" ref="E67:E71" si="57">+C67-D67</f>
        <v>82</v>
      </c>
      <c r="F67" s="171">
        <f t="shared" ref="F67:F71" si="58">E67*1000</f>
        <v>82000</v>
      </c>
      <c r="G67" s="171"/>
      <c r="H67" s="171">
        <f t="shared" ref="H67:H71" si="59">+F67-G67</f>
        <v>82000</v>
      </c>
      <c r="I67" s="10">
        <f>944*4</f>
        <v>3776</v>
      </c>
      <c r="J67" s="36">
        <f>+E67*J65</f>
        <v>16400</v>
      </c>
      <c r="K67" s="172"/>
      <c r="L67" s="31">
        <f t="shared" ref="L67:L72" si="60">+(I67+J67)/H67</f>
        <v>0.24604878048780487</v>
      </c>
      <c r="M67" s="44">
        <f>H67/(B67-B62)</f>
        <v>1.8266874582312318</v>
      </c>
      <c r="N67" s="44">
        <f>(H67*0.65-I67-J67)/(B67-B62)</f>
        <v>0.73789262642013809</v>
      </c>
    </row>
    <row r="68" spans="2:14" ht="12.75" customHeight="1" x14ac:dyDescent="0.3">
      <c r="B68" s="32">
        <v>44894</v>
      </c>
      <c r="C68" s="13">
        <v>2921</v>
      </c>
      <c r="D68" s="13">
        <f t="shared" ref="D68:D71" si="61">IF(B68=0,0,C67)</f>
        <v>2722</v>
      </c>
      <c r="E68" s="170">
        <f t="shared" si="57"/>
        <v>199</v>
      </c>
      <c r="F68" s="171">
        <f t="shared" si="58"/>
        <v>199000</v>
      </c>
      <c r="G68" s="171"/>
      <c r="H68" s="171">
        <f t="shared" si="59"/>
        <v>199000</v>
      </c>
      <c r="I68" s="33">
        <f>944*10</f>
        <v>9440</v>
      </c>
      <c r="J68" s="36">
        <f>+E68*J65</f>
        <v>39800</v>
      </c>
      <c r="K68" s="172"/>
      <c r="L68" s="31">
        <f t="shared" si="60"/>
        <v>0.24743718592964825</v>
      </c>
      <c r="M68" s="44">
        <f t="shared" ref="M68:M70" si="62">H68/(B68-B67)</f>
        <v>49750</v>
      </c>
      <c r="N68" s="44">
        <f t="shared" ref="N68:N70" si="63">(H68*0.65-I68-J68)/(B68-B67)</f>
        <v>20027.5</v>
      </c>
    </row>
    <row r="69" spans="2:14" ht="12.75" customHeight="1" x14ac:dyDescent="0.3">
      <c r="B69" s="32">
        <v>44904</v>
      </c>
      <c r="C69" s="13">
        <v>2958</v>
      </c>
      <c r="D69" s="13">
        <f t="shared" si="61"/>
        <v>2921</v>
      </c>
      <c r="E69" s="170">
        <f t="shared" si="57"/>
        <v>37</v>
      </c>
      <c r="F69" s="171">
        <f t="shared" si="58"/>
        <v>37000</v>
      </c>
      <c r="G69" s="171"/>
      <c r="H69" s="171">
        <f t="shared" si="59"/>
        <v>37000</v>
      </c>
      <c r="I69" s="33">
        <f t="shared" ref="I69:I70" si="64">944*2</f>
        <v>1888</v>
      </c>
      <c r="J69" s="36">
        <f>+E69*J65</f>
        <v>7400</v>
      </c>
      <c r="K69" s="172"/>
      <c r="L69" s="31">
        <f t="shared" si="60"/>
        <v>0.25102702702702701</v>
      </c>
      <c r="M69" s="44">
        <f t="shared" si="62"/>
        <v>3700</v>
      </c>
      <c r="N69" s="44">
        <f t="shared" si="63"/>
        <v>1476.2</v>
      </c>
    </row>
    <row r="70" spans="2:14" ht="12.75" customHeight="1" x14ac:dyDescent="0.3">
      <c r="B70" s="32">
        <v>44910</v>
      </c>
      <c r="C70" s="13">
        <v>3007</v>
      </c>
      <c r="D70" s="13">
        <f t="shared" si="61"/>
        <v>2958</v>
      </c>
      <c r="E70" s="170">
        <f t="shared" si="57"/>
        <v>49</v>
      </c>
      <c r="F70" s="171">
        <f t="shared" si="58"/>
        <v>49000</v>
      </c>
      <c r="G70" s="171"/>
      <c r="H70" s="171">
        <f t="shared" si="59"/>
        <v>49000</v>
      </c>
      <c r="I70" s="33">
        <f t="shared" si="64"/>
        <v>1888</v>
      </c>
      <c r="J70" s="36">
        <f>+E70*J65</f>
        <v>9800</v>
      </c>
      <c r="K70" s="172"/>
      <c r="L70" s="31">
        <f t="shared" si="60"/>
        <v>0.23853061224489797</v>
      </c>
      <c r="M70" s="44">
        <f t="shared" si="62"/>
        <v>8166.666666666667</v>
      </c>
      <c r="N70" s="44">
        <f t="shared" si="63"/>
        <v>3360.3333333333335</v>
      </c>
    </row>
    <row r="71" spans="2:14" ht="12.75" customHeight="1" x14ac:dyDescent="0.3">
      <c r="B71" s="32"/>
      <c r="C71" s="13"/>
      <c r="D71" s="13">
        <f t="shared" si="61"/>
        <v>0</v>
      </c>
      <c r="E71" s="170">
        <f t="shared" si="57"/>
        <v>0</v>
      </c>
      <c r="F71" s="171">
        <f t="shared" si="58"/>
        <v>0</v>
      </c>
      <c r="G71" s="171"/>
      <c r="H71" s="171">
        <f t="shared" si="59"/>
        <v>0</v>
      </c>
      <c r="I71" s="33"/>
      <c r="J71" s="36">
        <f>+E71*J65</f>
        <v>0</v>
      </c>
      <c r="K71" s="172"/>
      <c r="L71" s="31" t="e">
        <f t="shared" si="60"/>
        <v>#DIV/0!</v>
      </c>
      <c r="M71" s="44">
        <f>H71/(B71-B69)</f>
        <v>0</v>
      </c>
      <c r="N71" s="44">
        <f>(H71*0.65-I71-J71)/(B71-B69)</f>
        <v>0</v>
      </c>
    </row>
    <row r="72" spans="2:14" ht="15.75" customHeight="1" x14ac:dyDescent="0.3">
      <c r="B72" s="52"/>
      <c r="C72" s="53"/>
      <c r="D72" s="53"/>
      <c r="E72" s="53">
        <f t="shared" ref="E72:F72" si="65">SUM(E67:E71)</f>
        <v>367</v>
      </c>
      <c r="F72" s="54">
        <f t="shared" si="65"/>
        <v>367000</v>
      </c>
      <c r="G72" s="54"/>
      <c r="H72" s="54">
        <f t="shared" ref="H72:J72" si="66">SUM(H67:H71)</f>
        <v>367000</v>
      </c>
      <c r="I72" s="55">
        <f t="shared" si="66"/>
        <v>16992</v>
      </c>
      <c r="J72" s="55">
        <f t="shared" si="66"/>
        <v>73400</v>
      </c>
      <c r="K72" s="56">
        <f>+H72*0.65-I72-J72-G72</f>
        <v>148158</v>
      </c>
      <c r="L72" s="42">
        <f t="shared" si="60"/>
        <v>0.24629972752043597</v>
      </c>
      <c r="M72" s="57">
        <f>L72+L73</f>
        <v>0.65</v>
      </c>
      <c r="N72" s="5"/>
    </row>
    <row r="73" spans="2:14" ht="12.75" customHeight="1" x14ac:dyDescent="0.3">
      <c r="B73" s="58"/>
      <c r="C73" s="5"/>
      <c r="D73" s="5"/>
      <c r="E73" s="5"/>
      <c r="F73" s="5"/>
      <c r="G73" s="5"/>
      <c r="H73" s="5"/>
      <c r="I73" s="5"/>
      <c r="J73" s="29"/>
      <c r="K73" s="5"/>
      <c r="L73" s="43">
        <f>+K72/H72</f>
        <v>0.40370027247956403</v>
      </c>
      <c r="M73" s="5"/>
      <c r="N73" s="5"/>
    </row>
    <row r="74" spans="2:14" ht="12.75" customHeight="1" x14ac:dyDescent="0.3">
      <c r="B74" s="27"/>
      <c r="C74" s="5"/>
      <c r="D74" s="5"/>
      <c r="E74" s="5"/>
      <c r="F74" s="5"/>
      <c r="G74" s="23"/>
      <c r="H74" s="23"/>
      <c r="I74" s="3" t="s">
        <v>182</v>
      </c>
      <c r="J74" s="6">
        <v>400</v>
      </c>
      <c r="K74" s="26"/>
      <c r="L74" s="5"/>
      <c r="M74" s="5"/>
      <c r="N74" s="5"/>
    </row>
    <row r="75" spans="2:14" ht="15.75" customHeight="1" x14ac:dyDescent="0.3">
      <c r="B75" s="28" t="s">
        <v>142</v>
      </c>
      <c r="C75" s="8" t="s">
        <v>188</v>
      </c>
      <c r="D75" s="8" t="s">
        <v>189</v>
      </c>
      <c r="E75" s="8" t="s">
        <v>190</v>
      </c>
      <c r="F75" s="8" t="s">
        <v>145</v>
      </c>
      <c r="G75" s="8" t="s">
        <v>163</v>
      </c>
      <c r="H75" s="8" t="s">
        <v>164</v>
      </c>
      <c r="I75" s="168" t="s">
        <v>165</v>
      </c>
      <c r="J75" s="9" t="s">
        <v>166</v>
      </c>
      <c r="K75" s="9" t="s">
        <v>146</v>
      </c>
      <c r="L75" s="29" t="s">
        <v>179</v>
      </c>
      <c r="M75" s="5" t="s">
        <v>191</v>
      </c>
      <c r="N75" s="5" t="s">
        <v>192</v>
      </c>
    </row>
    <row r="76" spans="2:14" ht="15.75" customHeight="1" x14ac:dyDescent="0.3">
      <c r="B76" s="178">
        <v>44915</v>
      </c>
      <c r="C76" s="170">
        <v>3069</v>
      </c>
      <c r="D76" s="170">
        <f>C70</f>
        <v>3007</v>
      </c>
      <c r="E76" s="170">
        <f t="shared" ref="E76:E80" si="67">+C76-D76</f>
        <v>62</v>
      </c>
      <c r="F76" s="171">
        <f t="shared" ref="F76:F80" si="68">E76*1000</f>
        <v>62000</v>
      </c>
      <c r="G76" s="171"/>
      <c r="H76" s="171">
        <f t="shared" ref="H76:H80" si="69">+F76-G76</f>
        <v>62000</v>
      </c>
      <c r="I76" s="10">
        <f>944*6</f>
        <v>5664</v>
      </c>
      <c r="J76" s="36">
        <f>+E76*J74/2</f>
        <v>12400</v>
      </c>
      <c r="K76" s="172"/>
      <c r="L76" s="31">
        <f t="shared" ref="L76:L81" si="70">+(I76+J76)/H76</f>
        <v>0.29135483870967743</v>
      </c>
      <c r="M76" s="44">
        <f>H76/(B76-B71)</f>
        <v>1.3803851719915397</v>
      </c>
      <c r="N76" s="44">
        <f>(H76*0.65-I76-J76)/(B76-B71)</f>
        <v>0.49506846265167537</v>
      </c>
    </row>
    <row r="77" spans="2:14" ht="12.75" customHeight="1" x14ac:dyDescent="0.3">
      <c r="B77" s="32">
        <v>44921</v>
      </c>
      <c r="C77" s="13">
        <v>3143</v>
      </c>
      <c r="D77" s="13">
        <f t="shared" ref="D77:D80" si="71">IF(B77=0,0,C76)</f>
        <v>3069</v>
      </c>
      <c r="E77" s="170">
        <f t="shared" si="67"/>
        <v>74</v>
      </c>
      <c r="F77" s="171">
        <f t="shared" si="68"/>
        <v>74000</v>
      </c>
      <c r="G77" s="171"/>
      <c r="H77" s="171">
        <f t="shared" si="69"/>
        <v>74000</v>
      </c>
      <c r="I77" s="33">
        <f>944*3</f>
        <v>2832</v>
      </c>
      <c r="J77" s="36">
        <f>+E77*J74/2</f>
        <v>14800</v>
      </c>
      <c r="K77" s="172"/>
      <c r="L77" s="31">
        <f t="shared" si="70"/>
        <v>0.23827027027027026</v>
      </c>
      <c r="M77" s="44">
        <f t="shared" ref="M77:M79" si="72">H77/(B77-B76)</f>
        <v>12333.333333333334</v>
      </c>
      <c r="N77" s="44">
        <f t="shared" ref="N77:N79" si="73">(H77*0.65-I77-J77)/(B77-B76)</f>
        <v>5078</v>
      </c>
    </row>
    <row r="78" spans="2:14" ht="12.75" customHeight="1" x14ac:dyDescent="0.3">
      <c r="B78" s="32">
        <v>44928</v>
      </c>
      <c r="C78" s="13">
        <v>3283</v>
      </c>
      <c r="D78" s="13">
        <f t="shared" si="71"/>
        <v>3143</v>
      </c>
      <c r="E78" s="170">
        <f t="shared" si="67"/>
        <v>140</v>
      </c>
      <c r="F78" s="171">
        <f t="shared" si="68"/>
        <v>140000</v>
      </c>
      <c r="G78" s="171"/>
      <c r="H78" s="171">
        <f t="shared" si="69"/>
        <v>140000</v>
      </c>
      <c r="I78" s="33">
        <f>944*7</f>
        <v>6608</v>
      </c>
      <c r="J78" s="36">
        <f>+E78*J74/2</f>
        <v>28000</v>
      </c>
      <c r="K78" s="172"/>
      <c r="L78" s="31">
        <f t="shared" si="70"/>
        <v>0.2472</v>
      </c>
      <c r="M78" s="44">
        <f t="shared" si="72"/>
        <v>20000</v>
      </c>
      <c r="N78" s="44">
        <f t="shared" si="73"/>
        <v>8056</v>
      </c>
    </row>
    <row r="79" spans="2:14" ht="12.75" customHeight="1" x14ac:dyDescent="0.3">
      <c r="B79" s="32">
        <v>44936</v>
      </c>
      <c r="C79" s="13">
        <v>3399</v>
      </c>
      <c r="D79" s="13">
        <f t="shared" si="71"/>
        <v>3283</v>
      </c>
      <c r="E79" s="170">
        <f t="shared" si="67"/>
        <v>116</v>
      </c>
      <c r="F79" s="171">
        <f t="shared" si="68"/>
        <v>116000</v>
      </c>
      <c r="G79" s="171"/>
      <c r="H79" s="171">
        <f t="shared" si="69"/>
        <v>116000</v>
      </c>
      <c r="I79" s="33">
        <f>944*4</f>
        <v>3776</v>
      </c>
      <c r="J79" s="36">
        <f>+E79*J74/2</f>
        <v>23200</v>
      </c>
      <c r="K79" s="172"/>
      <c r="L79" s="31">
        <f t="shared" si="70"/>
        <v>0.23255172413793104</v>
      </c>
      <c r="M79" s="44">
        <f t="shared" si="72"/>
        <v>14500</v>
      </c>
      <c r="N79" s="44">
        <f t="shared" si="73"/>
        <v>6053</v>
      </c>
    </row>
    <row r="80" spans="2:14" ht="12.75" customHeight="1" x14ac:dyDescent="0.3">
      <c r="B80" s="32">
        <v>44944</v>
      </c>
      <c r="C80" s="13">
        <v>3451</v>
      </c>
      <c r="D80" s="13">
        <f t="shared" si="71"/>
        <v>3399</v>
      </c>
      <c r="E80" s="170">
        <f t="shared" si="67"/>
        <v>52</v>
      </c>
      <c r="F80" s="171">
        <f t="shared" si="68"/>
        <v>52000</v>
      </c>
      <c r="G80" s="171"/>
      <c r="H80" s="171">
        <f t="shared" si="69"/>
        <v>52000</v>
      </c>
      <c r="I80" s="33">
        <v>0</v>
      </c>
      <c r="J80" s="36">
        <f>+E80*J74/2</f>
        <v>10400</v>
      </c>
      <c r="K80" s="172"/>
      <c r="L80" s="31">
        <f t="shared" si="70"/>
        <v>0.2</v>
      </c>
      <c r="M80" s="44">
        <f>H80/(B80-B78)</f>
        <v>3250</v>
      </c>
      <c r="N80" s="44">
        <f>(H80*0.65-I80-J80)/(B80-B78)</f>
        <v>1462.5</v>
      </c>
    </row>
    <row r="81" spans="2:14" ht="15.75" customHeight="1" x14ac:dyDescent="0.3">
      <c r="B81" s="52"/>
      <c r="C81" s="53"/>
      <c r="D81" s="53"/>
      <c r="E81" s="53">
        <f t="shared" ref="E81:F81" si="74">SUM(E76:E80)</f>
        <v>444</v>
      </c>
      <c r="F81" s="54">
        <f t="shared" si="74"/>
        <v>444000</v>
      </c>
      <c r="G81" s="54"/>
      <c r="H81" s="54">
        <f t="shared" ref="H81:J81" si="75">SUM(H76:H80)</f>
        <v>444000</v>
      </c>
      <c r="I81" s="55">
        <f t="shared" si="75"/>
        <v>18880</v>
      </c>
      <c r="J81" s="55">
        <f t="shared" si="75"/>
        <v>88800</v>
      </c>
      <c r="K81" s="56">
        <f>+H81*0.65-I81-J81-G81</f>
        <v>180920</v>
      </c>
      <c r="L81" s="42">
        <f t="shared" si="70"/>
        <v>0.24252252252252252</v>
      </c>
      <c r="M81" s="57">
        <f>L81+L82</f>
        <v>0.65</v>
      </c>
      <c r="N81" s="5"/>
    </row>
    <row r="82" spans="2:14" ht="12.75" customHeight="1" x14ac:dyDescent="0.3">
      <c r="B82" s="58"/>
      <c r="C82" s="5"/>
      <c r="D82" s="5"/>
      <c r="E82" s="5"/>
      <c r="F82" s="5"/>
      <c r="G82" s="5"/>
      <c r="H82" s="5"/>
      <c r="I82" s="5"/>
      <c r="J82" s="29"/>
      <c r="K82" s="5"/>
      <c r="L82" s="43">
        <f>+K81/H81</f>
        <v>0.40747747747747748</v>
      </c>
      <c r="M82" s="5"/>
      <c r="N82" s="5"/>
    </row>
    <row r="83" spans="2:14" ht="12.75" customHeight="1" x14ac:dyDescent="0.3">
      <c r="B83" s="27"/>
      <c r="C83" s="5"/>
      <c r="D83" s="5"/>
      <c r="E83" s="5"/>
      <c r="F83" s="5"/>
      <c r="G83" s="23"/>
      <c r="H83" s="23"/>
      <c r="I83" s="3" t="s">
        <v>182</v>
      </c>
      <c r="J83" s="6">
        <v>400</v>
      </c>
      <c r="K83" s="26"/>
      <c r="L83" s="5"/>
      <c r="M83" s="5"/>
      <c r="N83" s="5"/>
    </row>
    <row r="84" spans="2:14" ht="15.75" customHeight="1" x14ac:dyDescent="0.3">
      <c r="B84" s="28" t="s">
        <v>142</v>
      </c>
      <c r="C84" s="8" t="s">
        <v>188</v>
      </c>
      <c r="D84" s="8" t="s">
        <v>189</v>
      </c>
      <c r="E84" s="8" t="s">
        <v>190</v>
      </c>
      <c r="F84" s="8" t="s">
        <v>145</v>
      </c>
      <c r="G84" s="8" t="s">
        <v>163</v>
      </c>
      <c r="H84" s="8" t="s">
        <v>164</v>
      </c>
      <c r="I84" s="168" t="s">
        <v>165</v>
      </c>
      <c r="J84" s="9" t="s">
        <v>166</v>
      </c>
      <c r="K84" s="9" t="s">
        <v>146</v>
      </c>
      <c r="L84" s="29" t="s">
        <v>179</v>
      </c>
      <c r="M84" s="5" t="s">
        <v>191</v>
      </c>
      <c r="N84" s="5" t="s">
        <v>192</v>
      </c>
    </row>
    <row r="85" spans="2:14" ht="15.75" customHeight="1" x14ac:dyDescent="0.3">
      <c r="B85" s="178">
        <v>44949</v>
      </c>
      <c r="C85" s="170">
        <v>3493</v>
      </c>
      <c r="D85" s="170">
        <f>C80</f>
        <v>3451</v>
      </c>
      <c r="E85" s="170">
        <f t="shared" ref="E85:E89" si="76">+C85-D85</f>
        <v>42</v>
      </c>
      <c r="F85" s="171">
        <f t="shared" ref="F85:F89" si="77">E85*1000</f>
        <v>42000</v>
      </c>
      <c r="G85" s="171"/>
      <c r="H85" s="171">
        <f t="shared" ref="H85:H89" si="78">+F85-G85</f>
        <v>42000</v>
      </c>
      <c r="I85" s="10"/>
      <c r="J85" s="36">
        <f>+E85*J83/2</f>
        <v>8400</v>
      </c>
      <c r="K85" s="172"/>
      <c r="L85" s="31">
        <f t="shared" ref="L85:L90" si="79">+(I85+J85)/H85</f>
        <v>0.2</v>
      </c>
      <c r="M85" s="44">
        <f>H85/(B85-B80)</f>
        <v>8400</v>
      </c>
      <c r="N85" s="44">
        <f>(H85*0.65-I85-J85)/(B85-B80)</f>
        <v>3780</v>
      </c>
    </row>
    <row r="86" spans="2:14" ht="12.75" customHeight="1" x14ac:dyDescent="0.3">
      <c r="B86" s="32">
        <v>44957</v>
      </c>
      <c r="C86" s="13">
        <v>3523</v>
      </c>
      <c r="D86" s="13">
        <f t="shared" ref="D86:D89" si="80">IF(B86=0,0,C85)</f>
        <v>3493</v>
      </c>
      <c r="E86" s="170">
        <f t="shared" si="76"/>
        <v>30</v>
      </c>
      <c r="F86" s="171">
        <f t="shared" si="77"/>
        <v>30000</v>
      </c>
      <c r="G86" s="171"/>
      <c r="H86" s="171">
        <f t="shared" si="78"/>
        <v>30000</v>
      </c>
      <c r="I86" s="33">
        <f>944*2</f>
        <v>1888</v>
      </c>
      <c r="J86" s="36">
        <f>+E86*J83/2</f>
        <v>6000</v>
      </c>
      <c r="K86" s="172"/>
      <c r="L86" s="31">
        <f t="shared" si="79"/>
        <v>0.26293333333333335</v>
      </c>
      <c r="M86" s="44">
        <f t="shared" ref="M86:M88" si="81">H86/(B86-B85)</f>
        <v>3750</v>
      </c>
      <c r="N86" s="44">
        <f t="shared" ref="N86:N88" si="82">(H86*0.65-I86-J86)/(B86-B85)</f>
        <v>1451.5</v>
      </c>
    </row>
    <row r="87" spans="2:14" ht="12.75" customHeight="1" x14ac:dyDescent="0.3">
      <c r="B87" s="32">
        <v>44967</v>
      </c>
      <c r="C87" s="13">
        <v>3589</v>
      </c>
      <c r="D87" s="13">
        <f t="shared" si="80"/>
        <v>3523</v>
      </c>
      <c r="E87" s="170">
        <f t="shared" si="76"/>
        <v>66</v>
      </c>
      <c r="F87" s="171">
        <f t="shared" si="77"/>
        <v>66000</v>
      </c>
      <c r="G87" s="171"/>
      <c r="H87" s="171">
        <f t="shared" si="78"/>
        <v>66000</v>
      </c>
      <c r="I87" s="33"/>
      <c r="J87" s="36">
        <f>+E87*J83/2</f>
        <v>13200</v>
      </c>
      <c r="K87" s="172"/>
      <c r="L87" s="31">
        <f t="shared" si="79"/>
        <v>0.2</v>
      </c>
      <c r="M87" s="44">
        <f t="shared" si="81"/>
        <v>6600</v>
      </c>
      <c r="N87" s="44">
        <f t="shared" si="82"/>
        <v>2970</v>
      </c>
    </row>
    <row r="88" spans="2:14" ht="12.75" customHeight="1" x14ac:dyDescent="0.3">
      <c r="B88" s="32">
        <v>44973</v>
      </c>
      <c r="C88" s="13">
        <v>3607</v>
      </c>
      <c r="D88" s="13">
        <f t="shared" si="80"/>
        <v>3589</v>
      </c>
      <c r="E88" s="170">
        <f t="shared" si="76"/>
        <v>18</v>
      </c>
      <c r="F88" s="171">
        <f t="shared" si="77"/>
        <v>18000</v>
      </c>
      <c r="G88" s="171"/>
      <c r="H88" s="171">
        <f t="shared" si="78"/>
        <v>18000</v>
      </c>
      <c r="I88" s="33">
        <f>944*3</f>
        <v>2832</v>
      </c>
      <c r="J88" s="36">
        <f>+E88*J83/2</f>
        <v>3600</v>
      </c>
      <c r="K88" s="172"/>
      <c r="L88" s="31">
        <f t="shared" si="79"/>
        <v>0.35733333333333334</v>
      </c>
      <c r="M88" s="44">
        <f t="shared" si="81"/>
        <v>3000</v>
      </c>
      <c r="N88" s="44">
        <f t="shared" si="82"/>
        <v>878</v>
      </c>
    </row>
    <row r="89" spans="2:14" ht="12.75" customHeight="1" x14ac:dyDescent="0.3">
      <c r="B89" s="32"/>
      <c r="C89" s="13"/>
      <c r="D89" s="13">
        <f t="shared" si="80"/>
        <v>0</v>
      </c>
      <c r="E89" s="170">
        <f t="shared" si="76"/>
        <v>0</v>
      </c>
      <c r="F89" s="171">
        <f t="shared" si="77"/>
        <v>0</v>
      </c>
      <c r="G89" s="171"/>
      <c r="H89" s="171">
        <f t="shared" si="78"/>
        <v>0</v>
      </c>
      <c r="I89" s="33"/>
      <c r="J89" s="36">
        <f>+E89*J83/2</f>
        <v>0</v>
      </c>
      <c r="K89" s="172"/>
      <c r="L89" s="31" t="e">
        <f t="shared" si="79"/>
        <v>#DIV/0!</v>
      </c>
      <c r="M89" s="44">
        <f>H89/(B89-B87)</f>
        <v>0</v>
      </c>
      <c r="N89" s="44">
        <f>(H89*0.65-I89-J89)/(B89-B87)</f>
        <v>0</v>
      </c>
    </row>
    <row r="90" spans="2:14" ht="15.75" customHeight="1" x14ac:dyDescent="0.3">
      <c r="B90" s="52"/>
      <c r="C90" s="53"/>
      <c r="D90" s="53"/>
      <c r="E90" s="53">
        <f t="shared" ref="E90:F90" si="83">SUM(E85:E89)</f>
        <v>156</v>
      </c>
      <c r="F90" s="54">
        <f t="shared" si="83"/>
        <v>156000</v>
      </c>
      <c r="G90" s="54"/>
      <c r="H90" s="54">
        <f t="shared" ref="H90:J90" si="84">SUM(H85:H89)</f>
        <v>156000</v>
      </c>
      <c r="I90" s="55">
        <f t="shared" si="84"/>
        <v>4720</v>
      </c>
      <c r="J90" s="55">
        <f t="shared" si="84"/>
        <v>31200</v>
      </c>
      <c r="K90" s="56">
        <f>+H90*0.65-I90-J90-G90</f>
        <v>65480</v>
      </c>
      <c r="L90" s="42">
        <f t="shared" si="79"/>
        <v>0.23025641025641025</v>
      </c>
      <c r="M90" s="57">
        <f>L90+L91</f>
        <v>0.64999999999999991</v>
      </c>
      <c r="N90" s="5"/>
    </row>
    <row r="91" spans="2:14" ht="12.75" customHeight="1" x14ac:dyDescent="0.3">
      <c r="B91" s="58"/>
      <c r="C91" s="5"/>
      <c r="D91" s="5"/>
      <c r="E91" s="5"/>
      <c r="F91" s="5"/>
      <c r="G91" s="5"/>
      <c r="H91" s="5"/>
      <c r="I91" s="5"/>
      <c r="J91" s="29"/>
      <c r="K91" s="5"/>
      <c r="L91" s="43">
        <f>+K90/H90</f>
        <v>0.41974358974358972</v>
      </c>
      <c r="M91" s="5"/>
      <c r="N91" s="5"/>
    </row>
    <row r="92" spans="2:14" ht="12.75" customHeight="1" x14ac:dyDescent="0.3">
      <c r="B92" s="27"/>
      <c r="C92" s="5"/>
      <c r="D92" s="5"/>
      <c r="E92" s="5"/>
      <c r="F92" s="5"/>
      <c r="G92" s="23"/>
      <c r="H92" s="23"/>
      <c r="I92" s="3" t="s">
        <v>182</v>
      </c>
      <c r="J92" s="6">
        <v>400</v>
      </c>
      <c r="K92" s="26"/>
      <c r="L92" s="5"/>
      <c r="M92" s="5"/>
      <c r="N92" s="5"/>
    </row>
    <row r="93" spans="2:14" ht="15.75" customHeight="1" x14ac:dyDescent="0.3">
      <c r="B93" s="28" t="s">
        <v>142</v>
      </c>
      <c r="C93" s="8" t="s">
        <v>188</v>
      </c>
      <c r="D93" s="8" t="s">
        <v>189</v>
      </c>
      <c r="E93" s="8" t="s">
        <v>190</v>
      </c>
      <c r="F93" s="8" t="s">
        <v>145</v>
      </c>
      <c r="G93" s="8" t="s">
        <v>163</v>
      </c>
      <c r="H93" s="8" t="s">
        <v>164</v>
      </c>
      <c r="I93" s="168" t="s">
        <v>165</v>
      </c>
      <c r="J93" s="9" t="s">
        <v>166</v>
      </c>
      <c r="K93" s="9" t="s">
        <v>146</v>
      </c>
      <c r="L93" s="29" t="s">
        <v>179</v>
      </c>
      <c r="M93" s="5" t="s">
        <v>191</v>
      </c>
      <c r="N93" s="5" t="s">
        <v>192</v>
      </c>
    </row>
    <row r="94" spans="2:14" ht="15.75" customHeight="1" x14ac:dyDescent="0.3">
      <c r="B94" s="178">
        <v>44987</v>
      </c>
      <c r="C94" s="170">
        <v>3689</v>
      </c>
      <c r="D94" s="170">
        <f>C88</f>
        <v>3607</v>
      </c>
      <c r="E94" s="170">
        <f t="shared" ref="E94:E98" si="85">+C94-D94</f>
        <v>82</v>
      </c>
      <c r="F94" s="171">
        <f t="shared" ref="F94:F98" si="86">E94*1000</f>
        <v>82000</v>
      </c>
      <c r="G94" s="171"/>
      <c r="H94" s="171">
        <f t="shared" ref="H94:H98" si="87">+F94-G94</f>
        <v>82000</v>
      </c>
      <c r="I94" s="10"/>
      <c r="J94" s="36">
        <f>+E94*J92/2</f>
        <v>16400</v>
      </c>
      <c r="K94" s="172"/>
      <c r="L94" s="31">
        <f t="shared" ref="L94:L99" si="88">+(I94+J94)/H94</f>
        <v>0.2</v>
      </c>
      <c r="M94" s="44">
        <f>H94/(B94-B89)</f>
        <v>1.8227487940960723</v>
      </c>
      <c r="N94" s="44">
        <f>(H94*0.65-I94-J94)/(B94-B89)</f>
        <v>0.82023695734323254</v>
      </c>
    </row>
    <row r="95" spans="2:14" ht="12.75" customHeight="1" x14ac:dyDescent="0.3">
      <c r="B95" s="32">
        <v>44992</v>
      </c>
      <c r="C95" s="13">
        <v>3719</v>
      </c>
      <c r="D95" s="13">
        <f t="shared" ref="D95:D98" si="89">IF(B95=0,0,C94)</f>
        <v>3689</v>
      </c>
      <c r="E95" s="170">
        <f t="shared" si="85"/>
        <v>30</v>
      </c>
      <c r="F95" s="171">
        <f t="shared" si="86"/>
        <v>30000</v>
      </c>
      <c r="G95" s="171"/>
      <c r="H95" s="171">
        <f t="shared" si="87"/>
        <v>30000</v>
      </c>
      <c r="I95" s="33"/>
      <c r="J95" s="36">
        <f>+E95*J92/2</f>
        <v>6000</v>
      </c>
      <c r="K95" s="172"/>
      <c r="L95" s="31">
        <f t="shared" si="88"/>
        <v>0.2</v>
      </c>
      <c r="M95" s="44">
        <f t="shared" ref="M95:M97" si="90">H95/(B95-B94)</f>
        <v>6000</v>
      </c>
      <c r="N95" s="44">
        <f t="shared" ref="N95:N97" si="91">(H95*0.65-I95-J95)/(B95-B94)</f>
        <v>2700</v>
      </c>
    </row>
    <row r="96" spans="2:14" ht="12.75" customHeight="1" x14ac:dyDescent="0.3">
      <c r="B96" s="32">
        <v>45001</v>
      </c>
      <c r="C96" s="13">
        <v>3767</v>
      </c>
      <c r="D96" s="13">
        <f t="shared" si="89"/>
        <v>3719</v>
      </c>
      <c r="E96" s="170">
        <f t="shared" si="85"/>
        <v>48</v>
      </c>
      <c r="F96" s="171">
        <f t="shared" si="86"/>
        <v>48000</v>
      </c>
      <c r="G96" s="171"/>
      <c r="H96" s="171">
        <f t="shared" si="87"/>
        <v>48000</v>
      </c>
      <c r="I96" s="33">
        <f>944*3</f>
        <v>2832</v>
      </c>
      <c r="J96" s="36">
        <f>+E96*J92/2</f>
        <v>9600</v>
      </c>
      <c r="K96" s="172"/>
      <c r="L96" s="31">
        <f t="shared" si="88"/>
        <v>0.25900000000000001</v>
      </c>
      <c r="M96" s="44">
        <f t="shared" si="90"/>
        <v>5333.333333333333</v>
      </c>
      <c r="N96" s="44">
        <f t="shared" si="91"/>
        <v>2085.3333333333335</v>
      </c>
    </row>
    <row r="97" spans="2:14" ht="12.75" customHeight="1" x14ac:dyDescent="0.3">
      <c r="B97" s="32"/>
      <c r="C97" s="13"/>
      <c r="D97" s="13">
        <f t="shared" si="89"/>
        <v>0</v>
      </c>
      <c r="E97" s="170">
        <f t="shared" si="85"/>
        <v>0</v>
      </c>
      <c r="F97" s="171">
        <f t="shared" si="86"/>
        <v>0</v>
      </c>
      <c r="G97" s="171"/>
      <c r="H97" s="171">
        <f t="shared" si="87"/>
        <v>0</v>
      </c>
      <c r="I97" s="33"/>
      <c r="J97" s="36">
        <f>+E97*J92/2</f>
        <v>0</v>
      </c>
      <c r="K97" s="172"/>
      <c r="L97" s="31" t="e">
        <f t="shared" si="88"/>
        <v>#DIV/0!</v>
      </c>
      <c r="M97" s="44">
        <f t="shared" si="90"/>
        <v>0</v>
      </c>
      <c r="N97" s="44">
        <f t="shared" si="91"/>
        <v>0</v>
      </c>
    </row>
    <row r="98" spans="2:14" ht="12.75" customHeight="1" x14ac:dyDescent="0.3">
      <c r="B98" s="32"/>
      <c r="C98" s="13"/>
      <c r="D98" s="13">
        <f t="shared" si="89"/>
        <v>0</v>
      </c>
      <c r="E98" s="170">
        <f t="shared" si="85"/>
        <v>0</v>
      </c>
      <c r="F98" s="171">
        <f t="shared" si="86"/>
        <v>0</v>
      </c>
      <c r="G98" s="171"/>
      <c r="H98" s="171">
        <f t="shared" si="87"/>
        <v>0</v>
      </c>
      <c r="I98" s="33"/>
      <c r="J98" s="36">
        <f>+E98*J92/2</f>
        <v>0</v>
      </c>
      <c r="K98" s="172"/>
      <c r="L98" s="31" t="e">
        <f t="shared" si="88"/>
        <v>#DIV/0!</v>
      </c>
      <c r="M98" s="44">
        <f>H98/(B98-B96)</f>
        <v>0</v>
      </c>
      <c r="N98" s="44">
        <f>(H98*0.65-I98-J98)/(B98-B96)</f>
        <v>0</v>
      </c>
    </row>
    <row r="99" spans="2:14" ht="15.75" customHeight="1" x14ac:dyDescent="0.3">
      <c r="B99" s="52"/>
      <c r="C99" s="53"/>
      <c r="D99" s="53"/>
      <c r="E99" s="53">
        <f t="shared" ref="E99:F99" si="92">SUM(E94:E98)</f>
        <v>160</v>
      </c>
      <c r="F99" s="54">
        <f t="shared" si="92"/>
        <v>160000</v>
      </c>
      <c r="G99" s="54"/>
      <c r="H99" s="54">
        <f t="shared" ref="H99:J99" si="93">SUM(H94:H98)</f>
        <v>160000</v>
      </c>
      <c r="I99" s="55">
        <f t="shared" si="93"/>
        <v>2832</v>
      </c>
      <c r="J99" s="55">
        <f t="shared" si="93"/>
        <v>32000</v>
      </c>
      <c r="K99" s="56">
        <f>+H99*0.65-I99-J99-G99</f>
        <v>69168</v>
      </c>
      <c r="L99" s="42">
        <f t="shared" si="88"/>
        <v>0.2177</v>
      </c>
      <c r="M99" s="57">
        <f>L99+L100</f>
        <v>0.65</v>
      </c>
      <c r="N99" s="5"/>
    </row>
    <row r="100" spans="2:14" ht="12.75" customHeight="1" x14ac:dyDescent="0.3">
      <c r="B100" s="58"/>
      <c r="C100" s="5"/>
      <c r="D100" s="5"/>
      <c r="E100" s="5"/>
      <c r="F100" s="5"/>
      <c r="G100" s="5"/>
      <c r="H100" s="5"/>
      <c r="I100" s="5"/>
      <c r="J100" s="29"/>
      <c r="K100" s="5"/>
      <c r="L100" s="43">
        <f>+K99/H99</f>
        <v>0.43230000000000002</v>
      </c>
      <c r="M100" s="5"/>
      <c r="N100" s="5"/>
    </row>
    <row r="101" spans="2:14" ht="12.75" customHeight="1" x14ac:dyDescent="0.3">
      <c r="B101" s="27"/>
      <c r="C101" s="5"/>
      <c r="D101" s="5"/>
      <c r="E101" s="5"/>
      <c r="F101" s="5"/>
      <c r="G101" s="23"/>
      <c r="H101" s="23"/>
      <c r="I101" s="3" t="s">
        <v>182</v>
      </c>
      <c r="J101" s="6">
        <v>400</v>
      </c>
      <c r="K101" s="26"/>
      <c r="L101" s="5"/>
      <c r="M101" s="5"/>
      <c r="N101" s="5"/>
    </row>
    <row r="102" spans="2:14" ht="12.75" customHeight="1" x14ac:dyDescent="0.3">
      <c r="B102" s="28" t="s">
        <v>142</v>
      </c>
      <c r="C102" s="8" t="s">
        <v>188</v>
      </c>
      <c r="D102" s="8" t="s">
        <v>189</v>
      </c>
      <c r="E102" s="8" t="s">
        <v>190</v>
      </c>
      <c r="F102" s="8" t="s">
        <v>145</v>
      </c>
      <c r="G102" s="8" t="s">
        <v>163</v>
      </c>
      <c r="H102" s="8" t="s">
        <v>164</v>
      </c>
      <c r="I102" s="168" t="s">
        <v>165</v>
      </c>
      <c r="J102" s="9" t="s">
        <v>166</v>
      </c>
      <c r="K102" s="9" t="s">
        <v>146</v>
      </c>
      <c r="L102" s="29" t="s">
        <v>179</v>
      </c>
      <c r="M102" s="5" t="s">
        <v>191</v>
      </c>
      <c r="N102" s="5" t="s">
        <v>192</v>
      </c>
    </row>
    <row r="103" spans="2:14" ht="12.75" customHeight="1" x14ac:dyDescent="0.3">
      <c r="B103" s="178">
        <v>45019</v>
      </c>
      <c r="C103" s="170">
        <v>3843</v>
      </c>
      <c r="D103" s="170">
        <f>C96</f>
        <v>3767</v>
      </c>
      <c r="E103" s="170">
        <f t="shared" ref="E103:E107" si="94">+C103-D103</f>
        <v>76</v>
      </c>
      <c r="F103" s="171">
        <f t="shared" ref="F103:F107" si="95">E103*1000</f>
        <v>76000</v>
      </c>
      <c r="G103" s="171"/>
      <c r="H103" s="171">
        <f t="shared" ref="H103:H105" si="96">+F103-G103</f>
        <v>76000</v>
      </c>
      <c r="I103" s="10"/>
      <c r="J103" s="36">
        <f>+E103*J101/2</f>
        <v>15200</v>
      </c>
      <c r="K103" s="172"/>
      <c r="L103" s="31">
        <f t="shared" ref="L103:L108" si="97">+(I103+J103)/H103</f>
        <v>0.2</v>
      </c>
      <c r="M103" s="44">
        <f>H103/(B103-B98)</f>
        <v>1.6881761034229992</v>
      </c>
      <c r="N103" s="44">
        <f>(H103*0.65-I103-J103)/(B103-B98)</f>
        <v>0.75967924654034968</v>
      </c>
    </row>
    <row r="104" spans="2:14" ht="12.75" customHeight="1" x14ac:dyDescent="0.3">
      <c r="B104" s="32">
        <v>45027</v>
      </c>
      <c r="C104" s="13">
        <v>3880</v>
      </c>
      <c r="D104" s="13">
        <f t="shared" ref="D104:D107" si="98">IF(B104=0,0,C103)</f>
        <v>3843</v>
      </c>
      <c r="E104" s="170">
        <f t="shared" si="94"/>
        <v>37</v>
      </c>
      <c r="F104" s="171">
        <f t="shared" si="95"/>
        <v>37000</v>
      </c>
      <c r="G104" s="171"/>
      <c r="H104" s="171">
        <f t="shared" si="96"/>
        <v>37000</v>
      </c>
      <c r="I104" s="33">
        <v>944</v>
      </c>
      <c r="J104" s="36">
        <f>+E104*J101/2</f>
        <v>7400</v>
      </c>
      <c r="K104" s="172"/>
      <c r="L104" s="31">
        <f t="shared" si="97"/>
        <v>0.22551351351351351</v>
      </c>
      <c r="M104" s="44">
        <f t="shared" ref="M104:M106" si="99">H104/(B104-B103)</f>
        <v>4625</v>
      </c>
      <c r="N104" s="44">
        <f t="shared" ref="N104:N106" si="100">(H104*0.65-I104-J104)/(B104-B103)</f>
        <v>1963.25</v>
      </c>
    </row>
    <row r="105" spans="2:14" ht="12.75" customHeight="1" x14ac:dyDescent="0.3">
      <c r="B105" s="32">
        <v>45034</v>
      </c>
      <c r="C105" s="13">
        <v>3898</v>
      </c>
      <c r="D105" s="13">
        <f t="shared" si="98"/>
        <v>3880</v>
      </c>
      <c r="E105" s="170">
        <f t="shared" si="94"/>
        <v>18</v>
      </c>
      <c r="F105" s="171">
        <f t="shared" si="95"/>
        <v>18000</v>
      </c>
      <c r="G105" s="171"/>
      <c r="H105" s="171">
        <f t="shared" si="96"/>
        <v>18000</v>
      </c>
      <c r="I105" s="33">
        <f>944*2</f>
        <v>1888</v>
      </c>
      <c r="J105" s="36">
        <f>+E105*J101/2</f>
        <v>3600</v>
      </c>
      <c r="K105" s="172"/>
      <c r="L105" s="31">
        <f t="shared" si="97"/>
        <v>0.30488888888888888</v>
      </c>
      <c r="M105" s="44">
        <f t="shared" si="99"/>
        <v>2571.4285714285716</v>
      </c>
      <c r="N105" s="44">
        <f t="shared" si="100"/>
        <v>887.42857142857144</v>
      </c>
    </row>
    <row r="106" spans="2:14" ht="12.75" customHeight="1" x14ac:dyDescent="0.3">
      <c r="B106" s="32"/>
      <c r="C106" s="13"/>
      <c r="D106" s="13">
        <f t="shared" si="98"/>
        <v>0</v>
      </c>
      <c r="E106" s="170">
        <f t="shared" si="94"/>
        <v>0</v>
      </c>
      <c r="F106" s="171">
        <f t="shared" si="95"/>
        <v>0</v>
      </c>
      <c r="G106" s="171"/>
      <c r="H106" s="171"/>
      <c r="I106" s="33"/>
      <c r="J106" s="36">
        <f>+E106*J101/2</f>
        <v>0</v>
      </c>
      <c r="K106" s="172"/>
      <c r="L106" s="31" t="e">
        <f t="shared" si="97"/>
        <v>#DIV/0!</v>
      </c>
      <c r="M106" s="44">
        <f t="shared" si="99"/>
        <v>0</v>
      </c>
      <c r="N106" s="44">
        <f t="shared" si="100"/>
        <v>0</v>
      </c>
    </row>
    <row r="107" spans="2:14" ht="12.75" customHeight="1" x14ac:dyDescent="0.3">
      <c r="B107" s="32"/>
      <c r="C107" s="13"/>
      <c r="D107" s="13">
        <f t="shared" si="98"/>
        <v>0</v>
      </c>
      <c r="E107" s="170">
        <f t="shared" si="94"/>
        <v>0</v>
      </c>
      <c r="F107" s="171">
        <f t="shared" si="95"/>
        <v>0</v>
      </c>
      <c r="G107" s="171"/>
      <c r="H107" s="171">
        <f>+F107-G107</f>
        <v>0</v>
      </c>
      <c r="I107" s="33"/>
      <c r="J107" s="36">
        <f>+E107*J101/2</f>
        <v>0</v>
      </c>
      <c r="K107" s="172"/>
      <c r="L107" s="31" t="e">
        <f t="shared" si="97"/>
        <v>#DIV/0!</v>
      </c>
      <c r="M107" s="44">
        <f>H107/(B107-B105)</f>
        <v>0</v>
      </c>
      <c r="N107" s="44">
        <f>(H107*0.65-I107-J107)/(B107-B105)</f>
        <v>0</v>
      </c>
    </row>
    <row r="108" spans="2:14" ht="12.75" customHeight="1" x14ac:dyDescent="0.3">
      <c r="B108" s="52"/>
      <c r="C108" s="53"/>
      <c r="D108" s="53"/>
      <c r="E108" s="53">
        <f t="shared" ref="E108:F108" si="101">SUM(E103:E107)</f>
        <v>131</v>
      </c>
      <c r="F108" s="54">
        <f t="shared" si="101"/>
        <v>131000</v>
      </c>
      <c r="G108" s="54"/>
      <c r="H108" s="54">
        <f t="shared" ref="H108:J108" si="102">SUM(H103:H107)</f>
        <v>131000</v>
      </c>
      <c r="I108" s="55">
        <f t="shared" si="102"/>
        <v>2832</v>
      </c>
      <c r="J108" s="55">
        <f t="shared" si="102"/>
        <v>26200</v>
      </c>
      <c r="K108" s="56">
        <f>+H108*0.65-I108-J108-G108</f>
        <v>56118</v>
      </c>
      <c r="L108" s="42">
        <f t="shared" si="97"/>
        <v>0.22161832061068704</v>
      </c>
      <c r="M108" s="57">
        <f>L108+L109</f>
        <v>0.65</v>
      </c>
      <c r="N108" s="5"/>
    </row>
    <row r="109" spans="2:14" ht="12.75" customHeight="1" x14ac:dyDescent="0.3">
      <c r="B109" s="58"/>
      <c r="C109" s="5"/>
      <c r="D109" s="5"/>
      <c r="E109" s="5"/>
      <c r="F109" s="5"/>
      <c r="G109" s="5"/>
      <c r="H109" s="5"/>
      <c r="I109" s="5"/>
      <c r="J109" s="29"/>
      <c r="K109" s="5"/>
      <c r="L109" s="43">
        <f>+K108/H108</f>
        <v>0.42838167938931299</v>
      </c>
      <c r="M109" s="5"/>
      <c r="N109" s="5"/>
    </row>
    <row r="110" spans="2:14" ht="12.75" customHeight="1" x14ac:dyDescent="0.3">
      <c r="B110" s="27"/>
      <c r="C110" s="5"/>
      <c r="D110" s="5"/>
      <c r="E110" s="5"/>
      <c r="F110" s="5"/>
      <c r="G110" s="23"/>
      <c r="H110" s="23"/>
      <c r="I110" s="3" t="s">
        <v>182</v>
      </c>
      <c r="J110" s="6">
        <v>400</v>
      </c>
      <c r="K110" s="26"/>
      <c r="L110" s="5"/>
      <c r="M110" s="5"/>
      <c r="N110" s="5"/>
    </row>
    <row r="111" spans="2:14" ht="12.75" customHeight="1" x14ac:dyDescent="0.3">
      <c r="B111" s="28" t="s">
        <v>142</v>
      </c>
      <c r="C111" s="8" t="s">
        <v>188</v>
      </c>
      <c r="D111" s="8" t="s">
        <v>189</v>
      </c>
      <c r="E111" s="8" t="s">
        <v>190</v>
      </c>
      <c r="F111" s="8" t="s">
        <v>145</v>
      </c>
      <c r="G111" s="8" t="s">
        <v>163</v>
      </c>
      <c r="H111" s="8" t="s">
        <v>164</v>
      </c>
      <c r="I111" s="168" t="s">
        <v>165</v>
      </c>
      <c r="J111" s="9" t="s">
        <v>166</v>
      </c>
      <c r="K111" s="9" t="s">
        <v>146</v>
      </c>
      <c r="L111" s="29" t="s">
        <v>179</v>
      </c>
      <c r="M111" s="5" t="s">
        <v>191</v>
      </c>
      <c r="N111" s="5" t="s">
        <v>192</v>
      </c>
    </row>
    <row r="112" spans="2:14" ht="12.75" customHeight="1" x14ac:dyDescent="0.3">
      <c r="B112" s="178">
        <v>45041</v>
      </c>
      <c r="C112" s="170">
        <v>3916</v>
      </c>
      <c r="D112" s="170">
        <f>C105</f>
        <v>3898</v>
      </c>
      <c r="E112" s="170">
        <f t="shared" ref="E112:E116" si="103">+C112-D112</f>
        <v>18</v>
      </c>
      <c r="F112" s="171">
        <f t="shared" ref="F112:F116" si="104">E112*1000</f>
        <v>18000</v>
      </c>
      <c r="G112" s="171"/>
      <c r="H112" s="171">
        <f t="shared" ref="H112:H116" si="105">+F112-G112</f>
        <v>18000</v>
      </c>
      <c r="I112" s="10"/>
      <c r="J112" s="36">
        <f>+E112*J110/2</f>
        <v>3600</v>
      </c>
      <c r="K112" s="172"/>
      <c r="L112" s="31">
        <f t="shared" ref="L112:L117" si="106">+(I112+J112)/H112</f>
        <v>0.2</v>
      </c>
      <c r="M112" s="44">
        <f>H112/(B112-B107)</f>
        <v>0.39963588730267979</v>
      </c>
      <c r="N112" s="44">
        <f>(H112*0.65-I112-J112)/(B112-B107)</f>
        <v>0.17983614928620589</v>
      </c>
    </row>
    <row r="113" spans="2:14" ht="12.75" customHeight="1" x14ac:dyDescent="0.3">
      <c r="B113" s="32">
        <v>45051</v>
      </c>
      <c r="C113" s="13">
        <v>3948</v>
      </c>
      <c r="D113" s="13">
        <f t="shared" ref="D113:D116" si="107">IF(B113=0,0,C112)</f>
        <v>3916</v>
      </c>
      <c r="E113" s="170">
        <f t="shared" si="103"/>
        <v>32</v>
      </c>
      <c r="F113" s="171">
        <f t="shared" si="104"/>
        <v>32000</v>
      </c>
      <c r="G113" s="171"/>
      <c r="H113" s="171">
        <f t="shared" si="105"/>
        <v>32000</v>
      </c>
      <c r="I113" s="33">
        <v>1888</v>
      </c>
      <c r="J113" s="36">
        <f>+E113*J110/2</f>
        <v>6400</v>
      </c>
      <c r="K113" s="172"/>
      <c r="L113" s="31">
        <f t="shared" si="106"/>
        <v>0.25900000000000001</v>
      </c>
      <c r="M113" s="44">
        <f t="shared" ref="M113:M115" si="108">H113/(B113-B112)</f>
        <v>3200</v>
      </c>
      <c r="N113" s="44">
        <f t="shared" ref="N113:N115" si="109">(H113*0.65-I113-J113)/(B113-B112)</f>
        <v>1251.2</v>
      </c>
    </row>
    <row r="114" spans="2:14" ht="12.75" customHeight="1" x14ac:dyDescent="0.3">
      <c r="B114" s="32">
        <v>45056</v>
      </c>
      <c r="C114" s="13">
        <v>3966</v>
      </c>
      <c r="D114" s="13">
        <f t="shared" si="107"/>
        <v>3948</v>
      </c>
      <c r="E114" s="170">
        <f t="shared" si="103"/>
        <v>18</v>
      </c>
      <c r="F114" s="171">
        <f t="shared" si="104"/>
        <v>18000</v>
      </c>
      <c r="G114" s="171"/>
      <c r="H114" s="171">
        <f t="shared" si="105"/>
        <v>18000</v>
      </c>
      <c r="I114" s="33">
        <v>18888</v>
      </c>
      <c r="J114" s="36">
        <f>+E114*J110/2</f>
        <v>3600</v>
      </c>
      <c r="K114" s="172"/>
      <c r="L114" s="31">
        <f t="shared" si="106"/>
        <v>1.2493333333333334</v>
      </c>
      <c r="M114" s="44">
        <f t="shared" si="108"/>
        <v>3600</v>
      </c>
      <c r="N114" s="44">
        <f t="shared" si="109"/>
        <v>-2157.6</v>
      </c>
    </row>
    <row r="115" spans="2:14" ht="12.75" customHeight="1" x14ac:dyDescent="0.3">
      <c r="B115" s="32">
        <v>45060</v>
      </c>
      <c r="C115" s="13">
        <v>3974</v>
      </c>
      <c r="D115" s="13">
        <f t="shared" si="107"/>
        <v>3966</v>
      </c>
      <c r="E115" s="170">
        <f t="shared" si="103"/>
        <v>8</v>
      </c>
      <c r="F115" s="171">
        <f t="shared" si="104"/>
        <v>8000</v>
      </c>
      <c r="G115" s="171"/>
      <c r="H115" s="171">
        <f t="shared" si="105"/>
        <v>8000</v>
      </c>
      <c r="I115" s="33">
        <v>944</v>
      </c>
      <c r="J115" s="36">
        <f>+E115*J110/2</f>
        <v>1600</v>
      </c>
      <c r="K115" s="172"/>
      <c r="L115" s="31">
        <f t="shared" si="106"/>
        <v>0.318</v>
      </c>
      <c r="M115" s="44">
        <f t="shared" si="108"/>
        <v>2000</v>
      </c>
      <c r="N115" s="44">
        <f t="shared" si="109"/>
        <v>664</v>
      </c>
    </row>
    <row r="116" spans="2:14" ht="12.75" customHeight="1" x14ac:dyDescent="0.3">
      <c r="B116" s="32">
        <v>45063</v>
      </c>
      <c r="C116" s="13">
        <v>3980</v>
      </c>
      <c r="D116" s="13">
        <f t="shared" si="107"/>
        <v>3974</v>
      </c>
      <c r="E116" s="170">
        <f t="shared" si="103"/>
        <v>6</v>
      </c>
      <c r="F116" s="171">
        <f t="shared" si="104"/>
        <v>6000</v>
      </c>
      <c r="G116" s="171"/>
      <c r="H116" s="171">
        <f t="shared" si="105"/>
        <v>6000</v>
      </c>
      <c r="I116" s="33">
        <v>1888</v>
      </c>
      <c r="J116" s="36">
        <f>+E116*J110/2</f>
        <v>1200</v>
      </c>
      <c r="K116" s="172"/>
      <c r="L116" s="31">
        <f t="shared" si="106"/>
        <v>0.51466666666666672</v>
      </c>
      <c r="M116" s="44">
        <f>H116/(B116-B114)</f>
        <v>857.14285714285711</v>
      </c>
      <c r="N116" s="44">
        <f>(H116*0.65-I116-J116)/(B116-B114)</f>
        <v>116</v>
      </c>
    </row>
    <row r="117" spans="2:14" ht="12.75" customHeight="1" x14ac:dyDescent="0.3">
      <c r="B117" s="52"/>
      <c r="C117" s="53"/>
      <c r="D117" s="53"/>
      <c r="E117" s="53">
        <f t="shared" ref="E117:F117" si="110">SUM(E112:E116)</f>
        <v>82</v>
      </c>
      <c r="F117" s="54">
        <f t="shared" si="110"/>
        <v>82000</v>
      </c>
      <c r="G117" s="54"/>
      <c r="H117" s="54">
        <f t="shared" ref="H117:J117" si="111">SUM(H112:H116)</f>
        <v>82000</v>
      </c>
      <c r="I117" s="55">
        <f t="shared" si="111"/>
        <v>23608</v>
      </c>
      <c r="J117" s="55">
        <f t="shared" si="111"/>
        <v>16400</v>
      </c>
      <c r="K117" s="56">
        <f>+H117*0.65-I117-J117-G117</f>
        <v>13292</v>
      </c>
      <c r="L117" s="42">
        <f t="shared" si="106"/>
        <v>0.48790243902439023</v>
      </c>
      <c r="M117" s="57">
        <f>L117+L118</f>
        <v>0.65</v>
      </c>
      <c r="N117" s="5"/>
    </row>
    <row r="118" spans="2:14" ht="12.75" customHeight="1" x14ac:dyDescent="0.3">
      <c r="B118" s="58"/>
      <c r="C118" s="5"/>
      <c r="D118" s="5"/>
      <c r="E118" s="5"/>
      <c r="F118" s="5"/>
      <c r="G118" s="5"/>
      <c r="H118" s="5"/>
      <c r="I118" s="5"/>
      <c r="J118" s="29"/>
      <c r="K118" s="5"/>
      <c r="L118" s="43">
        <f>+K117/H117</f>
        <v>0.16209756097560976</v>
      </c>
      <c r="M118" s="5"/>
      <c r="N118" s="5"/>
    </row>
    <row r="119" spans="2:14" ht="12.75" customHeight="1" x14ac:dyDescent="0.3">
      <c r="B119" s="27"/>
      <c r="C119" s="5"/>
      <c r="D119" s="5"/>
      <c r="E119" s="5"/>
      <c r="F119" s="5"/>
      <c r="G119" s="23"/>
      <c r="H119" s="23"/>
      <c r="I119" s="3" t="s">
        <v>182</v>
      </c>
      <c r="J119" s="6">
        <v>400</v>
      </c>
      <c r="K119" s="26"/>
      <c r="L119" s="5"/>
      <c r="M119" s="5"/>
      <c r="N119" s="5"/>
    </row>
    <row r="120" spans="2:14" ht="12.75" customHeight="1" x14ac:dyDescent="0.3">
      <c r="B120" s="28" t="s">
        <v>142</v>
      </c>
      <c r="C120" s="8" t="s">
        <v>188</v>
      </c>
      <c r="D120" s="8" t="s">
        <v>189</v>
      </c>
      <c r="E120" s="8" t="s">
        <v>190</v>
      </c>
      <c r="F120" s="8" t="s">
        <v>145</v>
      </c>
      <c r="G120" s="8" t="s">
        <v>163</v>
      </c>
      <c r="H120" s="8" t="s">
        <v>164</v>
      </c>
      <c r="I120" s="168" t="s">
        <v>165</v>
      </c>
      <c r="J120" s="9" t="s">
        <v>166</v>
      </c>
      <c r="K120" s="9" t="s">
        <v>146</v>
      </c>
      <c r="L120" s="29" t="s">
        <v>179</v>
      </c>
      <c r="M120" s="5" t="s">
        <v>191</v>
      </c>
      <c r="N120" s="5" t="s">
        <v>192</v>
      </c>
    </row>
    <row r="121" spans="2:14" ht="12.75" customHeight="1" x14ac:dyDescent="0.3">
      <c r="B121" s="178">
        <v>45070</v>
      </c>
      <c r="C121" s="170">
        <v>3990</v>
      </c>
      <c r="D121" s="170">
        <f>C116</f>
        <v>3980</v>
      </c>
      <c r="E121" s="170">
        <f t="shared" ref="E121:E125" si="112">+C121-D121</f>
        <v>10</v>
      </c>
      <c r="F121" s="171">
        <f t="shared" ref="F121:F125" si="113">E121*1000</f>
        <v>10000</v>
      </c>
      <c r="G121" s="171"/>
      <c r="H121" s="171">
        <f t="shared" ref="H121:H125" si="114">+F121-G121</f>
        <v>10000</v>
      </c>
      <c r="I121" s="10">
        <v>5400</v>
      </c>
      <c r="J121" s="36">
        <f>+E121*J119/2</f>
        <v>2000</v>
      </c>
      <c r="K121" s="172"/>
      <c r="L121" s="31">
        <f t="shared" ref="L121:L126" si="115">+(I121+J121)/H121</f>
        <v>0.74</v>
      </c>
      <c r="M121" s="44">
        <f>H121/(B121-B116)</f>
        <v>1428.5714285714287</v>
      </c>
      <c r="N121" s="44">
        <f>(H121*0.65-I121-J121)/(B121-B116)</f>
        <v>-128.57142857142858</v>
      </c>
    </row>
    <row r="122" spans="2:14" ht="12.75" customHeight="1" x14ac:dyDescent="0.3">
      <c r="B122" s="32">
        <v>45082</v>
      </c>
      <c r="C122" s="13">
        <v>4028</v>
      </c>
      <c r="D122" s="13">
        <f t="shared" ref="D122:D125" si="116">IF(B122=0,0,C121)</f>
        <v>3990</v>
      </c>
      <c r="E122" s="170">
        <f t="shared" si="112"/>
        <v>38</v>
      </c>
      <c r="F122" s="171">
        <f t="shared" si="113"/>
        <v>38000</v>
      </c>
      <c r="G122" s="171"/>
      <c r="H122" s="171">
        <f t="shared" si="114"/>
        <v>38000</v>
      </c>
      <c r="I122" s="33">
        <v>1888</v>
      </c>
      <c r="J122" s="36">
        <f>+E122*J119/2</f>
        <v>7600</v>
      </c>
      <c r="K122" s="172"/>
      <c r="L122" s="31">
        <f t="shared" si="115"/>
        <v>0.24968421052631579</v>
      </c>
      <c r="M122" s="44">
        <f t="shared" ref="M122:M124" si="117">H122/(B122-B121)</f>
        <v>3166.6666666666665</v>
      </c>
      <c r="N122" s="44">
        <f t="shared" ref="N122:N124" si="118">(H122*0.65-I122-J122)/(B122-B121)</f>
        <v>1267.6666666666667</v>
      </c>
    </row>
    <row r="123" spans="2:14" ht="12.75" customHeight="1" x14ac:dyDescent="0.3">
      <c r="B123" s="32">
        <v>45087</v>
      </c>
      <c r="C123" s="13">
        <v>4044</v>
      </c>
      <c r="D123" s="13">
        <f t="shared" si="116"/>
        <v>4028</v>
      </c>
      <c r="E123" s="170">
        <f t="shared" si="112"/>
        <v>16</v>
      </c>
      <c r="F123" s="171">
        <f t="shared" si="113"/>
        <v>16000</v>
      </c>
      <c r="G123" s="171"/>
      <c r="H123" s="171">
        <f t="shared" si="114"/>
        <v>16000</v>
      </c>
      <c r="I123" s="33">
        <v>1888</v>
      </c>
      <c r="J123" s="36">
        <f>+E123*J119/2</f>
        <v>3200</v>
      </c>
      <c r="K123" s="172"/>
      <c r="L123" s="31">
        <f t="shared" si="115"/>
        <v>0.318</v>
      </c>
      <c r="M123" s="44">
        <f t="shared" si="117"/>
        <v>3200</v>
      </c>
      <c r="N123" s="44">
        <f t="shared" si="118"/>
        <v>1062.4000000000001</v>
      </c>
    </row>
    <row r="124" spans="2:14" ht="12.75" customHeight="1" x14ac:dyDescent="0.3">
      <c r="B124" s="32">
        <v>45093</v>
      </c>
      <c r="C124" s="13">
        <v>4066</v>
      </c>
      <c r="D124" s="13">
        <f t="shared" si="116"/>
        <v>4044</v>
      </c>
      <c r="E124" s="170">
        <f t="shared" si="112"/>
        <v>22</v>
      </c>
      <c r="F124" s="171">
        <f t="shared" si="113"/>
        <v>22000</v>
      </c>
      <c r="G124" s="171"/>
      <c r="H124" s="171">
        <f t="shared" si="114"/>
        <v>22000</v>
      </c>
      <c r="I124" s="33"/>
      <c r="J124" s="36">
        <f>+E124*J119/2</f>
        <v>4400</v>
      </c>
      <c r="K124" s="172"/>
      <c r="L124" s="31">
        <f t="shared" si="115"/>
        <v>0.2</v>
      </c>
      <c r="M124" s="44">
        <f t="shared" si="117"/>
        <v>3666.6666666666665</v>
      </c>
      <c r="N124" s="44">
        <f t="shared" si="118"/>
        <v>1650</v>
      </c>
    </row>
    <row r="125" spans="2:14" ht="12.75" customHeight="1" x14ac:dyDescent="0.3">
      <c r="B125" s="32"/>
      <c r="C125" s="13"/>
      <c r="D125" s="13">
        <f t="shared" si="116"/>
        <v>0</v>
      </c>
      <c r="E125" s="170">
        <f t="shared" si="112"/>
        <v>0</v>
      </c>
      <c r="F125" s="171">
        <f t="shared" si="113"/>
        <v>0</v>
      </c>
      <c r="G125" s="171"/>
      <c r="H125" s="171">
        <f t="shared" si="114"/>
        <v>0</v>
      </c>
      <c r="I125" s="33"/>
      <c r="J125" s="36">
        <f>+E125*J119/2</f>
        <v>0</v>
      </c>
      <c r="K125" s="172"/>
      <c r="L125" s="31" t="e">
        <f t="shared" si="115"/>
        <v>#DIV/0!</v>
      </c>
      <c r="M125" s="44">
        <f>H125/(B125-B123)</f>
        <v>0</v>
      </c>
      <c r="N125" s="44">
        <f>(H125*0.65-I125-J125)/(B125-B123)</f>
        <v>0</v>
      </c>
    </row>
    <row r="126" spans="2:14" ht="12.75" customHeight="1" x14ac:dyDescent="0.3">
      <c r="B126" s="52"/>
      <c r="C126" s="53"/>
      <c r="D126" s="53"/>
      <c r="E126" s="53">
        <f t="shared" ref="E126:F126" si="119">SUM(E121:E125)</f>
        <v>86</v>
      </c>
      <c r="F126" s="54">
        <f t="shared" si="119"/>
        <v>86000</v>
      </c>
      <c r="G126" s="54"/>
      <c r="H126" s="54">
        <f t="shared" ref="H126:J126" si="120">SUM(H121:H125)</f>
        <v>86000</v>
      </c>
      <c r="I126" s="55">
        <f t="shared" si="120"/>
        <v>9176</v>
      </c>
      <c r="J126" s="55">
        <f t="shared" si="120"/>
        <v>17200</v>
      </c>
      <c r="K126" s="56">
        <f>+H126*0.65-I126-J126-G126</f>
        <v>29524</v>
      </c>
      <c r="L126" s="42">
        <f t="shared" si="115"/>
        <v>0.30669767441860463</v>
      </c>
      <c r="M126" s="57">
        <f>L126+L127</f>
        <v>0.64999999999999991</v>
      </c>
      <c r="N126" s="5"/>
    </row>
    <row r="127" spans="2:14" ht="12.75" customHeight="1" x14ac:dyDescent="0.3">
      <c r="B127" s="58"/>
      <c r="C127" s="5"/>
      <c r="D127" s="5"/>
      <c r="E127" s="5"/>
      <c r="F127" s="5"/>
      <c r="G127" s="5"/>
      <c r="H127" s="5"/>
      <c r="I127" s="5"/>
      <c r="J127" s="29"/>
      <c r="K127" s="5"/>
      <c r="L127" s="43">
        <f>+K126/H126</f>
        <v>0.34330232558139534</v>
      </c>
      <c r="M127" s="5"/>
      <c r="N127" s="5"/>
    </row>
    <row r="128" spans="2:14" ht="12.75" customHeight="1" x14ac:dyDescent="0.3">
      <c r="B128" s="27"/>
      <c r="C128" s="5"/>
      <c r="D128" s="5"/>
      <c r="E128" s="5"/>
      <c r="F128" s="5"/>
      <c r="G128" s="23"/>
      <c r="H128" s="23"/>
      <c r="I128" s="3" t="s">
        <v>182</v>
      </c>
      <c r="J128" s="6">
        <v>400</v>
      </c>
      <c r="K128" s="26"/>
      <c r="L128" s="5"/>
      <c r="M128" s="5"/>
      <c r="N128" s="5"/>
    </row>
    <row r="129" spans="2:14" ht="12.75" customHeight="1" x14ac:dyDescent="0.3">
      <c r="B129" s="28" t="s">
        <v>142</v>
      </c>
      <c r="C129" s="8" t="s">
        <v>188</v>
      </c>
      <c r="D129" s="8" t="s">
        <v>189</v>
      </c>
      <c r="E129" s="8" t="s">
        <v>190</v>
      </c>
      <c r="F129" s="8" t="s">
        <v>145</v>
      </c>
      <c r="G129" s="8" t="s">
        <v>163</v>
      </c>
      <c r="H129" s="8" t="s">
        <v>164</v>
      </c>
      <c r="I129" s="168" t="s">
        <v>165</v>
      </c>
      <c r="J129" s="9" t="s">
        <v>166</v>
      </c>
      <c r="K129" s="9" t="s">
        <v>146</v>
      </c>
      <c r="L129" s="29" t="s">
        <v>179</v>
      </c>
      <c r="M129" s="5" t="s">
        <v>191</v>
      </c>
      <c r="N129" s="5" t="s">
        <v>192</v>
      </c>
    </row>
    <row r="130" spans="2:14" ht="12.75" customHeight="1" x14ac:dyDescent="0.3">
      <c r="B130" s="178">
        <v>45101</v>
      </c>
      <c r="C130" s="170">
        <v>4084</v>
      </c>
      <c r="D130" s="170">
        <f>C124</f>
        <v>4066</v>
      </c>
      <c r="E130" s="170">
        <f t="shared" ref="E130:E134" si="121">+C130-D130</f>
        <v>18</v>
      </c>
      <c r="F130" s="171">
        <f t="shared" ref="F130:F134" si="122">E130*1000</f>
        <v>18000</v>
      </c>
      <c r="G130" s="171"/>
      <c r="H130" s="171">
        <f t="shared" ref="H130:H134" si="123">+F130-G130</f>
        <v>18000</v>
      </c>
      <c r="I130" s="10"/>
      <c r="J130" s="36">
        <f>+E130*J128/2</f>
        <v>3600</v>
      </c>
      <c r="K130" s="172"/>
      <c r="L130" s="31">
        <f t="shared" ref="L130:L135" si="124">+(I130+J130)/H130</f>
        <v>0.2</v>
      </c>
      <c r="M130" s="44">
        <f>H130/(B130-B125)</f>
        <v>0.3991042327221126</v>
      </c>
      <c r="N130" s="44">
        <f>(H130*0.65-I130-J130)/(B130-B125)</f>
        <v>0.17959690472495066</v>
      </c>
    </row>
    <row r="131" spans="2:14" ht="12.75" customHeight="1" x14ac:dyDescent="0.3">
      <c r="B131" s="32">
        <v>45109</v>
      </c>
      <c r="C131" s="13">
        <v>4116</v>
      </c>
      <c r="D131" s="13">
        <f t="shared" ref="D131:D134" si="125">IF(B131=0,0,C130)</f>
        <v>4084</v>
      </c>
      <c r="E131" s="170">
        <f t="shared" si="121"/>
        <v>32</v>
      </c>
      <c r="F131" s="171">
        <f t="shared" si="122"/>
        <v>32000</v>
      </c>
      <c r="G131" s="171"/>
      <c r="H131" s="171">
        <f t="shared" si="123"/>
        <v>32000</v>
      </c>
      <c r="I131" s="33"/>
      <c r="J131" s="36">
        <f>+E131*J128/2</f>
        <v>6400</v>
      </c>
      <c r="K131" s="172"/>
      <c r="L131" s="31">
        <f t="shared" si="124"/>
        <v>0.2</v>
      </c>
      <c r="M131" s="44">
        <f t="shared" ref="M131:M133" si="126">H131/(B131-B130)</f>
        <v>4000</v>
      </c>
      <c r="N131" s="44">
        <f t="shared" ref="N131:N133" si="127">(H131*0.65-I131-J131)/(B131-B130)</f>
        <v>1800</v>
      </c>
    </row>
    <row r="132" spans="2:14" ht="12.75" customHeight="1" x14ac:dyDescent="0.3">
      <c r="B132" s="32"/>
      <c r="C132" s="13"/>
      <c r="D132" s="13">
        <f t="shared" si="125"/>
        <v>0</v>
      </c>
      <c r="E132" s="170">
        <f t="shared" si="121"/>
        <v>0</v>
      </c>
      <c r="F132" s="171">
        <f t="shared" si="122"/>
        <v>0</v>
      </c>
      <c r="G132" s="171"/>
      <c r="H132" s="171">
        <f t="shared" si="123"/>
        <v>0</v>
      </c>
      <c r="I132" s="33"/>
      <c r="J132" s="36">
        <f>+E132*J128/2</f>
        <v>0</v>
      </c>
      <c r="K132" s="172"/>
      <c r="L132" s="31" t="e">
        <f t="shared" si="124"/>
        <v>#DIV/0!</v>
      </c>
      <c r="M132" s="44">
        <f t="shared" si="126"/>
        <v>0</v>
      </c>
      <c r="N132" s="44">
        <f t="shared" si="127"/>
        <v>0</v>
      </c>
    </row>
    <row r="133" spans="2:14" ht="12.75" customHeight="1" x14ac:dyDescent="0.3">
      <c r="B133" s="32"/>
      <c r="C133" s="13"/>
      <c r="D133" s="13">
        <f t="shared" si="125"/>
        <v>0</v>
      </c>
      <c r="E133" s="170">
        <f t="shared" si="121"/>
        <v>0</v>
      </c>
      <c r="F133" s="171">
        <f t="shared" si="122"/>
        <v>0</v>
      </c>
      <c r="G133" s="171"/>
      <c r="H133" s="171">
        <f t="shared" si="123"/>
        <v>0</v>
      </c>
      <c r="I133" s="33"/>
      <c r="J133" s="36">
        <f>+E133*J128/2</f>
        <v>0</v>
      </c>
      <c r="K133" s="172"/>
      <c r="L133" s="31" t="e">
        <f t="shared" si="124"/>
        <v>#DIV/0!</v>
      </c>
      <c r="M133" s="44" t="e">
        <f t="shared" si="126"/>
        <v>#DIV/0!</v>
      </c>
      <c r="N133" s="44" t="e">
        <f t="shared" si="127"/>
        <v>#DIV/0!</v>
      </c>
    </row>
    <row r="134" spans="2:14" ht="12.75" customHeight="1" x14ac:dyDescent="0.3">
      <c r="B134" s="32"/>
      <c r="C134" s="13"/>
      <c r="D134" s="13">
        <f t="shared" si="125"/>
        <v>0</v>
      </c>
      <c r="E134" s="170">
        <f t="shared" si="121"/>
        <v>0</v>
      </c>
      <c r="F134" s="171">
        <f t="shared" si="122"/>
        <v>0</v>
      </c>
      <c r="G134" s="171"/>
      <c r="H134" s="171">
        <f t="shared" si="123"/>
        <v>0</v>
      </c>
      <c r="I134" s="33"/>
      <c r="J134" s="36">
        <f>+E134*J128/2</f>
        <v>0</v>
      </c>
      <c r="K134" s="172"/>
      <c r="L134" s="31" t="e">
        <f t="shared" si="124"/>
        <v>#DIV/0!</v>
      </c>
      <c r="M134" s="44" t="e">
        <f>H134/(B134-B132)</f>
        <v>#DIV/0!</v>
      </c>
      <c r="N134" s="44" t="e">
        <f>(H134*0.65-I134-J134)/(B134-B132)</f>
        <v>#DIV/0!</v>
      </c>
    </row>
    <row r="135" spans="2:14" ht="12.75" customHeight="1" x14ac:dyDescent="0.3">
      <c r="B135" s="52"/>
      <c r="C135" s="53"/>
      <c r="D135" s="53"/>
      <c r="E135" s="53">
        <f t="shared" ref="E135:F135" si="128">SUM(E130:E134)</f>
        <v>50</v>
      </c>
      <c r="F135" s="54">
        <f t="shared" si="128"/>
        <v>50000</v>
      </c>
      <c r="G135" s="54"/>
      <c r="H135" s="54">
        <f t="shared" ref="H135:J135" si="129">SUM(H130:H134)</f>
        <v>50000</v>
      </c>
      <c r="I135" s="55">
        <f t="shared" si="129"/>
        <v>0</v>
      </c>
      <c r="J135" s="55">
        <f t="shared" si="129"/>
        <v>10000</v>
      </c>
      <c r="K135" s="56">
        <f>+H135*0.65-I135-J135-G135</f>
        <v>22500</v>
      </c>
      <c r="L135" s="42">
        <f t="shared" si="124"/>
        <v>0.2</v>
      </c>
      <c r="M135" s="57">
        <f>L135+L136</f>
        <v>0.65</v>
      </c>
      <c r="N135" s="5"/>
    </row>
    <row r="136" spans="2:14" ht="12.75" customHeight="1" x14ac:dyDescent="0.3">
      <c r="B136" s="58"/>
      <c r="C136" s="5"/>
      <c r="D136" s="5"/>
      <c r="E136" s="5"/>
      <c r="F136" s="5"/>
      <c r="G136" s="5"/>
      <c r="H136" s="5"/>
      <c r="I136" s="5"/>
      <c r="J136" s="29"/>
      <c r="K136" s="5"/>
      <c r="L136" s="43">
        <f>+K135/H135</f>
        <v>0.45</v>
      </c>
      <c r="M136" s="5"/>
      <c r="N136" s="5"/>
    </row>
  </sheetData>
  <phoneticPr fontId="35"/>
  <pageMargins left="0.69930555555555596" right="0.69930555555555596" top="0.75" bottom="0.75" header="0" footer="0"/>
  <pageSetup paperSize="9" scale="85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545C-C7E5-4D6F-985D-AAA9EC09D420}">
  <dimension ref="A1"/>
  <sheetViews>
    <sheetView zoomScaleNormal="100" zoomScaleSheetLayoutView="100" workbookViewId="0"/>
  </sheetViews>
  <sheetFormatPr defaultRowHeight="15" x14ac:dyDescent="0.2"/>
  <sheetData/>
  <phoneticPr fontId="35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2">
    <pageSetUpPr fitToPage="1"/>
  </sheetPr>
  <dimension ref="B1:L64"/>
  <sheetViews>
    <sheetView workbookViewId="0">
      <pane ySplit="3" topLeftCell="A44" activePane="bottomLeft" state="frozen"/>
      <selection activeCell="D81" sqref="D81"/>
      <selection pane="bottomLeft" activeCell="D81" sqref="D81"/>
    </sheetView>
  </sheetViews>
  <sheetFormatPr defaultColWidth="14.390625" defaultRowHeight="15" customHeight="1" x14ac:dyDescent="0.2"/>
  <cols>
    <col min="1" max="1" width="4.3046875" customWidth="1"/>
    <col min="2" max="2" width="8.47265625" customWidth="1"/>
    <col min="3" max="3" width="13.44921875" customWidth="1"/>
    <col min="4" max="4" width="13.046875" customWidth="1"/>
    <col min="5" max="5" width="9.28125" customWidth="1"/>
    <col min="6" max="6" width="14.125" customWidth="1"/>
    <col min="7" max="7" width="9.953125" customWidth="1"/>
    <col min="8" max="8" width="13.71875" customWidth="1"/>
    <col min="9" max="9" width="14.52734375" customWidth="1"/>
    <col min="10" max="10" width="14.66015625" customWidth="1"/>
    <col min="11" max="11" width="28.11328125" customWidth="1"/>
    <col min="12" max="12" width="11.02734375" customWidth="1"/>
    <col min="13" max="26" width="9.01171875" customWidth="1"/>
  </cols>
  <sheetData>
    <row r="1" spans="2:12" ht="15.75" customHeight="1" x14ac:dyDescent="0.35">
      <c r="B1" s="69"/>
      <c r="C1" s="845"/>
      <c r="D1" s="846"/>
      <c r="E1" s="846"/>
      <c r="F1" s="846"/>
      <c r="G1" s="69"/>
      <c r="H1" s="72"/>
      <c r="I1" s="72"/>
      <c r="J1" s="87"/>
      <c r="K1" s="123"/>
      <c r="L1" s="69"/>
    </row>
    <row r="2" spans="2:12" ht="14.25" customHeight="1" x14ac:dyDescent="0.35">
      <c r="B2" s="69"/>
      <c r="C2" s="69"/>
      <c r="D2" s="69"/>
      <c r="E2" s="69"/>
      <c r="F2" s="69"/>
      <c r="G2" s="69"/>
      <c r="H2" s="72"/>
      <c r="I2" s="72"/>
      <c r="J2" s="87"/>
      <c r="K2" s="123"/>
      <c r="L2" s="69"/>
    </row>
    <row r="3" spans="2:12" ht="25.5" customHeight="1" x14ac:dyDescent="0.35">
      <c r="B3" s="88"/>
      <c r="C3" s="604" t="s">
        <v>323</v>
      </c>
      <c r="D3" s="88"/>
      <c r="E3" s="89"/>
      <c r="F3" s="72"/>
      <c r="G3" s="70"/>
      <c r="H3" s="90"/>
      <c r="I3" s="90"/>
      <c r="J3" s="91"/>
      <c r="K3" s="92"/>
      <c r="L3" s="69"/>
    </row>
    <row r="4" spans="2:12" ht="15.75" customHeight="1" x14ac:dyDescent="0.35">
      <c r="B4" s="88"/>
      <c r="C4" s="88"/>
      <c r="D4" s="69"/>
      <c r="E4" s="89"/>
      <c r="F4" s="72"/>
      <c r="G4" s="70"/>
      <c r="H4" s="90"/>
      <c r="I4" s="90"/>
      <c r="J4" s="91"/>
      <c r="K4" s="92"/>
      <c r="L4" s="69"/>
    </row>
    <row r="5" spans="2:12" ht="18" x14ac:dyDescent="0.35">
      <c r="B5" s="72"/>
      <c r="C5" s="69"/>
      <c r="D5" s="69"/>
      <c r="E5" s="69"/>
      <c r="F5" s="69"/>
      <c r="G5" s="73"/>
      <c r="H5" s="73"/>
      <c r="I5" s="73"/>
      <c r="J5" s="109" t="s">
        <v>182</v>
      </c>
      <c r="K5" s="110"/>
      <c r="L5" s="69"/>
    </row>
    <row r="6" spans="2:12" ht="18" x14ac:dyDescent="0.35">
      <c r="B6" s="189" t="s">
        <v>214</v>
      </c>
      <c r="C6" s="181"/>
      <c r="D6" s="69"/>
      <c r="E6" s="69"/>
      <c r="F6" s="69"/>
      <c r="G6" s="73"/>
      <c r="H6" s="73"/>
      <c r="I6" s="73"/>
      <c r="J6" s="80">
        <v>473.2</v>
      </c>
      <c r="K6" s="127"/>
      <c r="L6" s="69"/>
    </row>
    <row r="7" spans="2:12" ht="21" customHeight="1" x14ac:dyDescent="0.35">
      <c r="B7" s="82" t="s">
        <v>142</v>
      </c>
      <c r="C7" s="74" t="s">
        <v>162</v>
      </c>
      <c r="D7" s="74" t="s">
        <v>143</v>
      </c>
      <c r="E7" s="74" t="s">
        <v>144</v>
      </c>
      <c r="F7" s="74" t="s">
        <v>145</v>
      </c>
      <c r="G7" s="74" t="s">
        <v>163</v>
      </c>
      <c r="H7" s="74" t="s">
        <v>164</v>
      </c>
      <c r="I7" s="159" t="s">
        <v>165</v>
      </c>
      <c r="J7" s="75" t="s">
        <v>166</v>
      </c>
      <c r="K7" s="124" t="s">
        <v>146</v>
      </c>
      <c r="L7" s="69"/>
    </row>
    <row r="8" spans="2:12" ht="18" x14ac:dyDescent="0.35">
      <c r="B8" s="182">
        <v>45057</v>
      </c>
      <c r="C8" s="183">
        <v>3035</v>
      </c>
      <c r="D8" s="183">
        <v>3035</v>
      </c>
      <c r="E8" s="183">
        <f t="shared" ref="E8:E13" si="0">+D8-C8</f>
        <v>0</v>
      </c>
      <c r="F8" s="184">
        <f t="shared" ref="F8:F13" si="1">+E8*1000</f>
        <v>0</v>
      </c>
      <c r="G8" s="184">
        <v>0</v>
      </c>
      <c r="H8" s="184">
        <f t="shared" ref="H8:H13" si="2">+F8-G8</f>
        <v>0</v>
      </c>
      <c r="I8" s="112"/>
      <c r="J8" s="186">
        <f t="shared" ref="J8:J13" si="3">+E8*$J$6/2</f>
        <v>0</v>
      </c>
      <c r="K8" s="162" t="s">
        <v>320</v>
      </c>
      <c r="L8" s="69"/>
    </row>
    <row r="9" spans="2:12" ht="18" x14ac:dyDescent="0.35">
      <c r="B9" s="113">
        <v>45064</v>
      </c>
      <c r="C9" s="114">
        <v>3035</v>
      </c>
      <c r="D9" s="114">
        <v>3053</v>
      </c>
      <c r="E9" s="183">
        <f t="shared" si="0"/>
        <v>18</v>
      </c>
      <c r="F9" s="184">
        <f t="shared" si="1"/>
        <v>18000</v>
      </c>
      <c r="G9" s="184">
        <v>0</v>
      </c>
      <c r="H9" s="184">
        <f t="shared" si="2"/>
        <v>18000</v>
      </c>
      <c r="I9" s="185"/>
      <c r="J9" s="186">
        <f t="shared" si="3"/>
        <v>4258.8</v>
      </c>
      <c r="K9" s="162"/>
      <c r="L9" s="69"/>
    </row>
    <row r="10" spans="2:12" ht="18" x14ac:dyDescent="0.35">
      <c r="B10" s="113">
        <v>45071</v>
      </c>
      <c r="C10" s="114">
        <v>3053</v>
      </c>
      <c r="D10" s="114">
        <v>3075</v>
      </c>
      <c r="E10" s="183">
        <f t="shared" si="0"/>
        <v>22</v>
      </c>
      <c r="F10" s="184">
        <f t="shared" si="1"/>
        <v>22000</v>
      </c>
      <c r="G10" s="184">
        <v>0</v>
      </c>
      <c r="H10" s="184">
        <f t="shared" si="2"/>
        <v>22000</v>
      </c>
      <c r="I10" s="185"/>
      <c r="J10" s="186">
        <f t="shared" si="3"/>
        <v>5205.2</v>
      </c>
      <c r="K10" s="162"/>
      <c r="L10" s="69"/>
    </row>
    <row r="11" spans="2:12" ht="21" customHeight="1" x14ac:dyDescent="0.35">
      <c r="B11" s="113">
        <v>45077</v>
      </c>
      <c r="C11" s="114">
        <v>3075</v>
      </c>
      <c r="D11" s="114">
        <v>3089</v>
      </c>
      <c r="E11" s="183">
        <f t="shared" si="0"/>
        <v>14</v>
      </c>
      <c r="F11" s="184">
        <f t="shared" si="1"/>
        <v>14000</v>
      </c>
      <c r="G11" s="184">
        <v>0</v>
      </c>
      <c r="H11" s="184">
        <f t="shared" si="2"/>
        <v>14000</v>
      </c>
      <c r="I11" s="185">
        <v>7430</v>
      </c>
      <c r="J11" s="186">
        <f t="shared" si="3"/>
        <v>3312.4</v>
      </c>
      <c r="K11" s="162"/>
      <c r="L11" s="77" t="s">
        <v>179</v>
      </c>
    </row>
    <row r="12" spans="2:12" ht="21" customHeight="1" x14ac:dyDescent="0.35">
      <c r="B12" s="113">
        <v>45085</v>
      </c>
      <c r="C12" s="114">
        <v>3089</v>
      </c>
      <c r="D12" s="114">
        <v>3099</v>
      </c>
      <c r="E12" s="183">
        <f t="shared" si="0"/>
        <v>10</v>
      </c>
      <c r="F12" s="184">
        <f t="shared" si="1"/>
        <v>10000</v>
      </c>
      <c r="G12" s="184">
        <v>0</v>
      </c>
      <c r="H12" s="184">
        <f t="shared" si="2"/>
        <v>10000</v>
      </c>
      <c r="I12" s="185"/>
      <c r="J12" s="186">
        <f t="shared" si="3"/>
        <v>2366</v>
      </c>
      <c r="K12" s="162"/>
      <c r="L12" s="81">
        <f>+(I14+J14)/H14</f>
        <v>0.38357916666666664</v>
      </c>
    </row>
    <row r="13" spans="2:12" ht="21" customHeight="1" x14ac:dyDescent="0.35">
      <c r="B13" s="116">
        <v>45097</v>
      </c>
      <c r="C13" s="117">
        <v>3099</v>
      </c>
      <c r="D13" s="117">
        <v>3131</v>
      </c>
      <c r="E13" s="118">
        <f t="shared" si="0"/>
        <v>32</v>
      </c>
      <c r="F13" s="119">
        <f t="shared" si="1"/>
        <v>32000</v>
      </c>
      <c r="G13" s="119">
        <v>0</v>
      </c>
      <c r="H13" s="119">
        <f t="shared" si="2"/>
        <v>32000</v>
      </c>
      <c r="I13" s="120">
        <v>6680</v>
      </c>
      <c r="J13" s="187">
        <f t="shared" si="3"/>
        <v>7571.2</v>
      </c>
      <c r="K13" s="165"/>
      <c r="L13" s="77" t="s">
        <v>180</v>
      </c>
    </row>
    <row r="14" spans="2:12" ht="18" x14ac:dyDescent="0.35">
      <c r="B14" s="121"/>
      <c r="C14" s="118"/>
      <c r="D14" s="118"/>
      <c r="E14" s="118">
        <f t="shared" ref="E14:F14" si="4">SUM(E8:E13)</f>
        <v>96</v>
      </c>
      <c r="F14" s="119">
        <f t="shared" si="4"/>
        <v>96000</v>
      </c>
      <c r="G14" s="119"/>
      <c r="H14" s="119">
        <f t="shared" ref="H14:J14" si="5">SUM(H8:H13)</f>
        <v>96000</v>
      </c>
      <c r="I14" s="122">
        <f t="shared" si="5"/>
        <v>14110</v>
      </c>
      <c r="J14" s="122">
        <f t="shared" si="5"/>
        <v>22713.599999999999</v>
      </c>
      <c r="K14" s="165">
        <f>+H14*0.6-I14-J14-G14</f>
        <v>20776.400000000001</v>
      </c>
      <c r="L14" s="79">
        <f>+K14/H14</f>
        <v>0.21642083333333334</v>
      </c>
    </row>
    <row r="15" spans="2:12" ht="18" x14ac:dyDescent="0.35">
      <c r="B15" s="72"/>
      <c r="C15" s="69"/>
      <c r="D15" s="69"/>
      <c r="E15" s="69"/>
      <c r="F15" s="69"/>
      <c r="G15" s="73"/>
      <c r="H15" s="73"/>
      <c r="I15" s="73"/>
      <c r="J15" s="109" t="s">
        <v>182</v>
      </c>
      <c r="K15" s="110"/>
      <c r="L15" s="69"/>
    </row>
    <row r="16" spans="2:12" ht="18" x14ac:dyDescent="0.35">
      <c r="B16" s="189" t="s">
        <v>214</v>
      </c>
      <c r="C16" s="181"/>
      <c r="D16" s="69"/>
      <c r="E16" s="69"/>
      <c r="F16" s="69"/>
      <c r="G16" s="73"/>
      <c r="H16" s="73"/>
      <c r="I16" s="73"/>
      <c r="J16" s="80">
        <v>473.2</v>
      </c>
      <c r="K16" s="127"/>
      <c r="L16" s="69"/>
    </row>
    <row r="17" spans="2:12" ht="21" customHeight="1" x14ac:dyDescent="0.35">
      <c r="B17" s="82" t="s">
        <v>142</v>
      </c>
      <c r="C17" s="74" t="s">
        <v>162</v>
      </c>
      <c r="D17" s="74" t="s">
        <v>143</v>
      </c>
      <c r="E17" s="74" t="s">
        <v>144</v>
      </c>
      <c r="F17" s="74" t="s">
        <v>145</v>
      </c>
      <c r="G17" s="74" t="s">
        <v>163</v>
      </c>
      <c r="H17" s="74" t="s">
        <v>164</v>
      </c>
      <c r="I17" s="159" t="s">
        <v>165</v>
      </c>
      <c r="J17" s="75" t="s">
        <v>166</v>
      </c>
      <c r="K17" s="124" t="s">
        <v>146</v>
      </c>
      <c r="L17" s="69"/>
    </row>
    <row r="18" spans="2:12" ht="18" x14ac:dyDescent="0.35">
      <c r="B18" s="182">
        <v>45105</v>
      </c>
      <c r="C18" s="183">
        <v>3131</v>
      </c>
      <c r="D18" s="183">
        <v>3157</v>
      </c>
      <c r="E18" s="183">
        <f t="shared" ref="E18:E23" si="6">+D18-C18</f>
        <v>26</v>
      </c>
      <c r="F18" s="184">
        <f t="shared" ref="F18:F23" si="7">+E18*1000</f>
        <v>26000</v>
      </c>
      <c r="G18" s="184">
        <v>0</v>
      </c>
      <c r="H18" s="184">
        <f t="shared" ref="H18:H23" si="8">+F18-G18</f>
        <v>26000</v>
      </c>
      <c r="I18" s="112"/>
      <c r="J18" s="186">
        <f t="shared" ref="J18:J23" si="9">+E18*$J$6/2</f>
        <v>6151.5999999999995</v>
      </c>
      <c r="K18" s="162"/>
      <c r="L18" s="69"/>
    </row>
    <row r="19" spans="2:12" ht="18" x14ac:dyDescent="0.35">
      <c r="B19" s="113">
        <v>45112</v>
      </c>
      <c r="C19" s="114">
        <v>3157</v>
      </c>
      <c r="D19" s="114">
        <v>3175</v>
      </c>
      <c r="E19" s="183">
        <f t="shared" si="6"/>
        <v>18</v>
      </c>
      <c r="F19" s="184">
        <f t="shared" si="7"/>
        <v>18000</v>
      </c>
      <c r="G19" s="184">
        <v>0</v>
      </c>
      <c r="H19" s="184">
        <f t="shared" si="8"/>
        <v>18000</v>
      </c>
      <c r="I19" s="185"/>
      <c r="J19" s="186">
        <f t="shared" si="9"/>
        <v>4258.8</v>
      </c>
      <c r="K19" s="162"/>
      <c r="L19" s="69"/>
    </row>
    <row r="20" spans="2:12" ht="18" x14ac:dyDescent="0.35">
      <c r="B20" s="113">
        <v>45121</v>
      </c>
      <c r="C20" s="114">
        <v>3175</v>
      </c>
      <c r="D20" s="114">
        <v>3203</v>
      </c>
      <c r="E20" s="183">
        <f t="shared" si="6"/>
        <v>28</v>
      </c>
      <c r="F20" s="184">
        <f t="shared" si="7"/>
        <v>28000</v>
      </c>
      <c r="G20" s="184">
        <v>0</v>
      </c>
      <c r="H20" s="184">
        <f t="shared" si="8"/>
        <v>28000</v>
      </c>
      <c r="I20" s="185"/>
      <c r="J20" s="186">
        <f t="shared" si="9"/>
        <v>6624.8</v>
      </c>
      <c r="K20" s="162"/>
      <c r="L20" s="69"/>
    </row>
    <row r="21" spans="2:12" ht="21" customHeight="1" x14ac:dyDescent="0.35">
      <c r="B21" s="113"/>
      <c r="C21" s="114"/>
      <c r="D21" s="114"/>
      <c r="E21" s="183">
        <f t="shared" si="6"/>
        <v>0</v>
      </c>
      <c r="F21" s="184">
        <f t="shared" si="7"/>
        <v>0</v>
      </c>
      <c r="G21" s="184">
        <v>0</v>
      </c>
      <c r="H21" s="184">
        <f t="shared" si="8"/>
        <v>0</v>
      </c>
      <c r="I21" s="185"/>
      <c r="J21" s="186">
        <f t="shared" si="9"/>
        <v>0</v>
      </c>
      <c r="K21" s="162"/>
      <c r="L21" s="77" t="s">
        <v>179</v>
      </c>
    </row>
    <row r="22" spans="2:12" ht="21" customHeight="1" x14ac:dyDescent="0.35">
      <c r="B22" s="113"/>
      <c r="C22" s="114"/>
      <c r="D22" s="114"/>
      <c r="E22" s="183">
        <f t="shared" si="6"/>
        <v>0</v>
      </c>
      <c r="F22" s="184">
        <f t="shared" si="7"/>
        <v>0</v>
      </c>
      <c r="G22" s="184">
        <v>0</v>
      </c>
      <c r="H22" s="184">
        <f t="shared" si="8"/>
        <v>0</v>
      </c>
      <c r="I22" s="185"/>
      <c r="J22" s="186">
        <f t="shared" si="9"/>
        <v>0</v>
      </c>
      <c r="K22" s="162"/>
      <c r="L22" s="81">
        <f>+(I24+J24)/H24</f>
        <v>0.2366</v>
      </c>
    </row>
    <row r="23" spans="2:12" ht="21" customHeight="1" x14ac:dyDescent="0.35">
      <c r="B23" s="116"/>
      <c r="C23" s="117"/>
      <c r="D23" s="117"/>
      <c r="E23" s="118">
        <f t="shared" si="6"/>
        <v>0</v>
      </c>
      <c r="F23" s="119">
        <f t="shared" si="7"/>
        <v>0</v>
      </c>
      <c r="G23" s="119">
        <v>0</v>
      </c>
      <c r="H23" s="119">
        <f t="shared" si="8"/>
        <v>0</v>
      </c>
      <c r="I23" s="120"/>
      <c r="J23" s="187">
        <f t="shared" si="9"/>
        <v>0</v>
      </c>
      <c r="K23" s="165"/>
      <c r="L23" s="77" t="s">
        <v>180</v>
      </c>
    </row>
    <row r="24" spans="2:12" ht="18" x14ac:dyDescent="0.35">
      <c r="B24" s="121"/>
      <c r="C24" s="118"/>
      <c r="D24" s="118"/>
      <c r="E24" s="118">
        <f t="shared" ref="E24:F24" si="10">SUM(E18:E23)</f>
        <v>72</v>
      </c>
      <c r="F24" s="119">
        <f t="shared" si="10"/>
        <v>72000</v>
      </c>
      <c r="G24" s="119"/>
      <c r="H24" s="119">
        <f t="shared" ref="H24:J24" si="11">SUM(H18:H23)</f>
        <v>72000</v>
      </c>
      <c r="I24" s="122">
        <f t="shared" si="11"/>
        <v>0</v>
      </c>
      <c r="J24" s="122">
        <f t="shared" si="11"/>
        <v>17035.2</v>
      </c>
      <c r="K24" s="165">
        <f>+H24*0.6-I24-J24-G24</f>
        <v>26164.799999999999</v>
      </c>
      <c r="L24" s="79">
        <f>+K24/H24</f>
        <v>0.3634</v>
      </c>
    </row>
    <row r="25" spans="2:12" ht="15.75" customHeight="1" x14ac:dyDescent="0.35">
      <c r="B25" s="72"/>
      <c r="C25" s="69"/>
      <c r="D25" s="69"/>
      <c r="E25" s="69"/>
      <c r="F25" s="69"/>
      <c r="G25" s="73"/>
      <c r="H25" s="73"/>
      <c r="I25" s="73"/>
      <c r="J25" s="109" t="s">
        <v>182</v>
      </c>
      <c r="K25" s="110"/>
      <c r="L25" s="69"/>
    </row>
    <row r="26" spans="2:12" ht="15.75" customHeight="1" thickBot="1" x14ac:dyDescent="0.4">
      <c r="B26" s="203" t="s">
        <v>214</v>
      </c>
      <c r="C26" s="204"/>
      <c r="D26" s="69"/>
      <c r="E26" s="69"/>
      <c r="F26" s="69"/>
      <c r="G26" s="73"/>
      <c r="H26" s="73"/>
      <c r="I26" s="73"/>
      <c r="J26" s="80">
        <v>473.2</v>
      </c>
      <c r="K26" s="127"/>
      <c r="L26" s="69"/>
    </row>
    <row r="27" spans="2:12" ht="15.75" customHeight="1" thickBot="1" x14ac:dyDescent="0.4">
      <c r="B27" s="82" t="s">
        <v>142</v>
      </c>
      <c r="C27" s="74" t="s">
        <v>162</v>
      </c>
      <c r="D27" s="74" t="s">
        <v>143</v>
      </c>
      <c r="E27" s="74" t="s">
        <v>144</v>
      </c>
      <c r="F27" s="74" t="s">
        <v>145</v>
      </c>
      <c r="G27" s="74" t="s">
        <v>163</v>
      </c>
      <c r="H27" s="74" t="s">
        <v>164</v>
      </c>
      <c r="I27" s="159" t="s">
        <v>165</v>
      </c>
      <c r="J27" s="75" t="s">
        <v>166</v>
      </c>
      <c r="K27" s="124" t="s">
        <v>146</v>
      </c>
      <c r="L27" s="69"/>
    </row>
    <row r="28" spans="2:12" ht="15.75" customHeight="1" x14ac:dyDescent="0.35">
      <c r="B28" s="113">
        <v>45138</v>
      </c>
      <c r="C28" s="114">
        <v>3203</v>
      </c>
      <c r="D28" s="114">
        <v>3243</v>
      </c>
      <c r="E28" s="183">
        <f>+D28-C28</f>
        <v>40</v>
      </c>
      <c r="F28" s="184">
        <f>+E28*1000</f>
        <v>40000</v>
      </c>
      <c r="G28" s="184">
        <v>0</v>
      </c>
      <c r="H28" s="184">
        <f>+F28-G28</f>
        <v>40000</v>
      </c>
      <c r="I28" s="185"/>
      <c r="J28" s="186">
        <f>+E28*$J$6/2</f>
        <v>9464</v>
      </c>
      <c r="K28" s="162"/>
      <c r="L28" s="69"/>
    </row>
    <row r="29" spans="2:12" ht="15.75" customHeight="1" x14ac:dyDescent="0.35">
      <c r="B29" s="113">
        <v>45154</v>
      </c>
      <c r="C29" s="114">
        <v>3243</v>
      </c>
      <c r="D29" s="114">
        <v>3289</v>
      </c>
      <c r="E29" s="183">
        <f>+D29-C29</f>
        <v>46</v>
      </c>
      <c r="F29" s="184">
        <f>+E29*1000</f>
        <v>46000</v>
      </c>
      <c r="G29" s="184">
        <v>0</v>
      </c>
      <c r="H29" s="184">
        <f>+F29-G29</f>
        <v>46000</v>
      </c>
      <c r="I29" s="185"/>
      <c r="J29" s="186">
        <f>+E29*$J$6/2</f>
        <v>10883.6</v>
      </c>
      <c r="K29" s="162"/>
      <c r="L29" s="77" t="s">
        <v>179</v>
      </c>
    </row>
    <row r="30" spans="2:12" ht="15.75" customHeight="1" x14ac:dyDescent="0.35">
      <c r="B30" s="113"/>
      <c r="C30" s="114"/>
      <c r="D30" s="114"/>
      <c r="E30" s="183">
        <f>+D30-C30</f>
        <v>0</v>
      </c>
      <c r="F30" s="184">
        <f>+E30*1000</f>
        <v>0</v>
      </c>
      <c r="G30" s="184">
        <v>0</v>
      </c>
      <c r="H30" s="184">
        <f>+F30-G30</f>
        <v>0</v>
      </c>
      <c r="I30" s="185"/>
      <c r="J30" s="186">
        <f>+E30*$J$6/2</f>
        <v>0</v>
      </c>
      <c r="K30" s="162"/>
      <c r="L30" s="81">
        <f>+(I32+J32)/H32</f>
        <v>0.23659999999999998</v>
      </c>
    </row>
    <row r="31" spans="2:12" ht="15.75" customHeight="1" thickBot="1" x14ac:dyDescent="0.4">
      <c r="B31" s="116"/>
      <c r="C31" s="117"/>
      <c r="D31" s="117"/>
      <c r="E31" s="118">
        <f>+D31-C31</f>
        <v>0</v>
      </c>
      <c r="F31" s="119">
        <f>+E31*1000</f>
        <v>0</v>
      </c>
      <c r="G31" s="119">
        <v>0</v>
      </c>
      <c r="H31" s="119">
        <f>+F31-G31</f>
        <v>0</v>
      </c>
      <c r="I31" s="120"/>
      <c r="J31" s="187">
        <f>+E31*$J$6/2</f>
        <v>0</v>
      </c>
      <c r="K31" s="165"/>
      <c r="L31" s="77" t="s">
        <v>180</v>
      </c>
    </row>
    <row r="32" spans="2:12" ht="15.75" customHeight="1" x14ac:dyDescent="0.35">
      <c r="B32" s="121"/>
      <c r="C32" s="118"/>
      <c r="D32" s="118"/>
      <c r="E32" s="118">
        <f>SUM(E28:E31)</f>
        <v>86</v>
      </c>
      <c r="F32" s="119">
        <f>SUM(F28:F31)</f>
        <v>86000</v>
      </c>
      <c r="G32" s="119"/>
      <c r="H32" s="119">
        <f>SUM(H28:H31)</f>
        <v>86000</v>
      </c>
      <c r="I32" s="122">
        <f>SUM(I28:I31)</f>
        <v>0</v>
      </c>
      <c r="J32" s="122">
        <f>SUM(J28:J31)</f>
        <v>20347.599999999999</v>
      </c>
      <c r="K32" s="165">
        <f>+H32*0.6-I32-J32-G32</f>
        <v>31252.400000000001</v>
      </c>
      <c r="L32" s="79">
        <f>+K32/H32</f>
        <v>0.3634</v>
      </c>
    </row>
    <row r="33" spans="2:12" ht="15.75" customHeight="1" x14ac:dyDescent="0.35">
      <c r="B33" s="72"/>
      <c r="C33" s="69"/>
      <c r="D33" s="69"/>
      <c r="E33" s="69"/>
      <c r="F33" s="69"/>
      <c r="G33" s="73"/>
      <c r="H33" s="73"/>
      <c r="I33" s="73"/>
      <c r="J33" s="109" t="s">
        <v>182</v>
      </c>
      <c r="K33" s="110"/>
      <c r="L33" s="69"/>
    </row>
    <row r="34" spans="2:12" ht="15.75" customHeight="1" x14ac:dyDescent="0.35">
      <c r="B34" s="203" t="s">
        <v>214</v>
      </c>
      <c r="C34" s="204"/>
      <c r="D34" s="69"/>
      <c r="E34" s="69"/>
      <c r="F34" s="69"/>
      <c r="G34" s="73"/>
      <c r="H34" s="73"/>
      <c r="I34" s="73"/>
      <c r="J34" s="80">
        <v>473.2</v>
      </c>
      <c r="K34" s="127"/>
      <c r="L34" s="69"/>
    </row>
    <row r="35" spans="2:12" ht="15.75" customHeight="1" x14ac:dyDescent="0.35">
      <c r="B35" s="82" t="s">
        <v>142</v>
      </c>
      <c r="C35" s="74" t="s">
        <v>162</v>
      </c>
      <c r="D35" s="74" t="s">
        <v>143</v>
      </c>
      <c r="E35" s="74" t="s">
        <v>144</v>
      </c>
      <c r="F35" s="74" t="s">
        <v>145</v>
      </c>
      <c r="G35" s="74" t="s">
        <v>163</v>
      </c>
      <c r="H35" s="74" t="s">
        <v>164</v>
      </c>
      <c r="I35" s="159" t="s">
        <v>165</v>
      </c>
      <c r="J35" s="75" t="s">
        <v>166</v>
      </c>
      <c r="K35" s="124" t="s">
        <v>146</v>
      </c>
      <c r="L35" s="69"/>
    </row>
    <row r="36" spans="2:12" ht="15.75" customHeight="1" x14ac:dyDescent="0.35">
      <c r="B36" s="113">
        <v>45163</v>
      </c>
      <c r="C36" s="114">
        <v>3289</v>
      </c>
      <c r="D36" s="114">
        <v>3315</v>
      </c>
      <c r="E36" s="183">
        <f>+D36-C36</f>
        <v>26</v>
      </c>
      <c r="F36" s="184">
        <f>+E36*1000</f>
        <v>26000</v>
      </c>
      <c r="G36" s="184">
        <v>0</v>
      </c>
      <c r="H36" s="184">
        <f>+F36-G36</f>
        <v>26000</v>
      </c>
      <c r="I36" s="185"/>
      <c r="J36" s="186">
        <f>+E36*$J$6/2</f>
        <v>6151.5999999999995</v>
      </c>
      <c r="K36" s="162"/>
      <c r="L36" s="69"/>
    </row>
    <row r="37" spans="2:12" ht="15.75" customHeight="1" x14ac:dyDescent="0.35">
      <c r="B37" s="113">
        <v>45175</v>
      </c>
      <c r="C37" s="114">
        <v>3315</v>
      </c>
      <c r="D37" s="114">
        <v>3347</v>
      </c>
      <c r="E37" s="183">
        <f>+D37-C37</f>
        <v>32</v>
      </c>
      <c r="F37" s="184">
        <f>+E37*1000</f>
        <v>32000</v>
      </c>
      <c r="G37" s="184">
        <v>0</v>
      </c>
      <c r="H37" s="184">
        <f>+F37-G37</f>
        <v>32000</v>
      </c>
      <c r="I37" s="185"/>
      <c r="J37" s="186">
        <f>+E37*$J$6/2</f>
        <v>7571.2</v>
      </c>
      <c r="K37" s="162"/>
      <c r="L37" s="77" t="s">
        <v>179</v>
      </c>
    </row>
    <row r="38" spans="2:12" ht="15.75" customHeight="1" x14ac:dyDescent="0.35">
      <c r="B38" s="113">
        <v>45188</v>
      </c>
      <c r="C38" s="114">
        <v>3347</v>
      </c>
      <c r="D38" s="114">
        <v>3371</v>
      </c>
      <c r="E38" s="183">
        <f>+D38-C38</f>
        <v>24</v>
      </c>
      <c r="F38" s="184">
        <f>+E38*1000</f>
        <v>24000</v>
      </c>
      <c r="G38" s="184">
        <v>0</v>
      </c>
      <c r="H38" s="184">
        <f>+F38-G38</f>
        <v>24000</v>
      </c>
      <c r="I38" s="185"/>
      <c r="J38" s="186">
        <f>+E38*$J$6/2</f>
        <v>5678.4</v>
      </c>
      <c r="K38" s="162"/>
      <c r="L38" s="81">
        <f>+(I40+J40)/H40</f>
        <v>0.23659999999999998</v>
      </c>
    </row>
    <row r="39" spans="2:12" ht="15.75" customHeight="1" x14ac:dyDescent="0.35">
      <c r="B39" s="116"/>
      <c r="C39" s="117"/>
      <c r="D39" s="117"/>
      <c r="E39" s="118">
        <f>+D39-C39</f>
        <v>0</v>
      </c>
      <c r="F39" s="119">
        <f>+E39*1000</f>
        <v>0</v>
      </c>
      <c r="G39" s="119">
        <v>0</v>
      </c>
      <c r="H39" s="119">
        <f>+F39-G39</f>
        <v>0</v>
      </c>
      <c r="I39" s="120"/>
      <c r="J39" s="187">
        <f>+E39*$J$6/2</f>
        <v>0</v>
      </c>
      <c r="K39" s="165"/>
      <c r="L39" s="77" t="s">
        <v>180</v>
      </c>
    </row>
    <row r="40" spans="2:12" ht="15.75" customHeight="1" x14ac:dyDescent="0.35">
      <c r="B40" s="121"/>
      <c r="C40" s="118"/>
      <c r="D40" s="118"/>
      <c r="E40" s="118">
        <f>SUM(E36:E39)</f>
        <v>82</v>
      </c>
      <c r="F40" s="119">
        <f>SUM(F36:F39)</f>
        <v>82000</v>
      </c>
      <c r="G40" s="119"/>
      <c r="H40" s="119">
        <f>SUM(H36:H39)</f>
        <v>82000</v>
      </c>
      <c r="I40" s="122">
        <f>SUM(I36:I39)</f>
        <v>0</v>
      </c>
      <c r="J40" s="122">
        <f>SUM(J36:J39)</f>
        <v>19401.199999999997</v>
      </c>
      <c r="K40" s="165">
        <f>+H40*0.6-I40-J40-G40</f>
        <v>29798.800000000003</v>
      </c>
      <c r="L40" s="79">
        <f>+K40/H40</f>
        <v>0.36340000000000006</v>
      </c>
    </row>
    <row r="41" spans="2:12" ht="15.75" customHeight="1" x14ac:dyDescent="0.35">
      <c r="B41" s="72"/>
      <c r="C41" s="69"/>
      <c r="D41" s="69"/>
      <c r="E41" s="69"/>
      <c r="F41" s="69"/>
      <c r="G41" s="73"/>
      <c r="H41" s="73"/>
      <c r="I41" s="73"/>
      <c r="J41" s="109" t="s">
        <v>182</v>
      </c>
      <c r="K41" s="110"/>
      <c r="L41" s="69"/>
    </row>
    <row r="42" spans="2:12" ht="15.75" customHeight="1" x14ac:dyDescent="0.35">
      <c r="B42" s="203" t="s">
        <v>214</v>
      </c>
      <c r="C42" s="204"/>
      <c r="D42" s="69"/>
      <c r="E42" s="69"/>
      <c r="F42" s="69"/>
      <c r="G42" s="73"/>
      <c r="H42" s="73"/>
      <c r="I42" s="73"/>
      <c r="J42" s="80">
        <v>473.2</v>
      </c>
      <c r="K42" s="127"/>
      <c r="L42" s="69"/>
    </row>
    <row r="43" spans="2:12" ht="15.75" customHeight="1" x14ac:dyDescent="0.35">
      <c r="B43" s="82" t="s">
        <v>142</v>
      </c>
      <c r="C43" s="74" t="s">
        <v>162</v>
      </c>
      <c r="D43" s="74" t="s">
        <v>143</v>
      </c>
      <c r="E43" s="74" t="s">
        <v>144</v>
      </c>
      <c r="F43" s="74" t="s">
        <v>145</v>
      </c>
      <c r="G43" s="74" t="s">
        <v>163</v>
      </c>
      <c r="H43" s="74" t="s">
        <v>164</v>
      </c>
      <c r="I43" s="159" t="s">
        <v>165</v>
      </c>
      <c r="J43" s="75" t="s">
        <v>166</v>
      </c>
      <c r="K43" s="124" t="s">
        <v>146</v>
      </c>
      <c r="L43" s="69"/>
    </row>
    <row r="44" spans="2:12" ht="15.75" customHeight="1" x14ac:dyDescent="0.35">
      <c r="B44" s="113">
        <v>45195</v>
      </c>
      <c r="C44" s="114">
        <v>3371</v>
      </c>
      <c r="D44" s="114">
        <v>3391</v>
      </c>
      <c r="E44" s="183">
        <f>+D44-C44</f>
        <v>20</v>
      </c>
      <c r="F44" s="184">
        <f>+E44*1000</f>
        <v>20000</v>
      </c>
      <c r="G44" s="184">
        <v>0</v>
      </c>
      <c r="H44" s="184">
        <f>+F44-G44</f>
        <v>20000</v>
      </c>
      <c r="I44" s="185"/>
      <c r="J44" s="186">
        <f>+E44*$J$6/2</f>
        <v>4732</v>
      </c>
      <c r="K44" s="162"/>
      <c r="L44" s="69"/>
    </row>
    <row r="45" spans="2:12" ht="15.75" customHeight="1" x14ac:dyDescent="0.35">
      <c r="B45" s="113">
        <v>45209</v>
      </c>
      <c r="C45" s="114">
        <v>3391</v>
      </c>
      <c r="D45" s="114">
        <v>3403</v>
      </c>
      <c r="E45" s="183">
        <f>+D45-C45</f>
        <v>12</v>
      </c>
      <c r="F45" s="184">
        <f>+E45*1000</f>
        <v>12000</v>
      </c>
      <c r="G45" s="184">
        <v>0</v>
      </c>
      <c r="H45" s="184">
        <f>+F45-G45</f>
        <v>12000</v>
      </c>
      <c r="I45" s="185"/>
      <c r="J45" s="186">
        <f>+E45*$J$6/2</f>
        <v>2839.2</v>
      </c>
      <c r="K45" s="162"/>
      <c r="L45" s="77" t="s">
        <v>179</v>
      </c>
    </row>
    <row r="46" spans="2:12" ht="15.75" customHeight="1" x14ac:dyDescent="0.35">
      <c r="B46" s="113">
        <v>45218</v>
      </c>
      <c r="C46" s="114">
        <v>3403</v>
      </c>
      <c r="D46" s="114">
        <v>3419</v>
      </c>
      <c r="E46" s="183">
        <f>+D46-C46</f>
        <v>16</v>
      </c>
      <c r="F46" s="184">
        <f>+E46*1000</f>
        <v>16000</v>
      </c>
      <c r="G46" s="184">
        <v>0</v>
      </c>
      <c r="H46" s="184">
        <f>+F46-G46</f>
        <v>16000</v>
      </c>
      <c r="I46" s="185"/>
      <c r="J46" s="186">
        <f>+E46*$J$6/2</f>
        <v>3785.6</v>
      </c>
      <c r="K46" s="162"/>
      <c r="L46" s="81">
        <f>+(I48+J48)/H48</f>
        <v>0.23659999999999998</v>
      </c>
    </row>
    <row r="47" spans="2:12" ht="15.75" customHeight="1" x14ac:dyDescent="0.35">
      <c r="B47" s="116"/>
      <c r="C47" s="117"/>
      <c r="D47" s="117"/>
      <c r="E47" s="118">
        <f>+D47-C47</f>
        <v>0</v>
      </c>
      <c r="F47" s="119">
        <f>+E47*1000</f>
        <v>0</v>
      </c>
      <c r="G47" s="119">
        <v>0</v>
      </c>
      <c r="H47" s="119">
        <f>+F47-G47</f>
        <v>0</v>
      </c>
      <c r="I47" s="120"/>
      <c r="J47" s="187">
        <f>+E47*$J$6/2</f>
        <v>0</v>
      </c>
      <c r="K47" s="165"/>
      <c r="L47" s="77" t="s">
        <v>180</v>
      </c>
    </row>
    <row r="48" spans="2:12" ht="15.75" customHeight="1" x14ac:dyDescent="0.35">
      <c r="B48" s="121"/>
      <c r="C48" s="118"/>
      <c r="D48" s="118"/>
      <c r="E48" s="118">
        <f>SUM(E44:E47)</f>
        <v>48</v>
      </c>
      <c r="F48" s="119">
        <f>SUM(F44:F47)</f>
        <v>48000</v>
      </c>
      <c r="G48" s="119"/>
      <c r="H48" s="119">
        <f>SUM(H44:H47)</f>
        <v>48000</v>
      </c>
      <c r="I48" s="122">
        <f>SUM(I44:I47)</f>
        <v>0</v>
      </c>
      <c r="J48" s="122">
        <f>SUM(J44:J47)</f>
        <v>11356.8</v>
      </c>
      <c r="K48" s="165">
        <f>+H48*0.6-I48-J48-G48</f>
        <v>17443.2</v>
      </c>
      <c r="L48" s="79">
        <f>+K48/H48</f>
        <v>0.3634</v>
      </c>
    </row>
    <row r="49" spans="2:12" ht="15.75" customHeight="1" x14ac:dyDescent="0.35">
      <c r="B49" s="72"/>
      <c r="C49" s="69"/>
      <c r="D49" s="69"/>
      <c r="E49" s="69"/>
      <c r="F49" s="69"/>
      <c r="G49" s="73"/>
      <c r="H49" s="73"/>
      <c r="I49" s="73"/>
      <c r="J49" s="109" t="s">
        <v>182</v>
      </c>
      <c r="K49" s="110"/>
      <c r="L49" s="69"/>
    </row>
    <row r="50" spans="2:12" ht="15.75" customHeight="1" x14ac:dyDescent="0.35">
      <c r="B50" s="203" t="s">
        <v>214</v>
      </c>
      <c r="C50" s="204"/>
      <c r="D50" s="69"/>
      <c r="E50" s="69"/>
      <c r="F50" s="69"/>
      <c r="G50" s="73"/>
      <c r="H50" s="73"/>
      <c r="I50" s="73"/>
      <c r="J50" s="80">
        <v>473.2</v>
      </c>
      <c r="K50" s="127"/>
      <c r="L50" s="69"/>
    </row>
    <row r="51" spans="2:12" ht="15.75" customHeight="1" x14ac:dyDescent="0.35">
      <c r="B51" s="82" t="s">
        <v>142</v>
      </c>
      <c r="C51" s="74" t="s">
        <v>162</v>
      </c>
      <c r="D51" s="74" t="s">
        <v>143</v>
      </c>
      <c r="E51" s="74" t="s">
        <v>144</v>
      </c>
      <c r="F51" s="74" t="s">
        <v>145</v>
      </c>
      <c r="G51" s="74" t="s">
        <v>163</v>
      </c>
      <c r="H51" s="74" t="s">
        <v>164</v>
      </c>
      <c r="I51" s="159" t="s">
        <v>165</v>
      </c>
      <c r="J51" s="75" t="s">
        <v>166</v>
      </c>
      <c r="K51" s="124" t="s">
        <v>146</v>
      </c>
      <c r="L51" s="69"/>
    </row>
    <row r="52" spans="2:12" ht="15.75" customHeight="1" x14ac:dyDescent="0.35">
      <c r="B52" s="113">
        <v>45231</v>
      </c>
      <c r="C52" s="114">
        <v>3419</v>
      </c>
      <c r="D52" s="114">
        <v>3449</v>
      </c>
      <c r="E52" s="183">
        <f>+D52-C52</f>
        <v>30</v>
      </c>
      <c r="F52" s="184">
        <f>+E52*1000</f>
        <v>30000</v>
      </c>
      <c r="G52" s="184">
        <v>0</v>
      </c>
      <c r="H52" s="184">
        <f>+F52-G52</f>
        <v>30000</v>
      </c>
      <c r="I52" s="185"/>
      <c r="J52" s="186">
        <f>+E52*$J$6/2</f>
        <v>7098</v>
      </c>
      <c r="K52" s="162"/>
      <c r="L52" s="69"/>
    </row>
    <row r="53" spans="2:12" ht="15.75" customHeight="1" x14ac:dyDescent="0.35">
      <c r="B53" s="113">
        <v>45246</v>
      </c>
      <c r="C53" s="114">
        <v>3449</v>
      </c>
      <c r="D53" s="114">
        <v>3467</v>
      </c>
      <c r="E53" s="183">
        <f>+D53-C53</f>
        <v>18</v>
      </c>
      <c r="F53" s="184">
        <f>+E53*1000</f>
        <v>18000</v>
      </c>
      <c r="G53" s="184">
        <v>0</v>
      </c>
      <c r="H53" s="184">
        <f>+F53-G53</f>
        <v>18000</v>
      </c>
      <c r="I53" s="185"/>
      <c r="J53" s="186">
        <f>+E53*$J$6/2</f>
        <v>4258.8</v>
      </c>
      <c r="K53" s="162"/>
      <c r="L53" s="77" t="s">
        <v>179</v>
      </c>
    </row>
    <row r="54" spans="2:12" ht="15.75" customHeight="1" x14ac:dyDescent="0.35">
      <c r="B54" s="113"/>
      <c r="C54" s="114"/>
      <c r="D54" s="114"/>
      <c r="E54" s="183">
        <f>+D54-C54</f>
        <v>0</v>
      </c>
      <c r="F54" s="184">
        <f>+E54*1000</f>
        <v>0</v>
      </c>
      <c r="G54" s="184">
        <v>0</v>
      </c>
      <c r="H54" s="184">
        <f>+F54-G54</f>
        <v>0</v>
      </c>
      <c r="I54" s="185"/>
      <c r="J54" s="186">
        <f>+E54*$J$6/2</f>
        <v>0</v>
      </c>
      <c r="K54" s="162"/>
      <c r="L54" s="81">
        <f>+(I56+J56)/H56</f>
        <v>0.23659999999999998</v>
      </c>
    </row>
    <row r="55" spans="2:12" ht="15.75" customHeight="1" x14ac:dyDescent="0.35">
      <c r="B55" s="116"/>
      <c r="C55" s="117"/>
      <c r="D55" s="117"/>
      <c r="E55" s="118">
        <f>+D55-C55</f>
        <v>0</v>
      </c>
      <c r="F55" s="119">
        <f>+E55*1000</f>
        <v>0</v>
      </c>
      <c r="G55" s="119">
        <v>0</v>
      </c>
      <c r="H55" s="119">
        <f>+F55-G55</f>
        <v>0</v>
      </c>
      <c r="I55" s="120"/>
      <c r="J55" s="187">
        <f>+E55*$J$6/2</f>
        <v>0</v>
      </c>
      <c r="K55" s="165"/>
      <c r="L55" s="77" t="s">
        <v>180</v>
      </c>
    </row>
    <row r="56" spans="2:12" ht="15.75" customHeight="1" x14ac:dyDescent="0.35">
      <c r="B56" s="121"/>
      <c r="C56" s="118"/>
      <c r="D56" s="118"/>
      <c r="E56" s="118">
        <f>SUM(E52:E55)</f>
        <v>48</v>
      </c>
      <c r="F56" s="119">
        <f>SUM(F52:F55)</f>
        <v>48000</v>
      </c>
      <c r="G56" s="119"/>
      <c r="H56" s="119">
        <f>SUM(H52:H55)</f>
        <v>48000</v>
      </c>
      <c r="I56" s="122">
        <f>SUM(I52:I55)</f>
        <v>0</v>
      </c>
      <c r="J56" s="122">
        <f>SUM(J52:J55)</f>
        <v>11356.8</v>
      </c>
      <c r="K56" s="165">
        <f>+H56*0.6-I56-J56-G56</f>
        <v>17443.2</v>
      </c>
      <c r="L56" s="79">
        <f>+K56/H56</f>
        <v>0.3634</v>
      </c>
    </row>
    <row r="57" spans="2:12" ht="15.75" customHeight="1" x14ac:dyDescent="0.35">
      <c r="B57" s="72"/>
      <c r="C57" s="69"/>
      <c r="D57" s="69"/>
      <c r="E57" s="69"/>
      <c r="F57" s="69"/>
      <c r="G57" s="73"/>
      <c r="H57" s="73"/>
      <c r="I57" s="73"/>
      <c r="J57" s="109" t="s">
        <v>182</v>
      </c>
      <c r="K57" s="110"/>
      <c r="L57" s="69"/>
    </row>
    <row r="58" spans="2:12" ht="15.75" customHeight="1" x14ac:dyDescent="0.35">
      <c r="B58" s="203" t="s">
        <v>214</v>
      </c>
      <c r="C58" s="204"/>
      <c r="D58" s="69"/>
      <c r="E58" s="69"/>
      <c r="F58" s="69"/>
      <c r="G58" s="73"/>
      <c r="H58" s="73"/>
      <c r="I58" s="73"/>
      <c r="J58" s="80">
        <v>473.2</v>
      </c>
      <c r="K58" s="127"/>
      <c r="L58" s="69"/>
    </row>
    <row r="59" spans="2:12" ht="15.75" customHeight="1" x14ac:dyDescent="0.35">
      <c r="B59" s="82" t="s">
        <v>142</v>
      </c>
      <c r="C59" s="74" t="s">
        <v>162</v>
      </c>
      <c r="D59" s="74" t="s">
        <v>143</v>
      </c>
      <c r="E59" s="74" t="s">
        <v>144</v>
      </c>
      <c r="F59" s="74" t="s">
        <v>145</v>
      </c>
      <c r="G59" s="74" t="s">
        <v>163</v>
      </c>
      <c r="H59" s="74" t="s">
        <v>164</v>
      </c>
      <c r="I59" s="159" t="s">
        <v>165</v>
      </c>
      <c r="J59" s="75" t="s">
        <v>166</v>
      </c>
      <c r="K59" s="124" t="s">
        <v>146</v>
      </c>
      <c r="L59" s="69"/>
    </row>
    <row r="60" spans="2:12" ht="15.75" customHeight="1" x14ac:dyDescent="0.35">
      <c r="B60" s="113">
        <v>45260</v>
      </c>
      <c r="C60" s="114">
        <v>3467</v>
      </c>
      <c r="D60" s="114">
        <v>3477</v>
      </c>
      <c r="E60" s="183">
        <f>+D60-C60</f>
        <v>10</v>
      </c>
      <c r="F60" s="184">
        <f>+E60*1000</f>
        <v>10000</v>
      </c>
      <c r="G60" s="184">
        <v>0</v>
      </c>
      <c r="H60" s="184">
        <f>+F60-G60</f>
        <v>10000</v>
      </c>
      <c r="I60" s="185"/>
      <c r="J60" s="186">
        <f>+E60*$J$6/2</f>
        <v>2366</v>
      </c>
      <c r="K60" s="162"/>
      <c r="L60" s="69"/>
    </row>
    <row r="61" spans="2:12" ht="15.75" customHeight="1" x14ac:dyDescent="0.35">
      <c r="B61" s="113">
        <v>45279</v>
      </c>
      <c r="C61" s="114">
        <v>3477</v>
      </c>
      <c r="D61" s="114">
        <v>3549</v>
      </c>
      <c r="E61" s="183">
        <f>+D61-C61</f>
        <v>72</v>
      </c>
      <c r="F61" s="184">
        <f>+E61*1000</f>
        <v>72000</v>
      </c>
      <c r="G61" s="184">
        <v>0</v>
      </c>
      <c r="H61" s="184">
        <f>+F61-G61</f>
        <v>72000</v>
      </c>
      <c r="I61" s="185"/>
      <c r="J61" s="186">
        <f>+E61*$J$6/2</f>
        <v>17035.2</v>
      </c>
      <c r="K61" s="162"/>
      <c r="L61" s="77" t="s">
        <v>179</v>
      </c>
    </row>
    <row r="62" spans="2:12" ht="15.75" customHeight="1" x14ac:dyDescent="0.35">
      <c r="B62" s="113"/>
      <c r="C62" s="114"/>
      <c r="D62" s="114"/>
      <c r="E62" s="183">
        <f>+D62-C62</f>
        <v>0</v>
      </c>
      <c r="F62" s="184">
        <f>+E62*1000</f>
        <v>0</v>
      </c>
      <c r="G62" s="184">
        <v>0</v>
      </c>
      <c r="H62" s="184">
        <f>+F62-G62</f>
        <v>0</v>
      </c>
      <c r="I62" s="185"/>
      <c r="J62" s="186">
        <f>+E62*$J$6/2</f>
        <v>0</v>
      </c>
      <c r="K62" s="162"/>
      <c r="L62" s="81">
        <f>+(I64+J64)/H64</f>
        <v>0.2366</v>
      </c>
    </row>
    <row r="63" spans="2:12" ht="15.75" customHeight="1" x14ac:dyDescent="0.35">
      <c r="B63" s="116"/>
      <c r="C63" s="117"/>
      <c r="D63" s="117"/>
      <c r="E63" s="118">
        <f>+D63-C63</f>
        <v>0</v>
      </c>
      <c r="F63" s="119">
        <f>+E63*1000</f>
        <v>0</v>
      </c>
      <c r="G63" s="119">
        <v>0</v>
      </c>
      <c r="H63" s="119">
        <f>+F63-G63</f>
        <v>0</v>
      </c>
      <c r="I63" s="120"/>
      <c r="J63" s="187">
        <f>+E63*$J$6/2</f>
        <v>0</v>
      </c>
      <c r="K63" s="165"/>
      <c r="L63" s="77" t="s">
        <v>180</v>
      </c>
    </row>
    <row r="64" spans="2:12" ht="15.75" customHeight="1" x14ac:dyDescent="0.35">
      <c r="B64" s="121"/>
      <c r="C64" s="118"/>
      <c r="D64" s="118"/>
      <c r="E64" s="118">
        <f>SUM(E60:E63)</f>
        <v>82</v>
      </c>
      <c r="F64" s="119">
        <f>SUM(F60:F63)</f>
        <v>82000</v>
      </c>
      <c r="G64" s="119"/>
      <c r="H64" s="119">
        <f>SUM(H60:H63)</f>
        <v>82000</v>
      </c>
      <c r="I64" s="122">
        <f>SUM(I60:I63)</f>
        <v>0</v>
      </c>
      <c r="J64" s="122">
        <f>SUM(J60:J63)</f>
        <v>19401.2</v>
      </c>
      <c r="K64" s="165">
        <f>+H64*0.6-I64-J64-G64</f>
        <v>29798.799999999999</v>
      </c>
      <c r="L64" s="79">
        <f>+K64/H64</f>
        <v>0.3634</v>
      </c>
    </row>
  </sheetData>
  <mergeCells count="1">
    <mergeCell ref="C1:F1"/>
  </mergeCells>
  <phoneticPr fontId="35"/>
  <pageMargins left="0.69930555555555596" right="0.69930555555555596" top="0.75" bottom="0.75" header="0" footer="0"/>
  <pageSetup paperSize="9" scale="84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0">
    <pageSetUpPr fitToPage="1"/>
  </sheetPr>
  <dimension ref="B1:L84"/>
  <sheetViews>
    <sheetView workbookViewId="0">
      <pane ySplit="3" topLeftCell="A68" activePane="bottomLeft" state="frozen"/>
      <selection pane="bottomLeft" activeCell="J98" sqref="J98"/>
    </sheetView>
  </sheetViews>
  <sheetFormatPr defaultColWidth="14.390625" defaultRowHeight="15" customHeight="1" x14ac:dyDescent="0.2"/>
  <cols>
    <col min="1" max="1" width="4.3046875" customWidth="1"/>
    <col min="2" max="2" width="8.47265625" customWidth="1"/>
    <col min="3" max="3" width="13.44921875" customWidth="1"/>
    <col min="4" max="4" width="13.046875" customWidth="1"/>
    <col min="5" max="5" width="9.28125" customWidth="1"/>
    <col min="6" max="6" width="14.125" customWidth="1"/>
    <col min="7" max="7" width="9.953125" customWidth="1"/>
    <col min="8" max="8" width="13.71875" customWidth="1"/>
    <col min="9" max="9" width="14.52734375" customWidth="1"/>
    <col min="10" max="10" width="14.66015625" customWidth="1"/>
    <col min="11" max="11" width="28.11328125" customWidth="1"/>
    <col min="12" max="12" width="11.02734375" customWidth="1"/>
    <col min="13" max="26" width="9.01171875" customWidth="1"/>
  </cols>
  <sheetData>
    <row r="1" spans="2:12" ht="15.75" customHeight="1" x14ac:dyDescent="0.35">
      <c r="B1" s="69"/>
      <c r="C1" s="845"/>
      <c r="D1" s="846"/>
      <c r="E1" s="846"/>
      <c r="F1" s="846"/>
      <c r="G1" s="69"/>
      <c r="H1" s="72"/>
      <c r="I1" s="72"/>
      <c r="J1" s="87"/>
      <c r="K1" s="123"/>
      <c r="L1" s="69"/>
    </row>
    <row r="2" spans="2:12" ht="14.25" customHeight="1" x14ac:dyDescent="0.35">
      <c r="B2" s="69"/>
      <c r="C2" s="69"/>
      <c r="D2" s="69"/>
      <c r="E2" s="69"/>
      <c r="F2" s="69"/>
      <c r="G2" s="69"/>
      <c r="H2" s="72"/>
      <c r="I2" s="72"/>
      <c r="J2" s="87"/>
      <c r="K2" s="123"/>
      <c r="L2" s="69"/>
    </row>
    <row r="3" spans="2:12" ht="25.5" customHeight="1" x14ac:dyDescent="0.35">
      <c r="B3" s="88"/>
      <c r="C3" s="604" t="s">
        <v>319</v>
      </c>
      <c r="D3" s="88"/>
      <c r="E3" s="89"/>
      <c r="F3" s="72"/>
      <c r="G3" s="70"/>
      <c r="H3" s="90"/>
      <c r="I3" s="90"/>
      <c r="J3" s="91"/>
      <c r="K3" s="92"/>
      <c r="L3" s="69"/>
    </row>
    <row r="4" spans="2:12" ht="15.75" customHeight="1" x14ac:dyDescent="0.35">
      <c r="B4" s="88"/>
      <c r="C4" s="88"/>
      <c r="D4" s="69"/>
      <c r="E4" s="89"/>
      <c r="F4" s="72"/>
      <c r="G4" s="70"/>
      <c r="H4" s="90"/>
      <c r="I4" s="90"/>
      <c r="J4" s="91"/>
      <c r="K4" s="92"/>
      <c r="L4" s="69"/>
    </row>
    <row r="5" spans="2:12" ht="18" x14ac:dyDescent="0.35">
      <c r="B5" s="72"/>
      <c r="C5" s="69"/>
      <c r="D5" s="69"/>
      <c r="E5" s="69"/>
      <c r="F5" s="69"/>
      <c r="G5" s="73"/>
      <c r="H5" s="73"/>
      <c r="I5" s="73"/>
      <c r="J5" s="109" t="s">
        <v>182</v>
      </c>
      <c r="K5" s="110"/>
      <c r="L5" s="69"/>
    </row>
    <row r="6" spans="2:12" ht="18" x14ac:dyDescent="0.35">
      <c r="B6" s="189" t="s">
        <v>214</v>
      </c>
      <c r="C6" s="181"/>
      <c r="D6" s="69"/>
      <c r="E6" s="69"/>
      <c r="F6" s="69"/>
      <c r="G6" s="73"/>
      <c r="H6" s="73"/>
      <c r="I6" s="73"/>
      <c r="J6" s="80">
        <v>473.2</v>
      </c>
      <c r="K6" s="127"/>
      <c r="L6" s="69"/>
    </row>
    <row r="7" spans="2:12" ht="21" customHeight="1" x14ac:dyDescent="0.35">
      <c r="B7" s="82" t="s">
        <v>142</v>
      </c>
      <c r="C7" s="74" t="s">
        <v>162</v>
      </c>
      <c r="D7" s="74" t="s">
        <v>143</v>
      </c>
      <c r="E7" s="74" t="s">
        <v>144</v>
      </c>
      <c r="F7" s="74" t="s">
        <v>145</v>
      </c>
      <c r="G7" s="74" t="s">
        <v>163</v>
      </c>
      <c r="H7" s="74" t="s">
        <v>164</v>
      </c>
      <c r="I7" s="159" t="s">
        <v>165</v>
      </c>
      <c r="J7" s="75" t="s">
        <v>166</v>
      </c>
      <c r="K7" s="124" t="s">
        <v>146</v>
      </c>
      <c r="L7" s="69"/>
    </row>
    <row r="8" spans="2:12" ht="18" x14ac:dyDescent="0.35">
      <c r="B8" s="182">
        <v>45029</v>
      </c>
      <c r="C8" s="183">
        <v>2158</v>
      </c>
      <c r="D8" s="183">
        <v>2158</v>
      </c>
      <c r="E8" s="183">
        <f t="shared" ref="E8:E13" si="0">+D8-C8</f>
        <v>0</v>
      </c>
      <c r="F8" s="184">
        <f t="shared" ref="F8:F13" si="1">+E8*1000</f>
        <v>0</v>
      </c>
      <c r="G8" s="184">
        <v>0</v>
      </c>
      <c r="H8" s="184">
        <f t="shared" ref="H8:H13" si="2">+F8-G8</f>
        <v>0</v>
      </c>
      <c r="I8" s="112"/>
      <c r="J8" s="186">
        <f t="shared" ref="J8:J13" si="3">+E8*$J$6/2</f>
        <v>0</v>
      </c>
      <c r="K8" s="162" t="s">
        <v>320</v>
      </c>
      <c r="L8" s="69"/>
    </row>
    <row r="9" spans="2:12" ht="18" x14ac:dyDescent="0.35">
      <c r="B9" s="113">
        <v>45036</v>
      </c>
      <c r="C9" s="114">
        <v>2158</v>
      </c>
      <c r="D9" s="114">
        <v>2202</v>
      </c>
      <c r="E9" s="183">
        <f t="shared" si="0"/>
        <v>44</v>
      </c>
      <c r="F9" s="184">
        <f t="shared" si="1"/>
        <v>44000</v>
      </c>
      <c r="G9" s="184">
        <v>0</v>
      </c>
      <c r="H9" s="184">
        <f t="shared" si="2"/>
        <v>44000</v>
      </c>
      <c r="I9" s="185">
        <v>1970</v>
      </c>
      <c r="J9" s="186">
        <f t="shared" si="3"/>
        <v>10410.4</v>
      </c>
      <c r="K9" s="162"/>
      <c r="L9" s="69"/>
    </row>
    <row r="10" spans="2:12" ht="18" x14ac:dyDescent="0.35">
      <c r="B10" s="113"/>
      <c r="C10" s="114"/>
      <c r="D10" s="114"/>
      <c r="E10" s="183">
        <f t="shared" si="0"/>
        <v>0</v>
      </c>
      <c r="F10" s="184">
        <f t="shared" si="1"/>
        <v>0</v>
      </c>
      <c r="G10" s="184">
        <v>0</v>
      </c>
      <c r="H10" s="184">
        <f t="shared" si="2"/>
        <v>0</v>
      </c>
      <c r="I10" s="185"/>
      <c r="J10" s="186">
        <f t="shared" si="3"/>
        <v>0</v>
      </c>
      <c r="K10" s="162"/>
      <c r="L10" s="69"/>
    </row>
    <row r="11" spans="2:12" ht="21" customHeight="1" x14ac:dyDescent="0.35">
      <c r="B11" s="113"/>
      <c r="C11" s="114"/>
      <c r="D11" s="114"/>
      <c r="E11" s="183">
        <f t="shared" si="0"/>
        <v>0</v>
      </c>
      <c r="F11" s="184">
        <f t="shared" si="1"/>
        <v>0</v>
      </c>
      <c r="G11" s="184">
        <v>0</v>
      </c>
      <c r="H11" s="184">
        <f t="shared" si="2"/>
        <v>0</v>
      </c>
      <c r="I11" s="185"/>
      <c r="J11" s="186">
        <f t="shared" si="3"/>
        <v>0</v>
      </c>
      <c r="K11" s="162"/>
      <c r="L11" s="77" t="s">
        <v>179</v>
      </c>
    </row>
    <row r="12" spans="2:12" ht="21" customHeight="1" x14ac:dyDescent="0.35">
      <c r="B12" s="113"/>
      <c r="C12" s="114"/>
      <c r="D12" s="114"/>
      <c r="E12" s="183">
        <f t="shared" si="0"/>
        <v>0</v>
      </c>
      <c r="F12" s="184">
        <f t="shared" si="1"/>
        <v>0</v>
      </c>
      <c r="G12" s="184">
        <v>0</v>
      </c>
      <c r="H12" s="184">
        <f t="shared" si="2"/>
        <v>0</v>
      </c>
      <c r="I12" s="185"/>
      <c r="J12" s="186">
        <f t="shared" si="3"/>
        <v>0</v>
      </c>
      <c r="K12" s="162"/>
      <c r="L12" s="81">
        <f>+(I14+J14)/H14</f>
        <v>0.28137272727272727</v>
      </c>
    </row>
    <row r="13" spans="2:12" ht="21" customHeight="1" x14ac:dyDescent="0.35">
      <c r="B13" s="116"/>
      <c r="C13" s="117"/>
      <c r="D13" s="117"/>
      <c r="E13" s="118">
        <f t="shared" si="0"/>
        <v>0</v>
      </c>
      <c r="F13" s="119">
        <f t="shared" si="1"/>
        <v>0</v>
      </c>
      <c r="G13" s="119">
        <v>0</v>
      </c>
      <c r="H13" s="119">
        <f t="shared" si="2"/>
        <v>0</v>
      </c>
      <c r="I13" s="120"/>
      <c r="J13" s="187">
        <f t="shared" si="3"/>
        <v>0</v>
      </c>
      <c r="K13" s="165"/>
      <c r="L13" s="77" t="s">
        <v>180</v>
      </c>
    </row>
    <row r="14" spans="2:12" ht="18" x14ac:dyDescent="0.35">
      <c r="B14" s="121"/>
      <c r="C14" s="118"/>
      <c r="D14" s="118"/>
      <c r="E14" s="118">
        <f t="shared" ref="E14:F14" si="4">SUM(E8:E13)</f>
        <v>44</v>
      </c>
      <c r="F14" s="119">
        <f t="shared" si="4"/>
        <v>44000</v>
      </c>
      <c r="G14" s="119"/>
      <c r="H14" s="119">
        <f t="shared" ref="H14:J14" si="5">SUM(H8:H13)</f>
        <v>44000</v>
      </c>
      <c r="I14" s="122">
        <f t="shared" si="5"/>
        <v>1970</v>
      </c>
      <c r="J14" s="122">
        <f t="shared" si="5"/>
        <v>10410.4</v>
      </c>
      <c r="K14" s="165">
        <f>+H14*0.6-I14-J14-G14</f>
        <v>14019.6</v>
      </c>
      <c r="L14" s="79">
        <f>+K14/H14</f>
        <v>0.31862727272727276</v>
      </c>
    </row>
    <row r="15" spans="2:12" ht="18" x14ac:dyDescent="0.35">
      <c r="B15" s="72"/>
      <c r="C15" s="69"/>
      <c r="D15" s="69"/>
      <c r="E15" s="69"/>
      <c r="F15" s="69"/>
      <c r="G15" s="73"/>
      <c r="H15" s="73"/>
      <c r="I15" s="73"/>
      <c r="J15" s="109" t="s">
        <v>182</v>
      </c>
      <c r="K15" s="110"/>
      <c r="L15" s="69"/>
    </row>
    <row r="16" spans="2:12" ht="18" x14ac:dyDescent="0.35">
      <c r="B16" s="189" t="s">
        <v>214</v>
      </c>
      <c r="C16" s="181"/>
      <c r="D16" s="69"/>
      <c r="E16" s="69"/>
      <c r="F16" s="69"/>
      <c r="G16" s="73"/>
      <c r="H16" s="73"/>
      <c r="I16" s="73"/>
      <c r="J16" s="80">
        <v>473.2</v>
      </c>
      <c r="K16" s="127"/>
      <c r="L16" s="69"/>
    </row>
    <row r="17" spans="2:12" ht="21" customHeight="1" x14ac:dyDescent="0.35">
      <c r="B17" s="82" t="s">
        <v>142</v>
      </c>
      <c r="C17" s="74" t="s">
        <v>162</v>
      </c>
      <c r="D17" s="74" t="s">
        <v>143</v>
      </c>
      <c r="E17" s="74" t="s">
        <v>144</v>
      </c>
      <c r="F17" s="74" t="s">
        <v>145</v>
      </c>
      <c r="G17" s="74" t="s">
        <v>163</v>
      </c>
      <c r="H17" s="74" t="s">
        <v>164</v>
      </c>
      <c r="I17" s="159" t="s">
        <v>165</v>
      </c>
      <c r="J17" s="75" t="s">
        <v>166</v>
      </c>
      <c r="K17" s="124" t="s">
        <v>146</v>
      </c>
      <c r="L17" s="69"/>
    </row>
    <row r="18" spans="2:12" ht="18" x14ac:dyDescent="0.35">
      <c r="B18" s="182">
        <v>45043</v>
      </c>
      <c r="C18" s="183">
        <v>2202</v>
      </c>
      <c r="D18" s="183">
        <v>2238</v>
      </c>
      <c r="E18" s="183">
        <f t="shared" ref="E18:E23" si="6">+D18-C18</f>
        <v>36</v>
      </c>
      <c r="F18" s="184">
        <f t="shared" ref="F18:F23" si="7">+E18*1000</f>
        <v>36000</v>
      </c>
      <c r="G18" s="184">
        <v>0</v>
      </c>
      <c r="H18" s="184">
        <f t="shared" ref="H18:H23" si="8">+F18-G18</f>
        <v>36000</v>
      </c>
      <c r="I18" s="112">
        <v>1990</v>
      </c>
      <c r="J18" s="186">
        <f t="shared" ref="J18:J23" si="9">+E18*$J$6/2</f>
        <v>8517.6</v>
      </c>
      <c r="K18" s="162"/>
      <c r="L18" s="69"/>
    </row>
    <row r="19" spans="2:12" ht="18" x14ac:dyDescent="0.35">
      <c r="B19" s="113">
        <v>45050</v>
      </c>
      <c r="C19" s="114">
        <v>2238</v>
      </c>
      <c r="D19" s="114">
        <v>2360</v>
      </c>
      <c r="E19" s="183">
        <f t="shared" si="6"/>
        <v>122</v>
      </c>
      <c r="F19" s="184">
        <f t="shared" si="7"/>
        <v>122000</v>
      </c>
      <c r="G19" s="184">
        <v>0</v>
      </c>
      <c r="H19" s="184">
        <f t="shared" si="8"/>
        <v>122000</v>
      </c>
      <c r="I19" s="185">
        <v>21980</v>
      </c>
      <c r="J19" s="186">
        <f t="shared" si="9"/>
        <v>28865.200000000001</v>
      </c>
      <c r="K19" s="162"/>
      <c r="L19" s="69"/>
    </row>
    <row r="20" spans="2:12" ht="18" x14ac:dyDescent="0.35">
      <c r="B20" s="113">
        <v>45057</v>
      </c>
      <c r="C20" s="114">
        <v>2360</v>
      </c>
      <c r="D20" s="114">
        <v>2452</v>
      </c>
      <c r="E20" s="183">
        <f t="shared" si="6"/>
        <v>92</v>
      </c>
      <c r="F20" s="184">
        <f t="shared" si="7"/>
        <v>92000</v>
      </c>
      <c r="G20" s="184">
        <v>0</v>
      </c>
      <c r="H20" s="184">
        <f t="shared" si="8"/>
        <v>92000</v>
      </c>
      <c r="I20" s="185">
        <v>6490</v>
      </c>
      <c r="J20" s="186">
        <f t="shared" si="9"/>
        <v>21767.200000000001</v>
      </c>
      <c r="K20" s="162"/>
      <c r="L20" s="69"/>
    </row>
    <row r="21" spans="2:12" ht="21" customHeight="1" x14ac:dyDescent="0.35">
      <c r="B21" s="113">
        <v>45066</v>
      </c>
      <c r="C21" s="114">
        <v>2452</v>
      </c>
      <c r="D21" s="114">
        <v>2534</v>
      </c>
      <c r="E21" s="183">
        <f t="shared" si="6"/>
        <v>82</v>
      </c>
      <c r="F21" s="184">
        <f t="shared" si="7"/>
        <v>82000</v>
      </c>
      <c r="G21" s="184">
        <v>0</v>
      </c>
      <c r="H21" s="184">
        <f t="shared" si="8"/>
        <v>82000</v>
      </c>
      <c r="I21" s="185">
        <v>2210</v>
      </c>
      <c r="J21" s="186">
        <f t="shared" si="9"/>
        <v>19401.2</v>
      </c>
      <c r="K21" s="162"/>
      <c r="L21" s="77" t="s">
        <v>179</v>
      </c>
    </row>
    <row r="22" spans="2:12" ht="21" customHeight="1" x14ac:dyDescent="0.35">
      <c r="B22" s="113"/>
      <c r="C22" s="114"/>
      <c r="D22" s="114"/>
      <c r="E22" s="183">
        <f t="shared" si="6"/>
        <v>0</v>
      </c>
      <c r="F22" s="184">
        <f t="shared" si="7"/>
        <v>0</v>
      </c>
      <c r="G22" s="184">
        <v>0</v>
      </c>
      <c r="H22" s="184">
        <f t="shared" si="8"/>
        <v>0</v>
      </c>
      <c r="I22" s="185"/>
      <c r="J22" s="186">
        <f t="shared" si="9"/>
        <v>0</v>
      </c>
      <c r="K22" s="162"/>
      <c r="L22" s="81">
        <f>+(I24+J24)/H24</f>
        <v>0.33500361445783133</v>
      </c>
    </row>
    <row r="23" spans="2:12" ht="21" customHeight="1" x14ac:dyDescent="0.35">
      <c r="B23" s="116"/>
      <c r="C23" s="117"/>
      <c r="D23" s="117"/>
      <c r="E23" s="118">
        <f t="shared" si="6"/>
        <v>0</v>
      </c>
      <c r="F23" s="119">
        <f t="shared" si="7"/>
        <v>0</v>
      </c>
      <c r="G23" s="119">
        <v>0</v>
      </c>
      <c r="H23" s="119">
        <f t="shared" si="8"/>
        <v>0</v>
      </c>
      <c r="I23" s="120"/>
      <c r="J23" s="187">
        <f t="shared" si="9"/>
        <v>0</v>
      </c>
      <c r="K23" s="165"/>
      <c r="L23" s="77" t="s">
        <v>180</v>
      </c>
    </row>
    <row r="24" spans="2:12" ht="18" x14ac:dyDescent="0.35">
      <c r="B24" s="121"/>
      <c r="C24" s="118"/>
      <c r="D24" s="118"/>
      <c r="E24" s="118">
        <f t="shared" ref="E24:F24" si="10">SUM(E18:E23)</f>
        <v>332</v>
      </c>
      <c r="F24" s="119">
        <f t="shared" si="10"/>
        <v>332000</v>
      </c>
      <c r="G24" s="119"/>
      <c r="H24" s="119">
        <f t="shared" ref="H24:J24" si="11">SUM(H18:H23)</f>
        <v>332000</v>
      </c>
      <c r="I24" s="122">
        <f t="shared" si="11"/>
        <v>32670</v>
      </c>
      <c r="J24" s="122">
        <f t="shared" si="11"/>
        <v>78551.199999999997</v>
      </c>
      <c r="K24" s="165">
        <f>+H24*0.6-I24-J24-G24</f>
        <v>87978.8</v>
      </c>
      <c r="L24" s="79">
        <f>+K24/H24</f>
        <v>0.2649963855421687</v>
      </c>
    </row>
    <row r="25" spans="2:12" ht="18" x14ac:dyDescent="0.35">
      <c r="B25" s="72"/>
      <c r="C25" s="69"/>
      <c r="D25" s="69"/>
      <c r="E25" s="69"/>
      <c r="F25" s="69"/>
      <c r="G25" s="73"/>
      <c r="H25" s="73"/>
      <c r="I25" s="73"/>
      <c r="J25" s="109" t="s">
        <v>182</v>
      </c>
      <c r="K25" s="110"/>
      <c r="L25" s="69"/>
    </row>
    <row r="26" spans="2:12" ht="18" x14ac:dyDescent="0.35">
      <c r="B26" s="189" t="s">
        <v>214</v>
      </c>
      <c r="C26" s="181"/>
      <c r="D26" s="69"/>
      <c r="E26" s="69"/>
      <c r="F26" s="69"/>
      <c r="G26" s="73"/>
      <c r="H26" s="73"/>
      <c r="I26" s="73"/>
      <c r="J26" s="80">
        <v>473.2</v>
      </c>
      <c r="K26" s="127"/>
      <c r="L26" s="69"/>
    </row>
    <row r="27" spans="2:12" ht="21" customHeight="1" x14ac:dyDescent="0.35">
      <c r="B27" s="82" t="s">
        <v>142</v>
      </c>
      <c r="C27" s="74" t="s">
        <v>162</v>
      </c>
      <c r="D27" s="74" t="s">
        <v>143</v>
      </c>
      <c r="E27" s="74" t="s">
        <v>144</v>
      </c>
      <c r="F27" s="74" t="s">
        <v>145</v>
      </c>
      <c r="G27" s="74" t="s">
        <v>163</v>
      </c>
      <c r="H27" s="74" t="s">
        <v>164</v>
      </c>
      <c r="I27" s="159" t="s">
        <v>165</v>
      </c>
      <c r="J27" s="75" t="s">
        <v>166</v>
      </c>
      <c r="K27" s="124" t="s">
        <v>146</v>
      </c>
      <c r="L27" s="69"/>
    </row>
    <row r="28" spans="2:12" ht="18" x14ac:dyDescent="0.35">
      <c r="B28" s="182">
        <v>45071</v>
      </c>
      <c r="C28" s="183">
        <v>2534</v>
      </c>
      <c r="D28" s="183">
        <v>2580</v>
      </c>
      <c r="E28" s="183">
        <f t="shared" ref="E28:E33" si="12">+D28-C28</f>
        <v>46</v>
      </c>
      <c r="F28" s="184">
        <f t="shared" ref="F28:F33" si="13">+E28*1000</f>
        <v>46000</v>
      </c>
      <c r="G28" s="184">
        <v>0</v>
      </c>
      <c r="H28" s="184">
        <f t="shared" ref="H28:H33" si="14">+F28-G28</f>
        <v>46000</v>
      </c>
      <c r="I28" s="112">
        <v>1050</v>
      </c>
      <c r="J28" s="186">
        <f t="shared" ref="J28:J33" si="15">+E28*$J$6/2</f>
        <v>10883.6</v>
      </c>
      <c r="K28" s="162"/>
      <c r="L28" s="69"/>
    </row>
    <row r="29" spans="2:12" ht="18" x14ac:dyDescent="0.35">
      <c r="B29" s="113">
        <v>45077</v>
      </c>
      <c r="C29" s="114">
        <v>2580</v>
      </c>
      <c r="D29" s="114">
        <v>2628</v>
      </c>
      <c r="E29" s="183">
        <f t="shared" si="12"/>
        <v>48</v>
      </c>
      <c r="F29" s="184">
        <f t="shared" si="13"/>
        <v>48000</v>
      </c>
      <c r="G29" s="184">
        <v>0</v>
      </c>
      <c r="H29" s="184">
        <f t="shared" si="14"/>
        <v>48000</v>
      </c>
      <c r="I29" s="185">
        <v>9800</v>
      </c>
      <c r="J29" s="186">
        <f t="shared" si="15"/>
        <v>11356.8</v>
      </c>
      <c r="K29" s="162"/>
      <c r="L29" s="69"/>
    </row>
    <row r="30" spans="2:12" ht="18" x14ac:dyDescent="0.35">
      <c r="B30" s="113">
        <v>45085</v>
      </c>
      <c r="C30" s="114">
        <v>2628</v>
      </c>
      <c r="D30" s="114">
        <v>2672</v>
      </c>
      <c r="E30" s="183">
        <f t="shared" si="12"/>
        <v>44</v>
      </c>
      <c r="F30" s="184">
        <f t="shared" si="13"/>
        <v>44000</v>
      </c>
      <c r="G30" s="184">
        <v>0</v>
      </c>
      <c r="H30" s="184">
        <f t="shared" si="14"/>
        <v>44000</v>
      </c>
      <c r="I30" s="185"/>
      <c r="J30" s="186">
        <f t="shared" si="15"/>
        <v>10410.4</v>
      </c>
      <c r="K30" s="162"/>
      <c r="L30" s="69"/>
    </row>
    <row r="31" spans="2:12" ht="21" customHeight="1" x14ac:dyDescent="0.35">
      <c r="B31" s="113">
        <v>45097</v>
      </c>
      <c r="C31" s="114">
        <v>2672</v>
      </c>
      <c r="D31" s="114">
        <v>2768</v>
      </c>
      <c r="E31" s="183">
        <f t="shared" si="12"/>
        <v>96</v>
      </c>
      <c r="F31" s="184">
        <f t="shared" si="13"/>
        <v>96000</v>
      </c>
      <c r="G31" s="184">
        <v>0</v>
      </c>
      <c r="H31" s="184">
        <f t="shared" si="14"/>
        <v>96000</v>
      </c>
      <c r="I31" s="185">
        <v>25800</v>
      </c>
      <c r="J31" s="186">
        <f t="shared" si="15"/>
        <v>22713.599999999999</v>
      </c>
      <c r="K31" s="162"/>
      <c r="L31" s="77" t="s">
        <v>179</v>
      </c>
    </row>
    <row r="32" spans="2:12" ht="21" customHeight="1" x14ac:dyDescent="0.35">
      <c r="B32" s="113"/>
      <c r="C32" s="114"/>
      <c r="D32" s="114"/>
      <c r="E32" s="183">
        <f t="shared" si="12"/>
        <v>0</v>
      </c>
      <c r="F32" s="184">
        <f t="shared" si="13"/>
        <v>0</v>
      </c>
      <c r="G32" s="184">
        <v>0</v>
      </c>
      <c r="H32" s="184">
        <f t="shared" si="14"/>
        <v>0</v>
      </c>
      <c r="I32" s="185"/>
      <c r="J32" s="186">
        <f t="shared" si="15"/>
        <v>0</v>
      </c>
      <c r="K32" s="162"/>
      <c r="L32" s="81">
        <f>+(I34+J34)/H34</f>
        <v>0.3932239316239316</v>
      </c>
    </row>
    <row r="33" spans="2:12" ht="21" customHeight="1" x14ac:dyDescent="0.35">
      <c r="B33" s="116"/>
      <c r="C33" s="117"/>
      <c r="D33" s="117"/>
      <c r="E33" s="118">
        <f t="shared" si="12"/>
        <v>0</v>
      </c>
      <c r="F33" s="119">
        <f t="shared" si="13"/>
        <v>0</v>
      </c>
      <c r="G33" s="119">
        <v>0</v>
      </c>
      <c r="H33" s="119">
        <f t="shared" si="14"/>
        <v>0</v>
      </c>
      <c r="I33" s="120"/>
      <c r="J33" s="187">
        <f t="shared" si="15"/>
        <v>0</v>
      </c>
      <c r="K33" s="165"/>
      <c r="L33" s="77" t="s">
        <v>180</v>
      </c>
    </row>
    <row r="34" spans="2:12" ht="18" x14ac:dyDescent="0.35">
      <c r="B34" s="121"/>
      <c r="C34" s="118"/>
      <c r="D34" s="118"/>
      <c r="E34" s="118">
        <f t="shared" ref="E34:F34" si="16">SUM(E28:E33)</f>
        <v>234</v>
      </c>
      <c r="F34" s="119">
        <f t="shared" si="16"/>
        <v>234000</v>
      </c>
      <c r="G34" s="119"/>
      <c r="H34" s="119">
        <f t="shared" ref="H34:J34" si="17">SUM(H28:H33)</f>
        <v>234000</v>
      </c>
      <c r="I34" s="122">
        <f t="shared" si="17"/>
        <v>36650</v>
      </c>
      <c r="J34" s="122">
        <f t="shared" si="17"/>
        <v>55364.4</v>
      </c>
      <c r="K34" s="165">
        <f>+H34*0.6-I34-J34-G34</f>
        <v>48385.599999999999</v>
      </c>
      <c r="L34" s="79">
        <f>+K34/H34</f>
        <v>0.20677606837606838</v>
      </c>
    </row>
    <row r="35" spans="2:12" ht="18" x14ac:dyDescent="0.35">
      <c r="B35" s="72"/>
      <c r="C35" s="69"/>
      <c r="D35" s="69"/>
      <c r="E35" s="69"/>
      <c r="F35" s="69"/>
      <c r="G35" s="73"/>
      <c r="H35" s="73"/>
      <c r="I35" s="73"/>
      <c r="J35" s="109" t="s">
        <v>182</v>
      </c>
      <c r="K35" s="110"/>
      <c r="L35" s="69"/>
    </row>
    <row r="36" spans="2:12" ht="18" x14ac:dyDescent="0.35">
      <c r="B36" s="189" t="s">
        <v>214</v>
      </c>
      <c r="C36" s="181"/>
      <c r="D36" s="69"/>
      <c r="E36" s="69"/>
      <c r="F36" s="69"/>
      <c r="G36" s="73"/>
      <c r="H36" s="73"/>
      <c r="I36" s="73"/>
      <c r="J36" s="80">
        <v>473.2</v>
      </c>
      <c r="K36" s="127"/>
      <c r="L36" s="69"/>
    </row>
    <row r="37" spans="2:12" ht="21" customHeight="1" x14ac:dyDescent="0.35">
      <c r="B37" s="82" t="s">
        <v>142</v>
      </c>
      <c r="C37" s="74" t="s">
        <v>162</v>
      </c>
      <c r="D37" s="74" t="s">
        <v>143</v>
      </c>
      <c r="E37" s="74" t="s">
        <v>144</v>
      </c>
      <c r="F37" s="74" t="s">
        <v>145</v>
      </c>
      <c r="G37" s="74" t="s">
        <v>163</v>
      </c>
      <c r="H37" s="74" t="s">
        <v>164</v>
      </c>
      <c r="I37" s="159" t="s">
        <v>165</v>
      </c>
      <c r="J37" s="75" t="s">
        <v>166</v>
      </c>
      <c r="K37" s="124" t="s">
        <v>146</v>
      </c>
      <c r="L37" s="69"/>
    </row>
    <row r="38" spans="2:12" ht="18" x14ac:dyDescent="0.35">
      <c r="B38" s="182">
        <v>45105</v>
      </c>
      <c r="C38" s="183">
        <v>2768</v>
      </c>
      <c r="D38" s="183">
        <v>2822</v>
      </c>
      <c r="E38" s="183">
        <f t="shared" ref="E38:E43" si="18">+D38-C38</f>
        <v>54</v>
      </c>
      <c r="F38" s="184">
        <f t="shared" ref="F38:F43" si="19">+E38*1000</f>
        <v>54000</v>
      </c>
      <c r="G38" s="184">
        <v>0</v>
      </c>
      <c r="H38" s="184">
        <f t="shared" ref="H38:H43" si="20">+F38-G38</f>
        <v>54000</v>
      </c>
      <c r="I38" s="112"/>
      <c r="J38" s="186">
        <f t="shared" ref="J38:J43" si="21">+E38*$J$6/2</f>
        <v>12776.4</v>
      </c>
      <c r="K38" s="162"/>
      <c r="L38" s="69"/>
    </row>
    <row r="39" spans="2:12" ht="18" x14ac:dyDescent="0.35">
      <c r="B39" s="113">
        <v>45112</v>
      </c>
      <c r="C39" s="114">
        <v>2822</v>
      </c>
      <c r="D39" s="114">
        <v>2882</v>
      </c>
      <c r="E39" s="183">
        <f t="shared" si="18"/>
        <v>60</v>
      </c>
      <c r="F39" s="184">
        <f t="shared" si="19"/>
        <v>60000</v>
      </c>
      <c r="G39" s="184">
        <v>0</v>
      </c>
      <c r="H39" s="184">
        <f t="shared" si="20"/>
        <v>60000</v>
      </c>
      <c r="I39" s="185"/>
      <c r="J39" s="186">
        <f t="shared" si="21"/>
        <v>14196</v>
      </c>
      <c r="K39" s="162"/>
      <c r="L39" s="69"/>
    </row>
    <row r="40" spans="2:12" ht="18" x14ac:dyDescent="0.35">
      <c r="B40" s="113">
        <v>45121</v>
      </c>
      <c r="C40" s="114">
        <v>2882</v>
      </c>
      <c r="D40" s="114">
        <v>2946</v>
      </c>
      <c r="E40" s="183">
        <f t="shared" si="18"/>
        <v>64</v>
      </c>
      <c r="F40" s="184">
        <f t="shared" si="19"/>
        <v>64000</v>
      </c>
      <c r="G40" s="184">
        <v>0</v>
      </c>
      <c r="H40" s="184">
        <f t="shared" si="20"/>
        <v>64000</v>
      </c>
      <c r="I40" s="185"/>
      <c r="J40" s="186">
        <f t="shared" si="21"/>
        <v>15142.4</v>
      </c>
      <c r="K40" s="162"/>
      <c r="L40" s="69"/>
    </row>
    <row r="41" spans="2:12" ht="21" customHeight="1" x14ac:dyDescent="0.35">
      <c r="B41" s="113"/>
      <c r="C41" s="114"/>
      <c r="D41" s="114"/>
      <c r="E41" s="183">
        <f t="shared" si="18"/>
        <v>0</v>
      </c>
      <c r="F41" s="184">
        <f t="shared" si="19"/>
        <v>0</v>
      </c>
      <c r="G41" s="184">
        <v>0</v>
      </c>
      <c r="H41" s="184">
        <f t="shared" si="20"/>
        <v>0</v>
      </c>
      <c r="I41" s="185"/>
      <c r="J41" s="186">
        <f t="shared" si="21"/>
        <v>0</v>
      </c>
      <c r="K41" s="162"/>
      <c r="L41" s="77" t="s">
        <v>179</v>
      </c>
    </row>
    <row r="42" spans="2:12" ht="21" customHeight="1" x14ac:dyDescent="0.35">
      <c r="B42" s="113"/>
      <c r="C42" s="114"/>
      <c r="D42" s="114"/>
      <c r="E42" s="183">
        <f t="shared" si="18"/>
        <v>0</v>
      </c>
      <c r="F42" s="184">
        <f t="shared" si="19"/>
        <v>0</v>
      </c>
      <c r="G42" s="184">
        <v>0</v>
      </c>
      <c r="H42" s="184">
        <f t="shared" si="20"/>
        <v>0</v>
      </c>
      <c r="I42" s="185"/>
      <c r="J42" s="186">
        <f t="shared" si="21"/>
        <v>0</v>
      </c>
      <c r="K42" s="162"/>
      <c r="L42" s="81">
        <f>+(I44+J44)/H44</f>
        <v>0.2366</v>
      </c>
    </row>
    <row r="43" spans="2:12" ht="21" customHeight="1" x14ac:dyDescent="0.35">
      <c r="B43" s="116"/>
      <c r="C43" s="117"/>
      <c r="D43" s="117"/>
      <c r="E43" s="118">
        <f t="shared" si="18"/>
        <v>0</v>
      </c>
      <c r="F43" s="119">
        <f t="shared" si="19"/>
        <v>0</v>
      </c>
      <c r="G43" s="119">
        <v>0</v>
      </c>
      <c r="H43" s="119">
        <f t="shared" si="20"/>
        <v>0</v>
      </c>
      <c r="I43" s="120"/>
      <c r="J43" s="187">
        <f t="shared" si="21"/>
        <v>0</v>
      </c>
      <c r="K43" s="165"/>
      <c r="L43" s="77" t="s">
        <v>180</v>
      </c>
    </row>
    <row r="44" spans="2:12" ht="18" x14ac:dyDescent="0.35">
      <c r="B44" s="121"/>
      <c r="C44" s="118"/>
      <c r="D44" s="118"/>
      <c r="E44" s="118">
        <f t="shared" ref="E44:F44" si="22">SUM(E38:E43)</f>
        <v>178</v>
      </c>
      <c r="F44" s="119">
        <f t="shared" si="22"/>
        <v>178000</v>
      </c>
      <c r="G44" s="119"/>
      <c r="H44" s="119">
        <f t="shared" ref="H44:J44" si="23">SUM(H38:H43)</f>
        <v>178000</v>
      </c>
      <c r="I44" s="122">
        <f t="shared" si="23"/>
        <v>0</v>
      </c>
      <c r="J44" s="122">
        <f t="shared" si="23"/>
        <v>42114.8</v>
      </c>
      <c r="K44" s="165">
        <f>+H44*0.6-I44-J44-G44</f>
        <v>64685.2</v>
      </c>
      <c r="L44" s="79">
        <f>+K44/H44</f>
        <v>0.3634</v>
      </c>
    </row>
    <row r="45" spans="2:12" ht="15.75" customHeight="1" x14ac:dyDescent="0.35">
      <c r="B45" s="72"/>
      <c r="C45" s="69"/>
      <c r="D45" s="69"/>
      <c r="E45" s="69"/>
      <c r="F45" s="69"/>
      <c r="G45" s="73"/>
      <c r="H45" s="73"/>
      <c r="I45" s="73"/>
      <c r="J45" s="109" t="s">
        <v>182</v>
      </c>
      <c r="K45" s="110"/>
      <c r="L45" s="69"/>
    </row>
    <row r="46" spans="2:12" ht="15.75" customHeight="1" thickBot="1" x14ac:dyDescent="0.4">
      <c r="B46" s="203" t="s">
        <v>214</v>
      </c>
      <c r="C46" s="204"/>
      <c r="D46" s="69"/>
      <c r="E46" s="69"/>
      <c r="F46" s="69"/>
      <c r="G46" s="73"/>
      <c r="H46" s="73"/>
      <c r="I46" s="73"/>
      <c r="J46" s="80">
        <v>473.2</v>
      </c>
      <c r="K46" s="127"/>
      <c r="L46" s="69"/>
    </row>
    <row r="47" spans="2:12" ht="15.75" customHeight="1" thickBot="1" x14ac:dyDescent="0.4">
      <c r="B47" s="82" t="s">
        <v>142</v>
      </c>
      <c r="C47" s="74" t="s">
        <v>162</v>
      </c>
      <c r="D47" s="74" t="s">
        <v>143</v>
      </c>
      <c r="E47" s="74" t="s">
        <v>144</v>
      </c>
      <c r="F47" s="74" t="s">
        <v>145</v>
      </c>
      <c r="G47" s="74" t="s">
        <v>163</v>
      </c>
      <c r="H47" s="74" t="s">
        <v>164</v>
      </c>
      <c r="I47" s="159" t="s">
        <v>165</v>
      </c>
      <c r="J47" s="75" t="s">
        <v>166</v>
      </c>
      <c r="K47" s="124" t="s">
        <v>146</v>
      </c>
      <c r="L47" s="69"/>
    </row>
    <row r="48" spans="2:12" ht="15.75" customHeight="1" x14ac:dyDescent="0.35">
      <c r="B48" s="113">
        <v>45138</v>
      </c>
      <c r="C48" s="114">
        <v>2946</v>
      </c>
      <c r="D48" s="114">
        <v>3140</v>
      </c>
      <c r="E48" s="183">
        <f>+D48-C48</f>
        <v>194</v>
      </c>
      <c r="F48" s="184">
        <f>+E48*1000</f>
        <v>194000</v>
      </c>
      <c r="G48" s="184">
        <v>0</v>
      </c>
      <c r="H48" s="184">
        <f>+F48-G48</f>
        <v>194000</v>
      </c>
      <c r="I48" s="185"/>
      <c r="J48" s="186">
        <f>+E48*$J$6/2</f>
        <v>45900.4</v>
      </c>
      <c r="K48" s="162"/>
      <c r="L48" s="69"/>
    </row>
    <row r="49" spans="2:12" ht="15.75" customHeight="1" x14ac:dyDescent="0.35">
      <c r="B49" s="113">
        <v>45154</v>
      </c>
      <c r="C49" s="114">
        <v>3140</v>
      </c>
      <c r="D49" s="114">
        <v>3410</v>
      </c>
      <c r="E49" s="183">
        <f>+D49-C49</f>
        <v>270</v>
      </c>
      <c r="F49" s="184">
        <f>+E49*1000</f>
        <v>270000</v>
      </c>
      <c r="G49" s="184">
        <v>0</v>
      </c>
      <c r="H49" s="184">
        <f>+F49-G49</f>
        <v>270000</v>
      </c>
      <c r="I49" s="185"/>
      <c r="J49" s="186">
        <f>+E49*$J$6/2</f>
        <v>63882</v>
      </c>
      <c r="K49" s="162"/>
      <c r="L49" s="77" t="s">
        <v>179</v>
      </c>
    </row>
    <row r="50" spans="2:12" ht="15.75" customHeight="1" x14ac:dyDescent="0.35">
      <c r="B50" s="113"/>
      <c r="C50" s="114"/>
      <c r="D50" s="114"/>
      <c r="E50" s="183">
        <f>+D50-C50</f>
        <v>0</v>
      </c>
      <c r="F50" s="184">
        <f>+E50*1000</f>
        <v>0</v>
      </c>
      <c r="G50" s="184">
        <v>0</v>
      </c>
      <c r="H50" s="184">
        <f>+F50-G50</f>
        <v>0</v>
      </c>
      <c r="I50" s="185"/>
      <c r="J50" s="186">
        <f>+E50*$J$6/2</f>
        <v>0</v>
      </c>
      <c r="K50" s="162"/>
      <c r="L50" s="81">
        <f>+(I52+J52)/H52</f>
        <v>0.23659999999999998</v>
      </c>
    </row>
    <row r="51" spans="2:12" ht="15.75" customHeight="1" thickBot="1" x14ac:dyDescent="0.4">
      <c r="B51" s="116"/>
      <c r="C51" s="117"/>
      <c r="D51" s="117"/>
      <c r="E51" s="118">
        <f>+D51-C51</f>
        <v>0</v>
      </c>
      <c r="F51" s="119">
        <f>+E51*1000</f>
        <v>0</v>
      </c>
      <c r="G51" s="119">
        <v>0</v>
      </c>
      <c r="H51" s="119">
        <f>+F51-G51</f>
        <v>0</v>
      </c>
      <c r="I51" s="120"/>
      <c r="J51" s="187">
        <f>+E51*$J$6/2</f>
        <v>0</v>
      </c>
      <c r="K51" s="165"/>
      <c r="L51" s="77" t="s">
        <v>180</v>
      </c>
    </row>
    <row r="52" spans="2:12" ht="15.75" customHeight="1" x14ac:dyDescent="0.35">
      <c r="B52" s="121"/>
      <c r="C52" s="118"/>
      <c r="D52" s="118"/>
      <c r="E52" s="118">
        <f>SUM(E48:E51)</f>
        <v>464</v>
      </c>
      <c r="F52" s="119">
        <f>SUM(F48:F51)</f>
        <v>464000</v>
      </c>
      <c r="G52" s="119"/>
      <c r="H52" s="119">
        <f>SUM(H48:H51)</f>
        <v>464000</v>
      </c>
      <c r="I52" s="122">
        <f>SUM(I48:I51)</f>
        <v>0</v>
      </c>
      <c r="J52" s="122">
        <f>SUM(J48:J51)</f>
        <v>109782.39999999999</v>
      </c>
      <c r="K52" s="165">
        <f>+H52*0.6-I52-J52-G52</f>
        <v>168617.60000000001</v>
      </c>
      <c r="L52" s="79">
        <f>+K52/H52</f>
        <v>0.3634</v>
      </c>
    </row>
    <row r="53" spans="2:12" ht="15.75" customHeight="1" x14ac:dyDescent="0.35">
      <c r="B53" s="72"/>
      <c r="C53" s="69"/>
      <c r="D53" s="69"/>
      <c r="E53" s="69"/>
      <c r="F53" s="69"/>
      <c r="G53" s="73"/>
      <c r="H53" s="73"/>
      <c r="I53" s="73"/>
      <c r="J53" s="109" t="s">
        <v>182</v>
      </c>
      <c r="K53" s="110"/>
      <c r="L53" s="69"/>
    </row>
    <row r="54" spans="2:12" ht="15.75" customHeight="1" x14ac:dyDescent="0.35">
      <c r="B54" s="203" t="s">
        <v>214</v>
      </c>
      <c r="C54" s="204"/>
      <c r="D54" s="69"/>
      <c r="E54" s="69"/>
      <c r="F54" s="69"/>
      <c r="G54" s="73"/>
      <c r="H54" s="73"/>
      <c r="I54" s="73"/>
      <c r="J54" s="80">
        <v>473.2</v>
      </c>
      <c r="K54" s="127"/>
      <c r="L54" s="69"/>
    </row>
    <row r="55" spans="2:12" ht="15.75" customHeight="1" x14ac:dyDescent="0.35">
      <c r="B55" s="82" t="s">
        <v>142</v>
      </c>
      <c r="C55" s="74" t="s">
        <v>162</v>
      </c>
      <c r="D55" s="74" t="s">
        <v>143</v>
      </c>
      <c r="E55" s="74" t="s">
        <v>144</v>
      </c>
      <c r="F55" s="74" t="s">
        <v>145</v>
      </c>
      <c r="G55" s="74" t="s">
        <v>163</v>
      </c>
      <c r="H55" s="74" t="s">
        <v>164</v>
      </c>
      <c r="I55" s="159" t="s">
        <v>165</v>
      </c>
      <c r="J55" s="75" t="s">
        <v>166</v>
      </c>
      <c r="K55" s="124" t="s">
        <v>146</v>
      </c>
      <c r="L55" s="69"/>
    </row>
    <row r="56" spans="2:12" ht="15.75" customHeight="1" x14ac:dyDescent="0.35">
      <c r="B56" s="113">
        <v>45159</v>
      </c>
      <c r="C56" s="114">
        <v>3410</v>
      </c>
      <c r="D56" s="114">
        <v>3469</v>
      </c>
      <c r="E56" s="183">
        <f>+D56-C56</f>
        <v>59</v>
      </c>
      <c r="F56" s="184">
        <f>+E56*1000</f>
        <v>59000</v>
      </c>
      <c r="G56" s="184">
        <v>0</v>
      </c>
      <c r="H56" s="184">
        <f>+F56-G56</f>
        <v>59000</v>
      </c>
      <c r="I56" s="185"/>
      <c r="J56" s="186">
        <f>+E56*$J$6/2</f>
        <v>13959.4</v>
      </c>
      <c r="K56" s="162"/>
      <c r="L56" s="69"/>
    </row>
    <row r="57" spans="2:12" ht="15.75" customHeight="1" x14ac:dyDescent="0.35">
      <c r="B57" s="113">
        <v>45163</v>
      </c>
      <c r="C57" s="114">
        <v>3469</v>
      </c>
      <c r="D57" s="114">
        <v>3527</v>
      </c>
      <c r="E57" s="183">
        <f>+D57-C57</f>
        <v>58</v>
      </c>
      <c r="F57" s="184">
        <f>+E57*1000</f>
        <v>58000</v>
      </c>
      <c r="G57" s="184">
        <v>0</v>
      </c>
      <c r="H57" s="184">
        <f>+F57-G57</f>
        <v>58000</v>
      </c>
      <c r="I57" s="185"/>
      <c r="J57" s="186">
        <f>+E57*$J$6/2</f>
        <v>13722.8</v>
      </c>
      <c r="K57" s="162"/>
      <c r="L57" s="77" t="s">
        <v>179</v>
      </c>
    </row>
    <row r="58" spans="2:12" ht="15.75" customHeight="1" x14ac:dyDescent="0.35">
      <c r="B58" s="113">
        <v>45175</v>
      </c>
      <c r="C58" s="114">
        <v>3527</v>
      </c>
      <c r="D58" s="114">
        <v>3689</v>
      </c>
      <c r="E58" s="183">
        <f>+D58-C58</f>
        <v>162</v>
      </c>
      <c r="F58" s="184">
        <f>+E58*1000</f>
        <v>162000</v>
      </c>
      <c r="G58" s="184">
        <v>0</v>
      </c>
      <c r="H58" s="184">
        <f>+F58-G58</f>
        <v>162000</v>
      </c>
      <c r="I58" s="185"/>
      <c r="J58" s="186">
        <f>+E58*$J$6/2</f>
        <v>38329.199999999997</v>
      </c>
      <c r="K58" s="162"/>
      <c r="L58" s="81">
        <f>+(I60+J60)/H60</f>
        <v>0.23600552763819094</v>
      </c>
    </row>
    <row r="59" spans="2:12" ht="15.75" customHeight="1" x14ac:dyDescent="0.35">
      <c r="B59" s="116">
        <v>45188</v>
      </c>
      <c r="C59" s="117">
        <v>3689</v>
      </c>
      <c r="D59" s="117">
        <v>3807</v>
      </c>
      <c r="E59" s="118">
        <f>+D59-C59</f>
        <v>118</v>
      </c>
      <c r="F59" s="119">
        <f>+E59*1000+1000</f>
        <v>119000</v>
      </c>
      <c r="G59" s="119">
        <v>0</v>
      </c>
      <c r="H59" s="119">
        <f>+F59-G59</f>
        <v>119000</v>
      </c>
      <c r="I59" s="120"/>
      <c r="J59" s="187">
        <f>+E59*$J$6/2</f>
        <v>27918.799999999999</v>
      </c>
      <c r="K59" s="165"/>
      <c r="L59" s="77" t="s">
        <v>180</v>
      </c>
    </row>
    <row r="60" spans="2:12" ht="15.75" customHeight="1" x14ac:dyDescent="0.35">
      <c r="B60" s="121"/>
      <c r="C60" s="118"/>
      <c r="D60" s="118"/>
      <c r="E60" s="118">
        <f>SUM(E56:E59)</f>
        <v>397</v>
      </c>
      <c r="F60" s="119">
        <f>SUM(F56:F59)</f>
        <v>398000</v>
      </c>
      <c r="G60" s="119"/>
      <c r="H60" s="119">
        <f>SUM(H56:H59)</f>
        <v>398000</v>
      </c>
      <c r="I60" s="122">
        <f>SUM(I56:I59)</f>
        <v>0</v>
      </c>
      <c r="J60" s="122">
        <f>SUM(J56:J59)</f>
        <v>93930.2</v>
      </c>
      <c r="K60" s="165">
        <f>+H60*0.6-I60-J60-G60</f>
        <v>144869.79999999999</v>
      </c>
      <c r="L60" s="79">
        <f>+K60/H60</f>
        <v>0.36399447236180904</v>
      </c>
    </row>
    <row r="61" spans="2:12" ht="15.75" customHeight="1" x14ac:dyDescent="0.35">
      <c r="B61" s="72"/>
      <c r="C61" s="69"/>
      <c r="D61" s="69"/>
      <c r="E61" s="69"/>
      <c r="F61" s="69"/>
      <c r="G61" s="73"/>
      <c r="H61" s="73"/>
      <c r="I61" s="73"/>
      <c r="J61" s="109" t="s">
        <v>182</v>
      </c>
      <c r="K61" s="110"/>
      <c r="L61" s="69"/>
    </row>
    <row r="62" spans="2:12" ht="15.75" customHeight="1" x14ac:dyDescent="0.35">
      <c r="B62" s="203" t="s">
        <v>214</v>
      </c>
      <c r="C62" s="204"/>
      <c r="D62" s="69"/>
      <c r="E62" s="69"/>
      <c r="F62" s="69"/>
      <c r="G62" s="73"/>
      <c r="H62" s="73"/>
      <c r="I62" s="73"/>
      <c r="J62" s="80">
        <v>473.2</v>
      </c>
      <c r="K62" s="127"/>
      <c r="L62" s="69"/>
    </row>
    <row r="63" spans="2:12" ht="15.75" customHeight="1" x14ac:dyDescent="0.35">
      <c r="B63" s="82" t="s">
        <v>142</v>
      </c>
      <c r="C63" s="74" t="s">
        <v>162</v>
      </c>
      <c r="D63" s="74" t="s">
        <v>143</v>
      </c>
      <c r="E63" s="74" t="s">
        <v>144</v>
      </c>
      <c r="F63" s="74" t="s">
        <v>145</v>
      </c>
      <c r="G63" s="74" t="s">
        <v>163</v>
      </c>
      <c r="H63" s="74" t="s">
        <v>164</v>
      </c>
      <c r="I63" s="159" t="s">
        <v>165</v>
      </c>
      <c r="J63" s="75" t="s">
        <v>166</v>
      </c>
      <c r="K63" s="124" t="s">
        <v>146</v>
      </c>
      <c r="L63" s="69"/>
    </row>
    <row r="64" spans="2:12" ht="15.75" customHeight="1" x14ac:dyDescent="0.35">
      <c r="B64" s="113">
        <v>45194</v>
      </c>
      <c r="C64" s="114">
        <v>3807</v>
      </c>
      <c r="D64" s="114">
        <v>3883</v>
      </c>
      <c r="E64" s="183">
        <f>+D64-C64</f>
        <v>76</v>
      </c>
      <c r="F64" s="184">
        <f>E64 * 1000</f>
        <v>76000</v>
      </c>
      <c r="G64" s="184">
        <v>0</v>
      </c>
      <c r="H64" s="184">
        <f>+F64-G64</f>
        <v>76000</v>
      </c>
      <c r="I64" s="185"/>
      <c r="J64" s="186">
        <f>+E64*$J$6/2</f>
        <v>17981.599999999999</v>
      </c>
      <c r="K64" s="162"/>
      <c r="L64" s="69"/>
    </row>
    <row r="65" spans="2:12" ht="15.75" customHeight="1" x14ac:dyDescent="0.35">
      <c r="B65" s="113">
        <v>45209</v>
      </c>
      <c r="C65" s="114">
        <v>3883</v>
      </c>
      <c r="D65" s="114">
        <v>4035</v>
      </c>
      <c r="E65" s="183">
        <f>+D65-C65</f>
        <v>152</v>
      </c>
      <c r="F65" s="184">
        <f>E65 * 1000</f>
        <v>152000</v>
      </c>
      <c r="G65" s="184">
        <v>0</v>
      </c>
      <c r="H65" s="184">
        <f>+F65-G65</f>
        <v>152000</v>
      </c>
      <c r="I65" s="185"/>
      <c r="J65" s="186">
        <f>+E65*$J$6/2</f>
        <v>35963.199999999997</v>
      </c>
      <c r="K65" s="162"/>
      <c r="L65" s="77" t="s">
        <v>179</v>
      </c>
    </row>
    <row r="66" spans="2:12" ht="15.75" customHeight="1" x14ac:dyDescent="0.35">
      <c r="B66" s="113">
        <v>45218</v>
      </c>
      <c r="C66" s="114">
        <v>4035</v>
      </c>
      <c r="D66" s="114">
        <v>4113</v>
      </c>
      <c r="E66" s="183">
        <f>+D66-C66</f>
        <v>78</v>
      </c>
      <c r="F66" s="184">
        <f>E66 * 1000</f>
        <v>78000</v>
      </c>
      <c r="G66" s="184">
        <v>0</v>
      </c>
      <c r="H66" s="184">
        <f>+F66-G66</f>
        <v>78000</v>
      </c>
      <c r="I66" s="185"/>
      <c r="J66" s="186">
        <f>+E66*$J$6/2</f>
        <v>18454.8</v>
      </c>
      <c r="K66" s="162"/>
      <c r="L66" s="81">
        <f>+(I68+J68)/H68</f>
        <v>0.23659999999999998</v>
      </c>
    </row>
    <row r="67" spans="2:12" ht="15.75" customHeight="1" x14ac:dyDescent="0.35">
      <c r="B67" s="116"/>
      <c r="C67" s="117"/>
      <c r="D67" s="117"/>
      <c r="E67" s="118">
        <f>+D67-C67</f>
        <v>0</v>
      </c>
      <c r="F67" s="119">
        <f>E67 * 1000</f>
        <v>0</v>
      </c>
      <c r="G67" s="119">
        <v>0</v>
      </c>
      <c r="H67" s="119">
        <f>+F67-G67</f>
        <v>0</v>
      </c>
      <c r="I67" s="120"/>
      <c r="J67" s="187">
        <f>+E67*$J$6/2</f>
        <v>0</v>
      </c>
      <c r="K67" s="165"/>
      <c r="L67" s="77" t="s">
        <v>180</v>
      </c>
    </row>
    <row r="68" spans="2:12" ht="15.75" customHeight="1" x14ac:dyDescent="0.35">
      <c r="B68" s="121"/>
      <c r="C68" s="118"/>
      <c r="D68" s="118"/>
      <c r="E68" s="118">
        <f>SUM(E64:E67)</f>
        <v>306</v>
      </c>
      <c r="F68" s="119">
        <f>E68 * 1000</f>
        <v>306000</v>
      </c>
      <c r="G68" s="119"/>
      <c r="H68" s="119">
        <f>SUM(H64:H67)</f>
        <v>306000</v>
      </c>
      <c r="I68" s="122">
        <f>SUM(I64:I67)</f>
        <v>0</v>
      </c>
      <c r="J68" s="122">
        <f>SUM(J64:J67)</f>
        <v>72399.599999999991</v>
      </c>
      <c r="K68" s="165">
        <f>+H68*0.6-I68-J68-G68</f>
        <v>111200.40000000001</v>
      </c>
      <c r="L68" s="79">
        <f>+K68/H68</f>
        <v>0.3634</v>
      </c>
    </row>
    <row r="69" spans="2:12" ht="15.75" customHeight="1" x14ac:dyDescent="0.35">
      <c r="B69" s="72"/>
      <c r="C69" s="69"/>
      <c r="D69" s="69"/>
      <c r="E69" s="69"/>
      <c r="F69" s="69"/>
      <c r="G69" s="73"/>
      <c r="H69" s="73"/>
      <c r="I69" s="73"/>
      <c r="J69" s="109" t="s">
        <v>182</v>
      </c>
      <c r="K69" s="110"/>
      <c r="L69" s="69"/>
    </row>
    <row r="70" spans="2:12" ht="15.75" customHeight="1" x14ac:dyDescent="0.35">
      <c r="B70" s="203" t="s">
        <v>214</v>
      </c>
      <c r="C70" s="204"/>
      <c r="D70" s="69"/>
      <c r="E70" s="69"/>
      <c r="F70" s="69"/>
      <c r="G70" s="73"/>
      <c r="H70" s="73"/>
      <c r="I70" s="73"/>
      <c r="J70" s="80">
        <v>473.2</v>
      </c>
      <c r="K70" s="127"/>
      <c r="L70" s="69"/>
    </row>
    <row r="71" spans="2:12" ht="15.75" customHeight="1" x14ac:dyDescent="0.35">
      <c r="B71" s="82" t="s">
        <v>142</v>
      </c>
      <c r="C71" s="74" t="s">
        <v>162</v>
      </c>
      <c r="D71" s="74" t="s">
        <v>143</v>
      </c>
      <c r="E71" s="74" t="s">
        <v>144</v>
      </c>
      <c r="F71" s="74" t="s">
        <v>145</v>
      </c>
      <c r="G71" s="74" t="s">
        <v>163</v>
      </c>
      <c r="H71" s="74" t="s">
        <v>164</v>
      </c>
      <c r="I71" s="159" t="s">
        <v>165</v>
      </c>
      <c r="J71" s="75" t="s">
        <v>166</v>
      </c>
      <c r="K71" s="124" t="s">
        <v>146</v>
      </c>
      <c r="L71" s="69"/>
    </row>
    <row r="72" spans="2:12" ht="15.75" customHeight="1" x14ac:dyDescent="0.35">
      <c r="B72" s="113">
        <v>45231</v>
      </c>
      <c r="C72" s="114">
        <v>4113</v>
      </c>
      <c r="D72" s="114">
        <v>4221</v>
      </c>
      <c r="E72" s="183">
        <f>+D72-C72</f>
        <v>108</v>
      </c>
      <c r="F72" s="184">
        <f>E72 * 1000</f>
        <v>108000</v>
      </c>
      <c r="G72" s="184">
        <v>0</v>
      </c>
      <c r="H72" s="184">
        <f>+F72-G72</f>
        <v>108000</v>
      </c>
      <c r="I72" s="185"/>
      <c r="J72" s="186">
        <f>+E72*$J$6/2</f>
        <v>25552.799999999999</v>
      </c>
      <c r="K72" s="162"/>
      <c r="L72" s="69"/>
    </row>
    <row r="73" spans="2:12" ht="15.75" customHeight="1" x14ac:dyDescent="0.35">
      <c r="B73" s="113">
        <v>45246</v>
      </c>
      <c r="C73" s="114">
        <v>4221</v>
      </c>
      <c r="D73" s="114">
        <v>4341</v>
      </c>
      <c r="E73" s="183">
        <f>+D73-C73</f>
        <v>120</v>
      </c>
      <c r="F73" s="184">
        <f>E73 * 1000</f>
        <v>120000</v>
      </c>
      <c r="G73" s="184">
        <v>0</v>
      </c>
      <c r="H73" s="184">
        <f>+F73-G73</f>
        <v>120000</v>
      </c>
      <c r="I73" s="185"/>
      <c r="J73" s="186">
        <f>+E73*$J$6/2</f>
        <v>28392</v>
      </c>
      <c r="K73" s="162"/>
      <c r="L73" s="77" t="s">
        <v>179</v>
      </c>
    </row>
    <row r="74" spans="2:12" ht="15.75" customHeight="1" x14ac:dyDescent="0.35">
      <c r="B74" s="113"/>
      <c r="C74" s="114"/>
      <c r="D74" s="114"/>
      <c r="E74" s="183">
        <f>+D74-C74</f>
        <v>0</v>
      </c>
      <c r="F74" s="184">
        <f>E74 * 1000</f>
        <v>0</v>
      </c>
      <c r="G74" s="184">
        <v>0</v>
      </c>
      <c r="H74" s="184">
        <f>+F74-G74</f>
        <v>0</v>
      </c>
      <c r="I74" s="185"/>
      <c r="J74" s="186">
        <f>+E74*$J$6/2</f>
        <v>0</v>
      </c>
      <c r="K74" s="162"/>
      <c r="L74" s="81">
        <f>+(I76+J76)/H76</f>
        <v>0.2366</v>
      </c>
    </row>
    <row r="75" spans="2:12" ht="15.75" customHeight="1" x14ac:dyDescent="0.35">
      <c r="B75" s="116"/>
      <c r="C75" s="117"/>
      <c r="D75" s="117"/>
      <c r="E75" s="118">
        <f>+D75-C75</f>
        <v>0</v>
      </c>
      <c r="F75" s="119">
        <f>E75 * 1000</f>
        <v>0</v>
      </c>
      <c r="G75" s="119">
        <v>0</v>
      </c>
      <c r="H75" s="119">
        <f>+F75-G75</f>
        <v>0</v>
      </c>
      <c r="I75" s="120"/>
      <c r="J75" s="187">
        <f>+E75*$J$6/2</f>
        <v>0</v>
      </c>
      <c r="K75" s="165"/>
      <c r="L75" s="77" t="s">
        <v>180</v>
      </c>
    </row>
    <row r="76" spans="2:12" ht="15.75" customHeight="1" x14ac:dyDescent="0.35">
      <c r="B76" s="121"/>
      <c r="C76" s="118"/>
      <c r="D76" s="118"/>
      <c r="E76" s="118">
        <f>SUM(E72:E75)</f>
        <v>228</v>
      </c>
      <c r="F76" s="119">
        <f>E76 * 1000</f>
        <v>228000</v>
      </c>
      <c r="G76" s="119"/>
      <c r="H76" s="119">
        <f>SUM(H72:H75)</f>
        <v>228000</v>
      </c>
      <c r="I76" s="122">
        <f>SUM(I72:I75)</f>
        <v>0</v>
      </c>
      <c r="J76" s="122">
        <f>SUM(J72:J75)</f>
        <v>53944.800000000003</v>
      </c>
      <c r="K76" s="165">
        <f>+H76*0.6-I76-J76-G76</f>
        <v>82855.199999999997</v>
      </c>
      <c r="L76" s="79">
        <f>+K76/H76</f>
        <v>0.3634</v>
      </c>
    </row>
    <row r="77" spans="2:12" ht="15.75" customHeight="1" x14ac:dyDescent="0.35">
      <c r="B77" s="72"/>
      <c r="C77" s="69"/>
      <c r="D77" s="69"/>
      <c r="E77" s="69"/>
      <c r="F77" s="69"/>
      <c r="G77" s="73"/>
      <c r="H77" s="73"/>
      <c r="I77" s="73"/>
      <c r="J77" s="109" t="s">
        <v>182</v>
      </c>
      <c r="K77" s="110"/>
      <c r="L77" s="69"/>
    </row>
    <row r="78" spans="2:12" ht="15.75" customHeight="1" x14ac:dyDescent="0.35">
      <c r="B78" s="203" t="s">
        <v>214</v>
      </c>
      <c r="C78" s="204"/>
      <c r="D78" s="69"/>
      <c r="E78" s="69"/>
      <c r="F78" s="69"/>
      <c r="G78" s="73"/>
      <c r="H78" s="73"/>
      <c r="I78" s="73"/>
      <c r="J78" s="80">
        <v>473.2</v>
      </c>
      <c r="K78" s="127"/>
      <c r="L78" s="69"/>
    </row>
    <row r="79" spans="2:12" ht="15.75" customHeight="1" x14ac:dyDescent="0.35">
      <c r="B79" s="82" t="s">
        <v>142</v>
      </c>
      <c r="C79" s="74" t="s">
        <v>162</v>
      </c>
      <c r="D79" s="74" t="s">
        <v>143</v>
      </c>
      <c r="E79" s="74" t="s">
        <v>144</v>
      </c>
      <c r="F79" s="74" t="s">
        <v>145</v>
      </c>
      <c r="G79" s="74" t="s">
        <v>163</v>
      </c>
      <c r="H79" s="74" t="s">
        <v>164</v>
      </c>
      <c r="I79" s="159" t="s">
        <v>165</v>
      </c>
      <c r="J79" s="75" t="s">
        <v>166</v>
      </c>
      <c r="K79" s="124" t="s">
        <v>146</v>
      </c>
      <c r="L79" s="69"/>
    </row>
    <row r="80" spans="2:12" ht="15.75" customHeight="1" x14ac:dyDescent="0.35">
      <c r="B80" s="113">
        <v>45260</v>
      </c>
      <c r="C80" s="114">
        <v>4341</v>
      </c>
      <c r="D80" s="114">
        <v>4429</v>
      </c>
      <c r="E80" s="183">
        <f>+D80-C80</f>
        <v>88</v>
      </c>
      <c r="F80" s="184">
        <f>E80 * 1000</f>
        <v>88000</v>
      </c>
      <c r="G80" s="184">
        <v>0</v>
      </c>
      <c r="H80" s="184">
        <f>+F80-G80</f>
        <v>88000</v>
      </c>
      <c r="I80" s="185"/>
      <c r="J80" s="186">
        <f>+E80*$J$6/2</f>
        <v>20820.8</v>
      </c>
      <c r="K80" s="162"/>
      <c r="L80" s="69"/>
    </row>
    <row r="81" spans="2:12" ht="15.75" customHeight="1" x14ac:dyDescent="0.35">
      <c r="B81" s="113">
        <v>45275</v>
      </c>
      <c r="C81" s="114">
        <v>4429</v>
      </c>
      <c r="D81" s="114">
        <v>4525</v>
      </c>
      <c r="E81" s="183">
        <f>+D81-C81</f>
        <v>96</v>
      </c>
      <c r="F81" s="184">
        <f>E81 * 1000</f>
        <v>96000</v>
      </c>
      <c r="G81" s="184">
        <v>0</v>
      </c>
      <c r="H81" s="184">
        <f>+F81-G81</f>
        <v>96000</v>
      </c>
      <c r="I81" s="185"/>
      <c r="J81" s="186">
        <f>+E81*$J$6/2</f>
        <v>22713.599999999999</v>
      </c>
      <c r="K81" s="162"/>
      <c r="L81" s="77" t="s">
        <v>179</v>
      </c>
    </row>
    <row r="82" spans="2:12" ht="15.75" customHeight="1" x14ac:dyDescent="0.35">
      <c r="B82" s="113"/>
      <c r="C82" s="114"/>
      <c r="D82" s="114"/>
      <c r="E82" s="183">
        <f>+D82-C82</f>
        <v>0</v>
      </c>
      <c r="F82" s="184">
        <f>E82 * 1000</f>
        <v>0</v>
      </c>
      <c r="G82" s="184">
        <v>0</v>
      </c>
      <c r="H82" s="184">
        <f>+F82-G82</f>
        <v>0</v>
      </c>
      <c r="I82" s="185"/>
      <c r="J82" s="186">
        <f>+E82*$J$6/2</f>
        <v>0</v>
      </c>
      <c r="K82" s="162"/>
      <c r="L82" s="81">
        <f>+(I84+J84)/H84</f>
        <v>0.23659999999999998</v>
      </c>
    </row>
    <row r="83" spans="2:12" ht="15.75" customHeight="1" x14ac:dyDescent="0.35">
      <c r="B83" s="116"/>
      <c r="C83" s="117"/>
      <c r="D83" s="117"/>
      <c r="E83" s="118">
        <f>+D83-C83</f>
        <v>0</v>
      </c>
      <c r="F83" s="119">
        <f>E83 * 1000</f>
        <v>0</v>
      </c>
      <c r="G83" s="119">
        <v>0</v>
      </c>
      <c r="H83" s="119">
        <f>+F83-G83</f>
        <v>0</v>
      </c>
      <c r="I83" s="120"/>
      <c r="J83" s="187">
        <f>+E83*$J$6/2</f>
        <v>0</v>
      </c>
      <c r="K83" s="165"/>
      <c r="L83" s="77" t="s">
        <v>180</v>
      </c>
    </row>
    <row r="84" spans="2:12" ht="15.75" customHeight="1" x14ac:dyDescent="0.35">
      <c r="B84" s="121"/>
      <c r="C84" s="118"/>
      <c r="D84" s="118"/>
      <c r="E84" s="118">
        <f>SUM(E80:E83)</f>
        <v>184</v>
      </c>
      <c r="F84" s="119">
        <f>E84 * 1000</f>
        <v>184000</v>
      </c>
      <c r="G84" s="119"/>
      <c r="H84" s="119">
        <f>SUM(H80:H83)</f>
        <v>184000</v>
      </c>
      <c r="I84" s="122">
        <f>SUM(I80:I83)</f>
        <v>0</v>
      </c>
      <c r="J84" s="122">
        <f>SUM(J80:J83)</f>
        <v>43534.399999999994</v>
      </c>
      <c r="K84" s="165">
        <f>+H84*0.6-I84-J84-G84</f>
        <v>66865.600000000006</v>
      </c>
      <c r="L84" s="79">
        <f>+K84/H84</f>
        <v>0.36340000000000006</v>
      </c>
    </row>
  </sheetData>
  <mergeCells count="1">
    <mergeCell ref="C1:F1"/>
  </mergeCells>
  <phoneticPr fontId="35"/>
  <pageMargins left="0.69930555555555596" right="0.69930555555555596" top="0.75" bottom="0.75" header="0" footer="0"/>
  <pageSetup paperSize="9" scale="84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1">
    <pageSetUpPr fitToPage="1"/>
  </sheetPr>
  <dimension ref="B1:W87"/>
  <sheetViews>
    <sheetView workbookViewId="0">
      <pane ySplit="3" topLeftCell="A65" activePane="bottomLeft" state="frozen"/>
      <selection activeCell="D81" sqref="D81"/>
      <selection pane="bottomLeft" activeCell="D81" sqref="D81"/>
    </sheetView>
  </sheetViews>
  <sheetFormatPr defaultColWidth="14.390625" defaultRowHeight="15" customHeight="1" x14ac:dyDescent="0.2"/>
  <cols>
    <col min="1" max="1" width="4.3046875" customWidth="1"/>
    <col min="2" max="2" width="8.47265625" customWidth="1"/>
    <col min="3" max="3" width="11.703125" customWidth="1"/>
    <col min="4" max="4" width="13.046875" customWidth="1"/>
    <col min="5" max="5" width="9.28125" customWidth="1"/>
    <col min="6" max="6" width="14.125" customWidth="1"/>
    <col min="7" max="7" width="9.953125" customWidth="1"/>
    <col min="8" max="8" width="13.71875" customWidth="1"/>
    <col min="9" max="9" width="14.52734375" customWidth="1"/>
    <col min="10" max="10" width="14.66015625" customWidth="1"/>
    <col min="11" max="11" width="33.2265625" customWidth="1"/>
    <col min="12" max="12" width="11.02734375" customWidth="1"/>
    <col min="13" max="13" width="9.01171875" customWidth="1"/>
    <col min="14" max="14" width="10.22265625" customWidth="1"/>
    <col min="15" max="15" width="14.390625" customWidth="1"/>
    <col min="16" max="16" width="13.046875" customWidth="1"/>
    <col min="17" max="17" width="9.14453125" customWidth="1"/>
    <col min="18" max="18" width="14.125" customWidth="1"/>
    <col min="19" max="19" width="11.703125" customWidth="1"/>
    <col min="20" max="20" width="14.52734375" customWidth="1"/>
    <col min="21" max="21" width="13.046875" customWidth="1"/>
    <col min="22" max="22" width="18.5625" customWidth="1"/>
    <col min="23" max="24" width="11.8359375" customWidth="1"/>
    <col min="25" max="26" width="9.01171875" customWidth="1"/>
  </cols>
  <sheetData>
    <row r="1" spans="2:23" ht="15.75" customHeight="1" x14ac:dyDescent="0.35">
      <c r="B1" s="69"/>
      <c r="C1" s="845"/>
      <c r="D1" s="846"/>
      <c r="E1" s="846"/>
      <c r="F1" s="846"/>
      <c r="G1" s="69"/>
      <c r="H1" s="72"/>
      <c r="I1" s="72"/>
      <c r="J1" s="87"/>
      <c r="K1" s="123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2:23" ht="14.25" customHeight="1" x14ac:dyDescent="0.35">
      <c r="B2" s="69"/>
      <c r="C2" s="69"/>
      <c r="D2" s="69"/>
      <c r="E2" s="69"/>
      <c r="F2" s="69"/>
      <c r="G2" s="69"/>
      <c r="H2" s="72"/>
      <c r="I2" s="72"/>
      <c r="J2" s="87"/>
      <c r="K2" s="123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2:23" ht="25.5" customHeight="1" x14ac:dyDescent="0.35">
      <c r="B3" s="88"/>
      <c r="C3" s="604" t="s">
        <v>321</v>
      </c>
      <c r="D3" s="88"/>
      <c r="E3" s="190" t="s">
        <v>322</v>
      </c>
      <c r="F3" s="190"/>
      <c r="G3" s="70"/>
      <c r="H3" s="90"/>
      <c r="I3" s="90"/>
      <c r="J3" s="91"/>
      <c r="K3" s="92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spans="2:23" ht="18" x14ac:dyDescent="0.35">
      <c r="B4" s="72"/>
      <c r="C4" s="69"/>
      <c r="D4" s="69"/>
      <c r="E4" s="69"/>
      <c r="F4" s="69"/>
      <c r="G4" s="73"/>
      <c r="H4" s="73"/>
      <c r="I4" s="73"/>
      <c r="J4" s="109" t="s">
        <v>182</v>
      </c>
      <c r="K4" s="110"/>
      <c r="L4" s="69"/>
      <c r="M4" s="72"/>
      <c r="N4" s="69"/>
      <c r="O4" s="69"/>
      <c r="P4" s="69"/>
      <c r="Q4" s="69"/>
      <c r="R4" s="73"/>
      <c r="S4" s="73"/>
      <c r="T4" s="73"/>
      <c r="U4" s="109" t="s">
        <v>182</v>
      </c>
      <c r="V4" s="110"/>
      <c r="W4" s="69"/>
    </row>
    <row r="5" spans="2:23" ht="18" x14ac:dyDescent="0.35">
      <c r="B5" s="190" t="s">
        <v>177</v>
      </c>
      <c r="C5" s="69"/>
      <c r="D5" s="69"/>
      <c r="E5" s="69"/>
      <c r="F5" s="69"/>
      <c r="G5" s="73"/>
      <c r="H5" s="73"/>
      <c r="I5" s="73"/>
      <c r="J5" s="80">
        <v>473.2</v>
      </c>
      <c r="K5" s="127"/>
      <c r="L5" s="69"/>
      <c r="M5" s="190" t="s">
        <v>175</v>
      </c>
      <c r="N5" s="69"/>
      <c r="O5" s="69"/>
      <c r="P5" s="69"/>
      <c r="Q5" s="69"/>
      <c r="R5" s="73"/>
      <c r="S5" s="73"/>
      <c r="T5" s="73"/>
      <c r="U5" s="80">
        <v>473.2</v>
      </c>
      <c r="V5" s="127"/>
      <c r="W5" s="69"/>
    </row>
    <row r="6" spans="2:23" ht="21" customHeight="1" x14ac:dyDescent="0.35">
      <c r="B6" s="82" t="s">
        <v>142</v>
      </c>
      <c r="C6" s="74" t="s">
        <v>162</v>
      </c>
      <c r="D6" s="74" t="s">
        <v>143</v>
      </c>
      <c r="E6" s="74" t="s">
        <v>144</v>
      </c>
      <c r="F6" s="74" t="s">
        <v>145</v>
      </c>
      <c r="G6" s="74" t="s">
        <v>163</v>
      </c>
      <c r="H6" s="74" t="s">
        <v>164</v>
      </c>
      <c r="I6" s="159" t="s">
        <v>165</v>
      </c>
      <c r="J6" s="75" t="s">
        <v>166</v>
      </c>
      <c r="K6" s="124" t="s">
        <v>146</v>
      </c>
      <c r="L6" s="69"/>
      <c r="M6" s="82" t="s">
        <v>142</v>
      </c>
      <c r="N6" s="74" t="s">
        <v>162</v>
      </c>
      <c r="O6" s="74" t="s">
        <v>143</v>
      </c>
      <c r="P6" s="74" t="s">
        <v>144</v>
      </c>
      <c r="Q6" s="74" t="s">
        <v>145</v>
      </c>
      <c r="R6" s="74" t="s">
        <v>163</v>
      </c>
      <c r="S6" s="74" t="s">
        <v>164</v>
      </c>
      <c r="T6" s="159" t="s">
        <v>165</v>
      </c>
      <c r="U6" s="75" t="s">
        <v>166</v>
      </c>
      <c r="V6" s="124" t="s">
        <v>146</v>
      </c>
      <c r="W6" s="69"/>
    </row>
    <row r="7" spans="2:23" ht="18" x14ac:dyDescent="0.35">
      <c r="B7" s="182">
        <v>45022</v>
      </c>
      <c r="C7" s="183">
        <v>3092</v>
      </c>
      <c r="D7" s="183">
        <v>3092</v>
      </c>
      <c r="E7" s="183">
        <f t="shared" ref="E7:E13" si="0">+D7-C7</f>
        <v>0</v>
      </c>
      <c r="F7" s="184">
        <f t="shared" ref="F7:F13" si="1">+E7*1000</f>
        <v>0</v>
      </c>
      <c r="G7" s="184">
        <v>0</v>
      </c>
      <c r="H7" s="184">
        <f t="shared" ref="H7:H13" si="2">+F7-G7</f>
        <v>0</v>
      </c>
      <c r="I7" s="112"/>
      <c r="J7" s="186">
        <f t="shared" ref="J7:J13" si="3">+E7*$J$5/2</f>
        <v>0</v>
      </c>
      <c r="K7" s="162"/>
      <c r="L7" s="69"/>
      <c r="M7" s="182">
        <v>45022</v>
      </c>
      <c r="N7" s="183">
        <v>5566</v>
      </c>
      <c r="O7" s="183">
        <v>5566</v>
      </c>
      <c r="P7" s="183">
        <f t="shared" ref="P7:P13" si="4">+O7-N7</f>
        <v>0</v>
      </c>
      <c r="Q7" s="184">
        <f t="shared" ref="Q7:Q13" si="5">+P7*1000</f>
        <v>0</v>
      </c>
      <c r="R7" s="184">
        <v>0</v>
      </c>
      <c r="S7" s="184">
        <f t="shared" ref="S7:S13" si="6">+Q7-R7</f>
        <v>0</v>
      </c>
      <c r="T7" s="112"/>
      <c r="U7" s="186">
        <f t="shared" ref="U7:U13" si="7">+P7*$J$5/2</f>
        <v>0</v>
      </c>
      <c r="V7" s="162"/>
      <c r="W7" s="69"/>
    </row>
    <row r="8" spans="2:23" ht="18" x14ac:dyDescent="0.35">
      <c r="B8" s="113">
        <v>45029</v>
      </c>
      <c r="C8" s="114">
        <v>3092</v>
      </c>
      <c r="D8" s="114">
        <v>3100</v>
      </c>
      <c r="E8" s="183">
        <f t="shared" si="0"/>
        <v>8</v>
      </c>
      <c r="F8" s="184">
        <f t="shared" si="1"/>
        <v>8000</v>
      </c>
      <c r="G8" s="184">
        <v>0</v>
      </c>
      <c r="H8" s="184">
        <f t="shared" si="2"/>
        <v>8000</v>
      </c>
      <c r="I8" s="185"/>
      <c r="J8" s="186">
        <f t="shared" si="3"/>
        <v>1892.8</v>
      </c>
      <c r="K8" s="162"/>
      <c r="L8" s="69"/>
      <c r="M8" s="113">
        <v>45029</v>
      </c>
      <c r="N8" s="114">
        <v>5566</v>
      </c>
      <c r="O8" s="114">
        <v>5580</v>
      </c>
      <c r="P8" s="183">
        <f t="shared" si="4"/>
        <v>14</v>
      </c>
      <c r="Q8" s="184">
        <f t="shared" si="5"/>
        <v>14000</v>
      </c>
      <c r="R8" s="184">
        <v>0</v>
      </c>
      <c r="S8" s="184">
        <f t="shared" si="6"/>
        <v>14000</v>
      </c>
      <c r="T8" s="185"/>
      <c r="U8" s="186">
        <f t="shared" si="7"/>
        <v>3312.4</v>
      </c>
      <c r="V8" s="162"/>
      <c r="W8" s="69"/>
    </row>
    <row r="9" spans="2:23" ht="18" x14ac:dyDescent="0.35">
      <c r="B9" s="113">
        <v>45036</v>
      </c>
      <c r="C9" s="114">
        <v>3100</v>
      </c>
      <c r="D9" s="114">
        <v>3108</v>
      </c>
      <c r="E9" s="183">
        <f t="shared" si="0"/>
        <v>8</v>
      </c>
      <c r="F9" s="184">
        <f t="shared" si="1"/>
        <v>8000</v>
      </c>
      <c r="G9" s="184">
        <v>0</v>
      </c>
      <c r="H9" s="184">
        <f t="shared" si="2"/>
        <v>8000</v>
      </c>
      <c r="I9" s="185">
        <v>1024</v>
      </c>
      <c r="J9" s="186">
        <f t="shared" si="3"/>
        <v>1892.8</v>
      </c>
      <c r="K9" s="162"/>
      <c r="L9" s="69"/>
      <c r="M9" s="113">
        <v>45036</v>
      </c>
      <c r="N9" s="114">
        <v>5580</v>
      </c>
      <c r="O9" s="114">
        <v>5598</v>
      </c>
      <c r="P9" s="183">
        <f t="shared" si="4"/>
        <v>18</v>
      </c>
      <c r="Q9" s="184">
        <f t="shared" si="5"/>
        <v>18000</v>
      </c>
      <c r="R9" s="184">
        <v>0</v>
      </c>
      <c r="S9" s="184">
        <f t="shared" si="6"/>
        <v>18000</v>
      </c>
      <c r="T9" s="185">
        <v>2048</v>
      </c>
      <c r="U9" s="186">
        <f t="shared" si="7"/>
        <v>4258.8</v>
      </c>
      <c r="V9" s="162"/>
      <c r="W9" s="69"/>
    </row>
    <row r="10" spans="2:23" ht="18" x14ac:dyDescent="0.35">
      <c r="B10" s="113"/>
      <c r="C10" s="114"/>
      <c r="D10" s="114"/>
      <c r="E10" s="183">
        <f t="shared" si="0"/>
        <v>0</v>
      </c>
      <c r="F10" s="184">
        <f t="shared" si="1"/>
        <v>0</v>
      </c>
      <c r="G10" s="184">
        <v>0</v>
      </c>
      <c r="H10" s="184">
        <f t="shared" si="2"/>
        <v>0</v>
      </c>
      <c r="I10" s="185"/>
      <c r="J10" s="186">
        <f t="shared" si="3"/>
        <v>0</v>
      </c>
      <c r="K10" s="162"/>
      <c r="L10" s="69"/>
      <c r="M10" s="113"/>
      <c r="N10" s="114"/>
      <c r="O10" s="114"/>
      <c r="P10" s="183">
        <f t="shared" si="4"/>
        <v>0</v>
      </c>
      <c r="Q10" s="184">
        <f t="shared" si="5"/>
        <v>0</v>
      </c>
      <c r="R10" s="184">
        <v>0</v>
      </c>
      <c r="S10" s="184">
        <f t="shared" si="6"/>
        <v>0</v>
      </c>
      <c r="T10" s="185"/>
      <c r="U10" s="186">
        <f t="shared" si="7"/>
        <v>0</v>
      </c>
      <c r="V10" s="162"/>
      <c r="W10" s="69"/>
    </row>
    <row r="11" spans="2:23" ht="18" x14ac:dyDescent="0.35">
      <c r="B11" s="113"/>
      <c r="C11" s="114"/>
      <c r="D11" s="114"/>
      <c r="E11" s="183">
        <f t="shared" si="0"/>
        <v>0</v>
      </c>
      <c r="F11" s="184">
        <f t="shared" si="1"/>
        <v>0</v>
      </c>
      <c r="G11" s="184">
        <v>0</v>
      </c>
      <c r="H11" s="184">
        <f t="shared" si="2"/>
        <v>0</v>
      </c>
      <c r="I11" s="185"/>
      <c r="J11" s="186">
        <f t="shared" si="3"/>
        <v>0</v>
      </c>
      <c r="K11" s="162"/>
      <c r="L11" s="77" t="s">
        <v>179</v>
      </c>
      <c r="M11" s="113"/>
      <c r="N11" s="114"/>
      <c r="O11" s="114"/>
      <c r="P11" s="183">
        <f t="shared" si="4"/>
        <v>0</v>
      </c>
      <c r="Q11" s="184">
        <f t="shared" si="5"/>
        <v>0</v>
      </c>
      <c r="R11" s="184">
        <v>0</v>
      </c>
      <c r="S11" s="184">
        <f t="shared" si="6"/>
        <v>0</v>
      </c>
      <c r="T11" s="185"/>
      <c r="U11" s="186">
        <f t="shared" si="7"/>
        <v>0</v>
      </c>
      <c r="V11" s="162"/>
      <c r="W11" s="77" t="s">
        <v>179</v>
      </c>
    </row>
    <row r="12" spans="2:23" ht="18" x14ac:dyDescent="0.35">
      <c r="B12" s="113"/>
      <c r="C12" s="114"/>
      <c r="D12" s="114"/>
      <c r="E12" s="183">
        <f t="shared" si="0"/>
        <v>0</v>
      </c>
      <c r="F12" s="184">
        <f t="shared" si="1"/>
        <v>0</v>
      </c>
      <c r="G12" s="184">
        <v>0</v>
      </c>
      <c r="H12" s="184">
        <f t="shared" si="2"/>
        <v>0</v>
      </c>
      <c r="I12" s="185"/>
      <c r="J12" s="186">
        <f t="shared" si="3"/>
        <v>0</v>
      </c>
      <c r="K12" s="162"/>
      <c r="L12" s="81">
        <f>+(I14+J14)/H14</f>
        <v>0.30060000000000003</v>
      </c>
      <c r="M12" s="113"/>
      <c r="N12" s="114"/>
      <c r="O12" s="114"/>
      <c r="P12" s="183">
        <f t="shared" si="4"/>
        <v>0</v>
      </c>
      <c r="Q12" s="184">
        <f t="shared" si="5"/>
        <v>0</v>
      </c>
      <c r="R12" s="184">
        <v>0</v>
      </c>
      <c r="S12" s="184">
        <f t="shared" si="6"/>
        <v>0</v>
      </c>
      <c r="T12" s="185"/>
      <c r="U12" s="186">
        <f t="shared" si="7"/>
        <v>0</v>
      </c>
      <c r="V12" s="162"/>
      <c r="W12" s="81">
        <f>+(T14+U14)/S14</f>
        <v>0.30060000000000003</v>
      </c>
    </row>
    <row r="13" spans="2:23" ht="21" customHeight="1" x14ac:dyDescent="0.35">
      <c r="B13" s="116"/>
      <c r="C13" s="117"/>
      <c r="D13" s="117"/>
      <c r="E13" s="118">
        <f t="shared" si="0"/>
        <v>0</v>
      </c>
      <c r="F13" s="119">
        <f t="shared" si="1"/>
        <v>0</v>
      </c>
      <c r="G13" s="119">
        <v>0</v>
      </c>
      <c r="H13" s="119">
        <f t="shared" si="2"/>
        <v>0</v>
      </c>
      <c r="I13" s="120"/>
      <c r="J13" s="187">
        <f t="shared" si="3"/>
        <v>0</v>
      </c>
      <c r="K13" s="165"/>
      <c r="L13" s="77" t="s">
        <v>180</v>
      </c>
      <c r="M13" s="116"/>
      <c r="N13" s="117"/>
      <c r="O13" s="117"/>
      <c r="P13" s="118">
        <f t="shared" si="4"/>
        <v>0</v>
      </c>
      <c r="Q13" s="119">
        <f t="shared" si="5"/>
        <v>0</v>
      </c>
      <c r="R13" s="119">
        <v>0</v>
      </c>
      <c r="S13" s="119">
        <f t="shared" si="6"/>
        <v>0</v>
      </c>
      <c r="T13" s="120"/>
      <c r="U13" s="187">
        <f t="shared" si="7"/>
        <v>0</v>
      </c>
      <c r="V13" s="165"/>
      <c r="W13" s="77" t="s">
        <v>180</v>
      </c>
    </row>
    <row r="14" spans="2:23" ht="21" customHeight="1" x14ac:dyDescent="0.35">
      <c r="B14" s="121"/>
      <c r="C14" s="118"/>
      <c r="D14" s="118"/>
      <c r="E14" s="118">
        <f t="shared" ref="E14:F14" si="8">SUM(E7:E13)</f>
        <v>16</v>
      </c>
      <c r="F14" s="119">
        <f t="shared" si="8"/>
        <v>16000</v>
      </c>
      <c r="G14" s="119"/>
      <c r="H14" s="119">
        <f t="shared" ref="H14:J14" si="9">SUM(H7:H13)</f>
        <v>16000</v>
      </c>
      <c r="I14" s="122">
        <f t="shared" si="9"/>
        <v>1024</v>
      </c>
      <c r="J14" s="122">
        <f t="shared" si="9"/>
        <v>3785.6</v>
      </c>
      <c r="K14" s="165">
        <f>+H14*0.6-I14-J14-G14</f>
        <v>4790.3999999999996</v>
      </c>
      <c r="L14" s="79">
        <f>+K14/H14</f>
        <v>0.2994</v>
      </c>
      <c r="M14" s="121"/>
      <c r="N14" s="118"/>
      <c r="O14" s="118"/>
      <c r="P14" s="118">
        <f t="shared" ref="P14:Q14" si="10">SUM(P7:P13)</f>
        <v>32</v>
      </c>
      <c r="Q14" s="119">
        <f t="shared" si="10"/>
        <v>32000</v>
      </c>
      <c r="R14" s="119"/>
      <c r="S14" s="119">
        <f t="shared" ref="S14:U14" si="11">SUM(S7:S13)</f>
        <v>32000</v>
      </c>
      <c r="T14" s="122">
        <f t="shared" si="11"/>
        <v>2048</v>
      </c>
      <c r="U14" s="122">
        <f t="shared" si="11"/>
        <v>7571.2000000000007</v>
      </c>
      <c r="V14" s="165">
        <f>+S14*0.6-T14-U14-R14</f>
        <v>9580.7999999999993</v>
      </c>
      <c r="W14" s="79">
        <f>+V14/S14</f>
        <v>0.2994</v>
      </c>
    </row>
    <row r="15" spans="2:23" ht="18" x14ac:dyDescent="0.35">
      <c r="B15" s="72"/>
      <c r="C15" s="69"/>
      <c r="D15" s="69"/>
      <c r="E15" s="69"/>
      <c r="F15" s="69"/>
      <c r="G15" s="73"/>
      <c r="H15" s="73"/>
      <c r="I15" s="73"/>
      <c r="J15" s="109" t="s">
        <v>182</v>
      </c>
      <c r="K15" s="110"/>
      <c r="L15" s="69"/>
      <c r="M15" s="72"/>
      <c r="N15" s="69"/>
      <c r="O15" s="69"/>
      <c r="P15" s="69"/>
      <c r="Q15" s="69"/>
      <c r="R15" s="73"/>
      <c r="S15" s="73"/>
      <c r="T15" s="73"/>
      <c r="U15" s="109" t="s">
        <v>182</v>
      </c>
      <c r="V15" s="110"/>
      <c r="W15" s="69"/>
    </row>
    <row r="16" spans="2:23" ht="18" x14ac:dyDescent="0.35">
      <c r="B16" s="190" t="s">
        <v>177</v>
      </c>
      <c r="C16" s="69"/>
      <c r="D16" s="69"/>
      <c r="E16" s="69"/>
      <c r="F16" s="69"/>
      <c r="G16" s="73"/>
      <c r="H16" s="73"/>
      <c r="I16" s="73"/>
      <c r="J16" s="80">
        <v>473.2</v>
      </c>
      <c r="K16" s="127"/>
      <c r="L16" s="69"/>
      <c r="M16" s="190" t="s">
        <v>175</v>
      </c>
      <c r="N16" s="69"/>
      <c r="O16" s="69"/>
      <c r="P16" s="69"/>
      <c r="Q16" s="69"/>
      <c r="R16" s="73"/>
      <c r="S16" s="73"/>
      <c r="T16" s="73"/>
      <c r="U16" s="80">
        <v>473.2</v>
      </c>
      <c r="V16" s="127"/>
      <c r="W16" s="69"/>
    </row>
    <row r="17" spans="2:23" ht="21" customHeight="1" x14ac:dyDescent="0.35">
      <c r="B17" s="82" t="s">
        <v>142</v>
      </c>
      <c r="C17" s="74" t="s">
        <v>162</v>
      </c>
      <c r="D17" s="74" t="s">
        <v>143</v>
      </c>
      <c r="E17" s="74" t="s">
        <v>144</v>
      </c>
      <c r="F17" s="74" t="s">
        <v>145</v>
      </c>
      <c r="G17" s="74" t="s">
        <v>163</v>
      </c>
      <c r="H17" s="74" t="s">
        <v>164</v>
      </c>
      <c r="I17" s="159" t="s">
        <v>165</v>
      </c>
      <c r="J17" s="75" t="s">
        <v>166</v>
      </c>
      <c r="K17" s="124" t="s">
        <v>146</v>
      </c>
      <c r="L17" s="69"/>
      <c r="M17" s="82" t="s">
        <v>142</v>
      </c>
      <c r="N17" s="74" t="s">
        <v>162</v>
      </c>
      <c r="O17" s="74" t="s">
        <v>143</v>
      </c>
      <c r="P17" s="74" t="s">
        <v>144</v>
      </c>
      <c r="Q17" s="74" t="s">
        <v>145</v>
      </c>
      <c r="R17" s="74" t="s">
        <v>163</v>
      </c>
      <c r="S17" s="74" t="s">
        <v>164</v>
      </c>
      <c r="T17" s="159" t="s">
        <v>165</v>
      </c>
      <c r="U17" s="75" t="s">
        <v>166</v>
      </c>
      <c r="V17" s="124" t="s">
        <v>146</v>
      </c>
      <c r="W17" s="69"/>
    </row>
    <row r="18" spans="2:23" ht="18" x14ac:dyDescent="0.35">
      <c r="B18" s="182">
        <v>45043</v>
      </c>
      <c r="C18" s="183">
        <v>3108</v>
      </c>
      <c r="D18" s="183">
        <v>3120</v>
      </c>
      <c r="E18" s="183">
        <f t="shared" ref="E18:E24" si="12">+D18-C18</f>
        <v>12</v>
      </c>
      <c r="F18" s="184">
        <f t="shared" ref="F18:F24" si="13">+E18*1000</f>
        <v>12000</v>
      </c>
      <c r="G18" s="184">
        <v>0</v>
      </c>
      <c r="H18" s="184">
        <f t="shared" ref="H18:H24" si="14">+F18-G18</f>
        <v>12000</v>
      </c>
      <c r="I18" s="112"/>
      <c r="J18" s="186">
        <f t="shared" ref="J18:J24" si="15">+E18*$J$5/2</f>
        <v>2839.2</v>
      </c>
      <c r="K18" s="162"/>
      <c r="L18" s="69"/>
      <c r="M18" s="182">
        <v>45043</v>
      </c>
      <c r="N18" s="183">
        <v>5598</v>
      </c>
      <c r="O18" s="183">
        <v>5612</v>
      </c>
      <c r="P18" s="183">
        <f t="shared" ref="P18:P24" si="16">+O18-N18</f>
        <v>14</v>
      </c>
      <c r="Q18" s="184">
        <f t="shared" ref="Q18:Q24" si="17">+P18*1000</f>
        <v>14000</v>
      </c>
      <c r="R18" s="184">
        <v>0</v>
      </c>
      <c r="S18" s="184">
        <f t="shared" ref="S18:S24" si="18">+Q18-R18</f>
        <v>14000</v>
      </c>
      <c r="T18" s="112"/>
      <c r="U18" s="186">
        <f t="shared" ref="U18:U24" si="19">+P18*$J$5/2</f>
        <v>3312.4</v>
      </c>
      <c r="V18" s="162"/>
      <c r="W18" s="69"/>
    </row>
    <row r="19" spans="2:23" ht="18" x14ac:dyDescent="0.35">
      <c r="B19" s="113">
        <v>45050</v>
      </c>
      <c r="C19" s="114">
        <v>3120</v>
      </c>
      <c r="D19" s="114">
        <v>3140</v>
      </c>
      <c r="E19" s="183">
        <f t="shared" si="12"/>
        <v>20</v>
      </c>
      <c r="F19" s="184">
        <f t="shared" si="13"/>
        <v>20000</v>
      </c>
      <c r="G19" s="184">
        <v>0</v>
      </c>
      <c r="H19" s="184">
        <f t="shared" si="14"/>
        <v>20000</v>
      </c>
      <c r="I19" s="185">
        <v>1780</v>
      </c>
      <c r="J19" s="186">
        <f t="shared" si="15"/>
        <v>4732</v>
      </c>
      <c r="K19" s="162"/>
      <c r="L19" s="69"/>
      <c r="M19" s="113">
        <v>45050</v>
      </c>
      <c r="N19" s="114">
        <v>5612</v>
      </c>
      <c r="O19" s="114">
        <v>5616</v>
      </c>
      <c r="P19" s="183">
        <f t="shared" si="16"/>
        <v>4</v>
      </c>
      <c r="Q19" s="184">
        <f t="shared" si="17"/>
        <v>4000</v>
      </c>
      <c r="R19" s="184">
        <v>0</v>
      </c>
      <c r="S19" s="184">
        <f t="shared" si="18"/>
        <v>4000</v>
      </c>
      <c r="T19" s="185"/>
      <c r="U19" s="186">
        <f t="shared" si="19"/>
        <v>946.4</v>
      </c>
      <c r="V19" s="162"/>
      <c r="W19" s="69"/>
    </row>
    <row r="20" spans="2:23" ht="18" x14ac:dyDescent="0.35">
      <c r="B20" s="113">
        <v>45057</v>
      </c>
      <c r="C20" s="114">
        <v>3140</v>
      </c>
      <c r="D20" s="114">
        <v>3145</v>
      </c>
      <c r="E20" s="183">
        <f t="shared" si="12"/>
        <v>5</v>
      </c>
      <c r="F20" s="184">
        <f t="shared" si="13"/>
        <v>5000</v>
      </c>
      <c r="G20" s="184">
        <v>0</v>
      </c>
      <c r="H20" s="184">
        <f t="shared" si="14"/>
        <v>5000</v>
      </c>
      <c r="I20" s="185"/>
      <c r="J20" s="186">
        <f t="shared" si="15"/>
        <v>1183</v>
      </c>
      <c r="K20" s="162"/>
      <c r="L20" s="69"/>
      <c r="M20" s="113">
        <v>45057</v>
      </c>
      <c r="N20" s="114">
        <v>5616</v>
      </c>
      <c r="O20" s="114">
        <v>5618</v>
      </c>
      <c r="P20" s="183">
        <f t="shared" si="16"/>
        <v>2</v>
      </c>
      <c r="Q20" s="184">
        <f t="shared" si="17"/>
        <v>2000</v>
      </c>
      <c r="R20" s="184">
        <v>0</v>
      </c>
      <c r="S20" s="184">
        <f t="shared" si="18"/>
        <v>2000</v>
      </c>
      <c r="T20" s="185">
        <v>1448</v>
      </c>
      <c r="U20" s="186">
        <f t="shared" si="19"/>
        <v>473.2</v>
      </c>
      <c r="V20" s="162"/>
      <c r="W20" s="69"/>
    </row>
    <row r="21" spans="2:23" ht="18" x14ac:dyDescent="0.35">
      <c r="B21" s="113">
        <v>45064</v>
      </c>
      <c r="C21" s="114">
        <v>3145</v>
      </c>
      <c r="D21" s="114">
        <v>3150</v>
      </c>
      <c r="E21" s="183">
        <f t="shared" si="12"/>
        <v>5</v>
      </c>
      <c r="F21" s="184">
        <f t="shared" si="13"/>
        <v>5000</v>
      </c>
      <c r="G21" s="184">
        <v>0</v>
      </c>
      <c r="H21" s="184">
        <f t="shared" si="14"/>
        <v>5000</v>
      </c>
      <c r="I21" s="185"/>
      <c r="J21" s="186">
        <f t="shared" si="15"/>
        <v>1183</v>
      </c>
      <c r="K21" s="162"/>
      <c r="L21" s="69"/>
      <c r="M21" s="113">
        <v>45064</v>
      </c>
      <c r="N21" s="114">
        <v>5618</v>
      </c>
      <c r="O21" s="114">
        <v>5632</v>
      </c>
      <c r="P21" s="183">
        <f t="shared" si="16"/>
        <v>14</v>
      </c>
      <c r="Q21" s="184">
        <f t="shared" si="17"/>
        <v>14000</v>
      </c>
      <c r="R21" s="184">
        <v>0</v>
      </c>
      <c r="S21" s="184">
        <f t="shared" si="18"/>
        <v>14000</v>
      </c>
      <c r="T21" s="185">
        <v>2200</v>
      </c>
      <c r="U21" s="186">
        <f t="shared" si="19"/>
        <v>3312.4</v>
      </c>
      <c r="V21" s="162"/>
      <c r="W21" s="69"/>
    </row>
    <row r="22" spans="2:23" ht="18" x14ac:dyDescent="0.35">
      <c r="B22" s="113"/>
      <c r="C22" s="114"/>
      <c r="D22" s="114"/>
      <c r="E22" s="183">
        <f t="shared" si="12"/>
        <v>0</v>
      </c>
      <c r="F22" s="184">
        <f t="shared" si="13"/>
        <v>0</v>
      </c>
      <c r="G22" s="184">
        <v>0</v>
      </c>
      <c r="H22" s="184">
        <f t="shared" si="14"/>
        <v>0</v>
      </c>
      <c r="I22" s="185"/>
      <c r="J22" s="186">
        <f t="shared" si="15"/>
        <v>0</v>
      </c>
      <c r="K22" s="162"/>
      <c r="L22" s="77" t="s">
        <v>179</v>
      </c>
      <c r="M22" s="113"/>
      <c r="N22" s="114"/>
      <c r="O22" s="114"/>
      <c r="P22" s="183">
        <f t="shared" si="16"/>
        <v>0</v>
      </c>
      <c r="Q22" s="184">
        <f t="shared" si="17"/>
        <v>0</v>
      </c>
      <c r="R22" s="184">
        <v>0</v>
      </c>
      <c r="S22" s="184">
        <f t="shared" si="18"/>
        <v>0</v>
      </c>
      <c r="T22" s="185"/>
      <c r="U22" s="186">
        <f t="shared" si="19"/>
        <v>0</v>
      </c>
      <c r="V22" s="162"/>
      <c r="W22" s="77" t="s">
        <v>179</v>
      </c>
    </row>
    <row r="23" spans="2:23" ht="18" x14ac:dyDescent="0.35">
      <c r="B23" s="113"/>
      <c r="C23" s="114"/>
      <c r="D23" s="114"/>
      <c r="E23" s="183">
        <f t="shared" si="12"/>
        <v>0</v>
      </c>
      <c r="F23" s="184">
        <f t="shared" si="13"/>
        <v>0</v>
      </c>
      <c r="G23" s="184">
        <v>0</v>
      </c>
      <c r="H23" s="184">
        <f t="shared" si="14"/>
        <v>0</v>
      </c>
      <c r="I23" s="185"/>
      <c r="J23" s="186">
        <f t="shared" si="15"/>
        <v>0</v>
      </c>
      <c r="K23" s="162"/>
      <c r="L23" s="81">
        <f>+(I25+J25)/H25</f>
        <v>0.27898095238095239</v>
      </c>
      <c r="M23" s="113"/>
      <c r="N23" s="114"/>
      <c r="O23" s="114"/>
      <c r="P23" s="183">
        <f t="shared" si="16"/>
        <v>0</v>
      </c>
      <c r="Q23" s="184">
        <f t="shared" si="17"/>
        <v>0</v>
      </c>
      <c r="R23" s="184">
        <v>0</v>
      </c>
      <c r="S23" s="184">
        <f t="shared" si="18"/>
        <v>0</v>
      </c>
      <c r="T23" s="185"/>
      <c r="U23" s="186">
        <f t="shared" si="19"/>
        <v>0</v>
      </c>
      <c r="V23" s="162"/>
      <c r="W23" s="81">
        <f>+(T25+U25)/S25</f>
        <v>0.34389411764705879</v>
      </c>
    </row>
    <row r="24" spans="2:23" ht="21" customHeight="1" x14ac:dyDescent="0.35">
      <c r="B24" s="116"/>
      <c r="C24" s="117"/>
      <c r="D24" s="117"/>
      <c r="E24" s="118">
        <f t="shared" si="12"/>
        <v>0</v>
      </c>
      <c r="F24" s="119">
        <f t="shared" si="13"/>
        <v>0</v>
      </c>
      <c r="G24" s="119">
        <v>0</v>
      </c>
      <c r="H24" s="119">
        <f t="shared" si="14"/>
        <v>0</v>
      </c>
      <c r="I24" s="120"/>
      <c r="J24" s="187">
        <f t="shared" si="15"/>
        <v>0</v>
      </c>
      <c r="K24" s="165"/>
      <c r="L24" s="77" t="s">
        <v>180</v>
      </c>
      <c r="M24" s="116"/>
      <c r="N24" s="117"/>
      <c r="O24" s="117"/>
      <c r="P24" s="118">
        <f t="shared" si="16"/>
        <v>0</v>
      </c>
      <c r="Q24" s="119">
        <f t="shared" si="17"/>
        <v>0</v>
      </c>
      <c r="R24" s="119">
        <v>0</v>
      </c>
      <c r="S24" s="119">
        <f t="shared" si="18"/>
        <v>0</v>
      </c>
      <c r="T24" s="120"/>
      <c r="U24" s="187">
        <f t="shared" si="19"/>
        <v>0</v>
      </c>
      <c r="V24" s="165"/>
      <c r="W24" s="77" t="s">
        <v>180</v>
      </c>
    </row>
    <row r="25" spans="2:23" ht="21" customHeight="1" x14ac:dyDescent="0.35">
      <c r="B25" s="121"/>
      <c r="C25" s="118"/>
      <c r="D25" s="118"/>
      <c r="E25" s="118">
        <f t="shared" ref="E25:F25" si="20">SUM(E18:E24)</f>
        <v>42</v>
      </c>
      <c r="F25" s="119">
        <f t="shared" si="20"/>
        <v>42000</v>
      </c>
      <c r="G25" s="119"/>
      <c r="H25" s="119">
        <f t="shared" ref="H25:J25" si="21">SUM(H18:H24)</f>
        <v>42000</v>
      </c>
      <c r="I25" s="122">
        <f t="shared" si="21"/>
        <v>1780</v>
      </c>
      <c r="J25" s="122">
        <f t="shared" si="21"/>
        <v>9937.2000000000007</v>
      </c>
      <c r="K25" s="165">
        <f>+H25*0.6-I25-J25-G25</f>
        <v>13482.8</v>
      </c>
      <c r="L25" s="79">
        <f>+K25/H25</f>
        <v>0.32101904761904759</v>
      </c>
      <c r="M25" s="121"/>
      <c r="N25" s="118"/>
      <c r="O25" s="118"/>
      <c r="P25" s="118">
        <f t="shared" ref="P25:Q25" si="22">SUM(P18:P24)</f>
        <v>34</v>
      </c>
      <c r="Q25" s="119">
        <f t="shared" si="22"/>
        <v>34000</v>
      </c>
      <c r="R25" s="119"/>
      <c r="S25" s="119">
        <f t="shared" ref="S25:U25" si="23">SUM(S18:S24)</f>
        <v>34000</v>
      </c>
      <c r="T25" s="122">
        <f t="shared" si="23"/>
        <v>3648</v>
      </c>
      <c r="U25" s="122">
        <f t="shared" si="23"/>
        <v>8044.4</v>
      </c>
      <c r="V25" s="165">
        <f>+S25*0.6-T25-U25-R25</f>
        <v>8707.6</v>
      </c>
      <c r="W25" s="79">
        <f>+V25/S25</f>
        <v>0.25610588235294118</v>
      </c>
    </row>
    <row r="26" spans="2:23" ht="18" x14ac:dyDescent="0.35">
      <c r="B26" s="72"/>
      <c r="C26" s="69"/>
      <c r="D26" s="69"/>
      <c r="E26" s="69"/>
      <c r="F26" s="69"/>
      <c r="G26" s="73"/>
      <c r="H26" s="73"/>
      <c r="I26" s="73"/>
      <c r="J26" s="109" t="s">
        <v>182</v>
      </c>
      <c r="K26" s="110"/>
      <c r="L26" s="69"/>
      <c r="M26" s="72"/>
      <c r="N26" s="69"/>
      <c r="O26" s="69"/>
      <c r="P26" s="69"/>
      <c r="Q26" s="69"/>
      <c r="R26" s="73"/>
      <c r="S26" s="73"/>
      <c r="T26" s="73"/>
      <c r="U26" s="109" t="s">
        <v>182</v>
      </c>
      <c r="V26" s="110"/>
      <c r="W26" s="69"/>
    </row>
    <row r="27" spans="2:23" ht="18" x14ac:dyDescent="0.35">
      <c r="B27" s="190" t="s">
        <v>177</v>
      </c>
      <c r="C27" s="69"/>
      <c r="D27" s="69"/>
      <c r="E27" s="69"/>
      <c r="F27" s="69"/>
      <c r="G27" s="73"/>
      <c r="H27" s="73"/>
      <c r="I27" s="73"/>
      <c r="J27" s="80">
        <v>473.2</v>
      </c>
      <c r="K27" s="127"/>
      <c r="L27" s="69"/>
      <c r="M27" s="190" t="s">
        <v>175</v>
      </c>
      <c r="N27" s="69"/>
      <c r="O27" s="69"/>
      <c r="P27" s="69"/>
      <c r="Q27" s="69"/>
      <c r="R27" s="73"/>
      <c r="S27" s="73"/>
      <c r="T27" s="73"/>
      <c r="U27" s="80">
        <v>473.2</v>
      </c>
      <c r="V27" s="127"/>
      <c r="W27" s="69"/>
    </row>
    <row r="28" spans="2:23" ht="21" customHeight="1" x14ac:dyDescent="0.35">
      <c r="B28" s="82" t="s">
        <v>142</v>
      </c>
      <c r="C28" s="74" t="s">
        <v>162</v>
      </c>
      <c r="D28" s="74" t="s">
        <v>143</v>
      </c>
      <c r="E28" s="74" t="s">
        <v>144</v>
      </c>
      <c r="F28" s="74" t="s">
        <v>145</v>
      </c>
      <c r="G28" s="74" t="s">
        <v>163</v>
      </c>
      <c r="H28" s="74" t="s">
        <v>164</v>
      </c>
      <c r="I28" s="159" t="s">
        <v>165</v>
      </c>
      <c r="J28" s="75" t="s">
        <v>166</v>
      </c>
      <c r="K28" s="124" t="s">
        <v>146</v>
      </c>
      <c r="L28" s="69"/>
      <c r="M28" s="82" t="s">
        <v>142</v>
      </c>
      <c r="N28" s="74" t="s">
        <v>162</v>
      </c>
      <c r="O28" s="74" t="s">
        <v>143</v>
      </c>
      <c r="P28" s="74" t="s">
        <v>144</v>
      </c>
      <c r="Q28" s="74" t="s">
        <v>145</v>
      </c>
      <c r="R28" s="74" t="s">
        <v>163</v>
      </c>
      <c r="S28" s="74" t="s">
        <v>164</v>
      </c>
      <c r="T28" s="159" t="s">
        <v>165</v>
      </c>
      <c r="U28" s="75" t="s">
        <v>166</v>
      </c>
      <c r="V28" s="124" t="s">
        <v>146</v>
      </c>
      <c r="W28" s="69"/>
    </row>
    <row r="29" spans="2:23" ht="18" x14ac:dyDescent="0.35">
      <c r="B29" s="182">
        <v>45057</v>
      </c>
      <c r="C29" s="183">
        <v>3150</v>
      </c>
      <c r="D29" s="183">
        <v>3169</v>
      </c>
      <c r="E29" s="183">
        <f t="shared" ref="E29:E35" si="24">+D29-C29</f>
        <v>19</v>
      </c>
      <c r="F29" s="184">
        <f t="shared" ref="F29:F35" si="25">+E29*1000</f>
        <v>19000</v>
      </c>
      <c r="G29" s="184">
        <v>0</v>
      </c>
      <c r="H29" s="184">
        <f t="shared" ref="H29:H35" si="26">+F29-G29</f>
        <v>19000</v>
      </c>
      <c r="I29" s="112">
        <v>1050</v>
      </c>
      <c r="J29" s="186">
        <f t="shared" ref="J29:J35" si="27">+E29*$J$5/2</f>
        <v>4495.3999999999996</v>
      </c>
      <c r="K29" s="162"/>
      <c r="L29" s="69"/>
      <c r="M29" s="182">
        <v>45057</v>
      </c>
      <c r="N29" s="183">
        <v>5632</v>
      </c>
      <c r="O29" s="183">
        <v>5644</v>
      </c>
      <c r="P29" s="183">
        <f t="shared" ref="P29:P35" si="28">+O29-N29</f>
        <v>12</v>
      </c>
      <c r="Q29" s="184">
        <f t="shared" ref="Q29:Q35" si="29">+P29*1000</f>
        <v>12000</v>
      </c>
      <c r="R29" s="184">
        <v>0</v>
      </c>
      <c r="S29" s="184">
        <f t="shared" ref="S29:S35" si="30">+Q29-R29</f>
        <v>12000</v>
      </c>
      <c r="T29" s="112">
        <v>2400</v>
      </c>
      <c r="U29" s="186">
        <f t="shared" ref="U29:U35" si="31">+P29*$J$5/2</f>
        <v>2839.2</v>
      </c>
      <c r="V29" s="162"/>
      <c r="W29" s="69"/>
    </row>
    <row r="30" spans="2:23" ht="18" x14ac:dyDescent="0.35">
      <c r="B30" s="113">
        <v>45077</v>
      </c>
      <c r="C30" s="114">
        <v>3169</v>
      </c>
      <c r="D30" s="114">
        <v>3177</v>
      </c>
      <c r="E30" s="183">
        <f t="shared" si="24"/>
        <v>8</v>
      </c>
      <c r="F30" s="184">
        <f t="shared" si="25"/>
        <v>8000</v>
      </c>
      <c r="G30" s="184">
        <v>0</v>
      </c>
      <c r="H30" s="184">
        <f t="shared" si="26"/>
        <v>8000</v>
      </c>
      <c r="I30" s="185">
        <v>1050</v>
      </c>
      <c r="J30" s="186">
        <f t="shared" si="27"/>
        <v>1892.8</v>
      </c>
      <c r="K30" s="162"/>
      <c r="L30" s="69"/>
      <c r="M30" s="113">
        <v>45077</v>
      </c>
      <c r="N30" s="114">
        <v>5644</v>
      </c>
      <c r="O30" s="114">
        <v>5656</v>
      </c>
      <c r="P30" s="183">
        <f t="shared" si="28"/>
        <v>12</v>
      </c>
      <c r="Q30" s="184">
        <f t="shared" si="29"/>
        <v>12000</v>
      </c>
      <c r="R30" s="184">
        <v>0</v>
      </c>
      <c r="S30" s="184">
        <f t="shared" si="30"/>
        <v>12000</v>
      </c>
      <c r="T30" s="185"/>
      <c r="U30" s="186">
        <f t="shared" si="31"/>
        <v>2839.2</v>
      </c>
      <c r="V30" s="162"/>
      <c r="W30" s="69"/>
    </row>
    <row r="31" spans="2:23" ht="18" x14ac:dyDescent="0.35">
      <c r="B31" s="113">
        <v>45085</v>
      </c>
      <c r="C31" s="114">
        <v>3177</v>
      </c>
      <c r="D31" s="114">
        <v>3179</v>
      </c>
      <c r="E31" s="183">
        <f t="shared" si="24"/>
        <v>2</v>
      </c>
      <c r="F31" s="184">
        <f t="shared" si="25"/>
        <v>2000</v>
      </c>
      <c r="G31" s="184">
        <v>0</v>
      </c>
      <c r="H31" s="184">
        <f t="shared" si="26"/>
        <v>2000</v>
      </c>
      <c r="I31" s="185"/>
      <c r="J31" s="186">
        <f t="shared" si="27"/>
        <v>473.2</v>
      </c>
      <c r="K31" s="162"/>
      <c r="L31" s="69"/>
      <c r="M31" s="113">
        <v>45085</v>
      </c>
      <c r="N31" s="114">
        <v>5656</v>
      </c>
      <c r="O31" s="114">
        <v>5676</v>
      </c>
      <c r="P31" s="183">
        <f t="shared" si="28"/>
        <v>20</v>
      </c>
      <c r="Q31" s="184">
        <f t="shared" si="29"/>
        <v>20000</v>
      </c>
      <c r="R31" s="184">
        <v>0</v>
      </c>
      <c r="S31" s="184">
        <f t="shared" si="30"/>
        <v>20000</v>
      </c>
      <c r="T31" s="185"/>
      <c r="U31" s="186">
        <f t="shared" si="31"/>
        <v>4732</v>
      </c>
      <c r="V31" s="162"/>
      <c r="W31" s="69"/>
    </row>
    <row r="32" spans="2:23" ht="18" x14ac:dyDescent="0.35">
      <c r="B32" s="113">
        <v>45097</v>
      </c>
      <c r="C32" s="114">
        <v>3179</v>
      </c>
      <c r="D32" s="114">
        <v>3188</v>
      </c>
      <c r="E32" s="183">
        <f t="shared" si="24"/>
        <v>9</v>
      </c>
      <c r="F32" s="184">
        <f t="shared" si="25"/>
        <v>9000</v>
      </c>
      <c r="G32" s="184">
        <v>0</v>
      </c>
      <c r="H32" s="184">
        <f t="shared" si="26"/>
        <v>9000</v>
      </c>
      <c r="I32" s="185">
        <v>1950</v>
      </c>
      <c r="J32" s="186">
        <f t="shared" si="27"/>
        <v>2129.4</v>
      </c>
      <c r="K32" s="162"/>
      <c r="L32" s="69"/>
      <c r="M32" s="113">
        <v>45097</v>
      </c>
      <c r="N32" s="114">
        <v>5676</v>
      </c>
      <c r="O32" s="114">
        <v>5748</v>
      </c>
      <c r="P32" s="183">
        <f t="shared" si="28"/>
        <v>72</v>
      </c>
      <c r="Q32" s="184">
        <f t="shared" si="29"/>
        <v>72000</v>
      </c>
      <c r="R32" s="184">
        <v>0</v>
      </c>
      <c r="S32" s="184">
        <f t="shared" si="30"/>
        <v>72000</v>
      </c>
      <c r="T32" s="185">
        <v>19800</v>
      </c>
      <c r="U32" s="186">
        <f t="shared" si="31"/>
        <v>17035.2</v>
      </c>
      <c r="V32" s="162"/>
      <c r="W32" s="69"/>
    </row>
    <row r="33" spans="2:23" ht="18" x14ac:dyDescent="0.35">
      <c r="B33" s="113"/>
      <c r="C33" s="114"/>
      <c r="D33" s="114"/>
      <c r="E33" s="183">
        <f t="shared" si="24"/>
        <v>0</v>
      </c>
      <c r="F33" s="184">
        <f t="shared" si="25"/>
        <v>0</v>
      </c>
      <c r="G33" s="184">
        <v>0</v>
      </c>
      <c r="H33" s="184">
        <f t="shared" si="26"/>
        <v>0</v>
      </c>
      <c r="I33" s="185"/>
      <c r="J33" s="186">
        <f t="shared" si="27"/>
        <v>0</v>
      </c>
      <c r="K33" s="162"/>
      <c r="L33" s="77" t="s">
        <v>179</v>
      </c>
      <c r="M33" s="113"/>
      <c r="N33" s="114"/>
      <c r="O33" s="114"/>
      <c r="P33" s="183">
        <f t="shared" si="28"/>
        <v>0</v>
      </c>
      <c r="Q33" s="184">
        <f t="shared" si="29"/>
        <v>0</v>
      </c>
      <c r="R33" s="184">
        <v>0</v>
      </c>
      <c r="S33" s="184">
        <f t="shared" si="30"/>
        <v>0</v>
      </c>
      <c r="T33" s="185"/>
      <c r="U33" s="186">
        <f t="shared" si="31"/>
        <v>0</v>
      </c>
      <c r="V33" s="162"/>
      <c r="W33" s="77" t="s">
        <v>179</v>
      </c>
    </row>
    <row r="34" spans="2:23" ht="18" x14ac:dyDescent="0.35">
      <c r="B34" s="113"/>
      <c r="C34" s="114"/>
      <c r="D34" s="114"/>
      <c r="E34" s="183">
        <f t="shared" si="24"/>
        <v>0</v>
      </c>
      <c r="F34" s="184">
        <f t="shared" si="25"/>
        <v>0</v>
      </c>
      <c r="G34" s="184">
        <v>0</v>
      </c>
      <c r="H34" s="184">
        <f t="shared" si="26"/>
        <v>0</v>
      </c>
      <c r="I34" s="185"/>
      <c r="J34" s="186">
        <f t="shared" si="27"/>
        <v>0</v>
      </c>
      <c r="K34" s="162"/>
      <c r="L34" s="81">
        <f>+(I36+J36)/H36</f>
        <v>0.34317894736842103</v>
      </c>
      <c r="M34" s="113"/>
      <c r="N34" s="114"/>
      <c r="O34" s="114"/>
      <c r="P34" s="183">
        <f t="shared" si="28"/>
        <v>0</v>
      </c>
      <c r="Q34" s="184">
        <f t="shared" si="29"/>
        <v>0</v>
      </c>
      <c r="R34" s="184">
        <v>0</v>
      </c>
      <c r="S34" s="184">
        <f t="shared" si="30"/>
        <v>0</v>
      </c>
      <c r="T34" s="185"/>
      <c r="U34" s="186">
        <f t="shared" si="31"/>
        <v>0</v>
      </c>
      <c r="V34" s="162"/>
      <c r="W34" s="81">
        <f>+(T36+U36)/S36</f>
        <v>0.42797931034482756</v>
      </c>
    </row>
    <row r="35" spans="2:23" ht="21" customHeight="1" x14ac:dyDescent="0.35">
      <c r="B35" s="116"/>
      <c r="C35" s="117"/>
      <c r="D35" s="117"/>
      <c r="E35" s="118">
        <f t="shared" si="24"/>
        <v>0</v>
      </c>
      <c r="F35" s="119">
        <f t="shared" si="25"/>
        <v>0</v>
      </c>
      <c r="G35" s="119">
        <v>0</v>
      </c>
      <c r="H35" s="119">
        <f t="shared" si="26"/>
        <v>0</v>
      </c>
      <c r="I35" s="120"/>
      <c r="J35" s="187">
        <f t="shared" si="27"/>
        <v>0</v>
      </c>
      <c r="K35" s="165"/>
      <c r="L35" s="77" t="s">
        <v>180</v>
      </c>
      <c r="M35" s="116"/>
      <c r="N35" s="117"/>
      <c r="O35" s="117"/>
      <c r="P35" s="118">
        <f t="shared" si="28"/>
        <v>0</v>
      </c>
      <c r="Q35" s="119">
        <f t="shared" si="29"/>
        <v>0</v>
      </c>
      <c r="R35" s="119">
        <v>0</v>
      </c>
      <c r="S35" s="119">
        <f t="shared" si="30"/>
        <v>0</v>
      </c>
      <c r="T35" s="120"/>
      <c r="U35" s="187">
        <f t="shared" si="31"/>
        <v>0</v>
      </c>
      <c r="V35" s="165"/>
      <c r="W35" s="77" t="s">
        <v>180</v>
      </c>
    </row>
    <row r="36" spans="2:23" ht="21" customHeight="1" x14ac:dyDescent="0.35">
      <c r="B36" s="121"/>
      <c r="C36" s="118"/>
      <c r="D36" s="118"/>
      <c r="E36" s="118">
        <f t="shared" ref="E36:F36" si="32">SUM(E29:E35)</f>
        <v>38</v>
      </c>
      <c r="F36" s="119">
        <f t="shared" si="32"/>
        <v>38000</v>
      </c>
      <c r="G36" s="119"/>
      <c r="H36" s="119">
        <f t="shared" ref="H36:J36" si="33">SUM(H29:H35)</f>
        <v>38000</v>
      </c>
      <c r="I36" s="122">
        <f t="shared" si="33"/>
        <v>4050</v>
      </c>
      <c r="J36" s="122">
        <f t="shared" si="33"/>
        <v>8990.7999999999993</v>
      </c>
      <c r="K36" s="165">
        <f>+H36*0.6-I36-J36-G36</f>
        <v>9759.2000000000007</v>
      </c>
      <c r="L36" s="79">
        <f>+K36/H36</f>
        <v>0.25682105263157895</v>
      </c>
      <c r="M36" s="121"/>
      <c r="N36" s="118"/>
      <c r="O36" s="118"/>
      <c r="P36" s="118">
        <f t="shared" ref="P36:Q36" si="34">SUM(P29:P35)</f>
        <v>116</v>
      </c>
      <c r="Q36" s="119">
        <f t="shared" si="34"/>
        <v>116000</v>
      </c>
      <c r="R36" s="119"/>
      <c r="S36" s="119">
        <f t="shared" ref="S36:U36" si="35">SUM(S29:S35)</f>
        <v>116000</v>
      </c>
      <c r="T36" s="122">
        <f t="shared" si="35"/>
        <v>22200</v>
      </c>
      <c r="U36" s="122">
        <f t="shared" si="35"/>
        <v>27445.599999999999</v>
      </c>
      <c r="V36" s="165">
        <f>+S36*0.6-T36-U36-R36</f>
        <v>19954.400000000001</v>
      </c>
      <c r="W36" s="79">
        <f>+V36/S36</f>
        <v>0.17202068965517242</v>
      </c>
    </row>
    <row r="37" spans="2:23" ht="18" x14ac:dyDescent="0.35">
      <c r="B37" s="72"/>
      <c r="C37" s="69"/>
      <c r="D37" s="69"/>
      <c r="E37" s="69"/>
      <c r="F37" s="69"/>
      <c r="G37" s="73"/>
      <c r="H37" s="73"/>
      <c r="I37" s="73"/>
      <c r="J37" s="109" t="s">
        <v>182</v>
      </c>
      <c r="K37" s="110"/>
      <c r="L37" s="69"/>
      <c r="M37" s="72"/>
      <c r="N37" s="69"/>
      <c r="O37" s="69"/>
      <c r="P37" s="69"/>
      <c r="Q37" s="69"/>
      <c r="R37" s="73"/>
      <c r="S37" s="73"/>
      <c r="T37" s="73"/>
      <c r="U37" s="109" t="s">
        <v>182</v>
      </c>
      <c r="V37" s="110"/>
      <c r="W37" s="69"/>
    </row>
    <row r="38" spans="2:23" ht="18" x14ac:dyDescent="0.35">
      <c r="B38" s="190" t="s">
        <v>177</v>
      </c>
      <c r="C38" s="69"/>
      <c r="D38" s="69"/>
      <c r="E38" s="69"/>
      <c r="F38" s="69"/>
      <c r="G38" s="73"/>
      <c r="H38" s="73"/>
      <c r="I38" s="73"/>
      <c r="J38" s="80">
        <v>473.2</v>
      </c>
      <c r="K38" s="127"/>
      <c r="L38" s="69"/>
      <c r="M38" s="190" t="s">
        <v>175</v>
      </c>
      <c r="N38" s="69"/>
      <c r="O38" s="69"/>
      <c r="P38" s="69"/>
      <c r="Q38" s="69"/>
      <c r="R38" s="73"/>
      <c r="S38" s="73"/>
      <c r="T38" s="73"/>
      <c r="U38" s="80">
        <v>473.2</v>
      </c>
      <c r="V38" s="127"/>
      <c r="W38" s="69"/>
    </row>
    <row r="39" spans="2:23" ht="21" customHeight="1" x14ac:dyDescent="0.35">
      <c r="B39" s="82" t="s">
        <v>142</v>
      </c>
      <c r="C39" s="74" t="s">
        <v>162</v>
      </c>
      <c r="D39" s="74" t="s">
        <v>143</v>
      </c>
      <c r="E39" s="74" t="s">
        <v>144</v>
      </c>
      <c r="F39" s="74" t="s">
        <v>145</v>
      </c>
      <c r="G39" s="74" t="s">
        <v>163</v>
      </c>
      <c r="H39" s="74" t="s">
        <v>164</v>
      </c>
      <c r="I39" s="159" t="s">
        <v>165</v>
      </c>
      <c r="J39" s="75" t="s">
        <v>166</v>
      </c>
      <c r="K39" s="124" t="s">
        <v>146</v>
      </c>
      <c r="L39" s="69"/>
      <c r="M39" s="82" t="s">
        <v>142</v>
      </c>
      <c r="N39" s="74" t="s">
        <v>162</v>
      </c>
      <c r="O39" s="74" t="s">
        <v>143</v>
      </c>
      <c r="P39" s="74" t="s">
        <v>144</v>
      </c>
      <c r="Q39" s="74" t="s">
        <v>145</v>
      </c>
      <c r="R39" s="74" t="s">
        <v>163</v>
      </c>
      <c r="S39" s="74" t="s">
        <v>164</v>
      </c>
      <c r="T39" s="159" t="s">
        <v>165</v>
      </c>
      <c r="U39" s="75" t="s">
        <v>166</v>
      </c>
      <c r="V39" s="124" t="s">
        <v>146</v>
      </c>
      <c r="W39" s="69"/>
    </row>
    <row r="40" spans="2:23" ht="18" x14ac:dyDescent="0.35">
      <c r="B40" s="182">
        <v>45105</v>
      </c>
      <c r="C40" s="183">
        <v>3188</v>
      </c>
      <c r="D40" s="183">
        <v>3194</v>
      </c>
      <c r="E40" s="183">
        <f t="shared" ref="E40:E46" si="36">+D40-C40</f>
        <v>6</v>
      </c>
      <c r="F40" s="184">
        <f t="shared" ref="F40:F46" si="37">+E40*1000</f>
        <v>6000</v>
      </c>
      <c r="G40" s="184">
        <v>0</v>
      </c>
      <c r="H40" s="184">
        <f t="shared" ref="H40:H46" si="38">+F40-G40</f>
        <v>6000</v>
      </c>
      <c r="I40" s="112"/>
      <c r="J40" s="186">
        <f t="shared" ref="J40:J46" si="39">+E40*$J$5/2</f>
        <v>1419.6</v>
      </c>
      <c r="K40" s="162"/>
      <c r="L40" s="69"/>
      <c r="M40" s="182">
        <v>45105</v>
      </c>
      <c r="N40" s="183">
        <v>5748</v>
      </c>
      <c r="O40" s="183">
        <v>5758</v>
      </c>
      <c r="P40" s="183">
        <f t="shared" ref="P40:P46" si="40">+O40-N40</f>
        <v>10</v>
      </c>
      <c r="Q40" s="184">
        <f t="shared" ref="Q40:Q46" si="41">+P40*1000</f>
        <v>10000</v>
      </c>
      <c r="R40" s="184">
        <v>0</v>
      </c>
      <c r="S40" s="184">
        <f t="shared" ref="S40:S46" si="42">+Q40-R40</f>
        <v>10000</v>
      </c>
      <c r="T40" s="112"/>
      <c r="U40" s="186">
        <f t="shared" ref="U40:U46" si="43">+P40*$J$5/2</f>
        <v>2366</v>
      </c>
      <c r="V40" s="162"/>
      <c r="W40" s="69"/>
    </row>
    <row r="41" spans="2:23" ht="18" x14ac:dyDescent="0.35">
      <c r="B41" s="113">
        <v>45112</v>
      </c>
      <c r="C41" s="114">
        <v>3194</v>
      </c>
      <c r="D41" s="114">
        <v>3201</v>
      </c>
      <c r="E41" s="183">
        <f t="shared" si="36"/>
        <v>7</v>
      </c>
      <c r="F41" s="184">
        <f t="shared" si="37"/>
        <v>7000</v>
      </c>
      <c r="G41" s="184">
        <v>0</v>
      </c>
      <c r="H41" s="184">
        <f t="shared" si="38"/>
        <v>7000</v>
      </c>
      <c r="I41" s="185"/>
      <c r="J41" s="186">
        <f t="shared" si="39"/>
        <v>1656.2</v>
      </c>
      <c r="K41" s="162"/>
      <c r="L41" s="69"/>
      <c r="M41" s="113">
        <v>45112</v>
      </c>
      <c r="N41" s="114">
        <v>5758</v>
      </c>
      <c r="O41" s="114">
        <v>5794</v>
      </c>
      <c r="P41" s="183">
        <f t="shared" si="40"/>
        <v>36</v>
      </c>
      <c r="Q41" s="184">
        <f t="shared" si="41"/>
        <v>36000</v>
      </c>
      <c r="R41" s="184">
        <v>0</v>
      </c>
      <c r="S41" s="184">
        <f t="shared" si="42"/>
        <v>36000</v>
      </c>
      <c r="T41" s="185"/>
      <c r="U41" s="186">
        <f t="shared" si="43"/>
        <v>8517.6</v>
      </c>
      <c r="V41" s="162"/>
      <c r="W41" s="69"/>
    </row>
    <row r="42" spans="2:23" ht="18" x14ac:dyDescent="0.35">
      <c r="B42" s="113">
        <v>45121</v>
      </c>
      <c r="C42" s="114">
        <v>3201</v>
      </c>
      <c r="D42" s="114">
        <v>3216</v>
      </c>
      <c r="E42" s="183">
        <f t="shared" si="36"/>
        <v>15</v>
      </c>
      <c r="F42" s="184">
        <f t="shared" si="37"/>
        <v>15000</v>
      </c>
      <c r="G42" s="184">
        <v>0</v>
      </c>
      <c r="H42" s="184">
        <f t="shared" si="38"/>
        <v>15000</v>
      </c>
      <c r="I42" s="185"/>
      <c r="J42" s="186">
        <f t="shared" si="39"/>
        <v>3549</v>
      </c>
      <c r="K42" s="162"/>
      <c r="L42" s="69"/>
      <c r="M42" s="113">
        <v>45121</v>
      </c>
      <c r="N42" s="114">
        <v>5794</v>
      </c>
      <c r="O42" s="114">
        <v>5802</v>
      </c>
      <c r="P42" s="183">
        <f t="shared" si="40"/>
        <v>8</v>
      </c>
      <c r="Q42" s="184">
        <f t="shared" si="41"/>
        <v>8000</v>
      </c>
      <c r="R42" s="184">
        <v>0</v>
      </c>
      <c r="S42" s="184">
        <f t="shared" si="42"/>
        <v>8000</v>
      </c>
      <c r="T42" s="185"/>
      <c r="U42" s="186">
        <f t="shared" si="43"/>
        <v>1892.8</v>
      </c>
      <c r="V42" s="162"/>
      <c r="W42" s="69"/>
    </row>
    <row r="43" spans="2:23" ht="18" x14ac:dyDescent="0.35">
      <c r="B43" s="113"/>
      <c r="C43" s="114"/>
      <c r="D43" s="114"/>
      <c r="E43" s="183">
        <f t="shared" si="36"/>
        <v>0</v>
      </c>
      <c r="F43" s="184">
        <f t="shared" si="37"/>
        <v>0</v>
      </c>
      <c r="G43" s="184">
        <v>0</v>
      </c>
      <c r="H43" s="184">
        <f t="shared" si="38"/>
        <v>0</v>
      </c>
      <c r="I43" s="185"/>
      <c r="J43" s="186">
        <f t="shared" si="39"/>
        <v>0</v>
      </c>
      <c r="K43" s="162"/>
      <c r="L43" s="69"/>
      <c r="M43" s="113"/>
      <c r="N43" s="114"/>
      <c r="O43" s="114"/>
      <c r="P43" s="183">
        <f t="shared" si="40"/>
        <v>0</v>
      </c>
      <c r="Q43" s="184">
        <f t="shared" si="41"/>
        <v>0</v>
      </c>
      <c r="R43" s="184">
        <v>0</v>
      </c>
      <c r="S43" s="184">
        <f t="shared" si="42"/>
        <v>0</v>
      </c>
      <c r="T43" s="185"/>
      <c r="U43" s="186">
        <f t="shared" si="43"/>
        <v>0</v>
      </c>
      <c r="V43" s="162"/>
      <c r="W43" s="69"/>
    </row>
    <row r="44" spans="2:23" ht="18" x14ac:dyDescent="0.35">
      <c r="B44" s="113"/>
      <c r="C44" s="114"/>
      <c r="D44" s="114"/>
      <c r="E44" s="183">
        <f t="shared" si="36"/>
        <v>0</v>
      </c>
      <c r="F44" s="184">
        <f t="shared" si="37"/>
        <v>0</v>
      </c>
      <c r="G44" s="184">
        <v>0</v>
      </c>
      <c r="H44" s="184">
        <f t="shared" si="38"/>
        <v>0</v>
      </c>
      <c r="I44" s="185"/>
      <c r="J44" s="186">
        <f t="shared" si="39"/>
        <v>0</v>
      </c>
      <c r="K44" s="162"/>
      <c r="L44" s="77" t="s">
        <v>179</v>
      </c>
      <c r="M44" s="113"/>
      <c r="N44" s="114"/>
      <c r="O44" s="114"/>
      <c r="P44" s="183">
        <f t="shared" si="40"/>
        <v>0</v>
      </c>
      <c r="Q44" s="184">
        <f t="shared" si="41"/>
        <v>0</v>
      </c>
      <c r="R44" s="184">
        <v>0</v>
      </c>
      <c r="S44" s="184">
        <f t="shared" si="42"/>
        <v>0</v>
      </c>
      <c r="T44" s="185"/>
      <c r="U44" s="186">
        <f t="shared" si="43"/>
        <v>0</v>
      </c>
      <c r="V44" s="162"/>
      <c r="W44" s="77" t="s">
        <v>179</v>
      </c>
    </row>
    <row r="45" spans="2:23" ht="18" x14ac:dyDescent="0.35">
      <c r="B45" s="113"/>
      <c r="C45" s="114"/>
      <c r="D45" s="114"/>
      <c r="E45" s="183">
        <f t="shared" si="36"/>
        <v>0</v>
      </c>
      <c r="F45" s="184">
        <f t="shared" si="37"/>
        <v>0</v>
      </c>
      <c r="G45" s="184">
        <v>0</v>
      </c>
      <c r="H45" s="184">
        <f t="shared" si="38"/>
        <v>0</v>
      </c>
      <c r="I45" s="185"/>
      <c r="J45" s="186">
        <f t="shared" si="39"/>
        <v>0</v>
      </c>
      <c r="K45" s="162"/>
      <c r="L45" s="81">
        <f>+(I47+J47)/H47</f>
        <v>0.2366</v>
      </c>
      <c r="M45" s="113"/>
      <c r="N45" s="114"/>
      <c r="O45" s="114"/>
      <c r="P45" s="183">
        <f t="shared" si="40"/>
        <v>0</v>
      </c>
      <c r="Q45" s="184">
        <f t="shared" si="41"/>
        <v>0</v>
      </c>
      <c r="R45" s="184">
        <v>0</v>
      </c>
      <c r="S45" s="184">
        <f t="shared" si="42"/>
        <v>0</v>
      </c>
      <c r="T45" s="185"/>
      <c r="U45" s="186">
        <f t="shared" si="43"/>
        <v>0</v>
      </c>
      <c r="V45" s="162"/>
      <c r="W45" s="81">
        <f>+(T47+U47)/S47</f>
        <v>0.2366</v>
      </c>
    </row>
    <row r="46" spans="2:23" ht="21" customHeight="1" x14ac:dyDescent="0.35">
      <c r="B46" s="116"/>
      <c r="C46" s="117"/>
      <c r="D46" s="117"/>
      <c r="E46" s="118">
        <f t="shared" si="36"/>
        <v>0</v>
      </c>
      <c r="F46" s="119">
        <f t="shared" si="37"/>
        <v>0</v>
      </c>
      <c r="G46" s="119">
        <v>0</v>
      </c>
      <c r="H46" s="119">
        <f t="shared" si="38"/>
        <v>0</v>
      </c>
      <c r="I46" s="120"/>
      <c r="J46" s="187">
        <f t="shared" si="39"/>
        <v>0</v>
      </c>
      <c r="K46" s="165"/>
      <c r="L46" s="77" t="s">
        <v>180</v>
      </c>
      <c r="M46" s="116"/>
      <c r="N46" s="117"/>
      <c r="O46" s="117"/>
      <c r="P46" s="118">
        <f t="shared" si="40"/>
        <v>0</v>
      </c>
      <c r="Q46" s="119">
        <f t="shared" si="41"/>
        <v>0</v>
      </c>
      <c r="R46" s="119">
        <v>0</v>
      </c>
      <c r="S46" s="119">
        <f t="shared" si="42"/>
        <v>0</v>
      </c>
      <c r="T46" s="120"/>
      <c r="U46" s="187">
        <f t="shared" si="43"/>
        <v>0</v>
      </c>
      <c r="V46" s="165"/>
      <c r="W46" s="77" t="s">
        <v>180</v>
      </c>
    </row>
    <row r="47" spans="2:23" ht="21" customHeight="1" x14ac:dyDescent="0.35">
      <c r="B47" s="121"/>
      <c r="C47" s="118"/>
      <c r="D47" s="118"/>
      <c r="E47" s="118">
        <f t="shared" ref="E47:F47" si="44">SUM(E40:E46)</f>
        <v>28</v>
      </c>
      <c r="F47" s="119">
        <f t="shared" si="44"/>
        <v>28000</v>
      </c>
      <c r="G47" s="119"/>
      <c r="H47" s="119">
        <f t="shared" ref="H47:J47" si="45">SUM(H40:H46)</f>
        <v>28000</v>
      </c>
      <c r="I47" s="122">
        <f t="shared" si="45"/>
        <v>0</v>
      </c>
      <c r="J47" s="122">
        <f t="shared" si="45"/>
        <v>6624.8</v>
      </c>
      <c r="K47" s="165">
        <f>+H47*0.6-I47-J47-G47</f>
        <v>10175.200000000001</v>
      </c>
      <c r="L47" s="79">
        <f>+K47/H47</f>
        <v>0.3634</v>
      </c>
      <c r="M47" s="121"/>
      <c r="N47" s="118"/>
      <c r="O47" s="118"/>
      <c r="P47" s="118">
        <f t="shared" ref="P47:Q47" si="46">SUM(P40:P46)</f>
        <v>54</v>
      </c>
      <c r="Q47" s="119">
        <f t="shared" si="46"/>
        <v>54000</v>
      </c>
      <c r="R47" s="119"/>
      <c r="S47" s="119">
        <f t="shared" ref="S47:U47" si="47">SUM(S40:S46)</f>
        <v>54000</v>
      </c>
      <c r="T47" s="122">
        <f t="shared" si="47"/>
        <v>0</v>
      </c>
      <c r="U47" s="122">
        <f t="shared" si="47"/>
        <v>12776.4</v>
      </c>
      <c r="V47" s="165">
        <f>+S47*0.6-T47-U47-R47</f>
        <v>19623.599999999999</v>
      </c>
      <c r="W47" s="79">
        <f>+V47/S47</f>
        <v>0.3634</v>
      </c>
    </row>
    <row r="48" spans="2:23" ht="15.75" customHeight="1" x14ac:dyDescent="0.35">
      <c r="B48" s="72"/>
      <c r="C48" s="69"/>
      <c r="D48" s="69"/>
      <c r="E48" s="69"/>
      <c r="F48" s="69"/>
      <c r="G48" s="73"/>
      <c r="H48" s="73"/>
      <c r="I48" s="73"/>
      <c r="J48" s="109" t="s">
        <v>182</v>
      </c>
      <c r="K48" s="110"/>
      <c r="L48" s="69"/>
      <c r="M48" s="72"/>
      <c r="N48" s="69"/>
      <c r="O48" s="69"/>
      <c r="P48" s="69"/>
      <c r="Q48" s="69"/>
      <c r="R48" s="73"/>
      <c r="S48" s="73"/>
      <c r="T48" s="73"/>
      <c r="U48" s="109" t="s">
        <v>182</v>
      </c>
      <c r="V48" s="110"/>
      <c r="W48" s="69"/>
    </row>
    <row r="49" spans="2:23" ht="15.75" customHeight="1" thickBot="1" x14ac:dyDescent="0.4">
      <c r="B49" s="205" t="s">
        <v>177</v>
      </c>
      <c r="C49" s="69"/>
      <c r="D49" s="69"/>
      <c r="E49" s="69"/>
      <c r="F49" s="69"/>
      <c r="G49" s="73"/>
      <c r="H49" s="73"/>
      <c r="I49" s="73"/>
      <c r="J49" s="80">
        <v>473.2</v>
      </c>
      <c r="K49" s="127"/>
      <c r="L49" s="69"/>
      <c r="M49" s="205" t="s">
        <v>175</v>
      </c>
      <c r="N49" s="69"/>
      <c r="O49" s="69"/>
      <c r="P49" s="69"/>
      <c r="Q49" s="69"/>
      <c r="R49" s="73"/>
      <c r="S49" s="73"/>
      <c r="T49" s="73"/>
      <c r="U49" s="80">
        <v>473.2</v>
      </c>
      <c r="V49" s="127"/>
      <c r="W49" s="69"/>
    </row>
    <row r="50" spans="2:23" ht="15.75" customHeight="1" thickBot="1" x14ac:dyDescent="0.4">
      <c r="B50" s="82" t="s">
        <v>142</v>
      </c>
      <c r="C50" s="74" t="s">
        <v>162</v>
      </c>
      <c r="D50" s="74" t="s">
        <v>143</v>
      </c>
      <c r="E50" s="74" t="s">
        <v>144</v>
      </c>
      <c r="F50" s="74" t="s">
        <v>145</v>
      </c>
      <c r="G50" s="74" t="s">
        <v>163</v>
      </c>
      <c r="H50" s="74" t="s">
        <v>164</v>
      </c>
      <c r="I50" s="159" t="s">
        <v>165</v>
      </c>
      <c r="J50" s="75" t="s">
        <v>166</v>
      </c>
      <c r="K50" s="124" t="s">
        <v>146</v>
      </c>
      <c r="L50" s="69"/>
      <c r="M50" s="82" t="s">
        <v>142</v>
      </c>
      <c r="N50" s="74" t="s">
        <v>162</v>
      </c>
      <c r="O50" s="74" t="s">
        <v>143</v>
      </c>
      <c r="P50" s="74" t="s">
        <v>144</v>
      </c>
      <c r="Q50" s="74" t="s">
        <v>145</v>
      </c>
      <c r="R50" s="74" t="s">
        <v>163</v>
      </c>
      <c r="S50" s="74" t="s">
        <v>164</v>
      </c>
      <c r="T50" s="159" t="s">
        <v>165</v>
      </c>
      <c r="U50" s="75" t="s">
        <v>166</v>
      </c>
      <c r="V50" s="124" t="s">
        <v>146</v>
      </c>
      <c r="W50" s="69"/>
    </row>
    <row r="51" spans="2:23" ht="15.75" customHeight="1" x14ac:dyDescent="0.35">
      <c r="B51" s="113">
        <v>45138</v>
      </c>
      <c r="C51" s="114">
        <v>3216</v>
      </c>
      <c r="D51" s="114">
        <v>3239</v>
      </c>
      <c r="E51" s="183">
        <f>+D51-C51</f>
        <v>23</v>
      </c>
      <c r="F51" s="184">
        <f>+E51*1000</f>
        <v>23000</v>
      </c>
      <c r="G51" s="184">
        <v>0</v>
      </c>
      <c r="H51" s="184">
        <f>+F51-G51</f>
        <v>23000</v>
      </c>
      <c r="I51" s="185"/>
      <c r="J51" s="186">
        <f>+E51*$J$5/2</f>
        <v>5441.8</v>
      </c>
      <c r="K51" s="162"/>
      <c r="L51" s="69"/>
      <c r="M51" s="113">
        <v>45138</v>
      </c>
      <c r="N51" s="114">
        <v>5802</v>
      </c>
      <c r="O51" s="114">
        <v>5830</v>
      </c>
      <c r="P51" s="183">
        <f>+O51-N51</f>
        <v>28</v>
      </c>
      <c r="Q51" s="184">
        <f>+P51*1000</f>
        <v>28000</v>
      </c>
      <c r="R51" s="184">
        <v>0</v>
      </c>
      <c r="S51" s="184">
        <f>+Q51-R51</f>
        <v>28000</v>
      </c>
      <c r="T51" s="185"/>
      <c r="U51" s="186">
        <f>+P51*$J$5/2</f>
        <v>6624.8</v>
      </c>
      <c r="V51" s="162"/>
      <c r="W51" s="69"/>
    </row>
    <row r="52" spans="2:23" ht="15.75" customHeight="1" x14ac:dyDescent="0.35">
      <c r="B52" s="113">
        <v>45154</v>
      </c>
      <c r="C52" s="114">
        <v>3239</v>
      </c>
      <c r="D52" s="114">
        <v>3269</v>
      </c>
      <c r="E52" s="183">
        <f>+D52-C52</f>
        <v>30</v>
      </c>
      <c r="F52" s="184">
        <f>+E52*1000</f>
        <v>30000</v>
      </c>
      <c r="G52" s="184">
        <v>0</v>
      </c>
      <c r="H52" s="184">
        <f>+F52-G52</f>
        <v>30000</v>
      </c>
      <c r="I52" s="185"/>
      <c r="J52" s="186">
        <f>+E52*$J$5/2</f>
        <v>7098</v>
      </c>
      <c r="K52" s="162"/>
      <c r="L52" s="77" t="s">
        <v>179</v>
      </c>
      <c r="M52" s="113">
        <v>45154</v>
      </c>
      <c r="N52" s="114">
        <v>5830</v>
      </c>
      <c r="O52" s="114">
        <v>5904</v>
      </c>
      <c r="P52" s="183">
        <f>+O52-N52</f>
        <v>74</v>
      </c>
      <c r="Q52" s="184">
        <f>+P52*1000</f>
        <v>74000</v>
      </c>
      <c r="R52" s="184">
        <v>0</v>
      </c>
      <c r="S52" s="184">
        <f>+Q52-R52</f>
        <v>74000</v>
      </c>
      <c r="T52" s="185"/>
      <c r="U52" s="186">
        <f>+P52*$J$5/2</f>
        <v>17508.399999999998</v>
      </c>
      <c r="V52" s="162"/>
      <c r="W52" s="77" t="s">
        <v>179</v>
      </c>
    </row>
    <row r="53" spans="2:23" ht="15.75" customHeight="1" x14ac:dyDescent="0.35">
      <c r="B53" s="113"/>
      <c r="C53" s="114"/>
      <c r="D53" s="114"/>
      <c r="E53" s="183">
        <f>+D53-C53</f>
        <v>0</v>
      </c>
      <c r="F53" s="184">
        <f>+E53*1000</f>
        <v>0</v>
      </c>
      <c r="G53" s="184">
        <v>0</v>
      </c>
      <c r="H53" s="184">
        <f>+F53-G53</f>
        <v>0</v>
      </c>
      <c r="I53" s="185"/>
      <c r="J53" s="186">
        <f>+E53*$J$5/2</f>
        <v>0</v>
      </c>
      <c r="K53" s="162"/>
      <c r="L53" s="81">
        <f>+(I55+J55)/H55</f>
        <v>0.23659999999999998</v>
      </c>
      <c r="M53" s="113"/>
      <c r="N53" s="114"/>
      <c r="O53" s="114"/>
      <c r="P53" s="183">
        <f>+O53-N53</f>
        <v>0</v>
      </c>
      <c r="Q53" s="184">
        <f>+P53*1000</f>
        <v>0</v>
      </c>
      <c r="R53" s="184">
        <v>0</v>
      </c>
      <c r="S53" s="184">
        <f>+Q53-R53</f>
        <v>0</v>
      </c>
      <c r="T53" s="185"/>
      <c r="U53" s="186">
        <f>+P53*$J$5/2</f>
        <v>0</v>
      </c>
      <c r="V53" s="162"/>
      <c r="W53" s="81">
        <f>+(T55+U55)/S55</f>
        <v>0.23659999999999998</v>
      </c>
    </row>
    <row r="54" spans="2:23" ht="15.75" customHeight="1" thickBot="1" x14ac:dyDescent="0.4">
      <c r="B54" s="116"/>
      <c r="C54" s="117"/>
      <c r="D54" s="117"/>
      <c r="E54" s="118">
        <f>+D54-C54</f>
        <v>0</v>
      </c>
      <c r="F54" s="119">
        <f>+E54*1000</f>
        <v>0</v>
      </c>
      <c r="G54" s="119">
        <v>0</v>
      </c>
      <c r="H54" s="119">
        <f>+F54-G54</f>
        <v>0</v>
      </c>
      <c r="I54" s="120"/>
      <c r="J54" s="187">
        <f>+E54*$J$5/2</f>
        <v>0</v>
      </c>
      <c r="K54" s="165"/>
      <c r="L54" s="77" t="s">
        <v>180</v>
      </c>
      <c r="M54" s="116"/>
      <c r="N54" s="117"/>
      <c r="O54" s="117"/>
      <c r="P54" s="118">
        <f>+O54-N54</f>
        <v>0</v>
      </c>
      <c r="Q54" s="119">
        <f>+P54*1000</f>
        <v>0</v>
      </c>
      <c r="R54" s="119">
        <v>0</v>
      </c>
      <c r="S54" s="119">
        <f>+Q54-R54</f>
        <v>0</v>
      </c>
      <c r="T54" s="120"/>
      <c r="U54" s="187">
        <f>+P54*$J$5/2</f>
        <v>0</v>
      </c>
      <c r="V54" s="165"/>
      <c r="W54" s="77" t="s">
        <v>180</v>
      </c>
    </row>
    <row r="55" spans="2:23" ht="15.75" customHeight="1" x14ac:dyDescent="0.35">
      <c r="B55" s="121"/>
      <c r="C55" s="118"/>
      <c r="D55" s="118"/>
      <c r="E55" s="118">
        <f>SUM(E51:E54)</f>
        <v>53</v>
      </c>
      <c r="F55" s="119">
        <f>SUM(F51:F54)</f>
        <v>53000</v>
      </c>
      <c r="G55" s="119"/>
      <c r="H55" s="119">
        <f>SUM(H51:H54)</f>
        <v>53000</v>
      </c>
      <c r="I55" s="122">
        <f>SUM(I51:I54)</f>
        <v>0</v>
      </c>
      <c r="J55" s="122">
        <f>SUM(J51:J54)</f>
        <v>12539.8</v>
      </c>
      <c r="K55" s="165">
        <f>+H55*0.6-I55-J55-G55</f>
        <v>19260.2</v>
      </c>
      <c r="L55" s="79">
        <f>+K55/H55</f>
        <v>0.3634</v>
      </c>
      <c r="M55" s="121"/>
      <c r="N55" s="118"/>
      <c r="O55" s="118"/>
      <c r="P55" s="118">
        <f>SUM(P51:P54)</f>
        <v>102</v>
      </c>
      <c r="Q55" s="119">
        <f>SUM(Q51:Q54)</f>
        <v>102000</v>
      </c>
      <c r="R55" s="119"/>
      <c r="S55" s="119">
        <f>SUM(S51:S54)</f>
        <v>102000</v>
      </c>
      <c r="T55" s="122">
        <f>SUM(T51:T54)</f>
        <v>0</v>
      </c>
      <c r="U55" s="122">
        <f>SUM(U51:U54)</f>
        <v>24133.199999999997</v>
      </c>
      <c r="V55" s="165">
        <f>+S55*0.6-T55-U55-R55</f>
        <v>37066.800000000003</v>
      </c>
      <c r="W55" s="79">
        <f>+V55/S55</f>
        <v>0.3634</v>
      </c>
    </row>
    <row r="56" spans="2:23" ht="15.75" customHeight="1" x14ac:dyDescent="0.35">
      <c r="B56" s="72"/>
      <c r="C56" s="69"/>
      <c r="D56" s="69"/>
      <c r="E56" s="69"/>
      <c r="F56" s="69"/>
      <c r="G56" s="73"/>
      <c r="H56" s="73"/>
      <c r="I56" s="73"/>
      <c r="J56" s="109" t="s">
        <v>182</v>
      </c>
      <c r="K56" s="110"/>
      <c r="L56" s="69"/>
      <c r="M56" s="72"/>
      <c r="N56" s="69"/>
      <c r="O56" s="69"/>
      <c r="P56" s="69"/>
      <c r="Q56" s="69"/>
      <c r="R56" s="73"/>
      <c r="S56" s="73"/>
      <c r="T56" s="73"/>
      <c r="U56" s="109" t="s">
        <v>182</v>
      </c>
      <c r="V56" s="110"/>
      <c r="W56" s="69"/>
    </row>
    <row r="57" spans="2:23" ht="15.75" customHeight="1" x14ac:dyDescent="0.35">
      <c r="B57" s="205" t="s">
        <v>177</v>
      </c>
      <c r="C57" s="69"/>
      <c r="D57" s="69"/>
      <c r="E57" s="69"/>
      <c r="F57" s="69"/>
      <c r="G57" s="73"/>
      <c r="H57" s="73"/>
      <c r="I57" s="73"/>
      <c r="J57" s="80">
        <v>473.2</v>
      </c>
      <c r="K57" s="127"/>
      <c r="L57" s="69"/>
      <c r="M57" s="205" t="s">
        <v>175</v>
      </c>
      <c r="N57" s="69"/>
      <c r="O57" s="69"/>
      <c r="P57" s="69"/>
      <c r="Q57" s="69"/>
      <c r="R57" s="73"/>
      <c r="S57" s="73"/>
      <c r="T57" s="73"/>
      <c r="U57" s="80">
        <v>473.2</v>
      </c>
      <c r="V57" s="127"/>
      <c r="W57" s="69"/>
    </row>
    <row r="58" spans="2:23" ht="15.75" customHeight="1" x14ac:dyDescent="0.35">
      <c r="B58" s="82" t="s">
        <v>142</v>
      </c>
      <c r="C58" s="74" t="s">
        <v>162</v>
      </c>
      <c r="D58" s="74" t="s">
        <v>143</v>
      </c>
      <c r="E58" s="74" t="s">
        <v>144</v>
      </c>
      <c r="F58" s="74" t="s">
        <v>145</v>
      </c>
      <c r="G58" s="74" t="s">
        <v>163</v>
      </c>
      <c r="H58" s="74" t="s">
        <v>164</v>
      </c>
      <c r="I58" s="159" t="s">
        <v>165</v>
      </c>
      <c r="J58" s="75" t="s">
        <v>166</v>
      </c>
      <c r="K58" s="124" t="s">
        <v>146</v>
      </c>
      <c r="L58" s="69"/>
      <c r="M58" s="82" t="s">
        <v>142</v>
      </c>
      <c r="N58" s="74" t="s">
        <v>162</v>
      </c>
      <c r="O58" s="74" t="s">
        <v>143</v>
      </c>
      <c r="P58" s="74" t="s">
        <v>144</v>
      </c>
      <c r="Q58" s="74" t="s">
        <v>145</v>
      </c>
      <c r="R58" s="74" t="s">
        <v>163</v>
      </c>
      <c r="S58" s="74" t="s">
        <v>164</v>
      </c>
      <c r="T58" s="159" t="s">
        <v>165</v>
      </c>
      <c r="U58" s="75" t="s">
        <v>166</v>
      </c>
      <c r="V58" s="124" t="s">
        <v>146</v>
      </c>
      <c r="W58" s="69"/>
    </row>
    <row r="59" spans="2:23" ht="15.75" customHeight="1" x14ac:dyDescent="0.35">
      <c r="B59" s="113">
        <v>45163</v>
      </c>
      <c r="C59" s="114">
        <v>3269</v>
      </c>
      <c r="D59" s="114">
        <v>3293</v>
      </c>
      <c r="E59" s="183">
        <f>+D59-C59</f>
        <v>24</v>
      </c>
      <c r="F59" s="184">
        <f>+E59*1000</f>
        <v>24000</v>
      </c>
      <c r="G59" s="184">
        <v>0</v>
      </c>
      <c r="H59" s="184">
        <f>+F59-G59</f>
        <v>24000</v>
      </c>
      <c r="I59" s="185"/>
      <c r="J59" s="186">
        <f>+E59*$J$5/2</f>
        <v>5678.4</v>
      </c>
      <c r="K59" s="162"/>
      <c r="L59" s="69"/>
      <c r="M59" s="113">
        <v>45163</v>
      </c>
      <c r="N59" s="114">
        <v>5904</v>
      </c>
      <c r="O59" s="114">
        <v>5920</v>
      </c>
      <c r="P59" s="183">
        <f>+O59-N59</f>
        <v>16</v>
      </c>
      <c r="Q59" s="184">
        <f>+P59*1000</f>
        <v>16000</v>
      </c>
      <c r="R59" s="184">
        <v>0</v>
      </c>
      <c r="S59" s="184">
        <f>+Q59-R59</f>
        <v>16000</v>
      </c>
      <c r="T59" s="185"/>
      <c r="U59" s="186">
        <f>+P59*$J$5/2</f>
        <v>3785.6</v>
      </c>
      <c r="V59" s="162"/>
      <c r="W59" s="69"/>
    </row>
    <row r="60" spans="2:23" ht="15.75" customHeight="1" x14ac:dyDescent="0.35">
      <c r="B60" s="113">
        <v>45175</v>
      </c>
      <c r="C60" s="114">
        <v>3293</v>
      </c>
      <c r="D60" s="114">
        <v>3313</v>
      </c>
      <c r="E60" s="183">
        <f>+D60-C60</f>
        <v>20</v>
      </c>
      <c r="F60" s="184">
        <f>+E60*1000</f>
        <v>20000</v>
      </c>
      <c r="G60" s="184">
        <v>0</v>
      </c>
      <c r="H60" s="184">
        <f>+F60-G60</f>
        <v>20000</v>
      </c>
      <c r="I60" s="185"/>
      <c r="J60" s="186">
        <f>+E60*$J$5/2</f>
        <v>4732</v>
      </c>
      <c r="K60" s="162"/>
      <c r="L60" s="77" t="s">
        <v>179</v>
      </c>
      <c r="M60" s="113">
        <v>45175</v>
      </c>
      <c r="N60" s="114">
        <v>5920</v>
      </c>
      <c r="O60" s="114">
        <v>5942</v>
      </c>
      <c r="P60" s="183">
        <f>+O60-N60</f>
        <v>22</v>
      </c>
      <c r="Q60" s="184">
        <f>+P60*1000</f>
        <v>22000</v>
      </c>
      <c r="R60" s="184">
        <v>0</v>
      </c>
      <c r="S60" s="184">
        <f>+Q60-R60</f>
        <v>22000</v>
      </c>
      <c r="T60" s="185"/>
      <c r="U60" s="186">
        <f>+P60*$J$5/2</f>
        <v>5205.2</v>
      </c>
      <c r="V60" s="162"/>
      <c r="W60" s="77" t="s">
        <v>179</v>
      </c>
    </row>
    <row r="61" spans="2:23" ht="15.75" customHeight="1" x14ac:dyDescent="0.35">
      <c r="B61" s="113">
        <v>45188</v>
      </c>
      <c r="C61" s="114">
        <v>3313</v>
      </c>
      <c r="D61" s="114">
        <v>3334</v>
      </c>
      <c r="E61" s="183">
        <f>+D61-C61</f>
        <v>21</v>
      </c>
      <c r="F61" s="184">
        <f>+E61*1000</f>
        <v>21000</v>
      </c>
      <c r="G61" s="184">
        <v>0</v>
      </c>
      <c r="H61" s="184">
        <f>+F61-G61</f>
        <v>21000</v>
      </c>
      <c r="I61" s="185"/>
      <c r="J61" s="186">
        <f>+E61*$J$5/2</f>
        <v>4968.5999999999995</v>
      </c>
      <c r="K61" s="162"/>
      <c r="L61" s="81">
        <f>+(I63+J63)/H63</f>
        <v>0.2366</v>
      </c>
      <c r="M61" s="113">
        <v>45188</v>
      </c>
      <c r="N61" s="114">
        <v>5942</v>
      </c>
      <c r="O61" s="114">
        <v>6016</v>
      </c>
      <c r="P61" s="183">
        <f>+O61-N61</f>
        <v>74</v>
      </c>
      <c r="Q61" s="184">
        <f>+P61*1000</f>
        <v>74000</v>
      </c>
      <c r="R61" s="184">
        <v>0</v>
      </c>
      <c r="S61" s="184">
        <f>+Q61-R61</f>
        <v>74000</v>
      </c>
      <c r="T61" s="185"/>
      <c r="U61" s="186">
        <f>+P61*$J$5/2</f>
        <v>17508.399999999998</v>
      </c>
      <c r="V61" s="162"/>
      <c r="W61" s="81">
        <f>+(T63+U63)/S63</f>
        <v>0.23659999999999998</v>
      </c>
    </row>
    <row r="62" spans="2:23" ht="15.75" customHeight="1" x14ac:dyDescent="0.35">
      <c r="B62" s="116"/>
      <c r="C62" s="117"/>
      <c r="D62" s="117"/>
      <c r="E62" s="118">
        <f>+D62-C62</f>
        <v>0</v>
      </c>
      <c r="F62" s="119">
        <f>+E62*1000</f>
        <v>0</v>
      </c>
      <c r="G62" s="119">
        <v>0</v>
      </c>
      <c r="H62" s="119">
        <f>+F62-G62</f>
        <v>0</v>
      </c>
      <c r="I62" s="120"/>
      <c r="J62" s="187">
        <f>+E62*$J$5/2</f>
        <v>0</v>
      </c>
      <c r="K62" s="165"/>
      <c r="L62" s="77" t="s">
        <v>180</v>
      </c>
      <c r="M62" s="116"/>
      <c r="N62" s="117"/>
      <c r="O62" s="117"/>
      <c r="P62" s="118">
        <f>+O62-N62</f>
        <v>0</v>
      </c>
      <c r="Q62" s="119">
        <f>+P62*1000</f>
        <v>0</v>
      </c>
      <c r="R62" s="119">
        <v>0</v>
      </c>
      <c r="S62" s="119">
        <f>+Q62-R62</f>
        <v>0</v>
      </c>
      <c r="T62" s="120"/>
      <c r="U62" s="187">
        <f>+P62*$J$5/2</f>
        <v>0</v>
      </c>
      <c r="V62" s="165"/>
      <c r="W62" s="77" t="s">
        <v>180</v>
      </c>
    </row>
    <row r="63" spans="2:23" ht="15.75" customHeight="1" x14ac:dyDescent="0.35">
      <c r="B63" s="121"/>
      <c r="C63" s="118"/>
      <c r="D63" s="118"/>
      <c r="E63" s="118">
        <f>SUM(E59:E62)</f>
        <v>65</v>
      </c>
      <c r="F63" s="119">
        <f>SUM(F59:F62)</f>
        <v>65000</v>
      </c>
      <c r="G63" s="119"/>
      <c r="H63" s="119">
        <f>SUM(H59:H62)</f>
        <v>65000</v>
      </c>
      <c r="I63" s="122">
        <f>SUM(I59:I62)</f>
        <v>0</v>
      </c>
      <c r="J63" s="122">
        <f>SUM(J59:J62)</f>
        <v>15379</v>
      </c>
      <c r="K63" s="165">
        <f>+H63*0.6-I63-J63-G63</f>
        <v>23621</v>
      </c>
      <c r="L63" s="79">
        <f>+K63/H63</f>
        <v>0.3634</v>
      </c>
      <c r="M63" s="121"/>
      <c r="N63" s="118"/>
      <c r="O63" s="118"/>
      <c r="P63" s="118">
        <f>SUM(P59:P62)</f>
        <v>112</v>
      </c>
      <c r="Q63" s="119">
        <f>SUM(Q59:Q62)</f>
        <v>112000</v>
      </c>
      <c r="R63" s="119"/>
      <c r="S63" s="119">
        <f>SUM(S59:S62)</f>
        <v>112000</v>
      </c>
      <c r="T63" s="122">
        <f>SUM(T59:T62)</f>
        <v>0</v>
      </c>
      <c r="U63" s="122">
        <f>SUM(U59:U62)</f>
        <v>26499.199999999997</v>
      </c>
      <c r="V63" s="165">
        <f>+S63*0.6-T63-U63-R63</f>
        <v>40700.800000000003</v>
      </c>
      <c r="W63" s="79">
        <f>+V63/S63</f>
        <v>0.3634</v>
      </c>
    </row>
    <row r="64" spans="2:23" ht="15.75" customHeight="1" x14ac:dyDescent="0.35">
      <c r="B64" s="72"/>
      <c r="C64" s="69"/>
      <c r="D64" s="69"/>
      <c r="E64" s="69"/>
      <c r="F64" s="69"/>
      <c r="G64" s="73"/>
      <c r="H64" s="73"/>
      <c r="I64" s="73"/>
      <c r="J64" s="109" t="s">
        <v>182</v>
      </c>
      <c r="K64" s="110"/>
      <c r="L64" s="69"/>
      <c r="M64" s="72"/>
      <c r="N64" s="69"/>
      <c r="O64" s="69"/>
      <c r="P64" s="69"/>
      <c r="Q64" s="69"/>
      <c r="R64" s="73"/>
      <c r="S64" s="73"/>
      <c r="T64" s="73"/>
      <c r="U64" s="109" t="s">
        <v>182</v>
      </c>
      <c r="V64" s="110"/>
      <c r="W64" s="69"/>
    </row>
    <row r="65" spans="2:23" ht="15.75" customHeight="1" x14ac:dyDescent="0.35">
      <c r="B65" s="205" t="s">
        <v>177</v>
      </c>
      <c r="C65" s="69"/>
      <c r="D65" s="69"/>
      <c r="E65" s="69"/>
      <c r="F65" s="69"/>
      <c r="G65" s="73"/>
      <c r="H65" s="73"/>
      <c r="I65" s="73"/>
      <c r="J65" s="80">
        <v>473.2</v>
      </c>
      <c r="K65" s="127"/>
      <c r="L65" s="69"/>
      <c r="M65" s="205" t="s">
        <v>175</v>
      </c>
      <c r="N65" s="69"/>
      <c r="O65" s="69"/>
      <c r="P65" s="69"/>
      <c r="Q65" s="69"/>
      <c r="R65" s="73"/>
      <c r="S65" s="73"/>
      <c r="T65" s="73"/>
      <c r="U65" s="80">
        <v>473.2</v>
      </c>
      <c r="V65" s="127"/>
      <c r="W65" s="69"/>
    </row>
    <row r="66" spans="2:23" ht="15.75" customHeight="1" x14ac:dyDescent="0.35">
      <c r="B66" s="82" t="s">
        <v>142</v>
      </c>
      <c r="C66" s="74" t="s">
        <v>162</v>
      </c>
      <c r="D66" s="74" t="s">
        <v>143</v>
      </c>
      <c r="E66" s="74" t="s">
        <v>144</v>
      </c>
      <c r="F66" s="74" t="s">
        <v>145</v>
      </c>
      <c r="G66" s="74" t="s">
        <v>163</v>
      </c>
      <c r="H66" s="74" t="s">
        <v>164</v>
      </c>
      <c r="I66" s="159" t="s">
        <v>165</v>
      </c>
      <c r="J66" s="75" t="s">
        <v>166</v>
      </c>
      <c r="K66" s="124" t="s">
        <v>146</v>
      </c>
      <c r="L66" s="69"/>
      <c r="M66" s="82" t="s">
        <v>142</v>
      </c>
      <c r="N66" s="74" t="s">
        <v>162</v>
      </c>
      <c r="O66" s="74" t="s">
        <v>143</v>
      </c>
      <c r="P66" s="74" t="s">
        <v>144</v>
      </c>
      <c r="Q66" s="74" t="s">
        <v>145</v>
      </c>
      <c r="R66" s="74" t="s">
        <v>163</v>
      </c>
      <c r="S66" s="74" t="s">
        <v>164</v>
      </c>
      <c r="T66" s="159" t="s">
        <v>165</v>
      </c>
      <c r="U66" s="75" t="s">
        <v>166</v>
      </c>
      <c r="V66" s="124" t="s">
        <v>146</v>
      </c>
      <c r="W66" s="69"/>
    </row>
    <row r="67" spans="2:23" ht="15.75" customHeight="1" x14ac:dyDescent="0.35">
      <c r="B67" s="113">
        <v>45195</v>
      </c>
      <c r="C67" s="114">
        <v>3334</v>
      </c>
      <c r="D67" s="114">
        <v>3368</v>
      </c>
      <c r="E67" s="183">
        <f>+D67-C67</f>
        <v>34</v>
      </c>
      <c r="F67" s="184">
        <f>+E67*1000</f>
        <v>34000</v>
      </c>
      <c r="G67" s="184">
        <v>0</v>
      </c>
      <c r="H67" s="184">
        <f>+F67-G67</f>
        <v>34000</v>
      </c>
      <c r="I67" s="185"/>
      <c r="J67" s="186">
        <f>+E67*$J$5/2</f>
        <v>8044.4</v>
      </c>
      <c r="K67" s="162"/>
      <c r="L67" s="69"/>
      <c r="M67" s="113">
        <v>45195</v>
      </c>
      <c r="N67" s="114">
        <v>6016</v>
      </c>
      <c r="O67" s="114">
        <v>6046</v>
      </c>
      <c r="P67" s="183">
        <f>+O67-N67</f>
        <v>30</v>
      </c>
      <c r="Q67" s="184">
        <f>+P67*1000</f>
        <v>30000</v>
      </c>
      <c r="R67" s="184">
        <v>0</v>
      </c>
      <c r="S67" s="184">
        <f>+Q67-R67</f>
        <v>30000</v>
      </c>
      <c r="T67" s="185"/>
      <c r="U67" s="186">
        <f>+P67*$J$5/2</f>
        <v>7098</v>
      </c>
      <c r="V67" s="162"/>
      <c r="W67" s="69"/>
    </row>
    <row r="68" spans="2:23" ht="15.75" customHeight="1" x14ac:dyDescent="0.35">
      <c r="B68" s="113">
        <v>45209</v>
      </c>
      <c r="C68" s="114">
        <v>3368</v>
      </c>
      <c r="D68" s="114">
        <v>3412</v>
      </c>
      <c r="E68" s="183">
        <f>+D68-C68</f>
        <v>44</v>
      </c>
      <c r="F68" s="184">
        <f>+E68*1000</f>
        <v>44000</v>
      </c>
      <c r="G68" s="184">
        <v>0</v>
      </c>
      <c r="H68" s="184">
        <f>+F68-G68</f>
        <v>44000</v>
      </c>
      <c r="I68" s="185"/>
      <c r="J68" s="186">
        <f>+E68*$J$5/2</f>
        <v>10410.4</v>
      </c>
      <c r="K68" s="162"/>
      <c r="L68" s="77" t="s">
        <v>179</v>
      </c>
      <c r="M68" s="113">
        <v>45209</v>
      </c>
      <c r="N68" s="114">
        <v>6046</v>
      </c>
      <c r="O68" s="114">
        <v>6104</v>
      </c>
      <c r="P68" s="183">
        <f>+O68-N68</f>
        <v>58</v>
      </c>
      <c r="Q68" s="184">
        <f>+P68*1000</f>
        <v>58000</v>
      </c>
      <c r="R68" s="184">
        <v>0</v>
      </c>
      <c r="S68" s="184">
        <f>+Q68-R68</f>
        <v>58000</v>
      </c>
      <c r="T68" s="185"/>
      <c r="U68" s="186">
        <f>+P68*$J$5/2</f>
        <v>13722.8</v>
      </c>
      <c r="V68" s="162"/>
      <c r="W68" s="77" t="s">
        <v>179</v>
      </c>
    </row>
    <row r="69" spans="2:23" ht="15.75" customHeight="1" x14ac:dyDescent="0.35">
      <c r="B69" s="113">
        <v>45218</v>
      </c>
      <c r="C69" s="114">
        <v>3412</v>
      </c>
      <c r="D69" s="114">
        <v>3425</v>
      </c>
      <c r="E69" s="183">
        <f>+D69-C69</f>
        <v>13</v>
      </c>
      <c r="F69" s="184">
        <f>+E69*1000</f>
        <v>13000</v>
      </c>
      <c r="G69" s="184">
        <v>0</v>
      </c>
      <c r="H69" s="184">
        <f>+F69-G69</f>
        <v>13000</v>
      </c>
      <c r="I69" s="185"/>
      <c r="J69" s="186">
        <f>+E69*$J$5/2</f>
        <v>3075.7999999999997</v>
      </c>
      <c r="K69" s="162"/>
      <c r="L69" s="81">
        <f>+(I71+J71)/H71</f>
        <v>0.23659999999999998</v>
      </c>
      <c r="M69" s="113">
        <v>45218</v>
      </c>
      <c r="N69" s="114">
        <v>6104</v>
      </c>
      <c r="O69" s="114">
        <v>6122</v>
      </c>
      <c r="P69" s="183">
        <f>+O69-N69</f>
        <v>18</v>
      </c>
      <c r="Q69" s="184">
        <f>+P69*1000</f>
        <v>18000</v>
      </c>
      <c r="R69" s="184">
        <v>0</v>
      </c>
      <c r="S69" s="184">
        <f>+Q69-R69</f>
        <v>18000</v>
      </c>
      <c r="T69" s="185"/>
      <c r="U69" s="186">
        <f>+P69*$J$5/2</f>
        <v>4258.8</v>
      </c>
      <c r="V69" s="162"/>
      <c r="W69" s="81">
        <f>+(T71+U71)/S71</f>
        <v>0.23659999999999998</v>
      </c>
    </row>
    <row r="70" spans="2:23" ht="15.75" customHeight="1" x14ac:dyDescent="0.35">
      <c r="B70" s="116"/>
      <c r="C70" s="117"/>
      <c r="D70" s="117"/>
      <c r="E70" s="118">
        <f>+D70-C70</f>
        <v>0</v>
      </c>
      <c r="F70" s="119">
        <f>+E70*1000</f>
        <v>0</v>
      </c>
      <c r="G70" s="119">
        <v>0</v>
      </c>
      <c r="H70" s="119">
        <f>+F70-G70</f>
        <v>0</v>
      </c>
      <c r="I70" s="120"/>
      <c r="J70" s="187">
        <f>+E70*$J$5/2</f>
        <v>0</v>
      </c>
      <c r="K70" s="165"/>
      <c r="L70" s="77" t="s">
        <v>180</v>
      </c>
      <c r="M70" s="116"/>
      <c r="N70" s="117"/>
      <c r="O70" s="117"/>
      <c r="P70" s="118">
        <f>+O70-N70</f>
        <v>0</v>
      </c>
      <c r="Q70" s="119">
        <f>+P70*1000</f>
        <v>0</v>
      </c>
      <c r="R70" s="119">
        <v>0</v>
      </c>
      <c r="S70" s="119">
        <f>+Q70-R70</f>
        <v>0</v>
      </c>
      <c r="T70" s="120"/>
      <c r="U70" s="187">
        <f>+P70*$J$5/2</f>
        <v>0</v>
      </c>
      <c r="V70" s="165"/>
      <c r="W70" s="77" t="s">
        <v>180</v>
      </c>
    </row>
    <row r="71" spans="2:23" ht="15.75" customHeight="1" x14ac:dyDescent="0.35">
      <c r="B71" s="121"/>
      <c r="C71" s="118"/>
      <c r="D71" s="118"/>
      <c r="E71" s="118">
        <f>SUM(E67:E70)</f>
        <v>91</v>
      </c>
      <c r="F71" s="119">
        <f>SUM(F67:F70)</f>
        <v>91000</v>
      </c>
      <c r="G71" s="119"/>
      <c r="H71" s="119">
        <f>SUM(H67:H70)</f>
        <v>91000</v>
      </c>
      <c r="I71" s="122">
        <f>SUM(I67:I70)</f>
        <v>0</v>
      </c>
      <c r="J71" s="122">
        <f>SUM(J67:J70)</f>
        <v>21530.6</v>
      </c>
      <c r="K71" s="165">
        <f>+H71*0.6-I71-J71-G71</f>
        <v>33069.4</v>
      </c>
      <c r="L71" s="79">
        <f>+K71/H71</f>
        <v>0.3634</v>
      </c>
      <c r="M71" s="121"/>
      <c r="N71" s="118"/>
      <c r="O71" s="118"/>
      <c r="P71" s="118">
        <f>SUM(P67:P70)</f>
        <v>106</v>
      </c>
      <c r="Q71" s="119">
        <f>SUM(Q67:Q70)</f>
        <v>106000</v>
      </c>
      <c r="R71" s="119"/>
      <c r="S71" s="119">
        <f>SUM(S67:S70)</f>
        <v>106000</v>
      </c>
      <c r="T71" s="122">
        <f>SUM(T67:T70)</f>
        <v>0</v>
      </c>
      <c r="U71" s="122">
        <f>SUM(U67:U70)</f>
        <v>25079.599999999999</v>
      </c>
      <c r="V71" s="165">
        <f>+S71*0.6-T71-U71-R71</f>
        <v>38520.400000000001</v>
      </c>
      <c r="W71" s="79">
        <f>+V71/S71</f>
        <v>0.3634</v>
      </c>
    </row>
    <row r="72" spans="2:23" ht="15.75" customHeight="1" x14ac:dyDescent="0.35">
      <c r="B72" s="72"/>
      <c r="C72" s="69"/>
      <c r="D72" s="69"/>
      <c r="E72" s="69"/>
      <c r="F72" s="69"/>
      <c r="G72" s="73"/>
      <c r="H72" s="73"/>
      <c r="I72" s="73"/>
      <c r="J72" s="109" t="s">
        <v>182</v>
      </c>
      <c r="K72" s="110"/>
      <c r="L72" s="69"/>
      <c r="M72" s="72"/>
      <c r="N72" s="69"/>
      <c r="O72" s="69"/>
      <c r="P72" s="69"/>
      <c r="Q72" s="69"/>
      <c r="R72" s="73"/>
      <c r="S72" s="73"/>
      <c r="T72" s="73"/>
      <c r="U72" s="109" t="s">
        <v>182</v>
      </c>
      <c r="V72" s="110"/>
      <c r="W72" s="69"/>
    </row>
    <row r="73" spans="2:23" ht="15.75" customHeight="1" x14ac:dyDescent="0.35">
      <c r="B73" s="205" t="s">
        <v>177</v>
      </c>
      <c r="C73" s="69"/>
      <c r="D73" s="69"/>
      <c r="E73" s="69"/>
      <c r="F73" s="69"/>
      <c r="G73" s="73"/>
      <c r="H73" s="73"/>
      <c r="I73" s="73"/>
      <c r="J73" s="80">
        <v>473.2</v>
      </c>
      <c r="K73" s="127"/>
      <c r="L73" s="69"/>
      <c r="M73" s="205" t="s">
        <v>175</v>
      </c>
      <c r="N73" s="69"/>
      <c r="O73" s="69"/>
      <c r="P73" s="69"/>
      <c r="Q73" s="69"/>
      <c r="R73" s="73"/>
      <c r="S73" s="73"/>
      <c r="T73" s="73"/>
      <c r="U73" s="80">
        <v>473.2</v>
      </c>
      <c r="V73" s="127"/>
      <c r="W73" s="69"/>
    </row>
    <row r="74" spans="2:23" ht="15.75" customHeight="1" x14ac:dyDescent="0.35">
      <c r="B74" s="82" t="s">
        <v>142</v>
      </c>
      <c r="C74" s="74" t="s">
        <v>162</v>
      </c>
      <c r="D74" s="74" t="s">
        <v>143</v>
      </c>
      <c r="E74" s="74" t="s">
        <v>144</v>
      </c>
      <c r="F74" s="74" t="s">
        <v>145</v>
      </c>
      <c r="G74" s="74" t="s">
        <v>163</v>
      </c>
      <c r="H74" s="74" t="s">
        <v>164</v>
      </c>
      <c r="I74" s="159" t="s">
        <v>165</v>
      </c>
      <c r="J74" s="75" t="s">
        <v>166</v>
      </c>
      <c r="K74" s="124" t="s">
        <v>146</v>
      </c>
      <c r="L74" s="69"/>
      <c r="M74" s="82" t="s">
        <v>142</v>
      </c>
      <c r="N74" s="74" t="s">
        <v>162</v>
      </c>
      <c r="O74" s="74" t="s">
        <v>143</v>
      </c>
      <c r="P74" s="74" t="s">
        <v>144</v>
      </c>
      <c r="Q74" s="74" t="s">
        <v>145</v>
      </c>
      <c r="R74" s="74" t="s">
        <v>163</v>
      </c>
      <c r="S74" s="74" t="s">
        <v>164</v>
      </c>
      <c r="T74" s="159" t="s">
        <v>165</v>
      </c>
      <c r="U74" s="75" t="s">
        <v>166</v>
      </c>
      <c r="V74" s="124" t="s">
        <v>146</v>
      </c>
      <c r="W74" s="69"/>
    </row>
    <row r="75" spans="2:23" ht="15.75" customHeight="1" x14ac:dyDescent="0.35">
      <c r="B75" s="113">
        <v>45231</v>
      </c>
      <c r="C75" s="114">
        <v>3425</v>
      </c>
      <c r="D75" s="114">
        <v>3454</v>
      </c>
      <c r="E75" s="183">
        <f>+D75-C75</f>
        <v>29</v>
      </c>
      <c r="F75" s="184">
        <f>+E75*1000</f>
        <v>29000</v>
      </c>
      <c r="G75" s="184">
        <v>0</v>
      </c>
      <c r="H75" s="184">
        <f>+F75-G75</f>
        <v>29000</v>
      </c>
      <c r="I75" s="185"/>
      <c r="J75" s="186">
        <f>+E75*$J$5/2</f>
        <v>6861.4</v>
      </c>
      <c r="K75" s="162"/>
      <c r="L75" s="69"/>
      <c r="M75" s="113">
        <v>45231</v>
      </c>
      <c r="N75" s="114">
        <v>6122</v>
      </c>
      <c r="O75" s="114">
        <v>6146</v>
      </c>
      <c r="P75" s="183">
        <f>+O75-N75</f>
        <v>24</v>
      </c>
      <c r="Q75" s="184">
        <f>+P75*1000</f>
        <v>24000</v>
      </c>
      <c r="R75" s="184">
        <v>0</v>
      </c>
      <c r="S75" s="184">
        <f>+Q75-R75</f>
        <v>24000</v>
      </c>
      <c r="T75" s="185"/>
      <c r="U75" s="186">
        <f>+P75*$J$5/2</f>
        <v>5678.4</v>
      </c>
      <c r="V75" s="162"/>
      <c r="W75" s="69"/>
    </row>
    <row r="76" spans="2:23" ht="15.75" customHeight="1" x14ac:dyDescent="0.35">
      <c r="B76" s="113">
        <v>45246</v>
      </c>
      <c r="C76" s="114">
        <v>3454</v>
      </c>
      <c r="D76" s="114">
        <v>3475</v>
      </c>
      <c r="E76" s="183">
        <f>+D76-C76</f>
        <v>21</v>
      </c>
      <c r="F76" s="184">
        <f>+E76*1000</f>
        <v>21000</v>
      </c>
      <c r="G76" s="184">
        <v>0</v>
      </c>
      <c r="H76" s="184">
        <f>+F76-G76</f>
        <v>21000</v>
      </c>
      <c r="I76" s="185"/>
      <c r="J76" s="186">
        <f>+E76*$J$5/2</f>
        <v>4968.5999999999995</v>
      </c>
      <c r="K76" s="162"/>
      <c r="L76" s="77" t="s">
        <v>179</v>
      </c>
      <c r="M76" s="113">
        <v>45246</v>
      </c>
      <c r="N76" s="114">
        <v>6146</v>
      </c>
      <c r="O76" s="114">
        <v>6158</v>
      </c>
      <c r="P76" s="183">
        <f>+O76-N76</f>
        <v>12</v>
      </c>
      <c r="Q76" s="184">
        <f>+P76*1000</f>
        <v>12000</v>
      </c>
      <c r="R76" s="184">
        <v>0</v>
      </c>
      <c r="S76" s="184">
        <f>+Q76-R76</f>
        <v>12000</v>
      </c>
      <c r="T76" s="185"/>
      <c r="U76" s="186">
        <f>+P76*$J$5/2</f>
        <v>2839.2</v>
      </c>
      <c r="V76" s="162"/>
      <c r="W76" s="77" t="s">
        <v>179</v>
      </c>
    </row>
    <row r="77" spans="2:23" ht="15.75" customHeight="1" x14ac:dyDescent="0.35">
      <c r="B77" s="113"/>
      <c r="C77" s="114"/>
      <c r="D77" s="114"/>
      <c r="E77" s="183">
        <f>+D77-C77</f>
        <v>0</v>
      </c>
      <c r="F77" s="184">
        <f>+E77*1000</f>
        <v>0</v>
      </c>
      <c r="G77" s="184">
        <v>0</v>
      </c>
      <c r="H77" s="184">
        <f>+F77-G77</f>
        <v>0</v>
      </c>
      <c r="I77" s="185"/>
      <c r="J77" s="186">
        <f>+E77*$J$5/2</f>
        <v>0</v>
      </c>
      <c r="K77" s="162"/>
      <c r="L77" s="81">
        <f>+(I79+J79)/H79</f>
        <v>0.2366</v>
      </c>
      <c r="M77" s="113"/>
      <c r="N77" s="114"/>
      <c r="O77" s="114"/>
      <c r="P77" s="183">
        <f>+O77-N77</f>
        <v>0</v>
      </c>
      <c r="Q77" s="184">
        <f>+P77*1000</f>
        <v>0</v>
      </c>
      <c r="R77" s="184">
        <v>0</v>
      </c>
      <c r="S77" s="184">
        <f>+Q77-R77</f>
        <v>0</v>
      </c>
      <c r="T77" s="185"/>
      <c r="U77" s="186">
        <f>+P77*$J$5/2</f>
        <v>0</v>
      </c>
      <c r="V77" s="162"/>
      <c r="W77" s="81">
        <f>+(T79+U79)/S79</f>
        <v>0.23659999999999995</v>
      </c>
    </row>
    <row r="78" spans="2:23" ht="15.75" customHeight="1" x14ac:dyDescent="0.35">
      <c r="B78" s="116"/>
      <c r="C78" s="117"/>
      <c r="D78" s="117"/>
      <c r="E78" s="118">
        <f>+D78-C78</f>
        <v>0</v>
      </c>
      <c r="F78" s="119">
        <f>+E78*1000</f>
        <v>0</v>
      </c>
      <c r="G78" s="119">
        <v>0</v>
      </c>
      <c r="H78" s="119">
        <f>+F78-G78</f>
        <v>0</v>
      </c>
      <c r="I78" s="120"/>
      <c r="J78" s="187">
        <f>+E78*$J$5/2</f>
        <v>0</v>
      </c>
      <c r="K78" s="165"/>
      <c r="L78" s="77" t="s">
        <v>180</v>
      </c>
      <c r="M78" s="116"/>
      <c r="N78" s="117"/>
      <c r="O78" s="117"/>
      <c r="P78" s="118">
        <f>+O78-N78</f>
        <v>0</v>
      </c>
      <c r="Q78" s="119">
        <f>+P78*1000</f>
        <v>0</v>
      </c>
      <c r="R78" s="119">
        <v>0</v>
      </c>
      <c r="S78" s="119">
        <f>+Q78-R78</f>
        <v>0</v>
      </c>
      <c r="T78" s="120"/>
      <c r="U78" s="187">
        <f>+P78*$J$5/2</f>
        <v>0</v>
      </c>
      <c r="V78" s="165"/>
      <c r="W78" s="77" t="s">
        <v>180</v>
      </c>
    </row>
    <row r="79" spans="2:23" ht="15.75" customHeight="1" x14ac:dyDescent="0.35">
      <c r="B79" s="121"/>
      <c r="C79" s="118"/>
      <c r="D79" s="118"/>
      <c r="E79" s="118">
        <f>SUM(E75:E78)</f>
        <v>50</v>
      </c>
      <c r="F79" s="119">
        <f>SUM(F75:F78)</f>
        <v>50000</v>
      </c>
      <c r="G79" s="119"/>
      <c r="H79" s="119">
        <f>SUM(H75:H78)</f>
        <v>50000</v>
      </c>
      <c r="I79" s="122">
        <f>SUM(I75:I78)</f>
        <v>0</v>
      </c>
      <c r="J79" s="122">
        <f>SUM(J75:J78)</f>
        <v>11830</v>
      </c>
      <c r="K79" s="165">
        <f>+H79*0.6-I79-J79-G79</f>
        <v>18170</v>
      </c>
      <c r="L79" s="79">
        <f>+K79/H79</f>
        <v>0.3634</v>
      </c>
      <c r="M79" s="121"/>
      <c r="N79" s="118"/>
      <c r="O79" s="118"/>
      <c r="P79" s="118">
        <f>SUM(P75:P78)</f>
        <v>36</v>
      </c>
      <c r="Q79" s="119">
        <f>SUM(Q75:Q78)</f>
        <v>36000</v>
      </c>
      <c r="R79" s="119"/>
      <c r="S79" s="119">
        <f>SUM(S75:S78)</f>
        <v>36000</v>
      </c>
      <c r="T79" s="122">
        <f>SUM(T75:T78)</f>
        <v>0</v>
      </c>
      <c r="U79" s="122">
        <f>SUM(U75:U78)</f>
        <v>8517.5999999999985</v>
      </c>
      <c r="V79" s="165">
        <f>+S79*0.6-T79-U79-R79</f>
        <v>13082.400000000001</v>
      </c>
      <c r="W79" s="79">
        <f>+V79/S79</f>
        <v>0.36340000000000006</v>
      </c>
    </row>
    <row r="80" spans="2:23" ht="15.75" customHeight="1" x14ac:dyDescent="0.35">
      <c r="B80" s="72"/>
      <c r="C80" s="69"/>
      <c r="D80" s="69"/>
      <c r="E80" s="69"/>
      <c r="F80" s="69"/>
      <c r="G80" s="73"/>
      <c r="H80" s="73"/>
      <c r="I80" s="73"/>
      <c r="J80" s="109" t="s">
        <v>182</v>
      </c>
      <c r="K80" s="110"/>
      <c r="L80" s="69"/>
      <c r="M80" s="72"/>
      <c r="N80" s="69"/>
      <c r="O80" s="69"/>
      <c r="P80" s="69"/>
      <c r="Q80" s="69"/>
      <c r="R80" s="73"/>
      <c r="S80" s="73"/>
      <c r="T80" s="73"/>
      <c r="U80" s="109" t="s">
        <v>182</v>
      </c>
      <c r="V80" s="110"/>
      <c r="W80" s="69"/>
    </row>
    <row r="81" spans="2:23" ht="15.75" customHeight="1" x14ac:dyDescent="0.35">
      <c r="B81" s="205" t="s">
        <v>177</v>
      </c>
      <c r="C81" s="69"/>
      <c r="D81" s="69"/>
      <c r="E81" s="69"/>
      <c r="F81" s="69"/>
      <c r="G81" s="73"/>
      <c r="H81" s="73"/>
      <c r="I81" s="73"/>
      <c r="J81" s="80">
        <v>473.2</v>
      </c>
      <c r="K81" s="127"/>
      <c r="L81" s="69"/>
      <c r="M81" s="205" t="s">
        <v>175</v>
      </c>
      <c r="N81" s="69"/>
      <c r="O81" s="69"/>
      <c r="P81" s="69"/>
      <c r="Q81" s="69"/>
      <c r="R81" s="73"/>
      <c r="S81" s="73"/>
      <c r="T81" s="73"/>
      <c r="U81" s="80">
        <v>473.2</v>
      </c>
      <c r="V81" s="127"/>
      <c r="W81" s="69"/>
    </row>
    <row r="82" spans="2:23" ht="15.75" customHeight="1" x14ac:dyDescent="0.35">
      <c r="B82" s="82" t="s">
        <v>142</v>
      </c>
      <c r="C82" s="74" t="s">
        <v>162</v>
      </c>
      <c r="D82" s="74" t="s">
        <v>143</v>
      </c>
      <c r="E82" s="74" t="s">
        <v>144</v>
      </c>
      <c r="F82" s="74" t="s">
        <v>145</v>
      </c>
      <c r="G82" s="74" t="s">
        <v>163</v>
      </c>
      <c r="H82" s="74" t="s">
        <v>164</v>
      </c>
      <c r="I82" s="159" t="s">
        <v>165</v>
      </c>
      <c r="J82" s="75" t="s">
        <v>166</v>
      </c>
      <c r="K82" s="124" t="s">
        <v>146</v>
      </c>
      <c r="L82" s="69"/>
      <c r="M82" s="82" t="s">
        <v>142</v>
      </c>
      <c r="N82" s="74" t="s">
        <v>162</v>
      </c>
      <c r="O82" s="74" t="s">
        <v>143</v>
      </c>
      <c r="P82" s="74" t="s">
        <v>144</v>
      </c>
      <c r="Q82" s="74" t="s">
        <v>145</v>
      </c>
      <c r="R82" s="74" t="s">
        <v>163</v>
      </c>
      <c r="S82" s="74" t="s">
        <v>164</v>
      </c>
      <c r="T82" s="159" t="s">
        <v>165</v>
      </c>
      <c r="U82" s="75" t="s">
        <v>166</v>
      </c>
      <c r="V82" s="124" t="s">
        <v>146</v>
      </c>
      <c r="W82" s="69"/>
    </row>
    <row r="83" spans="2:23" ht="15.75" customHeight="1" x14ac:dyDescent="0.35">
      <c r="B83" s="113">
        <v>45260</v>
      </c>
      <c r="C83" s="114">
        <v>3475</v>
      </c>
      <c r="D83" s="114">
        <v>3500</v>
      </c>
      <c r="E83" s="183">
        <f>+D83-C83</f>
        <v>25</v>
      </c>
      <c r="F83" s="184">
        <f>+E83*1000</f>
        <v>25000</v>
      </c>
      <c r="G83" s="184">
        <v>0</v>
      </c>
      <c r="H83" s="184">
        <f>+F83-G83</f>
        <v>25000</v>
      </c>
      <c r="I83" s="185"/>
      <c r="J83" s="186">
        <f>+E83*$J$5/2</f>
        <v>5915</v>
      </c>
      <c r="K83" s="162"/>
      <c r="L83" s="69"/>
      <c r="M83" s="113">
        <v>45260</v>
      </c>
      <c r="N83" s="114">
        <v>6158</v>
      </c>
      <c r="O83" s="114">
        <v>6210</v>
      </c>
      <c r="P83" s="183">
        <f>+O83-N83</f>
        <v>52</v>
      </c>
      <c r="Q83" s="184">
        <f>+P83*1000</f>
        <v>52000</v>
      </c>
      <c r="R83" s="184">
        <v>0</v>
      </c>
      <c r="S83" s="184">
        <f>+Q83-R83</f>
        <v>52000</v>
      </c>
      <c r="T83" s="185"/>
      <c r="U83" s="186">
        <f>+P83*$J$5/2</f>
        <v>12303.199999999999</v>
      </c>
      <c r="V83" s="162"/>
      <c r="W83" s="69"/>
    </row>
    <row r="84" spans="2:23" ht="15.75" customHeight="1" x14ac:dyDescent="0.35">
      <c r="B84" s="113">
        <v>45275</v>
      </c>
      <c r="C84" s="114">
        <v>3500</v>
      </c>
      <c r="D84" s="114">
        <v>3541</v>
      </c>
      <c r="E84" s="183">
        <f>+D84-C84</f>
        <v>41</v>
      </c>
      <c r="F84" s="184">
        <f>+E84*1000</f>
        <v>41000</v>
      </c>
      <c r="G84" s="184">
        <v>0</v>
      </c>
      <c r="H84" s="184">
        <f>+F84-G84</f>
        <v>41000</v>
      </c>
      <c r="I84" s="185"/>
      <c r="J84" s="186">
        <f>+E84*$J$5/2</f>
        <v>9700.6</v>
      </c>
      <c r="K84" s="162"/>
      <c r="L84" s="77" t="s">
        <v>179</v>
      </c>
      <c r="M84" s="113">
        <v>45275</v>
      </c>
      <c r="N84" s="114">
        <v>6210</v>
      </c>
      <c r="O84" s="114">
        <v>6238</v>
      </c>
      <c r="P84" s="183">
        <f>+O84-N84</f>
        <v>28</v>
      </c>
      <c r="Q84" s="184">
        <f>+P84*1000</f>
        <v>28000</v>
      </c>
      <c r="R84" s="184">
        <v>0</v>
      </c>
      <c r="S84" s="184">
        <f>+Q84-R84</f>
        <v>28000</v>
      </c>
      <c r="T84" s="185"/>
      <c r="U84" s="186">
        <f>+P84*$J$5/2</f>
        <v>6624.8</v>
      </c>
      <c r="V84" s="162"/>
      <c r="W84" s="77" t="s">
        <v>179</v>
      </c>
    </row>
    <row r="85" spans="2:23" ht="15.75" customHeight="1" x14ac:dyDescent="0.35">
      <c r="B85" s="113"/>
      <c r="C85" s="114"/>
      <c r="D85" s="114"/>
      <c r="E85" s="183">
        <f>+D85-C85</f>
        <v>0</v>
      </c>
      <c r="F85" s="184">
        <f>+E85*1000</f>
        <v>0</v>
      </c>
      <c r="G85" s="184">
        <v>0</v>
      </c>
      <c r="H85" s="184">
        <f>+F85-G85</f>
        <v>0</v>
      </c>
      <c r="I85" s="185"/>
      <c r="J85" s="186">
        <f>+E85*$J$5/2</f>
        <v>0</v>
      </c>
      <c r="K85" s="162"/>
      <c r="L85" s="81">
        <f>+(I87+J87)/H87</f>
        <v>0.2366</v>
      </c>
      <c r="M85" s="113"/>
      <c r="N85" s="114"/>
      <c r="O85" s="114"/>
      <c r="P85" s="183">
        <f>+O85-N85</f>
        <v>0</v>
      </c>
      <c r="Q85" s="184">
        <f>+P85*1000</f>
        <v>0</v>
      </c>
      <c r="R85" s="184">
        <v>0</v>
      </c>
      <c r="S85" s="184">
        <f>+Q85-R85</f>
        <v>0</v>
      </c>
      <c r="T85" s="185"/>
      <c r="U85" s="186">
        <f>+P85*$J$5/2</f>
        <v>0</v>
      </c>
      <c r="V85" s="162"/>
      <c r="W85" s="81">
        <f>+(T87+U87)/S87</f>
        <v>0.2366</v>
      </c>
    </row>
    <row r="86" spans="2:23" ht="15.75" customHeight="1" x14ac:dyDescent="0.35">
      <c r="B86" s="116"/>
      <c r="C86" s="117"/>
      <c r="D86" s="117"/>
      <c r="E86" s="118">
        <f>+D86-C86</f>
        <v>0</v>
      </c>
      <c r="F86" s="119">
        <f>+E86*1000</f>
        <v>0</v>
      </c>
      <c r="G86" s="119">
        <v>0</v>
      </c>
      <c r="H86" s="119">
        <f>+F86-G86</f>
        <v>0</v>
      </c>
      <c r="I86" s="120"/>
      <c r="J86" s="187">
        <f>+E86*$J$5/2</f>
        <v>0</v>
      </c>
      <c r="K86" s="165"/>
      <c r="L86" s="77" t="s">
        <v>180</v>
      </c>
      <c r="M86" s="116"/>
      <c r="N86" s="117"/>
      <c r="O86" s="117"/>
      <c r="P86" s="118">
        <f>+O86-N86</f>
        <v>0</v>
      </c>
      <c r="Q86" s="119">
        <f>+P86*1000</f>
        <v>0</v>
      </c>
      <c r="R86" s="119">
        <v>0</v>
      </c>
      <c r="S86" s="119">
        <f>+Q86-R86</f>
        <v>0</v>
      </c>
      <c r="T86" s="120"/>
      <c r="U86" s="187">
        <f>+P86*$J$5/2</f>
        <v>0</v>
      </c>
      <c r="V86" s="165"/>
      <c r="W86" s="77" t="s">
        <v>180</v>
      </c>
    </row>
    <row r="87" spans="2:23" ht="15.75" customHeight="1" x14ac:dyDescent="0.35">
      <c r="B87" s="121"/>
      <c r="C87" s="118"/>
      <c r="D87" s="118"/>
      <c r="E87" s="118">
        <f>SUM(E83:E86)</f>
        <v>66</v>
      </c>
      <c r="F87" s="119">
        <f>SUM(F83:F86)</f>
        <v>66000</v>
      </c>
      <c r="G87" s="119"/>
      <c r="H87" s="119">
        <f>SUM(H83:H86)</f>
        <v>66000</v>
      </c>
      <c r="I87" s="122">
        <f>SUM(I83:I86)</f>
        <v>0</v>
      </c>
      <c r="J87" s="122">
        <f>SUM(J83:J86)</f>
        <v>15615.6</v>
      </c>
      <c r="K87" s="165">
        <f>+H87*0.6-I87-J87-G87</f>
        <v>23984.400000000001</v>
      </c>
      <c r="L87" s="79">
        <f>+K87/H87</f>
        <v>0.3634</v>
      </c>
      <c r="M87" s="121"/>
      <c r="N87" s="118"/>
      <c r="O87" s="118"/>
      <c r="P87" s="118">
        <f>SUM(P83:P86)</f>
        <v>80</v>
      </c>
      <c r="Q87" s="119">
        <f>SUM(Q83:Q86)</f>
        <v>80000</v>
      </c>
      <c r="R87" s="119"/>
      <c r="S87" s="119">
        <f>SUM(S83:S86)</f>
        <v>80000</v>
      </c>
      <c r="T87" s="122">
        <f>SUM(T83:T86)</f>
        <v>0</v>
      </c>
      <c r="U87" s="122">
        <f>SUM(U83:U86)</f>
        <v>18928</v>
      </c>
      <c r="V87" s="165">
        <f>+S87*0.6-T87-U87-R87</f>
        <v>29072</v>
      </c>
      <c r="W87" s="79">
        <f>+V87/S87</f>
        <v>0.3634</v>
      </c>
    </row>
  </sheetData>
  <mergeCells count="1">
    <mergeCell ref="C1:F1"/>
  </mergeCells>
  <phoneticPr fontId="35"/>
  <pageMargins left="0.69930555555555596" right="0.69930555555555596" top="0.75" bottom="0.75" header="0" footer="0"/>
  <pageSetup paperSize="9" scale="44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D705-1DE7-4208-BD93-FCDD0C9A7B25}">
  <sheetPr codeName="Sheet6"/>
  <dimension ref="A1:F143"/>
  <sheetViews>
    <sheetView workbookViewId="0">
      <pane ySplit="1" topLeftCell="A124" activePane="bottomLeft" state="frozen"/>
      <selection activeCell="B1" sqref="B1"/>
      <selection pane="bottomLeft" activeCell="B1" sqref="B1"/>
    </sheetView>
  </sheetViews>
  <sheetFormatPr defaultRowHeight="15" x14ac:dyDescent="0.2"/>
  <cols>
    <col min="1" max="1" width="1.74609375" customWidth="1"/>
    <col min="3" max="3" width="9.14453125" customWidth="1"/>
    <col min="5" max="5" width="7.80078125" bestFit="1" customWidth="1"/>
    <col min="6" max="6" width="35.6484375" bestFit="1" customWidth="1"/>
  </cols>
  <sheetData>
    <row r="1" spans="1:6" ht="22.5" x14ac:dyDescent="0.45">
      <c r="A1" s="227" t="s">
        <v>326</v>
      </c>
      <c r="B1" s="227"/>
      <c r="C1" s="227"/>
      <c r="D1" s="227"/>
      <c r="E1" s="227"/>
      <c r="F1" s="71"/>
    </row>
    <row r="2" spans="1:6" x14ac:dyDescent="0.3">
      <c r="B2" s="22"/>
      <c r="C2" s="20"/>
      <c r="D2" s="5"/>
      <c r="E2" s="5"/>
      <c r="F2" s="23"/>
    </row>
    <row r="3" spans="1:6" ht="19.5" customHeight="1" thickBot="1" x14ac:dyDescent="0.35">
      <c r="B3" s="847" t="s">
        <v>148</v>
      </c>
      <c r="C3" s="847"/>
      <c r="D3" s="5"/>
      <c r="E3" s="5"/>
      <c r="F3" s="26"/>
    </row>
    <row r="4" spans="1:6" ht="15.75" thickBot="1" x14ac:dyDescent="0.25">
      <c r="B4" s="7" t="s">
        <v>142</v>
      </c>
      <c r="C4" s="8" t="s">
        <v>143</v>
      </c>
      <c r="D4" s="8" t="s">
        <v>144</v>
      </c>
      <c r="E4" s="8" t="s">
        <v>145</v>
      </c>
      <c r="F4" s="9" t="s">
        <v>146</v>
      </c>
    </row>
    <row r="5" spans="1:6" x14ac:dyDescent="0.3">
      <c r="B5" s="210">
        <v>45337</v>
      </c>
      <c r="C5" s="170">
        <v>35</v>
      </c>
      <c r="D5" s="170">
        <v>0</v>
      </c>
      <c r="E5" s="171">
        <f>IF(C5="","",D5*1000)</f>
        <v>0</v>
      </c>
      <c r="F5" s="172"/>
    </row>
    <row r="6" spans="1:6" x14ac:dyDescent="0.3">
      <c r="B6" s="210">
        <v>45339</v>
      </c>
      <c r="C6" s="13">
        <v>79</v>
      </c>
      <c r="D6" s="170">
        <f>IF(C6="","",C6-C5)</f>
        <v>44</v>
      </c>
      <c r="E6" s="171">
        <f t="shared" ref="E6:E9" si="0">IF(C6="","",D6*1000)</f>
        <v>44000</v>
      </c>
      <c r="F6" s="172"/>
    </row>
    <row r="7" spans="1:6" x14ac:dyDescent="0.3">
      <c r="B7" s="210">
        <v>45341</v>
      </c>
      <c r="C7" s="13">
        <v>98</v>
      </c>
      <c r="D7" s="170">
        <f t="shared" ref="D7" si="1">IF(C7="","",C7-C6)</f>
        <v>19</v>
      </c>
      <c r="E7" s="171">
        <f t="shared" si="0"/>
        <v>19000</v>
      </c>
      <c r="F7" s="172"/>
    </row>
    <row r="8" spans="1:6" x14ac:dyDescent="0.3">
      <c r="B8" s="210">
        <v>45345</v>
      </c>
      <c r="C8" s="13">
        <v>133</v>
      </c>
      <c r="D8" s="170">
        <f t="shared" ref="D8" si="2">IF(C8="","",C8-C7)</f>
        <v>35</v>
      </c>
      <c r="E8" s="171">
        <f t="shared" si="0"/>
        <v>35000</v>
      </c>
      <c r="F8" s="172"/>
    </row>
    <row r="9" spans="1:6" x14ac:dyDescent="0.3">
      <c r="B9" s="210">
        <v>45348</v>
      </c>
      <c r="C9" s="13">
        <v>158</v>
      </c>
      <c r="D9" s="170">
        <f t="shared" ref="D9" si="3">IF(C9="","",C9-C8)</f>
        <v>25</v>
      </c>
      <c r="E9" s="171">
        <f t="shared" si="0"/>
        <v>25000</v>
      </c>
      <c r="F9" s="172"/>
    </row>
    <row r="10" spans="1:6" x14ac:dyDescent="0.3">
      <c r="B10" s="210">
        <v>45352</v>
      </c>
      <c r="C10" s="13">
        <v>196</v>
      </c>
      <c r="D10" s="170">
        <f t="shared" ref="D10" si="4">IF(C10="","",C10-C9)</f>
        <v>38</v>
      </c>
      <c r="E10" s="171">
        <f>IF(C10="","",D10*1000)</f>
        <v>38000</v>
      </c>
      <c r="F10" s="172"/>
    </row>
    <row r="11" spans="1:6" x14ac:dyDescent="0.3">
      <c r="B11" s="210">
        <v>45355</v>
      </c>
      <c r="C11" s="13">
        <v>221</v>
      </c>
      <c r="D11" s="170">
        <f t="shared" ref="D11" si="5">IF(C11="","",C11-C10)</f>
        <v>25</v>
      </c>
      <c r="E11" s="171">
        <f t="shared" ref="E11:E14" si="6">IF(C11="","",D11*1000)</f>
        <v>25000</v>
      </c>
      <c r="F11" s="172" t="s">
        <v>131</v>
      </c>
    </row>
    <row r="12" spans="1:6" x14ac:dyDescent="0.3">
      <c r="B12" s="210">
        <v>45362</v>
      </c>
      <c r="C12" s="13">
        <v>258</v>
      </c>
      <c r="D12" s="170">
        <f t="shared" ref="D12" si="7">IF(C12="","",C12-C11)</f>
        <v>37</v>
      </c>
      <c r="E12" s="171">
        <f t="shared" si="6"/>
        <v>37000</v>
      </c>
      <c r="F12" s="172"/>
    </row>
    <row r="13" spans="1:6" x14ac:dyDescent="0.3">
      <c r="B13" s="216">
        <v>45366</v>
      </c>
      <c r="C13" s="46">
        <v>269</v>
      </c>
      <c r="D13" s="170">
        <f t="shared" ref="D13" si="8">IF(C13="","",C13-C12)</f>
        <v>11</v>
      </c>
      <c r="E13" s="171">
        <f t="shared" si="6"/>
        <v>11000</v>
      </c>
      <c r="F13" s="172"/>
    </row>
    <row r="14" spans="1:6" ht="15.75" thickBot="1" x14ac:dyDescent="0.35">
      <c r="B14" s="211"/>
      <c r="C14" s="39"/>
      <c r="D14" s="16" t="str">
        <f t="shared" ref="D14" si="9">IF(C14="","",C14-C13)</f>
        <v/>
      </c>
      <c r="E14" s="222" t="str">
        <f t="shared" si="6"/>
        <v/>
      </c>
      <c r="F14" s="176"/>
    </row>
    <row r="15" spans="1:6" ht="15.75" thickBot="1" x14ac:dyDescent="0.35">
      <c r="B15" s="15"/>
      <c r="C15" s="16"/>
      <c r="D15" s="16">
        <f>SUM(D5:D14)</f>
        <v>234</v>
      </c>
      <c r="E15" s="17">
        <f>SUM(E5:E14)</f>
        <v>234000</v>
      </c>
      <c r="F15" s="176"/>
    </row>
    <row r="17" spans="2:6" ht="19.5" customHeight="1" thickBot="1" x14ac:dyDescent="0.35">
      <c r="B17" s="847" t="s">
        <v>148</v>
      </c>
      <c r="C17" s="847"/>
      <c r="D17" s="5"/>
      <c r="E17" s="5"/>
      <c r="F17" s="26"/>
    </row>
    <row r="18" spans="2:6" ht="15.75" thickBot="1" x14ac:dyDescent="0.25">
      <c r="B18" s="7" t="s">
        <v>142</v>
      </c>
      <c r="C18" s="8" t="s">
        <v>143</v>
      </c>
      <c r="D18" s="8" t="s">
        <v>144</v>
      </c>
      <c r="E18" s="8" t="s">
        <v>145</v>
      </c>
      <c r="F18" s="9" t="s">
        <v>146</v>
      </c>
    </row>
    <row r="19" spans="2:6" x14ac:dyDescent="0.3">
      <c r="B19" s="210">
        <v>45373</v>
      </c>
      <c r="C19" s="170">
        <v>330</v>
      </c>
      <c r="D19" s="170">
        <f>IF(C19="","",C19-C13)</f>
        <v>61</v>
      </c>
      <c r="E19" s="171">
        <f>IF(C19="","",D19*1000)</f>
        <v>61000</v>
      </c>
      <c r="F19" s="172" t="s">
        <v>131</v>
      </c>
    </row>
    <row r="20" spans="2:6" x14ac:dyDescent="0.3">
      <c r="B20" s="210">
        <v>45376</v>
      </c>
      <c r="C20" s="13">
        <v>352</v>
      </c>
      <c r="D20" s="170">
        <f>IF(C20="","",C20-C19)</f>
        <v>22</v>
      </c>
      <c r="E20" s="171">
        <f t="shared" ref="E20:E23" si="10">IF(C20="","",D20*1000)</f>
        <v>22000</v>
      </c>
      <c r="F20" s="172"/>
    </row>
    <row r="21" spans="2:6" x14ac:dyDescent="0.3">
      <c r="B21" s="210">
        <v>45380</v>
      </c>
      <c r="C21" s="13">
        <v>419</v>
      </c>
      <c r="D21" s="170">
        <f t="shared" ref="D21:D26" si="11">IF(C21="","",C21-C20)</f>
        <v>67</v>
      </c>
      <c r="E21" s="171">
        <f t="shared" si="10"/>
        <v>67000</v>
      </c>
      <c r="F21" s="172" t="s">
        <v>131</v>
      </c>
    </row>
    <row r="22" spans="2:6" x14ac:dyDescent="0.3">
      <c r="B22" s="210">
        <v>45383</v>
      </c>
      <c r="C22" s="13">
        <v>466</v>
      </c>
      <c r="D22" s="170">
        <f t="shared" si="11"/>
        <v>47</v>
      </c>
      <c r="E22" s="171">
        <f t="shared" si="10"/>
        <v>47000</v>
      </c>
      <c r="F22" s="172"/>
    </row>
    <row r="23" spans="2:6" x14ac:dyDescent="0.3">
      <c r="B23" s="210">
        <v>45390</v>
      </c>
      <c r="C23" s="13">
        <v>560</v>
      </c>
      <c r="D23" s="170">
        <f t="shared" si="11"/>
        <v>94</v>
      </c>
      <c r="E23" s="171">
        <f t="shared" si="10"/>
        <v>94000</v>
      </c>
      <c r="F23" s="172" t="s">
        <v>131</v>
      </c>
    </row>
    <row r="24" spans="2:6" x14ac:dyDescent="0.3">
      <c r="B24" s="210">
        <v>45392</v>
      </c>
      <c r="C24" s="13">
        <v>578</v>
      </c>
      <c r="D24" s="170">
        <f t="shared" si="11"/>
        <v>18</v>
      </c>
      <c r="E24" s="171">
        <f>IF(C24="","",D24*1000)</f>
        <v>18000</v>
      </c>
      <c r="F24" s="172"/>
    </row>
    <row r="25" spans="2:6" x14ac:dyDescent="0.3">
      <c r="B25" s="210">
        <v>45396</v>
      </c>
      <c r="C25" s="13">
        <v>590</v>
      </c>
      <c r="D25" s="170">
        <f t="shared" si="11"/>
        <v>12</v>
      </c>
      <c r="E25" s="171">
        <f>IF(C25="","",D25*1000)</f>
        <v>12000</v>
      </c>
      <c r="F25" s="172" t="s">
        <v>327</v>
      </c>
    </row>
    <row r="26" spans="2:6" x14ac:dyDescent="0.3">
      <c r="B26" s="210"/>
      <c r="C26" s="13"/>
      <c r="D26" s="170" t="str">
        <f t="shared" si="11"/>
        <v/>
      </c>
      <c r="E26" s="171" t="str">
        <f>IF(C26="","",D26*1000)</f>
        <v/>
      </c>
      <c r="F26" s="172" t="s">
        <v>328</v>
      </c>
    </row>
    <row r="27" spans="2:6" x14ac:dyDescent="0.3">
      <c r="B27" s="216"/>
      <c r="C27" s="46"/>
      <c r="D27" s="170" t="str">
        <f t="shared" ref="D27" si="12">IF(C27="","",C27-C26)</f>
        <v/>
      </c>
      <c r="E27" s="171" t="str">
        <f>IF(C27="","",D27*1000)</f>
        <v/>
      </c>
      <c r="F27" s="172" t="s">
        <v>329</v>
      </c>
    </row>
    <row r="28" spans="2:6" ht="15.75" thickBot="1" x14ac:dyDescent="0.35">
      <c r="B28" s="211"/>
      <c r="C28" s="39"/>
      <c r="D28" s="221" t="str">
        <f t="shared" ref="D28" si="13">IF(C28="","",C28-C27)</f>
        <v/>
      </c>
      <c r="E28" s="223" t="str">
        <f>IF(C28="","",D28*1000)</f>
        <v/>
      </c>
      <c r="F28" s="176"/>
    </row>
    <row r="29" spans="2:6" ht="15.75" thickBot="1" x14ac:dyDescent="0.35">
      <c r="B29" s="15"/>
      <c r="C29" s="16"/>
      <c r="D29" s="16">
        <f>SUM(D19:D28)</f>
        <v>321</v>
      </c>
      <c r="E29" s="17">
        <f>SUM(E19:E28)</f>
        <v>321000</v>
      </c>
      <c r="F29" s="176"/>
    </row>
    <row r="31" spans="2:6" ht="19.5" customHeight="1" thickBot="1" x14ac:dyDescent="0.35">
      <c r="B31" s="847" t="s">
        <v>148</v>
      </c>
      <c r="C31" s="847"/>
      <c r="D31" s="5"/>
      <c r="E31" s="5"/>
      <c r="F31" s="26"/>
    </row>
    <row r="32" spans="2:6" ht="15.75" thickBot="1" x14ac:dyDescent="0.25">
      <c r="B32" s="7" t="s">
        <v>142</v>
      </c>
      <c r="C32" s="8" t="s">
        <v>143</v>
      </c>
      <c r="D32" s="8" t="s">
        <v>144</v>
      </c>
      <c r="E32" s="8" t="s">
        <v>145</v>
      </c>
      <c r="F32" s="9" t="s">
        <v>146</v>
      </c>
    </row>
    <row r="33" spans="2:6" x14ac:dyDescent="0.3">
      <c r="B33" s="210">
        <v>45401</v>
      </c>
      <c r="C33" s="170">
        <v>610</v>
      </c>
      <c r="D33" s="170">
        <f>IF(C33="","",C33-C25)</f>
        <v>20</v>
      </c>
      <c r="E33" s="171">
        <f>IF(C33="","",D33*1000)</f>
        <v>20000</v>
      </c>
      <c r="F33" s="172" t="s">
        <v>131</v>
      </c>
    </row>
    <row r="34" spans="2:6" x14ac:dyDescent="0.3">
      <c r="B34" s="210">
        <v>45408</v>
      </c>
      <c r="C34" s="13">
        <v>672</v>
      </c>
      <c r="D34" s="170">
        <f>IF(C34="","",C34-C33)</f>
        <v>62</v>
      </c>
      <c r="E34" s="171">
        <f t="shared" ref="E34:E37" si="14">IF(C34="","",D34*1000)</f>
        <v>62000</v>
      </c>
      <c r="F34" s="172"/>
    </row>
    <row r="35" spans="2:6" x14ac:dyDescent="0.3">
      <c r="B35" s="210">
        <v>45411</v>
      </c>
      <c r="C35" s="13">
        <v>722</v>
      </c>
      <c r="D35" s="170">
        <f t="shared" ref="D35:D42" si="15">IF(C35="","",C35-C34)</f>
        <v>50</v>
      </c>
      <c r="E35" s="171">
        <f t="shared" si="14"/>
        <v>50000</v>
      </c>
      <c r="F35" s="172" t="s">
        <v>131</v>
      </c>
    </row>
    <row r="36" spans="2:6" x14ac:dyDescent="0.3">
      <c r="B36" s="210">
        <v>45415</v>
      </c>
      <c r="C36" s="13">
        <v>762</v>
      </c>
      <c r="D36" s="170">
        <f t="shared" si="15"/>
        <v>40</v>
      </c>
      <c r="E36" s="171">
        <f t="shared" si="14"/>
        <v>40000</v>
      </c>
      <c r="F36" s="172"/>
    </row>
    <row r="37" spans="2:6" x14ac:dyDescent="0.3">
      <c r="B37" s="210">
        <v>45418</v>
      </c>
      <c r="C37" s="13">
        <v>927</v>
      </c>
      <c r="D37" s="170">
        <f t="shared" si="15"/>
        <v>165</v>
      </c>
      <c r="E37" s="171">
        <f t="shared" si="14"/>
        <v>165000</v>
      </c>
      <c r="F37" s="172"/>
    </row>
    <row r="38" spans="2:6" x14ac:dyDescent="0.3">
      <c r="B38" s="210">
        <v>45425</v>
      </c>
      <c r="C38" s="13">
        <v>968</v>
      </c>
      <c r="D38" s="170">
        <f t="shared" si="15"/>
        <v>41</v>
      </c>
      <c r="E38" s="171">
        <f>IF(C38="","",D38*1000)</f>
        <v>41000</v>
      </c>
      <c r="F38" s="172" t="s">
        <v>327</v>
      </c>
    </row>
    <row r="39" spans="2:6" x14ac:dyDescent="0.3">
      <c r="B39" s="210"/>
      <c r="C39" s="13"/>
      <c r="D39" s="170" t="str">
        <f t="shared" si="15"/>
        <v/>
      </c>
      <c r="E39" s="171" t="str">
        <f>IF(C39="","",D39*1000)</f>
        <v/>
      </c>
      <c r="F39" s="172" t="s">
        <v>330</v>
      </c>
    </row>
    <row r="40" spans="2:6" x14ac:dyDescent="0.3">
      <c r="B40" s="210"/>
      <c r="C40" s="13"/>
      <c r="D40" s="170" t="str">
        <f t="shared" si="15"/>
        <v/>
      </c>
      <c r="E40" s="171" t="str">
        <f>IF(C40="","",D40*1000)</f>
        <v/>
      </c>
      <c r="F40" s="172" t="s">
        <v>331</v>
      </c>
    </row>
    <row r="41" spans="2:6" x14ac:dyDescent="0.3">
      <c r="B41" s="216"/>
      <c r="C41" s="46"/>
      <c r="D41" s="170" t="str">
        <f t="shared" si="15"/>
        <v/>
      </c>
      <c r="E41" s="171" t="str">
        <f>IF(C41="","",D41*1000)</f>
        <v/>
      </c>
      <c r="F41" s="172"/>
    </row>
    <row r="42" spans="2:6" ht="15.75" thickBot="1" x14ac:dyDescent="0.35">
      <c r="B42" s="211"/>
      <c r="C42" s="39"/>
      <c r="D42" s="221" t="str">
        <f t="shared" si="15"/>
        <v/>
      </c>
      <c r="E42" s="223" t="str">
        <f>IF(C42="","",D42*1000)</f>
        <v/>
      </c>
      <c r="F42" s="176"/>
    </row>
    <row r="43" spans="2:6" ht="15.75" thickBot="1" x14ac:dyDescent="0.35">
      <c r="B43" s="15"/>
      <c r="C43" s="16"/>
      <c r="D43" s="16">
        <f>SUM(D33:D42)</f>
        <v>378</v>
      </c>
      <c r="E43" s="17">
        <f>SUM(E33:E42)</f>
        <v>378000</v>
      </c>
      <c r="F43" s="176"/>
    </row>
    <row r="45" spans="2:6" ht="15.75" thickBot="1" x14ac:dyDescent="0.35">
      <c r="B45" s="847" t="s">
        <v>148</v>
      </c>
      <c r="C45" s="847"/>
      <c r="D45" s="5"/>
      <c r="E45" s="5"/>
      <c r="F45" s="26"/>
    </row>
    <row r="46" spans="2:6" ht="15.75" thickBot="1" x14ac:dyDescent="0.25">
      <c r="B46" s="7" t="s">
        <v>142</v>
      </c>
      <c r="C46" s="8" t="s">
        <v>143</v>
      </c>
      <c r="D46" s="8" t="s">
        <v>144</v>
      </c>
      <c r="E46" s="8" t="s">
        <v>145</v>
      </c>
      <c r="F46" s="9" t="s">
        <v>146</v>
      </c>
    </row>
    <row r="47" spans="2:6" x14ac:dyDescent="0.3">
      <c r="B47" s="210">
        <v>45430</v>
      </c>
      <c r="C47" s="170">
        <v>1050</v>
      </c>
      <c r="D47" s="170">
        <f>IF(C47="","",C47-C38)</f>
        <v>82</v>
      </c>
      <c r="E47" s="171">
        <f t="shared" ref="E47:E56" si="16">IF(C47="","",D47*1000)</f>
        <v>82000</v>
      </c>
      <c r="F47" s="172" t="s">
        <v>131</v>
      </c>
    </row>
    <row r="48" spans="2:6" x14ac:dyDescent="0.3">
      <c r="B48" s="210">
        <v>45436</v>
      </c>
      <c r="C48" s="13">
        <v>1094</v>
      </c>
      <c r="D48" s="170">
        <f t="shared" ref="D48:D56" si="17">IF(C48="","",C48-C47)</f>
        <v>44</v>
      </c>
      <c r="E48" s="171">
        <f t="shared" si="16"/>
        <v>44000</v>
      </c>
      <c r="F48" s="226"/>
    </row>
    <row r="49" spans="2:6" x14ac:dyDescent="0.3">
      <c r="B49" s="210">
        <v>45443</v>
      </c>
      <c r="C49" s="13">
        <v>1133</v>
      </c>
      <c r="D49" s="170">
        <f t="shared" si="17"/>
        <v>39</v>
      </c>
      <c r="E49" s="171">
        <f t="shared" si="16"/>
        <v>39000</v>
      </c>
      <c r="F49" s="172" t="s">
        <v>332</v>
      </c>
    </row>
    <row r="50" spans="2:6" x14ac:dyDescent="0.3">
      <c r="B50" s="210">
        <v>45446</v>
      </c>
      <c r="C50" s="13">
        <v>1152</v>
      </c>
      <c r="D50" s="170">
        <f t="shared" si="17"/>
        <v>19</v>
      </c>
      <c r="E50" s="171">
        <f t="shared" si="16"/>
        <v>19000</v>
      </c>
      <c r="F50" s="172" t="s">
        <v>333</v>
      </c>
    </row>
    <row r="51" spans="2:6" x14ac:dyDescent="0.3">
      <c r="B51" s="210">
        <v>45453</v>
      </c>
      <c r="C51" s="13">
        <v>1202</v>
      </c>
      <c r="D51" s="170">
        <f t="shared" si="17"/>
        <v>50</v>
      </c>
      <c r="E51" s="171">
        <f t="shared" si="16"/>
        <v>50000</v>
      </c>
      <c r="F51" s="172"/>
    </row>
    <row r="52" spans="2:6" x14ac:dyDescent="0.3">
      <c r="B52" s="210">
        <v>45456</v>
      </c>
      <c r="C52" s="13">
        <v>1209</v>
      </c>
      <c r="D52" s="170">
        <f t="shared" si="17"/>
        <v>7</v>
      </c>
      <c r="E52" s="171">
        <f t="shared" si="16"/>
        <v>7000</v>
      </c>
      <c r="F52" s="172"/>
    </row>
    <row r="53" spans="2:6" x14ac:dyDescent="0.3">
      <c r="B53" s="210"/>
      <c r="C53" s="13"/>
      <c r="D53" s="170" t="str">
        <f t="shared" si="17"/>
        <v/>
      </c>
      <c r="E53" s="171" t="str">
        <f t="shared" si="16"/>
        <v/>
      </c>
      <c r="F53" s="172"/>
    </row>
    <row r="54" spans="2:6" x14ac:dyDescent="0.3">
      <c r="B54" s="210"/>
      <c r="C54" s="13"/>
      <c r="D54" s="170" t="str">
        <f t="shared" si="17"/>
        <v/>
      </c>
      <c r="E54" s="171" t="str">
        <f t="shared" si="16"/>
        <v/>
      </c>
      <c r="F54" s="172"/>
    </row>
    <row r="55" spans="2:6" x14ac:dyDescent="0.3">
      <c r="B55" s="216"/>
      <c r="C55" s="46"/>
      <c r="D55" s="170" t="str">
        <f t="shared" si="17"/>
        <v/>
      </c>
      <c r="E55" s="171" t="str">
        <f t="shared" si="16"/>
        <v/>
      </c>
      <c r="F55" s="172"/>
    </row>
    <row r="56" spans="2:6" ht="15.75" thickBot="1" x14ac:dyDescent="0.35">
      <c r="B56" s="211"/>
      <c r="C56" s="39"/>
      <c r="D56" s="221" t="str">
        <f t="shared" si="17"/>
        <v/>
      </c>
      <c r="E56" s="223" t="str">
        <f t="shared" si="16"/>
        <v/>
      </c>
      <c r="F56" s="176"/>
    </row>
    <row r="57" spans="2:6" ht="15.75" thickBot="1" x14ac:dyDescent="0.35">
      <c r="B57" s="15"/>
      <c r="C57" s="16"/>
      <c r="D57" s="16">
        <f>SUM(D47:D56)</f>
        <v>241</v>
      </c>
      <c r="E57" s="17">
        <f>SUM(E47:E56)</f>
        <v>241000</v>
      </c>
      <c r="F57" s="176"/>
    </row>
    <row r="59" spans="2:6" ht="15.75" thickBot="1" x14ac:dyDescent="0.35">
      <c r="B59" s="847" t="s">
        <v>148</v>
      </c>
      <c r="C59" s="847"/>
      <c r="D59" s="5"/>
      <c r="E59" s="5"/>
      <c r="F59" s="26"/>
    </row>
    <row r="60" spans="2:6" ht="15.75" thickBot="1" x14ac:dyDescent="0.25">
      <c r="B60" s="7" t="s">
        <v>142</v>
      </c>
      <c r="C60" s="8" t="s">
        <v>143</v>
      </c>
      <c r="D60" s="8" t="s">
        <v>144</v>
      </c>
      <c r="E60" s="8" t="s">
        <v>145</v>
      </c>
      <c r="F60" s="9" t="s">
        <v>146</v>
      </c>
    </row>
    <row r="61" spans="2:6" x14ac:dyDescent="0.3">
      <c r="B61" s="210">
        <v>45464</v>
      </c>
      <c r="C61" s="170">
        <v>1263</v>
      </c>
      <c r="D61" s="170">
        <f>IF(C61="","",C61-C52)</f>
        <v>54</v>
      </c>
      <c r="E61" s="171">
        <f t="shared" ref="E61:E70" si="18">IF(C61="","",D61*1000)</f>
        <v>54000</v>
      </c>
      <c r="F61" s="315" t="s">
        <v>334</v>
      </c>
    </row>
    <row r="62" spans="2:6" x14ac:dyDescent="0.3">
      <c r="B62" s="210">
        <v>45467</v>
      </c>
      <c r="C62" s="13">
        <v>1291</v>
      </c>
      <c r="D62" s="170">
        <f t="shared" ref="D62:D70" si="19">IF(C62="","",C62-C61)</f>
        <v>28</v>
      </c>
      <c r="E62" s="171">
        <f t="shared" si="18"/>
        <v>28000</v>
      </c>
      <c r="F62" s="226"/>
    </row>
    <row r="63" spans="2:6" x14ac:dyDescent="0.3">
      <c r="B63" s="210">
        <v>45471</v>
      </c>
      <c r="C63" s="13">
        <v>1307</v>
      </c>
      <c r="D63" s="170">
        <f t="shared" si="19"/>
        <v>16</v>
      </c>
      <c r="E63" s="171">
        <f t="shared" si="18"/>
        <v>16000</v>
      </c>
      <c r="F63" s="172"/>
    </row>
    <row r="64" spans="2:6" x14ac:dyDescent="0.3">
      <c r="B64" s="210">
        <v>45474</v>
      </c>
      <c r="C64" s="13">
        <v>1338</v>
      </c>
      <c r="D64" s="170">
        <f t="shared" si="19"/>
        <v>31</v>
      </c>
      <c r="E64" s="171">
        <f t="shared" si="18"/>
        <v>31000</v>
      </c>
      <c r="F64" s="172"/>
    </row>
    <row r="65" spans="2:6" x14ac:dyDescent="0.3">
      <c r="B65" s="210">
        <v>45478</v>
      </c>
      <c r="C65" s="13">
        <v>1348</v>
      </c>
      <c r="D65" s="170">
        <f t="shared" si="19"/>
        <v>10</v>
      </c>
      <c r="E65" s="171">
        <f t="shared" si="18"/>
        <v>10000</v>
      </c>
      <c r="F65" s="172"/>
    </row>
    <row r="66" spans="2:6" x14ac:dyDescent="0.3">
      <c r="B66" s="210">
        <v>45481</v>
      </c>
      <c r="C66" s="13">
        <v>1380</v>
      </c>
      <c r="D66" s="170">
        <f t="shared" si="19"/>
        <v>32</v>
      </c>
      <c r="E66" s="171">
        <f t="shared" si="18"/>
        <v>32000</v>
      </c>
      <c r="F66" s="172"/>
    </row>
    <row r="67" spans="2:6" x14ac:dyDescent="0.3">
      <c r="B67" s="210">
        <v>45485</v>
      </c>
      <c r="C67" s="13">
        <v>1390</v>
      </c>
      <c r="D67" s="170">
        <f t="shared" si="19"/>
        <v>10</v>
      </c>
      <c r="E67" s="171">
        <f t="shared" si="18"/>
        <v>10000</v>
      </c>
      <c r="F67" s="172" t="s">
        <v>311</v>
      </c>
    </row>
    <row r="68" spans="2:6" x14ac:dyDescent="0.3">
      <c r="B68" s="210">
        <v>45489</v>
      </c>
      <c r="C68" s="13">
        <v>1419</v>
      </c>
      <c r="D68" s="170">
        <f t="shared" si="19"/>
        <v>29</v>
      </c>
      <c r="E68" s="171">
        <f t="shared" si="18"/>
        <v>29000</v>
      </c>
      <c r="F68" s="172"/>
    </row>
    <row r="69" spans="2:6" x14ac:dyDescent="0.3">
      <c r="B69" s="216"/>
      <c r="C69" s="46"/>
      <c r="D69" s="170" t="str">
        <f t="shared" si="19"/>
        <v/>
      </c>
      <c r="E69" s="171" t="str">
        <f t="shared" si="18"/>
        <v/>
      </c>
      <c r="F69" s="172"/>
    </row>
    <row r="70" spans="2:6" ht="15.75" thickBot="1" x14ac:dyDescent="0.35">
      <c r="B70" s="211"/>
      <c r="C70" s="39"/>
      <c r="D70" s="221" t="str">
        <f t="shared" si="19"/>
        <v/>
      </c>
      <c r="E70" s="223" t="str">
        <f t="shared" si="18"/>
        <v/>
      </c>
      <c r="F70" s="176"/>
    </row>
    <row r="71" spans="2:6" ht="15.75" thickBot="1" x14ac:dyDescent="0.35">
      <c r="B71" s="15"/>
      <c r="C71" s="16"/>
      <c r="D71" s="16">
        <f>SUM(D61:D70)</f>
        <v>210</v>
      </c>
      <c r="E71" s="17">
        <f>SUM(E61:E70)</f>
        <v>210000</v>
      </c>
      <c r="F71" s="176"/>
    </row>
    <row r="73" spans="2:6" ht="15.75" thickBot="1" x14ac:dyDescent="0.35">
      <c r="B73" s="847" t="s">
        <v>148</v>
      </c>
      <c r="C73" s="847"/>
      <c r="D73" s="5"/>
      <c r="E73" s="5"/>
      <c r="F73" s="26"/>
    </row>
    <row r="74" spans="2:6" ht="15.75" thickBot="1" x14ac:dyDescent="0.25">
      <c r="B74" s="7" t="s">
        <v>142</v>
      </c>
      <c r="C74" s="8" t="s">
        <v>143</v>
      </c>
      <c r="D74" s="8" t="s">
        <v>144</v>
      </c>
      <c r="E74" s="8" t="s">
        <v>145</v>
      </c>
      <c r="F74" s="9" t="s">
        <v>146</v>
      </c>
    </row>
    <row r="75" spans="2:6" x14ac:dyDescent="0.3">
      <c r="B75" s="210">
        <v>45495</v>
      </c>
      <c r="C75" s="170">
        <v>1466</v>
      </c>
      <c r="D75" s="170">
        <f>IF(C75="","",C75-C68)</f>
        <v>47</v>
      </c>
      <c r="E75" s="171">
        <f t="shared" ref="E75:E82" si="20">IF(C75="","",D75*1000)</f>
        <v>47000</v>
      </c>
      <c r="F75" s="172" t="s">
        <v>311</v>
      </c>
    </row>
    <row r="76" spans="2:6" x14ac:dyDescent="0.3">
      <c r="B76" s="210">
        <v>45502</v>
      </c>
      <c r="C76" s="13">
        <v>1520</v>
      </c>
      <c r="D76" s="170">
        <f t="shared" ref="D76:D82" si="21">IF(C76="","",C76-C75)</f>
        <v>54</v>
      </c>
      <c r="E76" s="171">
        <f t="shared" si="20"/>
        <v>54000</v>
      </c>
      <c r="F76" s="226" t="s">
        <v>308</v>
      </c>
    </row>
    <row r="77" spans="2:6" x14ac:dyDescent="0.3">
      <c r="B77" s="210">
        <v>45506</v>
      </c>
      <c r="C77" s="13">
        <v>1544</v>
      </c>
      <c r="D77" s="170">
        <f t="shared" si="21"/>
        <v>24</v>
      </c>
      <c r="E77" s="171">
        <f t="shared" si="20"/>
        <v>24000</v>
      </c>
      <c r="F77" s="172" t="s">
        <v>311</v>
      </c>
    </row>
    <row r="78" spans="2:6" x14ac:dyDescent="0.3">
      <c r="B78" s="210">
        <v>45512</v>
      </c>
      <c r="C78" s="13">
        <v>1608</v>
      </c>
      <c r="D78" s="170">
        <f t="shared" si="21"/>
        <v>64</v>
      </c>
      <c r="E78" s="171">
        <f t="shared" si="20"/>
        <v>64000</v>
      </c>
      <c r="F78" s="172"/>
    </row>
    <row r="79" spans="2:6" x14ac:dyDescent="0.3">
      <c r="B79" s="210">
        <v>45519</v>
      </c>
      <c r="C79" s="13">
        <v>1665</v>
      </c>
      <c r="D79" s="170">
        <f t="shared" si="21"/>
        <v>57</v>
      </c>
      <c r="E79" s="171">
        <f t="shared" si="20"/>
        <v>57000</v>
      </c>
      <c r="F79" s="172" t="s">
        <v>131</v>
      </c>
    </row>
    <row r="80" spans="2:6" x14ac:dyDescent="0.3">
      <c r="B80" s="210"/>
      <c r="C80" s="13"/>
      <c r="D80" s="170" t="str">
        <f t="shared" si="21"/>
        <v/>
      </c>
      <c r="E80" s="171" t="str">
        <f t="shared" si="20"/>
        <v/>
      </c>
      <c r="F80" s="172"/>
    </row>
    <row r="81" spans="2:6" x14ac:dyDescent="0.3">
      <c r="B81" s="216"/>
      <c r="C81" s="46"/>
      <c r="D81" s="170" t="str">
        <f t="shared" si="21"/>
        <v/>
      </c>
      <c r="E81" s="171" t="str">
        <f t="shared" si="20"/>
        <v/>
      </c>
      <c r="F81" s="172"/>
    </row>
    <row r="82" spans="2:6" ht="15.75" thickBot="1" x14ac:dyDescent="0.35">
      <c r="B82" s="211"/>
      <c r="C82" s="39"/>
      <c r="D82" s="221" t="str">
        <f t="shared" si="21"/>
        <v/>
      </c>
      <c r="E82" s="223" t="str">
        <f t="shared" si="20"/>
        <v/>
      </c>
      <c r="F82" s="176"/>
    </row>
    <row r="83" spans="2:6" ht="15.75" thickBot="1" x14ac:dyDescent="0.35">
      <c r="B83" s="15"/>
      <c r="C83" s="16"/>
      <c r="D83" s="16">
        <f>SUM(D75:D82)</f>
        <v>246</v>
      </c>
      <c r="E83" s="17">
        <f>SUM(E75:E82)</f>
        <v>246000</v>
      </c>
      <c r="F83" s="176"/>
    </row>
    <row r="85" spans="2:6" ht="15.75" thickBot="1" x14ac:dyDescent="0.35">
      <c r="B85" s="847" t="s">
        <v>148</v>
      </c>
      <c r="C85" s="847"/>
      <c r="D85" s="5"/>
      <c r="E85" s="5"/>
      <c r="F85" s="26"/>
    </row>
    <row r="86" spans="2:6" ht="15.75" thickBot="1" x14ac:dyDescent="0.25">
      <c r="B86" s="7" t="s">
        <v>142</v>
      </c>
      <c r="C86" s="8" t="s">
        <v>143</v>
      </c>
      <c r="D86" s="8" t="s">
        <v>144</v>
      </c>
      <c r="E86" s="8" t="s">
        <v>145</v>
      </c>
      <c r="F86" s="9" t="s">
        <v>146</v>
      </c>
    </row>
    <row r="87" spans="2:6" x14ac:dyDescent="0.3">
      <c r="B87" s="210">
        <v>45524</v>
      </c>
      <c r="C87" s="170">
        <v>1743</v>
      </c>
      <c r="D87" s="170">
        <f>IF(C87="","",C87-C79)</f>
        <v>78</v>
      </c>
      <c r="E87" s="171">
        <f t="shared" ref="E87:E94" si="22">IF(C87="","",D87*1000)</f>
        <v>78000</v>
      </c>
      <c r="F87" s="172"/>
    </row>
    <row r="88" spans="2:6" x14ac:dyDescent="0.3">
      <c r="B88" s="210">
        <v>45527</v>
      </c>
      <c r="C88" s="13">
        <v>1767</v>
      </c>
      <c r="D88" s="170">
        <f t="shared" ref="D88:D94" si="23">IF(C88="","",C88-C87)</f>
        <v>24</v>
      </c>
      <c r="E88" s="171">
        <f t="shared" si="22"/>
        <v>24000</v>
      </c>
      <c r="F88" s="226"/>
    </row>
    <row r="89" spans="2:6" x14ac:dyDescent="0.3">
      <c r="B89" s="210">
        <v>45530</v>
      </c>
      <c r="C89" s="13">
        <v>1806</v>
      </c>
      <c r="D89" s="170">
        <f t="shared" si="23"/>
        <v>39</v>
      </c>
      <c r="E89" s="171">
        <f t="shared" si="22"/>
        <v>39000</v>
      </c>
      <c r="F89" s="172"/>
    </row>
    <row r="90" spans="2:6" x14ac:dyDescent="0.3">
      <c r="B90" s="210">
        <v>45536</v>
      </c>
      <c r="C90" s="13">
        <v>1823</v>
      </c>
      <c r="D90" s="170">
        <f t="shared" si="23"/>
        <v>17</v>
      </c>
      <c r="E90" s="171">
        <f t="shared" si="22"/>
        <v>17000</v>
      </c>
      <c r="F90" s="172" t="s">
        <v>335</v>
      </c>
    </row>
    <row r="91" spans="2:6" x14ac:dyDescent="0.3">
      <c r="B91" s="210">
        <v>45537</v>
      </c>
      <c r="C91" s="13">
        <v>1836</v>
      </c>
      <c r="D91" s="170">
        <f t="shared" si="23"/>
        <v>13</v>
      </c>
      <c r="E91" s="171">
        <f t="shared" si="22"/>
        <v>13000</v>
      </c>
      <c r="F91" s="172" t="s">
        <v>131</v>
      </c>
    </row>
    <row r="92" spans="2:6" x14ac:dyDescent="0.3">
      <c r="B92" s="210">
        <v>45544</v>
      </c>
      <c r="C92" s="13">
        <v>1927</v>
      </c>
      <c r="D92" s="170">
        <f t="shared" si="23"/>
        <v>91</v>
      </c>
      <c r="E92" s="171">
        <f t="shared" si="22"/>
        <v>91000</v>
      </c>
      <c r="F92" s="172"/>
    </row>
    <row r="93" spans="2:6" x14ac:dyDescent="0.3">
      <c r="B93" s="216">
        <v>45548</v>
      </c>
      <c r="C93" s="46">
        <v>1963</v>
      </c>
      <c r="D93" s="170">
        <f t="shared" si="23"/>
        <v>36</v>
      </c>
      <c r="E93" s="171">
        <f t="shared" si="22"/>
        <v>36000</v>
      </c>
      <c r="F93" s="172"/>
    </row>
    <row r="94" spans="2:6" ht="15.75" thickBot="1" x14ac:dyDescent="0.35">
      <c r="B94" s="211">
        <v>45550</v>
      </c>
      <c r="C94" s="39">
        <v>1967</v>
      </c>
      <c r="D94" s="221">
        <f t="shared" si="23"/>
        <v>4</v>
      </c>
      <c r="E94" s="223">
        <f t="shared" si="22"/>
        <v>4000</v>
      </c>
      <c r="F94" s="176"/>
    </row>
    <row r="95" spans="2:6" ht="15.75" thickBot="1" x14ac:dyDescent="0.35">
      <c r="B95" s="15"/>
      <c r="C95" s="16"/>
      <c r="D95" s="16">
        <f>SUM(D87:D94)</f>
        <v>302</v>
      </c>
      <c r="E95" s="17">
        <f>SUM(E87:E94)</f>
        <v>302000</v>
      </c>
      <c r="F95" s="176"/>
    </row>
    <row r="97" spans="2:6" ht="15.75" thickBot="1" x14ac:dyDescent="0.35">
      <c r="B97" s="847" t="s">
        <v>148</v>
      </c>
      <c r="C97" s="847"/>
      <c r="D97" s="5"/>
      <c r="E97" s="5"/>
      <c r="F97" s="26"/>
    </row>
    <row r="98" spans="2:6" ht="15.75" thickBot="1" x14ac:dyDescent="0.25">
      <c r="B98" s="7" t="s">
        <v>142</v>
      </c>
      <c r="C98" s="8" t="s">
        <v>143</v>
      </c>
      <c r="D98" s="8" t="s">
        <v>144</v>
      </c>
      <c r="E98" s="8" t="s">
        <v>145</v>
      </c>
      <c r="F98" s="9" t="s">
        <v>146</v>
      </c>
    </row>
    <row r="99" spans="2:6" x14ac:dyDescent="0.3">
      <c r="B99" s="210">
        <v>45559</v>
      </c>
      <c r="C99" s="170">
        <v>2012</v>
      </c>
      <c r="D99" s="170">
        <f>IF(C99="","",C99-C94)</f>
        <v>45</v>
      </c>
      <c r="E99" s="171">
        <f t="shared" ref="E99:E105" si="24">IF(C99="","",D99*1000)</f>
        <v>45000</v>
      </c>
      <c r="F99" s="172"/>
    </row>
    <row r="100" spans="2:6" x14ac:dyDescent="0.3">
      <c r="B100" s="210">
        <v>45561</v>
      </c>
      <c r="C100" s="13">
        <v>2032</v>
      </c>
      <c r="D100" s="170">
        <f t="shared" ref="D100:D105" si="25">IF(C100="","",C100-C99)</f>
        <v>20</v>
      </c>
      <c r="E100" s="171">
        <f t="shared" si="24"/>
        <v>20000</v>
      </c>
      <c r="F100" s="226" t="s">
        <v>336</v>
      </c>
    </row>
    <row r="101" spans="2:6" x14ac:dyDescent="0.3">
      <c r="B101" s="210">
        <v>45563</v>
      </c>
      <c r="C101" s="13">
        <v>2041</v>
      </c>
      <c r="D101" s="170">
        <f t="shared" si="25"/>
        <v>9</v>
      </c>
      <c r="E101" s="171">
        <f t="shared" si="24"/>
        <v>9000</v>
      </c>
      <c r="F101" s="172" t="s">
        <v>337</v>
      </c>
    </row>
    <row r="102" spans="2:6" x14ac:dyDescent="0.3">
      <c r="B102" s="210">
        <v>45565</v>
      </c>
      <c r="C102" s="13">
        <v>2060</v>
      </c>
      <c r="D102" s="170">
        <f t="shared" si="25"/>
        <v>19</v>
      </c>
      <c r="E102" s="171">
        <f t="shared" si="24"/>
        <v>19000</v>
      </c>
      <c r="F102" s="172" t="s">
        <v>147</v>
      </c>
    </row>
    <row r="103" spans="2:6" x14ac:dyDescent="0.3">
      <c r="B103" s="210">
        <v>45567</v>
      </c>
      <c r="C103" s="13">
        <v>2110</v>
      </c>
      <c r="D103" s="170">
        <f t="shared" si="25"/>
        <v>50</v>
      </c>
      <c r="E103" s="171">
        <f t="shared" si="24"/>
        <v>50000</v>
      </c>
      <c r="F103" s="172" t="s">
        <v>147</v>
      </c>
    </row>
    <row r="104" spans="2:6" x14ac:dyDescent="0.3">
      <c r="B104" s="210">
        <v>45569</v>
      </c>
      <c r="C104" s="13">
        <v>2136</v>
      </c>
      <c r="D104" s="170">
        <f t="shared" si="25"/>
        <v>26</v>
      </c>
      <c r="E104" s="171">
        <f t="shared" si="24"/>
        <v>26000</v>
      </c>
      <c r="F104" s="172" t="s">
        <v>147</v>
      </c>
    </row>
    <row r="105" spans="2:6" x14ac:dyDescent="0.3">
      <c r="B105" s="216">
        <v>45570</v>
      </c>
      <c r="C105" s="46">
        <v>2138</v>
      </c>
      <c r="D105" s="170">
        <f t="shared" si="25"/>
        <v>2</v>
      </c>
      <c r="E105" s="171">
        <f t="shared" si="24"/>
        <v>2000</v>
      </c>
      <c r="F105" s="172" t="s">
        <v>338</v>
      </c>
    </row>
    <row r="106" spans="2:6" x14ac:dyDescent="0.3">
      <c r="B106" s="216">
        <v>45572</v>
      </c>
      <c r="C106" s="46">
        <v>2152</v>
      </c>
      <c r="D106" s="170">
        <f>IF(C106="","",C106-C105)</f>
        <v>14</v>
      </c>
      <c r="E106" s="171">
        <f>IF(C106="","",D106*1000)</f>
        <v>14000</v>
      </c>
      <c r="F106" s="51" t="s">
        <v>339</v>
      </c>
    </row>
    <row r="107" spans="2:6" x14ac:dyDescent="0.3">
      <c r="B107" s="216">
        <v>45575</v>
      </c>
      <c r="C107" s="46">
        <v>2157</v>
      </c>
      <c r="D107" s="170">
        <f>IF(C107="","",C107-C106)</f>
        <v>5</v>
      </c>
      <c r="E107" s="171">
        <f>IF(C107="","",D107*1000)</f>
        <v>5000</v>
      </c>
      <c r="F107" s="51" t="s">
        <v>339</v>
      </c>
    </row>
    <row r="108" spans="2:6" x14ac:dyDescent="0.3">
      <c r="B108" s="216">
        <v>45576</v>
      </c>
      <c r="C108" s="46">
        <v>2161</v>
      </c>
      <c r="D108" s="170">
        <f>IF(C108="","",C108-C107)</f>
        <v>4</v>
      </c>
      <c r="E108" s="171">
        <f>IF(C108="","",D108*1000)</f>
        <v>4000</v>
      </c>
      <c r="F108" s="51"/>
    </row>
    <row r="109" spans="2:6" x14ac:dyDescent="0.3">
      <c r="B109" s="216">
        <v>45579</v>
      </c>
      <c r="C109" s="46">
        <v>2170</v>
      </c>
      <c r="D109" s="47">
        <f>IF(C109="","",C109-C108)</f>
        <v>9</v>
      </c>
      <c r="E109" s="48">
        <f>IF(C109="","",D109*1000)</f>
        <v>9000</v>
      </c>
      <c r="F109" s="51" t="s">
        <v>339</v>
      </c>
    </row>
    <row r="110" spans="2:6" ht="15.75" thickBot="1" x14ac:dyDescent="0.35">
      <c r="B110" s="211">
        <v>45581</v>
      </c>
      <c r="C110" s="239">
        <v>2189</v>
      </c>
      <c r="D110" s="240">
        <f>IF(C110="","",C110-C109)</f>
        <v>19</v>
      </c>
      <c r="E110" s="223">
        <f>IF(C110="","",D110*1000)</f>
        <v>19000</v>
      </c>
      <c r="F110" s="176"/>
    </row>
    <row r="111" spans="2:6" ht="15.75" thickBot="1" x14ac:dyDescent="0.35">
      <c r="B111" s="15"/>
      <c r="C111" s="16"/>
      <c r="D111" s="16">
        <f>SUM(D99:D110)</f>
        <v>222</v>
      </c>
      <c r="E111" s="17">
        <f>SUM(E99:E110)</f>
        <v>222000</v>
      </c>
      <c r="F111" s="176"/>
    </row>
    <row r="113" spans="2:6" ht="15.75" thickBot="1" x14ac:dyDescent="0.35">
      <c r="B113" s="847" t="s">
        <v>148</v>
      </c>
      <c r="C113" s="847"/>
      <c r="D113" s="5"/>
      <c r="E113" s="5"/>
      <c r="F113" s="26"/>
    </row>
    <row r="114" spans="2:6" ht="15.75" thickBot="1" x14ac:dyDescent="0.25">
      <c r="B114" s="7" t="s">
        <v>142</v>
      </c>
      <c r="C114" s="8" t="s">
        <v>143</v>
      </c>
      <c r="D114" s="8" t="s">
        <v>144</v>
      </c>
      <c r="E114" s="8" t="s">
        <v>145</v>
      </c>
      <c r="F114" s="9" t="s">
        <v>146</v>
      </c>
    </row>
    <row r="115" spans="2:6" x14ac:dyDescent="0.3">
      <c r="B115" s="210">
        <v>45585</v>
      </c>
      <c r="C115" s="170">
        <v>2208</v>
      </c>
      <c r="D115" s="170">
        <f>IF(C115="","",C115-C110)</f>
        <v>19</v>
      </c>
      <c r="E115" s="171">
        <f t="shared" ref="E115:E121" si="26">IF(C115="","",D115*1000)</f>
        <v>19000</v>
      </c>
      <c r="F115" s="172" t="s">
        <v>340</v>
      </c>
    </row>
    <row r="116" spans="2:6" x14ac:dyDescent="0.3">
      <c r="B116" s="210">
        <v>45586</v>
      </c>
      <c r="C116" s="13">
        <v>2219</v>
      </c>
      <c r="D116" s="170">
        <f t="shared" ref="D116:D121" si="27">IF(C116="","",C116-C115)</f>
        <v>11</v>
      </c>
      <c r="E116" s="171">
        <f t="shared" si="26"/>
        <v>11000</v>
      </c>
      <c r="F116" s="226"/>
    </row>
    <row r="117" spans="2:6" x14ac:dyDescent="0.3">
      <c r="B117" s="210">
        <v>45592</v>
      </c>
      <c r="C117" s="13">
        <v>2256</v>
      </c>
      <c r="D117" s="170">
        <f t="shared" si="27"/>
        <v>37</v>
      </c>
      <c r="E117" s="171">
        <f t="shared" si="26"/>
        <v>37000</v>
      </c>
      <c r="F117" s="172" t="s">
        <v>339</v>
      </c>
    </row>
    <row r="118" spans="2:6" x14ac:dyDescent="0.3">
      <c r="B118" s="210">
        <v>45594</v>
      </c>
      <c r="C118" s="13">
        <v>2265</v>
      </c>
      <c r="D118" s="170">
        <f t="shared" si="27"/>
        <v>9</v>
      </c>
      <c r="E118" s="171">
        <f t="shared" si="26"/>
        <v>9000</v>
      </c>
      <c r="F118" s="172"/>
    </row>
    <row r="119" spans="2:6" x14ac:dyDescent="0.3">
      <c r="B119" s="210">
        <v>45597</v>
      </c>
      <c r="C119" s="13">
        <v>2283</v>
      </c>
      <c r="D119" s="170">
        <f t="shared" si="27"/>
        <v>18</v>
      </c>
      <c r="E119" s="171">
        <f t="shared" si="26"/>
        <v>18000</v>
      </c>
      <c r="F119" s="172" t="s">
        <v>339</v>
      </c>
    </row>
    <row r="120" spans="2:6" x14ac:dyDescent="0.3">
      <c r="B120" s="210">
        <v>45599</v>
      </c>
      <c r="C120" s="13">
        <v>2297</v>
      </c>
      <c r="D120" s="170">
        <f t="shared" si="27"/>
        <v>14</v>
      </c>
      <c r="E120" s="171">
        <f t="shared" si="26"/>
        <v>14000</v>
      </c>
      <c r="F120" s="172" t="s">
        <v>339</v>
      </c>
    </row>
    <row r="121" spans="2:6" x14ac:dyDescent="0.3">
      <c r="B121" s="216">
        <v>45600</v>
      </c>
      <c r="C121" s="46">
        <v>2306</v>
      </c>
      <c r="D121" s="170">
        <f t="shared" si="27"/>
        <v>9</v>
      </c>
      <c r="E121" s="171">
        <f t="shared" si="26"/>
        <v>9000</v>
      </c>
      <c r="F121" s="172" t="s">
        <v>339</v>
      </c>
    </row>
    <row r="122" spans="2:6" x14ac:dyDescent="0.3">
      <c r="B122" s="216">
        <v>45603</v>
      </c>
      <c r="C122" s="46">
        <v>2315</v>
      </c>
      <c r="D122" s="170">
        <f>IF(C122="","",C122-C121)</f>
        <v>9</v>
      </c>
      <c r="E122" s="171">
        <f>IF(C122="","",D122*1000)</f>
        <v>9000</v>
      </c>
      <c r="F122" s="51" t="s">
        <v>135</v>
      </c>
    </row>
    <row r="123" spans="2:6" x14ac:dyDescent="0.3">
      <c r="B123" s="216">
        <v>45607</v>
      </c>
      <c r="C123" s="46">
        <v>2339</v>
      </c>
      <c r="D123" s="170">
        <f>IF(C123="","",C123-C122)</f>
        <v>24</v>
      </c>
      <c r="E123" s="171">
        <f>IF(C123="","",D123*1000)</f>
        <v>24000</v>
      </c>
      <c r="F123" s="51" t="s">
        <v>339</v>
      </c>
    </row>
    <row r="124" spans="2:6" x14ac:dyDescent="0.3">
      <c r="B124" s="216">
        <v>45609</v>
      </c>
      <c r="C124" s="46">
        <v>2365</v>
      </c>
      <c r="D124" s="170">
        <f>IF(C124="","",C124-C123)</f>
        <v>26</v>
      </c>
      <c r="E124" s="171">
        <f>IF(C124="","",D124*1000)</f>
        <v>26000</v>
      </c>
      <c r="F124" s="51" t="s">
        <v>339</v>
      </c>
    </row>
    <row r="125" spans="2:6" x14ac:dyDescent="0.3">
      <c r="B125" s="216">
        <v>45613</v>
      </c>
      <c r="C125" s="46">
        <v>2384</v>
      </c>
      <c r="D125" s="47">
        <f>IF(C125="","",C125-C124)</f>
        <v>19</v>
      </c>
      <c r="E125" s="48">
        <f>IF(C125="","",D125*1000)</f>
        <v>19000</v>
      </c>
      <c r="F125" s="51"/>
    </row>
    <row r="126" spans="2:6" ht="15.75" thickBot="1" x14ac:dyDescent="0.35">
      <c r="B126" s="211"/>
      <c r="C126" s="239"/>
      <c r="D126" s="240" t="str">
        <f>IF(C126="","",C126-C125)</f>
        <v/>
      </c>
      <c r="E126" s="223" t="str">
        <f>IF(C126="","",D126*1000)</f>
        <v/>
      </c>
      <c r="F126" s="176"/>
    </row>
    <row r="127" spans="2:6" ht="15.75" thickBot="1" x14ac:dyDescent="0.35">
      <c r="B127" s="15"/>
      <c r="C127" s="16"/>
      <c r="D127" s="16">
        <f>SUM(D115:D126)</f>
        <v>195</v>
      </c>
      <c r="E127" s="17">
        <f>SUM(E115:E126)</f>
        <v>195000</v>
      </c>
      <c r="F127" s="176"/>
    </row>
    <row r="129" spans="2:6" ht="15.75" thickBot="1" x14ac:dyDescent="0.35">
      <c r="B129" s="847" t="s">
        <v>148</v>
      </c>
      <c r="C129" s="847"/>
      <c r="D129" s="5"/>
      <c r="E129" s="5"/>
      <c r="F129" s="26"/>
    </row>
    <row r="130" spans="2:6" ht="15.75" thickBot="1" x14ac:dyDescent="0.25">
      <c r="B130" s="7" t="s">
        <v>142</v>
      </c>
      <c r="C130" s="8" t="s">
        <v>143</v>
      </c>
      <c r="D130" s="8" t="s">
        <v>144</v>
      </c>
      <c r="E130" s="8" t="s">
        <v>145</v>
      </c>
      <c r="F130" s="9" t="s">
        <v>146</v>
      </c>
    </row>
    <row r="131" spans="2:6" x14ac:dyDescent="0.3">
      <c r="B131" s="210">
        <v>45618</v>
      </c>
      <c r="C131" s="170">
        <v>2413</v>
      </c>
      <c r="D131" s="170">
        <f>IF(C131="","",C131-C125)</f>
        <v>29</v>
      </c>
      <c r="E131" s="171">
        <f t="shared" ref="E131:E142" si="28">IF(C131="","",D131*1000)</f>
        <v>29000</v>
      </c>
      <c r="F131" s="172"/>
    </row>
    <row r="132" spans="2:6" x14ac:dyDescent="0.3">
      <c r="B132" s="210">
        <v>45619</v>
      </c>
      <c r="C132" s="13">
        <v>2425</v>
      </c>
      <c r="D132" s="170">
        <f t="shared" ref="D132:D142" si="29">IF(C132="","",C132-C131)</f>
        <v>12</v>
      </c>
      <c r="E132" s="171">
        <f t="shared" si="28"/>
        <v>12000</v>
      </c>
      <c r="F132" s="226" t="s">
        <v>339</v>
      </c>
    </row>
    <row r="133" spans="2:6" x14ac:dyDescent="0.3">
      <c r="B133" s="210">
        <v>45621</v>
      </c>
      <c r="C133" s="13">
        <v>2429</v>
      </c>
      <c r="D133" s="170">
        <f t="shared" si="29"/>
        <v>4</v>
      </c>
      <c r="E133" s="171">
        <f t="shared" si="28"/>
        <v>4000</v>
      </c>
      <c r="F133" s="172" t="s">
        <v>339</v>
      </c>
    </row>
    <row r="134" spans="2:6" x14ac:dyDescent="0.3">
      <c r="B134" s="210">
        <v>45624</v>
      </c>
      <c r="C134" s="13">
        <v>2444</v>
      </c>
      <c r="D134" s="170">
        <f t="shared" si="29"/>
        <v>15</v>
      </c>
      <c r="E134" s="171">
        <f t="shared" si="28"/>
        <v>15000</v>
      </c>
      <c r="F134" s="172"/>
    </row>
    <row r="135" spans="2:6" x14ac:dyDescent="0.3">
      <c r="B135" s="210">
        <v>45628</v>
      </c>
      <c r="C135" s="13">
        <v>2473</v>
      </c>
      <c r="D135" s="170">
        <f t="shared" si="29"/>
        <v>29</v>
      </c>
      <c r="E135" s="171">
        <f t="shared" si="28"/>
        <v>29000</v>
      </c>
      <c r="F135" s="172" t="s">
        <v>339</v>
      </c>
    </row>
    <row r="136" spans="2:6" x14ac:dyDescent="0.3">
      <c r="B136" s="210">
        <v>45632</v>
      </c>
      <c r="C136" s="13">
        <v>2488</v>
      </c>
      <c r="D136" s="170">
        <f t="shared" si="29"/>
        <v>15</v>
      </c>
      <c r="E136" s="171">
        <f t="shared" si="28"/>
        <v>15000</v>
      </c>
      <c r="F136" s="172" t="s">
        <v>339</v>
      </c>
    </row>
    <row r="137" spans="2:6" x14ac:dyDescent="0.3">
      <c r="B137" s="210">
        <v>45636</v>
      </c>
      <c r="C137" s="46">
        <v>2498</v>
      </c>
      <c r="D137" s="170">
        <f t="shared" si="29"/>
        <v>10</v>
      </c>
      <c r="E137" s="171">
        <f t="shared" si="28"/>
        <v>10000</v>
      </c>
      <c r="F137" s="172"/>
    </row>
    <row r="138" spans="2:6" x14ac:dyDescent="0.3">
      <c r="B138" s="210"/>
      <c r="C138" s="46"/>
      <c r="D138" s="170" t="str">
        <f t="shared" si="29"/>
        <v/>
      </c>
      <c r="E138" s="171" t="str">
        <f t="shared" si="28"/>
        <v/>
      </c>
      <c r="F138" s="51"/>
    </row>
    <row r="139" spans="2:6" x14ac:dyDescent="0.3">
      <c r="B139" s="210"/>
      <c r="C139" s="46"/>
      <c r="D139" s="170" t="str">
        <f t="shared" si="29"/>
        <v/>
      </c>
      <c r="E139" s="171" t="str">
        <f t="shared" si="28"/>
        <v/>
      </c>
      <c r="F139" s="51"/>
    </row>
    <row r="140" spans="2:6" x14ac:dyDescent="0.3">
      <c r="B140" s="210"/>
      <c r="C140" s="46"/>
      <c r="D140" s="170" t="str">
        <f t="shared" si="29"/>
        <v/>
      </c>
      <c r="E140" s="171" t="str">
        <f t="shared" si="28"/>
        <v/>
      </c>
      <c r="F140" s="51"/>
    </row>
    <row r="141" spans="2:6" x14ac:dyDescent="0.3">
      <c r="B141" s="210"/>
      <c r="C141" s="46"/>
      <c r="D141" s="47" t="str">
        <f t="shared" si="29"/>
        <v/>
      </c>
      <c r="E141" s="48" t="str">
        <f t="shared" si="28"/>
        <v/>
      </c>
      <c r="F141" s="51"/>
    </row>
    <row r="142" spans="2:6" ht="15.75" thickBot="1" x14ac:dyDescent="0.35">
      <c r="B142" s="211"/>
      <c r="C142" s="239"/>
      <c r="D142" s="221" t="str">
        <f t="shared" si="29"/>
        <v/>
      </c>
      <c r="E142" s="222" t="str">
        <f t="shared" si="28"/>
        <v/>
      </c>
      <c r="F142" s="176"/>
    </row>
    <row r="143" spans="2:6" ht="15.75" thickBot="1" x14ac:dyDescent="0.35">
      <c r="B143" s="15"/>
      <c r="C143" s="16"/>
      <c r="D143" s="16">
        <f>SUM(D131:D142)</f>
        <v>114</v>
      </c>
      <c r="E143" s="17">
        <f>SUM(E131:E142)</f>
        <v>114000</v>
      </c>
      <c r="F143" s="176"/>
    </row>
  </sheetData>
  <mergeCells count="10">
    <mergeCell ref="B129:C129"/>
    <mergeCell ref="B113:C113"/>
    <mergeCell ref="B3:C3"/>
    <mergeCell ref="B31:C31"/>
    <mergeCell ref="B45:C45"/>
    <mergeCell ref="B97:C97"/>
    <mergeCell ref="B85:C85"/>
    <mergeCell ref="B73:C73"/>
    <mergeCell ref="B59:C59"/>
    <mergeCell ref="B17:C17"/>
  </mergeCells>
  <phoneticPr fontId="35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7">
    <pageSetUpPr fitToPage="1"/>
  </sheetPr>
  <dimension ref="A1:F47"/>
  <sheetViews>
    <sheetView workbookViewId="0"/>
  </sheetViews>
  <sheetFormatPr defaultColWidth="14.390625" defaultRowHeight="15" customHeight="1" x14ac:dyDescent="0.2"/>
  <cols>
    <col min="1" max="1" width="12.64453125" customWidth="1"/>
    <col min="2" max="2" width="9.68359375" customWidth="1"/>
    <col min="3" max="3" width="19.7734375" customWidth="1"/>
    <col min="4" max="6" width="18.6953125" customWidth="1"/>
    <col min="7" max="26" width="9.01171875" customWidth="1"/>
  </cols>
  <sheetData>
    <row r="1" spans="1:6" ht="18" customHeight="1" x14ac:dyDescent="0.15">
      <c r="A1" s="128" t="s">
        <v>142</v>
      </c>
      <c r="B1" s="129" t="s">
        <v>341</v>
      </c>
      <c r="C1" s="130"/>
      <c r="D1" s="131" t="s">
        <v>342</v>
      </c>
      <c r="E1" s="132" t="s">
        <v>343</v>
      </c>
      <c r="F1" s="133" t="s">
        <v>146</v>
      </c>
    </row>
    <row r="2" spans="1:6" ht="18" customHeight="1" x14ac:dyDescent="0.15">
      <c r="A2" s="135" t="s">
        <v>344</v>
      </c>
      <c r="B2" s="195"/>
      <c r="C2" s="196"/>
      <c r="D2" s="136" t="s">
        <v>345</v>
      </c>
      <c r="E2" s="137" t="s">
        <v>345</v>
      </c>
      <c r="F2" s="138"/>
    </row>
    <row r="3" spans="1:6" ht="18" customHeight="1" x14ac:dyDescent="0.1">
      <c r="A3" s="197" t="s">
        <v>346</v>
      </c>
      <c r="B3" s="139" t="s">
        <v>347</v>
      </c>
      <c r="C3" s="140" t="s">
        <v>348</v>
      </c>
      <c r="D3" s="141" t="s">
        <v>349</v>
      </c>
      <c r="E3" s="142" t="s">
        <v>349</v>
      </c>
      <c r="F3" s="143"/>
    </row>
    <row r="4" spans="1:6" ht="18" customHeight="1" x14ac:dyDescent="0.1">
      <c r="A4" s="144"/>
      <c r="B4" s="145"/>
      <c r="C4" s="146"/>
      <c r="D4" s="141" t="s">
        <v>350</v>
      </c>
      <c r="E4" s="142" t="s">
        <v>350</v>
      </c>
      <c r="F4" s="143"/>
    </row>
    <row r="5" spans="1:6" ht="18" customHeight="1" x14ac:dyDescent="0.1">
      <c r="A5" s="144"/>
      <c r="B5" s="145"/>
      <c r="C5" s="146"/>
      <c r="D5" s="141" t="s">
        <v>351</v>
      </c>
      <c r="E5" s="142" t="s">
        <v>351</v>
      </c>
      <c r="F5" s="143"/>
    </row>
    <row r="6" spans="1:6" ht="18" customHeight="1" x14ac:dyDescent="0.1">
      <c r="A6" s="197" t="s">
        <v>352</v>
      </c>
      <c r="B6" s="139" t="s">
        <v>353</v>
      </c>
      <c r="C6" s="133" t="s">
        <v>354</v>
      </c>
      <c r="D6" s="141" t="s">
        <v>355</v>
      </c>
      <c r="E6" s="142" t="s">
        <v>355</v>
      </c>
      <c r="F6" s="147"/>
    </row>
    <row r="7" spans="1:6" ht="18" customHeight="1" x14ac:dyDescent="0.1">
      <c r="A7" s="144"/>
      <c r="B7" s="145"/>
      <c r="C7" s="146"/>
      <c r="D7" s="141" t="s">
        <v>356</v>
      </c>
      <c r="E7" s="142" t="s">
        <v>356</v>
      </c>
      <c r="F7" s="147"/>
    </row>
    <row r="8" spans="1:6" ht="18" customHeight="1" x14ac:dyDescent="0.1">
      <c r="A8" s="144"/>
      <c r="B8" s="145"/>
      <c r="C8" s="146"/>
      <c r="D8" s="141" t="s">
        <v>357</v>
      </c>
      <c r="E8" s="142" t="s">
        <v>357</v>
      </c>
      <c r="F8" s="143"/>
    </row>
    <row r="9" spans="1:6" ht="18" customHeight="1" x14ac:dyDescent="0.1">
      <c r="A9" s="197" t="s">
        <v>358</v>
      </c>
      <c r="B9" s="139" t="s">
        <v>353</v>
      </c>
      <c r="C9" s="133" t="s">
        <v>354</v>
      </c>
      <c r="D9" s="141" t="s">
        <v>359</v>
      </c>
      <c r="E9" s="142" t="s">
        <v>359</v>
      </c>
      <c r="F9" s="143"/>
    </row>
    <row r="10" spans="1:6" ht="18" customHeight="1" x14ac:dyDescent="0.1">
      <c r="A10" s="148"/>
      <c r="B10" s="145"/>
      <c r="C10" s="149"/>
      <c r="D10" s="141" t="s">
        <v>360</v>
      </c>
      <c r="E10" s="142" t="s">
        <v>360</v>
      </c>
      <c r="F10" s="143"/>
    </row>
    <row r="11" spans="1:6" ht="18" customHeight="1" x14ac:dyDescent="0.1">
      <c r="A11" s="150"/>
      <c r="B11" s="151"/>
      <c r="C11" s="198"/>
      <c r="D11" s="152" t="s">
        <v>361</v>
      </c>
      <c r="E11" s="153" t="s">
        <v>361</v>
      </c>
      <c r="F11" s="199"/>
    </row>
    <row r="12" spans="1:6" ht="10.5" customHeight="1" x14ac:dyDescent="0.1">
      <c r="A12" s="134"/>
      <c r="B12" s="134"/>
      <c r="C12" s="134"/>
      <c r="D12" s="134"/>
      <c r="E12" s="134"/>
      <c r="F12" s="134"/>
    </row>
    <row r="13" spans="1:6" ht="18" customHeight="1" x14ac:dyDescent="0.15">
      <c r="A13" s="128" t="s">
        <v>142</v>
      </c>
      <c r="B13" s="129" t="s">
        <v>341</v>
      </c>
      <c r="C13" s="130"/>
      <c r="D13" s="131" t="s">
        <v>342</v>
      </c>
      <c r="E13" s="132" t="s">
        <v>343</v>
      </c>
      <c r="F13" s="133" t="s">
        <v>146</v>
      </c>
    </row>
    <row r="14" spans="1:6" ht="18" customHeight="1" x14ac:dyDescent="0.15">
      <c r="A14" s="135" t="s">
        <v>344</v>
      </c>
      <c r="B14" s="195"/>
      <c r="C14" s="196"/>
      <c r="D14" s="136" t="s">
        <v>345</v>
      </c>
      <c r="E14" s="137" t="s">
        <v>345</v>
      </c>
      <c r="F14" s="138"/>
    </row>
    <row r="15" spans="1:6" ht="18" customHeight="1" x14ac:dyDescent="0.1">
      <c r="A15" s="197" t="s">
        <v>346</v>
      </c>
      <c r="B15" s="139" t="s">
        <v>347</v>
      </c>
      <c r="C15" s="140" t="s">
        <v>348</v>
      </c>
      <c r="D15" s="141" t="s">
        <v>349</v>
      </c>
      <c r="E15" s="142" t="s">
        <v>349</v>
      </c>
      <c r="F15" s="143"/>
    </row>
    <row r="16" spans="1:6" ht="18" customHeight="1" x14ac:dyDescent="0.1">
      <c r="A16" s="144"/>
      <c r="B16" s="145"/>
      <c r="C16" s="146"/>
      <c r="D16" s="141" t="s">
        <v>350</v>
      </c>
      <c r="E16" s="142" t="s">
        <v>350</v>
      </c>
      <c r="F16" s="143"/>
    </row>
    <row r="17" spans="1:6" ht="18" customHeight="1" x14ac:dyDescent="0.1">
      <c r="A17" s="144"/>
      <c r="B17" s="145"/>
      <c r="C17" s="146"/>
      <c r="D17" s="141" t="s">
        <v>351</v>
      </c>
      <c r="E17" s="142" t="s">
        <v>351</v>
      </c>
      <c r="F17" s="143"/>
    </row>
    <row r="18" spans="1:6" ht="18" customHeight="1" x14ac:dyDescent="0.1">
      <c r="A18" s="197" t="s">
        <v>352</v>
      </c>
      <c r="B18" s="139" t="s">
        <v>353</v>
      </c>
      <c r="C18" s="133" t="s">
        <v>354</v>
      </c>
      <c r="D18" s="141" t="s">
        <v>355</v>
      </c>
      <c r="E18" s="142" t="s">
        <v>355</v>
      </c>
      <c r="F18" s="147"/>
    </row>
    <row r="19" spans="1:6" ht="18" customHeight="1" x14ac:dyDescent="0.1">
      <c r="A19" s="144"/>
      <c r="B19" s="145"/>
      <c r="C19" s="146"/>
      <c r="D19" s="141" t="s">
        <v>356</v>
      </c>
      <c r="E19" s="142" t="s">
        <v>356</v>
      </c>
      <c r="F19" s="147"/>
    </row>
    <row r="20" spans="1:6" ht="18" customHeight="1" x14ac:dyDescent="0.1">
      <c r="A20" s="144"/>
      <c r="B20" s="145"/>
      <c r="C20" s="146"/>
      <c r="D20" s="141" t="s">
        <v>357</v>
      </c>
      <c r="E20" s="142" t="s">
        <v>357</v>
      </c>
      <c r="F20" s="143"/>
    </row>
    <row r="21" spans="1:6" ht="18" customHeight="1" x14ac:dyDescent="0.1">
      <c r="A21" s="197" t="s">
        <v>358</v>
      </c>
      <c r="B21" s="139" t="s">
        <v>353</v>
      </c>
      <c r="C21" s="133" t="s">
        <v>354</v>
      </c>
      <c r="D21" s="141" t="s">
        <v>359</v>
      </c>
      <c r="E21" s="142" t="s">
        <v>359</v>
      </c>
      <c r="F21" s="143"/>
    </row>
    <row r="22" spans="1:6" ht="18" customHeight="1" x14ac:dyDescent="0.1">
      <c r="A22" s="148"/>
      <c r="B22" s="145"/>
      <c r="C22" s="149"/>
      <c r="D22" s="141" t="s">
        <v>360</v>
      </c>
      <c r="E22" s="142" t="s">
        <v>360</v>
      </c>
      <c r="F22" s="143"/>
    </row>
    <row r="23" spans="1:6" ht="18" customHeight="1" x14ac:dyDescent="0.1">
      <c r="A23" s="150"/>
      <c r="B23" s="151"/>
      <c r="C23" s="198"/>
      <c r="D23" s="152" t="s">
        <v>361</v>
      </c>
      <c r="E23" s="153" t="s">
        <v>361</v>
      </c>
      <c r="F23" s="199"/>
    </row>
    <row r="24" spans="1:6" ht="10.5" customHeight="1" x14ac:dyDescent="0.1">
      <c r="A24" s="134"/>
      <c r="B24" s="134"/>
      <c r="C24" s="134"/>
      <c r="D24" s="134"/>
      <c r="E24" s="134"/>
      <c r="F24" s="134"/>
    </row>
    <row r="25" spans="1:6" ht="18" customHeight="1" x14ac:dyDescent="0.15">
      <c r="A25" s="128" t="s">
        <v>142</v>
      </c>
      <c r="B25" s="129" t="s">
        <v>341</v>
      </c>
      <c r="C25" s="130"/>
      <c r="D25" s="131" t="s">
        <v>342</v>
      </c>
      <c r="E25" s="132" t="s">
        <v>343</v>
      </c>
      <c r="F25" s="133" t="s">
        <v>146</v>
      </c>
    </row>
    <row r="26" spans="1:6" ht="18" customHeight="1" x14ac:dyDescent="0.15">
      <c r="A26" s="135" t="s">
        <v>344</v>
      </c>
      <c r="B26" s="195"/>
      <c r="C26" s="196"/>
      <c r="D26" s="136" t="s">
        <v>345</v>
      </c>
      <c r="E26" s="137" t="s">
        <v>345</v>
      </c>
      <c r="F26" s="138"/>
    </row>
    <row r="27" spans="1:6" ht="18" customHeight="1" x14ac:dyDescent="0.1">
      <c r="A27" s="197" t="s">
        <v>346</v>
      </c>
      <c r="B27" s="139" t="s">
        <v>347</v>
      </c>
      <c r="C27" s="140" t="s">
        <v>348</v>
      </c>
      <c r="D27" s="141" t="s">
        <v>349</v>
      </c>
      <c r="E27" s="142" t="s">
        <v>349</v>
      </c>
      <c r="F27" s="143"/>
    </row>
    <row r="28" spans="1:6" ht="18" customHeight="1" x14ac:dyDescent="0.1">
      <c r="A28" s="144"/>
      <c r="B28" s="145"/>
      <c r="C28" s="146"/>
      <c r="D28" s="141" t="s">
        <v>350</v>
      </c>
      <c r="E28" s="142" t="s">
        <v>350</v>
      </c>
      <c r="F28" s="143"/>
    </row>
    <row r="29" spans="1:6" ht="18" customHeight="1" x14ac:dyDescent="0.1">
      <c r="A29" s="144"/>
      <c r="B29" s="145"/>
      <c r="C29" s="146"/>
      <c r="D29" s="141" t="s">
        <v>351</v>
      </c>
      <c r="E29" s="142" t="s">
        <v>351</v>
      </c>
      <c r="F29" s="143"/>
    </row>
    <row r="30" spans="1:6" ht="18" customHeight="1" x14ac:dyDescent="0.1">
      <c r="A30" s="197" t="s">
        <v>352</v>
      </c>
      <c r="B30" s="139" t="s">
        <v>353</v>
      </c>
      <c r="C30" s="133" t="s">
        <v>354</v>
      </c>
      <c r="D30" s="141" t="s">
        <v>355</v>
      </c>
      <c r="E30" s="142" t="s">
        <v>355</v>
      </c>
      <c r="F30" s="147"/>
    </row>
    <row r="31" spans="1:6" ht="18" customHeight="1" x14ac:dyDescent="0.1">
      <c r="A31" s="144"/>
      <c r="B31" s="145"/>
      <c r="C31" s="146"/>
      <c r="D31" s="141" t="s">
        <v>356</v>
      </c>
      <c r="E31" s="142" t="s">
        <v>356</v>
      </c>
      <c r="F31" s="147"/>
    </row>
    <row r="32" spans="1:6" ht="18" customHeight="1" x14ac:dyDescent="0.1">
      <c r="A32" s="144"/>
      <c r="B32" s="145"/>
      <c r="C32" s="146"/>
      <c r="D32" s="141" t="s">
        <v>357</v>
      </c>
      <c r="E32" s="142" t="s">
        <v>357</v>
      </c>
      <c r="F32" s="143"/>
    </row>
    <row r="33" spans="1:6" ht="18" customHeight="1" x14ac:dyDescent="0.1">
      <c r="A33" s="197" t="s">
        <v>358</v>
      </c>
      <c r="B33" s="139" t="s">
        <v>353</v>
      </c>
      <c r="C33" s="133" t="s">
        <v>354</v>
      </c>
      <c r="D33" s="141" t="s">
        <v>359</v>
      </c>
      <c r="E33" s="142" t="s">
        <v>359</v>
      </c>
      <c r="F33" s="143"/>
    </row>
    <row r="34" spans="1:6" ht="18" customHeight="1" x14ac:dyDescent="0.1">
      <c r="A34" s="148"/>
      <c r="B34" s="145"/>
      <c r="C34" s="149"/>
      <c r="D34" s="141" t="s">
        <v>360</v>
      </c>
      <c r="E34" s="142" t="s">
        <v>360</v>
      </c>
      <c r="F34" s="143"/>
    </row>
    <row r="35" spans="1:6" ht="18" customHeight="1" x14ac:dyDescent="0.1">
      <c r="A35" s="150"/>
      <c r="B35" s="151"/>
      <c r="C35" s="198"/>
      <c r="D35" s="152" t="s">
        <v>361</v>
      </c>
      <c r="E35" s="153" t="s">
        <v>361</v>
      </c>
      <c r="F35" s="199"/>
    </row>
    <row r="36" spans="1:6" ht="10.5" customHeight="1" x14ac:dyDescent="0.1">
      <c r="A36" s="134"/>
      <c r="B36" s="134"/>
      <c r="C36" s="134"/>
      <c r="D36" s="134"/>
      <c r="E36" s="134"/>
      <c r="F36" s="134"/>
    </row>
    <row r="37" spans="1:6" ht="18" customHeight="1" x14ac:dyDescent="0.15">
      <c r="A37" s="128" t="s">
        <v>142</v>
      </c>
      <c r="B37" s="129" t="s">
        <v>341</v>
      </c>
      <c r="C37" s="130"/>
      <c r="D37" s="131" t="s">
        <v>342</v>
      </c>
      <c r="E37" s="132" t="s">
        <v>343</v>
      </c>
      <c r="F37" s="133" t="s">
        <v>146</v>
      </c>
    </row>
    <row r="38" spans="1:6" ht="18" customHeight="1" x14ac:dyDescent="0.15">
      <c r="A38" s="135" t="s">
        <v>344</v>
      </c>
      <c r="B38" s="195"/>
      <c r="C38" s="196"/>
      <c r="D38" s="136" t="s">
        <v>345</v>
      </c>
      <c r="E38" s="137" t="s">
        <v>345</v>
      </c>
      <c r="F38" s="138"/>
    </row>
    <row r="39" spans="1:6" ht="18" customHeight="1" x14ac:dyDescent="0.1">
      <c r="A39" s="197" t="s">
        <v>346</v>
      </c>
      <c r="B39" s="139" t="s">
        <v>347</v>
      </c>
      <c r="C39" s="140" t="s">
        <v>348</v>
      </c>
      <c r="D39" s="141" t="s">
        <v>349</v>
      </c>
      <c r="E39" s="142" t="s">
        <v>349</v>
      </c>
      <c r="F39" s="143"/>
    </row>
    <row r="40" spans="1:6" ht="18" customHeight="1" x14ac:dyDescent="0.1">
      <c r="A40" s="144"/>
      <c r="B40" s="145"/>
      <c r="C40" s="146"/>
      <c r="D40" s="141" t="s">
        <v>350</v>
      </c>
      <c r="E40" s="142" t="s">
        <v>350</v>
      </c>
      <c r="F40" s="143"/>
    </row>
    <row r="41" spans="1:6" ht="18" customHeight="1" x14ac:dyDescent="0.1">
      <c r="A41" s="144"/>
      <c r="B41" s="145"/>
      <c r="C41" s="146"/>
      <c r="D41" s="141" t="s">
        <v>351</v>
      </c>
      <c r="E41" s="142" t="s">
        <v>351</v>
      </c>
      <c r="F41" s="143"/>
    </row>
    <row r="42" spans="1:6" ht="18" customHeight="1" x14ac:dyDescent="0.1">
      <c r="A42" s="197" t="s">
        <v>352</v>
      </c>
      <c r="B42" s="139" t="s">
        <v>353</v>
      </c>
      <c r="C42" s="133" t="s">
        <v>354</v>
      </c>
      <c r="D42" s="141" t="s">
        <v>355</v>
      </c>
      <c r="E42" s="142" t="s">
        <v>355</v>
      </c>
      <c r="F42" s="147"/>
    </row>
    <row r="43" spans="1:6" ht="18" customHeight="1" x14ac:dyDescent="0.1">
      <c r="A43" s="144"/>
      <c r="B43" s="145"/>
      <c r="C43" s="146"/>
      <c r="D43" s="141" t="s">
        <v>356</v>
      </c>
      <c r="E43" s="142" t="s">
        <v>356</v>
      </c>
      <c r="F43" s="147"/>
    </row>
    <row r="44" spans="1:6" ht="18" customHeight="1" x14ac:dyDescent="0.1">
      <c r="A44" s="144"/>
      <c r="B44" s="145"/>
      <c r="C44" s="146"/>
      <c r="D44" s="141" t="s">
        <v>357</v>
      </c>
      <c r="E44" s="142" t="s">
        <v>357</v>
      </c>
      <c r="F44" s="143"/>
    </row>
    <row r="45" spans="1:6" ht="18" customHeight="1" x14ac:dyDescent="0.1">
      <c r="A45" s="197" t="s">
        <v>358</v>
      </c>
      <c r="B45" s="139" t="s">
        <v>353</v>
      </c>
      <c r="C45" s="133" t="s">
        <v>354</v>
      </c>
      <c r="D45" s="141" t="s">
        <v>359</v>
      </c>
      <c r="E45" s="142" t="s">
        <v>359</v>
      </c>
      <c r="F45" s="143"/>
    </row>
    <row r="46" spans="1:6" ht="18" customHeight="1" x14ac:dyDescent="0.1">
      <c r="A46" s="148"/>
      <c r="B46" s="145"/>
      <c r="C46" s="149"/>
      <c r="D46" s="141" t="s">
        <v>360</v>
      </c>
      <c r="E46" s="142" t="s">
        <v>360</v>
      </c>
      <c r="F46" s="143"/>
    </row>
    <row r="47" spans="1:6" ht="18" customHeight="1" x14ac:dyDescent="0.1">
      <c r="A47" s="150"/>
      <c r="B47" s="151"/>
      <c r="C47" s="198"/>
      <c r="D47" s="152" t="s">
        <v>361</v>
      </c>
      <c r="E47" s="153" t="s">
        <v>361</v>
      </c>
      <c r="F47" s="199"/>
    </row>
  </sheetData>
  <phoneticPr fontId="35"/>
  <printOptions horizontalCentered="1"/>
  <pageMargins left="0.19685039370078741" right="0.19685039370078741" top="0.94488188976377963" bottom="0.15748031496062992" header="0" footer="0"/>
  <pageSetup paperSize="9" scale="9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8"/>
  <dimension ref="A1:F47"/>
  <sheetViews>
    <sheetView workbookViewId="0"/>
  </sheetViews>
  <sheetFormatPr defaultColWidth="14.390625" defaultRowHeight="15" customHeight="1" x14ac:dyDescent="0.2"/>
  <cols>
    <col min="1" max="1" width="12.64453125" customWidth="1"/>
    <col min="2" max="2" width="9.68359375" customWidth="1"/>
    <col min="3" max="3" width="19.7734375" customWidth="1"/>
    <col min="4" max="6" width="18.6953125" customWidth="1"/>
    <col min="7" max="12" width="9.01171875" customWidth="1"/>
  </cols>
  <sheetData>
    <row r="1" spans="1:6" ht="18" customHeight="1" x14ac:dyDescent="0.1">
      <c r="A1" s="128" t="s">
        <v>142</v>
      </c>
      <c r="B1" s="129" t="s">
        <v>362</v>
      </c>
      <c r="C1" s="130"/>
      <c r="D1" s="154" t="s">
        <v>342</v>
      </c>
      <c r="E1" s="155" t="s">
        <v>343</v>
      </c>
      <c r="F1" s="156" t="s">
        <v>146</v>
      </c>
    </row>
    <row r="2" spans="1:6" ht="18" customHeight="1" x14ac:dyDescent="0.1">
      <c r="A2" s="135" t="s">
        <v>363</v>
      </c>
      <c r="B2" s="195"/>
      <c r="C2" s="196"/>
      <c r="D2" s="136" t="s">
        <v>345</v>
      </c>
      <c r="E2" s="137" t="s">
        <v>345</v>
      </c>
      <c r="F2" s="138"/>
    </row>
    <row r="3" spans="1:6" ht="18" customHeight="1" x14ac:dyDescent="0.1">
      <c r="A3" s="200" t="s">
        <v>346</v>
      </c>
      <c r="B3" s="157" t="s">
        <v>347</v>
      </c>
      <c r="C3" s="158" t="s">
        <v>348</v>
      </c>
      <c r="D3" s="141" t="s">
        <v>349</v>
      </c>
      <c r="E3" s="142" t="s">
        <v>349</v>
      </c>
      <c r="F3" s="143"/>
    </row>
    <row r="4" spans="1:6" ht="18" customHeight="1" x14ac:dyDescent="0.1">
      <c r="A4" s="144"/>
      <c r="B4" s="145"/>
      <c r="C4" s="146"/>
      <c r="D4" s="141" t="s">
        <v>350</v>
      </c>
      <c r="E4" s="142" t="s">
        <v>350</v>
      </c>
      <c r="F4" s="143"/>
    </row>
    <row r="5" spans="1:6" ht="18" customHeight="1" x14ac:dyDescent="0.1">
      <c r="A5" s="144"/>
      <c r="B5" s="145"/>
      <c r="C5" s="146"/>
      <c r="D5" s="141" t="s">
        <v>351</v>
      </c>
      <c r="E5" s="142" t="s">
        <v>351</v>
      </c>
      <c r="F5" s="143"/>
    </row>
    <row r="6" spans="1:6" ht="18" customHeight="1" x14ac:dyDescent="0.1">
      <c r="A6" s="200" t="s">
        <v>352</v>
      </c>
      <c r="B6" s="157" t="s">
        <v>353</v>
      </c>
      <c r="C6" s="156" t="s">
        <v>354</v>
      </c>
      <c r="D6" s="141" t="s">
        <v>355</v>
      </c>
      <c r="E6" s="142" t="s">
        <v>355</v>
      </c>
      <c r="F6" s="147"/>
    </row>
    <row r="7" spans="1:6" ht="18" customHeight="1" x14ac:dyDescent="0.1">
      <c r="A7" s="144"/>
      <c r="B7" s="145"/>
      <c r="C7" s="146"/>
      <c r="D7" s="141" t="s">
        <v>356</v>
      </c>
      <c r="E7" s="142" t="s">
        <v>356</v>
      </c>
      <c r="F7" s="147"/>
    </row>
    <row r="8" spans="1:6" ht="18" customHeight="1" x14ac:dyDescent="0.1">
      <c r="A8" s="144"/>
      <c r="B8" s="145"/>
      <c r="C8" s="146"/>
      <c r="D8" s="141" t="s">
        <v>357</v>
      </c>
      <c r="E8" s="142" t="s">
        <v>357</v>
      </c>
      <c r="F8" s="143"/>
    </row>
    <row r="9" spans="1:6" ht="18" customHeight="1" x14ac:dyDescent="0.1">
      <c r="A9" s="200" t="s">
        <v>358</v>
      </c>
      <c r="B9" s="157" t="s">
        <v>353</v>
      </c>
      <c r="C9" s="156" t="s">
        <v>354</v>
      </c>
      <c r="D9" s="141" t="s">
        <v>359</v>
      </c>
      <c r="E9" s="142" t="s">
        <v>359</v>
      </c>
      <c r="F9" s="143"/>
    </row>
    <row r="10" spans="1:6" ht="18" customHeight="1" x14ac:dyDescent="0.1">
      <c r="A10" s="148"/>
      <c r="B10" s="145"/>
      <c r="C10" s="149"/>
      <c r="D10" s="141" t="s">
        <v>360</v>
      </c>
      <c r="E10" s="142" t="s">
        <v>360</v>
      </c>
      <c r="F10" s="143"/>
    </row>
    <row r="11" spans="1:6" ht="18" customHeight="1" x14ac:dyDescent="0.1">
      <c r="A11" s="150"/>
      <c r="B11" s="151"/>
      <c r="C11" s="198"/>
      <c r="D11" s="152" t="s">
        <v>361</v>
      </c>
      <c r="E11" s="153" t="s">
        <v>361</v>
      </c>
      <c r="F11" s="199"/>
    </row>
    <row r="12" spans="1:6" ht="10.5" customHeight="1" x14ac:dyDescent="0.1">
      <c r="A12" s="134"/>
      <c r="B12" s="134"/>
      <c r="C12" s="134"/>
      <c r="D12" s="134"/>
      <c r="E12" s="134"/>
      <c r="F12" s="134"/>
    </row>
    <row r="13" spans="1:6" ht="18" customHeight="1" x14ac:dyDescent="0.1">
      <c r="A13" s="128" t="s">
        <v>142</v>
      </c>
      <c r="B13" s="129" t="s">
        <v>362</v>
      </c>
      <c r="C13" s="130"/>
      <c r="D13" s="154" t="s">
        <v>342</v>
      </c>
      <c r="E13" s="155" t="s">
        <v>343</v>
      </c>
      <c r="F13" s="156" t="s">
        <v>146</v>
      </c>
    </row>
    <row r="14" spans="1:6" ht="18" customHeight="1" x14ac:dyDescent="0.1">
      <c r="A14" s="135" t="s">
        <v>363</v>
      </c>
      <c r="B14" s="195"/>
      <c r="C14" s="196"/>
      <c r="D14" s="136" t="s">
        <v>345</v>
      </c>
      <c r="E14" s="137" t="s">
        <v>345</v>
      </c>
      <c r="F14" s="138"/>
    </row>
    <row r="15" spans="1:6" ht="18" customHeight="1" x14ac:dyDescent="0.1">
      <c r="A15" s="200" t="s">
        <v>346</v>
      </c>
      <c r="B15" s="157" t="s">
        <v>347</v>
      </c>
      <c r="C15" s="158" t="s">
        <v>348</v>
      </c>
      <c r="D15" s="141" t="s">
        <v>349</v>
      </c>
      <c r="E15" s="142" t="s">
        <v>349</v>
      </c>
      <c r="F15" s="143"/>
    </row>
    <row r="16" spans="1:6" ht="18" customHeight="1" x14ac:dyDescent="0.1">
      <c r="A16" s="144"/>
      <c r="B16" s="145"/>
      <c r="C16" s="146"/>
      <c r="D16" s="141" t="s">
        <v>350</v>
      </c>
      <c r="E16" s="142" t="s">
        <v>350</v>
      </c>
      <c r="F16" s="143"/>
    </row>
    <row r="17" spans="1:6" ht="18" customHeight="1" x14ac:dyDescent="0.1">
      <c r="A17" s="144"/>
      <c r="B17" s="145"/>
      <c r="C17" s="146"/>
      <c r="D17" s="141" t="s">
        <v>351</v>
      </c>
      <c r="E17" s="142" t="s">
        <v>351</v>
      </c>
      <c r="F17" s="143"/>
    </row>
    <row r="18" spans="1:6" ht="18" customHeight="1" x14ac:dyDescent="0.1">
      <c r="A18" s="200" t="s">
        <v>352</v>
      </c>
      <c r="B18" s="157" t="s">
        <v>353</v>
      </c>
      <c r="C18" s="156" t="s">
        <v>354</v>
      </c>
      <c r="D18" s="141" t="s">
        <v>355</v>
      </c>
      <c r="E18" s="142" t="s">
        <v>355</v>
      </c>
      <c r="F18" s="147"/>
    </row>
    <row r="19" spans="1:6" ht="18" customHeight="1" x14ac:dyDescent="0.1">
      <c r="A19" s="144"/>
      <c r="B19" s="145"/>
      <c r="C19" s="146"/>
      <c r="D19" s="141" t="s">
        <v>356</v>
      </c>
      <c r="E19" s="142" t="s">
        <v>356</v>
      </c>
      <c r="F19" s="147"/>
    </row>
    <row r="20" spans="1:6" ht="18" customHeight="1" x14ac:dyDescent="0.1">
      <c r="A20" s="144"/>
      <c r="B20" s="145"/>
      <c r="C20" s="146"/>
      <c r="D20" s="141" t="s">
        <v>357</v>
      </c>
      <c r="E20" s="142" t="s">
        <v>357</v>
      </c>
      <c r="F20" s="143"/>
    </row>
    <row r="21" spans="1:6" ht="18" customHeight="1" x14ac:dyDescent="0.1">
      <c r="A21" s="200" t="s">
        <v>358</v>
      </c>
      <c r="B21" s="157" t="s">
        <v>353</v>
      </c>
      <c r="C21" s="156" t="s">
        <v>354</v>
      </c>
      <c r="D21" s="141" t="s">
        <v>359</v>
      </c>
      <c r="E21" s="142" t="s">
        <v>359</v>
      </c>
      <c r="F21" s="143"/>
    </row>
    <row r="22" spans="1:6" ht="18" customHeight="1" x14ac:dyDescent="0.1">
      <c r="A22" s="148"/>
      <c r="B22" s="145"/>
      <c r="C22" s="149"/>
      <c r="D22" s="141" t="s">
        <v>360</v>
      </c>
      <c r="E22" s="142" t="s">
        <v>360</v>
      </c>
      <c r="F22" s="143"/>
    </row>
    <row r="23" spans="1:6" ht="18" customHeight="1" x14ac:dyDescent="0.1">
      <c r="A23" s="150"/>
      <c r="B23" s="151"/>
      <c r="C23" s="198"/>
      <c r="D23" s="152" t="s">
        <v>361</v>
      </c>
      <c r="E23" s="153" t="s">
        <v>361</v>
      </c>
      <c r="F23" s="199"/>
    </row>
    <row r="24" spans="1:6" ht="10.5" customHeight="1" x14ac:dyDescent="0.1">
      <c r="A24" s="134"/>
      <c r="B24" s="134"/>
      <c r="C24" s="134"/>
      <c r="D24" s="134"/>
      <c r="E24" s="134"/>
      <c r="F24" s="134"/>
    </row>
    <row r="25" spans="1:6" ht="18" customHeight="1" x14ac:dyDescent="0.1">
      <c r="A25" s="128" t="s">
        <v>142</v>
      </c>
      <c r="B25" s="129" t="s">
        <v>362</v>
      </c>
      <c r="C25" s="130"/>
      <c r="D25" s="154" t="s">
        <v>342</v>
      </c>
      <c r="E25" s="155" t="s">
        <v>343</v>
      </c>
      <c r="F25" s="156" t="s">
        <v>146</v>
      </c>
    </row>
    <row r="26" spans="1:6" ht="18" customHeight="1" x14ac:dyDescent="0.1">
      <c r="A26" s="135" t="s">
        <v>363</v>
      </c>
      <c r="B26" s="195"/>
      <c r="C26" s="196"/>
      <c r="D26" s="136" t="s">
        <v>345</v>
      </c>
      <c r="E26" s="137" t="s">
        <v>345</v>
      </c>
      <c r="F26" s="138"/>
    </row>
    <row r="27" spans="1:6" ht="18" customHeight="1" x14ac:dyDescent="0.1">
      <c r="A27" s="200" t="s">
        <v>346</v>
      </c>
      <c r="B27" s="157" t="s">
        <v>347</v>
      </c>
      <c r="C27" s="158" t="s">
        <v>348</v>
      </c>
      <c r="D27" s="141" t="s">
        <v>349</v>
      </c>
      <c r="E27" s="142" t="s">
        <v>349</v>
      </c>
      <c r="F27" s="143"/>
    </row>
    <row r="28" spans="1:6" ht="18" customHeight="1" x14ac:dyDescent="0.1">
      <c r="A28" s="144"/>
      <c r="B28" s="145"/>
      <c r="C28" s="146"/>
      <c r="D28" s="141" t="s">
        <v>350</v>
      </c>
      <c r="E28" s="142" t="s">
        <v>350</v>
      </c>
      <c r="F28" s="143"/>
    </row>
    <row r="29" spans="1:6" ht="18" customHeight="1" x14ac:dyDescent="0.1">
      <c r="A29" s="144"/>
      <c r="B29" s="145"/>
      <c r="C29" s="146"/>
      <c r="D29" s="141" t="s">
        <v>351</v>
      </c>
      <c r="E29" s="142" t="s">
        <v>351</v>
      </c>
      <c r="F29" s="143"/>
    </row>
    <row r="30" spans="1:6" ht="18" customHeight="1" x14ac:dyDescent="0.1">
      <c r="A30" s="200" t="s">
        <v>352</v>
      </c>
      <c r="B30" s="157" t="s">
        <v>353</v>
      </c>
      <c r="C30" s="156" t="s">
        <v>354</v>
      </c>
      <c r="D30" s="141" t="s">
        <v>355</v>
      </c>
      <c r="E30" s="142" t="s">
        <v>355</v>
      </c>
      <c r="F30" s="147"/>
    </row>
    <row r="31" spans="1:6" ht="18" customHeight="1" x14ac:dyDescent="0.1">
      <c r="A31" s="144"/>
      <c r="B31" s="145"/>
      <c r="C31" s="146"/>
      <c r="D31" s="141" t="s">
        <v>356</v>
      </c>
      <c r="E31" s="142" t="s">
        <v>356</v>
      </c>
      <c r="F31" s="147"/>
    </row>
    <row r="32" spans="1:6" ht="18" customHeight="1" x14ac:dyDescent="0.1">
      <c r="A32" s="144"/>
      <c r="B32" s="145"/>
      <c r="C32" s="146"/>
      <c r="D32" s="141" t="s">
        <v>357</v>
      </c>
      <c r="E32" s="142" t="s">
        <v>357</v>
      </c>
      <c r="F32" s="143"/>
    </row>
    <row r="33" spans="1:6" ht="18" customHeight="1" x14ac:dyDescent="0.1">
      <c r="A33" s="200" t="s">
        <v>358</v>
      </c>
      <c r="B33" s="157" t="s">
        <v>353</v>
      </c>
      <c r="C33" s="156" t="s">
        <v>354</v>
      </c>
      <c r="D33" s="141" t="s">
        <v>359</v>
      </c>
      <c r="E33" s="142" t="s">
        <v>359</v>
      </c>
      <c r="F33" s="143"/>
    </row>
    <row r="34" spans="1:6" ht="18" customHeight="1" x14ac:dyDescent="0.1">
      <c r="A34" s="148"/>
      <c r="B34" s="145"/>
      <c r="C34" s="149"/>
      <c r="D34" s="141" t="s">
        <v>360</v>
      </c>
      <c r="E34" s="142" t="s">
        <v>360</v>
      </c>
      <c r="F34" s="143"/>
    </row>
    <row r="35" spans="1:6" ht="18" customHeight="1" x14ac:dyDescent="0.1">
      <c r="A35" s="150"/>
      <c r="B35" s="151"/>
      <c r="C35" s="198"/>
      <c r="D35" s="152" t="s">
        <v>361</v>
      </c>
      <c r="E35" s="153" t="s">
        <v>361</v>
      </c>
      <c r="F35" s="199"/>
    </row>
    <row r="36" spans="1:6" ht="10.5" customHeight="1" x14ac:dyDescent="0.1">
      <c r="A36" s="134"/>
      <c r="B36" s="134"/>
      <c r="C36" s="134"/>
      <c r="D36" s="134"/>
      <c r="E36" s="134"/>
      <c r="F36" s="134"/>
    </row>
    <row r="37" spans="1:6" ht="18" customHeight="1" x14ac:dyDescent="0.1">
      <c r="A37" s="128" t="s">
        <v>142</v>
      </c>
      <c r="B37" s="129" t="s">
        <v>362</v>
      </c>
      <c r="C37" s="130"/>
      <c r="D37" s="154" t="s">
        <v>342</v>
      </c>
      <c r="E37" s="155" t="s">
        <v>343</v>
      </c>
      <c r="F37" s="156" t="s">
        <v>146</v>
      </c>
    </row>
    <row r="38" spans="1:6" ht="18" customHeight="1" x14ac:dyDescent="0.1">
      <c r="A38" s="135" t="s">
        <v>363</v>
      </c>
      <c r="B38" s="195"/>
      <c r="C38" s="196"/>
      <c r="D38" s="136" t="s">
        <v>345</v>
      </c>
      <c r="E38" s="137" t="s">
        <v>345</v>
      </c>
      <c r="F38" s="138"/>
    </row>
    <row r="39" spans="1:6" ht="18" customHeight="1" x14ac:dyDescent="0.1">
      <c r="A39" s="200" t="s">
        <v>346</v>
      </c>
      <c r="B39" s="157" t="s">
        <v>347</v>
      </c>
      <c r="C39" s="158" t="s">
        <v>348</v>
      </c>
      <c r="D39" s="141" t="s">
        <v>349</v>
      </c>
      <c r="E39" s="142" t="s">
        <v>349</v>
      </c>
      <c r="F39" s="143"/>
    </row>
    <row r="40" spans="1:6" ht="18" customHeight="1" x14ac:dyDescent="0.1">
      <c r="A40" s="144"/>
      <c r="B40" s="145"/>
      <c r="C40" s="146"/>
      <c r="D40" s="141" t="s">
        <v>350</v>
      </c>
      <c r="E40" s="142" t="s">
        <v>350</v>
      </c>
      <c r="F40" s="143"/>
    </row>
    <row r="41" spans="1:6" ht="18" customHeight="1" x14ac:dyDescent="0.1">
      <c r="A41" s="144"/>
      <c r="B41" s="145"/>
      <c r="C41" s="146"/>
      <c r="D41" s="141" t="s">
        <v>351</v>
      </c>
      <c r="E41" s="142" t="s">
        <v>351</v>
      </c>
      <c r="F41" s="143"/>
    </row>
    <row r="42" spans="1:6" ht="18" customHeight="1" x14ac:dyDescent="0.1">
      <c r="A42" s="200" t="s">
        <v>352</v>
      </c>
      <c r="B42" s="157" t="s">
        <v>353</v>
      </c>
      <c r="C42" s="156" t="s">
        <v>354</v>
      </c>
      <c r="D42" s="141" t="s">
        <v>355</v>
      </c>
      <c r="E42" s="142" t="s">
        <v>355</v>
      </c>
      <c r="F42" s="147"/>
    </row>
    <row r="43" spans="1:6" ht="18" customHeight="1" x14ac:dyDescent="0.1">
      <c r="A43" s="144"/>
      <c r="B43" s="145"/>
      <c r="C43" s="146"/>
      <c r="D43" s="141" t="s">
        <v>356</v>
      </c>
      <c r="E43" s="142" t="s">
        <v>356</v>
      </c>
      <c r="F43" s="147"/>
    </row>
    <row r="44" spans="1:6" ht="18" customHeight="1" x14ac:dyDescent="0.1">
      <c r="A44" s="144"/>
      <c r="B44" s="145"/>
      <c r="C44" s="146"/>
      <c r="D44" s="141" t="s">
        <v>357</v>
      </c>
      <c r="E44" s="142" t="s">
        <v>357</v>
      </c>
      <c r="F44" s="143"/>
    </row>
    <row r="45" spans="1:6" ht="18" customHeight="1" x14ac:dyDescent="0.1">
      <c r="A45" s="200" t="s">
        <v>358</v>
      </c>
      <c r="B45" s="157" t="s">
        <v>353</v>
      </c>
      <c r="C45" s="156" t="s">
        <v>354</v>
      </c>
      <c r="D45" s="141" t="s">
        <v>359</v>
      </c>
      <c r="E45" s="142" t="s">
        <v>359</v>
      </c>
      <c r="F45" s="143"/>
    </row>
    <row r="46" spans="1:6" ht="18" customHeight="1" x14ac:dyDescent="0.1">
      <c r="A46" s="148"/>
      <c r="B46" s="145"/>
      <c r="C46" s="149"/>
      <c r="D46" s="141" t="s">
        <v>360</v>
      </c>
      <c r="E46" s="142" t="s">
        <v>360</v>
      </c>
      <c r="F46" s="143"/>
    </row>
    <row r="47" spans="1:6" ht="18" customHeight="1" x14ac:dyDescent="0.1">
      <c r="A47" s="150"/>
      <c r="B47" s="151"/>
      <c r="C47" s="198"/>
      <c r="D47" s="152" t="s">
        <v>361</v>
      </c>
      <c r="E47" s="153" t="s">
        <v>361</v>
      </c>
      <c r="F47" s="199"/>
    </row>
  </sheetData>
  <phoneticPr fontId="35"/>
  <printOptions horizontalCentered="1"/>
  <pageMargins left="0" right="0" top="0.19685039370078741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37</vt:i4>
      </vt:variant>
    </vt:vector>
  </HeadingPairs>
  <TitlesOfParts>
    <vt:vector size="37" baseType="lpstr">
      <vt:lpstr>計画</vt:lpstr>
      <vt:lpstr>福重</vt:lpstr>
      <vt:lpstr>唐津</vt:lpstr>
      <vt:lpstr>飯塚</vt:lpstr>
      <vt:lpstr>小倉</vt:lpstr>
      <vt:lpstr>黒崎</vt:lpstr>
      <vt:lpstr>行橋</vt:lpstr>
      <vt:lpstr>宗像</vt:lpstr>
      <vt:lpstr>魚町</vt:lpstr>
      <vt:lpstr>鞍手</vt:lpstr>
      <vt:lpstr>長府</vt:lpstr>
      <vt:lpstr>宇部</vt:lpstr>
      <vt:lpstr>八女</vt:lpstr>
      <vt:lpstr>浜町</vt:lpstr>
      <vt:lpstr>時津</vt:lpstr>
      <vt:lpstr>佐賀</vt:lpstr>
      <vt:lpstr>那珂川</vt:lpstr>
      <vt:lpstr>中洲</vt:lpstr>
      <vt:lpstr>霧島</vt:lpstr>
      <vt:lpstr>川内</vt:lpstr>
      <vt:lpstr>都城</vt:lpstr>
      <vt:lpstr>鹿屋</vt:lpstr>
      <vt:lpstr>菊陽</vt:lpstr>
      <vt:lpstr>合志</vt:lpstr>
      <vt:lpstr>南熊本</vt:lpstr>
      <vt:lpstr>下通</vt:lpstr>
      <vt:lpstr>今宿</vt:lpstr>
      <vt:lpstr>八代</vt:lpstr>
      <vt:lpstr>佐世保</vt:lpstr>
      <vt:lpstr>大村</vt:lpstr>
      <vt:lpstr>延岡</vt:lpstr>
      <vt:lpstr>光吉</vt:lpstr>
      <vt:lpstr>別府</vt:lpstr>
      <vt:lpstr>Ｄプラ</vt:lpstr>
      <vt:lpstr>駅南</vt:lpstr>
      <vt:lpstr>巡回表①</vt:lpstr>
      <vt:lpstr>巡回表②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SGF</dc:creator>
  <cp:keywords/>
  <dc:description/>
  <cp:lastModifiedBy>浩一 坂本</cp:lastModifiedBy>
  <cp:revision/>
  <dcterms:created xsi:type="dcterms:W3CDTF">2021-10-18T02:39:00Z</dcterms:created>
  <dcterms:modified xsi:type="dcterms:W3CDTF">2026-04-14T12:03:34Z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1041-10.8.0.6186</vt:lpwstr>
  </property>
</Properties>
</file>