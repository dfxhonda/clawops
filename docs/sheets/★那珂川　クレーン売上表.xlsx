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4580" documentId="8_{47119718-5AC1-4641-945B-62D534AE864F}" xr6:coauthVersionLast="47" xr6:coauthVersionMax="47" xr10:uidLastSave="{047077C8-A437-4F4C-9B6F-7F8937C3878B}"/>
  <bookViews>
    <workbookView xWindow="-120" yWindow="-120" windowWidth="29040" windowHeight="15720" xr2:uid="{00000000-000D-0000-FFFF-FFFF00000000}"/>
  </bookViews>
  <sheets>
    <sheet name="那珂川" sheetId="2" r:id="rId1"/>
  </sheets>
  <definedNames>
    <definedName name="_xlnm._FilterDatabase" localSheetId="0" hidden="1">那珂川!$P$297:$AB$358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0" i="2" l="1"/>
  <c r="AF60" i="2" s="1"/>
  <c r="AG60" i="2" s="1"/>
  <c r="CB16" i="2"/>
  <c r="CB24" i="2"/>
  <c r="BV24" i="2"/>
  <c r="CC24" i="2"/>
  <c r="CB27" i="2"/>
  <c r="BN20" i="2"/>
  <c r="BH20" i="2"/>
  <c r="BO20" i="2"/>
  <c r="AL36" i="2"/>
  <c r="AF36" i="2"/>
  <c r="AM36" i="2"/>
  <c r="R38" i="2"/>
  <c r="Y38" i="2"/>
  <c r="X34" i="2"/>
  <c r="X29" i="2"/>
  <c r="R29" i="2"/>
  <c r="Y29" i="2"/>
  <c r="X23" i="2"/>
  <c r="R23" i="2"/>
  <c r="Y23" i="2"/>
  <c r="X21" i="2"/>
  <c r="R21" i="2"/>
  <c r="Y21" i="2"/>
  <c r="D4" i="2"/>
  <c r="R7" i="2"/>
  <c r="R8" i="2"/>
  <c r="R9" i="2"/>
  <c r="R10" i="2"/>
  <c r="AF7" i="2"/>
  <c r="AF8" i="2"/>
  <c r="AF9" i="2"/>
  <c r="AF10" i="2"/>
  <c r="BH7" i="2"/>
  <c r="BH8" i="2"/>
  <c r="BH9" i="2"/>
  <c r="BH10" i="2"/>
  <c r="BV7" i="2"/>
  <c r="BV8" i="2"/>
  <c r="BV9" i="2"/>
  <c r="BV10" i="2"/>
  <c r="AT7" i="2"/>
  <c r="AT8" i="2"/>
  <c r="AT9" i="2"/>
  <c r="AT10" i="2"/>
  <c r="B4" i="2"/>
  <c r="D5" i="2"/>
  <c r="R11" i="2"/>
  <c r="R12" i="2"/>
  <c r="R13" i="2"/>
  <c r="R14" i="2"/>
  <c r="AF11" i="2"/>
  <c r="AF12" i="2"/>
  <c r="AF13" i="2"/>
  <c r="AF14" i="2"/>
  <c r="BH11" i="2"/>
  <c r="BH12" i="2"/>
  <c r="BH13" i="2"/>
  <c r="BH14" i="2"/>
  <c r="BV11" i="2"/>
  <c r="BV12" i="2"/>
  <c r="BV13" i="2"/>
  <c r="BV14" i="2"/>
  <c r="AT11" i="2"/>
  <c r="AT12" i="2"/>
  <c r="AT13" i="2"/>
  <c r="AT14" i="2"/>
  <c r="B5" i="2"/>
  <c r="D6" i="2"/>
  <c r="R15" i="2"/>
  <c r="R16" i="2"/>
  <c r="R17" i="2"/>
  <c r="R18" i="2"/>
  <c r="AF15" i="2"/>
  <c r="AF16" i="2"/>
  <c r="AF17" i="2"/>
  <c r="AF18" i="2"/>
  <c r="BH15" i="2"/>
  <c r="BH16" i="2"/>
  <c r="BH17" i="2"/>
  <c r="BH18" i="2"/>
  <c r="BV15" i="2"/>
  <c r="BV16" i="2"/>
  <c r="BV17" i="2"/>
  <c r="BV18" i="2"/>
  <c r="AT15" i="2"/>
  <c r="AT16" i="2"/>
  <c r="AT17" i="2"/>
  <c r="AT18" i="2"/>
  <c r="B6" i="2"/>
  <c r="D7" i="2"/>
  <c r="R19" i="2"/>
  <c r="AF19" i="2"/>
  <c r="AF20" i="2"/>
  <c r="AF21" i="2"/>
  <c r="AF22" i="2"/>
  <c r="AT19" i="2"/>
  <c r="R20" i="2"/>
  <c r="R22" i="2"/>
  <c r="AT20" i="2"/>
  <c r="AT21" i="2"/>
  <c r="AT22" i="2"/>
  <c r="BH19" i="2"/>
  <c r="BH21" i="2"/>
  <c r="BH22" i="2"/>
  <c r="BV19" i="2"/>
  <c r="BV20" i="2"/>
  <c r="BV21" i="2"/>
  <c r="BV22" i="2"/>
  <c r="B7" i="2"/>
  <c r="B8" i="2"/>
  <c r="B9" i="2"/>
  <c r="B10" i="2"/>
  <c r="B11" i="2"/>
  <c r="B12" i="2"/>
  <c r="B13" i="2"/>
  <c r="B14" i="2"/>
  <c r="B15" i="2"/>
  <c r="B16" i="2"/>
  <c r="B60" i="2"/>
  <c r="A68" i="2"/>
  <c r="D69" i="2" s="1"/>
  <c r="K4" i="2"/>
  <c r="H4" i="2"/>
  <c r="L4" i="2"/>
  <c r="K5" i="2"/>
  <c r="H5" i="2"/>
  <c r="L5" i="2"/>
  <c r="K6" i="2"/>
  <c r="H6" i="2"/>
  <c r="L6" i="2"/>
  <c r="K7" i="2"/>
  <c r="H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H63" i="2"/>
  <c r="V7" i="2"/>
  <c r="Y7" i="2"/>
  <c r="Z7" i="2"/>
  <c r="V8" i="2"/>
  <c r="Y8" i="2"/>
  <c r="Z8" i="2"/>
  <c r="V9" i="2"/>
  <c r="Y9" i="2"/>
  <c r="Z9" i="2"/>
  <c r="V10" i="2"/>
  <c r="Y10" i="2"/>
  <c r="Z10" i="2"/>
  <c r="V11" i="2"/>
  <c r="Y11" i="2"/>
  <c r="Z11" i="2"/>
  <c r="V12" i="2"/>
  <c r="Y12" i="2"/>
  <c r="Z12" i="2"/>
  <c r="V13" i="2"/>
  <c r="Y13" i="2"/>
  <c r="Z13" i="2"/>
  <c r="V14" i="2"/>
  <c r="Y14" i="2"/>
  <c r="Z14" i="2"/>
  <c r="V15" i="2"/>
  <c r="Y15" i="2"/>
  <c r="Z15" i="2"/>
  <c r="V16" i="2"/>
  <c r="Y16" i="2"/>
  <c r="Z16" i="2"/>
  <c r="V17" i="2"/>
  <c r="Y17" i="2"/>
  <c r="Z17" i="2"/>
  <c r="V18" i="2"/>
  <c r="Y18" i="2"/>
  <c r="Z18" i="2"/>
  <c r="V19" i="2"/>
  <c r="Z19" i="2"/>
  <c r="V20" i="2"/>
  <c r="Z20" i="2"/>
  <c r="V21" i="2"/>
  <c r="Z21" i="2"/>
  <c r="V22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9" i="2"/>
  <c r="AJ7" i="2"/>
  <c r="AM7" i="2"/>
  <c r="AN7" i="2"/>
  <c r="AJ8" i="2"/>
  <c r="AM8" i="2"/>
  <c r="AN8" i="2"/>
  <c r="AJ9" i="2"/>
  <c r="AM9" i="2"/>
  <c r="AN9" i="2"/>
  <c r="AJ10" i="2"/>
  <c r="AM10" i="2"/>
  <c r="AN10" i="2"/>
  <c r="AJ11" i="2"/>
  <c r="AM11" i="2"/>
  <c r="AN11" i="2"/>
  <c r="AJ12" i="2"/>
  <c r="AM12" i="2"/>
  <c r="AN12" i="2"/>
  <c r="AJ13" i="2"/>
  <c r="AM13" i="2"/>
  <c r="AN13" i="2"/>
  <c r="AJ14" i="2"/>
  <c r="AM14" i="2"/>
  <c r="AN14" i="2"/>
  <c r="AJ15" i="2"/>
  <c r="AM15" i="2"/>
  <c r="AN15" i="2"/>
  <c r="AJ16" i="2"/>
  <c r="AM16" i="2"/>
  <c r="AN16" i="2"/>
  <c r="AJ17" i="2"/>
  <c r="AM17" i="2"/>
  <c r="AN17" i="2"/>
  <c r="AJ18" i="2"/>
  <c r="AM18" i="2"/>
  <c r="AN18" i="2"/>
  <c r="AJ19" i="2"/>
  <c r="AN19" i="2"/>
  <c r="AJ20" i="2"/>
  <c r="AN20" i="2"/>
  <c r="AJ21" i="2"/>
  <c r="AN21" i="2"/>
  <c r="AJ22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9" i="2"/>
  <c r="AX7" i="2"/>
  <c r="BB7" i="2"/>
  <c r="AX8" i="2"/>
  <c r="BA8" i="2"/>
  <c r="BB8" i="2"/>
  <c r="AX9" i="2"/>
  <c r="BB9" i="2"/>
  <c r="AX10" i="2"/>
  <c r="BA10" i="2"/>
  <c r="BB10" i="2"/>
  <c r="AX11" i="2"/>
  <c r="BA11" i="2"/>
  <c r="BB11" i="2"/>
  <c r="AX12" i="2"/>
  <c r="BA12" i="2"/>
  <c r="BB12" i="2"/>
  <c r="AX13" i="2"/>
  <c r="BA13" i="2"/>
  <c r="BB13" i="2"/>
  <c r="AX14" i="2"/>
  <c r="BA14" i="2"/>
  <c r="BB14" i="2"/>
  <c r="AX15" i="2"/>
  <c r="BA15" i="2"/>
  <c r="BB15" i="2"/>
  <c r="AX16" i="2"/>
  <c r="BA16" i="2"/>
  <c r="BB16" i="2"/>
  <c r="AX17" i="2"/>
  <c r="BA17" i="2"/>
  <c r="BB17" i="2"/>
  <c r="AX18" i="2"/>
  <c r="BA18" i="2"/>
  <c r="BB18" i="2"/>
  <c r="AX19" i="2"/>
  <c r="BB19" i="2"/>
  <c r="AX20" i="2"/>
  <c r="BB20" i="2"/>
  <c r="AX21" i="2"/>
  <c r="BB21" i="2"/>
  <c r="AX22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9" i="2"/>
  <c r="BL7" i="2"/>
  <c r="BO7" i="2"/>
  <c r="BP7" i="2"/>
  <c r="BL8" i="2"/>
  <c r="BO8" i="2"/>
  <c r="BP8" i="2"/>
  <c r="BL9" i="2"/>
  <c r="BO9" i="2"/>
  <c r="BP9" i="2"/>
  <c r="BL10" i="2"/>
  <c r="BO10" i="2"/>
  <c r="BP10" i="2"/>
  <c r="BL11" i="2"/>
  <c r="BO11" i="2"/>
  <c r="BP11" i="2"/>
  <c r="BL12" i="2"/>
  <c r="BO12" i="2"/>
  <c r="BP12" i="2"/>
  <c r="BL13" i="2"/>
  <c r="BO13" i="2"/>
  <c r="BP13" i="2"/>
  <c r="BL14" i="2"/>
  <c r="BO14" i="2"/>
  <c r="BP14" i="2"/>
  <c r="BL15" i="2"/>
  <c r="BO15" i="2"/>
  <c r="BP15" i="2"/>
  <c r="BL16" i="2"/>
  <c r="BO16" i="2"/>
  <c r="BP16" i="2"/>
  <c r="BL17" i="2"/>
  <c r="BO17" i="2"/>
  <c r="BP17" i="2"/>
  <c r="BL18" i="2"/>
  <c r="BO18" i="2"/>
  <c r="BP18" i="2"/>
  <c r="BL19" i="2"/>
  <c r="BP19" i="2"/>
  <c r="BL20" i="2"/>
  <c r="BP20" i="2"/>
  <c r="BL21" i="2"/>
  <c r="BP21" i="2"/>
  <c r="BL22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9" i="2"/>
  <c r="BZ7" i="2"/>
  <c r="CC7" i="2"/>
  <c r="CD7" i="2"/>
  <c r="BZ8" i="2"/>
  <c r="CC8" i="2"/>
  <c r="CD8" i="2"/>
  <c r="BZ9" i="2"/>
  <c r="CC9" i="2"/>
  <c r="CD9" i="2"/>
  <c r="BZ10" i="2"/>
  <c r="CD10" i="2"/>
  <c r="BZ11" i="2"/>
  <c r="CC11" i="2"/>
  <c r="CD11" i="2"/>
  <c r="BZ12" i="2"/>
  <c r="CC12" i="2"/>
  <c r="CD12" i="2"/>
  <c r="BZ13" i="2"/>
  <c r="CC13" i="2"/>
  <c r="CD13" i="2"/>
  <c r="BZ14" i="2"/>
  <c r="CC14" i="2"/>
  <c r="CD14" i="2"/>
  <c r="BZ15" i="2"/>
  <c r="CC15" i="2"/>
  <c r="CD15" i="2"/>
  <c r="BZ16" i="2"/>
  <c r="CC16" i="2"/>
  <c r="CD16" i="2"/>
  <c r="BZ17" i="2"/>
  <c r="CC17" i="2"/>
  <c r="CD17" i="2"/>
  <c r="BZ18" i="2"/>
  <c r="CC18" i="2"/>
  <c r="CD18" i="2"/>
  <c r="BZ19" i="2"/>
  <c r="CD19" i="2"/>
  <c r="BZ20" i="2"/>
  <c r="CD20" i="2"/>
  <c r="BZ21" i="2"/>
  <c r="CD21" i="2"/>
  <c r="BZ22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9" i="2"/>
  <c r="C68" i="2"/>
  <c r="I62" i="2"/>
  <c r="R35" i="2"/>
  <c r="Y35" i="2"/>
  <c r="R36" i="2"/>
  <c r="Y36" i="2"/>
  <c r="R37" i="2"/>
  <c r="Y37" i="2"/>
  <c r="Z62" i="2"/>
  <c r="AF35" i="2"/>
  <c r="AM35" i="2"/>
  <c r="AF37" i="2"/>
  <c r="AM37" i="2"/>
  <c r="AF38" i="2"/>
  <c r="AM38" i="2"/>
  <c r="AN62" i="2"/>
  <c r="E68" i="2"/>
  <c r="R28" i="2"/>
  <c r="R31" i="2"/>
  <c r="R39" i="2"/>
  <c r="R43" i="2"/>
  <c r="R47" i="2"/>
  <c r="R51" i="2"/>
  <c r="R68" i="2"/>
  <c r="V23" i="2"/>
  <c r="V28" i="2"/>
  <c r="V31" i="2"/>
  <c r="V35" i="2"/>
  <c r="V39" i="2"/>
  <c r="V43" i="2"/>
  <c r="V47" i="2"/>
  <c r="V51" i="2"/>
  <c r="V68" i="2"/>
  <c r="U68" i="2"/>
  <c r="X68" i="2"/>
  <c r="Y68" i="2"/>
  <c r="Z68" i="2"/>
  <c r="AA68" i="2"/>
  <c r="AF23" i="2"/>
  <c r="AF27" i="2"/>
  <c r="AF31" i="2"/>
  <c r="AF39" i="2"/>
  <c r="AF43" i="2"/>
  <c r="AF47" i="2"/>
  <c r="AF51" i="2"/>
  <c r="AF68" i="2"/>
  <c r="AJ23" i="2"/>
  <c r="AJ28" i="2"/>
  <c r="AJ31" i="2"/>
  <c r="AJ35" i="2"/>
  <c r="AJ39" i="2"/>
  <c r="AJ43" i="2"/>
  <c r="AJ47" i="2"/>
  <c r="AJ51" i="2"/>
  <c r="AJ68" i="2"/>
  <c r="AI68" i="2"/>
  <c r="AL68" i="2"/>
  <c r="AM68" i="2"/>
  <c r="AN68" i="2"/>
  <c r="AO68" i="2"/>
  <c r="AT23" i="2"/>
  <c r="AT27" i="2"/>
  <c r="AT31" i="2"/>
  <c r="AT35" i="2"/>
  <c r="AT39" i="2"/>
  <c r="AT43" i="2"/>
  <c r="AT47" i="2"/>
  <c r="AT51" i="2"/>
  <c r="AT68" i="2"/>
  <c r="AX23" i="2"/>
  <c r="AX28" i="2"/>
  <c r="AX31" i="2"/>
  <c r="AX35" i="2"/>
  <c r="AX39" i="2"/>
  <c r="AX43" i="2"/>
  <c r="AX47" i="2"/>
  <c r="AX51" i="2"/>
  <c r="AX68" i="2"/>
  <c r="AW68" i="2"/>
  <c r="AZ68" i="2"/>
  <c r="BA68" i="2"/>
  <c r="BB68" i="2"/>
  <c r="BC68" i="2"/>
  <c r="BH23" i="2"/>
  <c r="BH27" i="2"/>
  <c r="BH31" i="2"/>
  <c r="BH35" i="2"/>
  <c r="BH39" i="2"/>
  <c r="BH43" i="2"/>
  <c r="BH47" i="2"/>
  <c r="BH51" i="2"/>
  <c r="BH68" i="2"/>
  <c r="BL23" i="2"/>
  <c r="BL28" i="2"/>
  <c r="BL31" i="2"/>
  <c r="BL35" i="2"/>
  <c r="BL39" i="2"/>
  <c r="BL43" i="2"/>
  <c r="BL47" i="2"/>
  <c r="BL51" i="2"/>
  <c r="BL68" i="2"/>
  <c r="BK68" i="2"/>
  <c r="BN68" i="2"/>
  <c r="BO68" i="2"/>
  <c r="BP68" i="2"/>
  <c r="BQ68" i="2"/>
  <c r="BV23" i="2"/>
  <c r="BV27" i="2"/>
  <c r="BV31" i="2"/>
  <c r="BV35" i="2"/>
  <c r="BV39" i="2"/>
  <c r="BV43" i="2"/>
  <c r="BV47" i="2"/>
  <c r="BV51" i="2"/>
  <c r="BV68" i="2"/>
  <c r="BZ23" i="2"/>
  <c r="BZ28" i="2"/>
  <c r="BZ31" i="2"/>
  <c r="BZ35" i="2"/>
  <c r="BZ39" i="2"/>
  <c r="BZ43" i="2"/>
  <c r="BZ47" i="2"/>
  <c r="BZ51" i="2"/>
  <c r="BZ68" i="2"/>
  <c r="BY68" i="2"/>
  <c r="CB68" i="2"/>
  <c r="CC68" i="2"/>
  <c r="CD68" i="2"/>
  <c r="CE68" i="2"/>
  <c r="R24" i="2"/>
  <c r="R27" i="2"/>
  <c r="R32" i="2"/>
  <c r="R40" i="2"/>
  <c r="R44" i="2"/>
  <c r="R48" i="2"/>
  <c r="R52" i="2"/>
  <c r="R69" i="2"/>
  <c r="V24" i="2"/>
  <c r="V27" i="2"/>
  <c r="V32" i="2"/>
  <c r="V36" i="2"/>
  <c r="V40" i="2"/>
  <c r="V44" i="2"/>
  <c r="V48" i="2"/>
  <c r="V52" i="2"/>
  <c r="V69" i="2"/>
  <c r="U69" i="2"/>
  <c r="X69" i="2"/>
  <c r="Y69" i="2"/>
  <c r="Z69" i="2"/>
  <c r="AA69" i="2"/>
  <c r="AF24" i="2"/>
  <c r="AF28" i="2"/>
  <c r="AF32" i="2"/>
  <c r="AF40" i="2"/>
  <c r="AF44" i="2"/>
  <c r="AF48" i="2"/>
  <c r="AF52" i="2"/>
  <c r="AF69" i="2"/>
  <c r="AJ24" i="2"/>
  <c r="AJ27" i="2"/>
  <c r="AJ32" i="2"/>
  <c r="AJ36" i="2"/>
  <c r="AJ40" i="2"/>
  <c r="AJ44" i="2"/>
  <c r="AJ48" i="2"/>
  <c r="AJ52" i="2"/>
  <c r="AJ69" i="2"/>
  <c r="AI69" i="2"/>
  <c r="AL69" i="2"/>
  <c r="AM69" i="2"/>
  <c r="AN69" i="2"/>
  <c r="AO69" i="2"/>
  <c r="AT24" i="2"/>
  <c r="AT28" i="2"/>
  <c r="AT32" i="2"/>
  <c r="AT36" i="2"/>
  <c r="AT40" i="2"/>
  <c r="AT44" i="2"/>
  <c r="AT48" i="2"/>
  <c r="AT52" i="2"/>
  <c r="AT69" i="2"/>
  <c r="AX24" i="2"/>
  <c r="AX27" i="2"/>
  <c r="AX32" i="2"/>
  <c r="AX36" i="2"/>
  <c r="AX40" i="2"/>
  <c r="AX44" i="2"/>
  <c r="AX48" i="2"/>
  <c r="AX52" i="2"/>
  <c r="AX69" i="2"/>
  <c r="AW69" i="2"/>
  <c r="AZ69" i="2"/>
  <c r="BA69" i="2"/>
  <c r="BB69" i="2"/>
  <c r="BC69" i="2"/>
  <c r="BH24" i="2"/>
  <c r="BH28" i="2"/>
  <c r="BH32" i="2"/>
  <c r="BH36" i="2"/>
  <c r="BH40" i="2"/>
  <c r="BH44" i="2"/>
  <c r="BH48" i="2"/>
  <c r="BH52" i="2"/>
  <c r="BH69" i="2"/>
  <c r="BL24" i="2"/>
  <c r="BL27" i="2"/>
  <c r="BL32" i="2"/>
  <c r="BL36" i="2"/>
  <c r="BL40" i="2"/>
  <c r="BL44" i="2"/>
  <c r="BL48" i="2"/>
  <c r="BL52" i="2"/>
  <c r="BL69" i="2"/>
  <c r="BK69" i="2"/>
  <c r="BN69" i="2"/>
  <c r="BO69" i="2"/>
  <c r="BP69" i="2"/>
  <c r="BQ69" i="2"/>
  <c r="BV28" i="2"/>
  <c r="BV32" i="2"/>
  <c r="BV36" i="2"/>
  <c r="BV40" i="2"/>
  <c r="BV44" i="2"/>
  <c r="BV48" i="2"/>
  <c r="BV52" i="2"/>
  <c r="BV69" i="2"/>
  <c r="BZ24" i="2"/>
  <c r="BZ27" i="2"/>
  <c r="BZ32" i="2"/>
  <c r="BZ36" i="2"/>
  <c r="BZ40" i="2"/>
  <c r="BZ44" i="2"/>
  <c r="BZ48" i="2"/>
  <c r="BZ52" i="2"/>
  <c r="BZ69" i="2"/>
  <c r="BY69" i="2"/>
  <c r="CB69" i="2"/>
  <c r="CC69" i="2"/>
  <c r="CD69" i="2"/>
  <c r="CE69" i="2"/>
  <c r="R25" i="2"/>
  <c r="R33" i="2"/>
  <c r="R41" i="2"/>
  <c r="R45" i="2"/>
  <c r="R49" i="2"/>
  <c r="R53" i="2"/>
  <c r="R70" i="2"/>
  <c r="V25" i="2"/>
  <c r="V29" i="2"/>
  <c r="V33" i="2"/>
  <c r="V37" i="2"/>
  <c r="V41" i="2"/>
  <c r="V45" i="2"/>
  <c r="V49" i="2"/>
  <c r="V53" i="2"/>
  <c r="V70" i="2"/>
  <c r="U70" i="2"/>
  <c r="X70" i="2"/>
  <c r="Y70" i="2"/>
  <c r="Z70" i="2"/>
  <c r="AA70" i="2"/>
  <c r="AF25" i="2"/>
  <c r="AF29" i="2"/>
  <c r="AF33" i="2"/>
  <c r="AF41" i="2"/>
  <c r="AF45" i="2"/>
  <c r="AF49" i="2"/>
  <c r="AF53" i="2"/>
  <c r="AF70" i="2"/>
  <c r="AJ25" i="2"/>
  <c r="AJ29" i="2"/>
  <c r="AJ33" i="2"/>
  <c r="AJ37" i="2"/>
  <c r="AJ41" i="2"/>
  <c r="AJ45" i="2"/>
  <c r="AJ49" i="2"/>
  <c r="AJ53" i="2"/>
  <c r="AJ70" i="2"/>
  <c r="AI70" i="2"/>
  <c r="AL70" i="2"/>
  <c r="AM70" i="2"/>
  <c r="AN70" i="2"/>
  <c r="AO70" i="2"/>
  <c r="AT25" i="2"/>
  <c r="AT29" i="2"/>
  <c r="AT33" i="2"/>
  <c r="AT37" i="2"/>
  <c r="AT41" i="2"/>
  <c r="AT45" i="2"/>
  <c r="AT49" i="2"/>
  <c r="AT53" i="2"/>
  <c r="AT70" i="2"/>
  <c r="AX25" i="2"/>
  <c r="AX29" i="2"/>
  <c r="AX33" i="2"/>
  <c r="AX37" i="2"/>
  <c r="AX41" i="2"/>
  <c r="AX45" i="2"/>
  <c r="AX49" i="2"/>
  <c r="AX53" i="2"/>
  <c r="AX70" i="2"/>
  <c r="AW70" i="2"/>
  <c r="AZ70" i="2"/>
  <c r="BA70" i="2"/>
  <c r="BB70" i="2"/>
  <c r="BC70" i="2"/>
  <c r="BH25" i="2"/>
  <c r="BH29" i="2"/>
  <c r="BH33" i="2"/>
  <c r="BH37" i="2"/>
  <c r="BH41" i="2"/>
  <c r="BH45" i="2"/>
  <c r="BH49" i="2"/>
  <c r="BH53" i="2"/>
  <c r="BH70" i="2"/>
  <c r="BL25" i="2"/>
  <c r="BL29" i="2"/>
  <c r="BL33" i="2"/>
  <c r="BL37" i="2"/>
  <c r="BL41" i="2"/>
  <c r="BL45" i="2"/>
  <c r="BL49" i="2"/>
  <c r="BL53" i="2"/>
  <c r="BL70" i="2"/>
  <c r="BK70" i="2"/>
  <c r="BN70" i="2"/>
  <c r="BO70" i="2"/>
  <c r="BP70" i="2"/>
  <c r="BQ70" i="2"/>
  <c r="BV25" i="2"/>
  <c r="BV29" i="2"/>
  <c r="BV33" i="2"/>
  <c r="BV37" i="2"/>
  <c r="BV41" i="2"/>
  <c r="BV45" i="2"/>
  <c r="BV49" i="2"/>
  <c r="BV53" i="2"/>
  <c r="BV70" i="2"/>
  <c r="BZ25" i="2"/>
  <c r="BZ29" i="2"/>
  <c r="BZ33" i="2"/>
  <c r="BZ37" i="2"/>
  <c r="BZ41" i="2"/>
  <c r="BZ45" i="2"/>
  <c r="BZ49" i="2"/>
  <c r="BZ53" i="2"/>
  <c r="BZ70" i="2"/>
  <c r="BY70" i="2"/>
  <c r="CB70" i="2"/>
  <c r="CC70" i="2"/>
  <c r="CD70" i="2"/>
  <c r="CE70" i="2"/>
  <c r="R26" i="2"/>
  <c r="R30" i="2"/>
  <c r="R34" i="2"/>
  <c r="R42" i="2"/>
  <c r="R46" i="2"/>
  <c r="R50" i="2"/>
  <c r="R54" i="2"/>
  <c r="R71" i="2"/>
  <c r="V26" i="2"/>
  <c r="V30" i="2"/>
  <c r="V34" i="2"/>
  <c r="V38" i="2"/>
  <c r="V42" i="2"/>
  <c r="V46" i="2"/>
  <c r="V50" i="2"/>
  <c r="V54" i="2"/>
  <c r="V71" i="2"/>
  <c r="U71" i="2"/>
  <c r="X71" i="2"/>
  <c r="Y71" i="2"/>
  <c r="Z71" i="2"/>
  <c r="AA71" i="2"/>
  <c r="AF26" i="2"/>
  <c r="AF30" i="2"/>
  <c r="AF34" i="2"/>
  <c r="AF42" i="2"/>
  <c r="AF46" i="2"/>
  <c r="AF50" i="2"/>
  <c r="AF54" i="2"/>
  <c r="AF71" i="2"/>
  <c r="AJ26" i="2"/>
  <c r="AJ30" i="2"/>
  <c r="AJ34" i="2"/>
  <c r="AJ38" i="2"/>
  <c r="AJ42" i="2"/>
  <c r="AJ46" i="2"/>
  <c r="AJ50" i="2"/>
  <c r="AJ54" i="2"/>
  <c r="AJ71" i="2"/>
  <c r="AI71" i="2"/>
  <c r="AL71" i="2"/>
  <c r="AM71" i="2"/>
  <c r="AN71" i="2"/>
  <c r="AO71" i="2"/>
  <c r="AT26" i="2"/>
  <c r="AT30" i="2"/>
  <c r="AT34" i="2"/>
  <c r="AT38" i="2"/>
  <c r="AT42" i="2"/>
  <c r="AT46" i="2"/>
  <c r="AT50" i="2"/>
  <c r="AT54" i="2"/>
  <c r="AT71" i="2"/>
  <c r="AX26" i="2"/>
  <c r="AX30" i="2"/>
  <c r="AX34" i="2"/>
  <c r="AX38" i="2"/>
  <c r="AX42" i="2"/>
  <c r="AX46" i="2"/>
  <c r="AX50" i="2"/>
  <c r="AX54" i="2"/>
  <c r="AX71" i="2"/>
  <c r="AW71" i="2"/>
  <c r="AZ71" i="2"/>
  <c r="BA71" i="2"/>
  <c r="BB71" i="2"/>
  <c r="BC71" i="2"/>
  <c r="BH26" i="2"/>
  <c r="BH30" i="2"/>
  <c r="BH34" i="2"/>
  <c r="BH38" i="2"/>
  <c r="BH42" i="2"/>
  <c r="BH46" i="2"/>
  <c r="BH50" i="2"/>
  <c r="BH54" i="2"/>
  <c r="BH71" i="2"/>
  <c r="BL26" i="2"/>
  <c r="BL30" i="2"/>
  <c r="BL34" i="2"/>
  <c r="BL38" i="2"/>
  <c r="BL42" i="2"/>
  <c r="BL46" i="2"/>
  <c r="BL50" i="2"/>
  <c r="BL54" i="2"/>
  <c r="BL71" i="2"/>
  <c r="BK71" i="2"/>
  <c r="BN71" i="2"/>
  <c r="BO71" i="2"/>
  <c r="BP71" i="2"/>
  <c r="BQ71" i="2"/>
  <c r="BV26" i="2"/>
  <c r="BV30" i="2"/>
  <c r="BV34" i="2"/>
  <c r="BV38" i="2"/>
  <c r="BV42" i="2"/>
  <c r="BV46" i="2"/>
  <c r="BV50" i="2"/>
  <c r="BV54" i="2"/>
  <c r="BV71" i="2"/>
  <c r="BZ26" i="2"/>
  <c r="BZ30" i="2"/>
  <c r="BZ34" i="2"/>
  <c r="BZ38" i="2"/>
  <c r="BZ42" i="2"/>
  <c r="BZ46" i="2"/>
  <c r="BZ50" i="2"/>
  <c r="BZ54" i="2"/>
  <c r="BZ71" i="2"/>
  <c r="BY71" i="2"/>
  <c r="CB71" i="2"/>
  <c r="CC71" i="2"/>
  <c r="CD71" i="2"/>
  <c r="CE71" i="2"/>
  <c r="R72" i="2"/>
  <c r="V72" i="2"/>
  <c r="Z72" i="2"/>
  <c r="AA72" i="2"/>
  <c r="AF72" i="2"/>
  <c r="AJ72" i="2"/>
  <c r="AN72" i="2"/>
  <c r="AO72" i="2"/>
  <c r="AT72" i="2"/>
  <c r="AX72" i="2"/>
  <c r="BB72" i="2"/>
  <c r="BC72" i="2"/>
  <c r="BH72" i="2"/>
  <c r="BL72" i="2"/>
  <c r="BP72" i="2"/>
  <c r="BQ72" i="2"/>
  <c r="BV72" i="2"/>
  <c r="BZ72" i="2"/>
  <c r="CD72" i="2"/>
  <c r="CE72" i="2"/>
  <c r="F4" i="2"/>
  <c r="J4" i="2"/>
  <c r="M4" i="2"/>
  <c r="F5" i="2"/>
  <c r="J5" i="2"/>
  <c r="M5" i="2"/>
  <c r="F6" i="2"/>
  <c r="J6" i="2"/>
  <c r="M6" i="2"/>
  <c r="F7" i="2"/>
  <c r="J7" i="2"/>
  <c r="M7" i="2"/>
  <c r="P7" i="2"/>
  <c r="T7" i="2"/>
  <c r="X7" i="2"/>
  <c r="AA7" i="2"/>
  <c r="AD7" i="2"/>
  <c r="AH7" i="2"/>
  <c r="AL7" i="2"/>
  <c r="AO7" i="2"/>
  <c r="AR7" i="2"/>
  <c r="AV7" i="2"/>
  <c r="BC7" i="2"/>
  <c r="BF7" i="2"/>
  <c r="BJ7" i="2"/>
  <c r="BN7" i="2"/>
  <c r="BQ7" i="2"/>
  <c r="BT7" i="2"/>
  <c r="BX7" i="2"/>
  <c r="CB7" i="2"/>
  <c r="CE7" i="2"/>
  <c r="D8" i="2"/>
  <c r="F8" i="2"/>
  <c r="H8" i="2"/>
  <c r="J8" i="2"/>
  <c r="M8" i="2"/>
  <c r="T8" i="2"/>
  <c r="X8" i="2"/>
  <c r="AA8" i="2"/>
  <c r="AH8" i="2"/>
  <c r="AL8" i="2"/>
  <c r="AO8" i="2"/>
  <c r="AV8" i="2"/>
  <c r="AZ8" i="2"/>
  <c r="BC8" i="2"/>
  <c r="BJ8" i="2"/>
  <c r="BN8" i="2"/>
  <c r="BQ8" i="2"/>
  <c r="BX8" i="2"/>
  <c r="CB8" i="2"/>
  <c r="CE8" i="2"/>
  <c r="D9" i="2"/>
  <c r="F9" i="2"/>
  <c r="H9" i="2"/>
  <c r="J9" i="2"/>
  <c r="M9" i="2"/>
  <c r="T9" i="2"/>
  <c r="X9" i="2"/>
  <c r="AA9" i="2"/>
  <c r="AH9" i="2"/>
  <c r="AL9" i="2"/>
  <c r="AO9" i="2"/>
  <c r="AV9" i="2"/>
  <c r="BC9" i="2"/>
  <c r="BJ9" i="2"/>
  <c r="BN9" i="2"/>
  <c r="BQ9" i="2"/>
  <c r="BX9" i="2"/>
  <c r="CB9" i="2"/>
  <c r="CE9" i="2"/>
  <c r="D10" i="2"/>
  <c r="F10" i="2"/>
  <c r="H10" i="2"/>
  <c r="J10" i="2"/>
  <c r="M10" i="2"/>
  <c r="T10" i="2"/>
  <c r="X10" i="2"/>
  <c r="AA10" i="2"/>
  <c r="AH10" i="2"/>
  <c r="AL10" i="2"/>
  <c r="AO10" i="2"/>
  <c r="AV10" i="2"/>
  <c r="AZ10" i="2"/>
  <c r="BC10" i="2"/>
  <c r="BJ10" i="2"/>
  <c r="BN10" i="2"/>
  <c r="BQ10" i="2"/>
  <c r="BX10" i="2"/>
  <c r="CE10" i="2"/>
  <c r="D11" i="2"/>
  <c r="F11" i="2"/>
  <c r="H11" i="2"/>
  <c r="J11" i="2"/>
  <c r="M11" i="2"/>
  <c r="P11" i="2"/>
  <c r="T11" i="2"/>
  <c r="X11" i="2"/>
  <c r="AA11" i="2"/>
  <c r="AD11" i="2"/>
  <c r="AH11" i="2"/>
  <c r="AL11" i="2"/>
  <c r="AO11" i="2"/>
  <c r="AR11" i="2"/>
  <c r="AV11" i="2"/>
  <c r="AZ11" i="2"/>
  <c r="BC11" i="2"/>
  <c r="BF11" i="2"/>
  <c r="BJ11" i="2"/>
  <c r="BN11" i="2"/>
  <c r="BQ11" i="2"/>
  <c r="BT11" i="2"/>
  <c r="BX11" i="2"/>
  <c r="CB11" i="2"/>
  <c r="CE11" i="2"/>
  <c r="D12" i="2"/>
  <c r="F12" i="2"/>
  <c r="H12" i="2"/>
  <c r="J12" i="2"/>
  <c r="M12" i="2"/>
  <c r="T12" i="2"/>
  <c r="X12" i="2"/>
  <c r="AA12" i="2"/>
  <c r="AH12" i="2"/>
  <c r="AL12" i="2"/>
  <c r="AO12" i="2"/>
  <c r="AV12" i="2"/>
  <c r="AZ12" i="2"/>
  <c r="BC12" i="2"/>
  <c r="BJ12" i="2"/>
  <c r="BN12" i="2"/>
  <c r="BQ12" i="2"/>
  <c r="BX12" i="2"/>
  <c r="CB12" i="2"/>
  <c r="CE12" i="2"/>
  <c r="D13" i="2"/>
  <c r="F13" i="2"/>
  <c r="H13" i="2"/>
  <c r="J13" i="2"/>
  <c r="M13" i="2"/>
  <c r="T13" i="2"/>
  <c r="X13" i="2"/>
  <c r="AA13" i="2"/>
  <c r="AH13" i="2"/>
  <c r="AL13" i="2"/>
  <c r="AO13" i="2"/>
  <c r="AV13" i="2"/>
  <c r="AZ13" i="2"/>
  <c r="BC13" i="2"/>
  <c r="BJ13" i="2"/>
  <c r="BN13" i="2"/>
  <c r="BQ13" i="2"/>
  <c r="BX13" i="2"/>
  <c r="CB13" i="2"/>
  <c r="CE13" i="2"/>
  <c r="D14" i="2"/>
  <c r="F14" i="2"/>
  <c r="H14" i="2"/>
  <c r="J14" i="2"/>
  <c r="M14" i="2"/>
  <c r="T14" i="2"/>
  <c r="X14" i="2"/>
  <c r="AA14" i="2"/>
  <c r="AH14" i="2"/>
  <c r="AL14" i="2"/>
  <c r="AO14" i="2"/>
  <c r="AV14" i="2"/>
  <c r="AZ14" i="2"/>
  <c r="BC14" i="2"/>
  <c r="BJ14" i="2"/>
  <c r="BN14" i="2"/>
  <c r="BQ14" i="2"/>
  <c r="BX14" i="2"/>
  <c r="CB14" i="2"/>
  <c r="CE14" i="2"/>
  <c r="D15" i="2"/>
  <c r="F15" i="2"/>
  <c r="H15" i="2"/>
  <c r="J15" i="2"/>
  <c r="M15" i="2"/>
  <c r="P15" i="2"/>
  <c r="T15" i="2"/>
  <c r="X15" i="2"/>
  <c r="AA15" i="2"/>
  <c r="AD15" i="2"/>
  <c r="AH15" i="2"/>
  <c r="AL15" i="2"/>
  <c r="AO15" i="2"/>
  <c r="AR15" i="2"/>
  <c r="AV15" i="2"/>
  <c r="AZ15" i="2"/>
  <c r="BC15" i="2"/>
  <c r="BF15" i="2"/>
  <c r="BJ15" i="2"/>
  <c r="BN15" i="2"/>
  <c r="BQ15" i="2"/>
  <c r="BT15" i="2"/>
  <c r="BX15" i="2"/>
  <c r="CB15" i="2"/>
  <c r="CE15" i="2"/>
  <c r="D16" i="2"/>
  <c r="F16" i="2"/>
  <c r="H16" i="2"/>
  <c r="J16" i="2"/>
  <c r="M16" i="2"/>
  <c r="T16" i="2"/>
  <c r="X16" i="2"/>
  <c r="AA16" i="2"/>
  <c r="AH16" i="2"/>
  <c r="AL16" i="2"/>
  <c r="AO16" i="2"/>
  <c r="AV16" i="2"/>
  <c r="AZ16" i="2"/>
  <c r="BC16" i="2"/>
  <c r="BJ16" i="2"/>
  <c r="BN16" i="2"/>
  <c r="BQ16" i="2"/>
  <c r="BX16" i="2"/>
  <c r="CE16" i="2"/>
  <c r="J17" i="2"/>
  <c r="T17" i="2"/>
  <c r="X17" i="2"/>
  <c r="AA17" i="2"/>
  <c r="AH17" i="2"/>
  <c r="AL17" i="2"/>
  <c r="AO17" i="2"/>
  <c r="AV17" i="2"/>
  <c r="AZ17" i="2"/>
  <c r="BC17" i="2"/>
  <c r="BJ17" i="2"/>
  <c r="BN17" i="2"/>
  <c r="BQ17" i="2"/>
  <c r="BX17" i="2"/>
  <c r="CB17" i="2"/>
  <c r="CE17" i="2"/>
  <c r="D18" i="2"/>
  <c r="F18" i="2"/>
  <c r="H18" i="2"/>
  <c r="J18" i="2"/>
  <c r="M18" i="2"/>
  <c r="T18" i="2"/>
  <c r="X18" i="2"/>
  <c r="AA18" i="2"/>
  <c r="AH18" i="2"/>
  <c r="AL18" i="2"/>
  <c r="AO18" i="2"/>
  <c r="AV18" i="2"/>
  <c r="AZ18" i="2"/>
  <c r="BC18" i="2"/>
  <c r="BJ18" i="2"/>
  <c r="BN18" i="2"/>
  <c r="BQ18" i="2"/>
  <c r="BX18" i="2"/>
  <c r="CE18" i="2"/>
  <c r="D19" i="2"/>
  <c r="F19" i="2"/>
  <c r="H19" i="2"/>
  <c r="J19" i="2"/>
  <c r="M19" i="2"/>
  <c r="P19" i="2"/>
  <c r="T19" i="2"/>
  <c r="X19" i="2"/>
  <c r="Y19" i="2"/>
  <c r="AA19" i="2"/>
  <c r="AD19" i="2"/>
  <c r="AH19" i="2"/>
  <c r="AL19" i="2"/>
  <c r="AM19" i="2"/>
  <c r="AO19" i="2"/>
  <c r="AR19" i="2"/>
  <c r="AV19" i="2"/>
  <c r="AZ19" i="2"/>
  <c r="BA19" i="2"/>
  <c r="BC19" i="2"/>
  <c r="BF19" i="2"/>
  <c r="BJ19" i="2"/>
  <c r="BN19" i="2"/>
  <c r="BO19" i="2"/>
  <c r="BQ19" i="2"/>
  <c r="BT19" i="2"/>
  <c r="BX19" i="2"/>
  <c r="CB19" i="2"/>
  <c r="CC19" i="2"/>
  <c r="CE19" i="2"/>
  <c r="D20" i="2"/>
  <c r="F20" i="2"/>
  <c r="H20" i="2"/>
  <c r="J20" i="2"/>
  <c r="M20" i="2"/>
  <c r="T20" i="2"/>
  <c r="X20" i="2"/>
  <c r="Y20" i="2"/>
  <c r="AA20" i="2"/>
  <c r="AH20" i="2"/>
  <c r="AL20" i="2"/>
  <c r="AM20" i="2"/>
  <c r="AO20" i="2"/>
  <c r="AV20" i="2"/>
  <c r="AZ20" i="2"/>
  <c r="BA20" i="2"/>
  <c r="BC20" i="2"/>
  <c r="BJ20" i="2"/>
  <c r="BQ20" i="2"/>
  <c r="BX20" i="2"/>
  <c r="CB20" i="2"/>
  <c r="CC20" i="2"/>
  <c r="CE20" i="2"/>
  <c r="D21" i="2"/>
  <c r="F21" i="2"/>
  <c r="H21" i="2"/>
  <c r="J21" i="2"/>
  <c r="M21" i="2"/>
  <c r="T21" i="2"/>
  <c r="AA21" i="2"/>
  <c r="AH21" i="2"/>
  <c r="AL21" i="2"/>
  <c r="AM21" i="2"/>
  <c r="AO21" i="2"/>
  <c r="AV21" i="2"/>
  <c r="AZ21" i="2"/>
  <c r="BA21" i="2"/>
  <c r="BC21" i="2"/>
  <c r="BJ21" i="2"/>
  <c r="BN21" i="2"/>
  <c r="BO21" i="2"/>
  <c r="BQ21" i="2"/>
  <c r="BX21" i="2"/>
  <c r="CB21" i="2"/>
  <c r="CC21" i="2"/>
  <c r="CE21" i="2"/>
  <c r="D22" i="2"/>
  <c r="F22" i="2"/>
  <c r="H22" i="2"/>
  <c r="J22" i="2"/>
  <c r="M22" i="2"/>
  <c r="T22" i="2"/>
  <c r="AA22" i="2"/>
  <c r="AH22" i="2"/>
  <c r="AL22" i="2"/>
  <c r="AM22" i="2"/>
  <c r="AO22" i="2"/>
  <c r="AV22" i="2"/>
  <c r="AZ22" i="2"/>
  <c r="BA22" i="2"/>
  <c r="BC22" i="2"/>
  <c r="BJ22" i="2"/>
  <c r="BN22" i="2"/>
  <c r="BO22" i="2"/>
  <c r="BQ22" i="2"/>
  <c r="BX22" i="2"/>
  <c r="CB22" i="2"/>
  <c r="CC22" i="2"/>
  <c r="CE22" i="2"/>
  <c r="D23" i="2"/>
  <c r="F23" i="2"/>
  <c r="H23" i="2"/>
  <c r="J23" i="2"/>
  <c r="M23" i="2"/>
  <c r="P23" i="2"/>
  <c r="T23" i="2"/>
  <c r="AA23" i="2"/>
  <c r="AD23" i="2"/>
  <c r="AH23" i="2"/>
  <c r="AL23" i="2"/>
  <c r="AM23" i="2"/>
  <c r="AO23" i="2"/>
  <c r="AR23" i="2"/>
  <c r="AV23" i="2"/>
  <c r="AZ23" i="2"/>
  <c r="BA23" i="2"/>
  <c r="BC23" i="2"/>
  <c r="BF23" i="2"/>
  <c r="BJ23" i="2"/>
  <c r="BN23" i="2"/>
  <c r="BO23" i="2"/>
  <c r="BQ23" i="2"/>
  <c r="BT23" i="2"/>
  <c r="BX23" i="2"/>
  <c r="CB23" i="2"/>
  <c r="CC23" i="2"/>
  <c r="CE23" i="2"/>
  <c r="D24" i="2"/>
  <c r="F24" i="2"/>
  <c r="H24" i="2"/>
  <c r="J24" i="2"/>
  <c r="M24" i="2"/>
  <c r="T24" i="2"/>
  <c r="X24" i="2"/>
  <c r="Y24" i="2"/>
  <c r="AA24" i="2"/>
  <c r="AH24" i="2"/>
  <c r="AL24" i="2"/>
  <c r="AM24" i="2"/>
  <c r="AO24" i="2"/>
  <c r="AV24" i="2"/>
  <c r="AZ24" i="2"/>
  <c r="BA24" i="2"/>
  <c r="BC24" i="2"/>
  <c r="BJ24" i="2"/>
  <c r="BN24" i="2"/>
  <c r="BO24" i="2"/>
  <c r="BQ24" i="2"/>
  <c r="BX24" i="2"/>
  <c r="CE24" i="2"/>
  <c r="D25" i="2"/>
  <c r="F25" i="2"/>
  <c r="H25" i="2"/>
  <c r="J25" i="2"/>
  <c r="M25" i="2"/>
  <c r="T25" i="2"/>
  <c r="X25" i="2"/>
  <c r="Y25" i="2"/>
  <c r="AA25" i="2"/>
  <c r="AH25" i="2"/>
  <c r="AL25" i="2"/>
  <c r="AM25" i="2"/>
  <c r="AO25" i="2"/>
  <c r="AV25" i="2"/>
  <c r="AZ25" i="2"/>
  <c r="BA25" i="2"/>
  <c r="BC25" i="2"/>
  <c r="BJ25" i="2"/>
  <c r="BN25" i="2"/>
  <c r="BO25" i="2"/>
  <c r="BQ25" i="2"/>
  <c r="BX25" i="2"/>
  <c r="CB25" i="2"/>
  <c r="CC25" i="2"/>
  <c r="CE25" i="2"/>
  <c r="D26" i="2"/>
  <c r="F26" i="2"/>
  <c r="H26" i="2"/>
  <c r="J26" i="2"/>
  <c r="M26" i="2"/>
  <c r="T26" i="2"/>
  <c r="X26" i="2"/>
  <c r="Y26" i="2"/>
  <c r="AA26" i="2"/>
  <c r="AH26" i="2"/>
  <c r="AL26" i="2"/>
  <c r="AM26" i="2"/>
  <c r="AO26" i="2"/>
  <c r="AV26" i="2"/>
  <c r="AZ26" i="2"/>
  <c r="BA26" i="2"/>
  <c r="BC26" i="2"/>
  <c r="BJ26" i="2"/>
  <c r="BN26" i="2"/>
  <c r="BO26" i="2"/>
  <c r="BQ26" i="2"/>
  <c r="BX26" i="2"/>
  <c r="CB26" i="2"/>
  <c r="CC26" i="2"/>
  <c r="CE26" i="2"/>
  <c r="D27" i="2"/>
  <c r="F27" i="2"/>
  <c r="H27" i="2"/>
  <c r="M27" i="2"/>
  <c r="P27" i="2"/>
  <c r="T27" i="2"/>
  <c r="X27" i="2"/>
  <c r="Y27" i="2"/>
  <c r="AA27" i="2"/>
  <c r="AD27" i="2"/>
  <c r="AH27" i="2"/>
  <c r="AL27" i="2"/>
  <c r="AM27" i="2"/>
  <c r="AO27" i="2"/>
  <c r="AR27" i="2"/>
  <c r="AV27" i="2"/>
  <c r="AZ27" i="2"/>
  <c r="BA27" i="2"/>
  <c r="BC27" i="2"/>
  <c r="BF27" i="2"/>
  <c r="BJ27" i="2"/>
  <c r="BN27" i="2"/>
  <c r="BO27" i="2"/>
  <c r="BQ27" i="2"/>
  <c r="BT27" i="2"/>
  <c r="BX27" i="2"/>
  <c r="CC27" i="2"/>
  <c r="CE27" i="2"/>
  <c r="D28" i="2"/>
  <c r="F28" i="2"/>
  <c r="H28" i="2"/>
  <c r="M28" i="2"/>
  <c r="T28" i="2"/>
  <c r="X28" i="2"/>
  <c r="Y28" i="2"/>
  <c r="AA28" i="2"/>
  <c r="AH28" i="2"/>
  <c r="AL28" i="2"/>
  <c r="AM28" i="2"/>
  <c r="AO28" i="2"/>
  <c r="AV28" i="2"/>
  <c r="AZ28" i="2"/>
  <c r="BA28" i="2"/>
  <c r="BC28" i="2"/>
  <c r="BJ28" i="2"/>
  <c r="BN28" i="2"/>
  <c r="BO28" i="2"/>
  <c r="BQ28" i="2"/>
  <c r="BX28" i="2"/>
  <c r="CB28" i="2"/>
  <c r="CC28" i="2"/>
  <c r="CE28" i="2"/>
  <c r="D29" i="2"/>
  <c r="F29" i="2"/>
  <c r="H29" i="2"/>
  <c r="M29" i="2"/>
  <c r="T29" i="2"/>
  <c r="AA29" i="2"/>
  <c r="AH29" i="2"/>
  <c r="AL29" i="2"/>
  <c r="AM29" i="2"/>
  <c r="AO29" i="2"/>
  <c r="AV29" i="2"/>
  <c r="AZ29" i="2"/>
  <c r="BA29" i="2"/>
  <c r="BC29" i="2"/>
  <c r="BJ29" i="2"/>
  <c r="BN29" i="2"/>
  <c r="BO29" i="2"/>
  <c r="BQ29" i="2"/>
  <c r="BX29" i="2"/>
  <c r="CB29" i="2"/>
  <c r="CC29" i="2"/>
  <c r="CE29" i="2"/>
  <c r="D30" i="2"/>
  <c r="F30" i="2"/>
  <c r="H30" i="2"/>
  <c r="M30" i="2"/>
  <c r="T30" i="2"/>
  <c r="X30" i="2"/>
  <c r="Y30" i="2"/>
  <c r="AA30" i="2"/>
  <c r="AH30" i="2"/>
  <c r="AL30" i="2"/>
  <c r="AM30" i="2"/>
  <c r="AO30" i="2"/>
  <c r="AV30" i="2"/>
  <c r="AZ30" i="2"/>
  <c r="BA30" i="2"/>
  <c r="BC30" i="2"/>
  <c r="BJ30" i="2"/>
  <c r="BN30" i="2"/>
  <c r="BO30" i="2"/>
  <c r="BQ30" i="2"/>
  <c r="BX30" i="2"/>
  <c r="CB30" i="2"/>
  <c r="CC30" i="2"/>
  <c r="CE30" i="2"/>
  <c r="D31" i="2"/>
  <c r="F31" i="2"/>
  <c r="H31" i="2"/>
  <c r="M31" i="2"/>
  <c r="P31" i="2"/>
  <c r="T31" i="2"/>
  <c r="X31" i="2"/>
  <c r="Y31" i="2"/>
  <c r="AA31" i="2"/>
  <c r="AD31" i="2"/>
  <c r="AH31" i="2"/>
  <c r="AL31" i="2"/>
  <c r="AM31" i="2"/>
  <c r="AO31" i="2"/>
  <c r="AR31" i="2"/>
  <c r="AV31" i="2"/>
  <c r="AZ31" i="2"/>
  <c r="BA31" i="2"/>
  <c r="BC31" i="2"/>
  <c r="BF31" i="2"/>
  <c r="BJ31" i="2"/>
  <c r="BN31" i="2"/>
  <c r="BO31" i="2"/>
  <c r="BQ31" i="2"/>
  <c r="BT31" i="2"/>
  <c r="BX31" i="2"/>
  <c r="CB31" i="2"/>
  <c r="CC31" i="2"/>
  <c r="CE31" i="2"/>
  <c r="D32" i="2"/>
  <c r="F32" i="2"/>
  <c r="H32" i="2"/>
  <c r="M32" i="2"/>
  <c r="T32" i="2"/>
  <c r="X32" i="2"/>
  <c r="Y32" i="2"/>
  <c r="AA32" i="2"/>
  <c r="AH32" i="2"/>
  <c r="AL32" i="2"/>
  <c r="AM32" i="2"/>
  <c r="AO32" i="2"/>
  <c r="AV32" i="2"/>
  <c r="AZ32" i="2"/>
  <c r="BA32" i="2"/>
  <c r="BC32" i="2"/>
  <c r="BJ32" i="2"/>
  <c r="BN32" i="2"/>
  <c r="BO32" i="2"/>
  <c r="BQ32" i="2"/>
  <c r="BX32" i="2"/>
  <c r="CB32" i="2"/>
  <c r="CC32" i="2"/>
  <c r="CE32" i="2"/>
  <c r="D33" i="2"/>
  <c r="F33" i="2"/>
  <c r="H33" i="2"/>
  <c r="M33" i="2"/>
  <c r="T33" i="2"/>
  <c r="X33" i="2"/>
  <c r="Y33" i="2"/>
  <c r="AA33" i="2"/>
  <c r="AH33" i="2"/>
  <c r="AL33" i="2"/>
  <c r="AM33" i="2"/>
  <c r="AO33" i="2"/>
  <c r="AV33" i="2"/>
  <c r="AZ33" i="2"/>
  <c r="BA33" i="2"/>
  <c r="BC33" i="2"/>
  <c r="BJ33" i="2"/>
  <c r="BN33" i="2"/>
  <c r="BO33" i="2"/>
  <c r="BQ33" i="2"/>
  <c r="BX33" i="2"/>
  <c r="CB33" i="2"/>
  <c r="CC33" i="2"/>
  <c r="CE33" i="2"/>
  <c r="D34" i="2"/>
  <c r="F34" i="2"/>
  <c r="H34" i="2"/>
  <c r="M34" i="2"/>
  <c r="T34" i="2"/>
  <c r="Y34" i="2"/>
  <c r="AA34" i="2"/>
  <c r="AH34" i="2"/>
  <c r="AL34" i="2"/>
  <c r="AM34" i="2"/>
  <c r="AO34" i="2"/>
  <c r="AV34" i="2"/>
  <c r="AZ34" i="2"/>
  <c r="BA34" i="2"/>
  <c r="BC34" i="2"/>
  <c r="BJ34" i="2"/>
  <c r="BN34" i="2"/>
  <c r="BO34" i="2"/>
  <c r="BQ34" i="2"/>
  <c r="BX34" i="2"/>
  <c r="CB34" i="2"/>
  <c r="CC34" i="2"/>
  <c r="CE34" i="2"/>
  <c r="D35" i="2"/>
  <c r="F35" i="2"/>
  <c r="H35" i="2"/>
  <c r="M35" i="2"/>
  <c r="P35" i="2"/>
  <c r="T35" i="2"/>
  <c r="X35" i="2"/>
  <c r="AA35" i="2"/>
  <c r="AD35" i="2"/>
  <c r="AH35" i="2"/>
  <c r="AL35" i="2"/>
  <c r="AO35" i="2"/>
  <c r="AR35" i="2"/>
  <c r="AV35" i="2"/>
  <c r="AZ35" i="2"/>
  <c r="BA35" i="2"/>
  <c r="BC35" i="2"/>
  <c r="BF35" i="2"/>
  <c r="BJ35" i="2"/>
  <c r="BN35" i="2"/>
  <c r="BO35" i="2"/>
  <c r="BQ35" i="2"/>
  <c r="BT35" i="2"/>
  <c r="BX35" i="2"/>
  <c r="CB35" i="2"/>
  <c r="CC35" i="2"/>
  <c r="CE35" i="2"/>
  <c r="D36" i="2"/>
  <c r="F36" i="2"/>
  <c r="H36" i="2"/>
  <c r="M36" i="2"/>
  <c r="T36" i="2"/>
  <c r="X36" i="2"/>
  <c r="AA36" i="2"/>
  <c r="AH36" i="2"/>
  <c r="AO36" i="2"/>
  <c r="AV36" i="2"/>
  <c r="AZ36" i="2"/>
  <c r="BA36" i="2"/>
  <c r="BC36" i="2"/>
  <c r="BJ36" i="2"/>
  <c r="BN36" i="2"/>
  <c r="BO36" i="2"/>
  <c r="BQ36" i="2"/>
  <c r="BX36" i="2"/>
  <c r="CB36" i="2"/>
  <c r="CC36" i="2"/>
  <c r="CE36" i="2"/>
  <c r="D37" i="2"/>
  <c r="F37" i="2"/>
  <c r="H37" i="2"/>
  <c r="M37" i="2"/>
  <c r="T37" i="2"/>
  <c r="X37" i="2"/>
  <c r="AA37" i="2"/>
  <c r="AH37" i="2"/>
  <c r="AL37" i="2"/>
  <c r="AO37" i="2"/>
  <c r="AV37" i="2"/>
  <c r="AZ37" i="2"/>
  <c r="BA37" i="2"/>
  <c r="BC37" i="2"/>
  <c r="BJ37" i="2"/>
  <c r="BN37" i="2"/>
  <c r="BO37" i="2"/>
  <c r="BQ37" i="2"/>
  <c r="BX37" i="2"/>
  <c r="CB37" i="2"/>
  <c r="CC37" i="2"/>
  <c r="CE37" i="2"/>
  <c r="D38" i="2"/>
  <c r="F38" i="2"/>
  <c r="H38" i="2"/>
  <c r="M38" i="2"/>
  <c r="T38" i="2"/>
  <c r="X38" i="2"/>
  <c r="AA38" i="2"/>
  <c r="AH38" i="2"/>
  <c r="AL38" i="2"/>
  <c r="AO38" i="2"/>
  <c r="AV38" i="2"/>
  <c r="AZ38" i="2"/>
  <c r="BA38" i="2"/>
  <c r="BC38" i="2"/>
  <c r="BJ38" i="2"/>
  <c r="BN38" i="2"/>
  <c r="BO38" i="2"/>
  <c r="BQ38" i="2"/>
  <c r="BX38" i="2"/>
  <c r="CB38" i="2"/>
  <c r="CC38" i="2"/>
  <c r="CE38" i="2"/>
  <c r="D39" i="2"/>
  <c r="F39" i="2"/>
  <c r="H39" i="2"/>
  <c r="M39" i="2"/>
  <c r="P39" i="2"/>
  <c r="T39" i="2"/>
  <c r="X39" i="2"/>
  <c r="Y39" i="2"/>
  <c r="AA39" i="2"/>
  <c r="AD39" i="2"/>
  <c r="AH39" i="2"/>
  <c r="AL39" i="2"/>
  <c r="AM39" i="2"/>
  <c r="AO39" i="2"/>
  <c r="AR39" i="2"/>
  <c r="AV39" i="2"/>
  <c r="AZ39" i="2"/>
  <c r="BA39" i="2"/>
  <c r="BC39" i="2"/>
  <c r="BF39" i="2"/>
  <c r="BJ39" i="2"/>
  <c r="BN39" i="2"/>
  <c r="BO39" i="2"/>
  <c r="BQ39" i="2"/>
  <c r="BT39" i="2"/>
  <c r="BX39" i="2"/>
  <c r="CB39" i="2"/>
  <c r="CC39" i="2"/>
  <c r="CE39" i="2"/>
  <c r="D40" i="2"/>
  <c r="F40" i="2"/>
  <c r="H40" i="2"/>
  <c r="M40" i="2"/>
  <c r="T40" i="2"/>
  <c r="X40" i="2"/>
  <c r="Y40" i="2"/>
  <c r="AA40" i="2"/>
  <c r="AH40" i="2"/>
  <c r="AL40" i="2"/>
  <c r="AM40" i="2"/>
  <c r="AO40" i="2"/>
  <c r="AV40" i="2"/>
  <c r="AZ40" i="2"/>
  <c r="BA40" i="2"/>
  <c r="BC40" i="2"/>
  <c r="BJ40" i="2"/>
  <c r="BN40" i="2"/>
  <c r="BO40" i="2"/>
  <c r="BQ40" i="2"/>
  <c r="BX40" i="2"/>
  <c r="CB40" i="2"/>
  <c r="CC40" i="2"/>
  <c r="CE40" i="2"/>
  <c r="D41" i="2"/>
  <c r="F41" i="2"/>
  <c r="H41" i="2"/>
  <c r="M41" i="2"/>
  <c r="T41" i="2"/>
  <c r="X41" i="2"/>
  <c r="Y41" i="2"/>
  <c r="AA41" i="2"/>
  <c r="AH41" i="2"/>
  <c r="AL41" i="2"/>
  <c r="AM41" i="2"/>
  <c r="AO41" i="2"/>
  <c r="AV41" i="2"/>
  <c r="AZ41" i="2"/>
  <c r="BA41" i="2"/>
  <c r="BC41" i="2"/>
  <c r="BJ41" i="2"/>
  <c r="BN41" i="2"/>
  <c r="BO41" i="2"/>
  <c r="BQ41" i="2"/>
  <c r="BX41" i="2"/>
  <c r="CB41" i="2"/>
  <c r="CC41" i="2"/>
  <c r="CE41" i="2"/>
  <c r="D42" i="2"/>
  <c r="F42" i="2"/>
  <c r="H42" i="2"/>
  <c r="M42" i="2"/>
  <c r="T42" i="2"/>
  <c r="X42" i="2"/>
  <c r="Y42" i="2"/>
  <c r="AA42" i="2"/>
  <c r="AH42" i="2"/>
  <c r="AL42" i="2"/>
  <c r="AM42" i="2"/>
  <c r="AO42" i="2"/>
  <c r="AV42" i="2"/>
  <c r="AZ42" i="2"/>
  <c r="BA42" i="2"/>
  <c r="BC42" i="2"/>
  <c r="BJ42" i="2"/>
  <c r="BN42" i="2"/>
  <c r="BO42" i="2"/>
  <c r="BQ42" i="2"/>
  <c r="BX42" i="2"/>
  <c r="CB42" i="2"/>
  <c r="CC42" i="2"/>
  <c r="CE42" i="2"/>
  <c r="D43" i="2"/>
  <c r="F43" i="2"/>
  <c r="H43" i="2"/>
  <c r="M43" i="2"/>
  <c r="P43" i="2"/>
  <c r="T43" i="2"/>
  <c r="X43" i="2"/>
  <c r="Y43" i="2"/>
  <c r="AA43" i="2"/>
  <c r="AD43" i="2"/>
  <c r="AH43" i="2"/>
  <c r="AL43" i="2"/>
  <c r="AM43" i="2"/>
  <c r="AO43" i="2"/>
  <c r="AR43" i="2"/>
  <c r="AV43" i="2"/>
  <c r="AZ43" i="2"/>
  <c r="BA43" i="2"/>
  <c r="BC43" i="2"/>
  <c r="BF43" i="2"/>
  <c r="BJ43" i="2"/>
  <c r="BN43" i="2"/>
  <c r="BO43" i="2"/>
  <c r="BQ43" i="2"/>
  <c r="BT43" i="2"/>
  <c r="BX43" i="2"/>
  <c r="CB43" i="2"/>
  <c r="CC43" i="2"/>
  <c r="CE43" i="2"/>
  <c r="D44" i="2"/>
  <c r="F44" i="2"/>
  <c r="H44" i="2"/>
  <c r="M44" i="2"/>
  <c r="T44" i="2"/>
  <c r="X44" i="2"/>
  <c r="AA44" i="2"/>
  <c r="AH44" i="2"/>
  <c r="AL44" i="2"/>
  <c r="AO44" i="2"/>
  <c r="AV44" i="2"/>
  <c r="AZ44" i="2"/>
  <c r="BC44" i="2"/>
  <c r="BJ44" i="2"/>
  <c r="BN44" i="2"/>
  <c r="BQ44" i="2"/>
  <c r="BX44" i="2"/>
  <c r="CB44" i="2"/>
  <c r="CE44" i="2"/>
  <c r="D45" i="2"/>
  <c r="F45" i="2"/>
  <c r="H45" i="2"/>
  <c r="M45" i="2"/>
  <c r="T45" i="2"/>
  <c r="X45" i="2"/>
  <c r="Y45" i="2"/>
  <c r="AA45" i="2"/>
  <c r="AH45" i="2"/>
  <c r="AL45" i="2"/>
  <c r="AM45" i="2"/>
  <c r="AO45" i="2"/>
  <c r="AV45" i="2"/>
  <c r="AZ45" i="2"/>
  <c r="BA45" i="2"/>
  <c r="BC45" i="2"/>
  <c r="BJ45" i="2"/>
  <c r="BN45" i="2"/>
  <c r="BO45" i="2"/>
  <c r="BQ45" i="2"/>
  <c r="BX45" i="2"/>
  <c r="CB45" i="2"/>
  <c r="CC45" i="2"/>
  <c r="CE45" i="2"/>
  <c r="D46" i="2"/>
  <c r="F46" i="2"/>
  <c r="H46" i="2"/>
  <c r="M46" i="2"/>
  <c r="T46" i="2"/>
  <c r="X46" i="2"/>
  <c r="Y46" i="2"/>
  <c r="AA46" i="2"/>
  <c r="AH46" i="2"/>
  <c r="AL46" i="2"/>
  <c r="AM46" i="2"/>
  <c r="AO46" i="2"/>
  <c r="AV46" i="2"/>
  <c r="AZ46" i="2"/>
  <c r="BA46" i="2"/>
  <c r="BC46" i="2"/>
  <c r="BJ46" i="2"/>
  <c r="BN46" i="2"/>
  <c r="BO46" i="2"/>
  <c r="BQ46" i="2"/>
  <c r="BX46" i="2"/>
  <c r="CB46" i="2"/>
  <c r="CC46" i="2"/>
  <c r="CE46" i="2"/>
  <c r="D47" i="2"/>
  <c r="F47" i="2"/>
  <c r="H47" i="2"/>
  <c r="M47" i="2"/>
  <c r="P47" i="2"/>
  <c r="T47" i="2"/>
  <c r="X47" i="2"/>
  <c r="Y47" i="2"/>
  <c r="AA47" i="2"/>
  <c r="AD47" i="2"/>
  <c r="AH47" i="2"/>
  <c r="AL47" i="2"/>
  <c r="AM47" i="2"/>
  <c r="AO47" i="2"/>
  <c r="AR47" i="2"/>
  <c r="AV47" i="2"/>
  <c r="AZ47" i="2"/>
  <c r="BA47" i="2"/>
  <c r="BC47" i="2"/>
  <c r="BF47" i="2"/>
  <c r="BJ47" i="2"/>
  <c r="BN47" i="2"/>
  <c r="BO47" i="2"/>
  <c r="BQ47" i="2"/>
  <c r="BT47" i="2"/>
  <c r="BX47" i="2"/>
  <c r="CB47" i="2"/>
  <c r="CC47" i="2"/>
  <c r="CE47" i="2"/>
  <c r="D48" i="2"/>
  <c r="F48" i="2"/>
  <c r="H48" i="2"/>
  <c r="M48" i="2"/>
  <c r="T48" i="2"/>
  <c r="X48" i="2"/>
  <c r="Y48" i="2"/>
  <c r="AA48" i="2"/>
  <c r="AH48" i="2"/>
  <c r="AL48" i="2"/>
  <c r="AM48" i="2"/>
  <c r="AO48" i="2"/>
  <c r="AV48" i="2"/>
  <c r="AZ48" i="2"/>
  <c r="BA48" i="2"/>
  <c r="BC48" i="2"/>
  <c r="BJ48" i="2"/>
  <c r="BN48" i="2"/>
  <c r="BO48" i="2"/>
  <c r="BQ48" i="2"/>
  <c r="BX48" i="2"/>
  <c r="CB48" i="2"/>
  <c r="CC48" i="2"/>
  <c r="CE48" i="2"/>
  <c r="D49" i="2"/>
  <c r="F49" i="2"/>
  <c r="H49" i="2"/>
  <c r="M49" i="2"/>
  <c r="T49" i="2"/>
  <c r="X49" i="2"/>
  <c r="Y49" i="2"/>
  <c r="AA49" i="2"/>
  <c r="AH49" i="2"/>
  <c r="AL49" i="2"/>
  <c r="AM49" i="2"/>
  <c r="AO49" i="2"/>
  <c r="AV49" i="2"/>
  <c r="AZ49" i="2"/>
  <c r="BA49" i="2"/>
  <c r="BC49" i="2"/>
  <c r="BJ49" i="2"/>
  <c r="BN49" i="2"/>
  <c r="BO49" i="2"/>
  <c r="BQ49" i="2"/>
  <c r="BX49" i="2"/>
  <c r="CB49" i="2"/>
  <c r="CC49" i="2"/>
  <c r="CE49" i="2"/>
  <c r="D50" i="2"/>
  <c r="F50" i="2"/>
  <c r="H50" i="2"/>
  <c r="M50" i="2"/>
  <c r="T50" i="2"/>
  <c r="X50" i="2"/>
  <c r="Y50" i="2"/>
  <c r="AA50" i="2"/>
  <c r="AH50" i="2"/>
  <c r="AL50" i="2"/>
  <c r="AM50" i="2"/>
  <c r="AO50" i="2"/>
  <c r="AV50" i="2"/>
  <c r="AZ50" i="2"/>
  <c r="BA50" i="2"/>
  <c r="BC50" i="2"/>
  <c r="BJ50" i="2"/>
  <c r="BN50" i="2"/>
  <c r="BO50" i="2"/>
  <c r="BQ50" i="2"/>
  <c r="BX50" i="2"/>
  <c r="CB50" i="2"/>
  <c r="CC50" i="2"/>
  <c r="CE50" i="2"/>
  <c r="D51" i="2"/>
  <c r="F51" i="2"/>
  <c r="H51" i="2"/>
  <c r="M51" i="2"/>
  <c r="P51" i="2"/>
  <c r="T51" i="2"/>
  <c r="X51" i="2"/>
  <c r="Y51" i="2"/>
  <c r="AA51" i="2"/>
  <c r="AD51" i="2"/>
  <c r="AH51" i="2"/>
  <c r="AL51" i="2"/>
  <c r="AM51" i="2"/>
  <c r="AO51" i="2"/>
  <c r="AR51" i="2"/>
  <c r="AV51" i="2"/>
  <c r="AZ51" i="2"/>
  <c r="BA51" i="2"/>
  <c r="BC51" i="2"/>
  <c r="BF51" i="2"/>
  <c r="BJ51" i="2"/>
  <c r="BN51" i="2"/>
  <c r="BO51" i="2"/>
  <c r="BQ51" i="2"/>
  <c r="BT51" i="2"/>
  <c r="BX51" i="2"/>
  <c r="CB51" i="2"/>
  <c r="CC51" i="2"/>
  <c r="CE51" i="2"/>
  <c r="D52" i="2"/>
  <c r="F52" i="2"/>
  <c r="H52" i="2"/>
  <c r="M52" i="2"/>
  <c r="T52" i="2"/>
  <c r="X52" i="2"/>
  <c r="Y52" i="2"/>
  <c r="AA52" i="2"/>
  <c r="AH52" i="2"/>
  <c r="AL52" i="2"/>
  <c r="AM52" i="2"/>
  <c r="AO52" i="2"/>
  <c r="AV52" i="2"/>
  <c r="AZ52" i="2"/>
  <c r="BA52" i="2"/>
  <c r="BC52" i="2"/>
  <c r="BJ52" i="2"/>
  <c r="BN52" i="2"/>
  <c r="BO52" i="2"/>
  <c r="BQ52" i="2"/>
  <c r="BX52" i="2"/>
  <c r="CB52" i="2"/>
  <c r="CC52" i="2"/>
  <c r="CE52" i="2"/>
  <c r="D53" i="2"/>
  <c r="F53" i="2"/>
  <c r="H53" i="2"/>
  <c r="M53" i="2"/>
  <c r="T53" i="2"/>
  <c r="X53" i="2"/>
  <c r="Y53" i="2"/>
  <c r="AA53" i="2"/>
  <c r="AH53" i="2"/>
  <c r="AL53" i="2"/>
  <c r="AM53" i="2"/>
  <c r="AO53" i="2"/>
  <c r="AV53" i="2"/>
  <c r="AZ53" i="2"/>
  <c r="BA53" i="2"/>
  <c r="BC53" i="2"/>
  <c r="BJ53" i="2"/>
  <c r="BN53" i="2"/>
  <c r="BO53" i="2"/>
  <c r="BQ53" i="2"/>
  <c r="BX53" i="2"/>
  <c r="CB53" i="2"/>
  <c r="CC53" i="2"/>
  <c r="CE53" i="2"/>
  <c r="D54" i="2"/>
  <c r="F54" i="2"/>
  <c r="H54" i="2"/>
  <c r="M54" i="2"/>
  <c r="T54" i="2"/>
  <c r="X54" i="2"/>
  <c r="Y54" i="2"/>
  <c r="AA54" i="2"/>
  <c r="AH54" i="2"/>
  <c r="AL54" i="2"/>
  <c r="AM54" i="2"/>
  <c r="AO54" i="2"/>
  <c r="AV54" i="2"/>
  <c r="AZ54" i="2"/>
  <c r="BA54" i="2"/>
  <c r="BC54" i="2"/>
  <c r="BJ54" i="2"/>
  <c r="BN54" i="2"/>
  <c r="BO54" i="2"/>
  <c r="BQ54" i="2"/>
  <c r="BX54" i="2"/>
  <c r="CB54" i="2"/>
  <c r="CC54" i="2"/>
  <c r="CE54" i="2"/>
  <c r="D55" i="2"/>
  <c r="F55" i="2"/>
  <c r="H55" i="2"/>
  <c r="M55" i="2"/>
  <c r="P55" i="2"/>
  <c r="R55" i="2"/>
  <c r="T55" i="2"/>
  <c r="V55" i="2"/>
  <c r="X55" i="2"/>
  <c r="Y55" i="2"/>
  <c r="AA55" i="2"/>
  <c r="AD55" i="2"/>
  <c r="AF55" i="2"/>
  <c r="AH55" i="2"/>
  <c r="AJ55" i="2"/>
  <c r="AL55" i="2"/>
  <c r="AM55" i="2"/>
  <c r="AO55" i="2"/>
  <c r="AR55" i="2"/>
  <c r="AT55" i="2"/>
  <c r="AV55" i="2"/>
  <c r="AX55" i="2"/>
  <c r="AZ55" i="2"/>
  <c r="BA55" i="2"/>
  <c r="BC55" i="2"/>
  <c r="BF55" i="2"/>
  <c r="BH55" i="2"/>
  <c r="BJ55" i="2"/>
  <c r="BL55" i="2"/>
  <c r="BN55" i="2"/>
  <c r="BO55" i="2"/>
  <c r="BQ55" i="2"/>
  <c r="BT55" i="2"/>
  <c r="BV55" i="2"/>
  <c r="BX55" i="2"/>
  <c r="BZ55" i="2"/>
  <c r="CB55" i="2"/>
  <c r="CC55" i="2"/>
  <c r="CE55" i="2"/>
  <c r="F56" i="2"/>
  <c r="H56" i="2"/>
  <c r="M56" i="2"/>
  <c r="R56" i="2"/>
  <c r="T56" i="2"/>
  <c r="V56" i="2"/>
  <c r="X56" i="2"/>
  <c r="Y56" i="2"/>
  <c r="Z56" i="2"/>
  <c r="AA56" i="2"/>
  <c r="AF56" i="2"/>
  <c r="AH56" i="2"/>
  <c r="AJ56" i="2"/>
  <c r="AL56" i="2"/>
  <c r="AM56" i="2"/>
  <c r="AN56" i="2"/>
  <c r="AO56" i="2"/>
  <c r="AT56" i="2"/>
  <c r="AV56" i="2"/>
  <c r="AX56" i="2"/>
  <c r="AZ56" i="2"/>
  <c r="BA56" i="2"/>
  <c r="BB56" i="2"/>
  <c r="BC56" i="2"/>
  <c r="BH56" i="2"/>
  <c r="BJ56" i="2"/>
  <c r="BL56" i="2"/>
  <c r="BN56" i="2"/>
  <c r="BO56" i="2"/>
  <c r="BP56" i="2"/>
  <c r="BQ56" i="2"/>
  <c r="BV56" i="2"/>
  <c r="BX56" i="2"/>
  <c r="BZ56" i="2"/>
  <c r="CB56" i="2"/>
  <c r="CC56" i="2"/>
  <c r="CD56" i="2"/>
  <c r="CE56" i="2"/>
  <c r="R57" i="2"/>
  <c r="T57" i="2"/>
  <c r="V57" i="2"/>
  <c r="X57" i="2"/>
  <c r="Y57" i="2"/>
  <c r="Z57" i="2"/>
  <c r="AA57" i="2"/>
  <c r="AF57" i="2"/>
  <c r="AH57" i="2"/>
  <c r="AJ57" i="2"/>
  <c r="AL57" i="2"/>
  <c r="AM57" i="2"/>
  <c r="AN57" i="2"/>
  <c r="AO57" i="2"/>
  <c r="AT57" i="2"/>
  <c r="AV57" i="2"/>
  <c r="AX57" i="2"/>
  <c r="AZ57" i="2"/>
  <c r="BA57" i="2"/>
  <c r="BB57" i="2"/>
  <c r="BC57" i="2"/>
  <c r="BH57" i="2"/>
  <c r="BJ57" i="2"/>
  <c r="BL57" i="2"/>
  <c r="BN57" i="2"/>
  <c r="BO57" i="2"/>
  <c r="BP57" i="2"/>
  <c r="BQ57" i="2"/>
  <c r="BV57" i="2"/>
  <c r="BX57" i="2"/>
  <c r="BZ57" i="2"/>
  <c r="CB57" i="2"/>
  <c r="CC57" i="2"/>
  <c r="CD57" i="2"/>
  <c r="CE57" i="2"/>
  <c r="R58" i="2"/>
  <c r="T58" i="2"/>
  <c r="V58" i="2"/>
  <c r="X58" i="2"/>
  <c r="Y58" i="2"/>
  <c r="Z58" i="2"/>
  <c r="AA58" i="2"/>
  <c r="AF58" i="2"/>
  <c r="AH58" i="2"/>
  <c r="AJ58" i="2"/>
  <c r="AL58" i="2"/>
  <c r="AM58" i="2"/>
  <c r="AN58" i="2"/>
  <c r="AO58" i="2"/>
  <c r="AT58" i="2"/>
  <c r="AV58" i="2"/>
  <c r="AX58" i="2"/>
  <c r="AZ58" i="2"/>
  <c r="BA58" i="2"/>
  <c r="BB58" i="2"/>
  <c r="BC58" i="2"/>
  <c r="BH58" i="2"/>
  <c r="BJ58" i="2"/>
  <c r="BL58" i="2"/>
  <c r="BN58" i="2"/>
  <c r="BO58" i="2"/>
  <c r="BP58" i="2"/>
  <c r="BQ58" i="2"/>
  <c r="BV58" i="2"/>
  <c r="BX58" i="2"/>
  <c r="BZ58" i="2"/>
  <c r="CB58" i="2"/>
  <c r="CC58" i="2"/>
  <c r="CD58" i="2"/>
  <c r="CE58" i="2"/>
  <c r="R59" i="2"/>
  <c r="AF59" i="2"/>
  <c r="AT59" i="2"/>
  <c r="BH59" i="2"/>
  <c r="BV59" i="2"/>
  <c r="D60" i="2"/>
  <c r="R60" i="2"/>
  <c r="S60" i="2" s="1"/>
  <c r="AA60" i="2"/>
  <c r="AO60" i="2"/>
  <c r="BC60" i="2"/>
  <c r="BQ60" i="2"/>
  <c r="BV60" i="2"/>
  <c r="BW60" i="2" s="1"/>
  <c r="CE60" i="2"/>
  <c r="R61" i="2"/>
  <c r="Z61" i="2"/>
  <c r="AA61" i="2"/>
  <c r="AF61" i="2"/>
  <c r="AN61" i="2"/>
  <c r="AO61" i="2"/>
  <c r="AT61" i="2"/>
  <c r="BB61" i="2"/>
  <c r="BC61" i="2"/>
  <c r="BH61" i="2"/>
  <c r="BP61" i="2"/>
  <c r="BQ61" i="2"/>
  <c r="BV61" i="2"/>
  <c r="CD61" i="2"/>
  <c r="CE61" i="2"/>
  <c r="D62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3" i="2"/>
  <c r="R62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3" i="2"/>
  <c r="AF62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3" i="2"/>
  <c r="AT62" i="2"/>
  <c r="BB62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3" i="2"/>
  <c r="BH62" i="2"/>
  <c r="BP62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3" i="2"/>
  <c r="BV62" i="2"/>
  <c r="CD62" i="2"/>
  <c r="D78" i="2"/>
  <c r="D79" i="2"/>
  <c r="D80" i="2"/>
  <c r="D81" i="2"/>
  <c r="D82" i="2"/>
  <c r="D83" i="2"/>
  <c r="D84" i="2"/>
  <c r="D86" i="2"/>
  <c r="D87" i="2"/>
  <c r="D88" i="2"/>
  <c r="D89" i="2"/>
  <c r="D90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4" i="2"/>
  <c r="D63" i="2"/>
  <c r="I63" i="2"/>
  <c r="H64" i="2"/>
  <c r="I64" i="2"/>
  <c r="A134" i="2"/>
  <c r="B82" i="2"/>
  <c r="B83" i="2"/>
  <c r="B89" i="2"/>
  <c r="B90" i="2"/>
  <c r="B84" i="2"/>
  <c r="B78" i="2"/>
  <c r="B79" i="2"/>
  <c r="B80" i="2"/>
  <c r="B81" i="2"/>
  <c r="B86" i="2"/>
  <c r="B87" i="2"/>
  <c r="B88" i="2"/>
  <c r="B134" i="2"/>
  <c r="A142" i="2"/>
  <c r="K78" i="2"/>
  <c r="H78" i="2"/>
  <c r="L78" i="2"/>
  <c r="K79" i="2"/>
  <c r="H79" i="2"/>
  <c r="L79" i="2"/>
  <c r="K80" i="2"/>
  <c r="H80" i="2"/>
  <c r="L80" i="2"/>
  <c r="K81" i="2"/>
  <c r="H81" i="2"/>
  <c r="L81" i="2"/>
  <c r="K82" i="2"/>
  <c r="H82" i="2"/>
  <c r="L82" i="2"/>
  <c r="K83" i="2"/>
  <c r="H83" i="2"/>
  <c r="L83" i="2"/>
  <c r="K84" i="2"/>
  <c r="H84" i="2"/>
  <c r="L84" i="2"/>
  <c r="K86" i="2"/>
  <c r="L86" i="2"/>
  <c r="K87" i="2"/>
  <c r="L87" i="2"/>
  <c r="K88" i="2"/>
  <c r="L88" i="2"/>
  <c r="K89" i="2"/>
  <c r="L89" i="2"/>
  <c r="K90" i="2"/>
  <c r="L90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H137" i="2"/>
  <c r="V81" i="2"/>
  <c r="Y81" i="2"/>
  <c r="Z81" i="2"/>
  <c r="V82" i="2"/>
  <c r="Y82" i="2"/>
  <c r="Z82" i="2"/>
  <c r="V83" i="2"/>
  <c r="Y83" i="2"/>
  <c r="Z83" i="2"/>
  <c r="V84" i="2"/>
  <c r="Y84" i="2"/>
  <c r="Z84" i="2"/>
  <c r="V85" i="2"/>
  <c r="Y85" i="2"/>
  <c r="Z85" i="2"/>
  <c r="V86" i="2"/>
  <c r="Y86" i="2"/>
  <c r="Z86" i="2"/>
  <c r="V87" i="2"/>
  <c r="Y87" i="2"/>
  <c r="Z87" i="2"/>
  <c r="V88" i="2"/>
  <c r="Y88" i="2"/>
  <c r="Z88" i="2"/>
  <c r="V89" i="2"/>
  <c r="Y89" i="2"/>
  <c r="Z89" i="2"/>
  <c r="V90" i="2"/>
  <c r="Y90" i="2"/>
  <c r="Z90" i="2"/>
  <c r="V91" i="2"/>
  <c r="Y91" i="2"/>
  <c r="Z91" i="2"/>
  <c r="V92" i="2"/>
  <c r="Y92" i="2"/>
  <c r="Z92" i="2"/>
  <c r="V93" i="2"/>
  <c r="Y93" i="2"/>
  <c r="Z93" i="2"/>
  <c r="V94" i="2"/>
  <c r="Y94" i="2"/>
  <c r="Z94" i="2"/>
  <c r="V95" i="2"/>
  <c r="Z95" i="2"/>
  <c r="V96" i="2"/>
  <c r="Y96" i="2"/>
  <c r="Z96" i="2"/>
  <c r="V97" i="2"/>
  <c r="Z97" i="2"/>
  <c r="V98" i="2"/>
  <c r="Y98" i="2"/>
  <c r="Z98" i="2"/>
  <c r="V99" i="2"/>
  <c r="Y99" i="2"/>
  <c r="Z99" i="2"/>
  <c r="V100" i="2"/>
  <c r="Y100" i="2"/>
  <c r="Z100" i="2"/>
  <c r="V101" i="2"/>
  <c r="Y101" i="2"/>
  <c r="Z101" i="2"/>
  <c r="V102" i="2"/>
  <c r="Y102" i="2"/>
  <c r="Z102" i="2"/>
  <c r="V103" i="2"/>
  <c r="Z103" i="2"/>
  <c r="V104" i="2"/>
  <c r="Y104" i="2"/>
  <c r="Z104" i="2"/>
  <c r="V105" i="2"/>
  <c r="Y105" i="2"/>
  <c r="Z105" i="2"/>
  <c r="V106" i="2"/>
  <c r="Y106" i="2"/>
  <c r="Z106" i="2"/>
  <c r="V107" i="2"/>
  <c r="Y107" i="2"/>
  <c r="Z107" i="2"/>
  <c r="V108" i="2"/>
  <c r="Y108" i="2"/>
  <c r="Z108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3" i="2"/>
  <c r="AJ81" i="2"/>
  <c r="AM81" i="2"/>
  <c r="AN81" i="2"/>
  <c r="AJ82" i="2"/>
  <c r="AM82" i="2"/>
  <c r="AN82" i="2"/>
  <c r="AJ83" i="2"/>
  <c r="AM83" i="2"/>
  <c r="AN83" i="2"/>
  <c r="AJ84" i="2"/>
  <c r="AM84" i="2"/>
  <c r="AN84" i="2"/>
  <c r="AJ85" i="2"/>
  <c r="AM85" i="2"/>
  <c r="AN85" i="2"/>
  <c r="AJ86" i="2"/>
  <c r="AM86" i="2"/>
  <c r="AN86" i="2"/>
  <c r="AJ87" i="2"/>
  <c r="AM87" i="2"/>
  <c r="AN87" i="2"/>
  <c r="AJ88" i="2"/>
  <c r="AM88" i="2"/>
  <c r="AN88" i="2"/>
  <c r="AJ89" i="2"/>
  <c r="AM89" i="2"/>
  <c r="AN89" i="2"/>
  <c r="AJ90" i="2"/>
  <c r="AM90" i="2"/>
  <c r="AN90" i="2"/>
  <c r="AJ91" i="2"/>
  <c r="AM91" i="2"/>
  <c r="AN91" i="2"/>
  <c r="AJ92" i="2"/>
  <c r="AM92" i="2"/>
  <c r="AN92" i="2"/>
  <c r="AJ93" i="2"/>
  <c r="AM93" i="2"/>
  <c r="AN93" i="2"/>
  <c r="AJ94" i="2"/>
  <c r="AM94" i="2"/>
  <c r="AN94" i="2"/>
  <c r="AJ95" i="2"/>
  <c r="AM95" i="2"/>
  <c r="AN95" i="2"/>
  <c r="AJ96" i="2"/>
  <c r="AM96" i="2"/>
  <c r="AN96" i="2"/>
  <c r="AJ97" i="2"/>
  <c r="AM97" i="2"/>
  <c r="AN97" i="2"/>
  <c r="AJ98" i="2"/>
  <c r="AM98" i="2"/>
  <c r="AN98" i="2"/>
  <c r="AJ99" i="2"/>
  <c r="AM99" i="2"/>
  <c r="AN99" i="2"/>
  <c r="AJ100" i="2"/>
  <c r="AM100" i="2"/>
  <c r="AN100" i="2"/>
  <c r="AJ101" i="2"/>
  <c r="AM101" i="2"/>
  <c r="AN101" i="2"/>
  <c r="AJ102" i="2"/>
  <c r="AM102" i="2"/>
  <c r="AN102" i="2"/>
  <c r="AJ103" i="2"/>
  <c r="AM103" i="2"/>
  <c r="AN103" i="2"/>
  <c r="AJ104" i="2"/>
  <c r="AM104" i="2"/>
  <c r="AN104" i="2"/>
  <c r="AJ105" i="2"/>
  <c r="AM105" i="2"/>
  <c r="AN105" i="2"/>
  <c r="AJ106" i="2"/>
  <c r="AM106" i="2"/>
  <c r="AN106" i="2"/>
  <c r="AJ107" i="2"/>
  <c r="AM107" i="2"/>
  <c r="AN107" i="2"/>
  <c r="AJ108" i="2"/>
  <c r="AM108" i="2"/>
  <c r="AN108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3" i="2"/>
  <c r="AX81" i="2"/>
  <c r="BA81" i="2"/>
  <c r="BB81" i="2"/>
  <c r="AX82" i="2"/>
  <c r="BA82" i="2"/>
  <c r="BB82" i="2"/>
  <c r="AX83" i="2"/>
  <c r="BA83" i="2"/>
  <c r="BB83" i="2"/>
  <c r="AX84" i="2"/>
  <c r="BA84" i="2"/>
  <c r="BB84" i="2"/>
  <c r="AX85" i="2"/>
  <c r="BA85" i="2"/>
  <c r="BB85" i="2"/>
  <c r="AX86" i="2"/>
  <c r="BA86" i="2"/>
  <c r="BB86" i="2"/>
  <c r="AX87" i="2"/>
  <c r="BA87" i="2"/>
  <c r="BB87" i="2"/>
  <c r="AX88" i="2"/>
  <c r="BA88" i="2"/>
  <c r="BB88" i="2"/>
  <c r="AX89" i="2"/>
  <c r="BA89" i="2"/>
  <c r="BB89" i="2"/>
  <c r="AX90" i="2"/>
  <c r="BA90" i="2"/>
  <c r="BB90" i="2"/>
  <c r="AX91" i="2"/>
  <c r="BA91" i="2"/>
  <c r="BB91" i="2"/>
  <c r="AX92" i="2"/>
  <c r="BA92" i="2"/>
  <c r="BB92" i="2"/>
  <c r="AX93" i="2"/>
  <c r="BA93" i="2"/>
  <c r="BB93" i="2"/>
  <c r="AX94" i="2"/>
  <c r="BA94" i="2"/>
  <c r="BB94" i="2"/>
  <c r="AX95" i="2"/>
  <c r="BA95" i="2"/>
  <c r="BB95" i="2"/>
  <c r="AX96" i="2"/>
  <c r="BA96" i="2"/>
  <c r="BB96" i="2"/>
  <c r="AX97" i="2"/>
  <c r="BA97" i="2"/>
  <c r="BB97" i="2"/>
  <c r="AX98" i="2"/>
  <c r="BA98" i="2"/>
  <c r="BB98" i="2"/>
  <c r="AX99" i="2"/>
  <c r="BA99" i="2"/>
  <c r="BB99" i="2"/>
  <c r="AX100" i="2"/>
  <c r="BA100" i="2"/>
  <c r="BB100" i="2"/>
  <c r="AX101" i="2"/>
  <c r="BA101" i="2"/>
  <c r="BB101" i="2"/>
  <c r="AX102" i="2"/>
  <c r="BA102" i="2"/>
  <c r="BB102" i="2"/>
  <c r="AX103" i="2"/>
  <c r="BA103" i="2"/>
  <c r="BB103" i="2"/>
  <c r="AX104" i="2"/>
  <c r="BA104" i="2"/>
  <c r="BB104" i="2"/>
  <c r="AX105" i="2"/>
  <c r="BA105" i="2"/>
  <c r="BB105" i="2"/>
  <c r="AX106" i="2"/>
  <c r="BA106" i="2"/>
  <c r="BB106" i="2"/>
  <c r="AX107" i="2"/>
  <c r="BA107" i="2"/>
  <c r="BB107" i="2"/>
  <c r="AX108" i="2"/>
  <c r="BA108" i="2"/>
  <c r="BB108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3" i="2"/>
  <c r="BL81" i="2"/>
  <c r="BO81" i="2"/>
  <c r="BP81" i="2"/>
  <c r="BL82" i="2"/>
  <c r="BO82" i="2"/>
  <c r="BP82" i="2"/>
  <c r="BL83" i="2"/>
  <c r="BO83" i="2"/>
  <c r="BP83" i="2"/>
  <c r="BL84" i="2"/>
  <c r="BO84" i="2"/>
  <c r="BP84" i="2"/>
  <c r="BL85" i="2"/>
  <c r="BO85" i="2"/>
  <c r="BP85" i="2"/>
  <c r="BL86" i="2"/>
  <c r="BO86" i="2"/>
  <c r="BP86" i="2"/>
  <c r="BL87" i="2"/>
  <c r="BO87" i="2"/>
  <c r="BP87" i="2"/>
  <c r="BL88" i="2"/>
  <c r="BO88" i="2"/>
  <c r="BP88" i="2"/>
  <c r="BL89" i="2"/>
  <c r="BO89" i="2"/>
  <c r="BP89" i="2"/>
  <c r="BL90" i="2"/>
  <c r="BO90" i="2"/>
  <c r="BP90" i="2"/>
  <c r="BL91" i="2"/>
  <c r="BO91" i="2"/>
  <c r="BP91" i="2"/>
  <c r="BL92" i="2"/>
  <c r="BO92" i="2"/>
  <c r="BP92" i="2"/>
  <c r="BL93" i="2"/>
  <c r="BO93" i="2"/>
  <c r="BP93" i="2"/>
  <c r="BL94" i="2"/>
  <c r="BP94" i="2"/>
  <c r="BL95" i="2"/>
  <c r="BO95" i="2"/>
  <c r="BP95" i="2"/>
  <c r="BL96" i="2"/>
  <c r="BO96" i="2"/>
  <c r="BP96" i="2"/>
  <c r="BL97" i="2"/>
  <c r="BO97" i="2"/>
  <c r="BP97" i="2"/>
  <c r="BL98" i="2"/>
  <c r="BO98" i="2"/>
  <c r="BP98" i="2"/>
  <c r="BL99" i="2"/>
  <c r="BO99" i="2"/>
  <c r="BP99" i="2"/>
  <c r="BL100" i="2"/>
  <c r="BO100" i="2"/>
  <c r="BP100" i="2"/>
  <c r="BL101" i="2"/>
  <c r="BO101" i="2"/>
  <c r="BP101" i="2"/>
  <c r="BL102" i="2"/>
  <c r="BO102" i="2"/>
  <c r="BP102" i="2"/>
  <c r="BL103" i="2"/>
  <c r="BO103" i="2"/>
  <c r="BP103" i="2"/>
  <c r="BL104" i="2"/>
  <c r="BO104" i="2"/>
  <c r="BP104" i="2"/>
  <c r="BL105" i="2"/>
  <c r="BO105" i="2"/>
  <c r="BP105" i="2"/>
  <c r="BL106" i="2"/>
  <c r="BO106" i="2"/>
  <c r="BP106" i="2"/>
  <c r="BL107" i="2"/>
  <c r="BO107" i="2"/>
  <c r="BP107" i="2"/>
  <c r="BL108" i="2"/>
  <c r="BO108" i="2"/>
  <c r="BP108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3" i="2"/>
  <c r="BZ81" i="2"/>
  <c r="CC81" i="2"/>
  <c r="CD81" i="2"/>
  <c r="BZ82" i="2"/>
  <c r="CC82" i="2"/>
  <c r="CD82" i="2"/>
  <c r="BZ83" i="2"/>
  <c r="CC83" i="2"/>
  <c r="CD83" i="2"/>
  <c r="BZ84" i="2"/>
  <c r="CC84" i="2"/>
  <c r="CD84" i="2"/>
  <c r="BZ85" i="2"/>
  <c r="CC85" i="2"/>
  <c r="CD85" i="2"/>
  <c r="BZ86" i="2"/>
  <c r="CC86" i="2"/>
  <c r="CD86" i="2"/>
  <c r="BZ87" i="2"/>
  <c r="CC87" i="2"/>
  <c r="CD87" i="2"/>
  <c r="BZ88" i="2"/>
  <c r="CC88" i="2"/>
  <c r="CD88" i="2"/>
  <c r="BZ89" i="2"/>
  <c r="CC89" i="2"/>
  <c r="CD89" i="2"/>
  <c r="BZ90" i="2"/>
  <c r="CC90" i="2"/>
  <c r="CD90" i="2"/>
  <c r="BZ91" i="2"/>
  <c r="CC91" i="2"/>
  <c r="CD91" i="2"/>
  <c r="BZ92" i="2"/>
  <c r="CC92" i="2"/>
  <c r="CD92" i="2"/>
  <c r="BZ93" i="2"/>
  <c r="CC93" i="2"/>
  <c r="CD93" i="2"/>
  <c r="BZ94" i="2"/>
  <c r="CC94" i="2"/>
  <c r="CD94" i="2"/>
  <c r="BZ95" i="2"/>
  <c r="CC95" i="2"/>
  <c r="CD95" i="2"/>
  <c r="BZ96" i="2"/>
  <c r="CC96" i="2"/>
  <c r="CD96" i="2"/>
  <c r="BZ97" i="2"/>
  <c r="CC97" i="2"/>
  <c r="CD97" i="2"/>
  <c r="BZ98" i="2"/>
  <c r="CD98" i="2"/>
  <c r="BZ99" i="2"/>
  <c r="CC99" i="2"/>
  <c r="CD99" i="2"/>
  <c r="BZ100" i="2"/>
  <c r="CC100" i="2"/>
  <c r="CD100" i="2"/>
  <c r="BZ101" i="2"/>
  <c r="CC101" i="2"/>
  <c r="CD101" i="2"/>
  <c r="BZ102" i="2"/>
  <c r="CC102" i="2"/>
  <c r="CD102" i="2"/>
  <c r="BZ103" i="2"/>
  <c r="CC103" i="2"/>
  <c r="CD103" i="2"/>
  <c r="BZ104" i="2"/>
  <c r="CC104" i="2"/>
  <c r="CD104" i="2"/>
  <c r="BZ105" i="2"/>
  <c r="CC105" i="2"/>
  <c r="CD105" i="2"/>
  <c r="BZ106" i="2"/>
  <c r="CC106" i="2"/>
  <c r="CD106" i="2"/>
  <c r="BZ107" i="2"/>
  <c r="CC107" i="2"/>
  <c r="CD107" i="2"/>
  <c r="BZ108" i="2"/>
  <c r="CC108" i="2"/>
  <c r="CD108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3" i="2"/>
  <c r="C142" i="2"/>
  <c r="D143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7" i="2"/>
  <c r="BV136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7" i="2"/>
  <c r="BH136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7" i="2"/>
  <c r="AT136" i="2"/>
  <c r="CE108" i="2"/>
  <c r="CB84" i="2"/>
  <c r="CB88" i="2"/>
  <c r="CB92" i="2"/>
  <c r="CB96" i="2"/>
  <c r="CB100" i="2"/>
  <c r="CB104" i="2"/>
  <c r="CB108" i="2"/>
  <c r="BX108" i="2"/>
  <c r="CE107" i="2"/>
  <c r="CB83" i="2"/>
  <c r="CB87" i="2"/>
  <c r="CB91" i="2"/>
  <c r="CB95" i="2"/>
  <c r="CB99" i="2"/>
  <c r="CB103" i="2"/>
  <c r="CB107" i="2"/>
  <c r="BX107" i="2"/>
  <c r="CE106" i="2"/>
  <c r="CB102" i="2"/>
  <c r="CB106" i="2"/>
  <c r="BX106" i="2"/>
  <c r="CB105" i="2"/>
  <c r="CE105" i="2"/>
  <c r="BX105" i="2"/>
  <c r="CE104" i="2"/>
  <c r="BX104" i="2"/>
  <c r="CE103" i="2"/>
  <c r="BX103" i="2"/>
  <c r="CE102" i="2"/>
  <c r="BX102" i="2"/>
  <c r="CE101" i="2"/>
  <c r="BX101" i="2"/>
  <c r="CE100" i="2"/>
  <c r="BX100" i="2"/>
  <c r="CE99" i="2"/>
  <c r="BX99" i="2"/>
  <c r="CE98" i="2"/>
  <c r="BX98" i="2"/>
  <c r="CE97" i="2"/>
  <c r="CB81" i="2"/>
  <c r="CB85" i="2"/>
  <c r="CB89" i="2"/>
  <c r="CB93" i="2"/>
  <c r="CB97" i="2"/>
  <c r="BX97" i="2"/>
  <c r="CE96" i="2"/>
  <c r="BX96" i="2"/>
  <c r="CE95" i="2"/>
  <c r="BX95" i="2"/>
  <c r="CE94" i="2"/>
  <c r="CB94" i="2"/>
  <c r="BX94" i="2"/>
  <c r="CE93" i="2"/>
  <c r="BX93" i="2"/>
  <c r="CE92" i="2"/>
  <c r="BX92" i="2"/>
  <c r="CE91" i="2"/>
  <c r="BX91" i="2"/>
  <c r="CE90" i="2"/>
  <c r="BX90" i="2"/>
  <c r="CE89" i="2"/>
  <c r="BX89" i="2"/>
  <c r="CE88" i="2"/>
  <c r="BX88" i="2"/>
  <c r="CE87" i="2"/>
  <c r="BX87" i="2"/>
  <c r="CB82" i="2"/>
  <c r="CB86" i="2"/>
  <c r="CE86" i="2"/>
  <c r="BX86" i="2"/>
  <c r="CE85" i="2"/>
  <c r="BX85" i="2"/>
  <c r="CE84" i="2"/>
  <c r="BX84" i="2"/>
  <c r="CE83" i="2"/>
  <c r="BX83" i="2"/>
  <c r="CE82" i="2"/>
  <c r="BX82" i="2"/>
  <c r="BZ113" i="2"/>
  <c r="BZ117" i="2"/>
  <c r="BZ121" i="2"/>
  <c r="BZ125" i="2"/>
  <c r="BZ142" i="2"/>
  <c r="BX81" i="2"/>
  <c r="BQ108" i="2"/>
  <c r="BN84" i="2"/>
  <c r="BN88" i="2"/>
  <c r="BN92" i="2"/>
  <c r="BN96" i="2"/>
  <c r="BN100" i="2"/>
  <c r="BN104" i="2"/>
  <c r="BN108" i="2"/>
  <c r="BJ108" i="2"/>
  <c r="BQ107" i="2"/>
  <c r="BN83" i="2"/>
  <c r="BN87" i="2"/>
  <c r="BN91" i="2"/>
  <c r="BN95" i="2"/>
  <c r="BN99" i="2"/>
  <c r="BN103" i="2"/>
  <c r="BN107" i="2"/>
  <c r="BJ107" i="2"/>
  <c r="BN98" i="2"/>
  <c r="BN102" i="2"/>
  <c r="BN106" i="2"/>
  <c r="BQ106" i="2"/>
  <c r="BJ106" i="2"/>
  <c r="BQ105" i="2"/>
  <c r="BN81" i="2"/>
  <c r="BN85" i="2"/>
  <c r="BN89" i="2"/>
  <c r="BN93" i="2"/>
  <c r="BN97" i="2"/>
  <c r="BN101" i="2"/>
  <c r="BN105" i="2"/>
  <c r="BJ105" i="2"/>
  <c r="BQ104" i="2"/>
  <c r="BJ104" i="2"/>
  <c r="BQ103" i="2"/>
  <c r="BJ103" i="2"/>
  <c r="BQ102" i="2"/>
  <c r="BJ102" i="2"/>
  <c r="BQ101" i="2"/>
  <c r="BJ101" i="2"/>
  <c r="BQ100" i="2"/>
  <c r="BJ100" i="2"/>
  <c r="BQ99" i="2"/>
  <c r="BJ99" i="2"/>
  <c r="BQ98" i="2"/>
  <c r="BJ98" i="2"/>
  <c r="BQ97" i="2"/>
  <c r="BJ97" i="2"/>
  <c r="BQ96" i="2"/>
  <c r="BJ96" i="2"/>
  <c r="BQ95" i="2"/>
  <c r="BJ95" i="2"/>
  <c r="BQ94" i="2"/>
  <c r="BJ94" i="2"/>
  <c r="BQ93" i="2"/>
  <c r="BJ93" i="2"/>
  <c r="BQ92" i="2"/>
  <c r="BJ92" i="2"/>
  <c r="BQ91" i="2"/>
  <c r="BJ91" i="2"/>
  <c r="BQ90" i="2"/>
  <c r="BN82" i="2"/>
  <c r="BN86" i="2"/>
  <c r="BN90" i="2"/>
  <c r="BJ90" i="2"/>
  <c r="BQ89" i="2"/>
  <c r="BJ89" i="2"/>
  <c r="BQ88" i="2"/>
  <c r="BJ88" i="2"/>
  <c r="BQ87" i="2"/>
  <c r="BJ87" i="2"/>
  <c r="BQ86" i="2"/>
  <c r="BJ86" i="2"/>
  <c r="BQ85" i="2"/>
  <c r="BJ85" i="2"/>
  <c r="BQ84" i="2"/>
  <c r="BJ84" i="2"/>
  <c r="BQ83" i="2"/>
  <c r="BJ83" i="2"/>
  <c r="BQ82" i="2"/>
  <c r="BJ82" i="2"/>
  <c r="BQ81" i="2"/>
  <c r="BJ81" i="2"/>
  <c r="BC108" i="2"/>
  <c r="AZ84" i="2"/>
  <c r="AZ88" i="2"/>
  <c r="AZ92" i="2"/>
  <c r="AZ96" i="2"/>
  <c r="AZ100" i="2"/>
  <c r="AZ104" i="2"/>
  <c r="AZ108" i="2"/>
  <c r="AV108" i="2"/>
  <c r="BC107" i="2"/>
  <c r="AZ83" i="2"/>
  <c r="AZ87" i="2"/>
  <c r="AZ91" i="2"/>
  <c r="AZ95" i="2"/>
  <c r="AZ99" i="2"/>
  <c r="AZ103" i="2"/>
  <c r="AZ107" i="2"/>
  <c r="AV107" i="2"/>
  <c r="BC106" i="2"/>
  <c r="AZ82" i="2"/>
  <c r="AZ86" i="2"/>
  <c r="AZ90" i="2"/>
  <c r="AZ94" i="2"/>
  <c r="AZ98" i="2"/>
  <c r="AZ102" i="2"/>
  <c r="AZ106" i="2"/>
  <c r="AV106" i="2"/>
  <c r="AZ81" i="2"/>
  <c r="AZ85" i="2"/>
  <c r="AZ89" i="2"/>
  <c r="AZ93" i="2"/>
  <c r="AZ97" i="2"/>
  <c r="AZ101" i="2"/>
  <c r="AZ105" i="2"/>
  <c r="BC105" i="2"/>
  <c r="AV105" i="2"/>
  <c r="BC104" i="2"/>
  <c r="AV104" i="2"/>
  <c r="BC103" i="2"/>
  <c r="AV103" i="2"/>
  <c r="BC102" i="2"/>
  <c r="AV102" i="2"/>
  <c r="BC101" i="2"/>
  <c r="AV101" i="2"/>
  <c r="BC100" i="2"/>
  <c r="AV100" i="2"/>
  <c r="BC99" i="2"/>
  <c r="AV99" i="2"/>
  <c r="BC98" i="2"/>
  <c r="AV98" i="2"/>
  <c r="BC97" i="2"/>
  <c r="AV97" i="2"/>
  <c r="BC96" i="2"/>
  <c r="AV96" i="2"/>
  <c r="BC95" i="2"/>
  <c r="AV95" i="2"/>
  <c r="BC94" i="2"/>
  <c r="AV94" i="2"/>
  <c r="BC93" i="2"/>
  <c r="AV93" i="2"/>
  <c r="BC92" i="2"/>
  <c r="AV92" i="2"/>
  <c r="BC91" i="2"/>
  <c r="AV91" i="2"/>
  <c r="BC90" i="2"/>
  <c r="AV90" i="2"/>
  <c r="BC89" i="2"/>
  <c r="AV89" i="2"/>
  <c r="BC88" i="2"/>
  <c r="AV88" i="2"/>
  <c r="BC87" i="2"/>
  <c r="AV87" i="2"/>
  <c r="BC86" i="2"/>
  <c r="AV86" i="2"/>
  <c r="BC85" i="2"/>
  <c r="AV85" i="2"/>
  <c r="BC84" i="2"/>
  <c r="AV84" i="2"/>
  <c r="BC83" i="2"/>
  <c r="AV83" i="2"/>
  <c r="BC82" i="2"/>
  <c r="AV82" i="2"/>
  <c r="BC81" i="2"/>
  <c r="AV81" i="2"/>
  <c r="AO108" i="2"/>
  <c r="AL84" i="2"/>
  <c r="AL88" i="2"/>
  <c r="AL92" i="2"/>
  <c r="AL96" i="2"/>
  <c r="AL100" i="2"/>
  <c r="AL104" i="2"/>
  <c r="AL108" i="2"/>
  <c r="AH108" i="2"/>
  <c r="AO107" i="2"/>
  <c r="AL83" i="2"/>
  <c r="AL87" i="2"/>
  <c r="AL91" i="2"/>
  <c r="AL95" i="2"/>
  <c r="AL99" i="2"/>
  <c r="AL103" i="2"/>
  <c r="AL107" i="2"/>
  <c r="AH107" i="2"/>
  <c r="AO106" i="2"/>
  <c r="AL82" i="2"/>
  <c r="AL86" i="2"/>
  <c r="AL90" i="2"/>
  <c r="AL94" i="2"/>
  <c r="AL98" i="2"/>
  <c r="AL102" i="2"/>
  <c r="AL106" i="2"/>
  <c r="AH106" i="2"/>
  <c r="AL81" i="2"/>
  <c r="AL85" i="2"/>
  <c r="AL89" i="2"/>
  <c r="AL93" i="2"/>
  <c r="AL97" i="2"/>
  <c r="AL101" i="2"/>
  <c r="AL105" i="2"/>
  <c r="AO105" i="2"/>
  <c r="AH105" i="2"/>
  <c r="AO104" i="2"/>
  <c r="AH104" i="2"/>
  <c r="AO103" i="2"/>
  <c r="AH103" i="2"/>
  <c r="AO102" i="2"/>
  <c r="AH102" i="2"/>
  <c r="AO101" i="2"/>
  <c r="AH101" i="2"/>
  <c r="AO100" i="2"/>
  <c r="AH100" i="2"/>
  <c r="AO99" i="2"/>
  <c r="AH99" i="2"/>
  <c r="AO98" i="2"/>
  <c r="AH98" i="2"/>
  <c r="AO97" i="2"/>
  <c r="AH97" i="2"/>
  <c r="AO96" i="2"/>
  <c r="AH96" i="2"/>
  <c r="AO95" i="2"/>
  <c r="AH95" i="2"/>
  <c r="AO94" i="2"/>
  <c r="AH94" i="2"/>
  <c r="AO93" i="2"/>
  <c r="AH93" i="2"/>
  <c r="AO92" i="2"/>
  <c r="AH92" i="2"/>
  <c r="AO91" i="2"/>
  <c r="AH91" i="2"/>
  <c r="AO90" i="2"/>
  <c r="AH90" i="2"/>
  <c r="AO89" i="2"/>
  <c r="AH89" i="2"/>
  <c r="AO88" i="2"/>
  <c r="AH88" i="2"/>
  <c r="AO87" i="2"/>
  <c r="AH87" i="2"/>
  <c r="AO86" i="2"/>
  <c r="AH86" i="2"/>
  <c r="AO85" i="2"/>
  <c r="AH85" i="2"/>
  <c r="AO84" i="2"/>
  <c r="AH84" i="2"/>
  <c r="AO83" i="2"/>
  <c r="AH83" i="2"/>
  <c r="AO82" i="2"/>
  <c r="AH82" i="2"/>
  <c r="AO81" i="2"/>
  <c r="AH81" i="2"/>
  <c r="AM113" i="2"/>
  <c r="AH113" i="2"/>
  <c r="AJ113" i="2"/>
  <c r="AO113" i="2"/>
  <c r="AL113" i="2"/>
  <c r="BA113" i="2"/>
  <c r="AV113" i="2"/>
  <c r="AX113" i="2"/>
  <c r="BC113" i="2"/>
  <c r="AZ113" i="2"/>
  <c r="X84" i="2"/>
  <c r="X88" i="2"/>
  <c r="X92" i="2"/>
  <c r="X83" i="2"/>
  <c r="X87" i="2"/>
  <c r="X91" i="2"/>
  <c r="X82" i="2"/>
  <c r="X86" i="2"/>
  <c r="X90" i="2"/>
  <c r="X81" i="2"/>
  <c r="X85" i="2"/>
  <c r="X89" i="2"/>
  <c r="CC145" i="2"/>
  <c r="CB145" i="2"/>
  <c r="BO145" i="2"/>
  <c r="BN145" i="2"/>
  <c r="BA145" i="2"/>
  <c r="AZ145" i="2"/>
  <c r="AM145" i="2"/>
  <c r="AL145" i="2"/>
  <c r="Y145" i="2"/>
  <c r="X145" i="2"/>
  <c r="CC144" i="2"/>
  <c r="CB144" i="2"/>
  <c r="BO144" i="2"/>
  <c r="BN144" i="2"/>
  <c r="BA144" i="2"/>
  <c r="AZ144" i="2"/>
  <c r="AM144" i="2"/>
  <c r="AL144" i="2"/>
  <c r="Y144" i="2"/>
  <c r="X144" i="2"/>
  <c r="CC143" i="2"/>
  <c r="CB143" i="2"/>
  <c r="BO143" i="2"/>
  <c r="BN143" i="2"/>
  <c r="BA143" i="2"/>
  <c r="AZ143" i="2"/>
  <c r="AM143" i="2"/>
  <c r="AL143" i="2"/>
  <c r="Y143" i="2"/>
  <c r="X143" i="2"/>
  <c r="CC142" i="2"/>
  <c r="CB142" i="2"/>
  <c r="BO142" i="2"/>
  <c r="BN142" i="2"/>
  <c r="BA142" i="2"/>
  <c r="AZ142" i="2"/>
  <c r="AM142" i="2"/>
  <c r="AL142" i="2"/>
  <c r="Y142" i="2"/>
  <c r="X142" i="2"/>
  <c r="BZ132" i="2"/>
  <c r="CE132" i="2"/>
  <c r="CD132" i="2"/>
  <c r="CB132" i="2"/>
  <c r="BX132" i="2"/>
  <c r="BV132" i="2"/>
  <c r="CC132" i="2"/>
  <c r="BL132" i="2"/>
  <c r="BQ132" i="2"/>
  <c r="BP132" i="2"/>
  <c r="BN132" i="2"/>
  <c r="BJ132" i="2"/>
  <c r="BH132" i="2"/>
  <c r="BO132" i="2"/>
  <c r="BB132" i="2"/>
  <c r="AZ132" i="2"/>
  <c r="AX132" i="2"/>
  <c r="BC132" i="2"/>
  <c r="AV132" i="2"/>
  <c r="AT132" i="2"/>
  <c r="BA132" i="2"/>
  <c r="AN132" i="2"/>
  <c r="AL132" i="2"/>
  <c r="AJ132" i="2"/>
  <c r="AO132" i="2"/>
  <c r="AH132" i="2"/>
  <c r="AF132" i="2"/>
  <c r="AM132" i="2"/>
  <c r="Z132" i="2"/>
  <c r="X132" i="2"/>
  <c r="V132" i="2"/>
  <c r="AA132" i="2"/>
  <c r="T132" i="2"/>
  <c r="R132" i="2"/>
  <c r="Y132" i="2"/>
  <c r="CD131" i="2"/>
  <c r="BV131" i="2"/>
  <c r="CC131" i="2"/>
  <c r="CB131" i="2"/>
  <c r="BZ131" i="2"/>
  <c r="CE131" i="2"/>
  <c r="BX131" i="2"/>
  <c r="BP131" i="2"/>
  <c r="BH131" i="2"/>
  <c r="BO131" i="2"/>
  <c r="BN131" i="2"/>
  <c r="BL131" i="2"/>
  <c r="BQ131" i="2"/>
  <c r="BJ131" i="2"/>
  <c r="AX131" i="2"/>
  <c r="BC131" i="2"/>
  <c r="BB131" i="2"/>
  <c r="AT131" i="2"/>
  <c r="BA131" i="2"/>
  <c r="AZ131" i="2"/>
  <c r="AV131" i="2"/>
  <c r="AJ131" i="2"/>
  <c r="AO131" i="2"/>
  <c r="AN131" i="2"/>
  <c r="AF131" i="2"/>
  <c r="AM131" i="2"/>
  <c r="AL131" i="2"/>
  <c r="AH131" i="2"/>
  <c r="V131" i="2"/>
  <c r="AA131" i="2"/>
  <c r="Z131" i="2"/>
  <c r="X131" i="2"/>
  <c r="T131" i="2"/>
  <c r="R131" i="2"/>
  <c r="Y131" i="2"/>
  <c r="CD130" i="2"/>
  <c r="BV130" i="2"/>
  <c r="CC130" i="2"/>
  <c r="CB130" i="2"/>
  <c r="BZ130" i="2"/>
  <c r="CE130" i="2"/>
  <c r="BX130" i="2"/>
  <c r="BP130" i="2"/>
  <c r="BH130" i="2"/>
  <c r="BO130" i="2"/>
  <c r="BN130" i="2"/>
  <c r="BL130" i="2"/>
  <c r="BQ130" i="2"/>
  <c r="BJ130" i="2"/>
  <c r="AX130" i="2"/>
  <c r="BC130" i="2"/>
  <c r="BB130" i="2"/>
  <c r="AT130" i="2"/>
  <c r="BA130" i="2"/>
  <c r="AZ130" i="2"/>
  <c r="AV130" i="2"/>
  <c r="AJ130" i="2"/>
  <c r="AO130" i="2"/>
  <c r="AN130" i="2"/>
  <c r="AF130" i="2"/>
  <c r="AM130" i="2"/>
  <c r="AL130" i="2"/>
  <c r="AH130" i="2"/>
  <c r="V130" i="2"/>
  <c r="AA130" i="2"/>
  <c r="Z130" i="2"/>
  <c r="X130" i="2"/>
  <c r="T130" i="2"/>
  <c r="R130" i="2"/>
  <c r="Y130" i="2"/>
  <c r="M130" i="2"/>
  <c r="H130" i="2"/>
  <c r="F130" i="2"/>
  <c r="BZ129" i="2"/>
  <c r="CE129" i="2"/>
  <c r="CC129" i="2"/>
  <c r="CB129" i="2"/>
  <c r="BX129" i="2"/>
  <c r="BT129" i="2"/>
  <c r="BL129" i="2"/>
  <c r="BQ129" i="2"/>
  <c r="BN129" i="2"/>
  <c r="BJ129" i="2"/>
  <c r="BO129" i="2"/>
  <c r="BF129" i="2"/>
  <c r="BA129" i="2"/>
  <c r="AZ129" i="2"/>
  <c r="AX129" i="2"/>
  <c r="BC129" i="2"/>
  <c r="AV129" i="2"/>
  <c r="AR129" i="2"/>
  <c r="AJ129" i="2"/>
  <c r="AO129" i="2"/>
  <c r="AM129" i="2"/>
  <c r="AL129" i="2"/>
  <c r="AH129" i="2"/>
  <c r="AD129" i="2"/>
  <c r="V129" i="2"/>
  <c r="AA129" i="2"/>
  <c r="X129" i="2"/>
  <c r="T129" i="2"/>
  <c r="Y129" i="2"/>
  <c r="P129" i="2"/>
  <c r="M129" i="2"/>
  <c r="H129" i="2"/>
  <c r="F129" i="2"/>
  <c r="CB128" i="2"/>
  <c r="BZ128" i="2"/>
  <c r="CE128" i="2"/>
  <c r="BX128" i="2"/>
  <c r="CC128" i="2"/>
  <c r="BL128" i="2"/>
  <c r="BQ128" i="2"/>
  <c r="BO128" i="2"/>
  <c r="BN128" i="2"/>
  <c r="BJ128" i="2"/>
  <c r="BA128" i="2"/>
  <c r="AZ128" i="2"/>
  <c r="AX128" i="2"/>
  <c r="BC128" i="2"/>
  <c r="AV128" i="2"/>
  <c r="AJ128" i="2"/>
  <c r="AO128" i="2"/>
  <c r="AL128" i="2"/>
  <c r="AH128" i="2"/>
  <c r="AM128" i="2"/>
  <c r="V128" i="2"/>
  <c r="AA128" i="2"/>
  <c r="Y128" i="2"/>
  <c r="X128" i="2"/>
  <c r="T128" i="2"/>
  <c r="M128" i="2"/>
  <c r="H128" i="2"/>
  <c r="F128" i="2"/>
  <c r="BZ127" i="2"/>
  <c r="CE127" i="2"/>
  <c r="CC127" i="2"/>
  <c r="CB127" i="2"/>
  <c r="BX127" i="2"/>
  <c r="BN127" i="2"/>
  <c r="BL127" i="2"/>
  <c r="BQ127" i="2"/>
  <c r="BJ127" i="2"/>
  <c r="BO127" i="2"/>
  <c r="AX127" i="2"/>
  <c r="BC127" i="2"/>
  <c r="BA127" i="2"/>
  <c r="AZ127" i="2"/>
  <c r="AV127" i="2"/>
  <c r="AL127" i="2"/>
  <c r="AJ127" i="2"/>
  <c r="AO127" i="2"/>
  <c r="AH127" i="2"/>
  <c r="AM127" i="2"/>
  <c r="V127" i="2"/>
  <c r="AA127" i="2"/>
  <c r="X127" i="2"/>
  <c r="T127" i="2"/>
  <c r="Y127" i="2"/>
  <c r="M127" i="2"/>
  <c r="H127" i="2"/>
  <c r="F127" i="2"/>
  <c r="BZ126" i="2"/>
  <c r="CE126" i="2"/>
  <c r="CB126" i="2"/>
  <c r="BX126" i="2"/>
  <c r="CC126" i="2"/>
  <c r="BN126" i="2"/>
  <c r="BL126" i="2"/>
  <c r="BQ126" i="2"/>
  <c r="BJ126" i="2"/>
  <c r="BO126" i="2"/>
  <c r="AZ126" i="2"/>
  <c r="AX126" i="2"/>
  <c r="BC126" i="2"/>
  <c r="AV126" i="2"/>
  <c r="BA126" i="2"/>
  <c r="AM126" i="2"/>
  <c r="AL126" i="2"/>
  <c r="AJ126" i="2"/>
  <c r="AO126" i="2"/>
  <c r="AH126" i="2"/>
  <c r="X126" i="2"/>
  <c r="V126" i="2"/>
  <c r="AA126" i="2"/>
  <c r="T126" i="2"/>
  <c r="Y126" i="2"/>
  <c r="M126" i="2"/>
  <c r="H126" i="2"/>
  <c r="F126" i="2"/>
  <c r="CC125" i="2"/>
  <c r="CB125" i="2"/>
  <c r="CE125" i="2"/>
  <c r="BX125" i="2"/>
  <c r="BT125" i="2"/>
  <c r="BL125" i="2"/>
  <c r="BQ125" i="2"/>
  <c r="BN125" i="2"/>
  <c r="BJ125" i="2"/>
  <c r="BO125" i="2"/>
  <c r="BF125" i="2"/>
  <c r="BA125" i="2"/>
  <c r="AZ125" i="2"/>
  <c r="AX125" i="2"/>
  <c r="BC125" i="2"/>
  <c r="AV125" i="2"/>
  <c r="AR125" i="2"/>
  <c r="AM125" i="2"/>
  <c r="AL125" i="2"/>
  <c r="AJ125" i="2"/>
  <c r="AO125" i="2"/>
  <c r="AH125" i="2"/>
  <c r="AD125" i="2"/>
  <c r="V125" i="2"/>
  <c r="AA125" i="2"/>
  <c r="X125" i="2"/>
  <c r="T125" i="2"/>
  <c r="Y125" i="2"/>
  <c r="P125" i="2"/>
  <c r="M125" i="2"/>
  <c r="H125" i="2"/>
  <c r="F125" i="2"/>
  <c r="BZ124" i="2"/>
  <c r="CE124" i="2"/>
  <c r="CB124" i="2"/>
  <c r="BX124" i="2"/>
  <c r="CC124" i="2"/>
  <c r="BL124" i="2"/>
  <c r="BQ124" i="2"/>
  <c r="BO124" i="2"/>
  <c r="BN124" i="2"/>
  <c r="BJ124" i="2"/>
  <c r="AZ124" i="2"/>
  <c r="AX124" i="2"/>
  <c r="BC124" i="2"/>
  <c r="AV124" i="2"/>
  <c r="BA124" i="2"/>
  <c r="AM124" i="2"/>
  <c r="AL124" i="2"/>
  <c r="AJ124" i="2"/>
  <c r="AO124" i="2"/>
  <c r="AH124" i="2"/>
  <c r="X124" i="2"/>
  <c r="V124" i="2"/>
  <c r="AA124" i="2"/>
  <c r="T124" i="2"/>
  <c r="Y124" i="2"/>
  <c r="M124" i="2"/>
  <c r="H124" i="2"/>
  <c r="F124" i="2"/>
  <c r="CB123" i="2"/>
  <c r="BZ123" i="2"/>
  <c r="CE123" i="2"/>
  <c r="BX123" i="2"/>
  <c r="CC123" i="2"/>
  <c r="BO123" i="2"/>
  <c r="BN123" i="2"/>
  <c r="BL123" i="2"/>
  <c r="BQ123" i="2"/>
  <c r="BJ123" i="2"/>
  <c r="BA123" i="2"/>
  <c r="AZ123" i="2"/>
  <c r="AX123" i="2"/>
  <c r="BC123" i="2"/>
  <c r="AV123" i="2"/>
  <c r="AJ123" i="2"/>
  <c r="AO123" i="2"/>
  <c r="AM123" i="2"/>
  <c r="AL123" i="2"/>
  <c r="AH123" i="2"/>
  <c r="V123" i="2"/>
  <c r="AA123" i="2"/>
  <c r="X123" i="2"/>
  <c r="T123" i="2"/>
  <c r="Y123" i="2"/>
  <c r="M123" i="2"/>
  <c r="H123" i="2"/>
  <c r="F123" i="2"/>
  <c r="BZ122" i="2"/>
  <c r="CE122" i="2"/>
  <c r="CB122" i="2"/>
  <c r="BX122" i="2"/>
  <c r="CC122" i="2"/>
  <c r="BL122" i="2"/>
  <c r="BQ122" i="2"/>
  <c r="BN122" i="2"/>
  <c r="BJ122" i="2"/>
  <c r="BO122" i="2"/>
  <c r="AX122" i="2"/>
  <c r="BC122" i="2"/>
  <c r="BA122" i="2"/>
  <c r="AZ122" i="2"/>
  <c r="AV122" i="2"/>
  <c r="AL122" i="2"/>
  <c r="AJ122" i="2"/>
  <c r="AO122" i="2"/>
  <c r="AH122" i="2"/>
  <c r="AM122" i="2"/>
  <c r="V122" i="2"/>
  <c r="AA122" i="2"/>
  <c r="Y122" i="2"/>
  <c r="X122" i="2"/>
  <c r="T122" i="2"/>
  <c r="M122" i="2"/>
  <c r="H122" i="2"/>
  <c r="F122" i="2"/>
  <c r="CE121" i="2"/>
  <c r="CC121" i="2"/>
  <c r="CB121" i="2"/>
  <c r="BX121" i="2"/>
  <c r="BT121" i="2"/>
  <c r="BO121" i="2"/>
  <c r="BN121" i="2"/>
  <c r="BL121" i="2"/>
  <c r="BQ121" i="2"/>
  <c r="BJ121" i="2"/>
  <c r="BF121" i="2"/>
  <c r="AZ121" i="2"/>
  <c r="AX121" i="2"/>
  <c r="BC121" i="2"/>
  <c r="AV121" i="2"/>
  <c r="BA121" i="2"/>
  <c r="AR121" i="2"/>
  <c r="AJ121" i="2"/>
  <c r="AO121" i="2"/>
  <c r="AM121" i="2"/>
  <c r="AL121" i="2"/>
  <c r="AH121" i="2"/>
  <c r="AD121" i="2"/>
  <c r="X121" i="2"/>
  <c r="V121" i="2"/>
  <c r="AA121" i="2"/>
  <c r="T121" i="2"/>
  <c r="Y121" i="2"/>
  <c r="P121" i="2"/>
  <c r="M121" i="2"/>
  <c r="H121" i="2"/>
  <c r="F121" i="2"/>
  <c r="CC120" i="2"/>
  <c r="CB120" i="2"/>
  <c r="BZ120" i="2"/>
  <c r="CE120" i="2"/>
  <c r="BX120" i="2"/>
  <c r="BO120" i="2"/>
  <c r="BN120" i="2"/>
  <c r="BL120" i="2"/>
  <c r="BQ120" i="2"/>
  <c r="BJ120" i="2"/>
  <c r="AZ120" i="2"/>
  <c r="AX120" i="2"/>
  <c r="BC120" i="2"/>
  <c r="AV120" i="2"/>
  <c r="BA120" i="2"/>
  <c r="AJ120" i="2"/>
  <c r="AO120" i="2"/>
  <c r="AL120" i="2"/>
  <c r="AH120" i="2"/>
  <c r="AM120" i="2"/>
  <c r="Y120" i="2"/>
  <c r="X120" i="2"/>
  <c r="V120" i="2"/>
  <c r="AA120" i="2"/>
  <c r="T120" i="2"/>
  <c r="M120" i="2"/>
  <c r="H120" i="2"/>
  <c r="F120" i="2"/>
  <c r="CC119" i="2"/>
  <c r="CB119" i="2"/>
  <c r="BZ119" i="2"/>
  <c r="CE119" i="2"/>
  <c r="BX119" i="2"/>
  <c r="BN119" i="2"/>
  <c r="BL119" i="2"/>
  <c r="BQ119" i="2"/>
  <c r="BJ119" i="2"/>
  <c r="BO119" i="2"/>
  <c r="AX119" i="2"/>
  <c r="BC119" i="2"/>
  <c r="BA119" i="2"/>
  <c r="AZ119" i="2"/>
  <c r="AV119" i="2"/>
  <c r="AM119" i="2"/>
  <c r="AL119" i="2"/>
  <c r="AJ119" i="2"/>
  <c r="AO119" i="2"/>
  <c r="AH119" i="2"/>
  <c r="V119" i="2"/>
  <c r="AA119" i="2"/>
  <c r="X119" i="2"/>
  <c r="T119" i="2"/>
  <c r="Y119" i="2"/>
  <c r="M119" i="2"/>
  <c r="H119" i="2"/>
  <c r="F119" i="2"/>
  <c r="BZ118" i="2"/>
  <c r="CE118" i="2"/>
  <c r="CB118" i="2"/>
  <c r="BX118" i="2"/>
  <c r="BL118" i="2"/>
  <c r="BQ118" i="2"/>
  <c r="BN118" i="2"/>
  <c r="BJ118" i="2"/>
  <c r="AX118" i="2"/>
  <c r="BC118" i="2"/>
  <c r="AZ118" i="2"/>
  <c r="AV118" i="2"/>
  <c r="AJ118" i="2"/>
  <c r="AO118" i="2"/>
  <c r="AL118" i="2"/>
  <c r="AH118" i="2"/>
  <c r="V118" i="2"/>
  <c r="AA118" i="2"/>
  <c r="X118" i="2"/>
  <c r="T118" i="2"/>
  <c r="M118" i="2"/>
  <c r="H118" i="2"/>
  <c r="F118" i="2"/>
  <c r="CC117" i="2"/>
  <c r="CB117" i="2"/>
  <c r="CE117" i="2"/>
  <c r="BX117" i="2"/>
  <c r="BT117" i="2"/>
  <c r="BL117" i="2"/>
  <c r="BQ117" i="2"/>
  <c r="BO117" i="2"/>
  <c r="BN117" i="2"/>
  <c r="BJ117" i="2"/>
  <c r="BF117" i="2"/>
  <c r="AZ117" i="2"/>
  <c r="AX117" i="2"/>
  <c r="BC117" i="2"/>
  <c r="AV117" i="2"/>
  <c r="BA117" i="2"/>
  <c r="AR117" i="2"/>
  <c r="AM117" i="2"/>
  <c r="AL117" i="2"/>
  <c r="AJ117" i="2"/>
  <c r="AO117" i="2"/>
  <c r="AH117" i="2"/>
  <c r="AD117" i="2"/>
  <c r="V117" i="2"/>
  <c r="AA117" i="2"/>
  <c r="Y117" i="2"/>
  <c r="X117" i="2"/>
  <c r="T117" i="2"/>
  <c r="P117" i="2"/>
  <c r="M117" i="2"/>
  <c r="H117" i="2"/>
  <c r="F117" i="2"/>
  <c r="CB116" i="2"/>
  <c r="BZ116" i="2"/>
  <c r="CE116" i="2"/>
  <c r="BX116" i="2"/>
  <c r="CC116" i="2"/>
  <c r="BL116" i="2"/>
  <c r="BQ116" i="2"/>
  <c r="BN116" i="2"/>
  <c r="BJ116" i="2"/>
  <c r="BO116" i="2"/>
  <c r="AZ116" i="2"/>
  <c r="AX116" i="2"/>
  <c r="BC116" i="2"/>
  <c r="AV116" i="2"/>
  <c r="BA116" i="2"/>
  <c r="AL116" i="2"/>
  <c r="AJ116" i="2"/>
  <c r="AO116" i="2"/>
  <c r="AH116" i="2"/>
  <c r="AM116" i="2"/>
  <c r="V116" i="2"/>
  <c r="AA116" i="2"/>
  <c r="X116" i="2"/>
  <c r="T116" i="2"/>
  <c r="Y116" i="2"/>
  <c r="M116" i="2"/>
  <c r="H116" i="2"/>
  <c r="F116" i="2"/>
  <c r="BZ115" i="2"/>
  <c r="CE115" i="2"/>
  <c r="CC115" i="2"/>
  <c r="CB115" i="2"/>
  <c r="BX115" i="2"/>
  <c r="BN115" i="2"/>
  <c r="BL115" i="2"/>
  <c r="BQ115" i="2"/>
  <c r="BJ115" i="2"/>
  <c r="BO115" i="2"/>
  <c r="AZ115" i="2"/>
  <c r="AX115" i="2"/>
  <c r="BC115" i="2"/>
  <c r="AV115" i="2"/>
  <c r="BA115" i="2"/>
  <c r="AL115" i="2"/>
  <c r="AJ115" i="2"/>
  <c r="AO115" i="2"/>
  <c r="AH115" i="2"/>
  <c r="AM115" i="2"/>
  <c r="V115" i="2"/>
  <c r="AA115" i="2"/>
  <c r="X115" i="2"/>
  <c r="T115" i="2"/>
  <c r="Y115" i="2"/>
  <c r="M115" i="2"/>
  <c r="H115" i="2"/>
  <c r="F115" i="2"/>
  <c r="BZ114" i="2"/>
  <c r="CE114" i="2"/>
  <c r="CB114" i="2"/>
  <c r="BX114" i="2"/>
  <c r="CC114" i="2"/>
  <c r="BN114" i="2"/>
  <c r="BL114" i="2"/>
  <c r="BQ114" i="2"/>
  <c r="BJ114" i="2"/>
  <c r="BO114" i="2"/>
  <c r="AZ114" i="2"/>
  <c r="AX114" i="2"/>
  <c r="BC114" i="2"/>
  <c r="AV114" i="2"/>
  <c r="BA114" i="2"/>
  <c r="AL114" i="2"/>
  <c r="AJ114" i="2"/>
  <c r="AO114" i="2"/>
  <c r="AH114" i="2"/>
  <c r="AM114" i="2"/>
  <c r="X114" i="2"/>
  <c r="V114" i="2"/>
  <c r="AA114" i="2"/>
  <c r="T114" i="2"/>
  <c r="Y114" i="2"/>
  <c r="M114" i="2"/>
  <c r="H114" i="2"/>
  <c r="F114" i="2"/>
  <c r="CB113" i="2"/>
  <c r="CE113" i="2"/>
  <c r="BX113" i="2"/>
  <c r="CC113" i="2"/>
  <c r="BT113" i="2"/>
  <c r="BL113" i="2"/>
  <c r="BQ113" i="2"/>
  <c r="BN113" i="2"/>
  <c r="BJ113" i="2"/>
  <c r="BO113" i="2"/>
  <c r="BF113" i="2"/>
  <c r="AR113" i="2"/>
  <c r="AD113" i="2"/>
  <c r="Y113" i="2"/>
  <c r="X113" i="2"/>
  <c r="V113" i="2"/>
  <c r="AA113" i="2"/>
  <c r="T113" i="2"/>
  <c r="P113" i="2"/>
  <c r="M113" i="2"/>
  <c r="H113" i="2"/>
  <c r="F113" i="2"/>
  <c r="M112" i="2"/>
  <c r="H112" i="2"/>
  <c r="F112" i="2"/>
  <c r="M111" i="2"/>
  <c r="H111" i="2"/>
  <c r="F111" i="2"/>
  <c r="M110" i="2"/>
  <c r="H110" i="2"/>
  <c r="F110" i="2"/>
  <c r="P109" i="2"/>
  <c r="M109" i="2"/>
  <c r="H109" i="2"/>
  <c r="F109" i="2"/>
  <c r="T108" i="2"/>
  <c r="M108" i="2"/>
  <c r="H108" i="2"/>
  <c r="F108" i="2"/>
  <c r="T107" i="2"/>
  <c r="M107" i="2"/>
  <c r="H107" i="2"/>
  <c r="F107" i="2"/>
  <c r="T106" i="2"/>
  <c r="M106" i="2"/>
  <c r="H106" i="2"/>
  <c r="F106" i="2"/>
  <c r="BT105" i="2"/>
  <c r="BF105" i="2"/>
  <c r="AR105" i="2"/>
  <c r="AD105" i="2"/>
  <c r="T105" i="2"/>
  <c r="P105" i="2"/>
  <c r="M105" i="2"/>
  <c r="H105" i="2"/>
  <c r="F105" i="2"/>
  <c r="T104" i="2"/>
  <c r="M104" i="2"/>
  <c r="H104" i="2"/>
  <c r="F104" i="2"/>
  <c r="T103" i="2"/>
  <c r="M103" i="2"/>
  <c r="H103" i="2"/>
  <c r="F103" i="2"/>
  <c r="T102" i="2"/>
  <c r="M102" i="2"/>
  <c r="H102" i="2"/>
  <c r="F102" i="2"/>
  <c r="BT101" i="2"/>
  <c r="BF101" i="2"/>
  <c r="AR101" i="2"/>
  <c r="AD101" i="2"/>
  <c r="T101" i="2"/>
  <c r="P101" i="2"/>
  <c r="M101" i="2"/>
  <c r="H101" i="2"/>
  <c r="F101" i="2"/>
  <c r="T100" i="2"/>
  <c r="M100" i="2"/>
  <c r="J100" i="2"/>
  <c r="H100" i="2"/>
  <c r="F100" i="2"/>
  <c r="T99" i="2"/>
  <c r="M99" i="2"/>
  <c r="J99" i="2"/>
  <c r="H99" i="2"/>
  <c r="F99" i="2"/>
  <c r="T98" i="2"/>
  <c r="M98" i="2"/>
  <c r="J98" i="2"/>
  <c r="H98" i="2"/>
  <c r="F98" i="2"/>
  <c r="BT97" i="2"/>
  <c r="BF97" i="2"/>
  <c r="AR97" i="2"/>
  <c r="AD97" i="2"/>
  <c r="T97" i="2"/>
  <c r="P97" i="2"/>
  <c r="M97" i="2"/>
  <c r="J97" i="2"/>
  <c r="H97" i="2"/>
  <c r="F97" i="2"/>
  <c r="X96" i="2"/>
  <c r="X100" i="2"/>
  <c r="X104" i="2"/>
  <c r="T96" i="2"/>
  <c r="M96" i="2"/>
  <c r="J96" i="2"/>
  <c r="H96" i="2"/>
  <c r="F96" i="2"/>
  <c r="T95" i="2"/>
  <c r="M95" i="2"/>
  <c r="J95" i="2"/>
  <c r="H95" i="2"/>
  <c r="F95" i="2"/>
  <c r="T94" i="2"/>
  <c r="M94" i="2"/>
  <c r="J94" i="2"/>
  <c r="H94" i="2"/>
  <c r="F94" i="2"/>
  <c r="BT93" i="2"/>
  <c r="BF93" i="2"/>
  <c r="AR93" i="2"/>
  <c r="AD93" i="2"/>
  <c r="T93" i="2"/>
  <c r="P93" i="2"/>
  <c r="M93" i="2"/>
  <c r="J93" i="2"/>
  <c r="H93" i="2"/>
  <c r="F93" i="2"/>
  <c r="T92" i="2"/>
  <c r="M92" i="2"/>
  <c r="J92" i="2"/>
  <c r="H92" i="2"/>
  <c r="F92" i="2"/>
  <c r="T91" i="2"/>
  <c r="J91" i="2"/>
  <c r="T90" i="2"/>
  <c r="M90" i="2"/>
  <c r="J90" i="2"/>
  <c r="H90" i="2"/>
  <c r="F90" i="2"/>
  <c r="BT89" i="2"/>
  <c r="BF89" i="2"/>
  <c r="AR89" i="2"/>
  <c r="AD89" i="2"/>
  <c r="T89" i="2"/>
  <c r="P89" i="2"/>
  <c r="M89" i="2"/>
  <c r="J89" i="2"/>
  <c r="H89" i="2"/>
  <c r="F89" i="2"/>
  <c r="BL145" i="2"/>
  <c r="T88" i="2"/>
  <c r="M88" i="2"/>
  <c r="J88" i="2"/>
  <c r="H88" i="2"/>
  <c r="F88" i="2"/>
  <c r="X99" i="2"/>
  <c r="X107" i="2"/>
  <c r="T87" i="2"/>
  <c r="M87" i="2"/>
  <c r="J87" i="2"/>
  <c r="H87" i="2"/>
  <c r="F87" i="2"/>
  <c r="T86" i="2"/>
  <c r="M86" i="2"/>
  <c r="J86" i="2"/>
  <c r="H86" i="2"/>
  <c r="F86" i="2"/>
  <c r="BT85" i="2"/>
  <c r="BF85" i="2"/>
  <c r="AR85" i="2"/>
  <c r="AD85" i="2"/>
  <c r="X93" i="2"/>
  <c r="X101" i="2"/>
  <c r="X105" i="2"/>
  <c r="T85" i="2"/>
  <c r="P85" i="2"/>
  <c r="T84" i="2"/>
  <c r="F84" i="2"/>
  <c r="T83" i="2"/>
  <c r="F83" i="2"/>
  <c r="X94" i="2"/>
  <c r="X98" i="2"/>
  <c r="X102" i="2"/>
  <c r="X106" i="2"/>
  <c r="T82" i="2"/>
  <c r="F82" i="2"/>
  <c r="BT81" i="2"/>
  <c r="BF81" i="2"/>
  <c r="AR81" i="2"/>
  <c r="AD81" i="2"/>
  <c r="T81" i="2"/>
  <c r="P81" i="2"/>
  <c r="F81" i="2"/>
  <c r="F80" i="2"/>
  <c r="F79" i="2"/>
  <c r="M80" i="2"/>
  <c r="J78" i="2"/>
  <c r="J79" i="2"/>
  <c r="J80" i="2"/>
  <c r="J81" i="2"/>
  <c r="J82" i="2"/>
  <c r="J83" i="2"/>
  <c r="J84" i="2"/>
  <c r="F78" i="2"/>
  <c r="A208" i="2"/>
  <c r="K152" i="2"/>
  <c r="H152" i="2"/>
  <c r="L152" i="2"/>
  <c r="K153" i="2"/>
  <c r="K154" i="2"/>
  <c r="H153" i="2"/>
  <c r="L153" i="2"/>
  <c r="H154" i="2"/>
  <c r="H155" i="2"/>
  <c r="H156" i="2"/>
  <c r="H157" i="2"/>
  <c r="H158" i="2"/>
  <c r="K160" i="2"/>
  <c r="L160" i="2"/>
  <c r="M160" i="2"/>
  <c r="K161" i="2"/>
  <c r="L161" i="2"/>
  <c r="M161" i="2"/>
  <c r="K162" i="2"/>
  <c r="L162" i="2"/>
  <c r="M162" i="2"/>
  <c r="K163" i="2"/>
  <c r="L163" i="2"/>
  <c r="M163" i="2"/>
  <c r="K164" i="2"/>
  <c r="L164" i="2"/>
  <c r="M164" i="2"/>
  <c r="K166" i="2"/>
  <c r="L166" i="2"/>
  <c r="K167" i="2"/>
  <c r="L167" i="2"/>
  <c r="M167" i="2"/>
  <c r="K168" i="2"/>
  <c r="L168" i="2"/>
  <c r="M168" i="2"/>
  <c r="K169" i="2"/>
  <c r="L169" i="2"/>
  <c r="K170" i="2"/>
  <c r="L170" i="2"/>
  <c r="K171" i="2"/>
  <c r="L171" i="2"/>
  <c r="M171" i="2"/>
  <c r="K172" i="2"/>
  <c r="L172" i="2"/>
  <c r="M172" i="2"/>
  <c r="K173" i="2"/>
  <c r="L173" i="2"/>
  <c r="M173" i="2"/>
  <c r="K174" i="2"/>
  <c r="L174" i="2"/>
  <c r="M174" i="2"/>
  <c r="K175" i="2"/>
  <c r="L175" i="2"/>
  <c r="K176" i="2"/>
  <c r="L176" i="2"/>
  <c r="M176" i="2"/>
  <c r="K177" i="2"/>
  <c r="L177" i="2"/>
  <c r="M177" i="2"/>
  <c r="K178" i="2"/>
  <c r="L178" i="2"/>
  <c r="M178" i="2"/>
  <c r="K179" i="2"/>
  <c r="L179" i="2"/>
  <c r="M179" i="2"/>
  <c r="K180" i="2"/>
  <c r="L180" i="2"/>
  <c r="M180" i="2"/>
  <c r="L181" i="2"/>
  <c r="L182" i="2"/>
  <c r="L183" i="2"/>
  <c r="L184" i="2"/>
  <c r="L185" i="2"/>
  <c r="L186" i="2"/>
  <c r="L187" i="2"/>
  <c r="M187" i="2"/>
  <c r="L188" i="2"/>
  <c r="M188" i="2"/>
  <c r="L189" i="2"/>
  <c r="L190" i="2"/>
  <c r="L191" i="2"/>
  <c r="L192" i="2"/>
  <c r="L193" i="2"/>
  <c r="L194" i="2"/>
  <c r="L195" i="2"/>
  <c r="L196" i="2"/>
  <c r="M196" i="2"/>
  <c r="L197" i="2"/>
  <c r="L198" i="2"/>
  <c r="L199" i="2"/>
  <c r="M199" i="2"/>
  <c r="L200" i="2"/>
  <c r="L201" i="2"/>
  <c r="L202" i="2"/>
  <c r="L203" i="2"/>
  <c r="L204" i="2"/>
  <c r="V155" i="2"/>
  <c r="R155" i="2"/>
  <c r="Y155" i="2"/>
  <c r="Z155" i="2"/>
  <c r="V156" i="2"/>
  <c r="R156" i="2"/>
  <c r="Y156" i="2"/>
  <c r="Z156" i="2"/>
  <c r="R160" i="2"/>
  <c r="Y160" i="2"/>
  <c r="R164" i="2"/>
  <c r="Y164" i="2"/>
  <c r="V164" i="2"/>
  <c r="Z164" i="2"/>
  <c r="V157" i="2"/>
  <c r="R157" i="2"/>
  <c r="Y157" i="2"/>
  <c r="V158" i="2"/>
  <c r="R158" i="2"/>
  <c r="Y158" i="2"/>
  <c r="Z158" i="2"/>
  <c r="V159" i="2"/>
  <c r="R159" i="2"/>
  <c r="V160" i="2"/>
  <c r="V161" i="2"/>
  <c r="R161" i="2"/>
  <c r="Y161" i="2"/>
  <c r="Z161" i="2"/>
  <c r="AA161" i="2"/>
  <c r="V162" i="2"/>
  <c r="R162" i="2"/>
  <c r="Y162" i="2"/>
  <c r="V163" i="2"/>
  <c r="R163" i="2"/>
  <c r="V165" i="2"/>
  <c r="R165" i="2"/>
  <c r="D154" i="2"/>
  <c r="R166" i="2"/>
  <c r="AF163" i="2"/>
  <c r="AF164" i="2"/>
  <c r="AF165" i="2"/>
  <c r="AF166" i="2"/>
  <c r="B154" i="2"/>
  <c r="V166" i="2"/>
  <c r="V167" i="2"/>
  <c r="R167" i="2"/>
  <c r="V168" i="2"/>
  <c r="R168" i="2"/>
  <c r="V169" i="2"/>
  <c r="R169" i="2"/>
  <c r="V170" i="2"/>
  <c r="R170" i="2"/>
  <c r="Y170" i="2"/>
  <c r="Z170" i="2"/>
  <c r="V171" i="2"/>
  <c r="R171" i="2"/>
  <c r="V172" i="2"/>
  <c r="R172" i="2"/>
  <c r="V173" i="2"/>
  <c r="R173" i="2"/>
  <c r="V174" i="2"/>
  <c r="R174" i="2"/>
  <c r="V175" i="2"/>
  <c r="R175" i="2"/>
  <c r="V176" i="2"/>
  <c r="R176" i="2"/>
  <c r="V177" i="2"/>
  <c r="R177" i="2"/>
  <c r="V178" i="2"/>
  <c r="R178" i="2"/>
  <c r="V179" i="2"/>
  <c r="R179" i="2"/>
  <c r="V180" i="2"/>
  <c r="R180" i="2"/>
  <c r="V181" i="2"/>
  <c r="V182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AJ155" i="2"/>
  <c r="AF155" i="2"/>
  <c r="AM155" i="2"/>
  <c r="AJ156" i="2"/>
  <c r="AF156" i="2"/>
  <c r="AM156" i="2"/>
  <c r="AN156" i="2"/>
  <c r="AJ157" i="2"/>
  <c r="AF157" i="2"/>
  <c r="AM157" i="2"/>
  <c r="AN157" i="2"/>
  <c r="AJ158" i="2"/>
  <c r="AF158" i="2"/>
  <c r="AM158" i="2"/>
  <c r="AJ159" i="2"/>
  <c r="AF159" i="2"/>
  <c r="AJ160" i="2"/>
  <c r="AF160" i="2"/>
  <c r="AM160" i="2"/>
  <c r="AN160" i="2"/>
  <c r="AO160" i="2"/>
  <c r="AJ161" i="2"/>
  <c r="AF161" i="2"/>
  <c r="AM161" i="2"/>
  <c r="AJ162" i="2"/>
  <c r="AF162" i="2"/>
  <c r="AM162" i="2"/>
  <c r="AN162" i="2"/>
  <c r="AJ163" i="2"/>
  <c r="AJ164" i="2"/>
  <c r="AM164" i="2"/>
  <c r="AJ165" i="2"/>
  <c r="AJ166" i="2"/>
  <c r="AM166" i="2"/>
  <c r="AN166" i="2"/>
  <c r="AO166" i="2"/>
  <c r="AJ167" i="2"/>
  <c r="AF167" i="2"/>
  <c r="AJ168" i="2"/>
  <c r="AF168" i="2"/>
  <c r="AJ169" i="2"/>
  <c r="AF169" i="2"/>
  <c r="AJ170" i="2"/>
  <c r="AF170" i="2"/>
  <c r="AM170" i="2"/>
  <c r="AJ171" i="2"/>
  <c r="AF171" i="2"/>
  <c r="AJ172" i="2"/>
  <c r="AF172" i="2"/>
  <c r="AJ173" i="2"/>
  <c r="AF173" i="2"/>
  <c r="AJ174" i="2"/>
  <c r="AF174" i="2"/>
  <c r="AJ175" i="2"/>
  <c r="AF175" i="2"/>
  <c r="AJ176" i="2"/>
  <c r="AF176" i="2"/>
  <c r="AJ177" i="2"/>
  <c r="AF177" i="2"/>
  <c r="AJ178" i="2"/>
  <c r="AF178" i="2"/>
  <c r="AJ179" i="2"/>
  <c r="AJ180" i="2"/>
  <c r="AJ181" i="2"/>
  <c r="AJ182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X159" i="2"/>
  <c r="BB159" i="2"/>
  <c r="AX160" i="2"/>
  <c r="BB160" i="2"/>
  <c r="AX161" i="2"/>
  <c r="BB161" i="2"/>
  <c r="AX162" i="2"/>
  <c r="AX163" i="2"/>
  <c r="BA163" i="2"/>
  <c r="AX164" i="2"/>
  <c r="BA164" i="2"/>
  <c r="BB164" i="2"/>
  <c r="BC164" i="2"/>
  <c r="AX165" i="2"/>
  <c r="BA165" i="2"/>
  <c r="BB165" i="2"/>
  <c r="BC165" i="2"/>
  <c r="BA169" i="2"/>
  <c r="AX166" i="2"/>
  <c r="BA166" i="2"/>
  <c r="AX167" i="2"/>
  <c r="AX168" i="2"/>
  <c r="BA168" i="2"/>
  <c r="BB168" i="2"/>
  <c r="AX169" i="2"/>
  <c r="AX170" i="2"/>
  <c r="AX171" i="2"/>
  <c r="AX172" i="2"/>
  <c r="BA172" i="2"/>
  <c r="AX173" i="2"/>
  <c r="AX174" i="2"/>
  <c r="AX175" i="2"/>
  <c r="AX176" i="2"/>
  <c r="BA176" i="2"/>
  <c r="AX177" i="2"/>
  <c r="AX178" i="2"/>
  <c r="AX179" i="2"/>
  <c r="AX180" i="2"/>
  <c r="AX181" i="2"/>
  <c r="AX182" i="2"/>
  <c r="BB182" i="2"/>
  <c r="BC182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L159" i="2"/>
  <c r="BL160" i="2"/>
  <c r="BP160" i="2"/>
  <c r="BL161" i="2"/>
  <c r="BL162" i="2"/>
  <c r="BP162" i="2"/>
  <c r="BL163" i="2"/>
  <c r="BO163" i="2"/>
  <c r="BP163" i="2"/>
  <c r="BQ163" i="2"/>
  <c r="BL164" i="2"/>
  <c r="BO164" i="2"/>
  <c r="BL165" i="2"/>
  <c r="BO165" i="2"/>
  <c r="BL166" i="2"/>
  <c r="BO166" i="2"/>
  <c r="BP166" i="2"/>
  <c r="BL167" i="2"/>
  <c r="BO167" i="2"/>
  <c r="BO171" i="2"/>
  <c r="BL168" i="2"/>
  <c r="BO168" i="2"/>
  <c r="BL169" i="2"/>
  <c r="BO169" i="2"/>
  <c r="BP169" i="2"/>
  <c r="BQ169" i="2"/>
  <c r="BL170" i="2"/>
  <c r="BO170" i="2"/>
  <c r="BP170" i="2"/>
  <c r="BQ170" i="2"/>
  <c r="BL171" i="2"/>
  <c r="BL172" i="2"/>
  <c r="BP172" i="2"/>
  <c r="BL173" i="2"/>
  <c r="BO173" i="2"/>
  <c r="BP173" i="2"/>
  <c r="BQ173" i="2"/>
  <c r="BL174" i="2"/>
  <c r="BL175" i="2"/>
  <c r="BL176" i="2"/>
  <c r="BO176" i="2"/>
  <c r="BP176" i="2"/>
  <c r="BQ176" i="2"/>
  <c r="BL177" i="2"/>
  <c r="BO177" i="2"/>
  <c r="BO181" i="2"/>
  <c r="BL178" i="2"/>
  <c r="BL179" i="2"/>
  <c r="BL180" i="2"/>
  <c r="BL181" i="2"/>
  <c r="BL182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Z159" i="2"/>
  <c r="CD159" i="2"/>
  <c r="BZ160" i="2"/>
  <c r="BZ161" i="2"/>
  <c r="BZ162" i="2"/>
  <c r="CD162" i="2"/>
  <c r="CE162" i="2"/>
  <c r="BZ163" i="2"/>
  <c r="CC163" i="2"/>
  <c r="CD163" i="2"/>
  <c r="BZ164" i="2"/>
  <c r="CC164" i="2"/>
  <c r="BZ165" i="2"/>
  <c r="CC165" i="2"/>
  <c r="CD165" i="2"/>
  <c r="BZ166" i="2"/>
  <c r="CC166" i="2"/>
  <c r="CD166" i="2"/>
  <c r="CE166" i="2"/>
  <c r="BZ167" i="2"/>
  <c r="CC167" i="2"/>
  <c r="BZ168" i="2"/>
  <c r="CC168" i="2"/>
  <c r="CD168" i="2"/>
  <c r="BZ169" i="2"/>
  <c r="BZ170" i="2"/>
  <c r="CC170" i="2"/>
  <c r="BZ171" i="2"/>
  <c r="BZ172" i="2"/>
  <c r="CC172" i="2"/>
  <c r="CD172" i="2"/>
  <c r="CE172" i="2"/>
  <c r="BZ173" i="2"/>
  <c r="BZ174" i="2"/>
  <c r="BZ175" i="2"/>
  <c r="BZ176" i="2"/>
  <c r="CD176" i="2"/>
  <c r="BZ177" i="2"/>
  <c r="BZ178" i="2"/>
  <c r="BZ179" i="2"/>
  <c r="BZ180" i="2"/>
  <c r="BZ181" i="2"/>
  <c r="BZ182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D226" i="2"/>
  <c r="R229" i="2"/>
  <c r="R230" i="2"/>
  <c r="R231" i="2"/>
  <c r="R232" i="2"/>
  <c r="AF229" i="2"/>
  <c r="AF230" i="2"/>
  <c r="AF231" i="2"/>
  <c r="AF232" i="2"/>
  <c r="B226" i="2"/>
  <c r="J152" i="2"/>
  <c r="J153" i="2"/>
  <c r="J154" i="2"/>
  <c r="J155" i="2"/>
  <c r="J156" i="2"/>
  <c r="J157" i="2"/>
  <c r="J158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CC187" i="2"/>
  <c r="CC188" i="2"/>
  <c r="CC189" i="2"/>
  <c r="CC201" i="2"/>
  <c r="BO180" i="2"/>
  <c r="BP180" i="2"/>
  <c r="BH217" i="2"/>
  <c r="BO197" i="2"/>
  <c r="BO199" i="2"/>
  <c r="BO202" i="2"/>
  <c r="BA190" i="2"/>
  <c r="BA194" i="2"/>
  <c r="AF179" i="2"/>
  <c r="AF180" i="2"/>
  <c r="R181" i="2"/>
  <c r="R182" i="2"/>
  <c r="AF181" i="2"/>
  <c r="AF182" i="2"/>
  <c r="D158" i="2"/>
  <c r="D157" i="2"/>
  <c r="D156" i="2"/>
  <c r="D155" i="2"/>
  <c r="D152" i="2"/>
  <c r="D153" i="2"/>
  <c r="B162" i="2"/>
  <c r="B161" i="2"/>
  <c r="B160" i="2"/>
  <c r="B163" i="2"/>
  <c r="B164" i="2"/>
  <c r="BX159" i="2"/>
  <c r="CB159" i="2"/>
  <c r="BX160" i="2"/>
  <c r="CB160" i="2"/>
  <c r="CB164" i="2"/>
  <c r="CB168" i="2"/>
  <c r="CB172" i="2"/>
  <c r="BX161" i="2"/>
  <c r="CB161" i="2"/>
  <c r="BX162" i="2"/>
  <c r="CB162" i="2"/>
  <c r="BX163" i="2"/>
  <c r="CB163" i="2"/>
  <c r="CB167" i="2"/>
  <c r="CB171" i="2"/>
  <c r="CB175" i="2"/>
  <c r="CB179" i="2"/>
  <c r="BX164" i="2"/>
  <c r="BX165" i="2"/>
  <c r="CB165" i="2"/>
  <c r="BX166" i="2"/>
  <c r="CB166" i="2"/>
  <c r="BX167" i="2"/>
  <c r="BX168" i="2"/>
  <c r="BX169" i="2"/>
  <c r="CB169" i="2"/>
  <c r="BX170" i="2"/>
  <c r="CB170" i="2"/>
  <c r="BX171" i="2"/>
  <c r="BX172" i="2"/>
  <c r="BX173" i="2"/>
  <c r="CB173" i="2"/>
  <c r="BX174" i="2"/>
  <c r="CB174" i="2"/>
  <c r="BX175" i="2"/>
  <c r="BX176" i="2"/>
  <c r="BX177" i="2"/>
  <c r="CB177" i="2"/>
  <c r="CB181" i="2"/>
  <c r="BX178" i="2"/>
  <c r="CB178" i="2"/>
  <c r="BX179" i="2"/>
  <c r="BX180" i="2"/>
  <c r="CB180" i="2"/>
  <c r="CC180" i="2"/>
  <c r="CD180" i="2"/>
  <c r="CE180" i="2"/>
  <c r="BX181" i="2"/>
  <c r="BX182" i="2"/>
  <c r="CB182" i="2"/>
  <c r="BJ159" i="2"/>
  <c r="BN159" i="2"/>
  <c r="BN163" i="2"/>
  <c r="BN167" i="2"/>
  <c r="BN171" i="2"/>
  <c r="BN175" i="2"/>
  <c r="BJ160" i="2"/>
  <c r="BN160" i="2"/>
  <c r="BQ160" i="2"/>
  <c r="BJ161" i="2"/>
  <c r="BN161" i="2"/>
  <c r="BN165" i="2"/>
  <c r="BN169" i="2"/>
  <c r="BN173" i="2"/>
  <c r="BN177" i="2"/>
  <c r="BN181" i="2"/>
  <c r="BJ162" i="2"/>
  <c r="BN162" i="2"/>
  <c r="BQ162" i="2"/>
  <c r="BJ163" i="2"/>
  <c r="BJ164" i="2"/>
  <c r="BN164" i="2"/>
  <c r="BN168" i="2"/>
  <c r="BJ165" i="2"/>
  <c r="BJ166" i="2"/>
  <c r="BN166" i="2"/>
  <c r="BQ166" i="2"/>
  <c r="BJ167" i="2"/>
  <c r="BJ168" i="2"/>
  <c r="BJ169" i="2"/>
  <c r="BJ170" i="2"/>
  <c r="BN170" i="2"/>
  <c r="BN174" i="2"/>
  <c r="BN178" i="2"/>
  <c r="BN182" i="2"/>
  <c r="BJ171" i="2"/>
  <c r="BJ172" i="2"/>
  <c r="BQ172" i="2"/>
  <c r="BJ173" i="2"/>
  <c r="BJ174" i="2"/>
  <c r="BJ175" i="2"/>
  <c r="BJ176" i="2"/>
  <c r="BN176" i="2"/>
  <c r="BJ177" i="2"/>
  <c r="BJ178" i="2"/>
  <c r="BJ179" i="2"/>
  <c r="BN179" i="2"/>
  <c r="BJ180" i="2"/>
  <c r="BN180" i="2"/>
  <c r="BJ181" i="2"/>
  <c r="BJ182" i="2"/>
  <c r="AV159" i="2"/>
  <c r="AZ159" i="2"/>
  <c r="AZ163" i="2"/>
  <c r="AZ167" i="2"/>
  <c r="AZ171" i="2"/>
  <c r="AZ175" i="2"/>
  <c r="AZ179" i="2"/>
  <c r="BA155" i="2"/>
  <c r="BC159" i="2"/>
  <c r="AV160" i="2"/>
  <c r="AZ160" i="2"/>
  <c r="AZ164" i="2"/>
  <c r="AZ168" i="2"/>
  <c r="AZ172" i="2"/>
  <c r="AZ176" i="2"/>
  <c r="AZ180" i="2"/>
  <c r="AV161" i="2"/>
  <c r="AZ161" i="2"/>
  <c r="AZ165" i="2"/>
  <c r="AZ169" i="2"/>
  <c r="AZ173" i="2"/>
  <c r="BC161" i="2"/>
  <c r="AV162" i="2"/>
  <c r="AZ162" i="2"/>
  <c r="AZ166" i="2"/>
  <c r="AV163" i="2"/>
  <c r="AV164" i="2"/>
  <c r="AV165" i="2"/>
  <c r="AV166" i="2"/>
  <c r="AV167" i="2"/>
  <c r="AV168" i="2"/>
  <c r="AV169" i="2"/>
  <c r="AV170" i="2"/>
  <c r="AZ170" i="2"/>
  <c r="AZ174" i="2"/>
  <c r="AZ178" i="2"/>
  <c r="AV171" i="2"/>
  <c r="AV172" i="2"/>
  <c r="AV173" i="2"/>
  <c r="AV174" i="2"/>
  <c r="AV175" i="2"/>
  <c r="AV176" i="2"/>
  <c r="AV177" i="2"/>
  <c r="AZ177" i="2"/>
  <c r="AZ181" i="2"/>
  <c r="AV178" i="2"/>
  <c r="AV179" i="2"/>
  <c r="AV180" i="2"/>
  <c r="AV181" i="2"/>
  <c r="AV182" i="2"/>
  <c r="AH159" i="2"/>
  <c r="AL155" i="2"/>
  <c r="AL159" i="2"/>
  <c r="AL163" i="2"/>
  <c r="AH160" i="2"/>
  <c r="AL156" i="2"/>
  <c r="AL160" i="2"/>
  <c r="AH161" i="2"/>
  <c r="AL157" i="2"/>
  <c r="AL161" i="2"/>
  <c r="AL165" i="2"/>
  <c r="AL169" i="2"/>
  <c r="AH162" i="2"/>
  <c r="AL158" i="2"/>
  <c r="AL162" i="2"/>
  <c r="AL166" i="2"/>
  <c r="AL170" i="2"/>
  <c r="AL174" i="2"/>
  <c r="AO162" i="2"/>
  <c r="AH163" i="2"/>
  <c r="AH164" i="2"/>
  <c r="AL164" i="2"/>
  <c r="AL168" i="2"/>
  <c r="AH165" i="2"/>
  <c r="AH166" i="2"/>
  <c r="AH167" i="2"/>
  <c r="AL167" i="2"/>
  <c r="AL171" i="2"/>
  <c r="AL175" i="2"/>
  <c r="AL179" i="2"/>
  <c r="AH168" i="2"/>
  <c r="AH169" i="2"/>
  <c r="AH170" i="2"/>
  <c r="AH171" i="2"/>
  <c r="AH172" i="2"/>
  <c r="AL172" i="2"/>
  <c r="AH173" i="2"/>
  <c r="AL173" i="2"/>
  <c r="AL177" i="2"/>
  <c r="AL181" i="2"/>
  <c r="AH174" i="2"/>
  <c r="AH175" i="2"/>
  <c r="AH176" i="2"/>
  <c r="AH177" i="2"/>
  <c r="AH178" i="2"/>
  <c r="AL178" i="2"/>
  <c r="AL182" i="2"/>
  <c r="AH179" i="2"/>
  <c r="AH180" i="2"/>
  <c r="AL180" i="2"/>
  <c r="AH181" i="2"/>
  <c r="AH182" i="2"/>
  <c r="X155" i="2"/>
  <c r="X159" i="2"/>
  <c r="X163" i="2"/>
  <c r="X167" i="2"/>
  <c r="X171" i="2"/>
  <c r="X175" i="2"/>
  <c r="X179" i="2"/>
  <c r="X156" i="2"/>
  <c r="X160" i="2"/>
  <c r="X164" i="2"/>
  <c r="X168" i="2"/>
  <c r="X172" i="2"/>
  <c r="X176" i="2"/>
  <c r="X180" i="2"/>
  <c r="X157" i="2"/>
  <c r="X161" i="2"/>
  <c r="X165" i="2"/>
  <c r="X169" i="2"/>
  <c r="X173" i="2"/>
  <c r="X170" i="2"/>
  <c r="X174" i="2"/>
  <c r="X177" i="2"/>
  <c r="X181" i="2"/>
  <c r="X178" i="2"/>
  <c r="X182" i="2"/>
  <c r="CC155" i="2"/>
  <c r="CE155" i="2"/>
  <c r="CC156" i="2"/>
  <c r="CE156" i="2"/>
  <c r="CC157" i="2"/>
  <c r="CE157" i="2"/>
  <c r="CC158" i="2"/>
  <c r="CE158" i="2"/>
  <c r="BO155" i="2"/>
  <c r="BQ155" i="2"/>
  <c r="BO156" i="2"/>
  <c r="BQ156" i="2"/>
  <c r="BO157" i="2"/>
  <c r="BQ157" i="2"/>
  <c r="BO158" i="2"/>
  <c r="BQ158" i="2"/>
  <c r="BC155" i="2"/>
  <c r="BA156" i="2"/>
  <c r="BC156" i="2"/>
  <c r="BA157" i="2"/>
  <c r="BC157" i="2"/>
  <c r="BA158" i="2"/>
  <c r="BC158" i="2"/>
  <c r="AH155" i="2"/>
  <c r="AH156" i="2"/>
  <c r="AH157" i="2"/>
  <c r="AO157" i="2"/>
  <c r="AH158" i="2"/>
  <c r="T155" i="2"/>
  <c r="AA155" i="2"/>
  <c r="T156" i="2"/>
  <c r="AA156" i="2"/>
  <c r="T157" i="2"/>
  <c r="T158" i="2"/>
  <c r="X158" i="2"/>
  <c r="AD155" i="2"/>
  <c r="AR155" i="2"/>
  <c r="BF155" i="2"/>
  <c r="BT155" i="2"/>
  <c r="F152" i="2"/>
  <c r="R187" i="2"/>
  <c r="Y187" i="2"/>
  <c r="R191" i="2"/>
  <c r="Y191" i="2"/>
  <c r="R195" i="2"/>
  <c r="R199" i="2"/>
  <c r="V187" i="2"/>
  <c r="V191" i="2"/>
  <c r="AA191" i="2"/>
  <c r="V195" i="2"/>
  <c r="AA195" i="2"/>
  <c r="V199" i="2"/>
  <c r="AA199" i="2"/>
  <c r="X216" i="2"/>
  <c r="Y216" i="2"/>
  <c r="AF187" i="2"/>
  <c r="AF191" i="2"/>
  <c r="AF195" i="2"/>
  <c r="AF199" i="2"/>
  <c r="AM199" i="2"/>
  <c r="AF216" i="2"/>
  <c r="AJ187" i="2"/>
  <c r="AO187" i="2"/>
  <c r="AJ191" i="2"/>
  <c r="AO191" i="2"/>
  <c r="AJ195" i="2"/>
  <c r="AJ199" i="2"/>
  <c r="AL216" i="2"/>
  <c r="AM216" i="2"/>
  <c r="AX187" i="2"/>
  <c r="BC187" i="2"/>
  <c r="AX191" i="2"/>
  <c r="BC191" i="2"/>
  <c r="AX195" i="2"/>
  <c r="BC195" i="2"/>
  <c r="AX199" i="2"/>
  <c r="AZ216" i="2"/>
  <c r="BA216" i="2"/>
  <c r="BL187" i="2"/>
  <c r="BQ187" i="2"/>
  <c r="BL191" i="2"/>
  <c r="BL195" i="2"/>
  <c r="BL199" i="2"/>
  <c r="BQ199" i="2"/>
  <c r="BN216" i="2"/>
  <c r="BO216" i="2"/>
  <c r="BZ187" i="2"/>
  <c r="BZ191" i="2"/>
  <c r="CE191" i="2"/>
  <c r="BZ195" i="2"/>
  <c r="CE195" i="2"/>
  <c r="BZ199" i="2"/>
  <c r="CE199" i="2"/>
  <c r="BZ216" i="2"/>
  <c r="CB216" i="2"/>
  <c r="CC216" i="2"/>
  <c r="R188" i="2"/>
  <c r="Y188" i="2"/>
  <c r="R192" i="2"/>
  <c r="R196" i="2"/>
  <c r="R200" i="2"/>
  <c r="Y200" i="2"/>
  <c r="V188" i="2"/>
  <c r="AA188" i="2"/>
  <c r="V192" i="2"/>
  <c r="V196" i="2"/>
  <c r="V200" i="2"/>
  <c r="V217" i="2"/>
  <c r="X217" i="2"/>
  <c r="Y217" i="2"/>
  <c r="AF188" i="2"/>
  <c r="AM188" i="2"/>
  <c r="AF192" i="2"/>
  <c r="AF196" i="2"/>
  <c r="AF200" i="2"/>
  <c r="AJ188" i="2"/>
  <c r="AO188" i="2"/>
  <c r="AJ192" i="2"/>
  <c r="AJ196" i="2"/>
  <c r="AO196" i="2"/>
  <c r="AJ200" i="2"/>
  <c r="AL217" i="2"/>
  <c r="AM217" i="2"/>
  <c r="AX188" i="2"/>
  <c r="AX192" i="2"/>
  <c r="BC192" i="2"/>
  <c r="AX196" i="2"/>
  <c r="BC196" i="2"/>
  <c r="AX200" i="2"/>
  <c r="AZ217" i="2"/>
  <c r="BA217" i="2"/>
  <c r="BL188" i="2"/>
  <c r="BL192" i="2"/>
  <c r="BL196" i="2"/>
  <c r="BQ196" i="2"/>
  <c r="BL200" i="2"/>
  <c r="BN217" i="2"/>
  <c r="BO217" i="2"/>
  <c r="BZ188" i="2"/>
  <c r="BZ192" i="2"/>
  <c r="BZ196" i="2"/>
  <c r="BZ200" i="2"/>
  <c r="BZ217" i="2"/>
  <c r="CE196" i="2"/>
  <c r="CB217" i="2"/>
  <c r="CC217" i="2"/>
  <c r="R189" i="2"/>
  <c r="Y189" i="2"/>
  <c r="R193" i="2"/>
  <c r="Y193" i="2"/>
  <c r="R197" i="2"/>
  <c r="R201" i="2"/>
  <c r="V189" i="2"/>
  <c r="V193" i="2"/>
  <c r="AA193" i="2"/>
  <c r="V197" i="2"/>
  <c r="V201" i="2"/>
  <c r="X218" i="2"/>
  <c r="Y218" i="2"/>
  <c r="AF189" i="2"/>
  <c r="AM189" i="2"/>
  <c r="AF193" i="2"/>
  <c r="AF197" i="2"/>
  <c r="AF201" i="2"/>
  <c r="AM201" i="2"/>
  <c r="AJ189" i="2"/>
  <c r="AO189" i="2"/>
  <c r="AJ193" i="2"/>
  <c r="AJ197" i="2"/>
  <c r="AO197" i="2"/>
  <c r="AJ201" i="2"/>
  <c r="AL218" i="2"/>
  <c r="AM218" i="2"/>
  <c r="AT218" i="2"/>
  <c r="AX189" i="2"/>
  <c r="AX193" i="2"/>
  <c r="AX197" i="2"/>
  <c r="AX201" i="2"/>
  <c r="BC201" i="2"/>
  <c r="AZ218" i="2"/>
  <c r="BA218" i="2"/>
  <c r="BL189" i="2"/>
  <c r="BL193" i="2"/>
  <c r="BQ193" i="2"/>
  <c r="BL197" i="2"/>
  <c r="BL201" i="2"/>
  <c r="BQ201" i="2"/>
  <c r="BN218" i="2"/>
  <c r="BO218" i="2"/>
  <c r="BZ189" i="2"/>
  <c r="BZ193" i="2"/>
  <c r="BZ197" i="2"/>
  <c r="BZ201" i="2"/>
  <c r="BZ218" i="2"/>
  <c r="CE197" i="2"/>
  <c r="CB218" i="2"/>
  <c r="CC218" i="2"/>
  <c r="R190" i="2"/>
  <c r="R194" i="2"/>
  <c r="R198" i="2"/>
  <c r="R202" i="2"/>
  <c r="Y202" i="2"/>
  <c r="V190" i="2"/>
  <c r="V194" i="2"/>
  <c r="V198" i="2"/>
  <c r="AA198" i="2"/>
  <c r="V202" i="2"/>
  <c r="V219" i="2"/>
  <c r="X219" i="2"/>
  <c r="Y219" i="2"/>
  <c r="AF190" i="2"/>
  <c r="AM190" i="2"/>
  <c r="AF194" i="2"/>
  <c r="AF198" i="2"/>
  <c r="AF202" i="2"/>
  <c r="AJ190" i="2"/>
  <c r="AO190" i="2"/>
  <c r="AJ194" i="2"/>
  <c r="AJ198" i="2"/>
  <c r="AO198" i="2"/>
  <c r="AJ202" i="2"/>
  <c r="AO202" i="2"/>
  <c r="AL219" i="2"/>
  <c r="AM219" i="2"/>
  <c r="AX190" i="2"/>
  <c r="BC190" i="2"/>
  <c r="AX194" i="2"/>
  <c r="AX198" i="2"/>
  <c r="BC198" i="2"/>
  <c r="AX202" i="2"/>
  <c r="AZ219" i="2"/>
  <c r="BA219" i="2"/>
  <c r="BL190" i="2"/>
  <c r="BQ190" i="2"/>
  <c r="BL194" i="2"/>
  <c r="BL198" i="2"/>
  <c r="BL202" i="2"/>
  <c r="BQ202" i="2"/>
  <c r="BN219" i="2"/>
  <c r="BO219" i="2"/>
  <c r="BZ190" i="2"/>
  <c r="CE190" i="2"/>
  <c r="BZ194" i="2"/>
  <c r="BZ198" i="2"/>
  <c r="CE198" i="2"/>
  <c r="BZ202" i="2"/>
  <c r="CB219" i="2"/>
  <c r="CC219" i="2"/>
  <c r="F153" i="2"/>
  <c r="F154" i="2"/>
  <c r="F155" i="2"/>
  <c r="P155" i="2"/>
  <c r="F156" i="2"/>
  <c r="F157" i="2"/>
  <c r="F158" i="2"/>
  <c r="P159" i="2"/>
  <c r="T159" i="2"/>
  <c r="AD159" i="2"/>
  <c r="AR159" i="2"/>
  <c r="BF159" i="2"/>
  <c r="BT159" i="2"/>
  <c r="D160" i="2"/>
  <c r="F160" i="2"/>
  <c r="H160" i="2"/>
  <c r="T160" i="2"/>
  <c r="D161" i="2"/>
  <c r="F161" i="2"/>
  <c r="H161" i="2"/>
  <c r="T161" i="2"/>
  <c r="D162" i="2"/>
  <c r="F162" i="2"/>
  <c r="H162" i="2"/>
  <c r="T162" i="2"/>
  <c r="X162" i="2"/>
  <c r="D163" i="2"/>
  <c r="F163" i="2"/>
  <c r="H163" i="2"/>
  <c r="P163" i="2"/>
  <c r="T163" i="2"/>
  <c r="AD163" i="2"/>
  <c r="AR163" i="2"/>
  <c r="BF163" i="2"/>
  <c r="BT163" i="2"/>
  <c r="D164" i="2"/>
  <c r="F164" i="2"/>
  <c r="H164" i="2"/>
  <c r="T164" i="2"/>
  <c r="AA164" i="2"/>
  <c r="T165" i="2"/>
  <c r="D166" i="2"/>
  <c r="F166" i="2"/>
  <c r="H166" i="2"/>
  <c r="M166" i="2"/>
  <c r="T166" i="2"/>
  <c r="D167" i="2"/>
  <c r="F167" i="2"/>
  <c r="H167" i="2"/>
  <c r="P167" i="2"/>
  <c r="T167" i="2"/>
  <c r="AD167" i="2"/>
  <c r="AR167" i="2"/>
  <c r="BF167" i="2"/>
  <c r="BT167" i="2"/>
  <c r="D168" i="2"/>
  <c r="F168" i="2"/>
  <c r="H168" i="2"/>
  <c r="T168" i="2"/>
  <c r="D169" i="2"/>
  <c r="F169" i="2"/>
  <c r="H169" i="2"/>
  <c r="M169" i="2"/>
  <c r="T169" i="2"/>
  <c r="D170" i="2"/>
  <c r="F170" i="2"/>
  <c r="H170" i="2"/>
  <c r="M170" i="2"/>
  <c r="T170" i="2"/>
  <c r="D171" i="2"/>
  <c r="F171" i="2"/>
  <c r="H171" i="2"/>
  <c r="P171" i="2"/>
  <c r="T171" i="2"/>
  <c r="AD171" i="2"/>
  <c r="AR171" i="2"/>
  <c r="BF171" i="2"/>
  <c r="BT171" i="2"/>
  <c r="D172" i="2"/>
  <c r="F172" i="2"/>
  <c r="H172" i="2"/>
  <c r="T172" i="2"/>
  <c r="D173" i="2"/>
  <c r="F173" i="2"/>
  <c r="H173" i="2"/>
  <c r="T173" i="2"/>
  <c r="D174" i="2"/>
  <c r="F174" i="2"/>
  <c r="H174" i="2"/>
  <c r="T174" i="2"/>
  <c r="D175" i="2"/>
  <c r="F175" i="2"/>
  <c r="H175" i="2"/>
  <c r="M175" i="2"/>
  <c r="P175" i="2"/>
  <c r="T175" i="2"/>
  <c r="AD175" i="2"/>
  <c r="AR175" i="2"/>
  <c r="BF175" i="2"/>
  <c r="BT175" i="2"/>
  <c r="D176" i="2"/>
  <c r="F176" i="2"/>
  <c r="H176" i="2"/>
  <c r="T176" i="2"/>
  <c r="D177" i="2"/>
  <c r="F177" i="2"/>
  <c r="H177" i="2"/>
  <c r="T177" i="2"/>
  <c r="D178" i="2"/>
  <c r="F178" i="2"/>
  <c r="H178" i="2"/>
  <c r="T178" i="2"/>
  <c r="D179" i="2"/>
  <c r="F179" i="2"/>
  <c r="H179" i="2"/>
  <c r="P179" i="2"/>
  <c r="T179" i="2"/>
  <c r="AD179" i="2"/>
  <c r="AR179" i="2"/>
  <c r="BF179" i="2"/>
  <c r="BT179" i="2"/>
  <c r="D180" i="2"/>
  <c r="F180" i="2"/>
  <c r="H180" i="2"/>
  <c r="T180" i="2"/>
  <c r="D181" i="2"/>
  <c r="F181" i="2"/>
  <c r="H181" i="2"/>
  <c r="M181" i="2"/>
  <c r="T181" i="2"/>
  <c r="D182" i="2"/>
  <c r="F182" i="2"/>
  <c r="H182" i="2"/>
  <c r="M182" i="2"/>
  <c r="T182" i="2"/>
  <c r="D183" i="2"/>
  <c r="F183" i="2"/>
  <c r="H183" i="2"/>
  <c r="M183" i="2"/>
  <c r="P183" i="2"/>
  <c r="D184" i="2"/>
  <c r="F184" i="2"/>
  <c r="H184" i="2"/>
  <c r="M184" i="2"/>
  <c r="D185" i="2"/>
  <c r="F185" i="2"/>
  <c r="H185" i="2"/>
  <c r="M185" i="2"/>
  <c r="D186" i="2"/>
  <c r="F186" i="2"/>
  <c r="H186" i="2"/>
  <c r="M186" i="2"/>
  <c r="D187" i="2"/>
  <c r="F187" i="2"/>
  <c r="H187" i="2"/>
  <c r="P187" i="2"/>
  <c r="T187" i="2"/>
  <c r="X187" i="2"/>
  <c r="AA187" i="2"/>
  <c r="AD187" i="2"/>
  <c r="AH187" i="2"/>
  <c r="AL187" i="2"/>
  <c r="AM187" i="2"/>
  <c r="AR187" i="2"/>
  <c r="AV187" i="2"/>
  <c r="AZ187" i="2"/>
  <c r="BA187" i="2"/>
  <c r="BF187" i="2"/>
  <c r="BJ187" i="2"/>
  <c r="BN187" i="2"/>
  <c r="BT187" i="2"/>
  <c r="BX187" i="2"/>
  <c r="CB187" i="2"/>
  <c r="CE187" i="2"/>
  <c r="D188" i="2"/>
  <c r="F188" i="2"/>
  <c r="H188" i="2"/>
  <c r="T188" i="2"/>
  <c r="X188" i="2"/>
  <c r="AH188" i="2"/>
  <c r="AL188" i="2"/>
  <c r="AV188" i="2"/>
  <c r="AZ188" i="2"/>
  <c r="BA188" i="2"/>
  <c r="BC188" i="2"/>
  <c r="BJ188" i="2"/>
  <c r="BN188" i="2"/>
  <c r="BO188" i="2"/>
  <c r="BQ188" i="2"/>
  <c r="BX188" i="2"/>
  <c r="CB188" i="2"/>
  <c r="D189" i="2"/>
  <c r="F189" i="2"/>
  <c r="H189" i="2"/>
  <c r="M189" i="2"/>
  <c r="T189" i="2"/>
  <c r="X189" i="2"/>
  <c r="AA189" i="2"/>
  <c r="AH189" i="2"/>
  <c r="AL189" i="2"/>
  <c r="AV189" i="2"/>
  <c r="AZ189" i="2"/>
  <c r="BA189" i="2"/>
  <c r="BC189" i="2"/>
  <c r="BJ189" i="2"/>
  <c r="BN189" i="2"/>
  <c r="BO189" i="2"/>
  <c r="BQ189" i="2"/>
  <c r="BX189" i="2"/>
  <c r="CB189" i="2"/>
  <c r="CE189" i="2"/>
  <c r="D190" i="2"/>
  <c r="F190" i="2"/>
  <c r="H190" i="2"/>
  <c r="M190" i="2"/>
  <c r="T190" i="2"/>
  <c r="X190" i="2"/>
  <c r="Y190" i="2"/>
  <c r="AA190" i="2"/>
  <c r="AH190" i="2"/>
  <c r="AL190" i="2"/>
  <c r="AV190" i="2"/>
  <c r="AZ190" i="2"/>
  <c r="BJ190" i="2"/>
  <c r="BN190" i="2"/>
  <c r="BO190" i="2"/>
  <c r="BX190" i="2"/>
  <c r="CB190" i="2"/>
  <c r="CC190" i="2"/>
  <c r="D191" i="2"/>
  <c r="F191" i="2"/>
  <c r="H191" i="2"/>
  <c r="M191" i="2"/>
  <c r="P191" i="2"/>
  <c r="T191" i="2"/>
  <c r="X191" i="2"/>
  <c r="AD191" i="2"/>
  <c r="AH191" i="2"/>
  <c r="AL191" i="2"/>
  <c r="AM191" i="2"/>
  <c r="AR191" i="2"/>
  <c r="AV191" i="2"/>
  <c r="AZ191" i="2"/>
  <c r="BA191" i="2"/>
  <c r="BF191" i="2"/>
  <c r="BJ191" i="2"/>
  <c r="BN191" i="2"/>
  <c r="BO191" i="2"/>
  <c r="BQ191" i="2"/>
  <c r="BT191" i="2"/>
  <c r="BX191" i="2"/>
  <c r="CB191" i="2"/>
  <c r="CC191" i="2"/>
  <c r="D192" i="2"/>
  <c r="F192" i="2"/>
  <c r="H192" i="2"/>
  <c r="M192" i="2"/>
  <c r="T192" i="2"/>
  <c r="X192" i="2"/>
  <c r="AA192" i="2"/>
  <c r="AH192" i="2"/>
  <c r="AL192" i="2"/>
  <c r="AO192" i="2"/>
  <c r="AV192" i="2"/>
  <c r="AZ192" i="2"/>
  <c r="BJ192" i="2"/>
  <c r="BN192" i="2"/>
  <c r="BQ192" i="2"/>
  <c r="BX192" i="2"/>
  <c r="CB192" i="2"/>
  <c r="CE192" i="2"/>
  <c r="D193" i="2"/>
  <c r="F193" i="2"/>
  <c r="H193" i="2"/>
  <c r="M193" i="2"/>
  <c r="T193" i="2"/>
  <c r="X193" i="2"/>
  <c r="AH193" i="2"/>
  <c r="AL193" i="2"/>
  <c r="AM193" i="2"/>
  <c r="AO193" i="2"/>
  <c r="AV193" i="2"/>
  <c r="AZ193" i="2"/>
  <c r="BA193" i="2"/>
  <c r="BC193" i="2"/>
  <c r="BJ193" i="2"/>
  <c r="BN193" i="2"/>
  <c r="BO193" i="2"/>
  <c r="BX193" i="2"/>
  <c r="CB193" i="2"/>
  <c r="CC193" i="2"/>
  <c r="CE193" i="2"/>
  <c r="D194" i="2"/>
  <c r="F194" i="2"/>
  <c r="H194" i="2"/>
  <c r="M194" i="2"/>
  <c r="T194" i="2"/>
  <c r="X194" i="2"/>
  <c r="Y194" i="2"/>
  <c r="AA194" i="2"/>
  <c r="AH194" i="2"/>
  <c r="AL194" i="2"/>
  <c r="AM194" i="2"/>
  <c r="AO194" i="2"/>
  <c r="AV194" i="2"/>
  <c r="AZ194" i="2"/>
  <c r="BC194" i="2"/>
  <c r="BJ194" i="2"/>
  <c r="BN194" i="2"/>
  <c r="BO194" i="2"/>
  <c r="BQ194" i="2"/>
  <c r="BX194" i="2"/>
  <c r="CB194" i="2"/>
  <c r="CC194" i="2"/>
  <c r="CE194" i="2"/>
  <c r="D195" i="2"/>
  <c r="F195" i="2"/>
  <c r="H195" i="2"/>
  <c r="M195" i="2"/>
  <c r="P195" i="2"/>
  <c r="T195" i="2"/>
  <c r="X195" i="2"/>
  <c r="Y195" i="2"/>
  <c r="AD195" i="2"/>
  <c r="AH195" i="2"/>
  <c r="AL195" i="2"/>
  <c r="AM195" i="2"/>
  <c r="AO195" i="2"/>
  <c r="AR195" i="2"/>
  <c r="AV195" i="2"/>
  <c r="AZ195" i="2"/>
  <c r="BA195" i="2"/>
  <c r="BF195" i="2"/>
  <c r="BJ195" i="2"/>
  <c r="BN195" i="2"/>
  <c r="BO195" i="2"/>
  <c r="BQ195" i="2"/>
  <c r="BT195" i="2"/>
  <c r="BX195" i="2"/>
  <c r="CB195" i="2"/>
  <c r="CC195" i="2"/>
  <c r="D196" i="2"/>
  <c r="F196" i="2"/>
  <c r="H196" i="2"/>
  <c r="T196" i="2"/>
  <c r="X196" i="2"/>
  <c r="Y196" i="2"/>
  <c r="AA196" i="2"/>
  <c r="AH196" i="2"/>
  <c r="AL196" i="2"/>
  <c r="AM196" i="2"/>
  <c r="AV196" i="2"/>
  <c r="AZ196" i="2"/>
  <c r="BA196" i="2"/>
  <c r="BJ196" i="2"/>
  <c r="BN196" i="2"/>
  <c r="BO196" i="2"/>
  <c r="BX196" i="2"/>
  <c r="CB196" i="2"/>
  <c r="CC196" i="2"/>
  <c r="D197" i="2"/>
  <c r="F197" i="2"/>
  <c r="H197" i="2"/>
  <c r="M197" i="2"/>
  <c r="T197" i="2"/>
  <c r="X197" i="2"/>
  <c r="Y197" i="2"/>
  <c r="AA197" i="2"/>
  <c r="AH197" i="2"/>
  <c r="AL197" i="2"/>
  <c r="AM197" i="2"/>
  <c r="AV197" i="2"/>
  <c r="AZ197" i="2"/>
  <c r="BA197" i="2"/>
  <c r="BC197" i="2"/>
  <c r="BJ197" i="2"/>
  <c r="BN197" i="2"/>
  <c r="BQ197" i="2"/>
  <c r="BX197" i="2"/>
  <c r="CB197" i="2"/>
  <c r="CC197" i="2"/>
  <c r="D198" i="2"/>
  <c r="F198" i="2"/>
  <c r="H198" i="2"/>
  <c r="M198" i="2"/>
  <c r="T198" i="2"/>
  <c r="X198" i="2"/>
  <c r="Y198" i="2"/>
  <c r="AH198" i="2"/>
  <c r="AL198" i="2"/>
  <c r="AM198" i="2"/>
  <c r="AV198" i="2"/>
  <c r="AZ198" i="2"/>
  <c r="BA198" i="2"/>
  <c r="BJ198" i="2"/>
  <c r="BN198" i="2"/>
  <c r="BO198" i="2"/>
  <c r="BQ198" i="2"/>
  <c r="BX198" i="2"/>
  <c r="CB198" i="2"/>
  <c r="CC198" i="2"/>
  <c r="D199" i="2"/>
  <c r="F199" i="2"/>
  <c r="H199" i="2"/>
  <c r="P199" i="2"/>
  <c r="T199" i="2"/>
  <c r="X199" i="2"/>
  <c r="Y199" i="2"/>
  <c r="AD199" i="2"/>
  <c r="AH199" i="2"/>
  <c r="AL199" i="2"/>
  <c r="AO199" i="2"/>
  <c r="AR199" i="2"/>
  <c r="AV199" i="2"/>
  <c r="AZ199" i="2"/>
  <c r="BA199" i="2"/>
  <c r="BC199" i="2"/>
  <c r="BF199" i="2"/>
  <c r="BJ199" i="2"/>
  <c r="BN199" i="2"/>
  <c r="BT199" i="2"/>
  <c r="BX199" i="2"/>
  <c r="CB199" i="2"/>
  <c r="CC199" i="2"/>
  <c r="D200" i="2"/>
  <c r="F200" i="2"/>
  <c r="H200" i="2"/>
  <c r="M200" i="2"/>
  <c r="T200" i="2"/>
  <c r="X200" i="2"/>
  <c r="AA200" i="2"/>
  <c r="AH200" i="2"/>
  <c r="AL200" i="2"/>
  <c r="AM200" i="2"/>
  <c r="AO200" i="2"/>
  <c r="AV200" i="2"/>
  <c r="AZ200" i="2"/>
  <c r="BA200" i="2"/>
  <c r="BC200" i="2"/>
  <c r="BJ200" i="2"/>
  <c r="BN200" i="2"/>
  <c r="BO200" i="2"/>
  <c r="BQ200" i="2"/>
  <c r="BX200" i="2"/>
  <c r="CB200" i="2"/>
  <c r="CC200" i="2"/>
  <c r="CE200" i="2"/>
  <c r="D201" i="2"/>
  <c r="F201" i="2"/>
  <c r="H201" i="2"/>
  <c r="M201" i="2"/>
  <c r="T201" i="2"/>
  <c r="X201" i="2"/>
  <c r="Y201" i="2"/>
  <c r="AA201" i="2"/>
  <c r="AH201" i="2"/>
  <c r="AL201" i="2"/>
  <c r="AO201" i="2"/>
  <c r="AV201" i="2"/>
  <c r="AZ201" i="2"/>
  <c r="BA201" i="2"/>
  <c r="BJ201" i="2"/>
  <c r="BN201" i="2"/>
  <c r="BO201" i="2"/>
  <c r="BX201" i="2"/>
  <c r="CB201" i="2"/>
  <c r="CE201" i="2"/>
  <c r="D202" i="2"/>
  <c r="F202" i="2"/>
  <c r="H202" i="2"/>
  <c r="M202" i="2"/>
  <c r="T202" i="2"/>
  <c r="X202" i="2"/>
  <c r="AA202" i="2"/>
  <c r="AH202" i="2"/>
  <c r="AL202" i="2"/>
  <c r="AM202" i="2"/>
  <c r="AV202" i="2"/>
  <c r="AZ202" i="2"/>
  <c r="BA202" i="2"/>
  <c r="BC202" i="2"/>
  <c r="BJ202" i="2"/>
  <c r="BN202" i="2"/>
  <c r="BX202" i="2"/>
  <c r="CB202" i="2"/>
  <c r="CC202" i="2"/>
  <c r="CE202" i="2"/>
  <c r="D203" i="2"/>
  <c r="F203" i="2"/>
  <c r="H203" i="2"/>
  <c r="M203" i="2"/>
  <c r="P203" i="2"/>
  <c r="R203" i="2"/>
  <c r="Y203" i="2"/>
  <c r="T203" i="2"/>
  <c r="V203" i="2"/>
  <c r="X203" i="2"/>
  <c r="AA203" i="2"/>
  <c r="AD203" i="2"/>
  <c r="AF203" i="2"/>
  <c r="AH203" i="2"/>
  <c r="AJ203" i="2"/>
  <c r="AL203" i="2"/>
  <c r="AM203" i="2"/>
  <c r="AO203" i="2"/>
  <c r="AR203" i="2"/>
  <c r="AV203" i="2"/>
  <c r="AX203" i="2"/>
  <c r="AZ203" i="2"/>
  <c r="BA203" i="2"/>
  <c r="BC203" i="2"/>
  <c r="BF203" i="2"/>
  <c r="BJ203" i="2"/>
  <c r="BL203" i="2"/>
  <c r="BN203" i="2"/>
  <c r="BO203" i="2"/>
  <c r="BQ203" i="2"/>
  <c r="BT203" i="2"/>
  <c r="BX203" i="2"/>
  <c r="BZ203" i="2"/>
  <c r="CB203" i="2"/>
  <c r="CC203" i="2"/>
  <c r="CE203" i="2"/>
  <c r="F204" i="2"/>
  <c r="H204" i="2"/>
  <c r="M204" i="2"/>
  <c r="R204" i="2"/>
  <c r="Y204" i="2"/>
  <c r="T204" i="2"/>
  <c r="V204" i="2"/>
  <c r="AA204" i="2"/>
  <c r="X204" i="2"/>
  <c r="Z204" i="2"/>
  <c r="AF204" i="2"/>
  <c r="AH204" i="2"/>
  <c r="AJ204" i="2"/>
  <c r="AL204" i="2"/>
  <c r="AM204" i="2"/>
  <c r="AN204" i="2"/>
  <c r="AO204" i="2"/>
  <c r="AT204" i="2"/>
  <c r="BA204" i="2"/>
  <c r="AV204" i="2"/>
  <c r="AX204" i="2"/>
  <c r="AZ204" i="2"/>
  <c r="BB204" i="2"/>
  <c r="BC204" i="2"/>
  <c r="BH204" i="2"/>
  <c r="BJ204" i="2"/>
  <c r="BL204" i="2"/>
  <c r="BQ204" i="2"/>
  <c r="BN204" i="2"/>
  <c r="BO204" i="2"/>
  <c r="BP204" i="2"/>
  <c r="BV204" i="2"/>
  <c r="CC204" i="2"/>
  <c r="BX204" i="2"/>
  <c r="BZ204" i="2"/>
  <c r="CE204" i="2"/>
  <c r="CB204" i="2"/>
  <c r="CD204" i="2"/>
  <c r="R205" i="2"/>
  <c r="Y205" i="2"/>
  <c r="T205" i="2"/>
  <c r="V205" i="2"/>
  <c r="AA205" i="2"/>
  <c r="X205" i="2"/>
  <c r="Z205" i="2"/>
  <c r="AF205" i="2"/>
  <c r="AH205" i="2"/>
  <c r="AJ205" i="2"/>
  <c r="AL205" i="2"/>
  <c r="AM205" i="2"/>
  <c r="AN205" i="2"/>
  <c r="AO205" i="2"/>
  <c r="AT205" i="2"/>
  <c r="AV205" i="2"/>
  <c r="AX205" i="2"/>
  <c r="AZ205" i="2"/>
  <c r="BA205" i="2"/>
  <c r="BB205" i="2"/>
  <c r="BC205" i="2"/>
  <c r="BH205" i="2"/>
  <c r="BJ205" i="2"/>
  <c r="BL205" i="2"/>
  <c r="BQ205" i="2"/>
  <c r="BN205" i="2"/>
  <c r="BO205" i="2"/>
  <c r="BP205" i="2"/>
  <c r="BV205" i="2"/>
  <c r="BX205" i="2"/>
  <c r="BZ205" i="2"/>
  <c r="CE205" i="2"/>
  <c r="CB205" i="2"/>
  <c r="CC205" i="2"/>
  <c r="CD205" i="2"/>
  <c r="R206" i="2"/>
  <c r="Y206" i="2"/>
  <c r="T206" i="2"/>
  <c r="V206" i="2"/>
  <c r="X206" i="2"/>
  <c r="Z206" i="2"/>
  <c r="AA206" i="2"/>
  <c r="AF206" i="2"/>
  <c r="AM206" i="2"/>
  <c r="AH206" i="2"/>
  <c r="AJ206" i="2"/>
  <c r="AO206" i="2"/>
  <c r="AL206" i="2"/>
  <c r="AN206" i="2"/>
  <c r="AT206" i="2"/>
  <c r="BA206" i="2"/>
  <c r="AV206" i="2"/>
  <c r="AX206" i="2"/>
  <c r="BC206" i="2"/>
  <c r="AZ206" i="2"/>
  <c r="BB206" i="2"/>
  <c r="BH206" i="2"/>
  <c r="BO206" i="2"/>
  <c r="BJ206" i="2"/>
  <c r="BL206" i="2"/>
  <c r="BN206" i="2"/>
  <c r="BP206" i="2"/>
  <c r="BQ206" i="2"/>
  <c r="BV206" i="2"/>
  <c r="CC206" i="2"/>
  <c r="BX206" i="2"/>
  <c r="BZ206" i="2"/>
  <c r="CE206" i="2"/>
  <c r="CB206" i="2"/>
  <c r="CD206" i="2"/>
  <c r="R233" i="2"/>
  <c r="R234" i="2"/>
  <c r="R238" i="2"/>
  <c r="R242" i="2"/>
  <c r="R246" i="2"/>
  <c r="R249" i="2"/>
  <c r="R262" i="2"/>
  <c r="R266" i="2"/>
  <c r="R270" i="2"/>
  <c r="R274" i="2"/>
  <c r="R291" i="2"/>
  <c r="R235" i="2"/>
  <c r="R236" i="2"/>
  <c r="R237" i="2"/>
  <c r="R239" i="2"/>
  <c r="R240" i="2"/>
  <c r="R241" i="2"/>
  <c r="R243" i="2"/>
  <c r="R244" i="2"/>
  <c r="R245" i="2"/>
  <c r="R247" i="2"/>
  <c r="R248" i="2"/>
  <c r="R250" i="2"/>
  <c r="R251" i="2"/>
  <c r="R252" i="2"/>
  <c r="R261" i="2"/>
  <c r="R263" i="2"/>
  <c r="R264" i="2"/>
  <c r="R265" i="2"/>
  <c r="Y265" i="2"/>
  <c r="R267" i="2"/>
  <c r="Y267" i="2"/>
  <c r="R268" i="2"/>
  <c r="Y268" i="2"/>
  <c r="R269" i="2"/>
  <c r="R271" i="2"/>
  <c r="R272" i="2"/>
  <c r="R273" i="2"/>
  <c r="R275" i="2"/>
  <c r="R276" i="2"/>
  <c r="R277" i="2"/>
  <c r="Y277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M250" i="2"/>
  <c r="AJ250" i="2"/>
  <c r="AN250" i="2"/>
  <c r="AO250" i="2"/>
  <c r="AF251" i="2"/>
  <c r="AF252" i="2"/>
  <c r="AF261" i="2"/>
  <c r="AF262" i="2"/>
  <c r="AM262" i="2"/>
  <c r="AF263" i="2"/>
  <c r="AM263" i="2"/>
  <c r="AF264" i="2"/>
  <c r="AM264" i="2"/>
  <c r="AF265" i="2"/>
  <c r="AF266" i="2"/>
  <c r="AF267" i="2"/>
  <c r="AF268" i="2"/>
  <c r="AF269" i="2"/>
  <c r="AF270" i="2"/>
  <c r="AM270" i="2"/>
  <c r="AF271" i="2"/>
  <c r="AF272" i="2"/>
  <c r="AF273" i="2"/>
  <c r="AF274" i="2"/>
  <c r="AM274" i="2"/>
  <c r="AF275" i="2"/>
  <c r="AM275" i="2"/>
  <c r="AF276" i="2"/>
  <c r="AF277" i="2"/>
  <c r="AT210" i="2"/>
  <c r="BH210" i="2"/>
  <c r="BV210" i="2"/>
  <c r="D227" i="2"/>
  <c r="B227" i="2"/>
  <c r="D228" i="2"/>
  <c r="B228" i="2"/>
  <c r="D229" i="2"/>
  <c r="D230" i="2"/>
  <c r="B230" i="2"/>
  <c r="D231" i="2"/>
  <c r="D234" i="2"/>
  <c r="D235" i="2"/>
  <c r="D236" i="2"/>
  <c r="D237" i="2"/>
  <c r="D238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82" i="2"/>
  <c r="A282" i="2"/>
  <c r="B229" i="2"/>
  <c r="B234" i="2"/>
  <c r="B235" i="2"/>
  <c r="B236" i="2"/>
  <c r="B237" i="2"/>
  <c r="AM230" i="2"/>
  <c r="AM234" i="2"/>
  <c r="AJ234" i="2"/>
  <c r="AN234" i="2"/>
  <c r="AH233" i="2"/>
  <c r="AJ233" i="2"/>
  <c r="AL229" i="2"/>
  <c r="AL233" i="2"/>
  <c r="AL237" i="2"/>
  <c r="AL241" i="2"/>
  <c r="AL245" i="2"/>
  <c r="AL249" i="2"/>
  <c r="AM229" i="2"/>
  <c r="AM233" i="2"/>
  <c r="AH234" i="2"/>
  <c r="AL230" i="2"/>
  <c r="AL234" i="2"/>
  <c r="AH235" i="2"/>
  <c r="AJ235" i="2"/>
  <c r="AL231" i="2"/>
  <c r="AL235" i="2"/>
  <c r="AM231" i="2"/>
  <c r="AM235" i="2"/>
  <c r="AM239" i="2"/>
  <c r="AH236" i="2"/>
  <c r="AJ236" i="2"/>
  <c r="AL232" i="2"/>
  <c r="AL236" i="2"/>
  <c r="AM232" i="2"/>
  <c r="AJ232" i="2"/>
  <c r="AN232" i="2"/>
  <c r="AH237" i="2"/>
  <c r="AJ237" i="2"/>
  <c r="AM237" i="2"/>
  <c r="AM241" i="2"/>
  <c r="AM245" i="2"/>
  <c r="AH238" i="2"/>
  <c r="AJ238" i="2"/>
  <c r="AL238" i="2"/>
  <c r="AH239" i="2"/>
  <c r="AJ239" i="2"/>
  <c r="AL239" i="2"/>
  <c r="AL243" i="2"/>
  <c r="AL247" i="2"/>
  <c r="AL251" i="2"/>
  <c r="AH240" i="2"/>
  <c r="AJ240" i="2"/>
  <c r="AL240" i="2"/>
  <c r="AL244" i="2"/>
  <c r="AL248" i="2"/>
  <c r="AL252" i="2"/>
  <c r="AH241" i="2"/>
  <c r="AJ241" i="2"/>
  <c r="AH242" i="2"/>
  <c r="AJ242" i="2"/>
  <c r="AL242" i="2"/>
  <c r="AH243" i="2"/>
  <c r="AJ243" i="2"/>
  <c r="AM243" i="2"/>
  <c r="AM247" i="2"/>
  <c r="AH244" i="2"/>
  <c r="AJ244" i="2"/>
  <c r="AH245" i="2"/>
  <c r="AJ245" i="2"/>
  <c r="AH246" i="2"/>
  <c r="AJ246" i="2"/>
  <c r="AN246" i="2"/>
  <c r="AO246" i="2"/>
  <c r="AH247" i="2"/>
  <c r="AJ247" i="2"/>
  <c r="AH248" i="2"/>
  <c r="AJ248" i="2"/>
  <c r="AH249" i="2"/>
  <c r="AJ249" i="2"/>
  <c r="AM249" i="2"/>
  <c r="AN249" i="2"/>
  <c r="AH250" i="2"/>
  <c r="AL250" i="2"/>
  <c r="AH251" i="2"/>
  <c r="AJ251" i="2"/>
  <c r="AH252" i="2"/>
  <c r="AJ252" i="2"/>
  <c r="AH261" i="2"/>
  <c r="AJ261" i="2"/>
  <c r="AL261" i="2"/>
  <c r="AM261" i="2"/>
  <c r="AN261" i="2"/>
  <c r="AO261" i="2"/>
  <c r="AH262" i="2"/>
  <c r="AJ262" i="2"/>
  <c r="AO262" i="2"/>
  <c r="AL262" i="2"/>
  <c r="AN262" i="2"/>
  <c r="AH263" i="2"/>
  <c r="AJ263" i="2"/>
  <c r="AL263" i="2"/>
  <c r="AN263" i="2"/>
  <c r="AO263" i="2"/>
  <c r="AH264" i="2"/>
  <c r="AJ264" i="2"/>
  <c r="AO264" i="2"/>
  <c r="AL264" i="2"/>
  <c r="AN264" i="2"/>
  <c r="AH265" i="2"/>
  <c r="AJ265" i="2"/>
  <c r="AL265" i="2"/>
  <c r="AM265" i="2"/>
  <c r="AN265" i="2"/>
  <c r="AO265" i="2"/>
  <c r="AH266" i="2"/>
  <c r="AJ266" i="2"/>
  <c r="AL266" i="2"/>
  <c r="AN266" i="2"/>
  <c r="AO266" i="2"/>
  <c r="AH267" i="2"/>
  <c r="AJ267" i="2"/>
  <c r="AO267" i="2"/>
  <c r="AL267" i="2"/>
  <c r="AM267" i="2"/>
  <c r="AN267" i="2"/>
  <c r="AH268" i="2"/>
  <c r="AJ268" i="2"/>
  <c r="AL268" i="2"/>
  <c r="AM268" i="2"/>
  <c r="AN268" i="2"/>
  <c r="AO268" i="2"/>
  <c r="K235" i="2"/>
  <c r="L235" i="2"/>
  <c r="M235" i="2"/>
  <c r="AH229" i="2"/>
  <c r="AJ229" i="2"/>
  <c r="AH230" i="2"/>
  <c r="AJ230" i="2"/>
  <c r="AH231" i="2"/>
  <c r="AJ231" i="2"/>
  <c r="AH232" i="2"/>
  <c r="T229" i="2"/>
  <c r="V229" i="2"/>
  <c r="X229" i="2"/>
  <c r="X233" i="2"/>
  <c r="X237" i="2"/>
  <c r="X241" i="2"/>
  <c r="X245" i="2"/>
  <c r="X249" i="2"/>
  <c r="Y229" i="2"/>
  <c r="Z229" i="2"/>
  <c r="T230" i="2"/>
  <c r="V230" i="2"/>
  <c r="Z230" i="2"/>
  <c r="AA230" i="2"/>
  <c r="X230" i="2"/>
  <c r="T231" i="2"/>
  <c r="V231" i="2"/>
  <c r="X231" i="2"/>
  <c r="Y231" i="2"/>
  <c r="T232" i="2"/>
  <c r="V232" i="2"/>
  <c r="X232" i="2"/>
  <c r="Y232" i="2"/>
  <c r="P229" i="2"/>
  <c r="AD229" i="2"/>
  <c r="F226" i="2"/>
  <c r="H226" i="2"/>
  <c r="L226" i="2"/>
  <c r="M226" i="2"/>
  <c r="K227" i="2"/>
  <c r="H227" i="2"/>
  <c r="L227" i="2"/>
  <c r="K228" i="2"/>
  <c r="H228" i="2"/>
  <c r="H229" i="2"/>
  <c r="H230" i="2"/>
  <c r="H231" i="2"/>
  <c r="K234" i="2"/>
  <c r="L234" i="2"/>
  <c r="K236" i="2"/>
  <c r="L236" i="2"/>
  <c r="M236" i="2"/>
  <c r="K237" i="2"/>
  <c r="L237" i="2"/>
  <c r="K238" i="2"/>
  <c r="L238" i="2"/>
  <c r="M238" i="2"/>
  <c r="K240" i="2"/>
  <c r="L240" i="2"/>
  <c r="K241" i="2"/>
  <c r="L241" i="2"/>
  <c r="K242" i="2"/>
  <c r="L242" i="2"/>
  <c r="K243" i="2"/>
  <c r="L243" i="2"/>
  <c r="M243" i="2"/>
  <c r="K244" i="2"/>
  <c r="L244" i="2"/>
  <c r="M244" i="2"/>
  <c r="K245" i="2"/>
  <c r="L245" i="2"/>
  <c r="M245" i="2"/>
  <c r="K246" i="2"/>
  <c r="L246" i="2"/>
  <c r="K247" i="2"/>
  <c r="L247" i="2"/>
  <c r="M247" i="2"/>
  <c r="K248" i="2"/>
  <c r="L248" i="2"/>
  <c r="K249" i="2"/>
  <c r="L249" i="2"/>
  <c r="M249" i="2"/>
  <c r="K250" i="2"/>
  <c r="L250" i="2"/>
  <c r="K251" i="2"/>
  <c r="L251" i="2"/>
  <c r="M251" i="2"/>
  <c r="K252" i="2"/>
  <c r="L252" i="2"/>
  <c r="M252" i="2"/>
  <c r="K253" i="2"/>
  <c r="L253" i="2"/>
  <c r="K254" i="2"/>
  <c r="L254" i="2"/>
  <c r="L255" i="2"/>
  <c r="L256" i="2"/>
  <c r="L257" i="2"/>
  <c r="L258" i="2"/>
  <c r="L259" i="2"/>
  <c r="M259" i="2"/>
  <c r="L260" i="2"/>
  <c r="L261" i="2"/>
  <c r="M261" i="2"/>
  <c r="L262" i="2"/>
  <c r="M262" i="2"/>
  <c r="L263" i="2"/>
  <c r="L264" i="2"/>
  <c r="L265" i="2"/>
  <c r="L266" i="2"/>
  <c r="L267" i="2"/>
  <c r="M267" i="2"/>
  <c r="L268" i="2"/>
  <c r="L269" i="2"/>
  <c r="L270" i="2"/>
  <c r="M270" i="2"/>
  <c r="L271" i="2"/>
  <c r="M271" i="2"/>
  <c r="L272" i="2"/>
  <c r="M272" i="2"/>
  <c r="L273" i="2"/>
  <c r="L274" i="2"/>
  <c r="M274" i="2"/>
  <c r="L275" i="2"/>
  <c r="L276" i="2"/>
  <c r="L277" i="2"/>
  <c r="M277" i="2"/>
  <c r="L278" i="2"/>
  <c r="V233" i="2"/>
  <c r="V234" i="2"/>
  <c r="Y234" i="2"/>
  <c r="Y238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AN269" i="2"/>
  <c r="AN270" i="2"/>
  <c r="AN271" i="2"/>
  <c r="AN272" i="2"/>
  <c r="AN273" i="2"/>
  <c r="AN274" i="2"/>
  <c r="AN275" i="2"/>
  <c r="AN276" i="2"/>
  <c r="AN277" i="2"/>
  <c r="I284" i="2"/>
  <c r="Z284" i="2"/>
  <c r="AN284" i="2"/>
  <c r="E290" i="2"/>
  <c r="V261" i="2"/>
  <c r="V265" i="2"/>
  <c r="V269" i="2"/>
  <c r="V273" i="2"/>
  <c r="X290" i="2"/>
  <c r="Y290" i="2"/>
  <c r="AF290" i="2"/>
  <c r="AJ269" i="2"/>
  <c r="AO269" i="2"/>
  <c r="AJ273" i="2"/>
  <c r="AJ290" i="2"/>
  <c r="AL290" i="2"/>
  <c r="AM290" i="2"/>
  <c r="V262" i="2"/>
  <c r="V266" i="2"/>
  <c r="AA266" i="2"/>
  <c r="V270" i="2"/>
  <c r="AA270" i="2"/>
  <c r="V274" i="2"/>
  <c r="X291" i="2"/>
  <c r="Y291" i="2"/>
  <c r="AJ270" i="2"/>
  <c r="AJ274" i="2"/>
  <c r="AL291" i="2"/>
  <c r="AM291" i="2"/>
  <c r="V263" i="2"/>
  <c r="V267" i="2"/>
  <c r="V271" i="2"/>
  <c r="V275" i="2"/>
  <c r="AA275" i="2"/>
  <c r="X292" i="2"/>
  <c r="Y292" i="2"/>
  <c r="AJ271" i="2"/>
  <c r="AO271" i="2"/>
  <c r="AJ275" i="2"/>
  <c r="AL292" i="2"/>
  <c r="AM292" i="2"/>
  <c r="V264" i="2"/>
  <c r="V268" i="2"/>
  <c r="AA268" i="2"/>
  <c r="V272" i="2"/>
  <c r="V276" i="2"/>
  <c r="AA276" i="2"/>
  <c r="X293" i="2"/>
  <c r="Y293" i="2"/>
  <c r="AF293" i="2"/>
  <c r="AJ272" i="2"/>
  <c r="AJ276" i="2"/>
  <c r="AO276" i="2"/>
  <c r="AL293" i="2"/>
  <c r="AM293" i="2"/>
  <c r="F227" i="2"/>
  <c r="F228" i="2"/>
  <c r="F229" i="2"/>
  <c r="F230" i="2"/>
  <c r="F231" i="2"/>
  <c r="P233" i="2"/>
  <c r="T233" i="2"/>
  <c r="AD233" i="2"/>
  <c r="F234" i="2"/>
  <c r="H234" i="2"/>
  <c r="M234" i="2"/>
  <c r="T234" i="2"/>
  <c r="X234" i="2"/>
  <c r="X238" i="2"/>
  <c r="X242" i="2"/>
  <c r="F235" i="2"/>
  <c r="H235" i="2"/>
  <c r="T235" i="2"/>
  <c r="X235" i="2"/>
  <c r="X239" i="2"/>
  <c r="X243" i="2"/>
  <c r="F236" i="2"/>
  <c r="H236" i="2"/>
  <c r="T236" i="2"/>
  <c r="X236" i="2"/>
  <c r="X240" i="2"/>
  <c r="F237" i="2"/>
  <c r="H237" i="2"/>
  <c r="M237" i="2"/>
  <c r="P237" i="2"/>
  <c r="T237" i="2"/>
  <c r="AD237" i="2"/>
  <c r="F238" i="2"/>
  <c r="H238" i="2"/>
  <c r="T238" i="2"/>
  <c r="T239" i="2"/>
  <c r="F240" i="2"/>
  <c r="H240" i="2"/>
  <c r="M240" i="2"/>
  <c r="T240" i="2"/>
  <c r="F241" i="2"/>
  <c r="H241" i="2"/>
  <c r="M241" i="2"/>
  <c r="P241" i="2"/>
  <c r="T241" i="2"/>
  <c r="AD241" i="2"/>
  <c r="F242" i="2"/>
  <c r="H242" i="2"/>
  <c r="M242" i="2"/>
  <c r="T242" i="2"/>
  <c r="F243" i="2"/>
  <c r="H243" i="2"/>
  <c r="T243" i="2"/>
  <c r="F244" i="2"/>
  <c r="H244" i="2"/>
  <c r="T244" i="2"/>
  <c r="X244" i="2"/>
  <c r="F245" i="2"/>
  <c r="H245" i="2"/>
  <c r="P245" i="2"/>
  <c r="T245" i="2"/>
  <c r="AD245" i="2"/>
  <c r="F246" i="2"/>
  <c r="H246" i="2"/>
  <c r="M246" i="2"/>
  <c r="T246" i="2"/>
  <c r="X246" i="2"/>
  <c r="X250" i="2"/>
  <c r="F247" i="2"/>
  <c r="H247" i="2"/>
  <c r="T247" i="2"/>
  <c r="X247" i="2"/>
  <c r="X251" i="2"/>
  <c r="F248" i="2"/>
  <c r="H248" i="2"/>
  <c r="M248" i="2"/>
  <c r="T248" i="2"/>
  <c r="F249" i="2"/>
  <c r="H249" i="2"/>
  <c r="P249" i="2"/>
  <c r="T249" i="2"/>
  <c r="AD249" i="2"/>
  <c r="F250" i="2"/>
  <c r="H250" i="2"/>
  <c r="M250" i="2"/>
  <c r="T250" i="2"/>
  <c r="F251" i="2"/>
  <c r="H251" i="2"/>
  <c r="T251" i="2"/>
  <c r="F252" i="2"/>
  <c r="H252" i="2"/>
  <c r="T252" i="2"/>
  <c r="X252" i="2"/>
  <c r="F253" i="2"/>
  <c r="H253" i="2"/>
  <c r="M253" i="2"/>
  <c r="P253" i="2"/>
  <c r="F254" i="2"/>
  <c r="H254" i="2"/>
  <c r="M254" i="2"/>
  <c r="F255" i="2"/>
  <c r="H255" i="2"/>
  <c r="M255" i="2"/>
  <c r="F256" i="2"/>
  <c r="H256" i="2"/>
  <c r="M256" i="2"/>
  <c r="F257" i="2"/>
  <c r="H257" i="2"/>
  <c r="M257" i="2"/>
  <c r="P257" i="2"/>
  <c r="F258" i="2"/>
  <c r="H258" i="2"/>
  <c r="M258" i="2"/>
  <c r="F259" i="2"/>
  <c r="H259" i="2"/>
  <c r="F260" i="2"/>
  <c r="H260" i="2"/>
  <c r="M260" i="2"/>
  <c r="F261" i="2"/>
  <c r="H261" i="2"/>
  <c r="P261" i="2"/>
  <c r="T261" i="2"/>
  <c r="X261" i="2"/>
  <c r="Y261" i="2"/>
  <c r="AA261" i="2"/>
  <c r="AD261" i="2"/>
  <c r="F262" i="2"/>
  <c r="H262" i="2"/>
  <c r="T262" i="2"/>
  <c r="X262" i="2"/>
  <c r="Y262" i="2"/>
  <c r="AA262" i="2"/>
  <c r="F263" i="2"/>
  <c r="H263" i="2"/>
  <c r="M263" i="2"/>
  <c r="T263" i="2"/>
  <c r="X263" i="2"/>
  <c r="Y263" i="2"/>
  <c r="AA263" i="2"/>
  <c r="F264" i="2"/>
  <c r="H264" i="2"/>
  <c r="M264" i="2"/>
  <c r="T264" i="2"/>
  <c r="X264" i="2"/>
  <c r="Y264" i="2"/>
  <c r="AA264" i="2"/>
  <c r="F265" i="2"/>
  <c r="H265" i="2"/>
  <c r="M265" i="2"/>
  <c r="P265" i="2"/>
  <c r="T265" i="2"/>
  <c r="X265" i="2"/>
  <c r="AA265" i="2"/>
  <c r="AD265" i="2"/>
  <c r="F266" i="2"/>
  <c r="H266" i="2"/>
  <c r="M266" i="2"/>
  <c r="T266" i="2"/>
  <c r="X266" i="2"/>
  <c r="F267" i="2"/>
  <c r="H267" i="2"/>
  <c r="T267" i="2"/>
  <c r="X267" i="2"/>
  <c r="AA267" i="2"/>
  <c r="F268" i="2"/>
  <c r="H268" i="2"/>
  <c r="M268" i="2"/>
  <c r="T268" i="2"/>
  <c r="X268" i="2"/>
  <c r="F269" i="2"/>
  <c r="H269" i="2"/>
  <c r="M269" i="2"/>
  <c r="P269" i="2"/>
  <c r="T269" i="2"/>
  <c r="X269" i="2"/>
  <c r="Y269" i="2"/>
  <c r="AA269" i="2"/>
  <c r="AD269" i="2"/>
  <c r="AH269" i="2"/>
  <c r="AL269" i="2"/>
  <c r="AM269" i="2"/>
  <c r="F270" i="2"/>
  <c r="H270" i="2"/>
  <c r="T270" i="2"/>
  <c r="X270" i="2"/>
  <c r="Y270" i="2"/>
  <c r="AH270" i="2"/>
  <c r="AL270" i="2"/>
  <c r="AO270" i="2"/>
  <c r="F271" i="2"/>
  <c r="H271" i="2"/>
  <c r="T271" i="2"/>
  <c r="X271" i="2"/>
  <c r="Y271" i="2"/>
  <c r="AA271" i="2"/>
  <c r="AH271" i="2"/>
  <c r="AL271" i="2"/>
  <c r="AM271" i="2"/>
  <c r="F272" i="2"/>
  <c r="H272" i="2"/>
  <c r="T272" i="2"/>
  <c r="X272" i="2"/>
  <c r="Y272" i="2"/>
  <c r="AA272" i="2"/>
  <c r="AH272" i="2"/>
  <c r="AL272" i="2"/>
  <c r="AM272" i="2"/>
  <c r="AO272" i="2"/>
  <c r="F273" i="2"/>
  <c r="H273" i="2"/>
  <c r="M273" i="2"/>
  <c r="P273" i="2"/>
  <c r="T273" i="2"/>
  <c r="X273" i="2"/>
  <c r="Y273" i="2"/>
  <c r="AA273" i="2"/>
  <c r="AD273" i="2"/>
  <c r="AH273" i="2"/>
  <c r="AL273" i="2"/>
  <c r="AM273" i="2"/>
  <c r="AO273" i="2"/>
  <c r="F274" i="2"/>
  <c r="H274" i="2"/>
  <c r="T274" i="2"/>
  <c r="X274" i="2"/>
  <c r="Y274" i="2"/>
  <c r="AA274" i="2"/>
  <c r="AH274" i="2"/>
  <c r="AL274" i="2"/>
  <c r="AO274" i="2"/>
  <c r="F275" i="2"/>
  <c r="H275" i="2"/>
  <c r="M275" i="2"/>
  <c r="T275" i="2"/>
  <c r="X275" i="2"/>
  <c r="Y275" i="2"/>
  <c r="AH275" i="2"/>
  <c r="AL275" i="2"/>
  <c r="AO275" i="2"/>
  <c r="F276" i="2"/>
  <c r="H276" i="2"/>
  <c r="M276" i="2"/>
  <c r="T276" i="2"/>
  <c r="X276" i="2"/>
  <c r="Y276" i="2"/>
  <c r="AH276" i="2"/>
  <c r="AL276" i="2"/>
  <c r="AM276" i="2"/>
  <c r="F277" i="2"/>
  <c r="H277" i="2"/>
  <c r="P277" i="2"/>
  <c r="T277" i="2"/>
  <c r="V277" i="2"/>
  <c r="X277" i="2"/>
  <c r="AA277" i="2"/>
  <c r="AD277" i="2"/>
  <c r="AH277" i="2"/>
  <c r="AJ277" i="2"/>
  <c r="AO277" i="2"/>
  <c r="AL277" i="2"/>
  <c r="AM277" i="2"/>
  <c r="F278" i="2"/>
  <c r="H278" i="2"/>
  <c r="M278" i="2"/>
  <c r="R278" i="2"/>
  <c r="T278" i="2"/>
  <c r="V278" i="2"/>
  <c r="AA278" i="2"/>
  <c r="X278" i="2"/>
  <c r="Y278" i="2"/>
  <c r="Z278" i="2"/>
  <c r="AF278" i="2"/>
  <c r="AM278" i="2"/>
  <c r="AH278" i="2"/>
  <c r="AJ278" i="2"/>
  <c r="AO278" i="2"/>
  <c r="AL278" i="2"/>
  <c r="AN278" i="2"/>
  <c r="R279" i="2"/>
  <c r="T279" i="2"/>
  <c r="V279" i="2"/>
  <c r="AA279" i="2"/>
  <c r="X279" i="2"/>
  <c r="Y279" i="2"/>
  <c r="Z279" i="2"/>
  <c r="AF279" i="2"/>
  <c r="AM279" i="2"/>
  <c r="AH279" i="2"/>
  <c r="AJ279" i="2"/>
  <c r="AL279" i="2"/>
  <c r="AN279" i="2"/>
  <c r="AO279" i="2"/>
  <c r="R280" i="2"/>
  <c r="Y280" i="2"/>
  <c r="T280" i="2"/>
  <c r="V280" i="2"/>
  <c r="X280" i="2"/>
  <c r="Z280" i="2"/>
  <c r="AA280" i="2"/>
  <c r="AF280" i="2"/>
  <c r="AH280" i="2"/>
  <c r="AJ280" i="2"/>
  <c r="AL280" i="2"/>
  <c r="AM280" i="2"/>
  <c r="AN280" i="2"/>
  <c r="AO280" i="2"/>
  <c r="R303" i="2"/>
  <c r="R304" i="2"/>
  <c r="R305" i="2"/>
  <c r="R306" i="2"/>
  <c r="Y306" i="2"/>
  <c r="R307" i="2"/>
  <c r="R308" i="2"/>
  <c r="R309" i="2"/>
  <c r="R310" i="2"/>
  <c r="Y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43" i="2"/>
  <c r="Y343" i="2"/>
  <c r="R344" i="2"/>
  <c r="Y344" i="2"/>
  <c r="R345" i="2"/>
  <c r="R346" i="2"/>
  <c r="R347" i="2"/>
  <c r="R348" i="2"/>
  <c r="R349" i="2"/>
  <c r="R350" i="2"/>
  <c r="Y350" i="2"/>
  <c r="R351" i="2"/>
  <c r="AF303" i="2"/>
  <c r="AF304" i="2"/>
  <c r="AF305" i="2"/>
  <c r="AF306" i="2"/>
  <c r="AF307" i="2"/>
  <c r="AM303" i="2"/>
  <c r="AM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D306" i="2"/>
  <c r="AF329" i="2"/>
  <c r="AF330" i="2"/>
  <c r="B306" i="2"/>
  <c r="AF331" i="2"/>
  <c r="AF332" i="2"/>
  <c r="AF333" i="2"/>
  <c r="AF334" i="2"/>
  <c r="AF343" i="2"/>
  <c r="AF344" i="2"/>
  <c r="AF345" i="2"/>
  <c r="AF346" i="2"/>
  <c r="AM346" i="2"/>
  <c r="AF347" i="2"/>
  <c r="AF348" i="2"/>
  <c r="AM348" i="2"/>
  <c r="AF349" i="2"/>
  <c r="AM349" i="2"/>
  <c r="AF350" i="2"/>
  <c r="AF351" i="2"/>
  <c r="AM351" i="2"/>
  <c r="D300" i="2"/>
  <c r="D301" i="2"/>
  <c r="D302" i="2"/>
  <c r="B302" i="2"/>
  <c r="D303" i="2"/>
  <c r="D304" i="2"/>
  <c r="D305" i="2"/>
  <c r="D307" i="2"/>
  <c r="D310" i="2"/>
  <c r="D311" i="2"/>
  <c r="D312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A356" i="2"/>
  <c r="AH303" i="2"/>
  <c r="AJ303" i="2"/>
  <c r="AL303" i="2"/>
  <c r="AL307" i="2"/>
  <c r="AN303" i="2"/>
  <c r="AH304" i="2"/>
  <c r="AJ304" i="2"/>
  <c r="AL304" i="2"/>
  <c r="AM304" i="2"/>
  <c r="AN304" i="2"/>
  <c r="AH305" i="2"/>
  <c r="AJ305" i="2"/>
  <c r="AL305" i="2"/>
  <c r="AH306" i="2"/>
  <c r="AJ306" i="2"/>
  <c r="AL306" i="2"/>
  <c r="AM306" i="2"/>
  <c r="AM310" i="2"/>
  <c r="AJ310" i="2"/>
  <c r="AN310" i="2"/>
  <c r="AO310" i="2"/>
  <c r="AN306" i="2"/>
  <c r="AO306" i="2"/>
  <c r="AH307" i="2"/>
  <c r="AJ307" i="2"/>
  <c r="AH308" i="2"/>
  <c r="AJ308" i="2"/>
  <c r="AL308" i="2"/>
  <c r="AM308" i="2"/>
  <c r="AM312" i="2"/>
  <c r="AJ312" i="2"/>
  <c r="AN312" i="2"/>
  <c r="AO312" i="2"/>
  <c r="AN308" i="2"/>
  <c r="AO308" i="2"/>
  <c r="AH309" i="2"/>
  <c r="AJ309" i="2"/>
  <c r="AL309" i="2"/>
  <c r="AH310" i="2"/>
  <c r="AL310" i="2"/>
  <c r="AH311" i="2"/>
  <c r="AJ311" i="2"/>
  <c r="AL311" i="2"/>
  <c r="AL315" i="2"/>
  <c r="AL319" i="2"/>
  <c r="AH312" i="2"/>
  <c r="AL312" i="2"/>
  <c r="AH313" i="2"/>
  <c r="AJ313" i="2"/>
  <c r="AL313" i="2"/>
  <c r="AL317" i="2"/>
  <c r="AL321" i="2"/>
  <c r="AL325" i="2"/>
  <c r="AL329" i="2"/>
  <c r="AL333" i="2"/>
  <c r="AH314" i="2"/>
  <c r="AJ314" i="2"/>
  <c r="AL314" i="2"/>
  <c r="AM314" i="2"/>
  <c r="AH315" i="2"/>
  <c r="AJ315" i="2"/>
  <c r="AH316" i="2"/>
  <c r="AJ316" i="2"/>
  <c r="AL316" i="2"/>
  <c r="AH317" i="2"/>
  <c r="AJ317" i="2"/>
  <c r="AH318" i="2"/>
  <c r="AJ318" i="2"/>
  <c r="AL318" i="2"/>
  <c r="AH319" i="2"/>
  <c r="AJ319" i="2"/>
  <c r="AH320" i="2"/>
  <c r="AJ320" i="2"/>
  <c r="AL320" i="2"/>
  <c r="AH321" i="2"/>
  <c r="AJ321" i="2"/>
  <c r="AH322" i="2"/>
  <c r="AJ322" i="2"/>
  <c r="AL322" i="2"/>
  <c r="AH323" i="2"/>
  <c r="AJ323" i="2"/>
  <c r="AL323" i="2"/>
  <c r="AL327" i="2"/>
  <c r="AL331" i="2"/>
  <c r="AH324" i="2"/>
  <c r="AJ324" i="2"/>
  <c r="AL324" i="2"/>
  <c r="AH325" i="2"/>
  <c r="AJ325" i="2"/>
  <c r="AH326" i="2"/>
  <c r="AJ326" i="2"/>
  <c r="AL326" i="2"/>
  <c r="AH327" i="2"/>
  <c r="AJ327" i="2"/>
  <c r="AH328" i="2"/>
  <c r="AJ328" i="2"/>
  <c r="AL328" i="2"/>
  <c r="AH329" i="2"/>
  <c r="AJ329" i="2"/>
  <c r="AH330" i="2"/>
  <c r="AJ330" i="2"/>
  <c r="AL330" i="2"/>
  <c r="AH331" i="2"/>
  <c r="AJ331" i="2"/>
  <c r="AH332" i="2"/>
  <c r="AJ332" i="2"/>
  <c r="AL332" i="2"/>
  <c r="AH333" i="2"/>
  <c r="AJ333" i="2"/>
  <c r="AH334" i="2"/>
  <c r="AJ334" i="2"/>
  <c r="X303" i="2"/>
  <c r="X307" i="2"/>
  <c r="V307" i="2"/>
  <c r="X308" i="2"/>
  <c r="Y304" i="2"/>
  <c r="Y308" i="2"/>
  <c r="V308" i="2"/>
  <c r="Z308" i="2"/>
  <c r="AA308" i="2"/>
  <c r="X305" i="2"/>
  <c r="X309" i="2"/>
  <c r="X313" i="2"/>
  <c r="X317" i="2"/>
  <c r="X321" i="2"/>
  <c r="X325" i="2"/>
  <c r="X329" i="2"/>
  <c r="X333" i="2"/>
  <c r="Y305" i="2"/>
  <c r="Y309" i="2"/>
  <c r="Y313" i="2"/>
  <c r="Y317" i="2"/>
  <c r="V309" i="2"/>
  <c r="Z309" i="2"/>
  <c r="X306" i="2"/>
  <c r="X310" i="2"/>
  <c r="X314" i="2"/>
  <c r="X318" i="2"/>
  <c r="X322" i="2"/>
  <c r="X326" i="2"/>
  <c r="X330" i="2"/>
  <c r="V310" i="2"/>
  <c r="Z310" i="2"/>
  <c r="X311" i="2"/>
  <c r="X315" i="2"/>
  <c r="X319" i="2"/>
  <c r="X323" i="2"/>
  <c r="X327" i="2"/>
  <c r="X331" i="2"/>
  <c r="V311" i="2"/>
  <c r="X312" i="2"/>
  <c r="X316" i="2"/>
  <c r="X320" i="2"/>
  <c r="X324" i="2"/>
  <c r="V312" i="2"/>
  <c r="V313" i="2"/>
  <c r="Y314" i="2"/>
  <c r="Y318" i="2"/>
  <c r="V314" i="2"/>
  <c r="V315" i="2"/>
  <c r="V316" i="2"/>
  <c r="V317" i="2"/>
  <c r="V318" i="2"/>
  <c r="K300" i="2"/>
  <c r="H300" i="2"/>
  <c r="L300" i="2"/>
  <c r="K301" i="2"/>
  <c r="H301" i="2"/>
  <c r="H302" i="2"/>
  <c r="H303" i="2"/>
  <c r="H304" i="2"/>
  <c r="H305" i="2"/>
  <c r="H306" i="2"/>
  <c r="H307" i="2"/>
  <c r="K310" i="2"/>
  <c r="L310" i="2"/>
  <c r="M310" i="2"/>
  <c r="K311" i="2"/>
  <c r="L311" i="2"/>
  <c r="K312" i="2"/>
  <c r="L312" i="2"/>
  <c r="M312" i="2"/>
  <c r="K314" i="2"/>
  <c r="L314" i="2"/>
  <c r="K315" i="2"/>
  <c r="L315" i="2"/>
  <c r="K316" i="2"/>
  <c r="L316" i="2"/>
  <c r="M316" i="2"/>
  <c r="K317" i="2"/>
  <c r="L317" i="2"/>
  <c r="M317" i="2"/>
  <c r="K318" i="2"/>
  <c r="L318" i="2"/>
  <c r="M318" i="2"/>
  <c r="K319" i="2"/>
  <c r="L319" i="2"/>
  <c r="M319" i="2"/>
  <c r="K320" i="2"/>
  <c r="L320" i="2"/>
  <c r="K321" i="2"/>
  <c r="L321" i="2"/>
  <c r="K322" i="2"/>
  <c r="L322" i="2"/>
  <c r="M322" i="2"/>
  <c r="K323" i="2"/>
  <c r="L323" i="2"/>
  <c r="K324" i="2"/>
  <c r="L324" i="2"/>
  <c r="M324" i="2"/>
  <c r="K325" i="2"/>
  <c r="L325" i="2"/>
  <c r="M325" i="2"/>
  <c r="K326" i="2"/>
  <c r="L326" i="2"/>
  <c r="M326" i="2"/>
  <c r="K327" i="2"/>
  <c r="L327" i="2"/>
  <c r="K328" i="2"/>
  <c r="L328" i="2"/>
  <c r="M328" i="2"/>
  <c r="L329" i="2"/>
  <c r="L330" i="2"/>
  <c r="M330" i="2"/>
  <c r="L331" i="2"/>
  <c r="L332" i="2"/>
  <c r="M332" i="2"/>
  <c r="L333" i="2"/>
  <c r="L334" i="2"/>
  <c r="M334" i="2"/>
  <c r="L335" i="2"/>
  <c r="M335" i="2"/>
  <c r="L336" i="2"/>
  <c r="L337" i="2"/>
  <c r="L338" i="2"/>
  <c r="L339" i="2"/>
  <c r="L340" i="2"/>
  <c r="L341" i="2"/>
  <c r="L342" i="2"/>
  <c r="L343" i="2"/>
  <c r="M343" i="2"/>
  <c r="L344" i="2"/>
  <c r="M344" i="2"/>
  <c r="L345" i="2"/>
  <c r="L346" i="2"/>
  <c r="M346" i="2"/>
  <c r="L347" i="2"/>
  <c r="M347" i="2"/>
  <c r="L348" i="2"/>
  <c r="L349" i="2"/>
  <c r="L350" i="2"/>
  <c r="L351" i="2"/>
  <c r="M351" i="2"/>
  <c r="L352" i="2"/>
  <c r="M352" i="2"/>
  <c r="V303" i="2"/>
  <c r="V304" i="2"/>
  <c r="V320" i="2"/>
  <c r="V323" i="2"/>
  <c r="V328" i="2"/>
  <c r="V332" i="2"/>
  <c r="V344" i="2"/>
  <c r="V348" i="2"/>
  <c r="V365" i="2"/>
  <c r="Z304" i="2"/>
  <c r="AA304" i="2"/>
  <c r="V305" i="2"/>
  <c r="V306" i="2"/>
  <c r="Z306" i="2"/>
  <c r="V319" i="2"/>
  <c r="V321" i="2"/>
  <c r="V322" i="2"/>
  <c r="V324" i="2"/>
  <c r="V325" i="2"/>
  <c r="V326" i="2"/>
  <c r="V327" i="2"/>
  <c r="V329" i="2"/>
  <c r="V330" i="2"/>
  <c r="V331" i="2"/>
  <c r="V333" i="2"/>
  <c r="V334" i="2"/>
  <c r="Z334" i="2"/>
  <c r="Z343" i="2"/>
  <c r="Z344" i="2"/>
  <c r="Z345" i="2"/>
  <c r="Z346" i="2"/>
  <c r="Z347" i="2"/>
  <c r="Z348" i="2"/>
  <c r="Z349" i="2"/>
  <c r="Z350" i="2"/>
  <c r="Z351" i="2"/>
  <c r="AN343" i="2"/>
  <c r="AN344" i="2"/>
  <c r="AN345" i="2"/>
  <c r="AN346" i="2"/>
  <c r="AN347" i="2"/>
  <c r="AN348" i="2"/>
  <c r="AN349" i="2"/>
  <c r="AN350" i="2"/>
  <c r="AN351" i="2"/>
  <c r="V343" i="2"/>
  <c r="AA343" i="2"/>
  <c r="V347" i="2"/>
  <c r="X364" i="2"/>
  <c r="Y364" i="2"/>
  <c r="AJ343" i="2"/>
  <c r="AJ347" i="2"/>
  <c r="AO347" i="2"/>
  <c r="AJ364" i="2"/>
  <c r="AL364" i="2"/>
  <c r="AM364" i="2"/>
  <c r="X365" i="2"/>
  <c r="Y365" i="2"/>
  <c r="AJ344" i="2"/>
  <c r="AJ348" i="2"/>
  <c r="AO348" i="2"/>
  <c r="AJ365" i="2"/>
  <c r="AL365" i="2"/>
  <c r="AM365" i="2"/>
  <c r="R366" i="2"/>
  <c r="V345" i="2"/>
  <c r="AA345" i="2"/>
  <c r="V349" i="2"/>
  <c r="X366" i="2"/>
  <c r="Y366" i="2"/>
  <c r="AJ345" i="2"/>
  <c r="AJ349" i="2"/>
  <c r="AJ366" i="2"/>
  <c r="AL366" i="2"/>
  <c r="AM366" i="2"/>
  <c r="R367" i="2"/>
  <c r="V346" i="2"/>
  <c r="V350" i="2"/>
  <c r="X367" i="2"/>
  <c r="Y367" i="2"/>
  <c r="AF367" i="2"/>
  <c r="AJ346" i="2"/>
  <c r="AJ350" i="2"/>
  <c r="AO350" i="2"/>
  <c r="AL367" i="2"/>
  <c r="AM367" i="2"/>
  <c r="B300" i="2"/>
  <c r="F300" i="2"/>
  <c r="F301" i="2"/>
  <c r="F302" i="2"/>
  <c r="B303" i="2"/>
  <c r="F303" i="2"/>
  <c r="P303" i="2"/>
  <c r="T303" i="2"/>
  <c r="AD303" i="2"/>
  <c r="F304" i="2"/>
  <c r="T304" i="2"/>
  <c r="B305" i="2"/>
  <c r="F305" i="2"/>
  <c r="T305" i="2"/>
  <c r="F306" i="2"/>
  <c r="T306" i="2"/>
  <c r="F307" i="2"/>
  <c r="P307" i="2"/>
  <c r="T307" i="2"/>
  <c r="AD307" i="2"/>
  <c r="T308" i="2"/>
  <c r="T309" i="2"/>
  <c r="B310" i="2"/>
  <c r="F310" i="2"/>
  <c r="H310" i="2"/>
  <c r="T310" i="2"/>
  <c r="B311" i="2"/>
  <c r="F311" i="2"/>
  <c r="H311" i="2"/>
  <c r="M311" i="2"/>
  <c r="P311" i="2"/>
  <c r="T311" i="2"/>
  <c r="AD311" i="2"/>
  <c r="F312" i="2"/>
  <c r="H312" i="2"/>
  <c r="T312" i="2"/>
  <c r="T313" i="2"/>
  <c r="F314" i="2"/>
  <c r="H314" i="2"/>
  <c r="M314" i="2"/>
  <c r="T314" i="2"/>
  <c r="F315" i="2"/>
  <c r="H315" i="2"/>
  <c r="M315" i="2"/>
  <c r="P315" i="2"/>
  <c r="T315" i="2"/>
  <c r="AD315" i="2"/>
  <c r="F316" i="2"/>
  <c r="H316" i="2"/>
  <c r="T316" i="2"/>
  <c r="F317" i="2"/>
  <c r="H317" i="2"/>
  <c r="T317" i="2"/>
  <c r="F318" i="2"/>
  <c r="H318" i="2"/>
  <c r="T318" i="2"/>
  <c r="F319" i="2"/>
  <c r="H319" i="2"/>
  <c r="P319" i="2"/>
  <c r="T319" i="2"/>
  <c r="AD319" i="2"/>
  <c r="F320" i="2"/>
  <c r="H320" i="2"/>
  <c r="M320" i="2"/>
  <c r="T320" i="2"/>
  <c r="F321" i="2"/>
  <c r="H321" i="2"/>
  <c r="M321" i="2"/>
  <c r="T321" i="2"/>
  <c r="F322" i="2"/>
  <c r="H322" i="2"/>
  <c r="T322" i="2"/>
  <c r="F323" i="2"/>
  <c r="H323" i="2"/>
  <c r="M323" i="2"/>
  <c r="P323" i="2"/>
  <c r="T323" i="2"/>
  <c r="AD323" i="2"/>
  <c r="F324" i="2"/>
  <c r="H324" i="2"/>
  <c r="T324" i="2"/>
  <c r="F325" i="2"/>
  <c r="H325" i="2"/>
  <c r="T325" i="2"/>
  <c r="F326" i="2"/>
  <c r="H326" i="2"/>
  <c r="T326" i="2"/>
  <c r="F327" i="2"/>
  <c r="H327" i="2"/>
  <c r="M327" i="2"/>
  <c r="P327" i="2"/>
  <c r="T327" i="2"/>
  <c r="AD327" i="2"/>
  <c r="F328" i="2"/>
  <c r="H328" i="2"/>
  <c r="T328" i="2"/>
  <c r="X328" i="2"/>
  <c r="F329" i="2"/>
  <c r="H329" i="2"/>
  <c r="M329" i="2"/>
  <c r="T329" i="2"/>
  <c r="F330" i="2"/>
  <c r="H330" i="2"/>
  <c r="T330" i="2"/>
  <c r="F331" i="2"/>
  <c r="H331" i="2"/>
  <c r="M331" i="2"/>
  <c r="P331" i="2"/>
  <c r="T331" i="2"/>
  <c r="AD331" i="2"/>
  <c r="F332" i="2"/>
  <c r="H332" i="2"/>
  <c r="T332" i="2"/>
  <c r="F333" i="2"/>
  <c r="H333" i="2"/>
  <c r="M333" i="2"/>
  <c r="T333" i="2"/>
  <c r="F334" i="2"/>
  <c r="H334" i="2"/>
  <c r="T334" i="2"/>
  <c r="AA334" i="2"/>
  <c r="F335" i="2"/>
  <c r="H335" i="2"/>
  <c r="F336" i="2"/>
  <c r="H336" i="2"/>
  <c r="M336" i="2"/>
  <c r="F337" i="2"/>
  <c r="H337" i="2"/>
  <c r="M337" i="2"/>
  <c r="F338" i="2"/>
  <c r="H338" i="2"/>
  <c r="M338" i="2"/>
  <c r="F339" i="2"/>
  <c r="H339" i="2"/>
  <c r="M339" i="2"/>
  <c r="F340" i="2"/>
  <c r="H340" i="2"/>
  <c r="M340" i="2"/>
  <c r="F341" i="2"/>
  <c r="H341" i="2"/>
  <c r="M341" i="2"/>
  <c r="F342" i="2"/>
  <c r="H342" i="2"/>
  <c r="M342" i="2"/>
  <c r="F343" i="2"/>
  <c r="H343" i="2"/>
  <c r="P343" i="2"/>
  <c r="T343" i="2"/>
  <c r="X343" i="2"/>
  <c r="AD343" i="2"/>
  <c r="AH343" i="2"/>
  <c r="AL343" i="2"/>
  <c r="AM343" i="2"/>
  <c r="AO343" i="2"/>
  <c r="F344" i="2"/>
  <c r="H344" i="2"/>
  <c r="T344" i="2"/>
  <c r="X344" i="2"/>
  <c r="AA344" i="2"/>
  <c r="AH344" i="2"/>
  <c r="AL344" i="2"/>
  <c r="AM344" i="2"/>
  <c r="AO344" i="2"/>
  <c r="F345" i="2"/>
  <c r="H345" i="2"/>
  <c r="M345" i="2"/>
  <c r="T345" i="2"/>
  <c r="X345" i="2"/>
  <c r="Y345" i="2"/>
  <c r="AH345" i="2"/>
  <c r="AL345" i="2"/>
  <c r="AM345" i="2"/>
  <c r="AO345" i="2"/>
  <c r="F346" i="2"/>
  <c r="H346" i="2"/>
  <c r="T346" i="2"/>
  <c r="X346" i="2"/>
  <c r="Y346" i="2"/>
  <c r="AA346" i="2"/>
  <c r="AH346" i="2"/>
  <c r="AL346" i="2"/>
  <c r="F347" i="2"/>
  <c r="H347" i="2"/>
  <c r="P347" i="2"/>
  <c r="T347" i="2"/>
  <c r="X347" i="2"/>
  <c r="Y347" i="2"/>
  <c r="AA347" i="2"/>
  <c r="AD347" i="2"/>
  <c r="AH347" i="2"/>
  <c r="AL347" i="2"/>
  <c r="AM347" i="2"/>
  <c r="F348" i="2"/>
  <c r="H348" i="2"/>
  <c r="M348" i="2"/>
  <c r="T348" i="2"/>
  <c r="X348" i="2"/>
  <c r="Y348" i="2"/>
  <c r="AA348" i="2"/>
  <c r="AH348" i="2"/>
  <c r="AL348" i="2"/>
  <c r="F349" i="2"/>
  <c r="H349" i="2"/>
  <c r="M349" i="2"/>
  <c r="T349" i="2"/>
  <c r="X349" i="2"/>
  <c r="Y349" i="2"/>
  <c r="AA349" i="2"/>
  <c r="AH349" i="2"/>
  <c r="AL349" i="2"/>
  <c r="AO349" i="2"/>
  <c r="F350" i="2"/>
  <c r="H350" i="2"/>
  <c r="M350" i="2"/>
  <c r="T350" i="2"/>
  <c r="X350" i="2"/>
  <c r="AA350" i="2"/>
  <c r="AH350" i="2"/>
  <c r="AL350" i="2"/>
  <c r="AM350" i="2"/>
  <c r="F351" i="2"/>
  <c r="H351" i="2"/>
  <c r="P351" i="2"/>
  <c r="T351" i="2"/>
  <c r="V351" i="2"/>
  <c r="X351" i="2"/>
  <c r="Y351" i="2"/>
  <c r="AA351" i="2"/>
  <c r="AD351" i="2"/>
  <c r="AH351" i="2"/>
  <c r="AJ351" i="2"/>
  <c r="AO351" i="2"/>
  <c r="AL351" i="2"/>
  <c r="F352" i="2"/>
  <c r="H352" i="2"/>
  <c r="R352" i="2"/>
  <c r="Y352" i="2"/>
  <c r="T352" i="2"/>
  <c r="V352" i="2"/>
  <c r="AA352" i="2"/>
  <c r="X352" i="2"/>
  <c r="Z352" i="2"/>
  <c r="AF352" i="2"/>
  <c r="AM352" i="2"/>
  <c r="AH352" i="2"/>
  <c r="AJ352" i="2"/>
  <c r="AL352" i="2"/>
  <c r="AN352" i="2"/>
  <c r="AO352" i="2"/>
  <c r="R353" i="2"/>
  <c r="Y353" i="2"/>
  <c r="T353" i="2"/>
  <c r="V353" i="2"/>
  <c r="AA353" i="2"/>
  <c r="X353" i="2"/>
  <c r="Z353" i="2"/>
  <c r="AF353" i="2"/>
  <c r="AH353" i="2"/>
  <c r="AJ353" i="2"/>
  <c r="AL353" i="2"/>
  <c r="AM353" i="2"/>
  <c r="AN353" i="2"/>
  <c r="AO353" i="2"/>
  <c r="R354" i="2"/>
  <c r="Y354" i="2"/>
  <c r="T354" i="2"/>
  <c r="V354" i="2"/>
  <c r="AA354" i="2"/>
  <c r="X354" i="2"/>
  <c r="Z354" i="2"/>
  <c r="AF354" i="2"/>
  <c r="AH354" i="2"/>
  <c r="AJ354" i="2"/>
  <c r="AL354" i="2"/>
  <c r="AM354" i="2"/>
  <c r="AN354" i="2"/>
  <c r="AO354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Y395" i="2"/>
  <c r="Y399" i="2"/>
  <c r="R403" i="2"/>
  <c r="Y403" i="2"/>
  <c r="R400" i="2"/>
  <c r="R401" i="2"/>
  <c r="R402" i="2"/>
  <c r="R404" i="2"/>
  <c r="R405" i="2"/>
  <c r="D381" i="2"/>
  <c r="R406" i="2"/>
  <c r="R407" i="2"/>
  <c r="R408" i="2"/>
  <c r="AF405" i="2"/>
  <c r="AF406" i="2"/>
  <c r="AF407" i="2"/>
  <c r="AF408" i="2"/>
  <c r="B381" i="2"/>
  <c r="R409" i="2"/>
  <c r="R410" i="2"/>
  <c r="R411" i="2"/>
  <c r="R412" i="2"/>
  <c r="R417" i="2"/>
  <c r="Y417" i="2"/>
  <c r="R418" i="2"/>
  <c r="Y418" i="2"/>
  <c r="R419" i="2"/>
  <c r="R420" i="2"/>
  <c r="R421" i="2"/>
  <c r="R422" i="2"/>
  <c r="R423" i="2"/>
  <c r="R424" i="2"/>
  <c r="R425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J389" i="2"/>
  <c r="AN389" i="2"/>
  <c r="AO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9" i="2"/>
  <c r="AF410" i="2"/>
  <c r="AF411" i="2"/>
  <c r="AF412" i="2"/>
  <c r="AF417" i="2"/>
  <c r="AM417" i="2"/>
  <c r="AF418" i="2"/>
  <c r="AM418" i="2"/>
  <c r="AF419" i="2"/>
  <c r="AF420" i="2"/>
  <c r="AF421" i="2"/>
  <c r="AF422" i="2"/>
  <c r="AF423" i="2"/>
  <c r="AF424" i="2"/>
  <c r="AF425" i="2"/>
  <c r="D374" i="2"/>
  <c r="D375" i="2"/>
  <c r="B375" i="2"/>
  <c r="D376" i="2"/>
  <c r="K374" i="2"/>
  <c r="K375" i="2"/>
  <c r="K376" i="2"/>
  <c r="H376" i="2"/>
  <c r="L376" i="2"/>
  <c r="M376" i="2"/>
  <c r="D377" i="2"/>
  <c r="D378" i="2"/>
  <c r="D379" i="2"/>
  <c r="B379" i="2"/>
  <c r="D380" i="2"/>
  <c r="D382" i="2"/>
  <c r="D384" i="2"/>
  <c r="D385" i="2"/>
  <c r="D386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30" i="2"/>
  <c r="A430" i="2"/>
  <c r="Y378" i="2"/>
  <c r="Y382" i="2"/>
  <c r="Y386" i="2"/>
  <c r="Y390" i="2"/>
  <c r="AH377" i="2"/>
  <c r="AJ377" i="2"/>
  <c r="AL377" i="2"/>
  <c r="AH378" i="2"/>
  <c r="AJ378" i="2"/>
  <c r="AL378" i="2"/>
  <c r="AL382" i="2"/>
  <c r="AL386" i="2"/>
  <c r="AM378" i="2"/>
  <c r="AM382" i="2"/>
  <c r="AM386" i="2"/>
  <c r="AJ386" i="2"/>
  <c r="AN386" i="2"/>
  <c r="AO386" i="2"/>
  <c r="AN378" i="2"/>
  <c r="AH379" i="2"/>
  <c r="AJ379" i="2"/>
  <c r="AL379" i="2"/>
  <c r="AM379" i="2"/>
  <c r="AH380" i="2"/>
  <c r="AJ380" i="2"/>
  <c r="AL380" i="2"/>
  <c r="AL384" i="2"/>
  <c r="AL388" i="2"/>
  <c r="AM380" i="2"/>
  <c r="AH381" i="2"/>
  <c r="AJ381" i="2"/>
  <c r="AH382" i="2"/>
  <c r="AJ382" i="2"/>
  <c r="AH383" i="2"/>
  <c r="AJ383" i="2"/>
  <c r="AL383" i="2"/>
  <c r="AL387" i="2"/>
  <c r="AL391" i="2"/>
  <c r="AL395" i="2"/>
  <c r="AL399" i="2"/>
  <c r="AM383" i="2"/>
  <c r="AN383" i="2"/>
  <c r="AH384" i="2"/>
  <c r="AJ384" i="2"/>
  <c r="AH385" i="2"/>
  <c r="AJ385" i="2"/>
  <c r="AL385" i="2"/>
  <c r="AH386" i="2"/>
  <c r="AH387" i="2"/>
  <c r="AJ387" i="2"/>
  <c r="AM387" i="2"/>
  <c r="AM391" i="2"/>
  <c r="AM395" i="2"/>
  <c r="AM399" i="2"/>
  <c r="AN387" i="2"/>
  <c r="AO387" i="2"/>
  <c r="AH388" i="2"/>
  <c r="AJ388" i="2"/>
  <c r="AH389" i="2"/>
  <c r="AH390" i="2"/>
  <c r="AJ390" i="2"/>
  <c r="AL390" i="2"/>
  <c r="AM390" i="2"/>
  <c r="AM394" i="2"/>
  <c r="AM398" i="2"/>
  <c r="AH391" i="2"/>
  <c r="AJ391" i="2"/>
  <c r="AH392" i="2"/>
  <c r="AJ392" i="2"/>
  <c r="AL392" i="2"/>
  <c r="AL396" i="2"/>
  <c r="AL400" i="2"/>
  <c r="AL404" i="2"/>
  <c r="AL408" i="2"/>
  <c r="AL412" i="2"/>
  <c r="AH393" i="2"/>
  <c r="AJ393" i="2"/>
  <c r="AL393" i="2"/>
  <c r="AM393" i="2"/>
  <c r="AH394" i="2"/>
  <c r="AJ394" i="2"/>
  <c r="AL394" i="2"/>
  <c r="AL398" i="2"/>
  <c r="AL402" i="2"/>
  <c r="AH395" i="2"/>
  <c r="AJ395" i="2"/>
  <c r="AH396" i="2"/>
  <c r="AJ396" i="2"/>
  <c r="AH397" i="2"/>
  <c r="AJ397" i="2"/>
  <c r="AL397" i="2"/>
  <c r="AL401" i="2"/>
  <c r="AL405" i="2"/>
  <c r="AL409" i="2"/>
  <c r="AM397" i="2"/>
  <c r="AN397" i="2"/>
  <c r="AH398" i="2"/>
  <c r="AJ398" i="2"/>
  <c r="AH399" i="2"/>
  <c r="AJ399" i="2"/>
  <c r="AH400" i="2"/>
  <c r="AJ400" i="2"/>
  <c r="AH401" i="2"/>
  <c r="AJ401" i="2"/>
  <c r="AH402" i="2"/>
  <c r="AJ402" i="2"/>
  <c r="AH403" i="2"/>
  <c r="AJ403" i="2"/>
  <c r="AH404" i="2"/>
  <c r="AJ404" i="2"/>
  <c r="AH405" i="2"/>
  <c r="AJ405" i="2"/>
  <c r="AH406" i="2"/>
  <c r="AJ406" i="2"/>
  <c r="AL406" i="2"/>
  <c r="AL410" i="2"/>
  <c r="AH407" i="2"/>
  <c r="AJ407" i="2"/>
  <c r="AL407" i="2"/>
  <c r="AH408" i="2"/>
  <c r="AJ408" i="2"/>
  <c r="AH409" i="2"/>
  <c r="AJ409" i="2"/>
  <c r="AH410" i="2"/>
  <c r="AJ410" i="2"/>
  <c r="AH411" i="2"/>
  <c r="AJ411" i="2"/>
  <c r="AL411" i="2"/>
  <c r="AH412" i="2"/>
  <c r="AJ412" i="2"/>
  <c r="AH417" i="2"/>
  <c r="AJ417" i="2"/>
  <c r="AO417" i="2"/>
  <c r="AL417" i="2"/>
  <c r="AN417" i="2"/>
  <c r="AH418" i="2"/>
  <c r="AJ418" i="2"/>
  <c r="AO418" i="2"/>
  <c r="AL418" i="2"/>
  <c r="AN418" i="2"/>
  <c r="AH419" i="2"/>
  <c r="AJ419" i="2"/>
  <c r="AO419" i="2"/>
  <c r="AL419" i="2"/>
  <c r="AM419" i="2"/>
  <c r="AN419" i="2"/>
  <c r="AH420" i="2"/>
  <c r="AJ420" i="2"/>
  <c r="AO420" i="2"/>
  <c r="AL420" i="2"/>
  <c r="AM420" i="2"/>
  <c r="AN420" i="2"/>
  <c r="AH421" i="2"/>
  <c r="AJ421" i="2"/>
  <c r="AO421" i="2"/>
  <c r="AL421" i="2"/>
  <c r="AM421" i="2"/>
  <c r="AN421" i="2"/>
  <c r="AH422" i="2"/>
  <c r="AJ422" i="2"/>
  <c r="AO422" i="2"/>
  <c r="AL422" i="2"/>
  <c r="AM422" i="2"/>
  <c r="AN422" i="2"/>
  <c r="AH423" i="2"/>
  <c r="AJ423" i="2"/>
  <c r="AO423" i="2"/>
  <c r="AL423" i="2"/>
  <c r="AM423" i="2"/>
  <c r="AN423" i="2"/>
  <c r="AH424" i="2"/>
  <c r="AJ424" i="2"/>
  <c r="AO424" i="2"/>
  <c r="AL424" i="2"/>
  <c r="AM424" i="2"/>
  <c r="AN424" i="2"/>
  <c r="D431" i="2"/>
  <c r="E431" i="2"/>
  <c r="H374" i="2"/>
  <c r="L374" i="2"/>
  <c r="H375" i="2"/>
  <c r="L375" i="2"/>
  <c r="M375" i="2"/>
  <c r="K377" i="2"/>
  <c r="H377" i="2"/>
  <c r="H378" i="2"/>
  <c r="H379" i="2"/>
  <c r="H380" i="2"/>
  <c r="H381" i="2"/>
  <c r="H382" i="2"/>
  <c r="K384" i="2"/>
  <c r="L384" i="2"/>
  <c r="K385" i="2"/>
  <c r="L385" i="2"/>
  <c r="M385" i="2"/>
  <c r="K386" i="2"/>
  <c r="L386" i="2"/>
  <c r="M386" i="2"/>
  <c r="K388" i="2"/>
  <c r="L388" i="2"/>
  <c r="M388" i="2"/>
  <c r="K389" i="2"/>
  <c r="L389" i="2"/>
  <c r="M389" i="2"/>
  <c r="K390" i="2"/>
  <c r="L390" i="2"/>
  <c r="K391" i="2"/>
  <c r="L391" i="2"/>
  <c r="K392" i="2"/>
  <c r="L392" i="2"/>
  <c r="M392" i="2"/>
  <c r="K393" i="2"/>
  <c r="L393" i="2"/>
  <c r="M393" i="2"/>
  <c r="K394" i="2"/>
  <c r="L394" i="2"/>
  <c r="M394" i="2"/>
  <c r="K395" i="2"/>
  <c r="L395" i="2"/>
  <c r="M395" i="2"/>
  <c r="K396" i="2"/>
  <c r="L396" i="2"/>
  <c r="K397" i="2"/>
  <c r="L397" i="2"/>
  <c r="K398" i="2"/>
  <c r="L398" i="2"/>
  <c r="M398" i="2"/>
  <c r="K399" i="2"/>
  <c r="L399" i="2"/>
  <c r="K400" i="2"/>
  <c r="L400" i="2"/>
  <c r="M400" i="2"/>
  <c r="K401" i="2"/>
  <c r="L401" i="2"/>
  <c r="M401" i="2"/>
  <c r="K402" i="2"/>
  <c r="L402" i="2"/>
  <c r="M402" i="2"/>
  <c r="L403" i="2"/>
  <c r="L404" i="2"/>
  <c r="L405" i="2"/>
  <c r="L406" i="2"/>
  <c r="L407" i="2"/>
  <c r="M407" i="2"/>
  <c r="L408" i="2"/>
  <c r="L409" i="2"/>
  <c r="L410" i="2"/>
  <c r="M410" i="2"/>
  <c r="L411" i="2"/>
  <c r="M411" i="2"/>
  <c r="L412" i="2"/>
  <c r="M412" i="2"/>
  <c r="L413" i="2"/>
  <c r="M413" i="2"/>
  <c r="L414" i="2"/>
  <c r="L415" i="2"/>
  <c r="L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V377" i="2"/>
  <c r="V378" i="2"/>
  <c r="V379" i="2"/>
  <c r="Y379" i="2"/>
  <c r="Z379" i="2"/>
  <c r="V380" i="2"/>
  <c r="Y380" i="2"/>
  <c r="Y384" i="2"/>
  <c r="V381" i="2"/>
  <c r="V382" i="2"/>
  <c r="Z382" i="2"/>
  <c r="V383" i="2"/>
  <c r="Y383" i="2"/>
  <c r="Y387" i="2"/>
  <c r="V387" i="2"/>
  <c r="Z387" i="2"/>
  <c r="AA387" i="2"/>
  <c r="V384" i="2"/>
  <c r="V385" i="2"/>
  <c r="V386" i="2"/>
  <c r="V388" i="2"/>
  <c r="V389" i="2"/>
  <c r="V390" i="2"/>
  <c r="V391" i="2"/>
  <c r="Z391" i="2"/>
  <c r="AA391" i="2"/>
  <c r="V392" i="2"/>
  <c r="V393" i="2"/>
  <c r="V394" i="2"/>
  <c r="V395" i="2"/>
  <c r="Z395" i="2"/>
  <c r="AA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Y407" i="2"/>
  <c r="V408" i="2"/>
  <c r="V409" i="2"/>
  <c r="V410" i="2"/>
  <c r="V411" i="2"/>
  <c r="V412" i="2"/>
  <c r="Z417" i="2"/>
  <c r="Z418" i="2"/>
  <c r="Z419" i="2"/>
  <c r="Z420" i="2"/>
  <c r="Z421" i="2"/>
  <c r="Z422" i="2"/>
  <c r="Z423" i="2"/>
  <c r="Z424" i="2"/>
  <c r="Z425" i="2"/>
  <c r="AN425" i="2"/>
  <c r="V417" i="2"/>
  <c r="AA417" i="2"/>
  <c r="V421" i="2"/>
  <c r="X438" i="2"/>
  <c r="Y438" i="2"/>
  <c r="AJ438" i="2"/>
  <c r="AL438" i="2"/>
  <c r="AM438" i="2"/>
  <c r="R439" i="2"/>
  <c r="V418" i="2"/>
  <c r="V422" i="2"/>
  <c r="X439" i="2"/>
  <c r="Y439" i="2"/>
  <c r="AL439" i="2"/>
  <c r="AM439" i="2"/>
  <c r="V419" i="2"/>
  <c r="V423" i="2"/>
  <c r="X440" i="2"/>
  <c r="Y440" i="2"/>
  <c r="AF440" i="2"/>
  <c r="AL440" i="2"/>
  <c r="AM440" i="2"/>
  <c r="R441" i="2"/>
  <c r="V420" i="2"/>
  <c r="AA420" i="2"/>
  <c r="V424" i="2"/>
  <c r="X441" i="2"/>
  <c r="Y441" i="2"/>
  <c r="AL441" i="2"/>
  <c r="AM441" i="2"/>
  <c r="F374" i="2"/>
  <c r="F375" i="2"/>
  <c r="B376" i="2"/>
  <c r="F376" i="2"/>
  <c r="B377" i="2"/>
  <c r="F377" i="2"/>
  <c r="P377" i="2"/>
  <c r="T377" i="2"/>
  <c r="X377" i="2"/>
  <c r="AD377" i="2"/>
  <c r="B378" i="2"/>
  <c r="F378" i="2"/>
  <c r="T378" i="2"/>
  <c r="X378" i="2"/>
  <c r="X382" i="2"/>
  <c r="X386" i="2"/>
  <c r="X390" i="2"/>
  <c r="X394" i="2"/>
  <c r="F379" i="2"/>
  <c r="T379" i="2"/>
  <c r="X379" i="2"/>
  <c r="F380" i="2"/>
  <c r="T380" i="2"/>
  <c r="X380" i="2"/>
  <c r="F381" i="2"/>
  <c r="P381" i="2"/>
  <c r="T381" i="2"/>
  <c r="AD381" i="2"/>
  <c r="B382" i="2"/>
  <c r="F382" i="2"/>
  <c r="T382" i="2"/>
  <c r="T383" i="2"/>
  <c r="X383" i="2"/>
  <c r="B384" i="2"/>
  <c r="F384" i="2"/>
  <c r="H384" i="2"/>
  <c r="M384" i="2"/>
  <c r="T384" i="2"/>
  <c r="X384" i="2"/>
  <c r="X388" i="2"/>
  <c r="X392" i="2"/>
  <c r="X396" i="2"/>
  <c r="X400" i="2"/>
  <c r="X404" i="2"/>
  <c r="X408" i="2"/>
  <c r="X412" i="2"/>
  <c r="B385" i="2"/>
  <c r="F385" i="2"/>
  <c r="H385" i="2"/>
  <c r="P385" i="2"/>
  <c r="T385" i="2"/>
  <c r="X385" i="2"/>
  <c r="AD385" i="2"/>
  <c r="F386" i="2"/>
  <c r="H386" i="2"/>
  <c r="T386" i="2"/>
  <c r="T387" i="2"/>
  <c r="X387" i="2"/>
  <c r="F388" i="2"/>
  <c r="H388" i="2"/>
  <c r="T388" i="2"/>
  <c r="F389" i="2"/>
  <c r="H389" i="2"/>
  <c r="P389" i="2"/>
  <c r="T389" i="2"/>
  <c r="X389" i="2"/>
  <c r="AD389" i="2"/>
  <c r="F390" i="2"/>
  <c r="H390" i="2"/>
  <c r="M390" i="2"/>
  <c r="T390" i="2"/>
  <c r="F391" i="2"/>
  <c r="H391" i="2"/>
  <c r="M391" i="2"/>
  <c r="T391" i="2"/>
  <c r="F392" i="2"/>
  <c r="H392" i="2"/>
  <c r="T392" i="2"/>
  <c r="F393" i="2"/>
  <c r="H393" i="2"/>
  <c r="P393" i="2"/>
  <c r="T393" i="2"/>
  <c r="X393" i="2"/>
  <c r="AD393" i="2"/>
  <c r="F394" i="2"/>
  <c r="H394" i="2"/>
  <c r="T394" i="2"/>
  <c r="F395" i="2"/>
  <c r="H395" i="2"/>
  <c r="T395" i="2"/>
  <c r="X395" i="2"/>
  <c r="F396" i="2"/>
  <c r="H396" i="2"/>
  <c r="M396" i="2"/>
  <c r="T396" i="2"/>
  <c r="F397" i="2"/>
  <c r="H397" i="2"/>
  <c r="M397" i="2"/>
  <c r="P397" i="2"/>
  <c r="T397" i="2"/>
  <c r="X397" i="2"/>
  <c r="AD397" i="2"/>
  <c r="F398" i="2"/>
  <c r="H398" i="2"/>
  <c r="T398" i="2"/>
  <c r="X398" i="2"/>
  <c r="X402" i="2"/>
  <c r="X406" i="2"/>
  <c r="F399" i="2"/>
  <c r="H399" i="2"/>
  <c r="M399" i="2"/>
  <c r="T399" i="2"/>
  <c r="X399" i="2"/>
  <c r="F400" i="2"/>
  <c r="H400" i="2"/>
  <c r="T400" i="2"/>
  <c r="F401" i="2"/>
  <c r="H401" i="2"/>
  <c r="P401" i="2"/>
  <c r="T401" i="2"/>
  <c r="X401" i="2"/>
  <c r="X405" i="2"/>
  <c r="X409" i="2"/>
  <c r="AD401" i="2"/>
  <c r="F402" i="2"/>
  <c r="H402" i="2"/>
  <c r="T402" i="2"/>
  <c r="F403" i="2"/>
  <c r="H403" i="2"/>
  <c r="M403" i="2"/>
  <c r="T403" i="2"/>
  <c r="X403" i="2"/>
  <c r="X407" i="2"/>
  <c r="X411" i="2"/>
  <c r="F404" i="2"/>
  <c r="H404" i="2"/>
  <c r="M404" i="2"/>
  <c r="T404" i="2"/>
  <c r="F405" i="2"/>
  <c r="H405" i="2"/>
  <c r="M405" i="2"/>
  <c r="P405" i="2"/>
  <c r="T405" i="2"/>
  <c r="AD405" i="2"/>
  <c r="F406" i="2"/>
  <c r="H406" i="2"/>
  <c r="M406" i="2"/>
  <c r="T406" i="2"/>
  <c r="F407" i="2"/>
  <c r="H407" i="2"/>
  <c r="T407" i="2"/>
  <c r="F408" i="2"/>
  <c r="H408" i="2"/>
  <c r="M408" i="2"/>
  <c r="T408" i="2"/>
  <c r="F409" i="2"/>
  <c r="H409" i="2"/>
  <c r="M409" i="2"/>
  <c r="P409" i="2"/>
  <c r="T409" i="2"/>
  <c r="AD409" i="2"/>
  <c r="F410" i="2"/>
  <c r="H410" i="2"/>
  <c r="T410" i="2"/>
  <c r="X410" i="2"/>
  <c r="F411" i="2"/>
  <c r="H411" i="2"/>
  <c r="T411" i="2"/>
  <c r="F412" i="2"/>
  <c r="H412" i="2"/>
  <c r="T412" i="2"/>
  <c r="F413" i="2"/>
  <c r="H413" i="2"/>
  <c r="F414" i="2"/>
  <c r="H414" i="2"/>
  <c r="M414" i="2"/>
  <c r="F415" i="2"/>
  <c r="H415" i="2"/>
  <c r="M415" i="2"/>
  <c r="F416" i="2"/>
  <c r="H416" i="2"/>
  <c r="M416" i="2"/>
  <c r="F417" i="2"/>
  <c r="H417" i="2"/>
  <c r="P417" i="2"/>
  <c r="T417" i="2"/>
  <c r="X417" i="2"/>
  <c r="AD417" i="2"/>
  <c r="F418" i="2"/>
  <c r="H418" i="2"/>
  <c r="T418" i="2"/>
  <c r="X418" i="2"/>
  <c r="AA418" i="2"/>
  <c r="F419" i="2"/>
  <c r="H419" i="2"/>
  <c r="T419" i="2"/>
  <c r="X419" i="2"/>
  <c r="Y419" i="2"/>
  <c r="AA419" i="2"/>
  <c r="F420" i="2"/>
  <c r="H420" i="2"/>
  <c r="T420" i="2"/>
  <c r="X420" i="2"/>
  <c r="Y420" i="2"/>
  <c r="F421" i="2"/>
  <c r="H421" i="2"/>
  <c r="P421" i="2"/>
  <c r="T421" i="2"/>
  <c r="X421" i="2"/>
  <c r="Y421" i="2"/>
  <c r="AA421" i="2"/>
  <c r="AD421" i="2"/>
  <c r="F422" i="2"/>
  <c r="H422" i="2"/>
  <c r="T422" i="2"/>
  <c r="X422" i="2"/>
  <c r="Y422" i="2"/>
  <c r="AA422" i="2"/>
  <c r="F423" i="2"/>
  <c r="H423" i="2"/>
  <c r="T423" i="2"/>
  <c r="X423" i="2"/>
  <c r="Y423" i="2"/>
  <c r="AA423" i="2"/>
  <c r="F424" i="2"/>
  <c r="H424" i="2"/>
  <c r="T424" i="2"/>
  <c r="X424" i="2"/>
  <c r="Y424" i="2"/>
  <c r="AA424" i="2"/>
  <c r="F425" i="2"/>
  <c r="H425" i="2"/>
  <c r="P425" i="2"/>
  <c r="T425" i="2"/>
  <c r="V425" i="2"/>
  <c r="AA425" i="2"/>
  <c r="X425" i="2"/>
  <c r="Y425" i="2"/>
  <c r="AD425" i="2"/>
  <c r="AH425" i="2"/>
  <c r="AJ425" i="2"/>
  <c r="AO425" i="2"/>
  <c r="AL425" i="2"/>
  <c r="AM425" i="2"/>
  <c r="F426" i="2"/>
  <c r="H426" i="2"/>
  <c r="M426" i="2"/>
  <c r="R426" i="2"/>
  <c r="Y426" i="2"/>
  <c r="T426" i="2"/>
  <c r="V426" i="2"/>
  <c r="X426" i="2"/>
  <c r="Z426" i="2"/>
  <c r="AA426" i="2"/>
  <c r="AF426" i="2"/>
  <c r="AH426" i="2"/>
  <c r="AJ426" i="2"/>
  <c r="AO426" i="2"/>
  <c r="AL426" i="2"/>
  <c r="AM426" i="2"/>
  <c r="AN426" i="2"/>
  <c r="R427" i="2"/>
  <c r="T427" i="2"/>
  <c r="V427" i="2"/>
  <c r="AA427" i="2"/>
  <c r="X427" i="2"/>
  <c r="Y427" i="2"/>
  <c r="Z427" i="2"/>
  <c r="AF427" i="2"/>
  <c r="AH427" i="2"/>
  <c r="AJ427" i="2"/>
  <c r="AO427" i="2"/>
  <c r="AL427" i="2"/>
  <c r="AM427" i="2"/>
  <c r="AN427" i="2"/>
  <c r="R428" i="2"/>
  <c r="Y428" i="2"/>
  <c r="T428" i="2"/>
  <c r="V428" i="2"/>
  <c r="AA428" i="2"/>
  <c r="X428" i="2"/>
  <c r="Z428" i="2"/>
  <c r="AF428" i="2"/>
  <c r="AM428" i="2"/>
  <c r="AH428" i="2"/>
  <c r="AJ428" i="2"/>
  <c r="AO428" i="2"/>
  <c r="AL428" i="2"/>
  <c r="AN428" i="2"/>
  <c r="R451" i="2"/>
  <c r="R455" i="2"/>
  <c r="R459" i="2"/>
  <c r="R463" i="2"/>
  <c r="R467" i="2"/>
  <c r="R472" i="2"/>
  <c r="R475" i="2"/>
  <c r="R479" i="2"/>
  <c r="R483" i="2"/>
  <c r="R487" i="2"/>
  <c r="R491" i="2"/>
  <c r="R512" i="2"/>
  <c r="R452" i="2"/>
  <c r="R453" i="2"/>
  <c r="R454" i="2"/>
  <c r="R456" i="2"/>
  <c r="R457" i="2"/>
  <c r="R458" i="2"/>
  <c r="R460" i="2"/>
  <c r="R464" i="2"/>
  <c r="R468" i="2"/>
  <c r="R471" i="2"/>
  <c r="R476" i="2"/>
  <c r="R480" i="2"/>
  <c r="R484" i="2"/>
  <c r="R488" i="2"/>
  <c r="R492" i="2"/>
  <c r="R513" i="2"/>
  <c r="R461" i="2"/>
  <c r="R462" i="2"/>
  <c r="R465" i="2"/>
  <c r="R466" i="2"/>
  <c r="R469" i="2"/>
  <c r="R470" i="2"/>
  <c r="R473" i="2"/>
  <c r="R474" i="2"/>
  <c r="R477" i="2"/>
  <c r="R478" i="2"/>
  <c r="R481" i="2"/>
  <c r="R482" i="2"/>
  <c r="R485" i="2"/>
  <c r="R486" i="2"/>
  <c r="R489" i="2"/>
  <c r="R490" i="2"/>
  <c r="R493" i="2"/>
  <c r="R494" i="2"/>
  <c r="R499" i="2"/>
  <c r="AF451" i="2"/>
  <c r="AF452" i="2"/>
  <c r="AF453" i="2"/>
  <c r="AF454" i="2"/>
  <c r="AF455" i="2"/>
  <c r="AM451" i="2"/>
  <c r="AM455" i="2"/>
  <c r="AF459" i="2"/>
  <c r="AM459" i="2"/>
  <c r="AF456" i="2"/>
  <c r="AF457" i="2"/>
  <c r="AF461" i="2"/>
  <c r="AF465" i="2"/>
  <c r="AF469" i="2"/>
  <c r="AF473" i="2"/>
  <c r="AF477" i="2"/>
  <c r="AF481" i="2"/>
  <c r="AF485" i="2"/>
  <c r="AF489" i="2"/>
  <c r="AF493" i="2"/>
  <c r="AF514" i="2"/>
  <c r="AF458" i="2"/>
  <c r="AF460" i="2"/>
  <c r="AF462" i="2"/>
  <c r="AF463" i="2"/>
  <c r="AF464" i="2"/>
  <c r="AF466" i="2"/>
  <c r="AF467" i="2"/>
  <c r="AF468" i="2"/>
  <c r="AF470" i="2"/>
  <c r="AF471" i="2"/>
  <c r="AF472" i="2"/>
  <c r="AF474" i="2"/>
  <c r="AF475" i="2"/>
  <c r="AF476" i="2"/>
  <c r="AF478" i="2"/>
  <c r="AF479" i="2"/>
  <c r="AF480" i="2"/>
  <c r="AF482" i="2"/>
  <c r="AF483" i="2"/>
  <c r="AF484" i="2"/>
  <c r="AF486" i="2"/>
  <c r="AF487" i="2"/>
  <c r="AF488" i="2"/>
  <c r="AF490" i="2"/>
  <c r="AF491" i="2"/>
  <c r="AF492" i="2"/>
  <c r="AF494" i="2"/>
  <c r="AF499" i="2"/>
  <c r="AM499" i="2"/>
  <c r="D448" i="2"/>
  <c r="D449" i="2"/>
  <c r="D450" i="2"/>
  <c r="D451" i="2"/>
  <c r="D452" i="2"/>
  <c r="D453" i="2"/>
  <c r="B453" i="2"/>
  <c r="D454" i="2"/>
  <c r="D455" i="2"/>
  <c r="B455" i="2"/>
  <c r="D456" i="2"/>
  <c r="B456" i="2"/>
  <c r="D457" i="2"/>
  <c r="B457" i="2"/>
  <c r="D458" i="2"/>
  <c r="D460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X453" i="2"/>
  <c r="X457" i="2"/>
  <c r="X461" i="2"/>
  <c r="X465" i="2"/>
  <c r="X469" i="2"/>
  <c r="X473" i="2"/>
  <c r="X477" i="2"/>
  <c r="X481" i="2"/>
  <c r="X485" i="2"/>
  <c r="X489" i="2"/>
  <c r="X493" i="2"/>
  <c r="AH451" i="2"/>
  <c r="AJ451" i="2"/>
  <c r="AL451" i="2"/>
  <c r="AN451" i="2"/>
  <c r="AO451" i="2"/>
  <c r="AH452" i="2"/>
  <c r="AJ452" i="2"/>
  <c r="AM452" i="2"/>
  <c r="AN452" i="2"/>
  <c r="AL452" i="2"/>
  <c r="AO452" i="2"/>
  <c r="AH453" i="2"/>
  <c r="AJ453" i="2"/>
  <c r="AL453" i="2"/>
  <c r="AM453" i="2"/>
  <c r="AN453" i="2"/>
  <c r="AO453" i="2"/>
  <c r="AH454" i="2"/>
  <c r="AJ454" i="2"/>
  <c r="AL454" i="2"/>
  <c r="AH455" i="2"/>
  <c r="AJ455" i="2"/>
  <c r="AL455" i="2"/>
  <c r="AH456" i="2"/>
  <c r="AJ456" i="2"/>
  <c r="AL456" i="2"/>
  <c r="AL460" i="2"/>
  <c r="AL464" i="2"/>
  <c r="AL468" i="2"/>
  <c r="AH457" i="2"/>
  <c r="AJ457" i="2"/>
  <c r="AL457" i="2"/>
  <c r="AM457" i="2"/>
  <c r="AM461" i="2"/>
  <c r="AM465" i="2"/>
  <c r="AM469" i="2"/>
  <c r="AH458" i="2"/>
  <c r="AJ458" i="2"/>
  <c r="AL458" i="2"/>
  <c r="AL462" i="2"/>
  <c r="AL466" i="2"/>
  <c r="AL470" i="2"/>
  <c r="AL474" i="2"/>
  <c r="AL478" i="2"/>
  <c r="AH459" i="2"/>
  <c r="AJ459" i="2"/>
  <c r="AL459" i="2"/>
  <c r="AH460" i="2"/>
  <c r="AJ460" i="2"/>
  <c r="AH461" i="2"/>
  <c r="AJ461" i="2"/>
  <c r="AL461" i="2"/>
  <c r="AN461" i="2"/>
  <c r="AO461" i="2"/>
  <c r="AH462" i="2"/>
  <c r="AJ462" i="2"/>
  <c r="AH463" i="2"/>
  <c r="AJ463" i="2"/>
  <c r="AH464" i="2"/>
  <c r="AJ464" i="2"/>
  <c r="AH465" i="2"/>
  <c r="AJ465" i="2"/>
  <c r="AL465" i="2"/>
  <c r="AL469" i="2"/>
  <c r="AH466" i="2"/>
  <c r="AJ466" i="2"/>
  <c r="AH467" i="2"/>
  <c r="AJ467" i="2"/>
  <c r="AL467" i="2"/>
  <c r="AL471" i="2"/>
  <c r="AH468" i="2"/>
  <c r="AJ468" i="2"/>
  <c r="AH469" i="2"/>
  <c r="AJ469" i="2"/>
  <c r="AN469" i="2"/>
  <c r="AO469" i="2"/>
  <c r="AH470" i="2"/>
  <c r="AJ470" i="2"/>
  <c r="AH471" i="2"/>
  <c r="AJ471" i="2"/>
  <c r="AH472" i="2"/>
  <c r="AJ472" i="2"/>
  <c r="AL472" i="2"/>
  <c r="AL476" i="2"/>
  <c r="AH473" i="2"/>
  <c r="AJ473" i="2"/>
  <c r="AL473" i="2"/>
  <c r="AM473" i="2"/>
  <c r="AH474" i="2"/>
  <c r="AJ474" i="2"/>
  <c r="AH475" i="2"/>
  <c r="AJ475" i="2"/>
  <c r="AL475" i="2"/>
  <c r="AH476" i="2"/>
  <c r="AJ476" i="2"/>
  <c r="AH477" i="2"/>
  <c r="AJ477" i="2"/>
  <c r="AH478" i="2"/>
  <c r="AJ478" i="2"/>
  <c r="AH479" i="2"/>
  <c r="AJ479" i="2"/>
  <c r="AL479" i="2"/>
  <c r="AH480" i="2"/>
  <c r="AJ480" i="2"/>
  <c r="AL480" i="2"/>
  <c r="AL484" i="2"/>
  <c r="AL488" i="2"/>
  <c r="AL492" i="2"/>
  <c r="AH481" i="2"/>
  <c r="AJ481" i="2"/>
  <c r="AL481" i="2"/>
  <c r="AM481" i="2"/>
  <c r="AN481" i="2"/>
  <c r="AO481" i="2"/>
  <c r="AH482" i="2"/>
  <c r="AJ482" i="2"/>
  <c r="AL482" i="2"/>
  <c r="AH483" i="2"/>
  <c r="AJ483" i="2"/>
  <c r="AL483" i="2"/>
  <c r="AL487" i="2"/>
  <c r="AH484" i="2"/>
  <c r="AJ484" i="2"/>
  <c r="AH485" i="2"/>
  <c r="AJ485" i="2"/>
  <c r="AL485" i="2"/>
  <c r="AM485" i="2"/>
  <c r="AN485" i="2"/>
  <c r="AO485" i="2"/>
  <c r="AH486" i="2"/>
  <c r="AJ486" i="2"/>
  <c r="AL486" i="2"/>
  <c r="AL490" i="2"/>
  <c r="AL494" i="2"/>
  <c r="AH487" i="2"/>
  <c r="AJ487" i="2"/>
  <c r="AH488" i="2"/>
  <c r="AJ488" i="2"/>
  <c r="AH489" i="2"/>
  <c r="AJ489" i="2"/>
  <c r="AL489" i="2"/>
  <c r="AL493" i="2"/>
  <c r="AM489" i="2"/>
  <c r="AH490" i="2"/>
  <c r="AJ490" i="2"/>
  <c r="AH491" i="2"/>
  <c r="AJ491" i="2"/>
  <c r="AL491" i="2"/>
  <c r="AH492" i="2"/>
  <c r="AJ492" i="2"/>
  <c r="AH493" i="2"/>
  <c r="AJ493" i="2"/>
  <c r="AH494" i="2"/>
  <c r="AJ494" i="2"/>
  <c r="A504" i="2"/>
  <c r="K468" i="2"/>
  <c r="X452" i="2"/>
  <c r="X456" i="2"/>
  <c r="X460" i="2"/>
  <c r="X464" i="2"/>
  <c r="X468" i="2"/>
  <c r="X472" i="2"/>
  <c r="X476" i="2"/>
  <c r="X480" i="2"/>
  <c r="X484" i="2"/>
  <c r="Y452" i="2"/>
  <c r="Y456" i="2"/>
  <c r="Y460" i="2"/>
  <c r="Y464" i="2"/>
  <c r="Y468" i="2"/>
  <c r="Y472" i="2"/>
  <c r="T451" i="2"/>
  <c r="V451" i="2"/>
  <c r="X451" i="2"/>
  <c r="Y451" i="2"/>
  <c r="Z451" i="2"/>
  <c r="T452" i="2"/>
  <c r="V452" i="2"/>
  <c r="T453" i="2"/>
  <c r="V453" i="2"/>
  <c r="Y453" i="2"/>
  <c r="T454" i="2"/>
  <c r="V454" i="2"/>
  <c r="X454" i="2"/>
  <c r="T455" i="2"/>
  <c r="V455" i="2"/>
  <c r="X455" i="2"/>
  <c r="Y455" i="2"/>
  <c r="Y459" i="2"/>
  <c r="Y463" i="2"/>
  <c r="V463" i="2"/>
  <c r="Z463" i="2"/>
  <c r="T456" i="2"/>
  <c r="V456" i="2"/>
  <c r="T457" i="2"/>
  <c r="V457" i="2"/>
  <c r="Y457" i="2"/>
  <c r="Y461" i="2"/>
  <c r="Y465" i="2"/>
  <c r="Y469" i="2"/>
  <c r="Y473" i="2"/>
  <c r="Y477" i="2"/>
  <c r="T458" i="2"/>
  <c r="V458" i="2"/>
  <c r="X458" i="2"/>
  <c r="X462" i="2"/>
  <c r="X466" i="2"/>
  <c r="X470" i="2"/>
  <c r="X474" i="2"/>
  <c r="X478" i="2"/>
  <c r="X482" i="2"/>
  <c r="X486" i="2"/>
  <c r="X490" i="2"/>
  <c r="F448" i="2"/>
  <c r="H448" i="2"/>
  <c r="K448" i="2"/>
  <c r="L448" i="2"/>
  <c r="M448" i="2"/>
  <c r="F449" i="2"/>
  <c r="H449" i="2"/>
  <c r="K449" i="2"/>
  <c r="K450" i="2"/>
  <c r="L449" i="2"/>
  <c r="M449" i="2"/>
  <c r="H450" i="2"/>
  <c r="H451" i="2"/>
  <c r="H452" i="2"/>
  <c r="H453" i="2"/>
  <c r="H454" i="2"/>
  <c r="H455" i="2"/>
  <c r="H456" i="2"/>
  <c r="H457" i="2"/>
  <c r="H458" i="2"/>
  <c r="K460" i="2"/>
  <c r="L460" i="2"/>
  <c r="M460" i="2"/>
  <c r="K462" i="2"/>
  <c r="L462" i="2"/>
  <c r="K463" i="2"/>
  <c r="L463" i="2"/>
  <c r="M463" i="2"/>
  <c r="K464" i="2"/>
  <c r="L464" i="2"/>
  <c r="K465" i="2"/>
  <c r="L465" i="2"/>
  <c r="M465" i="2"/>
  <c r="K466" i="2"/>
  <c r="L466" i="2"/>
  <c r="M466" i="2"/>
  <c r="K467" i="2"/>
  <c r="L467" i="2"/>
  <c r="M467" i="2"/>
  <c r="L468" i="2"/>
  <c r="M468" i="2"/>
  <c r="K469" i="2"/>
  <c r="L469" i="2"/>
  <c r="K470" i="2"/>
  <c r="L470" i="2"/>
  <c r="K471" i="2"/>
  <c r="L471" i="2"/>
  <c r="M471" i="2"/>
  <c r="K472" i="2"/>
  <c r="L472" i="2"/>
  <c r="M472" i="2"/>
  <c r="K473" i="2"/>
  <c r="L473" i="2"/>
  <c r="M473" i="2"/>
  <c r="K474" i="2"/>
  <c r="L474" i="2"/>
  <c r="M474" i="2"/>
  <c r="K475" i="2"/>
  <c r="L475" i="2"/>
  <c r="K476" i="2"/>
  <c r="L476" i="2"/>
  <c r="M476" i="2"/>
  <c r="L477" i="2"/>
  <c r="L478" i="2"/>
  <c r="L479" i="2"/>
  <c r="L480" i="2"/>
  <c r="M480" i="2"/>
  <c r="L481" i="2"/>
  <c r="L482" i="2"/>
  <c r="M482" i="2"/>
  <c r="L483" i="2"/>
  <c r="M483" i="2"/>
  <c r="L484" i="2"/>
  <c r="M484" i="2"/>
  <c r="L485" i="2"/>
  <c r="L486" i="2"/>
  <c r="L487" i="2"/>
  <c r="M487" i="2"/>
  <c r="L488" i="2"/>
  <c r="M488" i="2"/>
  <c r="L489" i="2"/>
  <c r="L490" i="2"/>
  <c r="L491" i="2"/>
  <c r="L492" i="2"/>
  <c r="M492" i="2"/>
  <c r="L493" i="2"/>
  <c r="M493" i="2"/>
  <c r="L494" i="2"/>
  <c r="M494" i="2"/>
  <c r="L495" i="2"/>
  <c r="L496" i="2"/>
  <c r="M496" i="2"/>
  <c r="L497" i="2"/>
  <c r="L498" i="2"/>
  <c r="L499" i="2"/>
  <c r="M499" i="2"/>
  <c r="L500" i="2"/>
  <c r="V459" i="2"/>
  <c r="V460" i="2"/>
  <c r="Z460" i="2"/>
  <c r="V461" i="2"/>
  <c r="V462" i="2"/>
  <c r="V464" i="2"/>
  <c r="Z464" i="2"/>
  <c r="AA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Z488" i="2"/>
  <c r="V489" i="2"/>
  <c r="V490" i="2"/>
  <c r="V491" i="2"/>
  <c r="V492" i="2"/>
  <c r="Y492" i="2"/>
  <c r="Z492" i="2"/>
  <c r="V493" i="2"/>
  <c r="V494" i="2"/>
  <c r="Z499" i="2"/>
  <c r="AN499" i="2"/>
  <c r="X512" i="2"/>
  <c r="Y512" i="2"/>
  <c r="AF512" i="2"/>
  <c r="AJ512" i="2"/>
  <c r="AI512" i="2"/>
  <c r="AL512" i="2"/>
  <c r="AM512" i="2"/>
  <c r="X513" i="2"/>
  <c r="Y513" i="2"/>
  <c r="AL513" i="2"/>
  <c r="AM513" i="2"/>
  <c r="V514" i="2"/>
  <c r="X514" i="2"/>
  <c r="Y514" i="2"/>
  <c r="AL514" i="2"/>
  <c r="AM514" i="2"/>
  <c r="X515" i="2"/>
  <c r="Y515" i="2"/>
  <c r="AF515" i="2"/>
  <c r="AL515" i="2"/>
  <c r="AM515" i="2"/>
  <c r="F450" i="2"/>
  <c r="F451" i="2"/>
  <c r="P451" i="2"/>
  <c r="AD451" i="2"/>
  <c r="F452" i="2"/>
  <c r="F453" i="2"/>
  <c r="F454" i="2"/>
  <c r="F455" i="2"/>
  <c r="P455" i="2"/>
  <c r="AD455" i="2"/>
  <c r="F456" i="2"/>
  <c r="F457" i="2"/>
  <c r="F458" i="2"/>
  <c r="P459" i="2"/>
  <c r="T459" i="2"/>
  <c r="X459" i="2"/>
  <c r="X463" i="2"/>
  <c r="X467" i="2"/>
  <c r="X471" i="2"/>
  <c r="X475" i="2"/>
  <c r="X479" i="2"/>
  <c r="X483" i="2"/>
  <c r="X487" i="2"/>
  <c r="X491" i="2"/>
  <c r="AD459" i="2"/>
  <c r="F460" i="2"/>
  <c r="H460" i="2"/>
  <c r="T460" i="2"/>
  <c r="T461" i="2"/>
  <c r="F462" i="2"/>
  <c r="H462" i="2"/>
  <c r="M462" i="2"/>
  <c r="T462" i="2"/>
  <c r="F463" i="2"/>
  <c r="H463" i="2"/>
  <c r="P463" i="2"/>
  <c r="T463" i="2"/>
  <c r="AA463" i="2"/>
  <c r="AD463" i="2"/>
  <c r="F464" i="2"/>
  <c r="H464" i="2"/>
  <c r="M464" i="2"/>
  <c r="T464" i="2"/>
  <c r="F465" i="2"/>
  <c r="H465" i="2"/>
  <c r="T465" i="2"/>
  <c r="F466" i="2"/>
  <c r="H466" i="2"/>
  <c r="T466" i="2"/>
  <c r="F467" i="2"/>
  <c r="H467" i="2"/>
  <c r="P467" i="2"/>
  <c r="T467" i="2"/>
  <c r="AD467" i="2"/>
  <c r="F468" i="2"/>
  <c r="H468" i="2"/>
  <c r="T468" i="2"/>
  <c r="F469" i="2"/>
  <c r="H469" i="2"/>
  <c r="M469" i="2"/>
  <c r="T469" i="2"/>
  <c r="F470" i="2"/>
  <c r="H470" i="2"/>
  <c r="M470" i="2"/>
  <c r="T470" i="2"/>
  <c r="F471" i="2"/>
  <c r="H471" i="2"/>
  <c r="P471" i="2"/>
  <c r="T471" i="2"/>
  <c r="AD471" i="2"/>
  <c r="F472" i="2"/>
  <c r="H472" i="2"/>
  <c r="T472" i="2"/>
  <c r="F473" i="2"/>
  <c r="H473" i="2"/>
  <c r="T473" i="2"/>
  <c r="F474" i="2"/>
  <c r="H474" i="2"/>
  <c r="T474" i="2"/>
  <c r="F475" i="2"/>
  <c r="H475" i="2"/>
  <c r="M475" i="2"/>
  <c r="P475" i="2"/>
  <c r="T475" i="2"/>
  <c r="AD475" i="2"/>
  <c r="F476" i="2"/>
  <c r="H476" i="2"/>
  <c r="T476" i="2"/>
  <c r="F477" i="2"/>
  <c r="H477" i="2"/>
  <c r="M477" i="2"/>
  <c r="T477" i="2"/>
  <c r="F478" i="2"/>
  <c r="H478" i="2"/>
  <c r="M478" i="2"/>
  <c r="T478" i="2"/>
  <c r="F479" i="2"/>
  <c r="H479" i="2"/>
  <c r="M479" i="2"/>
  <c r="P479" i="2"/>
  <c r="T479" i="2"/>
  <c r="AD479" i="2"/>
  <c r="F480" i="2"/>
  <c r="H480" i="2"/>
  <c r="T480" i="2"/>
  <c r="F481" i="2"/>
  <c r="H481" i="2"/>
  <c r="M481" i="2"/>
  <c r="T481" i="2"/>
  <c r="F482" i="2"/>
  <c r="H482" i="2"/>
  <c r="T482" i="2"/>
  <c r="F483" i="2"/>
  <c r="H483" i="2"/>
  <c r="P483" i="2"/>
  <c r="T483" i="2"/>
  <c r="AD483" i="2"/>
  <c r="F484" i="2"/>
  <c r="H484" i="2"/>
  <c r="T484" i="2"/>
  <c r="F485" i="2"/>
  <c r="H485" i="2"/>
  <c r="M485" i="2"/>
  <c r="T485" i="2"/>
  <c r="F486" i="2"/>
  <c r="H486" i="2"/>
  <c r="M486" i="2"/>
  <c r="T486" i="2"/>
  <c r="F487" i="2"/>
  <c r="H487" i="2"/>
  <c r="P487" i="2"/>
  <c r="T487" i="2"/>
  <c r="AD487" i="2"/>
  <c r="F488" i="2"/>
  <c r="H488" i="2"/>
  <c r="T488" i="2"/>
  <c r="F489" i="2"/>
  <c r="H489" i="2"/>
  <c r="M489" i="2"/>
  <c r="T489" i="2"/>
  <c r="F490" i="2"/>
  <c r="H490" i="2"/>
  <c r="M490" i="2"/>
  <c r="T490" i="2"/>
  <c r="F491" i="2"/>
  <c r="H491" i="2"/>
  <c r="M491" i="2"/>
  <c r="P491" i="2"/>
  <c r="T491" i="2"/>
  <c r="AD491" i="2"/>
  <c r="F492" i="2"/>
  <c r="H492" i="2"/>
  <c r="T492" i="2"/>
  <c r="X492" i="2"/>
  <c r="F493" i="2"/>
  <c r="H493" i="2"/>
  <c r="T493" i="2"/>
  <c r="F494" i="2"/>
  <c r="H494" i="2"/>
  <c r="T494" i="2"/>
  <c r="X494" i="2"/>
  <c r="F495" i="2"/>
  <c r="H495" i="2"/>
  <c r="M495" i="2"/>
  <c r="F496" i="2"/>
  <c r="H496" i="2"/>
  <c r="F497" i="2"/>
  <c r="H497" i="2"/>
  <c r="M497" i="2"/>
  <c r="F498" i="2"/>
  <c r="H498" i="2"/>
  <c r="M498" i="2"/>
  <c r="F499" i="2"/>
  <c r="H499" i="2"/>
  <c r="P499" i="2"/>
  <c r="T499" i="2"/>
  <c r="V499" i="2"/>
  <c r="AA499" i="2"/>
  <c r="X499" i="2"/>
  <c r="Y499" i="2"/>
  <c r="AD499" i="2"/>
  <c r="AH499" i="2"/>
  <c r="AJ499" i="2"/>
  <c r="AO499" i="2"/>
  <c r="AL499" i="2"/>
  <c r="F500" i="2"/>
  <c r="H500" i="2"/>
  <c r="M500" i="2"/>
  <c r="R500" i="2"/>
  <c r="T500" i="2"/>
  <c r="V500" i="2"/>
  <c r="X500" i="2"/>
  <c r="Y500" i="2"/>
  <c r="Z500" i="2"/>
  <c r="AA500" i="2"/>
  <c r="AF500" i="2"/>
  <c r="AH500" i="2"/>
  <c r="AJ500" i="2"/>
  <c r="AL500" i="2"/>
  <c r="AM500" i="2"/>
  <c r="AN500" i="2"/>
  <c r="AO500" i="2"/>
  <c r="R501" i="2"/>
  <c r="T501" i="2"/>
  <c r="V501" i="2"/>
  <c r="AA501" i="2"/>
  <c r="X501" i="2"/>
  <c r="Y501" i="2"/>
  <c r="Z501" i="2"/>
  <c r="AF501" i="2"/>
  <c r="AH501" i="2"/>
  <c r="AJ501" i="2"/>
  <c r="AL501" i="2"/>
  <c r="AM501" i="2"/>
  <c r="AN501" i="2"/>
  <c r="AO501" i="2"/>
  <c r="R502" i="2"/>
  <c r="Y502" i="2"/>
  <c r="T502" i="2"/>
  <c r="V502" i="2"/>
  <c r="AA502" i="2"/>
  <c r="X502" i="2"/>
  <c r="Z502" i="2"/>
  <c r="AF502" i="2"/>
  <c r="AH502" i="2"/>
  <c r="AJ502" i="2"/>
  <c r="AL502" i="2"/>
  <c r="AM502" i="2"/>
  <c r="AN502" i="2"/>
  <c r="AO502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65" i="2"/>
  <c r="R566" i="2"/>
  <c r="R567" i="2"/>
  <c r="R568" i="2"/>
  <c r="Y568" i="2"/>
  <c r="R569" i="2"/>
  <c r="R570" i="2"/>
  <c r="R571" i="2"/>
  <c r="R572" i="2"/>
  <c r="Y572" i="2"/>
  <c r="R573" i="2"/>
  <c r="Y573" i="2"/>
  <c r="AF525" i="2"/>
  <c r="AF526" i="2"/>
  <c r="AM526" i="2"/>
  <c r="AF527" i="2"/>
  <c r="AM527" i="2"/>
  <c r="AF528" i="2"/>
  <c r="AM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M537" i="2"/>
  <c r="AM541" i="2"/>
  <c r="AF542" i="2"/>
  <c r="AF543" i="2"/>
  <c r="AF544" i="2"/>
  <c r="AF545" i="2"/>
  <c r="AF546" i="2"/>
  <c r="AF547" i="2"/>
  <c r="AF548" i="2"/>
  <c r="AF549" i="2"/>
  <c r="AF550" i="2"/>
  <c r="AF551" i="2"/>
  <c r="AF552" i="2"/>
  <c r="AF565" i="2"/>
  <c r="AF566" i="2"/>
  <c r="AF567" i="2"/>
  <c r="AM567" i="2"/>
  <c r="AF568" i="2"/>
  <c r="AM568" i="2"/>
  <c r="AF569" i="2"/>
  <c r="AM569" i="2"/>
  <c r="AF570" i="2"/>
  <c r="AF571" i="2"/>
  <c r="AM571" i="2"/>
  <c r="AF572" i="2"/>
  <c r="AF573" i="2"/>
  <c r="D522" i="2"/>
  <c r="D523" i="2"/>
  <c r="D524" i="2"/>
  <c r="D525" i="2"/>
  <c r="D526" i="2"/>
  <c r="B526" i="2"/>
  <c r="D527" i="2"/>
  <c r="D528" i="2"/>
  <c r="D532" i="2"/>
  <c r="D533" i="2"/>
  <c r="D534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K533" i="2"/>
  <c r="L533" i="2"/>
  <c r="M533" i="2"/>
  <c r="A578" i="2"/>
  <c r="V552" i="2"/>
  <c r="AJ532" i="2"/>
  <c r="AM530" i="2"/>
  <c r="AM534" i="2"/>
  <c r="Y538" i="2"/>
  <c r="AJ537" i="2"/>
  <c r="AN537" i="2"/>
  <c r="AM549" i="2"/>
  <c r="AJ549" i="2"/>
  <c r="AN549" i="2"/>
  <c r="AO549" i="2"/>
  <c r="B532" i="2"/>
  <c r="B533" i="2"/>
  <c r="Y565" i="2"/>
  <c r="Y567" i="2"/>
  <c r="K522" i="2"/>
  <c r="K523" i="2"/>
  <c r="H523" i="2"/>
  <c r="H524" i="2"/>
  <c r="H525" i="2"/>
  <c r="H526" i="2"/>
  <c r="H527" i="2"/>
  <c r="H528" i="2"/>
  <c r="K532" i="2"/>
  <c r="L532" i="2"/>
  <c r="M532" i="2"/>
  <c r="K534" i="2"/>
  <c r="L534" i="2"/>
  <c r="M534" i="2"/>
  <c r="K536" i="2"/>
  <c r="L536" i="2"/>
  <c r="M536" i="2"/>
  <c r="K537" i="2"/>
  <c r="L537" i="2"/>
  <c r="M537" i="2"/>
  <c r="K538" i="2"/>
  <c r="L538" i="2"/>
  <c r="M538" i="2"/>
  <c r="K539" i="2"/>
  <c r="L539" i="2"/>
  <c r="M539" i="2"/>
  <c r="K540" i="2"/>
  <c r="L540" i="2"/>
  <c r="M540" i="2"/>
  <c r="K541" i="2"/>
  <c r="L541" i="2"/>
  <c r="M541" i="2"/>
  <c r="K542" i="2"/>
  <c r="L542" i="2"/>
  <c r="M542" i="2"/>
  <c r="K543" i="2"/>
  <c r="L543" i="2"/>
  <c r="K544" i="2"/>
  <c r="L544" i="2"/>
  <c r="M544" i="2"/>
  <c r="K545" i="2"/>
  <c r="L545" i="2"/>
  <c r="M545" i="2"/>
  <c r="K546" i="2"/>
  <c r="L546" i="2"/>
  <c r="M546" i="2"/>
  <c r="K547" i="2"/>
  <c r="L547" i="2"/>
  <c r="M547" i="2"/>
  <c r="K548" i="2"/>
  <c r="L548" i="2"/>
  <c r="M548" i="2"/>
  <c r="K549" i="2"/>
  <c r="L549" i="2"/>
  <c r="M549" i="2"/>
  <c r="K550" i="2"/>
  <c r="L550" i="2"/>
  <c r="V529" i="2"/>
  <c r="V533" i="2"/>
  <c r="V537" i="2"/>
  <c r="V541" i="2"/>
  <c r="V545" i="2"/>
  <c r="V549" i="2"/>
  <c r="Z565" i="2"/>
  <c r="Z569" i="2"/>
  <c r="Z573" i="2"/>
  <c r="V530" i="2"/>
  <c r="V534" i="2"/>
  <c r="Z534" i="2"/>
  <c r="AA534" i="2"/>
  <c r="V538" i="2"/>
  <c r="V542" i="2"/>
  <c r="V546" i="2"/>
  <c r="V550" i="2"/>
  <c r="Z566" i="2"/>
  <c r="Z570" i="2"/>
  <c r="V531" i="2"/>
  <c r="V535" i="2"/>
  <c r="V539" i="2"/>
  <c r="V543" i="2"/>
  <c r="V547" i="2"/>
  <c r="V551" i="2"/>
  <c r="Z567" i="2"/>
  <c r="Z571" i="2"/>
  <c r="V532" i="2"/>
  <c r="V536" i="2"/>
  <c r="V540" i="2"/>
  <c r="V544" i="2"/>
  <c r="V548" i="2"/>
  <c r="Z568" i="2"/>
  <c r="Z572" i="2"/>
  <c r="AJ529" i="2"/>
  <c r="AJ533" i="2"/>
  <c r="AJ541" i="2"/>
  <c r="AN541" i="2"/>
  <c r="AJ545" i="2"/>
  <c r="AN545" i="2"/>
  <c r="AO545" i="2"/>
  <c r="AN565" i="2"/>
  <c r="AN569" i="2"/>
  <c r="AN573" i="2"/>
  <c r="AJ530" i="2"/>
  <c r="AN530" i="2"/>
  <c r="AJ534" i="2"/>
  <c r="AJ538" i="2"/>
  <c r="AJ542" i="2"/>
  <c r="AJ546" i="2"/>
  <c r="AJ525" i="2"/>
  <c r="AJ565" i="2"/>
  <c r="AJ569" i="2"/>
  <c r="AJ586" i="2"/>
  <c r="AJ550" i="2"/>
  <c r="AN566" i="2"/>
  <c r="AN570" i="2"/>
  <c r="AJ531" i="2"/>
  <c r="AJ535" i="2"/>
  <c r="AJ539" i="2"/>
  <c r="AJ543" i="2"/>
  <c r="AJ547" i="2"/>
  <c r="AJ551" i="2"/>
  <c r="AN567" i="2"/>
  <c r="AN571" i="2"/>
  <c r="AJ536" i="2"/>
  <c r="AJ540" i="2"/>
  <c r="AJ544" i="2"/>
  <c r="AJ548" i="2"/>
  <c r="AJ552" i="2"/>
  <c r="AN568" i="2"/>
  <c r="AN572" i="2"/>
  <c r="AL525" i="2"/>
  <c r="AM525" i="2"/>
  <c r="AN525" i="2"/>
  <c r="AL526" i="2"/>
  <c r="AL530" i="2"/>
  <c r="AJ526" i="2"/>
  <c r="AL527" i="2"/>
  <c r="AJ527" i="2"/>
  <c r="AL528" i="2"/>
  <c r="AL532" i="2"/>
  <c r="AL536" i="2"/>
  <c r="AL540" i="2"/>
  <c r="AL544" i="2"/>
  <c r="AL548" i="2"/>
  <c r="AL552" i="2"/>
  <c r="AJ528" i="2"/>
  <c r="AL529" i="2"/>
  <c r="AL531" i="2"/>
  <c r="AL534" i="2"/>
  <c r="AL538" i="2"/>
  <c r="AL542" i="2"/>
  <c r="AL546" i="2"/>
  <c r="AL550" i="2"/>
  <c r="AL535" i="2"/>
  <c r="AL539" i="2"/>
  <c r="AL543" i="2"/>
  <c r="AL547" i="2"/>
  <c r="AL551" i="2"/>
  <c r="AL537" i="2"/>
  <c r="AL541" i="2"/>
  <c r="AL549" i="2"/>
  <c r="AL565" i="2"/>
  <c r="AM565" i="2"/>
  <c r="AO565" i="2"/>
  <c r="AL566" i="2"/>
  <c r="AM566" i="2"/>
  <c r="AJ566" i="2"/>
  <c r="AO566" i="2"/>
  <c r="AL567" i="2"/>
  <c r="AJ567" i="2"/>
  <c r="AO567" i="2"/>
  <c r="AL568" i="2"/>
  <c r="AJ568" i="2"/>
  <c r="AO568" i="2"/>
  <c r="AL569" i="2"/>
  <c r="AO569" i="2"/>
  <c r="AL570" i="2"/>
  <c r="AM570" i="2"/>
  <c r="AJ570" i="2"/>
  <c r="AO570" i="2"/>
  <c r="AL571" i="2"/>
  <c r="AJ571" i="2"/>
  <c r="AO571" i="2"/>
  <c r="AL572" i="2"/>
  <c r="AM572" i="2"/>
  <c r="AJ572" i="2"/>
  <c r="AO572" i="2"/>
  <c r="X525" i="2"/>
  <c r="X529" i="2"/>
  <c r="X533" i="2"/>
  <c r="X537" i="2"/>
  <c r="X541" i="2"/>
  <c r="X545" i="2"/>
  <c r="X549" i="2"/>
  <c r="V525" i="2"/>
  <c r="X526" i="2"/>
  <c r="X530" i="2"/>
  <c r="Y526" i="2"/>
  <c r="V526" i="2"/>
  <c r="X527" i="2"/>
  <c r="X531" i="2"/>
  <c r="X535" i="2"/>
  <c r="X539" i="2"/>
  <c r="X543" i="2"/>
  <c r="X547" i="2"/>
  <c r="X551" i="2"/>
  <c r="Y527" i="2"/>
  <c r="Y531" i="2"/>
  <c r="V527" i="2"/>
  <c r="X528" i="2"/>
  <c r="Y528" i="2"/>
  <c r="V528" i="2"/>
  <c r="Z528" i="2"/>
  <c r="X532" i="2"/>
  <c r="X536" i="2"/>
  <c r="X540" i="2"/>
  <c r="X544" i="2"/>
  <c r="X548" i="2"/>
  <c r="X552" i="2"/>
  <c r="X538" i="2"/>
  <c r="X542" i="2"/>
  <c r="X546" i="2"/>
  <c r="X550" i="2"/>
  <c r="X565" i="2"/>
  <c r="V565" i="2"/>
  <c r="AA565" i="2"/>
  <c r="X566" i="2"/>
  <c r="Y566" i="2"/>
  <c r="V566" i="2"/>
  <c r="AA566" i="2"/>
  <c r="X567" i="2"/>
  <c r="V567" i="2"/>
  <c r="AA567" i="2"/>
  <c r="X568" i="2"/>
  <c r="V568" i="2"/>
  <c r="AA568" i="2"/>
  <c r="X569" i="2"/>
  <c r="Y569" i="2"/>
  <c r="V569" i="2"/>
  <c r="AA569" i="2"/>
  <c r="X570" i="2"/>
  <c r="Y570" i="2"/>
  <c r="V570" i="2"/>
  <c r="AA570" i="2"/>
  <c r="X571" i="2"/>
  <c r="Y571" i="2"/>
  <c r="V571" i="2"/>
  <c r="AA571" i="2"/>
  <c r="X572" i="2"/>
  <c r="V572" i="2"/>
  <c r="AA572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65" i="2"/>
  <c r="AH566" i="2"/>
  <c r="AH567" i="2"/>
  <c r="AH568" i="2"/>
  <c r="AH569" i="2"/>
  <c r="AH570" i="2"/>
  <c r="AH571" i="2"/>
  <c r="AH572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65" i="2"/>
  <c r="T566" i="2"/>
  <c r="T567" i="2"/>
  <c r="T568" i="2"/>
  <c r="T569" i="2"/>
  <c r="T570" i="2"/>
  <c r="T571" i="2"/>
  <c r="T572" i="2"/>
  <c r="AM573" i="2"/>
  <c r="H522" i="2"/>
  <c r="L551" i="2"/>
  <c r="M551" i="2"/>
  <c r="L552" i="2"/>
  <c r="M552" i="2"/>
  <c r="L553" i="2"/>
  <c r="L554" i="2"/>
  <c r="L555" i="2"/>
  <c r="L556" i="2"/>
  <c r="M556" i="2"/>
  <c r="L557" i="2"/>
  <c r="M557" i="2"/>
  <c r="L558" i="2"/>
  <c r="M558" i="2"/>
  <c r="L559" i="2"/>
  <c r="M559" i="2"/>
  <c r="L560" i="2"/>
  <c r="L561" i="2"/>
  <c r="M561" i="2"/>
  <c r="L562" i="2"/>
  <c r="L563" i="2"/>
  <c r="L564" i="2"/>
  <c r="M564" i="2"/>
  <c r="L565" i="2"/>
  <c r="M565" i="2"/>
  <c r="L566" i="2"/>
  <c r="L567" i="2"/>
  <c r="M567" i="2"/>
  <c r="L568" i="2"/>
  <c r="L569" i="2"/>
  <c r="M569" i="2"/>
  <c r="L570" i="2"/>
  <c r="L571" i="2"/>
  <c r="M571" i="2"/>
  <c r="L572" i="2"/>
  <c r="L573" i="2"/>
  <c r="M573" i="2"/>
  <c r="L574" i="2"/>
  <c r="M574" i="2"/>
  <c r="X586" i="2"/>
  <c r="Y586" i="2"/>
  <c r="AL586" i="2"/>
  <c r="AM586" i="2"/>
  <c r="X587" i="2"/>
  <c r="Y587" i="2"/>
  <c r="AL587" i="2"/>
  <c r="AM587" i="2"/>
  <c r="X588" i="2"/>
  <c r="Y588" i="2"/>
  <c r="AL588" i="2"/>
  <c r="AM588" i="2"/>
  <c r="X589" i="2"/>
  <c r="Y589" i="2"/>
  <c r="AL589" i="2"/>
  <c r="AM589" i="2"/>
  <c r="F522" i="2"/>
  <c r="F523" i="2"/>
  <c r="F524" i="2"/>
  <c r="F525" i="2"/>
  <c r="P525" i="2"/>
  <c r="AD525" i="2"/>
  <c r="F526" i="2"/>
  <c r="F527" i="2"/>
  <c r="F528" i="2"/>
  <c r="P529" i="2"/>
  <c r="AD529" i="2"/>
  <c r="F532" i="2"/>
  <c r="H532" i="2"/>
  <c r="F533" i="2"/>
  <c r="H533" i="2"/>
  <c r="P533" i="2"/>
  <c r="AD533" i="2"/>
  <c r="F534" i="2"/>
  <c r="H534" i="2"/>
  <c r="F536" i="2"/>
  <c r="H536" i="2"/>
  <c r="F537" i="2"/>
  <c r="H537" i="2"/>
  <c r="P537" i="2"/>
  <c r="AD537" i="2"/>
  <c r="F538" i="2"/>
  <c r="H538" i="2"/>
  <c r="F539" i="2"/>
  <c r="H539" i="2"/>
  <c r="F540" i="2"/>
  <c r="H540" i="2"/>
  <c r="F541" i="2"/>
  <c r="H541" i="2"/>
  <c r="P541" i="2"/>
  <c r="AD541" i="2"/>
  <c r="F542" i="2"/>
  <c r="H542" i="2"/>
  <c r="F543" i="2"/>
  <c r="H543" i="2"/>
  <c r="M543" i="2"/>
  <c r="F544" i="2"/>
  <c r="H544" i="2"/>
  <c r="F545" i="2"/>
  <c r="H545" i="2"/>
  <c r="P545" i="2"/>
  <c r="AD545" i="2"/>
  <c r="F546" i="2"/>
  <c r="H546" i="2"/>
  <c r="F547" i="2"/>
  <c r="H547" i="2"/>
  <c r="F548" i="2"/>
  <c r="H548" i="2"/>
  <c r="F549" i="2"/>
  <c r="H549" i="2"/>
  <c r="P549" i="2"/>
  <c r="AD549" i="2"/>
  <c r="F550" i="2"/>
  <c r="H550" i="2"/>
  <c r="M550" i="2"/>
  <c r="F551" i="2"/>
  <c r="H551" i="2"/>
  <c r="F552" i="2"/>
  <c r="H552" i="2"/>
  <c r="F553" i="2"/>
  <c r="H553" i="2"/>
  <c r="M553" i="2"/>
  <c r="P553" i="2"/>
  <c r="F554" i="2"/>
  <c r="H554" i="2"/>
  <c r="M554" i="2"/>
  <c r="F555" i="2"/>
  <c r="H555" i="2"/>
  <c r="M555" i="2"/>
  <c r="F556" i="2"/>
  <c r="H556" i="2"/>
  <c r="F557" i="2"/>
  <c r="H557" i="2"/>
  <c r="P557" i="2"/>
  <c r="F558" i="2"/>
  <c r="H558" i="2"/>
  <c r="F559" i="2"/>
  <c r="H559" i="2"/>
  <c r="F560" i="2"/>
  <c r="H560" i="2"/>
  <c r="M560" i="2"/>
  <c r="F561" i="2"/>
  <c r="H561" i="2"/>
  <c r="P561" i="2"/>
  <c r="F562" i="2"/>
  <c r="H562" i="2"/>
  <c r="M562" i="2"/>
  <c r="F563" i="2"/>
  <c r="H563" i="2"/>
  <c r="M563" i="2"/>
  <c r="F564" i="2"/>
  <c r="H564" i="2"/>
  <c r="F565" i="2"/>
  <c r="H565" i="2"/>
  <c r="P565" i="2"/>
  <c r="AD565" i="2"/>
  <c r="F566" i="2"/>
  <c r="H566" i="2"/>
  <c r="M566" i="2"/>
  <c r="F567" i="2"/>
  <c r="H567" i="2"/>
  <c r="F568" i="2"/>
  <c r="H568" i="2"/>
  <c r="M568" i="2"/>
  <c r="F569" i="2"/>
  <c r="H569" i="2"/>
  <c r="P569" i="2"/>
  <c r="AD569" i="2"/>
  <c r="F570" i="2"/>
  <c r="H570" i="2"/>
  <c r="M570" i="2"/>
  <c r="F571" i="2"/>
  <c r="H571" i="2"/>
  <c r="F572" i="2"/>
  <c r="H572" i="2"/>
  <c r="M572" i="2"/>
  <c r="F573" i="2"/>
  <c r="H573" i="2"/>
  <c r="P573" i="2"/>
  <c r="T573" i="2"/>
  <c r="V573" i="2"/>
  <c r="AA573" i="2"/>
  <c r="X573" i="2"/>
  <c r="AD573" i="2"/>
  <c r="AH573" i="2"/>
  <c r="AJ573" i="2"/>
  <c r="AO573" i="2"/>
  <c r="AL573" i="2"/>
  <c r="F574" i="2"/>
  <c r="H574" i="2"/>
  <c r="R574" i="2"/>
  <c r="Y574" i="2"/>
  <c r="T574" i="2"/>
  <c r="V574" i="2"/>
  <c r="AA574" i="2"/>
  <c r="X574" i="2"/>
  <c r="Z574" i="2"/>
  <c r="AF574" i="2"/>
  <c r="AM574" i="2"/>
  <c r="AH574" i="2"/>
  <c r="AJ574" i="2"/>
  <c r="AL574" i="2"/>
  <c r="AN574" i="2"/>
  <c r="AO574" i="2"/>
  <c r="R575" i="2"/>
  <c r="Y575" i="2"/>
  <c r="T575" i="2"/>
  <c r="V575" i="2"/>
  <c r="X575" i="2"/>
  <c r="Z575" i="2"/>
  <c r="AA575" i="2"/>
  <c r="AF575" i="2"/>
  <c r="AH575" i="2"/>
  <c r="AJ575" i="2"/>
  <c r="AL575" i="2"/>
  <c r="AM575" i="2"/>
  <c r="AN575" i="2"/>
  <c r="AO575" i="2"/>
  <c r="R576" i="2"/>
  <c r="T576" i="2"/>
  <c r="V576" i="2"/>
  <c r="AA576" i="2"/>
  <c r="X576" i="2"/>
  <c r="Y576" i="2"/>
  <c r="Z576" i="2"/>
  <c r="AF576" i="2"/>
  <c r="AM576" i="2"/>
  <c r="AH576" i="2"/>
  <c r="AJ576" i="2"/>
  <c r="AO576" i="2"/>
  <c r="AL576" i="2"/>
  <c r="AN576" i="2"/>
  <c r="R599" i="2"/>
  <c r="R600" i="2"/>
  <c r="Y600" i="2"/>
  <c r="R601" i="2"/>
  <c r="R602" i="2"/>
  <c r="R603" i="2"/>
  <c r="R604" i="2"/>
  <c r="R605" i="2"/>
  <c r="R606" i="2"/>
  <c r="R607" i="2"/>
  <c r="R608" i="2"/>
  <c r="Y604" i="2"/>
  <c r="Y608" i="2"/>
  <c r="R612" i="2"/>
  <c r="R609" i="2"/>
  <c r="R610" i="2"/>
  <c r="R611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5" i="2"/>
  <c r="R636" i="2"/>
  <c r="R637" i="2"/>
  <c r="Y637" i="2"/>
  <c r="R638" i="2"/>
  <c r="R639" i="2"/>
  <c r="R640" i="2"/>
  <c r="R641" i="2"/>
  <c r="Y641" i="2"/>
  <c r="R642" i="2"/>
  <c r="R643" i="2"/>
  <c r="Y643" i="2"/>
  <c r="R644" i="2"/>
  <c r="Y644" i="2"/>
  <c r="R645" i="2"/>
  <c r="R646" i="2"/>
  <c r="R647" i="2"/>
  <c r="AF599" i="2"/>
  <c r="AF600" i="2"/>
  <c r="AF601" i="2"/>
  <c r="AF602" i="2"/>
  <c r="AF603" i="2"/>
  <c r="AF604" i="2"/>
  <c r="AM600" i="2"/>
  <c r="AM604" i="2"/>
  <c r="AF605" i="2"/>
  <c r="AF606" i="2"/>
  <c r="AF607" i="2"/>
  <c r="AF608" i="2"/>
  <c r="AF609" i="2"/>
  <c r="AF610" i="2"/>
  <c r="AF611" i="2"/>
  <c r="AF612" i="2"/>
  <c r="AM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J627" i="2"/>
  <c r="AN627" i="2"/>
  <c r="AO627" i="2"/>
  <c r="AF628" i="2"/>
  <c r="AF629" i="2"/>
  <c r="AF630" i="2"/>
  <c r="AF635" i="2"/>
  <c r="AF636" i="2"/>
  <c r="AM636" i="2"/>
  <c r="AF637" i="2"/>
  <c r="AM637" i="2"/>
  <c r="AF638" i="2"/>
  <c r="AM638" i="2"/>
  <c r="AF639" i="2"/>
  <c r="AF640" i="2"/>
  <c r="AM640" i="2"/>
  <c r="AF641" i="2"/>
  <c r="AF642" i="2"/>
  <c r="AM642" i="2"/>
  <c r="AF643" i="2"/>
  <c r="AM643" i="2"/>
  <c r="AF644" i="2"/>
  <c r="AM644" i="2"/>
  <c r="AF645" i="2"/>
  <c r="AM645" i="2"/>
  <c r="AF646" i="2"/>
  <c r="AM646" i="2"/>
  <c r="AF647" i="2"/>
  <c r="AM647" i="2"/>
  <c r="D596" i="2"/>
  <c r="D597" i="2"/>
  <c r="D598" i="2"/>
  <c r="B598" i="2"/>
  <c r="D599" i="2"/>
  <c r="D600" i="2"/>
  <c r="D601" i="2"/>
  <c r="D602" i="2"/>
  <c r="D603" i="2"/>
  <c r="D606" i="2"/>
  <c r="D607" i="2"/>
  <c r="D608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A652" i="2"/>
  <c r="R713" i="2"/>
  <c r="R714" i="2"/>
  <c r="R715" i="2"/>
  <c r="R716" i="2"/>
  <c r="R709" i="2"/>
  <c r="R705" i="2"/>
  <c r="R701" i="2"/>
  <c r="R697" i="2"/>
  <c r="R693" i="2"/>
  <c r="R689" i="2"/>
  <c r="R685" i="2"/>
  <c r="R681" i="2"/>
  <c r="R677" i="2"/>
  <c r="R673" i="2"/>
  <c r="Y673" i="2"/>
  <c r="R710" i="2"/>
  <c r="D679" i="2"/>
  <c r="R711" i="2"/>
  <c r="R712" i="2"/>
  <c r="AF709" i="2"/>
  <c r="AF710" i="2"/>
  <c r="AF711" i="2"/>
  <c r="AF712" i="2"/>
  <c r="B679" i="2"/>
  <c r="R706" i="2"/>
  <c r="R702" i="2"/>
  <c r="R698" i="2"/>
  <c r="R694" i="2"/>
  <c r="Y694" i="2"/>
  <c r="Y698" i="2"/>
  <c r="Y702" i="2"/>
  <c r="V702" i="2"/>
  <c r="Z702" i="2"/>
  <c r="AA702" i="2"/>
  <c r="R707" i="2"/>
  <c r="R703" i="2"/>
  <c r="Y703" i="2"/>
  <c r="R708" i="2"/>
  <c r="R704" i="2"/>
  <c r="R676" i="2"/>
  <c r="R680" i="2"/>
  <c r="R684" i="2"/>
  <c r="R688" i="2"/>
  <c r="R692" i="2"/>
  <c r="R696" i="2"/>
  <c r="R700" i="2"/>
  <c r="R737" i="2"/>
  <c r="Y676" i="2"/>
  <c r="K670" i="2"/>
  <c r="K671" i="2"/>
  <c r="AF706" i="2"/>
  <c r="AF702" i="2"/>
  <c r="AF698" i="2"/>
  <c r="AF694" i="2"/>
  <c r="D675" i="2"/>
  <c r="R695" i="2"/>
  <c r="AF693" i="2"/>
  <c r="AF695" i="2"/>
  <c r="AF696" i="2"/>
  <c r="B675" i="2"/>
  <c r="AF690" i="2"/>
  <c r="AF686" i="2"/>
  <c r="AF682" i="2"/>
  <c r="AF678" i="2"/>
  <c r="AF674" i="2"/>
  <c r="AM674" i="2"/>
  <c r="AF707" i="2"/>
  <c r="AF703" i="2"/>
  <c r="AF699" i="2"/>
  <c r="AF691" i="2"/>
  <c r="AF687" i="2"/>
  <c r="AF673" i="2"/>
  <c r="AF675" i="2"/>
  <c r="AF676" i="2"/>
  <c r="AF677" i="2"/>
  <c r="AF679" i="2"/>
  <c r="AF680" i="2"/>
  <c r="AF681" i="2"/>
  <c r="AF683" i="2"/>
  <c r="AF684" i="2"/>
  <c r="AF685" i="2"/>
  <c r="AF688" i="2"/>
  <c r="AF689" i="2"/>
  <c r="AF692" i="2"/>
  <c r="AF697" i="2"/>
  <c r="AF700" i="2"/>
  <c r="AF701" i="2"/>
  <c r="AF704" i="2"/>
  <c r="AF705" i="2"/>
  <c r="AF708" i="2"/>
  <c r="AF725" i="2"/>
  <c r="AM675" i="2"/>
  <c r="AM679" i="2"/>
  <c r="AM683" i="2"/>
  <c r="AM676" i="2"/>
  <c r="AM680" i="2"/>
  <c r="AM684" i="2"/>
  <c r="AM688" i="2"/>
  <c r="AJ676" i="2"/>
  <c r="B606" i="2"/>
  <c r="B607" i="2"/>
  <c r="I654" i="2"/>
  <c r="Y602" i="2"/>
  <c r="Y606" i="2"/>
  <c r="Y610" i="2"/>
  <c r="AM601" i="2"/>
  <c r="AM605" i="2"/>
  <c r="AM609" i="2"/>
  <c r="AJ605" i="2"/>
  <c r="K596" i="2"/>
  <c r="H596" i="2"/>
  <c r="H597" i="2"/>
  <c r="H598" i="2"/>
  <c r="H599" i="2"/>
  <c r="H600" i="2"/>
  <c r="H601" i="2"/>
  <c r="H602" i="2"/>
  <c r="H603" i="2"/>
  <c r="L603" i="2"/>
  <c r="M603" i="2"/>
  <c r="K606" i="2"/>
  <c r="L606" i="2"/>
  <c r="M606" i="2"/>
  <c r="K607" i="2"/>
  <c r="L607" i="2"/>
  <c r="M607" i="2"/>
  <c r="K608" i="2"/>
  <c r="L608" i="2"/>
  <c r="M608" i="2"/>
  <c r="K610" i="2"/>
  <c r="L610" i="2"/>
  <c r="M610" i="2"/>
  <c r="K611" i="2"/>
  <c r="L611" i="2"/>
  <c r="M611" i="2"/>
  <c r="K612" i="2"/>
  <c r="L612" i="2"/>
  <c r="M612" i="2"/>
  <c r="K613" i="2"/>
  <c r="L613" i="2"/>
  <c r="M613" i="2"/>
  <c r="K614" i="2"/>
  <c r="L614" i="2"/>
  <c r="M614" i="2"/>
  <c r="K615" i="2"/>
  <c r="L615" i="2"/>
  <c r="K616" i="2"/>
  <c r="L616" i="2"/>
  <c r="M616" i="2"/>
  <c r="K617" i="2"/>
  <c r="L617" i="2"/>
  <c r="M617" i="2"/>
  <c r="K618" i="2"/>
  <c r="L618" i="2"/>
  <c r="M618" i="2"/>
  <c r="K619" i="2"/>
  <c r="L619" i="2"/>
  <c r="M619" i="2"/>
  <c r="K620" i="2"/>
  <c r="L620" i="2"/>
  <c r="M620" i="2"/>
  <c r="K621" i="2"/>
  <c r="L621" i="2"/>
  <c r="M621" i="2"/>
  <c r="K622" i="2"/>
  <c r="L622" i="2"/>
  <c r="M622" i="2"/>
  <c r="K623" i="2"/>
  <c r="L623" i="2"/>
  <c r="M623" i="2"/>
  <c r="K624" i="2"/>
  <c r="L624" i="2"/>
  <c r="M624" i="2"/>
  <c r="L625" i="2"/>
  <c r="M625" i="2"/>
  <c r="L626" i="2"/>
  <c r="M626" i="2"/>
  <c r="L627" i="2"/>
  <c r="M627" i="2"/>
  <c r="L628" i="2"/>
  <c r="L629" i="2"/>
  <c r="L630" i="2"/>
  <c r="L631" i="2"/>
  <c r="M631" i="2"/>
  <c r="L632" i="2"/>
  <c r="M632" i="2"/>
  <c r="L633" i="2"/>
  <c r="L634" i="2"/>
  <c r="M634" i="2"/>
  <c r="L635" i="2"/>
  <c r="L636" i="2"/>
  <c r="L637" i="2"/>
  <c r="M637" i="2"/>
  <c r="L638" i="2"/>
  <c r="M638" i="2"/>
  <c r="L639" i="2"/>
  <c r="M639" i="2"/>
  <c r="L640" i="2"/>
  <c r="M640" i="2"/>
  <c r="L641" i="2"/>
  <c r="M641" i="2"/>
  <c r="L642" i="2"/>
  <c r="L643" i="2"/>
  <c r="M643" i="2"/>
  <c r="L644" i="2"/>
  <c r="M644" i="2"/>
  <c r="L645" i="2"/>
  <c r="L646" i="2"/>
  <c r="L647" i="2"/>
  <c r="L648" i="2"/>
  <c r="V599" i="2"/>
  <c r="Y599" i="2"/>
  <c r="V600" i="2"/>
  <c r="V601" i="2"/>
  <c r="V602" i="2"/>
  <c r="V603" i="2"/>
  <c r="V604" i="2"/>
  <c r="V605" i="2"/>
  <c r="V606" i="2"/>
  <c r="V607" i="2"/>
  <c r="Z607" i="2"/>
  <c r="V608" i="2"/>
  <c r="V609" i="2"/>
  <c r="V610" i="2"/>
  <c r="Z610" i="2"/>
  <c r="AA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6" i="2"/>
  <c r="V630" i="2"/>
  <c r="V638" i="2"/>
  <c r="V642" i="2"/>
  <c r="V646" i="2"/>
  <c r="V663" i="2"/>
  <c r="V623" i="2"/>
  <c r="V624" i="2"/>
  <c r="V625" i="2"/>
  <c r="V627" i="2"/>
  <c r="V628" i="2"/>
  <c r="V629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AJ599" i="2"/>
  <c r="AM599" i="2"/>
  <c r="AN599" i="2"/>
  <c r="AJ600" i="2"/>
  <c r="AJ601" i="2"/>
  <c r="AJ610" i="2"/>
  <c r="AJ613" i="2"/>
  <c r="AJ617" i="2"/>
  <c r="AJ621" i="2"/>
  <c r="AJ625" i="2"/>
  <c r="AJ629" i="2"/>
  <c r="AJ637" i="2"/>
  <c r="AJ641" i="2"/>
  <c r="AJ645" i="2"/>
  <c r="AJ662" i="2"/>
  <c r="AF662" i="2"/>
  <c r="AI662" i="2"/>
  <c r="AN601" i="2"/>
  <c r="AJ602" i="2"/>
  <c r="AJ603" i="2"/>
  <c r="AJ604" i="2"/>
  <c r="AJ606" i="2"/>
  <c r="AJ607" i="2"/>
  <c r="AJ608" i="2"/>
  <c r="AN608" i="2"/>
  <c r="AJ609" i="2"/>
  <c r="AJ614" i="2"/>
  <c r="AJ618" i="2"/>
  <c r="AJ622" i="2"/>
  <c r="AJ626" i="2"/>
  <c r="AJ630" i="2"/>
  <c r="AJ638" i="2"/>
  <c r="AJ642" i="2"/>
  <c r="AJ646" i="2"/>
  <c r="AJ663" i="2"/>
  <c r="AJ611" i="2"/>
  <c r="AJ612" i="2"/>
  <c r="AN612" i="2"/>
  <c r="AJ615" i="2"/>
  <c r="AJ616" i="2"/>
  <c r="AJ619" i="2"/>
  <c r="AJ620" i="2"/>
  <c r="AJ623" i="2"/>
  <c r="AJ624" i="2"/>
  <c r="AJ628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D603" i="2"/>
  <c r="AD599" i="2"/>
  <c r="P599" i="2"/>
  <c r="F596" i="2"/>
  <c r="F597" i="2"/>
  <c r="P603" i="2"/>
  <c r="T599" i="2"/>
  <c r="X599" i="2"/>
  <c r="AH599" i="2"/>
  <c r="AL599" i="2"/>
  <c r="AL603" i="2"/>
  <c r="AL607" i="2"/>
  <c r="AL611" i="2"/>
  <c r="AL615" i="2"/>
  <c r="AL619" i="2"/>
  <c r="AL623" i="2"/>
  <c r="T600" i="2"/>
  <c r="X600" i="2"/>
  <c r="X604" i="2"/>
  <c r="X608" i="2"/>
  <c r="X612" i="2"/>
  <c r="X616" i="2"/>
  <c r="X620" i="2"/>
  <c r="X624" i="2"/>
  <c r="X628" i="2"/>
  <c r="AH600" i="2"/>
  <c r="AL600" i="2"/>
  <c r="AL604" i="2"/>
  <c r="T601" i="2"/>
  <c r="X601" i="2"/>
  <c r="AH601" i="2"/>
  <c r="AL601" i="2"/>
  <c r="AL605" i="2"/>
  <c r="AL609" i="2"/>
  <c r="AL613" i="2"/>
  <c r="AL617" i="2"/>
  <c r="T602" i="2"/>
  <c r="X602" i="2"/>
  <c r="X606" i="2"/>
  <c r="X610" i="2"/>
  <c r="X614" i="2"/>
  <c r="X618" i="2"/>
  <c r="X622" i="2"/>
  <c r="X626" i="2"/>
  <c r="X630" i="2"/>
  <c r="AH602" i="2"/>
  <c r="AL602" i="2"/>
  <c r="AL606" i="2"/>
  <c r="T603" i="2"/>
  <c r="X603" i="2"/>
  <c r="AH603" i="2"/>
  <c r="T604" i="2"/>
  <c r="AH604" i="2"/>
  <c r="T605" i="2"/>
  <c r="X605" i="2"/>
  <c r="X609" i="2"/>
  <c r="X613" i="2"/>
  <c r="X617" i="2"/>
  <c r="X621" i="2"/>
  <c r="X625" i="2"/>
  <c r="X629" i="2"/>
  <c r="AH605" i="2"/>
  <c r="T606" i="2"/>
  <c r="AH606" i="2"/>
  <c r="AH607" i="2"/>
  <c r="AH608" i="2"/>
  <c r="AH609" i="2"/>
  <c r="AH610" i="2"/>
  <c r="AL610" i="2"/>
  <c r="AL614" i="2"/>
  <c r="AL618" i="2"/>
  <c r="AL622" i="2"/>
  <c r="AL626" i="2"/>
  <c r="AL630" i="2"/>
  <c r="AH611" i="2"/>
  <c r="AH612" i="2"/>
  <c r="AL612" i="2"/>
  <c r="AH613" i="2"/>
  <c r="AH614" i="2"/>
  <c r="AH615" i="2"/>
  <c r="AH616" i="2"/>
  <c r="AL616" i="2"/>
  <c r="AL620" i="2"/>
  <c r="AL624" i="2"/>
  <c r="AL628" i="2"/>
  <c r="AH617" i="2"/>
  <c r="AH618" i="2"/>
  <c r="AH619" i="2"/>
  <c r="AH620" i="2"/>
  <c r="AH621" i="2"/>
  <c r="AL621" i="2"/>
  <c r="AH622" i="2"/>
  <c r="AH623" i="2"/>
  <c r="AH624" i="2"/>
  <c r="AH625" i="2"/>
  <c r="AL625" i="2"/>
  <c r="AL629" i="2"/>
  <c r="AH626" i="2"/>
  <c r="AH627" i="2"/>
  <c r="AH628" i="2"/>
  <c r="AH629" i="2"/>
  <c r="AH630" i="2"/>
  <c r="AH635" i="2"/>
  <c r="AJ635" i="2"/>
  <c r="AO635" i="2"/>
  <c r="AL635" i="2"/>
  <c r="AM635" i="2"/>
  <c r="AH636" i="2"/>
  <c r="AJ636" i="2"/>
  <c r="AO636" i="2"/>
  <c r="AL636" i="2"/>
  <c r="AH637" i="2"/>
  <c r="AL637" i="2"/>
  <c r="AO637" i="2"/>
  <c r="AH638" i="2"/>
  <c r="AO638" i="2"/>
  <c r="AL638" i="2"/>
  <c r="AH639" i="2"/>
  <c r="AJ639" i="2"/>
  <c r="AO639" i="2"/>
  <c r="AL639" i="2"/>
  <c r="AM639" i="2"/>
  <c r="AH640" i="2"/>
  <c r="AJ640" i="2"/>
  <c r="AO640" i="2"/>
  <c r="AL640" i="2"/>
  <c r="AH641" i="2"/>
  <c r="AO641" i="2"/>
  <c r="AL641" i="2"/>
  <c r="AM641" i="2"/>
  <c r="AH642" i="2"/>
  <c r="AO642" i="2"/>
  <c r="AL642" i="2"/>
  <c r="AH643" i="2"/>
  <c r="AJ643" i="2"/>
  <c r="AL643" i="2"/>
  <c r="AH644" i="2"/>
  <c r="AJ644" i="2"/>
  <c r="AO644" i="2"/>
  <c r="AL644" i="2"/>
  <c r="AH645" i="2"/>
  <c r="AO645" i="2"/>
  <c r="AL645" i="2"/>
  <c r="AH646" i="2"/>
  <c r="AL646" i="2"/>
  <c r="AO646" i="2"/>
  <c r="X635" i="2"/>
  <c r="Y635" i="2"/>
  <c r="V635" i="2"/>
  <c r="AA635" i="2"/>
  <c r="X636" i="2"/>
  <c r="Y636" i="2"/>
  <c r="V636" i="2"/>
  <c r="AA636" i="2"/>
  <c r="X637" i="2"/>
  <c r="V637" i="2"/>
  <c r="AA637" i="2"/>
  <c r="X638" i="2"/>
  <c r="Y638" i="2"/>
  <c r="AA638" i="2"/>
  <c r="X639" i="2"/>
  <c r="Y639" i="2"/>
  <c r="V639" i="2"/>
  <c r="AA639" i="2"/>
  <c r="X640" i="2"/>
  <c r="Y640" i="2"/>
  <c r="V640" i="2"/>
  <c r="AA640" i="2"/>
  <c r="X641" i="2"/>
  <c r="V641" i="2"/>
  <c r="AA641" i="2"/>
  <c r="X642" i="2"/>
  <c r="Y642" i="2"/>
  <c r="AA642" i="2"/>
  <c r="X643" i="2"/>
  <c r="V643" i="2"/>
  <c r="AA643" i="2"/>
  <c r="X644" i="2"/>
  <c r="V644" i="2"/>
  <c r="X645" i="2"/>
  <c r="Y645" i="2"/>
  <c r="V645" i="2"/>
  <c r="X646" i="2"/>
  <c r="Y646" i="2"/>
  <c r="AA646" i="2"/>
  <c r="X611" i="2"/>
  <c r="X615" i="2"/>
  <c r="X619" i="2"/>
  <c r="X623" i="2"/>
  <c r="X627" i="2"/>
  <c r="X660" i="2"/>
  <c r="Y660" i="2"/>
  <c r="AL660" i="2"/>
  <c r="AM660" i="2"/>
  <c r="R661" i="2"/>
  <c r="X661" i="2"/>
  <c r="Y661" i="2"/>
  <c r="AL661" i="2"/>
  <c r="AM661" i="2"/>
  <c r="X662" i="2"/>
  <c r="Y662" i="2"/>
  <c r="AL662" i="2"/>
  <c r="AM662" i="2"/>
  <c r="X663" i="2"/>
  <c r="Y663" i="2"/>
  <c r="AL663" i="2"/>
  <c r="AM663" i="2"/>
  <c r="F598" i="2"/>
  <c r="F599" i="2"/>
  <c r="F600" i="2"/>
  <c r="F601" i="2"/>
  <c r="F602" i="2"/>
  <c r="F603" i="2"/>
  <c r="F606" i="2"/>
  <c r="H606" i="2"/>
  <c r="F607" i="2"/>
  <c r="H607" i="2"/>
  <c r="P607" i="2"/>
  <c r="T607" i="2"/>
  <c r="AD607" i="2"/>
  <c r="F608" i="2"/>
  <c r="H608" i="2"/>
  <c r="T608" i="2"/>
  <c r="T609" i="2"/>
  <c r="F610" i="2"/>
  <c r="H610" i="2"/>
  <c r="T610" i="2"/>
  <c r="F611" i="2"/>
  <c r="H611" i="2"/>
  <c r="P611" i="2"/>
  <c r="T611" i="2"/>
  <c r="AD611" i="2"/>
  <c r="F612" i="2"/>
  <c r="H612" i="2"/>
  <c r="T612" i="2"/>
  <c r="F613" i="2"/>
  <c r="H613" i="2"/>
  <c r="T613" i="2"/>
  <c r="F614" i="2"/>
  <c r="H614" i="2"/>
  <c r="T614" i="2"/>
  <c r="F615" i="2"/>
  <c r="H615" i="2"/>
  <c r="M615" i="2"/>
  <c r="P615" i="2"/>
  <c r="T615" i="2"/>
  <c r="AD615" i="2"/>
  <c r="F616" i="2"/>
  <c r="H616" i="2"/>
  <c r="T616" i="2"/>
  <c r="F617" i="2"/>
  <c r="H617" i="2"/>
  <c r="T617" i="2"/>
  <c r="F618" i="2"/>
  <c r="H618" i="2"/>
  <c r="T618" i="2"/>
  <c r="F619" i="2"/>
  <c r="H619" i="2"/>
  <c r="P619" i="2"/>
  <c r="T619" i="2"/>
  <c r="AD619" i="2"/>
  <c r="F620" i="2"/>
  <c r="H620" i="2"/>
  <c r="T620" i="2"/>
  <c r="F621" i="2"/>
  <c r="H621" i="2"/>
  <c r="T621" i="2"/>
  <c r="F622" i="2"/>
  <c r="H622" i="2"/>
  <c r="T622" i="2"/>
  <c r="F623" i="2"/>
  <c r="H623" i="2"/>
  <c r="P623" i="2"/>
  <c r="T623" i="2"/>
  <c r="AD623" i="2"/>
  <c r="F624" i="2"/>
  <c r="H624" i="2"/>
  <c r="T624" i="2"/>
  <c r="F625" i="2"/>
  <c r="H625" i="2"/>
  <c r="T625" i="2"/>
  <c r="F626" i="2"/>
  <c r="H626" i="2"/>
  <c r="T626" i="2"/>
  <c r="F627" i="2"/>
  <c r="H627" i="2"/>
  <c r="P627" i="2"/>
  <c r="T627" i="2"/>
  <c r="AD627" i="2"/>
  <c r="F628" i="2"/>
  <c r="H628" i="2"/>
  <c r="M628" i="2"/>
  <c r="T628" i="2"/>
  <c r="F629" i="2"/>
  <c r="H629" i="2"/>
  <c r="M629" i="2"/>
  <c r="T629" i="2"/>
  <c r="F630" i="2"/>
  <c r="H630" i="2"/>
  <c r="M630" i="2"/>
  <c r="T630" i="2"/>
  <c r="F631" i="2"/>
  <c r="H631" i="2"/>
  <c r="F632" i="2"/>
  <c r="H632" i="2"/>
  <c r="F633" i="2"/>
  <c r="H633" i="2"/>
  <c r="M633" i="2"/>
  <c r="F634" i="2"/>
  <c r="H634" i="2"/>
  <c r="F635" i="2"/>
  <c r="H635" i="2"/>
  <c r="M635" i="2"/>
  <c r="P635" i="2"/>
  <c r="T635" i="2"/>
  <c r="AD635" i="2"/>
  <c r="F636" i="2"/>
  <c r="H636" i="2"/>
  <c r="M636" i="2"/>
  <c r="T636" i="2"/>
  <c r="F637" i="2"/>
  <c r="H637" i="2"/>
  <c r="T637" i="2"/>
  <c r="F638" i="2"/>
  <c r="H638" i="2"/>
  <c r="T638" i="2"/>
  <c r="F639" i="2"/>
  <c r="H639" i="2"/>
  <c r="P639" i="2"/>
  <c r="T639" i="2"/>
  <c r="AD639" i="2"/>
  <c r="F640" i="2"/>
  <c r="H640" i="2"/>
  <c r="T640" i="2"/>
  <c r="F641" i="2"/>
  <c r="H641" i="2"/>
  <c r="T641" i="2"/>
  <c r="F642" i="2"/>
  <c r="H642" i="2"/>
  <c r="M642" i="2"/>
  <c r="T642" i="2"/>
  <c r="F643" i="2"/>
  <c r="H643" i="2"/>
  <c r="P643" i="2"/>
  <c r="T643" i="2"/>
  <c r="AD643" i="2"/>
  <c r="F644" i="2"/>
  <c r="H644" i="2"/>
  <c r="T644" i="2"/>
  <c r="F645" i="2"/>
  <c r="H645" i="2"/>
  <c r="M645" i="2"/>
  <c r="T645" i="2"/>
  <c r="F646" i="2"/>
  <c r="H646" i="2"/>
  <c r="M646" i="2"/>
  <c r="T646" i="2"/>
  <c r="F647" i="2"/>
  <c r="H647" i="2"/>
  <c r="M647" i="2"/>
  <c r="P647" i="2"/>
  <c r="T647" i="2"/>
  <c r="V647" i="2"/>
  <c r="X647" i="2"/>
  <c r="Y647" i="2"/>
  <c r="AA647" i="2"/>
  <c r="AD647" i="2"/>
  <c r="AH647" i="2"/>
  <c r="AJ647" i="2"/>
  <c r="AL647" i="2"/>
  <c r="AO647" i="2"/>
  <c r="F648" i="2"/>
  <c r="H648" i="2"/>
  <c r="M648" i="2"/>
  <c r="R648" i="2"/>
  <c r="T648" i="2"/>
  <c r="V648" i="2"/>
  <c r="AA648" i="2"/>
  <c r="X648" i="2"/>
  <c r="Y648" i="2"/>
  <c r="Z648" i="2"/>
  <c r="AF648" i="2"/>
  <c r="AH648" i="2"/>
  <c r="AJ648" i="2"/>
  <c r="AL648" i="2"/>
  <c r="AM648" i="2"/>
  <c r="AN648" i="2"/>
  <c r="AO648" i="2"/>
  <c r="R649" i="2"/>
  <c r="Y649" i="2"/>
  <c r="T649" i="2"/>
  <c r="V649" i="2"/>
  <c r="AA649" i="2"/>
  <c r="X649" i="2"/>
  <c r="Z649" i="2"/>
  <c r="AF649" i="2"/>
  <c r="AH649" i="2"/>
  <c r="AJ649" i="2"/>
  <c r="AO649" i="2"/>
  <c r="AL649" i="2"/>
  <c r="AM649" i="2"/>
  <c r="AN649" i="2"/>
  <c r="R650" i="2"/>
  <c r="Y650" i="2"/>
  <c r="T650" i="2"/>
  <c r="V650" i="2"/>
  <c r="AA650" i="2"/>
  <c r="X650" i="2"/>
  <c r="Z650" i="2"/>
  <c r="AF650" i="2"/>
  <c r="AH650" i="2"/>
  <c r="AJ650" i="2"/>
  <c r="AO650" i="2"/>
  <c r="AL650" i="2"/>
  <c r="AM650" i="2"/>
  <c r="AN650" i="2"/>
  <c r="R674" i="2"/>
  <c r="Y674" i="2"/>
  <c r="R675" i="2"/>
  <c r="R678" i="2"/>
  <c r="R679" i="2"/>
  <c r="Y675" i="2"/>
  <c r="Y679" i="2"/>
  <c r="V679" i="2"/>
  <c r="R682" i="2"/>
  <c r="R686" i="2"/>
  <c r="R683" i="2"/>
  <c r="R687" i="2"/>
  <c r="R690" i="2"/>
  <c r="R691" i="2"/>
  <c r="R699" i="2"/>
  <c r="R736" i="2"/>
  <c r="AM677" i="2"/>
  <c r="AM701" i="2"/>
  <c r="AM705" i="2"/>
  <c r="D670" i="2"/>
  <c r="D671" i="2"/>
  <c r="D672" i="2"/>
  <c r="D673" i="2"/>
  <c r="D674" i="2"/>
  <c r="D676" i="2"/>
  <c r="B676" i="2"/>
  <c r="D677" i="2"/>
  <c r="D678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A726" i="2"/>
  <c r="AF771" i="2"/>
  <c r="AF767" i="2"/>
  <c r="AF763" i="2"/>
  <c r="AF759" i="2"/>
  <c r="AF755" i="2"/>
  <c r="AF751" i="2"/>
  <c r="AF747" i="2"/>
  <c r="AF772" i="2"/>
  <c r="AF768" i="2"/>
  <c r="AF764" i="2"/>
  <c r="AF760" i="2"/>
  <c r="AM760" i="2"/>
  <c r="AM764" i="2"/>
  <c r="AJ764" i="2"/>
  <c r="AN764" i="2"/>
  <c r="AO764" i="2"/>
  <c r="AF773" i="2"/>
  <c r="AM773" i="2"/>
  <c r="AJ773" i="2"/>
  <c r="AF774" i="2"/>
  <c r="AF770" i="2"/>
  <c r="AF766" i="2"/>
  <c r="AF762" i="2"/>
  <c r="AF758" i="2"/>
  <c r="AF754" i="2"/>
  <c r="AF750" i="2"/>
  <c r="AM750" i="2"/>
  <c r="R771" i="2"/>
  <c r="R767" i="2"/>
  <c r="R763" i="2"/>
  <c r="R759" i="2"/>
  <c r="R755" i="2"/>
  <c r="R751" i="2"/>
  <c r="R747" i="2"/>
  <c r="Y747" i="2"/>
  <c r="R772" i="2"/>
  <c r="R768" i="2"/>
  <c r="R764" i="2"/>
  <c r="R760" i="2"/>
  <c r="R756" i="2"/>
  <c r="R752" i="2"/>
  <c r="R748" i="2"/>
  <c r="R773" i="2"/>
  <c r="R769" i="2"/>
  <c r="R765" i="2"/>
  <c r="R761" i="2"/>
  <c r="R757" i="2"/>
  <c r="R753" i="2"/>
  <c r="R749" i="2"/>
  <c r="Y749" i="2"/>
  <c r="R774" i="2"/>
  <c r="R770" i="2"/>
  <c r="R766" i="2"/>
  <c r="R762" i="2"/>
  <c r="R758" i="2"/>
  <c r="R754" i="2"/>
  <c r="R750" i="2"/>
  <c r="Y750" i="2"/>
  <c r="Y754" i="2"/>
  <c r="Y758" i="2"/>
  <c r="V750" i="2"/>
  <c r="Z750" i="2"/>
  <c r="K748" i="2"/>
  <c r="H748" i="2"/>
  <c r="L748" i="2"/>
  <c r="D748" i="2"/>
  <c r="M748" i="2"/>
  <c r="AH673" i="2"/>
  <c r="AJ673" i="2"/>
  <c r="AN673" i="2"/>
  <c r="AH674" i="2"/>
  <c r="AJ674" i="2"/>
  <c r="AL674" i="2"/>
  <c r="AL678" i="2"/>
  <c r="AL682" i="2"/>
  <c r="AL686" i="2"/>
  <c r="AL690" i="2"/>
  <c r="AL694" i="2"/>
  <c r="AL698" i="2"/>
  <c r="AL702" i="2"/>
  <c r="AL706" i="2"/>
  <c r="AL710" i="2"/>
  <c r="AN674" i="2"/>
  <c r="AH675" i="2"/>
  <c r="AJ675" i="2"/>
  <c r="AL675" i="2"/>
  <c r="AL679" i="2"/>
  <c r="AL683" i="2"/>
  <c r="AN675" i="2"/>
  <c r="AO675" i="2"/>
  <c r="AH676" i="2"/>
  <c r="AL676" i="2"/>
  <c r="AL680" i="2"/>
  <c r="AL684" i="2"/>
  <c r="AL688" i="2"/>
  <c r="AL692" i="2"/>
  <c r="AL696" i="2"/>
  <c r="AL700" i="2"/>
  <c r="AL704" i="2"/>
  <c r="AL708" i="2"/>
  <c r="AL712" i="2"/>
  <c r="AH677" i="2"/>
  <c r="AJ677" i="2"/>
  <c r="AN677" i="2"/>
  <c r="AO677" i="2"/>
  <c r="AL677" i="2"/>
  <c r="AL681" i="2"/>
  <c r="AL685" i="2"/>
  <c r="AL689" i="2"/>
  <c r="AL693" i="2"/>
  <c r="AH678" i="2"/>
  <c r="AJ678" i="2"/>
  <c r="AJ679" i="2"/>
  <c r="AH679" i="2"/>
  <c r="AL687" i="2"/>
  <c r="AL691" i="2"/>
  <c r="AL695" i="2"/>
  <c r="AL699" i="2"/>
  <c r="AL703" i="2"/>
  <c r="AL707" i="2"/>
  <c r="AL711" i="2"/>
  <c r="AH680" i="2"/>
  <c r="AJ680" i="2"/>
  <c r="AH681" i="2"/>
  <c r="AJ681" i="2"/>
  <c r="AH682" i="2"/>
  <c r="AJ682" i="2"/>
  <c r="AH683" i="2"/>
  <c r="AJ683" i="2"/>
  <c r="AH684" i="2"/>
  <c r="AJ684" i="2"/>
  <c r="AH685" i="2"/>
  <c r="AJ685" i="2"/>
  <c r="AH686" i="2"/>
  <c r="AJ686" i="2"/>
  <c r="AH687" i="2"/>
  <c r="AJ687" i="2"/>
  <c r="AH688" i="2"/>
  <c r="AJ688" i="2"/>
  <c r="AH689" i="2"/>
  <c r="AJ689" i="2"/>
  <c r="AH690" i="2"/>
  <c r="AJ690" i="2"/>
  <c r="AH691" i="2"/>
  <c r="AJ691" i="2"/>
  <c r="AH692" i="2"/>
  <c r="AJ692" i="2"/>
  <c r="AH693" i="2"/>
  <c r="AJ693" i="2"/>
  <c r="AH694" i="2"/>
  <c r="AJ694" i="2"/>
  <c r="AH695" i="2"/>
  <c r="AJ695" i="2"/>
  <c r="AH696" i="2"/>
  <c r="AJ696" i="2"/>
  <c r="AH697" i="2"/>
  <c r="AJ697" i="2"/>
  <c r="AN697" i="2"/>
  <c r="AH698" i="2"/>
  <c r="AJ698" i="2"/>
  <c r="AH699" i="2"/>
  <c r="AJ699" i="2"/>
  <c r="AH700" i="2"/>
  <c r="AJ700" i="2"/>
  <c r="AH701" i="2"/>
  <c r="AJ701" i="2"/>
  <c r="AL701" i="2"/>
  <c r="AN701" i="2"/>
  <c r="AO701" i="2"/>
  <c r="AH702" i="2"/>
  <c r="AJ702" i="2"/>
  <c r="AH703" i="2"/>
  <c r="AJ703" i="2"/>
  <c r="AH704" i="2"/>
  <c r="AJ704" i="2"/>
  <c r="H670" i="2"/>
  <c r="H671" i="2"/>
  <c r="H672" i="2"/>
  <c r="H673" i="2"/>
  <c r="H674" i="2"/>
  <c r="H675" i="2"/>
  <c r="H676" i="2"/>
  <c r="H677" i="2"/>
  <c r="H678" i="2"/>
  <c r="H679" i="2"/>
  <c r="K684" i="2"/>
  <c r="L684" i="2"/>
  <c r="M684" i="2"/>
  <c r="K685" i="2"/>
  <c r="L685" i="2"/>
  <c r="M685" i="2"/>
  <c r="K686" i="2"/>
  <c r="L686" i="2"/>
  <c r="M686" i="2"/>
  <c r="K687" i="2"/>
  <c r="L687" i="2"/>
  <c r="M687" i="2"/>
  <c r="K688" i="2"/>
  <c r="L688" i="2"/>
  <c r="M688" i="2"/>
  <c r="K689" i="2"/>
  <c r="L689" i="2"/>
  <c r="M689" i="2"/>
  <c r="K690" i="2"/>
  <c r="L690" i="2"/>
  <c r="M690" i="2"/>
  <c r="K691" i="2"/>
  <c r="L691" i="2"/>
  <c r="M691" i="2"/>
  <c r="K692" i="2"/>
  <c r="L692" i="2"/>
  <c r="M692" i="2"/>
  <c r="K693" i="2"/>
  <c r="L693" i="2"/>
  <c r="M693" i="2"/>
  <c r="K694" i="2"/>
  <c r="L694" i="2"/>
  <c r="M694" i="2"/>
  <c r="K695" i="2"/>
  <c r="L695" i="2"/>
  <c r="M695" i="2"/>
  <c r="K696" i="2"/>
  <c r="L696" i="2"/>
  <c r="M696" i="2"/>
  <c r="K697" i="2"/>
  <c r="L697" i="2"/>
  <c r="M697" i="2"/>
  <c r="K698" i="2"/>
  <c r="L698" i="2"/>
  <c r="M698" i="2"/>
  <c r="L699" i="2"/>
  <c r="L700" i="2"/>
  <c r="L701" i="2"/>
  <c r="M701" i="2"/>
  <c r="L702" i="2"/>
  <c r="L703" i="2"/>
  <c r="L704" i="2"/>
  <c r="L705" i="2"/>
  <c r="M705" i="2"/>
  <c r="L706" i="2"/>
  <c r="L707" i="2"/>
  <c r="M707" i="2"/>
  <c r="L708" i="2"/>
  <c r="L709" i="2"/>
  <c r="M709" i="2"/>
  <c r="L710" i="2"/>
  <c r="L711" i="2"/>
  <c r="M711" i="2"/>
  <c r="L712" i="2"/>
  <c r="M712" i="2"/>
  <c r="L713" i="2"/>
  <c r="L714" i="2"/>
  <c r="L715" i="2"/>
  <c r="M715" i="2"/>
  <c r="L716" i="2"/>
  <c r="M716" i="2"/>
  <c r="L717" i="2"/>
  <c r="M717" i="2"/>
  <c r="L718" i="2"/>
  <c r="M718" i="2"/>
  <c r="L719" i="2"/>
  <c r="M719" i="2"/>
  <c r="L720" i="2"/>
  <c r="M720" i="2"/>
  <c r="L721" i="2"/>
  <c r="L722" i="2"/>
  <c r="V673" i="2"/>
  <c r="V674" i="2"/>
  <c r="Z674" i="2"/>
  <c r="V675" i="2"/>
  <c r="V676" i="2"/>
  <c r="V681" i="2"/>
  <c r="V677" i="2"/>
  <c r="V685" i="2"/>
  <c r="V689" i="2"/>
  <c r="V694" i="2"/>
  <c r="V697" i="2"/>
  <c r="V701" i="2"/>
  <c r="V705" i="2"/>
  <c r="V709" i="2"/>
  <c r="V734" i="2"/>
  <c r="V682" i="2"/>
  <c r="V683" i="2"/>
  <c r="V684" i="2"/>
  <c r="V686" i="2"/>
  <c r="V687" i="2"/>
  <c r="V688" i="2"/>
  <c r="V690" i="2"/>
  <c r="Z690" i="2"/>
  <c r="V691" i="2"/>
  <c r="V692" i="2"/>
  <c r="V693" i="2"/>
  <c r="Z694" i="2"/>
  <c r="V695" i="2"/>
  <c r="V696" i="2"/>
  <c r="V698" i="2"/>
  <c r="Z698" i="2"/>
  <c r="V699" i="2"/>
  <c r="Z699" i="2"/>
  <c r="V700" i="2"/>
  <c r="V703" i="2"/>
  <c r="V704" i="2"/>
  <c r="V706" i="2"/>
  <c r="V707" i="2"/>
  <c r="V708" i="2"/>
  <c r="V710" i="2"/>
  <c r="V711" i="2"/>
  <c r="V712" i="2"/>
  <c r="AJ705" i="2"/>
  <c r="AJ706" i="2"/>
  <c r="AJ707" i="2"/>
  <c r="AJ708" i="2"/>
  <c r="AJ709" i="2"/>
  <c r="AN709" i="2"/>
  <c r="AJ710" i="2"/>
  <c r="AJ711" i="2"/>
  <c r="AJ712" i="2"/>
  <c r="X734" i="2"/>
  <c r="Y734" i="2"/>
  <c r="AL734" i="2"/>
  <c r="AM734" i="2"/>
  <c r="V678" i="2"/>
  <c r="X735" i="2"/>
  <c r="Y735" i="2"/>
  <c r="AL735" i="2"/>
  <c r="AM735" i="2"/>
  <c r="X736" i="2"/>
  <c r="Y736" i="2"/>
  <c r="AL736" i="2"/>
  <c r="AM736" i="2"/>
  <c r="V680" i="2"/>
  <c r="X737" i="2"/>
  <c r="Y737" i="2"/>
  <c r="AL737" i="2"/>
  <c r="AM737" i="2"/>
  <c r="F670" i="2"/>
  <c r="F671" i="2"/>
  <c r="F672" i="2"/>
  <c r="F673" i="2"/>
  <c r="P673" i="2"/>
  <c r="T673" i="2"/>
  <c r="X673" i="2"/>
  <c r="X677" i="2"/>
  <c r="X681" i="2"/>
  <c r="AD673" i="2"/>
  <c r="F674" i="2"/>
  <c r="T674" i="2"/>
  <c r="X674" i="2"/>
  <c r="X678" i="2"/>
  <c r="X682" i="2"/>
  <c r="X686" i="2"/>
  <c r="F675" i="2"/>
  <c r="T675" i="2"/>
  <c r="X675" i="2"/>
  <c r="X679" i="2"/>
  <c r="X683" i="2"/>
  <c r="X687" i="2"/>
  <c r="X691" i="2"/>
  <c r="X695" i="2"/>
  <c r="F676" i="2"/>
  <c r="T676" i="2"/>
  <c r="X676" i="2"/>
  <c r="X680" i="2"/>
  <c r="X684" i="2"/>
  <c r="X688" i="2"/>
  <c r="X692" i="2"/>
  <c r="X696" i="2"/>
  <c r="X700" i="2"/>
  <c r="X704" i="2"/>
  <c r="X708" i="2"/>
  <c r="X712" i="2"/>
  <c r="F677" i="2"/>
  <c r="P677" i="2"/>
  <c r="T677" i="2"/>
  <c r="AD677" i="2"/>
  <c r="F678" i="2"/>
  <c r="T678" i="2"/>
  <c r="F679" i="2"/>
  <c r="T679" i="2"/>
  <c r="T680" i="2"/>
  <c r="P681" i="2"/>
  <c r="T681" i="2"/>
  <c r="AD681" i="2"/>
  <c r="T682" i="2"/>
  <c r="T683" i="2"/>
  <c r="F684" i="2"/>
  <c r="H684" i="2"/>
  <c r="T684" i="2"/>
  <c r="F685" i="2"/>
  <c r="H685" i="2"/>
  <c r="P685" i="2"/>
  <c r="T685" i="2"/>
  <c r="X685" i="2"/>
  <c r="X689" i="2"/>
  <c r="X693" i="2"/>
  <c r="X697" i="2"/>
  <c r="X701" i="2"/>
  <c r="X705" i="2"/>
  <c r="X709" i="2"/>
  <c r="AD685" i="2"/>
  <c r="F686" i="2"/>
  <c r="H686" i="2"/>
  <c r="T686" i="2"/>
  <c r="F687" i="2"/>
  <c r="H687" i="2"/>
  <c r="T687" i="2"/>
  <c r="F688" i="2"/>
  <c r="H688" i="2"/>
  <c r="T688" i="2"/>
  <c r="F689" i="2"/>
  <c r="H689" i="2"/>
  <c r="P689" i="2"/>
  <c r="T689" i="2"/>
  <c r="AD689" i="2"/>
  <c r="F690" i="2"/>
  <c r="H690" i="2"/>
  <c r="T690" i="2"/>
  <c r="AA690" i="2"/>
  <c r="F691" i="2"/>
  <c r="H691" i="2"/>
  <c r="T691" i="2"/>
  <c r="F692" i="2"/>
  <c r="H692" i="2"/>
  <c r="T692" i="2"/>
  <c r="F693" i="2"/>
  <c r="H693" i="2"/>
  <c r="P693" i="2"/>
  <c r="T693" i="2"/>
  <c r="AD693" i="2"/>
  <c r="F694" i="2"/>
  <c r="H694" i="2"/>
  <c r="T694" i="2"/>
  <c r="X694" i="2"/>
  <c r="X698" i="2"/>
  <c r="X702" i="2"/>
  <c r="X706" i="2"/>
  <c r="X710" i="2"/>
  <c r="AA694" i="2"/>
  <c r="F695" i="2"/>
  <c r="H695" i="2"/>
  <c r="T695" i="2"/>
  <c r="F696" i="2"/>
  <c r="H696" i="2"/>
  <c r="T696" i="2"/>
  <c r="F697" i="2"/>
  <c r="H697" i="2"/>
  <c r="P697" i="2"/>
  <c r="T697" i="2"/>
  <c r="AD697" i="2"/>
  <c r="F698" i="2"/>
  <c r="H698" i="2"/>
  <c r="T698" i="2"/>
  <c r="F699" i="2"/>
  <c r="H699" i="2"/>
  <c r="M699" i="2"/>
  <c r="T699" i="2"/>
  <c r="AA699" i="2"/>
  <c r="F700" i="2"/>
  <c r="H700" i="2"/>
  <c r="M700" i="2"/>
  <c r="T700" i="2"/>
  <c r="F701" i="2"/>
  <c r="H701" i="2"/>
  <c r="P701" i="2"/>
  <c r="T701" i="2"/>
  <c r="AD701" i="2"/>
  <c r="F702" i="2"/>
  <c r="H702" i="2"/>
  <c r="M702" i="2"/>
  <c r="T702" i="2"/>
  <c r="F703" i="2"/>
  <c r="H703" i="2"/>
  <c r="M703" i="2"/>
  <c r="T703" i="2"/>
  <c r="X703" i="2"/>
  <c r="X707" i="2"/>
  <c r="X711" i="2"/>
  <c r="F704" i="2"/>
  <c r="H704" i="2"/>
  <c r="M704" i="2"/>
  <c r="T704" i="2"/>
  <c r="F705" i="2"/>
  <c r="H705" i="2"/>
  <c r="P705" i="2"/>
  <c r="T705" i="2"/>
  <c r="AD705" i="2"/>
  <c r="AH705" i="2"/>
  <c r="AL705" i="2"/>
  <c r="F706" i="2"/>
  <c r="H706" i="2"/>
  <c r="M706" i="2"/>
  <c r="T706" i="2"/>
  <c r="AH706" i="2"/>
  <c r="F707" i="2"/>
  <c r="H707" i="2"/>
  <c r="T707" i="2"/>
  <c r="AH707" i="2"/>
  <c r="F708" i="2"/>
  <c r="H708" i="2"/>
  <c r="M708" i="2"/>
  <c r="T708" i="2"/>
  <c r="AH708" i="2"/>
  <c r="F709" i="2"/>
  <c r="H709" i="2"/>
  <c r="P709" i="2"/>
  <c r="T709" i="2"/>
  <c r="AD709" i="2"/>
  <c r="AH709" i="2"/>
  <c r="F710" i="2"/>
  <c r="H710" i="2"/>
  <c r="M710" i="2"/>
  <c r="T710" i="2"/>
  <c r="AH710" i="2"/>
  <c r="F711" i="2"/>
  <c r="H711" i="2"/>
  <c r="T711" i="2"/>
  <c r="AH711" i="2"/>
  <c r="F712" i="2"/>
  <c r="H712" i="2"/>
  <c r="T712" i="2"/>
  <c r="AH712" i="2"/>
  <c r="F713" i="2"/>
  <c r="H713" i="2"/>
  <c r="M713" i="2"/>
  <c r="F714" i="2"/>
  <c r="H714" i="2"/>
  <c r="M714" i="2"/>
  <c r="F715" i="2"/>
  <c r="H715" i="2"/>
  <c r="F716" i="2"/>
  <c r="H716" i="2"/>
  <c r="F717" i="2"/>
  <c r="H717" i="2"/>
  <c r="F718" i="2"/>
  <c r="H718" i="2"/>
  <c r="F719" i="2"/>
  <c r="H719" i="2"/>
  <c r="F720" i="2"/>
  <c r="H720" i="2"/>
  <c r="F721" i="2"/>
  <c r="H721" i="2"/>
  <c r="M721" i="2"/>
  <c r="F722" i="2"/>
  <c r="H722" i="2"/>
  <c r="M722" i="2"/>
  <c r="R722" i="2"/>
  <c r="Y722" i="2"/>
  <c r="T722" i="2"/>
  <c r="V722" i="2"/>
  <c r="AA722" i="2"/>
  <c r="X722" i="2"/>
  <c r="Z722" i="2"/>
  <c r="AF722" i="2"/>
  <c r="AH722" i="2"/>
  <c r="AJ722" i="2"/>
  <c r="AL722" i="2"/>
  <c r="AM722" i="2"/>
  <c r="AN722" i="2"/>
  <c r="AO722" i="2"/>
  <c r="R723" i="2"/>
  <c r="Y723" i="2"/>
  <c r="T723" i="2"/>
  <c r="V723" i="2"/>
  <c r="X723" i="2"/>
  <c r="Z723" i="2"/>
  <c r="AA723" i="2"/>
  <c r="AF723" i="2"/>
  <c r="AH723" i="2"/>
  <c r="AJ723" i="2"/>
  <c r="AO723" i="2"/>
  <c r="AL723" i="2"/>
  <c r="AM723" i="2"/>
  <c r="AN723" i="2"/>
  <c r="R724" i="2"/>
  <c r="Y724" i="2"/>
  <c r="T724" i="2"/>
  <c r="V724" i="2"/>
  <c r="X724" i="2"/>
  <c r="Z724" i="2"/>
  <c r="AA724" i="2"/>
  <c r="AF724" i="2"/>
  <c r="AM724" i="2"/>
  <c r="AH724" i="2"/>
  <c r="AJ724" i="2"/>
  <c r="AO724" i="2"/>
  <c r="AL724" i="2"/>
  <c r="AN724" i="2"/>
  <c r="R780" i="2"/>
  <c r="Y780" i="2"/>
  <c r="R781" i="2"/>
  <c r="R782" i="2"/>
  <c r="Y782" i="2"/>
  <c r="R783" i="2"/>
  <c r="R784" i="2"/>
  <c r="R785" i="2"/>
  <c r="R786" i="2"/>
  <c r="Y786" i="2"/>
  <c r="R787" i="2"/>
  <c r="Y787" i="2"/>
  <c r="R788" i="2"/>
  <c r="R789" i="2"/>
  <c r="R790" i="2"/>
  <c r="Y790" i="2"/>
  <c r="R791" i="2"/>
  <c r="R792" i="2"/>
  <c r="R793" i="2"/>
  <c r="R794" i="2"/>
  <c r="Y794" i="2"/>
  <c r="R795" i="2"/>
  <c r="AF748" i="2"/>
  <c r="AM748" i="2"/>
  <c r="AJ748" i="2"/>
  <c r="AN748" i="2"/>
  <c r="AO748" i="2"/>
  <c r="AF749" i="2"/>
  <c r="AF752" i="2"/>
  <c r="AF753" i="2"/>
  <c r="AF756" i="2"/>
  <c r="AF757" i="2"/>
  <c r="AF761" i="2"/>
  <c r="AF765" i="2"/>
  <c r="AF769" i="2"/>
  <c r="AF780" i="2"/>
  <c r="AF781" i="2"/>
  <c r="AM781" i="2"/>
  <c r="AF782" i="2"/>
  <c r="AM782" i="2"/>
  <c r="AF783" i="2"/>
  <c r="AM783" i="2"/>
  <c r="AF784" i="2"/>
  <c r="AF785" i="2"/>
  <c r="AF786" i="2"/>
  <c r="AM786" i="2"/>
  <c r="AF787" i="2"/>
  <c r="AF788" i="2"/>
  <c r="AM788" i="2"/>
  <c r="AF789" i="2"/>
  <c r="AF790" i="2"/>
  <c r="AF791" i="2"/>
  <c r="AM791" i="2"/>
  <c r="AF792" i="2"/>
  <c r="AM792" i="2"/>
  <c r="AF793" i="2"/>
  <c r="AM793" i="2"/>
  <c r="AF794" i="2"/>
  <c r="AM794" i="2"/>
  <c r="AF795" i="2"/>
  <c r="D744" i="2"/>
  <c r="D745" i="2"/>
  <c r="D746" i="2"/>
  <c r="D747" i="2"/>
  <c r="D749" i="2"/>
  <c r="D750" i="2"/>
  <c r="D752" i="2"/>
  <c r="D753" i="2"/>
  <c r="D754" i="2"/>
  <c r="D755" i="2"/>
  <c r="D756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A800" i="2"/>
  <c r="P857" i="2"/>
  <c r="V755" i="2"/>
  <c r="V759" i="2"/>
  <c r="V767" i="2"/>
  <c r="V771" i="2"/>
  <c r="Z783" i="2"/>
  <c r="Z787" i="2"/>
  <c r="Z791" i="2"/>
  <c r="Z795" i="2"/>
  <c r="V756" i="2"/>
  <c r="V760" i="2"/>
  <c r="V768" i="2"/>
  <c r="V772" i="2"/>
  <c r="Z780" i="2"/>
  <c r="Z784" i="2"/>
  <c r="Z788" i="2"/>
  <c r="Z792" i="2"/>
  <c r="V757" i="2"/>
  <c r="V761" i="2"/>
  <c r="V769" i="2"/>
  <c r="V773" i="2"/>
  <c r="Z781" i="2"/>
  <c r="Z785" i="2"/>
  <c r="Z789" i="2"/>
  <c r="Z793" i="2"/>
  <c r="V758" i="2"/>
  <c r="V762" i="2"/>
  <c r="V770" i="2"/>
  <c r="V774" i="2"/>
  <c r="Z782" i="2"/>
  <c r="Z786" i="2"/>
  <c r="Z790" i="2"/>
  <c r="Z794" i="2"/>
  <c r="AJ755" i="2"/>
  <c r="AJ759" i="2"/>
  <c r="AJ767" i="2"/>
  <c r="AJ771" i="2"/>
  <c r="AN783" i="2"/>
  <c r="AN787" i="2"/>
  <c r="AN791" i="2"/>
  <c r="AN795" i="2"/>
  <c r="AJ756" i="2"/>
  <c r="AN756" i="2"/>
  <c r="AJ760" i="2"/>
  <c r="AJ768" i="2"/>
  <c r="AJ747" i="2"/>
  <c r="AJ751" i="2"/>
  <c r="AJ763" i="2"/>
  <c r="AJ783" i="2"/>
  <c r="AJ787" i="2"/>
  <c r="AJ791" i="2"/>
  <c r="AJ808" i="2"/>
  <c r="AJ772" i="2"/>
  <c r="AN780" i="2"/>
  <c r="AN784" i="2"/>
  <c r="AN788" i="2"/>
  <c r="AN792" i="2"/>
  <c r="AJ757" i="2"/>
  <c r="AJ761" i="2"/>
  <c r="AJ769" i="2"/>
  <c r="AN769" i="2"/>
  <c r="AO769" i="2"/>
  <c r="AN781" i="2"/>
  <c r="AN785" i="2"/>
  <c r="AN789" i="2"/>
  <c r="AN793" i="2"/>
  <c r="AJ758" i="2"/>
  <c r="AJ762" i="2"/>
  <c r="AJ770" i="2"/>
  <c r="AJ774" i="2"/>
  <c r="AN782" i="2"/>
  <c r="AN786" i="2"/>
  <c r="AN790" i="2"/>
  <c r="AN794" i="2"/>
  <c r="AJ753" i="2"/>
  <c r="K744" i="2"/>
  <c r="H746" i="2"/>
  <c r="H747" i="2"/>
  <c r="L747" i="2"/>
  <c r="H749" i="2"/>
  <c r="H750" i="2"/>
  <c r="K752" i="2"/>
  <c r="L752" i="2"/>
  <c r="M752" i="2"/>
  <c r="K753" i="2"/>
  <c r="L753" i="2"/>
  <c r="M753" i="2"/>
  <c r="K754" i="2"/>
  <c r="L754" i="2"/>
  <c r="M754" i="2"/>
  <c r="K755" i="2"/>
  <c r="L755" i="2"/>
  <c r="M755" i="2"/>
  <c r="K756" i="2"/>
  <c r="L756" i="2"/>
  <c r="M756" i="2"/>
  <c r="K758" i="2"/>
  <c r="L758" i="2"/>
  <c r="M758" i="2"/>
  <c r="K759" i="2"/>
  <c r="L759" i="2"/>
  <c r="M759" i="2"/>
  <c r="K760" i="2"/>
  <c r="L760" i="2"/>
  <c r="M760" i="2"/>
  <c r="K761" i="2"/>
  <c r="L761" i="2"/>
  <c r="M761" i="2"/>
  <c r="K762" i="2"/>
  <c r="L762" i="2"/>
  <c r="M762" i="2"/>
  <c r="K763" i="2"/>
  <c r="L763" i="2"/>
  <c r="M763" i="2"/>
  <c r="K764" i="2"/>
  <c r="L764" i="2"/>
  <c r="M764" i="2"/>
  <c r="K765" i="2"/>
  <c r="L765" i="2"/>
  <c r="M765" i="2"/>
  <c r="K766" i="2"/>
  <c r="L766" i="2"/>
  <c r="M766" i="2"/>
  <c r="K767" i="2"/>
  <c r="L767" i="2"/>
  <c r="M767" i="2"/>
  <c r="K768" i="2"/>
  <c r="L768" i="2"/>
  <c r="M768" i="2"/>
  <c r="K769" i="2"/>
  <c r="L769" i="2"/>
  <c r="M769" i="2"/>
  <c r="K770" i="2"/>
  <c r="L770" i="2"/>
  <c r="M770" i="2"/>
  <c r="K771" i="2"/>
  <c r="L771" i="2"/>
  <c r="M771" i="2"/>
  <c r="K772" i="2"/>
  <c r="L772" i="2"/>
  <c r="M772" i="2"/>
  <c r="AH755" i="2"/>
  <c r="AL751" i="2"/>
  <c r="AL755" i="2"/>
  <c r="AL759" i="2"/>
  <c r="AL763" i="2"/>
  <c r="AL767" i="2"/>
  <c r="AL771" i="2"/>
  <c r="AH756" i="2"/>
  <c r="AH757" i="2"/>
  <c r="AL749" i="2"/>
  <c r="AL753" i="2"/>
  <c r="AL757" i="2"/>
  <c r="AL761" i="2"/>
  <c r="AL765" i="2"/>
  <c r="AH758" i="2"/>
  <c r="AL750" i="2"/>
  <c r="AL754" i="2"/>
  <c r="AL758" i="2"/>
  <c r="AL762" i="2"/>
  <c r="AL766" i="2"/>
  <c r="AL770" i="2"/>
  <c r="AL774" i="2"/>
  <c r="AH759" i="2"/>
  <c r="AH760" i="2"/>
  <c r="AL760" i="2"/>
  <c r="AH761" i="2"/>
  <c r="AH762" i="2"/>
  <c r="AH763" i="2"/>
  <c r="AH764" i="2"/>
  <c r="AL764" i="2"/>
  <c r="AH765" i="2"/>
  <c r="AJ765" i="2"/>
  <c r="AH766" i="2"/>
  <c r="AJ766" i="2"/>
  <c r="AM754" i="2"/>
  <c r="AM758" i="2"/>
  <c r="AM762" i="2"/>
  <c r="AM766" i="2"/>
  <c r="AN766" i="2"/>
  <c r="AH767" i="2"/>
  <c r="AH768" i="2"/>
  <c r="AL768" i="2"/>
  <c r="AL772" i="2"/>
  <c r="AH769" i="2"/>
  <c r="AH770" i="2"/>
  <c r="AH771" i="2"/>
  <c r="AH772" i="2"/>
  <c r="AH773" i="2"/>
  <c r="AL773" i="2"/>
  <c r="AH774" i="2"/>
  <c r="AH780" i="2"/>
  <c r="AJ780" i="2"/>
  <c r="AO780" i="2"/>
  <c r="AL780" i="2"/>
  <c r="AH781" i="2"/>
  <c r="AJ781" i="2"/>
  <c r="AO781" i="2"/>
  <c r="AL781" i="2"/>
  <c r="AH782" i="2"/>
  <c r="AJ782" i="2"/>
  <c r="AO782" i="2"/>
  <c r="AL782" i="2"/>
  <c r="AH783" i="2"/>
  <c r="AO783" i="2"/>
  <c r="AL783" i="2"/>
  <c r="AH784" i="2"/>
  <c r="AJ784" i="2"/>
  <c r="AL784" i="2"/>
  <c r="AM784" i="2"/>
  <c r="AO784" i="2"/>
  <c r="AH785" i="2"/>
  <c r="AJ785" i="2"/>
  <c r="AL785" i="2"/>
  <c r="AM785" i="2"/>
  <c r="AO785" i="2"/>
  <c r="AH786" i="2"/>
  <c r="AJ786" i="2"/>
  <c r="AL786" i="2"/>
  <c r="AH787" i="2"/>
  <c r="AO787" i="2"/>
  <c r="AL787" i="2"/>
  <c r="AM787" i="2"/>
  <c r="AH788" i="2"/>
  <c r="AJ788" i="2"/>
  <c r="AO788" i="2"/>
  <c r="AL788" i="2"/>
  <c r="AH789" i="2"/>
  <c r="AJ789" i="2"/>
  <c r="AO789" i="2"/>
  <c r="AL789" i="2"/>
  <c r="AM789" i="2"/>
  <c r="AH790" i="2"/>
  <c r="AJ790" i="2"/>
  <c r="AO790" i="2"/>
  <c r="AL790" i="2"/>
  <c r="AM790" i="2"/>
  <c r="X747" i="2"/>
  <c r="X751" i="2"/>
  <c r="X755" i="2"/>
  <c r="X759" i="2"/>
  <c r="X763" i="2"/>
  <c r="X767" i="2"/>
  <c r="X771" i="2"/>
  <c r="X748" i="2"/>
  <c r="X752" i="2"/>
  <c r="X756" i="2"/>
  <c r="X760" i="2"/>
  <c r="X764" i="2"/>
  <c r="X768" i="2"/>
  <c r="X772" i="2"/>
  <c r="X749" i="2"/>
  <c r="X753" i="2"/>
  <c r="X757" i="2"/>
  <c r="X761" i="2"/>
  <c r="X765" i="2"/>
  <c r="X769" i="2"/>
  <c r="X773" i="2"/>
  <c r="X750" i="2"/>
  <c r="X754" i="2"/>
  <c r="X758" i="2"/>
  <c r="X762" i="2"/>
  <c r="X766" i="2"/>
  <c r="X770" i="2"/>
  <c r="X774" i="2"/>
  <c r="V763" i="2"/>
  <c r="V764" i="2"/>
  <c r="V765" i="2"/>
  <c r="V766" i="2"/>
  <c r="V781" i="2"/>
  <c r="V749" i="2"/>
  <c r="V753" i="2"/>
  <c r="V785" i="2"/>
  <c r="AA785" i="2"/>
  <c r="V789" i="2"/>
  <c r="AA789" i="2"/>
  <c r="V793" i="2"/>
  <c r="AA793" i="2"/>
  <c r="AH747" i="2"/>
  <c r="AH748" i="2"/>
  <c r="AL748" i="2"/>
  <c r="AH749" i="2"/>
  <c r="AJ749" i="2"/>
  <c r="AH750" i="2"/>
  <c r="AJ750" i="2"/>
  <c r="AH751" i="2"/>
  <c r="AH752" i="2"/>
  <c r="AJ752" i="2"/>
  <c r="AL752" i="2"/>
  <c r="AH753" i="2"/>
  <c r="AH754" i="2"/>
  <c r="AJ754" i="2"/>
  <c r="T747" i="2"/>
  <c r="V747" i="2"/>
  <c r="T748" i="2"/>
  <c r="V748" i="2"/>
  <c r="T749" i="2"/>
  <c r="T750" i="2"/>
  <c r="T751" i="2"/>
  <c r="V751" i="2"/>
  <c r="T752" i="2"/>
  <c r="V752" i="2"/>
  <c r="T753" i="2"/>
  <c r="T754" i="2"/>
  <c r="V754" i="2"/>
  <c r="P747" i="2"/>
  <c r="AD747" i="2"/>
  <c r="P751" i="2"/>
  <c r="AD751" i="2"/>
  <c r="F744" i="2"/>
  <c r="H744" i="2"/>
  <c r="F745" i="2"/>
  <c r="H745" i="2"/>
  <c r="H752" i="2"/>
  <c r="H753" i="2"/>
  <c r="H754" i="2"/>
  <c r="L773" i="2"/>
  <c r="M773" i="2"/>
  <c r="L774" i="2"/>
  <c r="M774" i="2"/>
  <c r="L775" i="2"/>
  <c r="M775" i="2"/>
  <c r="L776" i="2"/>
  <c r="M776" i="2"/>
  <c r="L777" i="2"/>
  <c r="M777" i="2"/>
  <c r="L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L786" i="2"/>
  <c r="L787" i="2"/>
  <c r="L788" i="2"/>
  <c r="M788" i="2"/>
  <c r="L789" i="2"/>
  <c r="M789" i="2"/>
  <c r="L790" i="2"/>
  <c r="L791" i="2"/>
  <c r="M791" i="2"/>
  <c r="L792" i="2"/>
  <c r="M792" i="2"/>
  <c r="L793" i="2"/>
  <c r="M793" i="2"/>
  <c r="L794" i="2"/>
  <c r="M794" i="2"/>
  <c r="L795" i="2"/>
  <c r="L796" i="2"/>
  <c r="M796" i="2"/>
  <c r="V780" i="2"/>
  <c r="AA780" i="2"/>
  <c r="Y781" i="2"/>
  <c r="V782" i="2"/>
  <c r="AA782" i="2"/>
  <c r="V783" i="2"/>
  <c r="AA783" i="2"/>
  <c r="Y783" i="2"/>
  <c r="V784" i="2"/>
  <c r="AA784" i="2"/>
  <c r="Y784" i="2"/>
  <c r="Y785" i="2"/>
  <c r="V786" i="2"/>
  <c r="V787" i="2"/>
  <c r="AA787" i="2"/>
  <c r="V788" i="2"/>
  <c r="Y788" i="2"/>
  <c r="Y789" i="2"/>
  <c r="V790" i="2"/>
  <c r="AA790" i="2"/>
  <c r="V791" i="2"/>
  <c r="AA791" i="2"/>
  <c r="X808" i="2"/>
  <c r="Y808" i="2"/>
  <c r="AO791" i="2"/>
  <c r="AJ793" i="2"/>
  <c r="AO793" i="2"/>
  <c r="AJ794" i="2"/>
  <c r="AO794" i="2"/>
  <c r="AJ792" i="2"/>
  <c r="AO792" i="2"/>
  <c r="AL808" i="2"/>
  <c r="AM808" i="2"/>
  <c r="V792" i="2"/>
  <c r="AA792" i="2"/>
  <c r="X809" i="2"/>
  <c r="Y809" i="2"/>
  <c r="AL809" i="2"/>
  <c r="AM809" i="2"/>
  <c r="X810" i="2"/>
  <c r="Y810" i="2"/>
  <c r="AL810" i="2"/>
  <c r="AM810" i="2"/>
  <c r="V794" i="2"/>
  <c r="AA794" i="2"/>
  <c r="X811" i="2"/>
  <c r="Y811" i="2"/>
  <c r="AL811" i="2"/>
  <c r="AM811" i="2"/>
  <c r="F746" i="2"/>
  <c r="F747" i="2"/>
  <c r="F748" i="2"/>
  <c r="F749" i="2"/>
  <c r="F750" i="2"/>
  <c r="B752" i="2"/>
  <c r="F752" i="2"/>
  <c r="B753" i="2"/>
  <c r="F753" i="2"/>
  <c r="B754" i="2"/>
  <c r="F754" i="2"/>
  <c r="F755" i="2"/>
  <c r="H755" i="2"/>
  <c r="P755" i="2"/>
  <c r="T755" i="2"/>
  <c r="AD755" i="2"/>
  <c r="F756" i="2"/>
  <c r="H756" i="2"/>
  <c r="T756" i="2"/>
  <c r="T757" i="2"/>
  <c r="F758" i="2"/>
  <c r="H758" i="2"/>
  <c r="T758" i="2"/>
  <c r="F759" i="2"/>
  <c r="H759" i="2"/>
  <c r="P759" i="2"/>
  <c r="T759" i="2"/>
  <c r="AD759" i="2"/>
  <c r="F760" i="2"/>
  <c r="H760" i="2"/>
  <c r="T760" i="2"/>
  <c r="F761" i="2"/>
  <c r="H761" i="2"/>
  <c r="T761" i="2"/>
  <c r="F762" i="2"/>
  <c r="H762" i="2"/>
  <c r="T762" i="2"/>
  <c r="F763" i="2"/>
  <c r="H763" i="2"/>
  <c r="P763" i="2"/>
  <c r="T763" i="2"/>
  <c r="AD763" i="2"/>
  <c r="F764" i="2"/>
  <c r="H764" i="2"/>
  <c r="T764" i="2"/>
  <c r="F765" i="2"/>
  <c r="H765" i="2"/>
  <c r="T765" i="2"/>
  <c r="F766" i="2"/>
  <c r="H766" i="2"/>
  <c r="T766" i="2"/>
  <c r="F767" i="2"/>
  <c r="H767" i="2"/>
  <c r="P767" i="2"/>
  <c r="T767" i="2"/>
  <c r="AD767" i="2"/>
  <c r="F768" i="2"/>
  <c r="H768" i="2"/>
  <c r="T768" i="2"/>
  <c r="F769" i="2"/>
  <c r="H769" i="2"/>
  <c r="T769" i="2"/>
  <c r="F770" i="2"/>
  <c r="H770" i="2"/>
  <c r="T770" i="2"/>
  <c r="F771" i="2"/>
  <c r="H771" i="2"/>
  <c r="P771" i="2"/>
  <c r="T771" i="2"/>
  <c r="AD771" i="2"/>
  <c r="F772" i="2"/>
  <c r="H772" i="2"/>
  <c r="T772" i="2"/>
  <c r="F773" i="2"/>
  <c r="H773" i="2"/>
  <c r="T773" i="2"/>
  <c r="F774" i="2"/>
  <c r="H774" i="2"/>
  <c r="T774" i="2"/>
  <c r="F775" i="2"/>
  <c r="H775" i="2"/>
  <c r="P775" i="2"/>
  <c r="F776" i="2"/>
  <c r="H776" i="2"/>
  <c r="F777" i="2"/>
  <c r="H777" i="2"/>
  <c r="F778" i="2"/>
  <c r="H778" i="2"/>
  <c r="M778" i="2"/>
  <c r="F779" i="2"/>
  <c r="H779" i="2"/>
  <c r="P779" i="2"/>
  <c r="F780" i="2"/>
  <c r="H780" i="2"/>
  <c r="T780" i="2"/>
  <c r="X780" i="2"/>
  <c r="F781" i="2"/>
  <c r="H781" i="2"/>
  <c r="T781" i="2"/>
  <c r="X781" i="2"/>
  <c r="AA781" i="2"/>
  <c r="F782" i="2"/>
  <c r="H782" i="2"/>
  <c r="T782" i="2"/>
  <c r="X782" i="2"/>
  <c r="F783" i="2"/>
  <c r="H783" i="2"/>
  <c r="P783" i="2"/>
  <c r="T783" i="2"/>
  <c r="X783" i="2"/>
  <c r="AD783" i="2"/>
  <c r="F784" i="2"/>
  <c r="H784" i="2"/>
  <c r="T784" i="2"/>
  <c r="X784" i="2"/>
  <c r="F785" i="2"/>
  <c r="H785" i="2"/>
  <c r="M785" i="2"/>
  <c r="T785" i="2"/>
  <c r="X785" i="2"/>
  <c r="F786" i="2"/>
  <c r="H786" i="2"/>
  <c r="M786" i="2"/>
  <c r="T786" i="2"/>
  <c r="X786" i="2"/>
  <c r="AA786" i="2"/>
  <c r="F787" i="2"/>
  <c r="H787" i="2"/>
  <c r="M787" i="2"/>
  <c r="P787" i="2"/>
  <c r="T787" i="2"/>
  <c r="X787" i="2"/>
  <c r="AD787" i="2"/>
  <c r="F788" i="2"/>
  <c r="H788" i="2"/>
  <c r="T788" i="2"/>
  <c r="X788" i="2"/>
  <c r="AA788" i="2"/>
  <c r="F789" i="2"/>
  <c r="H789" i="2"/>
  <c r="T789" i="2"/>
  <c r="X789" i="2"/>
  <c r="F790" i="2"/>
  <c r="H790" i="2"/>
  <c r="M790" i="2"/>
  <c r="T790" i="2"/>
  <c r="X790" i="2"/>
  <c r="F791" i="2"/>
  <c r="H791" i="2"/>
  <c r="P791" i="2"/>
  <c r="T791" i="2"/>
  <c r="X791" i="2"/>
  <c r="Y791" i="2"/>
  <c r="AD791" i="2"/>
  <c r="AH791" i="2"/>
  <c r="AL791" i="2"/>
  <c r="F792" i="2"/>
  <c r="H792" i="2"/>
  <c r="T792" i="2"/>
  <c r="X792" i="2"/>
  <c r="Y792" i="2"/>
  <c r="AH792" i="2"/>
  <c r="AL792" i="2"/>
  <c r="F793" i="2"/>
  <c r="H793" i="2"/>
  <c r="T793" i="2"/>
  <c r="X793" i="2"/>
  <c r="Y793" i="2"/>
  <c r="AH793" i="2"/>
  <c r="AL793" i="2"/>
  <c r="F794" i="2"/>
  <c r="H794" i="2"/>
  <c r="T794" i="2"/>
  <c r="X794" i="2"/>
  <c r="AH794" i="2"/>
  <c r="AL794" i="2"/>
  <c r="F795" i="2"/>
  <c r="H795" i="2"/>
  <c r="M795" i="2"/>
  <c r="P795" i="2"/>
  <c r="T795" i="2"/>
  <c r="V795" i="2"/>
  <c r="AA795" i="2"/>
  <c r="X795" i="2"/>
  <c r="Y795" i="2"/>
  <c r="AD795" i="2"/>
  <c r="AH795" i="2"/>
  <c r="AJ795" i="2"/>
  <c r="AL795" i="2"/>
  <c r="AM795" i="2"/>
  <c r="AO795" i="2"/>
  <c r="F796" i="2"/>
  <c r="H796" i="2"/>
  <c r="R796" i="2"/>
  <c r="Y796" i="2"/>
  <c r="T796" i="2"/>
  <c r="V796" i="2"/>
  <c r="AA796" i="2"/>
  <c r="X796" i="2"/>
  <c r="Z796" i="2"/>
  <c r="AF796" i="2"/>
  <c r="AM796" i="2"/>
  <c r="AH796" i="2"/>
  <c r="AJ796" i="2"/>
  <c r="AO796" i="2"/>
  <c r="AL796" i="2"/>
  <c r="AN796" i="2"/>
  <c r="R797" i="2"/>
  <c r="Y797" i="2"/>
  <c r="T797" i="2"/>
  <c r="V797" i="2"/>
  <c r="X797" i="2"/>
  <c r="Z797" i="2"/>
  <c r="AA797" i="2"/>
  <c r="AF797" i="2"/>
  <c r="AM797" i="2"/>
  <c r="AH797" i="2"/>
  <c r="AJ797" i="2"/>
  <c r="AO797" i="2"/>
  <c r="AL797" i="2"/>
  <c r="AN797" i="2"/>
  <c r="R798" i="2"/>
  <c r="Y798" i="2"/>
  <c r="T798" i="2"/>
  <c r="V798" i="2"/>
  <c r="X798" i="2"/>
  <c r="Z798" i="2"/>
  <c r="AA798" i="2"/>
  <c r="AF798" i="2"/>
  <c r="AM798" i="2"/>
  <c r="AH798" i="2"/>
  <c r="AJ798" i="2"/>
  <c r="AO798" i="2"/>
  <c r="AL798" i="2"/>
  <c r="AN798" i="2"/>
  <c r="R821" i="2"/>
  <c r="Y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Y838" i="2"/>
  <c r="V838" i="2"/>
  <c r="Z838" i="2"/>
  <c r="R839" i="2"/>
  <c r="R840" i="2"/>
  <c r="R841" i="2"/>
  <c r="R842" i="2"/>
  <c r="V842" i="2"/>
  <c r="R843" i="2"/>
  <c r="R844" i="2"/>
  <c r="R845" i="2"/>
  <c r="Y845" i="2"/>
  <c r="R846" i="2"/>
  <c r="R847" i="2"/>
  <c r="R848" i="2"/>
  <c r="R849" i="2"/>
  <c r="Y849" i="2"/>
  <c r="R850" i="2"/>
  <c r="R851" i="2"/>
  <c r="R852" i="2"/>
  <c r="R865" i="2"/>
  <c r="Y865" i="2"/>
  <c r="R866" i="2"/>
  <c r="Y866" i="2"/>
  <c r="R867" i="2"/>
  <c r="Y867" i="2"/>
  <c r="R868" i="2"/>
  <c r="R869" i="2"/>
  <c r="R873" i="2"/>
  <c r="A874" i="2"/>
  <c r="R874" i="2"/>
  <c r="S874" i="2"/>
  <c r="AF821" i="2"/>
  <c r="AF822" i="2"/>
  <c r="AF823" i="2"/>
  <c r="AF824" i="2"/>
  <c r="AF825" i="2"/>
  <c r="AF826" i="2"/>
  <c r="AF827" i="2"/>
  <c r="AM823" i="2"/>
  <c r="AM827" i="2"/>
  <c r="AF828" i="2"/>
  <c r="AJ828" i="2"/>
  <c r="AF829" i="2"/>
  <c r="AF830" i="2"/>
  <c r="AF831" i="2"/>
  <c r="AM831" i="2"/>
  <c r="AF832" i="2"/>
  <c r="AF833" i="2"/>
  <c r="AF834" i="2"/>
  <c r="AF835" i="2"/>
  <c r="AF836" i="2"/>
  <c r="AF837" i="2"/>
  <c r="AM837" i="2"/>
  <c r="AF838" i="2"/>
  <c r="AF839" i="2"/>
  <c r="AF840" i="2"/>
  <c r="AM840" i="2"/>
  <c r="AF844" i="2"/>
  <c r="AM844" i="2"/>
  <c r="AF841" i="2"/>
  <c r="AM841" i="2"/>
  <c r="AF842" i="2"/>
  <c r="AF843" i="2"/>
  <c r="D823" i="2"/>
  <c r="AF845" i="2"/>
  <c r="AF846" i="2"/>
  <c r="AF847" i="2"/>
  <c r="AF848" i="2"/>
  <c r="AF849" i="2"/>
  <c r="AM849" i="2"/>
  <c r="AJ849" i="2"/>
  <c r="AN849" i="2"/>
  <c r="AO849" i="2"/>
  <c r="AF850" i="2"/>
  <c r="AF851" i="2"/>
  <c r="AF852" i="2"/>
  <c r="AF865" i="2"/>
  <c r="AM865" i="2"/>
  <c r="AF866" i="2"/>
  <c r="AM866" i="2"/>
  <c r="AF867" i="2"/>
  <c r="AM867" i="2"/>
  <c r="AF868" i="2"/>
  <c r="AF869" i="2"/>
  <c r="D818" i="2"/>
  <c r="D819" i="2"/>
  <c r="D820" i="2"/>
  <c r="D821" i="2"/>
  <c r="D822" i="2"/>
  <c r="B822" i="2"/>
  <c r="D824" i="2"/>
  <c r="B824" i="2"/>
  <c r="D825" i="2"/>
  <c r="D829" i="2"/>
  <c r="D830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Y823" i="2"/>
  <c r="K818" i="2"/>
  <c r="H820" i="2"/>
  <c r="H821" i="2"/>
  <c r="X823" i="2"/>
  <c r="X827" i="2"/>
  <c r="X831" i="2"/>
  <c r="X835" i="2"/>
  <c r="X839" i="2"/>
  <c r="X843" i="2"/>
  <c r="X847" i="2"/>
  <c r="X851" i="2"/>
  <c r="H819" i="2"/>
  <c r="H822" i="2"/>
  <c r="H823" i="2"/>
  <c r="H824" i="2"/>
  <c r="H825" i="2"/>
  <c r="K829" i="2"/>
  <c r="L829" i="2"/>
  <c r="M829" i="2"/>
  <c r="K830" i="2"/>
  <c r="L830" i="2"/>
  <c r="M830" i="2"/>
  <c r="K832" i="2"/>
  <c r="L832" i="2"/>
  <c r="M832" i="2"/>
  <c r="K833" i="2"/>
  <c r="L833" i="2"/>
  <c r="M833" i="2"/>
  <c r="K834" i="2"/>
  <c r="L834" i="2"/>
  <c r="K835" i="2"/>
  <c r="L835" i="2"/>
  <c r="M835" i="2"/>
  <c r="K836" i="2"/>
  <c r="L836" i="2"/>
  <c r="M836" i="2"/>
  <c r="K837" i="2"/>
  <c r="L837" i="2"/>
  <c r="M837" i="2"/>
  <c r="K838" i="2"/>
  <c r="L838" i="2"/>
  <c r="M838" i="2"/>
  <c r="K839" i="2"/>
  <c r="L839" i="2"/>
  <c r="M839" i="2"/>
  <c r="K840" i="2"/>
  <c r="L840" i="2"/>
  <c r="M840" i="2"/>
  <c r="K841" i="2"/>
  <c r="L841" i="2"/>
  <c r="M841" i="2"/>
  <c r="K842" i="2"/>
  <c r="L842" i="2"/>
  <c r="M842" i="2"/>
  <c r="K843" i="2"/>
  <c r="L843" i="2"/>
  <c r="M843" i="2"/>
  <c r="K844" i="2"/>
  <c r="L844" i="2"/>
  <c r="M844" i="2"/>
  <c r="K845" i="2"/>
  <c r="L845" i="2"/>
  <c r="M845" i="2"/>
  <c r="K846" i="2"/>
  <c r="L846" i="2"/>
  <c r="M846" i="2"/>
  <c r="H818" i="2"/>
  <c r="L847" i="2"/>
  <c r="L848" i="2"/>
  <c r="M848" i="2"/>
  <c r="L849" i="2"/>
  <c r="L850" i="2"/>
  <c r="M850" i="2"/>
  <c r="L851" i="2"/>
  <c r="M851" i="2"/>
  <c r="L852" i="2"/>
  <c r="L853" i="2"/>
  <c r="M853" i="2"/>
  <c r="L854" i="2"/>
  <c r="M854" i="2"/>
  <c r="L855" i="2"/>
  <c r="M855" i="2"/>
  <c r="L856" i="2"/>
  <c r="L857" i="2"/>
  <c r="L858" i="2"/>
  <c r="L859" i="2"/>
  <c r="M859" i="2"/>
  <c r="L860" i="2"/>
  <c r="L861" i="2"/>
  <c r="M861" i="2"/>
  <c r="L862" i="2"/>
  <c r="M862" i="2"/>
  <c r="L863" i="2"/>
  <c r="M863" i="2"/>
  <c r="L864" i="2"/>
  <c r="L865" i="2"/>
  <c r="L866" i="2"/>
  <c r="M866" i="2"/>
  <c r="L867" i="2"/>
  <c r="L868" i="2"/>
  <c r="L869" i="2"/>
  <c r="M869" i="2"/>
  <c r="L870" i="2"/>
  <c r="M870" i="2"/>
  <c r="AJ825" i="2"/>
  <c r="AJ829" i="2"/>
  <c r="AJ833" i="2"/>
  <c r="AJ837" i="2"/>
  <c r="AJ841" i="2"/>
  <c r="AJ845" i="2"/>
  <c r="AN845" i="2"/>
  <c r="AN865" i="2"/>
  <c r="AN869" i="2"/>
  <c r="AJ826" i="2"/>
  <c r="AJ830" i="2"/>
  <c r="AJ834" i="2"/>
  <c r="AJ838" i="2"/>
  <c r="AJ842" i="2"/>
  <c r="AJ846" i="2"/>
  <c r="AJ850" i="2"/>
  <c r="AN866" i="2"/>
  <c r="AJ827" i="2"/>
  <c r="AN827" i="2"/>
  <c r="AJ831" i="2"/>
  <c r="AJ835" i="2"/>
  <c r="AJ839" i="2"/>
  <c r="AJ843" i="2"/>
  <c r="AJ847" i="2"/>
  <c r="AJ851" i="2"/>
  <c r="AN867" i="2"/>
  <c r="AJ832" i="2"/>
  <c r="AJ836" i="2"/>
  <c r="AJ840" i="2"/>
  <c r="AN840" i="2"/>
  <c r="AJ844" i="2"/>
  <c r="AJ848" i="2"/>
  <c r="AJ852" i="2"/>
  <c r="AN868" i="2"/>
  <c r="AJ821" i="2"/>
  <c r="AJ865" i="2"/>
  <c r="AJ822" i="2"/>
  <c r="AJ823" i="2"/>
  <c r="AJ824" i="2"/>
  <c r="V825" i="2"/>
  <c r="V829" i="2"/>
  <c r="V833" i="2"/>
  <c r="V821" i="2"/>
  <c r="V837" i="2"/>
  <c r="V845" i="2"/>
  <c r="V849" i="2"/>
  <c r="V865" i="2"/>
  <c r="AA865" i="2"/>
  <c r="V841" i="2"/>
  <c r="Z841" i="2"/>
  <c r="Z865" i="2"/>
  <c r="Z869" i="2"/>
  <c r="V826" i="2"/>
  <c r="V830" i="2"/>
  <c r="V834" i="2"/>
  <c r="Z834" i="2"/>
  <c r="V846" i="2"/>
  <c r="V850" i="2"/>
  <c r="Z866" i="2"/>
  <c r="V827" i="2"/>
  <c r="V831" i="2"/>
  <c r="V835" i="2"/>
  <c r="V839" i="2"/>
  <c r="V843" i="2"/>
  <c r="V847" i="2"/>
  <c r="V851" i="2"/>
  <c r="Z867" i="2"/>
  <c r="V828" i="2"/>
  <c r="V832" i="2"/>
  <c r="V836" i="2"/>
  <c r="V840" i="2"/>
  <c r="V844" i="2"/>
  <c r="V848" i="2"/>
  <c r="V852" i="2"/>
  <c r="Z868" i="2"/>
  <c r="Z821" i="2"/>
  <c r="V822" i="2"/>
  <c r="V823" i="2"/>
  <c r="Z823" i="2"/>
  <c r="V824" i="2"/>
  <c r="AH821" i="2"/>
  <c r="AL821" i="2"/>
  <c r="AL825" i="2"/>
  <c r="AL829" i="2"/>
  <c r="AH822" i="2"/>
  <c r="AL822" i="2"/>
  <c r="AL826" i="2"/>
  <c r="AH823" i="2"/>
  <c r="AL823" i="2"/>
  <c r="AH824" i="2"/>
  <c r="AL824" i="2"/>
  <c r="AL828" i="2"/>
  <c r="AL832" i="2"/>
  <c r="AH825" i="2"/>
  <c r="AH826" i="2"/>
  <c r="AH827" i="2"/>
  <c r="AL827" i="2"/>
  <c r="AL831" i="2"/>
  <c r="AL835" i="2"/>
  <c r="AL839" i="2"/>
  <c r="AL843" i="2"/>
  <c r="AL847" i="2"/>
  <c r="AL851" i="2"/>
  <c r="AO827" i="2"/>
  <c r="AH828" i="2"/>
  <c r="AH829" i="2"/>
  <c r="AH830" i="2"/>
  <c r="AL830" i="2"/>
  <c r="AL834" i="2"/>
  <c r="AL838" i="2"/>
  <c r="AL842" i="2"/>
  <c r="AL846" i="2"/>
  <c r="AL850" i="2"/>
  <c r="AH831" i="2"/>
  <c r="AH832" i="2"/>
  <c r="AH833" i="2"/>
  <c r="AH834" i="2"/>
  <c r="AH835" i="2"/>
  <c r="AH836" i="2"/>
  <c r="AH837" i="2"/>
  <c r="AL837" i="2"/>
  <c r="AH838" i="2"/>
  <c r="AH839" i="2"/>
  <c r="AH840" i="2"/>
  <c r="AL840" i="2"/>
  <c r="AL844" i="2"/>
  <c r="AL848" i="2"/>
  <c r="AL852" i="2"/>
  <c r="AH841" i="2"/>
  <c r="AL841" i="2"/>
  <c r="AH842" i="2"/>
  <c r="AH843" i="2"/>
  <c r="AH844" i="2"/>
  <c r="AH845" i="2"/>
  <c r="AH846" i="2"/>
  <c r="AH847" i="2"/>
  <c r="AH848" i="2"/>
  <c r="AH849" i="2"/>
  <c r="AL849" i="2"/>
  <c r="AH850" i="2"/>
  <c r="AH851" i="2"/>
  <c r="AH852" i="2"/>
  <c r="X845" i="2"/>
  <c r="X849" i="2"/>
  <c r="X838" i="2"/>
  <c r="X842" i="2"/>
  <c r="X846" i="2"/>
  <c r="X850" i="2"/>
  <c r="X824" i="2"/>
  <c r="X828" i="2"/>
  <c r="X832" i="2"/>
  <c r="X836" i="2"/>
  <c r="X840" i="2"/>
  <c r="X844" i="2"/>
  <c r="X848" i="2"/>
  <c r="X852" i="2"/>
  <c r="X821" i="2"/>
  <c r="X825" i="2"/>
  <c r="X829" i="2"/>
  <c r="X833" i="2"/>
  <c r="X837" i="2"/>
  <c r="X822" i="2"/>
  <c r="X826" i="2"/>
  <c r="X830" i="2"/>
  <c r="X882" i="2"/>
  <c r="Y882" i="2"/>
  <c r="AL882" i="2"/>
  <c r="AM882" i="2"/>
  <c r="V866" i="2"/>
  <c r="AA866" i="2"/>
  <c r="X883" i="2"/>
  <c r="Y883" i="2"/>
  <c r="AJ866" i="2"/>
  <c r="AL883" i="2"/>
  <c r="AM883" i="2"/>
  <c r="V867" i="2"/>
  <c r="AA867" i="2"/>
  <c r="X884" i="2"/>
  <c r="Y884" i="2"/>
  <c r="AJ867" i="2"/>
  <c r="AO867" i="2"/>
  <c r="AL884" i="2"/>
  <c r="AM884" i="2"/>
  <c r="V868" i="2"/>
  <c r="X885" i="2"/>
  <c r="Y885" i="2"/>
  <c r="AJ868" i="2"/>
  <c r="AO868" i="2"/>
  <c r="AL885" i="2"/>
  <c r="AM885" i="2"/>
  <c r="F818" i="2"/>
  <c r="F819" i="2"/>
  <c r="F820" i="2"/>
  <c r="F821" i="2"/>
  <c r="P821" i="2"/>
  <c r="T821" i="2"/>
  <c r="AD821" i="2"/>
  <c r="F822" i="2"/>
  <c r="T822" i="2"/>
  <c r="F823" i="2"/>
  <c r="T823" i="2"/>
  <c r="F824" i="2"/>
  <c r="T824" i="2"/>
  <c r="F825" i="2"/>
  <c r="P825" i="2"/>
  <c r="T825" i="2"/>
  <c r="AD825" i="2"/>
  <c r="T826" i="2"/>
  <c r="T827" i="2"/>
  <c r="T828" i="2"/>
  <c r="F829" i="2"/>
  <c r="H829" i="2"/>
  <c r="P829" i="2"/>
  <c r="T829" i="2"/>
  <c r="AD829" i="2"/>
  <c r="F830" i="2"/>
  <c r="H830" i="2"/>
  <c r="T830" i="2"/>
  <c r="T831" i="2"/>
  <c r="F832" i="2"/>
  <c r="H832" i="2"/>
  <c r="T832" i="2"/>
  <c r="F833" i="2"/>
  <c r="H833" i="2"/>
  <c r="P833" i="2"/>
  <c r="T833" i="2"/>
  <c r="AD833" i="2"/>
  <c r="F834" i="2"/>
  <c r="H834" i="2"/>
  <c r="M834" i="2"/>
  <c r="T834" i="2"/>
  <c r="AA834" i="2"/>
  <c r="F835" i="2"/>
  <c r="H835" i="2"/>
  <c r="T835" i="2"/>
  <c r="F836" i="2"/>
  <c r="H836" i="2"/>
  <c r="T836" i="2"/>
  <c r="F837" i="2"/>
  <c r="H837" i="2"/>
  <c r="P837" i="2"/>
  <c r="T837" i="2"/>
  <c r="AD837" i="2"/>
  <c r="F838" i="2"/>
  <c r="H838" i="2"/>
  <c r="T838" i="2"/>
  <c r="F839" i="2"/>
  <c r="H839" i="2"/>
  <c r="T839" i="2"/>
  <c r="F840" i="2"/>
  <c r="H840" i="2"/>
  <c r="T840" i="2"/>
  <c r="F841" i="2"/>
  <c r="H841" i="2"/>
  <c r="P841" i="2"/>
  <c r="T841" i="2"/>
  <c r="AD841" i="2"/>
  <c r="F842" i="2"/>
  <c r="H842" i="2"/>
  <c r="T842" i="2"/>
  <c r="F843" i="2"/>
  <c r="H843" i="2"/>
  <c r="T843" i="2"/>
  <c r="F844" i="2"/>
  <c r="H844" i="2"/>
  <c r="T844" i="2"/>
  <c r="F845" i="2"/>
  <c r="H845" i="2"/>
  <c r="P845" i="2"/>
  <c r="T845" i="2"/>
  <c r="AD845" i="2"/>
  <c r="F846" i="2"/>
  <c r="H846" i="2"/>
  <c r="T846" i="2"/>
  <c r="F847" i="2"/>
  <c r="H847" i="2"/>
  <c r="M847" i="2"/>
  <c r="T847" i="2"/>
  <c r="F848" i="2"/>
  <c r="H848" i="2"/>
  <c r="T848" i="2"/>
  <c r="F849" i="2"/>
  <c r="H849" i="2"/>
  <c r="M849" i="2"/>
  <c r="P849" i="2"/>
  <c r="T849" i="2"/>
  <c r="AD849" i="2"/>
  <c r="F850" i="2"/>
  <c r="H850" i="2"/>
  <c r="T850" i="2"/>
  <c r="F851" i="2"/>
  <c r="H851" i="2"/>
  <c r="T851" i="2"/>
  <c r="F852" i="2"/>
  <c r="H852" i="2"/>
  <c r="M852" i="2"/>
  <c r="T852" i="2"/>
  <c r="F853" i="2"/>
  <c r="H853" i="2"/>
  <c r="P853" i="2"/>
  <c r="F854" i="2"/>
  <c r="H854" i="2"/>
  <c r="F855" i="2"/>
  <c r="H855" i="2"/>
  <c r="F856" i="2"/>
  <c r="H856" i="2"/>
  <c r="M856" i="2"/>
  <c r="F857" i="2"/>
  <c r="H857" i="2"/>
  <c r="M857" i="2"/>
  <c r="F858" i="2"/>
  <c r="H858" i="2"/>
  <c r="M858" i="2"/>
  <c r="F859" i="2"/>
  <c r="H859" i="2"/>
  <c r="F860" i="2"/>
  <c r="H860" i="2"/>
  <c r="M860" i="2"/>
  <c r="F861" i="2"/>
  <c r="H861" i="2"/>
  <c r="P861" i="2"/>
  <c r="F862" i="2"/>
  <c r="H862" i="2"/>
  <c r="F863" i="2"/>
  <c r="H863" i="2"/>
  <c r="F864" i="2"/>
  <c r="H864" i="2"/>
  <c r="M864" i="2"/>
  <c r="F865" i="2"/>
  <c r="H865" i="2"/>
  <c r="M865" i="2"/>
  <c r="P865" i="2"/>
  <c r="T865" i="2"/>
  <c r="X865" i="2"/>
  <c r="AD865" i="2"/>
  <c r="AH865" i="2"/>
  <c r="AL865" i="2"/>
  <c r="AO865" i="2"/>
  <c r="F866" i="2"/>
  <c r="H866" i="2"/>
  <c r="T866" i="2"/>
  <c r="X866" i="2"/>
  <c r="AH866" i="2"/>
  <c r="AL866" i="2"/>
  <c r="AO866" i="2"/>
  <c r="F867" i="2"/>
  <c r="H867" i="2"/>
  <c r="M867" i="2"/>
  <c r="T867" i="2"/>
  <c r="X867" i="2"/>
  <c r="AH867" i="2"/>
  <c r="AL867" i="2"/>
  <c r="F868" i="2"/>
  <c r="H868" i="2"/>
  <c r="M868" i="2"/>
  <c r="T868" i="2"/>
  <c r="X868" i="2"/>
  <c r="Y868" i="2"/>
  <c r="AH868" i="2"/>
  <c r="AL868" i="2"/>
  <c r="AM868" i="2"/>
  <c r="F869" i="2"/>
  <c r="H869" i="2"/>
  <c r="P869" i="2"/>
  <c r="T869" i="2"/>
  <c r="V869" i="2"/>
  <c r="X869" i="2"/>
  <c r="Y869" i="2"/>
  <c r="AA869" i="2"/>
  <c r="AD869" i="2"/>
  <c r="AH869" i="2"/>
  <c r="AJ869" i="2"/>
  <c r="AO869" i="2"/>
  <c r="AL869" i="2"/>
  <c r="AM869" i="2"/>
  <c r="F870" i="2"/>
  <c r="H870" i="2"/>
  <c r="R870" i="2"/>
  <c r="Y870" i="2"/>
  <c r="T870" i="2"/>
  <c r="V870" i="2"/>
  <c r="AA870" i="2"/>
  <c r="X870" i="2"/>
  <c r="Z870" i="2"/>
  <c r="AF870" i="2"/>
  <c r="AM870" i="2"/>
  <c r="AH870" i="2"/>
  <c r="AJ870" i="2"/>
  <c r="AO870" i="2"/>
  <c r="AL870" i="2"/>
  <c r="AN870" i="2"/>
  <c r="R871" i="2"/>
  <c r="Y871" i="2"/>
  <c r="T871" i="2"/>
  <c r="V871" i="2"/>
  <c r="AA871" i="2"/>
  <c r="X871" i="2"/>
  <c r="Z871" i="2"/>
  <c r="AF871" i="2"/>
  <c r="AH871" i="2"/>
  <c r="AJ871" i="2"/>
  <c r="AL871" i="2"/>
  <c r="AM871" i="2"/>
  <c r="AN871" i="2"/>
  <c r="AO871" i="2"/>
  <c r="R872" i="2"/>
  <c r="Y872" i="2"/>
  <c r="T872" i="2"/>
  <c r="V872" i="2"/>
  <c r="AA872" i="2"/>
  <c r="X872" i="2"/>
  <c r="Z872" i="2"/>
  <c r="AF872" i="2"/>
  <c r="AH872" i="2"/>
  <c r="AJ872" i="2"/>
  <c r="AO872" i="2"/>
  <c r="AL872" i="2"/>
  <c r="AM872" i="2"/>
  <c r="AN872" i="2"/>
  <c r="R895" i="2"/>
  <c r="R896" i="2"/>
  <c r="Y896" i="2"/>
  <c r="R897" i="2"/>
  <c r="R898" i="2"/>
  <c r="R899" i="2"/>
  <c r="R900" i="2"/>
  <c r="R901" i="2"/>
  <c r="R902" i="2"/>
  <c r="R903" i="2"/>
  <c r="R904" i="2"/>
  <c r="R908" i="2"/>
  <c r="R912" i="2"/>
  <c r="R915" i="2"/>
  <c r="R920" i="2"/>
  <c r="R924" i="2"/>
  <c r="R932" i="2"/>
  <c r="R936" i="2"/>
  <c r="R940" i="2"/>
  <c r="R957" i="2"/>
  <c r="R905" i="2"/>
  <c r="R906" i="2"/>
  <c r="R907" i="2"/>
  <c r="Y907" i="2"/>
  <c r="V907" i="2"/>
  <c r="Z907" i="2"/>
  <c r="AA907" i="2"/>
  <c r="R909" i="2"/>
  <c r="R910" i="2"/>
  <c r="R911" i="2"/>
  <c r="R913" i="2"/>
  <c r="R914" i="2"/>
  <c r="R916" i="2"/>
  <c r="R917" i="2"/>
  <c r="R918" i="2"/>
  <c r="R919" i="2"/>
  <c r="R921" i="2"/>
  <c r="R922" i="2"/>
  <c r="R923" i="2"/>
  <c r="D899" i="2"/>
  <c r="R925" i="2"/>
  <c r="R926" i="2"/>
  <c r="AF923" i="2"/>
  <c r="AF924" i="2"/>
  <c r="AF925" i="2"/>
  <c r="AF926" i="2"/>
  <c r="B899" i="2"/>
  <c r="R931" i="2"/>
  <c r="Y931" i="2"/>
  <c r="Y932" i="2"/>
  <c r="R933" i="2"/>
  <c r="Y933" i="2"/>
  <c r="R934" i="2"/>
  <c r="Y934" i="2"/>
  <c r="R935" i="2"/>
  <c r="Y936" i="2"/>
  <c r="R937" i="2"/>
  <c r="Y937" i="2"/>
  <c r="R938" i="2"/>
  <c r="Y938" i="2"/>
  <c r="R939" i="2"/>
  <c r="Y939" i="2"/>
  <c r="Y940" i="2"/>
  <c r="R941" i="2"/>
  <c r="Y941" i="2"/>
  <c r="R942" i="2"/>
  <c r="R943" i="2"/>
  <c r="AF895" i="2"/>
  <c r="AF896" i="2"/>
  <c r="AF897" i="2"/>
  <c r="AF898" i="2"/>
  <c r="AF899" i="2"/>
  <c r="AF900" i="2"/>
  <c r="AF901" i="2"/>
  <c r="AM897" i="2"/>
  <c r="AJ897" i="2"/>
  <c r="AN897" i="2"/>
  <c r="AO897" i="2"/>
  <c r="AM901" i="2"/>
  <c r="AF905" i="2"/>
  <c r="AM905" i="2"/>
  <c r="AF909" i="2"/>
  <c r="AM909" i="2"/>
  <c r="AF913" i="2"/>
  <c r="AM913" i="2"/>
  <c r="AJ913" i="2"/>
  <c r="AN913" i="2"/>
  <c r="AO913" i="2"/>
  <c r="AJ905" i="2"/>
  <c r="AF902" i="2"/>
  <c r="AF903" i="2"/>
  <c r="AF904" i="2"/>
  <c r="AF906" i="2"/>
  <c r="AF907" i="2"/>
  <c r="AM907" i="2"/>
  <c r="AF911" i="2"/>
  <c r="AF908" i="2"/>
  <c r="AF910" i="2"/>
  <c r="AF912" i="2"/>
  <c r="AF914" i="2"/>
  <c r="AF915" i="2"/>
  <c r="AF916" i="2"/>
  <c r="AF917" i="2"/>
  <c r="AM917" i="2"/>
  <c r="AJ917" i="2"/>
  <c r="AN917" i="2"/>
  <c r="AO917" i="2"/>
  <c r="AF918" i="2"/>
  <c r="AF919" i="2"/>
  <c r="AF920" i="2"/>
  <c r="AF921" i="2"/>
  <c r="AF922" i="2"/>
  <c r="AF931" i="2"/>
  <c r="AF932" i="2"/>
  <c r="AF933" i="2"/>
  <c r="AM933" i="2"/>
  <c r="AF934" i="2"/>
  <c r="AM934" i="2"/>
  <c r="AF935" i="2"/>
  <c r="AM935" i="2"/>
  <c r="AF936" i="2"/>
  <c r="AM936" i="2"/>
  <c r="AF937" i="2"/>
  <c r="AF938" i="2"/>
  <c r="AF939" i="2"/>
  <c r="AF940" i="2"/>
  <c r="AF941" i="2"/>
  <c r="AM941" i="2"/>
  <c r="AF942" i="2"/>
  <c r="AM942" i="2"/>
  <c r="AF943" i="2"/>
  <c r="AM943" i="2"/>
  <c r="D892" i="2"/>
  <c r="D893" i="2"/>
  <c r="D894" i="2"/>
  <c r="B894" i="2"/>
  <c r="D895" i="2"/>
  <c r="D896" i="2"/>
  <c r="D897" i="2"/>
  <c r="D898" i="2"/>
  <c r="D901" i="2"/>
  <c r="D902" i="2"/>
  <c r="D903" i="2"/>
  <c r="D904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K892" i="2"/>
  <c r="Y897" i="2"/>
  <c r="Y898" i="2"/>
  <c r="V898" i="2"/>
  <c r="Z898" i="2"/>
  <c r="AA898" i="2"/>
  <c r="Y902" i="2"/>
  <c r="Y906" i="2"/>
  <c r="Y910" i="2"/>
  <c r="V910" i="2"/>
  <c r="Z910" i="2"/>
  <c r="AA910" i="2"/>
  <c r="V902" i="2"/>
  <c r="AM896" i="2"/>
  <c r="AJ896" i="2"/>
  <c r="AN896" i="2"/>
  <c r="A948" i="2"/>
  <c r="B901" i="2"/>
  <c r="AF997" i="2"/>
  <c r="AF993" i="2"/>
  <c r="AF989" i="2"/>
  <c r="AF985" i="2"/>
  <c r="AF981" i="2"/>
  <c r="AF977" i="2"/>
  <c r="AM977" i="2"/>
  <c r="AJ977" i="2"/>
  <c r="AF998" i="2"/>
  <c r="AF994" i="2"/>
  <c r="AF990" i="2"/>
  <c r="AF986" i="2"/>
  <c r="AF982" i="2"/>
  <c r="AF978" i="2"/>
  <c r="AF974" i="2"/>
  <c r="AF970" i="2"/>
  <c r="AM970" i="2"/>
  <c r="AM974" i="2"/>
  <c r="AJ974" i="2"/>
  <c r="AN974" i="2"/>
  <c r="AO974" i="2"/>
  <c r="AJ970" i="2"/>
  <c r="AN970" i="2"/>
  <c r="AF999" i="2"/>
  <c r="AF995" i="2"/>
  <c r="AF991" i="2"/>
  <c r="AF987" i="2"/>
  <c r="AF983" i="2"/>
  <c r="AF979" i="2"/>
  <c r="AM979" i="2"/>
  <c r="AM983" i="2"/>
  <c r="AF1000" i="2"/>
  <c r="AM1000" i="2"/>
  <c r="K966" i="2"/>
  <c r="R997" i="2"/>
  <c r="R993" i="2"/>
  <c r="R989" i="2"/>
  <c r="R985" i="2"/>
  <c r="R981" i="2"/>
  <c r="R977" i="2"/>
  <c r="R973" i="2"/>
  <c r="R969" i="2"/>
  <c r="Y969" i="2"/>
  <c r="Y973" i="2"/>
  <c r="R998" i="2"/>
  <c r="R994" i="2"/>
  <c r="R990" i="2"/>
  <c r="R986" i="2"/>
  <c r="Y986" i="2"/>
  <c r="Y990" i="2"/>
  <c r="Y994" i="2"/>
  <c r="Y998" i="2"/>
  <c r="V998" i="2"/>
  <c r="R999" i="2"/>
  <c r="R995" i="2"/>
  <c r="R991" i="2"/>
  <c r="R987" i="2"/>
  <c r="Y987" i="2"/>
  <c r="Y991" i="2"/>
  <c r="R1000" i="2"/>
  <c r="Y1000" i="2"/>
  <c r="AJ926" i="2"/>
  <c r="AL898" i="2"/>
  <c r="AL902" i="2"/>
  <c r="AL906" i="2"/>
  <c r="AL910" i="2"/>
  <c r="AL914" i="2"/>
  <c r="AL918" i="2"/>
  <c r="AL922" i="2"/>
  <c r="AL926" i="2"/>
  <c r="AJ925" i="2"/>
  <c r="AL897" i="2"/>
  <c r="AL901" i="2"/>
  <c r="AL905" i="2"/>
  <c r="AL909" i="2"/>
  <c r="AL913" i="2"/>
  <c r="AL917" i="2"/>
  <c r="AL921" i="2"/>
  <c r="AL925" i="2"/>
  <c r="AJ924" i="2"/>
  <c r="AL896" i="2"/>
  <c r="AL900" i="2"/>
  <c r="AL904" i="2"/>
  <c r="AL908" i="2"/>
  <c r="AL912" i="2"/>
  <c r="AL916" i="2"/>
  <c r="AL920" i="2"/>
  <c r="AL924" i="2"/>
  <c r="AJ923" i="2"/>
  <c r="AL907" i="2"/>
  <c r="AL911" i="2"/>
  <c r="AL915" i="2"/>
  <c r="AL919" i="2"/>
  <c r="AL923" i="2"/>
  <c r="AJ922" i="2"/>
  <c r="AJ921" i="2"/>
  <c r="AJ920" i="2"/>
  <c r="AJ919" i="2"/>
  <c r="AJ918" i="2"/>
  <c r="AJ916" i="2"/>
  <c r="AJ915" i="2"/>
  <c r="AJ910" i="2"/>
  <c r="AJ909" i="2"/>
  <c r="AJ908" i="2"/>
  <c r="AJ907" i="2"/>
  <c r="AL895" i="2"/>
  <c r="AL899" i="2"/>
  <c r="AJ898" i="2"/>
  <c r="AH898" i="2"/>
  <c r="AH897" i="2"/>
  <c r="AH896" i="2"/>
  <c r="AJ895" i="2"/>
  <c r="AL931" i="2"/>
  <c r="AH895" i="2"/>
  <c r="V934" i="2"/>
  <c r="AA934" i="2"/>
  <c r="Z934" i="2"/>
  <c r="X934" i="2"/>
  <c r="V933" i="2"/>
  <c r="AA933" i="2"/>
  <c r="Z933" i="2"/>
  <c r="X933" i="2"/>
  <c r="V932" i="2"/>
  <c r="AA932" i="2"/>
  <c r="Z932" i="2"/>
  <c r="X932" i="2"/>
  <c r="V931" i="2"/>
  <c r="AA931" i="2"/>
  <c r="Z931" i="2"/>
  <c r="X931" i="2"/>
  <c r="V926" i="2"/>
  <c r="X898" i="2"/>
  <c r="X902" i="2"/>
  <c r="X906" i="2"/>
  <c r="X910" i="2"/>
  <c r="X914" i="2"/>
  <c r="X918" i="2"/>
  <c r="X922" i="2"/>
  <c r="X926" i="2"/>
  <c r="V925" i="2"/>
  <c r="X897" i="2"/>
  <c r="X901" i="2"/>
  <c r="X905" i="2"/>
  <c r="X909" i="2"/>
  <c r="X913" i="2"/>
  <c r="X917" i="2"/>
  <c r="X921" i="2"/>
  <c r="X925" i="2"/>
  <c r="V924" i="2"/>
  <c r="V923" i="2"/>
  <c r="X907" i="2"/>
  <c r="X911" i="2"/>
  <c r="X915" i="2"/>
  <c r="X919" i="2"/>
  <c r="X923" i="2"/>
  <c r="V922" i="2"/>
  <c r="V921" i="2"/>
  <c r="V920" i="2"/>
  <c r="X908" i="2"/>
  <c r="X912" i="2"/>
  <c r="X916" i="2"/>
  <c r="X920" i="2"/>
  <c r="V919" i="2"/>
  <c r="V914" i="2"/>
  <c r="V913" i="2"/>
  <c r="V912" i="2"/>
  <c r="V911" i="2"/>
  <c r="V909" i="2"/>
  <c r="V908" i="2"/>
  <c r="V916" i="2"/>
  <c r="Z935" i="2"/>
  <c r="Z939" i="2"/>
  <c r="V895" i="2"/>
  <c r="V899" i="2"/>
  <c r="V903" i="2"/>
  <c r="Z903" i="2"/>
  <c r="T898" i="2"/>
  <c r="V897" i="2"/>
  <c r="T897" i="2"/>
  <c r="X896" i="2"/>
  <c r="X900" i="2"/>
  <c r="V896" i="2"/>
  <c r="T896" i="2"/>
  <c r="X895" i="2"/>
  <c r="T895" i="2"/>
  <c r="H892" i="2"/>
  <c r="F892" i="2"/>
  <c r="AM959" i="2"/>
  <c r="AL959" i="2"/>
  <c r="Y959" i="2"/>
  <c r="X959" i="2"/>
  <c r="AM958" i="2"/>
  <c r="AL958" i="2"/>
  <c r="Y958" i="2"/>
  <c r="X958" i="2"/>
  <c r="AM957" i="2"/>
  <c r="AL957" i="2"/>
  <c r="Y957" i="2"/>
  <c r="X957" i="2"/>
  <c r="AM956" i="2"/>
  <c r="AL956" i="2"/>
  <c r="Y956" i="2"/>
  <c r="X956" i="2"/>
  <c r="AJ946" i="2"/>
  <c r="AO946" i="2"/>
  <c r="AN946" i="2"/>
  <c r="AF946" i="2"/>
  <c r="AM946" i="2"/>
  <c r="AL946" i="2"/>
  <c r="AH946" i="2"/>
  <c r="Z946" i="2"/>
  <c r="X946" i="2"/>
  <c r="V946" i="2"/>
  <c r="AA946" i="2"/>
  <c r="T946" i="2"/>
  <c r="R946" i="2"/>
  <c r="Y946" i="2"/>
  <c r="AJ945" i="2"/>
  <c r="AO945" i="2"/>
  <c r="AN945" i="2"/>
  <c r="AL945" i="2"/>
  <c r="AH945" i="2"/>
  <c r="AF945" i="2"/>
  <c r="AM945" i="2"/>
  <c r="Z945" i="2"/>
  <c r="R945" i="2"/>
  <c r="Y945" i="2"/>
  <c r="X945" i="2"/>
  <c r="V945" i="2"/>
  <c r="AA945" i="2"/>
  <c r="T945" i="2"/>
  <c r="AN944" i="2"/>
  <c r="AL944" i="2"/>
  <c r="AJ944" i="2"/>
  <c r="AO944" i="2"/>
  <c r="AH944" i="2"/>
  <c r="AF944" i="2"/>
  <c r="AM944" i="2"/>
  <c r="V944" i="2"/>
  <c r="AA944" i="2"/>
  <c r="Z944" i="2"/>
  <c r="R944" i="2"/>
  <c r="Y944" i="2"/>
  <c r="X944" i="2"/>
  <c r="T944" i="2"/>
  <c r="L944" i="2"/>
  <c r="M944" i="2"/>
  <c r="H944" i="2"/>
  <c r="F944" i="2"/>
  <c r="AN943" i="2"/>
  <c r="AL943" i="2"/>
  <c r="AJ943" i="2"/>
  <c r="AO943" i="2"/>
  <c r="AH943" i="2"/>
  <c r="AD943" i="2"/>
  <c r="Z943" i="2"/>
  <c r="X943" i="2"/>
  <c r="V943" i="2"/>
  <c r="AA943" i="2"/>
  <c r="T943" i="2"/>
  <c r="Y943" i="2"/>
  <c r="P943" i="2"/>
  <c r="L943" i="2"/>
  <c r="M943" i="2"/>
  <c r="H943" i="2"/>
  <c r="F943" i="2"/>
  <c r="AN942" i="2"/>
  <c r="AL942" i="2"/>
  <c r="AJ942" i="2"/>
  <c r="AO942" i="2"/>
  <c r="AH942" i="2"/>
  <c r="Z942" i="2"/>
  <c r="X942" i="2"/>
  <c r="V942" i="2"/>
  <c r="AA942" i="2"/>
  <c r="T942" i="2"/>
  <c r="Y942" i="2"/>
  <c r="L942" i="2"/>
  <c r="M942" i="2"/>
  <c r="H942" i="2"/>
  <c r="F942" i="2"/>
  <c r="AN941" i="2"/>
  <c r="AL941" i="2"/>
  <c r="AJ941" i="2"/>
  <c r="AO941" i="2"/>
  <c r="AH941" i="2"/>
  <c r="V941" i="2"/>
  <c r="AA941" i="2"/>
  <c r="Z941" i="2"/>
  <c r="X941" i="2"/>
  <c r="T941" i="2"/>
  <c r="L941" i="2"/>
  <c r="M941" i="2"/>
  <c r="H941" i="2"/>
  <c r="F941" i="2"/>
  <c r="AN940" i="2"/>
  <c r="AL940" i="2"/>
  <c r="AJ940" i="2"/>
  <c r="AO940" i="2"/>
  <c r="AH940" i="2"/>
  <c r="AM940" i="2"/>
  <c r="Z940" i="2"/>
  <c r="X940" i="2"/>
  <c r="V940" i="2"/>
  <c r="AA940" i="2"/>
  <c r="T940" i="2"/>
  <c r="L940" i="2"/>
  <c r="M940" i="2"/>
  <c r="H940" i="2"/>
  <c r="F940" i="2"/>
  <c r="AJ939" i="2"/>
  <c r="AO939" i="2"/>
  <c r="AN939" i="2"/>
  <c r="AM939" i="2"/>
  <c r="AL939" i="2"/>
  <c r="AH939" i="2"/>
  <c r="AD939" i="2"/>
  <c r="X939" i="2"/>
  <c r="V939" i="2"/>
  <c r="AA939" i="2"/>
  <c r="T939" i="2"/>
  <c r="P939" i="2"/>
  <c r="L939" i="2"/>
  <c r="M939" i="2"/>
  <c r="H939" i="2"/>
  <c r="F939" i="2"/>
  <c r="AN938" i="2"/>
  <c r="AL938" i="2"/>
  <c r="AJ938" i="2"/>
  <c r="AO938" i="2"/>
  <c r="AH938" i="2"/>
  <c r="AM938" i="2"/>
  <c r="Z938" i="2"/>
  <c r="X938" i="2"/>
  <c r="V938" i="2"/>
  <c r="AA938" i="2"/>
  <c r="T938" i="2"/>
  <c r="L938" i="2"/>
  <c r="M938" i="2"/>
  <c r="H938" i="2"/>
  <c r="F938" i="2"/>
  <c r="AJ937" i="2"/>
  <c r="AO937" i="2"/>
  <c r="AN937" i="2"/>
  <c r="AL937" i="2"/>
  <c r="AH937" i="2"/>
  <c r="AM937" i="2"/>
  <c r="Z937" i="2"/>
  <c r="X937" i="2"/>
  <c r="V937" i="2"/>
  <c r="AA937" i="2"/>
  <c r="T937" i="2"/>
  <c r="L937" i="2"/>
  <c r="M937" i="2"/>
  <c r="H937" i="2"/>
  <c r="F937" i="2"/>
  <c r="AN936" i="2"/>
  <c r="AL936" i="2"/>
  <c r="AJ936" i="2"/>
  <c r="AO936" i="2"/>
  <c r="AH936" i="2"/>
  <c r="Z936" i="2"/>
  <c r="X936" i="2"/>
  <c r="V936" i="2"/>
  <c r="AA936" i="2"/>
  <c r="T936" i="2"/>
  <c r="L936" i="2"/>
  <c r="M936" i="2"/>
  <c r="H936" i="2"/>
  <c r="F936" i="2"/>
  <c r="AN935" i="2"/>
  <c r="AL935" i="2"/>
  <c r="AJ935" i="2"/>
  <c r="AO935" i="2"/>
  <c r="AH935" i="2"/>
  <c r="AD935" i="2"/>
  <c r="X935" i="2"/>
  <c r="V935" i="2"/>
  <c r="AA935" i="2"/>
  <c r="T935" i="2"/>
  <c r="Y935" i="2"/>
  <c r="P935" i="2"/>
  <c r="L935" i="2"/>
  <c r="M935" i="2"/>
  <c r="H935" i="2"/>
  <c r="F935" i="2"/>
  <c r="AJ934" i="2"/>
  <c r="AH934" i="2"/>
  <c r="T934" i="2"/>
  <c r="L934" i="2"/>
  <c r="M934" i="2"/>
  <c r="H934" i="2"/>
  <c r="F934" i="2"/>
  <c r="AJ933" i="2"/>
  <c r="AH933" i="2"/>
  <c r="T933" i="2"/>
  <c r="L933" i="2"/>
  <c r="M933" i="2"/>
  <c r="H933" i="2"/>
  <c r="F933" i="2"/>
  <c r="AJ932" i="2"/>
  <c r="AH932" i="2"/>
  <c r="T932" i="2"/>
  <c r="L932" i="2"/>
  <c r="M932" i="2"/>
  <c r="H932" i="2"/>
  <c r="F932" i="2"/>
  <c r="AJ931" i="2"/>
  <c r="AH931" i="2"/>
  <c r="AD931" i="2"/>
  <c r="T931" i="2"/>
  <c r="P931" i="2"/>
  <c r="L931" i="2"/>
  <c r="M931" i="2"/>
  <c r="H931" i="2"/>
  <c r="F931" i="2"/>
  <c r="AL934" i="2"/>
  <c r="L930" i="2"/>
  <c r="M930" i="2"/>
  <c r="H930" i="2"/>
  <c r="F930" i="2"/>
  <c r="L929" i="2"/>
  <c r="M929" i="2"/>
  <c r="H929" i="2"/>
  <c r="F929" i="2"/>
  <c r="L928" i="2"/>
  <c r="M928" i="2"/>
  <c r="H928" i="2"/>
  <c r="F928" i="2"/>
  <c r="L927" i="2"/>
  <c r="M927" i="2"/>
  <c r="H927" i="2"/>
  <c r="F927" i="2"/>
  <c r="AH926" i="2"/>
  <c r="T926" i="2"/>
  <c r="L926" i="2"/>
  <c r="M926" i="2"/>
  <c r="H926" i="2"/>
  <c r="F926" i="2"/>
  <c r="AH925" i="2"/>
  <c r="T925" i="2"/>
  <c r="L925" i="2"/>
  <c r="M925" i="2"/>
  <c r="H925" i="2"/>
  <c r="F925" i="2"/>
  <c r="AH924" i="2"/>
  <c r="T924" i="2"/>
  <c r="L924" i="2"/>
  <c r="M924" i="2"/>
  <c r="H924" i="2"/>
  <c r="F924" i="2"/>
  <c r="AH923" i="2"/>
  <c r="AD923" i="2"/>
  <c r="T923" i="2"/>
  <c r="P923" i="2"/>
  <c r="L923" i="2"/>
  <c r="M923" i="2"/>
  <c r="H923" i="2"/>
  <c r="F923" i="2"/>
  <c r="AH922" i="2"/>
  <c r="T922" i="2"/>
  <c r="L922" i="2"/>
  <c r="M922" i="2"/>
  <c r="H922" i="2"/>
  <c r="F922" i="2"/>
  <c r="AH921" i="2"/>
  <c r="T921" i="2"/>
  <c r="L921" i="2"/>
  <c r="M921" i="2"/>
  <c r="H921" i="2"/>
  <c r="F921" i="2"/>
  <c r="AH920" i="2"/>
  <c r="T920" i="2"/>
  <c r="K920" i="2"/>
  <c r="L920" i="2"/>
  <c r="M920" i="2"/>
  <c r="H920" i="2"/>
  <c r="F920" i="2"/>
  <c r="AH919" i="2"/>
  <c r="AD919" i="2"/>
  <c r="T919" i="2"/>
  <c r="P919" i="2"/>
  <c r="K919" i="2"/>
  <c r="L919" i="2"/>
  <c r="M919" i="2"/>
  <c r="H919" i="2"/>
  <c r="F919" i="2"/>
  <c r="AH918" i="2"/>
  <c r="V918" i="2"/>
  <c r="T918" i="2"/>
  <c r="K918" i="2"/>
  <c r="L918" i="2"/>
  <c r="M918" i="2"/>
  <c r="H918" i="2"/>
  <c r="F918" i="2"/>
  <c r="AH917" i="2"/>
  <c r="V917" i="2"/>
  <c r="T917" i="2"/>
  <c r="K917" i="2"/>
  <c r="L917" i="2"/>
  <c r="M917" i="2"/>
  <c r="H917" i="2"/>
  <c r="F917" i="2"/>
  <c r="AH916" i="2"/>
  <c r="T916" i="2"/>
  <c r="K916" i="2"/>
  <c r="L916" i="2"/>
  <c r="M916" i="2"/>
  <c r="H916" i="2"/>
  <c r="F916" i="2"/>
  <c r="AH915" i="2"/>
  <c r="AD915" i="2"/>
  <c r="V915" i="2"/>
  <c r="T915" i="2"/>
  <c r="P915" i="2"/>
  <c r="K915" i="2"/>
  <c r="L915" i="2"/>
  <c r="M915" i="2"/>
  <c r="H915" i="2"/>
  <c r="F915" i="2"/>
  <c r="AJ914" i="2"/>
  <c r="AH914" i="2"/>
  <c r="T914" i="2"/>
  <c r="K914" i="2"/>
  <c r="L914" i="2"/>
  <c r="M914" i="2"/>
  <c r="H914" i="2"/>
  <c r="F914" i="2"/>
  <c r="AH913" i="2"/>
  <c r="T913" i="2"/>
  <c r="K913" i="2"/>
  <c r="L913" i="2"/>
  <c r="M913" i="2"/>
  <c r="H913" i="2"/>
  <c r="F913" i="2"/>
  <c r="AJ912" i="2"/>
  <c r="AH912" i="2"/>
  <c r="T912" i="2"/>
  <c r="K912" i="2"/>
  <c r="L912" i="2"/>
  <c r="M912" i="2"/>
  <c r="H912" i="2"/>
  <c r="F912" i="2"/>
  <c r="AJ911" i="2"/>
  <c r="AH911" i="2"/>
  <c r="AD911" i="2"/>
  <c r="T911" i="2"/>
  <c r="P911" i="2"/>
  <c r="K911" i="2"/>
  <c r="L911" i="2"/>
  <c r="M911" i="2"/>
  <c r="H911" i="2"/>
  <c r="F911" i="2"/>
  <c r="AH910" i="2"/>
  <c r="T910" i="2"/>
  <c r="K910" i="2"/>
  <c r="L910" i="2"/>
  <c r="M910" i="2"/>
  <c r="H910" i="2"/>
  <c r="F910" i="2"/>
  <c r="AH909" i="2"/>
  <c r="T909" i="2"/>
  <c r="K909" i="2"/>
  <c r="L909" i="2"/>
  <c r="M909" i="2"/>
  <c r="H909" i="2"/>
  <c r="F909" i="2"/>
  <c r="AH908" i="2"/>
  <c r="T908" i="2"/>
  <c r="K908" i="2"/>
  <c r="L908" i="2"/>
  <c r="M908" i="2"/>
  <c r="H908" i="2"/>
  <c r="F908" i="2"/>
  <c r="AH907" i="2"/>
  <c r="AD907" i="2"/>
  <c r="T907" i="2"/>
  <c r="P907" i="2"/>
  <c r="K907" i="2"/>
  <c r="L907" i="2"/>
  <c r="M907" i="2"/>
  <c r="H907" i="2"/>
  <c r="F907" i="2"/>
  <c r="AJ906" i="2"/>
  <c r="AH906" i="2"/>
  <c r="V906" i="2"/>
  <c r="T906" i="2"/>
  <c r="K906" i="2"/>
  <c r="L906" i="2"/>
  <c r="M906" i="2"/>
  <c r="H906" i="2"/>
  <c r="F906" i="2"/>
  <c r="AL933" i="2"/>
  <c r="AH905" i="2"/>
  <c r="V905" i="2"/>
  <c r="T905" i="2"/>
  <c r="AJ904" i="2"/>
  <c r="AN932" i="2"/>
  <c r="AJ900" i="2"/>
  <c r="AH904" i="2"/>
  <c r="V904" i="2"/>
  <c r="T904" i="2"/>
  <c r="K904" i="2"/>
  <c r="L904" i="2"/>
  <c r="M904" i="2"/>
  <c r="H904" i="2"/>
  <c r="F904" i="2"/>
  <c r="AJ903" i="2"/>
  <c r="AN903" i="2"/>
  <c r="AH903" i="2"/>
  <c r="AD903" i="2"/>
  <c r="T903" i="2"/>
  <c r="P903" i="2"/>
  <c r="K903" i="2"/>
  <c r="L903" i="2"/>
  <c r="M903" i="2"/>
  <c r="H903" i="2"/>
  <c r="F903" i="2"/>
  <c r="AJ902" i="2"/>
  <c r="AH902" i="2"/>
  <c r="T902" i="2"/>
  <c r="K902" i="2"/>
  <c r="L902" i="2"/>
  <c r="M902" i="2"/>
  <c r="H902" i="2"/>
  <c r="F902" i="2"/>
  <c r="AJ901" i="2"/>
  <c r="AH901" i="2"/>
  <c r="V901" i="2"/>
  <c r="T901" i="2"/>
  <c r="H901" i="2"/>
  <c r="F901" i="2"/>
  <c r="AH900" i="2"/>
  <c r="V900" i="2"/>
  <c r="T900" i="2"/>
  <c r="AJ899" i="2"/>
  <c r="AH899" i="2"/>
  <c r="AD899" i="2"/>
  <c r="T899" i="2"/>
  <c r="P899" i="2"/>
  <c r="H899" i="2"/>
  <c r="F899" i="2"/>
  <c r="H898" i="2"/>
  <c r="F898" i="2"/>
  <c r="H897" i="2"/>
  <c r="F897" i="2"/>
  <c r="AL932" i="2"/>
  <c r="H896" i="2"/>
  <c r="F896" i="2"/>
  <c r="AD895" i="2"/>
  <c r="X899" i="2"/>
  <c r="P895" i="2"/>
  <c r="H895" i="2"/>
  <c r="F895" i="2"/>
  <c r="H894" i="2"/>
  <c r="F894" i="2"/>
  <c r="H893" i="2"/>
  <c r="F893" i="2"/>
  <c r="A1022" i="2"/>
  <c r="D971" i="2"/>
  <c r="R992" i="2"/>
  <c r="AF992" i="2"/>
  <c r="AF988" i="2"/>
  <c r="AM988" i="2"/>
  <c r="AM992" i="2"/>
  <c r="D972" i="2"/>
  <c r="AF996" i="2"/>
  <c r="R996" i="2"/>
  <c r="D973" i="2"/>
  <c r="V1000" i="2"/>
  <c r="AF969" i="2"/>
  <c r="AH969" i="2"/>
  <c r="AJ969" i="2"/>
  <c r="AN969" i="2"/>
  <c r="AH970" i="2"/>
  <c r="AL970" i="2"/>
  <c r="AL974" i="2"/>
  <c r="AF971" i="2"/>
  <c r="AH971" i="2"/>
  <c r="AJ971" i="2"/>
  <c r="AL971" i="2"/>
  <c r="AF972" i="2"/>
  <c r="AM972" i="2"/>
  <c r="AH972" i="2"/>
  <c r="AJ972" i="2"/>
  <c r="AL972" i="2"/>
  <c r="AL976" i="2"/>
  <c r="AF976" i="2"/>
  <c r="AM976" i="2"/>
  <c r="AJ976" i="2"/>
  <c r="AN976" i="2"/>
  <c r="AO976" i="2"/>
  <c r="AF973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9" i="2"/>
  <c r="AH1010" i="2"/>
  <c r="AH1011" i="2"/>
  <c r="AH1012" i="2"/>
  <c r="AH1013" i="2"/>
  <c r="AH1014" i="2"/>
  <c r="AH1015" i="2"/>
  <c r="AH1016" i="2"/>
  <c r="AH1017" i="2"/>
  <c r="AH1021" i="2"/>
  <c r="AJ973" i="2"/>
  <c r="AL973" i="2"/>
  <c r="AN973" i="2"/>
  <c r="AF975" i="2"/>
  <c r="AJ975" i="2"/>
  <c r="AN975" i="2"/>
  <c r="AO975" i="2"/>
  <c r="AF980" i="2"/>
  <c r="AM980" i="2"/>
  <c r="AJ980" i="2"/>
  <c r="AN980" i="2"/>
  <c r="AO980" i="2"/>
  <c r="AF984" i="2"/>
  <c r="AF1012" i="2"/>
  <c r="AM1012" i="2"/>
  <c r="AF1016" i="2"/>
  <c r="AM1016" i="2"/>
  <c r="AL977" i="2"/>
  <c r="AL981" i="2"/>
  <c r="AL985" i="2"/>
  <c r="AL989" i="2"/>
  <c r="AL993" i="2"/>
  <c r="AL997" i="2"/>
  <c r="AJ978" i="2"/>
  <c r="AL978" i="2"/>
  <c r="AL982" i="2"/>
  <c r="AL986" i="2"/>
  <c r="AL990" i="2"/>
  <c r="AL994" i="2"/>
  <c r="AL998" i="2"/>
  <c r="AJ979" i="2"/>
  <c r="AL979" i="2"/>
  <c r="AJ984" i="2"/>
  <c r="AN984" i="2"/>
  <c r="AO984" i="2"/>
  <c r="AJ992" i="2"/>
  <c r="AJ996" i="2"/>
  <c r="AN996" i="2"/>
  <c r="AJ1000" i="2"/>
  <c r="AN1000" i="2"/>
  <c r="AN1012" i="2"/>
  <c r="AN1016" i="2"/>
  <c r="AL980" i="2"/>
  <c r="AJ981" i="2"/>
  <c r="AJ982" i="2"/>
  <c r="AJ983" i="2"/>
  <c r="AN983" i="2"/>
  <c r="AL983" i="2"/>
  <c r="AL987" i="2"/>
  <c r="AL991" i="2"/>
  <c r="AL995" i="2"/>
  <c r="AL999" i="2"/>
  <c r="AJ985" i="2"/>
  <c r="AJ993" i="2"/>
  <c r="AJ997" i="2"/>
  <c r="AN1009" i="2"/>
  <c r="AN1013" i="2"/>
  <c r="AJ990" i="2"/>
  <c r="AJ986" i="2"/>
  <c r="AJ987" i="2"/>
  <c r="AJ991" i="2"/>
  <c r="AJ995" i="2"/>
  <c r="AJ999" i="2"/>
  <c r="AN1011" i="2"/>
  <c r="AN1015" i="2"/>
  <c r="AF1011" i="2"/>
  <c r="AM1011" i="2"/>
  <c r="AJ988" i="2"/>
  <c r="AN988" i="2"/>
  <c r="AJ1012" i="2"/>
  <c r="AO1012" i="2"/>
  <c r="AL988" i="2"/>
  <c r="AL992" i="2"/>
  <c r="AJ989" i="2"/>
  <c r="AJ994" i="2"/>
  <c r="AJ998" i="2"/>
  <c r="AL1000" i="2"/>
  <c r="R1009" i="2"/>
  <c r="Y1009" i="2"/>
  <c r="V985" i="2"/>
  <c r="V993" i="2"/>
  <c r="V990" i="2"/>
  <c r="V997" i="2"/>
  <c r="V1009" i="2"/>
  <c r="X986" i="2"/>
  <c r="X990" i="2"/>
  <c r="X994" i="2"/>
  <c r="X998" i="2"/>
  <c r="V986" i="2"/>
  <c r="Z986" i="2"/>
  <c r="X987" i="2"/>
  <c r="X991" i="2"/>
  <c r="X995" i="2"/>
  <c r="V995" i="2"/>
  <c r="V987" i="2"/>
  <c r="V991" i="2"/>
  <c r="V999" i="2"/>
  <c r="V1011" i="2"/>
  <c r="AA1011" i="2"/>
  <c r="R988" i="2"/>
  <c r="V988" i="2"/>
  <c r="V992" i="2"/>
  <c r="V996" i="2"/>
  <c r="Z996" i="2"/>
  <c r="Z1012" i="2"/>
  <c r="Z1016" i="2"/>
  <c r="R1012" i="2"/>
  <c r="Y1012" i="2"/>
  <c r="H968" i="2"/>
  <c r="D968" i="2"/>
  <c r="H969" i="2"/>
  <c r="H971" i="2"/>
  <c r="H972" i="2"/>
  <c r="H973" i="2"/>
  <c r="D966" i="2"/>
  <c r="R970" i="2"/>
  <c r="R971" i="2"/>
  <c r="R972" i="2"/>
  <c r="F966" i="2"/>
  <c r="H966" i="2"/>
  <c r="D967" i="2"/>
  <c r="R974" i="2"/>
  <c r="R975" i="2"/>
  <c r="R976" i="2"/>
  <c r="F967" i="2"/>
  <c r="H967" i="2"/>
  <c r="R978" i="2"/>
  <c r="R979" i="2"/>
  <c r="R980" i="2"/>
  <c r="F968" i="2"/>
  <c r="D969" i="2"/>
  <c r="R982" i="2"/>
  <c r="R983" i="2"/>
  <c r="R984" i="2"/>
  <c r="F969" i="2"/>
  <c r="P969" i="2"/>
  <c r="T969" i="2"/>
  <c r="V969" i="2"/>
  <c r="Z969" i="2"/>
  <c r="AA969" i="2"/>
  <c r="X969" i="2"/>
  <c r="X973" i="2"/>
  <c r="X977" i="2"/>
  <c r="X981" i="2"/>
  <c r="X985" i="2"/>
  <c r="X989" i="2"/>
  <c r="X993" i="2"/>
  <c r="X997" i="2"/>
  <c r="AD969" i="2"/>
  <c r="D970" i="2"/>
  <c r="D976" i="2"/>
  <c r="F970" i="2"/>
  <c r="F971" i="2"/>
  <c r="F972" i="2"/>
  <c r="F973" i="2"/>
  <c r="F976" i="2"/>
  <c r="H970" i="2"/>
  <c r="H976" i="2"/>
  <c r="T970" i="2"/>
  <c r="V970" i="2"/>
  <c r="Y970" i="2"/>
  <c r="Z970" i="2"/>
  <c r="X970" i="2"/>
  <c r="X974" i="2"/>
  <c r="X978" i="2"/>
  <c r="T971" i="2"/>
  <c r="V971" i="2"/>
  <c r="X971" i="2"/>
  <c r="X975" i="2"/>
  <c r="X979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9" i="2"/>
  <c r="T1010" i="2"/>
  <c r="T1011" i="2"/>
  <c r="T1012" i="2"/>
  <c r="T1013" i="2"/>
  <c r="T1014" i="2"/>
  <c r="T1015" i="2"/>
  <c r="T1016" i="2"/>
  <c r="T1017" i="2"/>
  <c r="V972" i="2"/>
  <c r="Y972" i="2"/>
  <c r="Z972" i="2"/>
  <c r="X972" i="2"/>
  <c r="X976" i="2"/>
  <c r="X980" i="2"/>
  <c r="X984" i="2"/>
  <c r="X988" i="2"/>
  <c r="X992" i="2"/>
  <c r="P973" i="2"/>
  <c r="V973" i="2"/>
  <c r="AD973" i="2"/>
  <c r="V974" i="2"/>
  <c r="V975" i="2"/>
  <c r="K976" i="2"/>
  <c r="L976" i="2"/>
  <c r="M976" i="2"/>
  <c r="V976" i="2"/>
  <c r="D977" i="2"/>
  <c r="F977" i="2"/>
  <c r="H977" i="2"/>
  <c r="K977" i="2"/>
  <c r="L977" i="2"/>
  <c r="M977" i="2"/>
  <c r="P977" i="2"/>
  <c r="V977" i="2"/>
  <c r="AD977" i="2"/>
  <c r="D978" i="2"/>
  <c r="F978" i="2"/>
  <c r="H978" i="2"/>
  <c r="K978" i="2"/>
  <c r="L978" i="2"/>
  <c r="M978" i="2"/>
  <c r="V978" i="2"/>
  <c r="V979" i="2"/>
  <c r="D980" i="2"/>
  <c r="F980" i="2"/>
  <c r="H980" i="2"/>
  <c r="K980" i="2"/>
  <c r="L980" i="2"/>
  <c r="M980" i="2"/>
  <c r="V980" i="2"/>
  <c r="D981" i="2"/>
  <c r="F981" i="2"/>
  <c r="H981" i="2"/>
  <c r="K981" i="2"/>
  <c r="L981" i="2"/>
  <c r="M981" i="2"/>
  <c r="P981" i="2"/>
  <c r="V981" i="2"/>
  <c r="AD981" i="2"/>
  <c r="D982" i="2"/>
  <c r="F982" i="2"/>
  <c r="H982" i="2"/>
  <c r="K982" i="2"/>
  <c r="L982" i="2"/>
  <c r="M982" i="2"/>
  <c r="V982" i="2"/>
  <c r="D983" i="2"/>
  <c r="F983" i="2"/>
  <c r="H983" i="2"/>
  <c r="K983" i="2"/>
  <c r="L983" i="2"/>
  <c r="M983" i="2"/>
  <c r="V983" i="2"/>
  <c r="D984" i="2"/>
  <c r="F984" i="2"/>
  <c r="H984" i="2"/>
  <c r="K984" i="2"/>
  <c r="L984" i="2"/>
  <c r="M984" i="2"/>
  <c r="V984" i="2"/>
  <c r="D985" i="2"/>
  <c r="F985" i="2"/>
  <c r="H985" i="2"/>
  <c r="K985" i="2"/>
  <c r="L985" i="2"/>
  <c r="M985" i="2"/>
  <c r="P985" i="2"/>
  <c r="AD985" i="2"/>
  <c r="D986" i="2"/>
  <c r="F986" i="2"/>
  <c r="H986" i="2"/>
  <c r="K986" i="2"/>
  <c r="L986" i="2"/>
  <c r="M986" i="2"/>
  <c r="D987" i="2"/>
  <c r="F987" i="2"/>
  <c r="H987" i="2"/>
  <c r="K987" i="2"/>
  <c r="L987" i="2"/>
  <c r="M987" i="2"/>
  <c r="D988" i="2"/>
  <c r="F988" i="2"/>
  <c r="H988" i="2"/>
  <c r="K988" i="2"/>
  <c r="L988" i="2"/>
  <c r="M988" i="2"/>
  <c r="D989" i="2"/>
  <c r="F989" i="2"/>
  <c r="H989" i="2"/>
  <c r="K989" i="2"/>
  <c r="L989" i="2"/>
  <c r="M989" i="2"/>
  <c r="P989" i="2"/>
  <c r="R1010" i="2"/>
  <c r="Y1010" i="2"/>
  <c r="V989" i="2"/>
  <c r="AD989" i="2"/>
  <c r="D990" i="2"/>
  <c r="F990" i="2"/>
  <c r="H990" i="2"/>
  <c r="K990" i="2"/>
  <c r="L990" i="2"/>
  <c r="M990" i="2"/>
  <c r="D991" i="2"/>
  <c r="F991" i="2"/>
  <c r="H991" i="2"/>
  <c r="K991" i="2"/>
  <c r="L991" i="2"/>
  <c r="M991" i="2"/>
  <c r="D992" i="2"/>
  <c r="F992" i="2"/>
  <c r="H992" i="2"/>
  <c r="K992" i="2"/>
  <c r="L992" i="2"/>
  <c r="M992" i="2"/>
  <c r="D993" i="2"/>
  <c r="F993" i="2"/>
  <c r="H993" i="2"/>
  <c r="K993" i="2"/>
  <c r="L993" i="2"/>
  <c r="M993" i="2"/>
  <c r="P993" i="2"/>
  <c r="AD993" i="2"/>
  <c r="D994" i="2"/>
  <c r="F994" i="2"/>
  <c r="H994" i="2"/>
  <c r="K994" i="2"/>
  <c r="L994" i="2"/>
  <c r="M994" i="2"/>
  <c r="V994" i="2"/>
  <c r="Z994" i="2"/>
  <c r="D995" i="2"/>
  <c r="F995" i="2"/>
  <c r="H995" i="2"/>
  <c r="L995" i="2"/>
  <c r="M995" i="2"/>
  <c r="X999" i="2"/>
  <c r="D996" i="2"/>
  <c r="F996" i="2"/>
  <c r="H996" i="2"/>
  <c r="L996" i="2"/>
  <c r="M996" i="2"/>
  <c r="D997" i="2"/>
  <c r="F997" i="2"/>
  <c r="H997" i="2"/>
  <c r="L997" i="2"/>
  <c r="M997" i="2"/>
  <c r="P997" i="2"/>
  <c r="AD997" i="2"/>
  <c r="D998" i="2"/>
  <c r="F998" i="2"/>
  <c r="H998" i="2"/>
  <c r="L998" i="2"/>
  <c r="M998" i="2"/>
  <c r="D999" i="2"/>
  <c r="F999" i="2"/>
  <c r="H999" i="2"/>
  <c r="L999" i="2"/>
  <c r="M999" i="2"/>
  <c r="D1000" i="2"/>
  <c r="F1000" i="2"/>
  <c r="H1000" i="2"/>
  <c r="L1000" i="2"/>
  <c r="M1000" i="2"/>
  <c r="X1000" i="2"/>
  <c r="D1001" i="2"/>
  <c r="F1001" i="2"/>
  <c r="H1001" i="2"/>
  <c r="L1001" i="2"/>
  <c r="M1001" i="2"/>
  <c r="P1001" i="2"/>
  <c r="D1002" i="2"/>
  <c r="F1002" i="2"/>
  <c r="H1002" i="2"/>
  <c r="L1002" i="2"/>
  <c r="M1002" i="2"/>
  <c r="D1003" i="2"/>
  <c r="F1003" i="2"/>
  <c r="H1003" i="2"/>
  <c r="L1003" i="2"/>
  <c r="M1003" i="2"/>
  <c r="D1004" i="2"/>
  <c r="F1004" i="2"/>
  <c r="H1004" i="2"/>
  <c r="L1004" i="2"/>
  <c r="M1004" i="2"/>
  <c r="D1005" i="2"/>
  <c r="F1005" i="2"/>
  <c r="H1005" i="2"/>
  <c r="L1005" i="2"/>
  <c r="M1005" i="2"/>
  <c r="P1005" i="2"/>
  <c r="D1006" i="2"/>
  <c r="F1006" i="2"/>
  <c r="H1006" i="2"/>
  <c r="L1006" i="2"/>
  <c r="M1006" i="2"/>
  <c r="D1007" i="2"/>
  <c r="F1007" i="2"/>
  <c r="H1007" i="2"/>
  <c r="L1007" i="2"/>
  <c r="M1007" i="2"/>
  <c r="D1008" i="2"/>
  <c r="F1008" i="2"/>
  <c r="H1008" i="2"/>
  <c r="L1008" i="2"/>
  <c r="M1008" i="2"/>
  <c r="D1009" i="2"/>
  <c r="F1009" i="2"/>
  <c r="H1009" i="2"/>
  <c r="L1009" i="2"/>
  <c r="M1009" i="2"/>
  <c r="P1009" i="2"/>
  <c r="X1009" i="2"/>
  <c r="Z1009" i="2"/>
  <c r="AA1009" i="2"/>
  <c r="AD1009" i="2"/>
  <c r="AF1009" i="2"/>
  <c r="AM1009" i="2"/>
  <c r="AJ1009" i="2"/>
  <c r="AO1009" i="2"/>
  <c r="AL1009" i="2"/>
  <c r="D1010" i="2"/>
  <c r="F1010" i="2"/>
  <c r="H1010" i="2"/>
  <c r="L1010" i="2"/>
  <c r="M1010" i="2"/>
  <c r="V1010" i="2"/>
  <c r="AA1010" i="2"/>
  <c r="X1010" i="2"/>
  <c r="Z1010" i="2"/>
  <c r="AF1010" i="2"/>
  <c r="AM1010" i="2"/>
  <c r="AF1013" i="2"/>
  <c r="AM1013" i="2"/>
  <c r="AF1014" i="2"/>
  <c r="AM1014" i="2"/>
  <c r="AF1015" i="2"/>
  <c r="AM1015" i="2"/>
  <c r="AF1017" i="2"/>
  <c r="AM1017" i="2"/>
  <c r="AJ1010" i="2"/>
  <c r="AO1010" i="2"/>
  <c r="AL1010" i="2"/>
  <c r="AN1010" i="2"/>
  <c r="D1011" i="2"/>
  <c r="F1011" i="2"/>
  <c r="H1011" i="2"/>
  <c r="L1011" i="2"/>
  <c r="M1011" i="2"/>
  <c r="R1011" i="2"/>
  <c r="Y1011" i="2"/>
  <c r="X1011" i="2"/>
  <c r="Z1011" i="2"/>
  <c r="AJ1011" i="2"/>
  <c r="AO1011" i="2"/>
  <c r="AL1011" i="2"/>
  <c r="D1012" i="2"/>
  <c r="F1012" i="2"/>
  <c r="H1012" i="2"/>
  <c r="L1012" i="2"/>
  <c r="M1012" i="2"/>
  <c r="V1012" i="2"/>
  <c r="AA1012" i="2"/>
  <c r="X1012" i="2"/>
  <c r="AL1012" i="2"/>
  <c r="D1013" i="2"/>
  <c r="F1013" i="2"/>
  <c r="H1013" i="2"/>
  <c r="L1013" i="2"/>
  <c r="M1013" i="2"/>
  <c r="P1013" i="2"/>
  <c r="R1013" i="2"/>
  <c r="Y1013" i="2"/>
  <c r="V1013" i="2"/>
  <c r="AA1013" i="2"/>
  <c r="X1013" i="2"/>
  <c r="Z1013" i="2"/>
  <c r="AD1013" i="2"/>
  <c r="AJ1013" i="2"/>
  <c r="AO1013" i="2"/>
  <c r="AL1013" i="2"/>
  <c r="D1014" i="2"/>
  <c r="F1014" i="2"/>
  <c r="H1014" i="2"/>
  <c r="L1014" i="2"/>
  <c r="M1014" i="2"/>
  <c r="R1014" i="2"/>
  <c r="Y1014" i="2"/>
  <c r="V1014" i="2"/>
  <c r="AA1014" i="2"/>
  <c r="X1014" i="2"/>
  <c r="Z1014" i="2"/>
  <c r="AJ1014" i="2"/>
  <c r="AO1014" i="2"/>
  <c r="AL1014" i="2"/>
  <c r="AN1014" i="2"/>
  <c r="D1015" i="2"/>
  <c r="F1015" i="2"/>
  <c r="H1015" i="2"/>
  <c r="L1015" i="2"/>
  <c r="M1015" i="2"/>
  <c r="R1015" i="2"/>
  <c r="Y1015" i="2"/>
  <c r="V1015" i="2"/>
  <c r="AA1015" i="2"/>
  <c r="X1015" i="2"/>
  <c r="Z1015" i="2"/>
  <c r="AJ1015" i="2"/>
  <c r="AO1015" i="2"/>
  <c r="AL1015" i="2"/>
  <c r="D1016" i="2"/>
  <c r="F1016" i="2"/>
  <c r="H1016" i="2"/>
  <c r="L1016" i="2"/>
  <c r="M1016" i="2"/>
  <c r="R1016" i="2"/>
  <c r="Y1016" i="2"/>
  <c r="V1016" i="2"/>
  <c r="AA1016" i="2"/>
  <c r="X1016" i="2"/>
  <c r="AJ1016" i="2"/>
  <c r="AO1016" i="2"/>
  <c r="AL1016" i="2"/>
  <c r="D1017" i="2"/>
  <c r="F1017" i="2"/>
  <c r="H1017" i="2"/>
  <c r="L1017" i="2"/>
  <c r="M1017" i="2"/>
  <c r="P1017" i="2"/>
  <c r="R1017" i="2"/>
  <c r="Y1017" i="2"/>
  <c r="V1017" i="2"/>
  <c r="AA1017" i="2"/>
  <c r="X1017" i="2"/>
  <c r="Z1017" i="2"/>
  <c r="AD1017" i="2"/>
  <c r="AJ1017" i="2"/>
  <c r="AO1017" i="2"/>
  <c r="AL1017" i="2"/>
  <c r="AN1017" i="2"/>
  <c r="F1018" i="2"/>
  <c r="H1018" i="2"/>
  <c r="L1018" i="2"/>
  <c r="M1018" i="2"/>
  <c r="R1018" i="2"/>
  <c r="Y1018" i="2"/>
  <c r="T1018" i="2"/>
  <c r="V1018" i="2"/>
  <c r="AA1018" i="2"/>
  <c r="X1018" i="2"/>
  <c r="Z1018" i="2"/>
  <c r="AF1018" i="2"/>
  <c r="AM1018" i="2"/>
  <c r="AH1018" i="2"/>
  <c r="AJ1018" i="2"/>
  <c r="AO1018" i="2"/>
  <c r="AL1018" i="2"/>
  <c r="AN1018" i="2"/>
  <c r="R1019" i="2"/>
  <c r="Y1019" i="2"/>
  <c r="T1019" i="2"/>
  <c r="V1019" i="2"/>
  <c r="AA1019" i="2"/>
  <c r="X1019" i="2"/>
  <c r="Z1019" i="2"/>
  <c r="AF1019" i="2"/>
  <c r="AM1019" i="2"/>
  <c r="AH1019" i="2"/>
  <c r="AJ1019" i="2"/>
  <c r="AL1019" i="2"/>
  <c r="AN1019" i="2"/>
  <c r="AO1019" i="2"/>
  <c r="R1020" i="2"/>
  <c r="Y1020" i="2"/>
  <c r="T1020" i="2"/>
  <c r="V1020" i="2"/>
  <c r="AA1020" i="2"/>
  <c r="X1020" i="2"/>
  <c r="Z1020" i="2"/>
  <c r="AF1020" i="2"/>
  <c r="AH1020" i="2"/>
  <c r="AJ1020" i="2"/>
  <c r="AO1020" i="2"/>
  <c r="AL1020" i="2"/>
  <c r="AM1020" i="2"/>
  <c r="AN1020" i="2"/>
  <c r="D1025" i="2"/>
  <c r="X1030" i="2"/>
  <c r="Y1030" i="2"/>
  <c r="AL1030" i="2"/>
  <c r="AM1030" i="2"/>
  <c r="X1031" i="2"/>
  <c r="Y1031" i="2"/>
  <c r="AL1031" i="2"/>
  <c r="AM1031" i="2"/>
  <c r="X1032" i="2"/>
  <c r="Y1032" i="2"/>
  <c r="AL1032" i="2"/>
  <c r="AM1032" i="2"/>
  <c r="X1033" i="2"/>
  <c r="Y1033" i="2"/>
  <c r="AL1033" i="2"/>
  <c r="AM1033" i="2"/>
  <c r="AO896" i="2"/>
  <c r="Z896" i="2"/>
  <c r="Z982" i="2"/>
  <c r="Z990" i="2"/>
  <c r="AA990" i="2"/>
  <c r="AO973" i="2"/>
  <c r="AA903" i="2"/>
  <c r="AO934" i="2"/>
  <c r="AN934" i="2"/>
  <c r="R1024" i="2"/>
  <c r="AF1024" i="2"/>
  <c r="AN933" i="2"/>
  <c r="AO933" i="2"/>
  <c r="AM931" i="2"/>
  <c r="AN931" i="2"/>
  <c r="K901" i="2"/>
  <c r="L901" i="2"/>
  <c r="M901" i="2"/>
  <c r="AM932" i="2"/>
  <c r="AO932" i="2"/>
  <c r="AO903" i="2"/>
  <c r="Z602" i="2"/>
  <c r="AA602" i="2"/>
  <c r="R587" i="2"/>
  <c r="Y530" i="2"/>
  <c r="Z530" i="2"/>
  <c r="AA530" i="2"/>
  <c r="AF587" i="2"/>
  <c r="AJ587" i="2"/>
  <c r="AF588" i="2"/>
  <c r="B523" i="2"/>
  <c r="AM895" i="2"/>
  <c r="AO756" i="2"/>
  <c r="Z897" i="2"/>
  <c r="R810" i="2"/>
  <c r="AJ736" i="2"/>
  <c r="K967" i="2"/>
  <c r="K968" i="2"/>
  <c r="L966" i="2"/>
  <c r="Y901" i="2"/>
  <c r="AJ959" i="2"/>
  <c r="Y900" i="2"/>
  <c r="Z900" i="2"/>
  <c r="AM822" i="2"/>
  <c r="R802" i="2"/>
  <c r="R875" i="2"/>
  <c r="Y822" i="2"/>
  <c r="Z822" i="2"/>
  <c r="Y601" i="2"/>
  <c r="Y605" i="2"/>
  <c r="Y609" i="2"/>
  <c r="B893" i="2"/>
  <c r="K745" i="2"/>
  <c r="L744" i="2"/>
  <c r="M744" i="2"/>
  <c r="K672" i="2"/>
  <c r="K673" i="2"/>
  <c r="K674" i="2"/>
  <c r="L671" i="2"/>
  <c r="M671" i="2"/>
  <c r="AO969" i="2"/>
  <c r="AM681" i="2"/>
  <c r="AM685" i="2"/>
  <c r="AM689" i="2"/>
  <c r="AN689" i="2"/>
  <c r="AO689" i="2"/>
  <c r="AM987" i="2"/>
  <c r="Z845" i="2"/>
  <c r="AA845" i="2"/>
  <c r="AN681" i="2"/>
  <c r="AA986" i="2"/>
  <c r="AO786" i="2"/>
  <c r="AF737" i="2"/>
  <c r="AJ737" i="2"/>
  <c r="AJ884" i="2"/>
  <c r="AF1031" i="2"/>
  <c r="B970" i="2"/>
  <c r="Z849" i="2"/>
  <c r="AA849" i="2"/>
  <c r="AN823" i="2"/>
  <c r="Z599" i="2"/>
  <c r="AA599" i="2"/>
  <c r="B524" i="2"/>
  <c r="AA970" i="2"/>
  <c r="AM747" i="2"/>
  <c r="AM751" i="2"/>
  <c r="AM755" i="2"/>
  <c r="AM759" i="2"/>
  <c r="AN747" i="2"/>
  <c r="V737" i="2"/>
  <c r="AM900" i="2"/>
  <c r="AM904" i="2"/>
  <c r="AN904" i="2"/>
  <c r="AO904" i="2"/>
  <c r="Y542" i="2"/>
  <c r="Y546" i="2"/>
  <c r="Y550" i="2"/>
  <c r="Y751" i="2"/>
  <c r="Y755" i="2"/>
  <c r="Z755" i="2"/>
  <c r="AA755" i="2"/>
  <c r="B745" i="2"/>
  <c r="AF589" i="2"/>
  <c r="AA821" i="2"/>
  <c r="AM780" i="2"/>
  <c r="K524" i="2"/>
  <c r="L523" i="2"/>
  <c r="M523" i="2"/>
  <c r="D652" i="2"/>
  <c r="D654" i="2"/>
  <c r="B596" i="2"/>
  <c r="AF811" i="2"/>
  <c r="AN526" i="2"/>
  <c r="AJ588" i="2"/>
  <c r="B748" i="2"/>
  <c r="V589" i="2"/>
  <c r="V586" i="2"/>
  <c r="AN833" i="2"/>
  <c r="AO833" i="2"/>
  <c r="M747" i="2"/>
  <c r="AN705" i="2"/>
  <c r="AO705" i="2"/>
  <c r="Z703" i="2"/>
  <c r="AA703" i="2"/>
  <c r="Z676" i="2"/>
  <c r="L670" i="2"/>
  <c r="R662" i="2"/>
  <c r="Z605" i="2"/>
  <c r="AA605" i="2"/>
  <c r="AJ734" i="2"/>
  <c r="L596" i="2"/>
  <c r="K597" i="2"/>
  <c r="Y707" i="2"/>
  <c r="AM602" i="2"/>
  <c r="AN602" i="2"/>
  <c r="Y532" i="2"/>
  <c r="Y536" i="2"/>
  <c r="Y540" i="2"/>
  <c r="Y544" i="2"/>
  <c r="Z544" i="2"/>
  <c r="R589" i="2"/>
  <c r="U589" i="2"/>
  <c r="AA644" i="2"/>
  <c r="AN972" i="2"/>
  <c r="AN837" i="2"/>
  <c r="AO837" i="2"/>
  <c r="B601" i="2"/>
  <c r="Y611" i="2"/>
  <c r="B599" i="2"/>
  <c r="AO697" i="2"/>
  <c r="AN600" i="2"/>
  <c r="AF661" i="2"/>
  <c r="AF651" i="2"/>
  <c r="AO674" i="2"/>
  <c r="Y748" i="2"/>
  <c r="B670" i="2"/>
  <c r="AM616" i="2"/>
  <c r="Z532" i="2"/>
  <c r="AO709" i="2"/>
  <c r="AM693" i="2"/>
  <c r="AN693" i="2"/>
  <c r="AO693" i="2"/>
  <c r="Z600" i="2"/>
  <c r="AA600" i="2"/>
  <c r="AN533" i="2"/>
  <c r="V735" i="2"/>
  <c r="AA674" i="2"/>
  <c r="Y603" i="2"/>
  <c r="R809" i="2"/>
  <c r="Y614" i="2"/>
  <c r="Y618" i="2"/>
  <c r="Y622" i="2"/>
  <c r="V587" i="2"/>
  <c r="AN528" i="2"/>
  <c r="Z536" i="2"/>
  <c r="AO673" i="2"/>
  <c r="B678" i="2"/>
  <c r="Y677" i="2"/>
  <c r="R734" i="2"/>
  <c r="AN680" i="2"/>
  <c r="AO680" i="2"/>
  <c r="AN684" i="2"/>
  <c r="AO684" i="2"/>
  <c r="AM606" i="2"/>
  <c r="L745" i="2"/>
  <c r="M745" i="2"/>
  <c r="K746" i="2"/>
  <c r="L746" i="2"/>
  <c r="M746" i="2"/>
  <c r="AN751" i="2"/>
  <c r="AO751" i="2"/>
  <c r="Y535" i="2"/>
  <c r="Z535" i="2"/>
  <c r="AA535" i="2"/>
  <c r="Z531" i="2"/>
  <c r="L524" i="2"/>
  <c r="M524" i="2"/>
  <c r="K525" i="2"/>
  <c r="AO747" i="2"/>
  <c r="AO533" i="2"/>
  <c r="AO528" i="2"/>
  <c r="AN895" i="2"/>
  <c r="AN604" i="2"/>
  <c r="AO604" i="2"/>
  <c r="Z542" i="2"/>
  <c r="AA542" i="2"/>
  <c r="AN750" i="2"/>
  <c r="AA897" i="2"/>
  <c r="AO681" i="2"/>
  <c r="AM921" i="2"/>
  <c r="Z601" i="2"/>
  <c r="AN822" i="2"/>
  <c r="AM826" i="2"/>
  <c r="AM830" i="2"/>
  <c r="AM834" i="2"/>
  <c r="AM838" i="2"/>
  <c r="M966" i="2"/>
  <c r="D653" i="2"/>
  <c r="E653" i="2"/>
  <c r="L967" i="2"/>
  <c r="M967" i="2"/>
  <c r="U734" i="2"/>
  <c r="AN844" i="2"/>
  <c r="AO844" i="2"/>
  <c r="AM848" i="2"/>
  <c r="AN848" i="2"/>
  <c r="AO848" i="2"/>
  <c r="U587" i="2"/>
  <c r="Z677" i="2"/>
  <c r="Y681" i="2"/>
  <c r="Z681" i="2"/>
  <c r="AA681" i="2"/>
  <c r="Z618" i="2"/>
  <c r="AA618" i="2"/>
  <c r="AO599" i="2"/>
  <c r="AF653" i="2"/>
  <c r="Z614" i="2"/>
  <c r="AA614" i="2"/>
  <c r="AO526" i="2"/>
  <c r="Y548" i="2"/>
  <c r="AA544" i="2"/>
  <c r="AO750" i="2"/>
  <c r="AN755" i="2"/>
  <c r="AO755" i="2"/>
  <c r="AN606" i="2"/>
  <c r="AO606" i="2"/>
  <c r="AM610" i="2"/>
  <c r="AM614" i="2"/>
  <c r="AN758" i="2"/>
  <c r="AO602" i="2"/>
  <c r="Y539" i="2"/>
  <c r="Z539" i="2"/>
  <c r="AA539" i="2"/>
  <c r="AA677" i="2"/>
  <c r="AA900" i="2"/>
  <c r="K969" i="2"/>
  <c r="L969" i="2"/>
  <c r="M969" i="2"/>
  <c r="L968" i="2"/>
  <c r="AA531" i="2"/>
  <c r="Z550" i="2"/>
  <c r="AN830" i="2"/>
  <c r="AO830" i="2"/>
  <c r="AO758" i="2"/>
  <c r="AN762" i="2"/>
  <c r="AO762" i="2"/>
  <c r="AM770" i="2"/>
  <c r="AN770" i="2"/>
  <c r="AO770" i="2"/>
  <c r="AN580" i="2"/>
  <c r="I580" i="2"/>
  <c r="Z580" i="2"/>
  <c r="E586" i="2"/>
  <c r="AM774" i="2"/>
  <c r="AN774" i="2"/>
  <c r="AO774" i="2"/>
  <c r="BV217" i="2"/>
  <c r="BY217" i="2"/>
  <c r="CE188" i="2"/>
  <c r="BV142" i="2"/>
  <c r="BV144" i="2"/>
  <c r="CE81" i="2"/>
  <c r="AX142" i="2"/>
  <c r="AJ145" i="2"/>
  <c r="AA96" i="2"/>
  <c r="AA88" i="2"/>
  <c r="R145" i="2"/>
  <c r="AJ144" i="2"/>
  <c r="AF143" i="2"/>
  <c r="AA81" i="2"/>
  <c r="M82" i="2"/>
  <c r="M79" i="2"/>
  <c r="AM835" i="2"/>
  <c r="AN831" i="2"/>
  <c r="AO831" i="2"/>
  <c r="AN614" i="2"/>
  <c r="AO614" i="2"/>
  <c r="AM618" i="2"/>
  <c r="AJ809" i="2"/>
  <c r="AJ810" i="2"/>
  <c r="AJ811" i="2"/>
  <c r="AJ812" i="2"/>
  <c r="AA676" i="2"/>
  <c r="K675" i="2"/>
  <c r="L674" i="2"/>
  <c r="M674" i="2"/>
  <c r="AM613" i="2"/>
  <c r="AN609" i="2"/>
  <c r="AM842" i="2"/>
  <c r="AN838" i="2"/>
  <c r="AO838" i="2"/>
  <c r="AN921" i="2"/>
  <c r="AO921" i="2"/>
  <c r="AM925" i="2"/>
  <c r="AN925" i="2"/>
  <c r="AO925" i="2"/>
  <c r="K526" i="2"/>
  <c r="L525" i="2"/>
  <c r="M525" i="2"/>
  <c r="Y626" i="2"/>
  <c r="Z622" i="2"/>
  <c r="AA622" i="2"/>
  <c r="AF654" i="2"/>
  <c r="AF727" i="2"/>
  <c r="AF726" i="2"/>
  <c r="AG726" i="2"/>
  <c r="AN907" i="2"/>
  <c r="AM911" i="2"/>
  <c r="AM915" i="2"/>
  <c r="AN473" i="2"/>
  <c r="AO473" i="2"/>
  <c r="AG1031" i="2"/>
  <c r="K970" i="2"/>
  <c r="V956" i="2"/>
  <c r="V957" i="2"/>
  <c r="V958" i="2"/>
  <c r="V959" i="2"/>
  <c r="V960" i="2"/>
  <c r="AO643" i="2"/>
  <c r="AJ660" i="2"/>
  <c r="AJ661" i="2"/>
  <c r="AJ664" i="2"/>
  <c r="L450" i="2"/>
  <c r="M450" i="2"/>
  <c r="K451" i="2"/>
  <c r="V1021" i="2"/>
  <c r="Z973" i="2"/>
  <c r="AA973" i="2"/>
  <c r="AA896" i="2"/>
  <c r="U957" i="2"/>
  <c r="AN836" i="2"/>
  <c r="AO836" i="2"/>
  <c r="AN754" i="2"/>
  <c r="AO754" i="2"/>
  <c r="V809" i="2"/>
  <c r="AN605" i="2"/>
  <c r="AO605" i="2"/>
  <c r="Z540" i="2"/>
  <c r="AA540" i="2"/>
  <c r="AA306" i="2"/>
  <c r="AM251" i="2"/>
  <c r="AN251" i="2"/>
  <c r="AO251" i="2"/>
  <c r="AN247" i="2"/>
  <c r="AO247" i="2"/>
  <c r="AJ1021" i="2"/>
  <c r="AM971" i="2"/>
  <c r="AN971" i="2"/>
  <c r="AO971" i="2"/>
  <c r="Z901" i="2"/>
  <c r="AA901" i="2"/>
  <c r="AO970" i="2"/>
  <c r="AM898" i="2"/>
  <c r="AF959" i="2"/>
  <c r="AI959" i="2"/>
  <c r="AF947" i="2"/>
  <c r="V736" i="2"/>
  <c r="V738" i="2"/>
  <c r="Z675" i="2"/>
  <c r="AA675" i="2"/>
  <c r="V661" i="2"/>
  <c r="U661" i="2"/>
  <c r="Y711" i="2"/>
  <c r="Z711" i="2"/>
  <c r="AA711" i="2"/>
  <c r="Z707" i="2"/>
  <c r="AA707" i="2"/>
  <c r="V1033" i="2"/>
  <c r="AJ589" i="2"/>
  <c r="AJ590" i="2"/>
  <c r="Z906" i="2"/>
  <c r="AA906" i="2"/>
  <c r="AN909" i="2"/>
  <c r="AO909" i="2"/>
  <c r="AM981" i="2"/>
  <c r="AM985" i="2"/>
  <c r="L818" i="2"/>
  <c r="K819" i="2"/>
  <c r="D874" i="2"/>
  <c r="B820" i="2"/>
  <c r="D726" i="2"/>
  <c r="M670" i="2"/>
  <c r="U736" i="2"/>
  <c r="Z611" i="2"/>
  <c r="AA611" i="2"/>
  <c r="V660" i="2"/>
  <c r="V662" i="2"/>
  <c r="V664" i="2"/>
  <c r="Z603" i="2"/>
  <c r="AA603" i="2"/>
  <c r="AJ513" i="2"/>
  <c r="Z390" i="2"/>
  <c r="AA390" i="2"/>
  <c r="Y394" i="2"/>
  <c r="Y398" i="2"/>
  <c r="Y402" i="2"/>
  <c r="Y406" i="2"/>
  <c r="Y410" i="2"/>
  <c r="Y752" i="2"/>
  <c r="Z748" i="2"/>
  <c r="K598" i="2"/>
  <c r="L597" i="2"/>
  <c r="AA994" i="2"/>
  <c r="AF1030" i="2"/>
  <c r="AF1032" i="2"/>
  <c r="B972" i="2"/>
  <c r="AN901" i="2"/>
  <c r="AJ958" i="2"/>
  <c r="Y914" i="2"/>
  <c r="Z914" i="2"/>
  <c r="AA914" i="2"/>
  <c r="Y762" i="2"/>
  <c r="Z758" i="2"/>
  <c r="AA758" i="2"/>
  <c r="AI661" i="2"/>
  <c r="AO600" i="2"/>
  <c r="V439" i="2"/>
  <c r="U439" i="2"/>
  <c r="Z378" i="2"/>
  <c r="AA378" i="2"/>
  <c r="BB176" i="2"/>
  <c r="BC176" i="2"/>
  <c r="BA180" i="2"/>
  <c r="BB180" i="2"/>
  <c r="BC180" i="2"/>
  <c r="M596" i="2"/>
  <c r="Y976" i="2"/>
  <c r="Z976" i="2"/>
  <c r="R1033" i="2"/>
  <c r="AO996" i="2"/>
  <c r="V588" i="2"/>
  <c r="V590" i="2"/>
  <c r="Z527" i="2"/>
  <c r="V515" i="2"/>
  <c r="AO766" i="2"/>
  <c r="Y685" i="2"/>
  <c r="R799" i="2"/>
  <c r="R1030" i="2"/>
  <c r="V1032" i="2"/>
  <c r="F1022" i="2"/>
  <c r="H1022" i="2"/>
  <c r="Y753" i="2"/>
  <c r="Z753" i="2"/>
  <c r="AA753" i="2"/>
  <c r="AN760" i="2"/>
  <c r="AO760" i="2"/>
  <c r="AM752" i="2"/>
  <c r="AN752" i="2"/>
  <c r="AF809" i="2"/>
  <c r="AI809" i="2"/>
  <c r="L673" i="2"/>
  <c r="M673" i="2"/>
  <c r="AF799" i="2"/>
  <c r="R1021" i="2"/>
  <c r="V1031" i="2"/>
  <c r="Y974" i="2"/>
  <c r="R1031" i="2"/>
  <c r="B968" i="2"/>
  <c r="Z991" i="2"/>
  <c r="AA991" i="2"/>
  <c r="V811" i="2"/>
  <c r="Z754" i="2"/>
  <c r="V808" i="2"/>
  <c r="AM749" i="2"/>
  <c r="AM753" i="2"/>
  <c r="AN753" i="2"/>
  <c r="AO753" i="2"/>
  <c r="AF810" i="2"/>
  <c r="B744" i="2"/>
  <c r="AM687" i="2"/>
  <c r="AF736" i="2"/>
  <c r="AI736" i="2"/>
  <c r="U737" i="2"/>
  <c r="B525" i="2"/>
  <c r="R577" i="2"/>
  <c r="Y525" i="2"/>
  <c r="D284" i="2"/>
  <c r="D211" i="2"/>
  <c r="D283" i="2"/>
  <c r="E283" i="2"/>
  <c r="AJ1031" i="2"/>
  <c r="AI1031" i="2"/>
  <c r="AO931" i="2"/>
  <c r="AJ956" i="2"/>
  <c r="Y895" i="2"/>
  <c r="R947" i="2"/>
  <c r="D800" i="2"/>
  <c r="AO608" i="2"/>
  <c r="AN826" i="2"/>
  <c r="Z751" i="2"/>
  <c r="AA751" i="2"/>
  <c r="AM991" i="2"/>
  <c r="AN987" i="2"/>
  <c r="AO987" i="2"/>
  <c r="R956" i="2"/>
  <c r="AN834" i="2"/>
  <c r="AO834" i="2"/>
  <c r="AA601" i="2"/>
  <c r="Y759" i="2"/>
  <c r="B522" i="2"/>
  <c r="U809" i="2"/>
  <c r="B971" i="2"/>
  <c r="AO983" i="2"/>
  <c r="B969" i="2"/>
  <c r="Y977" i="2"/>
  <c r="AM908" i="2"/>
  <c r="B897" i="2"/>
  <c r="Y905" i="2"/>
  <c r="R958" i="2"/>
  <c r="U958" i="2"/>
  <c r="V885" i="2"/>
  <c r="AA868" i="2"/>
  <c r="R883" i="2"/>
  <c r="V883" i="2"/>
  <c r="U883" i="2"/>
  <c r="Y826" i="2"/>
  <c r="AM692" i="2"/>
  <c r="AN688" i="2"/>
  <c r="AO688" i="2"/>
  <c r="AA536" i="2"/>
  <c r="AA550" i="2"/>
  <c r="AO601" i="2"/>
  <c r="AN759" i="2"/>
  <c r="AM763" i="2"/>
  <c r="Z983" i="2"/>
  <c r="AA983" i="2"/>
  <c r="AN749" i="2"/>
  <c r="AA754" i="2"/>
  <c r="R725" i="2"/>
  <c r="K893" i="2"/>
  <c r="L892" i="2"/>
  <c r="AA309" i="2"/>
  <c r="V366" i="2"/>
  <c r="AN610" i="2"/>
  <c r="AO610" i="2"/>
  <c r="Y543" i="2"/>
  <c r="R586" i="2"/>
  <c r="AF652" i="2"/>
  <c r="AG652" i="2"/>
  <c r="AF580" i="2"/>
  <c r="D1022" i="2"/>
  <c r="Y613" i="2"/>
  <c r="Z609" i="2"/>
  <c r="AA609" i="2"/>
  <c r="B746" i="2"/>
  <c r="Z998" i="2"/>
  <c r="AA998" i="2"/>
  <c r="D948" i="2"/>
  <c r="B892" i="2"/>
  <c r="AF958" i="2"/>
  <c r="Y918" i="2"/>
  <c r="Y904" i="2"/>
  <c r="B825" i="2"/>
  <c r="AF884" i="2"/>
  <c r="AI884" i="2"/>
  <c r="B819" i="2"/>
  <c r="R882" i="2"/>
  <c r="Y825" i="2"/>
  <c r="Y678" i="2"/>
  <c r="Y682" i="2"/>
  <c r="Z682" i="2"/>
  <c r="AA682" i="2"/>
  <c r="Y683" i="2"/>
  <c r="Z679" i="2"/>
  <c r="AA679" i="2"/>
  <c r="AA645" i="2"/>
  <c r="U662" i="2"/>
  <c r="AA532" i="2"/>
  <c r="Z546" i="2"/>
  <c r="AA546" i="2"/>
  <c r="AO1000" i="2"/>
  <c r="V810" i="2"/>
  <c r="Z749" i="2"/>
  <c r="Z747" i="2"/>
  <c r="Z383" i="2"/>
  <c r="L672" i="2"/>
  <c r="Z548" i="2"/>
  <c r="Y552" i="2"/>
  <c r="Z552" i="2"/>
  <c r="Z589" i="2"/>
  <c r="AA589" i="2"/>
  <c r="AF957" i="2"/>
  <c r="AJ957" i="2"/>
  <c r="AI957" i="2"/>
  <c r="AI737" i="2"/>
  <c r="AJ1032" i="2"/>
  <c r="AO901" i="2"/>
  <c r="U810" i="2"/>
  <c r="AJ883" i="2"/>
  <c r="AO822" i="2"/>
  <c r="AM852" i="2"/>
  <c r="AN852" i="2"/>
  <c r="AO852" i="2"/>
  <c r="AF882" i="2"/>
  <c r="AF873" i="2"/>
  <c r="AM821" i="2"/>
  <c r="B821" i="2"/>
  <c r="Y824" i="2"/>
  <c r="R885" i="2"/>
  <c r="U885" i="2"/>
  <c r="B818" i="2"/>
  <c r="Z678" i="2"/>
  <c r="AA678" i="2"/>
  <c r="B671" i="2"/>
  <c r="R735" i="2"/>
  <c r="U735" i="2"/>
  <c r="B603" i="2"/>
  <c r="Y615" i="2"/>
  <c r="AI589" i="2"/>
  <c r="AM463" i="2"/>
  <c r="AN463" i="2"/>
  <c r="AO463" i="2"/>
  <c r="AN459" i="2"/>
  <c r="AO459" i="2"/>
  <c r="AA823" i="2"/>
  <c r="AA548" i="2"/>
  <c r="Z987" i="2"/>
  <c r="AA987" i="2"/>
  <c r="AO845" i="2"/>
  <c r="AO972" i="2"/>
  <c r="AF808" i="2"/>
  <c r="B677" i="2"/>
  <c r="AI811" i="2"/>
  <c r="AA822" i="2"/>
  <c r="Y757" i="2"/>
  <c r="Z757" i="2"/>
  <c r="AA757" i="2"/>
  <c r="AI588" i="2"/>
  <c r="AA982" i="2"/>
  <c r="B973" i="2"/>
  <c r="Z902" i="2"/>
  <c r="AF956" i="2"/>
  <c r="AM899" i="2"/>
  <c r="AN899" i="2"/>
  <c r="B896" i="2"/>
  <c r="R959" i="2"/>
  <c r="U959" i="2"/>
  <c r="Y827" i="2"/>
  <c r="Z827" i="2"/>
  <c r="AA827" i="2"/>
  <c r="V884" i="2"/>
  <c r="V882" i="2"/>
  <c r="AJ882" i="2"/>
  <c r="AJ885" i="2"/>
  <c r="AJ886" i="2"/>
  <c r="Z604" i="2"/>
  <c r="B597" i="2"/>
  <c r="B600" i="2"/>
  <c r="B602" i="2"/>
  <c r="B652" i="2"/>
  <c r="B653" i="2"/>
  <c r="B654" i="2"/>
  <c r="AN534" i="2"/>
  <c r="AM538" i="2"/>
  <c r="B451" i="2"/>
  <c r="B448" i="2"/>
  <c r="R503" i="2"/>
  <c r="Y454" i="2"/>
  <c r="R515" i="2"/>
  <c r="Z384" i="2"/>
  <c r="AA384" i="2"/>
  <c r="AM402" i="2"/>
  <c r="AM406" i="2"/>
  <c r="AN406" i="2"/>
  <c r="AO406" i="2"/>
  <c r="M968" i="2"/>
  <c r="AN616" i="2"/>
  <c r="AO616" i="2"/>
  <c r="AM620" i="2"/>
  <c r="AN992" i="2"/>
  <c r="AO992" i="2"/>
  <c r="AO907" i="2"/>
  <c r="AN977" i="2"/>
  <c r="AJ1030" i="2"/>
  <c r="AJ1033" i="2"/>
  <c r="AJ1034" i="2"/>
  <c r="AM919" i="2"/>
  <c r="AA838" i="2"/>
  <c r="B750" i="2"/>
  <c r="Z538" i="2"/>
  <c r="AA538" i="2"/>
  <c r="Z469" i="2"/>
  <c r="AA469" i="2"/>
  <c r="B458" i="2"/>
  <c r="AM456" i="2"/>
  <c r="AF513" i="2"/>
  <c r="Y971" i="2"/>
  <c r="R1032" i="2"/>
  <c r="AN900" i="2"/>
  <c r="AO900" i="2"/>
  <c r="Y761" i="2"/>
  <c r="AF660" i="2"/>
  <c r="AM603" i="2"/>
  <c r="AN603" i="2"/>
  <c r="AM532" i="2"/>
  <c r="AN532" i="2"/>
  <c r="AA460" i="2"/>
  <c r="Y321" i="2"/>
  <c r="Z317" i="2"/>
  <c r="AA317" i="2"/>
  <c r="B967" i="2"/>
  <c r="AA996" i="2"/>
  <c r="Y995" i="2"/>
  <c r="AN683" i="2"/>
  <c r="AO683" i="2"/>
  <c r="AN679" i="2"/>
  <c r="AN676" i="2"/>
  <c r="AF663" i="2"/>
  <c r="AI663" i="2"/>
  <c r="AA552" i="2"/>
  <c r="AF577" i="2"/>
  <c r="AM529" i="2"/>
  <c r="AN529" i="2"/>
  <c r="AF586" i="2"/>
  <c r="V513" i="2"/>
  <c r="U513" i="2"/>
  <c r="Z452" i="2"/>
  <c r="AA452" i="2"/>
  <c r="AN455" i="2"/>
  <c r="AO455" i="2"/>
  <c r="Y411" i="2"/>
  <c r="Z411" i="2"/>
  <c r="Z314" i="2"/>
  <c r="AA314" i="2"/>
  <c r="AM316" i="2"/>
  <c r="D581" i="2"/>
  <c r="B966" i="2"/>
  <c r="B1022" i="2"/>
  <c r="B1023" i="2"/>
  <c r="B1024" i="2"/>
  <c r="AN979" i="2"/>
  <c r="AN1033" i="2"/>
  <c r="AO979" i="2"/>
  <c r="AF1033" i="2"/>
  <c r="AN911" i="2"/>
  <c r="AO911" i="2"/>
  <c r="AO895" i="2"/>
  <c r="AO840" i="2"/>
  <c r="AF883" i="2"/>
  <c r="AI883" i="2"/>
  <c r="AA698" i="2"/>
  <c r="AJ735" i="2"/>
  <c r="AJ738" i="2"/>
  <c r="AM678" i="2"/>
  <c r="AN678" i="2"/>
  <c r="R808" i="2"/>
  <c r="AF735" i="2"/>
  <c r="AM682" i="2"/>
  <c r="AN394" i="2"/>
  <c r="AO394" i="2"/>
  <c r="AJ439" i="2"/>
  <c r="AJ440" i="2"/>
  <c r="AJ441" i="2"/>
  <c r="AJ442" i="2"/>
  <c r="V1030" i="2"/>
  <c r="AM978" i="2"/>
  <c r="B898" i="2"/>
  <c r="AM757" i="2"/>
  <c r="Y706" i="2"/>
  <c r="B672" i="2"/>
  <c r="V512" i="2"/>
  <c r="Z455" i="2"/>
  <c r="AA455" i="2"/>
  <c r="AN489" i="2"/>
  <c r="AO489" i="2"/>
  <c r="AM493" i="2"/>
  <c r="AN493" i="2"/>
  <c r="AO493" i="2"/>
  <c r="Z232" i="2"/>
  <c r="V293" i="2"/>
  <c r="AA972" i="2"/>
  <c r="T1021" i="2"/>
  <c r="AN905" i="2"/>
  <c r="AO905" i="2"/>
  <c r="AA841" i="2"/>
  <c r="AO823" i="2"/>
  <c r="B823" i="2"/>
  <c r="AF885" i="2"/>
  <c r="AI885" i="2"/>
  <c r="AM824" i="2"/>
  <c r="Y831" i="2"/>
  <c r="R884" i="2"/>
  <c r="R811" i="2"/>
  <c r="U811" i="2"/>
  <c r="B749" i="2"/>
  <c r="B673" i="2"/>
  <c r="AI440" i="2"/>
  <c r="AM377" i="2"/>
  <c r="AM381" i="2"/>
  <c r="AM385" i="2"/>
  <c r="AN385" i="2"/>
  <c r="AO385" i="2"/>
  <c r="Y612" i="2"/>
  <c r="Y616" i="2"/>
  <c r="Z608" i="2"/>
  <c r="AA608" i="2"/>
  <c r="B454" i="2"/>
  <c r="AM454" i="2"/>
  <c r="AF503" i="2"/>
  <c r="U512" i="2"/>
  <c r="R514" i="2"/>
  <c r="R516" i="2"/>
  <c r="Z407" i="2"/>
  <c r="AA407" i="2"/>
  <c r="AJ367" i="2"/>
  <c r="AJ368" i="2"/>
  <c r="CD167" i="2"/>
  <c r="CE167" i="2"/>
  <c r="BL219" i="2"/>
  <c r="AI587" i="2"/>
  <c r="AN841" i="2"/>
  <c r="AO841" i="2"/>
  <c r="Z673" i="2"/>
  <c r="K749" i="2"/>
  <c r="B747" i="2"/>
  <c r="R588" i="2"/>
  <c r="U588" i="2"/>
  <c r="AA488" i="2"/>
  <c r="Z398" i="2"/>
  <c r="AA398" i="2"/>
  <c r="AN395" i="2"/>
  <c r="AO395" i="2"/>
  <c r="AJ142" i="2"/>
  <c r="AN685" i="2"/>
  <c r="Y911" i="2"/>
  <c r="AM607" i="2"/>
  <c r="Z453" i="2"/>
  <c r="B452" i="2"/>
  <c r="V438" i="2"/>
  <c r="AN391" i="2"/>
  <c r="AO391" i="2"/>
  <c r="AN399" i="2"/>
  <c r="AO399" i="2"/>
  <c r="AM403" i="2"/>
  <c r="B380" i="2"/>
  <c r="R438" i="2"/>
  <c r="R429" i="2"/>
  <c r="Y377" i="2"/>
  <c r="Z377" i="2"/>
  <c r="AF1021" i="2"/>
  <c r="AM768" i="2"/>
  <c r="AM772" i="2"/>
  <c r="AN772" i="2"/>
  <c r="AO772" i="2"/>
  <c r="AO612" i="2"/>
  <c r="Z606" i="2"/>
  <c r="AA607" i="2"/>
  <c r="R651" i="2"/>
  <c r="B528" i="2"/>
  <c r="AM536" i="2"/>
  <c r="L377" i="2"/>
  <c r="K378" i="2"/>
  <c r="AF734" i="2"/>
  <c r="AO988" i="2"/>
  <c r="Z1000" i="2"/>
  <c r="AA1000" i="2"/>
  <c r="B895" i="2"/>
  <c r="Y842" i="2"/>
  <c r="Y846" i="2"/>
  <c r="Z846" i="2"/>
  <c r="AA846" i="2"/>
  <c r="AA750" i="2"/>
  <c r="Y680" i="2"/>
  <c r="R663" i="2"/>
  <c r="U663" i="2"/>
  <c r="B527" i="2"/>
  <c r="AN477" i="2"/>
  <c r="AO477" i="2"/>
  <c r="AN465" i="2"/>
  <c r="AO465" i="2"/>
  <c r="AJ514" i="2"/>
  <c r="AI514" i="2"/>
  <c r="AJ515" i="2"/>
  <c r="AI515" i="2"/>
  <c r="Z318" i="2"/>
  <c r="AA318" i="2"/>
  <c r="AN773" i="2"/>
  <c r="AO773" i="2"/>
  <c r="B674" i="2"/>
  <c r="B726" i="2"/>
  <c r="B727" i="2"/>
  <c r="B728" i="2"/>
  <c r="AO541" i="2"/>
  <c r="D578" i="2"/>
  <c r="AM531" i="2"/>
  <c r="AN527" i="2"/>
  <c r="AA492" i="2"/>
  <c r="Z459" i="2"/>
  <c r="AA459" i="2"/>
  <c r="Z457" i="2"/>
  <c r="AA457" i="2"/>
  <c r="AN457" i="2"/>
  <c r="AO457" i="2"/>
  <c r="AN382" i="2"/>
  <c r="AM401" i="2"/>
  <c r="AF429" i="2"/>
  <c r="AF438" i="2"/>
  <c r="R440" i="2"/>
  <c r="AN243" i="2"/>
  <c r="AO243" i="2"/>
  <c r="AJ292" i="2"/>
  <c r="AN233" i="2"/>
  <c r="AO233" i="2"/>
  <c r="D208" i="2"/>
  <c r="M152" i="2"/>
  <c r="B152" i="2"/>
  <c r="B153" i="2"/>
  <c r="B155" i="2"/>
  <c r="B156" i="2"/>
  <c r="B157" i="2"/>
  <c r="B158" i="2"/>
  <c r="B208" i="2"/>
  <c r="BZ219" i="2"/>
  <c r="BZ220" i="2"/>
  <c r="Z157" i="2"/>
  <c r="V218" i="2"/>
  <c r="AO525" i="2"/>
  <c r="Z465" i="2"/>
  <c r="AA465" i="2"/>
  <c r="Y476" i="2"/>
  <c r="Z472" i="2"/>
  <c r="AA472" i="2"/>
  <c r="Y481" i="2"/>
  <c r="Y485" i="2"/>
  <c r="Y489" i="2"/>
  <c r="U514" i="2"/>
  <c r="M374" i="2"/>
  <c r="AO378" i="2"/>
  <c r="D432" i="2"/>
  <c r="D359" i="2"/>
  <c r="AF441" i="2"/>
  <c r="AI441" i="2"/>
  <c r="D356" i="2"/>
  <c r="AN229" i="2"/>
  <c r="AO229" i="2"/>
  <c r="Z526" i="2"/>
  <c r="AA526" i="2"/>
  <c r="AO537" i="2"/>
  <c r="Z456" i="2"/>
  <c r="AA456" i="2"/>
  <c r="AA411" i="2"/>
  <c r="AO346" i="2"/>
  <c r="AI367" i="2"/>
  <c r="M300" i="2"/>
  <c r="AN314" i="2"/>
  <c r="AO314" i="2"/>
  <c r="AM318" i="2"/>
  <c r="AO304" i="2"/>
  <c r="AN307" i="2"/>
  <c r="AM311" i="2"/>
  <c r="AF207" i="2"/>
  <c r="BL142" i="2"/>
  <c r="R660" i="2"/>
  <c r="AO534" i="2"/>
  <c r="AN456" i="2"/>
  <c r="AO456" i="2"/>
  <c r="AM458" i="2"/>
  <c r="Y467" i="2"/>
  <c r="Y471" i="2"/>
  <c r="Y475" i="2"/>
  <c r="B449" i="2"/>
  <c r="Z410" i="2"/>
  <c r="AA410" i="2"/>
  <c r="Z394" i="2"/>
  <c r="AA394" i="2"/>
  <c r="AA379" i="2"/>
  <c r="AN381" i="2"/>
  <c r="AO381" i="2"/>
  <c r="Y322" i="2"/>
  <c r="Z322" i="2"/>
  <c r="AA322" i="2"/>
  <c r="L522" i="2"/>
  <c r="Z461" i="2"/>
  <c r="AA461" i="2"/>
  <c r="AN454" i="2"/>
  <c r="Z399" i="2"/>
  <c r="AA399" i="2"/>
  <c r="AO397" i="2"/>
  <c r="AM410" i="2"/>
  <c r="AN410" i="2"/>
  <c r="AF439" i="2"/>
  <c r="Y388" i="2"/>
  <c r="V290" i="2"/>
  <c r="V291" i="2"/>
  <c r="V292" i="2"/>
  <c r="V294" i="2"/>
  <c r="AA229" i="2"/>
  <c r="AN239" i="2"/>
  <c r="AO239" i="2"/>
  <c r="AJ293" i="2"/>
  <c r="AM236" i="2"/>
  <c r="BA170" i="2"/>
  <c r="BA174" i="2"/>
  <c r="AO156" i="2"/>
  <c r="M153" i="2"/>
  <c r="R142" i="2"/>
  <c r="AA528" i="2"/>
  <c r="AO530" i="2"/>
  <c r="Z473" i="2"/>
  <c r="AA473" i="2"/>
  <c r="Z468" i="2"/>
  <c r="AA468" i="2"/>
  <c r="Z380" i="2"/>
  <c r="V441" i="2"/>
  <c r="U441" i="2"/>
  <c r="L228" i="2"/>
  <c r="M228" i="2"/>
  <c r="K229" i="2"/>
  <c r="AN235" i="2"/>
  <c r="AO235" i="2"/>
  <c r="BH145" i="2"/>
  <c r="BK145" i="2"/>
  <c r="B450" i="2"/>
  <c r="Z477" i="2"/>
  <c r="AA477" i="2"/>
  <c r="D504" i="2"/>
  <c r="Z386" i="2"/>
  <c r="AA386" i="2"/>
  <c r="AN390" i="2"/>
  <c r="AO390" i="2"/>
  <c r="AM384" i="2"/>
  <c r="AN380" i="2"/>
  <c r="B374" i="2"/>
  <c r="B430" i="2"/>
  <c r="B431" i="2"/>
  <c r="B432" i="2"/>
  <c r="R364" i="2"/>
  <c r="Z305" i="2"/>
  <c r="AA305" i="2"/>
  <c r="Z313" i="2"/>
  <c r="AA313" i="2"/>
  <c r="AF366" i="2"/>
  <c r="AI366" i="2"/>
  <c r="AM305" i="2"/>
  <c r="AI290" i="2"/>
  <c r="Z234" i="2"/>
  <c r="BV216" i="2"/>
  <c r="AM168" i="2"/>
  <c r="AN168" i="2"/>
  <c r="AN164" i="2"/>
  <c r="AO164" i="2"/>
  <c r="AJ217" i="2"/>
  <c r="Z481" i="2"/>
  <c r="AA481" i="2"/>
  <c r="Z403" i="2"/>
  <c r="AA403" i="2"/>
  <c r="AN393" i="2"/>
  <c r="AO393" i="2"/>
  <c r="U366" i="2"/>
  <c r="AF365" i="2"/>
  <c r="AI365" i="2"/>
  <c r="AI293" i="2"/>
  <c r="M227" i="2"/>
  <c r="BA167" i="2"/>
  <c r="BB167" i="2"/>
  <c r="BC167" i="2"/>
  <c r="AT216" i="2"/>
  <c r="AO168" i="2"/>
  <c r="Z485" i="2"/>
  <c r="AA485" i="2"/>
  <c r="AO303" i="2"/>
  <c r="B307" i="2"/>
  <c r="AF355" i="2"/>
  <c r="AO232" i="2"/>
  <c r="AF219" i="2"/>
  <c r="AA451" i="2"/>
  <c r="AM460" i="2"/>
  <c r="Z402" i="2"/>
  <c r="AA402" i="2"/>
  <c r="Z231" i="2"/>
  <c r="AX218" i="2"/>
  <c r="AW218" i="2"/>
  <c r="BB162" i="2"/>
  <c r="AX219" i="2"/>
  <c r="Z406" i="2"/>
  <c r="AA406" i="2"/>
  <c r="V440" i="2"/>
  <c r="AO410" i="2"/>
  <c r="AO383" i="2"/>
  <c r="L301" i="2"/>
  <c r="M301" i="2"/>
  <c r="K302" i="2"/>
  <c r="Y312" i="2"/>
  <c r="R365" i="2"/>
  <c r="U365" i="2"/>
  <c r="BA171" i="2"/>
  <c r="BA175" i="2"/>
  <c r="BA179" i="2"/>
  <c r="AA382" i="2"/>
  <c r="Y236" i="2"/>
  <c r="Z236" i="2"/>
  <c r="AA236" i="2"/>
  <c r="BP181" i="2"/>
  <c r="BQ181" i="2"/>
  <c r="BB171" i="2"/>
  <c r="BC171" i="2"/>
  <c r="Z160" i="2"/>
  <c r="AA160" i="2"/>
  <c r="AN398" i="2"/>
  <c r="AO398" i="2"/>
  <c r="AN377" i="2"/>
  <c r="AO377" i="2"/>
  <c r="V364" i="2"/>
  <c r="B301" i="2"/>
  <c r="AN245" i="2"/>
  <c r="AO245" i="2"/>
  <c r="CE163" i="2"/>
  <c r="BO174" i="2"/>
  <c r="BP174" i="2"/>
  <c r="BQ174" i="2"/>
  <c r="R207" i="2"/>
  <c r="Y159" i="2"/>
  <c r="Y163" i="2"/>
  <c r="R216" i="2"/>
  <c r="B304" i="2"/>
  <c r="AN230" i="2"/>
  <c r="AJ291" i="2"/>
  <c r="AJ294" i="2"/>
  <c r="AO249" i="2"/>
  <c r="AN237" i="2"/>
  <c r="AO237" i="2"/>
  <c r="U291" i="2"/>
  <c r="CC174" i="2"/>
  <c r="CC178" i="2"/>
  <c r="BV219" i="2"/>
  <c r="AN402" i="2"/>
  <c r="AO402" i="2"/>
  <c r="AN379" i="2"/>
  <c r="Y242" i="2"/>
  <c r="Z238" i="2"/>
  <c r="AA238" i="2"/>
  <c r="R281" i="2"/>
  <c r="R290" i="2"/>
  <c r="Y233" i="2"/>
  <c r="Y174" i="2"/>
  <c r="R219" i="2"/>
  <c r="U219" i="2"/>
  <c r="AA158" i="2"/>
  <c r="AF142" i="2"/>
  <c r="Y235" i="2"/>
  <c r="Z235" i="2"/>
  <c r="AA235" i="2"/>
  <c r="AM238" i="2"/>
  <c r="AF291" i="2"/>
  <c r="AF218" i="2"/>
  <c r="BO187" i="2"/>
  <c r="BH216" i="2"/>
  <c r="BB170" i="2"/>
  <c r="BC170" i="2"/>
  <c r="AT219" i="2"/>
  <c r="AF217" i="2"/>
  <c r="AI217" i="2"/>
  <c r="AT145" i="2"/>
  <c r="V142" i="2"/>
  <c r="AF364" i="2"/>
  <c r="BL217" i="2"/>
  <c r="BK217" i="2"/>
  <c r="AX217" i="2"/>
  <c r="V367" i="2"/>
  <c r="U367" i="2"/>
  <c r="AA310" i="2"/>
  <c r="AN231" i="2"/>
  <c r="AF281" i="2"/>
  <c r="Y240" i="2"/>
  <c r="Z240" i="2"/>
  <c r="AA240" i="2"/>
  <c r="R293" i="2"/>
  <c r="U293" i="2"/>
  <c r="AJ218" i="2"/>
  <c r="AT217" i="2"/>
  <c r="BP177" i="2"/>
  <c r="BQ177" i="2"/>
  <c r="BL218" i="2"/>
  <c r="AJ216" i="2"/>
  <c r="Z166" i="2"/>
  <c r="AA166" i="2"/>
  <c r="L154" i="2"/>
  <c r="M154" i="2"/>
  <c r="K155" i="2"/>
  <c r="AA91" i="2"/>
  <c r="R355" i="2"/>
  <c r="Y303" i="2"/>
  <c r="Y307" i="2"/>
  <c r="AN241" i="2"/>
  <c r="AO241" i="2"/>
  <c r="Y239" i="2"/>
  <c r="R292" i="2"/>
  <c r="CC169" i="2"/>
  <c r="CD169" i="2"/>
  <c r="CE169" i="2"/>
  <c r="BV218" i="2"/>
  <c r="BY218" i="2"/>
  <c r="CE159" i="2"/>
  <c r="Y165" i="2"/>
  <c r="Y169" i="2"/>
  <c r="Y173" i="2"/>
  <c r="Z173" i="2"/>
  <c r="AA173" i="2"/>
  <c r="R218" i="2"/>
  <c r="Y326" i="2"/>
  <c r="AF292" i="2"/>
  <c r="BH218" i="2"/>
  <c r="BP167" i="2"/>
  <c r="BQ167" i="2"/>
  <c r="R217" i="2"/>
  <c r="U217" i="2"/>
  <c r="Y244" i="2"/>
  <c r="Z244" i="2"/>
  <c r="AA244" i="2"/>
  <c r="CD164" i="2"/>
  <c r="CE164" i="2"/>
  <c r="BP164" i="2"/>
  <c r="BB175" i="2"/>
  <c r="BC175" i="2"/>
  <c r="AM172" i="2"/>
  <c r="AM159" i="2"/>
  <c r="AM163" i="2"/>
  <c r="CE176" i="2"/>
  <c r="CC171" i="2"/>
  <c r="CC175" i="2"/>
  <c r="BP171" i="2"/>
  <c r="BQ171" i="2"/>
  <c r="BB163" i="2"/>
  <c r="AX216" i="2"/>
  <c r="AA170" i="2"/>
  <c r="AX144" i="2"/>
  <c r="BO175" i="2"/>
  <c r="BP175" i="2"/>
  <c r="BQ175" i="2"/>
  <c r="BH142" i="2"/>
  <c r="AA100" i="2"/>
  <c r="AA104" i="2"/>
  <c r="BH219" i="2"/>
  <c r="BP161" i="2"/>
  <c r="BB166" i="2"/>
  <c r="BC166" i="2"/>
  <c r="AJ219" i="2"/>
  <c r="Y168" i="2"/>
  <c r="Y172" i="2"/>
  <c r="Y176" i="2"/>
  <c r="V143" i="2"/>
  <c r="BL143" i="2"/>
  <c r="AO234" i="2"/>
  <c r="B231" i="2"/>
  <c r="B282" i="2"/>
  <c r="V216" i="2"/>
  <c r="CD174" i="2"/>
  <c r="CE174" i="2"/>
  <c r="CD161" i="2"/>
  <c r="CE161" i="2"/>
  <c r="BL216" i="2"/>
  <c r="BA173" i="2"/>
  <c r="BB169" i="2"/>
  <c r="BC169" i="2"/>
  <c r="AM174" i="2"/>
  <c r="AN170" i="2"/>
  <c r="AO170" i="2"/>
  <c r="AN161" i="2"/>
  <c r="AO161" i="2"/>
  <c r="Z172" i="2"/>
  <c r="AA172" i="2"/>
  <c r="BV145" i="2"/>
  <c r="CD170" i="2"/>
  <c r="Z159" i="2"/>
  <c r="BV143" i="2"/>
  <c r="Z162" i="2"/>
  <c r="AT143" i="2"/>
  <c r="AA87" i="2"/>
  <c r="CD160" i="2"/>
  <c r="CE160" i="2"/>
  <c r="BP165" i="2"/>
  <c r="BQ165" i="2"/>
  <c r="BP159" i="2"/>
  <c r="BC160" i="2"/>
  <c r="Z165" i="2"/>
  <c r="AA165" i="2"/>
  <c r="R143" i="2"/>
  <c r="U143" i="2"/>
  <c r="R144" i="2"/>
  <c r="BH144" i="2"/>
  <c r="AA92" i="2"/>
  <c r="CE165" i="2"/>
  <c r="BQ180" i="2"/>
  <c r="BB172" i="2"/>
  <c r="BC172" i="2"/>
  <c r="AN155" i="2"/>
  <c r="V145" i="2"/>
  <c r="U145" i="2"/>
  <c r="AA84" i="2"/>
  <c r="BY142" i="2"/>
  <c r="BP168" i="2"/>
  <c r="BQ168" i="2"/>
  <c r="V144" i="2"/>
  <c r="BL144" i="2"/>
  <c r="BZ143" i="2"/>
  <c r="CE168" i="2"/>
  <c r="BO179" i="2"/>
  <c r="BP179" i="2"/>
  <c r="BQ179" i="2"/>
  <c r="BC168" i="2"/>
  <c r="AM165" i="2"/>
  <c r="AM169" i="2"/>
  <c r="AN158" i="2"/>
  <c r="BH143" i="2"/>
  <c r="AJ143" i="2"/>
  <c r="AT142" i="2"/>
  <c r="AF144" i="2"/>
  <c r="AI144" i="2"/>
  <c r="AT144" i="2"/>
  <c r="BZ144" i="2"/>
  <c r="BY144" i="2"/>
  <c r="BZ145" i="2"/>
  <c r="AF145" i="2"/>
  <c r="AX143" i="2"/>
  <c r="AX145" i="2"/>
  <c r="AW217" i="2"/>
  <c r="BK218" i="2"/>
  <c r="AJ220" i="2"/>
  <c r="V220" i="2"/>
  <c r="BY219" i="2"/>
  <c r="BK219" i="2"/>
  <c r="U218" i="2"/>
  <c r="AI145" i="2"/>
  <c r="AW143" i="2"/>
  <c r="AW144" i="2"/>
  <c r="AW145" i="2"/>
  <c r="AI143" i="2"/>
  <c r="BY145" i="2"/>
  <c r="V146" i="2"/>
  <c r="AA95" i="2"/>
  <c r="AJ146" i="2"/>
  <c r="M81" i="2"/>
  <c r="AN985" i="2"/>
  <c r="AO985" i="2"/>
  <c r="AM989" i="2"/>
  <c r="Y922" i="2"/>
  <c r="Z918" i="2"/>
  <c r="AA918" i="2"/>
  <c r="A290" i="2"/>
  <c r="B283" i="2"/>
  <c r="B284" i="2"/>
  <c r="Y493" i="2"/>
  <c r="Z493" i="2"/>
  <c r="AA493" i="2"/>
  <c r="Z489" i="2"/>
  <c r="AA489" i="2"/>
  <c r="AA93" i="2"/>
  <c r="AA159" i="2"/>
  <c r="AA99" i="2"/>
  <c r="R653" i="2"/>
  <c r="R652" i="2"/>
  <c r="S652" i="2"/>
  <c r="A660" i="2"/>
  <c r="R580" i="2"/>
  <c r="A216" i="2"/>
  <c r="B209" i="2"/>
  <c r="B210" i="2"/>
  <c r="K750" i="2"/>
  <c r="L749" i="2"/>
  <c r="R654" i="2"/>
  <c r="R727" i="2"/>
  <c r="R726" i="2"/>
  <c r="S726" i="2"/>
  <c r="Z176" i="2"/>
  <c r="AA176" i="2"/>
  <c r="Y180" i="2"/>
  <c r="Z180" i="2"/>
  <c r="AA180" i="2"/>
  <c r="M522" i="2"/>
  <c r="AF358" i="2"/>
  <c r="AF431" i="2"/>
  <c r="AF430" i="2"/>
  <c r="AG430" i="2"/>
  <c r="AO685" i="2"/>
  <c r="R134" i="2"/>
  <c r="S134" i="2"/>
  <c r="R135" i="2"/>
  <c r="L526" i="2"/>
  <c r="M526" i="2"/>
  <c r="K527" i="2"/>
  <c r="AN172" i="2"/>
  <c r="AO172" i="2"/>
  <c r="AM176" i="2"/>
  <c r="B800" i="2"/>
  <c r="B801" i="2"/>
  <c r="B802" i="2"/>
  <c r="Z471" i="2"/>
  <c r="AA471" i="2"/>
  <c r="V442" i="2"/>
  <c r="Y908" i="2"/>
  <c r="Z904" i="2"/>
  <c r="S1031" i="2"/>
  <c r="U1031" i="2"/>
  <c r="BK143" i="2"/>
  <c r="BY143" i="2"/>
  <c r="BV146" i="2"/>
  <c r="BP218" i="2"/>
  <c r="BQ218" i="2"/>
  <c r="BQ161" i="2"/>
  <c r="U216" i="2"/>
  <c r="R220" i="2"/>
  <c r="AN159" i="2"/>
  <c r="AO159" i="2"/>
  <c r="M377" i="2"/>
  <c r="Z842" i="2"/>
  <c r="AA842" i="2"/>
  <c r="Y835" i="2"/>
  <c r="Z831" i="2"/>
  <c r="AA831" i="2"/>
  <c r="U1032" i="2"/>
  <c r="S1032" i="2"/>
  <c r="Z615" i="2"/>
  <c r="AA615" i="2"/>
  <c r="Y619" i="2"/>
  <c r="AM825" i="2"/>
  <c r="AN821" i="2"/>
  <c r="AM767" i="2"/>
  <c r="AN763" i="2"/>
  <c r="AO763" i="2"/>
  <c r="AA527" i="2"/>
  <c r="AO158" i="2"/>
  <c r="R146" i="2"/>
  <c r="U142" i="2"/>
  <c r="AM611" i="2"/>
  <c r="AN607" i="2"/>
  <c r="AN613" i="2"/>
  <c r="AO613" i="2"/>
  <c r="AM617" i="2"/>
  <c r="AT135" i="2"/>
  <c r="AT134" i="2"/>
  <c r="AU134" i="2"/>
  <c r="BL146" i="2"/>
  <c r="AN290" i="2"/>
  <c r="AM982" i="2"/>
  <c r="AN978" i="2"/>
  <c r="AF876" i="2"/>
  <c r="AF948" i="2"/>
  <c r="AG948" i="2"/>
  <c r="AF949" i="2"/>
  <c r="Y458" i="2"/>
  <c r="Z454" i="2"/>
  <c r="AA749" i="2"/>
  <c r="Y909" i="2"/>
  <c r="Z905" i="2"/>
  <c r="AA905" i="2"/>
  <c r="M597" i="2"/>
  <c r="L675" i="2"/>
  <c r="M675" i="2"/>
  <c r="K676" i="2"/>
  <c r="AA976" i="2"/>
  <c r="AM902" i="2"/>
  <c r="AN898" i="2"/>
  <c r="Y177" i="2"/>
  <c r="D507" i="2"/>
  <c r="D580" i="2"/>
  <c r="D579" i="2"/>
  <c r="E579" i="2"/>
  <c r="R578" i="2"/>
  <c r="S578" i="2"/>
  <c r="AF578" i="2"/>
  <c r="AG578" i="2"/>
  <c r="A586" i="2"/>
  <c r="AO749" i="2"/>
  <c r="AM691" i="2"/>
  <c r="AN687" i="2"/>
  <c r="AO687" i="2"/>
  <c r="AA748" i="2"/>
  <c r="BH146" i="2"/>
  <c r="BK142" i="2"/>
  <c r="AW219" i="2"/>
  <c r="BA178" i="2"/>
  <c r="BB178" i="2"/>
  <c r="BC178" i="2"/>
  <c r="BB174" i="2"/>
  <c r="BC174" i="2"/>
  <c r="AO307" i="2"/>
  <c r="Y480" i="2"/>
  <c r="Z476" i="2"/>
  <c r="AA476" i="2"/>
  <c r="AO382" i="2"/>
  <c r="AN439" i="2"/>
  <c r="AO439" i="2"/>
  <c r="Z752" i="2"/>
  <c r="AA752" i="2"/>
  <c r="Y756" i="2"/>
  <c r="U884" i="2"/>
  <c r="AN620" i="2"/>
  <c r="AO620" i="2"/>
  <c r="AM624" i="2"/>
  <c r="R590" i="2"/>
  <c r="U586" i="2"/>
  <c r="AA83" i="2"/>
  <c r="CD175" i="2"/>
  <c r="CD217" i="2"/>
  <c r="CE217" i="2"/>
  <c r="Z174" i="2"/>
  <c r="AA174" i="2"/>
  <c r="Y178" i="2"/>
  <c r="AA89" i="2"/>
  <c r="Z169" i="2"/>
  <c r="AA169" i="2"/>
  <c r="Y248" i="2"/>
  <c r="Y237" i="2"/>
  <c r="Z233" i="2"/>
  <c r="CC182" i="2"/>
  <c r="CD178" i="2"/>
  <c r="CE178" i="2"/>
  <c r="AF284" i="2"/>
  <c r="AF356" i="2"/>
  <c r="AG356" i="2"/>
  <c r="AF357" i="2"/>
  <c r="AA234" i="2"/>
  <c r="R368" i="2"/>
  <c r="U364" i="2"/>
  <c r="AF1022" i="2"/>
  <c r="AG1022" i="2"/>
  <c r="AF1023" i="2"/>
  <c r="AF950" i="2"/>
  <c r="Y850" i="2"/>
  <c r="AO679" i="2"/>
  <c r="Z971" i="2"/>
  <c r="Y975" i="2"/>
  <c r="M672" i="2"/>
  <c r="AI958" i="2"/>
  <c r="Y547" i="2"/>
  <c r="Z543" i="2"/>
  <c r="AA543" i="2"/>
  <c r="AO759" i="2"/>
  <c r="AA604" i="2"/>
  <c r="K820" i="2"/>
  <c r="L819" i="2"/>
  <c r="M819" i="2"/>
  <c r="AN919" i="2"/>
  <c r="AO919" i="2"/>
  <c r="AM923" i="2"/>
  <c r="AN923" i="2"/>
  <c r="AO923" i="2"/>
  <c r="AN305" i="2"/>
  <c r="AM309" i="2"/>
  <c r="B874" i="2"/>
  <c r="B875" i="2"/>
  <c r="B876" i="2"/>
  <c r="AF442" i="2"/>
  <c r="AI438" i="2"/>
  <c r="AI586" i="2"/>
  <c r="AF590" i="2"/>
  <c r="BQ159" i="2"/>
  <c r="AO379" i="2"/>
  <c r="AF208" i="2"/>
  <c r="AG208" i="2"/>
  <c r="AF209" i="2"/>
  <c r="AF136" i="2"/>
  <c r="AO529" i="2"/>
  <c r="Y392" i="2"/>
  <c r="Z388" i="2"/>
  <c r="AA388" i="2"/>
  <c r="AI216" i="2"/>
  <c r="AN174" i="2"/>
  <c r="AO174" i="2"/>
  <c r="AM178" i="2"/>
  <c r="BK144" i="2"/>
  <c r="B356" i="2"/>
  <c r="B357" i="2"/>
  <c r="B358" i="2"/>
  <c r="AM462" i="2"/>
  <c r="AN458" i="2"/>
  <c r="AO458" i="2"/>
  <c r="AM995" i="2"/>
  <c r="AN991" i="2"/>
  <c r="AO991" i="2"/>
  <c r="AF210" i="2"/>
  <c r="AF282" i="2"/>
  <c r="AG282" i="2"/>
  <c r="AF283" i="2"/>
  <c r="Y316" i="2"/>
  <c r="Z312" i="2"/>
  <c r="AM322" i="2"/>
  <c r="AN318" i="2"/>
  <c r="AO318" i="2"/>
  <c r="AA377" i="2"/>
  <c r="AN824" i="2"/>
  <c r="AM828" i="2"/>
  <c r="AG1033" i="2"/>
  <c r="AI1033" i="2"/>
  <c r="Y980" i="2"/>
  <c r="AF886" i="2"/>
  <c r="AI882" i="2"/>
  <c r="Z440" i="2"/>
  <c r="AA440" i="2"/>
  <c r="AO826" i="2"/>
  <c r="V812" i="2"/>
  <c r="AG1032" i="2"/>
  <c r="AI1032" i="2"/>
  <c r="M818" i="2"/>
  <c r="Z612" i="2"/>
  <c r="AA612" i="2"/>
  <c r="AO454" i="2"/>
  <c r="Y620" i="2"/>
  <c r="Z616" i="2"/>
  <c r="AA616" i="2"/>
  <c r="AA902" i="2"/>
  <c r="R506" i="2"/>
  <c r="R579" i="2"/>
  <c r="BZ146" i="2"/>
  <c r="K230" i="2"/>
  <c r="L229" i="2"/>
  <c r="K971" i="2"/>
  <c r="L970" i="2"/>
  <c r="Y311" i="2"/>
  <c r="Z307" i="2"/>
  <c r="AA307" i="2"/>
  <c r="AO977" i="2"/>
  <c r="R356" i="2"/>
  <c r="S356" i="2"/>
  <c r="R357" i="2"/>
  <c r="R284" i="2"/>
  <c r="AO230" i="2"/>
  <c r="AM464" i="2"/>
  <c r="AN460" i="2"/>
  <c r="AN531" i="2"/>
  <c r="AO531" i="2"/>
  <c r="AM535" i="2"/>
  <c r="R432" i="2"/>
  <c r="R504" i="2"/>
  <c r="S504" i="2"/>
  <c r="R505" i="2"/>
  <c r="Z824" i="2"/>
  <c r="Y828" i="2"/>
  <c r="AN981" i="2"/>
  <c r="AO981" i="2"/>
  <c r="BH134" i="2"/>
  <c r="BI134" i="2"/>
  <c r="BH135" i="2"/>
  <c r="AN401" i="2"/>
  <c r="AO401" i="2"/>
  <c r="AM405" i="2"/>
  <c r="AM912" i="2"/>
  <c r="AN908" i="2"/>
  <c r="AO908" i="2"/>
  <c r="BB179" i="2"/>
  <c r="BC179" i="2"/>
  <c r="Y479" i="2"/>
  <c r="Z475" i="2"/>
  <c r="AA475" i="2"/>
  <c r="AO155" i="2"/>
  <c r="BL220" i="2"/>
  <c r="AI218" i="2"/>
  <c r="BB145" i="2"/>
  <c r="BC145" i="2"/>
  <c r="AA82" i="2"/>
  <c r="AA108" i="2"/>
  <c r="AA162" i="2"/>
  <c r="BP217" i="2"/>
  <c r="BQ217" i="2"/>
  <c r="BQ164" i="2"/>
  <c r="Y243" i="2"/>
  <c r="Z239" i="2"/>
  <c r="AA239" i="2"/>
  <c r="AO231" i="2"/>
  <c r="AI291" i="2"/>
  <c r="L302" i="2"/>
  <c r="K303" i="2"/>
  <c r="Z303" i="2"/>
  <c r="AT208" i="2"/>
  <c r="AU208" i="2"/>
  <c r="AT209" i="2"/>
  <c r="AF294" i="2"/>
  <c r="AA157" i="2"/>
  <c r="AA232" i="2"/>
  <c r="AM761" i="2"/>
  <c r="AN757" i="2"/>
  <c r="AO757" i="2"/>
  <c r="R812" i="2"/>
  <c r="U808" i="2"/>
  <c r="Z995" i="2"/>
  <c r="AA995" i="2"/>
  <c r="Y999" i="2"/>
  <c r="Z999" i="2"/>
  <c r="AA999" i="2"/>
  <c r="AO532" i="2"/>
  <c r="AN538" i="2"/>
  <c r="AM542" i="2"/>
  <c r="AO899" i="2"/>
  <c r="AA383" i="2"/>
  <c r="D950" i="2"/>
  <c r="D949" i="2"/>
  <c r="E949" i="2"/>
  <c r="R948" i="2"/>
  <c r="S948" i="2"/>
  <c r="A956" i="2"/>
  <c r="D877" i="2"/>
  <c r="AN768" i="2"/>
  <c r="AO768" i="2"/>
  <c r="Z467" i="2"/>
  <c r="AA467" i="2"/>
  <c r="R664" i="2"/>
  <c r="U660" i="2"/>
  <c r="AI660" i="2"/>
  <c r="AF664" i="2"/>
  <c r="D357" i="2"/>
  <c r="E357" i="2"/>
  <c r="D285" i="2"/>
  <c r="D358" i="2"/>
  <c r="AM407" i="2"/>
  <c r="AN403" i="2"/>
  <c r="AO403" i="2"/>
  <c r="U882" i="2"/>
  <c r="R886" i="2"/>
  <c r="CE170" i="2"/>
  <c r="AF738" i="2"/>
  <c r="AI734" i="2"/>
  <c r="V1034" i="2"/>
  <c r="R728" i="2"/>
  <c r="R800" i="2"/>
  <c r="S800" i="2"/>
  <c r="R801" i="2"/>
  <c r="AN163" i="2"/>
  <c r="AO163" i="2"/>
  <c r="AM167" i="2"/>
  <c r="D137" i="2"/>
  <c r="D209" i="2"/>
  <c r="E209" i="2"/>
  <c r="D210" i="2"/>
  <c r="AN316" i="2"/>
  <c r="AM320" i="2"/>
  <c r="AM696" i="2"/>
  <c r="AN692" i="2"/>
  <c r="AO692" i="2"/>
  <c r="Z168" i="2"/>
  <c r="BB219" i="2"/>
  <c r="BC219" i="2"/>
  <c r="BC162" i="2"/>
  <c r="L155" i="2"/>
  <c r="K156" i="2"/>
  <c r="U290" i="2"/>
  <c r="R294" i="2"/>
  <c r="AX146" i="2"/>
  <c r="M78" i="2"/>
  <c r="BO178" i="2"/>
  <c r="BC163" i="2"/>
  <c r="Z326" i="2"/>
  <c r="AA326" i="2"/>
  <c r="Y330" i="2"/>
  <c r="Z330" i="2"/>
  <c r="AA330" i="2"/>
  <c r="AN238" i="2"/>
  <c r="AO238" i="2"/>
  <c r="AM242" i="2"/>
  <c r="AN242" i="2"/>
  <c r="AO242" i="2"/>
  <c r="Y381" i="2"/>
  <c r="AN384" i="2"/>
  <c r="AO384" i="2"/>
  <c r="AM388" i="2"/>
  <c r="AM467" i="2"/>
  <c r="R442" i="2"/>
  <c r="U438" i="2"/>
  <c r="AA453" i="2"/>
  <c r="AO678" i="2"/>
  <c r="AO1033" i="2"/>
  <c r="AI513" i="2"/>
  <c r="AF516" i="2"/>
  <c r="AI956" i="2"/>
  <c r="AF960" i="2"/>
  <c r="AF812" i="2"/>
  <c r="AI808" i="2"/>
  <c r="Y687" i="2"/>
  <c r="Z683" i="2"/>
  <c r="AA683" i="2"/>
  <c r="B578" i="2"/>
  <c r="B579" i="2"/>
  <c r="B580" i="2"/>
  <c r="D802" i="2"/>
  <c r="D801" i="2"/>
  <c r="E801" i="2"/>
  <c r="D729" i="2"/>
  <c r="AI1030" i="2"/>
  <c r="AG1030" i="2"/>
  <c r="AF1034" i="2"/>
  <c r="AG1034" i="2"/>
  <c r="AO609" i="2"/>
  <c r="AN618" i="2"/>
  <c r="AO618" i="2"/>
  <c r="AM622" i="2"/>
  <c r="U144" i="2"/>
  <c r="D136" i="2"/>
  <c r="D135" i="2"/>
  <c r="E135" i="2"/>
  <c r="BB173" i="2"/>
  <c r="BA177" i="2"/>
  <c r="AX220" i="2"/>
  <c r="R283" i="2"/>
  <c r="R210" i="2"/>
  <c r="R282" i="2"/>
  <c r="S282" i="2"/>
  <c r="AO380" i="2"/>
  <c r="AA380" i="2"/>
  <c r="AO527" i="2"/>
  <c r="AM540" i="2"/>
  <c r="AN536" i="2"/>
  <c r="AO536" i="2"/>
  <c r="R431" i="2"/>
  <c r="R358" i="2"/>
  <c r="R430" i="2"/>
  <c r="S430" i="2"/>
  <c r="AA673" i="2"/>
  <c r="V516" i="2"/>
  <c r="AF506" i="2"/>
  <c r="AF579" i="2"/>
  <c r="AO603" i="2"/>
  <c r="U515" i="2"/>
  <c r="B948" i="2"/>
  <c r="B949" i="2"/>
  <c r="B950" i="2"/>
  <c r="Y763" i="2"/>
  <c r="Z759" i="2"/>
  <c r="AA759" i="2"/>
  <c r="AI810" i="2"/>
  <c r="AO752" i="2"/>
  <c r="S1030" i="2"/>
  <c r="U1030" i="2"/>
  <c r="R1034" i="2"/>
  <c r="S1034" i="2"/>
  <c r="L598" i="2"/>
  <c r="M598" i="2"/>
  <c r="K599" i="2"/>
  <c r="AM839" i="2"/>
  <c r="AN835" i="2"/>
  <c r="AO835" i="2"/>
  <c r="AN169" i="2"/>
  <c r="AM173" i="2"/>
  <c r="AF135" i="2"/>
  <c r="AF134" i="2"/>
  <c r="AG134" i="2"/>
  <c r="AW216" i="2"/>
  <c r="AT220" i="2"/>
  <c r="AM240" i="2"/>
  <c r="AN236" i="2"/>
  <c r="M83" i="2"/>
  <c r="Z706" i="2"/>
  <c r="AA706" i="2"/>
  <c r="Y710" i="2"/>
  <c r="Z710" i="2"/>
  <c r="AA710" i="2"/>
  <c r="AO676" i="2"/>
  <c r="AF220" i="2"/>
  <c r="B504" i="2"/>
  <c r="B505" i="2"/>
  <c r="B506" i="2"/>
  <c r="AF874" i="2"/>
  <c r="AG874" i="2"/>
  <c r="AF802" i="2"/>
  <c r="AF875" i="2"/>
  <c r="Z825" i="2"/>
  <c r="Y829" i="2"/>
  <c r="Z826" i="2"/>
  <c r="Y830" i="2"/>
  <c r="Z830" i="2"/>
  <c r="AA830" i="2"/>
  <c r="Z525" i="2"/>
  <c r="Y529" i="2"/>
  <c r="AA747" i="2"/>
  <c r="Y978" i="2"/>
  <c r="Z978" i="2"/>
  <c r="AA978" i="2"/>
  <c r="Z974" i="2"/>
  <c r="Z685" i="2"/>
  <c r="AA685" i="2"/>
  <c r="Y689" i="2"/>
  <c r="U1033" i="2"/>
  <c r="S1033" i="2"/>
  <c r="Z367" i="2"/>
  <c r="AA367" i="2"/>
  <c r="K452" i="2"/>
  <c r="L451" i="2"/>
  <c r="R738" i="2"/>
  <c r="D655" i="2"/>
  <c r="D727" i="2"/>
  <c r="E727" i="2"/>
  <c r="A734" i="2"/>
  <c r="D728" i="2"/>
  <c r="AN811" i="2"/>
  <c r="AO811" i="2"/>
  <c r="CE175" i="2"/>
  <c r="CC179" i="2"/>
  <c r="Z242" i="2"/>
  <c r="AA242" i="2"/>
  <c r="Y246" i="2"/>
  <c r="AI219" i="2"/>
  <c r="D433" i="2"/>
  <c r="D505" i="2"/>
  <c r="E505" i="2"/>
  <c r="D506" i="2"/>
  <c r="CD171" i="2"/>
  <c r="AI439" i="2"/>
  <c r="U440" i="2"/>
  <c r="AA606" i="2"/>
  <c r="Y915" i="2"/>
  <c r="Z911" i="2"/>
  <c r="AA911" i="2"/>
  <c r="AM686" i="2"/>
  <c r="AN682" i="2"/>
  <c r="AO682" i="2"/>
  <c r="Y325" i="2"/>
  <c r="Z321" i="2"/>
  <c r="AA321" i="2"/>
  <c r="Y981" i="2"/>
  <c r="Z977" i="2"/>
  <c r="AA977" i="2"/>
  <c r="R949" i="2"/>
  <c r="R876" i="2"/>
  <c r="Z762" i="2"/>
  <c r="AA762" i="2"/>
  <c r="Y766" i="2"/>
  <c r="AJ516" i="2"/>
  <c r="AN915" i="2"/>
  <c r="AO915" i="2"/>
  <c r="BV135" i="2"/>
  <c r="BV134" i="2"/>
  <c r="BW134" i="2"/>
  <c r="AI142" i="2"/>
  <c r="AF146" i="2"/>
  <c r="BY216" i="2"/>
  <c r="BV220" i="2"/>
  <c r="BH208" i="2"/>
  <c r="BI208" i="2"/>
  <c r="BH209" i="2"/>
  <c r="BV208" i="2"/>
  <c r="BW208" i="2"/>
  <c r="BV209" i="2"/>
  <c r="Z680" i="2"/>
  <c r="Y684" i="2"/>
  <c r="AF432" i="2"/>
  <c r="AF504" i="2"/>
  <c r="AG504" i="2"/>
  <c r="AF505" i="2"/>
  <c r="AI735" i="2"/>
  <c r="Z761" i="2"/>
  <c r="AA761" i="2"/>
  <c r="Y765" i="2"/>
  <c r="V886" i="2"/>
  <c r="Z613" i="2"/>
  <c r="Y617" i="2"/>
  <c r="M892" i="2"/>
  <c r="U956" i="2"/>
  <c r="R960" i="2"/>
  <c r="Y899" i="2"/>
  <c r="Z899" i="2"/>
  <c r="AA899" i="2"/>
  <c r="Z895" i="2"/>
  <c r="R950" i="2"/>
  <c r="R1022" i="2"/>
  <c r="S1022" i="2"/>
  <c r="R1023" i="2"/>
  <c r="Y630" i="2"/>
  <c r="Z630" i="2"/>
  <c r="AA630" i="2"/>
  <c r="Z626" i="2"/>
  <c r="AA626" i="2"/>
  <c r="Y167" i="2"/>
  <c r="Z163" i="2"/>
  <c r="AA163" i="2"/>
  <c r="Z145" i="2"/>
  <c r="AA145" i="2"/>
  <c r="AF368" i="2"/>
  <c r="AI364" i="2"/>
  <c r="R136" i="2"/>
  <c r="R209" i="2"/>
  <c r="R208" i="2"/>
  <c r="S208" i="2"/>
  <c r="AA231" i="2"/>
  <c r="CD144" i="2"/>
  <c r="CE144" i="2"/>
  <c r="AT146" i="2"/>
  <c r="AW142" i="2"/>
  <c r="AI292" i="2"/>
  <c r="U292" i="2"/>
  <c r="BK216" i="2"/>
  <c r="BH220" i="2"/>
  <c r="V368" i="2"/>
  <c r="CC173" i="2"/>
  <c r="AN165" i="2"/>
  <c r="AO165" i="2"/>
  <c r="AN311" i="2"/>
  <c r="AO311" i="2"/>
  <c r="AM315" i="2"/>
  <c r="L378" i="2"/>
  <c r="M378" i="2"/>
  <c r="K379" i="2"/>
  <c r="Y686" i="2"/>
  <c r="Z686" i="2"/>
  <c r="D1024" i="2"/>
  <c r="D951" i="2"/>
  <c r="D1023" i="2"/>
  <c r="E1023" i="2"/>
  <c r="A1030" i="2"/>
  <c r="L893" i="2"/>
  <c r="M893" i="2"/>
  <c r="K894" i="2"/>
  <c r="AJ960" i="2"/>
  <c r="AF728" i="2"/>
  <c r="AF801" i="2"/>
  <c r="AF800" i="2"/>
  <c r="AG800" i="2"/>
  <c r="D876" i="2"/>
  <c r="D875" i="2"/>
  <c r="E875" i="2"/>
  <c r="D803" i="2"/>
  <c r="AM846" i="2"/>
  <c r="AN842" i="2"/>
  <c r="AO842" i="2"/>
  <c r="L156" i="2"/>
  <c r="M156" i="2"/>
  <c r="K157" i="2"/>
  <c r="Z167" i="2"/>
  <c r="AA167" i="2"/>
  <c r="Y171" i="2"/>
  <c r="Y985" i="2"/>
  <c r="Z981" i="2"/>
  <c r="AA981" i="2"/>
  <c r="AA974" i="2"/>
  <c r="A438" i="2"/>
  <c r="M155" i="2"/>
  <c r="AO316" i="2"/>
  <c r="AA824" i="2"/>
  <c r="AM392" i="2"/>
  <c r="AN388" i="2"/>
  <c r="BP178" i="2"/>
  <c r="BO182" i="2"/>
  <c r="AA85" i="2"/>
  <c r="K821" i="2"/>
  <c r="L820" i="2"/>
  <c r="M820" i="2"/>
  <c r="Y182" i="2"/>
  <c r="Z178" i="2"/>
  <c r="AO290" i="2"/>
  <c r="CC177" i="2"/>
  <c r="CD173" i="2"/>
  <c r="Z684" i="2"/>
  <c r="Y688" i="2"/>
  <c r="Y329" i="2"/>
  <c r="Z325" i="2"/>
  <c r="A512" i="2"/>
  <c r="AO538" i="2"/>
  <c r="AN291" i="2"/>
  <c r="AO291" i="2"/>
  <c r="AM999" i="2"/>
  <c r="AN999" i="2"/>
  <c r="AO999" i="2"/>
  <c r="AN995" i="2"/>
  <c r="AO995" i="2"/>
  <c r="Y396" i="2"/>
  <c r="Z392" i="2"/>
  <c r="Z177" i="2"/>
  <c r="AA177" i="2"/>
  <c r="Y181" i="2"/>
  <c r="AM180" i="2"/>
  <c r="AN176" i="2"/>
  <c r="AO176" i="2"/>
  <c r="CE171" i="2"/>
  <c r="AM471" i="2"/>
  <c r="AN467" i="2"/>
  <c r="Z248" i="2"/>
  <c r="Y252" i="2"/>
  <c r="Z252" i="2"/>
  <c r="Z293" i="2"/>
  <c r="AA293" i="2"/>
  <c r="Y247" i="2"/>
  <c r="Z243" i="2"/>
  <c r="AN828" i="2"/>
  <c r="AN885" i="2"/>
  <c r="AO885" i="2"/>
  <c r="AO824" i="2"/>
  <c r="Z909" i="2"/>
  <c r="Y913" i="2"/>
  <c r="AM986" i="2"/>
  <c r="AN982" i="2"/>
  <c r="Y623" i="2"/>
  <c r="Z619" i="2"/>
  <c r="AA619" i="2"/>
  <c r="AM546" i="2"/>
  <c r="AN542" i="2"/>
  <c r="AO542" i="2"/>
  <c r="Y760" i="2"/>
  <c r="Z756" i="2"/>
  <c r="AM850" i="2"/>
  <c r="AN846" i="2"/>
  <c r="AA680" i="2"/>
  <c r="Y533" i="2"/>
  <c r="Z529" i="2"/>
  <c r="AA529" i="2"/>
  <c r="AM177" i="2"/>
  <c r="AN173" i="2"/>
  <c r="AO173" i="2"/>
  <c r="BA181" i="2"/>
  <c r="BB177" i="2"/>
  <c r="BC177" i="2"/>
  <c r="Z850" i="2"/>
  <c r="AA850" i="2"/>
  <c r="CD182" i="2"/>
  <c r="AO898" i="2"/>
  <c r="AA454" i="2"/>
  <c r="Z617" i="2"/>
  <c r="AA617" i="2"/>
  <c r="Y621" i="2"/>
  <c r="AM690" i="2"/>
  <c r="AN686" i="2"/>
  <c r="AA525" i="2"/>
  <c r="AO169" i="2"/>
  <c r="AM544" i="2"/>
  <c r="AN540" i="2"/>
  <c r="AO540" i="2"/>
  <c r="BC173" i="2"/>
  <c r="Y385" i="2"/>
  <c r="Z381" i="2"/>
  <c r="AM171" i="2"/>
  <c r="AN167" i="2"/>
  <c r="AO167" i="2"/>
  <c r="AN912" i="2"/>
  <c r="AM916" i="2"/>
  <c r="AN535" i="2"/>
  <c r="AM539" i="2"/>
  <c r="Z311" i="2"/>
  <c r="AA311" i="2"/>
  <c r="Y315" i="2"/>
  <c r="AN462" i="2"/>
  <c r="AM466" i="2"/>
  <c r="AA233" i="2"/>
  <c r="AN902" i="2"/>
  <c r="AO902" i="2"/>
  <c r="AM906" i="2"/>
  <c r="Y462" i="2"/>
  <c r="Z458" i="2"/>
  <c r="AA458" i="2"/>
  <c r="K528" i="2"/>
  <c r="L528" i="2"/>
  <c r="M528" i="2"/>
  <c r="L527" i="2"/>
  <c r="M527" i="2"/>
  <c r="A882" i="2"/>
  <c r="AA613" i="2"/>
  <c r="Y770" i="2"/>
  <c r="Z766" i="2"/>
  <c r="Z246" i="2"/>
  <c r="AA246" i="2"/>
  <c r="Y250" i="2"/>
  <c r="Z250" i="2"/>
  <c r="AA250" i="2"/>
  <c r="M451" i="2"/>
  <c r="AM411" i="2"/>
  <c r="AN411" i="2"/>
  <c r="AO411" i="2"/>
  <c r="AN407" i="2"/>
  <c r="AO407" i="2"/>
  <c r="AA303" i="2"/>
  <c r="M970" i="2"/>
  <c r="Y241" i="2"/>
  <c r="Z237" i="2"/>
  <c r="AA237" i="2"/>
  <c r="Z835" i="2"/>
  <c r="AA835" i="2"/>
  <c r="Y839" i="2"/>
  <c r="Z915" i="2"/>
  <c r="AA915" i="2"/>
  <c r="Y919" i="2"/>
  <c r="L452" i="2"/>
  <c r="M452" i="2"/>
  <c r="K453" i="2"/>
  <c r="AA826" i="2"/>
  <c r="Z883" i="2"/>
  <c r="AA883" i="2"/>
  <c r="M84" i="2"/>
  <c r="A808" i="2"/>
  <c r="AA168" i="2"/>
  <c r="K304" i="2"/>
  <c r="L303" i="2"/>
  <c r="M303" i="2"/>
  <c r="AN405" i="2"/>
  <c r="AO405" i="2"/>
  <c r="AM409" i="2"/>
  <c r="AN409" i="2"/>
  <c r="AO409" i="2"/>
  <c r="AO460" i="2"/>
  <c r="L971" i="2"/>
  <c r="M971" i="2"/>
  <c r="K972" i="2"/>
  <c r="AN322" i="2"/>
  <c r="AO322" i="2"/>
  <c r="AM326" i="2"/>
  <c r="Z547" i="2"/>
  <c r="Y551" i="2"/>
  <c r="Z551" i="2"/>
  <c r="AA551" i="2"/>
  <c r="AA252" i="2"/>
  <c r="AA248" i="2"/>
  <c r="Y484" i="2"/>
  <c r="Z484" i="2"/>
  <c r="AA484" i="2"/>
  <c r="Z480" i="2"/>
  <c r="AA480" i="2"/>
  <c r="AN617" i="2"/>
  <c r="AO617" i="2"/>
  <c r="AM621" i="2"/>
  <c r="AA103" i="2"/>
  <c r="Y320" i="2"/>
  <c r="Z316" i="2"/>
  <c r="AA316" i="2"/>
  <c r="AN309" i="2"/>
  <c r="AO309" i="2"/>
  <c r="AM313" i="2"/>
  <c r="AO607" i="2"/>
  <c r="Z908" i="2"/>
  <c r="AA908" i="2"/>
  <c r="Y912" i="2"/>
  <c r="Y926" i="2"/>
  <c r="Z926" i="2"/>
  <c r="AA926" i="2"/>
  <c r="Z922" i="2"/>
  <c r="AA922" i="2"/>
  <c r="Z620" i="2"/>
  <c r="Y624" i="2"/>
  <c r="Y769" i="2"/>
  <c r="Z765" i="2"/>
  <c r="AA765" i="2"/>
  <c r="Z663" i="2"/>
  <c r="AA663" i="2"/>
  <c r="Y833" i="2"/>
  <c r="Z829" i="2"/>
  <c r="AA829" i="2"/>
  <c r="M229" i="2"/>
  <c r="AA312" i="2"/>
  <c r="B135" i="2"/>
  <c r="B136" i="2"/>
  <c r="AN691" i="2"/>
  <c r="AM695" i="2"/>
  <c r="K677" i="2"/>
  <c r="L676" i="2"/>
  <c r="AA904" i="2"/>
  <c r="L230" i="2"/>
  <c r="M230" i="2"/>
  <c r="K231" i="2"/>
  <c r="L231" i="2"/>
  <c r="M231" i="2"/>
  <c r="CD179" i="2"/>
  <c r="CE179" i="2"/>
  <c r="AO236" i="2"/>
  <c r="AN839" i="2"/>
  <c r="AO839" i="2"/>
  <c r="AM843" i="2"/>
  <c r="BB217" i="2"/>
  <c r="BC217" i="2"/>
  <c r="AO305" i="2"/>
  <c r="AN611" i="2"/>
  <c r="AM615" i="2"/>
  <c r="AN767" i="2"/>
  <c r="AM771" i="2"/>
  <c r="M749" i="2"/>
  <c r="AA97" i="2"/>
  <c r="AM993" i="2"/>
  <c r="AN989" i="2"/>
  <c r="AO989" i="2"/>
  <c r="K895" i="2"/>
  <c r="L894" i="2"/>
  <c r="M894" i="2"/>
  <c r="L599" i="2"/>
  <c r="M599" i="2"/>
  <c r="K600" i="2"/>
  <c r="AM324" i="2"/>
  <c r="AN320" i="2"/>
  <c r="AO320" i="2"/>
  <c r="Y832" i="2"/>
  <c r="Z828" i="2"/>
  <c r="AA828" i="2"/>
  <c r="AO828" i="2"/>
  <c r="AM832" i="2"/>
  <c r="AN832" i="2"/>
  <c r="Z975" i="2"/>
  <c r="Z980" i="2"/>
  <c r="Z1032" i="2"/>
  <c r="AA1032" i="2"/>
  <c r="AA971" i="2"/>
  <c r="BP143" i="2"/>
  <c r="BQ143" i="2"/>
  <c r="AO978" i="2"/>
  <c r="AM829" i="2"/>
  <c r="AN829" i="2"/>
  <c r="AO829" i="2"/>
  <c r="AN825" i="2"/>
  <c r="AO825" i="2"/>
  <c r="AA686" i="2"/>
  <c r="M302" i="2"/>
  <c r="AM468" i="2"/>
  <c r="AN464" i="2"/>
  <c r="AO464" i="2"/>
  <c r="Y984" i="2"/>
  <c r="AA980" i="2"/>
  <c r="K380" i="2"/>
  <c r="L379" i="2"/>
  <c r="AA825" i="2"/>
  <c r="A364" i="2"/>
  <c r="AN315" i="2"/>
  <c r="AO315" i="2"/>
  <c r="AM319" i="2"/>
  <c r="AA895" i="2"/>
  <c r="Z689" i="2"/>
  <c r="AA689" i="2"/>
  <c r="Y693" i="2"/>
  <c r="AN240" i="2"/>
  <c r="AM244" i="2"/>
  <c r="Y767" i="2"/>
  <c r="Z763" i="2"/>
  <c r="AM626" i="2"/>
  <c r="AN622" i="2"/>
  <c r="AO622" i="2"/>
  <c r="Z687" i="2"/>
  <c r="AA687" i="2"/>
  <c r="Y691" i="2"/>
  <c r="AM700" i="2"/>
  <c r="AN696" i="2"/>
  <c r="AN761" i="2"/>
  <c r="AM765" i="2"/>
  <c r="AN765" i="2"/>
  <c r="AO765" i="2"/>
  <c r="Y483" i="2"/>
  <c r="Z479" i="2"/>
  <c r="AA479" i="2"/>
  <c r="AN178" i="2"/>
  <c r="AO178" i="2"/>
  <c r="AM182" i="2"/>
  <c r="BP216" i="2"/>
  <c r="Y979" i="2"/>
  <c r="Z979" i="2"/>
  <c r="AA975" i="2"/>
  <c r="AN624" i="2"/>
  <c r="AO624" i="2"/>
  <c r="AM628" i="2"/>
  <c r="AO821" i="2"/>
  <c r="I802" i="2"/>
  <c r="L750" i="2"/>
  <c r="M750" i="2"/>
  <c r="M676" i="2"/>
  <c r="AN690" i="2"/>
  <c r="AO690" i="2"/>
  <c r="AM694" i="2"/>
  <c r="Z181" i="2"/>
  <c r="AA181" i="2"/>
  <c r="Z241" i="2"/>
  <c r="Y245" i="2"/>
  <c r="L380" i="2"/>
  <c r="M380" i="2"/>
  <c r="K381" i="2"/>
  <c r="AO832" i="2"/>
  <c r="AO691" i="2"/>
  <c r="Z833" i="2"/>
  <c r="Y837" i="2"/>
  <c r="Z837" i="2"/>
  <c r="AA837" i="2"/>
  <c r="AO462" i="2"/>
  <c r="AN514" i="2"/>
  <c r="AO514" i="2"/>
  <c r="Y625" i="2"/>
  <c r="Z621" i="2"/>
  <c r="AA756" i="2"/>
  <c r="Z623" i="2"/>
  <c r="AA623" i="2"/>
  <c r="Y627" i="2"/>
  <c r="AA392" i="2"/>
  <c r="AO388" i="2"/>
  <c r="AN440" i="2"/>
  <c r="AO440" i="2"/>
  <c r="AN882" i="2"/>
  <c r="K896" i="2"/>
  <c r="L895" i="2"/>
  <c r="AN771" i="2"/>
  <c r="AN799" i="2"/>
  <c r="AN438" i="2"/>
  <c r="Z315" i="2"/>
  <c r="Y319" i="2"/>
  <c r="AM181" i="2"/>
  <c r="AN181" i="2"/>
  <c r="AO181" i="2"/>
  <c r="AN177" i="2"/>
  <c r="AO177" i="2"/>
  <c r="Y764" i="2"/>
  <c r="Z760" i="2"/>
  <c r="AA760" i="2"/>
  <c r="AO982" i="2"/>
  <c r="AO467" i="2"/>
  <c r="Z396" i="2"/>
  <c r="AA396" i="2"/>
  <c r="Y400" i="2"/>
  <c r="AA178" i="2"/>
  <c r="AM396" i="2"/>
  <c r="AN392" i="2"/>
  <c r="K678" i="2"/>
  <c r="L677" i="2"/>
  <c r="M677" i="2"/>
  <c r="BP182" i="2"/>
  <c r="BQ182" i="2"/>
  <c r="Y695" i="2"/>
  <c r="Z695" i="2"/>
  <c r="AA695" i="2"/>
  <c r="Z691" i="2"/>
  <c r="AA691" i="2"/>
  <c r="AO611" i="2"/>
  <c r="AM475" i="2"/>
  <c r="AN471" i="2"/>
  <c r="AO471" i="2"/>
  <c r="Z218" i="2"/>
  <c r="AA218" i="2"/>
  <c r="Y487" i="2"/>
  <c r="Z483" i="2"/>
  <c r="AA483" i="2"/>
  <c r="AA763" i="2"/>
  <c r="Z832" i="2"/>
  <c r="Y836" i="2"/>
  <c r="AA101" i="2"/>
  <c r="Y628" i="2"/>
  <c r="Z628" i="2"/>
  <c r="AA628" i="2"/>
  <c r="Z624" i="2"/>
  <c r="AA624" i="2"/>
  <c r="Z839" i="2"/>
  <c r="AA839" i="2"/>
  <c r="Y843" i="2"/>
  <c r="Z462" i="2"/>
  <c r="Y466" i="2"/>
  <c r="AO535" i="2"/>
  <c r="AA909" i="2"/>
  <c r="Z959" i="2"/>
  <c r="AA959" i="2"/>
  <c r="AA325" i="2"/>
  <c r="K822" i="2"/>
  <c r="L821" i="2"/>
  <c r="Y175" i="2"/>
  <c r="Z171" i="2"/>
  <c r="BQ216" i="2"/>
  <c r="AM619" i="2"/>
  <c r="AN615" i="2"/>
  <c r="AO615" i="2"/>
  <c r="AA381" i="2"/>
  <c r="M379" i="2"/>
  <c r="K973" i="2"/>
  <c r="L972" i="2"/>
  <c r="M972" i="2"/>
  <c r="AM470" i="2"/>
  <c r="AN466" i="2"/>
  <c r="AN319" i="2"/>
  <c r="AO319" i="2"/>
  <c r="AM323" i="2"/>
  <c r="AN993" i="2"/>
  <c r="AO993" i="2"/>
  <c r="AM997" i="2"/>
  <c r="AM548" i="2"/>
  <c r="AN544" i="2"/>
  <c r="AO544" i="2"/>
  <c r="AN546" i="2"/>
  <c r="AM550" i="2"/>
  <c r="AN550" i="2"/>
  <c r="AO550" i="2"/>
  <c r="Y771" i="2"/>
  <c r="Z767" i="2"/>
  <c r="AA767" i="2"/>
  <c r="AN916" i="2"/>
  <c r="AM920" i="2"/>
  <c r="H581" i="2"/>
  <c r="Y333" i="2"/>
  <c r="Z333" i="2"/>
  <c r="AA333" i="2"/>
  <c r="Z329" i="2"/>
  <c r="AA329" i="2"/>
  <c r="Z320" i="2"/>
  <c r="AA320" i="2"/>
  <c r="Y324" i="2"/>
  <c r="AA766" i="2"/>
  <c r="Z770" i="2"/>
  <c r="Y774" i="2"/>
  <c r="Z774" i="2"/>
  <c r="Z811" i="2"/>
  <c r="AA811" i="2"/>
  <c r="AO912" i="2"/>
  <c r="Z688" i="2"/>
  <c r="Y692" i="2"/>
  <c r="L157" i="2"/>
  <c r="M157" i="2"/>
  <c r="K158" i="2"/>
  <c r="AO696" i="2"/>
  <c r="AN326" i="2"/>
  <c r="AO326" i="2"/>
  <c r="AM330" i="2"/>
  <c r="CE173" i="2"/>
  <c r="Y923" i="2"/>
  <c r="Z923" i="2"/>
  <c r="AA923" i="2"/>
  <c r="Z919" i="2"/>
  <c r="AA919" i="2"/>
  <c r="AO846" i="2"/>
  <c r="AN850" i="2"/>
  <c r="AN883" i="2"/>
  <c r="AO883" i="2"/>
  <c r="CC181" i="2"/>
  <c r="CD177" i="2"/>
  <c r="CE177" i="2"/>
  <c r="AN182" i="2"/>
  <c r="AO182" i="2"/>
  <c r="Z912" i="2"/>
  <c r="Y916" i="2"/>
  <c r="AM990" i="2"/>
  <c r="AN986" i="2"/>
  <c r="Z182" i="2"/>
  <c r="AA182" i="2"/>
  <c r="AM847" i="2"/>
  <c r="AN843" i="2"/>
  <c r="AO843" i="2"/>
  <c r="AN313" i="2"/>
  <c r="AM317" i="2"/>
  <c r="Y917" i="2"/>
  <c r="Z913" i="2"/>
  <c r="AA913" i="2"/>
  <c r="AN628" i="2"/>
  <c r="AO628" i="2"/>
  <c r="AO240" i="2"/>
  <c r="AN292" i="2"/>
  <c r="AN1032" i="2"/>
  <c r="AO1032" i="2"/>
  <c r="AN180" i="2"/>
  <c r="AO180" i="2"/>
  <c r="AA684" i="2"/>
  <c r="Z736" i="2"/>
  <c r="AA736" i="2"/>
  <c r="AA979" i="2"/>
  <c r="AO767" i="2"/>
  <c r="AN809" i="2"/>
  <c r="AO809" i="2"/>
  <c r="AN621" i="2"/>
  <c r="AO621" i="2"/>
  <c r="AM625" i="2"/>
  <c r="AO686" i="2"/>
  <c r="AN700" i="2"/>
  <c r="AO700" i="2"/>
  <c r="AM704" i="2"/>
  <c r="K601" i="2"/>
  <c r="L600" i="2"/>
  <c r="M600" i="2"/>
  <c r="BP145" i="2"/>
  <c r="BQ145" i="2"/>
  <c r="AA243" i="2"/>
  <c r="AN695" i="2"/>
  <c r="AO695" i="2"/>
  <c r="AM699" i="2"/>
  <c r="Y389" i="2"/>
  <c r="Z385" i="2"/>
  <c r="AA385" i="2"/>
  <c r="CE182" i="2"/>
  <c r="CD219" i="2"/>
  <c r="CE219" i="2"/>
  <c r="BB181" i="2"/>
  <c r="AO850" i="2"/>
  <c r="Y251" i="2"/>
  <c r="Z251" i="2"/>
  <c r="AA251" i="2"/>
  <c r="Z247" i="2"/>
  <c r="AA247" i="2"/>
  <c r="BQ178" i="2"/>
  <c r="AM630" i="2"/>
  <c r="AN630" i="2"/>
  <c r="AO630" i="2"/>
  <c r="AN626" i="2"/>
  <c r="Z513" i="2"/>
  <c r="AA513" i="2"/>
  <c r="Y988" i="2"/>
  <c r="Z984" i="2"/>
  <c r="AA984" i="2"/>
  <c r="Y773" i="2"/>
  <c r="Z773" i="2"/>
  <c r="AA773" i="2"/>
  <c r="Z769" i="2"/>
  <c r="AM543" i="2"/>
  <c r="AN539" i="2"/>
  <c r="Z533" i="2"/>
  <c r="AA533" i="2"/>
  <c r="Y537" i="2"/>
  <c r="Z985" i="2"/>
  <c r="AA985" i="2"/>
  <c r="Y989" i="2"/>
  <c r="Z661" i="2"/>
  <c r="AA661" i="2"/>
  <c r="AM472" i="2"/>
  <c r="AN468" i="2"/>
  <c r="AO468" i="2"/>
  <c r="BB216" i="2"/>
  <c r="AA620" i="2"/>
  <c r="I136" i="2"/>
  <c r="AN906" i="2"/>
  <c r="AM910" i="2"/>
  <c r="AO761" i="2"/>
  <c r="AN810" i="2"/>
  <c r="AO810" i="2"/>
  <c r="AN244" i="2"/>
  <c r="AM248" i="2"/>
  <c r="H803" i="2"/>
  <c r="AA547" i="2"/>
  <c r="Z588" i="2"/>
  <c r="AA588" i="2"/>
  <c r="L304" i="2"/>
  <c r="M304" i="2"/>
  <c r="K305" i="2"/>
  <c r="AA770" i="2"/>
  <c r="AA774" i="2"/>
  <c r="Y697" i="2"/>
  <c r="Z693" i="2"/>
  <c r="AN324" i="2"/>
  <c r="AO324" i="2"/>
  <c r="AM328" i="2"/>
  <c r="AN802" i="2"/>
  <c r="H285" i="2"/>
  <c r="L453" i="2"/>
  <c r="M453" i="2"/>
  <c r="K454" i="2"/>
  <c r="AA86" i="2"/>
  <c r="AN171" i="2"/>
  <c r="AM175" i="2"/>
  <c r="AN587" i="2"/>
  <c r="AO587" i="2"/>
  <c r="BB144" i="2"/>
  <c r="BC144" i="2"/>
  <c r="AO244" i="2"/>
  <c r="BC181" i="2"/>
  <c r="BB207" i="2"/>
  <c r="AN704" i="2"/>
  <c r="AO704" i="2"/>
  <c r="AM708" i="2"/>
  <c r="Y249" i="2"/>
  <c r="Z249" i="2"/>
  <c r="Z245" i="2"/>
  <c r="Z281" i="2"/>
  <c r="AA245" i="2"/>
  <c r="CD181" i="2"/>
  <c r="CE181" i="2"/>
  <c r="Z366" i="2"/>
  <c r="AA366" i="2"/>
  <c r="I285" i="2"/>
  <c r="H286" i="2"/>
  <c r="I286" i="2"/>
  <c r="AM914" i="2"/>
  <c r="AN910" i="2"/>
  <c r="AN920" i="2"/>
  <c r="AM924" i="2"/>
  <c r="AN924" i="2"/>
  <c r="AO924" i="2"/>
  <c r="K897" i="2"/>
  <c r="L896" i="2"/>
  <c r="M896" i="2"/>
  <c r="AA833" i="2"/>
  <c r="Z882" i="2"/>
  <c r="AO771" i="2"/>
  <c r="AN808" i="2"/>
  <c r="AO906" i="2"/>
  <c r="AN958" i="2"/>
  <c r="AO958" i="2"/>
  <c r="Y541" i="2"/>
  <c r="Z537" i="2"/>
  <c r="Z389" i="2"/>
  <c r="Y393" i="2"/>
  <c r="AO916" i="2"/>
  <c r="AN956" i="2"/>
  <c r="AN323" i="2"/>
  <c r="AM327" i="2"/>
  <c r="AM623" i="2"/>
  <c r="AN623" i="2"/>
  <c r="AO623" i="2"/>
  <c r="AN619" i="2"/>
  <c r="AM479" i="2"/>
  <c r="AN475" i="2"/>
  <c r="AO475" i="2"/>
  <c r="CD216" i="2"/>
  <c r="Y768" i="2"/>
  <c r="Z764" i="2"/>
  <c r="AA764" i="2"/>
  <c r="L305" i="2"/>
  <c r="M305" i="2"/>
  <c r="K306" i="2"/>
  <c r="L158" i="2"/>
  <c r="M158" i="2"/>
  <c r="Y629" i="2"/>
  <c r="Z654" i="2"/>
  <c r="Z627" i="2"/>
  <c r="AA627" i="2"/>
  <c r="AO626" i="2"/>
  <c r="AN663" i="2"/>
  <c r="AO663" i="2"/>
  <c r="AM179" i="2"/>
  <c r="AN175" i="2"/>
  <c r="AN699" i="2"/>
  <c r="AO699" i="2"/>
  <c r="AM703" i="2"/>
  <c r="AM698" i="2"/>
  <c r="AN694" i="2"/>
  <c r="AM332" i="2"/>
  <c r="AN332" i="2"/>
  <c r="AO332" i="2"/>
  <c r="AN328" i="2"/>
  <c r="AO328" i="2"/>
  <c r="AO539" i="2"/>
  <c r="AA688" i="2"/>
  <c r="AO466" i="2"/>
  <c r="AO882" i="2"/>
  <c r="AA621" i="2"/>
  <c r="Z625" i="2"/>
  <c r="Z629" i="2"/>
  <c r="Z651" i="2"/>
  <c r="Z660" i="2"/>
  <c r="AM547" i="2"/>
  <c r="AN543" i="2"/>
  <c r="AO543" i="2"/>
  <c r="Z292" i="2"/>
  <c r="AA292" i="2"/>
  <c r="AM994" i="2"/>
  <c r="AN990" i="2"/>
  <c r="AM474" i="2"/>
  <c r="AN470" i="2"/>
  <c r="AO470" i="2"/>
  <c r="AA94" i="2"/>
  <c r="AN218" i="2"/>
  <c r="AO218" i="2"/>
  <c r="Z836" i="2"/>
  <c r="Y840" i="2"/>
  <c r="AN660" i="2"/>
  <c r="Z219" i="2"/>
  <c r="AA219" i="2"/>
  <c r="Y323" i="2"/>
  <c r="Z319" i="2"/>
  <c r="AA625" i="2"/>
  <c r="AA629" i="2"/>
  <c r="AM476" i="2"/>
  <c r="AN472" i="2"/>
  <c r="Y491" i="2"/>
  <c r="Z491" i="2"/>
  <c r="AA491" i="2"/>
  <c r="Z487" i="2"/>
  <c r="AA107" i="2"/>
  <c r="Z144" i="2"/>
  <c r="AA144" i="2"/>
  <c r="I581" i="2"/>
  <c r="H582" i="2"/>
  <c r="I582" i="2"/>
  <c r="AM552" i="2"/>
  <c r="AN552" i="2"/>
  <c r="AN548" i="2"/>
  <c r="AO548" i="2"/>
  <c r="Z843" i="2"/>
  <c r="AA843" i="2"/>
  <c r="Y847" i="2"/>
  <c r="BB142" i="2"/>
  <c r="Z989" i="2"/>
  <c r="Y993" i="2"/>
  <c r="AN997" i="2"/>
  <c r="AO997" i="2"/>
  <c r="AA241" i="2"/>
  <c r="AO171" i="2"/>
  <c r="Y328" i="2"/>
  <c r="Z324" i="2"/>
  <c r="AA324" i="2"/>
  <c r="AA693" i="2"/>
  <c r="Z735" i="2"/>
  <c r="AA735" i="2"/>
  <c r="AA769" i="2"/>
  <c r="Z810" i="2"/>
  <c r="AA810" i="2"/>
  <c r="Z771" i="2"/>
  <c r="AA771" i="2"/>
  <c r="AN589" i="2"/>
  <c r="AO589" i="2"/>
  <c r="AA832" i="2"/>
  <c r="Z697" i="2"/>
  <c r="Y701" i="2"/>
  <c r="Y920" i="2"/>
  <c r="Z916" i="2"/>
  <c r="Z950" i="2"/>
  <c r="AN330" i="2"/>
  <c r="AO330" i="2"/>
  <c r="AM334" i="2"/>
  <c r="AN334" i="2"/>
  <c r="AO334" i="2"/>
  <c r="I1024" i="2"/>
  <c r="L973" i="2"/>
  <c r="M973" i="2"/>
  <c r="AA171" i="2"/>
  <c r="Y404" i="2"/>
  <c r="Z400" i="2"/>
  <c r="AA400" i="2"/>
  <c r="AO438" i="2"/>
  <c r="K602" i="2"/>
  <c r="L602" i="2"/>
  <c r="M602" i="2"/>
  <c r="L601" i="2"/>
  <c r="M601" i="2"/>
  <c r="AO313" i="2"/>
  <c r="AN367" i="2"/>
  <c r="AO367" i="2"/>
  <c r="M821" i="2"/>
  <c r="BP210" i="2"/>
  <c r="AO292" i="2"/>
  <c r="K823" i="2"/>
  <c r="L822" i="2"/>
  <c r="M822" i="2"/>
  <c r="AO800" i="2"/>
  <c r="AN801" i="2"/>
  <c r="AO801" i="2"/>
  <c r="AN847" i="2"/>
  <c r="AO847" i="2"/>
  <c r="AM851" i="2"/>
  <c r="L678" i="2"/>
  <c r="M678" i="2"/>
  <c r="K679" i="2"/>
  <c r="M895" i="2"/>
  <c r="Z692" i="2"/>
  <c r="Y696" i="2"/>
  <c r="BB136" i="2"/>
  <c r="AA105" i="2"/>
  <c r="AO392" i="2"/>
  <c r="AO986" i="2"/>
  <c r="AM400" i="2"/>
  <c r="AN396" i="2"/>
  <c r="AO396" i="2"/>
  <c r="AM629" i="2"/>
  <c r="AN625" i="2"/>
  <c r="AA90" i="2"/>
  <c r="AA315" i="2"/>
  <c r="Y921" i="2"/>
  <c r="Z917" i="2"/>
  <c r="Z175" i="2"/>
  <c r="Y179" i="2"/>
  <c r="Z466" i="2"/>
  <c r="Y470" i="2"/>
  <c r="L381" i="2"/>
  <c r="K382" i="2"/>
  <c r="L382" i="2"/>
  <c r="M382" i="2"/>
  <c r="I432" i="2"/>
  <c r="Z662" i="2"/>
  <c r="AA662" i="2"/>
  <c r="AN219" i="2"/>
  <c r="AO219" i="2"/>
  <c r="CD143" i="2"/>
  <c r="CE143" i="2"/>
  <c r="BC216" i="2"/>
  <c r="I803" i="2"/>
  <c r="H804" i="2"/>
  <c r="I804" i="2"/>
  <c r="AA912" i="2"/>
  <c r="BP142" i="2"/>
  <c r="L454" i="2"/>
  <c r="M454" i="2"/>
  <c r="K455" i="2"/>
  <c r="AM252" i="2"/>
  <c r="AN252" i="2"/>
  <c r="AO252" i="2"/>
  <c r="AN248" i="2"/>
  <c r="AO248" i="2"/>
  <c r="Y992" i="2"/>
  <c r="Z992" i="2"/>
  <c r="AA992" i="2"/>
  <c r="Z988" i="2"/>
  <c r="BB210" i="2"/>
  <c r="AN317" i="2"/>
  <c r="AM321" i="2"/>
  <c r="AO546" i="2"/>
  <c r="AN586" i="2"/>
  <c r="AA462" i="2"/>
  <c r="Z514" i="2"/>
  <c r="AA514" i="2"/>
  <c r="AN144" i="2"/>
  <c r="AO144" i="2"/>
  <c r="AA282" i="2"/>
  <c r="Z283" i="2"/>
  <c r="AA283" i="2"/>
  <c r="AN281" i="2"/>
  <c r="C290" i="2"/>
  <c r="D291" i="2"/>
  <c r="Y327" i="2"/>
  <c r="Z323" i="2"/>
  <c r="K456" i="2"/>
  <c r="I506" i="2"/>
  <c r="L455" i="2"/>
  <c r="M455" i="2"/>
  <c r="I210" i="2"/>
  <c r="AN479" i="2"/>
  <c r="AO479" i="2"/>
  <c r="AM483" i="2"/>
  <c r="AA537" i="2"/>
  <c r="AM712" i="2"/>
  <c r="AN712" i="2"/>
  <c r="AN708" i="2"/>
  <c r="H1025" i="2"/>
  <c r="Z136" i="2"/>
  <c r="Y705" i="2"/>
  <c r="Z701" i="2"/>
  <c r="AA701" i="2"/>
  <c r="Y332" i="2"/>
  <c r="Z332" i="2"/>
  <c r="AA332" i="2"/>
  <c r="Z328" i="2"/>
  <c r="AA328" i="2"/>
  <c r="AA487" i="2"/>
  <c r="Z512" i="2"/>
  <c r="Y844" i="2"/>
  <c r="Z840" i="2"/>
  <c r="L306" i="2"/>
  <c r="K307" i="2"/>
  <c r="AO619" i="2"/>
  <c r="AN661" i="2"/>
  <c r="AO661" i="2"/>
  <c r="Y545" i="2"/>
  <c r="Z541" i="2"/>
  <c r="AA541" i="2"/>
  <c r="AO920" i="2"/>
  <c r="AN957" i="2"/>
  <c r="AO957" i="2"/>
  <c r="AN321" i="2"/>
  <c r="AM325" i="2"/>
  <c r="BQ142" i="2"/>
  <c r="BB218" i="2"/>
  <c r="Y474" i="2"/>
  <c r="Z470" i="2"/>
  <c r="AA470" i="2"/>
  <c r="AO625" i="2"/>
  <c r="AA697" i="2"/>
  <c r="AA836" i="2"/>
  <c r="AM551" i="2"/>
  <c r="AN551" i="2"/>
  <c r="AO551" i="2"/>
  <c r="AN547" i="2"/>
  <c r="I137" i="2"/>
  <c r="H138" i="2"/>
  <c r="I138" i="2"/>
  <c r="AO910" i="2"/>
  <c r="AO586" i="2"/>
  <c r="AN654" i="2"/>
  <c r="E660" i="2"/>
  <c r="M381" i="2"/>
  <c r="H433" i="2"/>
  <c r="AN851" i="2"/>
  <c r="AO851" i="2"/>
  <c r="AN876" i="2"/>
  <c r="Y408" i="2"/>
  <c r="Z404" i="2"/>
  <c r="AA404" i="2"/>
  <c r="AA989" i="2"/>
  <c r="Z1031" i="2"/>
  <c r="AA1031" i="2"/>
  <c r="L897" i="2"/>
  <c r="M897" i="2"/>
  <c r="K898" i="2"/>
  <c r="I950" i="2"/>
  <c r="AN629" i="2"/>
  <c r="AA660" i="2"/>
  <c r="Z664" i="2"/>
  <c r="AA664" i="2"/>
  <c r="AN327" i="2"/>
  <c r="AM331" i="2"/>
  <c r="Y851" i="2"/>
  <c r="Z847" i="2"/>
  <c r="AO175" i="2"/>
  <c r="AN217" i="2"/>
  <c r="AO217" i="2"/>
  <c r="BC208" i="2"/>
  <c r="BB209" i="2"/>
  <c r="BC209" i="2"/>
  <c r="AA175" i="2"/>
  <c r="Z217" i="2"/>
  <c r="AA217" i="2"/>
  <c r="Z696" i="2"/>
  <c r="Y700" i="2"/>
  <c r="CD136" i="2"/>
  <c r="CD142" i="2"/>
  <c r="AA917" i="2"/>
  <c r="AM404" i="2"/>
  <c r="AN400" i="2"/>
  <c r="AA692" i="2"/>
  <c r="CD145" i="2"/>
  <c r="CE145" i="2"/>
  <c r="Z290" i="2"/>
  <c r="H655" i="2"/>
  <c r="AN873" i="2"/>
  <c r="AN293" i="2"/>
  <c r="AA389" i="2"/>
  <c r="Y924" i="2"/>
  <c r="Z924" i="2"/>
  <c r="AA924" i="2"/>
  <c r="Z920" i="2"/>
  <c r="Z921" i="2"/>
  <c r="Y925" i="2"/>
  <c r="Z925" i="2"/>
  <c r="Z947" i="2"/>
  <c r="AN703" i="2"/>
  <c r="AM707" i="2"/>
  <c r="BB143" i="2"/>
  <c r="BC143" i="2"/>
  <c r="Z179" i="2"/>
  <c r="L823" i="2"/>
  <c r="M823" i="2"/>
  <c r="K824" i="2"/>
  <c r="AA652" i="2"/>
  <c r="Z653" i="2"/>
  <c r="AA653" i="2"/>
  <c r="AN179" i="2"/>
  <c r="AA988" i="2"/>
  <c r="Z1033" i="2"/>
  <c r="AA1033" i="2"/>
  <c r="AA921" i="2"/>
  <c r="AA925" i="2"/>
  <c r="AO552" i="2"/>
  <c r="AM478" i="2"/>
  <c r="AN474" i="2"/>
  <c r="AA882" i="2"/>
  <c r="AO990" i="2"/>
  <c r="AN1030" i="2"/>
  <c r="BC142" i="2"/>
  <c r="AO317" i="2"/>
  <c r="AA466" i="2"/>
  <c r="AO472" i="2"/>
  <c r="AN914" i="2"/>
  <c r="AM918" i="2"/>
  <c r="AO808" i="2"/>
  <c r="AN812" i="2"/>
  <c r="AO812" i="2"/>
  <c r="BP219" i="2"/>
  <c r="BP207" i="2"/>
  <c r="AO694" i="2"/>
  <c r="AN734" i="2"/>
  <c r="Y772" i="2"/>
  <c r="Z768" i="2"/>
  <c r="Z993" i="2"/>
  <c r="Y997" i="2"/>
  <c r="Y397" i="2"/>
  <c r="Z393" i="2"/>
  <c r="AA393" i="2"/>
  <c r="AA916" i="2"/>
  <c r="Z956" i="2"/>
  <c r="AN994" i="2"/>
  <c r="AM998" i="2"/>
  <c r="AA249" i="2"/>
  <c r="Z291" i="2"/>
  <c r="AA291" i="2"/>
  <c r="AO660" i="2"/>
  <c r="AN476" i="2"/>
  <c r="AM480" i="2"/>
  <c r="AO323" i="2"/>
  <c r="AN365" i="2"/>
  <c r="AO365" i="2"/>
  <c r="AO956" i="2"/>
  <c r="I728" i="2"/>
  <c r="L679" i="2"/>
  <c r="AA319" i="2"/>
  <c r="AM702" i="2"/>
  <c r="AN698" i="2"/>
  <c r="CE216" i="2"/>
  <c r="BP136" i="2"/>
  <c r="CD210" i="2"/>
  <c r="BB146" i="2"/>
  <c r="BC146" i="2"/>
  <c r="AA948" i="2"/>
  <c r="Z949" i="2"/>
  <c r="AA949" i="2"/>
  <c r="CD146" i="2"/>
  <c r="CE146" i="2"/>
  <c r="CE142" i="2"/>
  <c r="M679" i="2"/>
  <c r="H729" i="2"/>
  <c r="AN998" i="2"/>
  <c r="AN1031" i="2"/>
  <c r="AN1024" i="2"/>
  <c r="AN210" i="2"/>
  <c r="I358" i="2"/>
  <c r="L307" i="2"/>
  <c r="M307" i="2"/>
  <c r="AO874" i="2"/>
  <c r="AN875" i="2"/>
  <c r="AO875" i="2"/>
  <c r="I655" i="2"/>
  <c r="H656" i="2"/>
  <c r="I656" i="2"/>
  <c r="AN331" i="2"/>
  <c r="AO331" i="2"/>
  <c r="Y412" i="2"/>
  <c r="Z412" i="2"/>
  <c r="AA412" i="2"/>
  <c r="Z408" i="2"/>
  <c r="AA408" i="2"/>
  <c r="AA840" i="2"/>
  <c r="I1025" i="2"/>
  <c r="H1026" i="2"/>
  <c r="I1026" i="2"/>
  <c r="AN577" i="2"/>
  <c r="AA290" i="2"/>
  <c r="Z294" i="2"/>
  <c r="AA294" i="2"/>
  <c r="AA696" i="2"/>
  <c r="AO327" i="2"/>
  <c r="AN364" i="2"/>
  <c r="AO547" i="2"/>
  <c r="AN588" i="2"/>
  <c r="Z844" i="2"/>
  <c r="AA844" i="2"/>
  <c r="Y848" i="2"/>
  <c r="AO282" i="2"/>
  <c r="AN283" i="2"/>
  <c r="AO283" i="2"/>
  <c r="L456" i="2"/>
  <c r="M456" i="2"/>
  <c r="K457" i="2"/>
  <c r="Z851" i="2"/>
  <c r="AA851" i="2"/>
  <c r="H211" i="2"/>
  <c r="AO698" i="2"/>
  <c r="AA512" i="2"/>
  <c r="AO321" i="2"/>
  <c r="Z1024" i="2"/>
  <c r="E1030" i="2"/>
  <c r="Z997" i="2"/>
  <c r="AA106" i="2"/>
  <c r="K825" i="2"/>
  <c r="L824" i="2"/>
  <c r="M824" i="2"/>
  <c r="BQ219" i="2"/>
  <c r="BP220" i="2"/>
  <c r="BQ220" i="2"/>
  <c r="AO703" i="2"/>
  <c r="AN143" i="2"/>
  <c r="AO143" i="2"/>
  <c r="AO708" i="2"/>
  <c r="AN737" i="2"/>
  <c r="AO737" i="2"/>
  <c r="Y331" i="2"/>
  <c r="Z327" i="2"/>
  <c r="AA98" i="2"/>
  <c r="AO629" i="2"/>
  <c r="AN651" i="2"/>
  <c r="C660" i="2"/>
  <c r="D661" i="2"/>
  <c r="AA179" i="2"/>
  <c r="AO400" i="2"/>
  <c r="AN483" i="2"/>
  <c r="AM487" i="2"/>
  <c r="AO474" i="2"/>
  <c r="BC218" i="2"/>
  <c r="BB220" i="2"/>
  <c r="BC220" i="2"/>
  <c r="AM482" i="2"/>
  <c r="AN478" i="2"/>
  <c r="AO478" i="2"/>
  <c r="AN325" i="2"/>
  <c r="AM329" i="2"/>
  <c r="AN702" i="2"/>
  <c r="AO702" i="2"/>
  <c r="AM706" i="2"/>
  <c r="I433" i="2"/>
  <c r="H434" i="2"/>
  <c r="I434" i="2"/>
  <c r="AO476" i="2"/>
  <c r="AO293" i="2"/>
  <c r="AN294" i="2"/>
  <c r="AO294" i="2"/>
  <c r="AM408" i="2"/>
  <c r="AN404" i="2"/>
  <c r="AO404" i="2"/>
  <c r="K899" i="2"/>
  <c r="L899" i="2"/>
  <c r="M899" i="2"/>
  <c r="L898" i="2"/>
  <c r="AN662" i="2"/>
  <c r="Z545" i="2"/>
  <c r="Y549" i="2"/>
  <c r="Z549" i="2"/>
  <c r="Z705" i="2"/>
  <c r="Y709" i="2"/>
  <c r="AO914" i="2"/>
  <c r="BQ208" i="2"/>
  <c r="BP209" i="2"/>
  <c r="BQ209" i="2"/>
  <c r="AN707" i="2"/>
  <c r="AO707" i="2"/>
  <c r="AM711" i="2"/>
  <c r="AN711" i="2"/>
  <c r="AO711" i="2"/>
  <c r="Z474" i="2"/>
  <c r="AA474" i="2"/>
  <c r="Y478" i="2"/>
  <c r="BP144" i="2"/>
  <c r="AO994" i="2"/>
  <c r="AO179" i="2"/>
  <c r="M306" i="2"/>
  <c r="AA956" i="2"/>
  <c r="AA920" i="2"/>
  <c r="Z957" i="2"/>
  <c r="AA957" i="2"/>
  <c r="Z700" i="2"/>
  <c r="AA700" i="2"/>
  <c r="Y704" i="2"/>
  <c r="AA323" i="2"/>
  <c r="Z365" i="2"/>
  <c r="AA365" i="2"/>
  <c r="Z397" i="2"/>
  <c r="Y401" i="2"/>
  <c r="AN884" i="2"/>
  <c r="AO712" i="2"/>
  <c r="AM484" i="2"/>
  <c r="AN480" i="2"/>
  <c r="AO480" i="2"/>
  <c r="AA993" i="2"/>
  <c r="Z1030" i="2"/>
  <c r="BC134" i="2"/>
  <c r="BB135" i="2"/>
  <c r="BC135" i="2"/>
  <c r="AA768" i="2"/>
  <c r="Z808" i="2"/>
  <c r="Z772" i="2"/>
  <c r="Z802" i="2"/>
  <c r="E808" i="2"/>
  <c r="AO1030" i="2"/>
  <c r="Z210" i="2"/>
  <c r="E216" i="2"/>
  <c r="CD218" i="2"/>
  <c r="CD207" i="2"/>
  <c r="AO734" i="2"/>
  <c r="AN918" i="2"/>
  <c r="AO918" i="2"/>
  <c r="AM922" i="2"/>
  <c r="AN950" i="2"/>
  <c r="E956" i="2"/>
  <c r="Z577" i="2"/>
  <c r="Z958" i="2"/>
  <c r="AA958" i="2"/>
  <c r="AA847" i="2"/>
  <c r="AN506" i="2"/>
  <c r="AO1031" i="2"/>
  <c r="AN1034" i="2"/>
  <c r="AO1034" i="2"/>
  <c r="AA102" i="2"/>
  <c r="Z142" i="2"/>
  <c r="AA772" i="2"/>
  <c r="Z809" i="2"/>
  <c r="AA809" i="2"/>
  <c r="Z799" i="2"/>
  <c r="AO884" i="2"/>
  <c r="AN886" i="2"/>
  <c r="AO886" i="2"/>
  <c r="AA549" i="2"/>
  <c r="Z586" i="2"/>
  <c r="AA808" i="2"/>
  <c r="Y405" i="2"/>
  <c r="Z401" i="2"/>
  <c r="H359" i="2"/>
  <c r="CE134" i="2"/>
  <c r="CD135" i="2"/>
  <c r="CE135" i="2"/>
  <c r="AA545" i="2"/>
  <c r="Z587" i="2"/>
  <c r="AA587" i="2"/>
  <c r="Z143" i="2"/>
  <c r="AA143" i="2"/>
  <c r="AA997" i="2"/>
  <c r="Z1021" i="2"/>
  <c r="AM488" i="2"/>
  <c r="AN484" i="2"/>
  <c r="AO588" i="2"/>
  <c r="AN590" i="2"/>
  <c r="AO590" i="2"/>
  <c r="I876" i="2"/>
  <c r="L825" i="2"/>
  <c r="AO364" i="2"/>
  <c r="AO662" i="2"/>
  <c r="AN664" i="2"/>
  <c r="AO664" i="2"/>
  <c r="AN736" i="2"/>
  <c r="AO736" i="2"/>
  <c r="I729" i="2"/>
  <c r="H730" i="2"/>
  <c r="I730" i="2"/>
  <c r="CE208" i="2"/>
  <c r="CD209" i="2"/>
  <c r="CE209" i="2"/>
  <c r="AN207" i="2"/>
  <c r="AN329" i="2"/>
  <c r="AM333" i="2"/>
  <c r="AA327" i="2"/>
  <c r="Z331" i="2"/>
  <c r="Z364" i="2"/>
  <c r="AA705" i="2"/>
  <c r="I211" i="2"/>
  <c r="H212" i="2"/>
  <c r="I212" i="2"/>
  <c r="AM710" i="2"/>
  <c r="AN706" i="2"/>
  <c r="M898" i="2"/>
  <c r="H951" i="2"/>
  <c r="L457" i="2"/>
  <c r="M457" i="2"/>
  <c r="K458" i="2"/>
  <c r="L458" i="2"/>
  <c r="AN922" i="2"/>
  <c r="AM926" i="2"/>
  <c r="AN926" i="2"/>
  <c r="AN959" i="2"/>
  <c r="AO325" i="2"/>
  <c r="AO578" i="2"/>
  <c r="AN579" i="2"/>
  <c r="AO579" i="2"/>
  <c r="Z1034" i="2"/>
  <c r="AA1034" i="2"/>
  <c r="AA1030" i="2"/>
  <c r="AN408" i="2"/>
  <c r="AO408" i="2"/>
  <c r="AM412" i="2"/>
  <c r="AN412" i="2"/>
  <c r="AO412" i="2"/>
  <c r="AN432" i="2"/>
  <c r="Z960" i="2"/>
  <c r="AA960" i="2"/>
  <c r="AA397" i="2"/>
  <c r="Z439" i="2"/>
  <c r="AA439" i="2"/>
  <c r="AN487" i="2"/>
  <c r="AO487" i="2"/>
  <c r="AM491" i="2"/>
  <c r="AN491" i="2"/>
  <c r="AO491" i="2"/>
  <c r="Z441" i="2"/>
  <c r="AA441" i="2"/>
  <c r="AM486" i="2"/>
  <c r="AN482" i="2"/>
  <c r="Y852" i="2"/>
  <c r="Z848" i="2"/>
  <c r="AA578" i="2"/>
  <c r="Z579" i="2"/>
  <c r="AA579" i="2"/>
  <c r="C586" i="2"/>
  <c r="D587" i="2"/>
  <c r="BQ134" i="2"/>
  <c r="BP135" i="2"/>
  <c r="BQ135" i="2"/>
  <c r="Z709" i="2"/>
  <c r="AA709" i="2"/>
  <c r="AO652" i="2"/>
  <c r="AN653" i="2"/>
  <c r="AO653" i="2"/>
  <c r="AO926" i="2"/>
  <c r="AO922" i="2"/>
  <c r="Y482" i="2"/>
  <c r="Z478" i="2"/>
  <c r="AO998" i="2"/>
  <c r="AN1021" i="2"/>
  <c r="AN216" i="2"/>
  <c r="AO483" i="2"/>
  <c r="AN512" i="2"/>
  <c r="CE218" i="2"/>
  <c r="CD220" i="2"/>
  <c r="CE220" i="2"/>
  <c r="AN429" i="2"/>
  <c r="Z358" i="2"/>
  <c r="Z884" i="2"/>
  <c r="Z207" i="2"/>
  <c r="C216" i="2"/>
  <c r="D217" i="2"/>
  <c r="Y708" i="2"/>
  <c r="Z704" i="2"/>
  <c r="BQ144" i="2"/>
  <c r="BP146" i="2"/>
  <c r="BQ146" i="2"/>
  <c r="Z216" i="2"/>
  <c r="AN142" i="2"/>
  <c r="AA1022" i="2"/>
  <c r="Z1023" i="2"/>
  <c r="AA1023" i="2"/>
  <c r="C1030" i="2"/>
  <c r="D1031" i="2"/>
  <c r="Z220" i="2"/>
  <c r="AA220" i="2"/>
  <c r="AA216" i="2"/>
  <c r="M458" i="2"/>
  <c r="H507" i="2"/>
  <c r="AN947" i="2"/>
  <c r="C956" i="2"/>
  <c r="D957" i="2"/>
  <c r="AA848" i="2"/>
  <c r="Z852" i="2"/>
  <c r="Z885" i="2"/>
  <c r="AA885" i="2"/>
  <c r="AN441" i="2"/>
  <c r="Z368" i="2"/>
  <c r="AA368" i="2"/>
  <c r="AA364" i="2"/>
  <c r="AN145" i="2"/>
  <c r="AO145" i="2"/>
  <c r="Z876" i="2"/>
  <c r="E882" i="2"/>
  <c r="I951" i="2"/>
  <c r="H952" i="2"/>
  <c r="I952" i="2"/>
  <c r="AA800" i="2"/>
  <c r="Z801" i="2"/>
  <c r="AA801" i="2"/>
  <c r="C808" i="2"/>
  <c r="D809" i="2"/>
  <c r="AA704" i="2"/>
  <c r="AO706" i="2"/>
  <c r="AN710" i="2"/>
  <c r="AN725" i="2"/>
  <c r="AO329" i="2"/>
  <c r="AN333" i="2"/>
  <c r="AN355" i="2"/>
  <c r="M825" i="2"/>
  <c r="H877" i="2"/>
  <c r="Z708" i="2"/>
  <c r="AA708" i="2"/>
  <c r="Y712" i="2"/>
  <c r="AN220" i="2"/>
  <c r="AO220" i="2"/>
  <c r="AO216" i="2"/>
  <c r="AO482" i="2"/>
  <c r="AO710" i="2"/>
  <c r="AN728" i="2"/>
  <c r="AO208" i="2"/>
  <c r="AN209" i="2"/>
  <c r="AO209" i="2"/>
  <c r="I359" i="2"/>
  <c r="Z355" i="2"/>
  <c r="C364" i="2"/>
  <c r="D365" i="2"/>
  <c r="H360" i="2"/>
  <c r="I360" i="2"/>
  <c r="AA142" i="2"/>
  <c r="Z146" i="2"/>
  <c r="AA146" i="2"/>
  <c r="AO959" i="2"/>
  <c r="AN960" i="2"/>
  <c r="AO960" i="2"/>
  <c r="AA401" i="2"/>
  <c r="Y409" i="2"/>
  <c r="Z409" i="2"/>
  <c r="Z432" i="2"/>
  <c r="E438" i="2"/>
  <c r="Z405" i="2"/>
  <c r="AA405" i="2"/>
  <c r="AA884" i="2"/>
  <c r="AA134" i="2"/>
  <c r="Z135" i="2"/>
  <c r="AA135" i="2"/>
  <c r="AO484" i="2"/>
  <c r="AO142" i="2"/>
  <c r="Y486" i="2"/>
  <c r="Z482" i="2"/>
  <c r="AA482" i="2"/>
  <c r="Z506" i="2"/>
  <c r="E512" i="2"/>
  <c r="AA586" i="2"/>
  <c r="Z590" i="2"/>
  <c r="AA590" i="2"/>
  <c r="AO430" i="2"/>
  <c r="AN431" i="2"/>
  <c r="AO431" i="2"/>
  <c r="AO512" i="2"/>
  <c r="AN136" i="2"/>
  <c r="E142" i="2"/>
  <c r="AO333" i="2"/>
  <c r="AN358" i="2"/>
  <c r="E364" i="2"/>
  <c r="AA208" i="2"/>
  <c r="Z209" i="2"/>
  <c r="AA209" i="2"/>
  <c r="AO1022" i="2"/>
  <c r="AN1023" i="2"/>
  <c r="AO1023" i="2"/>
  <c r="AN486" i="2"/>
  <c r="AO486" i="2"/>
  <c r="AM490" i="2"/>
  <c r="AN735" i="2"/>
  <c r="AA331" i="2"/>
  <c r="AA478" i="2"/>
  <c r="AN366" i="2"/>
  <c r="Z734" i="2"/>
  <c r="AM492" i="2"/>
  <c r="AN492" i="2"/>
  <c r="AO492" i="2"/>
  <c r="AN488" i="2"/>
  <c r="AO488" i="2"/>
  <c r="Z812" i="2"/>
  <c r="AA812" i="2"/>
  <c r="Z712" i="2"/>
  <c r="Z728" i="2"/>
  <c r="E734" i="2"/>
  <c r="I507" i="2"/>
  <c r="H508" i="2"/>
  <c r="I508" i="2"/>
  <c r="I877" i="2"/>
  <c r="H878" i="2"/>
  <c r="I878" i="2"/>
  <c r="Z886" i="2"/>
  <c r="AA886" i="2"/>
  <c r="AO134" i="2"/>
  <c r="AN135" i="2"/>
  <c r="AO135" i="2"/>
  <c r="AO366" i="2"/>
  <c r="AN368" i="2"/>
  <c r="AO368" i="2"/>
  <c r="AO356" i="2"/>
  <c r="AN357" i="2"/>
  <c r="AO357" i="2"/>
  <c r="AO726" i="2"/>
  <c r="AN727" i="2"/>
  <c r="AO727" i="2"/>
  <c r="AN490" i="2"/>
  <c r="AM494" i="2"/>
  <c r="AN494" i="2"/>
  <c r="AN515" i="2"/>
  <c r="AO515" i="2"/>
  <c r="Z737" i="2"/>
  <c r="Z738" i="2"/>
  <c r="AA738" i="2"/>
  <c r="AA734" i="2"/>
  <c r="AA409" i="2"/>
  <c r="Z429" i="2"/>
  <c r="Z438" i="2"/>
  <c r="AO735" i="2"/>
  <c r="AN738" i="2"/>
  <c r="AO738" i="2"/>
  <c r="AO490" i="2"/>
  <c r="AO948" i="2"/>
  <c r="AN949" i="2"/>
  <c r="AO949" i="2"/>
  <c r="Z486" i="2"/>
  <c r="AA486" i="2"/>
  <c r="Y490" i="2"/>
  <c r="AA852" i="2"/>
  <c r="Z873" i="2"/>
  <c r="C882" i="2"/>
  <c r="D883" i="2"/>
  <c r="AN146" i="2"/>
  <c r="AO146" i="2"/>
  <c r="AN513" i="2"/>
  <c r="AA356" i="2"/>
  <c r="Z357" i="2"/>
  <c r="AA357" i="2"/>
  <c r="AA737" i="2"/>
  <c r="AO441" i="2"/>
  <c r="AN442" i="2"/>
  <c r="AO442" i="2"/>
  <c r="AO513" i="2"/>
  <c r="AN516" i="2"/>
  <c r="AO516" i="2"/>
  <c r="AO494" i="2"/>
  <c r="AN503" i="2"/>
  <c r="AA430" i="2"/>
  <c r="Z431" i="2"/>
  <c r="AA431" i="2"/>
  <c r="C438" i="2"/>
  <c r="D439" i="2"/>
  <c r="Y494" i="2"/>
  <c r="Z494" i="2"/>
  <c r="Z490" i="2"/>
  <c r="AA490" i="2"/>
  <c r="AA438" i="2"/>
  <c r="Z442" i="2"/>
  <c r="AA442" i="2"/>
  <c r="AA874" i="2"/>
  <c r="Z875" i="2"/>
  <c r="AA875" i="2"/>
  <c r="AA712" i="2"/>
  <c r="Z725" i="2"/>
  <c r="AA494" i="2"/>
  <c r="Z503" i="2"/>
  <c r="AO504" i="2"/>
  <c r="AN505" i="2"/>
  <c r="AO505" i="2"/>
  <c r="Z515" i="2"/>
  <c r="AA726" i="2"/>
  <c r="Z727" i="2"/>
  <c r="AA727" i="2"/>
  <c r="C734" i="2"/>
  <c r="D735" i="2"/>
  <c r="AA504" i="2"/>
  <c r="Z505" i="2"/>
  <c r="AA505" i="2"/>
  <c r="C512" i="2"/>
  <c r="D513" i="2"/>
  <c r="AA515" i="2"/>
  <c r="Z516" i="2"/>
  <c r="AA516" i="2"/>
  <c r="BH60" i="2" l="1"/>
  <c r="BI60" i="2" s="1"/>
  <c r="AT60" i="2"/>
  <c r="AU60" i="2" s="1"/>
  <c r="D61" i="2"/>
  <c r="E61" i="2" s="1"/>
  <c r="B61" i="2"/>
  <c r="B62" i="2" s="1"/>
</calcChain>
</file>

<file path=xl/sharedStrings.xml><?xml version="1.0" encoding="utf-8"?>
<sst xmlns="http://schemas.openxmlformats.org/spreadsheetml/2006/main" count="1979" uniqueCount="420">
  <si>
    <t>日付</t>
  </si>
  <si>
    <t>100円</t>
  </si>
  <si>
    <t>差</t>
  </si>
  <si>
    <t>プライズ</t>
  </si>
  <si>
    <t>投入残</t>
  </si>
  <si>
    <t>払出</t>
  </si>
  <si>
    <t>補充</t>
  </si>
  <si>
    <t>単価</t>
  </si>
  <si>
    <t>払出額</t>
  </si>
  <si>
    <t>原価率</t>
  </si>
  <si>
    <t>設定</t>
  </si>
  <si>
    <t>景品</t>
  </si>
  <si>
    <t>出率</t>
  </si>
  <si>
    <t>ミニ香水</t>
  </si>
  <si>
    <t>20.8.10.20</t>
  </si>
  <si>
    <t>ロムアンド</t>
  </si>
  <si>
    <t>NICI</t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</si>
  <si>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</si>
  <si>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</si>
  <si>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</si>
  <si>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</si>
  <si>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</si>
  <si>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</si>
  <si>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</si>
  <si>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</si>
  <si>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</si>
  <si>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</si>
  <si>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月末在庫金額</t>
  </si>
  <si>
    <t>払出合計</t>
  </si>
  <si>
    <t>18.7.10</t>
  </si>
  <si>
    <t>16.6.8</t>
  </si>
  <si>
    <t>ジャグラーイヤホン</t>
  </si>
  <si>
    <t>2CBC</t>
  </si>
  <si>
    <t>ave</t>
    <phoneticPr fontId="15"/>
  </si>
  <si>
    <t>合計</t>
    <rPh sb="0" eb="2">
      <t>ゴウケイ</t>
    </rPh>
    <phoneticPr fontId="15"/>
  </si>
  <si>
    <t>18.6.9</t>
  </si>
  <si>
    <t>猫アイシャドウ</t>
  </si>
  <si>
    <t>BUZZ②</t>
    <phoneticPr fontId="15"/>
  </si>
  <si>
    <t>BUZZ①</t>
    <phoneticPr fontId="15"/>
  </si>
  <si>
    <t>那珂川</t>
    <rPh sb="0" eb="3">
      <t>ナカガワ</t>
    </rPh>
    <phoneticPr fontId="15"/>
  </si>
  <si>
    <t>那珂川</t>
    <phoneticPr fontId="15"/>
  </si>
  <si>
    <t>BUZZミニ</t>
    <phoneticPr fontId="15"/>
  </si>
  <si>
    <t>ジャグラーボタン</t>
  </si>
  <si>
    <t>月間予想</t>
    <rPh sb="0" eb="2">
      <t>ゲッカン</t>
    </rPh>
    <rPh sb="2" eb="4">
      <t>ヨソウ</t>
    </rPh>
    <phoneticPr fontId="15"/>
  </si>
  <si>
    <t>ジャグラーサウンドボタン</t>
  </si>
  <si>
    <t>20.8.12</t>
  </si>
  <si>
    <t>月間原価</t>
    <rPh sb="0" eb="2">
      <t>ゲッカン</t>
    </rPh>
    <rPh sb="2" eb="4">
      <t>ゲンカ</t>
    </rPh>
    <phoneticPr fontId="15"/>
  </si>
  <si>
    <t>月末棚卸</t>
    <rPh sb="0" eb="2">
      <t>ゲツマツ</t>
    </rPh>
    <rPh sb="2" eb="4">
      <t>タナオロシ</t>
    </rPh>
    <phoneticPr fontId="15"/>
  </si>
  <si>
    <t>サンリオブレスレット</t>
  </si>
  <si>
    <t>じゃがりこイヤホン</t>
  </si>
  <si>
    <t>ゴールドイヤホン</t>
  </si>
  <si>
    <t>sp7→4</t>
  </si>
  <si>
    <t>18.6.12.18ミニカメラ</t>
  </si>
  <si>
    <t>スプランキーNG30.10.14.30sp7→5</t>
    <phoneticPr fontId="15"/>
  </si>
  <si>
    <t>デジタルミニカメラ</t>
  </si>
  <si>
    <t>30.9.13.30</t>
  </si>
  <si>
    <t>14.6.7.14</t>
  </si>
  <si>
    <t>ミニカメラ</t>
  </si>
  <si>
    <t>sp5→4</t>
  </si>
  <si>
    <t>SPGラバー</t>
  </si>
  <si>
    <t>16.7.10.16</t>
  </si>
  <si>
    <t>sp4→3</t>
  </si>
  <si>
    <t>SRギャルキーケース20.10.11.20</t>
  </si>
  <si>
    <t>パイの実イヤホン18.8.11.18sp4</t>
  </si>
  <si>
    <t>SPGジビッツ22.7.8.20</t>
  </si>
  <si>
    <t>ギャルキティキーケース</t>
  </si>
  <si>
    <t>スプランキージビッツ</t>
  </si>
  <si>
    <t>22.7.10サンリオファン</t>
  </si>
  <si>
    <t>SPGマスコット19.4.9</t>
  </si>
  <si>
    <t>サンリオファン</t>
  </si>
  <si>
    <t>30.9.12.30sp3→4</t>
  </si>
  <si>
    <t>SPGマスコット</t>
  </si>
  <si>
    <t>シリコン1つ付け22.5.11.22</t>
  </si>
  <si>
    <t>16.7.12ゴールドイヤホン</t>
  </si>
  <si>
    <t>20.7.10スピード落とした</t>
  </si>
  <si>
    <t>22.8.11</t>
  </si>
  <si>
    <t>19.6.8.19sp3→2</t>
  </si>
  <si>
    <t>SPGぬいぐるみ</t>
    <phoneticPr fontId="15"/>
  </si>
  <si>
    <t>デジタルミニカメラ22.6.12.22</t>
  </si>
  <si>
    <t>18.6.10ジャグラーイヤホン</t>
  </si>
  <si>
    <t>18.8.10.18</t>
  </si>
  <si>
    <t>パイの実イヤホン</t>
  </si>
  <si>
    <t>30.9.11.30sp4→3</t>
  </si>
  <si>
    <t>18.6.8シリコン3個</t>
  </si>
  <si>
    <t>20.7.9.20シリコン1</t>
  </si>
  <si>
    <t>20.6.10スピード落とした</t>
  </si>
  <si>
    <t>18.6.10ミニ香水</t>
  </si>
  <si>
    <t>20.5.8.20</t>
  </si>
  <si>
    <t>15.6.7.15</t>
  </si>
  <si>
    <t>24.6.10.24</t>
  </si>
  <si>
    <t>19.6.9.19</t>
  </si>
  <si>
    <t>24.6.12.24</t>
  </si>
  <si>
    <t>キティサンダルキーホルダー</t>
  </si>
  <si>
    <t>キティフェイスポーチ</t>
  </si>
  <si>
    <t>15.7.10キティふフェイスポーチ</t>
  </si>
  <si>
    <t>AIモンスターラバー</t>
  </si>
  <si>
    <t>一階と被っとる！入れ替えたい！</t>
  </si>
  <si>
    <t>ジャグラーパネルKH</t>
  </si>
  <si>
    <t>18.7.9.18sp6→5</t>
  </si>
  <si>
    <t>20.7.10アーム小キティサンダルキーホルダー</t>
  </si>
  <si>
    <t>32.9.10.32</t>
  </si>
  <si>
    <t>ジョージファン20.5.9.20sp3</t>
  </si>
  <si>
    <t>ジョージファン</t>
  </si>
  <si>
    <t>こびとづかんキーケース</t>
  </si>
  <si>
    <r>
      <t>22.6.10AI</t>
    </r>
    <r>
      <rPr>
        <sz val="6"/>
        <color theme="1"/>
        <rFont val="ＭＳ ゴシック"/>
        <family val="3"/>
        <charset val="128"/>
      </rPr>
      <t>モンスタラバー</t>
    </r>
    <r>
      <rPr>
        <sz val="6"/>
        <color theme="1"/>
        <rFont val="Calibri"/>
        <family val="3"/>
      </rPr>
      <t>KH</t>
    </r>
    <phoneticPr fontId="15"/>
  </si>
  <si>
    <r>
      <t>18.7.10</t>
    </r>
    <r>
      <rPr>
        <sz val="6"/>
        <color theme="1"/>
        <rFont val="ＭＳ ゴシック"/>
        <family val="3"/>
        <charset val="128"/>
      </rPr>
      <t>ジャグラーパネル</t>
    </r>
    <r>
      <rPr>
        <sz val="6"/>
        <color theme="1"/>
        <rFont val="Calibri"/>
        <family val="3"/>
      </rPr>
      <t>KH</t>
    </r>
    <phoneticPr fontId="15"/>
  </si>
  <si>
    <t>ギャルキティに変える</t>
  </si>
  <si>
    <t>22.6.11</t>
  </si>
  <si>
    <t>停止中なってた‼️</t>
  </si>
  <si>
    <t>日商にも入れてある</t>
  </si>
  <si>
    <t>22.8.10.22</t>
  </si>
  <si>
    <t>シリコンなし20.7.10デジタルミニカメラ</t>
    <phoneticPr fontId="15"/>
  </si>
  <si>
    <t>22.7.10.21spギャルキティMC</t>
  </si>
  <si>
    <t>ミニクレーンキーホルダーに変えたい</t>
  </si>
  <si>
    <t>16.6.9ダイキョーに合わせた</t>
  </si>
  <si>
    <t>15.7.8停止0.1AIマスコット</t>
  </si>
  <si>
    <t>ＡＩマスコット</t>
  </si>
  <si>
    <t>15.7.7.15</t>
  </si>
  <si>
    <t>次補充！！！</t>
  </si>
  <si>
    <t>黒クロミ白キティ要る！！</t>
  </si>
  <si>
    <t>POPいる！！</t>
  </si>
  <si>
    <t>21.7.9.21シリコン1</t>
  </si>
  <si>
    <t>サンリオパッチン12.6.7.12緩和0.2sp2</t>
  </si>
  <si>
    <t>サンリオでかぱっちん</t>
  </si>
  <si>
    <t>ギャルキティMC</t>
  </si>
  <si>
    <t>サンリオパッチン</t>
  </si>
  <si>
    <t>サンリオフェイスポーチ</t>
  </si>
  <si>
    <t>20.7.10サンリオミニリュック</t>
  </si>
  <si>
    <t>14.6.7</t>
  </si>
  <si>
    <t>サンリオマスコット</t>
  </si>
  <si>
    <t>要補充</t>
  </si>
  <si>
    <t>サンリオミニリュック</t>
  </si>
  <si>
    <t>16.8.8サンリオフェイスポーチ</t>
  </si>
  <si>
    <t>ジョージファン</t>
    <phoneticPr fontId="15"/>
  </si>
  <si>
    <t>18.6.8停止0.1</t>
  </si>
  <si>
    <t>停止中だった理由不明、、</t>
  </si>
  <si>
    <t>15.7.8</t>
  </si>
  <si>
    <t>要</t>
  </si>
  <si>
    <t>木のメインキャラ1体もいない</t>
  </si>
  <si>
    <t>サメがいない</t>
  </si>
  <si>
    <t>モンチッチに変えたい</t>
  </si>
  <si>
    <t>でかぱっちんに変えたい</t>
  </si>
  <si>
    <t>23.7.9.23</t>
  </si>
  <si>
    <t>22.8.11モンチッチキーケース</t>
  </si>
  <si>
    <t>ハロウィン混ぜ</t>
  </si>
  <si>
    <t>モンチッチキーケース</t>
  </si>
  <si>
    <t>11.7.7ラブーマスコット</t>
  </si>
  <si>
    <t>12.7.7サンリオでかぱっちん</t>
  </si>
  <si>
    <t>ラブブKH24.8.10.24</t>
  </si>
  <si>
    <t>ラブブキーホルダー</t>
  </si>
  <si>
    <t>ラブブマスコット</t>
  </si>
  <si>
    <t>10.7.7</t>
  </si>
  <si>
    <t>液晶ミニカメラ20.9.10.20シリコン2</t>
  </si>
  <si>
    <t>20.6.8キティヒョウ柄マスコット</t>
  </si>
  <si>
    <t>キティヒョウ柄マスコット</t>
  </si>
  <si>
    <t>液晶ミニカメラ</t>
  </si>
  <si>
    <t>20.6.7.20アーム合ってないかも</t>
  </si>
  <si>
    <t>アクリル足りない青</t>
  </si>
  <si>
    <t>焦げクロミ多い</t>
  </si>
  <si>
    <t>ノーマルアームに交換12.6.7.12</t>
  </si>
  <si>
    <t>20.9.9.20sp4→2</t>
  </si>
  <si>
    <t>2コイン2.プレイなってた　22.8.11</t>
  </si>
  <si>
    <t>11.7.7.11</t>
  </si>
  <si>
    <t>22.8.11キティフェイスポーチ</t>
  </si>
  <si>
    <t>46.14.18ルララ</t>
  </si>
  <si>
    <t>エラー5。46.13.17.46</t>
  </si>
  <si>
    <t>クマ率高い</t>
  </si>
  <si>
    <t>ルララ</t>
    <phoneticPr fontId="15"/>
  </si>
  <si>
    <t>46.13.16.46</t>
  </si>
  <si>
    <t>24.8.12ジャグラーサウンドボタン金銀</t>
  </si>
  <si>
    <t>24.8.12サンリオアニマルがま口</t>
  </si>
  <si>
    <t>46.12.15.46</t>
  </si>
  <si>
    <t>サンリオアニマルがま口</t>
  </si>
  <si>
    <t>24.7.10.24シリコン3</t>
  </si>
  <si>
    <t>46.12.14.46</t>
  </si>
  <si>
    <t>24.9.10.24シリコン1</t>
  </si>
  <si>
    <t>24.8.8押忍番ボタン</t>
  </si>
  <si>
    <t>46.11.14.46</t>
  </si>
  <si>
    <t>番長ボタン</t>
  </si>
  <si>
    <t>22.7.8.22</t>
  </si>
  <si>
    <t>23.8.10.23</t>
  </si>
  <si>
    <t>21.7.7.21sp3→2</t>
  </si>
  <si>
    <t>きゅるる2個追加</t>
  </si>
  <si>
    <t>ルララカビバラ混ぜ</t>
  </si>
  <si>
    <t>22.8.11サンリオクリスマスキーケース</t>
  </si>
  <si>
    <t>サンリオクリスマスキーケース</t>
  </si>
  <si>
    <t>14.8.7</t>
  </si>
  <si>
    <t>24.8.12サンリオ型押しケース</t>
  </si>
  <si>
    <t>サンリオ型押しケース</t>
  </si>
  <si>
    <t>14.7.8</t>
  </si>
  <si>
    <t>24.8.11.24</t>
  </si>
  <si>
    <t>22.8.9.22</t>
  </si>
  <si>
    <t>22.8.11サンリオケープポーチ</t>
  </si>
  <si>
    <t>緑だらけ</t>
  </si>
  <si>
    <t>15.6.7 補充</t>
  </si>
  <si>
    <t>サンリオケープポーチ</t>
  </si>
  <si>
    <t>16.7.8</t>
  </si>
  <si>
    <t>黒キティ補充</t>
  </si>
  <si>
    <t>22.9.10</t>
  </si>
  <si>
    <t>ルララ、きゅるる、サミュエル</t>
    <phoneticPr fontId="15"/>
  </si>
  <si>
    <t>サミュエルときゅるる補充48.14.16.48</t>
  </si>
  <si>
    <t>補充️トゥントゥンない</t>
  </si>
  <si>
    <t>サンリオヒョウ柄キーケース24.10.12.24</t>
  </si>
  <si>
    <t>サンリオヒョウ柄フェイス22.8.11.22</t>
  </si>
  <si>
    <t>サンリオ豹柄フェイスポーチ</t>
  </si>
  <si>
    <t>キティ豹柄キーケース</t>
  </si>
  <si>
    <t>ヒョウ柄混ぜる！</t>
  </si>
  <si>
    <t>ボアバンスクリップに変える</t>
  </si>
  <si>
    <t>ゲームアークに変える！</t>
  </si>
  <si>
    <t>ヒョウ柄混ぜた</t>
  </si>
  <si>
    <t>48.13.15.48</t>
  </si>
  <si>
    <t>サミュエル、ルララ</t>
  </si>
  <si>
    <t>20.8.10サンリオボアバンスクリップ</t>
  </si>
  <si>
    <t>22.8.11ゲーム機柄イヤホン</t>
  </si>
  <si>
    <t>18.9.9停止0.1</t>
  </si>
  <si>
    <t>飾りのマスコットは数えてない</t>
  </si>
  <si>
    <t>22.7.9</t>
  </si>
  <si>
    <t>24.9.12スピード落とした</t>
  </si>
  <si>
    <t>ゲーム機柄イヤホン</t>
  </si>
  <si>
    <t>22.8.12スピード上げた</t>
  </si>
  <si>
    <t>キティボアバンスクリップ</t>
  </si>
  <si>
    <t>石足した　ケープ引いてヒョウ柄にした</t>
  </si>
  <si>
    <t>石足した</t>
  </si>
  <si>
    <t>SP3.3.4 20.7.9</t>
  </si>
  <si>
    <t>エラー止まってた</t>
  </si>
  <si>
    <t>ゲームアーク</t>
  </si>
  <si>
    <t>豹柄だけにした</t>
  </si>
  <si>
    <t>キャラ偏ってた</t>
  </si>
  <si>
    <t>シリコン2→3</t>
  </si>
  <si>
    <t>24.8.11</t>
  </si>
  <si>
    <t>32.7.10.32</t>
  </si>
  <si>
    <t>サミュエル小30.8.10.30</t>
  </si>
  <si>
    <t>12.7.7ギャルキティマスコット</t>
  </si>
  <si>
    <t>ギャルキティマスコット</t>
  </si>
  <si>
    <t>花の入れた　33.9.12</t>
  </si>
  <si>
    <t>ボンドロ　10.6.7</t>
  </si>
  <si>
    <t>ギャルキティフェイスポーチ18.7.9</t>
  </si>
  <si>
    <r>
      <t>yaya</t>
    </r>
    <r>
      <rPr>
        <sz val="7"/>
        <color theme="1"/>
        <rFont val="ＭＳ Ｐゴシック"/>
        <family val="2"/>
        <charset val="128"/>
      </rPr>
      <t>マスコット</t>
    </r>
    <phoneticPr fontId="15"/>
  </si>
  <si>
    <t>ボンドロシール</t>
  </si>
  <si>
    <t>キティしっぽ付ポーチ</t>
  </si>
  <si>
    <t>ややマスコット　24.11.12</t>
  </si>
  <si>
    <t>24.11.11</t>
  </si>
  <si>
    <t>ボンドロ32.8.9.32アシスト70</t>
  </si>
  <si>
    <t>次入れ替え！！！</t>
  </si>
  <si>
    <t>次補充！</t>
  </si>
  <si>
    <t>yayaマスコット</t>
  </si>
  <si>
    <t>故障中になってた12.6.7.12</t>
  </si>
  <si>
    <t>22.8.11停止0.1にした</t>
  </si>
  <si>
    <t>20.8.10</t>
  </si>
  <si>
    <t>アーム変えた24.9.12スピードあげた</t>
  </si>
  <si>
    <t>アシスト40→35</t>
  </si>
  <si>
    <t>キティドデカパッチン</t>
  </si>
  <si>
    <t>サンリオヘアバンド</t>
  </si>
  <si>
    <r>
      <rPr>
        <sz val="6"/>
        <color theme="1"/>
        <rFont val="ＭＳ ゴシック"/>
        <family val="3"/>
        <charset val="128"/>
      </rPr>
      <t>サンリオ豹柄ヘアバンド</t>
    </r>
    <r>
      <rPr>
        <sz val="6"/>
        <color theme="1"/>
        <rFont val="Calibri"/>
        <family val="2"/>
      </rPr>
      <t>19.7.9</t>
    </r>
    <phoneticPr fontId="15"/>
  </si>
  <si>
    <r>
      <rPr>
        <sz val="6"/>
        <color theme="1"/>
        <rFont val="ＭＳ ゴシック"/>
        <family val="3"/>
        <charset val="128"/>
      </rPr>
      <t>どでかぱっちん</t>
    </r>
    <r>
      <rPr>
        <sz val="6"/>
        <color theme="1"/>
        <rFont val="Calibri"/>
        <family val="2"/>
      </rPr>
      <t xml:space="preserve">16.8.8 </t>
    </r>
    <phoneticPr fontId="15"/>
  </si>
  <si>
    <t>24.10.12.24</t>
  </si>
  <si>
    <t>23.9.11.23</t>
  </si>
  <si>
    <t>22.10.11シリコン2個つけた</t>
  </si>
  <si>
    <t>23.10.11.23アシスト40</t>
  </si>
  <si>
    <t>BUZZDX①</t>
  </si>
  <si>
    <t>BUZZDX②</t>
  </si>
  <si>
    <t>BUZZDX③</t>
  </si>
  <si>
    <t>サンリオ千鳥格子フェイス</t>
  </si>
  <si>
    <t>サンリオボアバンスクリップ</t>
  </si>
  <si>
    <t>サンリオヒョウ柄バニティ</t>
  </si>
  <si>
    <t>サンリオヒョウ柄フェイス</t>
  </si>
  <si>
    <t>キティボールペン</t>
  </si>
  <si>
    <t>サンリオヒョウ柄ポーチ</t>
  </si>
  <si>
    <t>サンリオ型押し</t>
  </si>
  <si>
    <t>キティしっぽ付きフェイス</t>
  </si>
  <si>
    <t>ギャルキティポーチ</t>
    <phoneticPr fontId="15"/>
  </si>
  <si>
    <t>ドデカパッチン</t>
    <phoneticPr fontId="15"/>
  </si>
  <si>
    <t>サンリオシューズ</t>
    <phoneticPr fontId="15"/>
  </si>
  <si>
    <t>サンリオボアミラー</t>
    <phoneticPr fontId="15"/>
  </si>
  <si>
    <t>バタースクイーズに変える！！</t>
  </si>
  <si>
    <t>バタースクイーズ18.9.8</t>
  </si>
  <si>
    <t>23.10.11</t>
  </si>
  <si>
    <t>18.7.9 Sp8.8.8→7.7.7</t>
  </si>
  <si>
    <t>22.7.8</t>
  </si>
  <si>
    <t>16.7.8Sp8.8.8→6.6.6</t>
  </si>
  <si>
    <t>バタースクイーズ</t>
  </si>
  <si>
    <t>たまごっちタイルシールに変えたい！</t>
  </si>
  <si>
    <t>22.9.11</t>
  </si>
  <si>
    <t>次補充</t>
  </si>
  <si>
    <t>21.8.10</t>
  </si>
  <si>
    <t>16.8.8</t>
  </si>
  <si>
    <t>18.9.9</t>
  </si>
  <si>
    <t>18.7.9</t>
  </si>
  <si>
    <t>豹柄キティミニマスコット14.6.7</t>
  </si>
  <si>
    <t>サンリオヒョウ柄マスコットに変えたい！</t>
  </si>
  <si>
    <t>22.8.10サンリオヒョウ柄キーケースに変えたい！</t>
  </si>
  <si>
    <t>山積みにした　デジカメに変えたい</t>
  </si>
  <si>
    <t>ボンボンドロップシール</t>
    <phoneticPr fontId="15"/>
  </si>
  <si>
    <t>デジタルミニカメラプチ24.9.9.24</t>
  </si>
  <si>
    <t>sp5→3アシスト50→60</t>
  </si>
  <si>
    <t>20.8.9</t>
  </si>
  <si>
    <t>キティ豹柄ミニマスコット</t>
  </si>
  <si>
    <t>24.12.12</t>
  </si>
  <si>
    <t>18.7.8</t>
  </si>
  <si>
    <t>3/31 SP7→4</t>
  </si>
  <si>
    <t>3/31 20.8.9</t>
  </si>
  <si>
    <t>3/31 キティ豹柄リボンポーチ</t>
  </si>
  <si>
    <t>24.9.11</t>
  </si>
  <si>
    <t>22.6.8 SP10→5</t>
  </si>
  <si>
    <t>キティ豹柄リボンポーチ</t>
  </si>
  <si>
    <t>18.6.8</t>
  </si>
  <si>
    <t xml:space="preserve">20.7.9 SP8→7 </t>
  </si>
  <si>
    <t>SPGラバー24.6.12.24</t>
  </si>
  <si>
    <t xml:space="preserve">型押しマルチケースとラメケース混ぜて入れる </t>
  </si>
  <si>
    <t>4/7 ラメリボンポーチ混ぜた</t>
  </si>
  <si>
    <t>4/7 ヘアオイル　20.8.9 シリコン2</t>
  </si>
  <si>
    <t>たまごっちブロックシール</t>
  </si>
  <si>
    <t>カラビナファン</t>
  </si>
  <si>
    <t>着物キティ</t>
  </si>
  <si>
    <t>22.9.10 次補充！！</t>
  </si>
  <si>
    <t>16.7.8たまごっちタイルシール</t>
  </si>
  <si>
    <t>サンリオファン20.8.9.20sp3</t>
  </si>
  <si>
    <t>サンリオヘアオイル</t>
  </si>
  <si>
    <t>20.10.9シリコン2個ヘアオイル</t>
  </si>
  <si>
    <t>20.8.8ミニポーチ混ぜた</t>
  </si>
  <si>
    <t>サンリオファン18.7.8.18sp4</t>
  </si>
  <si>
    <t>14.10.8着物キティ</t>
  </si>
  <si>
    <t>16.6.8 SP3→2 パケ持ってくる補充</t>
  </si>
  <si>
    <t>着物キティマスコット</t>
  </si>
  <si>
    <t>補充　SP10→8</t>
  </si>
  <si>
    <t>20.9.9</t>
  </si>
  <si>
    <t>18.6.8 補充</t>
  </si>
  <si>
    <t>実数　20.6.8</t>
  </si>
  <si>
    <t>ボンボンドロップシール</t>
  </si>
  <si>
    <t>ギャルキティポーチ</t>
  </si>
  <si>
    <t>サンリオシューズ</t>
  </si>
  <si>
    <t>サンリオボアミラー</t>
  </si>
  <si>
    <t>持ってなかった…次補充！！</t>
  </si>
  <si>
    <t>18.7.7 手持ちなし　次必ず補充！</t>
  </si>
  <si>
    <t>24.9.10</t>
  </si>
  <si>
    <t>次入れ替え！！</t>
  </si>
  <si>
    <t>20.7.8</t>
  </si>
  <si>
    <t>SP7→6</t>
  </si>
  <si>
    <t>20.8.9 入れ替え！！</t>
  </si>
  <si>
    <t>SP4→3 補充にくる！！</t>
  </si>
  <si>
    <t>シリコン3→2 18.7.9</t>
  </si>
  <si>
    <t>18.7.7</t>
  </si>
  <si>
    <t>上部停止0→0.1</t>
  </si>
  <si>
    <t>20.7.9</t>
  </si>
  <si>
    <t>ノーマルキティフェイスP 16.7.8</t>
  </si>
  <si>
    <t>24.9.10 ベアブリックに入れ替え！</t>
  </si>
  <si>
    <t>フルーツモンチッチマスコット12.7.7</t>
  </si>
  <si>
    <t>次ベアブリック変えたい！</t>
  </si>
  <si>
    <t>サンリオキーホルダー入れた　SP5→4</t>
  </si>
  <si>
    <t>17.7.7シールド下がってた</t>
  </si>
  <si>
    <t>キティノーマルフェイスP</t>
  </si>
  <si>
    <t>キティキルティングポーチ20.8.9 4号アームがいいかも？</t>
  </si>
  <si>
    <t>入れ替え！</t>
  </si>
  <si>
    <t>ベアブリック14.7.7 石減らした</t>
  </si>
  <si>
    <t>モンチッチフルーツマスコット</t>
  </si>
  <si>
    <t>ふわもちスクイーズに変えたい！アーム要る</t>
  </si>
  <si>
    <t>ネコメイドキティMC 16.7.8</t>
  </si>
  <si>
    <t>キルティングキティポーチ</t>
  </si>
  <si>
    <t>16.8.7</t>
  </si>
  <si>
    <t>ベアブリック</t>
  </si>
  <si>
    <t>たまごっちミニポーチ12.7.7</t>
  </si>
  <si>
    <t>15.6.7</t>
  </si>
  <si>
    <t>ネコメイドキティマスコット</t>
  </si>
  <si>
    <t>16.7.7</t>
  </si>
  <si>
    <t>サンリオリュックポーチ18.7.7</t>
  </si>
  <si>
    <t>フルーツスクイーズ20.8.9 シリコン2</t>
  </si>
  <si>
    <t>15.8.7→16.7.7.16</t>
  </si>
  <si>
    <t>たまごっちキーリング入れる</t>
  </si>
  <si>
    <t>たまごっちミニポーチ</t>
  </si>
  <si>
    <t>サンリオリュックポーチ</t>
  </si>
  <si>
    <t>SP10→8</t>
  </si>
  <si>
    <t>ブライズメーター不良</t>
  </si>
  <si>
    <t>たまごっちキーリング16.7.8 SP1</t>
  </si>
  <si>
    <t>次補充！！</t>
  </si>
  <si>
    <t>フルーツスクイーズ</t>
  </si>
  <si>
    <t>22.8.9</t>
  </si>
  <si>
    <t>次入れ替え！ボアミラーと混ぜる</t>
  </si>
  <si>
    <t>入れ替え！！16.6.7</t>
  </si>
  <si>
    <t>次補充！SP3→2</t>
  </si>
  <si>
    <t>たまごっちキーリング</t>
  </si>
  <si>
    <t>サンリオクロック22.9.10</t>
  </si>
  <si>
    <t>緩和0.2</t>
  </si>
  <si>
    <t>ボアミラーポーチ混ぜた</t>
  </si>
  <si>
    <t>たまごスクイーズ　20.7.7 SP4 シリコン3</t>
  </si>
  <si>
    <t>ブレスレットとサンリオスイーツKH 18.7.8</t>
  </si>
  <si>
    <t>入れ替え</t>
  </si>
  <si>
    <t>24.9.10.22 シリコン3</t>
  </si>
  <si>
    <t>20.8.8</t>
  </si>
  <si>
    <t>SP3→4</t>
  </si>
  <si>
    <t>スイーツチャーム</t>
  </si>
  <si>
    <t>ラバーマスコットクロック</t>
  </si>
  <si>
    <t>たまごスクイーズ</t>
  </si>
  <si>
    <t>19.7.7</t>
  </si>
  <si>
    <t>ノーマルアームに変えた20.7.9</t>
  </si>
  <si>
    <t>景品がシールドにぶら下がり故障中なってた</t>
  </si>
  <si>
    <t>16.6.7</t>
  </si>
  <si>
    <t>SP5→3</t>
  </si>
  <si>
    <t>22.6.7 SP4→5 量増やした</t>
  </si>
  <si>
    <t>モンチッチフェイスポーチ14.7.7 SP2</t>
  </si>
  <si>
    <t>次調整！</t>
  </si>
  <si>
    <t>取れないすぎるかも！メーター468かも？</t>
  </si>
  <si>
    <t>豹柄混ぜた　ボアバンスクリップ</t>
  </si>
  <si>
    <t>入れ替え　たまごっちカスタムキーリング</t>
  </si>
  <si>
    <t>たまごっちマスコット</t>
  </si>
  <si>
    <t>入れ替え　たまごっちタイルシール</t>
  </si>
  <si>
    <t>18.7.8 SP10→7 たまごっちミニポシェット</t>
  </si>
  <si>
    <t>悪かったらスイーツのスクイーズにする</t>
  </si>
  <si>
    <t>スンスンがま口入れる</t>
  </si>
  <si>
    <t>スイーツチャームブレスレット</t>
  </si>
  <si>
    <t>モンチッチフェイスポーチ</t>
  </si>
  <si>
    <t>シリコン2→3 22.9.11</t>
  </si>
  <si>
    <t>サンリオエコバッグ24.9.11</t>
  </si>
  <si>
    <t>スンスンがま口　16.7.7</t>
  </si>
  <si>
    <t>ボアバンス　18.7.8 SP7</t>
  </si>
  <si>
    <t>サンリオファン　18.7.8</t>
  </si>
  <si>
    <t>サンリオエコバッグ20.8.9</t>
  </si>
  <si>
    <t>たまごっちブロックシール16.7.8</t>
  </si>
  <si>
    <t>たまごっちキーリング　16.8.7</t>
  </si>
  <si>
    <t>たまごっちマスコット14.6.7 上昇　緩和0.2</t>
  </si>
  <si>
    <t>たまごっちミニポシェット13.6.7 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</si>
</sst>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0_);[Red]\(0\)"/>
    <numFmt numFmtId="177" formatCode="m/d/aaa"/>
    <numFmt numFmtId="178" formatCode="0.0%"/>
    <numFmt numFmtId="179" formatCode="[$¥-411]#,##0_);[Red]\([$¥-411]#,##0\)"/>
  </numFmts>
  <fonts count="32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6"/>
      <color theme="1"/>
      <name val="ＭＳ ゴシック"/>
      <family val="3"/>
      <charset val="128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MS PGothic"/>
      <family val="3"/>
      <charset val="128"/>
    </font>
    <font>
      <sz val="5"/>
      <color theme="1"/>
      <name val="Calibri"/>
      <family val="2"/>
    </font>
    <font>
      <sz val="11"/>
      <color theme="1"/>
      <name val="MS PGothic"/>
      <family val="3"/>
      <charset val="128"/>
    </font>
    <font>
      <b/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5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6"/>
      <color theme="1"/>
      <name val="Calibri"/>
      <family val="3"/>
    </font>
    <font>
      <sz val="6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</font>
    <font>
      <sz val="7"/>
      <color theme="1"/>
      <name val="ＭＳ Ｐゴシック"/>
      <family val="2"/>
      <charset val="128"/>
    </font>
    <font>
      <sz val="6"/>
      <color theme="1"/>
      <name val="Calibri"/>
      <family val="3"/>
      <charset val="128"/>
    </font>
    <font>
      <sz val="14"/>
      <color theme="1"/>
      <name val="Calibri"/>
      <family val="2"/>
    </font>
    <font>
      <sz val="8"/>
      <color theme="1"/>
      <name val="ＭＳ ゴシック"/>
      <family val="3"/>
      <charset val="128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</cellStyleXfs>
  <cellXfs count="200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38" fontId="1" fillId="0" borderId="2" xfId="0" applyNumberFormat="1" applyFont="1" applyBorder="1" applyAlignment="1">
      <alignment horizontal="center" vertical="center"/>
    </xf>
    <xf numFmtId="38" fontId="4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9" fontId="1" fillId="0" borderId="2" xfId="0" applyNumberFormat="1" applyFont="1" applyBorder="1" applyAlignment="1">
      <alignment vertical="center"/>
    </xf>
    <xf numFmtId="38" fontId="2" fillId="0" borderId="2" xfId="0" applyNumberFormat="1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horizontal="right" vertical="center"/>
    </xf>
    <xf numFmtId="38" fontId="2" fillId="0" borderId="0" xfId="0" applyNumberFormat="1" applyFont="1" applyAlignment="1">
      <alignment vertical="center"/>
    </xf>
    <xf numFmtId="38" fontId="4" fillId="0" borderId="2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38" fontId="1" fillId="0" borderId="5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9" fontId="1" fillId="0" borderId="6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38" fontId="4" fillId="0" borderId="6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vertical="center"/>
    </xf>
    <xf numFmtId="38" fontId="7" fillId="0" borderId="2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38" fontId="9" fillId="0" borderId="2" xfId="0" applyNumberFormat="1" applyFont="1" applyBorder="1" applyAlignment="1">
      <alignment vertical="center"/>
    </xf>
    <xf numFmtId="38" fontId="1" fillId="0" borderId="15" xfId="0" applyNumberFormat="1" applyFont="1" applyBorder="1" applyAlignment="1">
      <alignment vertical="center"/>
    </xf>
    <xf numFmtId="38" fontId="1" fillId="2" borderId="16" xfId="0" applyNumberFormat="1" applyFont="1" applyFill="1" applyBorder="1" applyAlignment="1">
      <alignment vertical="center"/>
    </xf>
    <xf numFmtId="38" fontId="1" fillId="0" borderId="6" xfId="0" applyNumberFormat="1" applyFont="1" applyBorder="1" applyAlignment="1">
      <alignment horizontal="right" vertical="center"/>
    </xf>
    <xf numFmtId="38" fontId="1" fillId="0" borderId="3" xfId="0" applyNumberFormat="1" applyFont="1" applyBorder="1" applyAlignment="1">
      <alignment horizontal="right" vertical="center"/>
    </xf>
    <xf numFmtId="38" fontId="1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38" fontId="4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8" fontId="1" fillId="0" borderId="10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38" fontId="16" fillId="0" borderId="2" xfId="0" applyNumberFormat="1" applyFont="1" applyBorder="1" applyAlignment="1">
      <alignment horizontal="center" vertical="center"/>
    </xf>
    <xf numFmtId="38" fontId="16" fillId="0" borderId="2" xfId="0" applyNumberFormat="1" applyFont="1" applyBorder="1" applyAlignment="1">
      <alignment vertical="center"/>
    </xf>
    <xf numFmtId="38" fontId="16" fillId="0" borderId="6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38" fontId="1" fillId="0" borderId="18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38" fontId="1" fillId="0" borderId="19" xfId="0" applyNumberFormat="1" applyFont="1" applyBorder="1" applyAlignment="1">
      <alignment vertical="center"/>
    </xf>
    <xf numFmtId="38" fontId="16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38" fontId="1" fillId="0" borderId="11" xfId="0" applyNumberFormat="1" applyFont="1" applyBorder="1" applyAlignment="1">
      <alignment horizontal="center" vertical="center"/>
    </xf>
    <xf numFmtId="38" fontId="1" fillId="2" borderId="0" xfId="0" applyNumberFormat="1" applyFont="1" applyFill="1" applyAlignment="1">
      <alignment vertical="center"/>
    </xf>
    <xf numFmtId="38" fontId="2" fillId="2" borderId="0" xfId="0" applyNumberFormat="1" applyFont="1" applyFill="1" applyAlignment="1">
      <alignment vertical="center"/>
    </xf>
    <xf numFmtId="38" fontId="16" fillId="0" borderId="10" xfId="0" applyNumberFormat="1" applyFont="1" applyBorder="1" applyAlignment="1">
      <alignment vertical="center"/>
    </xf>
    <xf numFmtId="38" fontId="1" fillId="0" borderId="13" xfId="0" applyNumberFormat="1" applyFont="1" applyBorder="1" applyAlignment="1">
      <alignment vertical="center"/>
    </xf>
    <xf numFmtId="9" fontId="1" fillId="0" borderId="10" xfId="0" applyNumberFormat="1" applyFont="1" applyBorder="1" applyAlignment="1">
      <alignment vertical="center"/>
    </xf>
    <xf numFmtId="38" fontId="4" fillId="0" borderId="10" xfId="0" applyNumberFormat="1" applyFont="1" applyBorder="1" applyAlignment="1">
      <alignment vertical="center"/>
    </xf>
    <xf numFmtId="177" fontId="1" fillId="0" borderId="10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178" fontId="1" fillId="0" borderId="10" xfId="0" applyNumberFormat="1" applyFont="1" applyBorder="1" applyAlignment="1">
      <alignment vertical="center"/>
    </xf>
    <xf numFmtId="38" fontId="2" fillId="0" borderId="10" xfId="0" applyNumberFormat="1" applyFont="1" applyBorder="1" applyAlignment="1">
      <alignment vertical="center"/>
    </xf>
    <xf numFmtId="38" fontId="14" fillId="3" borderId="2" xfId="0" applyNumberFormat="1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38" fontId="1" fillId="6" borderId="0" xfId="0" applyNumberFormat="1" applyFont="1" applyFill="1" applyAlignment="1">
      <alignment vertical="center"/>
    </xf>
    <xf numFmtId="0" fontId="16" fillId="7" borderId="0" xfId="0" applyFont="1" applyFill="1" applyAlignment="1">
      <alignment vertical="center"/>
    </xf>
    <xf numFmtId="176" fontId="2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177" fontId="1" fillId="0" borderId="4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177" fontId="1" fillId="0" borderId="7" xfId="0" applyNumberFormat="1" applyFont="1" applyBorder="1" applyAlignment="1">
      <alignment vertical="center"/>
    </xf>
    <xf numFmtId="38" fontId="1" fillId="5" borderId="2" xfId="0" applyNumberFormat="1" applyFont="1" applyFill="1" applyBorder="1" applyAlignment="1">
      <alignment vertical="center"/>
    </xf>
    <xf numFmtId="38" fontId="1" fillId="5" borderId="6" xfId="0" applyNumberFormat="1" applyFont="1" applyFill="1" applyBorder="1" applyAlignment="1">
      <alignment vertical="center"/>
    </xf>
    <xf numFmtId="38" fontId="1" fillId="4" borderId="2" xfId="0" applyNumberFormat="1" applyFont="1" applyFill="1" applyBorder="1" applyAlignment="1">
      <alignment vertical="center"/>
    </xf>
    <xf numFmtId="38" fontId="1" fillId="0" borderId="10" xfId="0" applyNumberFormat="1" applyFont="1" applyBorder="1" applyAlignment="1">
      <alignment horizontal="center" vertical="center"/>
    </xf>
    <xf numFmtId="177" fontId="1" fillId="0" borderId="18" xfId="0" applyNumberFormat="1" applyFont="1" applyBorder="1" applyAlignment="1">
      <alignment vertical="center"/>
    </xf>
    <xf numFmtId="38" fontId="4" fillId="0" borderId="18" xfId="0" applyNumberFormat="1" applyFont="1" applyBorder="1" applyAlignment="1">
      <alignment vertical="center"/>
    </xf>
    <xf numFmtId="38" fontId="2" fillId="0" borderId="18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77" fontId="1" fillId="0" borderId="14" xfId="0" applyNumberFormat="1" applyFont="1" applyBorder="1" applyAlignment="1">
      <alignment vertical="center"/>
    </xf>
    <xf numFmtId="38" fontId="4" fillId="0" borderId="14" xfId="0" applyNumberFormat="1" applyFont="1" applyBorder="1" applyAlignment="1">
      <alignment vertical="center"/>
    </xf>
    <xf numFmtId="38" fontId="16" fillId="0" borderId="18" xfId="0" applyNumberFormat="1" applyFont="1" applyBorder="1" applyAlignment="1">
      <alignment vertical="center"/>
    </xf>
    <xf numFmtId="38" fontId="16" fillId="0" borderId="14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vertical="center"/>
    </xf>
    <xf numFmtId="38" fontId="2" fillId="4" borderId="2" xfId="0" applyNumberFormat="1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20" xfId="0" applyBorder="1" applyAlignment="1">
      <alignment vertical="center"/>
    </xf>
    <xf numFmtId="176" fontId="0" fillId="0" borderId="20" xfId="0" applyNumberFormat="1" applyBorder="1" applyAlignment="1">
      <alignment vertical="center"/>
    </xf>
    <xf numFmtId="38" fontId="8" fillId="0" borderId="4" xfId="0" applyNumberFormat="1" applyFont="1" applyBorder="1" applyAlignment="1">
      <alignment horizontal="center" vertical="center"/>
    </xf>
    <xf numFmtId="178" fontId="1" fillId="0" borderId="11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horizontal="center" vertical="center"/>
    </xf>
    <xf numFmtId="38" fontId="8" fillId="0" borderId="16" xfId="0" applyNumberFormat="1" applyFont="1" applyBorder="1" applyAlignment="1">
      <alignment horizontal="center" vertical="center"/>
    </xf>
    <xf numFmtId="38" fontId="1" fillId="0" borderId="9" xfId="0" applyNumberFormat="1" applyFont="1" applyBorder="1" applyAlignment="1">
      <alignment horizontal="center" vertical="center"/>
    </xf>
    <xf numFmtId="178" fontId="1" fillId="0" borderId="2" xfId="3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horizontal="right" vertical="center"/>
    </xf>
    <xf numFmtId="38" fontId="1" fillId="5" borderId="12" xfId="0" applyNumberFormat="1" applyFont="1" applyFill="1" applyBorder="1" applyAlignment="1">
      <alignment vertical="center"/>
    </xf>
    <xf numFmtId="176" fontId="22" fillId="0" borderId="2" xfId="0" applyNumberFormat="1" applyFont="1" applyBorder="1" applyAlignment="1">
      <alignment horizontal="center" vertical="center"/>
    </xf>
    <xf numFmtId="38" fontId="16" fillId="5" borderId="2" xfId="0" applyNumberFormat="1" applyFont="1" applyFill="1" applyBorder="1" applyAlignment="1">
      <alignment vertical="center"/>
    </xf>
    <xf numFmtId="38" fontId="1" fillId="0" borderId="21" xfId="0" applyNumberFormat="1" applyFont="1" applyBorder="1" applyAlignment="1">
      <alignment vertical="center"/>
    </xf>
    <xf numFmtId="176" fontId="12" fillId="0" borderId="2" xfId="0" applyNumberFormat="1" applyFont="1" applyBorder="1" applyAlignment="1">
      <alignment horizontal="center" vertical="center"/>
    </xf>
    <xf numFmtId="38" fontId="1" fillId="5" borderId="10" xfId="0" applyNumberFormat="1" applyFont="1" applyFill="1" applyBorder="1" applyAlignment="1">
      <alignment vertical="center"/>
    </xf>
    <xf numFmtId="38" fontId="1" fillId="5" borderId="14" xfId="0" applyNumberFormat="1" applyFont="1" applyFill="1" applyBorder="1" applyAlignment="1">
      <alignment vertical="center"/>
    </xf>
    <xf numFmtId="9" fontId="1" fillId="5" borderId="8" xfId="0" applyNumberFormat="1" applyFont="1" applyFill="1" applyBorder="1" applyAlignment="1">
      <alignment vertical="center"/>
    </xf>
    <xf numFmtId="38" fontId="9" fillId="5" borderId="2" xfId="0" applyNumberFormat="1" applyFont="1" applyFill="1" applyBorder="1" applyAlignment="1">
      <alignment vertical="center"/>
    </xf>
    <xf numFmtId="38" fontId="5" fillId="0" borderId="2" xfId="0" applyNumberFormat="1" applyFont="1" applyBorder="1" applyAlignment="1">
      <alignment vertical="center"/>
    </xf>
    <xf numFmtId="38" fontId="16" fillId="5" borderId="10" xfId="0" applyNumberFormat="1" applyFont="1" applyFill="1" applyBorder="1" applyAlignment="1">
      <alignment vertical="center"/>
    </xf>
    <xf numFmtId="38" fontId="1" fillId="3" borderId="10" xfId="0" applyNumberFormat="1" applyFont="1" applyFill="1" applyBorder="1" applyAlignment="1">
      <alignment vertical="center"/>
    </xf>
    <xf numFmtId="38" fontId="1" fillId="3" borderId="2" xfId="0" applyNumberFormat="1" applyFont="1" applyFill="1" applyBorder="1" applyAlignment="1">
      <alignment vertical="center"/>
    </xf>
    <xf numFmtId="38" fontId="1" fillId="3" borderId="6" xfId="0" applyNumberFormat="1" applyFont="1" applyFill="1" applyBorder="1" applyAlignment="1">
      <alignment vertical="center"/>
    </xf>
    <xf numFmtId="38" fontId="1" fillId="9" borderId="3" xfId="0" applyNumberFormat="1" applyFont="1" applyFill="1" applyBorder="1" applyAlignment="1">
      <alignment horizontal="right" vertical="center"/>
    </xf>
    <xf numFmtId="38" fontId="24" fillId="0" borderId="2" xfId="0" applyNumberFormat="1" applyFont="1" applyBorder="1" applyAlignment="1">
      <alignment vertical="center"/>
    </xf>
    <xf numFmtId="38" fontId="1" fillId="3" borderId="18" xfId="0" applyNumberFormat="1" applyFont="1" applyFill="1" applyBorder="1" applyAlignment="1">
      <alignment vertical="center"/>
    </xf>
    <xf numFmtId="38" fontId="1" fillId="3" borderId="14" xfId="0" applyNumberFormat="1" applyFont="1" applyFill="1" applyBorder="1" applyAlignment="1">
      <alignment vertical="center"/>
    </xf>
    <xf numFmtId="177" fontId="1" fillId="6" borderId="2" xfId="0" applyNumberFormat="1" applyFont="1" applyFill="1" applyBorder="1" applyAlignment="1">
      <alignment vertical="center"/>
    </xf>
    <xf numFmtId="177" fontId="1" fillId="3" borderId="2" xfId="0" applyNumberFormat="1" applyFont="1" applyFill="1" applyBorder="1" applyAlignment="1">
      <alignment vertical="center"/>
    </xf>
    <xf numFmtId="38" fontId="1" fillId="4" borderId="2" xfId="0" applyNumberFormat="1" applyFont="1" applyFill="1" applyBorder="1" applyAlignment="1">
      <alignment horizontal="right" vertical="center"/>
    </xf>
    <xf numFmtId="38" fontId="2" fillId="11" borderId="2" xfId="0" applyNumberFormat="1" applyFont="1" applyFill="1" applyBorder="1" applyAlignment="1">
      <alignment vertical="center"/>
    </xf>
    <xf numFmtId="38" fontId="2" fillId="3" borderId="2" xfId="0" applyNumberFormat="1" applyFont="1" applyFill="1" applyBorder="1" applyAlignment="1">
      <alignment vertical="center"/>
    </xf>
    <xf numFmtId="38" fontId="1" fillId="11" borderId="2" xfId="0" applyNumberFormat="1" applyFont="1" applyFill="1" applyBorder="1" applyAlignment="1">
      <alignment vertical="center"/>
    </xf>
    <xf numFmtId="38" fontId="16" fillId="12" borderId="2" xfId="0" applyNumberFormat="1" applyFont="1" applyFill="1" applyBorder="1" applyAlignment="1">
      <alignment vertical="center"/>
    </xf>
    <xf numFmtId="38" fontId="1" fillId="4" borderId="10" xfId="0" applyNumberFormat="1" applyFont="1" applyFill="1" applyBorder="1" applyAlignment="1">
      <alignment horizontal="right" vertical="center"/>
    </xf>
    <xf numFmtId="38" fontId="1" fillId="5" borderId="18" xfId="0" applyNumberFormat="1" applyFont="1" applyFill="1" applyBorder="1" applyAlignment="1">
      <alignment vertical="center"/>
    </xf>
    <xf numFmtId="9" fontId="1" fillId="5" borderId="2" xfId="0" applyNumberFormat="1" applyFont="1" applyFill="1" applyBorder="1" applyAlignment="1">
      <alignment vertical="center"/>
    </xf>
    <xf numFmtId="38" fontId="3" fillId="11" borderId="2" xfId="0" applyNumberFormat="1" applyFont="1" applyFill="1" applyBorder="1" applyAlignment="1">
      <alignment vertical="center"/>
    </xf>
    <xf numFmtId="38" fontId="3" fillId="0" borderId="2" xfId="0" applyNumberFormat="1" applyFont="1" applyBorder="1" applyAlignment="1">
      <alignment vertical="center"/>
    </xf>
    <xf numFmtId="38" fontId="16" fillId="5" borderId="6" xfId="0" applyNumberFormat="1" applyFont="1" applyFill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38" fontId="1" fillId="0" borderId="24" xfId="0" applyNumberFormat="1" applyFont="1" applyBorder="1" applyAlignment="1">
      <alignment horizontal="center" vertical="center"/>
    </xf>
    <xf numFmtId="176" fontId="0" fillId="0" borderId="25" xfId="0" applyNumberFormat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38" fontId="27" fillId="0" borderId="2" xfId="0" applyNumberFormat="1" applyFont="1" applyBorder="1" applyAlignment="1">
      <alignment vertical="center"/>
    </xf>
    <xf numFmtId="38" fontId="28" fillId="11" borderId="2" xfId="0" applyNumberFormat="1" applyFont="1" applyFill="1" applyBorder="1" applyAlignment="1">
      <alignment vertical="center"/>
    </xf>
    <xf numFmtId="38" fontId="26" fillId="0" borderId="10" xfId="0" applyNumberFormat="1" applyFont="1" applyBorder="1" applyAlignment="1">
      <alignment vertical="center"/>
    </xf>
    <xf numFmtId="38" fontId="26" fillId="0" borderId="2" xfId="0" applyNumberFormat="1" applyFont="1" applyBorder="1" applyAlignment="1">
      <alignment vertical="center"/>
    </xf>
    <xf numFmtId="38" fontId="26" fillId="0" borderId="6" xfId="0" applyNumberFormat="1" applyFont="1" applyBorder="1" applyAlignment="1">
      <alignment vertical="center"/>
    </xf>
    <xf numFmtId="38" fontId="2" fillId="14" borderId="2" xfId="0" applyNumberFormat="1" applyFont="1" applyFill="1" applyBorder="1" applyAlignment="1">
      <alignment vertical="center"/>
    </xf>
    <xf numFmtId="38" fontId="2" fillId="13" borderId="2" xfId="0" applyNumberFormat="1" applyFont="1" applyFill="1" applyBorder="1" applyAlignment="1">
      <alignment vertical="center"/>
    </xf>
    <xf numFmtId="38" fontId="18" fillId="0" borderId="2" xfId="0" applyNumberFormat="1" applyFont="1" applyBorder="1" applyAlignment="1">
      <alignment horizontal="center" vertical="center"/>
    </xf>
    <xf numFmtId="38" fontId="29" fillId="0" borderId="10" xfId="0" applyNumberFormat="1" applyFont="1" applyBorder="1" applyAlignment="1">
      <alignment vertical="center"/>
    </xf>
    <xf numFmtId="38" fontId="30" fillId="0" borderId="10" xfId="0" applyNumberFormat="1" applyFont="1" applyBorder="1" applyAlignment="1">
      <alignment vertical="center"/>
    </xf>
    <xf numFmtId="38" fontId="30" fillId="0" borderId="2" xfId="0" applyNumberFormat="1" applyFont="1" applyBorder="1" applyAlignment="1">
      <alignment vertical="center"/>
    </xf>
    <xf numFmtId="38" fontId="1" fillId="4" borderId="13" xfId="0" applyNumberFormat="1" applyFont="1" applyFill="1" applyBorder="1" applyAlignment="1">
      <alignment vertical="center"/>
    </xf>
    <xf numFmtId="38" fontId="9" fillId="11" borderId="2" xfId="0" applyNumberFormat="1" applyFont="1" applyFill="1" applyBorder="1" applyAlignment="1">
      <alignment vertical="center"/>
    </xf>
    <xf numFmtId="38" fontId="6" fillId="11" borderId="2" xfId="0" applyNumberFormat="1" applyFont="1" applyFill="1" applyBorder="1" applyAlignment="1">
      <alignment vertical="center"/>
    </xf>
    <xf numFmtId="38" fontId="2" fillId="5" borderId="2" xfId="0" applyNumberFormat="1" applyFont="1" applyFill="1" applyBorder="1" applyAlignment="1">
      <alignment vertical="center"/>
    </xf>
    <xf numFmtId="38" fontId="2" fillId="15" borderId="2" xfId="0" applyNumberFormat="1" applyFont="1" applyFill="1" applyBorder="1" applyAlignment="1">
      <alignment vertical="center"/>
    </xf>
    <xf numFmtId="38" fontId="1" fillId="4" borderId="6" xfId="0" applyNumberFormat="1" applyFont="1" applyFill="1" applyBorder="1" applyAlignment="1">
      <alignment vertical="center"/>
    </xf>
    <xf numFmtId="0" fontId="31" fillId="16" borderId="2" xfId="0" applyFont="1" applyFill="1" applyBorder="1" applyAlignment="1">
      <alignment vertical="center" wrapText="1"/>
    </xf>
    <xf numFmtId="38" fontId="2" fillId="17" borderId="2" xfId="0" applyNumberFormat="1" applyFont="1" applyFill="1" applyBorder="1" applyAlignment="1">
      <alignment vertical="center"/>
    </xf>
    <xf numFmtId="38" fontId="6" fillId="0" borderId="2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horizontal="right" vertical="center"/>
    </xf>
    <xf numFmtId="38" fontId="6" fillId="0" borderId="11" xfId="0" applyNumberFormat="1" applyFont="1" applyBorder="1" applyAlignment="1">
      <alignment horizontal="right" vertical="center"/>
    </xf>
    <xf numFmtId="38" fontId="1" fillId="0" borderId="5" xfId="0" applyNumberFormat="1" applyFont="1" applyBorder="1" applyAlignment="1">
      <alignment horizontal="right" vertical="center"/>
    </xf>
    <xf numFmtId="38" fontId="1" fillId="0" borderId="11" xfId="0" applyNumberFormat="1" applyFont="1" applyBorder="1" applyAlignment="1">
      <alignment horizontal="right" vertical="center"/>
    </xf>
    <xf numFmtId="38" fontId="11" fillId="3" borderId="22" xfId="0" applyNumberFormat="1" applyFont="1" applyFill="1" applyBorder="1" applyAlignment="1">
      <alignment horizontal="center" vertical="center"/>
    </xf>
    <xf numFmtId="38" fontId="11" fillId="3" borderId="23" xfId="0" applyNumberFormat="1" applyFont="1" applyFill="1" applyBorder="1" applyAlignment="1">
      <alignment horizontal="center" vertical="center"/>
    </xf>
    <xf numFmtId="38" fontId="25" fillId="10" borderId="22" xfId="0" applyNumberFormat="1" applyFont="1" applyFill="1" applyBorder="1" applyAlignment="1">
      <alignment horizontal="center" vertical="center"/>
    </xf>
    <xf numFmtId="38" fontId="25" fillId="10" borderId="23" xfId="0" applyNumberFormat="1" applyFont="1" applyFill="1" applyBorder="1" applyAlignment="1">
      <alignment horizontal="center" vertical="center"/>
    </xf>
    <xf numFmtId="177" fontId="18" fillId="0" borderId="28" xfId="0" applyNumberFormat="1" applyFont="1" applyBorder="1" applyAlignment="1">
      <alignment horizontal="center" vertical="center"/>
    </xf>
    <xf numFmtId="177" fontId="18" fillId="0" borderId="29" xfId="0" applyNumberFormat="1" applyFont="1" applyBorder="1" applyAlignment="1">
      <alignment horizontal="center" vertical="center"/>
    </xf>
    <xf numFmtId="38" fontId="11" fillId="10" borderId="22" xfId="0" applyNumberFormat="1" applyFont="1" applyFill="1" applyBorder="1" applyAlignment="1">
      <alignment horizontal="center" vertical="center"/>
    </xf>
    <xf numFmtId="38" fontId="11" fillId="10" borderId="23" xfId="0" applyNumberFormat="1" applyFont="1" applyFill="1" applyBorder="1" applyAlignment="1">
      <alignment horizontal="center" vertical="center"/>
    </xf>
    <xf numFmtId="38" fontId="1" fillId="0" borderId="30" xfId="2" applyNumberFormat="1" applyFont="1" applyBorder="1" applyAlignment="1">
      <alignment horizontal="center" vertical="center"/>
    </xf>
    <xf numFmtId="38" fontId="1" fillId="0" borderId="31" xfId="2" applyNumberFormat="1" applyFont="1" applyBorder="1" applyAlignment="1">
      <alignment horizontal="center" vertical="center"/>
    </xf>
    <xf numFmtId="38" fontId="1" fillId="0" borderId="32" xfId="2" applyNumberFormat="1" applyFont="1" applyBorder="1" applyAlignment="1">
      <alignment horizontal="center" vertical="center"/>
    </xf>
    <xf numFmtId="38" fontId="3" fillId="0" borderId="5" xfId="0" applyNumberFormat="1" applyFont="1" applyBorder="1" applyAlignment="1">
      <alignment horizontal="center" vertical="center"/>
    </xf>
    <xf numFmtId="38" fontId="3" fillId="0" borderId="11" xfId="0" applyNumberFormat="1" applyFont="1" applyBorder="1" applyAlignment="1">
      <alignment horizontal="center" vertical="center"/>
    </xf>
    <xf numFmtId="38" fontId="10" fillId="0" borderId="5" xfId="0" applyNumberFormat="1" applyFont="1" applyBorder="1" applyAlignment="1">
      <alignment horizontal="center" vertical="center"/>
    </xf>
    <xf numFmtId="38" fontId="10" fillId="0" borderId="11" xfId="0" applyNumberFormat="1" applyFont="1" applyBorder="1" applyAlignment="1">
      <alignment horizontal="center" vertical="center"/>
    </xf>
    <xf numFmtId="38" fontId="8" fillId="0" borderId="5" xfId="0" applyNumberFormat="1" applyFont="1" applyBorder="1" applyAlignment="1">
      <alignment horizontal="center" vertical="center"/>
    </xf>
    <xf numFmtId="38" fontId="8" fillId="0" borderId="11" xfId="0" applyNumberFormat="1" applyFont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38" fontId="3" fillId="0" borderId="27" xfId="0" applyNumberFormat="1" applyFont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38" fontId="12" fillId="2" borderId="16" xfId="0" applyNumberFormat="1" applyFont="1" applyFill="1" applyBorder="1" applyAlignment="1">
      <alignment horizontal="center" vertical="center"/>
    </xf>
    <xf numFmtId="38" fontId="11" fillId="3" borderId="20" xfId="0" applyNumberFormat="1" applyFont="1" applyFill="1" applyBorder="1" applyAlignment="1">
      <alignment horizontal="center" vertical="center"/>
    </xf>
    <xf numFmtId="38" fontId="25" fillId="10" borderId="17" xfId="0" applyNumberFormat="1" applyFont="1" applyFill="1" applyBorder="1" applyAlignment="1">
      <alignment horizontal="center" vertical="center"/>
    </xf>
    <xf numFmtId="177" fontId="18" fillId="0" borderId="17" xfId="0" applyNumberFormat="1" applyFont="1" applyBorder="1" applyAlignment="1">
      <alignment horizontal="center" vertical="center"/>
    </xf>
    <xf numFmtId="38" fontId="11" fillId="10" borderId="20" xfId="0" applyNumberFormat="1" applyFont="1" applyFill="1" applyBorder="1" applyAlignment="1">
      <alignment horizontal="center" vertical="center"/>
    </xf>
    <xf numFmtId="38" fontId="1" fillId="0" borderId="17" xfId="2" applyNumberFormat="1" applyFont="1" applyBorder="1" applyAlignment="1">
      <alignment horizontal="center" vertical="center"/>
    </xf>
    <xf numFmtId="38" fontId="3" fillId="0" borderId="4" xfId="0" applyNumberFormat="1" applyFon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38" fontId="18" fillId="0" borderId="17" xfId="0" applyNumberFormat="1" applyFont="1" applyBorder="1" applyAlignment="1">
      <alignment horizontal="center" vertical="center"/>
    </xf>
    <xf numFmtId="38" fontId="1" fillId="0" borderId="20" xfId="0" applyNumberFormat="1" applyFont="1" applyBorder="1" applyAlignment="1">
      <alignment horizontal="center" vertical="center"/>
    </xf>
  </cellXfs>
  <cellStyles count="4">
    <cellStyle name="Hyperlink" xfId="1" xr:uid="{00000000-000B-0000-0000-000008000000}"/>
    <cellStyle name="パーセント" xfId="3" builtinId="5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3437"/>
  <sheetViews>
    <sheetView tabSelected="1" zoomScale="90" zoomScaleNormal="90" workbookViewId="0">
      <pane xSplit="1" ySplit="2" topLeftCell="BC3" activePane="bottomRight" state="frozen"/>
      <selection pane="topRight" activeCell="B1" sqref="B1"/>
      <selection pane="bottomLeft" activeCell="A3" sqref="A3"/>
      <selection pane="bottomRight" activeCell="A61" sqref="A61"/>
    </sheetView>
  </sheetViews>
  <sheetFormatPr defaultColWidth="6.85546875" defaultRowHeight="15" customHeight="1"/>
  <cols>
    <col min="1" max="1" width="10.140625" bestFit="1" customWidth="1"/>
    <col min="2" max="2" width="8.140625" style="77" bestFit="1" customWidth="1"/>
    <col min="3" max="3" width="7.85546875" bestFit="1" customWidth="1"/>
    <col min="4" max="5" width="9" bestFit="1" customWidth="1"/>
    <col min="6" max="6" width="5.28515625" bestFit="1" customWidth="1"/>
    <col min="7" max="7" width="8.5703125" bestFit="1" customWidth="1"/>
    <col min="8" max="8" width="9" bestFit="1" customWidth="1"/>
    <col min="9" max="9" width="7.85546875" bestFit="1" customWidth="1"/>
    <col min="10" max="10" width="21.85546875" bestFit="1" customWidth="1"/>
    <col min="11" max="11" width="6.85546875" bestFit="1" customWidth="1"/>
    <col min="12" max="13" width="8.5703125" bestFit="1" customWidth="1"/>
    <col min="14" max="14" width="21.85546875" bestFit="1" customWidth="1"/>
    <col min="15" max="15" width="2.42578125" style="57" customWidth="1"/>
    <col min="16" max="16" width="10.140625" bestFit="1" customWidth="1"/>
    <col min="17" max="17" width="7.85546875" bestFit="1" customWidth="1"/>
    <col min="18" max="19" width="9" bestFit="1" customWidth="1"/>
    <col min="20" max="20" width="5.28515625" bestFit="1" customWidth="1"/>
    <col min="21" max="21" width="8.5703125" bestFit="1" customWidth="1"/>
    <col min="22" max="23" width="6.28515625" bestFit="1" customWidth="1"/>
    <col min="24" max="24" width="25.7109375" bestFit="1" customWidth="1"/>
    <col min="25" max="25" width="6.85546875" style="49" bestFit="1" customWidth="1"/>
    <col min="26" max="26" width="9" bestFit="1" customWidth="1"/>
    <col min="27" max="27" width="7.140625" bestFit="1" customWidth="1"/>
    <col min="28" max="28" width="29" bestFit="1" customWidth="1"/>
    <col min="29" max="29" width="2.42578125" customWidth="1"/>
    <col min="30" max="30" width="10.140625" bestFit="1" customWidth="1"/>
    <col min="31" max="31" width="7.85546875" bestFit="1" customWidth="1"/>
    <col min="32" max="33" width="9" bestFit="1" customWidth="1"/>
    <col min="34" max="34" width="4.140625" bestFit="1" customWidth="1"/>
    <col min="35" max="35" width="8.5703125" bestFit="1" customWidth="1"/>
    <col min="36" max="37" width="6.28515625" bestFit="1" customWidth="1"/>
    <col min="38" max="38" width="19.42578125" bestFit="1" customWidth="1"/>
    <col min="39" max="39" width="6.85546875" bestFit="1" customWidth="1"/>
    <col min="40" max="40" width="9" bestFit="1" customWidth="1"/>
    <col min="41" max="41" width="7.140625" bestFit="1" customWidth="1"/>
    <col min="42" max="42" width="29" bestFit="1" customWidth="1"/>
    <col min="43" max="43" width="2" customWidth="1"/>
    <col min="44" max="44" width="9" bestFit="1" customWidth="1"/>
    <col min="45" max="45" width="7.42578125" bestFit="1" customWidth="1"/>
    <col min="46" max="46" width="7.85546875" bestFit="1" customWidth="1"/>
    <col min="47" max="47" width="8.5703125" bestFit="1" customWidth="1"/>
    <col min="48" max="48" width="4.140625" bestFit="1" customWidth="1"/>
    <col min="49" max="49" width="8.5703125" bestFit="1" customWidth="1"/>
    <col min="50" max="51" width="6.28515625" bestFit="1" customWidth="1"/>
    <col min="52" max="52" width="21.5703125" bestFit="1" customWidth="1"/>
    <col min="53" max="53" width="6.85546875" bestFit="1" customWidth="1"/>
    <col min="54" max="54" width="7.85546875" bestFit="1" customWidth="1"/>
    <col min="55" max="55" width="7.28515625" bestFit="1" customWidth="1"/>
    <col min="56" max="56" width="23.42578125" customWidth="1"/>
    <col min="57" max="57" width="1.7109375" customWidth="1"/>
    <col min="58" max="58" width="9" bestFit="1" customWidth="1"/>
    <col min="59" max="59" width="7.42578125" bestFit="1" customWidth="1"/>
    <col min="60" max="61" width="9" bestFit="1" customWidth="1"/>
    <col min="62" max="62" width="4.140625" bestFit="1" customWidth="1"/>
    <col min="63" max="63" width="8.5703125" bestFit="1" customWidth="1"/>
    <col min="64" max="65" width="6.28515625" bestFit="1" customWidth="1"/>
    <col min="66" max="66" width="20" bestFit="1" customWidth="1"/>
    <col min="67" max="67" width="6.85546875" bestFit="1" customWidth="1"/>
    <col min="68" max="68" width="7.85546875" bestFit="1" customWidth="1"/>
    <col min="69" max="69" width="7.140625" bestFit="1" customWidth="1"/>
    <col min="70" max="70" width="26.140625" bestFit="1" customWidth="1"/>
    <col min="71" max="71" width="2.140625" customWidth="1"/>
    <col min="72" max="72" width="9" bestFit="1" customWidth="1"/>
    <col min="73" max="73" width="7.42578125" bestFit="1" customWidth="1"/>
    <col min="74" max="74" width="7.85546875" bestFit="1" customWidth="1"/>
    <col min="75" max="75" width="8.5703125" bestFit="1" customWidth="1"/>
    <col min="76" max="76" width="4.140625" bestFit="1" customWidth="1"/>
    <col min="77" max="77" width="8.5703125" bestFit="1" customWidth="1"/>
    <col min="78" max="79" width="6.28515625" bestFit="1" customWidth="1"/>
    <col min="80" max="80" width="18.28515625" bestFit="1" customWidth="1"/>
    <col min="81" max="81" width="6.85546875" bestFit="1" customWidth="1"/>
    <col min="82" max="82" width="7.85546875" bestFit="1" customWidth="1"/>
    <col min="83" max="83" width="7.140625" bestFit="1" customWidth="1"/>
    <col min="84" max="84" width="27.5703125" bestFit="1" customWidth="1"/>
  </cols>
  <sheetData>
    <row r="1" spans="1:84">
      <c r="A1" s="188" t="s">
        <v>40</v>
      </c>
      <c r="B1" s="188"/>
      <c r="C1" s="189" t="s">
        <v>41</v>
      </c>
      <c r="D1" s="189"/>
      <c r="E1" s="36"/>
      <c r="F1" s="36"/>
      <c r="G1" s="59"/>
      <c r="H1" s="59"/>
      <c r="I1" s="59"/>
      <c r="J1" s="59"/>
      <c r="K1" s="59"/>
      <c r="L1" s="59"/>
      <c r="M1" s="59"/>
      <c r="N1" s="60"/>
      <c r="O1" s="56"/>
      <c r="P1" s="185" t="s">
        <v>39</v>
      </c>
      <c r="Q1" s="185"/>
      <c r="R1" s="185"/>
      <c r="S1" s="184" t="s">
        <v>38</v>
      </c>
      <c r="T1" s="184"/>
      <c r="U1" s="71"/>
      <c r="V1" s="71"/>
      <c r="W1" s="71"/>
      <c r="X1" s="72"/>
      <c r="Y1" s="71"/>
      <c r="Z1" s="71"/>
      <c r="AA1" s="71"/>
      <c r="AB1" s="73"/>
      <c r="AC1" s="74"/>
      <c r="AD1" s="185" t="s">
        <v>39</v>
      </c>
      <c r="AE1" s="185"/>
      <c r="AF1" s="185"/>
      <c r="AG1" s="184" t="s">
        <v>37</v>
      </c>
      <c r="AH1" s="184"/>
      <c r="AI1" s="71"/>
      <c r="AJ1" s="71"/>
      <c r="AK1" s="71"/>
      <c r="AL1" s="75"/>
      <c r="AM1" s="71"/>
      <c r="AN1" s="71"/>
      <c r="AO1" s="71"/>
      <c r="AP1" s="73"/>
      <c r="AR1" s="185" t="s">
        <v>39</v>
      </c>
      <c r="AS1" s="185"/>
      <c r="AT1" s="185"/>
      <c r="AU1" s="184" t="s">
        <v>259</v>
      </c>
      <c r="AV1" s="184"/>
      <c r="AW1" s="71"/>
      <c r="AX1" s="71"/>
      <c r="AY1" s="71"/>
      <c r="AZ1" s="75"/>
      <c r="BA1" s="71"/>
      <c r="BB1" s="71"/>
      <c r="BC1" s="71"/>
      <c r="BD1" s="73"/>
      <c r="BF1" s="185" t="s">
        <v>39</v>
      </c>
      <c r="BG1" s="185"/>
      <c r="BH1" s="185"/>
      <c r="BI1" s="184" t="s">
        <v>260</v>
      </c>
      <c r="BJ1" s="184"/>
      <c r="BK1" s="71"/>
      <c r="BL1" s="71"/>
      <c r="BM1" s="71"/>
      <c r="BN1" s="75"/>
      <c r="BO1" s="71"/>
      <c r="BP1" s="71"/>
      <c r="BQ1" s="71"/>
      <c r="BR1" s="73"/>
      <c r="BT1" s="185" t="s">
        <v>39</v>
      </c>
      <c r="BU1" s="185"/>
      <c r="BV1" s="185"/>
      <c r="BW1" s="184" t="s">
        <v>261</v>
      </c>
      <c r="BX1" s="184"/>
      <c r="BY1" s="71"/>
      <c r="BZ1" s="71"/>
      <c r="CA1" s="71"/>
      <c r="CB1" s="75"/>
      <c r="CC1" s="71"/>
      <c r="CD1" s="71"/>
      <c r="CE1" s="71"/>
      <c r="CF1" s="73"/>
    </row>
    <row r="2" spans="1:84">
      <c r="A2" s="7" t="s">
        <v>0</v>
      </c>
      <c r="B2" s="112" t="s">
        <v>34</v>
      </c>
      <c r="C2" s="5" t="s">
        <v>1</v>
      </c>
      <c r="D2" s="5" t="s">
        <v>2</v>
      </c>
      <c r="E2" s="6" t="s">
        <v>3</v>
      </c>
      <c r="F2" s="5" t="s">
        <v>2</v>
      </c>
      <c r="G2" s="5" t="s">
        <v>4</v>
      </c>
      <c r="H2" s="5" t="s">
        <v>5</v>
      </c>
      <c r="I2" s="5" t="s">
        <v>6</v>
      </c>
      <c r="J2" s="150" t="s">
        <v>11</v>
      </c>
      <c r="K2" s="5" t="s">
        <v>7</v>
      </c>
      <c r="L2" s="5" t="s">
        <v>8</v>
      </c>
      <c r="M2" s="5" t="s">
        <v>9</v>
      </c>
      <c r="N2" s="5" t="s">
        <v>10</v>
      </c>
      <c r="O2" s="2"/>
      <c r="P2" s="7" t="s">
        <v>0</v>
      </c>
      <c r="Q2" s="5" t="s">
        <v>1</v>
      </c>
      <c r="R2" s="5" t="s">
        <v>2</v>
      </c>
      <c r="S2" s="6" t="s">
        <v>3</v>
      </c>
      <c r="T2" s="5" t="s">
        <v>2</v>
      </c>
      <c r="U2" s="5" t="s">
        <v>4</v>
      </c>
      <c r="V2" s="5" t="s">
        <v>5</v>
      </c>
      <c r="W2" s="5" t="s">
        <v>6</v>
      </c>
      <c r="X2" s="6" t="s">
        <v>11</v>
      </c>
      <c r="Y2" s="5" t="s">
        <v>7</v>
      </c>
      <c r="Z2" s="5" t="s">
        <v>5</v>
      </c>
      <c r="AA2" s="5" t="s">
        <v>12</v>
      </c>
      <c r="AB2" s="5" t="s">
        <v>10</v>
      </c>
      <c r="AC2" s="3"/>
      <c r="AD2" s="7" t="s">
        <v>0</v>
      </c>
      <c r="AE2" s="5" t="s">
        <v>1</v>
      </c>
      <c r="AF2" s="5" t="s">
        <v>2</v>
      </c>
      <c r="AG2" s="6" t="s">
        <v>3</v>
      </c>
      <c r="AH2" s="5" t="s">
        <v>2</v>
      </c>
      <c r="AI2" s="5" t="s">
        <v>4</v>
      </c>
      <c r="AJ2" s="5" t="s">
        <v>5</v>
      </c>
      <c r="AK2" s="5" t="s">
        <v>6</v>
      </c>
      <c r="AL2" s="46" t="s">
        <v>11</v>
      </c>
      <c r="AM2" s="5" t="s">
        <v>7</v>
      </c>
      <c r="AN2" s="5" t="s">
        <v>5</v>
      </c>
      <c r="AO2" s="5" t="s">
        <v>12</v>
      </c>
      <c r="AP2" s="5" t="s">
        <v>10</v>
      </c>
      <c r="AR2" s="7" t="s">
        <v>0</v>
      </c>
      <c r="AS2" s="5" t="s">
        <v>1</v>
      </c>
      <c r="AT2" s="5" t="s">
        <v>2</v>
      </c>
      <c r="AU2" s="6" t="s">
        <v>3</v>
      </c>
      <c r="AV2" s="5" t="s">
        <v>2</v>
      </c>
      <c r="AW2" s="5" t="s">
        <v>4</v>
      </c>
      <c r="AX2" s="5" t="s">
        <v>5</v>
      </c>
      <c r="AY2" s="5" t="s">
        <v>6</v>
      </c>
      <c r="AZ2" s="46" t="s">
        <v>11</v>
      </c>
      <c r="BA2" s="5" t="s">
        <v>7</v>
      </c>
      <c r="BB2" s="5" t="s">
        <v>5</v>
      </c>
      <c r="BC2" s="5" t="s">
        <v>12</v>
      </c>
      <c r="BD2" s="5" t="s">
        <v>10</v>
      </c>
      <c r="BF2" s="7" t="s">
        <v>0</v>
      </c>
      <c r="BG2" s="5" t="s">
        <v>1</v>
      </c>
      <c r="BH2" s="5" t="s">
        <v>2</v>
      </c>
      <c r="BI2" s="6" t="s">
        <v>3</v>
      </c>
      <c r="BJ2" s="5" t="s">
        <v>2</v>
      </c>
      <c r="BK2" s="5" t="s">
        <v>4</v>
      </c>
      <c r="BL2" s="5" t="s">
        <v>5</v>
      </c>
      <c r="BM2" s="5" t="s">
        <v>6</v>
      </c>
      <c r="BN2" s="46" t="s">
        <v>11</v>
      </c>
      <c r="BO2" s="5" t="s">
        <v>7</v>
      </c>
      <c r="BP2" s="5" t="s">
        <v>5</v>
      </c>
      <c r="BQ2" s="5" t="s">
        <v>12</v>
      </c>
      <c r="BR2" s="5" t="s">
        <v>10</v>
      </c>
      <c r="BT2" s="7" t="s">
        <v>0</v>
      </c>
      <c r="BU2" s="5" t="s">
        <v>1</v>
      </c>
      <c r="BV2" s="5" t="s">
        <v>2</v>
      </c>
      <c r="BW2" s="6" t="s">
        <v>3</v>
      </c>
      <c r="BX2" s="5" t="s">
        <v>2</v>
      </c>
      <c r="BY2" s="5" t="s">
        <v>4</v>
      </c>
      <c r="BZ2" s="5" t="s">
        <v>5</v>
      </c>
      <c r="CA2" s="5" t="s">
        <v>6</v>
      </c>
      <c r="CB2" s="46" t="s">
        <v>11</v>
      </c>
      <c r="CC2" s="5" t="s">
        <v>7</v>
      </c>
      <c r="CD2" s="5" t="s">
        <v>5</v>
      </c>
      <c r="CE2" s="5" t="s">
        <v>12</v>
      </c>
      <c r="CF2" s="5" t="s">
        <v>10</v>
      </c>
    </row>
    <row r="3" spans="1:84">
      <c r="A3" s="12">
        <v>46153</v>
      </c>
      <c r="B3" s="8">
        <v>1945</v>
      </c>
      <c r="C3" s="13">
        <v>53217</v>
      </c>
      <c r="D3" s="9">
        <v>416</v>
      </c>
      <c r="E3" s="9">
        <v>1311</v>
      </c>
      <c r="F3" s="9">
        <v>8</v>
      </c>
      <c r="G3" s="9">
        <v>28</v>
      </c>
      <c r="H3" s="9">
        <v>8</v>
      </c>
      <c r="I3" s="9">
        <v>10</v>
      </c>
      <c r="J3" s="151" t="s">
        <v>328</v>
      </c>
      <c r="K3" s="44">
        <v>1500</v>
      </c>
      <c r="L3" s="9">
        <v>12000</v>
      </c>
      <c r="M3" s="10">
        <v>0.28846153846153844</v>
      </c>
      <c r="N3" s="70"/>
      <c r="O3" s="2"/>
      <c r="P3" s="12">
        <v>46153</v>
      </c>
      <c r="Q3" s="44">
        <v>13918</v>
      </c>
      <c r="R3" s="44">
        <v>175</v>
      </c>
      <c r="S3" s="44">
        <v>397</v>
      </c>
      <c r="T3" s="44">
        <v>5</v>
      </c>
      <c r="U3" s="44">
        <v>12</v>
      </c>
      <c r="V3" s="44">
        <v>5</v>
      </c>
      <c r="W3" s="44">
        <v>6</v>
      </c>
      <c r="X3" s="64" t="s">
        <v>359</v>
      </c>
      <c r="Y3" s="62">
        <v>770</v>
      </c>
      <c r="Z3" s="44">
        <v>3850</v>
      </c>
      <c r="AA3" s="63">
        <v>0.22</v>
      </c>
      <c r="AB3" s="11"/>
      <c r="AC3" s="1"/>
      <c r="AD3" s="12">
        <v>46153</v>
      </c>
      <c r="AE3" s="44">
        <v>11364</v>
      </c>
      <c r="AF3" s="44">
        <v>143</v>
      </c>
      <c r="AG3" s="44">
        <v>291</v>
      </c>
      <c r="AH3" s="44">
        <v>1</v>
      </c>
      <c r="AI3" s="44">
        <v>14</v>
      </c>
      <c r="AJ3" s="44">
        <v>1</v>
      </c>
      <c r="AK3" s="44">
        <v>4</v>
      </c>
      <c r="AL3" s="61" t="s">
        <v>218</v>
      </c>
      <c r="AM3" s="62">
        <v>770</v>
      </c>
      <c r="AN3" s="44">
        <v>770</v>
      </c>
      <c r="AO3" s="63">
        <v>5.3846153846153849E-2</v>
      </c>
      <c r="AP3" s="11"/>
      <c r="AR3" s="12">
        <v>46153</v>
      </c>
      <c r="AS3" s="44">
        <v>1412</v>
      </c>
      <c r="AT3" s="113">
        <v>17</v>
      </c>
      <c r="AU3" s="44">
        <v>1058</v>
      </c>
      <c r="AV3" s="44">
        <v>2</v>
      </c>
      <c r="AW3" s="44">
        <v>24</v>
      </c>
      <c r="AX3" s="44">
        <v>2</v>
      </c>
      <c r="AY3" s="44">
        <v>-16</v>
      </c>
      <c r="AZ3" s="61" t="s">
        <v>262</v>
      </c>
      <c r="BA3" s="62">
        <v>700</v>
      </c>
      <c r="BB3" s="44">
        <v>1400</v>
      </c>
      <c r="BC3" s="63">
        <v>0.82352941176470584</v>
      </c>
      <c r="BD3" s="11" t="s">
        <v>383</v>
      </c>
      <c r="BF3" s="12">
        <v>46153</v>
      </c>
      <c r="BG3" s="44">
        <v>1547</v>
      </c>
      <c r="BH3" s="113">
        <v>15</v>
      </c>
      <c r="BI3" s="44">
        <v>1045</v>
      </c>
      <c r="BJ3" s="44">
        <v>0</v>
      </c>
      <c r="BK3" s="44">
        <v>12</v>
      </c>
      <c r="BL3" s="44">
        <v>-1</v>
      </c>
      <c r="BM3" s="44">
        <v>0</v>
      </c>
      <c r="BN3" s="61" t="s">
        <v>269</v>
      </c>
      <c r="BO3" s="62">
        <v>825</v>
      </c>
      <c r="BP3" s="44">
        <v>-825</v>
      </c>
      <c r="BQ3" s="63">
        <v>-0.55000000000000004</v>
      </c>
      <c r="BR3" s="129" t="s">
        <v>385</v>
      </c>
      <c r="BT3" s="12">
        <v>46153</v>
      </c>
      <c r="BU3" s="44">
        <v>1389</v>
      </c>
      <c r="BV3" s="44">
        <v>29</v>
      </c>
      <c r="BW3" s="44">
        <v>1059</v>
      </c>
      <c r="BX3" s="44">
        <v>1</v>
      </c>
      <c r="BY3" s="44">
        <v>12</v>
      </c>
      <c r="BZ3" s="44">
        <v>1</v>
      </c>
      <c r="CA3" s="44">
        <v>2</v>
      </c>
      <c r="CB3" s="61" t="s">
        <v>369</v>
      </c>
      <c r="CC3" s="62">
        <v>935</v>
      </c>
      <c r="CD3" s="44">
        <v>935</v>
      </c>
      <c r="CE3" s="63">
        <v>0.32241379310344825</v>
      </c>
      <c r="CF3" s="11"/>
    </row>
    <row r="4" spans="1:84">
      <c r="A4" s="12">
        <v>46156</v>
      </c>
      <c r="B4" s="8">
        <f>IF(A4="","",SUM(D4)+SUM(R7:R10)+SUM(AF7:AF10)+SUM(BH7:BH10)+SUM(BV7:BV10)+SUM(AT7:AT10))</f>
        <v>1124</v>
      </c>
      <c r="C4" s="13">
        <v>53568</v>
      </c>
      <c r="D4" s="9">
        <f t="shared" ref="D4:D16" si="0">IF(C4="","",C4-C3)</f>
        <v>351</v>
      </c>
      <c r="E4" s="9">
        <v>1315</v>
      </c>
      <c r="F4" s="9">
        <f t="shared" ref="F4:F16" si="1">IF(E4="","",E4-E3)</f>
        <v>4</v>
      </c>
      <c r="G4" s="9">
        <v>34</v>
      </c>
      <c r="H4" s="9">
        <f t="shared" ref="H4:H16" si="2">IF(G4="","",G3+I3-G4)</f>
        <v>4</v>
      </c>
      <c r="I4" s="9">
        <v>8</v>
      </c>
      <c r="J4" s="152" t="str">
        <f t="shared" ref="J4:J26" si="3">IF(C4="","",J3)</f>
        <v>ボンボンドロップシール</v>
      </c>
      <c r="K4" s="44">
        <f t="shared" ref="K4:K16" si="4">IF(C4="","",K3)</f>
        <v>1500</v>
      </c>
      <c r="L4" s="9">
        <f t="shared" ref="L4:L16" si="5">IF(K4="","",H4*K4)</f>
        <v>6000</v>
      </c>
      <c r="M4" s="10">
        <f t="shared" ref="M4:M16" si="6">IF(L4="","",L4/(D4*100))</f>
        <v>0.17094017094017094</v>
      </c>
      <c r="N4" s="34"/>
      <c r="O4" s="2"/>
      <c r="P4" s="12"/>
      <c r="Q4" s="9">
        <v>13425</v>
      </c>
      <c r="R4" s="9">
        <v>58</v>
      </c>
      <c r="S4" s="9">
        <v>279</v>
      </c>
      <c r="T4" s="9">
        <v>0</v>
      </c>
      <c r="U4" s="9">
        <v>4</v>
      </c>
      <c r="V4" s="9">
        <v>0</v>
      </c>
      <c r="W4" s="9">
        <v>5</v>
      </c>
      <c r="X4" s="64" t="s">
        <v>312</v>
      </c>
      <c r="Y4" s="44">
        <v>1100</v>
      </c>
      <c r="Z4" s="9">
        <v>0</v>
      </c>
      <c r="AA4" s="10">
        <v>0</v>
      </c>
      <c r="AB4" s="11"/>
      <c r="AC4" s="1"/>
      <c r="AD4" s="12"/>
      <c r="AE4" s="9">
        <v>13918</v>
      </c>
      <c r="AF4" s="9">
        <v>306</v>
      </c>
      <c r="AG4" s="9">
        <v>248</v>
      </c>
      <c r="AH4" s="9">
        <v>3</v>
      </c>
      <c r="AI4" s="9">
        <v>5</v>
      </c>
      <c r="AJ4" s="9">
        <v>3</v>
      </c>
      <c r="AK4" s="9">
        <v>4</v>
      </c>
      <c r="AL4" s="47" t="s">
        <v>379</v>
      </c>
      <c r="AM4" s="45">
        <v>750</v>
      </c>
      <c r="AN4" s="9">
        <v>2250</v>
      </c>
      <c r="AO4" s="10">
        <v>7.3529411764705885E-2</v>
      </c>
      <c r="AP4" s="11"/>
      <c r="AR4" s="12"/>
      <c r="AS4" s="9">
        <v>1686</v>
      </c>
      <c r="AT4" s="9">
        <v>74</v>
      </c>
      <c r="AU4" s="9">
        <v>1053</v>
      </c>
      <c r="AV4" s="9">
        <v>1</v>
      </c>
      <c r="AW4" s="9">
        <v>14</v>
      </c>
      <c r="AX4" s="9">
        <v>2</v>
      </c>
      <c r="AY4" s="9">
        <v>2</v>
      </c>
      <c r="AZ4" s="47" t="s">
        <v>263</v>
      </c>
      <c r="BA4" s="45">
        <v>1100</v>
      </c>
      <c r="BB4" s="9">
        <v>2200</v>
      </c>
      <c r="BC4" s="10">
        <v>0.29729729729729731</v>
      </c>
      <c r="BD4" s="11"/>
      <c r="BF4" s="12"/>
      <c r="BG4" s="9">
        <v>1312</v>
      </c>
      <c r="BH4" s="9">
        <v>22</v>
      </c>
      <c r="BI4" s="9">
        <v>1061</v>
      </c>
      <c r="BJ4" s="9">
        <v>0</v>
      </c>
      <c r="BK4" s="9">
        <v>10</v>
      </c>
      <c r="BL4" s="9">
        <v>0</v>
      </c>
      <c r="BM4" s="9">
        <v>2</v>
      </c>
      <c r="BN4" s="47" t="s">
        <v>357</v>
      </c>
      <c r="BO4" s="45">
        <v>0</v>
      </c>
      <c r="BP4" s="9">
        <v>0</v>
      </c>
      <c r="BQ4" s="10">
        <v>0</v>
      </c>
      <c r="BR4" s="11" t="s">
        <v>382</v>
      </c>
      <c r="BT4" s="12"/>
      <c r="BU4" s="9">
        <v>1385</v>
      </c>
      <c r="BV4" s="9">
        <v>28</v>
      </c>
      <c r="BW4" s="9">
        <v>1047</v>
      </c>
      <c r="BX4" s="9">
        <v>1</v>
      </c>
      <c r="BY4" s="9">
        <v>9</v>
      </c>
      <c r="BZ4" s="9">
        <v>1</v>
      </c>
      <c r="CA4" s="9">
        <v>1</v>
      </c>
      <c r="CB4" s="47" t="s">
        <v>362</v>
      </c>
      <c r="CC4" s="45">
        <v>935</v>
      </c>
      <c r="CD4" s="9">
        <v>935</v>
      </c>
      <c r="CE4" s="10">
        <v>0.33392857142857141</v>
      </c>
      <c r="CF4" s="11"/>
    </row>
    <row r="5" spans="1:84">
      <c r="A5" s="12">
        <v>46160</v>
      </c>
      <c r="B5" s="8">
        <f>IF(A5="","",SUM(D5)+SUM(R11:R14)+SUM(AF11:AF14)+SUM(BH11:BH14)+SUM(BV11:BV14)+SUM(AT11:AT14))</f>
        <v>1687</v>
      </c>
      <c r="C5" s="13">
        <v>54038</v>
      </c>
      <c r="D5" s="9">
        <f t="shared" si="0"/>
        <v>470</v>
      </c>
      <c r="E5" s="9">
        <v>1319</v>
      </c>
      <c r="F5" s="9">
        <f t="shared" si="1"/>
        <v>4</v>
      </c>
      <c r="G5" s="9">
        <v>37</v>
      </c>
      <c r="H5" s="9">
        <f t="shared" si="2"/>
        <v>5</v>
      </c>
      <c r="I5" s="9">
        <v>3</v>
      </c>
      <c r="J5" s="152" t="str">
        <f t="shared" si="3"/>
        <v>ボンボンドロップシール</v>
      </c>
      <c r="K5" s="44">
        <f t="shared" si="4"/>
        <v>1500</v>
      </c>
      <c r="L5" s="9">
        <f t="shared" si="5"/>
        <v>7500</v>
      </c>
      <c r="M5" s="10">
        <f t="shared" si="6"/>
        <v>0.15957446808510639</v>
      </c>
      <c r="N5" s="34"/>
      <c r="O5" s="2"/>
      <c r="P5" s="12"/>
      <c r="Q5" s="9">
        <v>15468</v>
      </c>
      <c r="R5" s="9">
        <v>190</v>
      </c>
      <c r="S5" s="9">
        <v>501</v>
      </c>
      <c r="T5" s="9">
        <v>3</v>
      </c>
      <c r="U5" s="9">
        <v>13</v>
      </c>
      <c r="V5" s="9">
        <v>3</v>
      </c>
      <c r="W5" s="9">
        <v>2</v>
      </c>
      <c r="X5" s="15" t="s">
        <v>368</v>
      </c>
      <c r="Y5" s="45">
        <v>770</v>
      </c>
      <c r="Z5" s="9">
        <v>2310</v>
      </c>
      <c r="AA5" s="10">
        <v>0.12157894736842105</v>
      </c>
      <c r="AB5" s="11"/>
      <c r="AC5" s="1"/>
      <c r="AD5" s="12"/>
      <c r="AE5" s="9">
        <v>15833</v>
      </c>
      <c r="AF5" s="9">
        <v>83</v>
      </c>
      <c r="AG5" s="9">
        <v>525</v>
      </c>
      <c r="AH5" s="9">
        <v>2</v>
      </c>
      <c r="AI5" s="9">
        <v>9</v>
      </c>
      <c r="AJ5" s="9">
        <v>5</v>
      </c>
      <c r="AK5" s="9">
        <v>3</v>
      </c>
      <c r="AL5" s="47" t="s">
        <v>311</v>
      </c>
      <c r="AM5" s="45">
        <v>600</v>
      </c>
      <c r="AN5" s="9">
        <v>3000</v>
      </c>
      <c r="AO5" s="10">
        <v>0.36144578313253012</v>
      </c>
      <c r="AP5" s="11"/>
      <c r="AR5" s="12"/>
      <c r="AS5" s="9">
        <v>1486</v>
      </c>
      <c r="AT5" s="81">
        <v>9</v>
      </c>
      <c r="AU5" s="9">
        <v>1040</v>
      </c>
      <c r="AV5" s="9">
        <v>0</v>
      </c>
      <c r="AW5" s="9">
        <v>10</v>
      </c>
      <c r="AX5" s="9">
        <v>0</v>
      </c>
      <c r="AY5" s="9">
        <v>-4</v>
      </c>
      <c r="AZ5" s="47" t="s">
        <v>264</v>
      </c>
      <c r="BA5" s="45">
        <v>1056</v>
      </c>
      <c r="BB5" s="9">
        <v>0</v>
      </c>
      <c r="BC5" s="10">
        <v>0</v>
      </c>
      <c r="BD5" s="11" t="s">
        <v>380</v>
      </c>
      <c r="BF5" s="12"/>
      <c r="BG5" s="9">
        <v>1548</v>
      </c>
      <c r="BH5" s="9">
        <v>29</v>
      </c>
      <c r="BI5" s="9">
        <v>1044</v>
      </c>
      <c r="BJ5" s="9">
        <v>0</v>
      </c>
      <c r="BK5" s="9">
        <v>8</v>
      </c>
      <c r="BL5" s="9">
        <v>0</v>
      </c>
      <c r="BM5" s="9">
        <v>0</v>
      </c>
      <c r="BN5" s="47" t="s">
        <v>267</v>
      </c>
      <c r="BO5" s="45">
        <v>935</v>
      </c>
      <c r="BP5" s="9">
        <v>0</v>
      </c>
      <c r="BQ5" s="10">
        <v>0</v>
      </c>
      <c r="BR5" s="11"/>
      <c r="BT5" s="12"/>
      <c r="BU5" s="9">
        <v>1465</v>
      </c>
      <c r="BV5" s="9">
        <v>58</v>
      </c>
      <c r="BW5" s="9">
        <v>1083</v>
      </c>
      <c r="BX5" s="9">
        <v>4</v>
      </c>
      <c r="BY5" s="9">
        <v>123</v>
      </c>
      <c r="BZ5" s="9">
        <v>4</v>
      </c>
      <c r="CA5" s="9">
        <v>4</v>
      </c>
      <c r="CB5" s="47" t="s">
        <v>330</v>
      </c>
      <c r="CC5" s="45">
        <v>400</v>
      </c>
      <c r="CD5" s="9">
        <v>1600</v>
      </c>
      <c r="CE5" s="10">
        <v>0.27586206896551724</v>
      </c>
      <c r="CF5" s="11"/>
    </row>
    <row r="6" spans="1:84" ht="15" customHeight="1" thickBot="1">
      <c r="A6" s="12">
        <v>46163</v>
      </c>
      <c r="B6" s="8">
        <f>IF(A6="","",SUM(D6)+SUM(R15:R18)+SUM(AF15:AF18)+SUM(BH15:BH18)+SUM(BV15:BV18)+SUM(AT15:AT18))</f>
        <v>1472</v>
      </c>
      <c r="C6" s="13">
        <v>54591</v>
      </c>
      <c r="D6" s="9">
        <f t="shared" si="0"/>
        <v>553</v>
      </c>
      <c r="E6" s="9">
        <v>1325</v>
      </c>
      <c r="F6" s="9">
        <f t="shared" si="1"/>
        <v>6</v>
      </c>
      <c r="G6" s="9">
        <v>32</v>
      </c>
      <c r="H6" s="9">
        <f t="shared" si="2"/>
        <v>8</v>
      </c>
      <c r="I6" s="9">
        <v>5</v>
      </c>
      <c r="J6" s="152" t="str">
        <f t="shared" si="3"/>
        <v>ボンボンドロップシール</v>
      </c>
      <c r="K6" s="44">
        <f t="shared" si="4"/>
        <v>1500</v>
      </c>
      <c r="L6" s="9">
        <f t="shared" si="5"/>
        <v>12000</v>
      </c>
      <c r="M6" s="10">
        <f t="shared" si="6"/>
        <v>0.21699819168173598</v>
      </c>
      <c r="N6" s="11"/>
      <c r="O6" s="2"/>
      <c r="P6" s="18"/>
      <c r="Q6" s="21">
        <v>18372</v>
      </c>
      <c r="R6" s="19">
        <v>88</v>
      </c>
      <c r="S6" s="19">
        <v>457</v>
      </c>
      <c r="T6" s="19">
        <v>4</v>
      </c>
      <c r="U6" s="19">
        <v>14</v>
      </c>
      <c r="V6" s="19">
        <v>4</v>
      </c>
      <c r="W6" s="19">
        <v>10</v>
      </c>
      <c r="X6" s="22" t="s">
        <v>374</v>
      </c>
      <c r="Y6" s="19">
        <v>290</v>
      </c>
      <c r="Z6" s="19">
        <v>1160</v>
      </c>
      <c r="AA6" s="20">
        <v>0.13181818181818181</v>
      </c>
      <c r="AB6" s="11"/>
      <c r="AC6" s="1"/>
      <c r="AD6" s="18"/>
      <c r="AE6" s="19">
        <v>19537</v>
      </c>
      <c r="AF6" s="19">
        <v>166</v>
      </c>
      <c r="AG6" s="19">
        <v>731</v>
      </c>
      <c r="AH6" s="19">
        <v>12</v>
      </c>
      <c r="AI6" s="19">
        <v>25</v>
      </c>
      <c r="AJ6" s="19">
        <v>11</v>
      </c>
      <c r="AK6" s="19">
        <v>8</v>
      </c>
      <c r="AL6" s="48" t="s">
        <v>238</v>
      </c>
      <c r="AM6" s="19">
        <v>150</v>
      </c>
      <c r="AN6" s="19">
        <v>1650</v>
      </c>
      <c r="AO6" s="20">
        <v>9.9397590361445784E-2</v>
      </c>
      <c r="AP6" s="11"/>
      <c r="AR6" s="18"/>
      <c r="AS6" s="19">
        <v>1365</v>
      </c>
      <c r="AT6" s="82">
        <v>8</v>
      </c>
      <c r="AU6" s="19">
        <v>1047</v>
      </c>
      <c r="AV6" s="19">
        <v>1</v>
      </c>
      <c r="AW6" s="19">
        <v>2</v>
      </c>
      <c r="AX6" s="19">
        <v>1</v>
      </c>
      <c r="AY6" s="19">
        <v>6</v>
      </c>
      <c r="AZ6" s="48" t="s">
        <v>69</v>
      </c>
      <c r="BA6" s="19">
        <v>1100</v>
      </c>
      <c r="BB6" s="19">
        <v>1100</v>
      </c>
      <c r="BC6" s="20">
        <v>1.375</v>
      </c>
      <c r="BD6" s="11" t="s">
        <v>381</v>
      </c>
      <c r="BF6" s="18"/>
      <c r="BG6" s="19">
        <v>1839</v>
      </c>
      <c r="BH6" s="19">
        <v>24</v>
      </c>
      <c r="BI6" s="19">
        <v>1143</v>
      </c>
      <c r="BJ6" s="19">
        <v>4</v>
      </c>
      <c r="BK6" s="19">
        <v>150</v>
      </c>
      <c r="BL6" s="19">
        <v>4</v>
      </c>
      <c r="BM6" s="19">
        <v>12</v>
      </c>
      <c r="BN6" s="48" t="s">
        <v>266</v>
      </c>
      <c r="BO6" s="19">
        <v>283</v>
      </c>
      <c r="BP6" s="19">
        <v>1132</v>
      </c>
      <c r="BQ6" s="20">
        <v>0.47166666666666668</v>
      </c>
      <c r="BR6" s="11"/>
      <c r="BT6" s="18"/>
      <c r="BU6" s="19">
        <v>1490</v>
      </c>
      <c r="BV6" s="82">
        <v>7</v>
      </c>
      <c r="BW6" s="19">
        <v>1038</v>
      </c>
      <c r="BX6" s="19">
        <v>0</v>
      </c>
      <c r="BY6" s="19">
        <v>10</v>
      </c>
      <c r="BZ6" s="19">
        <v>0</v>
      </c>
      <c r="CA6" s="19">
        <v>257</v>
      </c>
      <c r="CB6" s="48" t="s">
        <v>331</v>
      </c>
      <c r="CC6" s="19">
        <v>1100</v>
      </c>
      <c r="CD6" s="19">
        <v>0</v>
      </c>
      <c r="CE6" s="20">
        <v>0</v>
      </c>
      <c r="CF6" s="11" t="s">
        <v>384</v>
      </c>
    </row>
    <row r="7" spans="1:84" ht="15" customHeight="1" thickTop="1">
      <c r="A7" s="12">
        <v>46167</v>
      </c>
      <c r="B7" s="8">
        <f>IF(A7="","",SUM(D7)+SUM(R19:R22)+SUM(AF19:AF22)+SUM(BH19:BH22)+SUM(BV19:BV22)+SUM(AT19:AT22))</f>
        <v>1855</v>
      </c>
      <c r="C7" s="13">
        <v>55018</v>
      </c>
      <c r="D7" s="9">
        <f t="shared" si="0"/>
        <v>427</v>
      </c>
      <c r="E7" s="9">
        <v>1330</v>
      </c>
      <c r="F7" s="9">
        <f t="shared" si="1"/>
        <v>5</v>
      </c>
      <c r="G7" s="9">
        <v>23</v>
      </c>
      <c r="H7" s="81">
        <f t="shared" si="2"/>
        <v>14</v>
      </c>
      <c r="I7" s="9">
        <v>12</v>
      </c>
      <c r="J7" s="152" t="str">
        <f t="shared" si="3"/>
        <v>ボンボンドロップシール</v>
      </c>
      <c r="K7" s="44">
        <f t="shared" si="4"/>
        <v>1500</v>
      </c>
      <c r="L7" s="9">
        <f t="shared" si="5"/>
        <v>21000</v>
      </c>
      <c r="M7" s="10">
        <f t="shared" si="6"/>
        <v>0.49180327868852458</v>
      </c>
      <c r="N7" s="11"/>
      <c r="O7" s="2"/>
      <c r="P7" s="65">
        <f>IF($A4="","",$A4)</f>
        <v>46156</v>
      </c>
      <c r="Q7" s="9">
        <v>14032</v>
      </c>
      <c r="R7" s="44">
        <f t="shared" ref="R7:R38" si="7">IF(Q7="","",Q7-Q3)</f>
        <v>114</v>
      </c>
      <c r="S7" s="9">
        <v>400</v>
      </c>
      <c r="T7" s="23">
        <f t="shared" ref="T7:T38" si="8">IF(S7="","",S7-S3)</f>
        <v>3</v>
      </c>
      <c r="U7" s="9">
        <v>14</v>
      </c>
      <c r="V7" s="44">
        <f t="shared" ref="V7:V38" si="9">IF(U7="","",U3+W3-U7)</f>
        <v>4</v>
      </c>
      <c r="W7" s="66">
        <v>4</v>
      </c>
      <c r="X7" s="61" t="str">
        <f t="shared" ref="X7:X21" si="10">IF(Q7="","",X3)</f>
        <v>ベアブリック</v>
      </c>
      <c r="Y7" s="62">
        <f t="shared" ref="Y7:Y21" si="11">IF(R7="","",Y3)</f>
        <v>770</v>
      </c>
      <c r="Z7" s="23">
        <f t="shared" ref="Z7:Z38" si="12">IF(U7="","",V7*Y7)</f>
        <v>3080</v>
      </c>
      <c r="AA7" s="24">
        <f t="shared" ref="AA7:AA38" si="13">IF(V7="","",Z7/(R7*100))</f>
        <v>0.27017543859649124</v>
      </c>
      <c r="AB7" s="11"/>
      <c r="AC7" s="1"/>
      <c r="AD7" s="65">
        <f>IF($A4="","",$A4)</f>
        <v>46156</v>
      </c>
      <c r="AE7" s="9">
        <v>11409</v>
      </c>
      <c r="AF7" s="44">
        <f t="shared" ref="AF7:AF38" si="14">IF(AE7="","",AE7-AE3)</f>
        <v>45</v>
      </c>
      <c r="AG7" s="9">
        <v>293</v>
      </c>
      <c r="AH7" s="23">
        <f t="shared" ref="AH7:AH38" si="15">IF(AG7="","",AG7-AG3)</f>
        <v>2</v>
      </c>
      <c r="AI7" s="9">
        <v>18</v>
      </c>
      <c r="AJ7" s="44">
        <f t="shared" ref="AJ7:AJ38" si="16">IF(AI7="","",AI3+AK3-AI7)</f>
        <v>0</v>
      </c>
      <c r="AK7" s="66">
        <v>0</v>
      </c>
      <c r="AL7" s="61" t="str">
        <f t="shared" ref="AL7:AL43" si="17">IF(AE7="","",AL3)</f>
        <v>ゲーム機柄イヤホン</v>
      </c>
      <c r="AM7" s="62">
        <f t="shared" ref="AM7:AM43" si="18">IF(AF7="","",AM3)</f>
        <v>770</v>
      </c>
      <c r="AN7" s="23">
        <f t="shared" ref="AN7:AN38" si="19">IF(AI7="","",AJ7*AM7)</f>
        <v>0</v>
      </c>
      <c r="AO7" s="24">
        <f t="shared" ref="AO7:AO38" si="20">IF(AJ7="","",AN7/(AF7*100))</f>
        <v>0</v>
      </c>
      <c r="AP7" s="11" t="s">
        <v>388</v>
      </c>
      <c r="AR7" s="65">
        <f>IF($A4="","",$A4)</f>
        <v>46156</v>
      </c>
      <c r="AS7" s="9">
        <v>1419</v>
      </c>
      <c r="AT7" s="113">
        <f t="shared" ref="AT7:AT38" si="21">IF(AS7="","",AS7-AS3)</f>
        <v>7</v>
      </c>
      <c r="AU7" s="9">
        <v>1058</v>
      </c>
      <c r="AV7" s="23">
        <f t="shared" ref="AV7:AV38" si="22">IF(AU7="","",AU7-AU3)</f>
        <v>0</v>
      </c>
      <c r="AW7" s="9">
        <v>7</v>
      </c>
      <c r="AX7" s="44">
        <f t="shared" ref="AX7:AX38" si="23">IF(AW7="","",AW3+AY3-AW7)</f>
        <v>1</v>
      </c>
      <c r="AY7" s="66">
        <v>0</v>
      </c>
      <c r="AZ7" s="61" t="s">
        <v>391</v>
      </c>
      <c r="BA7" s="62"/>
      <c r="BB7" s="23">
        <f t="shared" ref="BB7:BB38" si="24">IF(AW7="","",AX7*BA7)</f>
        <v>0</v>
      </c>
      <c r="BC7" s="24">
        <f t="shared" ref="BC7:BC38" si="25">IF(AX7="","",BB7/(AT7*100))</f>
        <v>0</v>
      </c>
      <c r="BD7" s="11"/>
      <c r="BF7" s="65">
        <f>IF($A4="","",$A4)</f>
        <v>46156</v>
      </c>
      <c r="BG7" s="9">
        <v>1550</v>
      </c>
      <c r="BH7" s="113">
        <f t="shared" ref="BH7:BH38" si="26">IF(BG7="","",BG7-BG3)</f>
        <v>3</v>
      </c>
      <c r="BI7" s="9">
        <v>1045</v>
      </c>
      <c r="BJ7" s="23">
        <f t="shared" ref="BJ7:BJ38" si="27">IF(BI7="","",BI7-BI3)</f>
        <v>0</v>
      </c>
      <c r="BK7" s="9">
        <v>12</v>
      </c>
      <c r="BL7" s="44">
        <f t="shared" ref="BL7:BL38" si="28">IF(BK7="","",BK3+BM3-BK7)</f>
        <v>0</v>
      </c>
      <c r="BM7" s="66">
        <v>0</v>
      </c>
      <c r="BN7" s="61" t="str">
        <f t="shared" ref="BN7:BN43" si="29">IF(BG7="","",BN3)</f>
        <v>キティしっぽ付きフェイス</v>
      </c>
      <c r="BO7" s="62">
        <f t="shared" ref="BO7:BO43" si="30">IF(BH7="","",BO3)</f>
        <v>825</v>
      </c>
      <c r="BP7" s="23">
        <f t="shared" ref="BP7:BP38" si="31">IF(BK7="","",BL7*BO7)</f>
        <v>0</v>
      </c>
      <c r="BQ7" s="24">
        <f t="shared" ref="BQ7:BQ38" si="32">IF(BL7="","",BP7/(BH7*100))</f>
        <v>0</v>
      </c>
      <c r="BR7" s="11"/>
      <c r="BT7" s="65">
        <f>IF($A4="","",$A4)</f>
        <v>46156</v>
      </c>
      <c r="BU7" s="9">
        <v>1389</v>
      </c>
      <c r="BV7" s="113">
        <f t="shared" ref="BV7:BV38" si="33">IF(BU7="","",BU7-BU3)</f>
        <v>0</v>
      </c>
      <c r="BW7" s="9">
        <v>1059</v>
      </c>
      <c r="BX7" s="23">
        <f t="shared" ref="BX7:BX38" si="34">IF(BW7="","",BW7-BW3)</f>
        <v>0</v>
      </c>
      <c r="BY7" s="9">
        <v>14</v>
      </c>
      <c r="BZ7" s="44">
        <f t="shared" ref="BZ7:BZ38" si="35">IF(BY7="","",BY3+CA3-BY7)</f>
        <v>0</v>
      </c>
      <c r="CA7" s="66">
        <v>0</v>
      </c>
      <c r="CB7" s="61" t="str">
        <f t="shared" ref="CB7:CC9" si="36">IF(BU7="","",CB3)</f>
        <v>サンリオリュックポーチ</v>
      </c>
      <c r="CC7" s="62">
        <f t="shared" si="36"/>
        <v>935</v>
      </c>
      <c r="CD7" s="23">
        <f t="shared" ref="CD7:CD38" si="37">IF(BY7="","",BZ7*CC7)</f>
        <v>0</v>
      </c>
      <c r="CE7" s="24" t="e">
        <f t="shared" ref="CE7:CE38" si="38">IF(BZ7="","",CD7/(BV7*100))</f>
        <v>#DIV/0!</v>
      </c>
      <c r="CF7" s="11"/>
    </row>
    <row r="8" spans="1:84">
      <c r="A8" s="12"/>
      <c r="B8" s="8" t="str">
        <f>IF(A8="","",SUM(D8)+SUM(R23:R26)+SUM(AF23:AF26)+SUM(BH23:BH26)+SUM(BV23:BV26)+SUM(AT23:AT26))</f>
        <v/>
      </c>
      <c r="C8" s="13"/>
      <c r="D8" s="9" t="str">
        <f t="shared" si="0"/>
        <v/>
      </c>
      <c r="E8" s="9"/>
      <c r="F8" s="9" t="str">
        <f t="shared" si="1"/>
        <v/>
      </c>
      <c r="G8" s="9"/>
      <c r="H8" s="9" t="str">
        <f t="shared" si="2"/>
        <v/>
      </c>
      <c r="I8" s="9"/>
      <c r="J8" s="152" t="str">
        <f t="shared" si="3"/>
        <v/>
      </c>
      <c r="K8" s="44" t="str">
        <f t="shared" si="4"/>
        <v/>
      </c>
      <c r="L8" s="9" t="str">
        <f t="shared" si="5"/>
        <v/>
      </c>
      <c r="M8" s="10" t="str">
        <f t="shared" si="6"/>
        <v/>
      </c>
      <c r="N8" s="11"/>
      <c r="O8" s="2"/>
      <c r="P8" s="12"/>
      <c r="Q8" s="44">
        <v>13457</v>
      </c>
      <c r="R8" s="81">
        <f t="shared" si="7"/>
        <v>32</v>
      </c>
      <c r="S8" s="44">
        <v>279</v>
      </c>
      <c r="T8" s="9">
        <f t="shared" si="8"/>
        <v>0</v>
      </c>
      <c r="U8" s="9">
        <v>9</v>
      </c>
      <c r="V8" s="9">
        <f t="shared" si="9"/>
        <v>0</v>
      </c>
      <c r="W8" s="13">
        <v>0</v>
      </c>
      <c r="X8" s="47" t="str">
        <f t="shared" si="10"/>
        <v>カラビナファン</v>
      </c>
      <c r="Y8" s="45">
        <f t="shared" si="11"/>
        <v>1100</v>
      </c>
      <c r="Z8" s="9">
        <f t="shared" si="12"/>
        <v>0</v>
      </c>
      <c r="AA8" s="10">
        <f t="shared" si="13"/>
        <v>0</v>
      </c>
      <c r="AB8" s="11" t="s">
        <v>387</v>
      </c>
      <c r="AC8" s="1"/>
      <c r="AD8" s="12"/>
      <c r="AE8" s="44">
        <v>14033</v>
      </c>
      <c r="AF8" s="9">
        <f t="shared" si="14"/>
        <v>115</v>
      </c>
      <c r="AG8" s="44">
        <v>249</v>
      </c>
      <c r="AH8" s="9">
        <f t="shared" si="15"/>
        <v>1</v>
      </c>
      <c r="AI8" s="9">
        <v>8</v>
      </c>
      <c r="AJ8" s="9">
        <f t="shared" si="16"/>
        <v>1</v>
      </c>
      <c r="AK8" s="13">
        <v>2</v>
      </c>
      <c r="AL8" s="47" t="str">
        <f t="shared" si="17"/>
        <v>たまごっちキーリング</v>
      </c>
      <c r="AM8" s="45">
        <f t="shared" si="18"/>
        <v>750</v>
      </c>
      <c r="AN8" s="9">
        <f t="shared" si="19"/>
        <v>750</v>
      </c>
      <c r="AO8" s="10">
        <f t="shared" si="20"/>
        <v>6.5217391304347824E-2</v>
      </c>
      <c r="AP8" s="11"/>
      <c r="AR8" s="12"/>
      <c r="AS8" s="44">
        <v>1692</v>
      </c>
      <c r="AT8" s="81">
        <f t="shared" si="21"/>
        <v>6</v>
      </c>
      <c r="AU8" s="44">
        <v>1053</v>
      </c>
      <c r="AV8" s="9">
        <f t="shared" si="22"/>
        <v>0</v>
      </c>
      <c r="AW8" s="9">
        <v>16</v>
      </c>
      <c r="AX8" s="9">
        <f t="shared" si="23"/>
        <v>0</v>
      </c>
      <c r="AY8" s="13">
        <v>0</v>
      </c>
      <c r="AZ8" s="47" t="str">
        <f>IF(AS8="","",AZ4)</f>
        <v>サンリオボアバンスクリップ</v>
      </c>
      <c r="BA8" s="45">
        <f>IF(AT8="","",BA4)</f>
        <v>1100</v>
      </c>
      <c r="BB8" s="9">
        <f t="shared" si="24"/>
        <v>0</v>
      </c>
      <c r="BC8" s="10">
        <f t="shared" si="25"/>
        <v>0</v>
      </c>
      <c r="BD8" s="11"/>
      <c r="BF8" s="12"/>
      <c r="BG8" s="44">
        <v>1315</v>
      </c>
      <c r="BH8" s="81">
        <f t="shared" si="26"/>
        <v>3</v>
      </c>
      <c r="BI8" s="44">
        <v>1061</v>
      </c>
      <c r="BJ8" s="9">
        <f t="shared" si="27"/>
        <v>0</v>
      </c>
      <c r="BK8" s="9">
        <v>12</v>
      </c>
      <c r="BL8" s="9">
        <f t="shared" si="28"/>
        <v>0</v>
      </c>
      <c r="BM8" s="13">
        <v>0</v>
      </c>
      <c r="BN8" s="47" t="str">
        <f t="shared" si="29"/>
        <v>キルティングキティポーチ</v>
      </c>
      <c r="BO8" s="45">
        <f t="shared" si="30"/>
        <v>0</v>
      </c>
      <c r="BP8" s="9">
        <f t="shared" si="31"/>
        <v>0</v>
      </c>
      <c r="BQ8" s="10">
        <f t="shared" si="32"/>
        <v>0</v>
      </c>
      <c r="BR8" s="11"/>
      <c r="BT8" s="12"/>
      <c r="BU8" s="44">
        <v>1394</v>
      </c>
      <c r="BV8" s="81">
        <f t="shared" si="33"/>
        <v>9</v>
      </c>
      <c r="BW8" s="44">
        <v>1047</v>
      </c>
      <c r="BX8" s="9">
        <f t="shared" si="34"/>
        <v>0</v>
      </c>
      <c r="BY8" s="9">
        <v>10</v>
      </c>
      <c r="BZ8" s="9">
        <f t="shared" si="35"/>
        <v>0</v>
      </c>
      <c r="CA8" s="13">
        <v>0</v>
      </c>
      <c r="CB8" s="47" t="str">
        <f t="shared" si="36"/>
        <v>ネコメイドキティマスコット</v>
      </c>
      <c r="CC8" s="45">
        <f t="shared" si="36"/>
        <v>935</v>
      </c>
      <c r="CD8" s="9">
        <f t="shared" si="37"/>
        <v>0</v>
      </c>
      <c r="CE8" s="10">
        <f t="shared" si="38"/>
        <v>0</v>
      </c>
      <c r="CF8" s="11"/>
    </row>
    <row r="9" spans="1:84" ht="15" customHeight="1">
      <c r="A9" s="12"/>
      <c r="B9" s="8" t="str">
        <f>IF(A9="","",SUM(D9)+SUM(R27:R30)+SUM(AF27:AF30)+SUM(BH27:BH30)+SUM(BV27:BV30)+SUM(AT27:AT30))</f>
        <v/>
      </c>
      <c r="C9" s="13"/>
      <c r="D9" s="9" t="str">
        <f t="shared" si="0"/>
        <v/>
      </c>
      <c r="E9" s="9"/>
      <c r="F9" s="9" t="str">
        <f t="shared" si="1"/>
        <v/>
      </c>
      <c r="G9" s="9"/>
      <c r="H9" s="9" t="str">
        <f t="shared" si="2"/>
        <v/>
      </c>
      <c r="I9" s="9"/>
      <c r="J9" s="152" t="str">
        <f t="shared" si="3"/>
        <v/>
      </c>
      <c r="K9" s="44" t="str">
        <f t="shared" si="4"/>
        <v/>
      </c>
      <c r="L9" s="9" t="str">
        <f t="shared" si="5"/>
        <v/>
      </c>
      <c r="M9" s="10" t="str">
        <f t="shared" si="6"/>
        <v/>
      </c>
      <c r="N9" s="11"/>
      <c r="O9" s="2"/>
      <c r="P9" s="12"/>
      <c r="Q9" s="9">
        <v>15549</v>
      </c>
      <c r="R9" s="9">
        <f t="shared" si="7"/>
        <v>81</v>
      </c>
      <c r="S9" s="9">
        <v>502</v>
      </c>
      <c r="T9" s="9">
        <f t="shared" si="8"/>
        <v>1</v>
      </c>
      <c r="U9" s="9">
        <v>14</v>
      </c>
      <c r="V9" s="9">
        <f t="shared" si="9"/>
        <v>1</v>
      </c>
      <c r="W9" s="38">
        <v>2</v>
      </c>
      <c r="X9" s="47" t="str">
        <f t="shared" si="10"/>
        <v>たまごっちミニポーチ</v>
      </c>
      <c r="Y9" s="9">
        <f t="shared" si="11"/>
        <v>770</v>
      </c>
      <c r="Z9" s="9">
        <f t="shared" si="12"/>
        <v>770</v>
      </c>
      <c r="AA9" s="10">
        <f t="shared" si="13"/>
        <v>9.5061728395061731E-2</v>
      </c>
      <c r="AB9" s="11"/>
      <c r="AC9" s="1"/>
      <c r="AD9" s="12"/>
      <c r="AE9" s="9">
        <v>15905</v>
      </c>
      <c r="AF9" s="9">
        <f t="shared" si="14"/>
        <v>72</v>
      </c>
      <c r="AG9" s="9">
        <v>527</v>
      </c>
      <c r="AH9" s="9">
        <f t="shared" si="15"/>
        <v>2</v>
      </c>
      <c r="AI9" s="9">
        <v>9</v>
      </c>
      <c r="AJ9" s="9">
        <f t="shared" si="16"/>
        <v>3</v>
      </c>
      <c r="AK9" s="38">
        <v>4</v>
      </c>
      <c r="AL9" s="47" t="str">
        <f t="shared" si="17"/>
        <v>たまごっちブロックシール</v>
      </c>
      <c r="AM9" s="9">
        <f t="shared" si="18"/>
        <v>600</v>
      </c>
      <c r="AN9" s="9">
        <f t="shared" si="19"/>
        <v>1800</v>
      </c>
      <c r="AO9" s="10">
        <f t="shared" si="20"/>
        <v>0.25</v>
      </c>
      <c r="AP9" s="11"/>
      <c r="AR9" s="12"/>
      <c r="AS9" s="9">
        <v>1496</v>
      </c>
      <c r="AT9" s="81">
        <f t="shared" si="21"/>
        <v>10</v>
      </c>
      <c r="AU9" s="9">
        <v>1043</v>
      </c>
      <c r="AV9" s="9">
        <f t="shared" si="22"/>
        <v>3</v>
      </c>
      <c r="AW9" s="9">
        <v>3</v>
      </c>
      <c r="AX9" s="9">
        <f t="shared" si="23"/>
        <v>3</v>
      </c>
      <c r="AY9" s="38">
        <v>3</v>
      </c>
      <c r="AZ9" s="47" t="s">
        <v>390</v>
      </c>
      <c r="BA9" s="9"/>
      <c r="BB9" s="9">
        <f t="shared" si="24"/>
        <v>0</v>
      </c>
      <c r="BC9" s="10">
        <f t="shared" si="25"/>
        <v>0</v>
      </c>
      <c r="BD9" s="11" t="s">
        <v>287</v>
      </c>
      <c r="BF9" s="12"/>
      <c r="BG9" s="9">
        <v>1569</v>
      </c>
      <c r="BH9" s="9">
        <f t="shared" si="26"/>
        <v>21</v>
      </c>
      <c r="BI9" s="9">
        <v>1045</v>
      </c>
      <c r="BJ9" s="9">
        <f t="shared" si="27"/>
        <v>1</v>
      </c>
      <c r="BK9" s="9">
        <v>7</v>
      </c>
      <c r="BL9" s="9">
        <f t="shared" si="28"/>
        <v>1</v>
      </c>
      <c r="BM9" s="38">
        <v>1</v>
      </c>
      <c r="BN9" s="47" t="str">
        <f t="shared" si="29"/>
        <v>サンリオヒョウ柄ポーチ</v>
      </c>
      <c r="BO9" s="9">
        <f t="shared" si="30"/>
        <v>935</v>
      </c>
      <c r="BP9" s="9">
        <f t="shared" si="31"/>
        <v>935</v>
      </c>
      <c r="BQ9" s="10">
        <f t="shared" si="32"/>
        <v>0.44523809523809521</v>
      </c>
      <c r="BR9" s="11"/>
      <c r="BT9" s="12"/>
      <c r="BU9" s="9">
        <v>1467</v>
      </c>
      <c r="BV9" s="81">
        <f t="shared" si="33"/>
        <v>2</v>
      </c>
      <c r="BW9" s="9">
        <v>1083</v>
      </c>
      <c r="BX9" s="9">
        <f t="shared" si="34"/>
        <v>0</v>
      </c>
      <c r="BY9" s="9">
        <v>127</v>
      </c>
      <c r="BZ9" s="9">
        <f t="shared" si="35"/>
        <v>0</v>
      </c>
      <c r="CA9" s="38">
        <v>0</v>
      </c>
      <c r="CB9" s="47" t="str">
        <f t="shared" si="36"/>
        <v>サンリオシューズ</v>
      </c>
      <c r="CC9" s="9">
        <f t="shared" si="36"/>
        <v>400</v>
      </c>
      <c r="CD9" s="9">
        <f t="shared" si="37"/>
        <v>0</v>
      </c>
      <c r="CE9" s="10">
        <f t="shared" si="38"/>
        <v>0</v>
      </c>
      <c r="CF9" s="11"/>
    </row>
    <row r="10" spans="1:84" ht="15" customHeight="1" thickBot="1">
      <c r="A10" s="127"/>
      <c r="B10" s="8" t="str">
        <f>IF(A10="","",SUM(D10)+SUM(R31:R34)+SUM(AF31:AF34)+SUM(BH31:BH34)+SUM(BV31:BV34)+SUM(AT31:AT34))</f>
        <v/>
      </c>
      <c r="C10" s="13"/>
      <c r="D10" s="9" t="str">
        <f t="shared" si="0"/>
        <v/>
      </c>
      <c r="E10" s="9"/>
      <c r="F10" s="9" t="str">
        <f t="shared" si="1"/>
        <v/>
      </c>
      <c r="G10" s="9"/>
      <c r="H10" s="9" t="str">
        <f t="shared" si="2"/>
        <v/>
      </c>
      <c r="I10" s="9"/>
      <c r="J10" s="152" t="str">
        <f t="shared" si="3"/>
        <v/>
      </c>
      <c r="K10" s="44" t="str">
        <f t="shared" si="4"/>
        <v/>
      </c>
      <c r="L10" s="9" t="str">
        <f t="shared" si="5"/>
        <v/>
      </c>
      <c r="M10" s="10" t="str">
        <f t="shared" si="6"/>
        <v/>
      </c>
      <c r="N10" s="11"/>
      <c r="O10" s="2"/>
      <c r="P10" s="80"/>
      <c r="Q10" s="19">
        <v>18435</v>
      </c>
      <c r="R10" s="19">
        <f t="shared" si="7"/>
        <v>63</v>
      </c>
      <c r="S10" s="19">
        <v>457</v>
      </c>
      <c r="T10" s="19">
        <f t="shared" si="8"/>
        <v>0</v>
      </c>
      <c r="U10" s="19">
        <v>24</v>
      </c>
      <c r="V10" s="19">
        <f t="shared" si="9"/>
        <v>0</v>
      </c>
      <c r="W10" s="37">
        <v>0</v>
      </c>
      <c r="X10" s="48" t="str">
        <f t="shared" si="10"/>
        <v>フルーツスクイーズ</v>
      </c>
      <c r="Y10" s="51">
        <f t="shared" si="11"/>
        <v>290</v>
      </c>
      <c r="Z10" s="19">
        <f t="shared" si="12"/>
        <v>0</v>
      </c>
      <c r="AA10" s="20">
        <f t="shared" si="13"/>
        <v>0</v>
      </c>
      <c r="AB10" s="11" t="s">
        <v>386</v>
      </c>
      <c r="AC10" s="1"/>
      <c r="AD10" s="80"/>
      <c r="AE10" s="19">
        <v>19678</v>
      </c>
      <c r="AF10" s="19">
        <f t="shared" si="14"/>
        <v>141</v>
      </c>
      <c r="AG10" s="19">
        <v>738</v>
      </c>
      <c r="AH10" s="19">
        <f t="shared" si="15"/>
        <v>7</v>
      </c>
      <c r="AI10" s="19">
        <v>23</v>
      </c>
      <c r="AJ10" s="19">
        <f t="shared" si="16"/>
        <v>10</v>
      </c>
      <c r="AK10" s="37">
        <v>12</v>
      </c>
      <c r="AL10" s="48" t="str">
        <f t="shared" si="17"/>
        <v>ボンドロシール</v>
      </c>
      <c r="AM10" s="51">
        <f t="shared" si="18"/>
        <v>150</v>
      </c>
      <c r="AN10" s="19">
        <f t="shared" si="19"/>
        <v>1500</v>
      </c>
      <c r="AO10" s="20">
        <f t="shared" si="20"/>
        <v>0.10638297872340426</v>
      </c>
      <c r="AP10" s="11"/>
      <c r="AR10" s="80"/>
      <c r="AS10" s="19">
        <v>1391</v>
      </c>
      <c r="AT10" s="19">
        <f t="shared" si="21"/>
        <v>26</v>
      </c>
      <c r="AU10" s="19">
        <v>1047</v>
      </c>
      <c r="AV10" s="19">
        <f t="shared" si="22"/>
        <v>0</v>
      </c>
      <c r="AW10" s="19">
        <v>8</v>
      </c>
      <c r="AX10" s="19">
        <f t="shared" si="23"/>
        <v>0</v>
      </c>
      <c r="AY10" s="37">
        <v>0</v>
      </c>
      <c r="AZ10" s="48" t="str">
        <f t="shared" ref="AZ10:AZ43" si="39">IF(AS10="","",AZ6)</f>
        <v>サンリオファン</v>
      </c>
      <c r="BA10" s="51">
        <f t="shared" ref="BA10:BA43" si="40">IF(AT10="","",BA6)</f>
        <v>1100</v>
      </c>
      <c r="BB10" s="19">
        <f t="shared" si="24"/>
        <v>0</v>
      </c>
      <c r="BC10" s="20">
        <f t="shared" si="25"/>
        <v>0</v>
      </c>
      <c r="BD10" s="11" t="s">
        <v>392</v>
      </c>
      <c r="BF10" s="80"/>
      <c r="BG10" s="19">
        <v>1855</v>
      </c>
      <c r="BH10" s="19">
        <f t="shared" si="26"/>
        <v>16</v>
      </c>
      <c r="BI10" s="19">
        <v>1145</v>
      </c>
      <c r="BJ10" s="19">
        <f t="shared" si="27"/>
        <v>2</v>
      </c>
      <c r="BK10" s="19">
        <v>162</v>
      </c>
      <c r="BL10" s="19">
        <f t="shared" si="28"/>
        <v>0</v>
      </c>
      <c r="BM10" s="37">
        <v>0</v>
      </c>
      <c r="BN10" s="48" t="str">
        <f t="shared" si="29"/>
        <v>キティボールペン</v>
      </c>
      <c r="BO10" s="51">
        <f t="shared" si="30"/>
        <v>283</v>
      </c>
      <c r="BP10" s="19">
        <f t="shared" si="31"/>
        <v>0</v>
      </c>
      <c r="BQ10" s="20">
        <f t="shared" si="32"/>
        <v>0</v>
      </c>
      <c r="BR10" s="11"/>
      <c r="BT10" s="80"/>
      <c r="BU10" s="19">
        <v>1497</v>
      </c>
      <c r="BV10" s="82">
        <f t="shared" si="33"/>
        <v>7</v>
      </c>
      <c r="BW10" s="19">
        <v>1039</v>
      </c>
      <c r="BX10" s="19">
        <f t="shared" si="34"/>
        <v>1</v>
      </c>
      <c r="BY10" s="19">
        <v>266</v>
      </c>
      <c r="BZ10" s="19">
        <f t="shared" si="35"/>
        <v>1</v>
      </c>
      <c r="CA10" s="37">
        <v>0</v>
      </c>
      <c r="CB10" s="48" t="s">
        <v>389</v>
      </c>
      <c r="CC10" s="108">
        <v>418</v>
      </c>
      <c r="CD10" s="19">
        <f t="shared" si="37"/>
        <v>418</v>
      </c>
      <c r="CE10" s="20">
        <f t="shared" si="38"/>
        <v>0.5971428571428572</v>
      </c>
      <c r="CF10" s="11"/>
    </row>
    <row r="11" spans="1:84" ht="15" customHeight="1" thickTop="1">
      <c r="A11" s="12"/>
      <c r="B11" s="8" t="str">
        <f>IF(A11="","",SUM(D11)+SUM(R35:R38)+SUM(AF35:AF38)+SUM(BH35:BH38)+SUM(BV35:BV38)+SUM(AT35:AT38))</f>
        <v/>
      </c>
      <c r="C11" s="13"/>
      <c r="D11" s="9" t="str">
        <f t="shared" si="0"/>
        <v/>
      </c>
      <c r="E11" s="9"/>
      <c r="F11" s="9" t="str">
        <f t="shared" si="1"/>
        <v/>
      </c>
      <c r="G11" s="9"/>
      <c r="H11" s="9" t="str">
        <f t="shared" si="2"/>
        <v/>
      </c>
      <c r="I11" s="9"/>
      <c r="J11" s="152" t="str">
        <f t="shared" si="3"/>
        <v/>
      </c>
      <c r="K11" s="44" t="str">
        <f t="shared" si="4"/>
        <v/>
      </c>
      <c r="L11" s="9" t="str">
        <f t="shared" si="5"/>
        <v/>
      </c>
      <c r="M11" s="10" t="str">
        <f t="shared" si="6"/>
        <v/>
      </c>
      <c r="N11" s="34"/>
      <c r="O11" s="2"/>
      <c r="P11" s="65">
        <f>IF($A5="","",$A5)</f>
        <v>46160</v>
      </c>
      <c r="Q11" s="44">
        <v>14164</v>
      </c>
      <c r="R11" s="44">
        <f t="shared" si="7"/>
        <v>132</v>
      </c>
      <c r="S11" s="44">
        <v>403</v>
      </c>
      <c r="T11" s="23">
        <f t="shared" si="8"/>
        <v>3</v>
      </c>
      <c r="U11" s="44">
        <v>15</v>
      </c>
      <c r="V11" s="44">
        <f t="shared" si="9"/>
        <v>3</v>
      </c>
      <c r="W11" s="66">
        <v>4</v>
      </c>
      <c r="X11" s="61" t="str">
        <f t="shared" si="10"/>
        <v>ベアブリック</v>
      </c>
      <c r="Y11" s="62">
        <f t="shared" si="11"/>
        <v>770</v>
      </c>
      <c r="Z11" s="23">
        <f t="shared" si="12"/>
        <v>2310</v>
      </c>
      <c r="AA11" s="24">
        <f t="shared" si="13"/>
        <v>0.17499999999999999</v>
      </c>
      <c r="AB11" s="11"/>
      <c r="AC11" s="1"/>
      <c r="AD11" s="65">
        <f>IF($A5="","",$A5)</f>
        <v>46160</v>
      </c>
      <c r="AE11" s="44">
        <v>11468</v>
      </c>
      <c r="AF11" s="44">
        <f t="shared" si="14"/>
        <v>59</v>
      </c>
      <c r="AG11" s="44">
        <v>293</v>
      </c>
      <c r="AH11" s="23">
        <f t="shared" si="15"/>
        <v>0</v>
      </c>
      <c r="AI11" s="44">
        <v>18</v>
      </c>
      <c r="AJ11" s="44">
        <f t="shared" si="16"/>
        <v>0</v>
      </c>
      <c r="AK11" s="66">
        <v>0</v>
      </c>
      <c r="AL11" s="61" t="str">
        <f t="shared" si="17"/>
        <v>ゲーム機柄イヤホン</v>
      </c>
      <c r="AM11" s="62">
        <f t="shared" si="18"/>
        <v>770</v>
      </c>
      <c r="AN11" s="23">
        <f t="shared" si="19"/>
        <v>0</v>
      </c>
      <c r="AO11" s="24">
        <f t="shared" si="20"/>
        <v>0</v>
      </c>
      <c r="AP11" s="162" t="s">
        <v>400</v>
      </c>
      <c r="AR11" s="65">
        <f>IF($A5="","",$A5)</f>
        <v>46160</v>
      </c>
      <c r="AS11" s="44">
        <v>1425</v>
      </c>
      <c r="AT11" s="44">
        <f t="shared" si="21"/>
        <v>6</v>
      </c>
      <c r="AU11" s="44">
        <v>1058</v>
      </c>
      <c r="AV11" s="23">
        <f t="shared" si="22"/>
        <v>0</v>
      </c>
      <c r="AW11" s="44">
        <v>7</v>
      </c>
      <c r="AX11" s="44">
        <f t="shared" si="23"/>
        <v>0</v>
      </c>
      <c r="AY11" s="66">
        <v>3</v>
      </c>
      <c r="AZ11" s="61" t="str">
        <f t="shared" si="39"/>
        <v>たまごスクイーズ</v>
      </c>
      <c r="BA11" s="62">
        <f t="shared" si="40"/>
        <v>0</v>
      </c>
      <c r="BB11" s="23">
        <f t="shared" si="24"/>
        <v>0</v>
      </c>
      <c r="BC11" s="24">
        <f t="shared" si="25"/>
        <v>0</v>
      </c>
      <c r="BD11" s="11" t="s">
        <v>397</v>
      </c>
      <c r="BF11" s="65">
        <f>IF($A5="","",$A5)</f>
        <v>46160</v>
      </c>
      <c r="BG11" s="44">
        <v>1563</v>
      </c>
      <c r="BH11" s="44">
        <f t="shared" si="26"/>
        <v>13</v>
      </c>
      <c r="BI11" s="44">
        <v>1046</v>
      </c>
      <c r="BJ11" s="23">
        <f t="shared" si="27"/>
        <v>1</v>
      </c>
      <c r="BK11" s="44">
        <v>12</v>
      </c>
      <c r="BL11" s="44">
        <f t="shared" si="28"/>
        <v>0</v>
      </c>
      <c r="BM11" s="66">
        <v>0</v>
      </c>
      <c r="BN11" s="61" t="str">
        <f t="shared" si="29"/>
        <v>キティしっぽ付きフェイス</v>
      </c>
      <c r="BO11" s="62">
        <f t="shared" si="30"/>
        <v>825</v>
      </c>
      <c r="BP11" s="23">
        <f t="shared" si="31"/>
        <v>0</v>
      </c>
      <c r="BQ11" s="24">
        <f t="shared" si="32"/>
        <v>0</v>
      </c>
      <c r="BR11" s="11" t="s">
        <v>394</v>
      </c>
      <c r="BT11" s="65">
        <f>IF($A5="","",$A5)</f>
        <v>46160</v>
      </c>
      <c r="BU11" s="44">
        <v>1408</v>
      </c>
      <c r="BV11" s="44">
        <f t="shared" si="33"/>
        <v>19</v>
      </c>
      <c r="BW11" s="44">
        <v>1059</v>
      </c>
      <c r="BX11" s="23">
        <f t="shared" si="34"/>
        <v>0</v>
      </c>
      <c r="BY11" s="44">
        <v>13</v>
      </c>
      <c r="BZ11" s="44">
        <f t="shared" si="35"/>
        <v>1</v>
      </c>
      <c r="CA11" s="66">
        <v>1</v>
      </c>
      <c r="CB11" s="61" t="str">
        <f t="shared" ref="CB11:CC17" si="41">IF(BU11="","",CB7)</f>
        <v>サンリオリュックポーチ</v>
      </c>
      <c r="CC11" s="62">
        <f t="shared" si="41"/>
        <v>935</v>
      </c>
      <c r="CD11" s="23">
        <f t="shared" si="37"/>
        <v>935</v>
      </c>
      <c r="CE11" s="24">
        <f t="shared" si="38"/>
        <v>0.49210526315789471</v>
      </c>
      <c r="CF11" s="11" t="s">
        <v>395</v>
      </c>
    </row>
    <row r="12" spans="1:84">
      <c r="A12" s="12"/>
      <c r="B12" s="8" t="str">
        <f>IF(A12="","",SUM(D12)+SUM(R39:R42)+SUM(AF39:AF42)+SUM(BH39:BH42)+SUM(BV39:BV42)+SUM(AT39:AT42))</f>
        <v/>
      </c>
      <c r="C12" s="13"/>
      <c r="D12" s="9" t="str">
        <f t="shared" si="0"/>
        <v/>
      </c>
      <c r="E12" s="9"/>
      <c r="F12" s="9" t="str">
        <f t="shared" si="1"/>
        <v/>
      </c>
      <c r="G12" s="9"/>
      <c r="H12" s="9" t="str">
        <f t="shared" si="2"/>
        <v/>
      </c>
      <c r="I12" s="9"/>
      <c r="J12" s="152" t="str">
        <f t="shared" si="3"/>
        <v/>
      </c>
      <c r="K12" s="44" t="str">
        <f t="shared" si="4"/>
        <v/>
      </c>
      <c r="L12" s="9" t="str">
        <f t="shared" si="5"/>
        <v/>
      </c>
      <c r="M12" s="10" t="str">
        <f t="shared" si="6"/>
        <v/>
      </c>
      <c r="N12" s="34"/>
      <c r="O12" s="2"/>
      <c r="P12" s="12"/>
      <c r="Q12" s="9">
        <v>13541</v>
      </c>
      <c r="R12" s="44">
        <f t="shared" si="7"/>
        <v>84</v>
      </c>
      <c r="S12" s="9">
        <v>279</v>
      </c>
      <c r="T12" s="9">
        <f t="shared" si="8"/>
        <v>0</v>
      </c>
      <c r="U12" s="9">
        <v>8</v>
      </c>
      <c r="V12" s="9">
        <f t="shared" si="9"/>
        <v>1</v>
      </c>
      <c r="W12" s="13">
        <v>1</v>
      </c>
      <c r="X12" s="47" t="str">
        <f t="shared" si="10"/>
        <v>カラビナファン</v>
      </c>
      <c r="Y12" s="45">
        <f t="shared" si="11"/>
        <v>1100</v>
      </c>
      <c r="Z12" s="9">
        <f t="shared" si="12"/>
        <v>1100</v>
      </c>
      <c r="AA12" s="10">
        <f t="shared" si="13"/>
        <v>0.13095238095238096</v>
      </c>
      <c r="AB12" s="11" t="s">
        <v>325</v>
      </c>
      <c r="AC12" s="1"/>
      <c r="AD12" s="12"/>
      <c r="AE12" s="9">
        <v>14180</v>
      </c>
      <c r="AF12" s="44">
        <f t="shared" si="14"/>
        <v>147</v>
      </c>
      <c r="AG12" s="9">
        <v>251</v>
      </c>
      <c r="AH12" s="9">
        <f t="shared" si="15"/>
        <v>2</v>
      </c>
      <c r="AI12" s="9">
        <v>8</v>
      </c>
      <c r="AJ12" s="9">
        <f t="shared" si="16"/>
        <v>2</v>
      </c>
      <c r="AK12" s="13">
        <v>3</v>
      </c>
      <c r="AL12" s="47" t="str">
        <f t="shared" si="17"/>
        <v>たまごっちキーリング</v>
      </c>
      <c r="AM12" s="45">
        <f t="shared" si="18"/>
        <v>750</v>
      </c>
      <c r="AN12" s="9">
        <f t="shared" si="19"/>
        <v>1500</v>
      </c>
      <c r="AO12" s="10">
        <f t="shared" si="20"/>
        <v>0.10204081632653061</v>
      </c>
      <c r="AP12" s="11"/>
      <c r="AR12" s="12"/>
      <c r="AS12" s="9">
        <v>1744</v>
      </c>
      <c r="AT12" s="44">
        <f t="shared" si="21"/>
        <v>52</v>
      </c>
      <c r="AU12" s="9">
        <v>1054</v>
      </c>
      <c r="AV12" s="9">
        <f t="shared" si="22"/>
        <v>1</v>
      </c>
      <c r="AW12" s="9">
        <v>14</v>
      </c>
      <c r="AX12" s="9">
        <f t="shared" si="23"/>
        <v>2</v>
      </c>
      <c r="AY12" s="13">
        <v>2</v>
      </c>
      <c r="AZ12" s="47" t="str">
        <f t="shared" si="39"/>
        <v>サンリオボアバンスクリップ</v>
      </c>
      <c r="BA12" s="45">
        <f t="shared" si="40"/>
        <v>1100</v>
      </c>
      <c r="BB12" s="9">
        <f t="shared" si="24"/>
        <v>2200</v>
      </c>
      <c r="BC12" s="10">
        <f t="shared" si="25"/>
        <v>0.42307692307692307</v>
      </c>
      <c r="BD12" s="11"/>
      <c r="BF12" s="12"/>
      <c r="BG12" s="9">
        <v>1327</v>
      </c>
      <c r="BH12" s="44">
        <f t="shared" si="26"/>
        <v>12</v>
      </c>
      <c r="BI12" s="9">
        <v>1061</v>
      </c>
      <c r="BJ12" s="9">
        <f t="shared" si="27"/>
        <v>0</v>
      </c>
      <c r="BK12" s="9">
        <v>12</v>
      </c>
      <c r="BL12" s="9">
        <f t="shared" si="28"/>
        <v>0</v>
      </c>
      <c r="BM12" s="13">
        <v>0</v>
      </c>
      <c r="BN12" s="47" t="str">
        <f t="shared" si="29"/>
        <v>キルティングキティポーチ</v>
      </c>
      <c r="BO12" s="45">
        <f t="shared" si="30"/>
        <v>0</v>
      </c>
      <c r="BP12" s="9">
        <f t="shared" si="31"/>
        <v>0</v>
      </c>
      <c r="BQ12" s="10">
        <f t="shared" si="32"/>
        <v>0</v>
      </c>
      <c r="BR12" s="11"/>
      <c r="BT12" s="12"/>
      <c r="BU12" s="9">
        <v>1434</v>
      </c>
      <c r="BV12" s="44">
        <f t="shared" si="33"/>
        <v>40</v>
      </c>
      <c r="BW12" s="9">
        <v>1049</v>
      </c>
      <c r="BX12" s="9">
        <f t="shared" si="34"/>
        <v>2</v>
      </c>
      <c r="BY12" s="9">
        <v>8</v>
      </c>
      <c r="BZ12" s="9">
        <f t="shared" si="35"/>
        <v>2</v>
      </c>
      <c r="CA12" s="13">
        <v>2</v>
      </c>
      <c r="CB12" s="47" t="str">
        <f t="shared" si="41"/>
        <v>ネコメイドキティマスコット</v>
      </c>
      <c r="CC12" s="45">
        <f t="shared" si="41"/>
        <v>935</v>
      </c>
      <c r="CD12" s="9">
        <f t="shared" si="37"/>
        <v>1870</v>
      </c>
      <c r="CE12" s="10">
        <f t="shared" si="38"/>
        <v>0.46750000000000003</v>
      </c>
      <c r="CF12" s="11" t="s">
        <v>396</v>
      </c>
    </row>
    <row r="13" spans="1:84">
      <c r="A13" s="12"/>
      <c r="B13" s="8" t="str">
        <f>IF(A13="","",SUM(D13)+SUM(R43:R46)+SUM(AF43:AF46)+SUM(BH43:BH46)+SUM(BV43:BV46)+SUM(AT43:AT46))</f>
        <v/>
      </c>
      <c r="C13" s="13"/>
      <c r="D13" s="9" t="str">
        <f t="shared" si="0"/>
        <v/>
      </c>
      <c r="E13" s="9"/>
      <c r="F13" s="9" t="str">
        <f t="shared" si="1"/>
        <v/>
      </c>
      <c r="G13" s="9"/>
      <c r="H13" s="9" t="str">
        <f t="shared" si="2"/>
        <v/>
      </c>
      <c r="I13" s="9"/>
      <c r="J13" s="152" t="str">
        <f t="shared" si="3"/>
        <v/>
      </c>
      <c r="K13" s="44" t="str">
        <f t="shared" si="4"/>
        <v/>
      </c>
      <c r="L13" s="9" t="str">
        <f t="shared" si="5"/>
        <v/>
      </c>
      <c r="M13" s="10" t="str">
        <f t="shared" si="6"/>
        <v/>
      </c>
      <c r="N13" s="34"/>
      <c r="O13" s="2"/>
      <c r="P13" s="25"/>
      <c r="Q13" s="9">
        <v>15679</v>
      </c>
      <c r="R13" s="52">
        <f t="shared" si="7"/>
        <v>130</v>
      </c>
      <c r="S13" s="9">
        <v>503</v>
      </c>
      <c r="T13" s="9">
        <f t="shared" si="8"/>
        <v>1</v>
      </c>
      <c r="U13" s="9">
        <v>14</v>
      </c>
      <c r="V13" s="9">
        <f t="shared" si="9"/>
        <v>2</v>
      </c>
      <c r="W13" s="13">
        <v>3</v>
      </c>
      <c r="X13" s="47" t="str">
        <f t="shared" si="10"/>
        <v>たまごっちミニポーチ</v>
      </c>
      <c r="Y13" s="9">
        <f t="shared" si="11"/>
        <v>770</v>
      </c>
      <c r="Z13" s="9">
        <f t="shared" si="12"/>
        <v>1540</v>
      </c>
      <c r="AA13" s="10">
        <f t="shared" si="13"/>
        <v>0.11846153846153847</v>
      </c>
      <c r="AB13" s="11"/>
      <c r="AD13" s="25"/>
      <c r="AE13" s="9">
        <v>16051</v>
      </c>
      <c r="AF13" s="52">
        <f t="shared" si="14"/>
        <v>146</v>
      </c>
      <c r="AG13" s="9">
        <v>529</v>
      </c>
      <c r="AH13" s="9">
        <f t="shared" si="15"/>
        <v>2</v>
      </c>
      <c r="AI13" s="9">
        <v>8</v>
      </c>
      <c r="AJ13" s="9">
        <f t="shared" si="16"/>
        <v>5</v>
      </c>
      <c r="AK13" s="13">
        <v>6</v>
      </c>
      <c r="AL13" s="47" t="str">
        <f t="shared" si="17"/>
        <v>たまごっちブロックシール</v>
      </c>
      <c r="AM13" s="9">
        <f t="shared" si="18"/>
        <v>600</v>
      </c>
      <c r="AN13" s="9">
        <f t="shared" si="19"/>
        <v>3000</v>
      </c>
      <c r="AO13" s="10">
        <f t="shared" si="20"/>
        <v>0.20547945205479451</v>
      </c>
      <c r="AP13" s="11"/>
      <c r="AR13" s="25"/>
      <c r="AS13" s="9">
        <v>1502</v>
      </c>
      <c r="AT13" s="52">
        <f t="shared" si="21"/>
        <v>6</v>
      </c>
      <c r="AU13" s="9">
        <v>1044</v>
      </c>
      <c r="AV13" s="9">
        <f t="shared" si="22"/>
        <v>1</v>
      </c>
      <c r="AW13" s="9">
        <v>5</v>
      </c>
      <c r="AX13" s="9">
        <f t="shared" si="23"/>
        <v>1</v>
      </c>
      <c r="AY13" s="13">
        <v>1</v>
      </c>
      <c r="AZ13" s="47" t="str">
        <f t="shared" si="39"/>
        <v>ラバーマスコットクロック</v>
      </c>
      <c r="BA13" s="9">
        <f t="shared" si="40"/>
        <v>0</v>
      </c>
      <c r="BB13" s="9">
        <f t="shared" si="24"/>
        <v>0</v>
      </c>
      <c r="BC13" s="10">
        <f t="shared" si="25"/>
        <v>0</v>
      </c>
      <c r="BD13" s="11" t="s">
        <v>393</v>
      </c>
      <c r="BF13" s="25"/>
      <c r="BG13" s="9">
        <v>1576</v>
      </c>
      <c r="BH13" s="52">
        <f t="shared" si="26"/>
        <v>7</v>
      </c>
      <c r="BI13" s="9">
        <v>1045</v>
      </c>
      <c r="BJ13" s="9">
        <f t="shared" si="27"/>
        <v>0</v>
      </c>
      <c r="BK13" s="9">
        <v>8</v>
      </c>
      <c r="BL13" s="9">
        <f t="shared" si="28"/>
        <v>0</v>
      </c>
      <c r="BM13" s="13">
        <v>1</v>
      </c>
      <c r="BN13" s="47" t="str">
        <f t="shared" si="29"/>
        <v>サンリオヒョウ柄ポーチ</v>
      </c>
      <c r="BO13" s="9">
        <f t="shared" si="30"/>
        <v>935</v>
      </c>
      <c r="BP13" s="9">
        <f t="shared" si="31"/>
        <v>0</v>
      </c>
      <c r="BQ13" s="10">
        <f t="shared" si="32"/>
        <v>0</v>
      </c>
      <c r="BR13" s="11"/>
      <c r="BT13" s="25"/>
      <c r="BU13" s="9">
        <v>1498</v>
      </c>
      <c r="BV13" s="52">
        <f t="shared" si="33"/>
        <v>31</v>
      </c>
      <c r="BW13" s="9">
        <v>1087</v>
      </c>
      <c r="BX13" s="9">
        <f t="shared" si="34"/>
        <v>4</v>
      </c>
      <c r="BY13" s="9">
        <v>123</v>
      </c>
      <c r="BZ13" s="9">
        <f t="shared" si="35"/>
        <v>4</v>
      </c>
      <c r="CA13" s="13">
        <v>3</v>
      </c>
      <c r="CB13" s="47" t="str">
        <f t="shared" si="41"/>
        <v>サンリオシューズ</v>
      </c>
      <c r="CC13" s="9">
        <f t="shared" si="41"/>
        <v>400</v>
      </c>
      <c r="CD13" s="9">
        <f t="shared" si="37"/>
        <v>1600</v>
      </c>
      <c r="CE13" s="10">
        <f t="shared" si="38"/>
        <v>0.5161290322580645</v>
      </c>
      <c r="CF13" s="11"/>
    </row>
    <row r="14" spans="1:84" ht="15" customHeight="1" thickBot="1">
      <c r="A14" s="12"/>
      <c r="B14" s="8" t="str">
        <f>IF(A14="","",SUM(D14)+SUM(R47:R50)+SUM(AF47:AF50)+SUM(BH47:BH50)+SUM(BV47:BV50)+SUM(AT47:AT50))</f>
        <v/>
      </c>
      <c r="C14" s="13"/>
      <c r="D14" s="9" t="str">
        <f t="shared" si="0"/>
        <v/>
      </c>
      <c r="E14" s="9"/>
      <c r="F14" s="9" t="str">
        <f t="shared" si="1"/>
        <v/>
      </c>
      <c r="G14" s="9"/>
      <c r="H14" s="9" t="str">
        <f t="shared" si="2"/>
        <v/>
      </c>
      <c r="I14" s="9"/>
      <c r="J14" s="152" t="str">
        <f t="shared" si="3"/>
        <v/>
      </c>
      <c r="K14" s="44" t="str">
        <f t="shared" si="4"/>
        <v/>
      </c>
      <c r="L14" s="9" t="str">
        <f t="shared" si="5"/>
        <v/>
      </c>
      <c r="M14" s="10" t="str">
        <f t="shared" si="6"/>
        <v/>
      </c>
      <c r="N14" s="11"/>
      <c r="O14" s="2"/>
      <c r="P14" s="18"/>
      <c r="Q14" s="21">
        <v>18567</v>
      </c>
      <c r="R14" s="50">
        <f t="shared" si="7"/>
        <v>132</v>
      </c>
      <c r="S14" s="51">
        <v>467</v>
      </c>
      <c r="T14" s="19">
        <f t="shared" si="8"/>
        <v>10</v>
      </c>
      <c r="U14" s="19">
        <v>13</v>
      </c>
      <c r="V14" s="19">
        <f t="shared" si="9"/>
        <v>11</v>
      </c>
      <c r="W14" s="37">
        <v>9</v>
      </c>
      <c r="X14" s="48" t="str">
        <f t="shared" si="10"/>
        <v>フルーツスクイーズ</v>
      </c>
      <c r="Y14" s="51">
        <f t="shared" si="11"/>
        <v>290</v>
      </c>
      <c r="Z14" s="19">
        <f t="shared" si="12"/>
        <v>3190</v>
      </c>
      <c r="AA14" s="20">
        <f t="shared" si="13"/>
        <v>0.24166666666666667</v>
      </c>
      <c r="AB14" s="11"/>
      <c r="AD14" s="18"/>
      <c r="AE14" s="21">
        <v>19797</v>
      </c>
      <c r="AF14" s="50">
        <f t="shared" si="14"/>
        <v>119</v>
      </c>
      <c r="AG14" s="51">
        <v>743</v>
      </c>
      <c r="AH14" s="19">
        <f t="shared" si="15"/>
        <v>5</v>
      </c>
      <c r="AI14" s="19">
        <v>31</v>
      </c>
      <c r="AJ14" s="19">
        <f t="shared" si="16"/>
        <v>4</v>
      </c>
      <c r="AK14" s="37">
        <v>10</v>
      </c>
      <c r="AL14" s="48" t="str">
        <f t="shared" si="17"/>
        <v>ボンドロシール</v>
      </c>
      <c r="AM14" s="51">
        <f t="shared" si="18"/>
        <v>150</v>
      </c>
      <c r="AN14" s="19">
        <f t="shared" si="19"/>
        <v>600</v>
      </c>
      <c r="AO14" s="20">
        <f t="shared" si="20"/>
        <v>5.0420168067226892E-2</v>
      </c>
      <c r="AP14" s="11"/>
      <c r="AR14" s="18"/>
      <c r="AS14" s="21">
        <v>1408</v>
      </c>
      <c r="AT14" s="50">
        <f t="shared" si="21"/>
        <v>17</v>
      </c>
      <c r="AU14" s="51">
        <v>1048</v>
      </c>
      <c r="AV14" s="19">
        <f t="shared" si="22"/>
        <v>1</v>
      </c>
      <c r="AW14" s="19">
        <v>7</v>
      </c>
      <c r="AX14" s="19">
        <f t="shared" si="23"/>
        <v>1</v>
      </c>
      <c r="AY14" s="37">
        <v>0</v>
      </c>
      <c r="AZ14" s="48" t="str">
        <f t="shared" si="39"/>
        <v>サンリオファン</v>
      </c>
      <c r="BA14" s="51">
        <f t="shared" si="40"/>
        <v>1100</v>
      </c>
      <c r="BB14" s="19">
        <f t="shared" si="24"/>
        <v>1100</v>
      </c>
      <c r="BC14" s="20">
        <f t="shared" si="25"/>
        <v>0.6470588235294118</v>
      </c>
      <c r="BD14" s="11" t="s">
        <v>341</v>
      </c>
      <c r="BF14" s="18"/>
      <c r="BG14" s="21">
        <v>1894</v>
      </c>
      <c r="BH14" s="50">
        <f t="shared" si="26"/>
        <v>39</v>
      </c>
      <c r="BI14" s="51">
        <v>1149</v>
      </c>
      <c r="BJ14" s="19">
        <f t="shared" si="27"/>
        <v>4</v>
      </c>
      <c r="BK14" s="19">
        <v>158</v>
      </c>
      <c r="BL14" s="19">
        <f t="shared" si="28"/>
        <v>4</v>
      </c>
      <c r="BM14" s="37">
        <v>0</v>
      </c>
      <c r="BN14" s="48" t="str">
        <f t="shared" si="29"/>
        <v>キティボールペン</v>
      </c>
      <c r="BO14" s="51">
        <f t="shared" si="30"/>
        <v>283</v>
      </c>
      <c r="BP14" s="19">
        <f t="shared" si="31"/>
        <v>1132</v>
      </c>
      <c r="BQ14" s="20">
        <f t="shared" si="32"/>
        <v>0.29025641025641025</v>
      </c>
      <c r="BR14" s="11"/>
      <c r="BT14" s="18"/>
      <c r="BU14" s="21">
        <v>1523</v>
      </c>
      <c r="BV14" s="50">
        <f t="shared" si="33"/>
        <v>26</v>
      </c>
      <c r="BW14" s="51">
        <v>1041</v>
      </c>
      <c r="BX14" s="19">
        <f t="shared" si="34"/>
        <v>2</v>
      </c>
      <c r="BY14" s="19">
        <v>264</v>
      </c>
      <c r="BZ14" s="19">
        <f t="shared" si="35"/>
        <v>2</v>
      </c>
      <c r="CA14" s="37">
        <v>0</v>
      </c>
      <c r="CB14" s="48" t="str">
        <f t="shared" si="41"/>
        <v>スイーツチャーム</v>
      </c>
      <c r="CC14" s="51">
        <f t="shared" si="41"/>
        <v>418</v>
      </c>
      <c r="CD14" s="19">
        <f t="shared" si="37"/>
        <v>836</v>
      </c>
      <c r="CE14" s="20">
        <f t="shared" si="38"/>
        <v>0.32153846153846155</v>
      </c>
      <c r="CF14" s="11"/>
    </row>
    <row r="15" spans="1:84" ht="15" customHeight="1" thickTop="1">
      <c r="A15" s="12"/>
      <c r="B15" s="8" t="str">
        <f>IF(A15="","",SUM(D15)+SUM(R21:R24)+SUM(AF21:AF24)+SUM(BH21:BH24)+SUM(BV21:BV24)+SUM(AT21:AT24))</f>
        <v/>
      </c>
      <c r="C15" s="13"/>
      <c r="D15" s="9" t="str">
        <f t="shared" si="0"/>
        <v/>
      </c>
      <c r="E15" s="9"/>
      <c r="F15" s="9" t="str">
        <f t="shared" si="1"/>
        <v/>
      </c>
      <c r="G15" s="9"/>
      <c r="H15" s="9" t="str">
        <f t="shared" si="2"/>
        <v/>
      </c>
      <c r="I15" s="9"/>
      <c r="J15" s="152" t="str">
        <f t="shared" si="3"/>
        <v/>
      </c>
      <c r="K15" s="44" t="str">
        <f t="shared" si="4"/>
        <v/>
      </c>
      <c r="L15" s="9" t="str">
        <f t="shared" si="5"/>
        <v/>
      </c>
      <c r="M15" s="10" t="str">
        <f t="shared" si="6"/>
        <v/>
      </c>
      <c r="N15" s="11"/>
      <c r="O15" s="2"/>
      <c r="P15" s="65">
        <f>IF($A6="","",$A6)</f>
        <v>46163</v>
      </c>
      <c r="Q15" s="44">
        <v>14227</v>
      </c>
      <c r="R15" s="44">
        <f t="shared" si="7"/>
        <v>63</v>
      </c>
      <c r="S15" s="44">
        <v>404</v>
      </c>
      <c r="T15" s="23">
        <f t="shared" si="8"/>
        <v>1</v>
      </c>
      <c r="U15" s="44">
        <v>18</v>
      </c>
      <c r="V15" s="44">
        <f t="shared" si="9"/>
        <v>1</v>
      </c>
      <c r="W15" s="66">
        <v>1</v>
      </c>
      <c r="X15" s="61" t="str">
        <f t="shared" si="10"/>
        <v>ベアブリック</v>
      </c>
      <c r="Y15" s="62">
        <f t="shared" si="11"/>
        <v>770</v>
      </c>
      <c r="Z15" s="23">
        <f t="shared" si="12"/>
        <v>770</v>
      </c>
      <c r="AA15" s="24">
        <f t="shared" si="13"/>
        <v>0.12222222222222222</v>
      </c>
      <c r="AB15" s="11"/>
      <c r="AC15" s="1"/>
      <c r="AD15" s="65">
        <f>IF($A6="","",$A6)</f>
        <v>46163</v>
      </c>
      <c r="AE15" s="44">
        <v>11512</v>
      </c>
      <c r="AF15" s="44">
        <f t="shared" si="14"/>
        <v>44</v>
      </c>
      <c r="AG15" s="44">
        <v>293</v>
      </c>
      <c r="AH15" s="23">
        <f t="shared" si="15"/>
        <v>0</v>
      </c>
      <c r="AI15" s="44">
        <v>18</v>
      </c>
      <c r="AJ15" s="44">
        <f t="shared" si="16"/>
        <v>0</v>
      </c>
      <c r="AK15" s="66">
        <v>0</v>
      </c>
      <c r="AL15" s="61" t="str">
        <f t="shared" si="17"/>
        <v>ゲーム機柄イヤホン</v>
      </c>
      <c r="AM15" s="62">
        <f t="shared" si="18"/>
        <v>770</v>
      </c>
      <c r="AN15" s="23">
        <f t="shared" si="19"/>
        <v>0</v>
      </c>
      <c r="AO15" s="24">
        <f t="shared" si="20"/>
        <v>0</v>
      </c>
      <c r="AP15" s="129" t="s">
        <v>399</v>
      </c>
      <c r="AR15" s="65">
        <f>IF($A6="","",$A6)</f>
        <v>46163</v>
      </c>
      <c r="AS15" s="44">
        <v>1433</v>
      </c>
      <c r="AT15" s="44">
        <f t="shared" si="21"/>
        <v>8</v>
      </c>
      <c r="AU15" s="44">
        <v>1058</v>
      </c>
      <c r="AV15" s="23">
        <f t="shared" si="22"/>
        <v>0</v>
      </c>
      <c r="AW15" s="44">
        <v>10</v>
      </c>
      <c r="AX15" s="44">
        <f t="shared" si="23"/>
        <v>0</v>
      </c>
      <c r="AY15" s="66">
        <v>0</v>
      </c>
      <c r="AZ15" s="61" t="str">
        <f t="shared" si="39"/>
        <v>たまごスクイーズ</v>
      </c>
      <c r="BA15" s="62">
        <f t="shared" si="40"/>
        <v>0</v>
      </c>
      <c r="BB15" s="23">
        <f t="shared" si="24"/>
        <v>0</v>
      </c>
      <c r="BC15" s="24">
        <f t="shared" si="25"/>
        <v>0</v>
      </c>
      <c r="BD15" s="129" t="s">
        <v>402</v>
      </c>
      <c r="BF15" s="65">
        <f>IF($A6="","",$A6)</f>
        <v>46163</v>
      </c>
      <c r="BG15" s="44">
        <v>1575</v>
      </c>
      <c r="BH15" s="44">
        <f t="shared" si="26"/>
        <v>12</v>
      </c>
      <c r="BI15" s="44">
        <v>1046</v>
      </c>
      <c r="BJ15" s="23">
        <f t="shared" si="27"/>
        <v>0</v>
      </c>
      <c r="BK15" s="44">
        <v>12</v>
      </c>
      <c r="BL15" s="44">
        <f t="shared" si="28"/>
        <v>0</v>
      </c>
      <c r="BM15" s="66">
        <v>0</v>
      </c>
      <c r="BN15" s="61" t="str">
        <f t="shared" si="29"/>
        <v>キティしっぽ付きフェイス</v>
      </c>
      <c r="BO15" s="62">
        <f t="shared" si="30"/>
        <v>825</v>
      </c>
      <c r="BP15" s="23">
        <f t="shared" si="31"/>
        <v>0</v>
      </c>
      <c r="BQ15" s="24">
        <f t="shared" si="32"/>
        <v>0</v>
      </c>
      <c r="BR15" s="11"/>
      <c r="BT15" s="65">
        <f>IF($A6="","",$A6)</f>
        <v>46163</v>
      </c>
      <c r="BU15" s="44">
        <v>1409</v>
      </c>
      <c r="BV15" s="44">
        <f t="shared" si="33"/>
        <v>1</v>
      </c>
      <c r="BW15" s="44">
        <v>1059</v>
      </c>
      <c r="BX15" s="23">
        <f t="shared" si="34"/>
        <v>0</v>
      </c>
      <c r="BY15" s="44">
        <v>14</v>
      </c>
      <c r="BZ15" s="44">
        <f t="shared" si="35"/>
        <v>0</v>
      </c>
      <c r="CA15" s="66">
        <v>1</v>
      </c>
      <c r="CB15" s="61" t="str">
        <f t="shared" si="41"/>
        <v>サンリオリュックポーチ</v>
      </c>
      <c r="CC15" s="62">
        <f t="shared" si="41"/>
        <v>935</v>
      </c>
      <c r="CD15" s="23">
        <f t="shared" si="37"/>
        <v>0</v>
      </c>
      <c r="CE15" s="24">
        <f t="shared" si="38"/>
        <v>0</v>
      </c>
      <c r="CF15" s="11" t="s">
        <v>401</v>
      </c>
    </row>
    <row r="16" spans="1:84">
      <c r="A16" s="12"/>
      <c r="B16" s="8" t="str">
        <f>IF(A16="","",SUM(D16)+SUM(R22:R25)+SUM(AF22:AF25)+SUM(BH22:BH25)+SUM(BV22:BV25)+SUM(AT22:AT25))</f>
        <v/>
      </c>
      <c r="C16" s="13"/>
      <c r="D16" s="9" t="str">
        <f t="shared" si="0"/>
        <v/>
      </c>
      <c r="E16" s="9"/>
      <c r="F16" s="9" t="str">
        <f t="shared" si="1"/>
        <v/>
      </c>
      <c r="G16" s="9"/>
      <c r="H16" s="9" t="str">
        <f t="shared" si="2"/>
        <v/>
      </c>
      <c r="I16" s="9"/>
      <c r="J16" s="152" t="str">
        <f t="shared" si="3"/>
        <v/>
      </c>
      <c r="K16" s="44" t="str">
        <f t="shared" si="4"/>
        <v/>
      </c>
      <c r="L16" s="9" t="str">
        <f t="shared" si="5"/>
        <v/>
      </c>
      <c r="M16" s="10" t="str">
        <f t="shared" si="6"/>
        <v/>
      </c>
      <c r="N16" s="11"/>
      <c r="O16" s="2"/>
      <c r="P16" s="12"/>
      <c r="Q16" s="9">
        <v>13750</v>
      </c>
      <c r="R16" s="44">
        <f t="shared" si="7"/>
        <v>209</v>
      </c>
      <c r="S16" s="9">
        <v>283</v>
      </c>
      <c r="T16" s="9">
        <f t="shared" si="8"/>
        <v>4</v>
      </c>
      <c r="U16" s="9">
        <v>6</v>
      </c>
      <c r="V16" s="9">
        <f t="shared" si="9"/>
        <v>3</v>
      </c>
      <c r="W16" s="13">
        <v>3</v>
      </c>
      <c r="X16" s="47" t="str">
        <f t="shared" si="10"/>
        <v>カラビナファン</v>
      </c>
      <c r="Y16" s="45">
        <f t="shared" si="11"/>
        <v>1100</v>
      </c>
      <c r="Z16" s="9">
        <f t="shared" si="12"/>
        <v>3300</v>
      </c>
      <c r="AA16" s="10">
        <f t="shared" si="13"/>
        <v>0.15789473684210525</v>
      </c>
      <c r="AB16" s="11"/>
      <c r="AC16" s="1"/>
      <c r="AD16" s="12"/>
      <c r="AE16" s="9">
        <v>14270</v>
      </c>
      <c r="AF16" s="44">
        <f t="shared" si="14"/>
        <v>90</v>
      </c>
      <c r="AG16" s="9">
        <v>252</v>
      </c>
      <c r="AH16" s="9">
        <f t="shared" si="15"/>
        <v>1</v>
      </c>
      <c r="AI16" s="9">
        <v>10</v>
      </c>
      <c r="AJ16" s="9">
        <f t="shared" si="16"/>
        <v>1</v>
      </c>
      <c r="AK16" s="13">
        <v>1</v>
      </c>
      <c r="AL16" s="47" t="str">
        <f t="shared" si="17"/>
        <v>たまごっちキーリング</v>
      </c>
      <c r="AM16" s="45">
        <f t="shared" si="18"/>
        <v>750</v>
      </c>
      <c r="AN16" s="9">
        <f t="shared" si="19"/>
        <v>750</v>
      </c>
      <c r="AO16" s="10">
        <f t="shared" si="20"/>
        <v>8.3333333333333329E-2</v>
      </c>
      <c r="AP16" s="11"/>
      <c r="AR16" s="12"/>
      <c r="AS16" s="9">
        <v>1775</v>
      </c>
      <c r="AT16" s="44">
        <f t="shared" si="21"/>
        <v>31</v>
      </c>
      <c r="AU16" s="9">
        <v>1055</v>
      </c>
      <c r="AV16" s="9">
        <f t="shared" si="22"/>
        <v>1</v>
      </c>
      <c r="AW16" s="9">
        <v>14</v>
      </c>
      <c r="AX16" s="9">
        <f t="shared" si="23"/>
        <v>2</v>
      </c>
      <c r="AY16" s="13">
        <v>2</v>
      </c>
      <c r="AZ16" s="47" t="str">
        <f t="shared" si="39"/>
        <v>サンリオボアバンスクリップ</v>
      </c>
      <c r="BA16" s="45">
        <f t="shared" si="40"/>
        <v>1100</v>
      </c>
      <c r="BB16" s="9">
        <f t="shared" si="24"/>
        <v>2200</v>
      </c>
      <c r="BC16" s="10">
        <f t="shared" si="25"/>
        <v>0.70967741935483875</v>
      </c>
      <c r="BD16" s="11" t="s">
        <v>405</v>
      </c>
      <c r="BF16" s="12"/>
      <c r="BG16" s="9">
        <v>1346</v>
      </c>
      <c r="BH16" s="44">
        <f t="shared" si="26"/>
        <v>19</v>
      </c>
      <c r="BI16" s="9">
        <v>1061</v>
      </c>
      <c r="BJ16" s="9">
        <f t="shared" si="27"/>
        <v>0</v>
      </c>
      <c r="BK16" s="9">
        <v>12</v>
      </c>
      <c r="BL16" s="9">
        <f t="shared" si="28"/>
        <v>0</v>
      </c>
      <c r="BM16" s="13">
        <v>0</v>
      </c>
      <c r="BN16" s="47" t="str">
        <f t="shared" si="29"/>
        <v>キルティングキティポーチ</v>
      </c>
      <c r="BO16" s="45">
        <f t="shared" si="30"/>
        <v>0</v>
      </c>
      <c r="BP16" s="9">
        <f t="shared" si="31"/>
        <v>0</v>
      </c>
      <c r="BQ16" s="10">
        <f t="shared" si="32"/>
        <v>0</v>
      </c>
      <c r="BR16" s="11"/>
      <c r="BT16" s="12"/>
      <c r="BU16" s="9">
        <v>1487</v>
      </c>
      <c r="BV16" s="44">
        <f t="shared" si="33"/>
        <v>53</v>
      </c>
      <c r="BW16" s="9">
        <v>1050</v>
      </c>
      <c r="BX16" s="9">
        <f t="shared" si="34"/>
        <v>1</v>
      </c>
      <c r="BY16" s="9">
        <v>9</v>
      </c>
      <c r="BZ16" s="9">
        <f t="shared" si="35"/>
        <v>1</v>
      </c>
      <c r="CA16" s="13">
        <v>0</v>
      </c>
      <c r="CB16" s="47" t="str">
        <f t="shared" si="41"/>
        <v>ネコメイドキティマスコット</v>
      </c>
      <c r="CC16" s="45">
        <f t="shared" si="41"/>
        <v>935</v>
      </c>
      <c r="CD16" s="9">
        <f t="shared" si="37"/>
        <v>935</v>
      </c>
      <c r="CE16" s="10">
        <f t="shared" si="38"/>
        <v>0.17641509433962263</v>
      </c>
      <c r="CF16" s="11"/>
    </row>
    <row r="17" spans="1:84">
      <c r="A17" s="12"/>
      <c r="B17" s="8"/>
      <c r="C17" s="13"/>
      <c r="D17" s="9"/>
      <c r="E17" s="9"/>
      <c r="F17" s="9"/>
      <c r="G17" s="9"/>
      <c r="H17" s="9"/>
      <c r="I17" s="9"/>
      <c r="J17" s="152" t="str">
        <f t="shared" si="3"/>
        <v/>
      </c>
      <c r="K17" s="44"/>
      <c r="L17" s="9"/>
      <c r="M17" s="10"/>
      <c r="N17" s="11"/>
      <c r="O17" s="2"/>
      <c r="P17" s="25"/>
      <c r="Q17" s="26">
        <v>15831</v>
      </c>
      <c r="R17" s="44">
        <f t="shared" si="7"/>
        <v>152</v>
      </c>
      <c r="S17" s="26">
        <v>504</v>
      </c>
      <c r="T17" s="9">
        <f t="shared" si="8"/>
        <v>1</v>
      </c>
      <c r="U17" s="26">
        <v>15</v>
      </c>
      <c r="V17" s="9">
        <f t="shared" si="9"/>
        <v>2</v>
      </c>
      <c r="W17" s="38">
        <v>2</v>
      </c>
      <c r="X17" s="47" t="str">
        <f t="shared" si="10"/>
        <v>たまごっちミニポーチ</v>
      </c>
      <c r="Y17" s="9">
        <f t="shared" si="11"/>
        <v>770</v>
      </c>
      <c r="Z17" s="9">
        <f t="shared" si="12"/>
        <v>1540</v>
      </c>
      <c r="AA17" s="10">
        <f t="shared" si="13"/>
        <v>0.10131578947368421</v>
      </c>
      <c r="AB17" s="11"/>
      <c r="AD17" s="25"/>
      <c r="AE17" s="26">
        <v>16097</v>
      </c>
      <c r="AF17" s="44">
        <f t="shared" si="14"/>
        <v>46</v>
      </c>
      <c r="AG17" s="26">
        <v>531</v>
      </c>
      <c r="AH17" s="9">
        <f t="shared" si="15"/>
        <v>2</v>
      </c>
      <c r="AI17" s="26">
        <v>12</v>
      </c>
      <c r="AJ17" s="9">
        <f t="shared" si="16"/>
        <v>2</v>
      </c>
      <c r="AK17" s="38">
        <v>2</v>
      </c>
      <c r="AL17" s="47" t="str">
        <f t="shared" si="17"/>
        <v>たまごっちブロックシール</v>
      </c>
      <c r="AM17" s="9">
        <f t="shared" si="18"/>
        <v>600</v>
      </c>
      <c r="AN17" s="9">
        <f t="shared" si="19"/>
        <v>1200</v>
      </c>
      <c r="AO17" s="10">
        <f t="shared" si="20"/>
        <v>0.2608695652173913</v>
      </c>
      <c r="AP17" s="129" t="s">
        <v>407</v>
      </c>
      <c r="AR17" s="25"/>
      <c r="AS17" s="26">
        <v>1509</v>
      </c>
      <c r="AT17" s="44">
        <f t="shared" si="21"/>
        <v>7</v>
      </c>
      <c r="AU17" s="26">
        <v>1044</v>
      </c>
      <c r="AV17" s="9">
        <f t="shared" si="22"/>
        <v>0</v>
      </c>
      <c r="AW17" s="26">
        <v>6</v>
      </c>
      <c r="AX17" s="9">
        <f t="shared" si="23"/>
        <v>0</v>
      </c>
      <c r="AY17" s="38">
        <v>0</v>
      </c>
      <c r="AZ17" s="47" t="str">
        <f t="shared" si="39"/>
        <v>ラバーマスコットクロック</v>
      </c>
      <c r="BA17" s="9">
        <f t="shared" si="40"/>
        <v>0</v>
      </c>
      <c r="BB17" s="9">
        <f t="shared" si="24"/>
        <v>0</v>
      </c>
      <c r="BC17" s="10">
        <f t="shared" si="25"/>
        <v>0</v>
      </c>
      <c r="BD17" s="129" t="s">
        <v>404</v>
      </c>
      <c r="BF17" s="25"/>
      <c r="BG17" s="26">
        <v>1588</v>
      </c>
      <c r="BH17" s="44">
        <f t="shared" si="26"/>
        <v>12</v>
      </c>
      <c r="BI17" s="26">
        <v>1045</v>
      </c>
      <c r="BJ17" s="9">
        <f t="shared" si="27"/>
        <v>0</v>
      </c>
      <c r="BK17" s="26">
        <v>9</v>
      </c>
      <c r="BL17" s="9">
        <f t="shared" si="28"/>
        <v>0</v>
      </c>
      <c r="BM17" s="38">
        <v>0</v>
      </c>
      <c r="BN17" s="47" t="str">
        <f t="shared" si="29"/>
        <v>サンリオヒョウ柄ポーチ</v>
      </c>
      <c r="BO17" s="9">
        <f t="shared" si="30"/>
        <v>935</v>
      </c>
      <c r="BP17" s="9">
        <f t="shared" si="31"/>
        <v>0</v>
      </c>
      <c r="BQ17" s="10">
        <f t="shared" si="32"/>
        <v>0</v>
      </c>
      <c r="BR17" s="11"/>
      <c r="BT17" s="25"/>
      <c r="BU17" s="26">
        <v>1504</v>
      </c>
      <c r="BV17" s="44">
        <f t="shared" si="33"/>
        <v>6</v>
      </c>
      <c r="BW17" s="26">
        <v>1088</v>
      </c>
      <c r="BX17" s="9">
        <f t="shared" si="34"/>
        <v>1</v>
      </c>
      <c r="BY17" s="26">
        <v>125</v>
      </c>
      <c r="BZ17" s="9">
        <f t="shared" si="35"/>
        <v>1</v>
      </c>
      <c r="CA17" s="38">
        <v>0</v>
      </c>
      <c r="CB17" s="47" t="str">
        <f t="shared" si="41"/>
        <v>サンリオシューズ</v>
      </c>
      <c r="CC17" s="9">
        <f t="shared" si="41"/>
        <v>400</v>
      </c>
      <c r="CD17" s="9">
        <f t="shared" si="37"/>
        <v>400</v>
      </c>
      <c r="CE17" s="10">
        <f t="shared" si="38"/>
        <v>0.66666666666666663</v>
      </c>
      <c r="CF17" s="11" t="s">
        <v>69</v>
      </c>
    </row>
    <row r="18" spans="1:84" ht="15" customHeight="1" thickBot="1">
      <c r="A18" s="12"/>
      <c r="B18" s="8"/>
      <c r="C18" s="13"/>
      <c r="D18" s="9" t="str">
        <f>IF(C18="","",C18-C19)</f>
        <v/>
      </c>
      <c r="E18" s="9"/>
      <c r="F18" s="9" t="str">
        <f>IF(E18="","",E18-E19)</f>
        <v/>
      </c>
      <c r="G18" s="9"/>
      <c r="H18" s="9" t="str">
        <f>IF(G18="","",G19+I19-G18)</f>
        <v/>
      </c>
      <c r="I18" s="9"/>
      <c r="J18" s="152" t="str">
        <f t="shared" si="3"/>
        <v/>
      </c>
      <c r="K18" s="44" t="str">
        <f>IF(C18="","",K19)</f>
        <v/>
      </c>
      <c r="L18" s="9" t="str">
        <f t="shared" ref="L18:L56" si="42">IF(K18="","",H18*K18)</f>
        <v/>
      </c>
      <c r="M18" s="10" t="str">
        <f t="shared" ref="M18:M56" si="43">IF(L18="","",L18/(D18*100))</f>
        <v/>
      </c>
      <c r="N18" s="11"/>
      <c r="O18" s="2"/>
      <c r="P18" s="18"/>
      <c r="Q18" s="19">
        <v>18621</v>
      </c>
      <c r="R18" s="50">
        <f t="shared" si="7"/>
        <v>54</v>
      </c>
      <c r="S18" s="19">
        <v>470</v>
      </c>
      <c r="T18" s="19">
        <f t="shared" si="8"/>
        <v>3</v>
      </c>
      <c r="U18" s="19">
        <v>19</v>
      </c>
      <c r="V18" s="19">
        <f t="shared" si="9"/>
        <v>3</v>
      </c>
      <c r="W18" s="37">
        <v>-7</v>
      </c>
      <c r="X18" s="48" t="str">
        <f t="shared" si="10"/>
        <v>フルーツスクイーズ</v>
      </c>
      <c r="Y18" s="51">
        <f t="shared" si="11"/>
        <v>290</v>
      </c>
      <c r="Z18" s="19">
        <f t="shared" si="12"/>
        <v>870</v>
      </c>
      <c r="AA18" s="20">
        <f t="shared" si="13"/>
        <v>0.16111111111111112</v>
      </c>
      <c r="AB18" s="11" t="s">
        <v>398</v>
      </c>
      <c r="AD18" s="18"/>
      <c r="AE18" s="19">
        <v>19852</v>
      </c>
      <c r="AF18" s="50">
        <f t="shared" si="14"/>
        <v>55</v>
      </c>
      <c r="AG18" s="19">
        <v>747</v>
      </c>
      <c r="AH18" s="19">
        <f t="shared" si="15"/>
        <v>4</v>
      </c>
      <c r="AI18" s="19">
        <v>35</v>
      </c>
      <c r="AJ18" s="19">
        <f t="shared" si="16"/>
        <v>6</v>
      </c>
      <c r="AK18" s="37">
        <v>4</v>
      </c>
      <c r="AL18" s="48" t="str">
        <f t="shared" si="17"/>
        <v>ボンドロシール</v>
      </c>
      <c r="AM18" s="51">
        <f t="shared" si="18"/>
        <v>150</v>
      </c>
      <c r="AN18" s="19">
        <f t="shared" si="19"/>
        <v>900</v>
      </c>
      <c r="AO18" s="20">
        <f t="shared" si="20"/>
        <v>0.16363636363636364</v>
      </c>
      <c r="AP18" s="129" t="s">
        <v>406</v>
      </c>
      <c r="AR18" s="18"/>
      <c r="AS18" s="19">
        <v>1420</v>
      </c>
      <c r="AT18" s="50">
        <f t="shared" si="21"/>
        <v>12</v>
      </c>
      <c r="AU18" s="19">
        <v>1048</v>
      </c>
      <c r="AV18" s="19">
        <f t="shared" si="22"/>
        <v>0</v>
      </c>
      <c r="AW18" s="19">
        <v>7</v>
      </c>
      <c r="AX18" s="19">
        <f t="shared" si="23"/>
        <v>0</v>
      </c>
      <c r="AY18" s="37">
        <v>1</v>
      </c>
      <c r="AZ18" s="48" t="str">
        <f t="shared" si="39"/>
        <v>サンリオファン</v>
      </c>
      <c r="BA18" s="51">
        <f t="shared" si="40"/>
        <v>1100</v>
      </c>
      <c r="BB18" s="19">
        <f t="shared" si="24"/>
        <v>0</v>
      </c>
      <c r="BC18" s="20">
        <f t="shared" si="25"/>
        <v>0</v>
      </c>
      <c r="BD18" s="11" t="s">
        <v>403</v>
      </c>
      <c r="BF18" s="18"/>
      <c r="BG18" s="19">
        <v>1923</v>
      </c>
      <c r="BH18" s="50">
        <f t="shared" si="26"/>
        <v>29</v>
      </c>
      <c r="BI18" s="19">
        <v>1153</v>
      </c>
      <c r="BJ18" s="19">
        <f t="shared" si="27"/>
        <v>4</v>
      </c>
      <c r="BK18" s="19">
        <v>154</v>
      </c>
      <c r="BL18" s="19">
        <f t="shared" si="28"/>
        <v>4</v>
      </c>
      <c r="BM18" s="37">
        <v>0</v>
      </c>
      <c r="BN18" s="48" t="str">
        <f t="shared" si="29"/>
        <v>キティボールペン</v>
      </c>
      <c r="BO18" s="51">
        <f t="shared" si="30"/>
        <v>283</v>
      </c>
      <c r="BP18" s="19">
        <f t="shared" si="31"/>
        <v>1132</v>
      </c>
      <c r="BQ18" s="20">
        <f t="shared" si="32"/>
        <v>0.39034482758620692</v>
      </c>
      <c r="BR18" s="11"/>
      <c r="BT18" s="18"/>
      <c r="BU18" s="19">
        <v>1539</v>
      </c>
      <c r="BV18" s="50">
        <f t="shared" si="33"/>
        <v>16</v>
      </c>
      <c r="BW18" s="19">
        <v>1047</v>
      </c>
      <c r="BX18" s="19">
        <f t="shared" si="34"/>
        <v>6</v>
      </c>
      <c r="BY18" s="19">
        <v>258</v>
      </c>
      <c r="BZ18" s="19">
        <f t="shared" si="35"/>
        <v>6</v>
      </c>
      <c r="CA18" s="37">
        <v>0</v>
      </c>
      <c r="CB18" s="48" t="s">
        <v>408</v>
      </c>
      <c r="CC18" s="51">
        <f t="shared" ref="CC18:CC43" si="44">IF(BV18="","",CC14)</f>
        <v>418</v>
      </c>
      <c r="CD18" s="19">
        <f t="shared" si="37"/>
        <v>2508</v>
      </c>
      <c r="CE18" s="20">
        <f t="shared" si="38"/>
        <v>1.5674999999999999</v>
      </c>
      <c r="CF18" s="11"/>
    </row>
    <row r="19" spans="1:84" ht="15" customHeight="1" thickTop="1">
      <c r="A19" s="12"/>
      <c r="B19" s="8"/>
      <c r="C19" s="13"/>
      <c r="D19" s="9" t="str">
        <f>IF(C19="","",C19-C16)</f>
        <v/>
      </c>
      <c r="E19" s="9"/>
      <c r="F19" s="9" t="str">
        <f>IF(E19="","",E19-E16)</f>
        <v/>
      </c>
      <c r="G19" s="9"/>
      <c r="H19" s="9" t="str">
        <f>IF(G19="","",G16+I16-G19)</f>
        <v/>
      </c>
      <c r="I19" s="9"/>
      <c r="J19" s="152" t="str">
        <f t="shared" si="3"/>
        <v/>
      </c>
      <c r="K19" s="44" t="str">
        <f>IF(C19="","",K16)</f>
        <v/>
      </c>
      <c r="L19" s="9" t="str">
        <f t="shared" si="42"/>
        <v/>
      </c>
      <c r="M19" s="10" t="str">
        <f t="shared" si="43"/>
        <v/>
      </c>
      <c r="N19" s="11"/>
      <c r="O19" s="2"/>
      <c r="P19" s="65">
        <f>IF($A7="","",$A7)</f>
        <v>46167</v>
      </c>
      <c r="Q19" s="44">
        <v>14370</v>
      </c>
      <c r="R19" s="44">
        <f t="shared" si="7"/>
        <v>143</v>
      </c>
      <c r="S19" s="44">
        <v>408</v>
      </c>
      <c r="T19" s="23">
        <f t="shared" si="8"/>
        <v>4</v>
      </c>
      <c r="U19" s="44">
        <v>14</v>
      </c>
      <c r="V19" s="44">
        <f t="shared" si="9"/>
        <v>5</v>
      </c>
      <c r="W19" s="66">
        <v>5</v>
      </c>
      <c r="X19" s="61" t="str">
        <f t="shared" si="10"/>
        <v>ベアブリック</v>
      </c>
      <c r="Y19" s="62">
        <f t="shared" si="11"/>
        <v>770</v>
      </c>
      <c r="Z19" s="23">
        <f t="shared" si="12"/>
        <v>3850</v>
      </c>
      <c r="AA19" s="24">
        <f t="shared" si="13"/>
        <v>0.26923076923076922</v>
      </c>
      <c r="AB19" s="11"/>
      <c r="AD19" s="65">
        <f>IF($A7="","",$A7)</f>
        <v>46167</v>
      </c>
      <c r="AE19" s="44">
        <v>11549</v>
      </c>
      <c r="AF19" s="44">
        <f t="shared" si="14"/>
        <v>37</v>
      </c>
      <c r="AG19" s="44">
        <v>294</v>
      </c>
      <c r="AH19" s="23">
        <f t="shared" si="15"/>
        <v>1</v>
      </c>
      <c r="AI19" s="44">
        <v>17</v>
      </c>
      <c r="AJ19" s="44">
        <f t="shared" si="16"/>
        <v>1</v>
      </c>
      <c r="AK19" s="66">
        <v>0</v>
      </c>
      <c r="AL19" s="61" t="str">
        <f t="shared" si="17"/>
        <v>ゲーム機柄イヤホン</v>
      </c>
      <c r="AM19" s="62">
        <f t="shared" si="18"/>
        <v>770</v>
      </c>
      <c r="AN19" s="23">
        <f t="shared" si="19"/>
        <v>770</v>
      </c>
      <c r="AO19" s="24">
        <f t="shared" si="20"/>
        <v>0.20810810810810812</v>
      </c>
      <c r="AP19" s="11" t="s">
        <v>410</v>
      </c>
      <c r="AR19" s="65">
        <f>IF($A7="","",$A7)</f>
        <v>46167</v>
      </c>
      <c r="AS19" s="44">
        <v>1441</v>
      </c>
      <c r="AT19" s="44">
        <f t="shared" si="21"/>
        <v>8</v>
      </c>
      <c r="AU19" s="44">
        <v>1059</v>
      </c>
      <c r="AV19" s="23">
        <f t="shared" si="22"/>
        <v>1</v>
      </c>
      <c r="AW19" s="44">
        <v>9</v>
      </c>
      <c r="AX19" s="44">
        <f t="shared" si="23"/>
        <v>1</v>
      </c>
      <c r="AY19" s="66">
        <v>9</v>
      </c>
      <c r="AZ19" s="61" t="str">
        <f t="shared" si="39"/>
        <v>たまごスクイーズ</v>
      </c>
      <c r="BA19" s="62">
        <f t="shared" si="40"/>
        <v>0</v>
      </c>
      <c r="BB19" s="23">
        <f t="shared" si="24"/>
        <v>0</v>
      </c>
      <c r="BC19" s="24">
        <f t="shared" si="25"/>
        <v>0</v>
      </c>
      <c r="BD19" s="11" t="s">
        <v>417</v>
      </c>
      <c r="BF19" s="65">
        <f>IF($A7="","",$A7)</f>
        <v>46167</v>
      </c>
      <c r="BG19" s="44">
        <v>1604</v>
      </c>
      <c r="BH19" s="44">
        <f t="shared" si="26"/>
        <v>29</v>
      </c>
      <c r="BI19" s="44">
        <v>1046</v>
      </c>
      <c r="BJ19" s="23">
        <f t="shared" si="27"/>
        <v>0</v>
      </c>
      <c r="BK19" s="44">
        <v>12</v>
      </c>
      <c r="BL19" s="44">
        <f t="shared" si="28"/>
        <v>0</v>
      </c>
      <c r="BM19" s="66">
        <v>-4</v>
      </c>
      <c r="BN19" s="61" t="str">
        <f t="shared" si="29"/>
        <v>キティしっぽ付きフェイス</v>
      </c>
      <c r="BO19" s="62">
        <f t="shared" si="30"/>
        <v>825</v>
      </c>
      <c r="BP19" s="23">
        <f t="shared" si="31"/>
        <v>0</v>
      </c>
      <c r="BQ19" s="24">
        <f t="shared" si="32"/>
        <v>0</v>
      </c>
      <c r="BR19" s="11" t="s">
        <v>415</v>
      </c>
      <c r="BT19" s="65">
        <f>IF($A7="","",$A7)</f>
        <v>46167</v>
      </c>
      <c r="BU19" s="44">
        <v>1427</v>
      </c>
      <c r="BV19" s="44">
        <f t="shared" si="33"/>
        <v>18</v>
      </c>
      <c r="BW19" s="44">
        <v>1061</v>
      </c>
      <c r="BX19" s="23">
        <f t="shared" si="34"/>
        <v>2</v>
      </c>
      <c r="BY19" s="44">
        <v>13</v>
      </c>
      <c r="BZ19" s="44">
        <f t="shared" si="35"/>
        <v>2</v>
      </c>
      <c r="CA19" s="66">
        <v>2</v>
      </c>
      <c r="CB19" s="61" t="str">
        <f t="shared" ref="CB19:CB58" si="45">IF(BU19="","",CB15)</f>
        <v>サンリオリュックポーチ</v>
      </c>
      <c r="CC19" s="62">
        <f t="shared" si="44"/>
        <v>935</v>
      </c>
      <c r="CD19" s="23">
        <f t="shared" si="37"/>
        <v>1870</v>
      </c>
      <c r="CE19" s="24">
        <f t="shared" si="38"/>
        <v>1.038888888888889</v>
      </c>
      <c r="CF19" s="11" t="s">
        <v>413</v>
      </c>
    </row>
    <row r="20" spans="1:84">
      <c r="A20" s="12"/>
      <c r="B20" s="8"/>
      <c r="C20" s="13"/>
      <c r="D20" s="9" t="str">
        <f>IF(C20="","",C20-C18)</f>
        <v/>
      </c>
      <c r="E20" s="9"/>
      <c r="F20" s="9" t="str">
        <f>IF(E20="","",E20-E18)</f>
        <v/>
      </c>
      <c r="G20" s="9"/>
      <c r="H20" s="9" t="str">
        <f>IF(G20="","",G18+I18-G20)</f>
        <v/>
      </c>
      <c r="I20" s="9"/>
      <c r="J20" s="152" t="str">
        <f t="shared" si="3"/>
        <v/>
      </c>
      <c r="K20" s="44" t="str">
        <f>IF(C20="","",K18)</f>
        <v/>
      </c>
      <c r="L20" s="9" t="str">
        <f t="shared" si="42"/>
        <v/>
      </c>
      <c r="M20" s="10" t="str">
        <f t="shared" si="43"/>
        <v/>
      </c>
      <c r="N20" s="11"/>
      <c r="O20" s="2"/>
      <c r="P20" s="65"/>
      <c r="Q20" s="9">
        <v>13833</v>
      </c>
      <c r="R20" s="9">
        <f t="shared" si="7"/>
        <v>83</v>
      </c>
      <c r="S20" s="9">
        <v>284</v>
      </c>
      <c r="T20" s="9">
        <f t="shared" si="8"/>
        <v>1</v>
      </c>
      <c r="U20" s="9">
        <v>8</v>
      </c>
      <c r="V20" s="9">
        <f t="shared" si="9"/>
        <v>1</v>
      </c>
      <c r="W20" s="13"/>
      <c r="X20" s="47" t="str">
        <f t="shared" si="10"/>
        <v>カラビナファン</v>
      </c>
      <c r="Y20" s="45">
        <f t="shared" si="11"/>
        <v>1100</v>
      </c>
      <c r="Z20" s="9">
        <f t="shared" si="12"/>
        <v>1100</v>
      </c>
      <c r="AA20" s="10">
        <f t="shared" si="13"/>
        <v>0.13253012048192772</v>
      </c>
      <c r="AB20" s="11"/>
      <c r="AD20" s="65"/>
      <c r="AE20" s="9">
        <v>14661</v>
      </c>
      <c r="AF20" s="9">
        <f t="shared" si="14"/>
        <v>391</v>
      </c>
      <c r="AG20" s="9">
        <v>255</v>
      </c>
      <c r="AH20" s="9">
        <f t="shared" si="15"/>
        <v>3</v>
      </c>
      <c r="AI20" s="9">
        <v>8</v>
      </c>
      <c r="AJ20" s="9">
        <f t="shared" si="16"/>
        <v>3</v>
      </c>
      <c r="AK20" s="13">
        <v>4</v>
      </c>
      <c r="AL20" s="47" t="str">
        <f t="shared" si="17"/>
        <v>たまごっちキーリング</v>
      </c>
      <c r="AM20" s="45">
        <f t="shared" si="18"/>
        <v>750</v>
      </c>
      <c r="AN20" s="9">
        <f t="shared" si="19"/>
        <v>2250</v>
      </c>
      <c r="AO20" s="10">
        <f t="shared" si="20"/>
        <v>5.754475703324808E-2</v>
      </c>
      <c r="AP20" s="11"/>
      <c r="AR20" s="65"/>
      <c r="AS20" s="9">
        <v>1821</v>
      </c>
      <c r="AT20" s="9">
        <f t="shared" si="21"/>
        <v>46</v>
      </c>
      <c r="AU20" s="9">
        <v>1056</v>
      </c>
      <c r="AV20" s="9">
        <f t="shared" si="22"/>
        <v>1</v>
      </c>
      <c r="AW20" s="9">
        <v>15</v>
      </c>
      <c r="AX20" s="9">
        <f t="shared" si="23"/>
        <v>1</v>
      </c>
      <c r="AY20" s="13">
        <v>8</v>
      </c>
      <c r="AZ20" s="47" t="str">
        <f t="shared" si="39"/>
        <v>サンリオボアバンスクリップ</v>
      </c>
      <c r="BA20" s="45">
        <f t="shared" si="40"/>
        <v>1100</v>
      </c>
      <c r="BB20" s="9">
        <f t="shared" si="24"/>
        <v>1100</v>
      </c>
      <c r="BC20" s="10">
        <f t="shared" si="25"/>
        <v>0.2391304347826087</v>
      </c>
      <c r="BD20" s="11" t="s">
        <v>419</v>
      </c>
      <c r="BF20" s="65"/>
      <c r="BG20" s="9">
        <v>1365</v>
      </c>
      <c r="BH20" s="9">
        <f t="shared" si="26"/>
        <v>19</v>
      </c>
      <c r="BI20" s="9">
        <v>1062</v>
      </c>
      <c r="BJ20" s="9">
        <f t="shared" si="27"/>
        <v>1</v>
      </c>
      <c r="BK20" s="9">
        <v>11</v>
      </c>
      <c r="BL20" s="9">
        <f t="shared" si="28"/>
        <v>1</v>
      </c>
      <c r="BM20" s="13">
        <v>0</v>
      </c>
      <c r="BN20" s="47" t="str">
        <f t="shared" si="29"/>
        <v>キルティングキティポーチ</v>
      </c>
      <c r="BO20" s="45">
        <f t="shared" si="30"/>
        <v>0</v>
      </c>
      <c r="BP20" s="9">
        <f t="shared" si="31"/>
        <v>0</v>
      </c>
      <c r="BQ20" s="10">
        <f t="shared" si="32"/>
        <v>0</v>
      </c>
      <c r="BR20" s="11"/>
      <c r="BT20" s="65"/>
      <c r="BU20" s="9">
        <v>1554</v>
      </c>
      <c r="BV20" s="9">
        <f t="shared" si="33"/>
        <v>67</v>
      </c>
      <c r="BW20" s="9">
        <v>1052</v>
      </c>
      <c r="BX20" s="9">
        <f t="shared" si="34"/>
        <v>2</v>
      </c>
      <c r="BY20" s="9">
        <v>7</v>
      </c>
      <c r="BZ20" s="9">
        <f t="shared" si="35"/>
        <v>2</v>
      </c>
      <c r="CA20" s="13">
        <v>2</v>
      </c>
      <c r="CB20" s="47" t="str">
        <f t="shared" si="45"/>
        <v>ネコメイドキティマスコット</v>
      </c>
      <c r="CC20" s="45">
        <f t="shared" si="44"/>
        <v>935</v>
      </c>
      <c r="CD20" s="9">
        <f t="shared" si="37"/>
        <v>1870</v>
      </c>
      <c r="CE20" s="10">
        <f t="shared" si="38"/>
        <v>0.27910447761194029</v>
      </c>
      <c r="CF20" s="11"/>
    </row>
    <row r="21" spans="1:84" ht="15" customHeight="1">
      <c r="A21" s="12"/>
      <c r="B21" s="8"/>
      <c r="C21" s="13"/>
      <c r="D21" s="9" t="str">
        <f t="shared" ref="D21:D26" si="46">IF(C21="","",C21-C20)</f>
        <v/>
      </c>
      <c r="E21" s="9"/>
      <c r="F21" s="9" t="str">
        <f t="shared" ref="F21:F26" si="47">IF(E21="","",E21-E20)</f>
        <v/>
      </c>
      <c r="G21" s="9"/>
      <c r="H21" s="9" t="str">
        <f t="shared" ref="H21:H26" si="48">IF(G21="","",G20+I20-G21)</f>
        <v/>
      </c>
      <c r="I21" s="9"/>
      <c r="J21" s="152" t="str">
        <f t="shared" si="3"/>
        <v/>
      </c>
      <c r="K21" s="44" t="str">
        <f t="shared" ref="K21:K26" si="49">IF(C21="","",K20)</f>
        <v/>
      </c>
      <c r="L21" s="9" t="str">
        <f t="shared" si="42"/>
        <v/>
      </c>
      <c r="M21" s="10" t="str">
        <f t="shared" si="43"/>
        <v/>
      </c>
      <c r="N21" s="11"/>
      <c r="O21" s="2"/>
      <c r="P21" s="65"/>
      <c r="Q21" s="26">
        <v>15950</v>
      </c>
      <c r="R21" s="9">
        <f t="shared" si="7"/>
        <v>119</v>
      </c>
      <c r="S21" s="26">
        <v>506</v>
      </c>
      <c r="T21" s="9">
        <f t="shared" si="8"/>
        <v>2</v>
      </c>
      <c r="U21" s="26">
        <v>15</v>
      </c>
      <c r="V21" s="9">
        <f t="shared" si="9"/>
        <v>2</v>
      </c>
      <c r="W21" s="38">
        <v>2</v>
      </c>
      <c r="X21" s="47" t="str">
        <f t="shared" si="10"/>
        <v>たまごっちミニポーチ</v>
      </c>
      <c r="Y21" s="9">
        <f t="shared" si="11"/>
        <v>770</v>
      </c>
      <c r="Z21" s="9">
        <f t="shared" si="12"/>
        <v>1540</v>
      </c>
      <c r="AA21" s="10">
        <f t="shared" si="13"/>
        <v>0.12941176470588237</v>
      </c>
      <c r="AB21" s="11"/>
      <c r="AD21" s="65"/>
      <c r="AE21" s="26">
        <v>16165</v>
      </c>
      <c r="AF21" s="9">
        <f t="shared" si="14"/>
        <v>68</v>
      </c>
      <c r="AG21" s="26">
        <v>532</v>
      </c>
      <c r="AH21" s="9">
        <f t="shared" si="15"/>
        <v>1</v>
      </c>
      <c r="AI21" s="26">
        <v>13</v>
      </c>
      <c r="AJ21" s="9">
        <f t="shared" si="16"/>
        <v>1</v>
      </c>
      <c r="AK21" s="38">
        <v>-6</v>
      </c>
      <c r="AL21" s="47" t="str">
        <f t="shared" si="17"/>
        <v>たまごっちブロックシール</v>
      </c>
      <c r="AM21" s="9">
        <f t="shared" si="18"/>
        <v>600</v>
      </c>
      <c r="AN21" s="9">
        <f t="shared" si="19"/>
        <v>600</v>
      </c>
      <c r="AO21" s="10">
        <f t="shared" si="20"/>
        <v>8.8235294117647065E-2</v>
      </c>
      <c r="AP21" s="11" t="s">
        <v>411</v>
      </c>
      <c r="AR21" s="65"/>
      <c r="AS21" s="26">
        <v>1551</v>
      </c>
      <c r="AT21" s="9">
        <f t="shared" si="21"/>
        <v>42</v>
      </c>
      <c r="AU21" s="26">
        <v>1045</v>
      </c>
      <c r="AV21" s="9">
        <f t="shared" si="22"/>
        <v>1</v>
      </c>
      <c r="AW21" s="26">
        <v>5</v>
      </c>
      <c r="AX21" s="9">
        <f t="shared" si="23"/>
        <v>1</v>
      </c>
      <c r="AY21" s="38">
        <v>12</v>
      </c>
      <c r="AZ21" s="47" t="str">
        <f t="shared" si="39"/>
        <v>ラバーマスコットクロック</v>
      </c>
      <c r="BA21" s="9">
        <f t="shared" si="40"/>
        <v>0</v>
      </c>
      <c r="BB21" s="9">
        <f t="shared" si="24"/>
        <v>0</v>
      </c>
      <c r="BC21" s="10">
        <f t="shared" si="25"/>
        <v>0</v>
      </c>
      <c r="BD21" s="11" t="s">
        <v>416</v>
      </c>
      <c r="BF21" s="65"/>
      <c r="BG21" s="26">
        <v>1611</v>
      </c>
      <c r="BH21" s="9">
        <f t="shared" si="26"/>
        <v>23</v>
      </c>
      <c r="BI21" s="26">
        <v>1046</v>
      </c>
      <c r="BJ21" s="9">
        <f t="shared" si="27"/>
        <v>1</v>
      </c>
      <c r="BK21" s="26">
        <v>8</v>
      </c>
      <c r="BL21" s="9">
        <f t="shared" si="28"/>
        <v>1</v>
      </c>
      <c r="BM21" s="38">
        <v>0</v>
      </c>
      <c r="BN21" s="47" t="str">
        <f t="shared" si="29"/>
        <v>サンリオヒョウ柄ポーチ</v>
      </c>
      <c r="BO21" s="9">
        <f t="shared" si="30"/>
        <v>935</v>
      </c>
      <c r="BP21" s="9">
        <f t="shared" si="31"/>
        <v>935</v>
      </c>
      <c r="BQ21" s="10">
        <f t="shared" si="32"/>
        <v>0.40652173913043477</v>
      </c>
      <c r="BR21" s="11"/>
      <c r="BT21" s="65"/>
      <c r="BU21" s="26">
        <v>1534</v>
      </c>
      <c r="BV21" s="9">
        <f t="shared" si="33"/>
        <v>30</v>
      </c>
      <c r="BW21" s="26">
        <v>1094</v>
      </c>
      <c r="BX21" s="9">
        <f t="shared" si="34"/>
        <v>6</v>
      </c>
      <c r="BY21" s="26">
        <v>119</v>
      </c>
      <c r="BZ21" s="9">
        <f t="shared" si="35"/>
        <v>6</v>
      </c>
      <c r="CA21" s="38">
        <v>-111</v>
      </c>
      <c r="CB21" s="47" t="str">
        <f t="shared" si="45"/>
        <v>サンリオシューズ</v>
      </c>
      <c r="CC21" s="9">
        <f t="shared" si="44"/>
        <v>400</v>
      </c>
      <c r="CD21" s="9">
        <f t="shared" si="37"/>
        <v>2400</v>
      </c>
      <c r="CE21" s="10">
        <f t="shared" si="38"/>
        <v>0.8</v>
      </c>
      <c r="CF21" s="11" t="s">
        <v>414</v>
      </c>
    </row>
    <row r="22" spans="1:84" ht="15" customHeight="1" thickBot="1">
      <c r="A22" s="12"/>
      <c r="B22" s="8"/>
      <c r="C22" s="13"/>
      <c r="D22" s="9" t="str">
        <f t="shared" si="46"/>
        <v/>
      </c>
      <c r="E22" s="9"/>
      <c r="F22" s="9" t="str">
        <f t="shared" si="47"/>
        <v/>
      </c>
      <c r="G22" s="9"/>
      <c r="H22" s="9" t="str">
        <f t="shared" si="48"/>
        <v/>
      </c>
      <c r="I22" s="9"/>
      <c r="J22" s="152" t="str">
        <f t="shared" si="3"/>
        <v/>
      </c>
      <c r="K22" s="44" t="str">
        <f t="shared" si="49"/>
        <v/>
      </c>
      <c r="L22" s="9" t="str">
        <f t="shared" si="42"/>
        <v/>
      </c>
      <c r="M22" s="10" t="str">
        <f t="shared" si="43"/>
        <v/>
      </c>
      <c r="N22" s="11"/>
      <c r="O22" s="2"/>
      <c r="P22" s="18"/>
      <c r="Q22" s="19">
        <v>18798</v>
      </c>
      <c r="R22" s="19">
        <f t="shared" si="7"/>
        <v>177</v>
      </c>
      <c r="S22" s="19">
        <v>472</v>
      </c>
      <c r="T22" s="19">
        <f t="shared" si="8"/>
        <v>2</v>
      </c>
      <c r="U22" s="19">
        <v>10</v>
      </c>
      <c r="V22" s="19">
        <f t="shared" si="9"/>
        <v>2</v>
      </c>
      <c r="W22" s="37">
        <v>2</v>
      </c>
      <c r="X22" s="48" t="s">
        <v>409</v>
      </c>
      <c r="Y22" s="51">
        <v>660</v>
      </c>
      <c r="Z22" s="19">
        <f t="shared" si="12"/>
        <v>1320</v>
      </c>
      <c r="AA22" s="20">
        <f t="shared" si="13"/>
        <v>7.4576271186440682E-2</v>
      </c>
      <c r="AB22" s="11"/>
      <c r="AD22" s="18"/>
      <c r="AE22" s="19">
        <v>19895</v>
      </c>
      <c r="AF22" s="19">
        <f t="shared" si="14"/>
        <v>43</v>
      </c>
      <c r="AG22" s="19">
        <v>752</v>
      </c>
      <c r="AH22" s="19">
        <f t="shared" si="15"/>
        <v>5</v>
      </c>
      <c r="AI22" s="19">
        <v>35</v>
      </c>
      <c r="AJ22" s="19">
        <f t="shared" si="16"/>
        <v>4</v>
      </c>
      <c r="AK22" s="37">
        <v>-21</v>
      </c>
      <c r="AL22" s="48" t="str">
        <f t="shared" si="17"/>
        <v>ボンドロシール</v>
      </c>
      <c r="AM22" s="51">
        <f t="shared" si="18"/>
        <v>150</v>
      </c>
      <c r="AN22" s="19">
        <f t="shared" si="19"/>
        <v>600</v>
      </c>
      <c r="AO22" s="20">
        <f t="shared" si="20"/>
        <v>0.13953488372093023</v>
      </c>
      <c r="AP22" s="11" t="s">
        <v>412</v>
      </c>
      <c r="AR22" s="18"/>
      <c r="AS22" s="19">
        <v>1440</v>
      </c>
      <c r="AT22" s="19">
        <f t="shared" si="21"/>
        <v>20</v>
      </c>
      <c r="AU22" s="19">
        <v>1048</v>
      </c>
      <c r="AV22" s="19">
        <f t="shared" si="22"/>
        <v>0</v>
      </c>
      <c r="AW22" s="19">
        <v>8</v>
      </c>
      <c r="AX22" s="19">
        <f t="shared" si="23"/>
        <v>0</v>
      </c>
      <c r="AY22" s="37">
        <v>6</v>
      </c>
      <c r="AZ22" s="48" t="str">
        <f t="shared" si="39"/>
        <v>サンリオファン</v>
      </c>
      <c r="BA22" s="51">
        <f t="shared" si="40"/>
        <v>1100</v>
      </c>
      <c r="BB22" s="19">
        <f t="shared" si="24"/>
        <v>0</v>
      </c>
      <c r="BC22" s="20">
        <f t="shared" si="25"/>
        <v>0</v>
      </c>
      <c r="BD22" s="11" t="s">
        <v>418</v>
      </c>
      <c r="BF22" s="18"/>
      <c r="BG22" s="19">
        <v>1971</v>
      </c>
      <c r="BH22" s="19">
        <f t="shared" si="26"/>
        <v>48</v>
      </c>
      <c r="BI22" s="19">
        <v>1158</v>
      </c>
      <c r="BJ22" s="19">
        <f t="shared" si="27"/>
        <v>5</v>
      </c>
      <c r="BK22" s="19">
        <v>149</v>
      </c>
      <c r="BL22" s="19">
        <f t="shared" si="28"/>
        <v>5</v>
      </c>
      <c r="BM22" s="37">
        <v>-10</v>
      </c>
      <c r="BN22" s="48" t="str">
        <f t="shared" si="29"/>
        <v>キティボールペン</v>
      </c>
      <c r="BO22" s="51">
        <f t="shared" si="30"/>
        <v>283</v>
      </c>
      <c r="BP22" s="19">
        <f t="shared" si="31"/>
        <v>1415</v>
      </c>
      <c r="BQ22" s="20">
        <f t="shared" si="32"/>
        <v>0.29479166666666667</v>
      </c>
      <c r="BR22" s="11"/>
      <c r="BT22" s="18"/>
      <c r="BU22" s="19">
        <v>1556</v>
      </c>
      <c r="BV22" s="19">
        <f t="shared" si="33"/>
        <v>17</v>
      </c>
      <c r="BW22" s="19">
        <v>1047</v>
      </c>
      <c r="BX22" s="19">
        <f t="shared" si="34"/>
        <v>0</v>
      </c>
      <c r="BY22" s="19">
        <v>258</v>
      </c>
      <c r="BZ22" s="19">
        <f t="shared" si="35"/>
        <v>0</v>
      </c>
      <c r="CA22" s="37">
        <v>0</v>
      </c>
      <c r="CB22" s="48" t="str">
        <f t="shared" si="45"/>
        <v>スイーツチャームブレスレット</v>
      </c>
      <c r="CC22" s="51">
        <f t="shared" si="44"/>
        <v>418</v>
      </c>
      <c r="CD22" s="19">
        <f t="shared" si="37"/>
        <v>0</v>
      </c>
      <c r="CE22" s="20">
        <f t="shared" si="38"/>
        <v>0</v>
      </c>
      <c r="CF22" s="11"/>
    </row>
    <row r="23" spans="1:84" ht="15" customHeight="1" thickTop="1">
      <c r="A23" s="12"/>
      <c r="B23" s="8"/>
      <c r="C23" s="13"/>
      <c r="D23" s="9" t="str">
        <f t="shared" si="46"/>
        <v/>
      </c>
      <c r="E23" s="9"/>
      <c r="F23" s="9" t="str">
        <f t="shared" si="47"/>
        <v/>
      </c>
      <c r="G23" s="9"/>
      <c r="H23" s="9" t="str">
        <f t="shared" si="48"/>
        <v/>
      </c>
      <c r="I23" s="9"/>
      <c r="J23" s="152" t="str">
        <f t="shared" si="3"/>
        <v/>
      </c>
      <c r="K23" s="44" t="str">
        <f t="shared" si="49"/>
        <v/>
      </c>
      <c r="L23" s="9" t="str">
        <f t="shared" si="42"/>
        <v/>
      </c>
      <c r="M23" s="10" t="str">
        <f t="shared" si="43"/>
        <v/>
      </c>
      <c r="N23" s="11"/>
      <c r="O23" s="2"/>
      <c r="P23" s="65" t="str">
        <f>IF($A8="","",$A8)</f>
        <v/>
      </c>
      <c r="Q23" s="44"/>
      <c r="R23" s="44" t="str">
        <f t="shared" si="7"/>
        <v/>
      </c>
      <c r="S23" s="44"/>
      <c r="T23" s="23" t="str">
        <f t="shared" si="8"/>
        <v/>
      </c>
      <c r="U23" s="44"/>
      <c r="V23" s="44" t="str">
        <f t="shared" si="9"/>
        <v/>
      </c>
      <c r="W23" s="66"/>
      <c r="X23" s="61" t="str">
        <f t="shared" ref="X23:X43" si="50">IF(Q23="","",X19)</f>
        <v/>
      </c>
      <c r="Y23" s="62" t="str">
        <f t="shared" ref="Y23:Y43" si="51">IF(R23="","",Y19)</f>
        <v/>
      </c>
      <c r="Z23" s="23" t="str">
        <f t="shared" si="12"/>
        <v/>
      </c>
      <c r="AA23" s="24" t="str">
        <f t="shared" si="13"/>
        <v/>
      </c>
      <c r="AB23" s="11"/>
      <c r="AD23" s="65" t="str">
        <f>IF($A8="","",$A8)</f>
        <v/>
      </c>
      <c r="AE23" s="44"/>
      <c r="AF23" s="44" t="str">
        <f t="shared" si="14"/>
        <v/>
      </c>
      <c r="AG23" s="44"/>
      <c r="AH23" s="23" t="str">
        <f t="shared" si="15"/>
        <v/>
      </c>
      <c r="AI23" s="44"/>
      <c r="AJ23" s="44" t="str">
        <f t="shared" si="16"/>
        <v/>
      </c>
      <c r="AK23" s="66"/>
      <c r="AL23" s="61" t="str">
        <f t="shared" si="17"/>
        <v/>
      </c>
      <c r="AM23" s="62" t="str">
        <f t="shared" si="18"/>
        <v/>
      </c>
      <c r="AN23" s="23" t="str">
        <f t="shared" si="19"/>
        <v/>
      </c>
      <c r="AO23" s="24" t="str">
        <f t="shared" si="20"/>
        <v/>
      </c>
      <c r="AP23" s="11"/>
      <c r="AR23" s="65" t="str">
        <f>IF($A8="","",$A8)</f>
        <v/>
      </c>
      <c r="AS23" s="44"/>
      <c r="AT23" s="44" t="str">
        <f t="shared" si="21"/>
        <v/>
      </c>
      <c r="AU23" s="44"/>
      <c r="AV23" s="23" t="str">
        <f t="shared" si="22"/>
        <v/>
      </c>
      <c r="AW23" s="44"/>
      <c r="AX23" s="44" t="str">
        <f t="shared" si="23"/>
        <v/>
      </c>
      <c r="AY23" s="66"/>
      <c r="AZ23" s="61" t="str">
        <f t="shared" si="39"/>
        <v/>
      </c>
      <c r="BA23" s="62" t="str">
        <f t="shared" si="40"/>
        <v/>
      </c>
      <c r="BB23" s="23" t="str">
        <f t="shared" si="24"/>
        <v/>
      </c>
      <c r="BC23" s="24" t="str">
        <f t="shared" si="25"/>
        <v/>
      </c>
      <c r="BD23" s="11"/>
      <c r="BF23" s="65" t="str">
        <f>IF($A8="","",$A8)</f>
        <v/>
      </c>
      <c r="BG23" s="44"/>
      <c r="BH23" s="44" t="str">
        <f t="shared" si="26"/>
        <v/>
      </c>
      <c r="BI23" s="44"/>
      <c r="BJ23" s="23" t="str">
        <f t="shared" si="27"/>
        <v/>
      </c>
      <c r="BK23" s="44"/>
      <c r="BL23" s="44" t="str">
        <f t="shared" si="28"/>
        <v/>
      </c>
      <c r="BM23" s="66"/>
      <c r="BN23" s="61" t="str">
        <f t="shared" si="29"/>
        <v/>
      </c>
      <c r="BO23" s="62" t="str">
        <f t="shared" si="30"/>
        <v/>
      </c>
      <c r="BP23" s="23" t="str">
        <f t="shared" si="31"/>
        <v/>
      </c>
      <c r="BQ23" s="24" t="str">
        <f t="shared" si="32"/>
        <v/>
      </c>
      <c r="BR23" s="11"/>
      <c r="BT23" s="65" t="str">
        <f>IF($A8="","",$A8)</f>
        <v/>
      </c>
      <c r="BU23" s="44"/>
      <c r="BV23" s="44" t="str">
        <f t="shared" si="33"/>
        <v/>
      </c>
      <c r="BW23" s="44"/>
      <c r="BX23" s="23" t="str">
        <f t="shared" si="34"/>
        <v/>
      </c>
      <c r="BY23" s="44"/>
      <c r="BZ23" s="44" t="str">
        <f t="shared" si="35"/>
        <v/>
      </c>
      <c r="CA23" s="66"/>
      <c r="CB23" s="61" t="str">
        <f t="shared" si="45"/>
        <v/>
      </c>
      <c r="CC23" s="62" t="str">
        <f t="shared" si="44"/>
        <v/>
      </c>
      <c r="CD23" s="23" t="str">
        <f t="shared" si="37"/>
        <v/>
      </c>
      <c r="CE23" s="24" t="str">
        <f t="shared" si="38"/>
        <v/>
      </c>
      <c r="CF23" s="11"/>
    </row>
    <row r="24" spans="1:84" ht="15" customHeight="1">
      <c r="A24" s="12"/>
      <c r="B24" s="8"/>
      <c r="C24" s="13"/>
      <c r="D24" s="9" t="str">
        <f t="shared" si="46"/>
        <v/>
      </c>
      <c r="E24" s="9"/>
      <c r="F24" s="9" t="str">
        <f t="shared" si="47"/>
        <v/>
      </c>
      <c r="G24" s="9"/>
      <c r="H24" s="9" t="str">
        <f t="shared" si="48"/>
        <v/>
      </c>
      <c r="I24" s="9"/>
      <c r="J24" s="153" t="str">
        <f t="shared" si="3"/>
        <v/>
      </c>
      <c r="K24" s="44" t="str">
        <f t="shared" si="49"/>
        <v/>
      </c>
      <c r="L24" s="9" t="str">
        <f t="shared" si="42"/>
        <v/>
      </c>
      <c r="M24" s="10" t="str">
        <f t="shared" si="43"/>
        <v/>
      </c>
      <c r="N24" s="11"/>
      <c r="O24" s="2"/>
      <c r="P24" s="12"/>
      <c r="Q24" s="9"/>
      <c r="R24" s="9" t="str">
        <f t="shared" si="7"/>
        <v/>
      </c>
      <c r="S24" s="9"/>
      <c r="T24" s="9" t="str">
        <f t="shared" si="8"/>
        <v/>
      </c>
      <c r="U24" s="9"/>
      <c r="V24" s="9" t="str">
        <f t="shared" si="9"/>
        <v/>
      </c>
      <c r="W24" s="13"/>
      <c r="X24" s="47" t="str">
        <f t="shared" si="50"/>
        <v/>
      </c>
      <c r="Y24" s="45" t="str">
        <f t="shared" si="51"/>
        <v/>
      </c>
      <c r="Z24" s="9" t="str">
        <f t="shared" si="12"/>
        <v/>
      </c>
      <c r="AA24" s="10" t="str">
        <f t="shared" si="13"/>
        <v/>
      </c>
      <c r="AB24" s="11"/>
      <c r="AD24" s="12"/>
      <c r="AE24" s="9"/>
      <c r="AF24" s="9" t="str">
        <f t="shared" si="14"/>
        <v/>
      </c>
      <c r="AG24" s="9"/>
      <c r="AH24" s="9" t="str">
        <f t="shared" si="15"/>
        <v/>
      </c>
      <c r="AI24" s="9"/>
      <c r="AJ24" s="9" t="str">
        <f t="shared" si="16"/>
        <v/>
      </c>
      <c r="AK24" s="13"/>
      <c r="AL24" s="47" t="str">
        <f t="shared" si="17"/>
        <v/>
      </c>
      <c r="AM24" s="45" t="str">
        <f t="shared" si="18"/>
        <v/>
      </c>
      <c r="AN24" s="9" t="str">
        <f t="shared" si="19"/>
        <v/>
      </c>
      <c r="AO24" s="10" t="str">
        <f t="shared" si="20"/>
        <v/>
      </c>
      <c r="AP24" s="11"/>
      <c r="AR24" s="12"/>
      <c r="AS24" s="9"/>
      <c r="AT24" s="9" t="str">
        <f t="shared" si="21"/>
        <v/>
      </c>
      <c r="AU24" s="9"/>
      <c r="AV24" s="9" t="str">
        <f t="shared" si="22"/>
        <v/>
      </c>
      <c r="AW24" s="9"/>
      <c r="AX24" s="9" t="str">
        <f t="shared" si="23"/>
        <v/>
      </c>
      <c r="AY24" s="13"/>
      <c r="AZ24" s="47" t="str">
        <f t="shared" si="39"/>
        <v/>
      </c>
      <c r="BA24" s="45" t="str">
        <f t="shared" si="40"/>
        <v/>
      </c>
      <c r="BB24" s="9" t="str">
        <f t="shared" si="24"/>
        <v/>
      </c>
      <c r="BC24" s="10" t="str">
        <f t="shared" si="25"/>
        <v/>
      </c>
      <c r="BD24" s="11"/>
      <c r="BF24" s="12"/>
      <c r="BG24" s="9"/>
      <c r="BH24" s="9" t="str">
        <f t="shared" si="26"/>
        <v/>
      </c>
      <c r="BI24" s="9"/>
      <c r="BJ24" s="9" t="str">
        <f t="shared" si="27"/>
        <v/>
      </c>
      <c r="BK24" s="9"/>
      <c r="BL24" s="9" t="str">
        <f t="shared" si="28"/>
        <v/>
      </c>
      <c r="BM24" s="13"/>
      <c r="BN24" s="47" t="str">
        <f t="shared" si="29"/>
        <v/>
      </c>
      <c r="BO24" s="45" t="str">
        <f t="shared" si="30"/>
        <v/>
      </c>
      <c r="BP24" s="9" t="str">
        <f t="shared" si="31"/>
        <v/>
      </c>
      <c r="BQ24" s="10" t="str">
        <f t="shared" si="32"/>
        <v/>
      </c>
      <c r="BR24" s="11"/>
      <c r="BT24" s="12"/>
      <c r="BU24" s="9"/>
      <c r="BV24" s="9" t="str">
        <f t="shared" si="33"/>
        <v/>
      </c>
      <c r="BW24" s="9"/>
      <c r="BX24" s="9" t="str">
        <f t="shared" si="34"/>
        <v/>
      </c>
      <c r="BY24" s="9"/>
      <c r="BZ24" s="9" t="str">
        <f t="shared" si="35"/>
        <v/>
      </c>
      <c r="CA24" s="13"/>
      <c r="CB24" s="47" t="str">
        <f t="shared" si="45"/>
        <v/>
      </c>
      <c r="CC24" s="45" t="str">
        <f t="shared" si="44"/>
        <v/>
      </c>
      <c r="CD24" s="9" t="str">
        <f t="shared" si="37"/>
        <v/>
      </c>
      <c r="CE24" s="10" t="str">
        <f t="shared" si="38"/>
        <v/>
      </c>
      <c r="CF24" s="11"/>
    </row>
    <row r="25" spans="1:84" ht="15" customHeight="1">
      <c r="A25" s="12"/>
      <c r="B25" s="8"/>
      <c r="C25" s="9"/>
      <c r="D25" s="9" t="str">
        <f t="shared" si="46"/>
        <v/>
      </c>
      <c r="E25" s="9"/>
      <c r="F25" s="9" t="str">
        <f t="shared" si="47"/>
        <v/>
      </c>
      <c r="G25" s="9"/>
      <c r="H25" s="9" t="str">
        <f t="shared" si="48"/>
        <v/>
      </c>
      <c r="I25" s="9"/>
      <c r="J25" s="153" t="str">
        <f t="shared" si="3"/>
        <v/>
      </c>
      <c r="K25" s="44" t="str">
        <f t="shared" si="49"/>
        <v/>
      </c>
      <c r="L25" s="9" t="str">
        <f t="shared" si="42"/>
        <v/>
      </c>
      <c r="M25" s="10" t="str">
        <f t="shared" si="43"/>
        <v/>
      </c>
      <c r="N25" s="11"/>
      <c r="O25" s="2"/>
      <c r="P25" s="12"/>
      <c r="Q25" s="26"/>
      <c r="R25" s="9" t="str">
        <f t="shared" si="7"/>
        <v/>
      </c>
      <c r="S25" s="26"/>
      <c r="T25" s="9" t="str">
        <f t="shared" si="8"/>
        <v/>
      </c>
      <c r="U25" s="9"/>
      <c r="V25" s="9" t="str">
        <f t="shared" si="9"/>
        <v/>
      </c>
      <c r="W25" s="13"/>
      <c r="X25" s="47" t="str">
        <f t="shared" si="50"/>
        <v/>
      </c>
      <c r="Y25" s="9" t="str">
        <f t="shared" si="51"/>
        <v/>
      </c>
      <c r="Z25" s="9" t="str">
        <f t="shared" si="12"/>
        <v/>
      </c>
      <c r="AA25" s="10" t="str">
        <f t="shared" si="13"/>
        <v/>
      </c>
      <c r="AB25" s="11"/>
      <c r="AD25" s="12"/>
      <c r="AE25" s="26"/>
      <c r="AF25" s="9" t="str">
        <f t="shared" si="14"/>
        <v/>
      </c>
      <c r="AG25" s="26"/>
      <c r="AH25" s="9" t="str">
        <f t="shared" si="15"/>
        <v/>
      </c>
      <c r="AI25" s="9"/>
      <c r="AJ25" s="9" t="str">
        <f t="shared" si="16"/>
        <v/>
      </c>
      <c r="AK25" s="13"/>
      <c r="AL25" s="47" t="str">
        <f t="shared" si="17"/>
        <v/>
      </c>
      <c r="AM25" s="9" t="str">
        <f t="shared" si="18"/>
        <v/>
      </c>
      <c r="AN25" s="9" t="str">
        <f t="shared" si="19"/>
        <v/>
      </c>
      <c r="AO25" s="10" t="str">
        <f t="shared" si="20"/>
        <v/>
      </c>
      <c r="AP25" s="11"/>
      <c r="AR25" s="12"/>
      <c r="AS25" s="26"/>
      <c r="AT25" s="9" t="str">
        <f t="shared" si="21"/>
        <v/>
      </c>
      <c r="AU25" s="26"/>
      <c r="AV25" s="9" t="str">
        <f t="shared" si="22"/>
        <v/>
      </c>
      <c r="AW25" s="9"/>
      <c r="AX25" s="9" t="str">
        <f t="shared" si="23"/>
        <v/>
      </c>
      <c r="AY25" s="13"/>
      <c r="AZ25" s="47" t="str">
        <f t="shared" si="39"/>
        <v/>
      </c>
      <c r="BA25" s="9" t="str">
        <f t="shared" si="40"/>
        <v/>
      </c>
      <c r="BB25" s="9" t="str">
        <f t="shared" si="24"/>
        <v/>
      </c>
      <c r="BC25" s="10" t="str">
        <f t="shared" si="25"/>
        <v/>
      </c>
      <c r="BD25" s="11"/>
      <c r="BF25" s="12"/>
      <c r="BG25" s="26"/>
      <c r="BH25" s="9" t="str">
        <f t="shared" si="26"/>
        <v/>
      </c>
      <c r="BI25" s="26"/>
      <c r="BJ25" s="9" t="str">
        <f t="shared" si="27"/>
        <v/>
      </c>
      <c r="BK25" s="9"/>
      <c r="BL25" s="9" t="str">
        <f t="shared" si="28"/>
        <v/>
      </c>
      <c r="BM25" s="13"/>
      <c r="BN25" s="47" t="str">
        <f t="shared" si="29"/>
        <v/>
      </c>
      <c r="BO25" s="9" t="str">
        <f t="shared" si="30"/>
        <v/>
      </c>
      <c r="BP25" s="9" t="str">
        <f t="shared" si="31"/>
        <v/>
      </c>
      <c r="BQ25" s="10" t="str">
        <f t="shared" si="32"/>
        <v/>
      </c>
      <c r="BR25" s="11"/>
      <c r="BT25" s="12"/>
      <c r="BU25" s="26"/>
      <c r="BV25" s="9" t="str">
        <f t="shared" si="33"/>
        <v/>
      </c>
      <c r="BW25" s="26"/>
      <c r="BX25" s="9" t="str">
        <f t="shared" si="34"/>
        <v/>
      </c>
      <c r="BY25" s="9"/>
      <c r="BZ25" s="9" t="str">
        <f t="shared" si="35"/>
        <v/>
      </c>
      <c r="CA25" s="13"/>
      <c r="CB25" s="47" t="str">
        <f t="shared" si="45"/>
        <v/>
      </c>
      <c r="CC25" s="9" t="str">
        <f t="shared" si="44"/>
        <v/>
      </c>
      <c r="CD25" s="9" t="str">
        <f t="shared" si="37"/>
        <v/>
      </c>
      <c r="CE25" s="10" t="str">
        <f t="shared" si="38"/>
        <v/>
      </c>
      <c r="CF25" s="11"/>
    </row>
    <row r="26" spans="1:84" ht="15" customHeight="1" thickBot="1">
      <c r="A26" s="12"/>
      <c r="B26" s="8"/>
      <c r="C26" s="9"/>
      <c r="D26" s="9" t="str">
        <f t="shared" si="46"/>
        <v/>
      </c>
      <c r="E26" s="9"/>
      <c r="F26" s="9" t="str">
        <f t="shared" si="47"/>
        <v/>
      </c>
      <c r="G26" s="9"/>
      <c r="H26" s="9" t="str">
        <f t="shared" si="48"/>
        <v/>
      </c>
      <c r="I26" s="9"/>
      <c r="J26" s="153" t="str">
        <f t="shared" si="3"/>
        <v/>
      </c>
      <c r="K26" s="44" t="str">
        <f t="shared" si="49"/>
        <v/>
      </c>
      <c r="L26" s="9" t="str">
        <f t="shared" si="42"/>
        <v/>
      </c>
      <c r="M26" s="10" t="str">
        <f t="shared" si="43"/>
        <v/>
      </c>
      <c r="N26" s="11"/>
      <c r="O26" s="2"/>
      <c r="P26" s="18"/>
      <c r="Q26" s="19"/>
      <c r="R26" s="19" t="str">
        <f t="shared" si="7"/>
        <v/>
      </c>
      <c r="S26" s="19"/>
      <c r="T26" s="19" t="str">
        <f t="shared" si="8"/>
        <v/>
      </c>
      <c r="U26" s="19"/>
      <c r="V26" s="19" t="str">
        <f t="shared" si="9"/>
        <v/>
      </c>
      <c r="W26" s="37"/>
      <c r="X26" s="48" t="str">
        <f t="shared" si="50"/>
        <v/>
      </c>
      <c r="Y26" s="51" t="str">
        <f t="shared" si="51"/>
        <v/>
      </c>
      <c r="Z26" s="19" t="str">
        <f t="shared" si="12"/>
        <v/>
      </c>
      <c r="AA26" s="20" t="str">
        <f t="shared" si="13"/>
        <v/>
      </c>
      <c r="AB26" s="11"/>
      <c r="AD26" s="18"/>
      <c r="AE26" s="19"/>
      <c r="AF26" s="19" t="str">
        <f t="shared" si="14"/>
        <v/>
      </c>
      <c r="AG26" s="19"/>
      <c r="AH26" s="19" t="str">
        <f t="shared" si="15"/>
        <v/>
      </c>
      <c r="AI26" s="19"/>
      <c r="AJ26" s="19" t="str">
        <f t="shared" si="16"/>
        <v/>
      </c>
      <c r="AK26" s="37"/>
      <c r="AL26" s="48" t="str">
        <f t="shared" si="17"/>
        <v/>
      </c>
      <c r="AM26" s="51" t="str">
        <f t="shared" si="18"/>
        <v/>
      </c>
      <c r="AN26" s="19" t="str">
        <f t="shared" si="19"/>
        <v/>
      </c>
      <c r="AO26" s="20" t="str">
        <f t="shared" si="20"/>
        <v/>
      </c>
      <c r="AP26" s="11"/>
      <c r="AR26" s="18"/>
      <c r="AS26" s="19"/>
      <c r="AT26" s="19" t="str">
        <f t="shared" si="21"/>
        <v/>
      </c>
      <c r="AU26" s="19"/>
      <c r="AV26" s="19" t="str">
        <f t="shared" si="22"/>
        <v/>
      </c>
      <c r="AW26" s="19"/>
      <c r="AX26" s="19" t="str">
        <f t="shared" si="23"/>
        <v/>
      </c>
      <c r="AY26" s="37"/>
      <c r="AZ26" s="48" t="str">
        <f t="shared" si="39"/>
        <v/>
      </c>
      <c r="BA26" s="51" t="str">
        <f t="shared" si="40"/>
        <v/>
      </c>
      <c r="BB26" s="19" t="str">
        <f t="shared" si="24"/>
        <v/>
      </c>
      <c r="BC26" s="20" t="str">
        <f t="shared" si="25"/>
        <v/>
      </c>
      <c r="BD26" s="11"/>
      <c r="BF26" s="18"/>
      <c r="BG26" s="19"/>
      <c r="BH26" s="19" t="str">
        <f t="shared" si="26"/>
        <v/>
      </c>
      <c r="BI26" s="19"/>
      <c r="BJ26" s="19" t="str">
        <f t="shared" si="27"/>
        <v/>
      </c>
      <c r="BK26" s="19"/>
      <c r="BL26" s="19" t="str">
        <f t="shared" si="28"/>
        <v/>
      </c>
      <c r="BM26" s="37"/>
      <c r="BN26" s="48" t="str">
        <f t="shared" si="29"/>
        <v/>
      </c>
      <c r="BO26" s="51" t="str">
        <f t="shared" si="30"/>
        <v/>
      </c>
      <c r="BP26" s="19" t="str">
        <f t="shared" si="31"/>
        <v/>
      </c>
      <c r="BQ26" s="20" t="str">
        <f t="shared" si="32"/>
        <v/>
      </c>
      <c r="BR26" s="11"/>
      <c r="BT26" s="18"/>
      <c r="BU26" s="19"/>
      <c r="BV26" s="19" t="str">
        <f t="shared" si="33"/>
        <v/>
      </c>
      <c r="BW26" s="19"/>
      <c r="BX26" s="19" t="str">
        <f t="shared" si="34"/>
        <v/>
      </c>
      <c r="BY26" s="19"/>
      <c r="BZ26" s="19" t="str">
        <f t="shared" si="35"/>
        <v/>
      </c>
      <c r="CA26" s="37"/>
      <c r="CB26" s="48" t="str">
        <f t="shared" si="45"/>
        <v/>
      </c>
      <c r="CC26" s="51" t="str">
        <f t="shared" si="44"/>
        <v/>
      </c>
      <c r="CD26" s="19" t="str">
        <f t="shared" si="37"/>
        <v/>
      </c>
      <c r="CE26" s="20" t="str">
        <f t="shared" si="38"/>
        <v/>
      </c>
      <c r="CF26" s="11"/>
    </row>
    <row r="27" spans="1:84" ht="15" customHeight="1" thickTop="1">
      <c r="A27" s="12"/>
      <c r="B27" s="8"/>
      <c r="C27" s="9"/>
      <c r="D27" s="9" t="str">
        <f>IF(C27="","",C27-C28)</f>
        <v/>
      </c>
      <c r="E27" s="9"/>
      <c r="F27" s="9" t="str">
        <f>IF(E27="","",E27-E28)</f>
        <v/>
      </c>
      <c r="G27" s="9"/>
      <c r="H27" s="9" t="str">
        <f>IF(G27="","",G28+I28-G27)</f>
        <v/>
      </c>
      <c r="I27" s="9"/>
      <c r="J27" s="44"/>
      <c r="K27" s="44" t="str">
        <f>IF(C27="","",K28)</f>
        <v/>
      </c>
      <c r="L27" s="9" t="str">
        <f t="shared" si="42"/>
        <v/>
      </c>
      <c r="M27" s="10" t="str">
        <f t="shared" si="43"/>
        <v/>
      </c>
      <c r="N27" s="11"/>
      <c r="O27" s="2"/>
      <c r="P27" s="65" t="str">
        <f>IF($A9="","",$A9)</f>
        <v/>
      </c>
      <c r="Q27" s="9"/>
      <c r="R27" s="44" t="str">
        <f t="shared" si="7"/>
        <v/>
      </c>
      <c r="S27" s="9"/>
      <c r="T27" s="23" t="str">
        <f t="shared" si="8"/>
        <v/>
      </c>
      <c r="U27" s="9"/>
      <c r="V27" s="44" t="str">
        <f t="shared" si="9"/>
        <v/>
      </c>
      <c r="W27" s="66"/>
      <c r="X27" s="61" t="str">
        <f t="shared" si="50"/>
        <v/>
      </c>
      <c r="Y27" s="62" t="str">
        <f t="shared" si="51"/>
        <v/>
      </c>
      <c r="Z27" s="23" t="str">
        <f t="shared" si="12"/>
        <v/>
      </c>
      <c r="AA27" s="24" t="str">
        <f t="shared" si="13"/>
        <v/>
      </c>
      <c r="AB27" s="11"/>
      <c r="AD27" s="65" t="str">
        <f>IF($A9="","",$A9)</f>
        <v/>
      </c>
      <c r="AE27" s="9"/>
      <c r="AF27" s="44" t="str">
        <f t="shared" si="14"/>
        <v/>
      </c>
      <c r="AG27" s="9"/>
      <c r="AH27" s="23" t="str">
        <f t="shared" si="15"/>
        <v/>
      </c>
      <c r="AI27" s="9"/>
      <c r="AJ27" s="44" t="str">
        <f t="shared" si="16"/>
        <v/>
      </c>
      <c r="AK27" s="66"/>
      <c r="AL27" s="61" t="str">
        <f t="shared" si="17"/>
        <v/>
      </c>
      <c r="AM27" s="62" t="str">
        <f t="shared" si="18"/>
        <v/>
      </c>
      <c r="AN27" s="23" t="str">
        <f t="shared" si="19"/>
        <v/>
      </c>
      <c r="AO27" s="24" t="str">
        <f t="shared" si="20"/>
        <v/>
      </c>
      <c r="AP27" s="11"/>
      <c r="AR27" s="65" t="str">
        <f>IF($A9="","",$A9)</f>
        <v/>
      </c>
      <c r="AS27" s="9"/>
      <c r="AT27" s="44" t="str">
        <f t="shared" si="21"/>
        <v/>
      </c>
      <c r="AU27" s="9"/>
      <c r="AV27" s="23" t="str">
        <f t="shared" si="22"/>
        <v/>
      </c>
      <c r="AW27" s="9"/>
      <c r="AX27" s="44" t="str">
        <f t="shared" si="23"/>
        <v/>
      </c>
      <c r="AY27" s="66"/>
      <c r="AZ27" s="61" t="str">
        <f t="shared" si="39"/>
        <v/>
      </c>
      <c r="BA27" s="62" t="str">
        <f t="shared" si="40"/>
        <v/>
      </c>
      <c r="BB27" s="23" t="str">
        <f t="shared" si="24"/>
        <v/>
      </c>
      <c r="BC27" s="24" t="str">
        <f t="shared" si="25"/>
        <v/>
      </c>
      <c r="BD27" s="11"/>
      <c r="BF27" s="65" t="str">
        <f>IF($A9="","",$A9)</f>
        <v/>
      </c>
      <c r="BG27" s="9"/>
      <c r="BH27" s="44" t="str">
        <f t="shared" si="26"/>
        <v/>
      </c>
      <c r="BI27" s="9"/>
      <c r="BJ27" s="23" t="str">
        <f t="shared" si="27"/>
        <v/>
      </c>
      <c r="BK27" s="9"/>
      <c r="BL27" s="44" t="str">
        <f t="shared" si="28"/>
        <v/>
      </c>
      <c r="BM27" s="66"/>
      <c r="BN27" s="61" t="str">
        <f t="shared" si="29"/>
        <v/>
      </c>
      <c r="BO27" s="62" t="str">
        <f t="shared" si="30"/>
        <v/>
      </c>
      <c r="BP27" s="23" t="str">
        <f t="shared" si="31"/>
        <v/>
      </c>
      <c r="BQ27" s="24" t="str">
        <f t="shared" si="32"/>
        <v/>
      </c>
      <c r="BR27" s="11"/>
      <c r="BT27" s="65" t="str">
        <f>IF($A9="","",$A9)</f>
        <v/>
      </c>
      <c r="BU27" s="9"/>
      <c r="BV27" s="44" t="str">
        <f t="shared" si="33"/>
        <v/>
      </c>
      <c r="BW27" s="9"/>
      <c r="BX27" s="23" t="str">
        <f t="shared" si="34"/>
        <v/>
      </c>
      <c r="BY27" s="9"/>
      <c r="BZ27" s="44" t="str">
        <f t="shared" si="35"/>
        <v/>
      </c>
      <c r="CA27" s="66"/>
      <c r="CB27" s="61" t="str">
        <f t="shared" si="45"/>
        <v/>
      </c>
      <c r="CC27" s="62" t="str">
        <f t="shared" si="44"/>
        <v/>
      </c>
      <c r="CD27" s="23" t="str">
        <f t="shared" si="37"/>
        <v/>
      </c>
      <c r="CE27" s="24" t="str">
        <f t="shared" si="38"/>
        <v/>
      </c>
      <c r="CF27" s="11"/>
    </row>
    <row r="28" spans="1:84" ht="15" customHeight="1">
      <c r="A28" s="12"/>
      <c r="B28" s="8"/>
      <c r="C28" s="9"/>
      <c r="D28" s="9" t="str">
        <f>IF(C28="","",C28-C26)</f>
        <v/>
      </c>
      <c r="E28" s="9"/>
      <c r="F28" s="9" t="str">
        <f>IF(E28="","",E28-E26)</f>
        <v/>
      </c>
      <c r="G28" s="9"/>
      <c r="H28" s="9" t="str">
        <f>IF(G28="","",G26+I26-G28)</f>
        <v/>
      </c>
      <c r="I28" s="9"/>
      <c r="J28" s="44"/>
      <c r="K28" s="44" t="str">
        <f>IF(C28="","",K26)</f>
        <v/>
      </c>
      <c r="L28" s="9" t="str">
        <f t="shared" si="42"/>
        <v/>
      </c>
      <c r="M28" s="10" t="str">
        <f t="shared" si="43"/>
        <v/>
      </c>
      <c r="N28" s="11"/>
      <c r="O28" s="2"/>
      <c r="P28" s="65"/>
      <c r="Q28" s="44"/>
      <c r="R28" s="9" t="str">
        <f t="shared" si="7"/>
        <v/>
      </c>
      <c r="S28" s="44"/>
      <c r="T28" s="9" t="str">
        <f t="shared" si="8"/>
        <v/>
      </c>
      <c r="U28" s="9"/>
      <c r="V28" s="9" t="str">
        <f t="shared" si="9"/>
        <v/>
      </c>
      <c r="W28" s="13"/>
      <c r="X28" s="47" t="str">
        <f t="shared" si="50"/>
        <v/>
      </c>
      <c r="Y28" s="45" t="str">
        <f t="shared" si="51"/>
        <v/>
      </c>
      <c r="Z28" s="9" t="str">
        <f t="shared" si="12"/>
        <v/>
      </c>
      <c r="AA28" s="10" t="str">
        <f t="shared" si="13"/>
        <v/>
      </c>
      <c r="AB28" s="11"/>
      <c r="AD28" s="65"/>
      <c r="AE28" s="44"/>
      <c r="AF28" s="9" t="str">
        <f t="shared" si="14"/>
        <v/>
      </c>
      <c r="AG28" s="44"/>
      <c r="AH28" s="9" t="str">
        <f t="shared" si="15"/>
        <v/>
      </c>
      <c r="AI28" s="9"/>
      <c r="AJ28" s="9" t="str">
        <f t="shared" si="16"/>
        <v/>
      </c>
      <c r="AK28" s="13"/>
      <c r="AL28" s="47" t="str">
        <f t="shared" si="17"/>
        <v/>
      </c>
      <c r="AM28" s="45" t="str">
        <f t="shared" si="18"/>
        <v/>
      </c>
      <c r="AN28" s="9" t="str">
        <f t="shared" si="19"/>
        <v/>
      </c>
      <c r="AO28" s="10" t="str">
        <f t="shared" si="20"/>
        <v/>
      </c>
      <c r="AP28" s="11"/>
      <c r="AR28" s="65"/>
      <c r="AS28" s="44"/>
      <c r="AT28" s="9" t="str">
        <f t="shared" si="21"/>
        <v/>
      </c>
      <c r="AU28" s="44"/>
      <c r="AV28" s="9" t="str">
        <f t="shared" si="22"/>
        <v/>
      </c>
      <c r="AW28" s="9"/>
      <c r="AX28" s="9" t="str">
        <f t="shared" si="23"/>
        <v/>
      </c>
      <c r="AY28" s="13"/>
      <c r="AZ28" s="47" t="str">
        <f t="shared" si="39"/>
        <v/>
      </c>
      <c r="BA28" s="45" t="str">
        <f t="shared" si="40"/>
        <v/>
      </c>
      <c r="BB28" s="9" t="str">
        <f t="shared" si="24"/>
        <v/>
      </c>
      <c r="BC28" s="10" t="str">
        <f t="shared" si="25"/>
        <v/>
      </c>
      <c r="BD28" s="11"/>
      <c r="BF28" s="65"/>
      <c r="BG28" s="44"/>
      <c r="BH28" s="9" t="str">
        <f t="shared" si="26"/>
        <v/>
      </c>
      <c r="BI28" s="44"/>
      <c r="BJ28" s="9" t="str">
        <f t="shared" si="27"/>
        <v/>
      </c>
      <c r="BK28" s="9"/>
      <c r="BL28" s="9" t="str">
        <f t="shared" si="28"/>
        <v/>
      </c>
      <c r="BM28" s="13"/>
      <c r="BN28" s="47" t="str">
        <f t="shared" si="29"/>
        <v/>
      </c>
      <c r="BO28" s="45" t="str">
        <f t="shared" si="30"/>
        <v/>
      </c>
      <c r="BP28" s="9" t="str">
        <f t="shared" si="31"/>
        <v/>
      </c>
      <c r="BQ28" s="10" t="str">
        <f t="shared" si="32"/>
        <v/>
      </c>
      <c r="BR28" s="11"/>
      <c r="BT28" s="65"/>
      <c r="BU28" s="44"/>
      <c r="BV28" s="9" t="str">
        <f t="shared" si="33"/>
        <v/>
      </c>
      <c r="BW28" s="44"/>
      <c r="BX28" s="9" t="str">
        <f t="shared" si="34"/>
        <v/>
      </c>
      <c r="BY28" s="9"/>
      <c r="BZ28" s="9" t="str">
        <f t="shared" si="35"/>
        <v/>
      </c>
      <c r="CA28" s="13"/>
      <c r="CB28" s="47" t="str">
        <f t="shared" si="45"/>
        <v/>
      </c>
      <c r="CC28" s="45" t="str">
        <f t="shared" si="44"/>
        <v/>
      </c>
      <c r="CD28" s="9" t="str">
        <f t="shared" si="37"/>
        <v/>
      </c>
      <c r="CE28" s="10" t="str">
        <f t="shared" si="38"/>
        <v/>
      </c>
      <c r="CF28" s="11"/>
    </row>
    <row r="29" spans="1:84" ht="15" customHeight="1">
      <c r="A29" s="12"/>
      <c r="B29" s="8"/>
      <c r="C29" s="9"/>
      <c r="D29" s="9" t="str">
        <f>IF(C29="","",C29-C27)</f>
        <v/>
      </c>
      <c r="E29" s="9"/>
      <c r="F29" s="9" t="str">
        <f>IF(E29="","",E29-E27)</f>
        <v/>
      </c>
      <c r="G29" s="9"/>
      <c r="H29" s="9" t="str">
        <f>IF(G29="","",G27+I27-G29)</f>
        <v/>
      </c>
      <c r="I29" s="9"/>
      <c r="J29" s="44"/>
      <c r="K29" s="44" t="str">
        <f>IF(C29="","",K27)</f>
        <v/>
      </c>
      <c r="L29" s="9" t="str">
        <f t="shared" si="42"/>
        <v/>
      </c>
      <c r="M29" s="10" t="str">
        <f t="shared" si="43"/>
        <v/>
      </c>
      <c r="N29" s="11"/>
      <c r="O29" s="2"/>
      <c r="P29" s="12"/>
      <c r="Q29" s="9"/>
      <c r="R29" s="9" t="str">
        <f t="shared" si="7"/>
        <v/>
      </c>
      <c r="S29" s="9"/>
      <c r="T29" s="9" t="str">
        <f t="shared" si="8"/>
        <v/>
      </c>
      <c r="U29" s="9"/>
      <c r="V29" s="9" t="str">
        <f t="shared" si="9"/>
        <v/>
      </c>
      <c r="W29" s="38"/>
      <c r="X29" s="47" t="str">
        <f t="shared" si="50"/>
        <v/>
      </c>
      <c r="Y29" s="9" t="str">
        <f t="shared" si="51"/>
        <v/>
      </c>
      <c r="Z29" s="9" t="str">
        <f t="shared" si="12"/>
        <v/>
      </c>
      <c r="AA29" s="10" t="str">
        <f t="shared" si="13"/>
        <v/>
      </c>
      <c r="AB29" s="11"/>
      <c r="AD29" s="12"/>
      <c r="AE29" s="9"/>
      <c r="AF29" s="9" t="str">
        <f t="shared" si="14"/>
        <v/>
      </c>
      <c r="AG29" s="9"/>
      <c r="AH29" s="9" t="str">
        <f t="shared" si="15"/>
        <v/>
      </c>
      <c r="AI29" s="9"/>
      <c r="AJ29" s="9" t="str">
        <f t="shared" si="16"/>
        <v/>
      </c>
      <c r="AK29" s="38"/>
      <c r="AL29" s="47" t="str">
        <f t="shared" si="17"/>
        <v/>
      </c>
      <c r="AM29" s="9" t="str">
        <f t="shared" si="18"/>
        <v/>
      </c>
      <c r="AN29" s="9" t="str">
        <f t="shared" si="19"/>
        <v/>
      </c>
      <c r="AO29" s="10" t="str">
        <f t="shared" si="20"/>
        <v/>
      </c>
      <c r="AP29" s="11"/>
      <c r="AR29" s="12"/>
      <c r="AS29" s="9"/>
      <c r="AT29" s="9" t="str">
        <f t="shared" si="21"/>
        <v/>
      </c>
      <c r="AU29" s="9"/>
      <c r="AV29" s="9" t="str">
        <f t="shared" si="22"/>
        <v/>
      </c>
      <c r="AW29" s="9"/>
      <c r="AX29" s="9" t="str">
        <f t="shared" si="23"/>
        <v/>
      </c>
      <c r="AY29" s="38"/>
      <c r="AZ29" s="47" t="str">
        <f t="shared" si="39"/>
        <v/>
      </c>
      <c r="BA29" s="9" t="str">
        <f t="shared" si="40"/>
        <v/>
      </c>
      <c r="BB29" s="9" t="str">
        <f t="shared" si="24"/>
        <v/>
      </c>
      <c r="BC29" s="10" t="str">
        <f t="shared" si="25"/>
        <v/>
      </c>
      <c r="BD29" s="11"/>
      <c r="BF29" s="12"/>
      <c r="BG29" s="9"/>
      <c r="BH29" s="9" t="str">
        <f t="shared" si="26"/>
        <v/>
      </c>
      <c r="BI29" s="9"/>
      <c r="BJ29" s="9" t="str">
        <f t="shared" si="27"/>
        <v/>
      </c>
      <c r="BK29" s="9"/>
      <c r="BL29" s="9" t="str">
        <f t="shared" si="28"/>
        <v/>
      </c>
      <c r="BM29" s="38"/>
      <c r="BN29" s="47" t="str">
        <f t="shared" si="29"/>
        <v/>
      </c>
      <c r="BO29" s="9" t="str">
        <f t="shared" si="30"/>
        <v/>
      </c>
      <c r="BP29" s="9" t="str">
        <f t="shared" si="31"/>
        <v/>
      </c>
      <c r="BQ29" s="10" t="str">
        <f t="shared" si="32"/>
        <v/>
      </c>
      <c r="BR29" s="11"/>
      <c r="BT29" s="12"/>
      <c r="BU29" s="9"/>
      <c r="BV29" s="9" t="str">
        <f t="shared" si="33"/>
        <v/>
      </c>
      <c r="BW29" s="9"/>
      <c r="BX29" s="9" t="str">
        <f t="shared" si="34"/>
        <v/>
      </c>
      <c r="BY29" s="9"/>
      <c r="BZ29" s="9" t="str">
        <f t="shared" si="35"/>
        <v/>
      </c>
      <c r="CA29" s="38"/>
      <c r="CB29" s="47" t="str">
        <f t="shared" si="45"/>
        <v/>
      </c>
      <c r="CC29" s="9" t="str">
        <f t="shared" si="44"/>
        <v/>
      </c>
      <c r="CD29" s="9" t="str">
        <f t="shared" si="37"/>
        <v/>
      </c>
      <c r="CE29" s="10" t="str">
        <f t="shared" si="38"/>
        <v/>
      </c>
      <c r="CF29" s="11"/>
    </row>
    <row r="30" spans="1:84" ht="15" customHeight="1" thickBot="1">
      <c r="A30" s="12"/>
      <c r="B30" s="8"/>
      <c r="C30" s="9"/>
      <c r="D30" s="9" t="str">
        <f t="shared" ref="D30:D55" si="52">IF(C30="","",C30-C29)</f>
        <v/>
      </c>
      <c r="E30" s="9"/>
      <c r="F30" s="9" t="str">
        <f t="shared" ref="F30:F56" si="53">IF(E30="","",E30-E29)</f>
        <v/>
      </c>
      <c r="G30" s="9"/>
      <c r="H30" s="9" t="str">
        <f t="shared" ref="H30:H56" si="54">IF(G30="","",G29+I29-G30)</f>
        <v/>
      </c>
      <c r="I30" s="9"/>
      <c r="J30" s="44"/>
      <c r="K30" s="44" t="str">
        <f>IF(C30="","",K29)</f>
        <v/>
      </c>
      <c r="L30" s="9" t="str">
        <f t="shared" si="42"/>
        <v/>
      </c>
      <c r="M30" s="10" t="str">
        <f t="shared" si="43"/>
        <v/>
      </c>
      <c r="N30" s="11"/>
      <c r="O30" s="2"/>
      <c r="P30" s="18"/>
      <c r="Q30" s="19"/>
      <c r="R30" s="19" t="str">
        <f t="shared" si="7"/>
        <v/>
      </c>
      <c r="S30" s="19"/>
      <c r="T30" s="19" t="str">
        <f t="shared" si="8"/>
        <v/>
      </c>
      <c r="U30" s="19"/>
      <c r="V30" s="19" t="str">
        <f t="shared" si="9"/>
        <v/>
      </c>
      <c r="W30" s="37"/>
      <c r="X30" s="48" t="str">
        <f t="shared" si="50"/>
        <v/>
      </c>
      <c r="Y30" s="51" t="str">
        <f t="shared" si="51"/>
        <v/>
      </c>
      <c r="Z30" s="19" t="str">
        <f t="shared" si="12"/>
        <v/>
      </c>
      <c r="AA30" s="20" t="str">
        <f t="shared" si="13"/>
        <v/>
      </c>
      <c r="AB30" s="11"/>
      <c r="AD30" s="18"/>
      <c r="AE30" s="19"/>
      <c r="AF30" s="19" t="str">
        <f t="shared" si="14"/>
        <v/>
      </c>
      <c r="AG30" s="19"/>
      <c r="AH30" s="19" t="str">
        <f t="shared" si="15"/>
        <v/>
      </c>
      <c r="AI30" s="19"/>
      <c r="AJ30" s="19" t="str">
        <f t="shared" si="16"/>
        <v/>
      </c>
      <c r="AK30" s="37"/>
      <c r="AL30" s="48" t="str">
        <f t="shared" si="17"/>
        <v/>
      </c>
      <c r="AM30" s="51" t="str">
        <f t="shared" si="18"/>
        <v/>
      </c>
      <c r="AN30" s="19" t="str">
        <f t="shared" si="19"/>
        <v/>
      </c>
      <c r="AO30" s="20" t="str">
        <f t="shared" si="20"/>
        <v/>
      </c>
      <c r="AP30" s="11"/>
      <c r="AR30" s="18"/>
      <c r="AS30" s="19"/>
      <c r="AT30" s="19" t="str">
        <f t="shared" si="21"/>
        <v/>
      </c>
      <c r="AU30" s="19"/>
      <c r="AV30" s="19" t="str">
        <f t="shared" si="22"/>
        <v/>
      </c>
      <c r="AW30" s="19"/>
      <c r="AX30" s="19" t="str">
        <f t="shared" si="23"/>
        <v/>
      </c>
      <c r="AY30" s="37"/>
      <c r="AZ30" s="48" t="str">
        <f t="shared" si="39"/>
        <v/>
      </c>
      <c r="BA30" s="51" t="str">
        <f t="shared" si="40"/>
        <v/>
      </c>
      <c r="BB30" s="19" t="str">
        <f t="shared" si="24"/>
        <v/>
      </c>
      <c r="BC30" s="20" t="str">
        <f t="shared" si="25"/>
        <v/>
      </c>
      <c r="BD30" s="11"/>
      <c r="BF30" s="18"/>
      <c r="BG30" s="19"/>
      <c r="BH30" s="19" t="str">
        <f t="shared" si="26"/>
        <v/>
      </c>
      <c r="BI30" s="19"/>
      <c r="BJ30" s="19" t="str">
        <f t="shared" si="27"/>
        <v/>
      </c>
      <c r="BK30" s="19"/>
      <c r="BL30" s="19" t="str">
        <f t="shared" si="28"/>
        <v/>
      </c>
      <c r="BM30" s="37"/>
      <c r="BN30" s="48" t="str">
        <f t="shared" si="29"/>
        <v/>
      </c>
      <c r="BO30" s="51" t="str">
        <f t="shared" si="30"/>
        <v/>
      </c>
      <c r="BP30" s="19" t="str">
        <f t="shared" si="31"/>
        <v/>
      </c>
      <c r="BQ30" s="20" t="str">
        <f t="shared" si="32"/>
        <v/>
      </c>
      <c r="BR30" s="11"/>
      <c r="BT30" s="18"/>
      <c r="BU30" s="19"/>
      <c r="BV30" s="19" t="str">
        <f t="shared" si="33"/>
        <v/>
      </c>
      <c r="BW30" s="19"/>
      <c r="BX30" s="19" t="str">
        <f t="shared" si="34"/>
        <v/>
      </c>
      <c r="BY30" s="19"/>
      <c r="BZ30" s="19" t="str">
        <f t="shared" si="35"/>
        <v/>
      </c>
      <c r="CA30" s="37"/>
      <c r="CB30" s="48" t="str">
        <f t="shared" si="45"/>
        <v/>
      </c>
      <c r="CC30" s="51" t="str">
        <f t="shared" si="44"/>
        <v/>
      </c>
      <c r="CD30" s="19" t="str">
        <f t="shared" si="37"/>
        <v/>
      </c>
      <c r="CE30" s="20" t="str">
        <f t="shared" si="38"/>
        <v/>
      </c>
      <c r="CF30" s="11"/>
    </row>
    <row r="31" spans="1:84" ht="15" customHeight="1" thickTop="1">
      <c r="A31" s="12"/>
      <c r="B31" s="8"/>
      <c r="C31" s="9"/>
      <c r="D31" s="9" t="str">
        <f t="shared" si="52"/>
        <v/>
      </c>
      <c r="E31" s="9"/>
      <c r="F31" s="9" t="str">
        <f t="shared" si="53"/>
        <v/>
      </c>
      <c r="G31" s="9"/>
      <c r="H31" s="9" t="str">
        <f t="shared" si="54"/>
        <v/>
      </c>
      <c r="I31" s="9"/>
      <c r="J31" s="44"/>
      <c r="K31" s="44" t="str">
        <f>IF(C31="","",K30)</f>
        <v/>
      </c>
      <c r="L31" s="9" t="str">
        <f t="shared" si="42"/>
        <v/>
      </c>
      <c r="M31" s="10" t="str">
        <f t="shared" si="43"/>
        <v/>
      </c>
      <c r="N31" s="11"/>
      <c r="O31" s="2"/>
      <c r="P31" s="65" t="str">
        <f>IF($A10="","",$A10)</f>
        <v/>
      </c>
      <c r="Q31" s="9"/>
      <c r="R31" s="44" t="str">
        <f t="shared" si="7"/>
        <v/>
      </c>
      <c r="S31" s="9"/>
      <c r="T31" s="23" t="str">
        <f t="shared" si="8"/>
        <v/>
      </c>
      <c r="U31" s="9"/>
      <c r="V31" s="44" t="str">
        <f t="shared" si="9"/>
        <v/>
      </c>
      <c r="W31" s="66"/>
      <c r="X31" s="61" t="str">
        <f t="shared" si="50"/>
        <v/>
      </c>
      <c r="Y31" s="62" t="str">
        <f t="shared" si="51"/>
        <v/>
      </c>
      <c r="Z31" s="23" t="str">
        <f t="shared" si="12"/>
        <v/>
      </c>
      <c r="AA31" s="24" t="str">
        <f t="shared" si="13"/>
        <v/>
      </c>
      <c r="AB31" s="11"/>
      <c r="AD31" s="65" t="str">
        <f>IF($A10="","",$A10)</f>
        <v/>
      </c>
      <c r="AE31" s="9"/>
      <c r="AF31" s="44" t="str">
        <f t="shared" si="14"/>
        <v/>
      </c>
      <c r="AG31" s="9"/>
      <c r="AH31" s="23" t="str">
        <f t="shared" si="15"/>
        <v/>
      </c>
      <c r="AI31" s="9"/>
      <c r="AJ31" s="44" t="str">
        <f t="shared" si="16"/>
        <v/>
      </c>
      <c r="AK31" s="66"/>
      <c r="AL31" s="61" t="str">
        <f t="shared" si="17"/>
        <v/>
      </c>
      <c r="AM31" s="62" t="str">
        <f t="shared" si="18"/>
        <v/>
      </c>
      <c r="AN31" s="23" t="str">
        <f t="shared" si="19"/>
        <v/>
      </c>
      <c r="AO31" s="24" t="str">
        <f t="shared" si="20"/>
        <v/>
      </c>
      <c r="AP31" s="11"/>
      <c r="AR31" s="65" t="str">
        <f>IF($A10="","",$A10)</f>
        <v/>
      </c>
      <c r="AS31" s="9"/>
      <c r="AT31" s="44" t="str">
        <f t="shared" si="21"/>
        <v/>
      </c>
      <c r="AU31" s="9"/>
      <c r="AV31" s="23" t="str">
        <f t="shared" si="22"/>
        <v/>
      </c>
      <c r="AW31" s="9"/>
      <c r="AX31" s="44" t="str">
        <f t="shared" si="23"/>
        <v/>
      </c>
      <c r="AY31" s="66"/>
      <c r="AZ31" s="61" t="str">
        <f t="shared" si="39"/>
        <v/>
      </c>
      <c r="BA31" s="62" t="str">
        <f t="shared" si="40"/>
        <v/>
      </c>
      <c r="BB31" s="23" t="str">
        <f t="shared" si="24"/>
        <v/>
      </c>
      <c r="BC31" s="24" t="str">
        <f t="shared" si="25"/>
        <v/>
      </c>
      <c r="BD31" s="11"/>
      <c r="BF31" s="65" t="str">
        <f>IF($A10="","",$A10)</f>
        <v/>
      </c>
      <c r="BG31" s="9"/>
      <c r="BH31" s="44" t="str">
        <f t="shared" si="26"/>
        <v/>
      </c>
      <c r="BI31" s="9"/>
      <c r="BJ31" s="23" t="str">
        <f t="shared" si="27"/>
        <v/>
      </c>
      <c r="BK31" s="9"/>
      <c r="BL31" s="44" t="str">
        <f t="shared" si="28"/>
        <v/>
      </c>
      <c r="BM31" s="66"/>
      <c r="BN31" s="61" t="str">
        <f t="shared" si="29"/>
        <v/>
      </c>
      <c r="BO31" s="62" t="str">
        <f t="shared" si="30"/>
        <v/>
      </c>
      <c r="BP31" s="23" t="str">
        <f t="shared" si="31"/>
        <v/>
      </c>
      <c r="BQ31" s="24" t="str">
        <f t="shared" si="32"/>
        <v/>
      </c>
      <c r="BR31" s="11"/>
      <c r="BT31" s="65" t="str">
        <f>IF($A10="","",$A10)</f>
        <v/>
      </c>
      <c r="BU31" s="9"/>
      <c r="BV31" s="44" t="str">
        <f t="shared" si="33"/>
        <v/>
      </c>
      <c r="BW31" s="9"/>
      <c r="BX31" s="23" t="str">
        <f t="shared" si="34"/>
        <v/>
      </c>
      <c r="BY31" s="9"/>
      <c r="BZ31" s="44" t="str">
        <f t="shared" si="35"/>
        <v/>
      </c>
      <c r="CA31" s="66"/>
      <c r="CB31" s="61" t="str">
        <f t="shared" si="45"/>
        <v/>
      </c>
      <c r="CC31" s="62" t="str">
        <f t="shared" si="44"/>
        <v/>
      </c>
      <c r="CD31" s="23" t="str">
        <f t="shared" si="37"/>
        <v/>
      </c>
      <c r="CE31" s="24" t="str">
        <f t="shared" si="38"/>
        <v/>
      </c>
      <c r="CF31" s="11"/>
    </row>
    <row r="32" spans="1:84" ht="15" customHeight="1">
      <c r="A32" s="12"/>
      <c r="B32" s="8"/>
      <c r="C32" s="9"/>
      <c r="D32" s="9" t="str">
        <f t="shared" si="52"/>
        <v/>
      </c>
      <c r="E32" s="9"/>
      <c r="F32" s="9" t="str">
        <f t="shared" si="53"/>
        <v/>
      </c>
      <c r="G32" s="9"/>
      <c r="H32" s="9" t="str">
        <f t="shared" si="54"/>
        <v/>
      </c>
      <c r="I32" s="9"/>
      <c r="J32" s="44"/>
      <c r="K32" s="44" t="str">
        <f>IF(C32="","",K31)</f>
        <v/>
      </c>
      <c r="L32" s="9" t="str">
        <f t="shared" si="42"/>
        <v/>
      </c>
      <c r="M32" s="10" t="str">
        <f t="shared" si="43"/>
        <v/>
      </c>
      <c r="N32" s="11"/>
      <c r="O32" s="2"/>
      <c r="P32" s="12"/>
      <c r="Q32" s="44"/>
      <c r="R32" s="9" t="str">
        <f t="shared" si="7"/>
        <v/>
      </c>
      <c r="S32" s="44"/>
      <c r="T32" s="9" t="str">
        <f t="shared" si="8"/>
        <v/>
      </c>
      <c r="U32" s="9"/>
      <c r="V32" s="9" t="str">
        <f t="shared" si="9"/>
        <v/>
      </c>
      <c r="W32" s="13"/>
      <c r="X32" s="47" t="str">
        <f t="shared" si="50"/>
        <v/>
      </c>
      <c r="Y32" s="45" t="str">
        <f t="shared" si="51"/>
        <v/>
      </c>
      <c r="Z32" s="9" t="str">
        <f t="shared" si="12"/>
        <v/>
      </c>
      <c r="AA32" s="10" t="str">
        <f t="shared" si="13"/>
        <v/>
      </c>
      <c r="AB32" s="11"/>
      <c r="AD32" s="12"/>
      <c r="AE32" s="44"/>
      <c r="AF32" s="9" t="str">
        <f t="shared" si="14"/>
        <v/>
      </c>
      <c r="AG32" s="44"/>
      <c r="AH32" s="9" t="str">
        <f t="shared" si="15"/>
        <v/>
      </c>
      <c r="AI32" s="9"/>
      <c r="AJ32" s="9" t="str">
        <f t="shared" si="16"/>
        <v/>
      </c>
      <c r="AK32" s="13"/>
      <c r="AL32" s="47" t="str">
        <f t="shared" si="17"/>
        <v/>
      </c>
      <c r="AM32" s="45" t="str">
        <f t="shared" si="18"/>
        <v/>
      </c>
      <c r="AN32" s="9" t="str">
        <f t="shared" si="19"/>
        <v/>
      </c>
      <c r="AO32" s="10" t="str">
        <f t="shared" si="20"/>
        <v/>
      </c>
      <c r="AP32" s="11"/>
      <c r="AR32" s="12"/>
      <c r="AS32" s="44"/>
      <c r="AT32" s="9" t="str">
        <f t="shared" si="21"/>
        <v/>
      </c>
      <c r="AU32" s="44"/>
      <c r="AV32" s="9" t="str">
        <f t="shared" si="22"/>
        <v/>
      </c>
      <c r="AW32" s="9"/>
      <c r="AX32" s="9" t="str">
        <f t="shared" si="23"/>
        <v/>
      </c>
      <c r="AY32" s="13"/>
      <c r="AZ32" s="47" t="str">
        <f t="shared" si="39"/>
        <v/>
      </c>
      <c r="BA32" s="45" t="str">
        <f t="shared" si="40"/>
        <v/>
      </c>
      <c r="BB32" s="9" t="str">
        <f t="shared" si="24"/>
        <v/>
      </c>
      <c r="BC32" s="10" t="str">
        <f t="shared" si="25"/>
        <v/>
      </c>
      <c r="BD32" s="11"/>
      <c r="BF32" s="12"/>
      <c r="BG32" s="44"/>
      <c r="BH32" s="9" t="str">
        <f t="shared" si="26"/>
        <v/>
      </c>
      <c r="BI32" s="44"/>
      <c r="BJ32" s="9" t="str">
        <f t="shared" si="27"/>
        <v/>
      </c>
      <c r="BK32" s="9"/>
      <c r="BL32" s="9" t="str">
        <f t="shared" si="28"/>
        <v/>
      </c>
      <c r="BM32" s="13"/>
      <c r="BN32" s="47" t="str">
        <f t="shared" si="29"/>
        <v/>
      </c>
      <c r="BO32" s="45" t="str">
        <f t="shared" si="30"/>
        <v/>
      </c>
      <c r="BP32" s="9" t="str">
        <f t="shared" si="31"/>
        <v/>
      </c>
      <c r="BQ32" s="10" t="str">
        <f t="shared" si="32"/>
        <v/>
      </c>
      <c r="BR32" s="11"/>
      <c r="BT32" s="12"/>
      <c r="BU32" s="44"/>
      <c r="BV32" s="9" t="str">
        <f t="shared" si="33"/>
        <v/>
      </c>
      <c r="BW32" s="44"/>
      <c r="BX32" s="9" t="str">
        <f t="shared" si="34"/>
        <v/>
      </c>
      <c r="BY32" s="9"/>
      <c r="BZ32" s="9" t="str">
        <f t="shared" si="35"/>
        <v/>
      </c>
      <c r="CA32" s="13"/>
      <c r="CB32" s="47" t="str">
        <f t="shared" si="45"/>
        <v/>
      </c>
      <c r="CC32" s="45" t="str">
        <f t="shared" si="44"/>
        <v/>
      </c>
      <c r="CD32" s="9" t="str">
        <f t="shared" si="37"/>
        <v/>
      </c>
      <c r="CE32" s="10" t="str">
        <f t="shared" si="38"/>
        <v/>
      </c>
      <c r="CF32" s="11"/>
    </row>
    <row r="33" spans="1:84">
      <c r="A33" s="12"/>
      <c r="B33" s="8"/>
      <c r="C33" s="9"/>
      <c r="D33" s="9" t="str">
        <f t="shared" si="52"/>
        <v/>
      </c>
      <c r="E33" s="9"/>
      <c r="F33" s="9" t="str">
        <f t="shared" si="53"/>
        <v/>
      </c>
      <c r="G33" s="9"/>
      <c r="H33" s="9" t="str">
        <f t="shared" si="54"/>
        <v/>
      </c>
      <c r="I33" s="9"/>
      <c r="J33" s="9"/>
      <c r="K33" s="9"/>
      <c r="L33" s="9" t="str">
        <f t="shared" si="42"/>
        <v/>
      </c>
      <c r="M33" s="10" t="str">
        <f t="shared" si="43"/>
        <v/>
      </c>
      <c r="N33" s="11"/>
      <c r="O33" s="2"/>
      <c r="P33" s="12"/>
      <c r="Q33" s="9"/>
      <c r="R33" s="9" t="str">
        <f t="shared" si="7"/>
        <v/>
      </c>
      <c r="S33" s="9"/>
      <c r="T33" s="9" t="str">
        <f t="shared" si="8"/>
        <v/>
      </c>
      <c r="U33" s="9"/>
      <c r="V33" s="9" t="str">
        <f t="shared" si="9"/>
        <v/>
      </c>
      <c r="W33" s="38"/>
      <c r="X33" s="47" t="str">
        <f t="shared" si="50"/>
        <v/>
      </c>
      <c r="Y33" s="9" t="str">
        <f t="shared" si="51"/>
        <v/>
      </c>
      <c r="Z33" s="9" t="str">
        <f t="shared" si="12"/>
        <v/>
      </c>
      <c r="AA33" s="10" t="str">
        <f t="shared" si="13"/>
        <v/>
      </c>
      <c r="AB33" s="11"/>
      <c r="AD33" s="12"/>
      <c r="AE33" s="9"/>
      <c r="AF33" s="9" t="str">
        <f t="shared" si="14"/>
        <v/>
      </c>
      <c r="AG33" s="9"/>
      <c r="AH33" s="9" t="str">
        <f t="shared" si="15"/>
        <v/>
      </c>
      <c r="AI33" s="9"/>
      <c r="AJ33" s="9" t="str">
        <f t="shared" si="16"/>
        <v/>
      </c>
      <c r="AK33" s="38"/>
      <c r="AL33" s="47" t="str">
        <f t="shared" si="17"/>
        <v/>
      </c>
      <c r="AM33" s="9" t="str">
        <f t="shared" si="18"/>
        <v/>
      </c>
      <c r="AN33" s="9" t="str">
        <f t="shared" si="19"/>
        <v/>
      </c>
      <c r="AO33" s="10" t="str">
        <f t="shared" si="20"/>
        <v/>
      </c>
      <c r="AP33" s="11"/>
      <c r="AR33" s="12"/>
      <c r="AS33" s="9"/>
      <c r="AT33" s="9" t="str">
        <f t="shared" si="21"/>
        <v/>
      </c>
      <c r="AU33" s="9"/>
      <c r="AV33" s="9" t="str">
        <f t="shared" si="22"/>
        <v/>
      </c>
      <c r="AW33" s="9"/>
      <c r="AX33" s="9" t="str">
        <f t="shared" si="23"/>
        <v/>
      </c>
      <c r="AY33" s="38"/>
      <c r="AZ33" s="47" t="str">
        <f t="shared" si="39"/>
        <v/>
      </c>
      <c r="BA33" s="9" t="str">
        <f t="shared" si="40"/>
        <v/>
      </c>
      <c r="BB33" s="9" t="str">
        <f t="shared" si="24"/>
        <v/>
      </c>
      <c r="BC33" s="10" t="str">
        <f t="shared" si="25"/>
        <v/>
      </c>
      <c r="BD33" s="11"/>
      <c r="BF33" s="12"/>
      <c r="BG33" s="9"/>
      <c r="BH33" s="9" t="str">
        <f t="shared" si="26"/>
        <v/>
      </c>
      <c r="BI33" s="9"/>
      <c r="BJ33" s="9" t="str">
        <f t="shared" si="27"/>
        <v/>
      </c>
      <c r="BK33" s="9"/>
      <c r="BL33" s="9" t="str">
        <f t="shared" si="28"/>
        <v/>
      </c>
      <c r="BM33" s="38"/>
      <c r="BN33" s="47" t="str">
        <f t="shared" si="29"/>
        <v/>
      </c>
      <c r="BO33" s="9" t="str">
        <f t="shared" si="30"/>
        <v/>
      </c>
      <c r="BP33" s="9" t="str">
        <f t="shared" si="31"/>
        <v/>
      </c>
      <c r="BQ33" s="10" t="str">
        <f t="shared" si="32"/>
        <v/>
      </c>
      <c r="BR33" s="11"/>
      <c r="BT33" s="12"/>
      <c r="BU33" s="9"/>
      <c r="BV33" s="9" t="str">
        <f t="shared" si="33"/>
        <v/>
      </c>
      <c r="BW33" s="9"/>
      <c r="BX33" s="9" t="str">
        <f t="shared" si="34"/>
        <v/>
      </c>
      <c r="BY33" s="9"/>
      <c r="BZ33" s="9" t="str">
        <f t="shared" si="35"/>
        <v/>
      </c>
      <c r="CA33" s="38"/>
      <c r="CB33" s="47" t="str">
        <f t="shared" si="45"/>
        <v/>
      </c>
      <c r="CC33" s="9" t="str">
        <f t="shared" si="44"/>
        <v/>
      </c>
      <c r="CD33" s="9" t="str">
        <f t="shared" si="37"/>
        <v/>
      </c>
      <c r="CE33" s="10" t="str">
        <f t="shared" si="38"/>
        <v/>
      </c>
      <c r="CF33" s="11"/>
    </row>
    <row r="34" spans="1:84" ht="15" customHeight="1" thickBot="1">
      <c r="A34" s="12"/>
      <c r="B34" s="8"/>
      <c r="C34" s="9"/>
      <c r="D34" s="9" t="str">
        <f t="shared" si="52"/>
        <v/>
      </c>
      <c r="E34" s="9"/>
      <c r="F34" s="9" t="str">
        <f t="shared" si="53"/>
        <v/>
      </c>
      <c r="G34" s="9"/>
      <c r="H34" s="9" t="str">
        <f t="shared" si="54"/>
        <v/>
      </c>
      <c r="I34" s="9"/>
      <c r="J34" s="9"/>
      <c r="K34" s="9"/>
      <c r="L34" s="9" t="str">
        <f t="shared" si="42"/>
        <v/>
      </c>
      <c r="M34" s="10" t="str">
        <f t="shared" si="43"/>
        <v/>
      </c>
      <c r="N34" s="11"/>
      <c r="O34" s="2"/>
      <c r="P34" s="18"/>
      <c r="Q34" s="19"/>
      <c r="R34" s="19" t="str">
        <f t="shared" si="7"/>
        <v/>
      </c>
      <c r="S34" s="19"/>
      <c r="T34" s="19" t="str">
        <f t="shared" si="8"/>
        <v/>
      </c>
      <c r="U34" s="19"/>
      <c r="V34" s="19" t="str">
        <f t="shared" si="9"/>
        <v/>
      </c>
      <c r="W34" s="37"/>
      <c r="X34" s="48" t="str">
        <f t="shared" si="50"/>
        <v/>
      </c>
      <c r="Y34" s="51" t="str">
        <f t="shared" si="51"/>
        <v/>
      </c>
      <c r="Z34" s="19" t="str">
        <f t="shared" si="12"/>
        <v/>
      </c>
      <c r="AA34" s="20" t="str">
        <f t="shared" si="13"/>
        <v/>
      </c>
      <c r="AB34" s="11"/>
      <c r="AD34" s="18"/>
      <c r="AE34" s="19"/>
      <c r="AF34" s="19" t="str">
        <f t="shared" si="14"/>
        <v/>
      </c>
      <c r="AG34" s="19"/>
      <c r="AH34" s="19" t="str">
        <f t="shared" si="15"/>
        <v/>
      </c>
      <c r="AI34" s="19"/>
      <c r="AJ34" s="19" t="str">
        <f t="shared" si="16"/>
        <v/>
      </c>
      <c r="AK34" s="37"/>
      <c r="AL34" s="48" t="str">
        <f t="shared" si="17"/>
        <v/>
      </c>
      <c r="AM34" s="51" t="str">
        <f t="shared" si="18"/>
        <v/>
      </c>
      <c r="AN34" s="19" t="str">
        <f t="shared" si="19"/>
        <v/>
      </c>
      <c r="AO34" s="20" t="str">
        <f t="shared" si="20"/>
        <v/>
      </c>
      <c r="AP34" s="11"/>
      <c r="AR34" s="18"/>
      <c r="AS34" s="19"/>
      <c r="AT34" s="19" t="str">
        <f t="shared" si="21"/>
        <v/>
      </c>
      <c r="AU34" s="19"/>
      <c r="AV34" s="19" t="str">
        <f t="shared" si="22"/>
        <v/>
      </c>
      <c r="AW34" s="19"/>
      <c r="AX34" s="19" t="str">
        <f t="shared" si="23"/>
        <v/>
      </c>
      <c r="AY34" s="37"/>
      <c r="AZ34" s="48" t="str">
        <f t="shared" si="39"/>
        <v/>
      </c>
      <c r="BA34" s="51" t="str">
        <f t="shared" si="40"/>
        <v/>
      </c>
      <c r="BB34" s="19" t="str">
        <f t="shared" si="24"/>
        <v/>
      </c>
      <c r="BC34" s="20" t="str">
        <f t="shared" si="25"/>
        <v/>
      </c>
      <c r="BD34" s="11"/>
      <c r="BF34" s="18"/>
      <c r="BG34" s="19"/>
      <c r="BH34" s="19" t="str">
        <f t="shared" si="26"/>
        <v/>
      </c>
      <c r="BI34" s="19"/>
      <c r="BJ34" s="19" t="str">
        <f t="shared" si="27"/>
        <v/>
      </c>
      <c r="BK34" s="19"/>
      <c r="BL34" s="19" t="str">
        <f t="shared" si="28"/>
        <v/>
      </c>
      <c r="BM34" s="37"/>
      <c r="BN34" s="48" t="str">
        <f t="shared" si="29"/>
        <v/>
      </c>
      <c r="BO34" s="51" t="str">
        <f t="shared" si="30"/>
        <v/>
      </c>
      <c r="BP34" s="19" t="str">
        <f t="shared" si="31"/>
        <v/>
      </c>
      <c r="BQ34" s="20" t="str">
        <f t="shared" si="32"/>
        <v/>
      </c>
      <c r="BR34" s="11"/>
      <c r="BT34" s="18"/>
      <c r="BU34" s="19"/>
      <c r="BV34" s="19" t="str">
        <f t="shared" si="33"/>
        <v/>
      </c>
      <c r="BW34" s="19"/>
      <c r="BX34" s="19" t="str">
        <f t="shared" si="34"/>
        <v/>
      </c>
      <c r="BY34" s="19"/>
      <c r="BZ34" s="19" t="str">
        <f t="shared" si="35"/>
        <v/>
      </c>
      <c r="CA34" s="37"/>
      <c r="CB34" s="48" t="str">
        <f t="shared" si="45"/>
        <v/>
      </c>
      <c r="CC34" s="51" t="str">
        <f t="shared" si="44"/>
        <v/>
      </c>
      <c r="CD34" s="19" t="str">
        <f t="shared" si="37"/>
        <v/>
      </c>
      <c r="CE34" s="20" t="str">
        <f t="shared" si="38"/>
        <v/>
      </c>
      <c r="CF34" s="11"/>
    </row>
    <row r="35" spans="1:84" ht="15" customHeight="1" thickTop="1">
      <c r="A35" s="12"/>
      <c r="B35" s="8"/>
      <c r="C35" s="9"/>
      <c r="D35" s="9" t="str">
        <f t="shared" si="52"/>
        <v/>
      </c>
      <c r="E35" s="9"/>
      <c r="F35" s="9" t="str">
        <f t="shared" si="53"/>
        <v/>
      </c>
      <c r="G35" s="9"/>
      <c r="H35" s="9" t="str">
        <f t="shared" si="54"/>
        <v/>
      </c>
      <c r="I35" s="9"/>
      <c r="J35" s="9"/>
      <c r="K35" s="9"/>
      <c r="L35" s="9" t="str">
        <f t="shared" si="42"/>
        <v/>
      </c>
      <c r="M35" s="10" t="str">
        <f t="shared" si="43"/>
        <v/>
      </c>
      <c r="N35" s="11"/>
      <c r="O35" s="2"/>
      <c r="P35" s="65" t="str">
        <f>IF($A11="","",$A11)</f>
        <v/>
      </c>
      <c r="Q35" s="9"/>
      <c r="R35" s="44" t="str">
        <f t="shared" si="7"/>
        <v/>
      </c>
      <c r="S35" s="9"/>
      <c r="T35" s="23" t="str">
        <f t="shared" si="8"/>
        <v/>
      </c>
      <c r="U35" s="9"/>
      <c r="V35" s="44" t="str">
        <f t="shared" si="9"/>
        <v/>
      </c>
      <c r="W35" s="66"/>
      <c r="X35" s="61" t="str">
        <f t="shared" si="50"/>
        <v/>
      </c>
      <c r="Y35" s="62" t="str">
        <f t="shared" si="51"/>
        <v/>
      </c>
      <c r="Z35" s="23" t="str">
        <f t="shared" si="12"/>
        <v/>
      </c>
      <c r="AA35" s="24" t="str">
        <f t="shared" si="13"/>
        <v/>
      </c>
      <c r="AB35" s="11"/>
      <c r="AD35" s="65" t="str">
        <f>IF($A11="","",$A11)</f>
        <v/>
      </c>
      <c r="AE35" s="9"/>
      <c r="AF35" s="44" t="str">
        <f t="shared" si="14"/>
        <v/>
      </c>
      <c r="AG35" s="9"/>
      <c r="AH35" s="23" t="str">
        <f t="shared" si="15"/>
        <v/>
      </c>
      <c r="AI35" s="9"/>
      <c r="AJ35" s="44" t="str">
        <f t="shared" si="16"/>
        <v/>
      </c>
      <c r="AK35" s="66"/>
      <c r="AL35" s="61" t="str">
        <f t="shared" si="17"/>
        <v/>
      </c>
      <c r="AM35" s="62" t="str">
        <f t="shared" si="18"/>
        <v/>
      </c>
      <c r="AN35" s="23" t="str">
        <f t="shared" si="19"/>
        <v/>
      </c>
      <c r="AO35" s="24" t="str">
        <f t="shared" si="20"/>
        <v/>
      </c>
      <c r="AP35" s="11"/>
      <c r="AR35" s="65" t="str">
        <f>IF($A11="","",$A11)</f>
        <v/>
      </c>
      <c r="AS35" s="9"/>
      <c r="AT35" s="44" t="str">
        <f t="shared" si="21"/>
        <v/>
      </c>
      <c r="AU35" s="9"/>
      <c r="AV35" s="23" t="str">
        <f t="shared" si="22"/>
        <v/>
      </c>
      <c r="AW35" s="9"/>
      <c r="AX35" s="44" t="str">
        <f t="shared" si="23"/>
        <v/>
      </c>
      <c r="AY35" s="66"/>
      <c r="AZ35" s="61" t="str">
        <f t="shared" si="39"/>
        <v/>
      </c>
      <c r="BA35" s="62" t="str">
        <f t="shared" si="40"/>
        <v/>
      </c>
      <c r="BB35" s="23" t="str">
        <f t="shared" si="24"/>
        <v/>
      </c>
      <c r="BC35" s="24" t="str">
        <f t="shared" si="25"/>
        <v/>
      </c>
      <c r="BD35" s="11"/>
      <c r="BF35" s="65" t="str">
        <f>IF($A11="","",$A11)</f>
        <v/>
      </c>
      <c r="BG35" s="9"/>
      <c r="BH35" s="44" t="str">
        <f t="shared" si="26"/>
        <v/>
      </c>
      <c r="BI35" s="9"/>
      <c r="BJ35" s="23" t="str">
        <f t="shared" si="27"/>
        <v/>
      </c>
      <c r="BK35" s="9"/>
      <c r="BL35" s="44" t="str">
        <f t="shared" si="28"/>
        <v/>
      </c>
      <c r="BM35" s="66"/>
      <c r="BN35" s="61" t="str">
        <f t="shared" si="29"/>
        <v/>
      </c>
      <c r="BO35" s="62" t="str">
        <f t="shared" si="30"/>
        <v/>
      </c>
      <c r="BP35" s="23" t="str">
        <f t="shared" si="31"/>
        <v/>
      </c>
      <c r="BQ35" s="24" t="str">
        <f t="shared" si="32"/>
        <v/>
      </c>
      <c r="BR35" s="11"/>
      <c r="BT35" s="65" t="str">
        <f>IF($A11="","",$A11)</f>
        <v/>
      </c>
      <c r="BU35" s="9"/>
      <c r="BV35" s="44" t="str">
        <f t="shared" si="33"/>
        <v/>
      </c>
      <c r="BW35" s="9"/>
      <c r="BX35" s="23" t="str">
        <f t="shared" si="34"/>
        <v/>
      </c>
      <c r="BY35" s="9"/>
      <c r="BZ35" s="44" t="str">
        <f t="shared" si="35"/>
        <v/>
      </c>
      <c r="CA35" s="66"/>
      <c r="CB35" s="61" t="str">
        <f t="shared" si="45"/>
        <v/>
      </c>
      <c r="CC35" s="62" t="str">
        <f t="shared" si="44"/>
        <v/>
      </c>
      <c r="CD35" s="23" t="str">
        <f t="shared" si="37"/>
        <v/>
      </c>
      <c r="CE35" s="24" t="str">
        <f t="shared" si="38"/>
        <v/>
      </c>
      <c r="CF35" s="11"/>
    </row>
    <row r="36" spans="1:84" ht="15" customHeight="1">
      <c r="A36" s="12"/>
      <c r="B36" s="8"/>
      <c r="C36" s="9"/>
      <c r="D36" s="9" t="str">
        <f t="shared" si="52"/>
        <v/>
      </c>
      <c r="E36" s="9"/>
      <c r="F36" s="9" t="str">
        <f t="shared" si="53"/>
        <v/>
      </c>
      <c r="G36" s="9"/>
      <c r="H36" s="9" t="str">
        <f t="shared" si="54"/>
        <v/>
      </c>
      <c r="I36" s="9"/>
      <c r="J36" s="9"/>
      <c r="K36" s="9"/>
      <c r="L36" s="9" t="str">
        <f t="shared" si="42"/>
        <v/>
      </c>
      <c r="M36" s="10" t="str">
        <f t="shared" si="43"/>
        <v/>
      </c>
      <c r="N36" s="11"/>
      <c r="O36" s="2"/>
      <c r="P36" s="12"/>
      <c r="Q36" s="44"/>
      <c r="R36" s="9" t="str">
        <f t="shared" si="7"/>
        <v/>
      </c>
      <c r="S36" s="44"/>
      <c r="T36" s="9" t="str">
        <f t="shared" si="8"/>
        <v/>
      </c>
      <c r="U36" s="9"/>
      <c r="V36" s="9" t="str">
        <f t="shared" si="9"/>
        <v/>
      </c>
      <c r="W36" s="13"/>
      <c r="X36" s="47" t="str">
        <f t="shared" si="50"/>
        <v/>
      </c>
      <c r="Y36" s="45" t="str">
        <f t="shared" si="51"/>
        <v/>
      </c>
      <c r="Z36" s="9" t="str">
        <f t="shared" si="12"/>
        <v/>
      </c>
      <c r="AA36" s="10" t="str">
        <f t="shared" si="13"/>
        <v/>
      </c>
      <c r="AB36" s="11"/>
      <c r="AD36" s="12"/>
      <c r="AE36" s="44"/>
      <c r="AF36" s="9" t="str">
        <f t="shared" si="14"/>
        <v/>
      </c>
      <c r="AG36" s="44"/>
      <c r="AH36" s="9" t="str">
        <f t="shared" si="15"/>
        <v/>
      </c>
      <c r="AI36" s="9"/>
      <c r="AJ36" s="9" t="str">
        <f t="shared" si="16"/>
        <v/>
      </c>
      <c r="AK36" s="13"/>
      <c r="AL36" s="47" t="str">
        <f t="shared" si="17"/>
        <v/>
      </c>
      <c r="AM36" s="45" t="str">
        <f t="shared" si="18"/>
        <v/>
      </c>
      <c r="AN36" s="9" t="str">
        <f t="shared" si="19"/>
        <v/>
      </c>
      <c r="AO36" s="10" t="str">
        <f t="shared" si="20"/>
        <v/>
      </c>
      <c r="AP36" s="11"/>
      <c r="AR36" s="12"/>
      <c r="AS36" s="44"/>
      <c r="AT36" s="9" t="str">
        <f t="shared" si="21"/>
        <v/>
      </c>
      <c r="AU36" s="44"/>
      <c r="AV36" s="9" t="str">
        <f t="shared" si="22"/>
        <v/>
      </c>
      <c r="AW36" s="9"/>
      <c r="AX36" s="9" t="str">
        <f t="shared" si="23"/>
        <v/>
      </c>
      <c r="AY36" s="13"/>
      <c r="AZ36" s="47" t="str">
        <f t="shared" si="39"/>
        <v/>
      </c>
      <c r="BA36" s="45" t="str">
        <f t="shared" si="40"/>
        <v/>
      </c>
      <c r="BB36" s="9" t="str">
        <f t="shared" si="24"/>
        <v/>
      </c>
      <c r="BC36" s="10" t="str">
        <f t="shared" si="25"/>
        <v/>
      </c>
      <c r="BD36" s="11"/>
      <c r="BF36" s="12"/>
      <c r="BG36" s="44"/>
      <c r="BH36" s="9" t="str">
        <f t="shared" si="26"/>
        <v/>
      </c>
      <c r="BI36" s="44"/>
      <c r="BJ36" s="9" t="str">
        <f t="shared" si="27"/>
        <v/>
      </c>
      <c r="BK36" s="9"/>
      <c r="BL36" s="9" t="str">
        <f t="shared" si="28"/>
        <v/>
      </c>
      <c r="BM36" s="13"/>
      <c r="BN36" s="47" t="str">
        <f t="shared" si="29"/>
        <v/>
      </c>
      <c r="BO36" s="45" t="str">
        <f t="shared" si="30"/>
        <v/>
      </c>
      <c r="BP36" s="9" t="str">
        <f t="shared" si="31"/>
        <v/>
      </c>
      <c r="BQ36" s="10" t="str">
        <f t="shared" si="32"/>
        <v/>
      </c>
      <c r="BR36" s="11"/>
      <c r="BT36" s="12"/>
      <c r="BU36" s="44"/>
      <c r="BV36" s="9" t="str">
        <f t="shared" si="33"/>
        <v/>
      </c>
      <c r="BW36" s="44"/>
      <c r="BX36" s="9" t="str">
        <f t="shared" si="34"/>
        <v/>
      </c>
      <c r="BY36" s="9"/>
      <c r="BZ36" s="9" t="str">
        <f t="shared" si="35"/>
        <v/>
      </c>
      <c r="CA36" s="13"/>
      <c r="CB36" s="47" t="str">
        <f t="shared" si="45"/>
        <v/>
      </c>
      <c r="CC36" s="45" t="str">
        <f t="shared" si="44"/>
        <v/>
      </c>
      <c r="CD36" s="9" t="str">
        <f t="shared" si="37"/>
        <v/>
      </c>
      <c r="CE36" s="10" t="str">
        <f t="shared" si="38"/>
        <v/>
      </c>
      <c r="CF36" s="11"/>
    </row>
    <row r="37" spans="1:84" ht="15" customHeight="1">
      <c r="A37" s="12"/>
      <c r="B37" s="8"/>
      <c r="C37" s="9"/>
      <c r="D37" s="9" t="str">
        <f t="shared" si="52"/>
        <v/>
      </c>
      <c r="E37" s="9"/>
      <c r="F37" s="9" t="str">
        <f t="shared" si="53"/>
        <v/>
      </c>
      <c r="G37" s="9"/>
      <c r="H37" s="9" t="str">
        <f t="shared" si="54"/>
        <v/>
      </c>
      <c r="I37" s="9"/>
      <c r="J37" s="9"/>
      <c r="K37" s="9"/>
      <c r="L37" s="9" t="str">
        <f t="shared" si="42"/>
        <v/>
      </c>
      <c r="M37" s="10" t="str">
        <f t="shared" si="43"/>
        <v/>
      </c>
      <c r="N37" s="11"/>
      <c r="O37" s="2"/>
      <c r="P37" s="12"/>
      <c r="Q37" s="9"/>
      <c r="R37" s="9" t="str">
        <f t="shared" si="7"/>
        <v/>
      </c>
      <c r="S37" s="9"/>
      <c r="T37" s="9" t="str">
        <f t="shared" si="8"/>
        <v/>
      </c>
      <c r="U37" s="9"/>
      <c r="V37" s="9" t="str">
        <f t="shared" si="9"/>
        <v/>
      </c>
      <c r="W37" s="38"/>
      <c r="X37" s="47" t="str">
        <f t="shared" si="50"/>
        <v/>
      </c>
      <c r="Y37" s="9" t="str">
        <f t="shared" si="51"/>
        <v/>
      </c>
      <c r="Z37" s="9" t="str">
        <f t="shared" si="12"/>
        <v/>
      </c>
      <c r="AA37" s="10" t="str">
        <f t="shared" si="13"/>
        <v/>
      </c>
      <c r="AB37" s="11"/>
      <c r="AD37" s="12"/>
      <c r="AE37" s="9"/>
      <c r="AF37" s="9" t="str">
        <f t="shared" si="14"/>
        <v/>
      </c>
      <c r="AG37" s="9"/>
      <c r="AH37" s="9" t="str">
        <f t="shared" si="15"/>
        <v/>
      </c>
      <c r="AI37" s="9"/>
      <c r="AJ37" s="9" t="str">
        <f t="shared" si="16"/>
        <v/>
      </c>
      <c r="AK37" s="38"/>
      <c r="AL37" s="47" t="str">
        <f t="shared" si="17"/>
        <v/>
      </c>
      <c r="AM37" s="9" t="str">
        <f t="shared" si="18"/>
        <v/>
      </c>
      <c r="AN37" s="9" t="str">
        <f t="shared" si="19"/>
        <v/>
      </c>
      <c r="AO37" s="10" t="str">
        <f t="shared" si="20"/>
        <v/>
      </c>
      <c r="AP37" s="11"/>
      <c r="AR37" s="12"/>
      <c r="AS37" s="9"/>
      <c r="AT37" s="9" t="str">
        <f t="shared" si="21"/>
        <v/>
      </c>
      <c r="AU37" s="9"/>
      <c r="AV37" s="9" t="str">
        <f t="shared" si="22"/>
        <v/>
      </c>
      <c r="AW37" s="9"/>
      <c r="AX37" s="9" t="str">
        <f t="shared" si="23"/>
        <v/>
      </c>
      <c r="AY37" s="38"/>
      <c r="AZ37" s="47" t="str">
        <f t="shared" si="39"/>
        <v/>
      </c>
      <c r="BA37" s="9" t="str">
        <f t="shared" si="40"/>
        <v/>
      </c>
      <c r="BB37" s="9" t="str">
        <f t="shared" si="24"/>
        <v/>
      </c>
      <c r="BC37" s="10" t="str">
        <f t="shared" si="25"/>
        <v/>
      </c>
      <c r="BD37" s="11"/>
      <c r="BF37" s="12"/>
      <c r="BG37" s="9"/>
      <c r="BH37" s="9" t="str">
        <f t="shared" si="26"/>
        <v/>
      </c>
      <c r="BI37" s="9"/>
      <c r="BJ37" s="9" t="str">
        <f t="shared" si="27"/>
        <v/>
      </c>
      <c r="BK37" s="9"/>
      <c r="BL37" s="9" t="str">
        <f t="shared" si="28"/>
        <v/>
      </c>
      <c r="BM37" s="38"/>
      <c r="BN37" s="47" t="str">
        <f t="shared" si="29"/>
        <v/>
      </c>
      <c r="BO37" s="9" t="str">
        <f t="shared" si="30"/>
        <v/>
      </c>
      <c r="BP37" s="9" t="str">
        <f t="shared" si="31"/>
        <v/>
      </c>
      <c r="BQ37" s="10" t="str">
        <f t="shared" si="32"/>
        <v/>
      </c>
      <c r="BR37" s="11"/>
      <c r="BT37" s="12"/>
      <c r="BU37" s="9"/>
      <c r="BV37" s="9" t="str">
        <f t="shared" si="33"/>
        <v/>
      </c>
      <c r="BW37" s="9"/>
      <c r="BX37" s="9" t="str">
        <f t="shared" si="34"/>
        <v/>
      </c>
      <c r="BY37" s="9"/>
      <c r="BZ37" s="9" t="str">
        <f t="shared" si="35"/>
        <v/>
      </c>
      <c r="CA37" s="38"/>
      <c r="CB37" s="47" t="str">
        <f t="shared" si="45"/>
        <v/>
      </c>
      <c r="CC37" s="9" t="str">
        <f t="shared" si="44"/>
        <v/>
      </c>
      <c r="CD37" s="9" t="str">
        <f t="shared" si="37"/>
        <v/>
      </c>
      <c r="CE37" s="10" t="str">
        <f t="shared" si="38"/>
        <v/>
      </c>
      <c r="CF37" s="11"/>
    </row>
    <row r="38" spans="1:84" ht="15" customHeight="1" thickBot="1">
      <c r="A38" s="12"/>
      <c r="B38" s="8"/>
      <c r="C38" s="9"/>
      <c r="D38" s="9" t="str">
        <f t="shared" si="52"/>
        <v/>
      </c>
      <c r="E38" s="9"/>
      <c r="F38" s="9" t="str">
        <f t="shared" si="53"/>
        <v/>
      </c>
      <c r="G38" s="9"/>
      <c r="H38" s="9" t="str">
        <f t="shared" si="54"/>
        <v/>
      </c>
      <c r="I38" s="9"/>
      <c r="J38" s="9"/>
      <c r="K38" s="9"/>
      <c r="L38" s="9" t="str">
        <f t="shared" si="42"/>
        <v/>
      </c>
      <c r="M38" s="10" t="str">
        <f t="shared" si="43"/>
        <v/>
      </c>
      <c r="N38" s="11"/>
      <c r="O38" s="2"/>
      <c r="P38" s="18"/>
      <c r="Q38" s="19"/>
      <c r="R38" s="19" t="str">
        <f t="shared" si="7"/>
        <v/>
      </c>
      <c r="S38" s="19"/>
      <c r="T38" s="19" t="str">
        <f t="shared" si="8"/>
        <v/>
      </c>
      <c r="U38" s="19"/>
      <c r="V38" s="19" t="str">
        <f t="shared" si="9"/>
        <v/>
      </c>
      <c r="W38" s="37"/>
      <c r="X38" s="48" t="str">
        <f t="shared" si="50"/>
        <v/>
      </c>
      <c r="Y38" s="51" t="str">
        <f t="shared" si="51"/>
        <v/>
      </c>
      <c r="Z38" s="19" t="str">
        <f t="shared" si="12"/>
        <v/>
      </c>
      <c r="AA38" s="20" t="str">
        <f t="shared" si="13"/>
        <v/>
      </c>
      <c r="AB38" s="11"/>
      <c r="AD38" s="18"/>
      <c r="AE38" s="19"/>
      <c r="AF38" s="19" t="str">
        <f t="shared" si="14"/>
        <v/>
      </c>
      <c r="AG38" s="19"/>
      <c r="AH38" s="19" t="str">
        <f t="shared" si="15"/>
        <v/>
      </c>
      <c r="AI38" s="19"/>
      <c r="AJ38" s="19" t="str">
        <f t="shared" si="16"/>
        <v/>
      </c>
      <c r="AK38" s="37"/>
      <c r="AL38" s="48" t="str">
        <f t="shared" si="17"/>
        <v/>
      </c>
      <c r="AM38" s="51" t="str">
        <f t="shared" si="18"/>
        <v/>
      </c>
      <c r="AN38" s="19" t="str">
        <f t="shared" si="19"/>
        <v/>
      </c>
      <c r="AO38" s="20" t="str">
        <f t="shared" si="20"/>
        <v/>
      </c>
      <c r="AP38" s="11"/>
      <c r="AR38" s="18"/>
      <c r="AS38" s="19"/>
      <c r="AT38" s="19" t="str">
        <f t="shared" si="21"/>
        <v/>
      </c>
      <c r="AU38" s="19"/>
      <c r="AV38" s="19" t="str">
        <f t="shared" si="22"/>
        <v/>
      </c>
      <c r="AW38" s="19"/>
      <c r="AX38" s="19" t="str">
        <f t="shared" si="23"/>
        <v/>
      </c>
      <c r="AY38" s="37"/>
      <c r="AZ38" s="48" t="str">
        <f t="shared" si="39"/>
        <v/>
      </c>
      <c r="BA38" s="51" t="str">
        <f t="shared" si="40"/>
        <v/>
      </c>
      <c r="BB38" s="19" t="str">
        <f t="shared" si="24"/>
        <v/>
      </c>
      <c r="BC38" s="20" t="str">
        <f t="shared" si="25"/>
        <v/>
      </c>
      <c r="BD38" s="11"/>
      <c r="BF38" s="18"/>
      <c r="BG38" s="19"/>
      <c r="BH38" s="19" t="str">
        <f t="shared" si="26"/>
        <v/>
      </c>
      <c r="BI38" s="19"/>
      <c r="BJ38" s="19" t="str">
        <f t="shared" si="27"/>
        <v/>
      </c>
      <c r="BK38" s="19"/>
      <c r="BL38" s="19" t="str">
        <f t="shared" si="28"/>
        <v/>
      </c>
      <c r="BM38" s="37"/>
      <c r="BN38" s="48" t="str">
        <f t="shared" si="29"/>
        <v/>
      </c>
      <c r="BO38" s="51" t="str">
        <f t="shared" si="30"/>
        <v/>
      </c>
      <c r="BP38" s="19" t="str">
        <f t="shared" si="31"/>
        <v/>
      </c>
      <c r="BQ38" s="20" t="str">
        <f t="shared" si="32"/>
        <v/>
      </c>
      <c r="BR38" s="11"/>
      <c r="BT38" s="18"/>
      <c r="BU38" s="19"/>
      <c r="BV38" s="19" t="str">
        <f t="shared" si="33"/>
        <v/>
      </c>
      <c r="BW38" s="19"/>
      <c r="BX38" s="19" t="str">
        <f t="shared" si="34"/>
        <v/>
      </c>
      <c r="BY38" s="19"/>
      <c r="BZ38" s="19" t="str">
        <f t="shared" si="35"/>
        <v/>
      </c>
      <c r="CA38" s="37"/>
      <c r="CB38" s="48" t="str">
        <f t="shared" si="45"/>
        <v/>
      </c>
      <c r="CC38" s="51" t="str">
        <f t="shared" si="44"/>
        <v/>
      </c>
      <c r="CD38" s="19" t="str">
        <f t="shared" si="37"/>
        <v/>
      </c>
      <c r="CE38" s="20" t="str">
        <f t="shared" si="38"/>
        <v/>
      </c>
      <c r="CF38" s="11"/>
    </row>
    <row r="39" spans="1:84" ht="15" customHeight="1" thickTop="1">
      <c r="A39" s="12"/>
      <c r="B39" s="8"/>
      <c r="C39" s="9"/>
      <c r="D39" s="9" t="str">
        <f t="shared" si="52"/>
        <v/>
      </c>
      <c r="E39" s="9"/>
      <c r="F39" s="9" t="str">
        <f t="shared" si="53"/>
        <v/>
      </c>
      <c r="G39" s="9"/>
      <c r="H39" s="9" t="str">
        <f t="shared" si="54"/>
        <v/>
      </c>
      <c r="I39" s="9"/>
      <c r="J39" s="9"/>
      <c r="K39" s="9"/>
      <c r="L39" s="9" t="str">
        <f t="shared" si="42"/>
        <v/>
      </c>
      <c r="M39" s="10" t="str">
        <f t="shared" si="43"/>
        <v/>
      </c>
      <c r="N39" s="11"/>
      <c r="O39" s="2"/>
      <c r="P39" s="65" t="str">
        <f>IF($A12="","",$A12)</f>
        <v/>
      </c>
      <c r="Q39" s="44"/>
      <c r="R39" s="44" t="str">
        <f t="shared" ref="R39:R70" si="55">IF(Q39="","",Q39-Q35)</f>
        <v/>
      </c>
      <c r="S39" s="44"/>
      <c r="T39" s="23" t="str">
        <f t="shared" ref="T39:T70" si="56">IF(S39="","",S39-S35)</f>
        <v/>
      </c>
      <c r="U39" s="44"/>
      <c r="V39" s="44" t="str">
        <f t="shared" ref="V39:V70" si="57">IF(U39="","",U35+W35-U39)</f>
        <v/>
      </c>
      <c r="W39" s="66"/>
      <c r="X39" s="61" t="str">
        <f t="shared" si="50"/>
        <v/>
      </c>
      <c r="Y39" s="62" t="str">
        <f t="shared" si="51"/>
        <v/>
      </c>
      <c r="Z39" s="23" t="str">
        <f t="shared" ref="Z39:Z70" si="58">IF(U39="","",V39*Y39)</f>
        <v/>
      </c>
      <c r="AA39" s="24" t="str">
        <f t="shared" ref="AA39:AA70" si="59">IF(V39="","",Z39/(R39*100))</f>
        <v/>
      </c>
      <c r="AB39" s="11"/>
      <c r="AD39" s="65" t="str">
        <f>IF($A12="","",$A12)</f>
        <v/>
      </c>
      <c r="AE39" s="44"/>
      <c r="AF39" s="44" t="str">
        <f t="shared" ref="AF39:AF70" si="60">IF(AE39="","",AE39-AE35)</f>
        <v/>
      </c>
      <c r="AG39" s="44"/>
      <c r="AH39" s="23" t="str">
        <f t="shared" ref="AH39:AH70" si="61">IF(AG39="","",AG39-AG35)</f>
        <v/>
      </c>
      <c r="AI39" s="44"/>
      <c r="AJ39" s="44" t="str">
        <f t="shared" ref="AJ39:AJ70" si="62">IF(AI39="","",AI35+AK35-AI39)</f>
        <v/>
      </c>
      <c r="AK39" s="66"/>
      <c r="AL39" s="61" t="str">
        <f t="shared" si="17"/>
        <v/>
      </c>
      <c r="AM39" s="62" t="str">
        <f t="shared" si="18"/>
        <v/>
      </c>
      <c r="AN39" s="23" t="str">
        <f t="shared" ref="AN39:AN70" si="63">IF(AI39="","",AJ39*AM39)</f>
        <v/>
      </c>
      <c r="AO39" s="24" t="str">
        <f t="shared" ref="AO39:AO70" si="64">IF(AJ39="","",AN39/(AF39*100))</f>
        <v/>
      </c>
      <c r="AP39" s="11"/>
      <c r="AR39" s="65" t="str">
        <f>IF($A12="","",$A12)</f>
        <v/>
      </c>
      <c r="AS39" s="44"/>
      <c r="AT39" s="44" t="str">
        <f t="shared" ref="AT39:AT70" si="65">IF(AS39="","",AS39-AS35)</f>
        <v/>
      </c>
      <c r="AU39" s="44"/>
      <c r="AV39" s="23" t="str">
        <f t="shared" ref="AV39:AV70" si="66">IF(AU39="","",AU39-AU35)</f>
        <v/>
      </c>
      <c r="AW39" s="44"/>
      <c r="AX39" s="44" t="str">
        <f t="shared" ref="AX39:AX70" si="67">IF(AW39="","",AW35+AY35-AW39)</f>
        <v/>
      </c>
      <c r="AY39" s="66"/>
      <c r="AZ39" s="61" t="str">
        <f t="shared" si="39"/>
        <v/>
      </c>
      <c r="BA39" s="62" t="str">
        <f t="shared" si="40"/>
        <v/>
      </c>
      <c r="BB39" s="23" t="str">
        <f t="shared" ref="BB39:BB70" si="68">IF(AW39="","",AX39*BA39)</f>
        <v/>
      </c>
      <c r="BC39" s="24" t="str">
        <f t="shared" ref="BC39:BC70" si="69">IF(AX39="","",BB39/(AT39*100))</f>
        <v/>
      </c>
      <c r="BD39" s="11"/>
      <c r="BF39" s="65" t="str">
        <f>IF($A12="","",$A12)</f>
        <v/>
      </c>
      <c r="BG39" s="44"/>
      <c r="BH39" s="44" t="str">
        <f t="shared" ref="BH39:BH70" si="70">IF(BG39="","",BG39-BG35)</f>
        <v/>
      </c>
      <c r="BI39" s="44"/>
      <c r="BJ39" s="23" t="str">
        <f t="shared" ref="BJ39:BJ70" si="71">IF(BI39="","",BI39-BI35)</f>
        <v/>
      </c>
      <c r="BK39" s="44"/>
      <c r="BL39" s="44" t="str">
        <f t="shared" ref="BL39:BL70" si="72">IF(BK39="","",BK35+BM35-BK39)</f>
        <v/>
      </c>
      <c r="BM39" s="66"/>
      <c r="BN39" s="61" t="str">
        <f t="shared" si="29"/>
        <v/>
      </c>
      <c r="BO39" s="62" t="str">
        <f t="shared" si="30"/>
        <v/>
      </c>
      <c r="BP39" s="23" t="str">
        <f t="shared" ref="BP39:BP70" si="73">IF(BK39="","",BL39*BO39)</f>
        <v/>
      </c>
      <c r="BQ39" s="24" t="str">
        <f t="shared" ref="BQ39:BQ70" si="74">IF(BL39="","",BP39/(BH39*100))</f>
        <v/>
      </c>
      <c r="BR39" s="11"/>
      <c r="BT39" s="65" t="str">
        <f>IF($A12="","",$A12)</f>
        <v/>
      </c>
      <c r="BU39" s="44"/>
      <c r="BV39" s="44" t="str">
        <f t="shared" ref="BV39:BV70" si="75">IF(BU39="","",BU39-BU35)</f>
        <v/>
      </c>
      <c r="BW39" s="44"/>
      <c r="BX39" s="23" t="str">
        <f t="shared" ref="BX39:BX70" si="76">IF(BW39="","",BW39-BW35)</f>
        <v/>
      </c>
      <c r="BY39" s="44"/>
      <c r="BZ39" s="44" t="str">
        <f t="shared" ref="BZ39:BZ70" si="77">IF(BY39="","",BY35+CA35-BY39)</f>
        <v/>
      </c>
      <c r="CA39" s="66"/>
      <c r="CB39" s="61" t="str">
        <f t="shared" si="45"/>
        <v/>
      </c>
      <c r="CC39" s="62" t="str">
        <f t="shared" si="44"/>
        <v/>
      </c>
      <c r="CD39" s="23" t="str">
        <f t="shared" ref="CD39:CD70" si="78">IF(BY39="","",BZ39*CC39)</f>
        <v/>
      </c>
      <c r="CE39" s="24" t="str">
        <f t="shared" ref="CE39:CE70" si="79">IF(BZ39="","",CD39/(BV39*100))</f>
        <v/>
      </c>
      <c r="CF39" s="11"/>
    </row>
    <row r="40" spans="1:84">
      <c r="A40" s="12"/>
      <c r="B40" s="8"/>
      <c r="C40" s="9"/>
      <c r="D40" s="9" t="str">
        <f t="shared" si="52"/>
        <v/>
      </c>
      <c r="E40" s="9"/>
      <c r="F40" s="9" t="str">
        <f t="shared" si="53"/>
        <v/>
      </c>
      <c r="G40" s="9"/>
      <c r="H40" s="9" t="str">
        <f t="shared" si="54"/>
        <v/>
      </c>
      <c r="I40" s="9"/>
      <c r="J40" s="9"/>
      <c r="K40" s="9"/>
      <c r="L40" s="9" t="str">
        <f t="shared" si="42"/>
        <v/>
      </c>
      <c r="M40" s="10" t="str">
        <f t="shared" si="43"/>
        <v/>
      </c>
      <c r="N40" s="11"/>
      <c r="O40" s="2"/>
      <c r="P40" s="12"/>
      <c r="Q40" s="9"/>
      <c r="R40" s="44" t="str">
        <f t="shared" si="55"/>
        <v/>
      </c>
      <c r="S40" s="9"/>
      <c r="T40" s="9" t="str">
        <f t="shared" si="56"/>
        <v/>
      </c>
      <c r="U40" s="9"/>
      <c r="V40" s="9" t="str">
        <f t="shared" si="57"/>
        <v/>
      </c>
      <c r="W40" s="13"/>
      <c r="X40" s="47" t="str">
        <f t="shared" si="50"/>
        <v/>
      </c>
      <c r="Y40" s="45" t="str">
        <f t="shared" si="51"/>
        <v/>
      </c>
      <c r="Z40" s="9" t="str">
        <f t="shared" si="58"/>
        <v/>
      </c>
      <c r="AA40" s="10" t="str">
        <f t="shared" si="59"/>
        <v/>
      </c>
      <c r="AB40" s="11"/>
      <c r="AD40" s="12"/>
      <c r="AE40" s="9"/>
      <c r="AF40" s="44" t="str">
        <f t="shared" si="60"/>
        <v/>
      </c>
      <c r="AG40" s="9"/>
      <c r="AH40" s="9" t="str">
        <f t="shared" si="61"/>
        <v/>
      </c>
      <c r="AI40" s="9"/>
      <c r="AJ40" s="9" t="str">
        <f t="shared" si="62"/>
        <v/>
      </c>
      <c r="AK40" s="13"/>
      <c r="AL40" s="47" t="str">
        <f t="shared" si="17"/>
        <v/>
      </c>
      <c r="AM40" s="45" t="str">
        <f t="shared" si="18"/>
        <v/>
      </c>
      <c r="AN40" s="9" t="str">
        <f t="shared" si="63"/>
        <v/>
      </c>
      <c r="AO40" s="10" t="str">
        <f t="shared" si="64"/>
        <v/>
      </c>
      <c r="AP40" s="11"/>
      <c r="AR40" s="12"/>
      <c r="AS40" s="9"/>
      <c r="AT40" s="44" t="str">
        <f t="shared" si="65"/>
        <v/>
      </c>
      <c r="AU40" s="9"/>
      <c r="AV40" s="9" t="str">
        <f t="shared" si="66"/>
        <v/>
      </c>
      <c r="AW40" s="9"/>
      <c r="AX40" s="9" t="str">
        <f t="shared" si="67"/>
        <v/>
      </c>
      <c r="AY40" s="13"/>
      <c r="AZ40" s="47" t="str">
        <f t="shared" si="39"/>
        <v/>
      </c>
      <c r="BA40" s="45" t="str">
        <f t="shared" si="40"/>
        <v/>
      </c>
      <c r="BB40" s="9" t="str">
        <f t="shared" si="68"/>
        <v/>
      </c>
      <c r="BC40" s="10" t="str">
        <f t="shared" si="69"/>
        <v/>
      </c>
      <c r="BD40" s="11"/>
      <c r="BF40" s="12"/>
      <c r="BG40" s="9"/>
      <c r="BH40" s="44" t="str">
        <f t="shared" si="70"/>
        <v/>
      </c>
      <c r="BI40" s="9"/>
      <c r="BJ40" s="9" t="str">
        <f t="shared" si="71"/>
        <v/>
      </c>
      <c r="BK40" s="9"/>
      <c r="BL40" s="9" t="str">
        <f t="shared" si="72"/>
        <v/>
      </c>
      <c r="BM40" s="13"/>
      <c r="BN40" s="47" t="str">
        <f t="shared" si="29"/>
        <v/>
      </c>
      <c r="BO40" s="45" t="str">
        <f t="shared" si="30"/>
        <v/>
      </c>
      <c r="BP40" s="9" t="str">
        <f t="shared" si="73"/>
        <v/>
      </c>
      <c r="BQ40" s="10" t="str">
        <f t="shared" si="74"/>
        <v/>
      </c>
      <c r="BR40" s="11"/>
      <c r="BT40" s="12"/>
      <c r="BU40" s="9"/>
      <c r="BV40" s="44" t="str">
        <f t="shared" si="75"/>
        <v/>
      </c>
      <c r="BW40" s="9"/>
      <c r="BX40" s="9" t="str">
        <f t="shared" si="76"/>
        <v/>
      </c>
      <c r="BY40" s="9"/>
      <c r="BZ40" s="9" t="str">
        <f t="shared" si="77"/>
        <v/>
      </c>
      <c r="CA40" s="13"/>
      <c r="CB40" s="47" t="str">
        <f t="shared" si="45"/>
        <v/>
      </c>
      <c r="CC40" s="45" t="str">
        <f t="shared" si="44"/>
        <v/>
      </c>
      <c r="CD40" s="9" t="str">
        <f t="shared" si="78"/>
        <v/>
      </c>
      <c r="CE40" s="10" t="str">
        <f t="shared" si="79"/>
        <v/>
      </c>
      <c r="CF40" s="11"/>
    </row>
    <row r="41" spans="1:84" ht="15" customHeight="1">
      <c r="A41" s="12"/>
      <c r="B41" s="8"/>
      <c r="C41" s="9"/>
      <c r="D41" s="9" t="str">
        <f t="shared" si="52"/>
        <v/>
      </c>
      <c r="E41" s="9"/>
      <c r="F41" s="9" t="str">
        <f t="shared" si="53"/>
        <v/>
      </c>
      <c r="G41" s="9"/>
      <c r="H41" s="9" t="str">
        <f t="shared" si="54"/>
        <v/>
      </c>
      <c r="I41" s="9"/>
      <c r="J41" s="9"/>
      <c r="K41" s="9"/>
      <c r="L41" s="9" t="str">
        <f t="shared" si="42"/>
        <v/>
      </c>
      <c r="M41" s="10" t="str">
        <f t="shared" si="43"/>
        <v/>
      </c>
      <c r="N41" s="11"/>
      <c r="O41" s="2"/>
      <c r="P41" s="12"/>
      <c r="Q41" s="9"/>
      <c r="R41" s="52" t="str">
        <f t="shared" si="55"/>
        <v/>
      </c>
      <c r="S41" s="9"/>
      <c r="T41" s="9" t="str">
        <f t="shared" si="56"/>
        <v/>
      </c>
      <c r="U41" s="26"/>
      <c r="V41" s="26" t="str">
        <f t="shared" si="57"/>
        <v/>
      </c>
      <c r="W41" s="38"/>
      <c r="X41" s="47" t="str">
        <f t="shared" si="50"/>
        <v/>
      </c>
      <c r="Y41" s="9" t="str">
        <f t="shared" si="51"/>
        <v/>
      </c>
      <c r="Z41" s="9" t="str">
        <f t="shared" si="58"/>
        <v/>
      </c>
      <c r="AA41" s="10" t="str">
        <f t="shared" si="59"/>
        <v/>
      </c>
      <c r="AB41" s="11"/>
      <c r="AD41" s="12"/>
      <c r="AE41" s="9"/>
      <c r="AF41" s="52" t="str">
        <f t="shared" si="60"/>
        <v/>
      </c>
      <c r="AG41" s="9"/>
      <c r="AH41" s="9" t="str">
        <f t="shared" si="61"/>
        <v/>
      </c>
      <c r="AI41" s="26"/>
      <c r="AJ41" s="26" t="str">
        <f t="shared" si="62"/>
        <v/>
      </c>
      <c r="AK41" s="38"/>
      <c r="AL41" s="47" t="str">
        <f t="shared" si="17"/>
        <v/>
      </c>
      <c r="AM41" s="9" t="str">
        <f t="shared" si="18"/>
        <v/>
      </c>
      <c r="AN41" s="9" t="str">
        <f t="shared" si="63"/>
        <v/>
      </c>
      <c r="AO41" s="10" t="str">
        <f t="shared" si="64"/>
        <v/>
      </c>
      <c r="AP41" s="11"/>
      <c r="AR41" s="12"/>
      <c r="AS41" s="9"/>
      <c r="AT41" s="52" t="str">
        <f t="shared" si="65"/>
        <v/>
      </c>
      <c r="AU41" s="9"/>
      <c r="AV41" s="9" t="str">
        <f t="shared" si="66"/>
        <v/>
      </c>
      <c r="AW41" s="26"/>
      <c r="AX41" s="26" t="str">
        <f t="shared" si="67"/>
        <v/>
      </c>
      <c r="AY41" s="38"/>
      <c r="AZ41" s="47" t="str">
        <f t="shared" si="39"/>
        <v/>
      </c>
      <c r="BA41" s="9" t="str">
        <f t="shared" si="40"/>
        <v/>
      </c>
      <c r="BB41" s="9" t="str">
        <f t="shared" si="68"/>
        <v/>
      </c>
      <c r="BC41" s="10" t="str">
        <f t="shared" si="69"/>
        <v/>
      </c>
      <c r="BD41" s="11"/>
      <c r="BF41" s="12"/>
      <c r="BG41" s="9"/>
      <c r="BH41" s="52" t="str">
        <f t="shared" si="70"/>
        <v/>
      </c>
      <c r="BI41" s="9"/>
      <c r="BJ41" s="9" t="str">
        <f t="shared" si="71"/>
        <v/>
      </c>
      <c r="BK41" s="26"/>
      <c r="BL41" s="26" t="str">
        <f t="shared" si="72"/>
        <v/>
      </c>
      <c r="BM41" s="38"/>
      <c r="BN41" s="47" t="str">
        <f t="shared" si="29"/>
        <v/>
      </c>
      <c r="BO41" s="9" t="str">
        <f t="shared" si="30"/>
        <v/>
      </c>
      <c r="BP41" s="9" t="str">
        <f t="shared" si="73"/>
        <v/>
      </c>
      <c r="BQ41" s="10" t="str">
        <f t="shared" si="74"/>
        <v/>
      </c>
      <c r="BR41" s="11"/>
      <c r="BT41" s="12"/>
      <c r="BU41" s="9"/>
      <c r="BV41" s="52" t="str">
        <f t="shared" si="75"/>
        <v/>
      </c>
      <c r="BW41" s="9"/>
      <c r="BX41" s="9" t="str">
        <f t="shared" si="76"/>
        <v/>
      </c>
      <c r="BY41" s="26"/>
      <c r="BZ41" s="26" t="str">
        <f t="shared" si="77"/>
        <v/>
      </c>
      <c r="CA41" s="38"/>
      <c r="CB41" s="47" t="str">
        <f t="shared" si="45"/>
        <v/>
      </c>
      <c r="CC41" s="9" t="str">
        <f t="shared" si="44"/>
        <v/>
      </c>
      <c r="CD41" s="9" t="str">
        <f t="shared" si="78"/>
        <v/>
      </c>
      <c r="CE41" s="10" t="str">
        <f t="shared" si="79"/>
        <v/>
      </c>
      <c r="CF41" s="11"/>
    </row>
    <row r="42" spans="1:84" ht="15" customHeight="1" thickBot="1">
      <c r="A42" s="12"/>
      <c r="B42" s="8"/>
      <c r="C42" s="9"/>
      <c r="D42" s="9" t="str">
        <f t="shared" si="52"/>
        <v/>
      </c>
      <c r="E42" s="9"/>
      <c r="F42" s="9" t="str">
        <f t="shared" si="53"/>
        <v/>
      </c>
      <c r="G42" s="9"/>
      <c r="H42" s="9" t="str">
        <f t="shared" si="54"/>
        <v/>
      </c>
      <c r="I42" s="9"/>
      <c r="J42" s="9"/>
      <c r="K42" s="9"/>
      <c r="L42" s="9" t="str">
        <f t="shared" si="42"/>
        <v/>
      </c>
      <c r="M42" s="10" t="str">
        <f t="shared" si="43"/>
        <v/>
      </c>
      <c r="N42" s="11"/>
      <c r="O42" s="2"/>
      <c r="P42" s="18"/>
      <c r="Q42" s="21"/>
      <c r="R42" s="50" t="str">
        <f t="shared" si="55"/>
        <v/>
      </c>
      <c r="S42" s="51"/>
      <c r="T42" s="21" t="str">
        <f t="shared" si="56"/>
        <v/>
      </c>
      <c r="U42" s="53"/>
      <c r="V42" s="53" t="str">
        <f t="shared" si="57"/>
        <v/>
      </c>
      <c r="W42" s="37"/>
      <c r="X42" s="48" t="str">
        <f t="shared" si="50"/>
        <v/>
      </c>
      <c r="Y42" s="51" t="str">
        <f t="shared" si="51"/>
        <v/>
      </c>
      <c r="Z42" s="19" t="str">
        <f t="shared" si="58"/>
        <v/>
      </c>
      <c r="AA42" s="20" t="str">
        <f t="shared" si="59"/>
        <v/>
      </c>
      <c r="AB42" s="137"/>
      <c r="AD42" s="18"/>
      <c r="AE42" s="21"/>
      <c r="AF42" s="50" t="str">
        <f t="shared" si="60"/>
        <v/>
      </c>
      <c r="AG42" s="51"/>
      <c r="AH42" s="21" t="str">
        <f t="shared" si="61"/>
        <v/>
      </c>
      <c r="AI42" s="53"/>
      <c r="AJ42" s="53" t="str">
        <f t="shared" si="62"/>
        <v/>
      </c>
      <c r="AK42" s="37"/>
      <c r="AL42" s="48" t="str">
        <f t="shared" si="17"/>
        <v/>
      </c>
      <c r="AM42" s="51" t="str">
        <f t="shared" si="18"/>
        <v/>
      </c>
      <c r="AN42" s="19" t="str">
        <f t="shared" si="63"/>
        <v/>
      </c>
      <c r="AO42" s="20" t="str">
        <f t="shared" si="64"/>
        <v/>
      </c>
      <c r="AP42" s="137"/>
      <c r="AR42" s="18"/>
      <c r="AS42" s="21"/>
      <c r="AT42" s="50" t="str">
        <f t="shared" si="65"/>
        <v/>
      </c>
      <c r="AU42" s="51"/>
      <c r="AV42" s="21" t="str">
        <f t="shared" si="66"/>
        <v/>
      </c>
      <c r="AW42" s="53"/>
      <c r="AX42" s="53" t="str">
        <f t="shared" si="67"/>
        <v/>
      </c>
      <c r="AY42" s="37"/>
      <c r="AZ42" s="48" t="str">
        <f t="shared" si="39"/>
        <v/>
      </c>
      <c r="BA42" s="51" t="str">
        <f t="shared" si="40"/>
        <v/>
      </c>
      <c r="BB42" s="19" t="str">
        <f t="shared" si="68"/>
        <v/>
      </c>
      <c r="BC42" s="20" t="str">
        <f t="shared" si="69"/>
        <v/>
      </c>
      <c r="BD42" s="137"/>
      <c r="BF42" s="18"/>
      <c r="BG42" s="21"/>
      <c r="BH42" s="50" t="str">
        <f t="shared" si="70"/>
        <v/>
      </c>
      <c r="BI42" s="51"/>
      <c r="BJ42" s="21" t="str">
        <f t="shared" si="71"/>
        <v/>
      </c>
      <c r="BK42" s="53"/>
      <c r="BL42" s="53" t="str">
        <f t="shared" si="72"/>
        <v/>
      </c>
      <c r="BM42" s="37"/>
      <c r="BN42" s="48" t="str">
        <f t="shared" si="29"/>
        <v/>
      </c>
      <c r="BO42" s="51" t="str">
        <f t="shared" si="30"/>
        <v/>
      </c>
      <c r="BP42" s="19" t="str">
        <f t="shared" si="73"/>
        <v/>
      </c>
      <c r="BQ42" s="20" t="str">
        <f t="shared" si="74"/>
        <v/>
      </c>
      <c r="BR42" s="137"/>
      <c r="BT42" s="18"/>
      <c r="BU42" s="21"/>
      <c r="BV42" s="50" t="str">
        <f t="shared" si="75"/>
        <v/>
      </c>
      <c r="BW42" s="51"/>
      <c r="BX42" s="21" t="str">
        <f t="shared" si="76"/>
        <v/>
      </c>
      <c r="BY42" s="53"/>
      <c r="BZ42" s="53" t="str">
        <f t="shared" si="77"/>
        <v/>
      </c>
      <c r="CA42" s="37"/>
      <c r="CB42" s="48" t="str">
        <f t="shared" si="45"/>
        <v/>
      </c>
      <c r="CC42" s="51" t="str">
        <f t="shared" si="44"/>
        <v/>
      </c>
      <c r="CD42" s="19" t="str">
        <f t="shared" si="78"/>
        <v/>
      </c>
      <c r="CE42" s="20" t="str">
        <f t="shared" si="79"/>
        <v/>
      </c>
      <c r="CF42" s="137"/>
    </row>
    <row r="43" spans="1:84" ht="15" customHeight="1" thickTop="1">
      <c r="A43" s="12"/>
      <c r="B43" s="8"/>
      <c r="C43" s="9"/>
      <c r="D43" s="9" t="str">
        <f t="shared" si="52"/>
        <v/>
      </c>
      <c r="E43" s="9"/>
      <c r="F43" s="9" t="str">
        <f t="shared" si="53"/>
        <v/>
      </c>
      <c r="G43" s="9"/>
      <c r="H43" s="9" t="str">
        <f t="shared" si="54"/>
        <v/>
      </c>
      <c r="I43" s="9"/>
      <c r="J43" s="9"/>
      <c r="K43" s="9"/>
      <c r="L43" s="9" t="str">
        <f t="shared" si="42"/>
        <v/>
      </c>
      <c r="M43" s="10" t="str">
        <f t="shared" si="43"/>
        <v/>
      </c>
      <c r="N43" s="11"/>
      <c r="O43" s="2"/>
      <c r="P43" s="65" t="str">
        <f>IF($A13="","",$A13)</f>
        <v/>
      </c>
      <c r="Q43" s="44"/>
      <c r="R43" s="44" t="str">
        <f t="shared" si="55"/>
        <v/>
      </c>
      <c r="S43" s="44"/>
      <c r="T43" s="23" t="str">
        <f t="shared" si="56"/>
        <v/>
      </c>
      <c r="U43" s="44"/>
      <c r="V43" s="44" t="str">
        <f t="shared" si="57"/>
        <v/>
      </c>
      <c r="W43" s="66"/>
      <c r="X43" s="61" t="str">
        <f t="shared" si="50"/>
        <v/>
      </c>
      <c r="Y43" s="62" t="str">
        <f t="shared" si="51"/>
        <v/>
      </c>
      <c r="Z43" s="23" t="str">
        <f t="shared" si="58"/>
        <v/>
      </c>
      <c r="AA43" s="24" t="str">
        <f t="shared" si="59"/>
        <v/>
      </c>
      <c r="AB43" s="11"/>
      <c r="AD43" s="65" t="str">
        <f>IF($A13="","",$A13)</f>
        <v/>
      </c>
      <c r="AE43" s="44"/>
      <c r="AF43" s="44" t="str">
        <f t="shared" si="60"/>
        <v/>
      </c>
      <c r="AG43" s="44"/>
      <c r="AH43" s="23" t="str">
        <f t="shared" si="61"/>
        <v/>
      </c>
      <c r="AI43" s="44"/>
      <c r="AJ43" s="44" t="str">
        <f t="shared" si="62"/>
        <v/>
      </c>
      <c r="AK43" s="66"/>
      <c r="AL43" s="61" t="str">
        <f t="shared" si="17"/>
        <v/>
      </c>
      <c r="AM43" s="62" t="str">
        <f t="shared" si="18"/>
        <v/>
      </c>
      <c r="AN43" s="23" t="str">
        <f t="shared" si="63"/>
        <v/>
      </c>
      <c r="AO43" s="24" t="str">
        <f t="shared" si="64"/>
        <v/>
      </c>
      <c r="AP43" s="11"/>
      <c r="AR43" s="65" t="str">
        <f>IF($A13="","",$A13)</f>
        <v/>
      </c>
      <c r="AS43" s="44"/>
      <c r="AT43" s="44" t="str">
        <f t="shared" si="65"/>
        <v/>
      </c>
      <c r="AU43" s="44"/>
      <c r="AV43" s="23" t="str">
        <f t="shared" si="66"/>
        <v/>
      </c>
      <c r="AW43" s="44"/>
      <c r="AX43" s="44" t="str">
        <f t="shared" si="67"/>
        <v/>
      </c>
      <c r="AY43" s="66"/>
      <c r="AZ43" s="61" t="str">
        <f t="shared" si="39"/>
        <v/>
      </c>
      <c r="BA43" s="62" t="str">
        <f t="shared" si="40"/>
        <v/>
      </c>
      <c r="BB43" s="23" t="str">
        <f t="shared" si="68"/>
        <v/>
      </c>
      <c r="BC43" s="24" t="str">
        <f t="shared" si="69"/>
        <v/>
      </c>
      <c r="BD43" s="11"/>
      <c r="BF43" s="65" t="str">
        <f>IF($A13="","",$A13)</f>
        <v/>
      </c>
      <c r="BG43" s="44"/>
      <c r="BH43" s="44" t="str">
        <f t="shared" si="70"/>
        <v/>
      </c>
      <c r="BI43" s="44"/>
      <c r="BJ43" s="23" t="str">
        <f t="shared" si="71"/>
        <v/>
      </c>
      <c r="BK43" s="44"/>
      <c r="BL43" s="44" t="str">
        <f t="shared" si="72"/>
        <v/>
      </c>
      <c r="BM43" s="66"/>
      <c r="BN43" s="61" t="str">
        <f t="shared" si="29"/>
        <v/>
      </c>
      <c r="BO43" s="62" t="str">
        <f t="shared" si="30"/>
        <v/>
      </c>
      <c r="BP43" s="23" t="str">
        <f t="shared" si="73"/>
        <v/>
      </c>
      <c r="BQ43" s="24" t="str">
        <f t="shared" si="74"/>
        <v/>
      </c>
      <c r="BR43" s="11"/>
      <c r="BT43" s="65" t="str">
        <f>IF($A13="","",$A13)</f>
        <v/>
      </c>
      <c r="BU43" s="44"/>
      <c r="BV43" s="44" t="str">
        <f t="shared" si="75"/>
        <v/>
      </c>
      <c r="BW43" s="44"/>
      <c r="BX43" s="23" t="str">
        <f t="shared" si="76"/>
        <v/>
      </c>
      <c r="BY43" s="44"/>
      <c r="BZ43" s="44" t="str">
        <f t="shared" si="77"/>
        <v/>
      </c>
      <c r="CA43" s="66"/>
      <c r="CB43" s="61" t="str">
        <f t="shared" si="45"/>
        <v/>
      </c>
      <c r="CC43" s="62" t="str">
        <f t="shared" si="44"/>
        <v/>
      </c>
      <c r="CD43" s="23" t="str">
        <f t="shared" si="78"/>
        <v/>
      </c>
      <c r="CE43" s="24" t="str">
        <f t="shared" si="79"/>
        <v/>
      </c>
      <c r="CF43" s="11"/>
    </row>
    <row r="44" spans="1:84" ht="15" customHeight="1">
      <c r="A44" s="12"/>
      <c r="B44" s="8"/>
      <c r="C44" s="9"/>
      <c r="D44" s="9" t="str">
        <f t="shared" si="52"/>
        <v/>
      </c>
      <c r="E44" s="9"/>
      <c r="F44" s="9" t="str">
        <f t="shared" si="53"/>
        <v/>
      </c>
      <c r="G44" s="9"/>
      <c r="H44" s="9" t="str">
        <f t="shared" si="54"/>
        <v/>
      </c>
      <c r="I44" s="9"/>
      <c r="J44" s="9"/>
      <c r="K44" s="9"/>
      <c r="L44" s="9" t="str">
        <f t="shared" si="42"/>
        <v/>
      </c>
      <c r="M44" s="10" t="str">
        <f t="shared" si="43"/>
        <v/>
      </c>
      <c r="N44" s="11"/>
      <c r="O44" s="2"/>
      <c r="P44" s="12"/>
      <c r="Q44" s="9"/>
      <c r="R44" s="44" t="str">
        <f t="shared" si="55"/>
        <v/>
      </c>
      <c r="S44" s="9"/>
      <c r="T44" s="9" t="str">
        <f t="shared" si="56"/>
        <v/>
      </c>
      <c r="U44" s="9"/>
      <c r="V44" s="9" t="str">
        <f t="shared" si="57"/>
        <v/>
      </c>
      <c r="W44" s="13"/>
      <c r="X44" s="47" t="str">
        <f t="shared" ref="X44:X58" si="80">IF(Q44="","",X40)</f>
        <v/>
      </c>
      <c r="Y44" s="45"/>
      <c r="Z44" s="9" t="str">
        <f t="shared" si="58"/>
        <v/>
      </c>
      <c r="AA44" s="10" t="str">
        <f t="shared" si="59"/>
        <v/>
      </c>
      <c r="AB44" s="11"/>
      <c r="AD44" s="12"/>
      <c r="AE44" s="9"/>
      <c r="AF44" s="44" t="str">
        <f t="shared" si="60"/>
        <v/>
      </c>
      <c r="AG44" s="9"/>
      <c r="AH44" s="9" t="str">
        <f t="shared" si="61"/>
        <v/>
      </c>
      <c r="AI44" s="9"/>
      <c r="AJ44" s="9" t="str">
        <f t="shared" si="62"/>
        <v/>
      </c>
      <c r="AK44" s="13"/>
      <c r="AL44" s="47" t="str">
        <f t="shared" ref="AL44:AL58" si="81">IF(AE44="","",AL40)</f>
        <v/>
      </c>
      <c r="AM44" s="45"/>
      <c r="AN44" s="9" t="str">
        <f t="shared" si="63"/>
        <v/>
      </c>
      <c r="AO44" s="10" t="str">
        <f t="shared" si="64"/>
        <v/>
      </c>
      <c r="AP44" s="11"/>
      <c r="AR44" s="12"/>
      <c r="AS44" s="9"/>
      <c r="AT44" s="44" t="str">
        <f t="shared" si="65"/>
        <v/>
      </c>
      <c r="AU44" s="9"/>
      <c r="AV44" s="9" t="str">
        <f t="shared" si="66"/>
        <v/>
      </c>
      <c r="AW44" s="9"/>
      <c r="AX44" s="9" t="str">
        <f t="shared" si="67"/>
        <v/>
      </c>
      <c r="AY44" s="13"/>
      <c r="AZ44" s="47" t="str">
        <f t="shared" ref="AZ44:AZ58" si="82">IF(AS44="","",AZ40)</f>
        <v/>
      </c>
      <c r="BA44" s="45"/>
      <c r="BB44" s="9" t="str">
        <f t="shared" si="68"/>
        <v/>
      </c>
      <c r="BC44" s="10" t="str">
        <f t="shared" si="69"/>
        <v/>
      </c>
      <c r="BD44" s="11"/>
      <c r="BF44" s="12"/>
      <c r="BG44" s="9"/>
      <c r="BH44" s="44" t="str">
        <f t="shared" si="70"/>
        <v/>
      </c>
      <c r="BI44" s="9"/>
      <c r="BJ44" s="9" t="str">
        <f t="shared" si="71"/>
        <v/>
      </c>
      <c r="BK44" s="9"/>
      <c r="BL44" s="9" t="str">
        <f t="shared" si="72"/>
        <v/>
      </c>
      <c r="BM44" s="13"/>
      <c r="BN44" s="47" t="str">
        <f t="shared" ref="BN44:BN58" si="83">IF(BG44="","",BN40)</f>
        <v/>
      </c>
      <c r="BO44" s="45"/>
      <c r="BP44" s="9" t="str">
        <f t="shared" si="73"/>
        <v/>
      </c>
      <c r="BQ44" s="10" t="str">
        <f t="shared" si="74"/>
        <v/>
      </c>
      <c r="BR44" s="11"/>
      <c r="BT44" s="12"/>
      <c r="BU44" s="9"/>
      <c r="BV44" s="44" t="str">
        <f t="shared" si="75"/>
        <v/>
      </c>
      <c r="BW44" s="9"/>
      <c r="BX44" s="9" t="str">
        <f t="shared" si="76"/>
        <v/>
      </c>
      <c r="BY44" s="9"/>
      <c r="BZ44" s="9" t="str">
        <f t="shared" si="77"/>
        <v/>
      </c>
      <c r="CA44" s="13"/>
      <c r="CB44" s="47" t="str">
        <f t="shared" si="45"/>
        <v/>
      </c>
      <c r="CC44" s="45"/>
      <c r="CD44" s="9" t="str">
        <f t="shared" si="78"/>
        <v/>
      </c>
      <c r="CE44" s="10" t="str">
        <f t="shared" si="79"/>
        <v/>
      </c>
      <c r="CF44" s="11"/>
    </row>
    <row r="45" spans="1:84" ht="15" customHeight="1">
      <c r="A45" s="12"/>
      <c r="B45" s="8"/>
      <c r="C45" s="9"/>
      <c r="D45" s="9" t="str">
        <f t="shared" si="52"/>
        <v/>
      </c>
      <c r="E45" s="9"/>
      <c r="F45" s="9" t="str">
        <f t="shared" si="53"/>
        <v/>
      </c>
      <c r="G45" s="9"/>
      <c r="H45" s="9" t="str">
        <f t="shared" si="54"/>
        <v/>
      </c>
      <c r="I45" s="9"/>
      <c r="J45" s="9"/>
      <c r="K45" s="9"/>
      <c r="L45" s="9" t="str">
        <f t="shared" si="42"/>
        <v/>
      </c>
      <c r="M45" s="10" t="str">
        <f t="shared" si="43"/>
        <v/>
      </c>
      <c r="N45" s="11"/>
      <c r="O45" s="2"/>
      <c r="P45" s="12"/>
      <c r="Q45" s="9"/>
      <c r="R45" s="52" t="str">
        <f t="shared" si="55"/>
        <v/>
      </c>
      <c r="S45" s="9"/>
      <c r="T45" s="9" t="str">
        <f t="shared" si="56"/>
        <v/>
      </c>
      <c r="U45" s="9"/>
      <c r="V45" s="9" t="str">
        <f t="shared" si="57"/>
        <v/>
      </c>
      <c r="W45" s="13"/>
      <c r="X45" s="47" t="str">
        <f t="shared" si="80"/>
        <v/>
      </c>
      <c r="Y45" s="9" t="str">
        <f t="shared" ref="Y45:Y58" si="84">IF(R45="","",Y41)</f>
        <v/>
      </c>
      <c r="Z45" s="9" t="str">
        <f t="shared" si="58"/>
        <v/>
      </c>
      <c r="AA45" s="10" t="str">
        <f t="shared" si="59"/>
        <v/>
      </c>
      <c r="AB45" s="11"/>
      <c r="AD45" s="12"/>
      <c r="AE45" s="9"/>
      <c r="AF45" s="52" t="str">
        <f t="shared" si="60"/>
        <v/>
      </c>
      <c r="AG45" s="9"/>
      <c r="AH45" s="9" t="str">
        <f t="shared" si="61"/>
        <v/>
      </c>
      <c r="AI45" s="9"/>
      <c r="AJ45" s="9" t="str">
        <f t="shared" si="62"/>
        <v/>
      </c>
      <c r="AK45" s="13"/>
      <c r="AL45" s="47" t="str">
        <f t="shared" si="81"/>
        <v/>
      </c>
      <c r="AM45" s="9" t="str">
        <f t="shared" ref="AM45:AM58" si="85">IF(AF45="","",AM41)</f>
        <v/>
      </c>
      <c r="AN45" s="9" t="str">
        <f t="shared" si="63"/>
        <v/>
      </c>
      <c r="AO45" s="10" t="str">
        <f t="shared" si="64"/>
        <v/>
      </c>
      <c r="AP45" s="11"/>
      <c r="AR45" s="12"/>
      <c r="AS45" s="9"/>
      <c r="AT45" s="52" t="str">
        <f t="shared" si="65"/>
        <v/>
      </c>
      <c r="AU45" s="9"/>
      <c r="AV45" s="9" t="str">
        <f t="shared" si="66"/>
        <v/>
      </c>
      <c r="AW45" s="9"/>
      <c r="AX45" s="9" t="str">
        <f t="shared" si="67"/>
        <v/>
      </c>
      <c r="AY45" s="13"/>
      <c r="AZ45" s="47" t="str">
        <f t="shared" si="82"/>
        <v/>
      </c>
      <c r="BA45" s="9" t="str">
        <f t="shared" ref="BA45:BA58" si="86">IF(AT45="","",BA41)</f>
        <v/>
      </c>
      <c r="BB45" s="9" t="str">
        <f t="shared" si="68"/>
        <v/>
      </c>
      <c r="BC45" s="10" t="str">
        <f t="shared" si="69"/>
        <v/>
      </c>
      <c r="BD45" s="11"/>
      <c r="BF45" s="12"/>
      <c r="BG45" s="9"/>
      <c r="BH45" s="52" t="str">
        <f t="shared" si="70"/>
        <v/>
      </c>
      <c r="BI45" s="9"/>
      <c r="BJ45" s="9" t="str">
        <f t="shared" si="71"/>
        <v/>
      </c>
      <c r="BK45" s="9"/>
      <c r="BL45" s="9" t="str">
        <f t="shared" si="72"/>
        <v/>
      </c>
      <c r="BM45" s="13"/>
      <c r="BN45" s="47" t="str">
        <f t="shared" si="83"/>
        <v/>
      </c>
      <c r="BO45" s="9" t="str">
        <f t="shared" ref="BO45:BO58" si="87">IF(BH45="","",BO41)</f>
        <v/>
      </c>
      <c r="BP45" s="9" t="str">
        <f t="shared" si="73"/>
        <v/>
      </c>
      <c r="BQ45" s="10" t="str">
        <f t="shared" si="74"/>
        <v/>
      </c>
      <c r="BR45" s="11"/>
      <c r="BT45" s="12"/>
      <c r="BU45" s="9"/>
      <c r="BV45" s="52" t="str">
        <f t="shared" si="75"/>
        <v/>
      </c>
      <c r="BW45" s="9"/>
      <c r="BX45" s="9" t="str">
        <f t="shared" si="76"/>
        <v/>
      </c>
      <c r="BY45" s="9"/>
      <c r="BZ45" s="9" t="str">
        <f t="shared" si="77"/>
        <v/>
      </c>
      <c r="CA45" s="13"/>
      <c r="CB45" s="47" t="str">
        <f t="shared" si="45"/>
        <v/>
      </c>
      <c r="CC45" s="9" t="str">
        <f t="shared" ref="CC45:CC58" si="88">IF(BV45="","",CC41)</f>
        <v/>
      </c>
      <c r="CD45" s="9" t="str">
        <f t="shared" si="78"/>
        <v/>
      </c>
      <c r="CE45" s="10" t="str">
        <f t="shared" si="79"/>
        <v/>
      </c>
      <c r="CF45" s="11"/>
    </row>
    <row r="46" spans="1:84" ht="15" customHeight="1" thickBot="1">
      <c r="A46" s="12"/>
      <c r="B46" s="8"/>
      <c r="C46" s="9"/>
      <c r="D46" s="9" t="str">
        <f t="shared" si="52"/>
        <v/>
      </c>
      <c r="E46" s="9"/>
      <c r="F46" s="9" t="str">
        <f t="shared" si="53"/>
        <v/>
      </c>
      <c r="G46" s="9"/>
      <c r="H46" s="9" t="str">
        <f t="shared" si="54"/>
        <v/>
      </c>
      <c r="I46" s="9"/>
      <c r="J46" s="9"/>
      <c r="K46" s="9"/>
      <c r="L46" s="9" t="str">
        <f t="shared" si="42"/>
        <v/>
      </c>
      <c r="M46" s="10" t="str">
        <f t="shared" si="43"/>
        <v/>
      </c>
      <c r="N46" s="11"/>
      <c r="O46" s="2"/>
      <c r="P46" s="18"/>
      <c r="Q46" s="21"/>
      <c r="R46" s="50" t="str">
        <f t="shared" si="55"/>
        <v/>
      </c>
      <c r="S46" s="51"/>
      <c r="T46" s="19" t="str">
        <f t="shared" si="56"/>
        <v/>
      </c>
      <c r="U46" s="19"/>
      <c r="V46" s="19" t="str">
        <f t="shared" si="57"/>
        <v/>
      </c>
      <c r="W46" s="37"/>
      <c r="X46" s="48" t="str">
        <f t="shared" si="80"/>
        <v/>
      </c>
      <c r="Y46" s="51" t="str">
        <f t="shared" si="84"/>
        <v/>
      </c>
      <c r="Z46" s="19" t="str">
        <f t="shared" si="58"/>
        <v/>
      </c>
      <c r="AA46" s="20" t="str">
        <f t="shared" si="59"/>
        <v/>
      </c>
      <c r="AB46" s="11"/>
      <c r="AD46" s="18"/>
      <c r="AE46" s="21"/>
      <c r="AF46" s="50" t="str">
        <f t="shared" si="60"/>
        <v/>
      </c>
      <c r="AG46" s="51"/>
      <c r="AH46" s="19" t="str">
        <f t="shared" si="61"/>
        <v/>
      </c>
      <c r="AI46" s="19"/>
      <c r="AJ46" s="19" t="str">
        <f t="shared" si="62"/>
        <v/>
      </c>
      <c r="AK46" s="37"/>
      <c r="AL46" s="48" t="str">
        <f t="shared" si="81"/>
        <v/>
      </c>
      <c r="AM46" s="51" t="str">
        <f t="shared" si="85"/>
        <v/>
      </c>
      <c r="AN46" s="19" t="str">
        <f t="shared" si="63"/>
        <v/>
      </c>
      <c r="AO46" s="20" t="str">
        <f t="shared" si="64"/>
        <v/>
      </c>
      <c r="AP46" s="11"/>
      <c r="AR46" s="18"/>
      <c r="AS46" s="21"/>
      <c r="AT46" s="50" t="str">
        <f t="shared" si="65"/>
        <v/>
      </c>
      <c r="AU46" s="51"/>
      <c r="AV46" s="19" t="str">
        <f t="shared" si="66"/>
        <v/>
      </c>
      <c r="AW46" s="19"/>
      <c r="AX46" s="19" t="str">
        <f t="shared" si="67"/>
        <v/>
      </c>
      <c r="AY46" s="37"/>
      <c r="AZ46" s="48" t="str">
        <f t="shared" si="82"/>
        <v/>
      </c>
      <c r="BA46" s="51" t="str">
        <f t="shared" si="86"/>
        <v/>
      </c>
      <c r="BB46" s="19" t="str">
        <f t="shared" si="68"/>
        <v/>
      </c>
      <c r="BC46" s="20" t="str">
        <f t="shared" si="69"/>
        <v/>
      </c>
      <c r="BD46" s="11"/>
      <c r="BF46" s="18"/>
      <c r="BG46" s="21"/>
      <c r="BH46" s="50" t="str">
        <f t="shared" si="70"/>
        <v/>
      </c>
      <c r="BI46" s="51"/>
      <c r="BJ46" s="19" t="str">
        <f t="shared" si="71"/>
        <v/>
      </c>
      <c r="BK46" s="19"/>
      <c r="BL46" s="19" t="str">
        <f t="shared" si="72"/>
        <v/>
      </c>
      <c r="BM46" s="37"/>
      <c r="BN46" s="48" t="str">
        <f t="shared" si="83"/>
        <v/>
      </c>
      <c r="BO46" s="51" t="str">
        <f t="shared" si="87"/>
        <v/>
      </c>
      <c r="BP46" s="19" t="str">
        <f t="shared" si="73"/>
        <v/>
      </c>
      <c r="BQ46" s="20" t="str">
        <f t="shared" si="74"/>
        <v/>
      </c>
      <c r="BR46" s="11"/>
      <c r="BT46" s="18"/>
      <c r="BU46" s="21"/>
      <c r="BV46" s="50" t="str">
        <f t="shared" si="75"/>
        <v/>
      </c>
      <c r="BW46" s="51"/>
      <c r="BX46" s="19" t="str">
        <f t="shared" si="76"/>
        <v/>
      </c>
      <c r="BY46" s="19"/>
      <c r="BZ46" s="19" t="str">
        <f t="shared" si="77"/>
        <v/>
      </c>
      <c r="CA46" s="37"/>
      <c r="CB46" s="48" t="str">
        <f t="shared" si="45"/>
        <v/>
      </c>
      <c r="CC46" s="51" t="str">
        <f t="shared" si="88"/>
        <v/>
      </c>
      <c r="CD46" s="19" t="str">
        <f t="shared" si="78"/>
        <v/>
      </c>
      <c r="CE46" s="20" t="str">
        <f t="shared" si="79"/>
        <v/>
      </c>
      <c r="CF46" s="11"/>
    </row>
    <row r="47" spans="1:84" ht="15" customHeight="1" thickTop="1">
      <c r="A47" s="12"/>
      <c r="B47" s="8"/>
      <c r="C47" s="9"/>
      <c r="D47" s="9" t="str">
        <f t="shared" si="52"/>
        <v/>
      </c>
      <c r="E47" s="9"/>
      <c r="F47" s="9" t="str">
        <f t="shared" si="53"/>
        <v/>
      </c>
      <c r="G47" s="9"/>
      <c r="H47" s="9" t="str">
        <f t="shared" si="54"/>
        <v/>
      </c>
      <c r="I47" s="9"/>
      <c r="J47" s="9"/>
      <c r="K47" s="9"/>
      <c r="L47" s="9" t="str">
        <f t="shared" si="42"/>
        <v/>
      </c>
      <c r="M47" s="10" t="str">
        <f t="shared" si="43"/>
        <v/>
      </c>
      <c r="N47" s="11"/>
      <c r="O47" s="2"/>
      <c r="P47" s="65" t="str">
        <f>IF($A14="","",$A14)</f>
        <v/>
      </c>
      <c r="Q47" s="44"/>
      <c r="R47" s="44" t="str">
        <f t="shared" si="55"/>
        <v/>
      </c>
      <c r="S47" s="44"/>
      <c r="T47" s="23" t="str">
        <f t="shared" si="56"/>
        <v/>
      </c>
      <c r="U47" s="44"/>
      <c r="V47" s="44" t="str">
        <f t="shared" si="57"/>
        <v/>
      </c>
      <c r="W47" s="44"/>
      <c r="X47" s="61" t="str">
        <f t="shared" si="80"/>
        <v/>
      </c>
      <c r="Y47" s="62" t="str">
        <f t="shared" si="84"/>
        <v/>
      </c>
      <c r="Z47" s="23" t="str">
        <f t="shared" si="58"/>
        <v/>
      </c>
      <c r="AA47" s="24" t="str">
        <f t="shared" si="59"/>
        <v/>
      </c>
      <c r="AB47" s="11"/>
      <c r="AD47" s="65" t="str">
        <f>IF($A14="","",$A14)</f>
        <v/>
      </c>
      <c r="AE47" s="44"/>
      <c r="AF47" s="44" t="str">
        <f t="shared" si="60"/>
        <v/>
      </c>
      <c r="AG47" s="44"/>
      <c r="AH47" s="23" t="str">
        <f t="shared" si="61"/>
        <v/>
      </c>
      <c r="AI47" s="44"/>
      <c r="AJ47" s="44" t="str">
        <f t="shared" si="62"/>
        <v/>
      </c>
      <c r="AK47" s="44"/>
      <c r="AL47" s="61" t="str">
        <f t="shared" si="81"/>
        <v/>
      </c>
      <c r="AM47" s="62" t="str">
        <f t="shared" si="85"/>
        <v/>
      </c>
      <c r="AN47" s="23" t="str">
        <f t="shared" si="63"/>
        <v/>
      </c>
      <c r="AO47" s="24" t="str">
        <f t="shared" si="64"/>
        <v/>
      </c>
      <c r="AP47" s="11"/>
      <c r="AR47" s="65" t="str">
        <f>IF($A14="","",$A14)</f>
        <v/>
      </c>
      <c r="AS47" s="44"/>
      <c r="AT47" s="44" t="str">
        <f t="shared" si="65"/>
        <v/>
      </c>
      <c r="AU47" s="44"/>
      <c r="AV47" s="23" t="str">
        <f t="shared" si="66"/>
        <v/>
      </c>
      <c r="AW47" s="44"/>
      <c r="AX47" s="44" t="str">
        <f t="shared" si="67"/>
        <v/>
      </c>
      <c r="AY47" s="44"/>
      <c r="AZ47" s="61" t="str">
        <f t="shared" si="82"/>
        <v/>
      </c>
      <c r="BA47" s="62" t="str">
        <f t="shared" si="86"/>
        <v/>
      </c>
      <c r="BB47" s="23" t="str">
        <f t="shared" si="68"/>
        <v/>
      </c>
      <c r="BC47" s="24" t="str">
        <f t="shared" si="69"/>
        <v/>
      </c>
      <c r="BD47" s="11"/>
      <c r="BF47" s="65" t="str">
        <f>IF($A14="","",$A14)</f>
        <v/>
      </c>
      <c r="BG47" s="44"/>
      <c r="BH47" s="44" t="str">
        <f t="shared" si="70"/>
        <v/>
      </c>
      <c r="BI47" s="44"/>
      <c r="BJ47" s="23" t="str">
        <f t="shared" si="71"/>
        <v/>
      </c>
      <c r="BK47" s="44"/>
      <c r="BL47" s="44" t="str">
        <f t="shared" si="72"/>
        <v/>
      </c>
      <c r="BM47" s="44"/>
      <c r="BN47" s="61" t="str">
        <f t="shared" si="83"/>
        <v/>
      </c>
      <c r="BO47" s="62" t="str">
        <f t="shared" si="87"/>
        <v/>
      </c>
      <c r="BP47" s="23" t="str">
        <f t="shared" si="73"/>
        <v/>
      </c>
      <c r="BQ47" s="24" t="str">
        <f t="shared" si="74"/>
        <v/>
      </c>
      <c r="BR47" s="11"/>
      <c r="BT47" s="65" t="str">
        <f>IF($A14="","",$A14)</f>
        <v/>
      </c>
      <c r="BU47" s="44"/>
      <c r="BV47" s="44" t="str">
        <f t="shared" si="75"/>
        <v/>
      </c>
      <c r="BW47" s="44"/>
      <c r="BX47" s="23" t="str">
        <f t="shared" si="76"/>
        <v/>
      </c>
      <c r="BY47" s="44"/>
      <c r="BZ47" s="44" t="str">
        <f t="shared" si="77"/>
        <v/>
      </c>
      <c r="CA47" s="44"/>
      <c r="CB47" s="61" t="str">
        <f t="shared" si="45"/>
        <v/>
      </c>
      <c r="CC47" s="62" t="str">
        <f t="shared" si="88"/>
        <v/>
      </c>
      <c r="CD47" s="23" t="str">
        <f t="shared" si="78"/>
        <v/>
      </c>
      <c r="CE47" s="24" t="str">
        <f t="shared" si="79"/>
        <v/>
      </c>
      <c r="CF47" s="11"/>
    </row>
    <row r="48" spans="1:84" ht="15" customHeight="1">
      <c r="A48" s="12"/>
      <c r="B48" s="8"/>
      <c r="C48" s="9"/>
      <c r="D48" s="9" t="str">
        <f t="shared" si="52"/>
        <v/>
      </c>
      <c r="E48" s="9"/>
      <c r="F48" s="9" t="str">
        <f t="shared" si="53"/>
        <v/>
      </c>
      <c r="G48" s="9"/>
      <c r="H48" s="9" t="str">
        <f t="shared" si="54"/>
        <v/>
      </c>
      <c r="I48" s="9"/>
      <c r="J48" s="9"/>
      <c r="K48" s="9"/>
      <c r="L48" s="9" t="str">
        <f t="shared" si="42"/>
        <v/>
      </c>
      <c r="M48" s="10" t="str">
        <f t="shared" si="43"/>
        <v/>
      </c>
      <c r="N48" s="11"/>
      <c r="O48" s="2"/>
      <c r="P48" s="12"/>
      <c r="Q48" s="9"/>
      <c r="R48" s="9" t="str">
        <f t="shared" si="55"/>
        <v/>
      </c>
      <c r="S48" s="9"/>
      <c r="T48" s="9" t="str">
        <f t="shared" si="56"/>
        <v/>
      </c>
      <c r="U48" s="9"/>
      <c r="V48" s="9" t="str">
        <f t="shared" si="57"/>
        <v/>
      </c>
      <c r="W48" s="9"/>
      <c r="X48" s="47" t="str">
        <f t="shared" si="80"/>
        <v/>
      </c>
      <c r="Y48" s="45" t="str">
        <f t="shared" si="84"/>
        <v/>
      </c>
      <c r="Z48" s="9" t="str">
        <f t="shared" si="58"/>
        <v/>
      </c>
      <c r="AA48" s="10" t="str">
        <f t="shared" si="59"/>
        <v/>
      </c>
      <c r="AB48" s="11"/>
      <c r="AD48" s="12"/>
      <c r="AE48" s="9"/>
      <c r="AF48" s="9" t="str">
        <f t="shared" si="60"/>
        <v/>
      </c>
      <c r="AG48" s="9"/>
      <c r="AH48" s="9" t="str">
        <f t="shared" si="61"/>
        <v/>
      </c>
      <c r="AI48" s="9"/>
      <c r="AJ48" s="9" t="str">
        <f t="shared" si="62"/>
        <v/>
      </c>
      <c r="AK48" s="9"/>
      <c r="AL48" s="47" t="str">
        <f t="shared" si="81"/>
        <v/>
      </c>
      <c r="AM48" s="45" t="str">
        <f t="shared" si="85"/>
        <v/>
      </c>
      <c r="AN48" s="9" t="str">
        <f t="shared" si="63"/>
        <v/>
      </c>
      <c r="AO48" s="10" t="str">
        <f t="shared" si="64"/>
        <v/>
      </c>
      <c r="AP48" s="11"/>
      <c r="AR48" s="12"/>
      <c r="AS48" s="9"/>
      <c r="AT48" s="9" t="str">
        <f t="shared" si="65"/>
        <v/>
      </c>
      <c r="AU48" s="9"/>
      <c r="AV48" s="9" t="str">
        <f t="shared" si="66"/>
        <v/>
      </c>
      <c r="AW48" s="9"/>
      <c r="AX48" s="9" t="str">
        <f t="shared" si="67"/>
        <v/>
      </c>
      <c r="AY48" s="9"/>
      <c r="AZ48" s="47" t="str">
        <f t="shared" si="82"/>
        <v/>
      </c>
      <c r="BA48" s="45" t="str">
        <f t="shared" si="86"/>
        <v/>
      </c>
      <c r="BB48" s="9" t="str">
        <f t="shared" si="68"/>
        <v/>
      </c>
      <c r="BC48" s="10" t="str">
        <f t="shared" si="69"/>
        <v/>
      </c>
      <c r="BD48" s="11"/>
      <c r="BF48" s="12"/>
      <c r="BG48" s="9"/>
      <c r="BH48" s="9" t="str">
        <f t="shared" si="70"/>
        <v/>
      </c>
      <c r="BI48" s="9"/>
      <c r="BJ48" s="9" t="str">
        <f t="shared" si="71"/>
        <v/>
      </c>
      <c r="BK48" s="9"/>
      <c r="BL48" s="9" t="str">
        <f t="shared" si="72"/>
        <v/>
      </c>
      <c r="BM48" s="9"/>
      <c r="BN48" s="47" t="str">
        <f t="shared" si="83"/>
        <v/>
      </c>
      <c r="BO48" s="45" t="str">
        <f t="shared" si="87"/>
        <v/>
      </c>
      <c r="BP48" s="9" t="str">
        <f t="shared" si="73"/>
        <v/>
      </c>
      <c r="BQ48" s="10" t="str">
        <f t="shared" si="74"/>
        <v/>
      </c>
      <c r="BR48" s="11"/>
      <c r="BT48" s="12"/>
      <c r="BU48" s="9"/>
      <c r="BV48" s="9" t="str">
        <f t="shared" si="75"/>
        <v/>
      </c>
      <c r="BW48" s="9"/>
      <c r="BX48" s="9" t="str">
        <f t="shared" si="76"/>
        <v/>
      </c>
      <c r="BY48" s="9"/>
      <c r="BZ48" s="9" t="str">
        <f t="shared" si="77"/>
        <v/>
      </c>
      <c r="CA48" s="9"/>
      <c r="CB48" s="47" t="str">
        <f t="shared" si="45"/>
        <v/>
      </c>
      <c r="CC48" s="45" t="str">
        <f t="shared" si="88"/>
        <v/>
      </c>
      <c r="CD48" s="9" t="str">
        <f t="shared" si="78"/>
        <v/>
      </c>
      <c r="CE48" s="10" t="str">
        <f t="shared" si="79"/>
        <v/>
      </c>
      <c r="CF48" s="11"/>
    </row>
    <row r="49" spans="1:84" ht="15" customHeight="1">
      <c r="A49" s="12"/>
      <c r="B49" s="8"/>
      <c r="C49" s="9"/>
      <c r="D49" s="9" t="str">
        <f t="shared" si="52"/>
        <v/>
      </c>
      <c r="E49" s="9"/>
      <c r="F49" s="9" t="str">
        <f t="shared" si="53"/>
        <v/>
      </c>
      <c r="G49" s="9"/>
      <c r="H49" s="9" t="str">
        <f t="shared" si="54"/>
        <v/>
      </c>
      <c r="I49" s="9"/>
      <c r="J49" s="9"/>
      <c r="K49" s="9"/>
      <c r="L49" s="9" t="str">
        <f t="shared" si="42"/>
        <v/>
      </c>
      <c r="M49" s="10" t="str">
        <f t="shared" si="43"/>
        <v/>
      </c>
      <c r="N49" s="11"/>
      <c r="O49" s="2"/>
      <c r="P49" s="12"/>
      <c r="Q49" s="9"/>
      <c r="R49" s="9" t="str">
        <f t="shared" si="55"/>
        <v/>
      </c>
      <c r="S49" s="9"/>
      <c r="T49" s="9" t="str">
        <f t="shared" si="56"/>
        <v/>
      </c>
      <c r="U49" s="9"/>
      <c r="V49" s="9" t="str">
        <f t="shared" si="57"/>
        <v/>
      </c>
      <c r="W49" s="9"/>
      <c r="X49" s="47" t="str">
        <f t="shared" si="80"/>
        <v/>
      </c>
      <c r="Y49" s="9" t="str">
        <f t="shared" si="84"/>
        <v/>
      </c>
      <c r="Z49" s="9" t="str">
        <f t="shared" si="58"/>
        <v/>
      </c>
      <c r="AA49" s="10" t="str">
        <f t="shared" si="59"/>
        <v/>
      </c>
      <c r="AB49" s="11"/>
      <c r="AD49" s="12"/>
      <c r="AE49" s="9"/>
      <c r="AF49" s="9" t="str">
        <f t="shared" si="60"/>
        <v/>
      </c>
      <c r="AG49" s="9"/>
      <c r="AH49" s="9" t="str">
        <f t="shared" si="61"/>
        <v/>
      </c>
      <c r="AI49" s="9"/>
      <c r="AJ49" s="9" t="str">
        <f t="shared" si="62"/>
        <v/>
      </c>
      <c r="AK49" s="9"/>
      <c r="AL49" s="47" t="str">
        <f t="shared" si="81"/>
        <v/>
      </c>
      <c r="AM49" s="9" t="str">
        <f t="shared" si="85"/>
        <v/>
      </c>
      <c r="AN49" s="9" t="str">
        <f t="shared" si="63"/>
        <v/>
      </c>
      <c r="AO49" s="10" t="str">
        <f t="shared" si="64"/>
        <v/>
      </c>
      <c r="AP49" s="11"/>
      <c r="AR49" s="12"/>
      <c r="AS49" s="9"/>
      <c r="AT49" s="9" t="str">
        <f t="shared" si="65"/>
        <v/>
      </c>
      <c r="AU49" s="9"/>
      <c r="AV49" s="9" t="str">
        <f t="shared" si="66"/>
        <v/>
      </c>
      <c r="AW49" s="9"/>
      <c r="AX49" s="9" t="str">
        <f t="shared" si="67"/>
        <v/>
      </c>
      <c r="AY49" s="9"/>
      <c r="AZ49" s="47" t="str">
        <f t="shared" si="82"/>
        <v/>
      </c>
      <c r="BA49" s="9" t="str">
        <f t="shared" si="86"/>
        <v/>
      </c>
      <c r="BB49" s="9" t="str">
        <f t="shared" si="68"/>
        <v/>
      </c>
      <c r="BC49" s="10" t="str">
        <f t="shared" si="69"/>
        <v/>
      </c>
      <c r="BD49" s="11"/>
      <c r="BF49" s="12"/>
      <c r="BG49" s="9"/>
      <c r="BH49" s="9" t="str">
        <f t="shared" si="70"/>
        <v/>
      </c>
      <c r="BI49" s="9"/>
      <c r="BJ49" s="9" t="str">
        <f t="shared" si="71"/>
        <v/>
      </c>
      <c r="BK49" s="9"/>
      <c r="BL49" s="9" t="str">
        <f t="shared" si="72"/>
        <v/>
      </c>
      <c r="BM49" s="9"/>
      <c r="BN49" s="47" t="str">
        <f t="shared" si="83"/>
        <v/>
      </c>
      <c r="BO49" s="9" t="str">
        <f t="shared" si="87"/>
        <v/>
      </c>
      <c r="BP49" s="9" t="str">
        <f t="shared" si="73"/>
        <v/>
      </c>
      <c r="BQ49" s="10" t="str">
        <f t="shared" si="74"/>
        <v/>
      </c>
      <c r="BR49" s="11"/>
      <c r="BT49" s="12"/>
      <c r="BU49" s="9"/>
      <c r="BV49" s="9" t="str">
        <f t="shared" si="75"/>
        <v/>
      </c>
      <c r="BW49" s="9"/>
      <c r="BX49" s="9" t="str">
        <f t="shared" si="76"/>
        <v/>
      </c>
      <c r="BY49" s="9"/>
      <c r="BZ49" s="9" t="str">
        <f t="shared" si="77"/>
        <v/>
      </c>
      <c r="CA49" s="9"/>
      <c r="CB49" s="47" t="str">
        <f t="shared" si="45"/>
        <v/>
      </c>
      <c r="CC49" s="9" t="str">
        <f t="shared" si="88"/>
        <v/>
      </c>
      <c r="CD49" s="9" t="str">
        <f t="shared" si="78"/>
        <v/>
      </c>
      <c r="CE49" s="10" t="str">
        <f t="shared" si="79"/>
        <v/>
      </c>
      <c r="CF49" s="11"/>
    </row>
    <row r="50" spans="1:84" ht="15" customHeight="1" thickBot="1">
      <c r="A50" s="12"/>
      <c r="B50" s="8"/>
      <c r="C50" s="9"/>
      <c r="D50" s="9" t="str">
        <f t="shared" si="52"/>
        <v/>
      </c>
      <c r="E50" s="9"/>
      <c r="F50" s="9" t="str">
        <f t="shared" si="53"/>
        <v/>
      </c>
      <c r="G50" s="9"/>
      <c r="H50" s="9" t="str">
        <f t="shared" si="54"/>
        <v/>
      </c>
      <c r="I50" s="9"/>
      <c r="J50" s="9"/>
      <c r="K50" s="9"/>
      <c r="L50" s="9" t="str">
        <f t="shared" si="42"/>
        <v/>
      </c>
      <c r="M50" s="10" t="str">
        <f t="shared" si="43"/>
        <v/>
      </c>
      <c r="N50" s="11"/>
      <c r="O50" s="2"/>
      <c r="P50" s="18"/>
      <c r="Q50" s="19"/>
      <c r="R50" s="19" t="str">
        <f t="shared" si="55"/>
        <v/>
      </c>
      <c r="S50" s="19"/>
      <c r="T50" s="19" t="str">
        <f t="shared" si="56"/>
        <v/>
      </c>
      <c r="U50" s="19"/>
      <c r="V50" s="19" t="str">
        <f t="shared" si="57"/>
        <v/>
      </c>
      <c r="W50" s="19"/>
      <c r="X50" s="48" t="str">
        <f t="shared" si="80"/>
        <v/>
      </c>
      <c r="Y50" s="51" t="str">
        <f t="shared" si="84"/>
        <v/>
      </c>
      <c r="Z50" s="19" t="str">
        <f t="shared" si="58"/>
        <v/>
      </c>
      <c r="AA50" s="20" t="str">
        <f t="shared" si="59"/>
        <v/>
      </c>
      <c r="AB50" s="11"/>
      <c r="AD50" s="18"/>
      <c r="AE50" s="19"/>
      <c r="AF50" s="19" t="str">
        <f t="shared" si="60"/>
        <v/>
      </c>
      <c r="AG50" s="19"/>
      <c r="AH50" s="19" t="str">
        <f t="shared" si="61"/>
        <v/>
      </c>
      <c r="AI50" s="19"/>
      <c r="AJ50" s="19" t="str">
        <f t="shared" si="62"/>
        <v/>
      </c>
      <c r="AK50" s="19"/>
      <c r="AL50" s="48" t="str">
        <f t="shared" si="81"/>
        <v/>
      </c>
      <c r="AM50" s="51" t="str">
        <f t="shared" si="85"/>
        <v/>
      </c>
      <c r="AN50" s="19" t="str">
        <f t="shared" si="63"/>
        <v/>
      </c>
      <c r="AO50" s="20" t="str">
        <f t="shared" si="64"/>
        <v/>
      </c>
      <c r="AP50" s="11"/>
      <c r="AR50" s="18"/>
      <c r="AS50" s="19"/>
      <c r="AT50" s="19" t="str">
        <f t="shared" si="65"/>
        <v/>
      </c>
      <c r="AU50" s="19"/>
      <c r="AV50" s="19" t="str">
        <f t="shared" si="66"/>
        <v/>
      </c>
      <c r="AW50" s="19"/>
      <c r="AX50" s="19" t="str">
        <f t="shared" si="67"/>
        <v/>
      </c>
      <c r="AY50" s="19"/>
      <c r="AZ50" s="48" t="str">
        <f t="shared" si="82"/>
        <v/>
      </c>
      <c r="BA50" s="51" t="str">
        <f t="shared" si="86"/>
        <v/>
      </c>
      <c r="BB50" s="19" t="str">
        <f t="shared" si="68"/>
        <v/>
      </c>
      <c r="BC50" s="20" t="str">
        <f t="shared" si="69"/>
        <v/>
      </c>
      <c r="BD50" s="11"/>
      <c r="BF50" s="18"/>
      <c r="BG50" s="19"/>
      <c r="BH50" s="19" t="str">
        <f t="shared" si="70"/>
        <v/>
      </c>
      <c r="BI50" s="19"/>
      <c r="BJ50" s="19" t="str">
        <f t="shared" si="71"/>
        <v/>
      </c>
      <c r="BK50" s="19"/>
      <c r="BL50" s="19" t="str">
        <f t="shared" si="72"/>
        <v/>
      </c>
      <c r="BM50" s="19"/>
      <c r="BN50" s="48" t="str">
        <f t="shared" si="83"/>
        <v/>
      </c>
      <c r="BO50" s="51" t="str">
        <f t="shared" si="87"/>
        <v/>
      </c>
      <c r="BP50" s="19" t="str">
        <f t="shared" si="73"/>
        <v/>
      </c>
      <c r="BQ50" s="20" t="str">
        <f t="shared" si="74"/>
        <v/>
      </c>
      <c r="BR50" s="11"/>
      <c r="BT50" s="18"/>
      <c r="BU50" s="19"/>
      <c r="BV50" s="19" t="str">
        <f t="shared" si="75"/>
        <v/>
      </c>
      <c r="BW50" s="19"/>
      <c r="BX50" s="19" t="str">
        <f t="shared" si="76"/>
        <v/>
      </c>
      <c r="BY50" s="19"/>
      <c r="BZ50" s="19" t="str">
        <f t="shared" si="77"/>
        <v/>
      </c>
      <c r="CA50" s="19"/>
      <c r="CB50" s="48" t="str">
        <f t="shared" si="45"/>
        <v/>
      </c>
      <c r="CC50" s="51" t="str">
        <f t="shared" si="88"/>
        <v/>
      </c>
      <c r="CD50" s="19" t="str">
        <f t="shared" si="78"/>
        <v/>
      </c>
      <c r="CE50" s="20" t="str">
        <f t="shared" si="79"/>
        <v/>
      </c>
      <c r="CF50" s="11"/>
    </row>
    <row r="51" spans="1:84" ht="15" customHeight="1" thickTop="1">
      <c r="A51" s="12"/>
      <c r="B51" s="8"/>
      <c r="C51" s="9"/>
      <c r="D51" s="9" t="str">
        <f t="shared" si="52"/>
        <v/>
      </c>
      <c r="E51" s="9"/>
      <c r="F51" s="9" t="str">
        <f t="shared" si="53"/>
        <v/>
      </c>
      <c r="G51" s="9"/>
      <c r="H51" s="9" t="str">
        <f t="shared" si="54"/>
        <v/>
      </c>
      <c r="I51" s="9"/>
      <c r="J51" s="9"/>
      <c r="K51" s="9"/>
      <c r="L51" s="9" t="str">
        <f t="shared" si="42"/>
        <v/>
      </c>
      <c r="M51" s="10" t="str">
        <f t="shared" si="43"/>
        <v/>
      </c>
      <c r="N51" s="11"/>
      <c r="O51" s="2"/>
      <c r="P51" s="65" t="str">
        <f>IF($A15="","",$A15)</f>
        <v/>
      </c>
      <c r="Q51" s="44"/>
      <c r="R51" s="44" t="str">
        <f t="shared" si="55"/>
        <v/>
      </c>
      <c r="S51" s="44"/>
      <c r="T51" s="23" t="str">
        <f t="shared" si="56"/>
        <v/>
      </c>
      <c r="U51" s="44"/>
      <c r="V51" s="44" t="str">
        <f t="shared" si="57"/>
        <v/>
      </c>
      <c r="W51" s="44"/>
      <c r="X51" s="61" t="str">
        <f t="shared" si="80"/>
        <v/>
      </c>
      <c r="Y51" s="62" t="str">
        <f t="shared" si="84"/>
        <v/>
      </c>
      <c r="Z51" s="23" t="str">
        <f t="shared" si="58"/>
        <v/>
      </c>
      <c r="AA51" s="24" t="str">
        <f t="shared" si="59"/>
        <v/>
      </c>
      <c r="AB51" s="11"/>
      <c r="AD51" s="65" t="str">
        <f>IF($A15="","",$A15)</f>
        <v/>
      </c>
      <c r="AE51" s="44"/>
      <c r="AF51" s="44" t="str">
        <f t="shared" si="60"/>
        <v/>
      </c>
      <c r="AG51" s="44"/>
      <c r="AH51" s="23" t="str">
        <f t="shared" si="61"/>
        <v/>
      </c>
      <c r="AI51" s="44"/>
      <c r="AJ51" s="44" t="str">
        <f t="shared" si="62"/>
        <v/>
      </c>
      <c r="AK51" s="44"/>
      <c r="AL51" s="61" t="str">
        <f t="shared" si="81"/>
        <v/>
      </c>
      <c r="AM51" s="62" t="str">
        <f t="shared" si="85"/>
        <v/>
      </c>
      <c r="AN51" s="23" t="str">
        <f t="shared" si="63"/>
        <v/>
      </c>
      <c r="AO51" s="24" t="str">
        <f t="shared" si="64"/>
        <v/>
      </c>
      <c r="AP51" s="11"/>
      <c r="AR51" s="65" t="str">
        <f>IF($A15="","",$A15)</f>
        <v/>
      </c>
      <c r="AS51" s="44"/>
      <c r="AT51" s="44" t="str">
        <f t="shared" si="65"/>
        <v/>
      </c>
      <c r="AU51" s="44"/>
      <c r="AV51" s="23" t="str">
        <f t="shared" si="66"/>
        <v/>
      </c>
      <c r="AW51" s="44"/>
      <c r="AX51" s="44" t="str">
        <f t="shared" si="67"/>
        <v/>
      </c>
      <c r="AY51" s="44"/>
      <c r="AZ51" s="61" t="str">
        <f t="shared" si="82"/>
        <v/>
      </c>
      <c r="BA51" s="62" t="str">
        <f t="shared" si="86"/>
        <v/>
      </c>
      <c r="BB51" s="23" t="str">
        <f t="shared" si="68"/>
        <v/>
      </c>
      <c r="BC51" s="24" t="str">
        <f t="shared" si="69"/>
        <v/>
      </c>
      <c r="BD51" s="11"/>
      <c r="BF51" s="65" t="str">
        <f>IF($A15="","",$A15)</f>
        <v/>
      </c>
      <c r="BG51" s="44"/>
      <c r="BH51" s="44" t="str">
        <f t="shared" si="70"/>
        <v/>
      </c>
      <c r="BI51" s="44"/>
      <c r="BJ51" s="23" t="str">
        <f t="shared" si="71"/>
        <v/>
      </c>
      <c r="BK51" s="44"/>
      <c r="BL51" s="44" t="str">
        <f t="shared" si="72"/>
        <v/>
      </c>
      <c r="BM51" s="44"/>
      <c r="BN51" s="61" t="str">
        <f t="shared" si="83"/>
        <v/>
      </c>
      <c r="BO51" s="62" t="str">
        <f t="shared" si="87"/>
        <v/>
      </c>
      <c r="BP51" s="23" t="str">
        <f t="shared" si="73"/>
        <v/>
      </c>
      <c r="BQ51" s="24" t="str">
        <f t="shared" si="74"/>
        <v/>
      </c>
      <c r="BR51" s="11"/>
      <c r="BT51" s="65" t="str">
        <f>IF($A15="","",$A15)</f>
        <v/>
      </c>
      <c r="BU51" s="44"/>
      <c r="BV51" s="44" t="str">
        <f t="shared" si="75"/>
        <v/>
      </c>
      <c r="BW51" s="44"/>
      <c r="BX51" s="23" t="str">
        <f t="shared" si="76"/>
        <v/>
      </c>
      <c r="BY51" s="44"/>
      <c r="BZ51" s="44" t="str">
        <f t="shared" si="77"/>
        <v/>
      </c>
      <c r="CA51" s="44"/>
      <c r="CB51" s="61" t="str">
        <f t="shared" si="45"/>
        <v/>
      </c>
      <c r="CC51" s="62" t="str">
        <f t="shared" si="88"/>
        <v/>
      </c>
      <c r="CD51" s="23" t="str">
        <f t="shared" si="78"/>
        <v/>
      </c>
      <c r="CE51" s="24" t="str">
        <f t="shared" si="79"/>
        <v/>
      </c>
      <c r="CF51" s="11"/>
    </row>
    <row r="52" spans="1:84" ht="15" customHeight="1">
      <c r="A52" s="12"/>
      <c r="B52" s="8"/>
      <c r="C52" s="9"/>
      <c r="D52" s="9" t="str">
        <f t="shared" si="52"/>
        <v/>
      </c>
      <c r="E52" s="9"/>
      <c r="F52" s="9" t="str">
        <f t="shared" si="53"/>
        <v/>
      </c>
      <c r="G52" s="9"/>
      <c r="H52" s="9" t="str">
        <f t="shared" si="54"/>
        <v/>
      </c>
      <c r="I52" s="9"/>
      <c r="J52" s="9"/>
      <c r="K52" s="9"/>
      <c r="L52" s="9" t="str">
        <f t="shared" si="42"/>
        <v/>
      </c>
      <c r="M52" s="10" t="str">
        <f t="shared" si="43"/>
        <v/>
      </c>
      <c r="N52" s="11"/>
      <c r="O52" s="2"/>
      <c r="P52" s="12"/>
      <c r="Q52" s="9"/>
      <c r="R52" s="9" t="str">
        <f t="shared" si="55"/>
        <v/>
      </c>
      <c r="S52" s="9"/>
      <c r="T52" s="9" t="str">
        <f t="shared" si="56"/>
        <v/>
      </c>
      <c r="U52" s="9"/>
      <c r="V52" s="9" t="str">
        <f t="shared" si="57"/>
        <v/>
      </c>
      <c r="W52" s="9"/>
      <c r="X52" s="47" t="str">
        <f t="shared" si="80"/>
        <v/>
      </c>
      <c r="Y52" s="45" t="str">
        <f t="shared" si="84"/>
        <v/>
      </c>
      <c r="Z52" s="9" t="str">
        <f t="shared" si="58"/>
        <v/>
      </c>
      <c r="AA52" s="10" t="str">
        <f t="shared" si="59"/>
        <v/>
      </c>
      <c r="AB52" s="11"/>
      <c r="AD52" s="12"/>
      <c r="AE52" s="9"/>
      <c r="AF52" s="9" t="str">
        <f t="shared" si="60"/>
        <v/>
      </c>
      <c r="AG52" s="9"/>
      <c r="AH52" s="9" t="str">
        <f t="shared" si="61"/>
        <v/>
      </c>
      <c r="AI52" s="9"/>
      <c r="AJ52" s="9" t="str">
        <f t="shared" si="62"/>
        <v/>
      </c>
      <c r="AK52" s="9"/>
      <c r="AL52" s="47" t="str">
        <f t="shared" si="81"/>
        <v/>
      </c>
      <c r="AM52" s="45" t="str">
        <f t="shared" si="85"/>
        <v/>
      </c>
      <c r="AN52" s="9" t="str">
        <f t="shared" si="63"/>
        <v/>
      </c>
      <c r="AO52" s="10" t="str">
        <f t="shared" si="64"/>
        <v/>
      </c>
      <c r="AP52" s="11"/>
      <c r="AR52" s="12"/>
      <c r="AS52" s="9"/>
      <c r="AT52" s="9" t="str">
        <f t="shared" si="65"/>
        <v/>
      </c>
      <c r="AU52" s="9"/>
      <c r="AV52" s="9" t="str">
        <f t="shared" si="66"/>
        <v/>
      </c>
      <c r="AW52" s="9"/>
      <c r="AX52" s="9" t="str">
        <f t="shared" si="67"/>
        <v/>
      </c>
      <c r="AY52" s="9"/>
      <c r="AZ52" s="47" t="str">
        <f t="shared" si="82"/>
        <v/>
      </c>
      <c r="BA52" s="45" t="str">
        <f t="shared" si="86"/>
        <v/>
      </c>
      <c r="BB52" s="9" t="str">
        <f t="shared" si="68"/>
        <v/>
      </c>
      <c r="BC52" s="10" t="str">
        <f t="shared" si="69"/>
        <v/>
      </c>
      <c r="BD52" s="11"/>
      <c r="BF52" s="12"/>
      <c r="BG52" s="9"/>
      <c r="BH52" s="9" t="str">
        <f t="shared" si="70"/>
        <v/>
      </c>
      <c r="BI52" s="9"/>
      <c r="BJ52" s="9" t="str">
        <f t="shared" si="71"/>
        <v/>
      </c>
      <c r="BK52" s="9"/>
      <c r="BL52" s="9" t="str">
        <f t="shared" si="72"/>
        <v/>
      </c>
      <c r="BM52" s="9"/>
      <c r="BN52" s="47" t="str">
        <f t="shared" si="83"/>
        <v/>
      </c>
      <c r="BO52" s="45" t="str">
        <f t="shared" si="87"/>
        <v/>
      </c>
      <c r="BP52" s="9" t="str">
        <f t="shared" si="73"/>
        <v/>
      </c>
      <c r="BQ52" s="10" t="str">
        <f t="shared" si="74"/>
        <v/>
      </c>
      <c r="BR52" s="11"/>
      <c r="BT52" s="12"/>
      <c r="BU52" s="9"/>
      <c r="BV52" s="9" t="str">
        <f t="shared" si="75"/>
        <v/>
      </c>
      <c r="BW52" s="9"/>
      <c r="BX52" s="9" t="str">
        <f t="shared" si="76"/>
        <v/>
      </c>
      <c r="BY52" s="9"/>
      <c r="BZ52" s="9" t="str">
        <f t="shared" si="77"/>
        <v/>
      </c>
      <c r="CA52" s="9"/>
      <c r="CB52" s="47" t="str">
        <f t="shared" si="45"/>
        <v/>
      </c>
      <c r="CC52" s="45" t="str">
        <f t="shared" si="88"/>
        <v/>
      </c>
      <c r="CD52" s="9" t="str">
        <f t="shared" si="78"/>
        <v/>
      </c>
      <c r="CE52" s="10" t="str">
        <f t="shared" si="79"/>
        <v/>
      </c>
      <c r="CF52" s="11"/>
    </row>
    <row r="53" spans="1:84" ht="15" customHeight="1">
      <c r="A53" s="12"/>
      <c r="B53" s="8"/>
      <c r="C53" s="9"/>
      <c r="D53" s="9" t="str">
        <f t="shared" si="52"/>
        <v/>
      </c>
      <c r="E53" s="9"/>
      <c r="F53" s="9" t="str">
        <f t="shared" si="53"/>
        <v/>
      </c>
      <c r="G53" s="9"/>
      <c r="H53" s="9" t="str">
        <f t="shared" si="54"/>
        <v/>
      </c>
      <c r="I53" s="9"/>
      <c r="J53" s="9"/>
      <c r="K53" s="9"/>
      <c r="L53" s="9" t="str">
        <f t="shared" si="42"/>
        <v/>
      </c>
      <c r="M53" s="10" t="str">
        <f t="shared" si="43"/>
        <v/>
      </c>
      <c r="N53" s="11"/>
      <c r="O53" s="2"/>
      <c r="P53" s="12"/>
      <c r="Q53" s="9"/>
      <c r="R53" s="9" t="str">
        <f t="shared" si="55"/>
        <v/>
      </c>
      <c r="S53" s="9"/>
      <c r="T53" s="9" t="str">
        <f t="shared" si="56"/>
        <v/>
      </c>
      <c r="U53" s="9"/>
      <c r="V53" s="9" t="str">
        <f t="shared" si="57"/>
        <v/>
      </c>
      <c r="W53" s="9"/>
      <c r="X53" s="47" t="str">
        <f t="shared" si="80"/>
        <v/>
      </c>
      <c r="Y53" s="9" t="str">
        <f t="shared" si="84"/>
        <v/>
      </c>
      <c r="Z53" s="9" t="str">
        <f t="shared" si="58"/>
        <v/>
      </c>
      <c r="AA53" s="10" t="str">
        <f t="shared" si="59"/>
        <v/>
      </c>
      <c r="AB53" s="11"/>
      <c r="AD53" s="12"/>
      <c r="AE53" s="9"/>
      <c r="AF53" s="9" t="str">
        <f t="shared" si="60"/>
        <v/>
      </c>
      <c r="AG53" s="9"/>
      <c r="AH53" s="9" t="str">
        <f t="shared" si="61"/>
        <v/>
      </c>
      <c r="AI53" s="9"/>
      <c r="AJ53" s="9" t="str">
        <f t="shared" si="62"/>
        <v/>
      </c>
      <c r="AK53" s="9"/>
      <c r="AL53" s="47" t="str">
        <f t="shared" si="81"/>
        <v/>
      </c>
      <c r="AM53" s="9" t="str">
        <f t="shared" si="85"/>
        <v/>
      </c>
      <c r="AN53" s="9" t="str">
        <f t="shared" si="63"/>
        <v/>
      </c>
      <c r="AO53" s="10" t="str">
        <f t="shared" si="64"/>
        <v/>
      </c>
      <c r="AP53" s="11"/>
      <c r="AR53" s="12"/>
      <c r="AS53" s="9"/>
      <c r="AT53" s="9" t="str">
        <f t="shared" si="65"/>
        <v/>
      </c>
      <c r="AU53" s="9"/>
      <c r="AV53" s="9" t="str">
        <f t="shared" si="66"/>
        <v/>
      </c>
      <c r="AW53" s="9"/>
      <c r="AX53" s="9" t="str">
        <f t="shared" si="67"/>
        <v/>
      </c>
      <c r="AY53" s="9"/>
      <c r="AZ53" s="47" t="str">
        <f t="shared" si="82"/>
        <v/>
      </c>
      <c r="BA53" s="9" t="str">
        <f t="shared" si="86"/>
        <v/>
      </c>
      <c r="BB53" s="9" t="str">
        <f t="shared" si="68"/>
        <v/>
      </c>
      <c r="BC53" s="10" t="str">
        <f t="shared" si="69"/>
        <v/>
      </c>
      <c r="BD53" s="11"/>
      <c r="BF53" s="12"/>
      <c r="BG53" s="9"/>
      <c r="BH53" s="9" t="str">
        <f t="shared" si="70"/>
        <v/>
      </c>
      <c r="BI53" s="9"/>
      <c r="BJ53" s="9" t="str">
        <f t="shared" si="71"/>
        <v/>
      </c>
      <c r="BK53" s="9"/>
      <c r="BL53" s="9" t="str">
        <f t="shared" si="72"/>
        <v/>
      </c>
      <c r="BM53" s="9"/>
      <c r="BN53" s="47" t="str">
        <f t="shared" si="83"/>
        <v/>
      </c>
      <c r="BO53" s="9" t="str">
        <f t="shared" si="87"/>
        <v/>
      </c>
      <c r="BP53" s="9" t="str">
        <f t="shared" si="73"/>
        <v/>
      </c>
      <c r="BQ53" s="10" t="str">
        <f t="shared" si="74"/>
        <v/>
      </c>
      <c r="BR53" s="11"/>
      <c r="BT53" s="12"/>
      <c r="BU53" s="9"/>
      <c r="BV53" s="9" t="str">
        <f t="shared" si="75"/>
        <v/>
      </c>
      <c r="BW53" s="9"/>
      <c r="BX53" s="9" t="str">
        <f t="shared" si="76"/>
        <v/>
      </c>
      <c r="BY53" s="9"/>
      <c r="BZ53" s="9" t="str">
        <f t="shared" si="77"/>
        <v/>
      </c>
      <c r="CA53" s="9"/>
      <c r="CB53" s="47" t="str">
        <f t="shared" si="45"/>
        <v/>
      </c>
      <c r="CC53" s="9" t="str">
        <f t="shared" si="88"/>
        <v/>
      </c>
      <c r="CD53" s="9" t="str">
        <f t="shared" si="78"/>
        <v/>
      </c>
      <c r="CE53" s="10" t="str">
        <f t="shared" si="79"/>
        <v/>
      </c>
      <c r="CF53" s="11"/>
    </row>
    <row r="54" spans="1:84" ht="15" customHeight="1" thickBot="1">
      <c r="A54" s="12"/>
      <c r="B54" s="8"/>
      <c r="C54" s="9"/>
      <c r="D54" s="9" t="str">
        <f t="shared" si="52"/>
        <v/>
      </c>
      <c r="E54" s="9"/>
      <c r="F54" s="9" t="str">
        <f t="shared" si="53"/>
        <v/>
      </c>
      <c r="G54" s="9"/>
      <c r="H54" s="9" t="str">
        <f t="shared" si="54"/>
        <v/>
      </c>
      <c r="I54" s="9"/>
      <c r="J54" s="9"/>
      <c r="K54" s="9"/>
      <c r="L54" s="9" t="str">
        <f t="shared" si="42"/>
        <v/>
      </c>
      <c r="M54" s="10" t="str">
        <f t="shared" si="43"/>
        <v/>
      </c>
      <c r="N54" s="11"/>
      <c r="O54" s="2"/>
      <c r="P54" s="18"/>
      <c r="Q54" s="19"/>
      <c r="R54" s="19" t="str">
        <f t="shared" si="55"/>
        <v/>
      </c>
      <c r="S54" s="19"/>
      <c r="T54" s="19" t="str">
        <f t="shared" si="56"/>
        <v/>
      </c>
      <c r="U54" s="19"/>
      <c r="V54" s="19" t="str">
        <f t="shared" si="57"/>
        <v/>
      </c>
      <c r="W54" s="19"/>
      <c r="X54" s="48" t="str">
        <f t="shared" si="80"/>
        <v/>
      </c>
      <c r="Y54" s="51" t="str">
        <f t="shared" si="84"/>
        <v/>
      </c>
      <c r="Z54" s="19" t="str">
        <f t="shared" si="58"/>
        <v/>
      </c>
      <c r="AA54" s="20" t="str">
        <f t="shared" si="59"/>
        <v/>
      </c>
      <c r="AB54" s="11"/>
      <c r="AD54" s="18"/>
      <c r="AE54" s="19"/>
      <c r="AF54" s="19" t="str">
        <f t="shared" si="60"/>
        <v/>
      </c>
      <c r="AG54" s="19"/>
      <c r="AH54" s="19" t="str">
        <f t="shared" si="61"/>
        <v/>
      </c>
      <c r="AI54" s="19"/>
      <c r="AJ54" s="19" t="str">
        <f t="shared" si="62"/>
        <v/>
      </c>
      <c r="AK54" s="19"/>
      <c r="AL54" s="48" t="str">
        <f t="shared" si="81"/>
        <v/>
      </c>
      <c r="AM54" s="51" t="str">
        <f t="shared" si="85"/>
        <v/>
      </c>
      <c r="AN54" s="19" t="str">
        <f t="shared" si="63"/>
        <v/>
      </c>
      <c r="AO54" s="20" t="str">
        <f t="shared" si="64"/>
        <v/>
      </c>
      <c r="AP54" s="11"/>
      <c r="AR54" s="18"/>
      <c r="AS54" s="19"/>
      <c r="AT54" s="19" t="str">
        <f t="shared" si="65"/>
        <v/>
      </c>
      <c r="AU54" s="19"/>
      <c r="AV54" s="19" t="str">
        <f t="shared" si="66"/>
        <v/>
      </c>
      <c r="AW54" s="19"/>
      <c r="AX54" s="19" t="str">
        <f t="shared" si="67"/>
        <v/>
      </c>
      <c r="AY54" s="19"/>
      <c r="AZ54" s="48" t="str">
        <f t="shared" si="82"/>
        <v/>
      </c>
      <c r="BA54" s="51" t="str">
        <f t="shared" si="86"/>
        <v/>
      </c>
      <c r="BB54" s="19" t="str">
        <f t="shared" si="68"/>
        <v/>
      </c>
      <c r="BC54" s="20" t="str">
        <f t="shared" si="69"/>
        <v/>
      </c>
      <c r="BD54" s="11"/>
      <c r="BF54" s="18"/>
      <c r="BG54" s="19"/>
      <c r="BH54" s="19" t="str">
        <f t="shared" si="70"/>
        <v/>
      </c>
      <c r="BI54" s="19"/>
      <c r="BJ54" s="19" t="str">
        <f t="shared" si="71"/>
        <v/>
      </c>
      <c r="BK54" s="19"/>
      <c r="BL54" s="19" t="str">
        <f t="shared" si="72"/>
        <v/>
      </c>
      <c r="BM54" s="19"/>
      <c r="BN54" s="48" t="str">
        <f t="shared" si="83"/>
        <v/>
      </c>
      <c r="BO54" s="51" t="str">
        <f t="shared" si="87"/>
        <v/>
      </c>
      <c r="BP54" s="19" t="str">
        <f t="shared" si="73"/>
        <v/>
      </c>
      <c r="BQ54" s="20" t="str">
        <f t="shared" si="74"/>
        <v/>
      </c>
      <c r="BR54" s="11"/>
      <c r="BT54" s="18"/>
      <c r="BU54" s="19"/>
      <c r="BV54" s="19" t="str">
        <f t="shared" si="75"/>
        <v/>
      </c>
      <c r="BW54" s="19"/>
      <c r="BX54" s="19" t="str">
        <f t="shared" si="76"/>
        <v/>
      </c>
      <c r="BY54" s="19"/>
      <c r="BZ54" s="19" t="str">
        <f t="shared" si="77"/>
        <v/>
      </c>
      <c r="CA54" s="19"/>
      <c r="CB54" s="48" t="str">
        <f t="shared" si="45"/>
        <v/>
      </c>
      <c r="CC54" s="51" t="str">
        <f t="shared" si="88"/>
        <v/>
      </c>
      <c r="CD54" s="19" t="str">
        <f t="shared" si="78"/>
        <v/>
      </c>
      <c r="CE54" s="20" t="str">
        <f t="shared" si="79"/>
        <v/>
      </c>
      <c r="CF54" s="11"/>
    </row>
    <row r="55" spans="1:84" ht="15" customHeight="1" thickTop="1">
      <c r="A55" s="12"/>
      <c r="B55" s="8"/>
      <c r="C55" s="9"/>
      <c r="D55" s="9" t="str">
        <f t="shared" si="52"/>
        <v/>
      </c>
      <c r="E55" s="9"/>
      <c r="F55" s="9" t="str">
        <f t="shared" si="53"/>
        <v/>
      </c>
      <c r="G55" s="9"/>
      <c r="H55" s="9" t="str">
        <f t="shared" si="54"/>
        <v/>
      </c>
      <c r="I55" s="9"/>
      <c r="J55" s="9"/>
      <c r="K55" s="9"/>
      <c r="L55" s="9" t="str">
        <f t="shared" si="42"/>
        <v/>
      </c>
      <c r="M55" s="10" t="str">
        <f t="shared" si="43"/>
        <v/>
      </c>
      <c r="N55" s="11"/>
      <c r="O55" s="2"/>
      <c r="P55" s="65" t="str">
        <f>IF($A16="","",$A16)</f>
        <v/>
      </c>
      <c r="Q55" s="44"/>
      <c r="R55" s="44" t="str">
        <f t="shared" si="55"/>
        <v/>
      </c>
      <c r="S55" s="44"/>
      <c r="T55" s="44" t="str">
        <f t="shared" si="56"/>
        <v/>
      </c>
      <c r="U55" s="44"/>
      <c r="V55" s="44" t="str">
        <f t="shared" si="57"/>
        <v/>
      </c>
      <c r="W55" s="44"/>
      <c r="X55" s="64" t="str">
        <f t="shared" si="80"/>
        <v/>
      </c>
      <c r="Y55" s="44" t="str">
        <f t="shared" si="84"/>
        <v/>
      </c>
      <c r="Z55" s="44" t="str">
        <f t="shared" si="58"/>
        <v/>
      </c>
      <c r="AA55" s="44" t="str">
        <f t="shared" si="59"/>
        <v/>
      </c>
      <c r="AB55" s="11"/>
      <c r="AD55" s="65" t="str">
        <f>IF($A16="","",$A16)</f>
        <v/>
      </c>
      <c r="AE55" s="44"/>
      <c r="AF55" s="44" t="str">
        <f t="shared" si="60"/>
        <v/>
      </c>
      <c r="AG55" s="44"/>
      <c r="AH55" s="44" t="str">
        <f t="shared" si="61"/>
        <v/>
      </c>
      <c r="AI55" s="44"/>
      <c r="AJ55" s="44" t="str">
        <f t="shared" si="62"/>
        <v/>
      </c>
      <c r="AK55" s="44"/>
      <c r="AL55" s="61" t="str">
        <f t="shared" si="81"/>
        <v/>
      </c>
      <c r="AM55" s="44" t="str">
        <f t="shared" si="85"/>
        <v/>
      </c>
      <c r="AN55" s="23" t="str">
        <f t="shared" si="63"/>
        <v/>
      </c>
      <c r="AO55" s="24" t="str">
        <f t="shared" si="64"/>
        <v/>
      </c>
      <c r="AP55" s="11"/>
      <c r="AR55" s="65" t="str">
        <f>IF($A16="","",$A16)</f>
        <v/>
      </c>
      <c r="AS55" s="44"/>
      <c r="AT55" s="44" t="str">
        <f t="shared" si="65"/>
        <v/>
      </c>
      <c r="AU55" s="44"/>
      <c r="AV55" s="44" t="str">
        <f t="shared" si="66"/>
        <v/>
      </c>
      <c r="AW55" s="44"/>
      <c r="AX55" s="44" t="str">
        <f t="shared" si="67"/>
        <v/>
      </c>
      <c r="AY55" s="44"/>
      <c r="AZ55" s="61" t="str">
        <f t="shared" si="82"/>
        <v/>
      </c>
      <c r="BA55" s="44" t="str">
        <f t="shared" si="86"/>
        <v/>
      </c>
      <c r="BB55" s="23" t="str">
        <f t="shared" si="68"/>
        <v/>
      </c>
      <c r="BC55" s="24" t="str">
        <f t="shared" si="69"/>
        <v/>
      </c>
      <c r="BD55" s="11"/>
      <c r="BF55" s="65" t="str">
        <f>IF($A16="","",$A16)</f>
        <v/>
      </c>
      <c r="BG55" s="44"/>
      <c r="BH55" s="44" t="str">
        <f t="shared" si="70"/>
        <v/>
      </c>
      <c r="BI55" s="44"/>
      <c r="BJ55" s="44" t="str">
        <f t="shared" si="71"/>
        <v/>
      </c>
      <c r="BK55" s="44"/>
      <c r="BL55" s="44" t="str">
        <f t="shared" si="72"/>
        <v/>
      </c>
      <c r="BM55" s="44"/>
      <c r="BN55" s="61" t="str">
        <f t="shared" si="83"/>
        <v/>
      </c>
      <c r="BO55" s="44" t="str">
        <f t="shared" si="87"/>
        <v/>
      </c>
      <c r="BP55" s="23" t="str">
        <f t="shared" si="73"/>
        <v/>
      </c>
      <c r="BQ55" s="24" t="str">
        <f t="shared" si="74"/>
        <v/>
      </c>
      <c r="BR55" s="11"/>
      <c r="BT55" s="65" t="str">
        <f>IF($A16="","",$A16)</f>
        <v/>
      </c>
      <c r="BU55" s="44"/>
      <c r="BV55" s="44" t="str">
        <f t="shared" si="75"/>
        <v/>
      </c>
      <c r="BW55" s="44"/>
      <c r="BX55" s="44" t="str">
        <f t="shared" si="76"/>
        <v/>
      </c>
      <c r="BY55" s="44"/>
      <c r="BZ55" s="44" t="str">
        <f t="shared" si="77"/>
        <v/>
      </c>
      <c r="CA55" s="44"/>
      <c r="CB55" s="61" t="str">
        <f t="shared" si="45"/>
        <v/>
      </c>
      <c r="CC55" s="44" t="str">
        <f t="shared" si="88"/>
        <v/>
      </c>
      <c r="CD55" s="23" t="str">
        <f t="shared" si="78"/>
        <v/>
      </c>
      <c r="CE55" s="24" t="str">
        <f t="shared" si="79"/>
        <v/>
      </c>
      <c r="CF55" s="11"/>
    </row>
    <row r="56" spans="1:84" ht="15" customHeight="1">
      <c r="A56" s="12"/>
      <c r="B56" s="8"/>
      <c r="C56" s="9"/>
      <c r="D56" s="9"/>
      <c r="E56" s="9"/>
      <c r="F56" s="9" t="str">
        <f t="shared" si="53"/>
        <v/>
      </c>
      <c r="G56" s="9"/>
      <c r="H56" s="9" t="str">
        <f t="shared" si="54"/>
        <v/>
      </c>
      <c r="I56" s="9"/>
      <c r="J56" s="9"/>
      <c r="K56" s="9"/>
      <c r="L56" s="9" t="str">
        <f t="shared" si="42"/>
        <v/>
      </c>
      <c r="M56" s="10" t="str">
        <f t="shared" si="43"/>
        <v/>
      </c>
      <c r="N56" s="11"/>
      <c r="O56" s="2"/>
      <c r="P56" s="65"/>
      <c r="Q56" s="44"/>
      <c r="R56" s="44" t="str">
        <f t="shared" si="55"/>
        <v/>
      </c>
      <c r="S56" s="44"/>
      <c r="T56" s="44" t="str">
        <f t="shared" si="56"/>
        <v/>
      </c>
      <c r="U56" s="44"/>
      <c r="V56" s="44" t="str">
        <f t="shared" si="57"/>
        <v/>
      </c>
      <c r="W56" s="44"/>
      <c r="X56" s="64" t="str">
        <f t="shared" si="80"/>
        <v/>
      </c>
      <c r="Y56" s="44" t="str">
        <f t="shared" si="84"/>
        <v/>
      </c>
      <c r="Z56" s="44" t="str">
        <f t="shared" si="58"/>
        <v/>
      </c>
      <c r="AA56" s="44" t="str">
        <f t="shared" si="59"/>
        <v/>
      </c>
      <c r="AB56" s="11"/>
      <c r="AD56" s="65"/>
      <c r="AE56" s="44"/>
      <c r="AF56" s="44" t="str">
        <f t="shared" si="60"/>
        <v/>
      </c>
      <c r="AG56" s="44"/>
      <c r="AH56" s="44" t="str">
        <f t="shared" si="61"/>
        <v/>
      </c>
      <c r="AI56" s="44"/>
      <c r="AJ56" s="44" t="str">
        <f t="shared" si="62"/>
        <v/>
      </c>
      <c r="AK56" s="44"/>
      <c r="AL56" s="61" t="str">
        <f t="shared" si="81"/>
        <v/>
      </c>
      <c r="AM56" s="44" t="str">
        <f t="shared" si="85"/>
        <v/>
      </c>
      <c r="AN56" s="9" t="str">
        <f t="shared" si="63"/>
        <v/>
      </c>
      <c r="AO56" s="10" t="str">
        <f t="shared" si="64"/>
        <v/>
      </c>
      <c r="AP56" s="11"/>
      <c r="AR56" s="65"/>
      <c r="AS56" s="44"/>
      <c r="AT56" s="44" t="str">
        <f t="shared" si="65"/>
        <v/>
      </c>
      <c r="AU56" s="44"/>
      <c r="AV56" s="44" t="str">
        <f t="shared" si="66"/>
        <v/>
      </c>
      <c r="AW56" s="44"/>
      <c r="AX56" s="44" t="str">
        <f t="shared" si="67"/>
        <v/>
      </c>
      <c r="AY56" s="44"/>
      <c r="AZ56" s="61" t="str">
        <f t="shared" si="82"/>
        <v/>
      </c>
      <c r="BA56" s="44" t="str">
        <f t="shared" si="86"/>
        <v/>
      </c>
      <c r="BB56" s="9" t="str">
        <f t="shared" si="68"/>
        <v/>
      </c>
      <c r="BC56" s="10" t="str">
        <f t="shared" si="69"/>
        <v/>
      </c>
      <c r="BD56" s="11"/>
      <c r="BF56" s="65"/>
      <c r="BG56" s="44"/>
      <c r="BH56" s="44" t="str">
        <f t="shared" si="70"/>
        <v/>
      </c>
      <c r="BI56" s="44"/>
      <c r="BJ56" s="44" t="str">
        <f t="shared" si="71"/>
        <v/>
      </c>
      <c r="BK56" s="44"/>
      <c r="BL56" s="44" t="str">
        <f t="shared" si="72"/>
        <v/>
      </c>
      <c r="BM56" s="44"/>
      <c r="BN56" s="61" t="str">
        <f t="shared" si="83"/>
        <v/>
      </c>
      <c r="BO56" s="44" t="str">
        <f t="shared" si="87"/>
        <v/>
      </c>
      <c r="BP56" s="9" t="str">
        <f t="shared" si="73"/>
        <v/>
      </c>
      <c r="BQ56" s="10" t="str">
        <f t="shared" si="74"/>
        <v/>
      </c>
      <c r="BR56" s="11"/>
      <c r="BT56" s="65"/>
      <c r="BU56" s="44"/>
      <c r="BV56" s="44" t="str">
        <f t="shared" si="75"/>
        <v/>
      </c>
      <c r="BW56" s="44"/>
      <c r="BX56" s="44" t="str">
        <f t="shared" si="76"/>
        <v/>
      </c>
      <c r="BY56" s="44"/>
      <c r="BZ56" s="44" t="str">
        <f t="shared" si="77"/>
        <v/>
      </c>
      <c r="CA56" s="44"/>
      <c r="CB56" s="61" t="str">
        <f t="shared" si="45"/>
        <v/>
      </c>
      <c r="CC56" s="44" t="str">
        <f t="shared" si="88"/>
        <v/>
      </c>
      <c r="CD56" s="9" t="str">
        <f t="shared" si="78"/>
        <v/>
      </c>
      <c r="CE56" s="10" t="str">
        <f t="shared" si="79"/>
        <v/>
      </c>
      <c r="CF56" s="11"/>
    </row>
    <row r="57" spans="1:84" ht="15" customHeight="1">
      <c r="A57" s="12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11"/>
      <c r="O57" s="2"/>
      <c r="P57" s="89"/>
      <c r="Q57" s="52"/>
      <c r="R57" s="52" t="str">
        <f t="shared" si="55"/>
        <v/>
      </c>
      <c r="S57" s="52"/>
      <c r="T57" s="52" t="str">
        <f t="shared" si="56"/>
        <v/>
      </c>
      <c r="U57" s="52"/>
      <c r="V57" s="52" t="str">
        <f t="shared" si="57"/>
        <v/>
      </c>
      <c r="W57" s="52"/>
      <c r="X57" s="90" t="str">
        <f t="shared" si="80"/>
        <v/>
      </c>
      <c r="Y57" s="52" t="str">
        <f t="shared" si="84"/>
        <v/>
      </c>
      <c r="Z57" s="52" t="str">
        <f t="shared" si="58"/>
        <v/>
      </c>
      <c r="AA57" s="52" t="str">
        <f t="shared" si="59"/>
        <v/>
      </c>
      <c r="AB57" s="31"/>
      <c r="AD57" s="89"/>
      <c r="AE57" s="52"/>
      <c r="AF57" s="52" t="str">
        <f t="shared" si="60"/>
        <v/>
      </c>
      <c r="AG57" s="52"/>
      <c r="AH57" s="52" t="str">
        <f t="shared" si="61"/>
        <v/>
      </c>
      <c r="AI57" s="52"/>
      <c r="AJ57" s="52" t="str">
        <f t="shared" si="62"/>
        <v/>
      </c>
      <c r="AK57" s="52"/>
      <c r="AL57" s="92" t="str">
        <f t="shared" si="81"/>
        <v/>
      </c>
      <c r="AM57" s="52" t="str">
        <f t="shared" si="85"/>
        <v/>
      </c>
      <c r="AN57" s="9" t="str">
        <f t="shared" si="63"/>
        <v/>
      </c>
      <c r="AO57" s="10" t="str">
        <f t="shared" si="64"/>
        <v/>
      </c>
      <c r="AP57" s="31"/>
      <c r="AR57" s="89"/>
      <c r="AS57" s="52"/>
      <c r="AT57" s="52" t="str">
        <f t="shared" si="65"/>
        <v/>
      </c>
      <c r="AU57" s="52"/>
      <c r="AV57" s="52" t="str">
        <f t="shared" si="66"/>
        <v/>
      </c>
      <c r="AW57" s="52"/>
      <c r="AX57" s="52" t="str">
        <f t="shared" si="67"/>
        <v/>
      </c>
      <c r="AY57" s="52"/>
      <c r="AZ57" s="92" t="str">
        <f t="shared" si="82"/>
        <v/>
      </c>
      <c r="BA57" s="52" t="str">
        <f t="shared" si="86"/>
        <v/>
      </c>
      <c r="BB57" s="9" t="str">
        <f t="shared" si="68"/>
        <v/>
      </c>
      <c r="BC57" s="10" t="str">
        <f t="shared" si="69"/>
        <v/>
      </c>
      <c r="BD57" s="31"/>
      <c r="BF57" s="89"/>
      <c r="BG57" s="52"/>
      <c r="BH57" s="52" t="str">
        <f t="shared" si="70"/>
        <v/>
      </c>
      <c r="BI57" s="52"/>
      <c r="BJ57" s="52" t="str">
        <f t="shared" si="71"/>
        <v/>
      </c>
      <c r="BK57" s="52"/>
      <c r="BL57" s="52" t="str">
        <f t="shared" si="72"/>
        <v/>
      </c>
      <c r="BM57" s="52"/>
      <c r="BN57" s="92" t="str">
        <f t="shared" si="83"/>
        <v/>
      </c>
      <c r="BO57" s="52" t="str">
        <f t="shared" si="87"/>
        <v/>
      </c>
      <c r="BP57" s="9" t="str">
        <f t="shared" si="73"/>
        <v/>
      </c>
      <c r="BQ57" s="10" t="str">
        <f t="shared" si="74"/>
        <v/>
      </c>
      <c r="BR57" s="31"/>
      <c r="BT57" s="89"/>
      <c r="BU57" s="52"/>
      <c r="BV57" s="52" t="str">
        <f t="shared" si="75"/>
        <v/>
      </c>
      <c r="BW57" s="52"/>
      <c r="BX57" s="52" t="str">
        <f t="shared" si="76"/>
        <v/>
      </c>
      <c r="BY57" s="52"/>
      <c r="BZ57" s="52" t="str">
        <f t="shared" si="77"/>
        <v/>
      </c>
      <c r="CA57" s="52"/>
      <c r="CB57" s="92" t="str">
        <f t="shared" si="45"/>
        <v/>
      </c>
      <c r="CC57" s="52" t="str">
        <f t="shared" si="88"/>
        <v/>
      </c>
      <c r="CD57" s="9" t="str">
        <f t="shared" si="78"/>
        <v/>
      </c>
      <c r="CE57" s="10" t="str">
        <f t="shared" si="79"/>
        <v/>
      </c>
      <c r="CF57" s="31"/>
    </row>
    <row r="58" spans="1:84" ht="15" customHeight="1" thickBot="1">
      <c r="A58" s="12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  <c r="N58" s="11"/>
      <c r="O58" s="2"/>
      <c r="P58" s="85"/>
      <c r="Q58" s="50"/>
      <c r="R58" s="50" t="str">
        <f t="shared" si="55"/>
        <v/>
      </c>
      <c r="S58" s="50"/>
      <c r="T58" s="50" t="str">
        <f t="shared" si="56"/>
        <v/>
      </c>
      <c r="U58" s="50"/>
      <c r="V58" s="50" t="str">
        <f t="shared" si="57"/>
        <v/>
      </c>
      <c r="W58" s="50"/>
      <c r="X58" s="86" t="str">
        <f t="shared" si="80"/>
        <v/>
      </c>
      <c r="Y58" s="50" t="str">
        <f t="shared" si="84"/>
        <v/>
      </c>
      <c r="Z58" s="50" t="str">
        <f t="shared" si="58"/>
        <v/>
      </c>
      <c r="AA58" s="50" t="str">
        <f t="shared" si="59"/>
        <v/>
      </c>
      <c r="AB58" s="87"/>
      <c r="AD58" s="85"/>
      <c r="AE58" s="50"/>
      <c r="AF58" s="50" t="str">
        <f t="shared" si="60"/>
        <v/>
      </c>
      <c r="AG58" s="50"/>
      <c r="AH58" s="50" t="str">
        <f t="shared" si="61"/>
        <v/>
      </c>
      <c r="AI58" s="50"/>
      <c r="AJ58" s="50" t="str">
        <f t="shared" si="62"/>
        <v/>
      </c>
      <c r="AK58" s="50"/>
      <c r="AL58" s="91" t="str">
        <f t="shared" si="81"/>
        <v/>
      </c>
      <c r="AM58" s="50" t="str">
        <f t="shared" si="85"/>
        <v/>
      </c>
      <c r="AN58" s="19" t="str">
        <f t="shared" si="63"/>
        <v/>
      </c>
      <c r="AO58" s="20" t="str">
        <f t="shared" si="64"/>
        <v/>
      </c>
      <c r="AP58" s="87"/>
      <c r="AR58" s="85"/>
      <c r="AS58" s="50"/>
      <c r="AT58" s="50" t="str">
        <f t="shared" si="65"/>
        <v/>
      </c>
      <c r="AU58" s="50"/>
      <c r="AV58" s="50" t="str">
        <f t="shared" si="66"/>
        <v/>
      </c>
      <c r="AW58" s="50"/>
      <c r="AX58" s="50" t="str">
        <f t="shared" si="67"/>
        <v/>
      </c>
      <c r="AY58" s="50"/>
      <c r="AZ58" s="91" t="str">
        <f t="shared" si="82"/>
        <v/>
      </c>
      <c r="BA58" s="50" t="str">
        <f t="shared" si="86"/>
        <v/>
      </c>
      <c r="BB58" s="19" t="str">
        <f t="shared" si="68"/>
        <v/>
      </c>
      <c r="BC58" s="20" t="str">
        <f t="shared" si="69"/>
        <v/>
      </c>
      <c r="BD58" s="87"/>
      <c r="BF58" s="85"/>
      <c r="BG58" s="50"/>
      <c r="BH58" s="50" t="str">
        <f t="shared" si="70"/>
        <v/>
      </c>
      <c r="BI58" s="50"/>
      <c r="BJ58" s="50" t="str">
        <f t="shared" si="71"/>
        <v/>
      </c>
      <c r="BK58" s="50"/>
      <c r="BL58" s="50" t="str">
        <f t="shared" si="72"/>
        <v/>
      </c>
      <c r="BM58" s="50"/>
      <c r="BN58" s="91" t="str">
        <f t="shared" si="83"/>
        <v/>
      </c>
      <c r="BO58" s="50" t="str">
        <f t="shared" si="87"/>
        <v/>
      </c>
      <c r="BP58" s="19" t="str">
        <f t="shared" si="73"/>
        <v/>
      </c>
      <c r="BQ58" s="20" t="str">
        <f t="shared" si="74"/>
        <v/>
      </c>
      <c r="BR58" s="87"/>
      <c r="BT58" s="85"/>
      <c r="BU58" s="50"/>
      <c r="BV58" s="50" t="str">
        <f t="shared" si="75"/>
        <v/>
      </c>
      <c r="BW58" s="50"/>
      <c r="BX58" s="50" t="str">
        <f t="shared" si="76"/>
        <v/>
      </c>
      <c r="BY58" s="50"/>
      <c r="BZ58" s="50" t="str">
        <f t="shared" si="77"/>
        <v/>
      </c>
      <c r="CA58" s="50"/>
      <c r="CB58" s="91" t="str">
        <f t="shared" si="45"/>
        <v/>
      </c>
      <c r="CC58" s="50" t="str">
        <f t="shared" si="88"/>
        <v/>
      </c>
      <c r="CD58" s="19" t="str">
        <f t="shared" si="78"/>
        <v/>
      </c>
      <c r="CE58" s="20" t="str">
        <f t="shared" si="79"/>
        <v/>
      </c>
      <c r="CF58" s="87"/>
    </row>
    <row r="59" spans="1:84" ht="15" customHeight="1" thickTop="1">
      <c r="A59" s="4">
        <v>30</v>
      </c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11"/>
      <c r="O59" s="2"/>
      <c r="P59" s="65"/>
      <c r="Q59" s="84" t="s">
        <v>17</v>
      </c>
      <c r="R59" s="44">
        <f>SUM(R3:R55)*100</f>
        <v>227900</v>
      </c>
      <c r="S59" s="44"/>
      <c r="T59" s="44"/>
      <c r="U59" s="84"/>
      <c r="V59" s="44"/>
      <c r="W59" s="44"/>
      <c r="X59" s="186" t="s">
        <v>19</v>
      </c>
      <c r="Y59" s="187"/>
      <c r="Z59" s="44">
        <f>SUM(Z3:Z55)</f>
        <v>33600</v>
      </c>
      <c r="AA59" s="44"/>
      <c r="AB59" s="69"/>
      <c r="AD59" s="65"/>
      <c r="AE59" s="84" t="s">
        <v>17</v>
      </c>
      <c r="AF59" s="44">
        <f>SUM(AF3:AF55)*100</f>
        <v>231600</v>
      </c>
      <c r="AG59" s="44"/>
      <c r="AH59" s="44"/>
      <c r="AI59" s="84"/>
      <c r="AJ59" s="44"/>
      <c r="AK59" s="44"/>
      <c r="AL59" s="186" t="s">
        <v>19</v>
      </c>
      <c r="AM59" s="187"/>
      <c r="AN59" s="44">
        <f>SUM(AN3:AN55)</f>
        <v>23890</v>
      </c>
      <c r="AO59" s="44"/>
      <c r="AP59" s="69"/>
      <c r="AR59" s="65"/>
      <c r="AS59" s="84" t="s">
        <v>17</v>
      </c>
      <c r="AT59" s="44">
        <f>SUM(AT3:AT55)*100</f>
        <v>41200</v>
      </c>
      <c r="AU59" s="44"/>
      <c r="AV59" s="44"/>
      <c r="AW59" s="84"/>
      <c r="AX59" s="44"/>
      <c r="AY59" s="44"/>
      <c r="AZ59" s="186" t="s">
        <v>19</v>
      </c>
      <c r="BA59" s="187"/>
      <c r="BB59" s="44">
        <f>SUM(BB3:BB55)</f>
        <v>11300</v>
      </c>
      <c r="BC59" s="44"/>
      <c r="BD59" s="69"/>
      <c r="BF59" s="65"/>
      <c r="BG59" s="84" t="s">
        <v>17</v>
      </c>
      <c r="BH59" s="44">
        <f>SUM(BH3:BH55)*100</f>
        <v>39500</v>
      </c>
      <c r="BI59" s="44"/>
      <c r="BJ59" s="44"/>
      <c r="BK59" s="84"/>
      <c r="BL59" s="44"/>
      <c r="BM59" s="44"/>
      <c r="BN59" s="186" t="s">
        <v>19</v>
      </c>
      <c r="BO59" s="187"/>
      <c r="BP59" s="44">
        <f>SUM(BP3:BP55)</f>
        <v>5856</v>
      </c>
      <c r="BQ59" s="44"/>
      <c r="BR59" s="69"/>
      <c r="BT59" s="65"/>
      <c r="BU59" s="84" t="s">
        <v>17</v>
      </c>
      <c r="BV59" s="44">
        <f>SUM(BV3:BV55)*100</f>
        <v>46400</v>
      </c>
      <c r="BW59" s="44"/>
      <c r="BX59" s="44"/>
      <c r="BY59" s="84"/>
      <c r="BZ59" s="44"/>
      <c r="CA59" s="44"/>
      <c r="CB59" s="186" t="s">
        <v>19</v>
      </c>
      <c r="CC59" s="187"/>
      <c r="CD59" s="44">
        <f>SUM(CD3:CD55)</f>
        <v>19112</v>
      </c>
      <c r="CE59" s="44"/>
      <c r="CF59" s="69"/>
    </row>
    <row r="60" spans="1:84" ht="15" customHeight="1">
      <c r="A60" s="96">
        <f>DATEDIF(A84,A7,"d")</f>
        <v>18</v>
      </c>
      <c r="B60" s="8">
        <f>SUM(B3:B59)</f>
        <v>8083</v>
      </c>
      <c r="C60" s="5" t="s">
        <v>17</v>
      </c>
      <c r="D60" s="9">
        <f>SUM(D3:D56)*100</f>
        <v>221700</v>
      </c>
      <c r="E60" s="9"/>
      <c r="F60" s="9"/>
      <c r="G60" s="5"/>
      <c r="H60" s="9"/>
      <c r="I60" s="9"/>
      <c r="J60" s="9"/>
      <c r="K60" s="9"/>
      <c r="L60" s="9"/>
      <c r="M60" s="9"/>
      <c r="N60" s="11"/>
      <c r="O60" s="2"/>
      <c r="P60" s="25"/>
      <c r="Q60" s="5" t="s">
        <v>20</v>
      </c>
      <c r="R60" s="9">
        <f>R59/$A60</f>
        <v>12661.111111111111</v>
      </c>
      <c r="S60" s="9">
        <f>R60*A59</f>
        <v>379833.33333333331</v>
      </c>
      <c r="T60" s="9"/>
      <c r="U60" s="5"/>
      <c r="V60" s="9"/>
      <c r="W60" s="9"/>
      <c r="X60" s="178" t="s">
        <v>21</v>
      </c>
      <c r="Y60" s="179"/>
      <c r="Z60" s="9"/>
      <c r="AA60" s="28">
        <f>Z59/R59</f>
        <v>0.1474330846862659</v>
      </c>
      <c r="AB60" s="11"/>
      <c r="AD60" s="40"/>
      <c r="AE60" s="5" t="s">
        <v>20</v>
      </c>
      <c r="AF60" s="9">
        <f>AF59/$A60</f>
        <v>12866.666666666666</v>
      </c>
      <c r="AG60" s="9">
        <f>AF60*A59</f>
        <v>386000</v>
      </c>
      <c r="AH60" s="9"/>
      <c r="AI60" s="5"/>
      <c r="AJ60" s="9"/>
      <c r="AK60" s="9"/>
      <c r="AL60" s="178" t="s">
        <v>21</v>
      </c>
      <c r="AM60" s="179"/>
      <c r="AN60" s="9"/>
      <c r="AO60" s="28">
        <f>AN59/AF59</f>
        <v>0.10315198618307427</v>
      </c>
      <c r="AP60" s="11"/>
      <c r="AR60" s="40"/>
      <c r="AS60" s="5" t="s">
        <v>20</v>
      </c>
      <c r="AT60" s="9">
        <f>AT59/$A60</f>
        <v>2288.8888888888887</v>
      </c>
      <c r="AU60" s="9">
        <f>AT60*A59</f>
        <v>68666.666666666657</v>
      </c>
      <c r="AV60" s="9"/>
      <c r="AW60" s="5"/>
      <c r="AX60" s="9"/>
      <c r="AY60" s="9"/>
      <c r="AZ60" s="178" t="s">
        <v>21</v>
      </c>
      <c r="BA60" s="179"/>
      <c r="BB60" s="9"/>
      <c r="BC60" s="28">
        <f>BB59/AT59</f>
        <v>0.27427184466019416</v>
      </c>
      <c r="BD60" s="11"/>
      <c r="BF60" s="40"/>
      <c r="BG60" s="5" t="s">
        <v>20</v>
      </c>
      <c r="BH60" s="9">
        <f>BH59/$A60</f>
        <v>2194.4444444444443</v>
      </c>
      <c r="BI60" s="9">
        <f>BH60*A59</f>
        <v>65833.333333333328</v>
      </c>
      <c r="BJ60" s="9"/>
      <c r="BK60" s="5"/>
      <c r="BL60" s="9"/>
      <c r="BM60" s="9"/>
      <c r="BN60" s="178" t="s">
        <v>21</v>
      </c>
      <c r="BO60" s="179"/>
      <c r="BP60" s="9"/>
      <c r="BQ60" s="28">
        <f>BP59/BH59</f>
        <v>0.14825316455696202</v>
      </c>
      <c r="BR60" s="11"/>
      <c r="BT60" s="40"/>
      <c r="BU60" s="5" t="s">
        <v>20</v>
      </c>
      <c r="BV60" s="9">
        <f>BV59/$A60</f>
        <v>2577.7777777777778</v>
      </c>
      <c r="BW60" s="9">
        <f>BV60*A59</f>
        <v>77333.333333333328</v>
      </c>
      <c r="BX60" s="9"/>
      <c r="BY60" s="5"/>
      <c r="BZ60" s="9"/>
      <c r="CA60" s="9"/>
      <c r="CB60" s="178" t="s">
        <v>21</v>
      </c>
      <c r="CC60" s="179"/>
      <c r="CD60" s="9"/>
      <c r="CE60" s="28">
        <f>CD59/BV59</f>
        <v>0.41189655172413792</v>
      </c>
      <c r="CF60" s="11"/>
    </row>
    <row r="61" spans="1:84" ht="15" customHeight="1">
      <c r="A61" s="97"/>
      <c r="B61" s="8">
        <f>B60/A60</f>
        <v>449.05555555555554</v>
      </c>
      <c r="C61" s="5" t="s">
        <v>20</v>
      </c>
      <c r="D61" s="9">
        <f>D60/A60</f>
        <v>12316.666666666666</v>
      </c>
      <c r="E61" s="9">
        <f>D61*A59</f>
        <v>369500</v>
      </c>
      <c r="F61" s="9"/>
      <c r="G61" s="5"/>
      <c r="H61" s="9"/>
      <c r="I61" s="9"/>
      <c r="J61" s="9"/>
      <c r="K61" s="9"/>
      <c r="L61" s="9"/>
      <c r="M61" s="9"/>
      <c r="N61" s="11"/>
      <c r="O61" s="2"/>
      <c r="P61" s="12"/>
      <c r="Q61" s="58" t="s">
        <v>23</v>
      </c>
      <c r="R61" s="9">
        <f>R59*0.6</f>
        <v>136740</v>
      </c>
      <c r="S61" s="9"/>
      <c r="T61" s="9"/>
      <c r="U61" s="5"/>
      <c r="V61" s="9"/>
      <c r="W61" s="9"/>
      <c r="X61" s="178" t="s">
        <v>24</v>
      </c>
      <c r="Y61" s="179"/>
      <c r="Z61" s="9">
        <f>R61-Z59</f>
        <v>103140</v>
      </c>
      <c r="AA61" s="28">
        <f>Z61/R59</f>
        <v>0.45256691531373411</v>
      </c>
      <c r="AB61" s="11"/>
      <c r="AD61" s="12"/>
      <c r="AE61" s="58" t="s">
        <v>23</v>
      </c>
      <c r="AF61" s="9">
        <f>AF59*0.6</f>
        <v>138960</v>
      </c>
      <c r="AG61" s="9"/>
      <c r="AH61" s="9"/>
      <c r="AI61" s="5"/>
      <c r="AJ61" s="9"/>
      <c r="AK61" s="9"/>
      <c r="AL61" s="178" t="s">
        <v>24</v>
      </c>
      <c r="AM61" s="179"/>
      <c r="AN61" s="9">
        <f>AF61-AN59</f>
        <v>115070</v>
      </c>
      <c r="AO61" s="28">
        <f>AN61/AF59</f>
        <v>0.49684801381692573</v>
      </c>
      <c r="AP61" s="11"/>
      <c r="AR61" s="12"/>
      <c r="AS61" s="58" t="s">
        <v>23</v>
      </c>
      <c r="AT61" s="9">
        <f>AT59*0.6</f>
        <v>24720</v>
      </c>
      <c r="AU61" s="9"/>
      <c r="AV61" s="9"/>
      <c r="AW61" s="5"/>
      <c r="AX61" s="9"/>
      <c r="AY61" s="9"/>
      <c r="AZ61" s="178" t="s">
        <v>24</v>
      </c>
      <c r="BA61" s="179"/>
      <c r="BB61" s="9">
        <f>AT61-BB59</f>
        <v>13420</v>
      </c>
      <c r="BC61" s="28">
        <f>BB61/AT59</f>
        <v>0.32572815533980581</v>
      </c>
      <c r="BD61" s="11"/>
      <c r="BF61" s="12"/>
      <c r="BG61" s="58" t="s">
        <v>23</v>
      </c>
      <c r="BH61" s="9">
        <f>BH59*0.6</f>
        <v>23700</v>
      </c>
      <c r="BI61" s="9"/>
      <c r="BJ61" s="9"/>
      <c r="BK61" s="5"/>
      <c r="BL61" s="9"/>
      <c r="BM61" s="9"/>
      <c r="BN61" s="178" t="s">
        <v>24</v>
      </c>
      <c r="BO61" s="179"/>
      <c r="BP61" s="9">
        <f>BH61-BP59</f>
        <v>17844</v>
      </c>
      <c r="BQ61" s="28">
        <f>BP61/BH59</f>
        <v>0.45174683544303795</v>
      </c>
      <c r="BR61" s="11"/>
      <c r="BT61" s="12"/>
      <c r="BU61" s="58" t="s">
        <v>23</v>
      </c>
      <c r="BV61" s="9">
        <f>BV59*0.6</f>
        <v>27840</v>
      </c>
      <c r="BW61" s="9"/>
      <c r="BX61" s="9"/>
      <c r="BY61" s="5"/>
      <c r="BZ61" s="9"/>
      <c r="CA61" s="9"/>
      <c r="CB61" s="178" t="s">
        <v>24</v>
      </c>
      <c r="CC61" s="179"/>
      <c r="CD61" s="9">
        <f>BV61-CD59</f>
        <v>8728</v>
      </c>
      <c r="CE61" s="28">
        <f>CD61/BV59</f>
        <v>0.18810344827586206</v>
      </c>
      <c r="CF61" s="11"/>
    </row>
    <row r="62" spans="1:84" ht="15" customHeight="1">
      <c r="A62" s="12"/>
      <c r="B62" s="8">
        <f>B61*A59</f>
        <v>13471.666666666666</v>
      </c>
      <c r="C62" s="5" t="s">
        <v>23</v>
      </c>
      <c r="D62" s="9">
        <f>D60*0.6</f>
        <v>133020</v>
      </c>
      <c r="E62" s="9"/>
      <c r="F62" s="9"/>
      <c r="G62" s="180" t="s">
        <v>27</v>
      </c>
      <c r="H62" s="181"/>
      <c r="I62" s="9" t="e">
        <f>(G11+I11)*K11</f>
        <v>#VALUE!</v>
      </c>
      <c r="J62" s="9"/>
      <c r="K62" s="9"/>
      <c r="L62" s="9"/>
      <c r="M62" s="9"/>
      <c r="N62" s="11"/>
      <c r="O62" s="2"/>
      <c r="P62" s="65"/>
      <c r="Q62" s="5" t="s">
        <v>25</v>
      </c>
      <c r="R62" s="9">
        <f>R133</f>
        <v>316000</v>
      </c>
      <c r="S62" s="9"/>
      <c r="T62" s="9"/>
      <c r="U62" s="5"/>
      <c r="V62" s="9"/>
      <c r="W62" s="17"/>
      <c r="X62" s="182" t="s">
        <v>27</v>
      </c>
      <c r="Y62" s="183"/>
      <c r="Z62" s="44" t="e">
        <f>(U35+W35)*Y35+(U36+W36)*Y36+(U37+W37)*Y37+(U38+W38)*Y38</f>
        <v>#VALUE!</v>
      </c>
      <c r="AA62" s="10"/>
      <c r="AB62" s="11"/>
      <c r="AD62" s="65"/>
      <c r="AE62" s="5" t="s">
        <v>25</v>
      </c>
      <c r="AF62" s="9">
        <f>AF133</f>
        <v>348600</v>
      </c>
      <c r="AG62" s="9"/>
      <c r="AH62" s="9"/>
      <c r="AI62" s="5"/>
      <c r="AJ62" s="9"/>
      <c r="AK62" s="17"/>
      <c r="AL62" s="182" t="s">
        <v>27</v>
      </c>
      <c r="AM62" s="183"/>
      <c r="AN62" s="44" t="e">
        <f>(AI35+AK35)*AM35+(AI36+AK36)*AM36+(AI37+AK37)*AM37+(AI38+AK38)*AM38</f>
        <v>#VALUE!</v>
      </c>
      <c r="AO62" s="10"/>
      <c r="AP62" s="11"/>
      <c r="AR62" s="65"/>
      <c r="AS62" s="5" t="s">
        <v>25</v>
      </c>
      <c r="AT62" s="9">
        <f>AT133</f>
        <v>94700</v>
      </c>
      <c r="AU62" s="9"/>
      <c r="AV62" s="9"/>
      <c r="AW62" s="5"/>
      <c r="AX62" s="9"/>
      <c r="AY62" s="17"/>
      <c r="AZ62" s="182" t="s">
        <v>27</v>
      </c>
      <c r="BA62" s="183"/>
      <c r="BB62" s="44" t="e">
        <f>(AW35+AY35)*BA35+(AW36+AY36)*BA36+(AW37+AY37)*BA37+(AW38+AY38)*BA38</f>
        <v>#VALUE!</v>
      </c>
      <c r="BC62" s="10"/>
      <c r="BD62" s="11"/>
      <c r="BF62" s="65"/>
      <c r="BG62" s="5" t="s">
        <v>25</v>
      </c>
      <c r="BH62" s="9">
        <f>BH133</f>
        <v>97300</v>
      </c>
      <c r="BI62" s="9"/>
      <c r="BJ62" s="9"/>
      <c r="BK62" s="5"/>
      <c r="BL62" s="9"/>
      <c r="BM62" s="17"/>
      <c r="BN62" s="182" t="s">
        <v>27</v>
      </c>
      <c r="BO62" s="183"/>
      <c r="BP62" s="44" t="e">
        <f>(BK35+BM35)*BO35+(BK36+BM36)*BO36+(BK37+BM37)*BO37+(BK38+BM38)*BO38</f>
        <v>#VALUE!</v>
      </c>
      <c r="BQ62" s="10"/>
      <c r="BR62" s="11"/>
      <c r="BT62" s="65"/>
      <c r="BU62" s="5" t="s">
        <v>25</v>
      </c>
      <c r="BV62" s="9">
        <f>BV133</f>
        <v>77500</v>
      </c>
      <c r="BW62" s="9"/>
      <c r="BX62" s="9"/>
      <c r="BY62" s="5"/>
      <c r="BZ62" s="9"/>
      <c r="CA62" s="17"/>
      <c r="CB62" s="182" t="s">
        <v>27</v>
      </c>
      <c r="CC62" s="183"/>
      <c r="CD62" s="44" t="e">
        <f>(BY35+CA35)*CC35+(BY36+CA36)*CC36+(BY37+CA37)*CC37+(BY38+CA38)*CC38</f>
        <v>#VALUE!</v>
      </c>
      <c r="CE62" s="10"/>
      <c r="CF62" s="11"/>
    </row>
    <row r="63" spans="1:84" ht="15" customHeight="1">
      <c r="A63" s="12"/>
      <c r="B63" s="8"/>
      <c r="C63" s="5" t="s">
        <v>25</v>
      </c>
      <c r="D63" s="9">
        <f>D134</f>
        <v>518200</v>
      </c>
      <c r="E63" s="9"/>
      <c r="F63" s="9"/>
      <c r="G63" s="5" t="s">
        <v>22</v>
      </c>
      <c r="H63" s="9">
        <f>SUM(L3:L56)</f>
        <v>58500</v>
      </c>
      <c r="I63" s="28">
        <f>H63/D60</f>
        <v>0.26387009472259809</v>
      </c>
      <c r="J63" s="28"/>
      <c r="K63" s="9"/>
      <c r="L63" s="9"/>
      <c r="M63" s="9"/>
      <c r="N63" s="11"/>
      <c r="O63" s="2"/>
      <c r="P63" s="65"/>
      <c r="Q63" s="5"/>
      <c r="R63" s="9"/>
      <c r="S63" s="9"/>
      <c r="T63" s="9"/>
      <c r="U63" s="5"/>
      <c r="V63" s="9"/>
      <c r="W63" s="17"/>
      <c r="X63" s="100"/>
      <c r="Y63" s="103"/>
      <c r="Z63" s="62"/>
      <c r="AA63" s="10"/>
      <c r="AB63" s="11"/>
      <c r="AD63" s="65"/>
      <c r="AE63" s="5"/>
      <c r="AF63" s="9"/>
      <c r="AG63" s="9"/>
      <c r="AH63" s="9"/>
      <c r="AI63" s="5"/>
      <c r="AJ63" s="9"/>
      <c r="AK63" s="17"/>
      <c r="AL63" s="100"/>
      <c r="AM63" s="103"/>
      <c r="AN63" s="62"/>
      <c r="AO63" s="10"/>
      <c r="AP63" s="11"/>
      <c r="AR63" s="65"/>
      <c r="AS63" s="5"/>
      <c r="AT63" s="9"/>
      <c r="AU63" s="9"/>
      <c r="AV63" s="9"/>
      <c r="AW63" s="5"/>
      <c r="AX63" s="9"/>
      <c r="AY63" s="17"/>
      <c r="AZ63" s="100"/>
      <c r="BA63" s="103"/>
      <c r="BB63" s="62"/>
      <c r="BC63" s="10"/>
      <c r="BD63" s="11"/>
      <c r="BF63" s="65"/>
      <c r="BG63" s="5"/>
      <c r="BH63" s="9"/>
      <c r="BI63" s="9"/>
      <c r="BJ63" s="9"/>
      <c r="BK63" s="5"/>
      <c r="BL63" s="9"/>
      <c r="BM63" s="17"/>
      <c r="BN63" s="100"/>
      <c r="BO63" s="103"/>
      <c r="BP63" s="62"/>
      <c r="BQ63" s="10"/>
      <c r="BR63" s="11"/>
      <c r="BT63" s="65"/>
      <c r="BU63" s="5"/>
      <c r="BV63" s="9"/>
      <c r="BW63" s="9"/>
      <c r="BX63" s="9"/>
      <c r="BY63" s="5"/>
      <c r="BZ63" s="9"/>
      <c r="CA63" s="17"/>
      <c r="CB63" s="100"/>
      <c r="CC63" s="103"/>
      <c r="CD63" s="62"/>
      <c r="CE63" s="10"/>
      <c r="CF63" s="11"/>
    </row>
    <row r="64" spans="1:84" ht="15" customHeight="1">
      <c r="A64" s="12"/>
      <c r="B64" s="139"/>
      <c r="C64" s="140"/>
      <c r="D64" s="9"/>
      <c r="E64" s="9"/>
      <c r="F64" s="9"/>
      <c r="G64" s="30" t="s">
        <v>24</v>
      </c>
      <c r="H64" s="26">
        <f>D62-H63</f>
        <v>74520</v>
      </c>
      <c r="I64" s="28">
        <f>H64/D60</f>
        <v>0.33612990527740189</v>
      </c>
      <c r="J64" s="28"/>
      <c r="K64" s="9"/>
      <c r="L64" s="9"/>
      <c r="M64" s="9"/>
      <c r="N64" s="11"/>
      <c r="O64" s="2"/>
      <c r="P64" s="65"/>
      <c r="Q64" s="5"/>
      <c r="R64" s="9"/>
      <c r="S64" s="26"/>
      <c r="T64" s="9"/>
      <c r="U64" s="5"/>
      <c r="V64" s="9"/>
      <c r="W64" s="17"/>
      <c r="X64" s="100"/>
      <c r="Y64" s="103"/>
      <c r="Z64" s="62"/>
      <c r="AA64" s="10"/>
      <c r="AB64" s="11"/>
      <c r="AD64" s="65"/>
      <c r="AE64" s="5"/>
      <c r="AF64" s="9"/>
      <c r="AG64" s="26"/>
      <c r="AH64" s="9"/>
      <c r="AI64" s="5"/>
      <c r="AJ64" s="9"/>
      <c r="AK64" s="17"/>
      <c r="AL64" s="100"/>
      <c r="AM64" s="103"/>
      <c r="AN64" s="62"/>
      <c r="AO64" s="10"/>
      <c r="AP64" s="11"/>
      <c r="AR64" s="65"/>
      <c r="AS64" s="5"/>
      <c r="AT64" s="9"/>
      <c r="AU64" s="26"/>
      <c r="AV64" s="9"/>
      <c r="AW64" s="5"/>
      <c r="AX64" s="9"/>
      <c r="AY64" s="17"/>
      <c r="AZ64" s="100"/>
      <c r="BA64" s="103"/>
      <c r="BB64" s="62"/>
      <c r="BC64" s="10"/>
      <c r="BD64" s="11"/>
      <c r="BF64" s="65"/>
      <c r="BG64" s="5"/>
      <c r="BH64" s="9"/>
      <c r="BI64" s="26"/>
      <c r="BJ64" s="9"/>
      <c r="BK64" s="5"/>
      <c r="BL64" s="9"/>
      <c r="BM64" s="17"/>
      <c r="BN64" s="100"/>
      <c r="BO64" s="103"/>
      <c r="BP64" s="62"/>
      <c r="BQ64" s="10"/>
      <c r="BR64" s="11"/>
      <c r="BT64" s="65"/>
      <c r="BU64" s="5"/>
      <c r="BV64" s="9"/>
      <c r="BW64" s="26"/>
      <c r="BX64" s="9"/>
      <c r="BY64" s="5"/>
      <c r="BZ64" s="9"/>
      <c r="CA64" s="17"/>
      <c r="CB64" s="100"/>
      <c r="CC64" s="103"/>
      <c r="CD64" s="62"/>
      <c r="CE64" s="10"/>
      <c r="CF64" s="11"/>
    </row>
    <row r="65" spans="1:84" ht="15" customHeight="1">
      <c r="A65" s="33"/>
      <c r="B65" s="142"/>
      <c r="C65" s="102"/>
      <c r="D65" s="45"/>
      <c r="E65" s="9"/>
      <c r="F65" s="9"/>
      <c r="G65" s="104"/>
      <c r="H65" s="106"/>
      <c r="I65" s="28"/>
      <c r="J65" s="28"/>
      <c r="K65" s="9"/>
      <c r="L65" s="9"/>
      <c r="M65" s="9"/>
      <c r="N65" s="11"/>
      <c r="O65" s="2"/>
      <c r="P65" s="65"/>
      <c r="Q65" s="5"/>
      <c r="R65" s="17"/>
      <c r="S65" s="111"/>
      <c r="T65" s="45"/>
      <c r="U65" s="5"/>
      <c r="V65" s="9"/>
      <c r="W65" s="17"/>
      <c r="X65" s="100"/>
      <c r="Y65" s="103"/>
      <c r="Z65" s="62"/>
      <c r="AA65" s="10"/>
      <c r="AB65" s="11"/>
      <c r="AD65" s="65"/>
      <c r="AE65" s="5"/>
      <c r="AF65" s="17"/>
      <c r="AG65" s="111"/>
      <c r="AH65" s="45"/>
      <c r="AI65" s="5"/>
      <c r="AJ65" s="9"/>
      <c r="AK65" s="17"/>
      <c r="AL65" s="100"/>
      <c r="AM65" s="103"/>
      <c r="AN65" s="62"/>
      <c r="AO65" s="10"/>
      <c r="AP65" s="11"/>
      <c r="AR65" s="65"/>
      <c r="AS65" s="5"/>
      <c r="AT65" s="17"/>
      <c r="AU65" s="111"/>
      <c r="AV65" s="45"/>
      <c r="AW65" s="5"/>
      <c r="AX65" s="9"/>
      <c r="AY65" s="17"/>
      <c r="AZ65" s="100"/>
      <c r="BA65" s="103"/>
      <c r="BB65" s="62"/>
      <c r="BC65" s="10"/>
      <c r="BD65" s="11"/>
      <c r="BF65" s="65"/>
      <c r="BG65" s="5"/>
      <c r="BH65" s="17"/>
      <c r="BI65" s="111"/>
      <c r="BJ65" s="45"/>
      <c r="BK65" s="5"/>
      <c r="BL65" s="9"/>
      <c r="BM65" s="17"/>
      <c r="BN65" s="100"/>
      <c r="BO65" s="103"/>
      <c r="BP65" s="62"/>
      <c r="BQ65" s="10"/>
      <c r="BR65" s="11"/>
      <c r="BT65" s="65"/>
      <c r="BU65" s="5"/>
      <c r="BV65" s="17"/>
      <c r="BW65" s="111"/>
      <c r="BX65" s="45"/>
      <c r="BY65" s="5"/>
      <c r="BZ65" s="9"/>
      <c r="CA65" s="17"/>
      <c r="CB65" s="100"/>
      <c r="CC65" s="103"/>
      <c r="CD65" s="62"/>
      <c r="CE65" s="10"/>
      <c r="CF65" s="11"/>
    </row>
    <row r="66" spans="1:84" ht="15" customHeight="1">
      <c r="A66" s="98"/>
      <c r="B66" s="141"/>
      <c r="C66" s="84"/>
      <c r="D66" s="9"/>
      <c r="E66" s="9"/>
      <c r="F66" s="9"/>
      <c r="G66" s="27"/>
      <c r="H66" s="17"/>
      <c r="I66" s="28"/>
      <c r="J66" s="28"/>
      <c r="K66" s="10"/>
      <c r="L66" s="10"/>
      <c r="M66" s="10"/>
      <c r="N66" s="11"/>
      <c r="O66" s="2"/>
      <c r="P66" s="12"/>
      <c r="Q66" s="9"/>
      <c r="R66" s="9"/>
      <c r="T66" s="9"/>
      <c r="U66" s="5"/>
      <c r="V66" s="9"/>
      <c r="W66" s="9"/>
      <c r="X66" s="41"/>
      <c r="Y66" s="67"/>
      <c r="Z66" s="10"/>
      <c r="AA66" s="10"/>
      <c r="AB66" s="11"/>
      <c r="AD66" s="12"/>
      <c r="AE66" s="9"/>
      <c r="AF66" s="9"/>
      <c r="AH66" s="9"/>
      <c r="AI66" s="5"/>
      <c r="AJ66" s="9"/>
      <c r="AK66" s="9"/>
      <c r="AL66" s="54"/>
      <c r="AM66" s="67"/>
      <c r="AN66" s="10"/>
      <c r="AO66" s="10"/>
      <c r="AP66" s="11"/>
      <c r="AR66" s="12"/>
      <c r="AS66" s="9"/>
      <c r="AT66" s="9"/>
      <c r="AV66" s="9"/>
      <c r="AW66" s="5"/>
      <c r="AX66" s="9"/>
      <c r="AY66" s="9"/>
      <c r="AZ66" s="54"/>
      <c r="BA66" s="67"/>
      <c r="BB66" s="10"/>
      <c r="BC66" s="10"/>
      <c r="BD66" s="11"/>
      <c r="BF66" s="12"/>
      <c r="BG66" s="9"/>
      <c r="BH66" s="9"/>
      <c r="BJ66" s="9"/>
      <c r="BK66" s="5"/>
      <c r="BL66" s="9"/>
      <c r="BM66" s="9"/>
      <c r="BN66" s="54"/>
      <c r="BO66" s="67"/>
      <c r="BP66" s="10"/>
      <c r="BQ66" s="10"/>
      <c r="BR66" s="11"/>
      <c r="BT66" s="12"/>
      <c r="BU66" s="9"/>
      <c r="BV66" s="9"/>
      <c r="BX66" s="9"/>
      <c r="BY66" s="5"/>
      <c r="BZ66" s="9"/>
      <c r="CA66" s="9"/>
      <c r="CB66" s="54"/>
      <c r="CC66" s="67"/>
      <c r="CD66" s="10"/>
      <c r="CE66" s="10"/>
      <c r="CF66" s="11"/>
    </row>
    <row r="67" spans="1:84" ht="15" customHeight="1">
      <c r="A67" s="169" t="s">
        <v>43</v>
      </c>
      <c r="B67" s="170"/>
      <c r="C67" s="171" t="s">
        <v>46</v>
      </c>
      <c r="D67" s="172"/>
      <c r="E67" s="171" t="s">
        <v>47</v>
      </c>
      <c r="F67" s="172"/>
      <c r="G67" s="102"/>
      <c r="H67" s="93"/>
      <c r="I67" s="101"/>
      <c r="J67" s="101"/>
      <c r="K67" s="10"/>
      <c r="L67" s="10"/>
      <c r="M67" s="10"/>
      <c r="N67" s="11"/>
      <c r="O67" s="2"/>
      <c r="P67" s="79"/>
      <c r="Q67" s="45"/>
      <c r="R67" s="9"/>
      <c r="S67" s="5"/>
      <c r="T67" s="9"/>
      <c r="U67" s="5"/>
      <c r="V67" s="9"/>
      <c r="W67" s="9"/>
      <c r="X67" s="41"/>
      <c r="Y67" s="67"/>
      <c r="Z67" s="10"/>
      <c r="AA67" s="10"/>
      <c r="AB67" s="11"/>
      <c r="AD67" s="79"/>
      <c r="AE67" s="45"/>
      <c r="AF67" s="9"/>
      <c r="AG67" s="5"/>
      <c r="AH67" s="9"/>
      <c r="AI67" s="5"/>
      <c r="AJ67" s="9"/>
      <c r="AK67" s="9"/>
      <c r="AL67" s="54"/>
      <c r="AM67" s="67"/>
      <c r="AN67" s="10"/>
      <c r="AO67" s="10"/>
      <c r="AP67" s="11"/>
      <c r="AR67" s="79"/>
      <c r="AS67" s="45"/>
      <c r="AT67" s="9"/>
      <c r="AU67" s="5"/>
      <c r="AV67" s="9"/>
      <c r="AW67" s="5"/>
      <c r="AX67" s="9"/>
      <c r="AY67" s="9"/>
      <c r="AZ67" s="54"/>
      <c r="BA67" s="67"/>
      <c r="BB67" s="10"/>
      <c r="BC67" s="10"/>
      <c r="BD67" s="11"/>
      <c r="BF67" s="79"/>
      <c r="BG67" s="45"/>
      <c r="BH67" s="9"/>
      <c r="BI67" s="5"/>
      <c r="BJ67" s="9"/>
      <c r="BK67" s="5"/>
      <c r="BL67" s="9"/>
      <c r="BM67" s="9"/>
      <c r="BN67" s="54"/>
      <c r="BO67" s="67"/>
      <c r="BP67" s="10"/>
      <c r="BQ67" s="10"/>
      <c r="BR67" s="11"/>
      <c r="BT67" s="79"/>
      <c r="BU67" s="45"/>
      <c r="BV67" s="9"/>
      <c r="BW67" s="5"/>
      <c r="BX67" s="9"/>
      <c r="BY67" s="5"/>
      <c r="BZ67" s="9"/>
      <c r="CA67" s="9"/>
      <c r="CB67" s="54"/>
      <c r="CC67" s="67"/>
      <c r="CD67" s="10"/>
      <c r="CE67" s="10"/>
      <c r="CF67" s="11"/>
    </row>
    <row r="68" spans="1:84">
      <c r="A68" s="173">
        <f>B60/A60*A59*100</f>
        <v>1347166.6666666665</v>
      </c>
      <c r="B68" s="174"/>
      <c r="C68" s="175">
        <f>H63+Z59+AN59+BB59+BP59+CD59</f>
        <v>152258</v>
      </c>
      <c r="D68" s="176"/>
      <c r="E68" s="175" t="e">
        <f>I62+Z62+AN62</f>
        <v>#VALUE!</v>
      </c>
      <c r="F68" s="177"/>
      <c r="G68" s="84"/>
      <c r="H68" s="44"/>
      <c r="I68" s="28"/>
      <c r="J68" s="28"/>
      <c r="K68" s="10"/>
      <c r="L68" s="10"/>
      <c r="M68" s="10"/>
      <c r="N68" s="11"/>
      <c r="O68" s="2"/>
      <c r="P68" s="165" t="s">
        <v>26</v>
      </c>
      <c r="Q68" s="166"/>
      <c r="R68" s="29">
        <f>SUM(R3,R7,R11,R15,R19,R23,R28,R31,R35,R39,R43,R47,R51)*100</f>
        <v>62700</v>
      </c>
      <c r="S68" s="45"/>
      <c r="T68" s="9"/>
      <c r="U68" s="5">
        <f>R68/V68</f>
        <v>3483.3333333333335</v>
      </c>
      <c r="V68" s="29">
        <f>SUM(V3,V7,V11,V15,V19,V23,V28,V31,V35,V39,V43,V47,V51)</f>
        <v>18</v>
      </c>
      <c r="W68" s="9"/>
      <c r="X68" s="64" t="str">
        <f t="shared" ref="X68:Y71" si="89">X3</f>
        <v>ベアブリック</v>
      </c>
      <c r="Y68" s="62">
        <f t="shared" si="89"/>
        <v>770</v>
      </c>
      <c r="Z68" s="29">
        <f>SUM(Z3,Z7,Z11,Z15,Z19,Z23,Z28,Z31,Z35,Z39,Z43,Z47,Z51)</f>
        <v>13860</v>
      </c>
      <c r="AA68" s="28">
        <f>Z68/R68</f>
        <v>0.22105263157894736</v>
      </c>
      <c r="AB68" s="11"/>
      <c r="AC68" s="16"/>
      <c r="AD68" s="165" t="s">
        <v>26</v>
      </c>
      <c r="AE68" s="166"/>
      <c r="AF68" s="29">
        <f>SUM(AF3,AF7,AF11,AF15,AF19,AF23,AF27,AF31,AF35,AF39,AF43,AF47,AF51)*100</f>
        <v>32800</v>
      </c>
      <c r="AG68" s="45"/>
      <c r="AH68" s="9"/>
      <c r="AI68" s="5">
        <f>AF68/AJ68</f>
        <v>16400</v>
      </c>
      <c r="AJ68" s="29">
        <f>SUM(AJ3,AJ7,AJ11,AJ15,AJ19,AJ23,AJ28,AJ31,AJ35,AJ39,AJ43,AJ47,AJ51)</f>
        <v>2</v>
      </c>
      <c r="AK68" s="9"/>
      <c r="AL68" s="61" t="str">
        <f t="shared" ref="AL68:AM71" si="90">AL3</f>
        <v>ゲーム機柄イヤホン</v>
      </c>
      <c r="AM68" s="62">
        <f t="shared" si="90"/>
        <v>770</v>
      </c>
      <c r="AN68" s="29">
        <f>SUM(AN3,AN7,AN11,AN15,AN19,AN23,AN28,AN31,AN35,AN39,AN43,AN47,AN51)</f>
        <v>1540</v>
      </c>
      <c r="AO68" s="28">
        <f>AN68/AF68</f>
        <v>4.6951219512195122E-2</v>
      </c>
      <c r="AP68" s="11"/>
      <c r="AR68" s="165" t="s">
        <v>26</v>
      </c>
      <c r="AS68" s="166"/>
      <c r="AT68" s="29">
        <f>SUM(AT3,AT7,AT11,AT15,AT19,AT23,AT27,AT31,AT35,AT39,AT43,AT47,AT51)*100</f>
        <v>4600</v>
      </c>
      <c r="AU68" s="45"/>
      <c r="AV68" s="9"/>
      <c r="AW68" s="5">
        <f>AT68/AX68</f>
        <v>1150</v>
      </c>
      <c r="AX68" s="29">
        <f>SUM(AX3,AX7,AX11,AX15,AX19,AX23,AX28,AX31,AX35,AX39,AX43,AX47,AX51)</f>
        <v>4</v>
      </c>
      <c r="AY68" s="9"/>
      <c r="AZ68" s="61" t="str">
        <f t="shared" ref="AZ68:BA71" si="91">AZ3</f>
        <v>サンリオ千鳥格子フェイス</v>
      </c>
      <c r="BA68" s="62">
        <f t="shared" si="91"/>
        <v>700</v>
      </c>
      <c r="BB68" s="29">
        <f>SUM(BB3,BB7,BB11,BB15,BB19,BB23,BB28,BB31,BB35,BB39,BB43,BB47,BB51)</f>
        <v>1400</v>
      </c>
      <c r="BC68" s="28">
        <f>BB68/AT68</f>
        <v>0.30434782608695654</v>
      </c>
      <c r="BD68" s="11"/>
      <c r="BF68" s="165" t="s">
        <v>26</v>
      </c>
      <c r="BG68" s="166"/>
      <c r="BH68" s="29">
        <f>SUM(BH3,BH7,BH11,BH15,BH19,BH23,BH27,BH31,BH35,BH39,BH43,BH47,BH51)*100</f>
        <v>7200</v>
      </c>
      <c r="BI68" s="45"/>
      <c r="BJ68" s="9"/>
      <c r="BK68" s="5">
        <f>BH68/BL68</f>
        <v>-7200</v>
      </c>
      <c r="BL68" s="29">
        <f>SUM(BL3,BL7,BL11,BL15,BL19,BL23,BL28,BL31,BL35,BL39,BL43,BL47,BL51)</f>
        <v>-1</v>
      </c>
      <c r="BM68" s="9"/>
      <c r="BN68" s="61" t="str">
        <f t="shared" ref="BN68:BO71" si="92">BN3</f>
        <v>キティしっぽ付きフェイス</v>
      </c>
      <c r="BO68" s="62">
        <f t="shared" si="92"/>
        <v>825</v>
      </c>
      <c r="BP68" s="29">
        <f>SUM(BP3,BP7,BP11,BP15,BP19,BP23,BP28,BP31,BP35,BP39,BP43,BP47,BP51)</f>
        <v>-825</v>
      </c>
      <c r="BQ68" s="28">
        <f>BP68/BH68</f>
        <v>-0.11458333333333333</v>
      </c>
      <c r="BR68" s="11"/>
      <c r="BT68" s="165" t="s">
        <v>26</v>
      </c>
      <c r="BU68" s="166"/>
      <c r="BV68" s="29">
        <f>SUM(BV3,BV7,BV11,BV15,BV19,BV23,BV27,BV31,BV35,BV39,BV43,BV47,BV51)*100</f>
        <v>6700</v>
      </c>
      <c r="BW68" s="45"/>
      <c r="BX68" s="9"/>
      <c r="BY68" s="5">
        <f>BV68/BZ68</f>
        <v>1675</v>
      </c>
      <c r="BZ68" s="29">
        <f>SUM(BZ3,BZ7,BZ11,BZ15,BZ19,BZ23,BZ28,BZ31,BZ35,BZ39,BZ43,BZ47,BZ51)</f>
        <v>4</v>
      </c>
      <c r="CA68" s="9"/>
      <c r="CB68" s="61" t="str">
        <f t="shared" ref="CB68:CC71" si="93">CB3</f>
        <v>サンリオリュックポーチ</v>
      </c>
      <c r="CC68" s="62">
        <f t="shared" si="93"/>
        <v>935</v>
      </c>
      <c r="CD68" s="29">
        <f>SUM(CD3,CD7,CD11,CD15,CD19,CD23,CD28,CD31,CD35,CD39,CD43,CD47,CD51)</f>
        <v>3740</v>
      </c>
      <c r="CE68" s="28">
        <f>CD68/BV68</f>
        <v>0.55820895522388059</v>
      </c>
      <c r="CF68" s="11"/>
    </row>
    <row r="69" spans="1:84">
      <c r="A69" s="167">
        <v>140000</v>
      </c>
      <c r="B69" s="168"/>
      <c r="C69" s="45"/>
      <c r="D69" s="105">
        <f>C68/A68</f>
        <v>0.11302090807868367</v>
      </c>
      <c r="E69" s="9"/>
      <c r="F69" s="9"/>
      <c r="G69" s="5"/>
      <c r="H69" s="9"/>
      <c r="I69" s="9"/>
      <c r="J69" s="9"/>
      <c r="K69" s="9"/>
      <c r="L69" s="9"/>
      <c r="M69" s="9"/>
      <c r="N69" s="11"/>
      <c r="O69" s="2"/>
      <c r="P69" s="165" t="s">
        <v>26</v>
      </c>
      <c r="Q69" s="166"/>
      <c r="R69" s="29">
        <f>SUM(R4,R8,R12,R16,R20,R24,R27,R32,R36,R40,R44,R48,R52)*100</f>
        <v>46600</v>
      </c>
      <c r="S69" s="45"/>
      <c r="T69" s="9"/>
      <c r="U69" s="5">
        <f>R69/V69</f>
        <v>9320</v>
      </c>
      <c r="V69" s="29">
        <f>SUM(V4,V8,V12,V16,V20,V24,V27,V32,V36,V40,V44,V48,V52)</f>
        <v>5</v>
      </c>
      <c r="W69" s="9"/>
      <c r="X69" s="64" t="str">
        <f t="shared" si="89"/>
        <v>カラビナファン</v>
      </c>
      <c r="Y69" s="62">
        <f t="shared" si="89"/>
        <v>1100</v>
      </c>
      <c r="Z69" s="29">
        <f>SUM(Z4,Z8,Z12,Z16,Z20,Z24,Z27,Z32,Z36,Z40,Z44,Z48,Z52)</f>
        <v>5500</v>
      </c>
      <c r="AA69" s="28">
        <f>Z69/R69</f>
        <v>0.11802575107296137</v>
      </c>
      <c r="AB69" s="11"/>
      <c r="AC69" s="1"/>
      <c r="AD69" s="165" t="s">
        <v>26</v>
      </c>
      <c r="AE69" s="166"/>
      <c r="AF69" s="29">
        <f>SUM(AF4,AF8,AF12,AF16,AF20,AF24,AF28,AF32,AF36,AF40,AF44,AF48,AF52)*100</f>
        <v>104900</v>
      </c>
      <c r="AG69" s="45"/>
      <c r="AH69" s="9"/>
      <c r="AI69" s="5">
        <f>AF69/AJ69</f>
        <v>10490</v>
      </c>
      <c r="AJ69" s="29">
        <f>SUM(AJ4,AJ8,AJ12,AJ16,AJ20,AJ24,AJ27,AJ32,AJ36,AJ40,AJ44,AJ48,AJ52)</f>
        <v>10</v>
      </c>
      <c r="AK69" s="9"/>
      <c r="AL69" s="61" t="str">
        <f t="shared" si="90"/>
        <v>たまごっちキーリング</v>
      </c>
      <c r="AM69" s="62">
        <f t="shared" si="90"/>
        <v>750</v>
      </c>
      <c r="AN69" s="29">
        <f>SUM(AN4,AN8,AN12,AN16,AN20,AN24,AN27,AN32,AN36,AN40,AN44,AN48,AN52)</f>
        <v>7500</v>
      </c>
      <c r="AO69" s="28">
        <f>AN69/AF69</f>
        <v>7.1496663489037174E-2</v>
      </c>
      <c r="AP69" s="11"/>
      <c r="AR69" s="165" t="s">
        <v>26</v>
      </c>
      <c r="AS69" s="166"/>
      <c r="AT69" s="29">
        <f>SUM(AT4,AT8,AT12,AT16,AT20,AT24,AT28,AT32,AT36,AT40,AT44,AT48,AT52)*100</f>
        <v>20900</v>
      </c>
      <c r="AU69" s="45"/>
      <c r="AV69" s="9"/>
      <c r="AW69" s="5">
        <f>AT69/AX69</f>
        <v>2985.7142857142858</v>
      </c>
      <c r="AX69" s="29">
        <f>SUM(AX4,AX8,AX12,AX16,AX20,AX24,AX27,AX32,AX36,AX40,AX44,AX48,AX52)</f>
        <v>7</v>
      </c>
      <c r="AY69" s="9"/>
      <c r="AZ69" s="61" t="str">
        <f t="shared" si="91"/>
        <v>サンリオボアバンスクリップ</v>
      </c>
      <c r="BA69" s="62">
        <f t="shared" si="91"/>
        <v>1100</v>
      </c>
      <c r="BB69" s="29">
        <f>SUM(BB4,BB8,BB12,BB16,BB20,BB24,BB27,BB32,BB36,BB40,BB44,BB48,BB52)</f>
        <v>7700</v>
      </c>
      <c r="BC69" s="28">
        <f>BB69/AT69</f>
        <v>0.36842105263157893</v>
      </c>
      <c r="BD69" s="11"/>
      <c r="BF69" s="165" t="s">
        <v>26</v>
      </c>
      <c r="BG69" s="166"/>
      <c r="BH69" s="29">
        <f>SUM(BH4,BH8,BH12,BH16,BH20,BH24,BH28,BH32,BH36,BH40,BH44,BH48,BH52)*100</f>
        <v>7500</v>
      </c>
      <c r="BI69" s="45"/>
      <c r="BJ69" s="9"/>
      <c r="BK69" s="5">
        <f>BH69/BL69</f>
        <v>7500</v>
      </c>
      <c r="BL69" s="29">
        <f>SUM(BL4,BL8,BL12,BL16,BL20,BL24,BL27,BL32,BL36,BL40,BL44,BL48,BL52)</f>
        <v>1</v>
      </c>
      <c r="BM69" s="9"/>
      <c r="BN69" s="61" t="str">
        <f t="shared" si="92"/>
        <v>キルティングキティポーチ</v>
      </c>
      <c r="BO69" s="62">
        <f t="shared" si="92"/>
        <v>0</v>
      </c>
      <c r="BP69" s="29">
        <f>SUM(BP4,BP8,BP12,BP16,BP20,BP24,BP27,BP32,BP36,BP40,BP44,BP48,BP52)</f>
        <v>0</v>
      </c>
      <c r="BQ69" s="28">
        <f>BP69/BH69</f>
        <v>0</v>
      </c>
      <c r="BR69" s="11"/>
      <c r="BT69" s="165" t="s">
        <v>26</v>
      </c>
      <c r="BU69" s="166"/>
      <c r="BV69" s="29">
        <f>SUM(BV4,BV8,BV12,BV16,BV20,BV24,BV28,BV32,BV36,BV40,BV44,BV48,BV52)*100</f>
        <v>19700</v>
      </c>
      <c r="BW69" s="45"/>
      <c r="BX69" s="9"/>
      <c r="BY69" s="5">
        <f>BV69/BZ69</f>
        <v>3283.3333333333335</v>
      </c>
      <c r="BZ69" s="29">
        <f>SUM(BZ4,BZ8,BZ12,BZ16,BZ20,BZ24,BZ27,BZ32,BZ36,BZ40,BZ44,BZ48,BZ52)</f>
        <v>6</v>
      </c>
      <c r="CA69" s="9"/>
      <c r="CB69" s="61" t="str">
        <f t="shared" si="93"/>
        <v>ネコメイドキティマスコット</v>
      </c>
      <c r="CC69" s="62">
        <f t="shared" si="93"/>
        <v>935</v>
      </c>
      <c r="CD69" s="29">
        <f>SUM(CD4,CD8,CD12,CD16,CD20,CD24,CD27,CD32,CD36,CD40,CD44,CD48,CD52)</f>
        <v>5610</v>
      </c>
      <c r="CE69" s="28">
        <f>CD69/BV69</f>
        <v>0.28477157360406091</v>
      </c>
      <c r="CF69" s="11"/>
    </row>
    <row r="70" spans="1:84">
      <c r="A70" s="95"/>
      <c r="B70" s="95"/>
      <c r="C70" s="45"/>
      <c r="D70" s="9"/>
      <c r="E70" s="9"/>
      <c r="F70" s="9"/>
      <c r="G70" s="5"/>
      <c r="H70" s="9"/>
      <c r="I70" s="9"/>
      <c r="J70" s="9"/>
      <c r="K70" s="9"/>
      <c r="L70" s="9"/>
      <c r="M70" s="9"/>
      <c r="N70" s="11"/>
      <c r="O70" s="2"/>
      <c r="P70" s="165" t="s">
        <v>26</v>
      </c>
      <c r="Q70" s="166"/>
      <c r="R70" s="29">
        <f>SUM(R5,R9,R13,R17,R21,R25,R29,R33,R37,R41,R45,R49,R53)*100</f>
        <v>67200</v>
      </c>
      <c r="S70" s="45"/>
      <c r="T70" s="9"/>
      <c r="U70" s="5">
        <f>R70/V70</f>
        <v>6109.090909090909</v>
      </c>
      <c r="V70" s="29">
        <f>SUM(V5,V9,V13,V18,V21,V25,V29,V33,V37,V41,V45,V49,V53)</f>
        <v>11</v>
      </c>
      <c r="W70" s="9"/>
      <c r="X70" s="64" t="str">
        <f t="shared" si="89"/>
        <v>たまごっちミニポーチ</v>
      </c>
      <c r="Y70" s="62">
        <f t="shared" si="89"/>
        <v>770</v>
      </c>
      <c r="Z70" s="29">
        <f>SUM(Z5,Z9,Z13,Z18,Z21,Z25,Z29,Z33,Z37,Z41,Z45,Z49,Z53)</f>
        <v>7030</v>
      </c>
      <c r="AA70" s="28">
        <f>Z70/R70</f>
        <v>0.10461309523809524</v>
      </c>
      <c r="AB70" s="11"/>
      <c r="AC70" s="1"/>
      <c r="AD70" s="165" t="s">
        <v>26</v>
      </c>
      <c r="AE70" s="166"/>
      <c r="AF70" s="29">
        <f>SUM(AF5,AF9,AF13,AF17,AF21,AF25,AF29,AF33,AF37,AF41,AF45,AF49,AF53)*100</f>
        <v>41500</v>
      </c>
      <c r="AG70" s="45"/>
      <c r="AH70" s="9"/>
      <c r="AI70" s="5">
        <f>AF70/AJ70</f>
        <v>2075</v>
      </c>
      <c r="AJ70" s="29">
        <f>SUM(AJ5,AJ9,AJ13,AJ18,AJ21,AJ25,AJ29,AJ33,AJ37,AJ41,AJ45,AJ49,AJ53)</f>
        <v>20</v>
      </c>
      <c r="AK70" s="9"/>
      <c r="AL70" s="61" t="str">
        <f t="shared" si="90"/>
        <v>たまごっちブロックシール</v>
      </c>
      <c r="AM70" s="62">
        <f t="shared" si="90"/>
        <v>600</v>
      </c>
      <c r="AN70" s="29">
        <f>SUM(AN5,AN9,AN13,AN18,AN21,AN25,AN29,AN33,AN37,AN41,AN45,AN49,AN53)</f>
        <v>9300</v>
      </c>
      <c r="AO70" s="28">
        <f>AN70/AF70</f>
        <v>0.22409638554216868</v>
      </c>
      <c r="AP70" s="11"/>
      <c r="AR70" s="165" t="s">
        <v>26</v>
      </c>
      <c r="AS70" s="166"/>
      <c r="AT70" s="29">
        <f>SUM(AT5,AT9,AT13,AT17,AT21,AT25,AT29,AT33,AT37,AT41,AT45,AT49,AT53)*100</f>
        <v>7400</v>
      </c>
      <c r="AU70" s="45"/>
      <c r="AV70" s="9"/>
      <c r="AW70" s="5">
        <f>AT70/AX70</f>
        <v>1480</v>
      </c>
      <c r="AX70" s="29">
        <f>SUM(AX5,AX9,AX13,AX18,AX21,AX25,AX29,AX33,AX37,AX41,AX45,AX49,AX53)</f>
        <v>5</v>
      </c>
      <c r="AY70" s="9"/>
      <c r="AZ70" s="61" t="str">
        <f t="shared" si="91"/>
        <v>サンリオヒョウ柄バニティ</v>
      </c>
      <c r="BA70" s="62">
        <f t="shared" si="91"/>
        <v>1056</v>
      </c>
      <c r="BB70" s="29">
        <f>SUM(BB5,BB9,BB13,BB18,BB21,BB25,BB29,BB33,BB37,BB41,BB45,BB49,BB53)</f>
        <v>0</v>
      </c>
      <c r="BC70" s="28">
        <f>BB70/AT70</f>
        <v>0</v>
      </c>
      <c r="BD70" s="11"/>
      <c r="BF70" s="165" t="s">
        <v>26</v>
      </c>
      <c r="BG70" s="166"/>
      <c r="BH70" s="29">
        <f>SUM(BH5,BH9,BH13,BH17,BH21,BH25,BH29,BH33,BH37,BH41,BH45,BH49,BH53)*100</f>
        <v>9200</v>
      </c>
      <c r="BI70" s="45"/>
      <c r="BJ70" s="9"/>
      <c r="BK70" s="5">
        <f>BH70/BL70</f>
        <v>1533.3333333333333</v>
      </c>
      <c r="BL70" s="29">
        <f>SUM(BL5,BL9,BL13,BL18,BL21,BL25,BL29,BL33,BL37,BL41,BL45,BL49,BL53)</f>
        <v>6</v>
      </c>
      <c r="BM70" s="9"/>
      <c r="BN70" s="61" t="str">
        <f t="shared" si="92"/>
        <v>サンリオヒョウ柄ポーチ</v>
      </c>
      <c r="BO70" s="62">
        <f t="shared" si="92"/>
        <v>935</v>
      </c>
      <c r="BP70" s="29">
        <f>SUM(BP5,BP9,BP13,BP18,BP21,BP25,BP29,BP33,BP37,BP41,BP45,BP49,BP53)</f>
        <v>3002</v>
      </c>
      <c r="BQ70" s="28">
        <f>BP70/BH70</f>
        <v>0.32630434782608697</v>
      </c>
      <c r="BR70" s="11"/>
      <c r="BT70" s="165" t="s">
        <v>26</v>
      </c>
      <c r="BU70" s="166"/>
      <c r="BV70" s="29">
        <f>SUM(BV5,BV9,BV13,BV17,BV21,BV25,BV29,BV33,BV37,BV41,BV45,BV49,BV53)*100</f>
        <v>12700</v>
      </c>
      <c r="BW70" s="45"/>
      <c r="BX70" s="9"/>
      <c r="BY70" s="5">
        <f>BV70/BZ70</f>
        <v>635</v>
      </c>
      <c r="BZ70" s="29">
        <f>SUM(BZ5,BZ9,BZ13,BZ18,BZ21,BZ25,BZ29,BZ33,BZ37,BZ41,BZ45,BZ49,BZ53)</f>
        <v>20</v>
      </c>
      <c r="CA70" s="9"/>
      <c r="CB70" s="61" t="str">
        <f t="shared" si="93"/>
        <v>サンリオシューズ</v>
      </c>
      <c r="CC70" s="62">
        <f t="shared" si="93"/>
        <v>400</v>
      </c>
      <c r="CD70" s="29">
        <f>SUM(CD5,CD9,CD13,CD18,CD21,CD25,CD29,CD33,CD37,CD41,CD45,CD49,CD53)</f>
        <v>8108</v>
      </c>
      <c r="CE70" s="28">
        <f>CD70/BV70</f>
        <v>0.63842519685039367</v>
      </c>
      <c r="CF70" s="11"/>
    </row>
    <row r="71" spans="1:84">
      <c r="A71" s="95"/>
      <c r="B71" s="95"/>
      <c r="C71" s="45"/>
      <c r="D71" s="9"/>
      <c r="E71" s="9"/>
      <c r="F71" s="9"/>
      <c r="G71" s="5"/>
      <c r="H71" s="9"/>
      <c r="I71" s="9"/>
      <c r="J71" s="9"/>
      <c r="K71" s="9"/>
      <c r="L71" s="9"/>
      <c r="M71" s="9"/>
      <c r="N71" s="11"/>
      <c r="O71" s="2"/>
      <c r="P71" s="165" t="s">
        <v>26</v>
      </c>
      <c r="Q71" s="166"/>
      <c r="R71" s="29">
        <f>SUM(R6,R10,R14,R18,R22,R26,R30,R34,R38,R42,R46,R50,R54)*100</f>
        <v>51400</v>
      </c>
      <c r="S71" s="45"/>
      <c r="T71" s="9"/>
      <c r="U71" s="5">
        <f>R71/V71</f>
        <v>2705.2631578947367</v>
      </c>
      <c r="V71" s="29">
        <f>SUM(V6,V10,V14,V17,V22,V26,V30,V34,V38,V42,V46,V50,V54)</f>
        <v>19</v>
      </c>
      <c r="W71" s="9"/>
      <c r="X71" s="64" t="str">
        <f t="shared" si="89"/>
        <v>フルーツスクイーズ</v>
      </c>
      <c r="Y71" s="62">
        <f t="shared" si="89"/>
        <v>290</v>
      </c>
      <c r="Z71" s="29">
        <f>SUM(Z6,Z10,Z14,Z17,Z22,Z26,Z30,Z34,Z38,Z42,Z46,Z50,Z54)</f>
        <v>7210</v>
      </c>
      <c r="AA71" s="28">
        <f>Z71/R71</f>
        <v>0.14027237354085603</v>
      </c>
      <c r="AB71" s="11"/>
      <c r="AC71" s="1"/>
      <c r="AD71" s="165" t="s">
        <v>26</v>
      </c>
      <c r="AE71" s="166"/>
      <c r="AF71" s="29">
        <f>SUM(AF6,AF10,AF14,AF18,AF22,AF26,AF30,AF34,AF38,AF42,AF46,AF50,AF54)*100</f>
        <v>52400</v>
      </c>
      <c r="AG71" s="45"/>
      <c r="AH71" s="9"/>
      <c r="AI71" s="5">
        <f>AF71/AJ71</f>
        <v>1690.3225806451612</v>
      </c>
      <c r="AJ71" s="29">
        <f>SUM(AJ6,AJ10,AJ14,AJ17,AJ22,AJ26,AJ30,AJ34,AJ38,AJ42,AJ46,AJ50,AJ54)</f>
        <v>31</v>
      </c>
      <c r="AK71" s="9"/>
      <c r="AL71" s="61" t="str">
        <f t="shared" si="90"/>
        <v>ボンドロシール</v>
      </c>
      <c r="AM71" s="62">
        <f t="shared" si="90"/>
        <v>150</v>
      </c>
      <c r="AN71" s="29">
        <f>SUM(AN6,AN10,AN14,AN17,AN22,AN26,AN30,AN34,AN38,AN42,AN46,AN50,AN54)</f>
        <v>5550</v>
      </c>
      <c r="AO71" s="28">
        <f>AN71/AF71</f>
        <v>0.10591603053435114</v>
      </c>
      <c r="AP71" s="11"/>
      <c r="AR71" s="165" t="s">
        <v>26</v>
      </c>
      <c r="AS71" s="166"/>
      <c r="AT71" s="29">
        <f>SUM(AT6,AT10,AT14,AT18,AT22,AT26,AT30,AT34,AT38,AT42,AT46,AT50,AT54)*100</f>
        <v>8300</v>
      </c>
      <c r="AU71" s="45"/>
      <c r="AV71" s="9"/>
      <c r="AW71" s="5">
        <f>AT71/AX71</f>
        <v>4150</v>
      </c>
      <c r="AX71" s="29">
        <f>SUM(AX6,AX10,AX14,AX17,AX22,AX26,AX30,AX34,AX38,AX42,AX46,AX50,AX54)</f>
        <v>2</v>
      </c>
      <c r="AY71" s="9"/>
      <c r="AZ71" s="61" t="str">
        <f t="shared" si="91"/>
        <v>サンリオファン</v>
      </c>
      <c r="BA71" s="62">
        <f t="shared" si="91"/>
        <v>1100</v>
      </c>
      <c r="BB71" s="29">
        <f>SUM(BB6,BB10,BB14,BB17,BB22,BB26,BB30,BB34,BB38,BB42,BB46,BB50,BB54)</f>
        <v>2200</v>
      </c>
      <c r="BC71" s="28">
        <f>BB71/AT71</f>
        <v>0.26506024096385544</v>
      </c>
      <c r="BD71" s="11"/>
      <c r="BF71" s="165" t="s">
        <v>26</v>
      </c>
      <c r="BG71" s="166"/>
      <c r="BH71" s="29">
        <f>SUM(BH6,BH10,BH14,BH18,BH22,BH26,BH30,BH34,BH38,BH42,BH46,BH50,BH54)*100</f>
        <v>15600</v>
      </c>
      <c r="BI71" s="45"/>
      <c r="BJ71" s="9"/>
      <c r="BK71" s="5">
        <f>BH71/BL71</f>
        <v>1200</v>
      </c>
      <c r="BL71" s="29">
        <f>SUM(BL6,BL10,BL14,BL17,BL22,BL26,BL30,BL34,BL38,BL42,BL46,BL50,BL54)</f>
        <v>13</v>
      </c>
      <c r="BM71" s="9"/>
      <c r="BN71" s="61" t="str">
        <f t="shared" si="92"/>
        <v>キティボールペン</v>
      </c>
      <c r="BO71" s="62">
        <f t="shared" si="92"/>
        <v>283</v>
      </c>
      <c r="BP71" s="29">
        <f>SUM(BP6,BP10,BP14,BP17,BP22,BP26,BP30,BP34,BP38,BP42,BP46,BP50,BP54)</f>
        <v>3679</v>
      </c>
      <c r="BQ71" s="28">
        <f>BP71/BH71</f>
        <v>0.23583333333333334</v>
      </c>
      <c r="BR71" s="11"/>
      <c r="BT71" s="165" t="s">
        <v>26</v>
      </c>
      <c r="BU71" s="166"/>
      <c r="BV71" s="29">
        <f>SUM(BV6,BV10,BV14,BV18,BV22,BV26,BV30,BV34,BV38,BV42,BV46,BV50,BV54)*100</f>
        <v>7300</v>
      </c>
      <c r="BW71" s="45"/>
      <c r="BX71" s="9"/>
      <c r="BY71" s="5">
        <f>BV71/BZ71</f>
        <v>1825</v>
      </c>
      <c r="BZ71" s="29">
        <f>SUM(BZ6,BZ10,BZ14,BZ17,BZ22,BZ26,BZ30,BZ34,BZ38,BZ42,BZ46,BZ50,BZ54)</f>
        <v>4</v>
      </c>
      <c r="CA71" s="9"/>
      <c r="CB71" s="61" t="str">
        <f t="shared" si="93"/>
        <v>サンリオボアミラー</v>
      </c>
      <c r="CC71" s="62">
        <f t="shared" si="93"/>
        <v>1100</v>
      </c>
      <c r="CD71" s="29">
        <f>SUM(CD6,CD10,CD14,CD17,CD22,CD26,CD30,CD34,CD38,CD42,CD46,CD50,CD54)</f>
        <v>1654</v>
      </c>
      <c r="CE71" s="28">
        <f>CD71/BV71</f>
        <v>0.22657534246575342</v>
      </c>
      <c r="CF71" s="11"/>
    </row>
    <row r="72" spans="1:84">
      <c r="A72" s="95"/>
      <c r="B72" s="95"/>
      <c r="C72" s="45"/>
      <c r="D72" s="9"/>
      <c r="E72" s="9"/>
      <c r="F72" s="9"/>
      <c r="G72" s="5"/>
      <c r="H72" s="9"/>
      <c r="I72" s="9"/>
      <c r="J72" s="9"/>
      <c r="K72" s="9"/>
      <c r="L72" s="9"/>
      <c r="M72" s="9"/>
      <c r="N72" s="11"/>
      <c r="O72" s="2"/>
      <c r="P72" s="12"/>
      <c r="Q72" s="5" t="s">
        <v>17</v>
      </c>
      <c r="R72" s="9">
        <f>SUM(R68:R71)</f>
        <v>227900</v>
      </c>
      <c r="S72" s="45"/>
      <c r="T72" s="9"/>
      <c r="U72" s="9"/>
      <c r="V72" s="9">
        <f>SUM(V68:V71)</f>
        <v>53</v>
      </c>
      <c r="W72" s="9"/>
      <c r="X72" s="163" t="s">
        <v>28</v>
      </c>
      <c r="Y72" s="164"/>
      <c r="Z72" s="44">
        <f>SUM(Z68:Z71)</f>
        <v>33600</v>
      </c>
      <c r="AA72" s="68">
        <f>Z72/R72</f>
        <v>0.1474330846862659</v>
      </c>
      <c r="AB72" s="69"/>
      <c r="AC72" s="1"/>
      <c r="AD72" s="12"/>
      <c r="AE72" s="5" t="s">
        <v>17</v>
      </c>
      <c r="AF72" s="9">
        <f>SUM(AF68:AF71)</f>
        <v>231600</v>
      </c>
      <c r="AG72" s="45"/>
      <c r="AH72" s="9"/>
      <c r="AI72" s="9"/>
      <c r="AJ72" s="9">
        <f>SUM(AJ68:AJ71)</f>
        <v>63</v>
      </c>
      <c r="AK72" s="9"/>
      <c r="AL72" s="163" t="s">
        <v>28</v>
      </c>
      <c r="AM72" s="164"/>
      <c r="AN72" s="44">
        <f>SUM(AN68:AN71)</f>
        <v>23890</v>
      </c>
      <c r="AO72" s="68">
        <f>AN72/AF72</f>
        <v>0.10315198618307427</v>
      </c>
      <c r="AP72" s="11"/>
      <c r="AR72" s="12"/>
      <c r="AS72" s="5" t="s">
        <v>17</v>
      </c>
      <c r="AT72" s="9">
        <f>SUM(AT68:AT71)</f>
        <v>41200</v>
      </c>
      <c r="AU72" s="45"/>
      <c r="AV72" s="9"/>
      <c r="AW72" s="9"/>
      <c r="AX72" s="9">
        <f>SUM(AX68:AX71)</f>
        <v>18</v>
      </c>
      <c r="AY72" s="9"/>
      <c r="AZ72" s="163" t="s">
        <v>28</v>
      </c>
      <c r="BA72" s="164"/>
      <c r="BB72" s="44">
        <f>SUM(BB68:BB71)</f>
        <v>11300</v>
      </c>
      <c r="BC72" s="68">
        <f>BB72/AT72</f>
        <v>0.27427184466019416</v>
      </c>
      <c r="BD72" s="11"/>
      <c r="BF72" s="12"/>
      <c r="BG72" s="5" t="s">
        <v>17</v>
      </c>
      <c r="BH72" s="9">
        <f>SUM(BH68:BH71)</f>
        <v>39500</v>
      </c>
      <c r="BI72" s="45"/>
      <c r="BJ72" s="9"/>
      <c r="BK72" s="9"/>
      <c r="BL72" s="9">
        <f>SUM(BL68:BL71)</f>
        <v>19</v>
      </c>
      <c r="BM72" s="9"/>
      <c r="BN72" s="163" t="s">
        <v>28</v>
      </c>
      <c r="BO72" s="164"/>
      <c r="BP72" s="44">
        <f>SUM(BP68:BP71)</f>
        <v>5856</v>
      </c>
      <c r="BQ72" s="68">
        <f>BP72/BH72</f>
        <v>0.14825316455696202</v>
      </c>
      <c r="BR72" s="11"/>
      <c r="BT72" s="12"/>
      <c r="BU72" s="5" t="s">
        <v>17</v>
      </c>
      <c r="BV72" s="9">
        <f>SUM(BV68:BV71)</f>
        <v>46400</v>
      </c>
      <c r="BW72" s="45"/>
      <c r="BX72" s="9"/>
      <c r="BY72" s="9"/>
      <c r="BZ72" s="9">
        <f>SUM(BZ68:BZ71)</f>
        <v>34</v>
      </c>
      <c r="CA72" s="9"/>
      <c r="CB72" s="163" t="s">
        <v>28</v>
      </c>
      <c r="CC72" s="164"/>
      <c r="CD72" s="44">
        <f>SUM(CD68:CD71)</f>
        <v>19112</v>
      </c>
      <c r="CE72" s="68">
        <f>CD72/BV72</f>
        <v>0.41189655172413792</v>
      </c>
      <c r="CF72" s="11"/>
    </row>
    <row r="73" spans="1:84">
      <c r="A73" s="14"/>
      <c r="B73" s="76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2"/>
      <c r="P73" s="33"/>
      <c r="Q73" s="2"/>
      <c r="R73" s="2"/>
      <c r="S73" s="2"/>
      <c r="T73" s="2"/>
      <c r="U73" s="2"/>
      <c r="V73" s="2"/>
      <c r="W73" s="2"/>
      <c r="X73" s="43"/>
      <c r="Y73" s="2"/>
      <c r="Z73" s="2"/>
      <c r="AA73" s="2"/>
      <c r="AB73" s="42"/>
      <c r="AC73" s="1"/>
      <c r="AD73" s="33"/>
      <c r="AE73" s="2"/>
      <c r="AF73" s="2"/>
      <c r="AG73" s="2"/>
      <c r="AH73" s="2"/>
      <c r="AI73" s="2"/>
      <c r="AJ73" s="2"/>
      <c r="AK73" s="2"/>
      <c r="AL73" s="55"/>
      <c r="AM73" s="2"/>
      <c r="AN73" s="2"/>
      <c r="AO73" s="2"/>
      <c r="AP73" s="42"/>
    </row>
    <row r="74" spans="1:84" ht="15" customHeight="1">
      <c r="A74" s="33"/>
      <c r="B74" s="3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4"/>
      <c r="O74" s="2"/>
      <c r="P74" s="33"/>
      <c r="Q74" s="2"/>
      <c r="R74" s="2"/>
      <c r="S74" s="2"/>
      <c r="T74" s="2"/>
      <c r="U74" s="2"/>
      <c r="V74" s="2"/>
      <c r="W74" s="2"/>
      <c r="X74" s="43"/>
      <c r="Y74" s="2"/>
      <c r="Z74" s="2"/>
      <c r="AA74" s="2"/>
      <c r="AB74" s="42"/>
      <c r="AC74" s="2"/>
      <c r="AD74" s="33"/>
      <c r="AE74" s="2"/>
      <c r="AF74" s="2"/>
      <c r="AG74" s="2"/>
      <c r="AH74" s="2"/>
      <c r="AI74" s="2"/>
      <c r="AJ74" s="2"/>
      <c r="AK74" s="2"/>
      <c r="AL74" s="55"/>
      <c r="AM74" s="2"/>
      <c r="AN74" s="2"/>
      <c r="AO74" s="2"/>
      <c r="AP74" s="42"/>
    </row>
    <row r="75" spans="1:84">
      <c r="A75" s="188" t="s">
        <v>40</v>
      </c>
      <c r="B75" s="188"/>
      <c r="C75" s="189" t="s">
        <v>41</v>
      </c>
      <c r="D75" s="189"/>
      <c r="E75" s="36"/>
      <c r="F75" s="36"/>
      <c r="G75" s="59"/>
      <c r="H75" s="59"/>
      <c r="I75" s="59"/>
      <c r="J75" s="59"/>
      <c r="K75" s="59"/>
      <c r="L75" s="59"/>
      <c r="M75" s="59"/>
      <c r="N75" s="60"/>
      <c r="O75" s="56"/>
      <c r="P75" s="185" t="s">
        <v>39</v>
      </c>
      <c r="Q75" s="185"/>
      <c r="R75" s="185"/>
      <c r="S75" s="184" t="s">
        <v>38</v>
      </c>
      <c r="T75" s="184"/>
      <c r="U75" s="71"/>
      <c r="V75" s="71"/>
      <c r="W75" s="71"/>
      <c r="X75" s="72"/>
      <c r="Y75" s="71"/>
      <c r="Z75" s="71"/>
      <c r="AA75" s="71"/>
      <c r="AB75" s="73"/>
      <c r="AC75" s="74"/>
      <c r="AD75" s="185" t="s">
        <v>39</v>
      </c>
      <c r="AE75" s="185"/>
      <c r="AF75" s="185"/>
      <c r="AG75" s="184" t="s">
        <v>37</v>
      </c>
      <c r="AH75" s="184"/>
      <c r="AI75" s="71"/>
      <c r="AJ75" s="71"/>
      <c r="AK75" s="71"/>
      <c r="AL75" s="75"/>
      <c r="AM75" s="71"/>
      <c r="AN75" s="71"/>
      <c r="AO75" s="71"/>
      <c r="AP75" s="73"/>
      <c r="AR75" s="185" t="s">
        <v>39</v>
      </c>
      <c r="AS75" s="185"/>
      <c r="AT75" s="185"/>
      <c r="AU75" s="184" t="s">
        <v>259</v>
      </c>
      <c r="AV75" s="184"/>
      <c r="AW75" s="71"/>
      <c r="AX75" s="71"/>
      <c r="AY75" s="71"/>
      <c r="AZ75" s="75"/>
      <c r="BA75" s="71"/>
      <c r="BB75" s="71"/>
      <c r="BC75" s="71"/>
      <c r="BD75" s="73"/>
      <c r="BF75" s="185" t="s">
        <v>39</v>
      </c>
      <c r="BG75" s="185"/>
      <c r="BH75" s="185"/>
      <c r="BI75" s="184" t="s">
        <v>260</v>
      </c>
      <c r="BJ75" s="184"/>
      <c r="BK75" s="71"/>
      <c r="BL75" s="71"/>
      <c r="BM75" s="71"/>
      <c r="BN75" s="75"/>
      <c r="BO75" s="71"/>
      <c r="BP75" s="71"/>
      <c r="BQ75" s="71"/>
      <c r="BR75" s="73"/>
      <c r="BT75" s="185" t="s">
        <v>39</v>
      </c>
      <c r="BU75" s="185"/>
      <c r="BV75" s="185"/>
      <c r="BW75" s="184" t="s">
        <v>261</v>
      </c>
      <c r="BX75" s="184"/>
      <c r="BY75" s="71"/>
      <c r="BZ75" s="71"/>
      <c r="CA75" s="71"/>
      <c r="CB75" s="75"/>
      <c r="CC75" s="71"/>
      <c r="CD75" s="71"/>
      <c r="CE75" s="71"/>
      <c r="CF75" s="73"/>
    </row>
    <row r="76" spans="1:84">
      <c r="A76" s="7" t="s">
        <v>0</v>
      </c>
      <c r="B76" s="112" t="s">
        <v>34</v>
      </c>
      <c r="C76" s="5" t="s">
        <v>1</v>
      </c>
      <c r="D76" s="5" t="s">
        <v>2</v>
      </c>
      <c r="E76" s="6" t="s">
        <v>3</v>
      </c>
      <c r="F76" s="5" t="s">
        <v>2</v>
      </c>
      <c r="G76" s="5" t="s">
        <v>4</v>
      </c>
      <c r="H76" s="5" t="s">
        <v>5</v>
      </c>
      <c r="I76" s="5" t="s">
        <v>6</v>
      </c>
      <c r="J76" s="150" t="s">
        <v>11</v>
      </c>
      <c r="K76" s="5" t="s">
        <v>7</v>
      </c>
      <c r="L76" s="5" t="s">
        <v>8</v>
      </c>
      <c r="M76" s="5" t="s">
        <v>9</v>
      </c>
      <c r="N76" s="5" t="s">
        <v>10</v>
      </c>
      <c r="O76" s="2"/>
      <c r="P76" s="7" t="s">
        <v>0</v>
      </c>
      <c r="Q76" s="5" t="s">
        <v>1</v>
      </c>
      <c r="R76" s="5" t="s">
        <v>2</v>
      </c>
      <c r="S76" s="6" t="s">
        <v>3</v>
      </c>
      <c r="T76" s="5" t="s">
        <v>2</v>
      </c>
      <c r="U76" s="5" t="s">
        <v>4</v>
      </c>
      <c r="V76" s="5" t="s">
        <v>5</v>
      </c>
      <c r="W76" s="5" t="s">
        <v>6</v>
      </c>
      <c r="X76" s="6" t="s">
        <v>11</v>
      </c>
      <c r="Y76" s="5" t="s">
        <v>7</v>
      </c>
      <c r="Z76" s="5" t="s">
        <v>5</v>
      </c>
      <c r="AA76" s="5" t="s">
        <v>12</v>
      </c>
      <c r="AB76" s="5" t="s">
        <v>10</v>
      </c>
      <c r="AC76" s="3"/>
      <c r="AD76" s="7" t="s">
        <v>0</v>
      </c>
      <c r="AE76" s="5" t="s">
        <v>1</v>
      </c>
      <c r="AF76" s="5" t="s">
        <v>2</v>
      </c>
      <c r="AG76" s="6" t="s">
        <v>3</v>
      </c>
      <c r="AH76" s="5" t="s">
        <v>2</v>
      </c>
      <c r="AI76" s="5" t="s">
        <v>4</v>
      </c>
      <c r="AJ76" s="5" t="s">
        <v>5</v>
      </c>
      <c r="AK76" s="5" t="s">
        <v>6</v>
      </c>
      <c r="AL76" s="46" t="s">
        <v>11</v>
      </c>
      <c r="AM76" s="5" t="s">
        <v>7</v>
      </c>
      <c r="AN76" s="5" t="s">
        <v>5</v>
      </c>
      <c r="AO76" s="5" t="s">
        <v>12</v>
      </c>
      <c r="AP76" s="5" t="s">
        <v>10</v>
      </c>
      <c r="AR76" s="7" t="s">
        <v>0</v>
      </c>
      <c r="AS76" s="5" t="s">
        <v>1</v>
      </c>
      <c r="AT76" s="5" t="s">
        <v>2</v>
      </c>
      <c r="AU76" s="6" t="s">
        <v>3</v>
      </c>
      <c r="AV76" s="5" t="s">
        <v>2</v>
      </c>
      <c r="AW76" s="5" t="s">
        <v>4</v>
      </c>
      <c r="AX76" s="5" t="s">
        <v>5</v>
      </c>
      <c r="AY76" s="5" t="s">
        <v>6</v>
      </c>
      <c r="AZ76" s="46" t="s">
        <v>11</v>
      </c>
      <c r="BA76" s="5" t="s">
        <v>7</v>
      </c>
      <c r="BB76" s="5" t="s">
        <v>5</v>
      </c>
      <c r="BC76" s="5" t="s">
        <v>12</v>
      </c>
      <c r="BD76" s="5" t="s">
        <v>10</v>
      </c>
      <c r="BF76" s="7" t="s">
        <v>0</v>
      </c>
      <c r="BG76" s="5" t="s">
        <v>1</v>
      </c>
      <c r="BH76" s="5" t="s">
        <v>2</v>
      </c>
      <c r="BI76" s="6" t="s">
        <v>3</v>
      </c>
      <c r="BJ76" s="5" t="s">
        <v>2</v>
      </c>
      <c r="BK76" s="5" t="s">
        <v>4</v>
      </c>
      <c r="BL76" s="5" t="s">
        <v>5</v>
      </c>
      <c r="BM76" s="5" t="s">
        <v>6</v>
      </c>
      <c r="BN76" s="46" t="s">
        <v>11</v>
      </c>
      <c r="BO76" s="5" t="s">
        <v>7</v>
      </c>
      <c r="BP76" s="5" t="s">
        <v>5</v>
      </c>
      <c r="BQ76" s="5" t="s">
        <v>12</v>
      </c>
      <c r="BR76" s="5" t="s">
        <v>10</v>
      </c>
      <c r="BT76" s="7" t="s">
        <v>0</v>
      </c>
      <c r="BU76" s="5" t="s">
        <v>1</v>
      </c>
      <c r="BV76" s="5" t="s">
        <v>2</v>
      </c>
      <c r="BW76" s="6" t="s">
        <v>3</v>
      </c>
      <c r="BX76" s="5" t="s">
        <v>2</v>
      </c>
      <c r="BY76" s="5" t="s">
        <v>4</v>
      </c>
      <c r="BZ76" s="5" t="s">
        <v>5</v>
      </c>
      <c r="CA76" s="5" t="s">
        <v>6</v>
      </c>
      <c r="CB76" s="46" t="s">
        <v>11</v>
      </c>
      <c r="CC76" s="5" t="s">
        <v>7</v>
      </c>
      <c r="CD76" s="5" t="s">
        <v>5</v>
      </c>
      <c r="CE76" s="5" t="s">
        <v>12</v>
      </c>
      <c r="CF76" s="5" t="s">
        <v>10</v>
      </c>
    </row>
    <row r="77" spans="1:84">
      <c r="A77" s="12">
        <v>46125</v>
      </c>
      <c r="B77" s="8">
        <v>1912</v>
      </c>
      <c r="C77" s="13">
        <v>48246</v>
      </c>
      <c r="D77" s="9">
        <v>627</v>
      </c>
      <c r="E77" s="9">
        <v>1237</v>
      </c>
      <c r="F77" s="9">
        <v>5</v>
      </c>
      <c r="G77" s="9">
        <v>23</v>
      </c>
      <c r="H77" s="9">
        <v>6</v>
      </c>
      <c r="I77" s="9">
        <v>6</v>
      </c>
      <c r="J77" s="151" t="s">
        <v>328</v>
      </c>
      <c r="K77" s="44">
        <v>1500</v>
      </c>
      <c r="L77" s="9">
        <v>9000</v>
      </c>
      <c r="M77" s="10">
        <v>0.14354066985645933</v>
      </c>
      <c r="N77" s="70"/>
      <c r="O77" s="2"/>
      <c r="P77" s="12">
        <v>46125</v>
      </c>
      <c r="Q77" s="44">
        <v>13240</v>
      </c>
      <c r="R77" s="44">
        <v>43</v>
      </c>
      <c r="S77" s="44">
        <v>385</v>
      </c>
      <c r="T77" s="44">
        <v>0</v>
      </c>
      <c r="U77" s="44">
        <v>11</v>
      </c>
      <c r="V77" s="44">
        <v>0</v>
      </c>
      <c r="W77" s="44">
        <v>0</v>
      </c>
      <c r="X77" s="64" t="s">
        <v>205</v>
      </c>
      <c r="Y77" s="62">
        <v>996</v>
      </c>
      <c r="Z77" s="44">
        <v>0</v>
      </c>
      <c r="AA77" s="63">
        <v>0</v>
      </c>
      <c r="AB77" s="11"/>
      <c r="AC77" s="1"/>
      <c r="AD77" s="12">
        <v>46125</v>
      </c>
      <c r="AE77" s="44">
        <v>10706</v>
      </c>
      <c r="AF77" s="44">
        <v>138</v>
      </c>
      <c r="AG77" s="44">
        <v>282</v>
      </c>
      <c r="AH77" s="44">
        <v>3</v>
      </c>
      <c r="AI77" s="44">
        <v>7</v>
      </c>
      <c r="AJ77" s="44">
        <v>3</v>
      </c>
      <c r="AK77" s="44">
        <v>4</v>
      </c>
      <c r="AL77" s="61" t="s">
        <v>218</v>
      </c>
      <c r="AM77" s="62">
        <v>770</v>
      </c>
      <c r="AN77" s="44">
        <v>2310</v>
      </c>
      <c r="AO77" s="63">
        <v>0.16739130434782609</v>
      </c>
      <c r="AP77" s="11"/>
      <c r="AR77" s="12">
        <v>46125</v>
      </c>
      <c r="AS77" s="44">
        <v>1255</v>
      </c>
      <c r="AT77" s="44">
        <v>13</v>
      </c>
      <c r="AU77" s="44">
        <v>1047</v>
      </c>
      <c r="AV77" s="44">
        <v>0</v>
      </c>
      <c r="AW77" s="44">
        <v>23</v>
      </c>
      <c r="AX77" s="44">
        <v>-2</v>
      </c>
      <c r="AY77" s="44">
        <v>0</v>
      </c>
      <c r="AZ77" s="61" t="s">
        <v>262</v>
      </c>
      <c r="BA77" s="62">
        <v>700</v>
      </c>
      <c r="BB77" s="44">
        <v>-1400</v>
      </c>
      <c r="BC77" s="63">
        <v>-1.0769230769230769</v>
      </c>
      <c r="BD77" s="11"/>
      <c r="BF77" s="12">
        <v>46125</v>
      </c>
      <c r="BG77" s="44">
        <v>1357</v>
      </c>
      <c r="BH77" s="44">
        <v>38</v>
      </c>
      <c r="BI77" s="44">
        <v>1041</v>
      </c>
      <c r="BJ77" s="44">
        <v>1</v>
      </c>
      <c r="BK77" s="44">
        <v>10</v>
      </c>
      <c r="BL77" s="44">
        <v>2</v>
      </c>
      <c r="BM77" s="44">
        <v>3</v>
      </c>
      <c r="BN77" s="61" t="s">
        <v>269</v>
      </c>
      <c r="BO77" s="62">
        <v>825</v>
      </c>
      <c r="BP77" s="44">
        <v>1650</v>
      </c>
      <c r="BQ77" s="63">
        <v>0.43421052631578949</v>
      </c>
      <c r="BR77" s="11"/>
      <c r="BT77" s="12">
        <v>46125</v>
      </c>
      <c r="BU77" s="44">
        <v>1239</v>
      </c>
      <c r="BV77" s="44">
        <v>16</v>
      </c>
      <c r="BW77" s="44">
        <v>1049</v>
      </c>
      <c r="BX77" s="44">
        <v>4</v>
      </c>
      <c r="BY77" s="44">
        <v>6</v>
      </c>
      <c r="BZ77" s="44">
        <v>4</v>
      </c>
      <c r="CA77" s="44">
        <v>0</v>
      </c>
      <c r="CB77" s="61" t="s">
        <v>329</v>
      </c>
      <c r="CC77" s="62">
        <v>935</v>
      </c>
      <c r="CD77" s="44">
        <v>3740</v>
      </c>
      <c r="CE77" s="63">
        <v>2.3374999999999999</v>
      </c>
      <c r="CF77" s="11" t="s">
        <v>324</v>
      </c>
    </row>
    <row r="78" spans="1:84">
      <c r="A78" s="12">
        <v>46128</v>
      </c>
      <c r="B78" s="8">
        <f>IF(A78="","",SUM(D78)+SUM(R81:R84)+SUM(AF81:AF84)+SUM(BH81:BH84)+SUM(BV81:BV84)+SUM(AT81:AT84))</f>
        <v>1493</v>
      </c>
      <c r="C78" s="13">
        <v>49105</v>
      </c>
      <c r="D78" s="9">
        <f t="shared" ref="D78:D90" si="94">IF(C78="","",C78-C77)</f>
        <v>859</v>
      </c>
      <c r="E78" s="9">
        <v>1243</v>
      </c>
      <c r="F78" s="9">
        <f t="shared" ref="F78:F90" si="95">IF(E78="","",E78-E77)</f>
        <v>6</v>
      </c>
      <c r="G78" s="9">
        <v>24</v>
      </c>
      <c r="H78" s="9">
        <f t="shared" ref="H78:H90" si="96">IF(G78="","",G77+I77-G78)</f>
        <v>5</v>
      </c>
      <c r="I78" s="9">
        <v>5</v>
      </c>
      <c r="J78" s="152" t="str">
        <f t="shared" ref="J78:J100" si="97">IF(C78="","",J77)</f>
        <v>ボンボンドロップシール</v>
      </c>
      <c r="K78" s="44">
        <f t="shared" ref="K78:K90" si="98">IF(C78="","",K77)</f>
        <v>1500</v>
      </c>
      <c r="L78" s="9">
        <f t="shared" ref="L78:L90" si="99">IF(K78="","",H78*K78)</f>
        <v>7500</v>
      </c>
      <c r="M78" s="10">
        <f t="shared" ref="M78:M90" si="100">IF(L78="","",L78/(D78*100))</f>
        <v>8.7310826542491268E-2</v>
      </c>
      <c r="N78" s="34"/>
      <c r="O78" s="2"/>
      <c r="P78" s="12"/>
      <c r="Q78" s="9">
        <v>12746</v>
      </c>
      <c r="R78" s="9">
        <v>114</v>
      </c>
      <c r="S78" s="9">
        <v>274</v>
      </c>
      <c r="T78" s="9">
        <v>2</v>
      </c>
      <c r="U78" s="9">
        <v>9</v>
      </c>
      <c r="V78" s="9">
        <v>3</v>
      </c>
      <c r="W78" s="9">
        <v>0</v>
      </c>
      <c r="X78" s="64" t="s">
        <v>312</v>
      </c>
      <c r="Y78" s="44">
        <v>1100</v>
      </c>
      <c r="Z78" s="9">
        <v>0</v>
      </c>
      <c r="AA78" s="10">
        <v>0</v>
      </c>
      <c r="AB78" s="11"/>
      <c r="AC78" s="1"/>
      <c r="AD78" s="12"/>
      <c r="AE78" s="9">
        <v>13186</v>
      </c>
      <c r="AF78" s="9">
        <v>60</v>
      </c>
      <c r="AG78" s="9">
        <v>235</v>
      </c>
      <c r="AH78" s="9">
        <v>1</v>
      </c>
      <c r="AI78" s="9">
        <v>10</v>
      </c>
      <c r="AJ78" s="9">
        <v>1</v>
      </c>
      <c r="AK78" s="9">
        <v>0</v>
      </c>
      <c r="AL78" s="47" t="s">
        <v>54</v>
      </c>
      <c r="AM78" s="45">
        <v>538</v>
      </c>
      <c r="AN78" s="9">
        <v>538</v>
      </c>
      <c r="AO78" s="10">
        <v>8.9666666666666672E-2</v>
      </c>
      <c r="AP78" s="11" t="s">
        <v>6</v>
      </c>
      <c r="AR78" s="12"/>
      <c r="AS78" s="9">
        <v>1344</v>
      </c>
      <c r="AT78" s="9">
        <v>36</v>
      </c>
      <c r="AU78" s="9">
        <v>1043</v>
      </c>
      <c r="AV78" s="9">
        <v>0</v>
      </c>
      <c r="AW78" s="9">
        <v>13</v>
      </c>
      <c r="AX78" s="9">
        <v>1</v>
      </c>
      <c r="AY78" s="9">
        <v>1</v>
      </c>
      <c r="AZ78" s="47" t="s">
        <v>263</v>
      </c>
      <c r="BA78" s="45">
        <v>1100</v>
      </c>
      <c r="BB78" s="9">
        <v>1100</v>
      </c>
      <c r="BC78" s="10">
        <v>0.30555555555555558</v>
      </c>
      <c r="BD78" s="11"/>
      <c r="BF78" s="12"/>
      <c r="BG78" s="9">
        <v>1169</v>
      </c>
      <c r="BH78" s="9">
        <v>11</v>
      </c>
      <c r="BI78" s="9">
        <v>1057</v>
      </c>
      <c r="BJ78" s="9">
        <v>0</v>
      </c>
      <c r="BK78" s="9">
        <v>15</v>
      </c>
      <c r="BL78" s="9">
        <v>1</v>
      </c>
      <c r="BM78" s="9">
        <v>0</v>
      </c>
      <c r="BN78" s="47" t="s">
        <v>317</v>
      </c>
      <c r="BO78" s="45">
        <v>1100</v>
      </c>
      <c r="BP78" s="9">
        <v>1100</v>
      </c>
      <c r="BQ78" s="10">
        <v>1</v>
      </c>
      <c r="BR78" s="11" t="s">
        <v>325</v>
      </c>
      <c r="BT78" s="12"/>
      <c r="BU78" s="9">
        <v>1139</v>
      </c>
      <c r="BV78" s="81">
        <v>5</v>
      </c>
      <c r="BW78" s="9">
        <v>1039</v>
      </c>
      <c r="BX78" s="9">
        <v>0</v>
      </c>
      <c r="BY78" s="9">
        <v>12</v>
      </c>
      <c r="BZ78" s="9">
        <v>0</v>
      </c>
      <c r="CA78" s="9">
        <v>0</v>
      </c>
      <c r="CB78" s="47" t="s">
        <v>323</v>
      </c>
      <c r="CC78" s="45"/>
      <c r="CD78" s="9">
        <v>0</v>
      </c>
      <c r="CE78" s="10">
        <v>0</v>
      </c>
      <c r="CF78" s="11"/>
    </row>
    <row r="79" spans="1:84">
      <c r="A79" s="12">
        <v>46132</v>
      </c>
      <c r="B79" s="8">
        <f>IF(A79="","",SUM(D79)+SUM(R85:R88)+SUM(AF85:AF88)+SUM(BH85:BH88)+SUM(BV85:BV88)+SUM(AT85:AT88))</f>
        <v>2141</v>
      </c>
      <c r="C79" s="13">
        <v>49819</v>
      </c>
      <c r="D79" s="9">
        <f t="shared" si="94"/>
        <v>714</v>
      </c>
      <c r="E79" s="9">
        <v>1252</v>
      </c>
      <c r="F79" s="9">
        <f t="shared" si="95"/>
        <v>9</v>
      </c>
      <c r="G79" s="9">
        <v>19</v>
      </c>
      <c r="H79" s="9">
        <f t="shared" si="96"/>
        <v>10</v>
      </c>
      <c r="I79" s="9">
        <v>7</v>
      </c>
      <c r="J79" s="152" t="str">
        <f t="shared" si="97"/>
        <v>ボンボンドロップシール</v>
      </c>
      <c r="K79" s="44">
        <f t="shared" si="98"/>
        <v>1500</v>
      </c>
      <c r="L79" s="9">
        <f t="shared" si="99"/>
        <v>15000</v>
      </c>
      <c r="M79" s="10">
        <f t="shared" si="100"/>
        <v>0.21008403361344538</v>
      </c>
      <c r="N79" s="34"/>
      <c r="O79" s="2"/>
      <c r="P79" s="12"/>
      <c r="Q79" s="9">
        <v>14700</v>
      </c>
      <c r="R79" s="81">
        <v>60</v>
      </c>
      <c r="S79" s="9">
        <v>490</v>
      </c>
      <c r="T79" s="9">
        <v>1</v>
      </c>
      <c r="U79" s="9">
        <v>9</v>
      </c>
      <c r="V79" s="9">
        <v>1</v>
      </c>
      <c r="W79" s="9">
        <v>3</v>
      </c>
      <c r="X79" s="15" t="s">
        <v>220</v>
      </c>
      <c r="Y79" s="45">
        <v>1100</v>
      </c>
      <c r="Z79" s="9">
        <v>1100</v>
      </c>
      <c r="AA79" s="10">
        <v>0.18333333333333332</v>
      </c>
      <c r="AB79" s="11"/>
      <c r="AC79" s="1"/>
      <c r="AD79" s="12"/>
      <c r="AE79" s="9">
        <v>14379</v>
      </c>
      <c r="AF79" s="9">
        <v>163</v>
      </c>
      <c r="AG79" s="9">
        <v>505</v>
      </c>
      <c r="AH79" s="9">
        <v>7</v>
      </c>
      <c r="AI79" s="9">
        <v>7</v>
      </c>
      <c r="AJ79" s="9">
        <v>7</v>
      </c>
      <c r="AK79" s="9">
        <v>0</v>
      </c>
      <c r="AL79" s="47" t="s">
        <v>311</v>
      </c>
      <c r="AM79" s="45">
        <v>600</v>
      </c>
      <c r="AN79" s="9">
        <v>4200</v>
      </c>
      <c r="AO79" s="10">
        <v>0.25766871165644173</v>
      </c>
      <c r="AP79" s="11" t="s">
        <v>322</v>
      </c>
      <c r="AR79" s="12"/>
      <c r="AS79" s="9">
        <v>1248</v>
      </c>
      <c r="AT79" s="9">
        <v>23</v>
      </c>
      <c r="AU79" s="9">
        <v>1034</v>
      </c>
      <c r="AV79" s="9">
        <v>0</v>
      </c>
      <c r="AW79" s="9">
        <v>9</v>
      </c>
      <c r="AX79" s="9">
        <v>0</v>
      </c>
      <c r="AY79" s="9">
        <v>3</v>
      </c>
      <c r="AZ79" s="47" t="s">
        <v>264</v>
      </c>
      <c r="BA79" s="45">
        <v>1056</v>
      </c>
      <c r="BB79" s="9">
        <v>0</v>
      </c>
      <c r="BC79" s="10">
        <v>0</v>
      </c>
      <c r="BD79" s="11"/>
      <c r="BF79" s="12"/>
      <c r="BG79" s="9">
        <v>1319</v>
      </c>
      <c r="BH79" s="9">
        <v>41</v>
      </c>
      <c r="BI79" s="9">
        <v>1036</v>
      </c>
      <c r="BJ79" s="9">
        <v>1</v>
      </c>
      <c r="BK79" s="9">
        <v>10</v>
      </c>
      <c r="BL79" s="9">
        <v>1</v>
      </c>
      <c r="BM79" s="9">
        <v>0</v>
      </c>
      <c r="BN79" s="47" t="s">
        <v>267</v>
      </c>
      <c r="BO79" s="45">
        <v>935</v>
      </c>
      <c r="BP79" s="9">
        <v>935</v>
      </c>
      <c r="BQ79" s="10">
        <v>0.22804878048780489</v>
      </c>
      <c r="BR79" s="11"/>
      <c r="BT79" s="12"/>
      <c r="BU79" s="9">
        <v>1218</v>
      </c>
      <c r="BV79" s="9">
        <v>32</v>
      </c>
      <c r="BW79" s="9">
        <v>1053</v>
      </c>
      <c r="BX79" s="9">
        <v>4</v>
      </c>
      <c r="BY79" s="9">
        <v>124</v>
      </c>
      <c r="BZ79" s="9">
        <v>4</v>
      </c>
      <c r="CA79" s="9">
        <v>0</v>
      </c>
      <c r="CB79" s="47" t="s">
        <v>330</v>
      </c>
      <c r="CC79" s="45">
        <v>400</v>
      </c>
      <c r="CD79" s="9">
        <v>1600</v>
      </c>
      <c r="CE79" s="10">
        <v>0.5</v>
      </c>
      <c r="CF79" s="11"/>
    </row>
    <row r="80" spans="1:84" ht="15" customHeight="1" thickBot="1">
      <c r="A80" s="12">
        <v>46136</v>
      </c>
      <c r="B80" s="8">
        <f>IF(A80="","",SUM(D80)+SUM(R89:R92)+SUM(AF89:AF92)+SUM(BH89:BH92)+SUM(BV89:BV92)+SUM(AT89:AT92))</f>
        <v>1415</v>
      </c>
      <c r="C80" s="13">
        <v>50374</v>
      </c>
      <c r="D80" s="9">
        <f t="shared" si="94"/>
        <v>555</v>
      </c>
      <c r="E80" s="9">
        <v>1262</v>
      </c>
      <c r="F80" s="9">
        <f t="shared" si="95"/>
        <v>10</v>
      </c>
      <c r="G80" s="9">
        <v>15</v>
      </c>
      <c r="H80" s="9">
        <f t="shared" si="96"/>
        <v>11</v>
      </c>
      <c r="I80" s="9">
        <v>12</v>
      </c>
      <c r="J80" s="152" t="str">
        <f t="shared" si="97"/>
        <v>ボンボンドロップシール</v>
      </c>
      <c r="K80" s="44">
        <f t="shared" si="98"/>
        <v>1500</v>
      </c>
      <c r="L80" s="9">
        <f t="shared" si="99"/>
        <v>16500</v>
      </c>
      <c r="M80" s="10">
        <f t="shared" si="100"/>
        <v>0.29729729729729731</v>
      </c>
      <c r="N80" s="11"/>
      <c r="O80" s="2"/>
      <c r="P80" s="18"/>
      <c r="Q80" s="21">
        <v>17284</v>
      </c>
      <c r="R80" s="82">
        <v>241</v>
      </c>
      <c r="S80" s="19">
        <v>429</v>
      </c>
      <c r="T80" s="19">
        <v>5</v>
      </c>
      <c r="U80" s="19">
        <v>12</v>
      </c>
      <c r="V80" s="19">
        <v>4</v>
      </c>
      <c r="W80" s="19">
        <v>4</v>
      </c>
      <c r="X80" s="22" t="s">
        <v>280</v>
      </c>
      <c r="Y80" s="19">
        <v>440</v>
      </c>
      <c r="Z80" s="19">
        <v>1760</v>
      </c>
      <c r="AA80" s="20">
        <v>7.3029045643153531E-2</v>
      </c>
      <c r="AB80" s="11"/>
      <c r="AC80" s="1"/>
      <c r="AD80" s="18"/>
      <c r="AE80" s="19">
        <v>18686</v>
      </c>
      <c r="AF80" s="19">
        <v>128</v>
      </c>
      <c r="AG80" s="19">
        <v>686</v>
      </c>
      <c r="AH80" s="19">
        <v>8</v>
      </c>
      <c r="AI80" s="19">
        <v>36</v>
      </c>
      <c r="AJ80" s="19">
        <v>10</v>
      </c>
      <c r="AK80" s="19">
        <v>5</v>
      </c>
      <c r="AL80" s="48" t="s">
        <v>238</v>
      </c>
      <c r="AM80" s="19">
        <v>150</v>
      </c>
      <c r="AN80" s="19">
        <v>1500</v>
      </c>
      <c r="AO80" s="20">
        <v>0.1171875</v>
      </c>
      <c r="AP80" s="11"/>
      <c r="AR80" s="18"/>
      <c r="AS80" s="19">
        <v>1163</v>
      </c>
      <c r="AT80" s="19">
        <v>44</v>
      </c>
      <c r="AU80" s="19">
        <v>1038</v>
      </c>
      <c r="AV80" s="19">
        <v>4</v>
      </c>
      <c r="AW80" s="19">
        <v>6</v>
      </c>
      <c r="AX80" s="19">
        <v>5</v>
      </c>
      <c r="AY80" s="19">
        <v>0</v>
      </c>
      <c r="AZ80" s="48" t="s">
        <v>69</v>
      </c>
      <c r="BA80" s="19">
        <v>1100</v>
      </c>
      <c r="BB80" s="19">
        <v>0</v>
      </c>
      <c r="BC80" s="20">
        <v>0</v>
      </c>
      <c r="BD80" s="11" t="s">
        <v>326</v>
      </c>
      <c r="BF80" s="18"/>
      <c r="BG80" s="19">
        <v>1483</v>
      </c>
      <c r="BH80" s="19">
        <v>55</v>
      </c>
      <c r="BI80" s="19">
        <v>1095</v>
      </c>
      <c r="BJ80" s="19">
        <v>4</v>
      </c>
      <c r="BK80" s="19">
        <v>95</v>
      </c>
      <c r="BL80" s="19">
        <v>35</v>
      </c>
      <c r="BM80" s="19">
        <v>20</v>
      </c>
      <c r="BN80" s="48" t="s">
        <v>266</v>
      </c>
      <c r="BO80" s="19">
        <v>283</v>
      </c>
      <c r="BP80" s="19">
        <v>9905</v>
      </c>
      <c r="BQ80" s="20">
        <v>1.800909090909091</v>
      </c>
      <c r="BR80" s="11" t="s">
        <v>327</v>
      </c>
      <c r="BT80" s="18"/>
      <c r="BU80" s="19">
        <v>1313</v>
      </c>
      <c r="BV80" s="19">
        <v>24</v>
      </c>
      <c r="BW80" s="19">
        <v>1034</v>
      </c>
      <c r="BX80" s="19">
        <v>0</v>
      </c>
      <c r="BY80" s="19">
        <v>12</v>
      </c>
      <c r="BZ80" s="19">
        <v>0</v>
      </c>
      <c r="CA80" s="19">
        <v>0</v>
      </c>
      <c r="CB80" s="48" t="s">
        <v>331</v>
      </c>
      <c r="CC80" s="19">
        <v>1100</v>
      </c>
      <c r="CD80" s="19">
        <v>0</v>
      </c>
      <c r="CE80" s="20">
        <v>0</v>
      </c>
      <c r="CF80" s="11"/>
    </row>
    <row r="81" spans="1:84" ht="15" customHeight="1" thickTop="1">
      <c r="A81" s="12">
        <v>46139</v>
      </c>
      <c r="B81" s="8">
        <f>IF(A81="","",SUM(D81)+SUM(R93:R96)+SUM(AF93:AF96)+SUM(BH93:BH96)+SUM(BV93:BV96)+SUM(AT93:AT96))</f>
        <v>2078</v>
      </c>
      <c r="C81" s="13">
        <v>51229</v>
      </c>
      <c r="D81" s="9">
        <f t="shared" si="94"/>
        <v>855</v>
      </c>
      <c r="E81" s="9">
        <v>1278</v>
      </c>
      <c r="F81" s="9">
        <f t="shared" si="95"/>
        <v>16</v>
      </c>
      <c r="G81" s="9">
        <v>11</v>
      </c>
      <c r="H81" s="9">
        <f t="shared" si="96"/>
        <v>16</v>
      </c>
      <c r="I81" s="9">
        <v>14</v>
      </c>
      <c r="J81" s="152" t="str">
        <f t="shared" si="97"/>
        <v>ボンボンドロップシール</v>
      </c>
      <c r="K81" s="44">
        <f t="shared" si="98"/>
        <v>1500</v>
      </c>
      <c r="L81" s="9">
        <f t="shared" si="99"/>
        <v>24000</v>
      </c>
      <c r="M81" s="10">
        <f t="shared" si="100"/>
        <v>0.2807017543859649</v>
      </c>
      <c r="N81" s="11"/>
      <c r="O81" s="2"/>
      <c r="P81" s="65">
        <f>IF($A78="","",$A78)</f>
        <v>46128</v>
      </c>
      <c r="Q81" s="9">
        <v>13366</v>
      </c>
      <c r="R81" s="44">
        <f t="shared" ref="R81:R132" si="101">IF(Q81="","",Q81-Q77)</f>
        <v>126</v>
      </c>
      <c r="S81" s="9">
        <v>385</v>
      </c>
      <c r="T81" s="23">
        <f t="shared" ref="T81:T132" si="102">IF(S81="","",S81-S77)</f>
        <v>0</v>
      </c>
      <c r="U81" s="9">
        <v>12</v>
      </c>
      <c r="V81" s="44">
        <f t="shared" ref="V81:V132" si="103">IF(U81="","",U77+W77-U81)</f>
        <v>-1</v>
      </c>
      <c r="W81" s="66">
        <v>0</v>
      </c>
      <c r="X81" s="61" t="str">
        <f t="shared" ref="X81:X92" si="104">IF(Q81="","",X77)</f>
        <v>キティ豹柄キーケース</v>
      </c>
      <c r="Y81" s="62">
        <f t="shared" ref="Y81:Y92" si="105">IF(R81="","",Y77)</f>
        <v>996</v>
      </c>
      <c r="Z81" s="23">
        <f t="shared" ref="Z81:Z132" si="106">IF(U81="","",V81*Y81)</f>
        <v>-996</v>
      </c>
      <c r="AA81" s="24">
        <f t="shared" ref="AA81:AA132" si="107">IF(V81="","",Z81/(R81*100))</f>
        <v>-7.9047619047619047E-2</v>
      </c>
      <c r="AB81" s="11"/>
      <c r="AC81" s="1"/>
      <c r="AD81" s="65">
        <f>IF($A78="","",$A78)</f>
        <v>46128</v>
      </c>
      <c r="AE81" s="9">
        <v>10725</v>
      </c>
      <c r="AF81" s="44">
        <f t="shared" ref="AF81:AF108" si="108">IF(AE81="","",AE81-AE77)</f>
        <v>19</v>
      </c>
      <c r="AG81" s="9">
        <v>282</v>
      </c>
      <c r="AH81" s="23">
        <f t="shared" ref="AH81:AH108" si="109">IF(AG81="","",AG81-AG77)</f>
        <v>0</v>
      </c>
      <c r="AI81" s="9">
        <v>13</v>
      </c>
      <c r="AJ81" s="44">
        <f t="shared" ref="AJ81:AJ108" si="110">IF(AI81="","",AI77+AK77-AI81)</f>
        <v>-2</v>
      </c>
      <c r="AK81" s="66">
        <v>2</v>
      </c>
      <c r="AL81" s="61" t="str">
        <f t="shared" ref="AL81:AL108" si="111">IF(AE81="","",AL77)</f>
        <v>ゲーム機柄イヤホン</v>
      </c>
      <c r="AM81" s="62">
        <f t="shared" ref="AM81:AM108" si="112">IF(AF81="","",AM77)</f>
        <v>770</v>
      </c>
      <c r="AN81" s="23">
        <f t="shared" ref="AN81:AN108" si="113">IF(AI81="","",AJ81*AM81)</f>
        <v>-1540</v>
      </c>
      <c r="AO81" s="24">
        <f t="shared" ref="AO81:AO108" si="114">IF(AJ81="","",AN81/(AF81*100))</f>
        <v>-0.81052631578947365</v>
      </c>
      <c r="AP81" s="11"/>
      <c r="AR81" s="65">
        <f>IF($A78="","",$A78)</f>
        <v>46128</v>
      </c>
      <c r="AS81" s="9">
        <v>1272</v>
      </c>
      <c r="AT81" s="44">
        <f t="shared" ref="AT81:AT108" si="115">IF(AS81="","",AS81-AS77)</f>
        <v>17</v>
      </c>
      <c r="AU81" s="9">
        <v>1048</v>
      </c>
      <c r="AV81" s="23">
        <f t="shared" ref="AV81:AV108" si="116">IF(AU81="","",AU81-AU77)</f>
        <v>1</v>
      </c>
      <c r="AW81" s="9">
        <v>22</v>
      </c>
      <c r="AX81" s="44">
        <f t="shared" ref="AX81:AX108" si="117">IF(AW81="","",AW77+AY77-AW81)</f>
        <v>1</v>
      </c>
      <c r="AY81" s="66">
        <v>3</v>
      </c>
      <c r="AZ81" s="61" t="str">
        <f t="shared" ref="AZ81:AZ108" si="118">IF(AS81="","",AZ77)</f>
        <v>サンリオ千鳥格子フェイス</v>
      </c>
      <c r="BA81" s="62">
        <f t="shared" ref="BA81:BA108" si="119">IF(AT81="","",BA77)</f>
        <v>700</v>
      </c>
      <c r="BB81" s="23">
        <f t="shared" ref="BB81:BB108" si="120">IF(AW81="","",AX81*BA81)</f>
        <v>700</v>
      </c>
      <c r="BC81" s="24">
        <f t="shared" ref="BC81:BC108" si="121">IF(AX81="","",BB81/(AT81*100))</f>
        <v>0.41176470588235292</v>
      </c>
      <c r="BD81" s="11"/>
      <c r="BF81" s="65">
        <f>IF($A78="","",$A78)</f>
        <v>46128</v>
      </c>
      <c r="BG81" s="9">
        <v>1368</v>
      </c>
      <c r="BH81" s="44">
        <f t="shared" ref="BH81:BH108" si="122">IF(BG81="","",BG81-BG77)</f>
        <v>11</v>
      </c>
      <c r="BI81" s="9">
        <v>1042</v>
      </c>
      <c r="BJ81" s="23">
        <f t="shared" ref="BJ81:BJ108" si="123">IF(BI81="","",BI81-BI77)</f>
        <v>1</v>
      </c>
      <c r="BK81" s="9">
        <v>12</v>
      </c>
      <c r="BL81" s="44">
        <f t="shared" ref="BL81:BL108" si="124">IF(BK81="","",BK77+BM77-BK81)</f>
        <v>1</v>
      </c>
      <c r="BM81" s="66">
        <v>1</v>
      </c>
      <c r="BN81" s="61" t="str">
        <f t="shared" ref="BN81:BN108" si="125">IF(BG81="","",BN77)</f>
        <v>キティしっぽ付きフェイス</v>
      </c>
      <c r="BO81" s="62">
        <f t="shared" ref="BO81:BO108" si="126">IF(BH81="","",BO77)</f>
        <v>825</v>
      </c>
      <c r="BP81" s="23">
        <f t="shared" ref="BP81:BP108" si="127">IF(BK81="","",BL81*BO81)</f>
        <v>825</v>
      </c>
      <c r="BQ81" s="24">
        <f t="shared" ref="BQ81:BQ108" si="128">IF(BL81="","",BP81/(BH81*100))</f>
        <v>0.75</v>
      </c>
      <c r="BR81" s="11" t="s">
        <v>337</v>
      </c>
      <c r="BT81" s="65">
        <f>IF($A78="","",$A78)</f>
        <v>46128</v>
      </c>
      <c r="BU81" s="9">
        <v>1256</v>
      </c>
      <c r="BV81" s="44">
        <f t="shared" ref="BV81:BV108" si="129">IF(BU81="","",BU81-BU77)</f>
        <v>17</v>
      </c>
      <c r="BW81" s="9">
        <v>1050</v>
      </c>
      <c r="BX81" s="23">
        <f t="shared" ref="BX81:BX108" si="130">IF(BW81="","",BW81-BW77)</f>
        <v>1</v>
      </c>
      <c r="BY81" s="9">
        <v>5</v>
      </c>
      <c r="BZ81" s="44">
        <f t="shared" ref="BZ81:BZ108" si="131">IF(BY81="","",BY77+CA77-BY81)</f>
        <v>1</v>
      </c>
      <c r="CA81" s="66">
        <v>2</v>
      </c>
      <c r="CB81" s="61" t="str">
        <f t="shared" ref="CB81:CB108" si="132">IF(BU81="","",CB77)</f>
        <v>ギャルキティポーチ</v>
      </c>
      <c r="CC81" s="62">
        <f t="shared" ref="CC81:CC108" si="133">IF(BV81="","",CC77)</f>
        <v>935</v>
      </c>
      <c r="CD81" s="23">
        <f t="shared" ref="CD81:CD108" si="134">IF(BY81="","",BZ81*CC81)</f>
        <v>935</v>
      </c>
      <c r="CE81" s="24">
        <f t="shared" ref="CE81:CE108" si="135">IF(BZ81="","",CD81/(BV81*100))</f>
        <v>0.55000000000000004</v>
      </c>
      <c r="CF81" s="11"/>
    </row>
    <row r="82" spans="1:84">
      <c r="A82" s="12">
        <v>46142</v>
      </c>
      <c r="B82" s="8">
        <f>IF(A82="","",SUM(D82)+SUM(R97:R100)+SUM(AF97:AF100)+SUM(BH97:BH100)+SUM(BV97:BV100)+SUM(AT97:AT100))</f>
        <v>1222</v>
      </c>
      <c r="C82" s="13">
        <v>51598</v>
      </c>
      <c r="D82" s="9">
        <f t="shared" si="94"/>
        <v>369</v>
      </c>
      <c r="E82" s="9">
        <v>1282</v>
      </c>
      <c r="F82" s="9">
        <f t="shared" si="95"/>
        <v>4</v>
      </c>
      <c r="G82" s="9">
        <v>20</v>
      </c>
      <c r="H82" s="9">
        <f t="shared" si="96"/>
        <v>5</v>
      </c>
      <c r="I82" s="9">
        <v>20</v>
      </c>
      <c r="J82" s="152" t="str">
        <f t="shared" si="97"/>
        <v>ボンボンドロップシール</v>
      </c>
      <c r="K82" s="44">
        <f t="shared" si="98"/>
        <v>1500</v>
      </c>
      <c r="L82" s="9">
        <f t="shared" si="99"/>
        <v>7500</v>
      </c>
      <c r="M82" s="10">
        <f t="shared" si="100"/>
        <v>0.2032520325203252</v>
      </c>
      <c r="N82" s="11"/>
      <c r="O82" s="2"/>
      <c r="P82" s="12"/>
      <c r="Q82" s="44">
        <v>12791</v>
      </c>
      <c r="R82" s="9">
        <f t="shared" si="101"/>
        <v>45</v>
      </c>
      <c r="S82" s="44">
        <v>275</v>
      </c>
      <c r="T82" s="9">
        <f t="shared" si="102"/>
        <v>1</v>
      </c>
      <c r="U82" s="9">
        <v>8</v>
      </c>
      <c r="V82" s="9">
        <f t="shared" si="103"/>
        <v>1</v>
      </c>
      <c r="W82" s="13">
        <v>0</v>
      </c>
      <c r="X82" s="47" t="str">
        <f t="shared" si="104"/>
        <v>カラビナファン</v>
      </c>
      <c r="Y82" s="45">
        <f t="shared" si="105"/>
        <v>1100</v>
      </c>
      <c r="Z82" s="9">
        <f t="shared" si="106"/>
        <v>1100</v>
      </c>
      <c r="AA82" s="10">
        <f t="shared" si="107"/>
        <v>0.24444444444444444</v>
      </c>
      <c r="AB82" s="11"/>
      <c r="AC82" s="1"/>
      <c r="AD82" s="12"/>
      <c r="AE82" s="44">
        <v>13195</v>
      </c>
      <c r="AF82" s="81">
        <f t="shared" si="108"/>
        <v>9</v>
      </c>
      <c r="AG82" s="44">
        <v>235</v>
      </c>
      <c r="AH82" s="9">
        <f t="shared" si="109"/>
        <v>0</v>
      </c>
      <c r="AI82" s="9">
        <v>10</v>
      </c>
      <c r="AJ82" s="9">
        <f t="shared" si="110"/>
        <v>0</v>
      </c>
      <c r="AK82" s="13">
        <v>0</v>
      </c>
      <c r="AL82" s="47" t="str">
        <f t="shared" si="111"/>
        <v>デジタルミニカメラ</v>
      </c>
      <c r="AM82" s="45">
        <f t="shared" si="112"/>
        <v>538</v>
      </c>
      <c r="AN82" s="9">
        <f t="shared" si="113"/>
        <v>0</v>
      </c>
      <c r="AO82" s="10">
        <f t="shared" si="114"/>
        <v>0</v>
      </c>
      <c r="AP82" s="158" t="s">
        <v>332</v>
      </c>
      <c r="AR82" s="12"/>
      <c r="AS82" s="44">
        <v>1371</v>
      </c>
      <c r="AT82" s="9">
        <f t="shared" si="115"/>
        <v>27</v>
      </c>
      <c r="AU82" s="44">
        <v>1044</v>
      </c>
      <c r="AV82" s="9">
        <f t="shared" si="116"/>
        <v>1</v>
      </c>
      <c r="AW82" s="9">
        <v>13</v>
      </c>
      <c r="AX82" s="9">
        <f t="shared" si="117"/>
        <v>1</v>
      </c>
      <c r="AY82" s="13">
        <v>1</v>
      </c>
      <c r="AZ82" s="47" t="str">
        <f t="shared" si="118"/>
        <v>サンリオボアバンスクリップ</v>
      </c>
      <c r="BA82" s="45">
        <f t="shared" si="119"/>
        <v>1100</v>
      </c>
      <c r="BB82" s="9">
        <f t="shared" si="120"/>
        <v>1100</v>
      </c>
      <c r="BC82" s="10">
        <f t="shared" si="121"/>
        <v>0.40740740740740738</v>
      </c>
      <c r="BD82" s="11"/>
      <c r="BF82" s="12"/>
      <c r="BG82" s="44">
        <v>1172</v>
      </c>
      <c r="BH82" s="81">
        <f t="shared" si="122"/>
        <v>3</v>
      </c>
      <c r="BI82" s="44">
        <v>1057</v>
      </c>
      <c r="BJ82" s="9">
        <f t="shared" si="123"/>
        <v>0</v>
      </c>
      <c r="BK82" s="9">
        <v>15</v>
      </c>
      <c r="BL82" s="9">
        <f t="shared" si="124"/>
        <v>0</v>
      </c>
      <c r="BM82" s="13">
        <v>0</v>
      </c>
      <c r="BN82" s="47" t="str">
        <f t="shared" si="125"/>
        <v>サンリオヘアオイル</v>
      </c>
      <c r="BO82" s="45">
        <f t="shared" si="126"/>
        <v>1100</v>
      </c>
      <c r="BP82" s="9">
        <f t="shared" si="127"/>
        <v>0</v>
      </c>
      <c r="BQ82" s="10">
        <f t="shared" si="128"/>
        <v>0</v>
      </c>
      <c r="BR82" s="11"/>
      <c r="BT82" s="12"/>
      <c r="BU82" s="44">
        <v>1139</v>
      </c>
      <c r="BV82" s="81">
        <f t="shared" si="129"/>
        <v>0</v>
      </c>
      <c r="BW82" s="44">
        <v>1039</v>
      </c>
      <c r="BX82" s="9">
        <f t="shared" si="130"/>
        <v>0</v>
      </c>
      <c r="BY82" s="9">
        <v>12</v>
      </c>
      <c r="BZ82" s="9">
        <f t="shared" si="131"/>
        <v>0</v>
      </c>
      <c r="CA82" s="13">
        <v>0</v>
      </c>
      <c r="CB82" s="47" t="str">
        <f t="shared" si="132"/>
        <v>着物キティマスコット</v>
      </c>
      <c r="CC82" s="45">
        <f t="shared" si="133"/>
        <v>0</v>
      </c>
      <c r="CD82" s="9">
        <f t="shared" si="134"/>
        <v>0</v>
      </c>
      <c r="CE82" s="10" t="e">
        <f t="shared" si="135"/>
        <v>#DIV/0!</v>
      </c>
      <c r="CF82" s="129" t="s">
        <v>335</v>
      </c>
    </row>
    <row r="83" spans="1:84" ht="15" customHeight="1">
      <c r="A83" s="12">
        <v>46146</v>
      </c>
      <c r="B83" s="8">
        <f>IF(A83="","",SUM(D83)+SUM(R101:R104)+SUM(AF101:AF104)+SUM(BH101:BH104)+SUM(BV101:BV104)+SUM(AT101:AT104))</f>
        <v>2400</v>
      </c>
      <c r="C83" s="13">
        <v>52422</v>
      </c>
      <c r="D83" s="9">
        <f t="shared" si="94"/>
        <v>824</v>
      </c>
      <c r="E83" s="9">
        <v>1297</v>
      </c>
      <c r="F83" s="9">
        <f t="shared" si="95"/>
        <v>15</v>
      </c>
      <c r="G83" s="9">
        <v>24</v>
      </c>
      <c r="H83" s="9">
        <f t="shared" si="96"/>
        <v>16</v>
      </c>
      <c r="I83" s="9">
        <v>13</v>
      </c>
      <c r="J83" s="152" t="str">
        <f t="shared" si="97"/>
        <v>ボンボンドロップシール</v>
      </c>
      <c r="K83" s="44">
        <f t="shared" si="98"/>
        <v>1500</v>
      </c>
      <c r="L83" s="9">
        <f t="shared" si="99"/>
        <v>24000</v>
      </c>
      <c r="M83" s="10">
        <f t="shared" si="100"/>
        <v>0.29126213592233008</v>
      </c>
      <c r="N83" s="11"/>
      <c r="O83" s="2"/>
      <c r="P83" s="12"/>
      <c r="Q83" s="9">
        <v>14706</v>
      </c>
      <c r="R83" s="81">
        <f t="shared" si="101"/>
        <v>6</v>
      </c>
      <c r="S83" s="9">
        <v>491</v>
      </c>
      <c r="T83" s="9">
        <f t="shared" si="102"/>
        <v>1</v>
      </c>
      <c r="U83" s="9">
        <v>11</v>
      </c>
      <c r="V83" s="9">
        <f t="shared" si="103"/>
        <v>1</v>
      </c>
      <c r="W83" s="38">
        <v>1</v>
      </c>
      <c r="X83" s="47" t="str">
        <f t="shared" si="104"/>
        <v>キティボアバンスクリップ</v>
      </c>
      <c r="Y83" s="9">
        <f t="shared" si="105"/>
        <v>1100</v>
      </c>
      <c r="Z83" s="9">
        <f t="shared" si="106"/>
        <v>1100</v>
      </c>
      <c r="AA83" s="10">
        <f t="shared" si="107"/>
        <v>1.8333333333333333</v>
      </c>
      <c r="AB83" s="94" t="s">
        <v>243</v>
      </c>
      <c r="AC83" s="1"/>
      <c r="AD83" s="12"/>
      <c r="AE83" s="9">
        <v>14470</v>
      </c>
      <c r="AF83" s="9">
        <f t="shared" si="108"/>
        <v>91</v>
      </c>
      <c r="AG83" s="9">
        <v>506</v>
      </c>
      <c r="AH83" s="9">
        <f t="shared" si="109"/>
        <v>1</v>
      </c>
      <c r="AI83" s="9">
        <v>5</v>
      </c>
      <c r="AJ83" s="9">
        <f t="shared" si="110"/>
        <v>2</v>
      </c>
      <c r="AK83" s="38">
        <v>5</v>
      </c>
      <c r="AL83" s="47" t="str">
        <f t="shared" si="111"/>
        <v>たまごっちブロックシール</v>
      </c>
      <c r="AM83" s="9">
        <f t="shared" si="112"/>
        <v>600</v>
      </c>
      <c r="AN83" s="9">
        <f t="shared" si="113"/>
        <v>1200</v>
      </c>
      <c r="AO83" s="10">
        <f t="shared" si="114"/>
        <v>0.13186813186813187</v>
      </c>
      <c r="AP83" s="11"/>
      <c r="AR83" s="12"/>
      <c r="AS83" s="9">
        <v>1266</v>
      </c>
      <c r="AT83" s="9">
        <f t="shared" si="115"/>
        <v>18</v>
      </c>
      <c r="AU83" s="9">
        <v>1035</v>
      </c>
      <c r="AV83" s="9">
        <f t="shared" si="116"/>
        <v>1</v>
      </c>
      <c r="AW83" s="9">
        <v>10</v>
      </c>
      <c r="AX83" s="9">
        <f t="shared" si="117"/>
        <v>2</v>
      </c>
      <c r="AY83" s="38">
        <v>0</v>
      </c>
      <c r="AZ83" s="47" t="str">
        <f t="shared" si="118"/>
        <v>サンリオヒョウ柄バニティ</v>
      </c>
      <c r="BA83" s="9">
        <f t="shared" si="119"/>
        <v>1056</v>
      </c>
      <c r="BB83" s="9">
        <f t="shared" si="120"/>
        <v>2112</v>
      </c>
      <c r="BC83" s="10">
        <f t="shared" si="121"/>
        <v>1.1733333333333333</v>
      </c>
      <c r="BD83" s="11" t="s">
        <v>334</v>
      </c>
      <c r="BF83" s="12"/>
      <c r="BG83" s="9">
        <v>1340</v>
      </c>
      <c r="BH83" s="9">
        <f t="shared" si="122"/>
        <v>21</v>
      </c>
      <c r="BI83" s="9">
        <v>1037</v>
      </c>
      <c r="BJ83" s="9">
        <f t="shared" si="123"/>
        <v>1</v>
      </c>
      <c r="BK83" s="9">
        <v>9</v>
      </c>
      <c r="BL83" s="9">
        <f t="shared" si="124"/>
        <v>1</v>
      </c>
      <c r="BM83" s="38">
        <v>1</v>
      </c>
      <c r="BN83" s="47" t="str">
        <f t="shared" si="125"/>
        <v>サンリオヒョウ柄ポーチ</v>
      </c>
      <c r="BO83" s="9">
        <f t="shared" si="126"/>
        <v>935</v>
      </c>
      <c r="BP83" s="9">
        <f t="shared" si="127"/>
        <v>935</v>
      </c>
      <c r="BQ83" s="10">
        <f t="shared" si="128"/>
        <v>0.44523809523809521</v>
      </c>
      <c r="BR83" s="11"/>
      <c r="BT83" s="12"/>
      <c r="BU83" s="9">
        <v>1229</v>
      </c>
      <c r="BV83" s="9">
        <f t="shared" si="129"/>
        <v>11</v>
      </c>
      <c r="BW83" s="9">
        <v>1057</v>
      </c>
      <c r="BX83" s="9">
        <f t="shared" si="130"/>
        <v>4</v>
      </c>
      <c r="BY83" s="9">
        <v>120</v>
      </c>
      <c r="BZ83" s="9">
        <f t="shared" si="131"/>
        <v>4</v>
      </c>
      <c r="CA83" s="38">
        <v>0</v>
      </c>
      <c r="CB83" s="47" t="str">
        <f t="shared" si="132"/>
        <v>サンリオシューズ</v>
      </c>
      <c r="CC83" s="9">
        <f t="shared" si="133"/>
        <v>400</v>
      </c>
      <c r="CD83" s="9">
        <f t="shared" si="134"/>
        <v>1600</v>
      </c>
      <c r="CE83" s="10">
        <f t="shared" si="135"/>
        <v>1.4545454545454546</v>
      </c>
      <c r="CF83" s="11" t="s">
        <v>336</v>
      </c>
    </row>
    <row r="84" spans="1:84" ht="15" customHeight="1" thickBot="1">
      <c r="A84" s="127">
        <v>46149</v>
      </c>
      <c r="B84" s="8">
        <f>IF(A84="","",SUM(D84)+SUM(R105:R108)+SUM(AF105:AF108)+SUM(BH105:BH108)+SUM(BV105:BV108)+SUM(AT105:AT108))</f>
        <v>1862</v>
      </c>
      <c r="C84" s="13">
        <v>52801</v>
      </c>
      <c r="D84" s="9">
        <f t="shared" si="94"/>
        <v>379</v>
      </c>
      <c r="E84" s="9">
        <v>1303</v>
      </c>
      <c r="F84" s="9">
        <f t="shared" si="95"/>
        <v>6</v>
      </c>
      <c r="G84" s="9">
        <v>31</v>
      </c>
      <c r="H84" s="9">
        <f t="shared" si="96"/>
        <v>6</v>
      </c>
      <c r="I84" s="9">
        <v>5</v>
      </c>
      <c r="J84" s="152" t="str">
        <f t="shared" si="97"/>
        <v>ボンボンドロップシール</v>
      </c>
      <c r="K84" s="44">
        <f t="shared" si="98"/>
        <v>1500</v>
      </c>
      <c r="L84" s="9">
        <f t="shared" si="99"/>
        <v>9000</v>
      </c>
      <c r="M84" s="10">
        <f t="shared" si="100"/>
        <v>0.23746701846965698</v>
      </c>
      <c r="N84" s="11"/>
      <c r="O84" s="2"/>
      <c r="P84" s="80"/>
      <c r="Q84" s="19">
        <v>17376</v>
      </c>
      <c r="R84" s="19">
        <f t="shared" si="101"/>
        <v>92</v>
      </c>
      <c r="S84" s="19">
        <v>431</v>
      </c>
      <c r="T84" s="19">
        <f t="shared" si="102"/>
        <v>2</v>
      </c>
      <c r="U84" s="19">
        <v>14</v>
      </c>
      <c r="V84" s="19">
        <f t="shared" si="103"/>
        <v>2</v>
      </c>
      <c r="W84" s="37">
        <v>2</v>
      </c>
      <c r="X84" s="48" t="str">
        <f t="shared" si="104"/>
        <v>バタースクイーズ</v>
      </c>
      <c r="Y84" s="51">
        <f t="shared" si="105"/>
        <v>440</v>
      </c>
      <c r="Z84" s="19">
        <f t="shared" si="106"/>
        <v>880</v>
      </c>
      <c r="AA84" s="20">
        <f t="shared" si="107"/>
        <v>9.5652173913043481E-2</v>
      </c>
      <c r="AB84" s="11"/>
      <c r="AC84" s="1"/>
      <c r="AD84" s="80"/>
      <c r="AE84" s="19">
        <v>18745</v>
      </c>
      <c r="AF84" s="19">
        <f t="shared" si="108"/>
        <v>59</v>
      </c>
      <c r="AG84" s="19">
        <v>692</v>
      </c>
      <c r="AH84" s="19">
        <f t="shared" si="109"/>
        <v>6</v>
      </c>
      <c r="AI84" s="19">
        <v>35</v>
      </c>
      <c r="AJ84" s="19">
        <f t="shared" si="110"/>
        <v>6</v>
      </c>
      <c r="AK84" s="37">
        <v>0</v>
      </c>
      <c r="AL84" s="48" t="str">
        <f t="shared" si="111"/>
        <v>ボンドロシール</v>
      </c>
      <c r="AM84" s="51">
        <f t="shared" si="112"/>
        <v>150</v>
      </c>
      <c r="AN84" s="19">
        <f t="shared" si="113"/>
        <v>900</v>
      </c>
      <c r="AO84" s="20">
        <f t="shared" si="114"/>
        <v>0.15254237288135594</v>
      </c>
      <c r="AP84" s="11"/>
      <c r="AR84" s="80"/>
      <c r="AS84" s="19">
        <v>1191</v>
      </c>
      <c r="AT84" s="19">
        <f t="shared" si="115"/>
        <v>28</v>
      </c>
      <c r="AU84" s="19">
        <v>1040</v>
      </c>
      <c r="AV84" s="19">
        <f t="shared" si="116"/>
        <v>2</v>
      </c>
      <c r="AW84" s="19">
        <v>4</v>
      </c>
      <c r="AX84" s="19">
        <f t="shared" si="117"/>
        <v>2</v>
      </c>
      <c r="AY84" s="37">
        <v>0</v>
      </c>
      <c r="AZ84" s="48" t="str">
        <f t="shared" si="118"/>
        <v>サンリオファン</v>
      </c>
      <c r="BA84" s="51">
        <f t="shared" si="119"/>
        <v>1100</v>
      </c>
      <c r="BB84" s="19">
        <f t="shared" si="120"/>
        <v>2200</v>
      </c>
      <c r="BC84" s="20">
        <f t="shared" si="121"/>
        <v>0.7857142857142857</v>
      </c>
      <c r="BD84" s="11" t="s">
        <v>333</v>
      </c>
      <c r="BF84" s="80"/>
      <c r="BG84" s="19">
        <v>1503</v>
      </c>
      <c r="BH84" s="19">
        <f t="shared" si="122"/>
        <v>20</v>
      </c>
      <c r="BI84" s="19">
        <v>1098</v>
      </c>
      <c r="BJ84" s="19">
        <f t="shared" si="123"/>
        <v>3</v>
      </c>
      <c r="BK84" s="19">
        <v>112</v>
      </c>
      <c r="BL84" s="19">
        <f t="shared" si="124"/>
        <v>3</v>
      </c>
      <c r="BM84" s="37">
        <v>10</v>
      </c>
      <c r="BN84" s="48" t="str">
        <f t="shared" si="125"/>
        <v>キティボールペン</v>
      </c>
      <c r="BO84" s="51">
        <f t="shared" si="126"/>
        <v>283</v>
      </c>
      <c r="BP84" s="19">
        <f t="shared" si="127"/>
        <v>849</v>
      </c>
      <c r="BQ84" s="20">
        <f t="shared" si="128"/>
        <v>0.42449999999999999</v>
      </c>
      <c r="BR84" s="11"/>
      <c r="BT84" s="80"/>
      <c r="BU84" s="19">
        <v>1327</v>
      </c>
      <c r="BV84" s="19">
        <f t="shared" si="129"/>
        <v>14</v>
      </c>
      <c r="BW84" s="19">
        <v>1035</v>
      </c>
      <c r="BX84" s="19">
        <f t="shared" si="130"/>
        <v>1</v>
      </c>
      <c r="BY84" s="19">
        <v>11</v>
      </c>
      <c r="BZ84" s="19">
        <f t="shared" si="131"/>
        <v>1</v>
      </c>
      <c r="CA84" s="37">
        <v>0</v>
      </c>
      <c r="CB84" s="48" t="str">
        <f t="shared" si="132"/>
        <v>サンリオボアミラー</v>
      </c>
      <c r="CC84" s="51">
        <f t="shared" si="133"/>
        <v>1100</v>
      </c>
      <c r="CD84" s="19">
        <f t="shared" si="134"/>
        <v>1100</v>
      </c>
      <c r="CE84" s="20">
        <f t="shared" si="135"/>
        <v>0.7857142857142857</v>
      </c>
      <c r="CF84" s="11"/>
    </row>
    <row r="85" spans="1:84" ht="15" customHeight="1" thickTop="1">
      <c r="A85" s="12"/>
      <c r="B85" s="8"/>
      <c r="C85" s="13"/>
      <c r="D85" s="9"/>
      <c r="E85" s="9"/>
      <c r="F85" s="9"/>
      <c r="G85" s="9"/>
      <c r="H85" s="9"/>
      <c r="I85" s="9"/>
      <c r="J85" s="152"/>
      <c r="K85" s="44"/>
      <c r="L85" s="9"/>
      <c r="M85" s="10"/>
      <c r="N85" s="34"/>
      <c r="O85" s="2"/>
      <c r="P85" s="65">
        <f>IF($A79="","",$A79)</f>
        <v>46132</v>
      </c>
      <c r="Q85" s="44">
        <v>13415</v>
      </c>
      <c r="R85" s="44">
        <f t="shared" si="101"/>
        <v>49</v>
      </c>
      <c r="S85" s="44">
        <v>387</v>
      </c>
      <c r="T85" s="23">
        <f t="shared" si="102"/>
        <v>2</v>
      </c>
      <c r="U85" s="44">
        <v>11</v>
      </c>
      <c r="V85" s="44">
        <f t="shared" si="103"/>
        <v>1</v>
      </c>
      <c r="W85" s="66">
        <v>1</v>
      </c>
      <c r="X85" s="61" t="str">
        <f t="shared" si="104"/>
        <v>キティ豹柄キーケース</v>
      </c>
      <c r="Y85" s="62">
        <f t="shared" si="105"/>
        <v>996</v>
      </c>
      <c r="Z85" s="23">
        <f t="shared" si="106"/>
        <v>996</v>
      </c>
      <c r="AA85" s="24">
        <f t="shared" si="107"/>
        <v>0.20326530612244897</v>
      </c>
      <c r="AB85" s="11"/>
      <c r="AC85" s="1"/>
      <c r="AD85" s="65">
        <f>IF($A79="","",$A79)</f>
        <v>46132</v>
      </c>
      <c r="AE85" s="44">
        <v>10868</v>
      </c>
      <c r="AF85" s="44">
        <f t="shared" si="108"/>
        <v>143</v>
      </c>
      <c r="AG85" s="44">
        <v>283</v>
      </c>
      <c r="AH85" s="23">
        <f t="shared" si="109"/>
        <v>1</v>
      </c>
      <c r="AI85" s="44">
        <v>14</v>
      </c>
      <c r="AJ85" s="44">
        <f t="shared" si="110"/>
        <v>1</v>
      </c>
      <c r="AK85" s="66">
        <v>1</v>
      </c>
      <c r="AL85" s="61" t="str">
        <f t="shared" si="111"/>
        <v>ゲーム機柄イヤホン</v>
      </c>
      <c r="AM85" s="62">
        <f t="shared" si="112"/>
        <v>770</v>
      </c>
      <c r="AN85" s="23">
        <f t="shared" si="113"/>
        <v>770</v>
      </c>
      <c r="AO85" s="24">
        <f t="shared" si="114"/>
        <v>5.3846153846153849E-2</v>
      </c>
      <c r="AP85" s="11"/>
      <c r="AR85" s="65">
        <f>IF($A79="","",$A79)</f>
        <v>46132</v>
      </c>
      <c r="AS85" s="44">
        <v>1296</v>
      </c>
      <c r="AT85" s="44">
        <f t="shared" si="115"/>
        <v>24</v>
      </c>
      <c r="AU85" s="44">
        <v>1049</v>
      </c>
      <c r="AV85" s="23">
        <f t="shared" si="116"/>
        <v>1</v>
      </c>
      <c r="AW85" s="44">
        <v>24</v>
      </c>
      <c r="AX85" s="44">
        <f t="shared" si="117"/>
        <v>1</v>
      </c>
      <c r="AY85" s="66">
        <v>2</v>
      </c>
      <c r="AZ85" s="61" t="str">
        <f t="shared" si="118"/>
        <v>サンリオ千鳥格子フェイス</v>
      </c>
      <c r="BA85" s="62">
        <f t="shared" si="119"/>
        <v>700</v>
      </c>
      <c r="BB85" s="23">
        <f t="shared" si="120"/>
        <v>700</v>
      </c>
      <c r="BC85" s="24">
        <f t="shared" si="121"/>
        <v>0.29166666666666669</v>
      </c>
      <c r="BD85" s="11"/>
      <c r="BF85" s="65">
        <f>IF($A79="","",$A79)</f>
        <v>46132</v>
      </c>
      <c r="BG85" s="44">
        <v>1401</v>
      </c>
      <c r="BH85" s="44">
        <f t="shared" si="122"/>
        <v>33</v>
      </c>
      <c r="BI85" s="44">
        <v>1042</v>
      </c>
      <c r="BJ85" s="23">
        <f t="shared" si="123"/>
        <v>0</v>
      </c>
      <c r="BK85" s="44">
        <v>13</v>
      </c>
      <c r="BL85" s="44">
        <f t="shared" si="124"/>
        <v>0</v>
      </c>
      <c r="BM85" s="66">
        <v>0</v>
      </c>
      <c r="BN85" s="61" t="str">
        <f t="shared" si="125"/>
        <v>キティしっぽ付きフェイス</v>
      </c>
      <c r="BO85" s="62">
        <f t="shared" si="126"/>
        <v>825</v>
      </c>
      <c r="BP85" s="23">
        <f t="shared" si="127"/>
        <v>0</v>
      </c>
      <c r="BQ85" s="24">
        <f t="shared" si="128"/>
        <v>0</v>
      </c>
      <c r="BR85" s="11"/>
      <c r="BT85" s="65">
        <f>IF($A79="","",$A79)</f>
        <v>46132</v>
      </c>
      <c r="BU85" s="44">
        <v>1272</v>
      </c>
      <c r="BV85" s="44">
        <f t="shared" si="129"/>
        <v>16</v>
      </c>
      <c r="BW85" s="44">
        <v>1053</v>
      </c>
      <c r="BX85" s="23">
        <f t="shared" si="130"/>
        <v>3</v>
      </c>
      <c r="BY85" s="44">
        <v>4</v>
      </c>
      <c r="BZ85" s="44">
        <f t="shared" si="131"/>
        <v>3</v>
      </c>
      <c r="CA85" s="66">
        <v>5</v>
      </c>
      <c r="CB85" s="61" t="str">
        <f t="shared" si="132"/>
        <v>ギャルキティポーチ</v>
      </c>
      <c r="CC85" s="62">
        <f t="shared" si="133"/>
        <v>935</v>
      </c>
      <c r="CD85" s="23">
        <f t="shared" si="134"/>
        <v>2805</v>
      </c>
      <c r="CE85" s="24">
        <f t="shared" si="135"/>
        <v>1.753125</v>
      </c>
      <c r="CF85" s="11" t="s">
        <v>341</v>
      </c>
    </row>
    <row r="86" spans="1:84">
      <c r="A86" s="12"/>
      <c r="B86" s="8" t="str">
        <f>IF(A86="","",SUM(D86)+SUM(R113:R116)+SUM(AF113:AF116)+SUM(BH113:BH116)+SUM(BV113:BV116)+SUM(AT113:AT116))</f>
        <v/>
      </c>
      <c r="C86" s="13"/>
      <c r="D86" s="9" t="str">
        <f t="shared" si="94"/>
        <v/>
      </c>
      <c r="E86" s="9"/>
      <c r="F86" s="9" t="str">
        <f t="shared" si="95"/>
        <v/>
      </c>
      <c r="G86" s="9"/>
      <c r="H86" s="9" t="str">
        <f t="shared" si="96"/>
        <v/>
      </c>
      <c r="I86" s="9"/>
      <c r="J86" s="152" t="str">
        <f t="shared" si="97"/>
        <v/>
      </c>
      <c r="K86" s="44" t="str">
        <f t="shared" si="98"/>
        <v/>
      </c>
      <c r="L86" s="9" t="str">
        <f t="shared" si="99"/>
        <v/>
      </c>
      <c r="M86" s="10" t="str">
        <f t="shared" si="100"/>
        <v/>
      </c>
      <c r="N86" s="34"/>
      <c r="O86" s="2"/>
      <c r="P86" s="12"/>
      <c r="Q86" s="9">
        <v>12944</v>
      </c>
      <c r="R86" s="44">
        <f t="shared" si="101"/>
        <v>153</v>
      </c>
      <c r="S86" s="9">
        <v>276</v>
      </c>
      <c r="T86" s="9">
        <f t="shared" si="102"/>
        <v>1</v>
      </c>
      <c r="U86" s="9">
        <v>4</v>
      </c>
      <c r="V86" s="9">
        <f t="shared" si="103"/>
        <v>4</v>
      </c>
      <c r="W86" s="13">
        <v>0</v>
      </c>
      <c r="X86" s="47" t="str">
        <f t="shared" si="104"/>
        <v>カラビナファン</v>
      </c>
      <c r="Y86" s="45">
        <f t="shared" si="105"/>
        <v>1100</v>
      </c>
      <c r="Z86" s="9">
        <f t="shared" si="106"/>
        <v>4400</v>
      </c>
      <c r="AA86" s="10">
        <f t="shared" si="107"/>
        <v>0.28758169934640521</v>
      </c>
      <c r="AB86" s="11"/>
      <c r="AC86" s="1"/>
      <c r="AD86" s="12"/>
      <c r="AE86" s="9">
        <v>13227</v>
      </c>
      <c r="AF86" s="44">
        <f t="shared" si="108"/>
        <v>32</v>
      </c>
      <c r="AG86" s="9">
        <v>236</v>
      </c>
      <c r="AH86" s="9">
        <f t="shared" si="109"/>
        <v>1</v>
      </c>
      <c r="AI86" s="9">
        <v>8</v>
      </c>
      <c r="AJ86" s="9">
        <f t="shared" si="110"/>
        <v>2</v>
      </c>
      <c r="AK86" s="13">
        <v>4</v>
      </c>
      <c r="AL86" s="47" t="str">
        <f t="shared" si="111"/>
        <v>デジタルミニカメラ</v>
      </c>
      <c r="AM86" s="45">
        <f t="shared" si="112"/>
        <v>538</v>
      </c>
      <c r="AN86" s="9">
        <f t="shared" si="113"/>
        <v>1076</v>
      </c>
      <c r="AO86" s="10">
        <f t="shared" si="114"/>
        <v>0.33624999999999999</v>
      </c>
      <c r="AP86" s="156" t="s">
        <v>345</v>
      </c>
      <c r="AR86" s="12"/>
      <c r="AS86" s="9">
        <v>1445</v>
      </c>
      <c r="AT86" s="44">
        <f t="shared" si="115"/>
        <v>74</v>
      </c>
      <c r="AU86" s="9">
        <v>1046</v>
      </c>
      <c r="AV86" s="9">
        <f t="shared" si="116"/>
        <v>2</v>
      </c>
      <c r="AW86" s="9">
        <v>10</v>
      </c>
      <c r="AX86" s="9">
        <f t="shared" si="117"/>
        <v>4</v>
      </c>
      <c r="AY86" s="13">
        <v>4</v>
      </c>
      <c r="AZ86" s="47" t="str">
        <f t="shared" si="118"/>
        <v>サンリオボアバンスクリップ</v>
      </c>
      <c r="BA86" s="45">
        <f t="shared" si="119"/>
        <v>1100</v>
      </c>
      <c r="BB86" s="9">
        <f t="shared" si="120"/>
        <v>4400</v>
      </c>
      <c r="BC86" s="10">
        <f t="shared" si="121"/>
        <v>0.59459459459459463</v>
      </c>
      <c r="BD86" s="11" t="s">
        <v>343</v>
      </c>
      <c r="BF86" s="12"/>
      <c r="BG86" s="9">
        <v>1183</v>
      </c>
      <c r="BH86" s="44">
        <f t="shared" si="122"/>
        <v>11</v>
      </c>
      <c r="BI86" s="9">
        <v>1058</v>
      </c>
      <c r="BJ86" s="9">
        <f t="shared" si="123"/>
        <v>1</v>
      </c>
      <c r="BK86" s="9">
        <v>14</v>
      </c>
      <c r="BL86" s="9">
        <f t="shared" si="124"/>
        <v>1</v>
      </c>
      <c r="BM86" s="13">
        <v>0</v>
      </c>
      <c r="BN86" s="47" t="str">
        <f t="shared" si="125"/>
        <v>サンリオヘアオイル</v>
      </c>
      <c r="BO86" s="45">
        <f t="shared" si="126"/>
        <v>1100</v>
      </c>
      <c r="BP86" s="9">
        <f t="shared" si="127"/>
        <v>1100</v>
      </c>
      <c r="BQ86" s="10">
        <f t="shared" si="128"/>
        <v>1</v>
      </c>
      <c r="BR86" s="148" t="s">
        <v>338</v>
      </c>
      <c r="BT86" s="12"/>
      <c r="BU86" s="9">
        <v>1147</v>
      </c>
      <c r="BV86" s="44">
        <f t="shared" si="129"/>
        <v>8</v>
      </c>
      <c r="BW86" s="9">
        <v>1040</v>
      </c>
      <c r="BX86" s="9">
        <f t="shared" si="130"/>
        <v>1</v>
      </c>
      <c r="BY86" s="9">
        <v>11</v>
      </c>
      <c r="BZ86" s="9">
        <f t="shared" si="131"/>
        <v>1</v>
      </c>
      <c r="CA86" s="13">
        <v>3</v>
      </c>
      <c r="CB86" s="47" t="str">
        <f t="shared" si="132"/>
        <v>着物キティマスコット</v>
      </c>
      <c r="CC86" s="45">
        <f t="shared" si="133"/>
        <v>0</v>
      </c>
      <c r="CD86" s="9">
        <f t="shared" si="134"/>
        <v>0</v>
      </c>
      <c r="CE86" s="10">
        <f t="shared" si="135"/>
        <v>0</v>
      </c>
      <c r="CF86" s="11" t="s">
        <v>344</v>
      </c>
    </row>
    <row r="87" spans="1:84">
      <c r="A87" s="12"/>
      <c r="B87" s="8" t="str">
        <f>IF(A87="","",SUM(D87)+SUM(R117:R120)+SUM(AF117:AF120)+SUM(BH117:BH120)+SUM(BV117:BV120)+SUM(AT117:AT120))</f>
        <v/>
      </c>
      <c r="C87" s="13"/>
      <c r="D87" s="9" t="str">
        <f t="shared" si="94"/>
        <v/>
      </c>
      <c r="E87" s="9"/>
      <c r="F87" s="9" t="str">
        <f t="shared" si="95"/>
        <v/>
      </c>
      <c r="G87" s="9"/>
      <c r="H87" s="9" t="str">
        <f t="shared" si="96"/>
        <v/>
      </c>
      <c r="I87" s="9"/>
      <c r="J87" s="152" t="str">
        <f t="shared" si="97"/>
        <v/>
      </c>
      <c r="K87" s="44" t="str">
        <f t="shared" si="98"/>
        <v/>
      </c>
      <c r="L87" s="9" t="str">
        <f t="shared" si="99"/>
        <v/>
      </c>
      <c r="M87" s="10" t="str">
        <f t="shared" si="100"/>
        <v/>
      </c>
      <c r="N87" s="34"/>
      <c r="O87" s="2"/>
      <c r="P87" s="25"/>
      <c r="Q87" s="9">
        <v>14762</v>
      </c>
      <c r="R87" s="52">
        <f t="shared" si="101"/>
        <v>56</v>
      </c>
      <c r="S87" s="9">
        <v>492</v>
      </c>
      <c r="T87" s="9">
        <f t="shared" si="102"/>
        <v>1</v>
      </c>
      <c r="U87" s="9">
        <v>11</v>
      </c>
      <c r="V87" s="9">
        <f t="shared" si="103"/>
        <v>1</v>
      </c>
      <c r="W87" s="13">
        <v>1</v>
      </c>
      <c r="X87" s="47" t="str">
        <f t="shared" si="104"/>
        <v>キティボアバンスクリップ</v>
      </c>
      <c r="Y87" s="9">
        <f t="shared" si="105"/>
        <v>1100</v>
      </c>
      <c r="Z87" s="9">
        <f t="shared" si="106"/>
        <v>1100</v>
      </c>
      <c r="AA87" s="10">
        <f t="shared" si="107"/>
        <v>0.19642857142857142</v>
      </c>
      <c r="AB87" s="11"/>
      <c r="AD87" s="25"/>
      <c r="AE87" s="9">
        <v>14657</v>
      </c>
      <c r="AF87" s="52">
        <f t="shared" si="108"/>
        <v>187</v>
      </c>
      <c r="AG87" s="9">
        <v>510</v>
      </c>
      <c r="AH87" s="9">
        <f t="shared" si="109"/>
        <v>4</v>
      </c>
      <c r="AI87" s="9">
        <v>3</v>
      </c>
      <c r="AJ87" s="9">
        <f t="shared" si="110"/>
        <v>7</v>
      </c>
      <c r="AK87" s="13">
        <v>5</v>
      </c>
      <c r="AL87" s="47" t="str">
        <f t="shared" si="111"/>
        <v>たまごっちブロックシール</v>
      </c>
      <c r="AM87" s="9">
        <f t="shared" si="112"/>
        <v>600</v>
      </c>
      <c r="AN87" s="9">
        <f t="shared" si="113"/>
        <v>4200</v>
      </c>
      <c r="AO87" s="10">
        <f t="shared" si="114"/>
        <v>0.22459893048128343</v>
      </c>
      <c r="AP87" s="130"/>
      <c r="AR87" s="25"/>
      <c r="AS87" s="9">
        <v>1303</v>
      </c>
      <c r="AT87" s="52">
        <f t="shared" si="115"/>
        <v>37</v>
      </c>
      <c r="AU87" s="9">
        <v>1036</v>
      </c>
      <c r="AV87" s="9">
        <f t="shared" si="116"/>
        <v>1</v>
      </c>
      <c r="AW87" s="9">
        <v>9</v>
      </c>
      <c r="AX87" s="9">
        <f t="shared" si="117"/>
        <v>1</v>
      </c>
      <c r="AY87" s="13">
        <v>2</v>
      </c>
      <c r="AZ87" s="47" t="str">
        <f t="shared" si="118"/>
        <v>サンリオヒョウ柄バニティ</v>
      </c>
      <c r="BA87" s="9">
        <f t="shared" si="119"/>
        <v>1056</v>
      </c>
      <c r="BB87" s="9">
        <f t="shared" si="120"/>
        <v>1056</v>
      </c>
      <c r="BC87" s="10">
        <f t="shared" si="121"/>
        <v>0.28540540540540543</v>
      </c>
      <c r="BD87" s="11"/>
      <c r="BF87" s="25"/>
      <c r="BG87" s="9">
        <v>1393</v>
      </c>
      <c r="BH87" s="52">
        <f t="shared" si="122"/>
        <v>53</v>
      </c>
      <c r="BI87" s="9">
        <v>1039</v>
      </c>
      <c r="BJ87" s="9">
        <f t="shared" si="123"/>
        <v>2</v>
      </c>
      <c r="BK87" s="9">
        <v>8</v>
      </c>
      <c r="BL87" s="9">
        <f t="shared" si="124"/>
        <v>2</v>
      </c>
      <c r="BM87" s="13">
        <v>2</v>
      </c>
      <c r="BN87" s="47" t="str">
        <f t="shared" si="125"/>
        <v>サンリオヒョウ柄ポーチ</v>
      </c>
      <c r="BO87" s="9">
        <f t="shared" si="126"/>
        <v>935</v>
      </c>
      <c r="BP87" s="9">
        <f t="shared" si="127"/>
        <v>1870</v>
      </c>
      <c r="BQ87" s="10">
        <f t="shared" si="128"/>
        <v>0.35283018867924526</v>
      </c>
      <c r="BR87" s="11"/>
      <c r="BT87" s="25"/>
      <c r="BU87" s="9">
        <v>1267</v>
      </c>
      <c r="BV87" s="52">
        <f t="shared" si="129"/>
        <v>38</v>
      </c>
      <c r="BW87" s="9">
        <v>1062</v>
      </c>
      <c r="BX87" s="9">
        <f t="shared" si="130"/>
        <v>5</v>
      </c>
      <c r="BY87" s="9">
        <v>115</v>
      </c>
      <c r="BZ87" s="9">
        <f t="shared" si="131"/>
        <v>5</v>
      </c>
      <c r="CA87" s="13">
        <v>0</v>
      </c>
      <c r="CB87" s="47" t="str">
        <f t="shared" si="132"/>
        <v>サンリオシューズ</v>
      </c>
      <c r="CC87" s="9">
        <f t="shared" si="133"/>
        <v>400</v>
      </c>
      <c r="CD87" s="9">
        <f t="shared" si="134"/>
        <v>2000</v>
      </c>
      <c r="CE87" s="10">
        <f t="shared" si="135"/>
        <v>0.52631578947368418</v>
      </c>
      <c r="CF87" s="11" t="s">
        <v>342</v>
      </c>
    </row>
    <row r="88" spans="1:84" ht="15" customHeight="1" thickBot="1">
      <c r="A88" s="12"/>
      <c r="B88" s="8" t="str">
        <f>IF(A88="","",SUM(D88)+SUM(R121:R124)+SUM(AF121:AF124)+SUM(BH121:BH124)+SUM(BV121:BV124)+SUM(AT121:AT124))</f>
        <v/>
      </c>
      <c r="C88" s="13"/>
      <c r="D88" s="9" t="str">
        <f t="shared" si="94"/>
        <v/>
      </c>
      <c r="E88" s="9"/>
      <c r="F88" s="9" t="str">
        <f t="shared" si="95"/>
        <v/>
      </c>
      <c r="G88" s="9"/>
      <c r="H88" s="9" t="str">
        <f t="shared" si="96"/>
        <v/>
      </c>
      <c r="I88" s="9"/>
      <c r="J88" s="152" t="str">
        <f t="shared" si="97"/>
        <v/>
      </c>
      <c r="K88" s="44" t="str">
        <f t="shared" si="98"/>
        <v/>
      </c>
      <c r="L88" s="9" t="str">
        <f t="shared" si="99"/>
        <v/>
      </c>
      <c r="M88" s="10" t="str">
        <f t="shared" si="100"/>
        <v/>
      </c>
      <c r="N88" s="11"/>
      <c r="O88" s="2"/>
      <c r="P88" s="18"/>
      <c r="Q88" s="21">
        <v>17631</v>
      </c>
      <c r="R88" s="50">
        <f t="shared" si="101"/>
        <v>255</v>
      </c>
      <c r="S88" s="51">
        <v>437</v>
      </c>
      <c r="T88" s="19">
        <f t="shared" si="102"/>
        <v>6</v>
      </c>
      <c r="U88" s="19">
        <v>10</v>
      </c>
      <c r="V88" s="19">
        <f t="shared" si="103"/>
        <v>6</v>
      </c>
      <c r="W88" s="37">
        <v>6</v>
      </c>
      <c r="X88" s="48" t="str">
        <f t="shared" si="104"/>
        <v>バタースクイーズ</v>
      </c>
      <c r="Y88" s="51">
        <f t="shared" si="105"/>
        <v>440</v>
      </c>
      <c r="Z88" s="19">
        <f t="shared" si="106"/>
        <v>2640</v>
      </c>
      <c r="AA88" s="20">
        <f t="shared" si="107"/>
        <v>0.10352941176470588</v>
      </c>
      <c r="AB88" s="11"/>
      <c r="AD88" s="18"/>
      <c r="AE88" s="21">
        <v>18840</v>
      </c>
      <c r="AF88" s="50">
        <f t="shared" si="108"/>
        <v>95</v>
      </c>
      <c r="AG88" s="51">
        <v>697</v>
      </c>
      <c r="AH88" s="19">
        <f t="shared" si="109"/>
        <v>5</v>
      </c>
      <c r="AI88" s="19">
        <v>31</v>
      </c>
      <c r="AJ88" s="19">
        <f t="shared" si="110"/>
        <v>4</v>
      </c>
      <c r="AK88" s="37">
        <v>3</v>
      </c>
      <c r="AL88" s="48" t="str">
        <f t="shared" si="111"/>
        <v>ボンドロシール</v>
      </c>
      <c r="AM88" s="51">
        <f t="shared" si="112"/>
        <v>150</v>
      </c>
      <c r="AN88" s="19">
        <f t="shared" si="113"/>
        <v>600</v>
      </c>
      <c r="AO88" s="20">
        <f t="shared" si="114"/>
        <v>6.3157894736842107E-2</v>
      </c>
      <c r="AP88" s="11"/>
      <c r="AR88" s="18"/>
      <c r="AS88" s="21">
        <v>1234</v>
      </c>
      <c r="AT88" s="50">
        <f t="shared" si="115"/>
        <v>43</v>
      </c>
      <c r="AU88" s="51">
        <v>1042</v>
      </c>
      <c r="AV88" s="19">
        <f t="shared" si="116"/>
        <v>2</v>
      </c>
      <c r="AW88" s="19">
        <v>2</v>
      </c>
      <c r="AX88" s="19">
        <f t="shared" si="117"/>
        <v>2</v>
      </c>
      <c r="AY88" s="37">
        <v>2</v>
      </c>
      <c r="AZ88" s="48" t="str">
        <f t="shared" si="118"/>
        <v>サンリオファン</v>
      </c>
      <c r="BA88" s="51">
        <f t="shared" si="119"/>
        <v>1100</v>
      </c>
      <c r="BB88" s="19">
        <f t="shared" si="120"/>
        <v>2200</v>
      </c>
      <c r="BC88" s="20">
        <f t="shared" si="121"/>
        <v>0.51162790697674421</v>
      </c>
      <c r="BD88" s="94" t="s">
        <v>339</v>
      </c>
      <c r="BF88" s="18"/>
      <c r="BG88" s="21">
        <v>1561</v>
      </c>
      <c r="BH88" s="50">
        <f t="shared" si="122"/>
        <v>58</v>
      </c>
      <c r="BI88" s="51">
        <v>1110</v>
      </c>
      <c r="BJ88" s="19">
        <f t="shared" si="123"/>
        <v>12</v>
      </c>
      <c r="BK88" s="19">
        <v>110</v>
      </c>
      <c r="BL88" s="19">
        <f t="shared" si="124"/>
        <v>12</v>
      </c>
      <c r="BM88" s="37">
        <v>10</v>
      </c>
      <c r="BN88" s="48" t="str">
        <f t="shared" si="125"/>
        <v>キティボールペン</v>
      </c>
      <c r="BO88" s="51">
        <f t="shared" si="126"/>
        <v>283</v>
      </c>
      <c r="BP88" s="19">
        <f t="shared" si="127"/>
        <v>3396</v>
      </c>
      <c r="BQ88" s="20">
        <f t="shared" si="128"/>
        <v>0.58551724137931038</v>
      </c>
      <c r="BR88" s="11" t="s">
        <v>340</v>
      </c>
      <c r="BT88" s="18"/>
      <c r="BU88" s="21">
        <v>1389</v>
      </c>
      <c r="BV88" s="50">
        <f t="shared" si="129"/>
        <v>62</v>
      </c>
      <c r="BW88" s="51">
        <v>1036</v>
      </c>
      <c r="BX88" s="19">
        <f t="shared" si="130"/>
        <v>1</v>
      </c>
      <c r="BY88" s="19">
        <v>10</v>
      </c>
      <c r="BZ88" s="19">
        <f t="shared" si="131"/>
        <v>1</v>
      </c>
      <c r="CA88" s="37">
        <v>1</v>
      </c>
      <c r="CB88" s="48" t="str">
        <f t="shared" si="132"/>
        <v>サンリオボアミラー</v>
      </c>
      <c r="CC88" s="51">
        <f t="shared" si="133"/>
        <v>1100</v>
      </c>
      <c r="CD88" s="19">
        <f t="shared" si="134"/>
        <v>1100</v>
      </c>
      <c r="CE88" s="20">
        <f t="shared" si="135"/>
        <v>0.17741935483870969</v>
      </c>
      <c r="CF88" s="11"/>
    </row>
    <row r="89" spans="1:84" ht="15" customHeight="1" thickTop="1">
      <c r="A89" s="12"/>
      <c r="B89" s="8" t="str">
        <f>IF(A89="","",SUM(D89)+SUM(R95:R98)+SUM(AF95:AF98)+SUM(BH95:BH98)+SUM(BV95:BV98)+SUM(AT95:AT98))</f>
        <v/>
      </c>
      <c r="C89" s="13"/>
      <c r="D89" s="9" t="str">
        <f t="shared" si="94"/>
        <v/>
      </c>
      <c r="E89" s="9"/>
      <c r="F89" s="9" t="str">
        <f t="shared" si="95"/>
        <v/>
      </c>
      <c r="G89" s="9"/>
      <c r="H89" s="9" t="str">
        <f t="shared" si="96"/>
        <v/>
      </c>
      <c r="I89" s="9"/>
      <c r="J89" s="152" t="str">
        <f t="shared" si="97"/>
        <v/>
      </c>
      <c r="K89" s="44" t="str">
        <f t="shared" si="98"/>
        <v/>
      </c>
      <c r="L89" s="9" t="str">
        <f t="shared" si="99"/>
        <v/>
      </c>
      <c r="M89" s="10" t="str">
        <f t="shared" si="100"/>
        <v/>
      </c>
      <c r="N89" s="11"/>
      <c r="O89" s="2"/>
      <c r="P89" s="65">
        <f>IF($A80="","",$A80)</f>
        <v>46136</v>
      </c>
      <c r="Q89" s="44">
        <v>13437</v>
      </c>
      <c r="R89" s="113">
        <f t="shared" si="101"/>
        <v>22</v>
      </c>
      <c r="S89" s="44">
        <v>387</v>
      </c>
      <c r="T89" s="23">
        <f t="shared" si="102"/>
        <v>0</v>
      </c>
      <c r="U89" s="44">
        <v>12</v>
      </c>
      <c r="V89" s="44">
        <f t="shared" si="103"/>
        <v>0</v>
      </c>
      <c r="W89" s="66">
        <v>2</v>
      </c>
      <c r="X89" s="61" t="str">
        <f t="shared" si="104"/>
        <v>キティ豹柄キーケース</v>
      </c>
      <c r="Y89" s="62">
        <f t="shared" si="105"/>
        <v>996</v>
      </c>
      <c r="Z89" s="23">
        <f t="shared" si="106"/>
        <v>0</v>
      </c>
      <c r="AA89" s="24">
        <f t="shared" si="107"/>
        <v>0</v>
      </c>
      <c r="AB89" s="11"/>
      <c r="AC89" s="1"/>
      <c r="AD89" s="65">
        <f>IF($A80="","",$A80)</f>
        <v>46136</v>
      </c>
      <c r="AE89" s="44">
        <v>10978</v>
      </c>
      <c r="AF89" s="44">
        <f t="shared" si="108"/>
        <v>110</v>
      </c>
      <c r="AG89" s="44">
        <v>285</v>
      </c>
      <c r="AH89" s="23">
        <f t="shared" si="109"/>
        <v>2</v>
      </c>
      <c r="AI89" s="44">
        <v>13</v>
      </c>
      <c r="AJ89" s="44">
        <f t="shared" si="110"/>
        <v>2</v>
      </c>
      <c r="AK89" s="66">
        <v>2</v>
      </c>
      <c r="AL89" s="61" t="str">
        <f t="shared" si="111"/>
        <v>ゲーム機柄イヤホン</v>
      </c>
      <c r="AM89" s="62">
        <f t="shared" si="112"/>
        <v>770</v>
      </c>
      <c r="AN89" s="23">
        <f t="shared" si="113"/>
        <v>1540</v>
      </c>
      <c r="AO89" s="24">
        <f t="shared" si="114"/>
        <v>0.14000000000000001</v>
      </c>
      <c r="AP89" s="11"/>
      <c r="AR89" s="65">
        <f>IF($A80="","",$A80)</f>
        <v>46136</v>
      </c>
      <c r="AS89" s="44">
        <v>1318</v>
      </c>
      <c r="AT89" s="44">
        <f t="shared" si="115"/>
        <v>22</v>
      </c>
      <c r="AU89" s="44">
        <v>1050</v>
      </c>
      <c r="AV89" s="23">
        <f t="shared" si="116"/>
        <v>1</v>
      </c>
      <c r="AW89" s="44">
        <v>25</v>
      </c>
      <c r="AX89" s="44">
        <f t="shared" si="117"/>
        <v>1</v>
      </c>
      <c r="AY89" s="66">
        <v>0</v>
      </c>
      <c r="AZ89" s="61" t="str">
        <f t="shared" si="118"/>
        <v>サンリオ千鳥格子フェイス</v>
      </c>
      <c r="BA89" s="62">
        <f t="shared" si="119"/>
        <v>700</v>
      </c>
      <c r="BB89" s="23">
        <f t="shared" si="120"/>
        <v>700</v>
      </c>
      <c r="BC89" s="24">
        <f t="shared" si="121"/>
        <v>0.31818181818181818</v>
      </c>
      <c r="BD89" s="11"/>
      <c r="BF89" s="65">
        <f>IF($A80="","",$A80)</f>
        <v>46136</v>
      </c>
      <c r="BG89" s="44">
        <v>1418</v>
      </c>
      <c r="BH89" s="44">
        <f t="shared" si="122"/>
        <v>17</v>
      </c>
      <c r="BI89" s="44">
        <v>1043</v>
      </c>
      <c r="BJ89" s="23">
        <f t="shared" si="123"/>
        <v>1</v>
      </c>
      <c r="BK89" s="44">
        <v>12</v>
      </c>
      <c r="BL89" s="44">
        <f t="shared" si="124"/>
        <v>1</v>
      </c>
      <c r="BM89" s="66">
        <v>0</v>
      </c>
      <c r="BN89" s="61" t="str">
        <f t="shared" si="125"/>
        <v>キティしっぽ付きフェイス</v>
      </c>
      <c r="BO89" s="62">
        <f t="shared" si="126"/>
        <v>825</v>
      </c>
      <c r="BP89" s="23">
        <f t="shared" si="127"/>
        <v>825</v>
      </c>
      <c r="BQ89" s="24">
        <f t="shared" si="128"/>
        <v>0.48529411764705882</v>
      </c>
      <c r="BR89" s="11"/>
      <c r="BT89" s="65">
        <f>IF($A80="","",$A80)</f>
        <v>46136</v>
      </c>
      <c r="BU89" s="44">
        <v>1276</v>
      </c>
      <c r="BV89" s="113">
        <f t="shared" si="129"/>
        <v>4</v>
      </c>
      <c r="BW89" s="44">
        <v>1053</v>
      </c>
      <c r="BX89" s="23">
        <f t="shared" si="130"/>
        <v>0</v>
      </c>
      <c r="BY89" s="44">
        <v>9</v>
      </c>
      <c r="BZ89" s="44">
        <f t="shared" si="131"/>
        <v>0</v>
      </c>
      <c r="CA89" s="66">
        <v>0</v>
      </c>
      <c r="CB89" s="61" t="str">
        <f t="shared" si="132"/>
        <v>ギャルキティポーチ</v>
      </c>
      <c r="CC89" s="62">
        <f t="shared" si="133"/>
        <v>935</v>
      </c>
      <c r="CD89" s="23">
        <f t="shared" si="134"/>
        <v>0</v>
      </c>
      <c r="CE89" s="24">
        <f t="shared" si="135"/>
        <v>0</v>
      </c>
      <c r="CF89" s="161"/>
    </row>
    <row r="90" spans="1:84">
      <c r="A90" s="12"/>
      <c r="B90" s="8" t="str">
        <f>IF(A90="","",SUM(D90)+SUM(R96:R99)+SUM(AF96:AF99)+SUM(BH96:BH99)+SUM(BV96:BV99)+SUM(AT96:AT99))</f>
        <v/>
      </c>
      <c r="C90" s="13"/>
      <c r="D90" s="9" t="str">
        <f t="shared" si="94"/>
        <v/>
      </c>
      <c r="E90" s="9"/>
      <c r="F90" s="9" t="str">
        <f t="shared" si="95"/>
        <v/>
      </c>
      <c r="G90" s="9"/>
      <c r="H90" s="9" t="str">
        <f t="shared" si="96"/>
        <v/>
      </c>
      <c r="I90" s="9"/>
      <c r="J90" s="152" t="str">
        <f t="shared" si="97"/>
        <v/>
      </c>
      <c r="K90" s="44" t="str">
        <f t="shared" si="98"/>
        <v/>
      </c>
      <c r="L90" s="9" t="str">
        <f t="shared" si="99"/>
        <v/>
      </c>
      <c r="M90" s="10" t="str">
        <f t="shared" si="100"/>
        <v/>
      </c>
      <c r="N90" s="11"/>
      <c r="O90" s="2"/>
      <c r="P90" s="12"/>
      <c r="Q90" s="9">
        <v>12977</v>
      </c>
      <c r="R90" s="113">
        <f t="shared" si="101"/>
        <v>33</v>
      </c>
      <c r="S90" s="9">
        <v>277</v>
      </c>
      <c r="T90" s="9">
        <f t="shared" si="102"/>
        <v>1</v>
      </c>
      <c r="U90" s="9">
        <v>5</v>
      </c>
      <c r="V90" s="9">
        <f t="shared" si="103"/>
        <v>-1</v>
      </c>
      <c r="W90" s="13">
        <v>4</v>
      </c>
      <c r="X90" s="47" t="str">
        <f t="shared" si="104"/>
        <v>カラビナファン</v>
      </c>
      <c r="Y90" s="45">
        <f t="shared" si="105"/>
        <v>1100</v>
      </c>
      <c r="Z90" s="9">
        <f t="shared" si="106"/>
        <v>-1100</v>
      </c>
      <c r="AA90" s="10">
        <f t="shared" si="107"/>
        <v>-0.33333333333333331</v>
      </c>
      <c r="AB90" s="11"/>
      <c r="AC90" s="1"/>
      <c r="AD90" s="12"/>
      <c r="AE90" s="9">
        <v>13321</v>
      </c>
      <c r="AF90" s="44">
        <f t="shared" si="108"/>
        <v>94</v>
      </c>
      <c r="AG90" s="9">
        <v>238</v>
      </c>
      <c r="AH90" s="9">
        <f t="shared" si="109"/>
        <v>2</v>
      </c>
      <c r="AI90" s="9">
        <v>10</v>
      </c>
      <c r="AJ90" s="9">
        <f t="shared" si="110"/>
        <v>2</v>
      </c>
      <c r="AK90" s="13">
        <v>0</v>
      </c>
      <c r="AL90" s="47" t="str">
        <f t="shared" si="111"/>
        <v>デジタルミニカメラ</v>
      </c>
      <c r="AM90" s="45">
        <f t="shared" si="112"/>
        <v>538</v>
      </c>
      <c r="AN90" s="9">
        <f t="shared" si="113"/>
        <v>1076</v>
      </c>
      <c r="AO90" s="10">
        <f t="shared" si="114"/>
        <v>0.11446808510638298</v>
      </c>
      <c r="AP90" s="11" t="s">
        <v>347</v>
      </c>
      <c r="AR90" s="12"/>
      <c r="AS90" s="9">
        <v>1470</v>
      </c>
      <c r="AT90" s="44">
        <f t="shared" si="115"/>
        <v>25</v>
      </c>
      <c r="AU90" s="9">
        <v>1046</v>
      </c>
      <c r="AV90" s="9">
        <f t="shared" si="116"/>
        <v>0</v>
      </c>
      <c r="AW90" s="9">
        <v>14</v>
      </c>
      <c r="AX90" s="9">
        <f t="shared" si="117"/>
        <v>0</v>
      </c>
      <c r="AY90" s="13">
        <v>0</v>
      </c>
      <c r="AZ90" s="47" t="str">
        <f t="shared" si="118"/>
        <v>サンリオボアバンスクリップ</v>
      </c>
      <c r="BA90" s="45">
        <f t="shared" si="119"/>
        <v>1100</v>
      </c>
      <c r="BB90" s="9">
        <f t="shared" si="120"/>
        <v>0</v>
      </c>
      <c r="BC90" s="10">
        <f t="shared" si="121"/>
        <v>0</v>
      </c>
      <c r="BD90" s="11"/>
      <c r="BF90" s="12"/>
      <c r="BG90" s="9">
        <v>1189</v>
      </c>
      <c r="BH90" s="113">
        <f t="shared" si="122"/>
        <v>6</v>
      </c>
      <c r="BI90" s="9">
        <v>1059</v>
      </c>
      <c r="BJ90" s="9">
        <f t="shared" si="123"/>
        <v>1</v>
      </c>
      <c r="BK90" s="9">
        <v>12</v>
      </c>
      <c r="BL90" s="9">
        <f t="shared" si="124"/>
        <v>2</v>
      </c>
      <c r="BM90" s="13">
        <v>-4</v>
      </c>
      <c r="BN90" s="47" t="str">
        <f t="shared" si="125"/>
        <v>サンリオヘアオイル</v>
      </c>
      <c r="BO90" s="45">
        <f t="shared" si="126"/>
        <v>1100</v>
      </c>
      <c r="BP90" s="9">
        <f t="shared" si="127"/>
        <v>2200</v>
      </c>
      <c r="BQ90" s="10">
        <f t="shared" si="128"/>
        <v>3.6666666666666665</v>
      </c>
      <c r="BR90" s="11" t="s">
        <v>351</v>
      </c>
      <c r="BT90" s="12"/>
      <c r="BU90" s="9">
        <v>1164</v>
      </c>
      <c r="BV90" s="44">
        <f t="shared" si="129"/>
        <v>17</v>
      </c>
      <c r="BW90" s="9">
        <v>1040</v>
      </c>
      <c r="BX90" s="9">
        <f t="shared" si="130"/>
        <v>0</v>
      </c>
      <c r="BY90" s="9">
        <v>14</v>
      </c>
      <c r="BZ90" s="9">
        <f t="shared" si="131"/>
        <v>0</v>
      </c>
      <c r="CA90" s="13">
        <v>0</v>
      </c>
      <c r="CB90" s="47" t="s">
        <v>350</v>
      </c>
      <c r="CC90" s="45">
        <f t="shared" si="133"/>
        <v>0</v>
      </c>
      <c r="CD90" s="9">
        <f t="shared" si="134"/>
        <v>0</v>
      </c>
      <c r="CE90" s="10">
        <f t="shared" si="135"/>
        <v>0</v>
      </c>
      <c r="CF90" s="11"/>
    </row>
    <row r="91" spans="1:84">
      <c r="A91" s="12"/>
      <c r="B91" s="8"/>
      <c r="C91" s="13"/>
      <c r="D91" s="9"/>
      <c r="E91" s="9"/>
      <c r="F91" s="9"/>
      <c r="G91" s="9"/>
      <c r="H91" s="9"/>
      <c r="I91" s="9"/>
      <c r="J91" s="152" t="str">
        <f t="shared" si="97"/>
        <v/>
      </c>
      <c r="K91" s="44"/>
      <c r="L91" s="9"/>
      <c r="M91" s="10"/>
      <c r="N91" s="11"/>
      <c r="O91" s="2"/>
      <c r="P91" s="25"/>
      <c r="Q91" s="26">
        <v>14795</v>
      </c>
      <c r="R91" s="113">
        <f t="shared" si="101"/>
        <v>33</v>
      </c>
      <c r="S91" s="26">
        <v>493</v>
      </c>
      <c r="T91" s="9">
        <f t="shared" si="102"/>
        <v>1</v>
      </c>
      <c r="U91" s="26">
        <v>11</v>
      </c>
      <c r="V91" s="9">
        <f t="shared" si="103"/>
        <v>1</v>
      </c>
      <c r="W91" s="38">
        <v>2</v>
      </c>
      <c r="X91" s="47" t="str">
        <f t="shared" si="104"/>
        <v>キティボアバンスクリップ</v>
      </c>
      <c r="Y91" s="9">
        <f t="shared" si="105"/>
        <v>1100</v>
      </c>
      <c r="Z91" s="9">
        <f t="shared" si="106"/>
        <v>1100</v>
      </c>
      <c r="AA91" s="10">
        <f t="shared" si="107"/>
        <v>0.33333333333333331</v>
      </c>
      <c r="AB91" s="11" t="s">
        <v>346</v>
      </c>
      <c r="AD91" s="25"/>
      <c r="AE91" s="26">
        <v>14807</v>
      </c>
      <c r="AF91" s="44">
        <f t="shared" si="108"/>
        <v>150</v>
      </c>
      <c r="AG91" s="26">
        <v>511</v>
      </c>
      <c r="AH91" s="9">
        <f t="shared" si="109"/>
        <v>1</v>
      </c>
      <c r="AI91" s="26">
        <v>3</v>
      </c>
      <c r="AJ91" s="83">
        <f t="shared" si="110"/>
        <v>5</v>
      </c>
      <c r="AK91" s="38">
        <v>7</v>
      </c>
      <c r="AL91" s="47" t="str">
        <f t="shared" si="111"/>
        <v>たまごっちブロックシール</v>
      </c>
      <c r="AM91" s="9">
        <f t="shared" si="112"/>
        <v>600</v>
      </c>
      <c r="AN91" s="9">
        <f t="shared" si="113"/>
        <v>3000</v>
      </c>
      <c r="AO91" s="10">
        <f t="shared" si="114"/>
        <v>0.2</v>
      </c>
      <c r="AP91" s="11"/>
      <c r="AR91" s="25"/>
      <c r="AS91" s="26">
        <v>1353</v>
      </c>
      <c r="AT91" s="44">
        <f t="shared" si="115"/>
        <v>50</v>
      </c>
      <c r="AU91" s="26">
        <v>1037</v>
      </c>
      <c r="AV91" s="9">
        <f t="shared" si="116"/>
        <v>1</v>
      </c>
      <c r="AW91" s="26">
        <v>10</v>
      </c>
      <c r="AX91" s="9">
        <f t="shared" si="117"/>
        <v>1</v>
      </c>
      <c r="AY91" s="38">
        <v>0</v>
      </c>
      <c r="AZ91" s="47" t="str">
        <f t="shared" si="118"/>
        <v>サンリオヒョウ柄バニティ</v>
      </c>
      <c r="BA91" s="9">
        <f t="shared" si="119"/>
        <v>1056</v>
      </c>
      <c r="BB91" s="9">
        <f t="shared" si="120"/>
        <v>1056</v>
      </c>
      <c r="BC91" s="10">
        <f t="shared" si="121"/>
        <v>0.2112</v>
      </c>
      <c r="BD91" s="11"/>
      <c r="BF91" s="25"/>
      <c r="BG91" s="26">
        <v>1409</v>
      </c>
      <c r="BH91" s="44">
        <f t="shared" si="122"/>
        <v>16</v>
      </c>
      <c r="BI91" s="26">
        <v>1039</v>
      </c>
      <c r="BJ91" s="9">
        <f t="shared" si="123"/>
        <v>0</v>
      </c>
      <c r="BK91" s="26">
        <v>10</v>
      </c>
      <c r="BL91" s="9">
        <f t="shared" si="124"/>
        <v>0</v>
      </c>
      <c r="BM91" s="38">
        <v>0</v>
      </c>
      <c r="BN91" s="47" t="str">
        <f t="shared" si="125"/>
        <v>サンリオヒョウ柄ポーチ</v>
      </c>
      <c r="BO91" s="9">
        <f t="shared" si="126"/>
        <v>935</v>
      </c>
      <c r="BP91" s="9">
        <f t="shared" si="127"/>
        <v>0</v>
      </c>
      <c r="BQ91" s="10">
        <f t="shared" si="128"/>
        <v>0</v>
      </c>
      <c r="BR91" s="11"/>
      <c r="BT91" s="25"/>
      <c r="BU91" s="26">
        <v>1281</v>
      </c>
      <c r="BV91" s="44">
        <f t="shared" si="129"/>
        <v>14</v>
      </c>
      <c r="BW91" s="26">
        <v>1065</v>
      </c>
      <c r="BX91" s="9">
        <f t="shared" si="130"/>
        <v>3</v>
      </c>
      <c r="BY91" s="26">
        <v>112</v>
      </c>
      <c r="BZ91" s="9">
        <f t="shared" si="131"/>
        <v>3</v>
      </c>
      <c r="CA91" s="38">
        <v>8</v>
      </c>
      <c r="CB91" s="47" t="str">
        <f t="shared" si="132"/>
        <v>サンリオシューズ</v>
      </c>
      <c r="CC91" s="9">
        <f t="shared" si="133"/>
        <v>400</v>
      </c>
      <c r="CD91" s="9">
        <f t="shared" si="134"/>
        <v>1200</v>
      </c>
      <c r="CE91" s="10">
        <f t="shared" si="135"/>
        <v>0.8571428571428571</v>
      </c>
      <c r="CF91" s="11" t="s">
        <v>348</v>
      </c>
    </row>
    <row r="92" spans="1:84" ht="15" customHeight="1" thickBot="1">
      <c r="A92" s="12"/>
      <c r="B92" s="8"/>
      <c r="C92" s="13"/>
      <c r="D92" s="9" t="str">
        <f>IF(C92="","",C92-C93)</f>
        <v/>
      </c>
      <c r="E92" s="9"/>
      <c r="F92" s="9" t="str">
        <f>IF(E92="","",E92-E93)</f>
        <v/>
      </c>
      <c r="G92" s="9"/>
      <c r="H92" s="9" t="str">
        <f>IF(G92="","",G93+I93-G92)</f>
        <v/>
      </c>
      <c r="I92" s="9"/>
      <c r="J92" s="152" t="str">
        <f t="shared" si="97"/>
        <v/>
      </c>
      <c r="K92" s="44" t="str">
        <f>IF(C92="","",K93)</f>
        <v/>
      </c>
      <c r="L92" s="9" t="str">
        <f t="shared" ref="L92:L130" si="136">IF(K92="","",H92*K92)</f>
        <v/>
      </c>
      <c r="M92" s="10" t="str">
        <f t="shared" ref="M92:M130" si="137">IF(L92="","",L92/(D92*100))</f>
        <v/>
      </c>
      <c r="N92" s="11"/>
      <c r="O92" s="2"/>
      <c r="P92" s="18"/>
      <c r="Q92" s="19">
        <v>17780</v>
      </c>
      <c r="R92" s="50">
        <f t="shared" si="101"/>
        <v>149</v>
      </c>
      <c r="S92" s="19">
        <v>440</v>
      </c>
      <c r="T92" s="19">
        <f t="shared" si="102"/>
        <v>3</v>
      </c>
      <c r="U92" s="19">
        <v>14</v>
      </c>
      <c r="V92" s="19">
        <f t="shared" si="103"/>
        <v>2</v>
      </c>
      <c r="W92" s="37">
        <v>2</v>
      </c>
      <c r="X92" s="48" t="str">
        <f t="shared" si="104"/>
        <v>バタースクイーズ</v>
      </c>
      <c r="Y92" s="51">
        <f t="shared" si="105"/>
        <v>440</v>
      </c>
      <c r="Z92" s="19">
        <f t="shared" si="106"/>
        <v>880</v>
      </c>
      <c r="AA92" s="20">
        <f t="shared" si="107"/>
        <v>5.9060402684563758E-2</v>
      </c>
      <c r="AB92" s="11"/>
      <c r="AD92" s="18"/>
      <c r="AE92" s="19">
        <v>18888</v>
      </c>
      <c r="AF92" s="50">
        <f t="shared" si="108"/>
        <v>48</v>
      </c>
      <c r="AG92" s="19">
        <v>697</v>
      </c>
      <c r="AH92" s="19">
        <f t="shared" si="109"/>
        <v>0</v>
      </c>
      <c r="AI92" s="19">
        <v>34</v>
      </c>
      <c r="AJ92" s="19">
        <f t="shared" si="110"/>
        <v>0</v>
      </c>
      <c r="AK92" s="37">
        <v>0</v>
      </c>
      <c r="AL92" s="48" t="str">
        <f t="shared" si="111"/>
        <v>ボンドロシール</v>
      </c>
      <c r="AM92" s="51">
        <f t="shared" si="112"/>
        <v>150</v>
      </c>
      <c r="AN92" s="19">
        <f t="shared" si="113"/>
        <v>0</v>
      </c>
      <c r="AO92" s="20">
        <f t="shared" si="114"/>
        <v>0</v>
      </c>
      <c r="AP92" s="11"/>
      <c r="AR92" s="18"/>
      <c r="AS92" s="19">
        <v>1239</v>
      </c>
      <c r="AT92" s="134">
        <f t="shared" si="115"/>
        <v>5</v>
      </c>
      <c r="AU92" s="19">
        <v>1042</v>
      </c>
      <c r="AV92" s="19">
        <f t="shared" si="116"/>
        <v>0</v>
      </c>
      <c r="AW92" s="19">
        <v>2</v>
      </c>
      <c r="AX92" s="159">
        <f t="shared" si="117"/>
        <v>2</v>
      </c>
      <c r="AY92" s="37">
        <v>3</v>
      </c>
      <c r="AZ92" s="48" t="str">
        <f t="shared" si="118"/>
        <v>サンリオファン</v>
      </c>
      <c r="BA92" s="51">
        <f t="shared" si="119"/>
        <v>1100</v>
      </c>
      <c r="BB92" s="19">
        <f t="shared" si="120"/>
        <v>2200</v>
      </c>
      <c r="BC92" s="20">
        <f t="shared" si="121"/>
        <v>4.4000000000000004</v>
      </c>
      <c r="BD92" s="11" t="s">
        <v>349</v>
      </c>
      <c r="BF92" s="18"/>
      <c r="BG92" s="19">
        <v>1597</v>
      </c>
      <c r="BH92" s="50">
        <f t="shared" si="122"/>
        <v>36</v>
      </c>
      <c r="BI92" s="19">
        <v>1113</v>
      </c>
      <c r="BJ92" s="19">
        <f t="shared" si="123"/>
        <v>3</v>
      </c>
      <c r="BK92" s="19">
        <v>117</v>
      </c>
      <c r="BL92" s="19">
        <f t="shared" si="124"/>
        <v>3</v>
      </c>
      <c r="BM92" s="37">
        <v>10</v>
      </c>
      <c r="BN92" s="48" t="str">
        <f t="shared" si="125"/>
        <v>キティボールペン</v>
      </c>
      <c r="BO92" s="51">
        <f t="shared" si="126"/>
        <v>283</v>
      </c>
      <c r="BP92" s="19">
        <f t="shared" si="127"/>
        <v>849</v>
      </c>
      <c r="BQ92" s="20">
        <f t="shared" si="128"/>
        <v>0.23583333333333334</v>
      </c>
      <c r="BR92" s="11"/>
      <c r="BT92" s="18"/>
      <c r="BU92" s="19">
        <v>1398</v>
      </c>
      <c r="BV92" s="134">
        <f t="shared" si="129"/>
        <v>9</v>
      </c>
      <c r="BW92" s="19">
        <v>1036</v>
      </c>
      <c r="BX92" s="19">
        <f t="shared" si="130"/>
        <v>0</v>
      </c>
      <c r="BY92" s="19">
        <v>11</v>
      </c>
      <c r="BZ92" s="19">
        <f t="shared" si="131"/>
        <v>0</v>
      </c>
      <c r="CA92" s="37">
        <v>0</v>
      </c>
      <c r="CB92" s="48" t="str">
        <f t="shared" si="132"/>
        <v>サンリオボアミラー</v>
      </c>
      <c r="CC92" s="51">
        <f t="shared" si="133"/>
        <v>1100</v>
      </c>
      <c r="CD92" s="19">
        <f t="shared" si="134"/>
        <v>0</v>
      </c>
      <c r="CE92" s="20">
        <f t="shared" si="135"/>
        <v>0</v>
      </c>
      <c r="CF92" s="11"/>
    </row>
    <row r="93" spans="1:84" ht="15" customHeight="1" thickTop="1">
      <c r="A93" s="12"/>
      <c r="B93" s="8"/>
      <c r="C93" s="13"/>
      <c r="D93" s="9" t="str">
        <f>IF(C93="","",C93-C90)</f>
        <v/>
      </c>
      <c r="E93" s="9"/>
      <c r="F93" s="9" t="str">
        <f>IF(E93="","",E93-E90)</f>
        <v/>
      </c>
      <c r="G93" s="9"/>
      <c r="H93" s="9" t="str">
        <f>IF(G93="","",G90+I90-G93)</f>
        <v/>
      </c>
      <c r="I93" s="9"/>
      <c r="J93" s="152" t="str">
        <f t="shared" si="97"/>
        <v/>
      </c>
      <c r="K93" s="44" t="str">
        <f>IF(C93="","",K90)</f>
        <v/>
      </c>
      <c r="L93" s="9" t="str">
        <f t="shared" si="136"/>
        <v/>
      </c>
      <c r="M93" s="10" t="str">
        <f t="shared" si="137"/>
        <v/>
      </c>
      <c r="N93" s="11"/>
      <c r="O93" s="2"/>
      <c r="P93" s="65">
        <f>IF($A81="","",$A81)</f>
        <v>46139</v>
      </c>
      <c r="Q93" s="44">
        <v>13464</v>
      </c>
      <c r="R93" s="113">
        <f t="shared" si="101"/>
        <v>27</v>
      </c>
      <c r="S93" s="44">
        <v>388</v>
      </c>
      <c r="T93" s="23">
        <f t="shared" si="102"/>
        <v>1</v>
      </c>
      <c r="U93" s="44">
        <v>13</v>
      </c>
      <c r="V93" s="44">
        <f t="shared" si="103"/>
        <v>1</v>
      </c>
      <c r="W93" s="66">
        <v>4</v>
      </c>
      <c r="X93" s="61" t="str">
        <f t="shared" ref="X93:X107" si="138">IF(Q93="","",X89)</f>
        <v>キティ豹柄キーケース</v>
      </c>
      <c r="Y93" s="62">
        <f t="shared" ref="Y93:Y108" si="139">IF(R93="","",Y89)</f>
        <v>996</v>
      </c>
      <c r="Z93" s="23">
        <f t="shared" si="106"/>
        <v>996</v>
      </c>
      <c r="AA93" s="24">
        <f t="shared" si="107"/>
        <v>0.36888888888888888</v>
      </c>
      <c r="AB93" s="160" t="s">
        <v>353</v>
      </c>
      <c r="AD93" s="65">
        <f>IF($A81="","",$A81)</f>
        <v>46139</v>
      </c>
      <c r="AE93" s="44">
        <v>11062</v>
      </c>
      <c r="AF93" s="44">
        <f t="shared" si="108"/>
        <v>84</v>
      </c>
      <c r="AG93" s="44">
        <v>286</v>
      </c>
      <c r="AH93" s="23">
        <f t="shared" si="109"/>
        <v>1</v>
      </c>
      <c r="AI93" s="44">
        <v>14</v>
      </c>
      <c r="AJ93" s="44">
        <f t="shared" si="110"/>
        <v>1</v>
      </c>
      <c r="AK93" s="66">
        <v>0</v>
      </c>
      <c r="AL93" s="61" t="str">
        <f t="shared" si="111"/>
        <v>ゲーム機柄イヤホン</v>
      </c>
      <c r="AM93" s="62">
        <f t="shared" si="112"/>
        <v>770</v>
      </c>
      <c r="AN93" s="23">
        <f t="shared" si="113"/>
        <v>770</v>
      </c>
      <c r="AO93" s="24">
        <f t="shared" si="114"/>
        <v>9.166666666666666E-2</v>
      </c>
      <c r="AP93" s="11"/>
      <c r="AR93" s="65">
        <f>IF($A81="","",$A81)</f>
        <v>46139</v>
      </c>
      <c r="AS93" s="44">
        <v>1331</v>
      </c>
      <c r="AT93" s="113">
        <f t="shared" si="115"/>
        <v>13</v>
      </c>
      <c r="AU93" s="44">
        <v>1050</v>
      </c>
      <c r="AV93" s="23">
        <f t="shared" si="116"/>
        <v>0</v>
      </c>
      <c r="AW93" s="44">
        <v>25</v>
      </c>
      <c r="AX93" s="44">
        <f t="shared" si="117"/>
        <v>0</v>
      </c>
      <c r="AY93" s="66">
        <v>2</v>
      </c>
      <c r="AZ93" s="61" t="str">
        <f t="shared" si="118"/>
        <v>サンリオ千鳥格子フェイス</v>
      </c>
      <c r="BA93" s="62">
        <f t="shared" si="119"/>
        <v>700</v>
      </c>
      <c r="BB93" s="23">
        <f t="shared" si="120"/>
        <v>0</v>
      </c>
      <c r="BC93" s="24">
        <f t="shared" si="121"/>
        <v>0</v>
      </c>
      <c r="BD93" s="11"/>
      <c r="BF93" s="65">
        <f>IF($A81="","",$A81)</f>
        <v>46139</v>
      </c>
      <c r="BG93" s="44">
        <v>1435</v>
      </c>
      <c r="BH93" s="113">
        <f t="shared" si="122"/>
        <v>17</v>
      </c>
      <c r="BI93" s="44">
        <v>1043</v>
      </c>
      <c r="BJ93" s="23">
        <f t="shared" si="123"/>
        <v>0</v>
      </c>
      <c r="BK93" s="44">
        <v>12</v>
      </c>
      <c r="BL93" s="44">
        <f t="shared" si="124"/>
        <v>0</v>
      </c>
      <c r="BM93" s="66">
        <v>0</v>
      </c>
      <c r="BN93" s="61" t="str">
        <f t="shared" si="125"/>
        <v>キティしっぽ付きフェイス</v>
      </c>
      <c r="BO93" s="62">
        <f t="shared" si="126"/>
        <v>825</v>
      </c>
      <c r="BP93" s="23">
        <f t="shared" si="127"/>
        <v>0</v>
      </c>
      <c r="BQ93" s="24">
        <f t="shared" si="128"/>
        <v>0</v>
      </c>
      <c r="BR93" s="11"/>
      <c r="BT93" s="65">
        <f>IF($A81="","",$A81)</f>
        <v>46139</v>
      </c>
      <c r="BU93" s="44">
        <v>1292</v>
      </c>
      <c r="BV93" s="113">
        <f t="shared" si="129"/>
        <v>16</v>
      </c>
      <c r="BW93" s="44">
        <v>1054</v>
      </c>
      <c r="BX93" s="23">
        <f t="shared" si="130"/>
        <v>1</v>
      </c>
      <c r="BY93" s="44">
        <v>8</v>
      </c>
      <c r="BZ93" s="44">
        <f t="shared" si="131"/>
        <v>1</v>
      </c>
      <c r="CA93" s="66">
        <v>2</v>
      </c>
      <c r="CB93" s="61" t="str">
        <f t="shared" si="132"/>
        <v>ギャルキティポーチ</v>
      </c>
      <c r="CC93" s="62">
        <f t="shared" si="133"/>
        <v>935</v>
      </c>
      <c r="CD93" s="23">
        <f t="shared" si="134"/>
        <v>935</v>
      </c>
      <c r="CE93" s="24">
        <f t="shared" si="135"/>
        <v>0.58437499999999998</v>
      </c>
      <c r="CF93" s="11" t="s">
        <v>358</v>
      </c>
    </row>
    <row r="94" spans="1:84">
      <c r="A94" s="12"/>
      <c r="B94" s="8"/>
      <c r="C94" s="13"/>
      <c r="D94" s="9" t="str">
        <f>IF(C94="","",C94-C92)</f>
        <v/>
      </c>
      <c r="E94" s="9"/>
      <c r="F94" s="9" t="str">
        <f>IF(E94="","",E94-E92)</f>
        <v/>
      </c>
      <c r="G94" s="9"/>
      <c r="H94" s="9" t="str">
        <f>IF(G94="","",G92+I92-G94)</f>
        <v/>
      </c>
      <c r="I94" s="9"/>
      <c r="J94" s="152" t="str">
        <f t="shared" si="97"/>
        <v/>
      </c>
      <c r="K94" s="44" t="str">
        <f>IF(C94="","",K92)</f>
        <v/>
      </c>
      <c r="L94" s="9" t="str">
        <f t="shared" si="136"/>
        <v/>
      </c>
      <c r="M94" s="10" t="str">
        <f t="shared" si="137"/>
        <v/>
      </c>
      <c r="N94" s="11"/>
      <c r="O94" s="2"/>
      <c r="P94" s="65"/>
      <c r="Q94" s="9">
        <v>13082</v>
      </c>
      <c r="R94" s="9">
        <f t="shared" si="101"/>
        <v>105</v>
      </c>
      <c r="S94" s="9">
        <v>277</v>
      </c>
      <c r="T94" s="9">
        <f t="shared" si="102"/>
        <v>0</v>
      </c>
      <c r="U94" s="9">
        <v>8</v>
      </c>
      <c r="V94" s="9">
        <f t="shared" si="103"/>
        <v>1</v>
      </c>
      <c r="W94" s="13">
        <v>0</v>
      </c>
      <c r="X94" s="47" t="str">
        <f t="shared" si="138"/>
        <v>カラビナファン</v>
      </c>
      <c r="Y94" s="45">
        <f t="shared" si="139"/>
        <v>1100</v>
      </c>
      <c r="Z94" s="9">
        <f t="shared" si="106"/>
        <v>1100</v>
      </c>
      <c r="AA94" s="10">
        <f t="shared" si="107"/>
        <v>0.10476190476190476</v>
      </c>
      <c r="AB94" s="11"/>
      <c r="AD94" s="65"/>
      <c r="AE94" s="9">
        <v>13363</v>
      </c>
      <c r="AF94" s="81">
        <f t="shared" si="108"/>
        <v>42</v>
      </c>
      <c r="AG94" s="9">
        <v>240</v>
      </c>
      <c r="AH94" s="9">
        <f t="shared" si="109"/>
        <v>2</v>
      </c>
      <c r="AI94" s="9">
        <v>8</v>
      </c>
      <c r="AJ94" s="9">
        <f t="shared" si="110"/>
        <v>2</v>
      </c>
      <c r="AK94" s="13">
        <v>5</v>
      </c>
      <c r="AL94" s="110" t="str">
        <f t="shared" si="111"/>
        <v>デジタルミニカメラ</v>
      </c>
      <c r="AM94" s="45">
        <f t="shared" si="112"/>
        <v>538</v>
      </c>
      <c r="AN94" s="9">
        <f t="shared" si="113"/>
        <v>1076</v>
      </c>
      <c r="AO94" s="10">
        <f t="shared" si="114"/>
        <v>0.25619047619047619</v>
      </c>
      <c r="AP94" s="156" t="s">
        <v>352</v>
      </c>
      <c r="AR94" s="65"/>
      <c r="AS94" s="9">
        <v>1510</v>
      </c>
      <c r="AT94" s="9">
        <f t="shared" si="115"/>
        <v>40</v>
      </c>
      <c r="AU94" s="9">
        <v>1048</v>
      </c>
      <c r="AV94" s="9">
        <f t="shared" si="116"/>
        <v>2</v>
      </c>
      <c r="AW94" s="9">
        <v>11</v>
      </c>
      <c r="AX94" s="9">
        <f t="shared" si="117"/>
        <v>3</v>
      </c>
      <c r="AY94" s="13">
        <v>2</v>
      </c>
      <c r="AZ94" s="47" t="str">
        <f t="shared" si="118"/>
        <v>サンリオボアバンスクリップ</v>
      </c>
      <c r="BA94" s="45">
        <f t="shared" si="119"/>
        <v>1100</v>
      </c>
      <c r="BB94" s="9">
        <f t="shared" si="120"/>
        <v>3300</v>
      </c>
      <c r="BC94" s="10">
        <f t="shared" si="121"/>
        <v>0.82499999999999996</v>
      </c>
      <c r="BD94" s="11" t="s">
        <v>287</v>
      </c>
      <c r="BF94" s="65"/>
      <c r="BG94" s="9">
        <v>1225</v>
      </c>
      <c r="BH94" s="9">
        <f t="shared" si="122"/>
        <v>36</v>
      </c>
      <c r="BI94" s="9">
        <v>1060</v>
      </c>
      <c r="BJ94" s="9">
        <f t="shared" si="123"/>
        <v>1</v>
      </c>
      <c r="BK94" s="9">
        <v>7</v>
      </c>
      <c r="BL94" s="9">
        <f t="shared" si="124"/>
        <v>1</v>
      </c>
      <c r="BM94" s="13">
        <v>0</v>
      </c>
      <c r="BN94" s="47" t="s">
        <v>357</v>
      </c>
      <c r="BO94" s="45"/>
      <c r="BP94" s="9">
        <f t="shared" si="127"/>
        <v>0</v>
      </c>
      <c r="BQ94" s="10">
        <f t="shared" si="128"/>
        <v>0</v>
      </c>
      <c r="BR94" s="11"/>
      <c r="BT94" s="65"/>
      <c r="BU94" s="9">
        <v>1169</v>
      </c>
      <c r="BV94" s="81">
        <f t="shared" si="129"/>
        <v>5</v>
      </c>
      <c r="BW94" s="9">
        <v>1040</v>
      </c>
      <c r="BX94" s="9">
        <f t="shared" si="130"/>
        <v>0</v>
      </c>
      <c r="BY94" s="9">
        <v>13</v>
      </c>
      <c r="BZ94" s="9">
        <f t="shared" si="131"/>
        <v>1</v>
      </c>
      <c r="CA94" s="13">
        <v>-7</v>
      </c>
      <c r="CB94" s="47" t="str">
        <f t="shared" si="132"/>
        <v>キティノーマルフェイスP</v>
      </c>
      <c r="CC94" s="45">
        <f t="shared" si="133"/>
        <v>0</v>
      </c>
      <c r="CD94" s="9">
        <f t="shared" si="134"/>
        <v>0</v>
      </c>
      <c r="CE94" s="10">
        <f t="shared" si="135"/>
        <v>0</v>
      </c>
      <c r="CF94" s="11" t="s">
        <v>356</v>
      </c>
    </row>
    <row r="95" spans="1:84" ht="15" customHeight="1">
      <c r="A95" s="12"/>
      <c r="B95" s="8"/>
      <c r="C95" s="13"/>
      <c r="D95" s="9" t="str">
        <f t="shared" ref="D95:D100" si="140">IF(C95="","",C95-C94)</f>
        <v/>
      </c>
      <c r="E95" s="9"/>
      <c r="F95" s="9" t="str">
        <f t="shared" ref="F95:F100" si="141">IF(E95="","",E95-E94)</f>
        <v/>
      </c>
      <c r="G95" s="9"/>
      <c r="H95" s="9" t="str">
        <f t="shared" ref="H95:H100" si="142">IF(G95="","",G94+I94-G95)</f>
        <v/>
      </c>
      <c r="I95" s="9"/>
      <c r="J95" s="152" t="str">
        <f t="shared" si="97"/>
        <v/>
      </c>
      <c r="K95" s="44" t="str">
        <f t="shared" ref="K95:K100" si="143">IF(C95="","",K94)</f>
        <v/>
      </c>
      <c r="L95" s="9" t="str">
        <f t="shared" si="136"/>
        <v/>
      </c>
      <c r="M95" s="10" t="str">
        <f t="shared" si="137"/>
        <v/>
      </c>
      <c r="N95" s="11"/>
      <c r="O95" s="2"/>
      <c r="P95" s="65"/>
      <c r="Q95" s="26">
        <v>14852</v>
      </c>
      <c r="R95" s="81">
        <f t="shared" si="101"/>
        <v>57</v>
      </c>
      <c r="S95" s="26">
        <v>494</v>
      </c>
      <c r="T95" s="9">
        <f t="shared" si="102"/>
        <v>1</v>
      </c>
      <c r="U95" s="26">
        <v>12</v>
      </c>
      <c r="V95" s="9">
        <f t="shared" si="103"/>
        <v>1</v>
      </c>
      <c r="W95" s="38">
        <v>0</v>
      </c>
      <c r="X95" s="47" t="s">
        <v>354</v>
      </c>
      <c r="Y95" s="9"/>
      <c r="Z95" s="9">
        <f t="shared" si="106"/>
        <v>0</v>
      </c>
      <c r="AA95" s="10">
        <f t="shared" si="107"/>
        <v>0</v>
      </c>
      <c r="AB95" s="156" t="s">
        <v>355</v>
      </c>
      <c r="AD95" s="65"/>
      <c r="AE95" s="26">
        <v>14998</v>
      </c>
      <c r="AF95" s="9">
        <f t="shared" si="108"/>
        <v>191</v>
      </c>
      <c r="AG95" s="26">
        <v>513</v>
      </c>
      <c r="AH95" s="9">
        <f t="shared" si="109"/>
        <v>2</v>
      </c>
      <c r="AI95" s="26">
        <v>5</v>
      </c>
      <c r="AJ95" s="83">
        <f t="shared" si="110"/>
        <v>5</v>
      </c>
      <c r="AK95" s="38">
        <v>6</v>
      </c>
      <c r="AL95" s="47" t="str">
        <f t="shared" si="111"/>
        <v>たまごっちブロックシール</v>
      </c>
      <c r="AM95" s="9">
        <f t="shared" si="112"/>
        <v>600</v>
      </c>
      <c r="AN95" s="9">
        <f t="shared" si="113"/>
        <v>3000</v>
      </c>
      <c r="AO95" s="10">
        <f t="shared" si="114"/>
        <v>0.15706806282722513</v>
      </c>
      <c r="AP95" s="11"/>
      <c r="AR95" s="65"/>
      <c r="AS95" s="26">
        <v>1392</v>
      </c>
      <c r="AT95" s="9">
        <f t="shared" si="115"/>
        <v>39</v>
      </c>
      <c r="AU95" s="26">
        <v>1038</v>
      </c>
      <c r="AV95" s="9">
        <f t="shared" si="116"/>
        <v>1</v>
      </c>
      <c r="AW95" s="26">
        <v>8</v>
      </c>
      <c r="AX95" s="9">
        <f t="shared" si="117"/>
        <v>2</v>
      </c>
      <c r="AY95" s="38">
        <v>0</v>
      </c>
      <c r="AZ95" s="47" t="str">
        <f t="shared" si="118"/>
        <v>サンリオヒョウ柄バニティ</v>
      </c>
      <c r="BA95" s="9">
        <f t="shared" si="119"/>
        <v>1056</v>
      </c>
      <c r="BB95" s="9">
        <f t="shared" si="120"/>
        <v>2112</v>
      </c>
      <c r="BC95" s="10">
        <f t="shared" si="121"/>
        <v>0.54153846153846152</v>
      </c>
      <c r="BD95" s="11"/>
      <c r="BF95" s="65"/>
      <c r="BG95" s="26">
        <v>1458</v>
      </c>
      <c r="BH95" s="9">
        <f t="shared" si="122"/>
        <v>49</v>
      </c>
      <c r="BI95" s="26">
        <v>1041</v>
      </c>
      <c r="BJ95" s="9">
        <f t="shared" si="123"/>
        <v>2</v>
      </c>
      <c r="BK95" s="26">
        <v>8</v>
      </c>
      <c r="BL95" s="9">
        <f t="shared" si="124"/>
        <v>2</v>
      </c>
      <c r="BM95" s="38">
        <v>2</v>
      </c>
      <c r="BN95" s="47" t="str">
        <f t="shared" si="125"/>
        <v>サンリオヒョウ柄ポーチ</v>
      </c>
      <c r="BO95" s="9">
        <f t="shared" si="126"/>
        <v>935</v>
      </c>
      <c r="BP95" s="9">
        <f t="shared" si="127"/>
        <v>1870</v>
      </c>
      <c r="BQ95" s="10">
        <f t="shared" si="128"/>
        <v>0.38163265306122451</v>
      </c>
      <c r="BR95" s="11"/>
      <c r="BT95" s="65"/>
      <c r="BU95" s="26">
        <v>1306</v>
      </c>
      <c r="BV95" s="81">
        <f t="shared" si="129"/>
        <v>25</v>
      </c>
      <c r="BW95" s="26">
        <v>1067</v>
      </c>
      <c r="BX95" s="9">
        <f t="shared" si="130"/>
        <v>2</v>
      </c>
      <c r="BY95" s="26">
        <v>118</v>
      </c>
      <c r="BZ95" s="9">
        <f t="shared" si="131"/>
        <v>2</v>
      </c>
      <c r="CA95" s="38">
        <v>5</v>
      </c>
      <c r="CB95" s="47" t="str">
        <f t="shared" si="132"/>
        <v>サンリオシューズ</v>
      </c>
      <c r="CC95" s="9">
        <f t="shared" si="133"/>
        <v>400</v>
      </c>
      <c r="CD95" s="9">
        <f t="shared" si="134"/>
        <v>800</v>
      </c>
      <c r="CE95" s="10">
        <f t="shared" si="135"/>
        <v>0.32</v>
      </c>
      <c r="CF95" s="11"/>
    </row>
    <row r="96" spans="1:84" ht="15" customHeight="1" thickBot="1">
      <c r="A96" s="12"/>
      <c r="B96" s="8"/>
      <c r="C96" s="13"/>
      <c r="D96" s="9" t="str">
        <f t="shared" si="140"/>
        <v/>
      </c>
      <c r="E96" s="9"/>
      <c r="F96" s="9" t="str">
        <f t="shared" si="141"/>
        <v/>
      </c>
      <c r="G96" s="9"/>
      <c r="H96" s="9" t="str">
        <f t="shared" si="142"/>
        <v/>
      </c>
      <c r="I96" s="9"/>
      <c r="J96" s="152" t="str">
        <f t="shared" si="97"/>
        <v/>
      </c>
      <c r="K96" s="44" t="str">
        <f t="shared" si="143"/>
        <v/>
      </c>
      <c r="L96" s="9" t="str">
        <f t="shared" si="136"/>
        <v/>
      </c>
      <c r="M96" s="10" t="str">
        <f t="shared" si="137"/>
        <v/>
      </c>
      <c r="N96" s="11"/>
      <c r="O96" s="2"/>
      <c r="P96" s="18"/>
      <c r="Q96" s="19">
        <v>17961</v>
      </c>
      <c r="R96" s="19">
        <f t="shared" si="101"/>
        <v>181</v>
      </c>
      <c r="S96" s="19">
        <v>445</v>
      </c>
      <c r="T96" s="19">
        <f t="shared" si="102"/>
        <v>5</v>
      </c>
      <c r="U96" s="19">
        <v>11</v>
      </c>
      <c r="V96" s="19">
        <f t="shared" si="103"/>
        <v>5</v>
      </c>
      <c r="W96" s="37">
        <v>0</v>
      </c>
      <c r="X96" s="48" t="str">
        <f t="shared" si="138"/>
        <v>バタースクイーズ</v>
      </c>
      <c r="Y96" s="51">
        <f t="shared" si="139"/>
        <v>440</v>
      </c>
      <c r="Z96" s="19">
        <f t="shared" si="106"/>
        <v>2200</v>
      </c>
      <c r="AA96" s="20">
        <f t="shared" si="107"/>
        <v>0.12154696132596685</v>
      </c>
      <c r="AB96" s="11"/>
      <c r="AD96" s="18"/>
      <c r="AE96" s="19">
        <v>19009</v>
      </c>
      <c r="AF96" s="19">
        <f t="shared" si="108"/>
        <v>121</v>
      </c>
      <c r="AG96" s="19">
        <v>705</v>
      </c>
      <c r="AH96" s="19">
        <f t="shared" si="109"/>
        <v>8</v>
      </c>
      <c r="AI96" s="19">
        <v>26</v>
      </c>
      <c r="AJ96" s="19">
        <f t="shared" si="110"/>
        <v>8</v>
      </c>
      <c r="AK96" s="37">
        <v>10</v>
      </c>
      <c r="AL96" s="48" t="str">
        <f t="shared" si="111"/>
        <v>ボンドロシール</v>
      </c>
      <c r="AM96" s="51">
        <f t="shared" si="112"/>
        <v>150</v>
      </c>
      <c r="AN96" s="19">
        <f t="shared" si="113"/>
        <v>1200</v>
      </c>
      <c r="AO96" s="20">
        <f t="shared" si="114"/>
        <v>9.9173553719008267E-2</v>
      </c>
      <c r="AP96" s="11"/>
      <c r="AR96" s="18"/>
      <c r="AS96" s="19">
        <v>1315</v>
      </c>
      <c r="AT96" s="19">
        <f t="shared" si="115"/>
        <v>76</v>
      </c>
      <c r="AU96" s="19">
        <v>1045</v>
      </c>
      <c r="AV96" s="19">
        <f t="shared" si="116"/>
        <v>3</v>
      </c>
      <c r="AW96" s="19">
        <v>3</v>
      </c>
      <c r="AX96" s="19">
        <f t="shared" si="117"/>
        <v>2</v>
      </c>
      <c r="AY96" s="37">
        <v>1</v>
      </c>
      <c r="AZ96" s="48" t="str">
        <f t="shared" si="118"/>
        <v>サンリオファン</v>
      </c>
      <c r="BA96" s="51">
        <f t="shared" si="119"/>
        <v>1100</v>
      </c>
      <c r="BB96" s="19">
        <f t="shared" si="120"/>
        <v>2200</v>
      </c>
      <c r="BC96" s="20">
        <f t="shared" si="121"/>
        <v>0.28947368421052633</v>
      </c>
      <c r="BD96" s="11"/>
      <c r="BF96" s="18"/>
      <c r="BG96" s="19">
        <v>1676</v>
      </c>
      <c r="BH96" s="19">
        <f t="shared" si="122"/>
        <v>79</v>
      </c>
      <c r="BI96" s="19">
        <v>1126</v>
      </c>
      <c r="BJ96" s="19">
        <f t="shared" si="123"/>
        <v>13</v>
      </c>
      <c r="BK96" s="19">
        <v>114</v>
      </c>
      <c r="BL96" s="19">
        <f t="shared" si="124"/>
        <v>13</v>
      </c>
      <c r="BM96" s="37">
        <v>10</v>
      </c>
      <c r="BN96" s="48" t="str">
        <f t="shared" si="125"/>
        <v>キティボールペン</v>
      </c>
      <c r="BO96" s="51">
        <f t="shared" si="126"/>
        <v>283</v>
      </c>
      <c r="BP96" s="19">
        <f t="shared" si="127"/>
        <v>3679</v>
      </c>
      <c r="BQ96" s="20">
        <f t="shared" si="128"/>
        <v>0.46569620253164556</v>
      </c>
      <c r="BR96" s="11"/>
      <c r="BT96" s="18"/>
      <c r="BU96" s="19">
        <v>1418</v>
      </c>
      <c r="BV96" s="82">
        <f t="shared" si="129"/>
        <v>20</v>
      </c>
      <c r="BW96" s="19">
        <v>1036</v>
      </c>
      <c r="BX96" s="19">
        <f t="shared" si="130"/>
        <v>0</v>
      </c>
      <c r="BY96" s="19">
        <v>11</v>
      </c>
      <c r="BZ96" s="19">
        <f t="shared" si="131"/>
        <v>0</v>
      </c>
      <c r="CA96" s="37">
        <v>0</v>
      </c>
      <c r="CB96" s="48" t="str">
        <f t="shared" si="132"/>
        <v>サンリオボアミラー</v>
      </c>
      <c r="CC96" s="51">
        <f t="shared" si="133"/>
        <v>1100</v>
      </c>
      <c r="CD96" s="19">
        <f t="shared" si="134"/>
        <v>0</v>
      </c>
      <c r="CE96" s="20">
        <f t="shared" si="135"/>
        <v>0</v>
      </c>
      <c r="CF96" s="11"/>
    </row>
    <row r="97" spans="1:84" ht="15" customHeight="1" thickTop="1">
      <c r="A97" s="12"/>
      <c r="B97" s="8"/>
      <c r="C97" s="13"/>
      <c r="D97" s="9" t="str">
        <f t="shared" si="140"/>
        <v/>
      </c>
      <c r="E97" s="9"/>
      <c r="F97" s="9" t="str">
        <f t="shared" si="141"/>
        <v/>
      </c>
      <c r="G97" s="9"/>
      <c r="H97" s="9" t="str">
        <f t="shared" si="142"/>
        <v/>
      </c>
      <c r="I97" s="9"/>
      <c r="J97" s="152" t="str">
        <f t="shared" si="97"/>
        <v/>
      </c>
      <c r="K97" s="44" t="str">
        <f t="shared" si="143"/>
        <v/>
      </c>
      <c r="L97" s="9" t="str">
        <f t="shared" si="136"/>
        <v/>
      </c>
      <c r="M97" s="10" t="str">
        <f t="shared" si="137"/>
        <v/>
      </c>
      <c r="N97" s="11"/>
      <c r="O97" s="2"/>
      <c r="P97" s="65">
        <f>IF($A82="","",$A82)</f>
        <v>46142</v>
      </c>
      <c r="Q97" s="44">
        <v>13536</v>
      </c>
      <c r="R97" s="44">
        <f t="shared" si="101"/>
        <v>72</v>
      </c>
      <c r="S97" s="44">
        <v>388</v>
      </c>
      <c r="T97" s="23">
        <f t="shared" si="102"/>
        <v>0</v>
      </c>
      <c r="U97" s="44">
        <v>17</v>
      </c>
      <c r="V97" s="44">
        <f t="shared" si="103"/>
        <v>0</v>
      </c>
      <c r="W97" s="66">
        <v>0</v>
      </c>
      <c r="X97" s="61" t="s">
        <v>359</v>
      </c>
      <c r="Y97" s="62">
        <v>770</v>
      </c>
      <c r="Z97" s="23">
        <f t="shared" si="106"/>
        <v>0</v>
      </c>
      <c r="AA97" s="24">
        <f t="shared" si="107"/>
        <v>0</v>
      </c>
      <c r="AB97" s="11" t="s">
        <v>366</v>
      </c>
      <c r="AD97" s="65">
        <f>IF($A82="","",$A82)</f>
        <v>46142</v>
      </c>
      <c r="AE97" s="44">
        <v>11086</v>
      </c>
      <c r="AF97" s="113">
        <f t="shared" si="108"/>
        <v>24</v>
      </c>
      <c r="AG97" s="44">
        <v>287</v>
      </c>
      <c r="AH97" s="23">
        <f t="shared" si="109"/>
        <v>1</v>
      </c>
      <c r="AI97" s="44">
        <v>14</v>
      </c>
      <c r="AJ97" s="44">
        <f t="shared" si="110"/>
        <v>0</v>
      </c>
      <c r="AK97" s="66">
        <v>0</v>
      </c>
      <c r="AL97" s="61" t="str">
        <f t="shared" si="111"/>
        <v>ゲーム機柄イヤホン</v>
      </c>
      <c r="AM97" s="62">
        <f t="shared" si="112"/>
        <v>770</v>
      </c>
      <c r="AN97" s="23">
        <f t="shared" si="113"/>
        <v>0</v>
      </c>
      <c r="AO97" s="24">
        <f t="shared" si="114"/>
        <v>0</v>
      </c>
      <c r="AP97" s="11"/>
      <c r="AR97" s="65">
        <f>IF($A82="","",$A82)</f>
        <v>46142</v>
      </c>
      <c r="AS97" s="44">
        <v>1332</v>
      </c>
      <c r="AT97" s="113">
        <f t="shared" si="115"/>
        <v>1</v>
      </c>
      <c r="AU97" s="44">
        <v>1050</v>
      </c>
      <c r="AV97" s="23">
        <f t="shared" si="116"/>
        <v>0</v>
      </c>
      <c r="AW97" s="44">
        <v>27</v>
      </c>
      <c r="AX97" s="44">
        <f t="shared" si="117"/>
        <v>0</v>
      </c>
      <c r="AY97" s="66">
        <v>0</v>
      </c>
      <c r="AZ97" s="61" t="str">
        <f t="shared" si="118"/>
        <v>サンリオ千鳥格子フェイス</v>
      </c>
      <c r="BA97" s="62">
        <f t="shared" si="119"/>
        <v>700</v>
      </c>
      <c r="BB97" s="23">
        <f t="shared" si="120"/>
        <v>0</v>
      </c>
      <c r="BC97" s="24">
        <f t="shared" si="121"/>
        <v>0</v>
      </c>
      <c r="BD97" s="11"/>
      <c r="BF97" s="65">
        <f>IF($A82="","",$A82)</f>
        <v>46142</v>
      </c>
      <c r="BG97" s="44">
        <v>1461</v>
      </c>
      <c r="BH97" s="44">
        <f t="shared" si="122"/>
        <v>26</v>
      </c>
      <c r="BI97" s="44">
        <v>1043</v>
      </c>
      <c r="BJ97" s="23">
        <f t="shared" si="123"/>
        <v>0</v>
      </c>
      <c r="BK97" s="44">
        <v>11</v>
      </c>
      <c r="BL97" s="44">
        <f t="shared" si="124"/>
        <v>1</v>
      </c>
      <c r="BM97" s="66">
        <v>0</v>
      </c>
      <c r="BN97" s="61" t="str">
        <f t="shared" si="125"/>
        <v>キティしっぽ付きフェイス</v>
      </c>
      <c r="BO97" s="62">
        <f t="shared" si="126"/>
        <v>825</v>
      </c>
      <c r="BP97" s="23">
        <f t="shared" si="127"/>
        <v>825</v>
      </c>
      <c r="BQ97" s="24">
        <f t="shared" si="128"/>
        <v>0.31730769230769229</v>
      </c>
      <c r="BR97" s="11"/>
      <c r="BT97" s="65">
        <f>IF($A82="","",$A82)</f>
        <v>46142</v>
      </c>
      <c r="BU97" s="44">
        <v>1317</v>
      </c>
      <c r="BV97" s="44">
        <f t="shared" si="129"/>
        <v>25</v>
      </c>
      <c r="BW97" s="44">
        <v>1056</v>
      </c>
      <c r="BX97" s="23">
        <f t="shared" si="130"/>
        <v>2</v>
      </c>
      <c r="BY97" s="44">
        <v>8</v>
      </c>
      <c r="BZ97" s="44">
        <f t="shared" si="131"/>
        <v>2</v>
      </c>
      <c r="CA97" s="66">
        <v>6</v>
      </c>
      <c r="CB97" s="61" t="str">
        <f t="shared" si="132"/>
        <v>ギャルキティポーチ</v>
      </c>
      <c r="CC97" s="62">
        <f t="shared" si="133"/>
        <v>935</v>
      </c>
      <c r="CD97" s="23">
        <f t="shared" si="134"/>
        <v>1870</v>
      </c>
      <c r="CE97" s="24">
        <f t="shared" si="135"/>
        <v>0.748</v>
      </c>
      <c r="CF97" s="11" t="s">
        <v>364</v>
      </c>
    </row>
    <row r="98" spans="1:84" ht="15" customHeight="1">
      <c r="A98" s="12"/>
      <c r="B98" s="8"/>
      <c r="C98" s="13"/>
      <c r="D98" s="9" t="str">
        <f t="shared" si="140"/>
        <v/>
      </c>
      <c r="E98" s="9"/>
      <c r="F98" s="9" t="str">
        <f t="shared" si="141"/>
        <v/>
      </c>
      <c r="G98" s="9"/>
      <c r="H98" s="9" t="str">
        <f t="shared" si="142"/>
        <v/>
      </c>
      <c r="I98" s="9"/>
      <c r="J98" s="153" t="str">
        <f t="shared" si="97"/>
        <v/>
      </c>
      <c r="K98" s="44" t="str">
        <f t="shared" si="143"/>
        <v/>
      </c>
      <c r="L98" s="9" t="str">
        <f t="shared" si="136"/>
        <v/>
      </c>
      <c r="M98" s="10" t="str">
        <f t="shared" si="137"/>
        <v/>
      </c>
      <c r="N98" s="11"/>
      <c r="O98" s="2"/>
      <c r="P98" s="12"/>
      <c r="Q98" s="9">
        <v>13152</v>
      </c>
      <c r="R98" s="9">
        <f t="shared" si="101"/>
        <v>70</v>
      </c>
      <c r="S98" s="9">
        <v>278</v>
      </c>
      <c r="T98" s="9">
        <f t="shared" si="102"/>
        <v>1</v>
      </c>
      <c r="U98" s="9">
        <v>8</v>
      </c>
      <c r="V98" s="9">
        <f t="shared" si="103"/>
        <v>0</v>
      </c>
      <c r="W98" s="13">
        <v>0</v>
      </c>
      <c r="X98" s="47" t="str">
        <f t="shared" si="138"/>
        <v>カラビナファン</v>
      </c>
      <c r="Y98" s="45">
        <f t="shared" si="139"/>
        <v>1100</v>
      </c>
      <c r="Z98" s="9">
        <f t="shared" si="106"/>
        <v>0</v>
      </c>
      <c r="AA98" s="10">
        <f t="shared" si="107"/>
        <v>0</v>
      </c>
      <c r="AB98" s="11"/>
      <c r="AD98" s="12"/>
      <c r="AE98" s="9">
        <v>13461</v>
      </c>
      <c r="AF98" s="9">
        <f t="shared" si="108"/>
        <v>98</v>
      </c>
      <c r="AG98" s="9">
        <v>241</v>
      </c>
      <c r="AH98" s="9">
        <f t="shared" si="109"/>
        <v>1</v>
      </c>
      <c r="AI98" s="9">
        <v>11</v>
      </c>
      <c r="AJ98" s="9">
        <f t="shared" si="110"/>
        <v>2</v>
      </c>
      <c r="AK98" s="13">
        <v>0</v>
      </c>
      <c r="AL98" s="47" t="str">
        <f t="shared" si="111"/>
        <v>デジタルミニカメラ</v>
      </c>
      <c r="AM98" s="45">
        <f t="shared" si="112"/>
        <v>538</v>
      </c>
      <c r="AN98" s="9">
        <f t="shared" si="113"/>
        <v>1076</v>
      </c>
      <c r="AO98" s="10">
        <f t="shared" si="114"/>
        <v>0.10979591836734694</v>
      </c>
      <c r="AP98" s="129" t="s">
        <v>367</v>
      </c>
      <c r="AR98" s="12"/>
      <c r="AS98" s="9">
        <v>1543</v>
      </c>
      <c r="AT98" s="9">
        <f t="shared" si="115"/>
        <v>33</v>
      </c>
      <c r="AU98" s="9">
        <v>1050</v>
      </c>
      <c r="AV98" s="9">
        <f t="shared" si="116"/>
        <v>2</v>
      </c>
      <c r="AW98" s="9">
        <v>12</v>
      </c>
      <c r="AX98" s="9">
        <f t="shared" si="117"/>
        <v>1</v>
      </c>
      <c r="AY98" s="13">
        <v>0</v>
      </c>
      <c r="AZ98" s="47" t="str">
        <f t="shared" si="118"/>
        <v>サンリオボアバンスクリップ</v>
      </c>
      <c r="BA98" s="45">
        <f t="shared" si="119"/>
        <v>1100</v>
      </c>
      <c r="BB98" s="9">
        <f t="shared" si="120"/>
        <v>1100</v>
      </c>
      <c r="BC98" s="10">
        <f t="shared" si="121"/>
        <v>0.33333333333333331</v>
      </c>
      <c r="BD98" s="11"/>
      <c r="BF98" s="12"/>
      <c r="BG98" s="9">
        <v>1245</v>
      </c>
      <c r="BH98" s="9">
        <f t="shared" si="122"/>
        <v>20</v>
      </c>
      <c r="BI98" s="9">
        <v>1060</v>
      </c>
      <c r="BJ98" s="9">
        <f t="shared" si="123"/>
        <v>0</v>
      </c>
      <c r="BK98" s="9">
        <v>6</v>
      </c>
      <c r="BL98" s="9">
        <f t="shared" si="124"/>
        <v>1</v>
      </c>
      <c r="BM98" s="13">
        <v>2</v>
      </c>
      <c r="BN98" s="47" t="str">
        <f t="shared" si="125"/>
        <v>キルティングキティポーチ</v>
      </c>
      <c r="BO98" s="45">
        <f t="shared" si="126"/>
        <v>0</v>
      </c>
      <c r="BP98" s="9">
        <f t="shared" si="127"/>
        <v>0</v>
      </c>
      <c r="BQ98" s="10">
        <f t="shared" si="128"/>
        <v>0</v>
      </c>
      <c r="BR98" s="11"/>
      <c r="BT98" s="12"/>
      <c r="BU98" s="9">
        <v>1224</v>
      </c>
      <c r="BV98" s="9">
        <f t="shared" si="129"/>
        <v>55</v>
      </c>
      <c r="BW98" s="9">
        <v>1043</v>
      </c>
      <c r="BX98" s="9">
        <f t="shared" si="130"/>
        <v>3</v>
      </c>
      <c r="BY98" s="9">
        <v>3</v>
      </c>
      <c r="BZ98" s="9">
        <f t="shared" si="131"/>
        <v>3</v>
      </c>
      <c r="CA98" s="13">
        <v>7</v>
      </c>
      <c r="CB98" s="47" t="s">
        <v>362</v>
      </c>
      <c r="CC98" s="45">
        <v>935</v>
      </c>
      <c r="CD98" s="9">
        <f t="shared" si="134"/>
        <v>2805</v>
      </c>
      <c r="CE98" s="10">
        <f t="shared" si="135"/>
        <v>0.51</v>
      </c>
      <c r="CF98" s="11" t="s">
        <v>363</v>
      </c>
    </row>
    <row r="99" spans="1:84" ht="15" customHeight="1">
      <c r="A99" s="12"/>
      <c r="B99" s="8"/>
      <c r="C99" s="9"/>
      <c r="D99" s="9" t="str">
        <f t="shared" si="140"/>
        <v/>
      </c>
      <c r="E99" s="9"/>
      <c r="F99" s="9" t="str">
        <f t="shared" si="141"/>
        <v/>
      </c>
      <c r="G99" s="9"/>
      <c r="H99" s="9" t="str">
        <f t="shared" si="142"/>
        <v/>
      </c>
      <c r="I99" s="9"/>
      <c r="J99" s="153" t="str">
        <f t="shared" si="97"/>
        <v/>
      </c>
      <c r="K99" s="44" t="str">
        <f t="shared" si="143"/>
        <v/>
      </c>
      <c r="L99" s="9" t="str">
        <f t="shared" si="136"/>
        <v/>
      </c>
      <c r="M99" s="10" t="str">
        <f t="shared" si="137"/>
        <v/>
      </c>
      <c r="N99" s="11"/>
      <c r="O99" s="2"/>
      <c r="P99" s="12"/>
      <c r="Q99" s="26">
        <v>14913</v>
      </c>
      <c r="R99" s="9">
        <f t="shared" si="101"/>
        <v>61</v>
      </c>
      <c r="S99" s="26">
        <v>494</v>
      </c>
      <c r="T99" s="9">
        <f t="shared" si="102"/>
        <v>0</v>
      </c>
      <c r="U99" s="9">
        <v>12</v>
      </c>
      <c r="V99" s="9">
        <f t="shared" si="103"/>
        <v>0</v>
      </c>
      <c r="W99" s="13">
        <v>0</v>
      </c>
      <c r="X99" s="47" t="str">
        <f t="shared" si="138"/>
        <v>モンチッチフルーツマスコット</v>
      </c>
      <c r="Y99" s="9">
        <f t="shared" si="139"/>
        <v>0</v>
      </c>
      <c r="Z99" s="9">
        <f t="shared" si="106"/>
        <v>0</v>
      </c>
      <c r="AA99" s="10">
        <f t="shared" si="107"/>
        <v>0</v>
      </c>
      <c r="AB99" s="11" t="s">
        <v>360</v>
      </c>
      <c r="AD99" s="12"/>
      <c r="AE99" s="26">
        <v>15154</v>
      </c>
      <c r="AF99" s="9">
        <f t="shared" si="108"/>
        <v>156</v>
      </c>
      <c r="AG99" s="26">
        <v>514</v>
      </c>
      <c r="AH99" s="9">
        <f t="shared" si="109"/>
        <v>1</v>
      </c>
      <c r="AI99" s="9">
        <v>11</v>
      </c>
      <c r="AJ99" s="9">
        <f t="shared" si="110"/>
        <v>0</v>
      </c>
      <c r="AK99" s="13">
        <v>6</v>
      </c>
      <c r="AL99" s="47" t="str">
        <f t="shared" si="111"/>
        <v>たまごっちブロックシール</v>
      </c>
      <c r="AM99" s="9">
        <f t="shared" si="112"/>
        <v>600</v>
      </c>
      <c r="AN99" s="9">
        <f t="shared" si="113"/>
        <v>0</v>
      </c>
      <c r="AO99" s="10">
        <f t="shared" si="114"/>
        <v>0</v>
      </c>
      <c r="AP99" s="11"/>
      <c r="AR99" s="12"/>
      <c r="AS99" s="26">
        <v>1401</v>
      </c>
      <c r="AT99" s="81">
        <f t="shared" si="115"/>
        <v>9</v>
      </c>
      <c r="AU99" s="26">
        <v>1038</v>
      </c>
      <c r="AV99" s="9">
        <f t="shared" si="116"/>
        <v>0</v>
      </c>
      <c r="AW99" s="9">
        <v>8</v>
      </c>
      <c r="AX99" s="9">
        <f t="shared" si="117"/>
        <v>0</v>
      </c>
      <c r="AY99" s="13">
        <v>0</v>
      </c>
      <c r="AZ99" s="47" t="str">
        <f t="shared" si="118"/>
        <v>サンリオヒョウ柄バニティ</v>
      </c>
      <c r="BA99" s="9">
        <f t="shared" si="119"/>
        <v>1056</v>
      </c>
      <c r="BB99" s="9">
        <f t="shared" si="120"/>
        <v>0</v>
      </c>
      <c r="BC99" s="10">
        <f t="shared" si="121"/>
        <v>0</v>
      </c>
      <c r="BD99" s="11"/>
      <c r="BF99" s="12"/>
      <c r="BG99" s="26">
        <v>1473</v>
      </c>
      <c r="BH99" s="9">
        <f t="shared" si="122"/>
        <v>15</v>
      </c>
      <c r="BI99" s="26">
        <v>1041</v>
      </c>
      <c r="BJ99" s="9">
        <f t="shared" si="123"/>
        <v>0</v>
      </c>
      <c r="BK99" s="9">
        <v>10</v>
      </c>
      <c r="BL99" s="9">
        <f t="shared" si="124"/>
        <v>0</v>
      </c>
      <c r="BM99" s="13">
        <v>0</v>
      </c>
      <c r="BN99" s="47" t="str">
        <f t="shared" si="125"/>
        <v>サンリオヒョウ柄ポーチ</v>
      </c>
      <c r="BO99" s="9">
        <f t="shared" si="126"/>
        <v>935</v>
      </c>
      <c r="BP99" s="9">
        <f t="shared" si="127"/>
        <v>0</v>
      </c>
      <c r="BQ99" s="10">
        <f t="shared" si="128"/>
        <v>0</v>
      </c>
      <c r="BR99" s="11"/>
      <c r="BT99" s="12"/>
      <c r="BU99" s="26">
        <v>1323</v>
      </c>
      <c r="BV99" s="9">
        <f t="shared" si="129"/>
        <v>17</v>
      </c>
      <c r="BW99" s="26">
        <v>1068</v>
      </c>
      <c r="BX99" s="9">
        <f t="shared" si="130"/>
        <v>1</v>
      </c>
      <c r="BY99" s="9">
        <v>122</v>
      </c>
      <c r="BZ99" s="9">
        <f t="shared" si="131"/>
        <v>1</v>
      </c>
      <c r="CA99" s="13">
        <v>3</v>
      </c>
      <c r="CB99" s="47" t="str">
        <f t="shared" si="132"/>
        <v>サンリオシューズ</v>
      </c>
      <c r="CC99" s="9">
        <f t="shared" si="133"/>
        <v>400</v>
      </c>
      <c r="CD99" s="9">
        <f t="shared" si="134"/>
        <v>400</v>
      </c>
      <c r="CE99" s="10">
        <f t="shared" si="135"/>
        <v>0.23529411764705882</v>
      </c>
      <c r="CF99" s="11"/>
    </row>
    <row r="100" spans="1:84" ht="15" customHeight="1" thickBot="1">
      <c r="A100" s="12"/>
      <c r="B100" s="8"/>
      <c r="C100" s="9"/>
      <c r="D100" s="9" t="str">
        <f t="shared" si="140"/>
        <v/>
      </c>
      <c r="E100" s="9"/>
      <c r="F100" s="9" t="str">
        <f t="shared" si="141"/>
        <v/>
      </c>
      <c r="G100" s="9"/>
      <c r="H100" s="9" t="str">
        <f t="shared" si="142"/>
        <v/>
      </c>
      <c r="I100" s="9"/>
      <c r="J100" s="153" t="str">
        <f t="shared" si="97"/>
        <v/>
      </c>
      <c r="K100" s="44" t="str">
        <f t="shared" si="143"/>
        <v/>
      </c>
      <c r="L100" s="9" t="str">
        <f t="shared" si="136"/>
        <v/>
      </c>
      <c r="M100" s="10" t="str">
        <f t="shared" si="137"/>
        <v/>
      </c>
      <c r="N100" s="11"/>
      <c r="O100" s="2"/>
      <c r="P100" s="18"/>
      <c r="Q100" s="19">
        <v>18016</v>
      </c>
      <c r="R100" s="19">
        <f t="shared" si="101"/>
        <v>55</v>
      </c>
      <c r="S100" s="19">
        <v>447</v>
      </c>
      <c r="T100" s="19">
        <f t="shared" si="102"/>
        <v>2</v>
      </c>
      <c r="U100" s="19">
        <v>8</v>
      </c>
      <c r="V100" s="19">
        <f t="shared" si="103"/>
        <v>3</v>
      </c>
      <c r="W100" s="37">
        <v>10</v>
      </c>
      <c r="X100" s="48" t="str">
        <f t="shared" si="138"/>
        <v>バタースクイーズ</v>
      </c>
      <c r="Y100" s="51">
        <f t="shared" si="139"/>
        <v>440</v>
      </c>
      <c r="Z100" s="19">
        <f t="shared" si="106"/>
        <v>1320</v>
      </c>
      <c r="AA100" s="20">
        <f t="shared" si="107"/>
        <v>0.24</v>
      </c>
      <c r="AB100" s="11" t="s">
        <v>365</v>
      </c>
      <c r="AD100" s="18"/>
      <c r="AE100" s="19">
        <v>19070</v>
      </c>
      <c r="AF100" s="19">
        <f t="shared" si="108"/>
        <v>61</v>
      </c>
      <c r="AG100" s="19">
        <v>705</v>
      </c>
      <c r="AH100" s="19">
        <f t="shared" si="109"/>
        <v>0</v>
      </c>
      <c r="AI100" s="19">
        <v>36</v>
      </c>
      <c r="AJ100" s="19">
        <f t="shared" si="110"/>
        <v>0</v>
      </c>
      <c r="AK100" s="37">
        <v>0</v>
      </c>
      <c r="AL100" s="48" t="str">
        <f t="shared" si="111"/>
        <v>ボンドロシール</v>
      </c>
      <c r="AM100" s="51">
        <f t="shared" si="112"/>
        <v>150</v>
      </c>
      <c r="AN100" s="19">
        <f t="shared" si="113"/>
        <v>0</v>
      </c>
      <c r="AO100" s="20">
        <f t="shared" si="114"/>
        <v>0</v>
      </c>
      <c r="AP100" s="11" t="s">
        <v>361</v>
      </c>
      <c r="AR100" s="18"/>
      <c r="AS100" s="19">
        <v>1329</v>
      </c>
      <c r="AT100" s="19">
        <f t="shared" si="115"/>
        <v>14</v>
      </c>
      <c r="AU100" s="19">
        <v>1045</v>
      </c>
      <c r="AV100" s="19">
        <f t="shared" si="116"/>
        <v>0</v>
      </c>
      <c r="AW100" s="19">
        <v>4</v>
      </c>
      <c r="AX100" s="19">
        <f t="shared" si="117"/>
        <v>0</v>
      </c>
      <c r="AY100" s="37">
        <v>0</v>
      </c>
      <c r="AZ100" s="48" t="str">
        <f t="shared" si="118"/>
        <v>サンリオファン</v>
      </c>
      <c r="BA100" s="51">
        <f t="shared" si="119"/>
        <v>1100</v>
      </c>
      <c r="BB100" s="19">
        <f t="shared" si="120"/>
        <v>0</v>
      </c>
      <c r="BC100" s="20">
        <f t="shared" si="121"/>
        <v>0</v>
      </c>
      <c r="BD100" s="11"/>
      <c r="BF100" s="18"/>
      <c r="BG100" s="19">
        <v>1708</v>
      </c>
      <c r="BH100" s="19">
        <f t="shared" si="122"/>
        <v>32</v>
      </c>
      <c r="BI100" s="19">
        <v>1130</v>
      </c>
      <c r="BJ100" s="19">
        <f t="shared" si="123"/>
        <v>4</v>
      </c>
      <c r="BK100" s="19">
        <v>120</v>
      </c>
      <c r="BL100" s="19">
        <f t="shared" si="124"/>
        <v>4</v>
      </c>
      <c r="BM100" s="37">
        <v>12</v>
      </c>
      <c r="BN100" s="48" t="str">
        <f t="shared" si="125"/>
        <v>キティボールペン</v>
      </c>
      <c r="BO100" s="51">
        <f t="shared" si="126"/>
        <v>283</v>
      </c>
      <c r="BP100" s="19">
        <f t="shared" si="127"/>
        <v>1132</v>
      </c>
      <c r="BQ100" s="20">
        <f t="shared" si="128"/>
        <v>0.35375000000000001</v>
      </c>
      <c r="BR100" s="11"/>
      <c r="BT100" s="18"/>
      <c r="BU100" s="19">
        <v>1427</v>
      </c>
      <c r="BV100" s="82">
        <f t="shared" si="129"/>
        <v>9</v>
      </c>
      <c r="BW100" s="19">
        <v>1036</v>
      </c>
      <c r="BX100" s="19">
        <f t="shared" si="130"/>
        <v>0</v>
      </c>
      <c r="BY100" s="19">
        <v>11</v>
      </c>
      <c r="BZ100" s="19">
        <f t="shared" si="131"/>
        <v>0</v>
      </c>
      <c r="CA100" s="37">
        <v>0</v>
      </c>
      <c r="CB100" s="48" t="str">
        <f t="shared" si="132"/>
        <v>サンリオボアミラー</v>
      </c>
      <c r="CC100" s="51">
        <f t="shared" si="133"/>
        <v>1100</v>
      </c>
      <c r="CD100" s="19">
        <f t="shared" si="134"/>
        <v>0</v>
      </c>
      <c r="CE100" s="20">
        <f t="shared" si="135"/>
        <v>0</v>
      </c>
      <c r="CF100" s="11"/>
    </row>
    <row r="101" spans="1:84" ht="15" customHeight="1" thickTop="1">
      <c r="A101" s="12"/>
      <c r="B101" s="8"/>
      <c r="C101" s="9"/>
      <c r="D101" s="9" t="str">
        <f>IF(C101="","",C101-C102)</f>
        <v/>
      </c>
      <c r="E101" s="9"/>
      <c r="F101" s="9" t="str">
        <f>IF(E101="","",E101-E102)</f>
        <v/>
      </c>
      <c r="G101" s="9"/>
      <c r="H101" s="9" t="str">
        <f>IF(G101="","",G102+I102-G101)</f>
        <v/>
      </c>
      <c r="I101" s="9"/>
      <c r="J101" s="44"/>
      <c r="K101" s="44" t="str">
        <f>IF(C101="","",K102)</f>
        <v/>
      </c>
      <c r="L101" s="9" t="str">
        <f t="shared" si="136"/>
        <v/>
      </c>
      <c r="M101" s="10" t="str">
        <f t="shared" si="137"/>
        <v/>
      </c>
      <c r="N101" s="11"/>
      <c r="O101" s="2"/>
      <c r="P101" s="65">
        <f>IF($A83="","",$A83)</f>
        <v>46146</v>
      </c>
      <c r="Q101" s="9">
        <v>13636</v>
      </c>
      <c r="R101" s="44">
        <f t="shared" si="101"/>
        <v>100</v>
      </c>
      <c r="S101" s="9">
        <v>391</v>
      </c>
      <c r="T101" s="23">
        <f t="shared" si="102"/>
        <v>3</v>
      </c>
      <c r="U101" s="9">
        <v>14</v>
      </c>
      <c r="V101" s="44">
        <f t="shared" si="103"/>
        <v>3</v>
      </c>
      <c r="W101" s="66">
        <v>3</v>
      </c>
      <c r="X101" s="61" t="str">
        <f t="shared" si="138"/>
        <v>ベアブリック</v>
      </c>
      <c r="Y101" s="62">
        <f t="shared" si="139"/>
        <v>770</v>
      </c>
      <c r="Z101" s="23">
        <f t="shared" si="106"/>
        <v>2310</v>
      </c>
      <c r="AA101" s="24">
        <f t="shared" si="107"/>
        <v>0.23100000000000001</v>
      </c>
      <c r="AB101" s="11"/>
      <c r="AD101" s="65">
        <f>IF($A83="","",$A83)</f>
        <v>46146</v>
      </c>
      <c r="AE101" s="9">
        <v>11158</v>
      </c>
      <c r="AF101" s="44">
        <f t="shared" si="108"/>
        <v>72</v>
      </c>
      <c r="AG101" s="9">
        <v>289</v>
      </c>
      <c r="AH101" s="23">
        <f t="shared" si="109"/>
        <v>2</v>
      </c>
      <c r="AI101" s="9">
        <v>11</v>
      </c>
      <c r="AJ101" s="44">
        <f t="shared" si="110"/>
        <v>3</v>
      </c>
      <c r="AK101" s="66">
        <v>4</v>
      </c>
      <c r="AL101" s="61" t="str">
        <f t="shared" si="111"/>
        <v>ゲーム機柄イヤホン</v>
      </c>
      <c r="AM101" s="62">
        <f t="shared" si="112"/>
        <v>770</v>
      </c>
      <c r="AN101" s="23">
        <f t="shared" si="113"/>
        <v>2310</v>
      </c>
      <c r="AO101" s="24">
        <f t="shared" si="114"/>
        <v>0.32083333333333336</v>
      </c>
      <c r="AP101" s="11"/>
      <c r="AR101" s="65">
        <f>IF($A83="","",$A83)</f>
        <v>46146</v>
      </c>
      <c r="AS101" s="9">
        <v>1371</v>
      </c>
      <c r="AT101" s="44">
        <f t="shared" si="115"/>
        <v>39</v>
      </c>
      <c r="AU101" s="9">
        <v>1053</v>
      </c>
      <c r="AV101" s="23">
        <f t="shared" si="116"/>
        <v>3</v>
      </c>
      <c r="AW101" s="9">
        <v>24</v>
      </c>
      <c r="AX101" s="44">
        <f t="shared" si="117"/>
        <v>3</v>
      </c>
      <c r="AY101" s="66">
        <v>0</v>
      </c>
      <c r="AZ101" s="61" t="str">
        <f t="shared" si="118"/>
        <v>サンリオ千鳥格子フェイス</v>
      </c>
      <c r="BA101" s="62">
        <f t="shared" si="119"/>
        <v>700</v>
      </c>
      <c r="BB101" s="23">
        <f t="shared" si="120"/>
        <v>2100</v>
      </c>
      <c r="BC101" s="24">
        <f t="shared" si="121"/>
        <v>0.53846153846153844</v>
      </c>
      <c r="BD101" s="11" t="s">
        <v>196</v>
      </c>
      <c r="BF101" s="65">
        <f>IF($A83="","",$A83)</f>
        <v>46146</v>
      </c>
      <c r="BG101" s="9">
        <v>1515</v>
      </c>
      <c r="BH101" s="44">
        <f t="shared" si="122"/>
        <v>54</v>
      </c>
      <c r="BI101" s="9">
        <v>1044</v>
      </c>
      <c r="BJ101" s="23">
        <f t="shared" si="123"/>
        <v>1</v>
      </c>
      <c r="BK101" s="9">
        <v>10</v>
      </c>
      <c r="BL101" s="44">
        <f t="shared" si="124"/>
        <v>1</v>
      </c>
      <c r="BM101" s="66">
        <v>0</v>
      </c>
      <c r="BN101" s="61" t="str">
        <f t="shared" si="125"/>
        <v>キティしっぽ付きフェイス</v>
      </c>
      <c r="BO101" s="62">
        <f t="shared" si="126"/>
        <v>825</v>
      </c>
      <c r="BP101" s="23">
        <f t="shared" si="127"/>
        <v>825</v>
      </c>
      <c r="BQ101" s="24">
        <f t="shared" si="128"/>
        <v>0.15277777777777779</v>
      </c>
      <c r="BR101" s="11"/>
      <c r="BT101" s="65">
        <f>IF($A83="","",$A83)</f>
        <v>46146</v>
      </c>
      <c r="BU101" s="9">
        <v>1336</v>
      </c>
      <c r="BV101" s="44">
        <f t="shared" si="129"/>
        <v>19</v>
      </c>
      <c r="BW101" s="9">
        <v>1057</v>
      </c>
      <c r="BX101" s="23">
        <f t="shared" si="130"/>
        <v>1</v>
      </c>
      <c r="BY101" s="9">
        <v>13</v>
      </c>
      <c r="BZ101" s="44">
        <f t="shared" si="131"/>
        <v>1</v>
      </c>
      <c r="CA101" s="66">
        <v>1</v>
      </c>
      <c r="CB101" s="61" t="s">
        <v>369</v>
      </c>
      <c r="CC101" s="62">
        <f t="shared" si="133"/>
        <v>935</v>
      </c>
      <c r="CD101" s="23">
        <f t="shared" si="134"/>
        <v>935</v>
      </c>
      <c r="CE101" s="24">
        <f t="shared" si="135"/>
        <v>0.49210526315789471</v>
      </c>
      <c r="CF101" s="11" t="s">
        <v>363</v>
      </c>
    </row>
    <row r="102" spans="1:84" ht="15" customHeight="1">
      <c r="A102" s="12"/>
      <c r="B102" s="8"/>
      <c r="C102" s="9"/>
      <c r="D102" s="9" t="str">
        <f>IF(C102="","",C102-C100)</f>
        <v/>
      </c>
      <c r="E102" s="9"/>
      <c r="F102" s="9" t="str">
        <f>IF(E102="","",E102-E100)</f>
        <v/>
      </c>
      <c r="G102" s="9"/>
      <c r="H102" s="9" t="str">
        <f>IF(G102="","",G100+I100-G102)</f>
        <v/>
      </c>
      <c r="I102" s="9"/>
      <c r="J102" s="44"/>
      <c r="K102" s="44" t="str">
        <f>IF(C102="","",K100)</f>
        <v/>
      </c>
      <c r="L102" s="9" t="str">
        <f t="shared" si="136"/>
        <v/>
      </c>
      <c r="M102" s="10" t="str">
        <f t="shared" si="137"/>
        <v/>
      </c>
      <c r="N102" s="11"/>
      <c r="O102" s="2"/>
      <c r="P102" s="65"/>
      <c r="Q102" s="44">
        <v>13262</v>
      </c>
      <c r="R102" s="9">
        <f t="shared" si="101"/>
        <v>110</v>
      </c>
      <c r="S102" s="44">
        <v>278</v>
      </c>
      <c r="T102" s="9">
        <f t="shared" si="102"/>
        <v>0</v>
      </c>
      <c r="U102" s="9">
        <v>6</v>
      </c>
      <c r="V102" s="9">
        <f t="shared" si="103"/>
        <v>2</v>
      </c>
      <c r="W102" s="13">
        <v>0</v>
      </c>
      <c r="X102" s="47" t="str">
        <f t="shared" si="138"/>
        <v>カラビナファン</v>
      </c>
      <c r="Y102" s="45">
        <f t="shared" si="139"/>
        <v>1100</v>
      </c>
      <c r="Z102" s="9">
        <f t="shared" si="106"/>
        <v>2200</v>
      </c>
      <c r="AA102" s="10">
        <f t="shared" si="107"/>
        <v>0.2</v>
      </c>
      <c r="AB102" s="11"/>
      <c r="AD102" s="65"/>
      <c r="AE102" s="44">
        <v>13518</v>
      </c>
      <c r="AF102" s="81">
        <f t="shared" si="108"/>
        <v>57</v>
      </c>
      <c r="AG102" s="44">
        <v>242</v>
      </c>
      <c r="AH102" s="9">
        <f t="shared" si="109"/>
        <v>1</v>
      </c>
      <c r="AI102" s="9">
        <v>10</v>
      </c>
      <c r="AJ102" s="9">
        <f t="shared" si="110"/>
        <v>1</v>
      </c>
      <c r="AK102" s="13">
        <v>2</v>
      </c>
      <c r="AL102" s="47" t="str">
        <f t="shared" si="111"/>
        <v>デジタルミニカメラ</v>
      </c>
      <c r="AM102" s="45">
        <f t="shared" si="112"/>
        <v>538</v>
      </c>
      <c r="AN102" s="9">
        <f t="shared" si="113"/>
        <v>538</v>
      </c>
      <c r="AO102" s="10">
        <f t="shared" si="114"/>
        <v>9.4385964912280698E-2</v>
      </c>
      <c r="AP102" s="11"/>
      <c r="AR102" s="65"/>
      <c r="AS102" s="44">
        <v>1577</v>
      </c>
      <c r="AT102" s="9">
        <f t="shared" si="115"/>
        <v>34</v>
      </c>
      <c r="AU102" s="44">
        <v>1051</v>
      </c>
      <c r="AV102" s="9">
        <f t="shared" si="116"/>
        <v>1</v>
      </c>
      <c r="AW102" s="9">
        <v>11</v>
      </c>
      <c r="AX102" s="9">
        <f t="shared" si="117"/>
        <v>1</v>
      </c>
      <c r="AY102" s="13">
        <v>0</v>
      </c>
      <c r="AZ102" s="47" t="str">
        <f t="shared" si="118"/>
        <v>サンリオボアバンスクリップ</v>
      </c>
      <c r="BA102" s="45">
        <f t="shared" si="119"/>
        <v>1100</v>
      </c>
      <c r="BB102" s="9">
        <f t="shared" si="120"/>
        <v>1100</v>
      </c>
      <c r="BC102" s="10">
        <f t="shared" si="121"/>
        <v>0.3235294117647059</v>
      </c>
      <c r="BD102" s="11"/>
      <c r="BF102" s="65"/>
      <c r="BG102" s="44">
        <v>1262</v>
      </c>
      <c r="BH102" s="9">
        <f t="shared" si="122"/>
        <v>17</v>
      </c>
      <c r="BI102" s="44">
        <v>1061</v>
      </c>
      <c r="BJ102" s="9">
        <f t="shared" si="123"/>
        <v>1</v>
      </c>
      <c r="BK102" s="9">
        <v>7</v>
      </c>
      <c r="BL102" s="9">
        <f t="shared" si="124"/>
        <v>1</v>
      </c>
      <c r="BM102" s="13">
        <v>3</v>
      </c>
      <c r="BN102" s="47" t="str">
        <f t="shared" si="125"/>
        <v>キルティングキティポーチ</v>
      </c>
      <c r="BO102" s="45">
        <f t="shared" si="126"/>
        <v>0</v>
      </c>
      <c r="BP102" s="9">
        <f t="shared" si="127"/>
        <v>0</v>
      </c>
      <c r="BQ102" s="10">
        <f t="shared" si="128"/>
        <v>0</v>
      </c>
      <c r="BR102" s="11"/>
      <c r="BT102" s="65"/>
      <c r="BU102" s="44">
        <v>1287</v>
      </c>
      <c r="BV102" s="9">
        <f t="shared" si="129"/>
        <v>63</v>
      </c>
      <c r="BW102" s="44">
        <v>1045</v>
      </c>
      <c r="BX102" s="9">
        <f t="shared" si="130"/>
        <v>2</v>
      </c>
      <c r="BY102" s="9">
        <v>8</v>
      </c>
      <c r="BZ102" s="9">
        <f t="shared" si="131"/>
        <v>2</v>
      </c>
      <c r="CA102" s="13">
        <v>2</v>
      </c>
      <c r="CB102" s="47" t="str">
        <f t="shared" si="132"/>
        <v>ネコメイドキティマスコット</v>
      </c>
      <c r="CC102" s="45">
        <f t="shared" si="133"/>
        <v>935</v>
      </c>
      <c r="CD102" s="9">
        <f t="shared" si="134"/>
        <v>1870</v>
      </c>
      <c r="CE102" s="10">
        <f t="shared" si="135"/>
        <v>0.29682539682539683</v>
      </c>
      <c r="CF102" s="11"/>
    </row>
    <row r="103" spans="1:84" ht="15" customHeight="1">
      <c r="A103" s="12"/>
      <c r="B103" s="8"/>
      <c r="C103" s="9"/>
      <c r="D103" s="9" t="str">
        <f>IF(C103="","",C103-C101)</f>
        <v/>
      </c>
      <c r="E103" s="9"/>
      <c r="F103" s="9" t="str">
        <f>IF(E103="","",E103-E101)</f>
        <v/>
      </c>
      <c r="G103" s="9"/>
      <c r="H103" s="9" t="str">
        <f>IF(G103="","",G101+I101-G103)</f>
        <v/>
      </c>
      <c r="I103" s="9"/>
      <c r="J103" s="44"/>
      <c r="K103" s="44" t="str">
        <f>IF(C103="","",K101)</f>
        <v/>
      </c>
      <c r="L103" s="9" t="str">
        <f t="shared" si="136"/>
        <v/>
      </c>
      <c r="M103" s="10" t="str">
        <f t="shared" si="137"/>
        <v/>
      </c>
      <c r="N103" s="11"/>
      <c r="O103" s="2"/>
      <c r="P103" s="12"/>
      <c r="Q103" s="9">
        <v>15155</v>
      </c>
      <c r="R103" s="9">
        <f t="shared" si="101"/>
        <v>242</v>
      </c>
      <c r="S103" s="9">
        <v>497</v>
      </c>
      <c r="T103" s="9">
        <f t="shared" si="102"/>
        <v>3</v>
      </c>
      <c r="U103" s="9">
        <v>9</v>
      </c>
      <c r="V103" s="9">
        <f t="shared" si="103"/>
        <v>3</v>
      </c>
      <c r="W103" s="38">
        <v>4</v>
      </c>
      <c r="X103" s="47" t="s">
        <v>368</v>
      </c>
      <c r="Y103" s="9">
        <v>770</v>
      </c>
      <c r="Z103" s="9">
        <f t="shared" si="106"/>
        <v>2310</v>
      </c>
      <c r="AA103" s="10">
        <f t="shared" si="107"/>
        <v>9.5454545454545459E-2</v>
      </c>
      <c r="AB103" s="11"/>
      <c r="AD103" s="12"/>
      <c r="AE103" s="9">
        <v>15407</v>
      </c>
      <c r="AF103" s="9">
        <f t="shared" si="108"/>
        <v>253</v>
      </c>
      <c r="AG103" s="9">
        <v>520</v>
      </c>
      <c r="AH103" s="9">
        <f t="shared" si="109"/>
        <v>6</v>
      </c>
      <c r="AI103" s="9">
        <v>11</v>
      </c>
      <c r="AJ103" s="9">
        <f t="shared" si="110"/>
        <v>6</v>
      </c>
      <c r="AK103" s="38">
        <v>3</v>
      </c>
      <c r="AL103" s="47" t="str">
        <f t="shared" si="111"/>
        <v>たまごっちブロックシール</v>
      </c>
      <c r="AM103" s="9">
        <f t="shared" si="112"/>
        <v>600</v>
      </c>
      <c r="AN103" s="9">
        <f t="shared" si="113"/>
        <v>3600</v>
      </c>
      <c r="AO103" s="10">
        <f t="shared" si="114"/>
        <v>0.14229249011857709</v>
      </c>
      <c r="AP103" s="11"/>
      <c r="AR103" s="12"/>
      <c r="AS103" s="9">
        <v>1434</v>
      </c>
      <c r="AT103" s="9">
        <f t="shared" si="115"/>
        <v>33</v>
      </c>
      <c r="AU103" s="9">
        <v>1039</v>
      </c>
      <c r="AV103" s="9">
        <f t="shared" si="116"/>
        <v>1</v>
      </c>
      <c r="AW103" s="9">
        <v>6</v>
      </c>
      <c r="AX103" s="9">
        <f t="shared" si="117"/>
        <v>2</v>
      </c>
      <c r="AY103" s="38">
        <v>1</v>
      </c>
      <c r="AZ103" s="47" t="str">
        <f t="shared" si="118"/>
        <v>サンリオヒョウ柄バニティ</v>
      </c>
      <c r="BA103" s="9">
        <f t="shared" si="119"/>
        <v>1056</v>
      </c>
      <c r="BB103" s="9">
        <f t="shared" si="120"/>
        <v>2112</v>
      </c>
      <c r="BC103" s="10">
        <f t="shared" si="121"/>
        <v>0.64</v>
      </c>
      <c r="BD103" s="11" t="s">
        <v>370</v>
      </c>
      <c r="BF103" s="12"/>
      <c r="BG103" s="9">
        <v>1510</v>
      </c>
      <c r="BH103" s="9">
        <f t="shared" si="122"/>
        <v>37</v>
      </c>
      <c r="BI103" s="9">
        <v>1042</v>
      </c>
      <c r="BJ103" s="9">
        <f t="shared" si="123"/>
        <v>1</v>
      </c>
      <c r="BK103" s="9">
        <v>8</v>
      </c>
      <c r="BL103" s="9">
        <f t="shared" si="124"/>
        <v>2</v>
      </c>
      <c r="BM103" s="38">
        <v>2</v>
      </c>
      <c r="BN103" s="47" t="str">
        <f t="shared" si="125"/>
        <v>サンリオヒョウ柄ポーチ</v>
      </c>
      <c r="BO103" s="9">
        <f t="shared" si="126"/>
        <v>935</v>
      </c>
      <c r="BP103" s="9">
        <f t="shared" si="127"/>
        <v>1870</v>
      </c>
      <c r="BQ103" s="10">
        <f t="shared" si="128"/>
        <v>0.50540540540540535</v>
      </c>
      <c r="BR103" s="11" t="s">
        <v>282</v>
      </c>
      <c r="BT103" s="12"/>
      <c r="BU103" s="9">
        <v>1381</v>
      </c>
      <c r="BV103" s="9">
        <f t="shared" si="129"/>
        <v>58</v>
      </c>
      <c r="BW103" s="9">
        <v>1075</v>
      </c>
      <c r="BX103" s="9">
        <f t="shared" si="130"/>
        <v>7</v>
      </c>
      <c r="BY103" s="9">
        <v>118</v>
      </c>
      <c r="BZ103" s="9">
        <f t="shared" si="131"/>
        <v>7</v>
      </c>
      <c r="CA103" s="38">
        <v>8</v>
      </c>
      <c r="CB103" s="47" t="str">
        <f t="shared" si="132"/>
        <v>サンリオシューズ</v>
      </c>
      <c r="CC103" s="9">
        <f t="shared" si="133"/>
        <v>400</v>
      </c>
      <c r="CD103" s="9">
        <f t="shared" si="134"/>
        <v>2800</v>
      </c>
      <c r="CE103" s="10">
        <f t="shared" si="135"/>
        <v>0.48275862068965519</v>
      </c>
      <c r="CF103" s="11"/>
    </row>
    <row r="104" spans="1:84" ht="15" customHeight="1" thickBot="1">
      <c r="A104" s="12"/>
      <c r="B104" s="8"/>
      <c r="C104" s="9"/>
      <c r="D104" s="9" t="str">
        <f t="shared" ref="D104:D129" si="144">IF(C104="","",C104-C103)</f>
        <v/>
      </c>
      <c r="E104" s="9"/>
      <c r="F104" s="9" t="str">
        <f t="shared" ref="F104:F130" si="145">IF(E104="","",E104-E103)</f>
        <v/>
      </c>
      <c r="G104" s="9"/>
      <c r="H104" s="9" t="str">
        <f t="shared" ref="H104:H130" si="146">IF(G104="","",G103+I103-G104)</f>
        <v/>
      </c>
      <c r="I104" s="9"/>
      <c r="J104" s="44"/>
      <c r="K104" s="44" t="str">
        <f>IF(C104="","",K103)</f>
        <v/>
      </c>
      <c r="L104" s="9" t="str">
        <f t="shared" si="136"/>
        <v/>
      </c>
      <c r="M104" s="10" t="str">
        <f t="shared" si="137"/>
        <v/>
      </c>
      <c r="N104" s="11"/>
      <c r="O104" s="2"/>
      <c r="P104" s="18"/>
      <c r="Q104" s="19">
        <v>18168</v>
      </c>
      <c r="R104" s="19">
        <f t="shared" si="101"/>
        <v>152</v>
      </c>
      <c r="S104" s="19">
        <v>451</v>
      </c>
      <c r="T104" s="19">
        <f t="shared" si="102"/>
        <v>4</v>
      </c>
      <c r="U104" s="19">
        <v>14</v>
      </c>
      <c r="V104" s="19">
        <f t="shared" si="103"/>
        <v>4</v>
      </c>
      <c r="W104" s="37">
        <v>0</v>
      </c>
      <c r="X104" s="48" t="str">
        <f t="shared" si="138"/>
        <v>バタースクイーズ</v>
      </c>
      <c r="Y104" s="51">
        <f t="shared" si="139"/>
        <v>440</v>
      </c>
      <c r="Z104" s="19">
        <f t="shared" si="106"/>
        <v>1760</v>
      </c>
      <c r="AA104" s="20">
        <f t="shared" si="107"/>
        <v>0.11578947368421053</v>
      </c>
      <c r="AB104" s="11"/>
      <c r="AD104" s="18"/>
      <c r="AE104" s="19">
        <v>19206</v>
      </c>
      <c r="AF104" s="19">
        <f t="shared" si="108"/>
        <v>136</v>
      </c>
      <c r="AG104" s="19">
        <v>710</v>
      </c>
      <c r="AH104" s="19">
        <f t="shared" si="109"/>
        <v>5</v>
      </c>
      <c r="AI104" s="19">
        <v>29</v>
      </c>
      <c r="AJ104" s="19">
        <f t="shared" si="110"/>
        <v>7</v>
      </c>
      <c r="AK104" s="37">
        <v>8</v>
      </c>
      <c r="AL104" s="48" t="str">
        <f t="shared" si="111"/>
        <v>ボンドロシール</v>
      </c>
      <c r="AM104" s="51">
        <f t="shared" si="112"/>
        <v>150</v>
      </c>
      <c r="AN104" s="19">
        <f t="shared" si="113"/>
        <v>1050</v>
      </c>
      <c r="AO104" s="20">
        <f t="shared" si="114"/>
        <v>7.720588235294118E-2</v>
      </c>
      <c r="AP104" s="11"/>
      <c r="AR104" s="18"/>
      <c r="AS104" s="19">
        <v>1347</v>
      </c>
      <c r="AT104" s="19">
        <f t="shared" si="115"/>
        <v>18</v>
      </c>
      <c r="AU104" s="19">
        <v>1045</v>
      </c>
      <c r="AV104" s="19">
        <f t="shared" si="116"/>
        <v>0</v>
      </c>
      <c r="AW104" s="19">
        <v>4</v>
      </c>
      <c r="AX104" s="19">
        <f t="shared" si="117"/>
        <v>0</v>
      </c>
      <c r="AY104" s="37">
        <v>0</v>
      </c>
      <c r="AZ104" s="48" t="str">
        <f t="shared" si="118"/>
        <v>サンリオファン</v>
      </c>
      <c r="BA104" s="51">
        <f t="shared" si="119"/>
        <v>1100</v>
      </c>
      <c r="BB104" s="19">
        <f t="shared" si="120"/>
        <v>0</v>
      </c>
      <c r="BC104" s="20">
        <f t="shared" si="121"/>
        <v>0</v>
      </c>
      <c r="BD104" s="11"/>
      <c r="BF104" s="18"/>
      <c r="BG104" s="19">
        <v>1771</v>
      </c>
      <c r="BH104" s="19">
        <f t="shared" si="122"/>
        <v>63</v>
      </c>
      <c r="BI104" s="19">
        <v>1136</v>
      </c>
      <c r="BJ104" s="19">
        <f t="shared" si="123"/>
        <v>6</v>
      </c>
      <c r="BK104" s="19">
        <v>125</v>
      </c>
      <c r="BL104" s="19">
        <f t="shared" si="124"/>
        <v>7</v>
      </c>
      <c r="BM104" s="37">
        <v>20</v>
      </c>
      <c r="BN104" s="48" t="str">
        <f t="shared" si="125"/>
        <v>キティボールペン</v>
      </c>
      <c r="BO104" s="51">
        <f t="shared" si="126"/>
        <v>283</v>
      </c>
      <c r="BP104" s="19">
        <f t="shared" si="127"/>
        <v>1981</v>
      </c>
      <c r="BQ104" s="20">
        <f t="shared" si="128"/>
        <v>0.31444444444444447</v>
      </c>
      <c r="BR104" s="11"/>
      <c r="BT104" s="18"/>
      <c r="BU104" s="19">
        <v>1446</v>
      </c>
      <c r="BV104" s="19">
        <f t="shared" si="129"/>
        <v>19</v>
      </c>
      <c r="BW104" s="19">
        <v>1037</v>
      </c>
      <c r="BX104" s="19">
        <f t="shared" si="130"/>
        <v>1</v>
      </c>
      <c r="BY104" s="19">
        <v>10</v>
      </c>
      <c r="BZ104" s="19">
        <f t="shared" si="131"/>
        <v>1</v>
      </c>
      <c r="CA104" s="37">
        <v>0</v>
      </c>
      <c r="CB104" s="48" t="str">
        <f t="shared" si="132"/>
        <v>サンリオボアミラー</v>
      </c>
      <c r="CC104" s="51">
        <f t="shared" si="133"/>
        <v>1100</v>
      </c>
      <c r="CD104" s="19">
        <f t="shared" si="134"/>
        <v>1100</v>
      </c>
      <c r="CE104" s="20">
        <f t="shared" si="135"/>
        <v>0.57894736842105265</v>
      </c>
      <c r="CF104" s="11"/>
    </row>
    <row r="105" spans="1:84" ht="15" customHeight="1" thickTop="1">
      <c r="A105" s="12"/>
      <c r="B105" s="8"/>
      <c r="C105" s="9"/>
      <c r="D105" s="9" t="str">
        <f t="shared" si="144"/>
        <v/>
      </c>
      <c r="E105" s="9"/>
      <c r="F105" s="9" t="str">
        <f t="shared" si="145"/>
        <v/>
      </c>
      <c r="G105" s="9"/>
      <c r="H105" s="9" t="str">
        <f t="shared" si="146"/>
        <v/>
      </c>
      <c r="I105" s="9"/>
      <c r="J105" s="44"/>
      <c r="K105" s="44" t="str">
        <f>IF(C105="","",K104)</f>
        <v/>
      </c>
      <c r="L105" s="9" t="str">
        <f t="shared" si="136"/>
        <v/>
      </c>
      <c r="M105" s="10" t="str">
        <f t="shared" si="137"/>
        <v/>
      </c>
      <c r="N105" s="11"/>
      <c r="O105" s="2"/>
      <c r="P105" s="65">
        <f>IF($A84="","",$A84)</f>
        <v>46149</v>
      </c>
      <c r="Q105" s="9">
        <v>13743</v>
      </c>
      <c r="R105" s="44">
        <f t="shared" si="101"/>
        <v>107</v>
      </c>
      <c r="S105" s="9">
        <v>392</v>
      </c>
      <c r="T105" s="23">
        <f t="shared" si="102"/>
        <v>1</v>
      </c>
      <c r="U105" s="9">
        <v>15</v>
      </c>
      <c r="V105" s="44">
        <f t="shared" si="103"/>
        <v>2</v>
      </c>
      <c r="W105" s="66">
        <v>2</v>
      </c>
      <c r="X105" s="61" t="str">
        <f t="shared" si="138"/>
        <v>ベアブリック</v>
      </c>
      <c r="Y105" s="62">
        <f t="shared" si="139"/>
        <v>770</v>
      </c>
      <c r="Z105" s="23">
        <f t="shared" si="106"/>
        <v>1540</v>
      </c>
      <c r="AA105" s="24">
        <f t="shared" si="107"/>
        <v>0.14392523364485982</v>
      </c>
      <c r="AB105" s="11"/>
      <c r="AD105" s="65">
        <f>IF($A84="","",$A84)</f>
        <v>46149</v>
      </c>
      <c r="AE105" s="9">
        <v>11221</v>
      </c>
      <c r="AF105" s="113">
        <f t="shared" si="108"/>
        <v>63</v>
      </c>
      <c r="AG105" s="9">
        <v>290</v>
      </c>
      <c r="AH105" s="23">
        <f t="shared" si="109"/>
        <v>1</v>
      </c>
      <c r="AI105" s="9">
        <v>14</v>
      </c>
      <c r="AJ105" s="44">
        <f t="shared" si="110"/>
        <v>1</v>
      </c>
      <c r="AK105" s="66">
        <v>1</v>
      </c>
      <c r="AL105" s="61" t="str">
        <f t="shared" si="111"/>
        <v>ゲーム機柄イヤホン</v>
      </c>
      <c r="AM105" s="62">
        <f t="shared" si="112"/>
        <v>770</v>
      </c>
      <c r="AN105" s="23">
        <f t="shared" si="113"/>
        <v>770</v>
      </c>
      <c r="AO105" s="24">
        <f t="shared" si="114"/>
        <v>0.12222222222222222</v>
      </c>
      <c r="AP105" s="11"/>
      <c r="AR105" s="65">
        <f>IF($A84="","",$A84)</f>
        <v>46149</v>
      </c>
      <c r="AS105" s="9">
        <v>1395</v>
      </c>
      <c r="AT105" s="44">
        <f t="shared" si="115"/>
        <v>24</v>
      </c>
      <c r="AU105" s="9">
        <v>1056</v>
      </c>
      <c r="AV105" s="23">
        <f t="shared" si="116"/>
        <v>3</v>
      </c>
      <c r="AW105" s="9">
        <v>21</v>
      </c>
      <c r="AX105" s="44">
        <f t="shared" si="117"/>
        <v>3</v>
      </c>
      <c r="AY105" s="66">
        <v>5</v>
      </c>
      <c r="AZ105" s="61" t="str">
        <f t="shared" si="118"/>
        <v>サンリオ千鳥格子フェイス</v>
      </c>
      <c r="BA105" s="62">
        <f t="shared" si="119"/>
        <v>700</v>
      </c>
      <c r="BB105" s="23">
        <f t="shared" si="120"/>
        <v>2100</v>
      </c>
      <c r="BC105" s="24">
        <f t="shared" si="121"/>
        <v>0.875</v>
      </c>
      <c r="BD105" s="148" t="s">
        <v>377</v>
      </c>
      <c r="BF105" s="65">
        <f>IF($A84="","",$A84)</f>
        <v>46149</v>
      </c>
      <c r="BG105" s="9">
        <v>1532</v>
      </c>
      <c r="BH105" s="44">
        <f t="shared" si="122"/>
        <v>17</v>
      </c>
      <c r="BI105" s="9">
        <v>1045</v>
      </c>
      <c r="BJ105" s="23">
        <f t="shared" si="123"/>
        <v>1</v>
      </c>
      <c r="BK105" s="9">
        <v>9</v>
      </c>
      <c r="BL105" s="44">
        <f t="shared" si="124"/>
        <v>1</v>
      </c>
      <c r="BM105" s="66">
        <v>2</v>
      </c>
      <c r="BN105" s="61" t="str">
        <f t="shared" si="125"/>
        <v>キティしっぽ付きフェイス</v>
      </c>
      <c r="BO105" s="62">
        <f t="shared" si="126"/>
        <v>825</v>
      </c>
      <c r="BP105" s="23">
        <f t="shared" si="127"/>
        <v>825</v>
      </c>
      <c r="BQ105" s="24">
        <f t="shared" si="128"/>
        <v>0.48529411764705882</v>
      </c>
      <c r="BR105" s="11" t="s">
        <v>287</v>
      </c>
      <c r="BT105" s="65">
        <f>IF($A84="","",$A84)</f>
        <v>46149</v>
      </c>
      <c r="BU105" s="9">
        <v>1360</v>
      </c>
      <c r="BV105" s="44">
        <f t="shared" si="129"/>
        <v>24</v>
      </c>
      <c r="BW105" s="9">
        <v>1058</v>
      </c>
      <c r="BX105" s="23">
        <f t="shared" si="130"/>
        <v>1</v>
      </c>
      <c r="BY105" s="9">
        <v>13</v>
      </c>
      <c r="BZ105" s="44">
        <f t="shared" si="131"/>
        <v>1</v>
      </c>
      <c r="CA105" s="66">
        <v>0</v>
      </c>
      <c r="CB105" s="61" t="str">
        <f t="shared" si="132"/>
        <v>サンリオリュックポーチ</v>
      </c>
      <c r="CC105" s="62">
        <f t="shared" si="133"/>
        <v>935</v>
      </c>
      <c r="CD105" s="23">
        <f t="shared" si="134"/>
        <v>935</v>
      </c>
      <c r="CE105" s="24">
        <f t="shared" si="135"/>
        <v>0.38958333333333334</v>
      </c>
      <c r="CF105" s="11"/>
    </row>
    <row r="106" spans="1:84" ht="15" customHeight="1">
      <c r="A106" s="12"/>
      <c r="B106" s="8"/>
      <c r="C106" s="9"/>
      <c r="D106" s="9" t="str">
        <f t="shared" si="144"/>
        <v/>
      </c>
      <c r="E106" s="9"/>
      <c r="F106" s="9" t="str">
        <f t="shared" si="145"/>
        <v/>
      </c>
      <c r="G106" s="9"/>
      <c r="H106" s="9" t="str">
        <f t="shared" si="146"/>
        <v/>
      </c>
      <c r="I106" s="9"/>
      <c r="J106" s="44"/>
      <c r="K106" s="44" t="str">
        <f>IF(C106="","",K105)</f>
        <v/>
      </c>
      <c r="L106" s="9" t="str">
        <f t="shared" si="136"/>
        <v/>
      </c>
      <c r="M106" s="10" t="str">
        <f t="shared" si="137"/>
        <v/>
      </c>
      <c r="N106" s="11"/>
      <c r="O106" s="2"/>
      <c r="P106" s="12"/>
      <c r="Q106" s="44">
        <v>13367</v>
      </c>
      <c r="R106" s="9">
        <f t="shared" si="101"/>
        <v>105</v>
      </c>
      <c r="S106" s="44">
        <v>279</v>
      </c>
      <c r="T106" s="9">
        <f t="shared" si="102"/>
        <v>1</v>
      </c>
      <c r="U106" s="9">
        <v>4</v>
      </c>
      <c r="V106" s="9">
        <f t="shared" si="103"/>
        <v>2</v>
      </c>
      <c r="W106" s="13">
        <v>0</v>
      </c>
      <c r="X106" s="47" t="str">
        <f t="shared" si="138"/>
        <v>カラビナファン</v>
      </c>
      <c r="Y106" s="45">
        <f t="shared" si="139"/>
        <v>1100</v>
      </c>
      <c r="Z106" s="9">
        <f t="shared" si="106"/>
        <v>2200</v>
      </c>
      <c r="AA106" s="10">
        <f t="shared" si="107"/>
        <v>0.20952380952380953</v>
      </c>
      <c r="AB106" s="129" t="s">
        <v>373</v>
      </c>
      <c r="AD106" s="12"/>
      <c r="AE106" s="44">
        <v>13612</v>
      </c>
      <c r="AF106" s="9">
        <f t="shared" si="108"/>
        <v>94</v>
      </c>
      <c r="AG106" s="44">
        <v>245</v>
      </c>
      <c r="AH106" s="9">
        <f t="shared" si="109"/>
        <v>3</v>
      </c>
      <c r="AI106" s="9">
        <v>9</v>
      </c>
      <c r="AJ106" s="9">
        <f t="shared" si="110"/>
        <v>3</v>
      </c>
      <c r="AK106" s="13">
        <v>-1</v>
      </c>
      <c r="AL106" s="47" t="str">
        <f t="shared" si="111"/>
        <v>デジタルミニカメラ</v>
      </c>
      <c r="AM106" s="45">
        <f t="shared" si="112"/>
        <v>538</v>
      </c>
      <c r="AN106" s="9">
        <f t="shared" si="113"/>
        <v>1614</v>
      </c>
      <c r="AO106" s="10">
        <f t="shared" si="114"/>
        <v>0.17170212765957446</v>
      </c>
      <c r="AP106" s="11" t="s">
        <v>372</v>
      </c>
      <c r="AR106" s="12"/>
      <c r="AS106" s="44">
        <v>1612</v>
      </c>
      <c r="AT106" s="9">
        <f t="shared" si="115"/>
        <v>35</v>
      </c>
      <c r="AU106" s="44">
        <v>1052</v>
      </c>
      <c r="AV106" s="9">
        <f t="shared" si="116"/>
        <v>1</v>
      </c>
      <c r="AW106" s="9">
        <v>11</v>
      </c>
      <c r="AX106" s="9">
        <f t="shared" si="117"/>
        <v>0</v>
      </c>
      <c r="AY106" s="13">
        <v>5</v>
      </c>
      <c r="AZ106" s="47" t="str">
        <f t="shared" si="118"/>
        <v>サンリオボアバンスクリップ</v>
      </c>
      <c r="BA106" s="45">
        <f t="shared" si="119"/>
        <v>1100</v>
      </c>
      <c r="BB106" s="9">
        <f t="shared" si="120"/>
        <v>0</v>
      </c>
      <c r="BC106" s="10">
        <f t="shared" si="121"/>
        <v>0</v>
      </c>
      <c r="BD106" s="11"/>
      <c r="BF106" s="12"/>
      <c r="BG106" s="44">
        <v>1290</v>
      </c>
      <c r="BH106" s="9">
        <f t="shared" si="122"/>
        <v>28</v>
      </c>
      <c r="BI106" s="44">
        <v>1061</v>
      </c>
      <c r="BJ106" s="9">
        <f t="shared" si="123"/>
        <v>0</v>
      </c>
      <c r="BK106" s="9">
        <v>8</v>
      </c>
      <c r="BL106" s="9">
        <f t="shared" si="124"/>
        <v>2</v>
      </c>
      <c r="BM106" s="13">
        <v>2</v>
      </c>
      <c r="BN106" s="47" t="str">
        <f t="shared" si="125"/>
        <v>キルティングキティポーチ</v>
      </c>
      <c r="BO106" s="45">
        <f t="shared" si="126"/>
        <v>0</v>
      </c>
      <c r="BP106" s="9">
        <f t="shared" si="127"/>
        <v>0</v>
      </c>
      <c r="BQ106" s="10">
        <f t="shared" si="128"/>
        <v>0</v>
      </c>
      <c r="BR106" s="148" t="s">
        <v>376</v>
      </c>
      <c r="BT106" s="12"/>
      <c r="BU106" s="44">
        <v>1357</v>
      </c>
      <c r="BV106" s="9">
        <f t="shared" si="129"/>
        <v>70</v>
      </c>
      <c r="BW106" s="44">
        <v>1046</v>
      </c>
      <c r="BX106" s="9">
        <f t="shared" si="130"/>
        <v>1</v>
      </c>
      <c r="BY106" s="9">
        <v>9</v>
      </c>
      <c r="BZ106" s="9">
        <f t="shared" si="131"/>
        <v>1</v>
      </c>
      <c r="CA106" s="13">
        <v>1</v>
      </c>
      <c r="CB106" s="47" t="str">
        <f t="shared" si="132"/>
        <v>ネコメイドキティマスコット</v>
      </c>
      <c r="CC106" s="45">
        <f t="shared" si="133"/>
        <v>935</v>
      </c>
      <c r="CD106" s="9">
        <f t="shared" si="134"/>
        <v>935</v>
      </c>
      <c r="CE106" s="10">
        <f t="shared" si="135"/>
        <v>0.13357142857142856</v>
      </c>
      <c r="CF106" s="11"/>
    </row>
    <row r="107" spans="1:84">
      <c r="A107" s="12"/>
      <c r="B107" s="8"/>
      <c r="C107" s="9"/>
      <c r="D107" s="9" t="str">
        <f t="shared" si="144"/>
        <v/>
      </c>
      <c r="E107" s="9"/>
      <c r="F107" s="9" t="str">
        <f t="shared" si="145"/>
        <v/>
      </c>
      <c r="G107" s="9"/>
      <c r="H107" s="9" t="str">
        <f t="shared" si="146"/>
        <v/>
      </c>
      <c r="I107" s="9"/>
      <c r="J107" s="9"/>
      <c r="K107" s="9"/>
      <c r="L107" s="9" t="str">
        <f t="shared" si="136"/>
        <v/>
      </c>
      <c r="M107" s="10" t="str">
        <f t="shared" si="137"/>
        <v/>
      </c>
      <c r="N107" s="11"/>
      <c r="O107" s="2"/>
      <c r="P107" s="12"/>
      <c r="Q107" s="9">
        <v>15278</v>
      </c>
      <c r="R107" s="9">
        <f t="shared" si="101"/>
        <v>123</v>
      </c>
      <c r="S107" s="9">
        <v>498</v>
      </c>
      <c r="T107" s="9">
        <f t="shared" si="102"/>
        <v>1</v>
      </c>
      <c r="U107" s="9">
        <v>12</v>
      </c>
      <c r="V107" s="9">
        <f t="shared" si="103"/>
        <v>1</v>
      </c>
      <c r="W107" s="38">
        <v>4</v>
      </c>
      <c r="X107" s="47" t="str">
        <f t="shared" si="138"/>
        <v>たまごっちミニポーチ</v>
      </c>
      <c r="Y107" s="9">
        <f t="shared" si="139"/>
        <v>770</v>
      </c>
      <c r="Z107" s="9">
        <f t="shared" si="106"/>
        <v>770</v>
      </c>
      <c r="AA107" s="10">
        <f t="shared" si="107"/>
        <v>6.2601626016260167E-2</v>
      </c>
      <c r="AB107" s="11"/>
      <c r="AD107" s="12"/>
      <c r="AE107" s="9">
        <v>15750</v>
      </c>
      <c r="AF107" s="9">
        <f t="shared" si="108"/>
        <v>343</v>
      </c>
      <c r="AG107" s="9">
        <v>523</v>
      </c>
      <c r="AH107" s="9">
        <f t="shared" si="109"/>
        <v>3</v>
      </c>
      <c r="AI107" s="9">
        <v>7</v>
      </c>
      <c r="AJ107" s="9">
        <f t="shared" si="110"/>
        <v>7</v>
      </c>
      <c r="AK107" s="38">
        <v>7</v>
      </c>
      <c r="AL107" s="47" t="str">
        <f t="shared" si="111"/>
        <v>たまごっちブロックシール</v>
      </c>
      <c r="AM107" s="9">
        <f t="shared" si="112"/>
        <v>600</v>
      </c>
      <c r="AN107" s="9">
        <f t="shared" si="113"/>
        <v>4200</v>
      </c>
      <c r="AO107" s="10">
        <f t="shared" si="114"/>
        <v>0.12244897959183673</v>
      </c>
      <c r="AP107" s="94" t="s">
        <v>371</v>
      </c>
      <c r="AR107" s="12"/>
      <c r="AS107" s="9">
        <v>1477</v>
      </c>
      <c r="AT107" s="9">
        <f t="shared" si="115"/>
        <v>43</v>
      </c>
      <c r="AU107" s="9">
        <v>1040</v>
      </c>
      <c r="AV107" s="9">
        <f t="shared" si="116"/>
        <v>1</v>
      </c>
      <c r="AW107" s="9">
        <v>6</v>
      </c>
      <c r="AX107" s="9">
        <f t="shared" si="117"/>
        <v>1</v>
      </c>
      <c r="AY107" s="38">
        <v>4</v>
      </c>
      <c r="AZ107" s="47" t="str">
        <f t="shared" si="118"/>
        <v>サンリオヒョウ柄バニティ</v>
      </c>
      <c r="BA107" s="9">
        <f t="shared" si="119"/>
        <v>1056</v>
      </c>
      <c r="BB107" s="9">
        <f t="shared" si="120"/>
        <v>1056</v>
      </c>
      <c r="BC107" s="10">
        <f t="shared" si="121"/>
        <v>0.24558139534883722</v>
      </c>
      <c r="BD107" s="11"/>
      <c r="BF107" s="12"/>
      <c r="BG107" s="9">
        <v>1519</v>
      </c>
      <c r="BH107" s="81">
        <f t="shared" si="122"/>
        <v>9</v>
      </c>
      <c r="BI107" s="9">
        <v>1044</v>
      </c>
      <c r="BJ107" s="9">
        <f t="shared" si="123"/>
        <v>2</v>
      </c>
      <c r="BK107" s="9">
        <v>8</v>
      </c>
      <c r="BL107" s="9">
        <f t="shared" si="124"/>
        <v>2</v>
      </c>
      <c r="BM107" s="38">
        <v>0</v>
      </c>
      <c r="BN107" s="47" t="str">
        <f t="shared" si="125"/>
        <v>サンリオヒョウ柄ポーチ</v>
      </c>
      <c r="BO107" s="9">
        <f t="shared" si="126"/>
        <v>935</v>
      </c>
      <c r="BP107" s="9">
        <f t="shared" si="127"/>
        <v>1870</v>
      </c>
      <c r="BQ107" s="10">
        <f t="shared" si="128"/>
        <v>2.0777777777777779</v>
      </c>
      <c r="BR107" s="11" t="s">
        <v>325</v>
      </c>
      <c r="BT107" s="12"/>
      <c r="BU107" s="9">
        <v>1407</v>
      </c>
      <c r="BV107" s="9">
        <f t="shared" si="129"/>
        <v>26</v>
      </c>
      <c r="BW107" s="9">
        <v>1079</v>
      </c>
      <c r="BX107" s="9">
        <f t="shared" si="130"/>
        <v>4</v>
      </c>
      <c r="BY107" s="9">
        <v>122</v>
      </c>
      <c r="BZ107" s="9">
        <f t="shared" si="131"/>
        <v>4</v>
      </c>
      <c r="CA107" s="38">
        <v>5</v>
      </c>
      <c r="CB107" s="47" t="str">
        <f t="shared" si="132"/>
        <v>サンリオシューズ</v>
      </c>
      <c r="CC107" s="9">
        <f t="shared" si="133"/>
        <v>400</v>
      </c>
      <c r="CD107" s="9">
        <f t="shared" si="134"/>
        <v>1600</v>
      </c>
      <c r="CE107" s="10">
        <f t="shared" si="135"/>
        <v>0.61538461538461542</v>
      </c>
      <c r="CF107" s="11" t="s">
        <v>341</v>
      </c>
    </row>
    <row r="108" spans="1:84" ht="15" customHeight="1" thickBot="1">
      <c r="A108" s="12"/>
      <c r="B108" s="8"/>
      <c r="C108" s="9"/>
      <c r="D108" s="9" t="str">
        <f t="shared" si="144"/>
        <v/>
      </c>
      <c r="E108" s="9"/>
      <c r="F108" s="9" t="str">
        <f t="shared" si="145"/>
        <v/>
      </c>
      <c r="G108" s="9"/>
      <c r="H108" s="9" t="str">
        <f t="shared" si="146"/>
        <v/>
      </c>
      <c r="I108" s="9"/>
      <c r="J108" s="9"/>
      <c r="K108" s="9"/>
      <c r="L108" s="9" t="str">
        <f t="shared" si="136"/>
        <v/>
      </c>
      <c r="M108" s="10" t="str">
        <f t="shared" si="137"/>
        <v/>
      </c>
      <c r="N108" s="11"/>
      <c r="O108" s="2"/>
      <c r="P108" s="18"/>
      <c r="Q108" s="19">
        <v>18284</v>
      </c>
      <c r="R108" s="19">
        <f t="shared" si="101"/>
        <v>116</v>
      </c>
      <c r="S108" s="19">
        <v>453</v>
      </c>
      <c r="T108" s="19">
        <f t="shared" si="102"/>
        <v>2</v>
      </c>
      <c r="U108" s="19">
        <v>12</v>
      </c>
      <c r="V108" s="19">
        <f t="shared" si="103"/>
        <v>2</v>
      </c>
      <c r="W108" s="37">
        <v>6</v>
      </c>
      <c r="X108" s="48" t="s">
        <v>374</v>
      </c>
      <c r="Y108" s="51">
        <f t="shared" si="139"/>
        <v>440</v>
      </c>
      <c r="Z108" s="19">
        <f t="shared" si="106"/>
        <v>880</v>
      </c>
      <c r="AA108" s="20">
        <f t="shared" si="107"/>
        <v>7.586206896551724E-2</v>
      </c>
      <c r="AB108" s="11" t="s">
        <v>375</v>
      </c>
      <c r="AD108" s="18"/>
      <c r="AE108" s="19">
        <v>19371</v>
      </c>
      <c r="AF108" s="19">
        <f t="shared" si="108"/>
        <v>165</v>
      </c>
      <c r="AG108" s="19">
        <v>719</v>
      </c>
      <c r="AH108" s="19">
        <f t="shared" si="109"/>
        <v>9</v>
      </c>
      <c r="AI108" s="19">
        <v>26</v>
      </c>
      <c r="AJ108" s="19">
        <f t="shared" si="110"/>
        <v>11</v>
      </c>
      <c r="AK108" s="37">
        <v>10</v>
      </c>
      <c r="AL108" s="48" t="str">
        <f t="shared" si="111"/>
        <v>ボンドロシール</v>
      </c>
      <c r="AM108" s="51">
        <f t="shared" si="112"/>
        <v>150</v>
      </c>
      <c r="AN108" s="19">
        <f t="shared" si="113"/>
        <v>1650</v>
      </c>
      <c r="AO108" s="20">
        <f t="shared" si="114"/>
        <v>0.1</v>
      </c>
      <c r="AP108" s="11"/>
      <c r="AR108" s="18"/>
      <c r="AS108" s="19">
        <v>1357</v>
      </c>
      <c r="AT108" s="82">
        <f t="shared" si="115"/>
        <v>10</v>
      </c>
      <c r="AU108" s="19">
        <v>1046</v>
      </c>
      <c r="AV108" s="19">
        <f t="shared" si="116"/>
        <v>1</v>
      </c>
      <c r="AW108" s="19">
        <v>3</v>
      </c>
      <c r="AX108" s="19">
        <f t="shared" si="117"/>
        <v>1</v>
      </c>
      <c r="AY108" s="37">
        <v>0</v>
      </c>
      <c r="AZ108" s="48" t="str">
        <f t="shared" si="118"/>
        <v>サンリオファン</v>
      </c>
      <c r="BA108" s="51">
        <f t="shared" si="119"/>
        <v>1100</v>
      </c>
      <c r="BB108" s="19">
        <f t="shared" si="120"/>
        <v>1100</v>
      </c>
      <c r="BC108" s="20">
        <f t="shared" si="121"/>
        <v>1.1000000000000001</v>
      </c>
      <c r="BD108" s="129" t="s">
        <v>378</v>
      </c>
      <c r="BF108" s="18"/>
      <c r="BG108" s="19">
        <v>1815</v>
      </c>
      <c r="BH108" s="19">
        <f t="shared" si="122"/>
        <v>44</v>
      </c>
      <c r="BI108" s="19">
        <v>1139</v>
      </c>
      <c r="BJ108" s="19">
        <f t="shared" si="123"/>
        <v>3</v>
      </c>
      <c r="BK108" s="19">
        <v>142</v>
      </c>
      <c r="BL108" s="19">
        <f t="shared" si="124"/>
        <v>3</v>
      </c>
      <c r="BM108" s="37">
        <v>12</v>
      </c>
      <c r="BN108" s="48" t="str">
        <f t="shared" si="125"/>
        <v>キティボールペン</v>
      </c>
      <c r="BO108" s="51">
        <f t="shared" si="126"/>
        <v>283</v>
      </c>
      <c r="BP108" s="19">
        <f t="shared" si="127"/>
        <v>849</v>
      </c>
      <c r="BQ108" s="20">
        <f t="shared" si="128"/>
        <v>0.19295454545454546</v>
      </c>
      <c r="BR108" s="11"/>
      <c r="BT108" s="18"/>
      <c r="BU108" s="19">
        <v>1483</v>
      </c>
      <c r="BV108" s="19">
        <f t="shared" si="129"/>
        <v>37</v>
      </c>
      <c r="BW108" s="19">
        <v>1038</v>
      </c>
      <c r="BX108" s="19">
        <f t="shared" si="130"/>
        <v>1</v>
      </c>
      <c r="BY108" s="19">
        <v>9</v>
      </c>
      <c r="BZ108" s="19">
        <f t="shared" si="131"/>
        <v>1</v>
      </c>
      <c r="CA108" s="37">
        <v>1</v>
      </c>
      <c r="CB108" s="48" t="str">
        <f t="shared" si="132"/>
        <v>サンリオボアミラー</v>
      </c>
      <c r="CC108" s="51">
        <f t="shared" si="133"/>
        <v>1100</v>
      </c>
      <c r="CD108" s="19">
        <f t="shared" si="134"/>
        <v>1100</v>
      </c>
      <c r="CE108" s="20">
        <f t="shared" si="135"/>
        <v>0.29729729729729731</v>
      </c>
      <c r="CF108" s="11"/>
    </row>
    <row r="109" spans="1:84" ht="15" customHeight="1" thickTop="1">
      <c r="A109" s="12"/>
      <c r="B109" s="8"/>
      <c r="C109" s="9"/>
      <c r="D109" s="9" t="str">
        <f t="shared" si="144"/>
        <v/>
      </c>
      <c r="E109" s="9"/>
      <c r="F109" s="9" t="str">
        <f t="shared" si="145"/>
        <v/>
      </c>
      <c r="G109" s="9"/>
      <c r="H109" s="9" t="str">
        <f t="shared" si="146"/>
        <v/>
      </c>
      <c r="I109" s="9"/>
      <c r="J109" s="9"/>
      <c r="K109" s="9"/>
      <c r="L109" s="9" t="str">
        <f t="shared" si="136"/>
        <v/>
      </c>
      <c r="M109" s="10" t="str">
        <f t="shared" si="137"/>
        <v/>
      </c>
      <c r="N109" s="11"/>
      <c r="O109" s="2"/>
      <c r="P109" s="65" t="str">
        <f>IF($A85="","",$A85)</f>
        <v/>
      </c>
      <c r="Q109" s="9"/>
      <c r="R109" s="44"/>
      <c r="S109" s="9"/>
      <c r="T109" s="23"/>
      <c r="U109" s="9"/>
      <c r="V109" s="44"/>
      <c r="W109" s="66"/>
      <c r="X109" s="61"/>
      <c r="Y109" s="62"/>
      <c r="Z109" s="23"/>
      <c r="AA109" s="24"/>
      <c r="AB109" s="11"/>
      <c r="AD109" s="65"/>
      <c r="AE109" s="9"/>
      <c r="AF109" s="44"/>
      <c r="AG109" s="9"/>
      <c r="AH109" s="23"/>
      <c r="AI109" s="9"/>
      <c r="AJ109" s="44"/>
      <c r="AK109" s="66"/>
      <c r="AL109" s="61"/>
      <c r="AM109" s="62"/>
      <c r="AN109" s="23"/>
      <c r="AO109" s="24"/>
      <c r="AP109" s="11"/>
      <c r="AR109" s="65"/>
      <c r="AS109" s="9"/>
      <c r="AT109" s="113"/>
      <c r="AU109" s="9"/>
      <c r="AV109" s="23"/>
      <c r="AW109" s="9"/>
      <c r="AX109" s="44"/>
      <c r="AY109" s="66"/>
      <c r="AZ109" s="61"/>
      <c r="BA109" s="62"/>
      <c r="BB109" s="23"/>
      <c r="BC109" s="24"/>
      <c r="BD109" s="11"/>
      <c r="BF109" s="65"/>
      <c r="BG109" s="9"/>
      <c r="BH109" s="113"/>
      <c r="BI109" s="9"/>
      <c r="BJ109" s="23"/>
      <c r="BK109" s="9"/>
      <c r="BL109" s="44"/>
      <c r="BM109" s="66"/>
      <c r="BN109" s="61"/>
      <c r="BO109" s="62"/>
      <c r="BP109" s="23"/>
      <c r="BQ109" s="24"/>
      <c r="BR109" s="11"/>
      <c r="BT109" s="65"/>
      <c r="BU109" s="9"/>
      <c r="BV109" s="44"/>
      <c r="BW109" s="9"/>
      <c r="BX109" s="23"/>
      <c r="BY109" s="9"/>
      <c r="BZ109" s="44"/>
      <c r="CA109" s="66"/>
      <c r="CB109" s="61"/>
      <c r="CC109" s="62"/>
      <c r="CD109" s="23"/>
      <c r="CE109" s="24"/>
      <c r="CF109" s="11"/>
    </row>
    <row r="110" spans="1:84" ht="15" customHeight="1">
      <c r="A110" s="12"/>
      <c r="B110" s="8"/>
      <c r="C110" s="9"/>
      <c r="D110" s="9" t="str">
        <f t="shared" si="144"/>
        <v/>
      </c>
      <c r="E110" s="9"/>
      <c r="F110" s="9" t="str">
        <f t="shared" si="145"/>
        <v/>
      </c>
      <c r="G110" s="9"/>
      <c r="H110" s="9" t="str">
        <f t="shared" si="146"/>
        <v/>
      </c>
      <c r="I110" s="9"/>
      <c r="J110" s="9"/>
      <c r="K110" s="9"/>
      <c r="L110" s="9" t="str">
        <f t="shared" si="136"/>
        <v/>
      </c>
      <c r="M110" s="10" t="str">
        <f t="shared" si="137"/>
        <v/>
      </c>
      <c r="N110" s="11"/>
      <c r="O110" s="2"/>
      <c r="P110" s="12"/>
      <c r="Q110" s="44"/>
      <c r="R110" s="9"/>
      <c r="S110" s="44"/>
      <c r="T110" s="9"/>
      <c r="U110" s="9"/>
      <c r="V110" s="9"/>
      <c r="W110" s="13"/>
      <c r="X110" s="47"/>
      <c r="Y110" s="45"/>
      <c r="Z110" s="9"/>
      <c r="AA110" s="10"/>
      <c r="AB110" s="11"/>
      <c r="AD110" s="12"/>
      <c r="AE110" s="44"/>
      <c r="AF110" s="9"/>
      <c r="AG110" s="44"/>
      <c r="AH110" s="9"/>
      <c r="AI110" s="9"/>
      <c r="AJ110" s="9"/>
      <c r="AK110" s="13"/>
      <c r="AL110" s="47"/>
      <c r="AM110" s="45"/>
      <c r="AN110" s="9"/>
      <c r="AO110" s="10"/>
      <c r="AP110" s="11"/>
      <c r="AR110" s="12"/>
      <c r="AS110" s="44"/>
      <c r="AT110" s="9"/>
      <c r="AU110" s="44"/>
      <c r="AV110" s="9"/>
      <c r="AW110" s="9"/>
      <c r="AX110" s="9"/>
      <c r="AY110" s="13"/>
      <c r="AZ110" s="47"/>
      <c r="BA110" s="45"/>
      <c r="BB110" s="9"/>
      <c r="BC110" s="10"/>
      <c r="BD110" s="11"/>
      <c r="BF110" s="12"/>
      <c r="BG110" s="44"/>
      <c r="BH110" s="9"/>
      <c r="BI110" s="44"/>
      <c r="BJ110" s="9"/>
      <c r="BK110" s="9"/>
      <c r="BL110" s="9"/>
      <c r="BM110" s="13"/>
      <c r="BN110" s="47"/>
      <c r="BO110" s="45"/>
      <c r="BP110" s="9"/>
      <c r="BQ110" s="10"/>
      <c r="BR110" s="11"/>
      <c r="BT110" s="12"/>
      <c r="BU110" s="44"/>
      <c r="BV110" s="9"/>
      <c r="BW110" s="44"/>
      <c r="BX110" s="9"/>
      <c r="BY110" s="9"/>
      <c r="BZ110" s="9"/>
      <c r="CA110" s="13"/>
      <c r="CB110" s="47"/>
      <c r="CC110" s="45"/>
      <c r="CD110" s="9"/>
      <c r="CE110" s="10"/>
      <c r="CF110" s="11"/>
    </row>
    <row r="111" spans="1:84" ht="15" customHeight="1">
      <c r="A111" s="12"/>
      <c r="B111" s="8"/>
      <c r="C111" s="9"/>
      <c r="D111" s="9" t="str">
        <f t="shared" si="144"/>
        <v/>
      </c>
      <c r="E111" s="9"/>
      <c r="F111" s="9" t="str">
        <f t="shared" si="145"/>
        <v/>
      </c>
      <c r="G111" s="9"/>
      <c r="H111" s="9" t="str">
        <f t="shared" si="146"/>
        <v/>
      </c>
      <c r="I111" s="9"/>
      <c r="J111" s="9"/>
      <c r="K111" s="9"/>
      <c r="L111" s="9" t="str">
        <f t="shared" si="136"/>
        <v/>
      </c>
      <c r="M111" s="10" t="str">
        <f t="shared" si="137"/>
        <v/>
      </c>
      <c r="N111" s="11"/>
      <c r="O111" s="2"/>
      <c r="P111" s="12"/>
      <c r="Q111" s="9"/>
      <c r="R111" s="9"/>
      <c r="S111" s="9"/>
      <c r="T111" s="9"/>
      <c r="U111" s="9"/>
      <c r="V111" s="9"/>
      <c r="W111" s="38"/>
      <c r="X111" s="47"/>
      <c r="Y111" s="9"/>
      <c r="Z111" s="9"/>
      <c r="AA111" s="10"/>
      <c r="AB111" s="11"/>
      <c r="AD111" s="12"/>
      <c r="AE111" s="9"/>
      <c r="AF111" s="9"/>
      <c r="AG111" s="9"/>
      <c r="AH111" s="9"/>
      <c r="AI111" s="9"/>
      <c r="AJ111" s="9"/>
      <c r="AK111" s="38"/>
      <c r="AL111" s="47"/>
      <c r="AM111" s="9"/>
      <c r="AN111" s="9"/>
      <c r="AO111" s="10"/>
      <c r="AP111" s="11"/>
      <c r="AR111" s="12"/>
      <c r="AS111" s="9"/>
      <c r="AT111" s="81"/>
      <c r="AU111" s="9"/>
      <c r="AV111" s="9"/>
      <c r="AW111" s="9"/>
      <c r="AX111" s="9"/>
      <c r="AY111" s="38"/>
      <c r="AZ111" s="47"/>
      <c r="BA111" s="9"/>
      <c r="BB111" s="9"/>
      <c r="BC111" s="10"/>
      <c r="BD111" s="11"/>
      <c r="BF111" s="12"/>
      <c r="BG111" s="9"/>
      <c r="BH111" s="9"/>
      <c r="BI111" s="9"/>
      <c r="BJ111" s="9"/>
      <c r="BK111" s="9"/>
      <c r="BL111" s="9"/>
      <c r="BM111" s="38"/>
      <c r="BN111" s="47"/>
      <c r="BO111" s="9"/>
      <c r="BP111" s="9"/>
      <c r="BQ111" s="10"/>
      <c r="BR111" s="11"/>
      <c r="BT111" s="12"/>
      <c r="BU111" s="9"/>
      <c r="BV111" s="9"/>
      <c r="BW111" s="9"/>
      <c r="BX111" s="9"/>
      <c r="BY111" s="9"/>
      <c r="BZ111" s="9"/>
      <c r="CA111" s="38"/>
      <c r="CB111" s="47"/>
      <c r="CC111" s="9"/>
      <c r="CD111" s="9"/>
      <c r="CE111" s="10"/>
      <c r="CF111" s="11"/>
    </row>
    <row r="112" spans="1:84" ht="15" customHeight="1" thickBot="1">
      <c r="A112" s="12"/>
      <c r="B112" s="8"/>
      <c r="C112" s="9"/>
      <c r="D112" s="9" t="str">
        <f t="shared" si="144"/>
        <v/>
      </c>
      <c r="E112" s="9"/>
      <c r="F112" s="9" t="str">
        <f t="shared" si="145"/>
        <v/>
      </c>
      <c r="G112" s="9"/>
      <c r="H112" s="9" t="str">
        <f t="shared" si="146"/>
        <v/>
      </c>
      <c r="I112" s="9"/>
      <c r="J112" s="9"/>
      <c r="K112" s="9"/>
      <c r="L112" s="9" t="str">
        <f t="shared" si="136"/>
        <v/>
      </c>
      <c r="M112" s="10" t="str">
        <f t="shared" si="137"/>
        <v/>
      </c>
      <c r="N112" s="11"/>
      <c r="O112" s="2"/>
      <c r="P112" s="18"/>
      <c r="Q112" s="19"/>
      <c r="R112" s="19"/>
      <c r="S112" s="19"/>
      <c r="T112" s="19"/>
      <c r="U112" s="19"/>
      <c r="V112" s="19"/>
      <c r="W112" s="37"/>
      <c r="X112" s="48"/>
      <c r="Y112" s="51"/>
      <c r="Z112" s="19"/>
      <c r="AA112" s="20"/>
      <c r="AB112" s="11"/>
      <c r="AD112" s="18"/>
      <c r="AE112" s="19"/>
      <c r="AF112" s="19"/>
      <c r="AG112" s="19"/>
      <c r="AH112" s="19"/>
      <c r="AI112" s="19"/>
      <c r="AJ112" s="19"/>
      <c r="AK112" s="37"/>
      <c r="AL112" s="48"/>
      <c r="AM112" s="51"/>
      <c r="AN112" s="19"/>
      <c r="AO112" s="20"/>
      <c r="AP112" s="11"/>
      <c r="AR112" s="18"/>
      <c r="AS112" s="19"/>
      <c r="AT112" s="82"/>
      <c r="AU112" s="19"/>
      <c r="AV112" s="19"/>
      <c r="AW112" s="19"/>
      <c r="AX112" s="19"/>
      <c r="AY112" s="37"/>
      <c r="AZ112" s="48"/>
      <c r="BA112" s="51"/>
      <c r="BB112" s="19"/>
      <c r="BC112" s="20"/>
      <c r="BD112" s="11"/>
      <c r="BF112" s="18"/>
      <c r="BG112" s="19"/>
      <c r="BH112" s="19"/>
      <c r="BI112" s="19"/>
      <c r="BJ112" s="19"/>
      <c r="BK112" s="19"/>
      <c r="BL112" s="19"/>
      <c r="BM112" s="37"/>
      <c r="BN112" s="48"/>
      <c r="BO112" s="51"/>
      <c r="BP112" s="19"/>
      <c r="BQ112" s="20"/>
      <c r="BR112" s="11"/>
      <c r="BT112" s="18"/>
      <c r="BU112" s="19"/>
      <c r="BV112" s="82"/>
      <c r="BW112" s="19"/>
      <c r="BX112" s="19"/>
      <c r="BY112" s="19"/>
      <c r="BZ112" s="19"/>
      <c r="CA112" s="37"/>
      <c r="CB112" s="48"/>
      <c r="CC112" s="51"/>
      <c r="CD112" s="19"/>
      <c r="CE112" s="20"/>
      <c r="CF112" s="11"/>
    </row>
    <row r="113" spans="1:84" ht="15" customHeight="1" thickTop="1">
      <c r="A113" s="12"/>
      <c r="B113" s="8"/>
      <c r="C113" s="9"/>
      <c r="D113" s="9" t="str">
        <f t="shared" si="144"/>
        <v/>
      </c>
      <c r="E113" s="9"/>
      <c r="F113" s="9" t="str">
        <f t="shared" si="145"/>
        <v/>
      </c>
      <c r="G113" s="9"/>
      <c r="H113" s="9" t="str">
        <f t="shared" si="146"/>
        <v/>
      </c>
      <c r="I113" s="9"/>
      <c r="J113" s="9"/>
      <c r="K113" s="9"/>
      <c r="L113" s="9" t="str">
        <f t="shared" si="136"/>
        <v/>
      </c>
      <c r="M113" s="10" t="str">
        <f t="shared" si="137"/>
        <v/>
      </c>
      <c r="N113" s="11"/>
      <c r="O113" s="2"/>
      <c r="P113" s="65" t="str">
        <f>IF($A86="","",$A86)</f>
        <v/>
      </c>
      <c r="Q113" s="44"/>
      <c r="R113" s="44" t="str">
        <f t="shared" si="101"/>
        <v/>
      </c>
      <c r="S113" s="44"/>
      <c r="T113" s="23" t="str">
        <f t="shared" si="102"/>
        <v/>
      </c>
      <c r="U113" s="44"/>
      <c r="V113" s="44" t="str">
        <f t="shared" si="103"/>
        <v/>
      </c>
      <c r="W113" s="66"/>
      <c r="X113" s="61" t="str">
        <f t="shared" ref="X113:X132" si="147">IF(Q113="","",X109)</f>
        <v/>
      </c>
      <c r="Y113" s="62" t="str">
        <f t="shared" ref="Y113:Y117" si="148">IF(R113="","",Y109)</f>
        <v/>
      </c>
      <c r="Z113" s="23" t="str">
        <f t="shared" si="106"/>
        <v/>
      </c>
      <c r="AA113" s="24" t="str">
        <f t="shared" si="107"/>
        <v/>
      </c>
      <c r="AB113" s="11"/>
      <c r="AD113" s="65" t="str">
        <f>IF($A86="","",$A86)</f>
        <v/>
      </c>
      <c r="AE113" s="44"/>
      <c r="AF113" s="44" t="str">
        <f t="shared" ref="AF113:AF132" si="149">IF(AE113="","",AE113-AE109)</f>
        <v/>
      </c>
      <c r="AG113" s="44"/>
      <c r="AH113" s="23" t="str">
        <f t="shared" ref="AH113:AH132" si="150">IF(AG113="","",AG113-AG109)</f>
        <v/>
      </c>
      <c r="AI113" s="44"/>
      <c r="AJ113" s="44" t="str">
        <f t="shared" ref="AJ113:AJ132" si="151">IF(AI113="","",AI109+AK109-AI113)</f>
        <v/>
      </c>
      <c r="AK113" s="66"/>
      <c r="AL113" s="61" t="str">
        <f t="shared" ref="AL113:AL132" si="152">IF(AE113="","",AL109)</f>
        <v/>
      </c>
      <c r="AM113" s="62" t="str">
        <f t="shared" ref="AM113:AM117" si="153">IF(AF113="","",AM109)</f>
        <v/>
      </c>
      <c r="AN113" s="23" t="str">
        <f t="shared" ref="AN113:AN132" si="154">IF(AI113="","",AJ113*AM113)</f>
        <v/>
      </c>
      <c r="AO113" s="24" t="str">
        <f t="shared" ref="AO113:AO132" si="155">IF(AJ113="","",AN113/(AF113*100))</f>
        <v/>
      </c>
      <c r="AP113" s="11"/>
      <c r="AR113" s="65" t="str">
        <f>IF($A86="","",$A86)</f>
        <v/>
      </c>
      <c r="AS113" s="44"/>
      <c r="AT113" s="44" t="str">
        <f t="shared" ref="AT113:AT132" si="156">IF(AS113="","",AS113-AS109)</f>
        <v/>
      </c>
      <c r="AU113" s="44"/>
      <c r="AV113" s="23" t="str">
        <f t="shared" ref="AV113:AV132" si="157">IF(AU113="","",AU113-AU109)</f>
        <v/>
      </c>
      <c r="AW113" s="44"/>
      <c r="AX113" s="44" t="str">
        <f t="shared" ref="AX113:AX132" si="158">IF(AW113="","",AW109+AY109-AW113)</f>
        <v/>
      </c>
      <c r="AY113" s="66"/>
      <c r="AZ113" s="61" t="str">
        <f t="shared" ref="AZ113:AZ132" si="159">IF(AS113="","",AZ109)</f>
        <v/>
      </c>
      <c r="BA113" s="62" t="str">
        <f t="shared" ref="BA113:BA117" si="160">IF(AT113="","",BA109)</f>
        <v/>
      </c>
      <c r="BB113" s="23" t="str">
        <f t="shared" ref="BB113:BB132" si="161">IF(AW113="","",AX113*BA113)</f>
        <v/>
      </c>
      <c r="BC113" s="24" t="str">
        <f t="shared" ref="BC113:BC132" si="162">IF(AX113="","",BB113/(AT113*100))</f>
        <v/>
      </c>
      <c r="BD113" s="11"/>
      <c r="BF113" s="65" t="str">
        <f>IF($A86="","",$A86)</f>
        <v/>
      </c>
      <c r="BG113" s="44"/>
      <c r="BH113" s="44" t="str">
        <f t="shared" ref="BH113:BH132" si="163">IF(BG113="","",BG113-BG109)</f>
        <v/>
      </c>
      <c r="BI113" s="44"/>
      <c r="BJ113" s="23" t="str">
        <f t="shared" ref="BJ113:BJ132" si="164">IF(BI113="","",BI113-BI109)</f>
        <v/>
      </c>
      <c r="BK113" s="44"/>
      <c r="BL113" s="44" t="str">
        <f t="shared" ref="BL113:BL132" si="165">IF(BK113="","",BK109+BM109-BK113)</f>
        <v/>
      </c>
      <c r="BM113" s="66"/>
      <c r="BN113" s="61" t="str">
        <f t="shared" ref="BN113:BN132" si="166">IF(BG113="","",BN109)</f>
        <v/>
      </c>
      <c r="BO113" s="62" t="str">
        <f t="shared" ref="BO113:BO117" si="167">IF(BH113="","",BO109)</f>
        <v/>
      </c>
      <c r="BP113" s="23" t="str">
        <f t="shared" ref="BP113:BP132" si="168">IF(BK113="","",BL113*BO113)</f>
        <v/>
      </c>
      <c r="BQ113" s="24" t="str">
        <f t="shared" ref="BQ113:BQ132" si="169">IF(BL113="","",BP113/(BH113*100))</f>
        <v/>
      </c>
      <c r="BR113" s="11"/>
      <c r="BT113" s="65" t="str">
        <f>IF($A86="","",$A86)</f>
        <v/>
      </c>
      <c r="BU113" s="44"/>
      <c r="BV113" s="44" t="str">
        <f t="shared" ref="BV113:BV132" si="170">IF(BU113="","",BU113-BU109)</f>
        <v/>
      </c>
      <c r="BW113" s="44"/>
      <c r="BX113" s="23" t="str">
        <f t="shared" ref="BX113:BX132" si="171">IF(BW113="","",BW113-BW109)</f>
        <v/>
      </c>
      <c r="BY113" s="44"/>
      <c r="BZ113" s="44" t="str">
        <f t="shared" ref="BZ113:BZ132" si="172">IF(BY113="","",BY109+CA109-BY113)</f>
        <v/>
      </c>
      <c r="CA113" s="66"/>
      <c r="CB113" s="61" t="str">
        <f t="shared" ref="CB113:CB132" si="173">IF(BU113="","",CB109)</f>
        <v/>
      </c>
      <c r="CC113" s="62" t="str">
        <f t="shared" ref="CC113:CC117" si="174">IF(BV113="","",CC109)</f>
        <v/>
      </c>
      <c r="CD113" s="23" t="str">
        <f t="shared" ref="CD113:CD132" si="175">IF(BY113="","",BZ113*CC113)</f>
        <v/>
      </c>
      <c r="CE113" s="24" t="str">
        <f t="shared" ref="CE113:CE132" si="176">IF(BZ113="","",CD113/(BV113*100))</f>
        <v/>
      </c>
      <c r="CF113" s="11"/>
    </row>
    <row r="114" spans="1:84">
      <c r="A114" s="12"/>
      <c r="B114" s="8"/>
      <c r="C114" s="9"/>
      <c r="D114" s="9" t="str">
        <f t="shared" si="144"/>
        <v/>
      </c>
      <c r="E114" s="9"/>
      <c r="F114" s="9" t="str">
        <f t="shared" si="145"/>
        <v/>
      </c>
      <c r="G114" s="9"/>
      <c r="H114" s="9" t="str">
        <f t="shared" si="146"/>
        <v/>
      </c>
      <c r="I114" s="9"/>
      <c r="J114" s="9"/>
      <c r="K114" s="9"/>
      <c r="L114" s="9" t="str">
        <f t="shared" si="136"/>
        <v/>
      </c>
      <c r="M114" s="10" t="str">
        <f t="shared" si="137"/>
        <v/>
      </c>
      <c r="N114" s="11"/>
      <c r="O114" s="2"/>
      <c r="P114" s="12"/>
      <c r="Q114" s="9"/>
      <c r="R114" s="44" t="str">
        <f t="shared" si="101"/>
        <v/>
      </c>
      <c r="S114" s="9"/>
      <c r="T114" s="9" t="str">
        <f t="shared" si="102"/>
        <v/>
      </c>
      <c r="U114" s="9"/>
      <c r="V114" s="9" t="str">
        <f t="shared" si="103"/>
        <v/>
      </c>
      <c r="W114" s="13"/>
      <c r="X114" s="47" t="str">
        <f t="shared" si="147"/>
        <v/>
      </c>
      <c r="Y114" s="45" t="str">
        <f t="shared" si="148"/>
        <v/>
      </c>
      <c r="Z114" s="9" t="str">
        <f t="shared" si="106"/>
        <v/>
      </c>
      <c r="AA114" s="10" t="str">
        <f t="shared" si="107"/>
        <v/>
      </c>
      <c r="AB114" s="11"/>
      <c r="AD114" s="12"/>
      <c r="AE114" s="9"/>
      <c r="AF114" s="44" t="str">
        <f t="shared" si="149"/>
        <v/>
      </c>
      <c r="AG114" s="9"/>
      <c r="AH114" s="9" t="str">
        <f t="shared" si="150"/>
        <v/>
      </c>
      <c r="AI114" s="9"/>
      <c r="AJ114" s="9" t="str">
        <f t="shared" si="151"/>
        <v/>
      </c>
      <c r="AK114" s="13"/>
      <c r="AL114" s="47" t="str">
        <f t="shared" si="152"/>
        <v/>
      </c>
      <c r="AM114" s="45" t="str">
        <f t="shared" si="153"/>
        <v/>
      </c>
      <c r="AN114" s="9" t="str">
        <f t="shared" si="154"/>
        <v/>
      </c>
      <c r="AO114" s="10" t="str">
        <f t="shared" si="155"/>
        <v/>
      </c>
      <c r="AP114" s="11"/>
      <c r="AR114" s="12"/>
      <c r="AS114" s="9"/>
      <c r="AT114" s="44" t="str">
        <f t="shared" si="156"/>
        <v/>
      </c>
      <c r="AU114" s="9"/>
      <c r="AV114" s="9" t="str">
        <f t="shared" si="157"/>
        <v/>
      </c>
      <c r="AW114" s="9"/>
      <c r="AX114" s="9" t="str">
        <f t="shared" si="158"/>
        <v/>
      </c>
      <c r="AY114" s="13"/>
      <c r="AZ114" s="47" t="str">
        <f t="shared" si="159"/>
        <v/>
      </c>
      <c r="BA114" s="45" t="str">
        <f t="shared" si="160"/>
        <v/>
      </c>
      <c r="BB114" s="9" t="str">
        <f t="shared" si="161"/>
        <v/>
      </c>
      <c r="BC114" s="10" t="str">
        <f t="shared" si="162"/>
        <v/>
      </c>
      <c r="BD114" s="11"/>
      <c r="BF114" s="12"/>
      <c r="BG114" s="9"/>
      <c r="BH114" s="44" t="str">
        <f t="shared" si="163"/>
        <v/>
      </c>
      <c r="BI114" s="9"/>
      <c r="BJ114" s="9" t="str">
        <f t="shared" si="164"/>
        <v/>
      </c>
      <c r="BK114" s="9"/>
      <c r="BL114" s="9" t="str">
        <f t="shared" si="165"/>
        <v/>
      </c>
      <c r="BM114" s="13"/>
      <c r="BN114" s="47" t="str">
        <f t="shared" si="166"/>
        <v/>
      </c>
      <c r="BO114" s="45" t="str">
        <f t="shared" si="167"/>
        <v/>
      </c>
      <c r="BP114" s="9" t="str">
        <f t="shared" si="168"/>
        <v/>
      </c>
      <c r="BQ114" s="10" t="str">
        <f t="shared" si="169"/>
        <v/>
      </c>
      <c r="BR114" s="11"/>
      <c r="BT114" s="12"/>
      <c r="BU114" s="9"/>
      <c r="BV114" s="44" t="str">
        <f t="shared" si="170"/>
        <v/>
      </c>
      <c r="BW114" s="9"/>
      <c r="BX114" s="9" t="str">
        <f t="shared" si="171"/>
        <v/>
      </c>
      <c r="BY114" s="9"/>
      <c r="BZ114" s="9" t="str">
        <f t="shared" si="172"/>
        <v/>
      </c>
      <c r="CA114" s="13"/>
      <c r="CB114" s="47" t="str">
        <f t="shared" si="173"/>
        <v/>
      </c>
      <c r="CC114" s="45" t="str">
        <f t="shared" si="174"/>
        <v/>
      </c>
      <c r="CD114" s="9" t="str">
        <f t="shared" si="175"/>
        <v/>
      </c>
      <c r="CE114" s="10" t="str">
        <f t="shared" si="176"/>
        <v/>
      </c>
      <c r="CF114" s="11"/>
    </row>
    <row r="115" spans="1:84" ht="15" customHeight="1">
      <c r="A115" s="12"/>
      <c r="B115" s="8"/>
      <c r="C115" s="9"/>
      <c r="D115" s="9" t="str">
        <f t="shared" si="144"/>
        <v/>
      </c>
      <c r="E115" s="9"/>
      <c r="F115" s="9" t="str">
        <f t="shared" si="145"/>
        <v/>
      </c>
      <c r="G115" s="9"/>
      <c r="H115" s="9" t="str">
        <f t="shared" si="146"/>
        <v/>
      </c>
      <c r="I115" s="9"/>
      <c r="J115" s="9"/>
      <c r="K115" s="9"/>
      <c r="L115" s="9" t="str">
        <f t="shared" si="136"/>
        <v/>
      </c>
      <c r="M115" s="10" t="str">
        <f t="shared" si="137"/>
        <v/>
      </c>
      <c r="N115" s="11"/>
      <c r="O115" s="2"/>
      <c r="P115" s="12"/>
      <c r="Q115" s="9"/>
      <c r="R115" s="52" t="str">
        <f t="shared" si="101"/>
        <v/>
      </c>
      <c r="S115" s="9"/>
      <c r="T115" s="9" t="str">
        <f t="shared" si="102"/>
        <v/>
      </c>
      <c r="U115" s="26"/>
      <c r="V115" s="26" t="str">
        <f t="shared" si="103"/>
        <v/>
      </c>
      <c r="W115" s="38"/>
      <c r="X115" s="47" t="str">
        <f t="shared" si="147"/>
        <v/>
      </c>
      <c r="Y115" s="9" t="str">
        <f t="shared" si="148"/>
        <v/>
      </c>
      <c r="Z115" s="9" t="str">
        <f t="shared" si="106"/>
        <v/>
      </c>
      <c r="AA115" s="10" t="str">
        <f t="shared" si="107"/>
        <v/>
      </c>
      <c r="AB115" s="11"/>
      <c r="AD115" s="12"/>
      <c r="AE115" s="9"/>
      <c r="AF115" s="52" t="str">
        <f t="shared" si="149"/>
        <v/>
      </c>
      <c r="AG115" s="9"/>
      <c r="AH115" s="9" t="str">
        <f t="shared" si="150"/>
        <v/>
      </c>
      <c r="AI115" s="26"/>
      <c r="AJ115" s="26" t="str">
        <f t="shared" si="151"/>
        <v/>
      </c>
      <c r="AK115" s="38"/>
      <c r="AL115" s="47" t="str">
        <f t="shared" si="152"/>
        <v/>
      </c>
      <c r="AM115" s="9" t="str">
        <f t="shared" si="153"/>
        <v/>
      </c>
      <c r="AN115" s="9" t="str">
        <f t="shared" si="154"/>
        <v/>
      </c>
      <c r="AO115" s="10" t="str">
        <f t="shared" si="155"/>
        <v/>
      </c>
      <c r="AP115" s="11"/>
      <c r="AR115" s="12"/>
      <c r="AS115" s="9"/>
      <c r="AT115" s="52" t="str">
        <f t="shared" si="156"/>
        <v/>
      </c>
      <c r="AU115" s="9"/>
      <c r="AV115" s="9" t="str">
        <f t="shared" si="157"/>
        <v/>
      </c>
      <c r="AW115" s="26"/>
      <c r="AX115" s="26" t="str">
        <f t="shared" si="158"/>
        <v/>
      </c>
      <c r="AY115" s="38"/>
      <c r="AZ115" s="47" t="str">
        <f t="shared" si="159"/>
        <v/>
      </c>
      <c r="BA115" s="9" t="str">
        <f t="shared" si="160"/>
        <v/>
      </c>
      <c r="BB115" s="9" t="str">
        <f t="shared" si="161"/>
        <v/>
      </c>
      <c r="BC115" s="10" t="str">
        <f t="shared" si="162"/>
        <v/>
      </c>
      <c r="BD115" s="11"/>
      <c r="BF115" s="12"/>
      <c r="BG115" s="9"/>
      <c r="BH115" s="52" t="str">
        <f t="shared" si="163"/>
        <v/>
      </c>
      <c r="BI115" s="9"/>
      <c r="BJ115" s="9" t="str">
        <f t="shared" si="164"/>
        <v/>
      </c>
      <c r="BK115" s="26"/>
      <c r="BL115" s="26" t="str">
        <f t="shared" si="165"/>
        <v/>
      </c>
      <c r="BM115" s="38"/>
      <c r="BN115" s="47" t="str">
        <f t="shared" si="166"/>
        <v/>
      </c>
      <c r="BO115" s="9" t="str">
        <f t="shared" si="167"/>
        <v/>
      </c>
      <c r="BP115" s="9" t="str">
        <f t="shared" si="168"/>
        <v/>
      </c>
      <c r="BQ115" s="10" t="str">
        <f t="shared" si="169"/>
        <v/>
      </c>
      <c r="BR115" s="11"/>
      <c r="BT115" s="12"/>
      <c r="BU115" s="9"/>
      <c r="BV115" s="52" t="str">
        <f t="shared" si="170"/>
        <v/>
      </c>
      <c r="BW115" s="9"/>
      <c r="BX115" s="9" t="str">
        <f t="shared" si="171"/>
        <v/>
      </c>
      <c r="BY115" s="26"/>
      <c r="BZ115" s="26" t="str">
        <f t="shared" si="172"/>
        <v/>
      </c>
      <c r="CA115" s="38"/>
      <c r="CB115" s="47" t="str">
        <f t="shared" si="173"/>
        <v/>
      </c>
      <c r="CC115" s="9" t="str">
        <f t="shared" si="174"/>
        <v/>
      </c>
      <c r="CD115" s="9" t="str">
        <f t="shared" si="175"/>
        <v/>
      </c>
      <c r="CE115" s="10" t="str">
        <f t="shared" si="176"/>
        <v/>
      </c>
      <c r="CF115" s="11"/>
    </row>
    <row r="116" spans="1:84" ht="15" customHeight="1" thickBot="1">
      <c r="A116" s="12"/>
      <c r="B116" s="8"/>
      <c r="C116" s="9"/>
      <c r="D116" s="9" t="str">
        <f t="shared" si="144"/>
        <v/>
      </c>
      <c r="E116" s="9"/>
      <c r="F116" s="9" t="str">
        <f t="shared" si="145"/>
        <v/>
      </c>
      <c r="G116" s="9"/>
      <c r="H116" s="9" t="str">
        <f t="shared" si="146"/>
        <v/>
      </c>
      <c r="I116" s="9"/>
      <c r="J116" s="9"/>
      <c r="K116" s="9"/>
      <c r="L116" s="9" t="str">
        <f t="shared" si="136"/>
        <v/>
      </c>
      <c r="M116" s="10" t="str">
        <f t="shared" si="137"/>
        <v/>
      </c>
      <c r="N116" s="11"/>
      <c r="O116" s="2"/>
      <c r="P116" s="18"/>
      <c r="Q116" s="21"/>
      <c r="R116" s="50" t="str">
        <f t="shared" si="101"/>
        <v/>
      </c>
      <c r="S116" s="51"/>
      <c r="T116" s="21" t="str">
        <f t="shared" si="102"/>
        <v/>
      </c>
      <c r="U116" s="53"/>
      <c r="V116" s="53" t="str">
        <f t="shared" si="103"/>
        <v/>
      </c>
      <c r="W116" s="37"/>
      <c r="X116" s="48" t="str">
        <f t="shared" si="147"/>
        <v/>
      </c>
      <c r="Y116" s="51" t="str">
        <f t="shared" si="148"/>
        <v/>
      </c>
      <c r="Z116" s="19" t="str">
        <f t="shared" si="106"/>
        <v/>
      </c>
      <c r="AA116" s="20" t="str">
        <f t="shared" si="107"/>
        <v/>
      </c>
      <c r="AB116" s="137"/>
      <c r="AD116" s="18"/>
      <c r="AE116" s="21"/>
      <c r="AF116" s="50" t="str">
        <f t="shared" si="149"/>
        <v/>
      </c>
      <c r="AG116" s="51"/>
      <c r="AH116" s="21" t="str">
        <f t="shared" si="150"/>
        <v/>
      </c>
      <c r="AI116" s="53"/>
      <c r="AJ116" s="53" t="str">
        <f t="shared" si="151"/>
        <v/>
      </c>
      <c r="AK116" s="37"/>
      <c r="AL116" s="48" t="str">
        <f t="shared" si="152"/>
        <v/>
      </c>
      <c r="AM116" s="51" t="str">
        <f t="shared" si="153"/>
        <v/>
      </c>
      <c r="AN116" s="19" t="str">
        <f t="shared" si="154"/>
        <v/>
      </c>
      <c r="AO116" s="20" t="str">
        <f t="shared" si="155"/>
        <v/>
      </c>
      <c r="AP116" s="137"/>
      <c r="AR116" s="18"/>
      <c r="AS116" s="21"/>
      <c r="AT116" s="50" t="str">
        <f t="shared" si="156"/>
        <v/>
      </c>
      <c r="AU116" s="51"/>
      <c r="AV116" s="21" t="str">
        <f t="shared" si="157"/>
        <v/>
      </c>
      <c r="AW116" s="53"/>
      <c r="AX116" s="53" t="str">
        <f t="shared" si="158"/>
        <v/>
      </c>
      <c r="AY116" s="37"/>
      <c r="AZ116" s="48" t="str">
        <f t="shared" si="159"/>
        <v/>
      </c>
      <c r="BA116" s="51" t="str">
        <f t="shared" si="160"/>
        <v/>
      </c>
      <c r="BB116" s="19" t="str">
        <f t="shared" si="161"/>
        <v/>
      </c>
      <c r="BC116" s="20" t="str">
        <f t="shared" si="162"/>
        <v/>
      </c>
      <c r="BD116" s="137"/>
      <c r="BF116" s="18"/>
      <c r="BG116" s="21"/>
      <c r="BH116" s="50" t="str">
        <f t="shared" si="163"/>
        <v/>
      </c>
      <c r="BI116" s="51"/>
      <c r="BJ116" s="21" t="str">
        <f t="shared" si="164"/>
        <v/>
      </c>
      <c r="BK116" s="53"/>
      <c r="BL116" s="53" t="str">
        <f t="shared" si="165"/>
        <v/>
      </c>
      <c r="BM116" s="37"/>
      <c r="BN116" s="48" t="str">
        <f t="shared" si="166"/>
        <v/>
      </c>
      <c r="BO116" s="51" t="str">
        <f t="shared" si="167"/>
        <v/>
      </c>
      <c r="BP116" s="19" t="str">
        <f t="shared" si="168"/>
        <v/>
      </c>
      <c r="BQ116" s="20" t="str">
        <f t="shared" si="169"/>
        <v/>
      </c>
      <c r="BR116" s="137"/>
      <c r="BT116" s="18"/>
      <c r="BU116" s="21"/>
      <c r="BV116" s="50" t="str">
        <f t="shared" si="170"/>
        <v/>
      </c>
      <c r="BW116" s="51"/>
      <c r="BX116" s="21" t="str">
        <f t="shared" si="171"/>
        <v/>
      </c>
      <c r="BY116" s="53"/>
      <c r="BZ116" s="53" t="str">
        <f t="shared" si="172"/>
        <v/>
      </c>
      <c r="CA116" s="37"/>
      <c r="CB116" s="48" t="str">
        <f t="shared" si="173"/>
        <v/>
      </c>
      <c r="CC116" s="51" t="str">
        <f t="shared" si="174"/>
        <v/>
      </c>
      <c r="CD116" s="19" t="str">
        <f t="shared" si="175"/>
        <v/>
      </c>
      <c r="CE116" s="20" t="str">
        <f t="shared" si="176"/>
        <v/>
      </c>
      <c r="CF116" s="137"/>
    </row>
    <row r="117" spans="1:84" ht="15" customHeight="1" thickTop="1">
      <c r="A117" s="12"/>
      <c r="B117" s="8"/>
      <c r="C117" s="9"/>
      <c r="D117" s="9" t="str">
        <f t="shared" si="144"/>
        <v/>
      </c>
      <c r="E117" s="9"/>
      <c r="F117" s="9" t="str">
        <f t="shared" si="145"/>
        <v/>
      </c>
      <c r="G117" s="9"/>
      <c r="H117" s="9" t="str">
        <f t="shared" si="146"/>
        <v/>
      </c>
      <c r="I117" s="9"/>
      <c r="J117" s="9"/>
      <c r="K117" s="9"/>
      <c r="L117" s="9" t="str">
        <f t="shared" si="136"/>
        <v/>
      </c>
      <c r="M117" s="10" t="str">
        <f t="shared" si="137"/>
        <v/>
      </c>
      <c r="N117" s="11"/>
      <c r="O117" s="2"/>
      <c r="P117" s="65" t="str">
        <f>IF($A87="","",$A87)</f>
        <v/>
      </c>
      <c r="Q117" s="44"/>
      <c r="R117" s="44" t="str">
        <f t="shared" si="101"/>
        <v/>
      </c>
      <c r="S117" s="44"/>
      <c r="T117" s="23" t="str">
        <f t="shared" si="102"/>
        <v/>
      </c>
      <c r="U117" s="44"/>
      <c r="V117" s="44" t="str">
        <f t="shared" si="103"/>
        <v/>
      </c>
      <c r="W117" s="66"/>
      <c r="X117" s="61" t="str">
        <f t="shared" si="147"/>
        <v/>
      </c>
      <c r="Y117" s="62" t="str">
        <f t="shared" si="148"/>
        <v/>
      </c>
      <c r="Z117" s="23" t="str">
        <f t="shared" si="106"/>
        <v/>
      </c>
      <c r="AA117" s="24" t="str">
        <f t="shared" si="107"/>
        <v/>
      </c>
      <c r="AB117" s="11"/>
      <c r="AD117" s="65" t="str">
        <f>IF($A87="","",$A87)</f>
        <v/>
      </c>
      <c r="AE117" s="44"/>
      <c r="AF117" s="44" t="str">
        <f t="shared" si="149"/>
        <v/>
      </c>
      <c r="AG117" s="44"/>
      <c r="AH117" s="23" t="str">
        <f t="shared" si="150"/>
        <v/>
      </c>
      <c r="AI117" s="44"/>
      <c r="AJ117" s="44" t="str">
        <f t="shared" si="151"/>
        <v/>
      </c>
      <c r="AK117" s="66"/>
      <c r="AL117" s="61" t="str">
        <f t="shared" si="152"/>
        <v/>
      </c>
      <c r="AM117" s="62" t="str">
        <f t="shared" si="153"/>
        <v/>
      </c>
      <c r="AN117" s="23" t="str">
        <f t="shared" si="154"/>
        <v/>
      </c>
      <c r="AO117" s="24" t="str">
        <f t="shared" si="155"/>
        <v/>
      </c>
      <c r="AP117" s="11"/>
      <c r="AR117" s="65" t="str">
        <f>IF($A87="","",$A87)</f>
        <v/>
      </c>
      <c r="AS117" s="44"/>
      <c r="AT117" s="44" t="str">
        <f t="shared" si="156"/>
        <v/>
      </c>
      <c r="AU117" s="44"/>
      <c r="AV117" s="23" t="str">
        <f t="shared" si="157"/>
        <v/>
      </c>
      <c r="AW117" s="44"/>
      <c r="AX117" s="44" t="str">
        <f t="shared" si="158"/>
        <v/>
      </c>
      <c r="AY117" s="66"/>
      <c r="AZ117" s="61" t="str">
        <f t="shared" si="159"/>
        <v/>
      </c>
      <c r="BA117" s="62" t="str">
        <f t="shared" si="160"/>
        <v/>
      </c>
      <c r="BB117" s="23" t="str">
        <f t="shared" si="161"/>
        <v/>
      </c>
      <c r="BC117" s="24" t="str">
        <f t="shared" si="162"/>
        <v/>
      </c>
      <c r="BD117" s="11"/>
      <c r="BF117" s="65" t="str">
        <f>IF($A87="","",$A87)</f>
        <v/>
      </c>
      <c r="BG117" s="44"/>
      <c r="BH117" s="44" t="str">
        <f t="shared" si="163"/>
        <v/>
      </c>
      <c r="BI117" s="44"/>
      <c r="BJ117" s="23" t="str">
        <f t="shared" si="164"/>
        <v/>
      </c>
      <c r="BK117" s="44"/>
      <c r="BL117" s="44" t="str">
        <f t="shared" si="165"/>
        <v/>
      </c>
      <c r="BM117" s="66"/>
      <c r="BN117" s="61" t="str">
        <f t="shared" si="166"/>
        <v/>
      </c>
      <c r="BO117" s="62" t="str">
        <f t="shared" si="167"/>
        <v/>
      </c>
      <c r="BP117" s="23" t="str">
        <f t="shared" si="168"/>
        <v/>
      </c>
      <c r="BQ117" s="24" t="str">
        <f t="shared" si="169"/>
        <v/>
      </c>
      <c r="BR117" s="11"/>
      <c r="BT117" s="65" t="str">
        <f>IF($A87="","",$A87)</f>
        <v/>
      </c>
      <c r="BU117" s="44"/>
      <c r="BV117" s="44" t="str">
        <f t="shared" si="170"/>
        <v/>
      </c>
      <c r="BW117" s="44"/>
      <c r="BX117" s="23" t="str">
        <f t="shared" si="171"/>
        <v/>
      </c>
      <c r="BY117" s="44"/>
      <c r="BZ117" s="44" t="str">
        <f t="shared" si="172"/>
        <v/>
      </c>
      <c r="CA117" s="66"/>
      <c r="CB117" s="61" t="str">
        <f t="shared" si="173"/>
        <v/>
      </c>
      <c r="CC117" s="62" t="str">
        <f t="shared" si="174"/>
        <v/>
      </c>
      <c r="CD117" s="23" t="str">
        <f t="shared" si="175"/>
        <v/>
      </c>
      <c r="CE117" s="24" t="str">
        <f t="shared" si="176"/>
        <v/>
      </c>
      <c r="CF117" s="11"/>
    </row>
    <row r="118" spans="1:84" ht="15" customHeight="1">
      <c r="A118" s="12"/>
      <c r="B118" s="8"/>
      <c r="C118" s="9"/>
      <c r="D118" s="9" t="str">
        <f t="shared" si="144"/>
        <v/>
      </c>
      <c r="E118" s="9"/>
      <c r="F118" s="9" t="str">
        <f t="shared" si="145"/>
        <v/>
      </c>
      <c r="G118" s="9"/>
      <c r="H118" s="9" t="str">
        <f t="shared" si="146"/>
        <v/>
      </c>
      <c r="I118" s="9"/>
      <c r="J118" s="9"/>
      <c r="K118" s="9"/>
      <c r="L118" s="9" t="str">
        <f t="shared" si="136"/>
        <v/>
      </c>
      <c r="M118" s="10" t="str">
        <f t="shared" si="137"/>
        <v/>
      </c>
      <c r="N118" s="11"/>
      <c r="O118" s="2"/>
      <c r="P118" s="12"/>
      <c r="Q118" s="9"/>
      <c r="R118" s="44" t="str">
        <f t="shared" si="101"/>
        <v/>
      </c>
      <c r="S118" s="9"/>
      <c r="T118" s="9" t="str">
        <f t="shared" si="102"/>
        <v/>
      </c>
      <c r="U118" s="9"/>
      <c r="V118" s="9" t="str">
        <f t="shared" si="103"/>
        <v/>
      </c>
      <c r="W118" s="13"/>
      <c r="X118" s="47" t="str">
        <f t="shared" si="147"/>
        <v/>
      </c>
      <c r="Y118" s="45"/>
      <c r="Z118" s="9" t="str">
        <f t="shared" si="106"/>
        <v/>
      </c>
      <c r="AA118" s="10" t="str">
        <f t="shared" si="107"/>
        <v/>
      </c>
      <c r="AB118" s="11"/>
      <c r="AD118" s="12"/>
      <c r="AE118" s="9"/>
      <c r="AF118" s="44" t="str">
        <f t="shared" si="149"/>
        <v/>
      </c>
      <c r="AG118" s="9"/>
      <c r="AH118" s="9" t="str">
        <f t="shared" si="150"/>
        <v/>
      </c>
      <c r="AI118" s="9"/>
      <c r="AJ118" s="9" t="str">
        <f t="shared" si="151"/>
        <v/>
      </c>
      <c r="AK118" s="13"/>
      <c r="AL118" s="47" t="str">
        <f t="shared" si="152"/>
        <v/>
      </c>
      <c r="AM118" s="45"/>
      <c r="AN118" s="9" t="str">
        <f t="shared" si="154"/>
        <v/>
      </c>
      <c r="AO118" s="10" t="str">
        <f t="shared" si="155"/>
        <v/>
      </c>
      <c r="AP118" s="11"/>
      <c r="AR118" s="12"/>
      <c r="AS118" s="9"/>
      <c r="AT118" s="44" t="str">
        <f t="shared" si="156"/>
        <v/>
      </c>
      <c r="AU118" s="9"/>
      <c r="AV118" s="9" t="str">
        <f t="shared" si="157"/>
        <v/>
      </c>
      <c r="AW118" s="9"/>
      <c r="AX118" s="9" t="str">
        <f t="shared" si="158"/>
        <v/>
      </c>
      <c r="AY118" s="13"/>
      <c r="AZ118" s="47" t="str">
        <f t="shared" si="159"/>
        <v/>
      </c>
      <c r="BA118" s="45"/>
      <c r="BB118" s="9" t="str">
        <f t="shared" si="161"/>
        <v/>
      </c>
      <c r="BC118" s="10" t="str">
        <f t="shared" si="162"/>
        <v/>
      </c>
      <c r="BD118" s="11"/>
      <c r="BF118" s="12"/>
      <c r="BG118" s="9"/>
      <c r="BH118" s="44" t="str">
        <f t="shared" si="163"/>
        <v/>
      </c>
      <c r="BI118" s="9"/>
      <c r="BJ118" s="9" t="str">
        <f t="shared" si="164"/>
        <v/>
      </c>
      <c r="BK118" s="9"/>
      <c r="BL118" s="9" t="str">
        <f t="shared" si="165"/>
        <v/>
      </c>
      <c r="BM118" s="13"/>
      <c r="BN118" s="47" t="str">
        <f t="shared" si="166"/>
        <v/>
      </c>
      <c r="BO118" s="45"/>
      <c r="BP118" s="9" t="str">
        <f t="shared" si="168"/>
        <v/>
      </c>
      <c r="BQ118" s="10" t="str">
        <f t="shared" si="169"/>
        <v/>
      </c>
      <c r="BR118" s="11"/>
      <c r="BT118" s="12"/>
      <c r="BU118" s="9"/>
      <c r="BV118" s="44" t="str">
        <f t="shared" si="170"/>
        <v/>
      </c>
      <c r="BW118" s="9"/>
      <c r="BX118" s="9" t="str">
        <f t="shared" si="171"/>
        <v/>
      </c>
      <c r="BY118" s="9"/>
      <c r="BZ118" s="9" t="str">
        <f t="shared" si="172"/>
        <v/>
      </c>
      <c r="CA118" s="13"/>
      <c r="CB118" s="47" t="str">
        <f t="shared" si="173"/>
        <v/>
      </c>
      <c r="CC118" s="45"/>
      <c r="CD118" s="9" t="str">
        <f t="shared" si="175"/>
        <v/>
      </c>
      <c r="CE118" s="10" t="str">
        <f t="shared" si="176"/>
        <v/>
      </c>
      <c r="CF118" s="11"/>
    </row>
    <row r="119" spans="1:84" ht="15" customHeight="1">
      <c r="A119" s="12"/>
      <c r="B119" s="8"/>
      <c r="C119" s="9"/>
      <c r="D119" s="9" t="str">
        <f t="shared" si="144"/>
        <v/>
      </c>
      <c r="E119" s="9"/>
      <c r="F119" s="9" t="str">
        <f t="shared" si="145"/>
        <v/>
      </c>
      <c r="G119" s="9"/>
      <c r="H119" s="9" t="str">
        <f t="shared" si="146"/>
        <v/>
      </c>
      <c r="I119" s="9"/>
      <c r="J119" s="9"/>
      <c r="K119" s="9"/>
      <c r="L119" s="9" t="str">
        <f t="shared" si="136"/>
        <v/>
      </c>
      <c r="M119" s="10" t="str">
        <f t="shared" si="137"/>
        <v/>
      </c>
      <c r="N119" s="11"/>
      <c r="O119" s="2"/>
      <c r="P119" s="12"/>
      <c r="Q119" s="9"/>
      <c r="R119" s="52" t="str">
        <f t="shared" si="101"/>
        <v/>
      </c>
      <c r="S119" s="9"/>
      <c r="T119" s="9" t="str">
        <f t="shared" si="102"/>
        <v/>
      </c>
      <c r="U119" s="9"/>
      <c r="V119" s="9" t="str">
        <f t="shared" si="103"/>
        <v/>
      </c>
      <c r="W119" s="13"/>
      <c r="X119" s="47" t="str">
        <f t="shared" si="147"/>
        <v/>
      </c>
      <c r="Y119" s="9" t="str">
        <f t="shared" ref="Y119:Y132" si="177">IF(R119="","",Y115)</f>
        <v/>
      </c>
      <c r="Z119" s="9" t="str">
        <f t="shared" si="106"/>
        <v/>
      </c>
      <c r="AA119" s="10" t="str">
        <f t="shared" si="107"/>
        <v/>
      </c>
      <c r="AB119" s="11"/>
      <c r="AD119" s="12"/>
      <c r="AE119" s="9"/>
      <c r="AF119" s="52" t="str">
        <f t="shared" si="149"/>
        <v/>
      </c>
      <c r="AG119" s="9"/>
      <c r="AH119" s="9" t="str">
        <f t="shared" si="150"/>
        <v/>
      </c>
      <c r="AI119" s="9"/>
      <c r="AJ119" s="9" t="str">
        <f t="shared" si="151"/>
        <v/>
      </c>
      <c r="AK119" s="13"/>
      <c r="AL119" s="47" t="str">
        <f t="shared" si="152"/>
        <v/>
      </c>
      <c r="AM119" s="9" t="str">
        <f t="shared" ref="AM119:AM132" si="178">IF(AF119="","",AM115)</f>
        <v/>
      </c>
      <c r="AN119" s="9" t="str">
        <f t="shared" si="154"/>
        <v/>
      </c>
      <c r="AO119" s="10" t="str">
        <f t="shared" si="155"/>
        <v/>
      </c>
      <c r="AP119" s="11"/>
      <c r="AR119" s="12"/>
      <c r="AS119" s="9"/>
      <c r="AT119" s="52" t="str">
        <f t="shared" si="156"/>
        <v/>
      </c>
      <c r="AU119" s="9"/>
      <c r="AV119" s="9" t="str">
        <f t="shared" si="157"/>
        <v/>
      </c>
      <c r="AW119" s="9"/>
      <c r="AX119" s="9" t="str">
        <f t="shared" si="158"/>
        <v/>
      </c>
      <c r="AY119" s="13"/>
      <c r="AZ119" s="47" t="str">
        <f t="shared" si="159"/>
        <v/>
      </c>
      <c r="BA119" s="9" t="str">
        <f t="shared" ref="BA119:BA132" si="179">IF(AT119="","",BA115)</f>
        <v/>
      </c>
      <c r="BB119" s="9" t="str">
        <f t="shared" si="161"/>
        <v/>
      </c>
      <c r="BC119" s="10" t="str">
        <f t="shared" si="162"/>
        <v/>
      </c>
      <c r="BD119" s="11"/>
      <c r="BF119" s="12"/>
      <c r="BG119" s="9"/>
      <c r="BH119" s="52" t="str">
        <f t="shared" si="163"/>
        <v/>
      </c>
      <c r="BI119" s="9"/>
      <c r="BJ119" s="9" t="str">
        <f t="shared" si="164"/>
        <v/>
      </c>
      <c r="BK119" s="9"/>
      <c r="BL119" s="9" t="str">
        <f t="shared" si="165"/>
        <v/>
      </c>
      <c r="BM119" s="13"/>
      <c r="BN119" s="47" t="str">
        <f t="shared" si="166"/>
        <v/>
      </c>
      <c r="BO119" s="9" t="str">
        <f t="shared" ref="BO119:BO132" si="180">IF(BH119="","",BO115)</f>
        <v/>
      </c>
      <c r="BP119" s="9" t="str">
        <f t="shared" si="168"/>
        <v/>
      </c>
      <c r="BQ119" s="10" t="str">
        <f t="shared" si="169"/>
        <v/>
      </c>
      <c r="BR119" s="11"/>
      <c r="BT119" s="12"/>
      <c r="BU119" s="9"/>
      <c r="BV119" s="52" t="str">
        <f t="shared" si="170"/>
        <v/>
      </c>
      <c r="BW119" s="9"/>
      <c r="BX119" s="9" t="str">
        <f t="shared" si="171"/>
        <v/>
      </c>
      <c r="BY119" s="9"/>
      <c r="BZ119" s="9" t="str">
        <f t="shared" si="172"/>
        <v/>
      </c>
      <c r="CA119" s="13"/>
      <c r="CB119" s="47" t="str">
        <f t="shared" si="173"/>
        <v/>
      </c>
      <c r="CC119" s="9" t="str">
        <f t="shared" ref="CC119:CC132" si="181">IF(BV119="","",CC115)</f>
        <v/>
      </c>
      <c r="CD119" s="9" t="str">
        <f t="shared" si="175"/>
        <v/>
      </c>
      <c r="CE119" s="10" t="str">
        <f t="shared" si="176"/>
        <v/>
      </c>
      <c r="CF119" s="11"/>
    </row>
    <row r="120" spans="1:84" ht="15" customHeight="1" thickBot="1">
      <c r="A120" s="12"/>
      <c r="B120" s="8"/>
      <c r="C120" s="9"/>
      <c r="D120" s="9" t="str">
        <f t="shared" si="144"/>
        <v/>
      </c>
      <c r="E120" s="9"/>
      <c r="F120" s="9" t="str">
        <f t="shared" si="145"/>
        <v/>
      </c>
      <c r="G120" s="9"/>
      <c r="H120" s="9" t="str">
        <f t="shared" si="146"/>
        <v/>
      </c>
      <c r="I120" s="9"/>
      <c r="J120" s="9"/>
      <c r="K120" s="9"/>
      <c r="L120" s="9" t="str">
        <f t="shared" si="136"/>
        <v/>
      </c>
      <c r="M120" s="10" t="str">
        <f t="shared" si="137"/>
        <v/>
      </c>
      <c r="N120" s="11"/>
      <c r="O120" s="2"/>
      <c r="P120" s="18"/>
      <c r="Q120" s="21"/>
      <c r="R120" s="50" t="str">
        <f t="shared" si="101"/>
        <v/>
      </c>
      <c r="S120" s="51"/>
      <c r="T120" s="19" t="str">
        <f t="shared" si="102"/>
        <v/>
      </c>
      <c r="U120" s="19"/>
      <c r="V120" s="19" t="str">
        <f t="shared" si="103"/>
        <v/>
      </c>
      <c r="W120" s="37"/>
      <c r="X120" s="48" t="str">
        <f t="shared" si="147"/>
        <v/>
      </c>
      <c r="Y120" s="51" t="str">
        <f t="shared" si="177"/>
        <v/>
      </c>
      <c r="Z120" s="19" t="str">
        <f t="shared" si="106"/>
        <v/>
      </c>
      <c r="AA120" s="20" t="str">
        <f t="shared" si="107"/>
        <v/>
      </c>
      <c r="AB120" s="11"/>
      <c r="AD120" s="18"/>
      <c r="AE120" s="21"/>
      <c r="AF120" s="50" t="str">
        <f t="shared" si="149"/>
        <v/>
      </c>
      <c r="AG120" s="51"/>
      <c r="AH120" s="19" t="str">
        <f t="shared" si="150"/>
        <v/>
      </c>
      <c r="AI120" s="19"/>
      <c r="AJ120" s="19" t="str">
        <f t="shared" si="151"/>
        <v/>
      </c>
      <c r="AK120" s="37"/>
      <c r="AL120" s="48" t="str">
        <f t="shared" si="152"/>
        <v/>
      </c>
      <c r="AM120" s="51" t="str">
        <f t="shared" si="178"/>
        <v/>
      </c>
      <c r="AN120" s="19" t="str">
        <f t="shared" si="154"/>
        <v/>
      </c>
      <c r="AO120" s="20" t="str">
        <f t="shared" si="155"/>
        <v/>
      </c>
      <c r="AP120" s="11"/>
      <c r="AR120" s="18"/>
      <c r="AS120" s="21"/>
      <c r="AT120" s="50" t="str">
        <f t="shared" si="156"/>
        <v/>
      </c>
      <c r="AU120" s="51"/>
      <c r="AV120" s="19" t="str">
        <f t="shared" si="157"/>
        <v/>
      </c>
      <c r="AW120" s="19"/>
      <c r="AX120" s="19" t="str">
        <f t="shared" si="158"/>
        <v/>
      </c>
      <c r="AY120" s="37"/>
      <c r="AZ120" s="48" t="str">
        <f t="shared" si="159"/>
        <v/>
      </c>
      <c r="BA120" s="51" t="str">
        <f t="shared" si="179"/>
        <v/>
      </c>
      <c r="BB120" s="19" t="str">
        <f t="shared" si="161"/>
        <v/>
      </c>
      <c r="BC120" s="20" t="str">
        <f t="shared" si="162"/>
        <v/>
      </c>
      <c r="BD120" s="11"/>
      <c r="BF120" s="18"/>
      <c r="BG120" s="21"/>
      <c r="BH120" s="50" t="str">
        <f t="shared" si="163"/>
        <v/>
      </c>
      <c r="BI120" s="51"/>
      <c r="BJ120" s="19" t="str">
        <f t="shared" si="164"/>
        <v/>
      </c>
      <c r="BK120" s="19"/>
      <c r="BL120" s="19" t="str">
        <f t="shared" si="165"/>
        <v/>
      </c>
      <c r="BM120" s="37"/>
      <c r="BN120" s="48" t="str">
        <f t="shared" si="166"/>
        <v/>
      </c>
      <c r="BO120" s="51" t="str">
        <f t="shared" si="180"/>
        <v/>
      </c>
      <c r="BP120" s="19" t="str">
        <f t="shared" si="168"/>
        <v/>
      </c>
      <c r="BQ120" s="20" t="str">
        <f t="shared" si="169"/>
        <v/>
      </c>
      <c r="BR120" s="11"/>
      <c r="BT120" s="18"/>
      <c r="BU120" s="21"/>
      <c r="BV120" s="50" t="str">
        <f t="shared" si="170"/>
        <v/>
      </c>
      <c r="BW120" s="51"/>
      <c r="BX120" s="19" t="str">
        <f t="shared" si="171"/>
        <v/>
      </c>
      <c r="BY120" s="19"/>
      <c r="BZ120" s="19" t="str">
        <f t="shared" si="172"/>
        <v/>
      </c>
      <c r="CA120" s="37"/>
      <c r="CB120" s="48" t="str">
        <f t="shared" si="173"/>
        <v/>
      </c>
      <c r="CC120" s="51" t="str">
        <f t="shared" si="181"/>
        <v/>
      </c>
      <c r="CD120" s="19" t="str">
        <f t="shared" si="175"/>
        <v/>
      </c>
      <c r="CE120" s="20" t="str">
        <f t="shared" si="176"/>
        <v/>
      </c>
      <c r="CF120" s="11"/>
    </row>
    <row r="121" spans="1:84" ht="15" customHeight="1" thickTop="1">
      <c r="A121" s="12"/>
      <c r="B121" s="8"/>
      <c r="C121" s="9"/>
      <c r="D121" s="9" t="str">
        <f t="shared" si="144"/>
        <v/>
      </c>
      <c r="E121" s="9"/>
      <c r="F121" s="9" t="str">
        <f t="shared" si="145"/>
        <v/>
      </c>
      <c r="G121" s="9"/>
      <c r="H121" s="9" t="str">
        <f t="shared" si="146"/>
        <v/>
      </c>
      <c r="I121" s="9"/>
      <c r="J121" s="9"/>
      <c r="K121" s="9"/>
      <c r="L121" s="9" t="str">
        <f t="shared" si="136"/>
        <v/>
      </c>
      <c r="M121" s="10" t="str">
        <f t="shared" si="137"/>
        <v/>
      </c>
      <c r="N121" s="11"/>
      <c r="O121" s="2"/>
      <c r="P121" s="65" t="str">
        <f>IF($A88="","",$A88)</f>
        <v/>
      </c>
      <c r="Q121" s="44"/>
      <c r="R121" s="44" t="str">
        <f t="shared" si="101"/>
        <v/>
      </c>
      <c r="S121" s="44"/>
      <c r="T121" s="23" t="str">
        <f t="shared" si="102"/>
        <v/>
      </c>
      <c r="U121" s="44"/>
      <c r="V121" s="44" t="str">
        <f t="shared" si="103"/>
        <v/>
      </c>
      <c r="W121" s="44"/>
      <c r="X121" s="61" t="str">
        <f t="shared" si="147"/>
        <v/>
      </c>
      <c r="Y121" s="62" t="str">
        <f t="shared" si="177"/>
        <v/>
      </c>
      <c r="Z121" s="23" t="str">
        <f t="shared" si="106"/>
        <v/>
      </c>
      <c r="AA121" s="24" t="str">
        <f t="shared" si="107"/>
        <v/>
      </c>
      <c r="AB121" s="11"/>
      <c r="AD121" s="65" t="str">
        <f>IF($A88="","",$A88)</f>
        <v/>
      </c>
      <c r="AE121" s="44"/>
      <c r="AF121" s="44" t="str">
        <f t="shared" si="149"/>
        <v/>
      </c>
      <c r="AG121" s="44"/>
      <c r="AH121" s="23" t="str">
        <f t="shared" si="150"/>
        <v/>
      </c>
      <c r="AI121" s="44"/>
      <c r="AJ121" s="44" t="str">
        <f t="shared" si="151"/>
        <v/>
      </c>
      <c r="AK121" s="44"/>
      <c r="AL121" s="61" t="str">
        <f t="shared" si="152"/>
        <v/>
      </c>
      <c r="AM121" s="62" t="str">
        <f t="shared" si="178"/>
        <v/>
      </c>
      <c r="AN121" s="23" t="str">
        <f t="shared" si="154"/>
        <v/>
      </c>
      <c r="AO121" s="24" t="str">
        <f t="shared" si="155"/>
        <v/>
      </c>
      <c r="AP121" s="11"/>
      <c r="AR121" s="65" t="str">
        <f>IF($A88="","",$A88)</f>
        <v/>
      </c>
      <c r="AS121" s="44"/>
      <c r="AT121" s="44" t="str">
        <f t="shared" si="156"/>
        <v/>
      </c>
      <c r="AU121" s="44"/>
      <c r="AV121" s="23" t="str">
        <f t="shared" si="157"/>
        <v/>
      </c>
      <c r="AW121" s="44"/>
      <c r="AX121" s="44" t="str">
        <f t="shared" si="158"/>
        <v/>
      </c>
      <c r="AY121" s="44"/>
      <c r="AZ121" s="61" t="str">
        <f t="shared" si="159"/>
        <v/>
      </c>
      <c r="BA121" s="62" t="str">
        <f t="shared" si="179"/>
        <v/>
      </c>
      <c r="BB121" s="23" t="str">
        <f t="shared" si="161"/>
        <v/>
      </c>
      <c r="BC121" s="24" t="str">
        <f t="shared" si="162"/>
        <v/>
      </c>
      <c r="BD121" s="11"/>
      <c r="BF121" s="65" t="str">
        <f>IF($A88="","",$A88)</f>
        <v/>
      </c>
      <c r="BG121" s="44"/>
      <c r="BH121" s="44" t="str">
        <f t="shared" si="163"/>
        <v/>
      </c>
      <c r="BI121" s="44"/>
      <c r="BJ121" s="23" t="str">
        <f t="shared" si="164"/>
        <v/>
      </c>
      <c r="BK121" s="44"/>
      <c r="BL121" s="44" t="str">
        <f t="shared" si="165"/>
        <v/>
      </c>
      <c r="BM121" s="44"/>
      <c r="BN121" s="61" t="str">
        <f t="shared" si="166"/>
        <v/>
      </c>
      <c r="BO121" s="62" t="str">
        <f t="shared" si="180"/>
        <v/>
      </c>
      <c r="BP121" s="23" t="str">
        <f t="shared" si="168"/>
        <v/>
      </c>
      <c r="BQ121" s="24" t="str">
        <f t="shared" si="169"/>
        <v/>
      </c>
      <c r="BR121" s="11"/>
      <c r="BT121" s="65" t="str">
        <f>IF($A88="","",$A88)</f>
        <v/>
      </c>
      <c r="BU121" s="44"/>
      <c r="BV121" s="44" t="str">
        <f t="shared" si="170"/>
        <v/>
      </c>
      <c r="BW121" s="44"/>
      <c r="BX121" s="23" t="str">
        <f t="shared" si="171"/>
        <v/>
      </c>
      <c r="BY121" s="44"/>
      <c r="BZ121" s="44" t="str">
        <f t="shared" si="172"/>
        <v/>
      </c>
      <c r="CA121" s="44"/>
      <c r="CB121" s="61" t="str">
        <f t="shared" si="173"/>
        <v/>
      </c>
      <c r="CC121" s="62" t="str">
        <f t="shared" si="181"/>
        <v/>
      </c>
      <c r="CD121" s="23" t="str">
        <f t="shared" si="175"/>
        <v/>
      </c>
      <c r="CE121" s="24" t="str">
        <f t="shared" si="176"/>
        <v/>
      </c>
      <c r="CF121" s="11"/>
    </row>
    <row r="122" spans="1:84" ht="15" customHeight="1">
      <c r="A122" s="12"/>
      <c r="B122" s="8"/>
      <c r="C122" s="9"/>
      <c r="D122" s="9" t="str">
        <f t="shared" si="144"/>
        <v/>
      </c>
      <c r="E122" s="9"/>
      <c r="F122" s="9" t="str">
        <f t="shared" si="145"/>
        <v/>
      </c>
      <c r="G122" s="9"/>
      <c r="H122" s="9" t="str">
        <f t="shared" si="146"/>
        <v/>
      </c>
      <c r="I122" s="9"/>
      <c r="J122" s="9"/>
      <c r="K122" s="9"/>
      <c r="L122" s="9" t="str">
        <f t="shared" si="136"/>
        <v/>
      </c>
      <c r="M122" s="10" t="str">
        <f t="shared" si="137"/>
        <v/>
      </c>
      <c r="N122" s="11"/>
      <c r="O122" s="2"/>
      <c r="P122" s="12"/>
      <c r="Q122" s="9"/>
      <c r="R122" s="9" t="str">
        <f t="shared" si="101"/>
        <v/>
      </c>
      <c r="S122" s="9"/>
      <c r="T122" s="9" t="str">
        <f t="shared" si="102"/>
        <v/>
      </c>
      <c r="U122" s="9"/>
      <c r="V122" s="9" t="str">
        <f t="shared" si="103"/>
        <v/>
      </c>
      <c r="W122" s="9"/>
      <c r="X122" s="47" t="str">
        <f t="shared" si="147"/>
        <v/>
      </c>
      <c r="Y122" s="45" t="str">
        <f t="shared" si="177"/>
        <v/>
      </c>
      <c r="Z122" s="9" t="str">
        <f t="shared" si="106"/>
        <v/>
      </c>
      <c r="AA122" s="10" t="str">
        <f t="shared" si="107"/>
        <v/>
      </c>
      <c r="AB122" s="11"/>
      <c r="AD122" s="12"/>
      <c r="AE122" s="9"/>
      <c r="AF122" s="9" t="str">
        <f t="shared" si="149"/>
        <v/>
      </c>
      <c r="AG122" s="9"/>
      <c r="AH122" s="9" t="str">
        <f t="shared" si="150"/>
        <v/>
      </c>
      <c r="AI122" s="9"/>
      <c r="AJ122" s="9" t="str">
        <f t="shared" si="151"/>
        <v/>
      </c>
      <c r="AK122" s="9"/>
      <c r="AL122" s="47" t="str">
        <f t="shared" si="152"/>
        <v/>
      </c>
      <c r="AM122" s="45" t="str">
        <f t="shared" si="178"/>
        <v/>
      </c>
      <c r="AN122" s="9" t="str">
        <f t="shared" si="154"/>
        <v/>
      </c>
      <c r="AO122" s="10" t="str">
        <f t="shared" si="155"/>
        <v/>
      </c>
      <c r="AP122" s="11"/>
      <c r="AR122" s="12"/>
      <c r="AS122" s="9"/>
      <c r="AT122" s="9" t="str">
        <f t="shared" si="156"/>
        <v/>
      </c>
      <c r="AU122" s="9"/>
      <c r="AV122" s="9" t="str">
        <f t="shared" si="157"/>
        <v/>
      </c>
      <c r="AW122" s="9"/>
      <c r="AX122" s="9" t="str">
        <f t="shared" si="158"/>
        <v/>
      </c>
      <c r="AY122" s="9"/>
      <c r="AZ122" s="47" t="str">
        <f t="shared" si="159"/>
        <v/>
      </c>
      <c r="BA122" s="45" t="str">
        <f t="shared" si="179"/>
        <v/>
      </c>
      <c r="BB122" s="9" t="str">
        <f t="shared" si="161"/>
        <v/>
      </c>
      <c r="BC122" s="10" t="str">
        <f t="shared" si="162"/>
        <v/>
      </c>
      <c r="BD122" s="11"/>
      <c r="BF122" s="12"/>
      <c r="BG122" s="9"/>
      <c r="BH122" s="9" t="str">
        <f t="shared" si="163"/>
        <v/>
      </c>
      <c r="BI122" s="9"/>
      <c r="BJ122" s="9" t="str">
        <f t="shared" si="164"/>
        <v/>
      </c>
      <c r="BK122" s="9"/>
      <c r="BL122" s="9" t="str">
        <f t="shared" si="165"/>
        <v/>
      </c>
      <c r="BM122" s="9"/>
      <c r="BN122" s="47" t="str">
        <f t="shared" si="166"/>
        <v/>
      </c>
      <c r="BO122" s="45" t="str">
        <f t="shared" si="180"/>
        <v/>
      </c>
      <c r="BP122" s="9" t="str">
        <f t="shared" si="168"/>
        <v/>
      </c>
      <c r="BQ122" s="10" t="str">
        <f t="shared" si="169"/>
        <v/>
      </c>
      <c r="BR122" s="11"/>
      <c r="BT122" s="12"/>
      <c r="BU122" s="9"/>
      <c r="BV122" s="9" t="str">
        <f t="shared" si="170"/>
        <v/>
      </c>
      <c r="BW122" s="9"/>
      <c r="BX122" s="9" t="str">
        <f t="shared" si="171"/>
        <v/>
      </c>
      <c r="BY122" s="9"/>
      <c r="BZ122" s="9" t="str">
        <f t="shared" si="172"/>
        <v/>
      </c>
      <c r="CA122" s="9"/>
      <c r="CB122" s="47" t="str">
        <f t="shared" si="173"/>
        <v/>
      </c>
      <c r="CC122" s="45" t="str">
        <f t="shared" si="181"/>
        <v/>
      </c>
      <c r="CD122" s="9" t="str">
        <f t="shared" si="175"/>
        <v/>
      </c>
      <c r="CE122" s="10" t="str">
        <f t="shared" si="176"/>
        <v/>
      </c>
      <c r="CF122" s="11"/>
    </row>
    <row r="123" spans="1:84" ht="15" customHeight="1">
      <c r="A123" s="12"/>
      <c r="B123" s="8"/>
      <c r="C123" s="9"/>
      <c r="D123" s="9" t="str">
        <f t="shared" si="144"/>
        <v/>
      </c>
      <c r="E123" s="9"/>
      <c r="F123" s="9" t="str">
        <f t="shared" si="145"/>
        <v/>
      </c>
      <c r="G123" s="9"/>
      <c r="H123" s="9" t="str">
        <f t="shared" si="146"/>
        <v/>
      </c>
      <c r="I123" s="9"/>
      <c r="J123" s="9"/>
      <c r="K123" s="9"/>
      <c r="L123" s="9" t="str">
        <f t="shared" si="136"/>
        <v/>
      </c>
      <c r="M123" s="10" t="str">
        <f t="shared" si="137"/>
        <v/>
      </c>
      <c r="N123" s="11"/>
      <c r="O123" s="2"/>
      <c r="P123" s="12"/>
      <c r="Q123" s="9"/>
      <c r="R123" s="9" t="str">
        <f t="shared" si="101"/>
        <v/>
      </c>
      <c r="S123" s="9"/>
      <c r="T123" s="9" t="str">
        <f t="shared" si="102"/>
        <v/>
      </c>
      <c r="U123" s="9"/>
      <c r="V123" s="9" t="str">
        <f t="shared" si="103"/>
        <v/>
      </c>
      <c r="W123" s="9"/>
      <c r="X123" s="47" t="str">
        <f t="shared" si="147"/>
        <v/>
      </c>
      <c r="Y123" s="9" t="str">
        <f t="shared" si="177"/>
        <v/>
      </c>
      <c r="Z123" s="9" t="str">
        <f t="shared" si="106"/>
        <v/>
      </c>
      <c r="AA123" s="10" t="str">
        <f t="shared" si="107"/>
        <v/>
      </c>
      <c r="AB123" s="11"/>
      <c r="AD123" s="12"/>
      <c r="AE123" s="9"/>
      <c r="AF123" s="9" t="str">
        <f t="shared" si="149"/>
        <v/>
      </c>
      <c r="AG123" s="9"/>
      <c r="AH123" s="9" t="str">
        <f t="shared" si="150"/>
        <v/>
      </c>
      <c r="AI123" s="9"/>
      <c r="AJ123" s="9" t="str">
        <f t="shared" si="151"/>
        <v/>
      </c>
      <c r="AK123" s="9"/>
      <c r="AL123" s="47" t="str">
        <f t="shared" si="152"/>
        <v/>
      </c>
      <c r="AM123" s="9" t="str">
        <f t="shared" si="178"/>
        <v/>
      </c>
      <c r="AN123" s="9" t="str">
        <f t="shared" si="154"/>
        <v/>
      </c>
      <c r="AO123" s="10" t="str">
        <f t="shared" si="155"/>
        <v/>
      </c>
      <c r="AP123" s="11"/>
      <c r="AR123" s="12"/>
      <c r="AS123" s="9"/>
      <c r="AT123" s="9" t="str">
        <f t="shared" si="156"/>
        <v/>
      </c>
      <c r="AU123" s="9"/>
      <c r="AV123" s="9" t="str">
        <f t="shared" si="157"/>
        <v/>
      </c>
      <c r="AW123" s="9"/>
      <c r="AX123" s="9" t="str">
        <f t="shared" si="158"/>
        <v/>
      </c>
      <c r="AY123" s="9"/>
      <c r="AZ123" s="47" t="str">
        <f t="shared" si="159"/>
        <v/>
      </c>
      <c r="BA123" s="9" t="str">
        <f t="shared" si="179"/>
        <v/>
      </c>
      <c r="BB123" s="9" t="str">
        <f t="shared" si="161"/>
        <v/>
      </c>
      <c r="BC123" s="10" t="str">
        <f t="shared" si="162"/>
        <v/>
      </c>
      <c r="BD123" s="11"/>
      <c r="BF123" s="12"/>
      <c r="BG123" s="9"/>
      <c r="BH123" s="9" t="str">
        <f t="shared" si="163"/>
        <v/>
      </c>
      <c r="BI123" s="9"/>
      <c r="BJ123" s="9" t="str">
        <f t="shared" si="164"/>
        <v/>
      </c>
      <c r="BK123" s="9"/>
      <c r="BL123" s="9" t="str">
        <f t="shared" si="165"/>
        <v/>
      </c>
      <c r="BM123" s="9"/>
      <c r="BN123" s="47" t="str">
        <f t="shared" si="166"/>
        <v/>
      </c>
      <c r="BO123" s="9" t="str">
        <f t="shared" si="180"/>
        <v/>
      </c>
      <c r="BP123" s="9" t="str">
        <f t="shared" si="168"/>
        <v/>
      </c>
      <c r="BQ123" s="10" t="str">
        <f t="shared" si="169"/>
        <v/>
      </c>
      <c r="BR123" s="11"/>
      <c r="BT123" s="12"/>
      <c r="BU123" s="9"/>
      <c r="BV123" s="9" t="str">
        <f t="shared" si="170"/>
        <v/>
      </c>
      <c r="BW123" s="9"/>
      <c r="BX123" s="9" t="str">
        <f t="shared" si="171"/>
        <v/>
      </c>
      <c r="BY123" s="9"/>
      <c r="BZ123" s="9" t="str">
        <f t="shared" si="172"/>
        <v/>
      </c>
      <c r="CA123" s="9"/>
      <c r="CB123" s="47" t="str">
        <f t="shared" si="173"/>
        <v/>
      </c>
      <c r="CC123" s="9" t="str">
        <f t="shared" si="181"/>
        <v/>
      </c>
      <c r="CD123" s="9" t="str">
        <f t="shared" si="175"/>
        <v/>
      </c>
      <c r="CE123" s="10" t="str">
        <f t="shared" si="176"/>
        <v/>
      </c>
      <c r="CF123" s="11"/>
    </row>
    <row r="124" spans="1:84" ht="15" customHeight="1" thickBot="1">
      <c r="A124" s="12"/>
      <c r="B124" s="8"/>
      <c r="C124" s="9"/>
      <c r="D124" s="9" t="str">
        <f t="shared" si="144"/>
        <v/>
      </c>
      <c r="E124" s="9"/>
      <c r="F124" s="9" t="str">
        <f t="shared" si="145"/>
        <v/>
      </c>
      <c r="G124" s="9"/>
      <c r="H124" s="9" t="str">
        <f t="shared" si="146"/>
        <v/>
      </c>
      <c r="I124" s="9"/>
      <c r="J124" s="9"/>
      <c r="K124" s="9"/>
      <c r="L124" s="9" t="str">
        <f t="shared" si="136"/>
        <v/>
      </c>
      <c r="M124" s="10" t="str">
        <f t="shared" si="137"/>
        <v/>
      </c>
      <c r="N124" s="11"/>
      <c r="O124" s="2"/>
      <c r="P124" s="18"/>
      <c r="Q124" s="19"/>
      <c r="R124" s="19" t="str">
        <f t="shared" si="101"/>
        <v/>
      </c>
      <c r="S124" s="19"/>
      <c r="T124" s="19" t="str">
        <f t="shared" si="102"/>
        <v/>
      </c>
      <c r="U124" s="19"/>
      <c r="V124" s="19" t="str">
        <f t="shared" si="103"/>
        <v/>
      </c>
      <c r="W124" s="19"/>
      <c r="X124" s="48" t="str">
        <f t="shared" si="147"/>
        <v/>
      </c>
      <c r="Y124" s="51" t="str">
        <f t="shared" si="177"/>
        <v/>
      </c>
      <c r="Z124" s="19" t="str">
        <f t="shared" si="106"/>
        <v/>
      </c>
      <c r="AA124" s="20" t="str">
        <f t="shared" si="107"/>
        <v/>
      </c>
      <c r="AB124" s="11"/>
      <c r="AD124" s="18"/>
      <c r="AE124" s="19"/>
      <c r="AF124" s="19" t="str">
        <f t="shared" si="149"/>
        <v/>
      </c>
      <c r="AG124" s="19"/>
      <c r="AH124" s="19" t="str">
        <f t="shared" si="150"/>
        <v/>
      </c>
      <c r="AI124" s="19"/>
      <c r="AJ124" s="19" t="str">
        <f t="shared" si="151"/>
        <v/>
      </c>
      <c r="AK124" s="19"/>
      <c r="AL124" s="48" t="str">
        <f t="shared" si="152"/>
        <v/>
      </c>
      <c r="AM124" s="51" t="str">
        <f t="shared" si="178"/>
        <v/>
      </c>
      <c r="AN124" s="19" t="str">
        <f t="shared" si="154"/>
        <v/>
      </c>
      <c r="AO124" s="20" t="str">
        <f t="shared" si="155"/>
        <v/>
      </c>
      <c r="AP124" s="11"/>
      <c r="AR124" s="18"/>
      <c r="AS124" s="19"/>
      <c r="AT124" s="19" t="str">
        <f t="shared" si="156"/>
        <v/>
      </c>
      <c r="AU124" s="19"/>
      <c r="AV124" s="19" t="str">
        <f t="shared" si="157"/>
        <v/>
      </c>
      <c r="AW124" s="19"/>
      <c r="AX124" s="19" t="str">
        <f t="shared" si="158"/>
        <v/>
      </c>
      <c r="AY124" s="19"/>
      <c r="AZ124" s="48" t="str">
        <f t="shared" si="159"/>
        <v/>
      </c>
      <c r="BA124" s="51" t="str">
        <f t="shared" si="179"/>
        <v/>
      </c>
      <c r="BB124" s="19" t="str">
        <f t="shared" si="161"/>
        <v/>
      </c>
      <c r="BC124" s="20" t="str">
        <f t="shared" si="162"/>
        <v/>
      </c>
      <c r="BD124" s="11"/>
      <c r="BF124" s="18"/>
      <c r="BG124" s="19"/>
      <c r="BH124" s="19" t="str">
        <f t="shared" si="163"/>
        <v/>
      </c>
      <c r="BI124" s="19"/>
      <c r="BJ124" s="19" t="str">
        <f t="shared" si="164"/>
        <v/>
      </c>
      <c r="BK124" s="19"/>
      <c r="BL124" s="19" t="str">
        <f t="shared" si="165"/>
        <v/>
      </c>
      <c r="BM124" s="19"/>
      <c r="BN124" s="48" t="str">
        <f t="shared" si="166"/>
        <v/>
      </c>
      <c r="BO124" s="51" t="str">
        <f t="shared" si="180"/>
        <v/>
      </c>
      <c r="BP124" s="19" t="str">
        <f t="shared" si="168"/>
        <v/>
      </c>
      <c r="BQ124" s="20" t="str">
        <f t="shared" si="169"/>
        <v/>
      </c>
      <c r="BR124" s="11"/>
      <c r="BT124" s="18"/>
      <c r="BU124" s="19"/>
      <c r="BV124" s="19" t="str">
        <f t="shared" si="170"/>
        <v/>
      </c>
      <c r="BW124" s="19"/>
      <c r="BX124" s="19" t="str">
        <f t="shared" si="171"/>
        <v/>
      </c>
      <c r="BY124" s="19"/>
      <c r="BZ124" s="19" t="str">
        <f t="shared" si="172"/>
        <v/>
      </c>
      <c r="CA124" s="19"/>
      <c r="CB124" s="48" t="str">
        <f t="shared" si="173"/>
        <v/>
      </c>
      <c r="CC124" s="51" t="str">
        <f t="shared" si="181"/>
        <v/>
      </c>
      <c r="CD124" s="19" t="str">
        <f t="shared" si="175"/>
        <v/>
      </c>
      <c r="CE124" s="20" t="str">
        <f t="shared" si="176"/>
        <v/>
      </c>
      <c r="CF124" s="11"/>
    </row>
    <row r="125" spans="1:84" ht="15" customHeight="1" thickTop="1">
      <c r="A125" s="12"/>
      <c r="B125" s="8"/>
      <c r="C125" s="9"/>
      <c r="D125" s="9" t="str">
        <f t="shared" si="144"/>
        <v/>
      </c>
      <c r="E125" s="9"/>
      <c r="F125" s="9" t="str">
        <f t="shared" si="145"/>
        <v/>
      </c>
      <c r="G125" s="9"/>
      <c r="H125" s="9" t="str">
        <f t="shared" si="146"/>
        <v/>
      </c>
      <c r="I125" s="9"/>
      <c r="J125" s="9"/>
      <c r="K125" s="9"/>
      <c r="L125" s="9" t="str">
        <f t="shared" si="136"/>
        <v/>
      </c>
      <c r="M125" s="10" t="str">
        <f t="shared" si="137"/>
        <v/>
      </c>
      <c r="N125" s="11"/>
      <c r="O125" s="2"/>
      <c r="P125" s="65" t="str">
        <f>IF($A89="","",$A89)</f>
        <v/>
      </c>
      <c r="Q125" s="44"/>
      <c r="R125" s="44" t="str">
        <f t="shared" si="101"/>
        <v/>
      </c>
      <c r="S125" s="44"/>
      <c r="T125" s="23" t="str">
        <f t="shared" si="102"/>
        <v/>
      </c>
      <c r="U125" s="44"/>
      <c r="V125" s="44" t="str">
        <f t="shared" si="103"/>
        <v/>
      </c>
      <c r="W125" s="44"/>
      <c r="X125" s="61" t="str">
        <f t="shared" si="147"/>
        <v/>
      </c>
      <c r="Y125" s="62" t="str">
        <f t="shared" si="177"/>
        <v/>
      </c>
      <c r="Z125" s="23" t="str">
        <f t="shared" si="106"/>
        <v/>
      </c>
      <c r="AA125" s="24" t="str">
        <f t="shared" si="107"/>
        <v/>
      </c>
      <c r="AB125" s="11"/>
      <c r="AD125" s="65" t="str">
        <f>IF($A89="","",$A89)</f>
        <v/>
      </c>
      <c r="AE125" s="44"/>
      <c r="AF125" s="44" t="str">
        <f t="shared" si="149"/>
        <v/>
      </c>
      <c r="AG125" s="44"/>
      <c r="AH125" s="23" t="str">
        <f t="shared" si="150"/>
        <v/>
      </c>
      <c r="AI125" s="44"/>
      <c r="AJ125" s="44" t="str">
        <f t="shared" si="151"/>
        <v/>
      </c>
      <c r="AK125" s="44"/>
      <c r="AL125" s="61" t="str">
        <f t="shared" si="152"/>
        <v/>
      </c>
      <c r="AM125" s="62" t="str">
        <f t="shared" si="178"/>
        <v/>
      </c>
      <c r="AN125" s="23" t="str">
        <f t="shared" si="154"/>
        <v/>
      </c>
      <c r="AO125" s="24" t="str">
        <f t="shared" si="155"/>
        <v/>
      </c>
      <c r="AP125" s="11"/>
      <c r="AR125" s="65" t="str">
        <f>IF($A89="","",$A89)</f>
        <v/>
      </c>
      <c r="AS125" s="44"/>
      <c r="AT125" s="44" t="str">
        <f t="shared" si="156"/>
        <v/>
      </c>
      <c r="AU125" s="44"/>
      <c r="AV125" s="23" t="str">
        <f t="shared" si="157"/>
        <v/>
      </c>
      <c r="AW125" s="44"/>
      <c r="AX125" s="44" t="str">
        <f t="shared" si="158"/>
        <v/>
      </c>
      <c r="AY125" s="44"/>
      <c r="AZ125" s="61" t="str">
        <f t="shared" si="159"/>
        <v/>
      </c>
      <c r="BA125" s="62" t="str">
        <f t="shared" si="179"/>
        <v/>
      </c>
      <c r="BB125" s="23" t="str">
        <f t="shared" si="161"/>
        <v/>
      </c>
      <c r="BC125" s="24" t="str">
        <f t="shared" si="162"/>
        <v/>
      </c>
      <c r="BD125" s="11"/>
      <c r="BF125" s="65" t="str">
        <f>IF($A89="","",$A89)</f>
        <v/>
      </c>
      <c r="BG125" s="44"/>
      <c r="BH125" s="44" t="str">
        <f t="shared" si="163"/>
        <v/>
      </c>
      <c r="BI125" s="44"/>
      <c r="BJ125" s="23" t="str">
        <f t="shared" si="164"/>
        <v/>
      </c>
      <c r="BK125" s="44"/>
      <c r="BL125" s="44" t="str">
        <f t="shared" si="165"/>
        <v/>
      </c>
      <c r="BM125" s="44"/>
      <c r="BN125" s="61" t="str">
        <f t="shared" si="166"/>
        <v/>
      </c>
      <c r="BO125" s="62" t="str">
        <f t="shared" si="180"/>
        <v/>
      </c>
      <c r="BP125" s="23" t="str">
        <f t="shared" si="168"/>
        <v/>
      </c>
      <c r="BQ125" s="24" t="str">
        <f t="shared" si="169"/>
        <v/>
      </c>
      <c r="BR125" s="11"/>
      <c r="BT125" s="65" t="str">
        <f>IF($A89="","",$A89)</f>
        <v/>
      </c>
      <c r="BU125" s="44"/>
      <c r="BV125" s="44" t="str">
        <f t="shared" si="170"/>
        <v/>
      </c>
      <c r="BW125" s="44"/>
      <c r="BX125" s="23" t="str">
        <f t="shared" si="171"/>
        <v/>
      </c>
      <c r="BY125" s="44"/>
      <c r="BZ125" s="44" t="str">
        <f t="shared" si="172"/>
        <v/>
      </c>
      <c r="CA125" s="44"/>
      <c r="CB125" s="61" t="str">
        <f t="shared" si="173"/>
        <v/>
      </c>
      <c r="CC125" s="62" t="str">
        <f t="shared" si="181"/>
        <v/>
      </c>
      <c r="CD125" s="23" t="str">
        <f t="shared" si="175"/>
        <v/>
      </c>
      <c r="CE125" s="24" t="str">
        <f t="shared" si="176"/>
        <v/>
      </c>
      <c r="CF125" s="11"/>
    </row>
    <row r="126" spans="1:84" ht="15" customHeight="1">
      <c r="A126" s="12"/>
      <c r="B126" s="8"/>
      <c r="C126" s="9"/>
      <c r="D126" s="9" t="str">
        <f t="shared" si="144"/>
        <v/>
      </c>
      <c r="E126" s="9"/>
      <c r="F126" s="9" t="str">
        <f t="shared" si="145"/>
        <v/>
      </c>
      <c r="G126" s="9"/>
      <c r="H126" s="9" t="str">
        <f t="shared" si="146"/>
        <v/>
      </c>
      <c r="I126" s="9"/>
      <c r="J126" s="9"/>
      <c r="K126" s="9"/>
      <c r="L126" s="9" t="str">
        <f t="shared" si="136"/>
        <v/>
      </c>
      <c r="M126" s="10" t="str">
        <f t="shared" si="137"/>
        <v/>
      </c>
      <c r="N126" s="11"/>
      <c r="O126" s="2"/>
      <c r="P126" s="12"/>
      <c r="Q126" s="9"/>
      <c r="R126" s="9" t="str">
        <f t="shared" si="101"/>
        <v/>
      </c>
      <c r="S126" s="9"/>
      <c r="T126" s="9" t="str">
        <f t="shared" si="102"/>
        <v/>
      </c>
      <c r="U126" s="9"/>
      <c r="V126" s="9" t="str">
        <f t="shared" si="103"/>
        <v/>
      </c>
      <c r="W126" s="9"/>
      <c r="X126" s="47" t="str">
        <f t="shared" si="147"/>
        <v/>
      </c>
      <c r="Y126" s="45" t="str">
        <f t="shared" si="177"/>
        <v/>
      </c>
      <c r="Z126" s="9" t="str">
        <f t="shared" si="106"/>
        <v/>
      </c>
      <c r="AA126" s="10" t="str">
        <f t="shared" si="107"/>
        <v/>
      </c>
      <c r="AB126" s="11"/>
      <c r="AD126" s="12"/>
      <c r="AE126" s="9"/>
      <c r="AF126" s="9" t="str">
        <f t="shared" si="149"/>
        <v/>
      </c>
      <c r="AG126" s="9"/>
      <c r="AH126" s="9" t="str">
        <f t="shared" si="150"/>
        <v/>
      </c>
      <c r="AI126" s="9"/>
      <c r="AJ126" s="9" t="str">
        <f t="shared" si="151"/>
        <v/>
      </c>
      <c r="AK126" s="9"/>
      <c r="AL126" s="47" t="str">
        <f t="shared" si="152"/>
        <v/>
      </c>
      <c r="AM126" s="45" t="str">
        <f t="shared" si="178"/>
        <v/>
      </c>
      <c r="AN126" s="9" t="str">
        <f t="shared" si="154"/>
        <v/>
      </c>
      <c r="AO126" s="10" t="str">
        <f t="shared" si="155"/>
        <v/>
      </c>
      <c r="AP126" s="11"/>
      <c r="AR126" s="12"/>
      <c r="AS126" s="9"/>
      <c r="AT126" s="9" t="str">
        <f t="shared" si="156"/>
        <v/>
      </c>
      <c r="AU126" s="9"/>
      <c r="AV126" s="9" t="str">
        <f t="shared" si="157"/>
        <v/>
      </c>
      <c r="AW126" s="9"/>
      <c r="AX126" s="9" t="str">
        <f t="shared" si="158"/>
        <v/>
      </c>
      <c r="AY126" s="9"/>
      <c r="AZ126" s="47" t="str">
        <f t="shared" si="159"/>
        <v/>
      </c>
      <c r="BA126" s="45" t="str">
        <f t="shared" si="179"/>
        <v/>
      </c>
      <c r="BB126" s="9" t="str">
        <f t="shared" si="161"/>
        <v/>
      </c>
      <c r="BC126" s="10" t="str">
        <f t="shared" si="162"/>
        <v/>
      </c>
      <c r="BD126" s="11"/>
      <c r="BF126" s="12"/>
      <c r="BG126" s="9"/>
      <c r="BH126" s="9" t="str">
        <f t="shared" si="163"/>
        <v/>
      </c>
      <c r="BI126" s="9"/>
      <c r="BJ126" s="9" t="str">
        <f t="shared" si="164"/>
        <v/>
      </c>
      <c r="BK126" s="9"/>
      <c r="BL126" s="9" t="str">
        <f t="shared" si="165"/>
        <v/>
      </c>
      <c r="BM126" s="9"/>
      <c r="BN126" s="47" t="str">
        <f t="shared" si="166"/>
        <v/>
      </c>
      <c r="BO126" s="45" t="str">
        <f t="shared" si="180"/>
        <v/>
      </c>
      <c r="BP126" s="9" t="str">
        <f t="shared" si="168"/>
        <v/>
      </c>
      <c r="BQ126" s="10" t="str">
        <f t="shared" si="169"/>
        <v/>
      </c>
      <c r="BR126" s="11"/>
      <c r="BT126" s="12"/>
      <c r="BU126" s="9"/>
      <c r="BV126" s="9" t="str">
        <f t="shared" si="170"/>
        <v/>
      </c>
      <c r="BW126" s="9"/>
      <c r="BX126" s="9" t="str">
        <f t="shared" si="171"/>
        <v/>
      </c>
      <c r="BY126" s="9"/>
      <c r="BZ126" s="9" t="str">
        <f t="shared" si="172"/>
        <v/>
      </c>
      <c r="CA126" s="9"/>
      <c r="CB126" s="47" t="str">
        <f t="shared" si="173"/>
        <v/>
      </c>
      <c r="CC126" s="45" t="str">
        <f t="shared" si="181"/>
        <v/>
      </c>
      <c r="CD126" s="9" t="str">
        <f t="shared" si="175"/>
        <v/>
      </c>
      <c r="CE126" s="10" t="str">
        <f t="shared" si="176"/>
        <v/>
      </c>
      <c r="CF126" s="11"/>
    </row>
    <row r="127" spans="1:84" ht="15" customHeight="1">
      <c r="A127" s="12"/>
      <c r="B127" s="8"/>
      <c r="C127" s="9"/>
      <c r="D127" s="9" t="str">
        <f t="shared" si="144"/>
        <v/>
      </c>
      <c r="E127" s="9"/>
      <c r="F127" s="9" t="str">
        <f t="shared" si="145"/>
        <v/>
      </c>
      <c r="G127" s="9"/>
      <c r="H127" s="9" t="str">
        <f t="shared" si="146"/>
        <v/>
      </c>
      <c r="I127" s="9"/>
      <c r="J127" s="9"/>
      <c r="K127" s="9"/>
      <c r="L127" s="9" t="str">
        <f t="shared" si="136"/>
        <v/>
      </c>
      <c r="M127" s="10" t="str">
        <f t="shared" si="137"/>
        <v/>
      </c>
      <c r="N127" s="11"/>
      <c r="O127" s="2"/>
      <c r="P127" s="12"/>
      <c r="Q127" s="9"/>
      <c r="R127" s="9" t="str">
        <f t="shared" si="101"/>
        <v/>
      </c>
      <c r="S127" s="9"/>
      <c r="T127" s="9" t="str">
        <f t="shared" si="102"/>
        <v/>
      </c>
      <c r="U127" s="9"/>
      <c r="V127" s="9" t="str">
        <f t="shared" si="103"/>
        <v/>
      </c>
      <c r="W127" s="9"/>
      <c r="X127" s="47" t="str">
        <f t="shared" si="147"/>
        <v/>
      </c>
      <c r="Y127" s="9" t="str">
        <f t="shared" si="177"/>
        <v/>
      </c>
      <c r="Z127" s="9" t="str">
        <f t="shared" si="106"/>
        <v/>
      </c>
      <c r="AA127" s="10" t="str">
        <f t="shared" si="107"/>
        <v/>
      </c>
      <c r="AB127" s="11"/>
      <c r="AD127" s="12"/>
      <c r="AE127" s="9"/>
      <c r="AF127" s="9" t="str">
        <f t="shared" si="149"/>
        <v/>
      </c>
      <c r="AG127" s="9"/>
      <c r="AH127" s="9" t="str">
        <f t="shared" si="150"/>
        <v/>
      </c>
      <c r="AI127" s="9"/>
      <c r="AJ127" s="9" t="str">
        <f t="shared" si="151"/>
        <v/>
      </c>
      <c r="AK127" s="9"/>
      <c r="AL127" s="47" t="str">
        <f t="shared" si="152"/>
        <v/>
      </c>
      <c r="AM127" s="9" t="str">
        <f t="shared" si="178"/>
        <v/>
      </c>
      <c r="AN127" s="9" t="str">
        <f t="shared" si="154"/>
        <v/>
      </c>
      <c r="AO127" s="10" t="str">
        <f t="shared" si="155"/>
        <v/>
      </c>
      <c r="AP127" s="11"/>
      <c r="AR127" s="12"/>
      <c r="AS127" s="9"/>
      <c r="AT127" s="9" t="str">
        <f t="shared" si="156"/>
        <v/>
      </c>
      <c r="AU127" s="9"/>
      <c r="AV127" s="9" t="str">
        <f t="shared" si="157"/>
        <v/>
      </c>
      <c r="AW127" s="9"/>
      <c r="AX127" s="9" t="str">
        <f t="shared" si="158"/>
        <v/>
      </c>
      <c r="AY127" s="9"/>
      <c r="AZ127" s="47" t="str">
        <f t="shared" si="159"/>
        <v/>
      </c>
      <c r="BA127" s="9" t="str">
        <f t="shared" si="179"/>
        <v/>
      </c>
      <c r="BB127" s="9" t="str">
        <f t="shared" si="161"/>
        <v/>
      </c>
      <c r="BC127" s="10" t="str">
        <f t="shared" si="162"/>
        <v/>
      </c>
      <c r="BD127" s="11"/>
      <c r="BF127" s="12"/>
      <c r="BG127" s="9"/>
      <c r="BH127" s="9" t="str">
        <f t="shared" si="163"/>
        <v/>
      </c>
      <c r="BI127" s="9"/>
      <c r="BJ127" s="9" t="str">
        <f t="shared" si="164"/>
        <v/>
      </c>
      <c r="BK127" s="9"/>
      <c r="BL127" s="9" t="str">
        <f t="shared" si="165"/>
        <v/>
      </c>
      <c r="BM127" s="9"/>
      <c r="BN127" s="47" t="str">
        <f t="shared" si="166"/>
        <v/>
      </c>
      <c r="BO127" s="9" t="str">
        <f t="shared" si="180"/>
        <v/>
      </c>
      <c r="BP127" s="9" t="str">
        <f t="shared" si="168"/>
        <v/>
      </c>
      <c r="BQ127" s="10" t="str">
        <f t="shared" si="169"/>
        <v/>
      </c>
      <c r="BR127" s="11"/>
      <c r="BT127" s="12"/>
      <c r="BU127" s="9"/>
      <c r="BV127" s="9" t="str">
        <f t="shared" si="170"/>
        <v/>
      </c>
      <c r="BW127" s="9"/>
      <c r="BX127" s="9" t="str">
        <f t="shared" si="171"/>
        <v/>
      </c>
      <c r="BY127" s="9"/>
      <c r="BZ127" s="9" t="str">
        <f t="shared" si="172"/>
        <v/>
      </c>
      <c r="CA127" s="9"/>
      <c r="CB127" s="47" t="str">
        <f t="shared" si="173"/>
        <v/>
      </c>
      <c r="CC127" s="9" t="str">
        <f t="shared" si="181"/>
        <v/>
      </c>
      <c r="CD127" s="9" t="str">
        <f t="shared" si="175"/>
        <v/>
      </c>
      <c r="CE127" s="10" t="str">
        <f t="shared" si="176"/>
        <v/>
      </c>
      <c r="CF127" s="11"/>
    </row>
    <row r="128" spans="1:84" ht="15" customHeight="1" thickBot="1">
      <c r="A128" s="12"/>
      <c r="B128" s="8"/>
      <c r="C128" s="9"/>
      <c r="D128" s="9" t="str">
        <f t="shared" si="144"/>
        <v/>
      </c>
      <c r="E128" s="9"/>
      <c r="F128" s="9" t="str">
        <f t="shared" si="145"/>
        <v/>
      </c>
      <c r="G128" s="9"/>
      <c r="H128" s="9" t="str">
        <f t="shared" si="146"/>
        <v/>
      </c>
      <c r="I128" s="9"/>
      <c r="J128" s="9"/>
      <c r="K128" s="9"/>
      <c r="L128" s="9" t="str">
        <f t="shared" si="136"/>
        <v/>
      </c>
      <c r="M128" s="10" t="str">
        <f t="shared" si="137"/>
        <v/>
      </c>
      <c r="N128" s="11"/>
      <c r="O128" s="2"/>
      <c r="P128" s="18"/>
      <c r="Q128" s="19"/>
      <c r="R128" s="19" t="str">
        <f t="shared" si="101"/>
        <v/>
      </c>
      <c r="S128" s="19"/>
      <c r="T128" s="19" t="str">
        <f t="shared" si="102"/>
        <v/>
      </c>
      <c r="U128" s="19"/>
      <c r="V128" s="19" t="str">
        <f t="shared" si="103"/>
        <v/>
      </c>
      <c r="W128" s="19"/>
      <c r="X128" s="48" t="str">
        <f t="shared" si="147"/>
        <v/>
      </c>
      <c r="Y128" s="51" t="str">
        <f t="shared" si="177"/>
        <v/>
      </c>
      <c r="Z128" s="19" t="str">
        <f t="shared" si="106"/>
        <v/>
      </c>
      <c r="AA128" s="20" t="str">
        <f t="shared" si="107"/>
        <v/>
      </c>
      <c r="AB128" s="11"/>
      <c r="AD128" s="18"/>
      <c r="AE128" s="19"/>
      <c r="AF128" s="19" t="str">
        <f t="shared" si="149"/>
        <v/>
      </c>
      <c r="AG128" s="19"/>
      <c r="AH128" s="19" t="str">
        <f t="shared" si="150"/>
        <v/>
      </c>
      <c r="AI128" s="19"/>
      <c r="AJ128" s="19" t="str">
        <f t="shared" si="151"/>
        <v/>
      </c>
      <c r="AK128" s="19"/>
      <c r="AL128" s="48" t="str">
        <f t="shared" si="152"/>
        <v/>
      </c>
      <c r="AM128" s="51" t="str">
        <f t="shared" si="178"/>
        <v/>
      </c>
      <c r="AN128" s="19" t="str">
        <f t="shared" si="154"/>
        <v/>
      </c>
      <c r="AO128" s="20" t="str">
        <f t="shared" si="155"/>
        <v/>
      </c>
      <c r="AP128" s="11"/>
      <c r="AR128" s="18"/>
      <c r="AS128" s="19"/>
      <c r="AT128" s="19" t="str">
        <f t="shared" si="156"/>
        <v/>
      </c>
      <c r="AU128" s="19"/>
      <c r="AV128" s="19" t="str">
        <f t="shared" si="157"/>
        <v/>
      </c>
      <c r="AW128" s="19"/>
      <c r="AX128" s="19" t="str">
        <f t="shared" si="158"/>
        <v/>
      </c>
      <c r="AY128" s="19"/>
      <c r="AZ128" s="48" t="str">
        <f t="shared" si="159"/>
        <v/>
      </c>
      <c r="BA128" s="51" t="str">
        <f t="shared" si="179"/>
        <v/>
      </c>
      <c r="BB128" s="19" t="str">
        <f t="shared" si="161"/>
        <v/>
      </c>
      <c r="BC128" s="20" t="str">
        <f t="shared" si="162"/>
        <v/>
      </c>
      <c r="BD128" s="11"/>
      <c r="BF128" s="18"/>
      <c r="BG128" s="19"/>
      <c r="BH128" s="19" t="str">
        <f t="shared" si="163"/>
        <v/>
      </c>
      <c r="BI128" s="19"/>
      <c r="BJ128" s="19" t="str">
        <f t="shared" si="164"/>
        <v/>
      </c>
      <c r="BK128" s="19"/>
      <c r="BL128" s="19" t="str">
        <f t="shared" si="165"/>
        <v/>
      </c>
      <c r="BM128" s="19"/>
      <c r="BN128" s="48" t="str">
        <f t="shared" si="166"/>
        <v/>
      </c>
      <c r="BO128" s="51" t="str">
        <f t="shared" si="180"/>
        <v/>
      </c>
      <c r="BP128" s="19" t="str">
        <f t="shared" si="168"/>
        <v/>
      </c>
      <c r="BQ128" s="20" t="str">
        <f t="shared" si="169"/>
        <v/>
      </c>
      <c r="BR128" s="11"/>
      <c r="BT128" s="18"/>
      <c r="BU128" s="19"/>
      <c r="BV128" s="19" t="str">
        <f t="shared" si="170"/>
        <v/>
      </c>
      <c r="BW128" s="19"/>
      <c r="BX128" s="19" t="str">
        <f t="shared" si="171"/>
        <v/>
      </c>
      <c r="BY128" s="19"/>
      <c r="BZ128" s="19" t="str">
        <f t="shared" si="172"/>
        <v/>
      </c>
      <c r="CA128" s="19"/>
      <c r="CB128" s="48" t="str">
        <f t="shared" si="173"/>
        <v/>
      </c>
      <c r="CC128" s="51" t="str">
        <f t="shared" si="181"/>
        <v/>
      </c>
      <c r="CD128" s="19" t="str">
        <f t="shared" si="175"/>
        <v/>
      </c>
      <c r="CE128" s="20" t="str">
        <f t="shared" si="176"/>
        <v/>
      </c>
      <c r="CF128" s="11"/>
    </row>
    <row r="129" spans="1:84" ht="15" customHeight="1" thickTop="1">
      <c r="A129" s="12"/>
      <c r="B129" s="8"/>
      <c r="C129" s="9"/>
      <c r="D129" s="9" t="str">
        <f t="shared" si="144"/>
        <v/>
      </c>
      <c r="E129" s="9"/>
      <c r="F129" s="9" t="str">
        <f t="shared" si="145"/>
        <v/>
      </c>
      <c r="G129" s="9"/>
      <c r="H129" s="9" t="str">
        <f t="shared" si="146"/>
        <v/>
      </c>
      <c r="I129" s="9"/>
      <c r="J129" s="9"/>
      <c r="K129" s="9"/>
      <c r="L129" s="9" t="str">
        <f t="shared" si="136"/>
        <v/>
      </c>
      <c r="M129" s="10" t="str">
        <f t="shared" si="137"/>
        <v/>
      </c>
      <c r="N129" s="11"/>
      <c r="O129" s="2"/>
      <c r="P129" s="65" t="str">
        <f>IF($A90="","",$A90)</f>
        <v/>
      </c>
      <c r="Q129" s="44"/>
      <c r="R129" s="44" t="str">
        <f t="shared" si="101"/>
        <v/>
      </c>
      <c r="S129" s="44"/>
      <c r="T129" s="44" t="str">
        <f t="shared" si="102"/>
        <v/>
      </c>
      <c r="U129" s="44"/>
      <c r="V129" s="44" t="str">
        <f t="shared" si="103"/>
        <v/>
      </c>
      <c r="W129" s="44"/>
      <c r="X129" s="64" t="str">
        <f t="shared" si="147"/>
        <v/>
      </c>
      <c r="Y129" s="44" t="str">
        <f t="shared" si="177"/>
        <v/>
      </c>
      <c r="Z129" s="44" t="str">
        <f t="shared" si="106"/>
        <v/>
      </c>
      <c r="AA129" s="44" t="str">
        <f t="shared" si="107"/>
        <v/>
      </c>
      <c r="AB129" s="11"/>
      <c r="AD129" s="65" t="str">
        <f>IF($A90="","",$A90)</f>
        <v/>
      </c>
      <c r="AE129" s="44"/>
      <c r="AF129" s="44" t="str">
        <f t="shared" si="149"/>
        <v/>
      </c>
      <c r="AG129" s="44"/>
      <c r="AH129" s="44" t="str">
        <f t="shared" si="150"/>
        <v/>
      </c>
      <c r="AI129" s="44"/>
      <c r="AJ129" s="44" t="str">
        <f t="shared" si="151"/>
        <v/>
      </c>
      <c r="AK129" s="44"/>
      <c r="AL129" s="61" t="str">
        <f t="shared" si="152"/>
        <v/>
      </c>
      <c r="AM129" s="44" t="str">
        <f t="shared" si="178"/>
        <v/>
      </c>
      <c r="AN129" s="23" t="str">
        <f t="shared" si="154"/>
        <v/>
      </c>
      <c r="AO129" s="24" t="str">
        <f t="shared" si="155"/>
        <v/>
      </c>
      <c r="AP129" s="11"/>
      <c r="AR129" s="65" t="str">
        <f>IF($A90="","",$A90)</f>
        <v/>
      </c>
      <c r="AS129" s="44"/>
      <c r="AT129" s="44" t="str">
        <f t="shared" si="156"/>
        <v/>
      </c>
      <c r="AU129" s="44"/>
      <c r="AV129" s="44" t="str">
        <f t="shared" si="157"/>
        <v/>
      </c>
      <c r="AW129" s="44"/>
      <c r="AX129" s="44" t="str">
        <f t="shared" si="158"/>
        <v/>
      </c>
      <c r="AY129" s="44"/>
      <c r="AZ129" s="61" t="str">
        <f t="shared" si="159"/>
        <v/>
      </c>
      <c r="BA129" s="44" t="str">
        <f t="shared" si="179"/>
        <v/>
      </c>
      <c r="BB129" s="23" t="str">
        <f t="shared" si="161"/>
        <v/>
      </c>
      <c r="BC129" s="24" t="str">
        <f t="shared" si="162"/>
        <v/>
      </c>
      <c r="BD129" s="11"/>
      <c r="BF129" s="65" t="str">
        <f>IF($A90="","",$A90)</f>
        <v/>
      </c>
      <c r="BG129" s="44"/>
      <c r="BH129" s="44" t="str">
        <f t="shared" si="163"/>
        <v/>
      </c>
      <c r="BI129" s="44"/>
      <c r="BJ129" s="44" t="str">
        <f t="shared" si="164"/>
        <v/>
      </c>
      <c r="BK129" s="44"/>
      <c r="BL129" s="44" t="str">
        <f t="shared" si="165"/>
        <v/>
      </c>
      <c r="BM129" s="44"/>
      <c r="BN129" s="61" t="str">
        <f t="shared" si="166"/>
        <v/>
      </c>
      <c r="BO129" s="44" t="str">
        <f t="shared" si="180"/>
        <v/>
      </c>
      <c r="BP129" s="23" t="str">
        <f t="shared" si="168"/>
        <v/>
      </c>
      <c r="BQ129" s="24" t="str">
        <f t="shared" si="169"/>
        <v/>
      </c>
      <c r="BR129" s="11"/>
      <c r="BT129" s="65" t="str">
        <f>IF($A90="","",$A90)</f>
        <v/>
      </c>
      <c r="BU129" s="44"/>
      <c r="BV129" s="44" t="str">
        <f t="shared" si="170"/>
        <v/>
      </c>
      <c r="BW129" s="44"/>
      <c r="BX129" s="44" t="str">
        <f t="shared" si="171"/>
        <v/>
      </c>
      <c r="BY129" s="44"/>
      <c r="BZ129" s="44" t="str">
        <f t="shared" si="172"/>
        <v/>
      </c>
      <c r="CA129" s="44"/>
      <c r="CB129" s="61" t="str">
        <f t="shared" si="173"/>
        <v/>
      </c>
      <c r="CC129" s="44" t="str">
        <f t="shared" si="181"/>
        <v/>
      </c>
      <c r="CD129" s="23" t="str">
        <f t="shared" si="175"/>
        <v/>
      </c>
      <c r="CE129" s="24" t="str">
        <f t="shared" si="176"/>
        <v/>
      </c>
      <c r="CF129" s="11"/>
    </row>
    <row r="130" spans="1:84" ht="15" customHeight="1">
      <c r="A130" s="12"/>
      <c r="B130" s="8"/>
      <c r="C130" s="9"/>
      <c r="D130" s="9"/>
      <c r="E130" s="9"/>
      <c r="F130" s="9" t="str">
        <f t="shared" si="145"/>
        <v/>
      </c>
      <c r="G130" s="9"/>
      <c r="H130" s="9" t="str">
        <f t="shared" si="146"/>
        <v/>
      </c>
      <c r="I130" s="9"/>
      <c r="J130" s="9"/>
      <c r="K130" s="9"/>
      <c r="L130" s="9" t="str">
        <f t="shared" si="136"/>
        <v/>
      </c>
      <c r="M130" s="10" t="str">
        <f t="shared" si="137"/>
        <v/>
      </c>
      <c r="N130" s="11"/>
      <c r="O130" s="2"/>
      <c r="P130" s="65"/>
      <c r="Q130" s="44"/>
      <c r="R130" s="44" t="str">
        <f t="shared" si="101"/>
        <v/>
      </c>
      <c r="S130" s="44"/>
      <c r="T130" s="44" t="str">
        <f t="shared" si="102"/>
        <v/>
      </c>
      <c r="U130" s="44"/>
      <c r="V130" s="44" t="str">
        <f t="shared" si="103"/>
        <v/>
      </c>
      <c r="W130" s="44"/>
      <c r="X130" s="64" t="str">
        <f t="shared" si="147"/>
        <v/>
      </c>
      <c r="Y130" s="44" t="str">
        <f t="shared" si="177"/>
        <v/>
      </c>
      <c r="Z130" s="44" t="str">
        <f t="shared" si="106"/>
        <v/>
      </c>
      <c r="AA130" s="44" t="str">
        <f t="shared" si="107"/>
        <v/>
      </c>
      <c r="AB130" s="11"/>
      <c r="AD130" s="65"/>
      <c r="AE130" s="44"/>
      <c r="AF130" s="44" t="str">
        <f t="shared" si="149"/>
        <v/>
      </c>
      <c r="AG130" s="44"/>
      <c r="AH130" s="44" t="str">
        <f t="shared" si="150"/>
        <v/>
      </c>
      <c r="AI130" s="44"/>
      <c r="AJ130" s="44" t="str">
        <f t="shared" si="151"/>
        <v/>
      </c>
      <c r="AK130" s="44"/>
      <c r="AL130" s="61" t="str">
        <f t="shared" si="152"/>
        <v/>
      </c>
      <c r="AM130" s="44" t="str">
        <f t="shared" si="178"/>
        <v/>
      </c>
      <c r="AN130" s="9" t="str">
        <f t="shared" si="154"/>
        <v/>
      </c>
      <c r="AO130" s="10" t="str">
        <f t="shared" si="155"/>
        <v/>
      </c>
      <c r="AP130" s="11"/>
      <c r="AR130" s="65"/>
      <c r="AS130" s="44"/>
      <c r="AT130" s="44" t="str">
        <f t="shared" si="156"/>
        <v/>
      </c>
      <c r="AU130" s="44"/>
      <c r="AV130" s="44" t="str">
        <f t="shared" si="157"/>
        <v/>
      </c>
      <c r="AW130" s="44"/>
      <c r="AX130" s="44" t="str">
        <f t="shared" si="158"/>
        <v/>
      </c>
      <c r="AY130" s="44"/>
      <c r="AZ130" s="61" t="str">
        <f t="shared" si="159"/>
        <v/>
      </c>
      <c r="BA130" s="44" t="str">
        <f t="shared" si="179"/>
        <v/>
      </c>
      <c r="BB130" s="9" t="str">
        <f t="shared" si="161"/>
        <v/>
      </c>
      <c r="BC130" s="10" t="str">
        <f t="shared" si="162"/>
        <v/>
      </c>
      <c r="BD130" s="11"/>
      <c r="BF130" s="65"/>
      <c r="BG130" s="44"/>
      <c r="BH130" s="44" t="str">
        <f t="shared" si="163"/>
        <v/>
      </c>
      <c r="BI130" s="44"/>
      <c r="BJ130" s="44" t="str">
        <f t="shared" si="164"/>
        <v/>
      </c>
      <c r="BK130" s="44"/>
      <c r="BL130" s="44" t="str">
        <f t="shared" si="165"/>
        <v/>
      </c>
      <c r="BM130" s="44"/>
      <c r="BN130" s="61" t="str">
        <f t="shared" si="166"/>
        <v/>
      </c>
      <c r="BO130" s="44" t="str">
        <f t="shared" si="180"/>
        <v/>
      </c>
      <c r="BP130" s="9" t="str">
        <f t="shared" si="168"/>
        <v/>
      </c>
      <c r="BQ130" s="10" t="str">
        <f t="shared" si="169"/>
        <v/>
      </c>
      <c r="BR130" s="11"/>
      <c r="BT130" s="65"/>
      <c r="BU130" s="44"/>
      <c r="BV130" s="44" t="str">
        <f t="shared" si="170"/>
        <v/>
      </c>
      <c r="BW130" s="44"/>
      <c r="BX130" s="44" t="str">
        <f t="shared" si="171"/>
        <v/>
      </c>
      <c r="BY130" s="44"/>
      <c r="BZ130" s="44" t="str">
        <f t="shared" si="172"/>
        <v/>
      </c>
      <c r="CA130" s="44"/>
      <c r="CB130" s="61" t="str">
        <f t="shared" si="173"/>
        <v/>
      </c>
      <c r="CC130" s="44" t="str">
        <f t="shared" si="181"/>
        <v/>
      </c>
      <c r="CD130" s="9" t="str">
        <f t="shared" si="175"/>
        <v/>
      </c>
      <c r="CE130" s="10" t="str">
        <f t="shared" si="176"/>
        <v/>
      </c>
      <c r="CF130" s="11"/>
    </row>
    <row r="131" spans="1:84" ht="15" customHeight="1">
      <c r="A131" s="12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  <c r="N131" s="11"/>
      <c r="O131" s="2"/>
      <c r="P131" s="89"/>
      <c r="Q131" s="52"/>
      <c r="R131" s="52" t="str">
        <f t="shared" si="101"/>
        <v/>
      </c>
      <c r="S131" s="52"/>
      <c r="T131" s="52" t="str">
        <f t="shared" si="102"/>
        <v/>
      </c>
      <c r="U131" s="52"/>
      <c r="V131" s="52" t="str">
        <f t="shared" si="103"/>
        <v/>
      </c>
      <c r="W131" s="52"/>
      <c r="X131" s="90" t="str">
        <f t="shared" si="147"/>
        <v/>
      </c>
      <c r="Y131" s="52" t="str">
        <f t="shared" si="177"/>
        <v/>
      </c>
      <c r="Z131" s="52" t="str">
        <f t="shared" si="106"/>
        <v/>
      </c>
      <c r="AA131" s="52" t="str">
        <f t="shared" si="107"/>
        <v/>
      </c>
      <c r="AB131" s="31"/>
      <c r="AD131" s="89"/>
      <c r="AE131" s="52"/>
      <c r="AF131" s="52" t="str">
        <f t="shared" si="149"/>
        <v/>
      </c>
      <c r="AG131" s="52"/>
      <c r="AH131" s="52" t="str">
        <f t="shared" si="150"/>
        <v/>
      </c>
      <c r="AI131" s="52"/>
      <c r="AJ131" s="52" t="str">
        <f t="shared" si="151"/>
        <v/>
      </c>
      <c r="AK131" s="52"/>
      <c r="AL131" s="92" t="str">
        <f t="shared" si="152"/>
        <v/>
      </c>
      <c r="AM131" s="52" t="str">
        <f t="shared" si="178"/>
        <v/>
      </c>
      <c r="AN131" s="9" t="str">
        <f t="shared" si="154"/>
        <v/>
      </c>
      <c r="AO131" s="10" t="str">
        <f t="shared" si="155"/>
        <v/>
      </c>
      <c r="AP131" s="31"/>
      <c r="AR131" s="89"/>
      <c r="AS131" s="52"/>
      <c r="AT131" s="52" t="str">
        <f t="shared" si="156"/>
        <v/>
      </c>
      <c r="AU131" s="52"/>
      <c r="AV131" s="52" t="str">
        <f t="shared" si="157"/>
        <v/>
      </c>
      <c r="AW131" s="52"/>
      <c r="AX131" s="52" t="str">
        <f t="shared" si="158"/>
        <v/>
      </c>
      <c r="AY131" s="52"/>
      <c r="AZ131" s="92" t="str">
        <f t="shared" si="159"/>
        <v/>
      </c>
      <c r="BA131" s="52" t="str">
        <f t="shared" si="179"/>
        <v/>
      </c>
      <c r="BB131" s="9" t="str">
        <f t="shared" si="161"/>
        <v/>
      </c>
      <c r="BC131" s="10" t="str">
        <f t="shared" si="162"/>
        <v/>
      </c>
      <c r="BD131" s="31"/>
      <c r="BF131" s="89"/>
      <c r="BG131" s="52"/>
      <c r="BH131" s="52" t="str">
        <f t="shared" si="163"/>
        <v/>
      </c>
      <c r="BI131" s="52"/>
      <c r="BJ131" s="52" t="str">
        <f t="shared" si="164"/>
        <v/>
      </c>
      <c r="BK131" s="52"/>
      <c r="BL131" s="52" t="str">
        <f t="shared" si="165"/>
        <v/>
      </c>
      <c r="BM131" s="52"/>
      <c r="BN131" s="92" t="str">
        <f t="shared" si="166"/>
        <v/>
      </c>
      <c r="BO131" s="52" t="str">
        <f t="shared" si="180"/>
        <v/>
      </c>
      <c r="BP131" s="9" t="str">
        <f t="shared" si="168"/>
        <v/>
      </c>
      <c r="BQ131" s="10" t="str">
        <f t="shared" si="169"/>
        <v/>
      </c>
      <c r="BR131" s="31"/>
      <c r="BT131" s="89"/>
      <c r="BU131" s="52"/>
      <c r="BV131" s="52" t="str">
        <f t="shared" si="170"/>
        <v/>
      </c>
      <c r="BW131" s="52"/>
      <c r="BX131" s="52" t="str">
        <f t="shared" si="171"/>
        <v/>
      </c>
      <c r="BY131" s="52"/>
      <c r="BZ131" s="52" t="str">
        <f t="shared" si="172"/>
        <v/>
      </c>
      <c r="CA131" s="52"/>
      <c r="CB131" s="92" t="str">
        <f t="shared" si="173"/>
        <v/>
      </c>
      <c r="CC131" s="52" t="str">
        <f t="shared" si="181"/>
        <v/>
      </c>
      <c r="CD131" s="9" t="str">
        <f t="shared" si="175"/>
        <v/>
      </c>
      <c r="CE131" s="10" t="str">
        <f t="shared" si="176"/>
        <v/>
      </c>
      <c r="CF131" s="31"/>
    </row>
    <row r="132" spans="1:84" ht="15" customHeight="1" thickBot="1">
      <c r="A132" s="12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  <c r="N132" s="11"/>
      <c r="O132" s="2"/>
      <c r="P132" s="85"/>
      <c r="Q132" s="50"/>
      <c r="R132" s="50" t="str">
        <f t="shared" si="101"/>
        <v/>
      </c>
      <c r="S132" s="50"/>
      <c r="T132" s="50" t="str">
        <f t="shared" si="102"/>
        <v/>
      </c>
      <c r="U132" s="50"/>
      <c r="V132" s="50" t="str">
        <f t="shared" si="103"/>
        <v/>
      </c>
      <c r="W132" s="50"/>
      <c r="X132" s="86" t="str">
        <f t="shared" si="147"/>
        <v/>
      </c>
      <c r="Y132" s="50" t="str">
        <f t="shared" si="177"/>
        <v/>
      </c>
      <c r="Z132" s="50" t="str">
        <f t="shared" si="106"/>
        <v/>
      </c>
      <c r="AA132" s="50" t="str">
        <f t="shared" si="107"/>
        <v/>
      </c>
      <c r="AB132" s="87"/>
      <c r="AD132" s="85"/>
      <c r="AE132" s="50"/>
      <c r="AF132" s="50" t="str">
        <f t="shared" si="149"/>
        <v/>
      </c>
      <c r="AG132" s="50"/>
      <c r="AH132" s="50" t="str">
        <f t="shared" si="150"/>
        <v/>
      </c>
      <c r="AI132" s="50"/>
      <c r="AJ132" s="50" t="str">
        <f t="shared" si="151"/>
        <v/>
      </c>
      <c r="AK132" s="50"/>
      <c r="AL132" s="91" t="str">
        <f t="shared" si="152"/>
        <v/>
      </c>
      <c r="AM132" s="50" t="str">
        <f t="shared" si="178"/>
        <v/>
      </c>
      <c r="AN132" s="19" t="str">
        <f t="shared" si="154"/>
        <v/>
      </c>
      <c r="AO132" s="20" t="str">
        <f t="shared" si="155"/>
        <v/>
      </c>
      <c r="AP132" s="87"/>
      <c r="AR132" s="85"/>
      <c r="AS132" s="50"/>
      <c r="AT132" s="50" t="str">
        <f t="shared" si="156"/>
        <v/>
      </c>
      <c r="AU132" s="50"/>
      <c r="AV132" s="50" t="str">
        <f t="shared" si="157"/>
        <v/>
      </c>
      <c r="AW132" s="50"/>
      <c r="AX132" s="50" t="str">
        <f t="shared" si="158"/>
        <v/>
      </c>
      <c r="AY132" s="50"/>
      <c r="AZ132" s="91" t="str">
        <f t="shared" si="159"/>
        <v/>
      </c>
      <c r="BA132" s="50" t="str">
        <f t="shared" si="179"/>
        <v/>
      </c>
      <c r="BB132" s="19" t="str">
        <f t="shared" si="161"/>
        <v/>
      </c>
      <c r="BC132" s="20" t="str">
        <f t="shared" si="162"/>
        <v/>
      </c>
      <c r="BD132" s="87"/>
      <c r="BF132" s="85"/>
      <c r="BG132" s="50"/>
      <c r="BH132" s="50" t="str">
        <f t="shared" si="163"/>
        <v/>
      </c>
      <c r="BI132" s="50"/>
      <c r="BJ132" s="50" t="str">
        <f t="shared" si="164"/>
        <v/>
      </c>
      <c r="BK132" s="50"/>
      <c r="BL132" s="50" t="str">
        <f t="shared" si="165"/>
        <v/>
      </c>
      <c r="BM132" s="50"/>
      <c r="BN132" s="91" t="str">
        <f t="shared" si="166"/>
        <v/>
      </c>
      <c r="BO132" s="50" t="str">
        <f t="shared" si="180"/>
        <v/>
      </c>
      <c r="BP132" s="19" t="str">
        <f t="shared" si="168"/>
        <v/>
      </c>
      <c r="BQ132" s="20" t="str">
        <f t="shared" si="169"/>
        <v/>
      </c>
      <c r="BR132" s="87"/>
      <c r="BT132" s="85"/>
      <c r="BU132" s="50"/>
      <c r="BV132" s="50" t="str">
        <f t="shared" si="170"/>
        <v/>
      </c>
      <c r="BW132" s="50"/>
      <c r="BX132" s="50" t="str">
        <f t="shared" si="171"/>
        <v/>
      </c>
      <c r="BY132" s="50"/>
      <c r="BZ132" s="50" t="str">
        <f t="shared" si="172"/>
        <v/>
      </c>
      <c r="CA132" s="50"/>
      <c r="CB132" s="91" t="str">
        <f t="shared" si="173"/>
        <v/>
      </c>
      <c r="CC132" s="50" t="str">
        <f t="shared" si="181"/>
        <v/>
      </c>
      <c r="CD132" s="19" t="str">
        <f t="shared" si="175"/>
        <v/>
      </c>
      <c r="CE132" s="20" t="str">
        <f t="shared" si="176"/>
        <v/>
      </c>
      <c r="CF132" s="87"/>
    </row>
    <row r="133" spans="1:84" ht="15" customHeight="1" thickTop="1">
      <c r="A133" s="4">
        <v>27</v>
      </c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  <c r="N133" s="11"/>
      <c r="O133" s="2"/>
      <c r="P133" s="65"/>
      <c r="Q133" s="84" t="s">
        <v>17</v>
      </c>
      <c r="R133" s="44">
        <f>SUM(R77:R129)*100</f>
        <v>316000</v>
      </c>
      <c r="S133" s="44"/>
      <c r="T133" s="44"/>
      <c r="U133" s="84"/>
      <c r="V133" s="44"/>
      <c r="W133" s="44"/>
      <c r="X133" s="186" t="s">
        <v>19</v>
      </c>
      <c r="Y133" s="187"/>
      <c r="Z133" s="44">
        <f>SUM(Z77:Z129)</f>
        <v>34546</v>
      </c>
      <c r="AA133" s="44"/>
      <c r="AB133" s="69"/>
      <c r="AD133" s="65"/>
      <c r="AE133" s="84" t="s">
        <v>17</v>
      </c>
      <c r="AF133" s="44">
        <f>SUM(AF77:AF129)*100</f>
        <v>348600</v>
      </c>
      <c r="AG133" s="44"/>
      <c r="AH133" s="44"/>
      <c r="AI133" s="84"/>
      <c r="AJ133" s="44"/>
      <c r="AK133" s="44"/>
      <c r="AL133" s="186" t="s">
        <v>19</v>
      </c>
      <c r="AM133" s="187"/>
      <c r="AN133" s="44">
        <f>SUM(AN77:AN129)</f>
        <v>44224</v>
      </c>
      <c r="AO133" s="44"/>
      <c r="AP133" s="69"/>
      <c r="AR133" s="65"/>
      <c r="AS133" s="84" t="s">
        <v>17</v>
      </c>
      <c r="AT133" s="44">
        <f>SUM(AT77:AT129)*100</f>
        <v>94700</v>
      </c>
      <c r="AU133" s="44"/>
      <c r="AV133" s="44"/>
      <c r="AW133" s="84"/>
      <c r="AX133" s="44"/>
      <c r="AY133" s="44"/>
      <c r="AZ133" s="186" t="s">
        <v>19</v>
      </c>
      <c r="BA133" s="187"/>
      <c r="BB133" s="44">
        <f>SUM(BB77:BB129)</f>
        <v>36404</v>
      </c>
      <c r="BC133" s="44"/>
      <c r="BD133" s="69"/>
      <c r="BF133" s="65"/>
      <c r="BG133" s="84" t="s">
        <v>17</v>
      </c>
      <c r="BH133" s="44">
        <f>SUM(BH77:BH129)*100</f>
        <v>97300</v>
      </c>
      <c r="BI133" s="44"/>
      <c r="BJ133" s="44"/>
      <c r="BK133" s="84"/>
      <c r="BL133" s="44"/>
      <c r="BM133" s="44"/>
      <c r="BN133" s="186" t="s">
        <v>19</v>
      </c>
      <c r="BO133" s="187"/>
      <c r="BP133" s="44">
        <f>SUM(BP77:BP129)</f>
        <v>42165</v>
      </c>
      <c r="BQ133" s="44"/>
      <c r="BR133" s="69"/>
      <c r="BT133" s="65"/>
      <c r="BU133" s="84" t="s">
        <v>17</v>
      </c>
      <c r="BV133" s="44">
        <f>SUM(BV77:BV129)*100</f>
        <v>77500</v>
      </c>
      <c r="BW133" s="44"/>
      <c r="BX133" s="44"/>
      <c r="BY133" s="84"/>
      <c r="BZ133" s="44"/>
      <c r="CA133" s="44"/>
      <c r="CB133" s="186" t="s">
        <v>19</v>
      </c>
      <c r="CC133" s="187"/>
      <c r="CD133" s="44">
        <f>SUM(CD77:CD129)</f>
        <v>34165</v>
      </c>
      <c r="CE133" s="44"/>
      <c r="CF133" s="69"/>
    </row>
    <row r="134" spans="1:84" ht="15" customHeight="1">
      <c r="A134" s="96">
        <f>DATEDIF(A158,A84,"d")</f>
        <v>27</v>
      </c>
      <c r="B134" s="8">
        <f>SUM(B77:B133)</f>
        <v>14523</v>
      </c>
      <c r="C134" s="5" t="s">
        <v>17</v>
      </c>
      <c r="D134" s="9">
        <f>SUM(D77:D130)*100</f>
        <v>518200</v>
      </c>
      <c r="E134" s="9"/>
      <c r="F134" s="9"/>
      <c r="G134" s="5"/>
      <c r="H134" s="9"/>
      <c r="I134" s="9"/>
      <c r="J134" s="9"/>
      <c r="K134" s="9"/>
      <c r="L134" s="9"/>
      <c r="M134" s="9"/>
      <c r="N134" s="11"/>
      <c r="O134" s="2"/>
      <c r="P134" s="25"/>
      <c r="Q134" s="5" t="s">
        <v>20</v>
      </c>
      <c r="R134" s="9">
        <f>R133/$A134</f>
        <v>11703.703703703704</v>
      </c>
      <c r="S134" s="9">
        <f>R134*A133</f>
        <v>316000</v>
      </c>
      <c r="T134" s="9"/>
      <c r="U134" s="5"/>
      <c r="V134" s="9"/>
      <c r="W134" s="9"/>
      <c r="X134" s="178" t="s">
        <v>21</v>
      </c>
      <c r="Y134" s="179"/>
      <c r="Z134" s="9"/>
      <c r="AA134" s="28">
        <f>Z133/R133</f>
        <v>0.10932278481012658</v>
      </c>
      <c r="AB134" s="11"/>
      <c r="AD134" s="40"/>
      <c r="AE134" s="5" t="s">
        <v>20</v>
      </c>
      <c r="AF134" s="9">
        <f>AF133/$A134</f>
        <v>12911.111111111111</v>
      </c>
      <c r="AG134" s="9">
        <f>AF134*A133</f>
        <v>348600</v>
      </c>
      <c r="AH134" s="9"/>
      <c r="AI134" s="5"/>
      <c r="AJ134" s="9"/>
      <c r="AK134" s="9"/>
      <c r="AL134" s="178" t="s">
        <v>21</v>
      </c>
      <c r="AM134" s="179"/>
      <c r="AN134" s="9"/>
      <c r="AO134" s="28">
        <f>AN133/AF133</f>
        <v>0.12686173264486517</v>
      </c>
      <c r="AP134" s="11"/>
      <c r="AR134" s="40"/>
      <c r="AS134" s="5" t="s">
        <v>20</v>
      </c>
      <c r="AT134" s="9">
        <f>AT133/$A134</f>
        <v>3507.4074074074074</v>
      </c>
      <c r="AU134" s="9">
        <f>AT134*A133</f>
        <v>94700</v>
      </c>
      <c r="AV134" s="9"/>
      <c r="AW134" s="5"/>
      <c r="AX134" s="9"/>
      <c r="AY134" s="9"/>
      <c r="AZ134" s="178" t="s">
        <v>21</v>
      </c>
      <c r="BA134" s="179"/>
      <c r="BB134" s="9"/>
      <c r="BC134" s="28">
        <f>BB133/AT133</f>
        <v>0.38441393875395985</v>
      </c>
      <c r="BD134" s="11"/>
      <c r="BF134" s="40"/>
      <c r="BG134" s="5" t="s">
        <v>20</v>
      </c>
      <c r="BH134" s="9">
        <f>BH133/$A134</f>
        <v>3603.7037037037039</v>
      </c>
      <c r="BI134" s="9">
        <f>BH134*A133</f>
        <v>97300</v>
      </c>
      <c r="BJ134" s="9"/>
      <c r="BK134" s="5"/>
      <c r="BL134" s="9"/>
      <c r="BM134" s="9"/>
      <c r="BN134" s="178" t="s">
        <v>21</v>
      </c>
      <c r="BO134" s="179"/>
      <c r="BP134" s="9"/>
      <c r="BQ134" s="28">
        <f>BP133/BH133</f>
        <v>0.43335046248715314</v>
      </c>
      <c r="BR134" s="11"/>
      <c r="BT134" s="40"/>
      <c r="BU134" s="5" t="s">
        <v>20</v>
      </c>
      <c r="BV134" s="9">
        <f>BV133/$A134</f>
        <v>2870.3703703703704</v>
      </c>
      <c r="BW134" s="9">
        <f>BV134*A133</f>
        <v>77500</v>
      </c>
      <c r="BX134" s="9"/>
      <c r="BY134" s="5"/>
      <c r="BZ134" s="9"/>
      <c r="CA134" s="9"/>
      <c r="CB134" s="178" t="s">
        <v>21</v>
      </c>
      <c r="CC134" s="179"/>
      <c r="CD134" s="9"/>
      <c r="CE134" s="28">
        <f>CD133/BV133</f>
        <v>0.44083870967741934</v>
      </c>
      <c r="CF134" s="11"/>
    </row>
    <row r="135" spans="1:84" ht="15" customHeight="1">
      <c r="A135" s="97"/>
      <c r="B135" s="8">
        <f>B134/A134</f>
        <v>537.88888888888891</v>
      </c>
      <c r="C135" s="5" t="s">
        <v>20</v>
      </c>
      <c r="D135" s="9">
        <f>D134/A134</f>
        <v>19192.592592592591</v>
      </c>
      <c r="E135" s="9">
        <f>D135*A133</f>
        <v>518199.99999999994</v>
      </c>
      <c r="F135" s="9"/>
      <c r="G135" s="5"/>
      <c r="H135" s="9"/>
      <c r="I135" s="9"/>
      <c r="J135" s="9"/>
      <c r="K135" s="9"/>
      <c r="L135" s="9"/>
      <c r="M135" s="9"/>
      <c r="N135" s="11"/>
      <c r="O135" s="2"/>
      <c r="P135" s="12"/>
      <c r="Q135" s="58" t="s">
        <v>23</v>
      </c>
      <c r="R135" s="9">
        <f>R133*0.6</f>
        <v>189600</v>
      </c>
      <c r="S135" s="9"/>
      <c r="T135" s="9"/>
      <c r="U135" s="5"/>
      <c r="V135" s="9"/>
      <c r="W135" s="9"/>
      <c r="X135" s="178" t="s">
        <v>24</v>
      </c>
      <c r="Y135" s="179"/>
      <c r="Z135" s="9">
        <f>R135-Z133</f>
        <v>155054</v>
      </c>
      <c r="AA135" s="28">
        <f>Z135/R133</f>
        <v>0.49067721518987339</v>
      </c>
      <c r="AB135" s="11"/>
      <c r="AD135" s="12"/>
      <c r="AE135" s="58" t="s">
        <v>23</v>
      </c>
      <c r="AF135" s="9">
        <f>AF133*0.6</f>
        <v>209160</v>
      </c>
      <c r="AG135" s="9"/>
      <c r="AH135" s="9"/>
      <c r="AI135" s="5"/>
      <c r="AJ135" s="9"/>
      <c r="AK135" s="9"/>
      <c r="AL135" s="178" t="s">
        <v>24</v>
      </c>
      <c r="AM135" s="179"/>
      <c r="AN135" s="9">
        <f>AF135-AN133</f>
        <v>164936</v>
      </c>
      <c r="AO135" s="28">
        <f>AN135/AF133</f>
        <v>0.47313826735513481</v>
      </c>
      <c r="AP135" s="11"/>
      <c r="AR135" s="12"/>
      <c r="AS135" s="58" t="s">
        <v>23</v>
      </c>
      <c r="AT135" s="9">
        <f>AT133*0.6</f>
        <v>56820</v>
      </c>
      <c r="AU135" s="9"/>
      <c r="AV135" s="9"/>
      <c r="AW135" s="5"/>
      <c r="AX135" s="9"/>
      <c r="AY135" s="9"/>
      <c r="AZ135" s="178" t="s">
        <v>24</v>
      </c>
      <c r="BA135" s="179"/>
      <c r="BB135" s="9">
        <f>AT135-BB133</f>
        <v>20416</v>
      </c>
      <c r="BC135" s="28">
        <f>BB135/AT133</f>
        <v>0.21558606124604013</v>
      </c>
      <c r="BD135" s="11"/>
      <c r="BF135" s="12"/>
      <c r="BG135" s="58" t="s">
        <v>23</v>
      </c>
      <c r="BH135" s="9">
        <f>BH133*0.6</f>
        <v>58380</v>
      </c>
      <c r="BI135" s="9"/>
      <c r="BJ135" s="9"/>
      <c r="BK135" s="5"/>
      <c r="BL135" s="9"/>
      <c r="BM135" s="9"/>
      <c r="BN135" s="178" t="s">
        <v>24</v>
      </c>
      <c r="BO135" s="179"/>
      <c r="BP135" s="9">
        <f>BH135-BP133</f>
        <v>16215</v>
      </c>
      <c r="BQ135" s="28">
        <f>BP135/BH133</f>
        <v>0.16664953751284686</v>
      </c>
      <c r="BR135" s="11"/>
      <c r="BT135" s="12"/>
      <c r="BU135" s="58" t="s">
        <v>23</v>
      </c>
      <c r="BV135" s="9">
        <f>BV133*0.6</f>
        <v>46500</v>
      </c>
      <c r="BW135" s="9"/>
      <c r="BX135" s="9"/>
      <c r="BY135" s="5"/>
      <c r="BZ135" s="9"/>
      <c r="CA135" s="9"/>
      <c r="CB135" s="178" t="s">
        <v>24</v>
      </c>
      <c r="CC135" s="179"/>
      <c r="CD135" s="9">
        <f>BV135-CD133</f>
        <v>12335</v>
      </c>
      <c r="CE135" s="28">
        <f>CD135/BV133</f>
        <v>0.15916129032258064</v>
      </c>
      <c r="CF135" s="11"/>
    </row>
    <row r="136" spans="1:84" ht="15" customHeight="1">
      <c r="A136" s="12"/>
      <c r="B136" s="8">
        <f>B135*A133</f>
        <v>14523</v>
      </c>
      <c r="C136" s="5" t="s">
        <v>23</v>
      </c>
      <c r="D136" s="9">
        <f>D134*0.6</f>
        <v>310920</v>
      </c>
      <c r="E136" s="9"/>
      <c r="F136" s="9"/>
      <c r="G136" s="180" t="s">
        <v>27</v>
      </c>
      <c r="H136" s="181"/>
      <c r="I136" s="9">
        <f>(G85+I85)*K85</f>
        <v>0</v>
      </c>
      <c r="J136" s="9"/>
      <c r="K136" s="9"/>
      <c r="L136" s="9"/>
      <c r="M136" s="9"/>
      <c r="N136" s="11"/>
      <c r="O136" s="2"/>
      <c r="P136" s="65"/>
      <c r="Q136" s="5" t="s">
        <v>25</v>
      </c>
      <c r="R136" s="9">
        <f>R207</f>
        <v>386900</v>
      </c>
      <c r="S136" s="9"/>
      <c r="T136" s="9"/>
      <c r="U136" s="5"/>
      <c r="V136" s="9"/>
      <c r="W136" s="17"/>
      <c r="X136" s="182" t="s">
        <v>27</v>
      </c>
      <c r="Y136" s="183"/>
      <c r="Z136" s="44">
        <f>(U109+W109)*Y109+(U110+W110)*Y110+(U111+W111)*Y111+(U112+W112)*Y112</f>
        <v>0</v>
      </c>
      <c r="AA136" s="10"/>
      <c r="AB136" s="11"/>
      <c r="AD136" s="65"/>
      <c r="AE136" s="5" t="s">
        <v>25</v>
      </c>
      <c r="AF136" s="9">
        <f>AF207</f>
        <v>354100</v>
      </c>
      <c r="AG136" s="9"/>
      <c r="AH136" s="9"/>
      <c r="AI136" s="5"/>
      <c r="AJ136" s="9"/>
      <c r="AK136" s="17"/>
      <c r="AL136" s="182" t="s">
        <v>27</v>
      </c>
      <c r="AM136" s="183"/>
      <c r="AN136" s="44">
        <f>(AI109+AK109)*AM109+(AI110+AK110)*AM110+(AI111+AK111)*AM111+(AI112+AK112)*AM112</f>
        <v>0</v>
      </c>
      <c r="AO136" s="10"/>
      <c r="AP136" s="11"/>
      <c r="AR136" s="65"/>
      <c r="AS136" s="5" t="s">
        <v>25</v>
      </c>
      <c r="AT136" s="9">
        <f>AT207</f>
        <v>77600</v>
      </c>
      <c r="AU136" s="9"/>
      <c r="AV136" s="9"/>
      <c r="AW136" s="5"/>
      <c r="AX136" s="9"/>
      <c r="AY136" s="17"/>
      <c r="AZ136" s="182" t="s">
        <v>27</v>
      </c>
      <c r="BA136" s="183"/>
      <c r="BB136" s="44">
        <f>(AW109+AY109)*BA109+(AW110+AY110)*BA110+(AW111+AY111)*BA111+(AW112+AY112)*BA112</f>
        <v>0</v>
      </c>
      <c r="BC136" s="10"/>
      <c r="BD136" s="11"/>
      <c r="BF136" s="65"/>
      <c r="BG136" s="5" t="s">
        <v>25</v>
      </c>
      <c r="BH136" s="9">
        <f>BH207</f>
        <v>105300</v>
      </c>
      <c r="BI136" s="9"/>
      <c r="BJ136" s="9"/>
      <c r="BK136" s="5"/>
      <c r="BL136" s="9"/>
      <c r="BM136" s="17"/>
      <c r="BN136" s="182" t="s">
        <v>27</v>
      </c>
      <c r="BO136" s="183"/>
      <c r="BP136" s="44">
        <f>(BK109+BM109)*BO109+(BK110+BM110)*BO110+(BK111+BM111)*BO111+(BK112+BM112)*BO112</f>
        <v>0</v>
      </c>
      <c r="BQ136" s="10"/>
      <c r="BR136" s="11"/>
      <c r="BT136" s="65"/>
      <c r="BU136" s="5" t="s">
        <v>25</v>
      </c>
      <c r="BV136" s="9">
        <f>BV207</f>
        <v>71200</v>
      </c>
      <c r="BW136" s="9"/>
      <c r="BX136" s="9"/>
      <c r="BY136" s="5"/>
      <c r="BZ136" s="9"/>
      <c r="CA136" s="17"/>
      <c r="CB136" s="182" t="s">
        <v>27</v>
      </c>
      <c r="CC136" s="183"/>
      <c r="CD136" s="44">
        <f>(BY109+CA109)*CC109+(BY110+CA110)*CC110+(BY111+CA111)*CC111+(BY112+CA112)*CC112</f>
        <v>0</v>
      </c>
      <c r="CE136" s="10"/>
      <c r="CF136" s="11"/>
    </row>
    <row r="137" spans="1:84" ht="15" customHeight="1">
      <c r="A137" s="12"/>
      <c r="B137" s="8"/>
      <c r="C137" s="5" t="s">
        <v>25</v>
      </c>
      <c r="D137" s="9">
        <f>D208</f>
        <v>797400</v>
      </c>
      <c r="E137" s="9"/>
      <c r="F137" s="9"/>
      <c r="G137" s="5" t="s">
        <v>22</v>
      </c>
      <c r="H137" s="9">
        <f>SUM(L77:L130)</f>
        <v>112500</v>
      </c>
      <c r="I137" s="28">
        <f>H137/D134</f>
        <v>0.21709764569664222</v>
      </c>
      <c r="J137" s="28"/>
      <c r="K137" s="9"/>
      <c r="L137" s="9"/>
      <c r="M137" s="9"/>
      <c r="N137" s="11"/>
      <c r="O137" s="2"/>
      <c r="P137" s="65"/>
      <c r="Q137" s="5"/>
      <c r="R137" s="9"/>
      <c r="S137" s="9"/>
      <c r="T137" s="9"/>
      <c r="U137" s="5"/>
      <c r="V137" s="9"/>
      <c r="W137" s="17"/>
      <c r="X137" s="100"/>
      <c r="Y137" s="103"/>
      <c r="Z137" s="62"/>
      <c r="AA137" s="10"/>
      <c r="AB137" s="11"/>
      <c r="AD137" s="65"/>
      <c r="AE137" s="5"/>
      <c r="AF137" s="9"/>
      <c r="AG137" s="9"/>
      <c r="AH137" s="9"/>
      <c r="AI137" s="5"/>
      <c r="AJ137" s="9"/>
      <c r="AK137" s="17"/>
      <c r="AL137" s="100"/>
      <c r="AM137" s="103"/>
      <c r="AN137" s="62"/>
      <c r="AO137" s="10"/>
      <c r="AP137" s="11"/>
      <c r="AR137" s="65"/>
      <c r="AS137" s="5"/>
      <c r="AT137" s="9"/>
      <c r="AU137" s="9"/>
      <c r="AV137" s="9"/>
      <c r="AW137" s="5"/>
      <c r="AX137" s="9"/>
      <c r="AY137" s="17"/>
      <c r="AZ137" s="100"/>
      <c r="BA137" s="103"/>
      <c r="BB137" s="62"/>
      <c r="BC137" s="10"/>
      <c r="BD137" s="11"/>
      <c r="BF137" s="65"/>
      <c r="BG137" s="5"/>
      <c r="BH137" s="9"/>
      <c r="BI137" s="9"/>
      <c r="BJ137" s="9"/>
      <c r="BK137" s="5"/>
      <c r="BL137" s="9"/>
      <c r="BM137" s="17"/>
      <c r="BN137" s="100"/>
      <c r="BO137" s="103"/>
      <c r="BP137" s="62"/>
      <c r="BQ137" s="10"/>
      <c r="BR137" s="11"/>
      <c r="BT137" s="65"/>
      <c r="BU137" s="5"/>
      <c r="BV137" s="9"/>
      <c r="BW137" s="9"/>
      <c r="BX137" s="9"/>
      <c r="BY137" s="5"/>
      <c r="BZ137" s="9"/>
      <c r="CA137" s="17"/>
      <c r="CB137" s="100"/>
      <c r="CC137" s="103"/>
      <c r="CD137" s="62"/>
      <c r="CE137" s="10"/>
      <c r="CF137" s="11"/>
    </row>
    <row r="138" spans="1:84" ht="15" customHeight="1">
      <c r="A138" s="12"/>
      <c r="B138" s="139"/>
      <c r="C138" s="140"/>
      <c r="D138" s="9"/>
      <c r="E138" s="9"/>
      <c r="F138" s="9"/>
      <c r="G138" s="30" t="s">
        <v>24</v>
      </c>
      <c r="H138" s="26">
        <f>D136-H137</f>
        <v>198420</v>
      </c>
      <c r="I138" s="28">
        <f>H138/D134</f>
        <v>0.38290235430335778</v>
      </c>
      <c r="J138" s="28"/>
      <c r="K138" s="9"/>
      <c r="L138" s="9"/>
      <c r="M138" s="9"/>
      <c r="N138" s="11"/>
      <c r="O138" s="2"/>
      <c r="P138" s="65"/>
      <c r="Q138" s="5"/>
      <c r="R138" s="9"/>
      <c r="S138" s="26"/>
      <c r="T138" s="9"/>
      <c r="U138" s="5"/>
      <c r="V138" s="9"/>
      <c r="W138" s="17"/>
      <c r="X138" s="100"/>
      <c r="Y138" s="103"/>
      <c r="Z138" s="62"/>
      <c r="AA138" s="10"/>
      <c r="AB138" s="11"/>
      <c r="AD138" s="65"/>
      <c r="AE138" s="5"/>
      <c r="AF138" s="9"/>
      <c r="AG138" s="26"/>
      <c r="AH138" s="9"/>
      <c r="AI138" s="5"/>
      <c r="AJ138" s="9"/>
      <c r="AK138" s="17"/>
      <c r="AL138" s="100"/>
      <c r="AM138" s="103"/>
      <c r="AN138" s="62"/>
      <c r="AO138" s="10"/>
      <c r="AP138" s="11"/>
      <c r="AR138" s="65"/>
      <c r="AS138" s="5"/>
      <c r="AT138" s="9"/>
      <c r="AU138" s="26"/>
      <c r="AV138" s="9"/>
      <c r="AW138" s="5"/>
      <c r="AX138" s="9"/>
      <c r="AY138" s="17"/>
      <c r="AZ138" s="100"/>
      <c r="BA138" s="103"/>
      <c r="BB138" s="62"/>
      <c r="BC138" s="10"/>
      <c r="BD138" s="11"/>
      <c r="BF138" s="65"/>
      <c r="BG138" s="5"/>
      <c r="BH138" s="9"/>
      <c r="BI138" s="26"/>
      <c r="BJ138" s="9"/>
      <c r="BK138" s="5"/>
      <c r="BL138" s="9"/>
      <c r="BM138" s="17"/>
      <c r="BN138" s="100"/>
      <c r="BO138" s="103"/>
      <c r="BP138" s="62"/>
      <c r="BQ138" s="10"/>
      <c r="BR138" s="11"/>
      <c r="BT138" s="65"/>
      <c r="BU138" s="5"/>
      <c r="BV138" s="9"/>
      <c r="BW138" s="26"/>
      <c r="BX138" s="9"/>
      <c r="BY138" s="5"/>
      <c r="BZ138" s="9"/>
      <c r="CA138" s="17"/>
      <c r="CB138" s="100"/>
      <c r="CC138" s="103"/>
      <c r="CD138" s="62"/>
      <c r="CE138" s="10"/>
      <c r="CF138" s="11"/>
    </row>
    <row r="139" spans="1:84" ht="15" customHeight="1">
      <c r="A139" s="33"/>
      <c r="B139" s="142"/>
      <c r="C139" s="102"/>
      <c r="D139" s="45"/>
      <c r="E139" s="9"/>
      <c r="F139" s="9"/>
      <c r="G139" s="104"/>
      <c r="H139" s="106"/>
      <c r="I139" s="28"/>
      <c r="J139" s="28"/>
      <c r="K139" s="9"/>
      <c r="L139" s="9"/>
      <c r="M139" s="9"/>
      <c r="N139" s="11"/>
      <c r="O139" s="2"/>
      <c r="P139" s="65"/>
      <c r="Q139" s="5"/>
      <c r="R139" s="17"/>
      <c r="S139" s="111"/>
      <c r="T139" s="45"/>
      <c r="U139" s="5"/>
      <c r="V139" s="9"/>
      <c r="W139" s="17"/>
      <c r="X139" s="100"/>
      <c r="Y139" s="103"/>
      <c r="Z139" s="62"/>
      <c r="AA139" s="10"/>
      <c r="AB139" s="11"/>
      <c r="AD139" s="65"/>
      <c r="AE139" s="5"/>
      <c r="AF139" s="17"/>
      <c r="AG139" s="111"/>
      <c r="AH139" s="45"/>
      <c r="AI139" s="5"/>
      <c r="AJ139" s="9"/>
      <c r="AK139" s="17"/>
      <c r="AL139" s="100"/>
      <c r="AM139" s="103"/>
      <c r="AN139" s="62"/>
      <c r="AO139" s="10"/>
      <c r="AP139" s="11"/>
      <c r="AR139" s="65"/>
      <c r="AS139" s="5"/>
      <c r="AT139" s="17"/>
      <c r="AU139" s="111"/>
      <c r="AV139" s="45"/>
      <c r="AW139" s="5"/>
      <c r="AX139" s="9"/>
      <c r="AY139" s="17"/>
      <c r="AZ139" s="100"/>
      <c r="BA139" s="103"/>
      <c r="BB139" s="62"/>
      <c r="BC139" s="10"/>
      <c r="BD139" s="11"/>
      <c r="BF139" s="65"/>
      <c r="BG139" s="5"/>
      <c r="BH139" s="17"/>
      <c r="BI139" s="111"/>
      <c r="BJ139" s="45"/>
      <c r="BK139" s="5"/>
      <c r="BL139" s="9"/>
      <c r="BM139" s="17"/>
      <c r="BN139" s="100"/>
      <c r="BO139" s="103"/>
      <c r="BP139" s="62"/>
      <c r="BQ139" s="10"/>
      <c r="BR139" s="11"/>
      <c r="BT139" s="65"/>
      <c r="BU139" s="5"/>
      <c r="BV139" s="17"/>
      <c r="BW139" s="111"/>
      <c r="BX139" s="45"/>
      <c r="BY139" s="5"/>
      <c r="BZ139" s="9"/>
      <c r="CA139" s="17"/>
      <c r="CB139" s="100"/>
      <c r="CC139" s="103"/>
      <c r="CD139" s="62"/>
      <c r="CE139" s="10"/>
      <c r="CF139" s="11"/>
    </row>
    <row r="140" spans="1:84" ht="15" customHeight="1">
      <c r="A140" s="98"/>
      <c r="B140" s="141"/>
      <c r="C140" s="84"/>
      <c r="D140" s="9"/>
      <c r="E140" s="9"/>
      <c r="F140" s="9"/>
      <c r="G140" s="27"/>
      <c r="H140" s="17"/>
      <c r="I140" s="28"/>
      <c r="J140" s="28"/>
      <c r="K140" s="10"/>
      <c r="L140" s="10"/>
      <c r="M140" s="10"/>
      <c r="N140" s="11"/>
      <c r="O140" s="2"/>
      <c r="P140" s="12"/>
      <c r="Q140" s="9"/>
      <c r="R140" s="9"/>
      <c r="T140" s="9"/>
      <c r="U140" s="5"/>
      <c r="V140" s="9"/>
      <c r="W140" s="9"/>
      <c r="X140" s="41"/>
      <c r="Y140" s="67"/>
      <c r="Z140" s="10"/>
      <c r="AA140" s="10"/>
      <c r="AB140" s="11"/>
      <c r="AD140" s="12"/>
      <c r="AE140" s="9"/>
      <c r="AF140" s="9"/>
      <c r="AH140" s="9"/>
      <c r="AI140" s="5"/>
      <c r="AJ140" s="9"/>
      <c r="AK140" s="9"/>
      <c r="AL140" s="54"/>
      <c r="AM140" s="67"/>
      <c r="AN140" s="10"/>
      <c r="AO140" s="10"/>
      <c r="AP140" s="11"/>
      <c r="AR140" s="12"/>
      <c r="AS140" s="9"/>
      <c r="AT140" s="9"/>
      <c r="AV140" s="9"/>
      <c r="AW140" s="5"/>
      <c r="AX140" s="9"/>
      <c r="AY140" s="9"/>
      <c r="AZ140" s="54"/>
      <c r="BA140" s="67"/>
      <c r="BB140" s="10"/>
      <c r="BC140" s="10"/>
      <c r="BD140" s="11"/>
      <c r="BF140" s="12"/>
      <c r="BG140" s="9"/>
      <c r="BH140" s="9"/>
      <c r="BJ140" s="9"/>
      <c r="BK140" s="5"/>
      <c r="BL140" s="9"/>
      <c r="BM140" s="9"/>
      <c r="BN140" s="54"/>
      <c r="BO140" s="67"/>
      <c r="BP140" s="10"/>
      <c r="BQ140" s="10"/>
      <c r="BR140" s="11"/>
      <c r="BT140" s="12"/>
      <c r="BU140" s="9"/>
      <c r="BV140" s="9"/>
      <c r="BX140" s="9"/>
      <c r="BY140" s="5"/>
      <c r="BZ140" s="9"/>
      <c r="CA140" s="9"/>
      <c r="CB140" s="54"/>
      <c r="CC140" s="67"/>
      <c r="CD140" s="10"/>
      <c r="CE140" s="10"/>
      <c r="CF140" s="11"/>
    </row>
    <row r="141" spans="1:84" ht="15" customHeight="1">
      <c r="A141" s="169" t="s">
        <v>43</v>
      </c>
      <c r="B141" s="170"/>
      <c r="C141" s="171" t="s">
        <v>46</v>
      </c>
      <c r="D141" s="172"/>
      <c r="E141" s="171" t="s">
        <v>47</v>
      </c>
      <c r="F141" s="172"/>
      <c r="G141" s="102"/>
      <c r="H141" s="93"/>
      <c r="I141" s="101"/>
      <c r="J141" s="101"/>
      <c r="K141" s="10"/>
      <c r="L141" s="10"/>
      <c r="M141" s="10"/>
      <c r="N141" s="11"/>
      <c r="O141" s="2"/>
      <c r="P141" s="79"/>
      <c r="Q141" s="45"/>
      <c r="R141" s="9"/>
      <c r="S141" s="5"/>
      <c r="T141" s="9"/>
      <c r="U141" s="5"/>
      <c r="V141" s="9"/>
      <c r="W141" s="9"/>
      <c r="X141" s="41"/>
      <c r="Y141" s="67"/>
      <c r="Z141" s="10"/>
      <c r="AA141" s="10"/>
      <c r="AB141" s="11"/>
      <c r="AD141" s="79"/>
      <c r="AE141" s="45"/>
      <c r="AF141" s="9"/>
      <c r="AG141" s="5"/>
      <c r="AH141" s="9"/>
      <c r="AI141" s="5"/>
      <c r="AJ141" s="9"/>
      <c r="AK141" s="9"/>
      <c r="AL141" s="54"/>
      <c r="AM141" s="67"/>
      <c r="AN141" s="10"/>
      <c r="AO141" s="10"/>
      <c r="AP141" s="11"/>
      <c r="AR141" s="79"/>
      <c r="AS141" s="45"/>
      <c r="AT141" s="9"/>
      <c r="AU141" s="5"/>
      <c r="AV141" s="9"/>
      <c r="AW141" s="5"/>
      <c r="AX141" s="9"/>
      <c r="AY141" s="9"/>
      <c r="AZ141" s="54"/>
      <c r="BA141" s="67"/>
      <c r="BB141" s="10"/>
      <c r="BC141" s="10"/>
      <c r="BD141" s="11"/>
      <c r="BF141" s="79"/>
      <c r="BG141" s="45"/>
      <c r="BH141" s="9"/>
      <c r="BI141" s="5"/>
      <c r="BJ141" s="9"/>
      <c r="BK141" s="5"/>
      <c r="BL141" s="9"/>
      <c r="BM141" s="9"/>
      <c r="BN141" s="54"/>
      <c r="BO141" s="67"/>
      <c r="BP141" s="10"/>
      <c r="BQ141" s="10"/>
      <c r="BR141" s="11"/>
      <c r="BT141" s="79"/>
      <c r="BU141" s="45"/>
      <c r="BV141" s="9"/>
      <c r="BW141" s="5"/>
      <c r="BX141" s="9"/>
      <c r="BY141" s="5"/>
      <c r="BZ141" s="9"/>
      <c r="CA141" s="9"/>
      <c r="CB141" s="54"/>
      <c r="CC141" s="67"/>
      <c r="CD141" s="10"/>
      <c r="CE141" s="10"/>
      <c r="CF141" s="11"/>
    </row>
    <row r="142" spans="1:84">
      <c r="A142" s="173">
        <f>B134/A134*A133*100</f>
        <v>1452300</v>
      </c>
      <c r="B142" s="174"/>
      <c r="C142" s="175">
        <f>H137+Z133+AN133+BB133+BP133+CD133</f>
        <v>304004</v>
      </c>
      <c r="D142" s="176"/>
      <c r="E142" s="175">
        <f>I136+Z136+AN136</f>
        <v>0</v>
      </c>
      <c r="F142" s="177"/>
      <c r="G142" s="84"/>
      <c r="H142" s="44"/>
      <c r="I142" s="28"/>
      <c r="J142" s="28"/>
      <c r="K142" s="10"/>
      <c r="L142" s="10"/>
      <c r="M142" s="10"/>
      <c r="N142" s="11"/>
      <c r="O142" s="2"/>
      <c r="P142" s="165" t="s">
        <v>26</v>
      </c>
      <c r="Q142" s="166"/>
      <c r="R142" s="29">
        <f>SUM(R77,R81,R85,R89,R93,R97,R102,R105,R109,R113,R117,R121,R125)*100</f>
        <v>55600</v>
      </c>
      <c r="S142" s="45"/>
      <c r="T142" s="9"/>
      <c r="U142" s="5">
        <f>R142/V142</f>
        <v>11120</v>
      </c>
      <c r="V142" s="29">
        <f>SUM(V77,V81,V85,V89,V93,V97,V102,V105,V109,V113,V117,V121,V125)</f>
        <v>5</v>
      </c>
      <c r="W142" s="9"/>
      <c r="X142" s="64" t="str">
        <f t="shared" ref="X142:Y142" si="182">X77</f>
        <v>キティ豹柄キーケース</v>
      </c>
      <c r="Y142" s="62">
        <f t="shared" si="182"/>
        <v>996</v>
      </c>
      <c r="Z142" s="29">
        <f>SUM(Z77,Z81,Z85,Z89,Z93,Z97,Z102,Z105,Z109,Z113,Z117,Z121,Z125)</f>
        <v>4736</v>
      </c>
      <c r="AA142" s="28">
        <f>Z142/R142</f>
        <v>8.5179856115107908E-2</v>
      </c>
      <c r="AB142" s="11"/>
      <c r="AC142" s="16"/>
      <c r="AD142" s="165" t="s">
        <v>26</v>
      </c>
      <c r="AE142" s="166"/>
      <c r="AF142" s="29">
        <f>SUM(AF77,AF81,AF85,AF89,AF93,AF97,AF101,AF105,AF109,AF113,AF117,AF121,AF125)*100</f>
        <v>65300</v>
      </c>
      <c r="AG142" s="45"/>
      <c r="AH142" s="9"/>
      <c r="AI142" s="5">
        <f>AF142/AJ142</f>
        <v>9328.5714285714294</v>
      </c>
      <c r="AJ142" s="29">
        <f>SUM(AJ77,AJ81,AJ85,AJ89,AJ93,AJ97,AJ102,AJ105,AJ109,AJ113,AJ117,AJ121,AJ125)</f>
        <v>7</v>
      </c>
      <c r="AK142" s="9"/>
      <c r="AL142" s="61" t="str">
        <f t="shared" ref="AL142:AM142" si="183">AL77</f>
        <v>ゲーム機柄イヤホン</v>
      </c>
      <c r="AM142" s="62">
        <f t="shared" si="183"/>
        <v>770</v>
      </c>
      <c r="AN142" s="29">
        <f>SUM(AN77,AN81,AN85,AN89,AN93,AN97,AN102,AN105,AN109,AN113,AN117,AN121,AN125)</f>
        <v>5158</v>
      </c>
      <c r="AO142" s="28">
        <f>AN142/AF142</f>
        <v>7.8989280245022969E-2</v>
      </c>
      <c r="AP142" s="11"/>
      <c r="AR142" s="165" t="s">
        <v>26</v>
      </c>
      <c r="AS142" s="166"/>
      <c r="AT142" s="29">
        <f>SUM(AT77,AT81,AT85,AT89,AT93,AT97,AT101,AT105,AT109,AT113,AT117,AT121,AT125)*100</f>
        <v>15300</v>
      </c>
      <c r="AU142" s="45"/>
      <c r="AV142" s="9"/>
      <c r="AW142" s="5">
        <f>AT142/AX142</f>
        <v>3060</v>
      </c>
      <c r="AX142" s="29">
        <f>SUM(AX77,AX81,AX85,AX89,AX93,AX97,AX102,AX105,AX109,AX113,AX117,AX121,AX125)</f>
        <v>5</v>
      </c>
      <c r="AY142" s="9"/>
      <c r="AZ142" s="61" t="str">
        <f t="shared" ref="AZ142:BA142" si="184">AZ77</f>
        <v>サンリオ千鳥格子フェイス</v>
      </c>
      <c r="BA142" s="62">
        <f t="shared" si="184"/>
        <v>700</v>
      </c>
      <c r="BB142" s="29">
        <f>SUM(BB77,BB81,BB85,BB89,BB93,BB97,BB102,BB105,BB109,BB113,BB117,BB121,BB125)</f>
        <v>3900</v>
      </c>
      <c r="BC142" s="28">
        <f>BB142/AT142</f>
        <v>0.25490196078431371</v>
      </c>
      <c r="BD142" s="11"/>
      <c r="BF142" s="165" t="s">
        <v>26</v>
      </c>
      <c r="BG142" s="166"/>
      <c r="BH142" s="29">
        <f>SUM(BH77,BH81,BH85,BH89,BH93,BH97,BH101,BH105,BH109,BH113,BH117,BH121,BH125)*100</f>
        <v>21300</v>
      </c>
      <c r="BI142" s="45"/>
      <c r="BJ142" s="9"/>
      <c r="BK142" s="5">
        <f>BH142/BL142</f>
        <v>3042.8571428571427</v>
      </c>
      <c r="BL142" s="29">
        <f>SUM(BL77,BL81,BL85,BL89,BL93,BL97,BL102,BL105,BL109,BL113,BL117,BL121,BL125)</f>
        <v>7</v>
      </c>
      <c r="BM142" s="9"/>
      <c r="BN142" s="61" t="str">
        <f t="shared" ref="BN142:BO142" si="185">BN77</f>
        <v>キティしっぽ付きフェイス</v>
      </c>
      <c r="BO142" s="62">
        <f t="shared" si="185"/>
        <v>825</v>
      </c>
      <c r="BP142" s="29">
        <f>SUM(BP77,BP81,BP85,BP89,BP93,BP97,BP102,BP105,BP109,BP113,BP117,BP121,BP125)</f>
        <v>4950</v>
      </c>
      <c r="BQ142" s="28">
        <f>BP142/BH142</f>
        <v>0.23239436619718309</v>
      </c>
      <c r="BR142" s="11"/>
      <c r="BT142" s="165" t="s">
        <v>26</v>
      </c>
      <c r="BU142" s="166"/>
      <c r="BV142" s="29">
        <f>SUM(BV77,BV81,BV85,BV89,BV93,BV97,BV101,BV105,BV109,BV113,BV117,BV121,BV125)*100</f>
        <v>13700</v>
      </c>
      <c r="BW142" s="45"/>
      <c r="BX142" s="9"/>
      <c r="BY142" s="5">
        <f>BV142/BZ142</f>
        <v>978.57142857142856</v>
      </c>
      <c r="BZ142" s="29">
        <f>SUM(BZ77,BZ81,BZ85,BZ89,BZ93,BZ97,BZ102,BZ105,BZ109,BZ113,BZ117,BZ121,BZ125)</f>
        <v>14</v>
      </c>
      <c r="CA142" s="9"/>
      <c r="CB142" s="61" t="str">
        <f t="shared" ref="CB142:CC142" si="186">CB77</f>
        <v>ギャルキティポーチ</v>
      </c>
      <c r="CC142" s="62">
        <f t="shared" si="186"/>
        <v>935</v>
      </c>
      <c r="CD142" s="29">
        <f>SUM(CD77,CD81,CD85,CD89,CD93,CD97,CD102,CD105,CD109,CD113,CD117,CD121,CD125)</f>
        <v>13090</v>
      </c>
      <c r="CE142" s="28">
        <f>CD142/BV142</f>
        <v>0.9554744525547445</v>
      </c>
      <c r="CF142" s="11"/>
    </row>
    <row r="143" spans="1:84">
      <c r="A143" s="167">
        <v>140000</v>
      </c>
      <c r="B143" s="168"/>
      <c r="C143" s="45"/>
      <c r="D143" s="105">
        <f>C142/A142</f>
        <v>0.20932589685326722</v>
      </c>
      <c r="E143" s="9"/>
      <c r="F143" s="9"/>
      <c r="G143" s="5"/>
      <c r="H143" s="9"/>
      <c r="I143" s="9"/>
      <c r="J143" s="9"/>
      <c r="K143" s="9"/>
      <c r="L143" s="9"/>
      <c r="M143" s="9"/>
      <c r="N143" s="11"/>
      <c r="O143" s="2"/>
      <c r="P143" s="165" t="s">
        <v>26</v>
      </c>
      <c r="Q143" s="166"/>
      <c r="R143" s="29">
        <f>SUM(R78,R82,R86,R90,R94,R98,R101,R106,R110,R114,R118,R122,R126)*100</f>
        <v>72500</v>
      </c>
      <c r="S143" s="45"/>
      <c r="T143" s="9"/>
      <c r="U143" s="5">
        <f>R143/V143</f>
        <v>5576.9230769230771</v>
      </c>
      <c r="V143" s="29">
        <f>SUM(V78,V82,V86,V90,V94,V98,V101,V106,V110,V114,V118,V122,V126)</f>
        <v>13</v>
      </c>
      <c r="W143" s="9"/>
      <c r="X143" s="64" t="str">
        <f t="shared" ref="X143:Y143" si="187">X78</f>
        <v>カラビナファン</v>
      </c>
      <c r="Y143" s="62">
        <f t="shared" si="187"/>
        <v>1100</v>
      </c>
      <c r="Z143" s="29">
        <f>SUM(Z78,Z82,Z86,Z90,Z94,Z98,Z101,Z106,Z110,Z114,Z118,Z122,Z126)</f>
        <v>10010</v>
      </c>
      <c r="AA143" s="28">
        <f>Z143/R143</f>
        <v>0.13806896551724138</v>
      </c>
      <c r="AB143" s="11"/>
      <c r="AC143" s="1"/>
      <c r="AD143" s="165" t="s">
        <v>26</v>
      </c>
      <c r="AE143" s="166"/>
      <c r="AF143" s="29">
        <f>SUM(AF78,AF82,AF86,AF90,AF94,AF98,AF102,AF106,AF110,AF114,AF118,AF122,AF126)*100</f>
        <v>48600</v>
      </c>
      <c r="AG143" s="45"/>
      <c r="AH143" s="9"/>
      <c r="AI143" s="5">
        <f>AF143/AJ143</f>
        <v>3240</v>
      </c>
      <c r="AJ143" s="29">
        <f>SUM(AJ78,AJ82,AJ86,AJ90,AJ94,AJ98,AJ101,AJ106,AJ110,AJ114,AJ118,AJ122,AJ126)</f>
        <v>15</v>
      </c>
      <c r="AK143" s="9"/>
      <c r="AL143" s="61" t="str">
        <f t="shared" ref="AL143:AM143" si="188">AL78</f>
        <v>デジタルミニカメラ</v>
      </c>
      <c r="AM143" s="62">
        <f t="shared" si="188"/>
        <v>538</v>
      </c>
      <c r="AN143" s="29">
        <f>SUM(AN78,AN82,AN86,AN90,AN94,AN98,AN101,AN106,AN110,AN114,AN118,AN122,AN126)</f>
        <v>8766</v>
      </c>
      <c r="AO143" s="28">
        <f>AN143/AF143</f>
        <v>0.18037037037037038</v>
      </c>
      <c r="AP143" s="11"/>
      <c r="AR143" s="165" t="s">
        <v>26</v>
      </c>
      <c r="AS143" s="166"/>
      <c r="AT143" s="29">
        <f>SUM(AT78,AT82,AT86,AT90,AT94,AT98,AT102,AT106,AT110,AT114,AT118,AT122,AT126)*100</f>
        <v>30400</v>
      </c>
      <c r="AU143" s="45"/>
      <c r="AV143" s="9"/>
      <c r="AW143" s="5">
        <f>AT143/AX143</f>
        <v>2338.4615384615386</v>
      </c>
      <c r="AX143" s="29">
        <f>SUM(AX78,AX82,AX86,AX90,AX94,AX98,AX101,AX106,AX110,AX114,AX118,AX122,AX126)</f>
        <v>13</v>
      </c>
      <c r="AY143" s="9"/>
      <c r="AZ143" s="61" t="str">
        <f t="shared" ref="AZ143:BA143" si="189">AZ78</f>
        <v>サンリオボアバンスクリップ</v>
      </c>
      <c r="BA143" s="62">
        <f t="shared" si="189"/>
        <v>1100</v>
      </c>
      <c r="BB143" s="29">
        <f>SUM(BB78,BB82,BB86,BB90,BB94,BB98,BB101,BB106,BB110,BB114,BB118,BB122,BB126)</f>
        <v>13100</v>
      </c>
      <c r="BC143" s="28">
        <f>BB143/AT143</f>
        <v>0.43092105263157893</v>
      </c>
      <c r="BD143" s="11"/>
      <c r="BF143" s="165" t="s">
        <v>26</v>
      </c>
      <c r="BG143" s="166"/>
      <c r="BH143" s="29">
        <f>SUM(BH78,BH82,BH86,BH90,BH94,BH98,BH102,BH106,BH110,BH114,BH118,BH122,BH126)*100</f>
        <v>13200</v>
      </c>
      <c r="BI143" s="45"/>
      <c r="BJ143" s="9"/>
      <c r="BK143" s="5">
        <f>BH143/BL143</f>
        <v>1466.6666666666667</v>
      </c>
      <c r="BL143" s="29">
        <f>SUM(BL78,BL82,BL86,BL90,BL94,BL98,BL101,BL106,BL110,BL114,BL118,BL122,BL126)</f>
        <v>9</v>
      </c>
      <c r="BM143" s="9"/>
      <c r="BN143" s="61" t="str">
        <f t="shared" ref="BN143:BO143" si="190">BN78</f>
        <v>サンリオヘアオイル</v>
      </c>
      <c r="BO143" s="62">
        <f t="shared" si="190"/>
        <v>1100</v>
      </c>
      <c r="BP143" s="29">
        <f>SUM(BP78,BP82,BP86,BP90,BP94,BP98,BP101,BP106,BP110,BP114,BP118,BP122,BP126)</f>
        <v>5225</v>
      </c>
      <c r="BQ143" s="28">
        <f>BP143/BH143</f>
        <v>0.39583333333333331</v>
      </c>
      <c r="BR143" s="11"/>
      <c r="BT143" s="165" t="s">
        <v>26</v>
      </c>
      <c r="BU143" s="166"/>
      <c r="BV143" s="29">
        <f>SUM(BV78,BV82,BV86,BV90,BV94,BV98,BV102,BV106,BV110,BV114,BV118,BV122,BV126)*100</f>
        <v>22300</v>
      </c>
      <c r="BW143" s="45"/>
      <c r="BX143" s="9"/>
      <c r="BY143" s="5">
        <f>BV143/BZ143</f>
        <v>3185.7142857142858</v>
      </c>
      <c r="BZ143" s="29">
        <f>SUM(BZ78,BZ82,BZ86,BZ90,BZ94,BZ98,BZ101,BZ106,BZ110,BZ114,BZ118,BZ122,BZ126)</f>
        <v>7</v>
      </c>
      <c r="CA143" s="9"/>
      <c r="CB143" s="61" t="str">
        <f t="shared" ref="CB143:CC143" si="191">CB78</f>
        <v>着物キティマスコット</v>
      </c>
      <c r="CC143" s="62">
        <f t="shared" si="191"/>
        <v>0</v>
      </c>
      <c r="CD143" s="29">
        <f>SUM(CD78,CD82,CD86,CD90,CD94,CD98,CD101,CD106,CD110,CD114,CD118,CD122,CD126)</f>
        <v>4675</v>
      </c>
      <c r="CE143" s="28">
        <f>CD143/BV143</f>
        <v>0.20964125560538116</v>
      </c>
      <c r="CF143" s="11"/>
    </row>
    <row r="144" spans="1:84">
      <c r="A144" s="95"/>
      <c r="B144" s="95"/>
      <c r="C144" s="45"/>
      <c r="D144" s="9"/>
      <c r="E144" s="9"/>
      <c r="F144" s="9"/>
      <c r="G144" s="5"/>
      <c r="H144" s="9"/>
      <c r="I144" s="9"/>
      <c r="J144" s="9"/>
      <c r="K144" s="9"/>
      <c r="L144" s="9"/>
      <c r="M144" s="9"/>
      <c r="N144" s="11"/>
      <c r="O144" s="2"/>
      <c r="P144" s="165" t="s">
        <v>26</v>
      </c>
      <c r="Q144" s="166"/>
      <c r="R144" s="29">
        <f>SUM(R79,R83,R87,R91,R95,R99,R103,R107,R111,R115,R119,R123,R127)*100</f>
        <v>63800</v>
      </c>
      <c r="S144" s="45"/>
      <c r="T144" s="9"/>
      <c r="U144" s="5">
        <f>R144/V144</f>
        <v>6380</v>
      </c>
      <c r="V144" s="29">
        <f>SUM(V79,V83,V87,V92,V95,V99,V103,V107,V111,V115,V119,V123,V127)</f>
        <v>10</v>
      </c>
      <c r="W144" s="9"/>
      <c r="X144" s="64" t="str">
        <f t="shared" ref="X144:Y144" si="192">X79</f>
        <v>キティボアバンスクリップ</v>
      </c>
      <c r="Y144" s="62">
        <f t="shared" si="192"/>
        <v>1100</v>
      </c>
      <c r="Z144" s="29">
        <f>SUM(Z79,Z83,Z87,Z92,Z95,Z99,Z103,Z107,Z111,Z115,Z119,Z123,Z127)</f>
        <v>7260</v>
      </c>
      <c r="AA144" s="28">
        <f>Z144/R144</f>
        <v>0.11379310344827587</v>
      </c>
      <c r="AB144" s="11"/>
      <c r="AC144" s="1"/>
      <c r="AD144" s="165" t="s">
        <v>26</v>
      </c>
      <c r="AE144" s="166"/>
      <c r="AF144" s="29">
        <f>SUM(AF79,AF83,AF87,AF91,AF95,AF99,AF103,AF107,AF111,AF115,AF119,AF123,AF127)*100</f>
        <v>153400</v>
      </c>
      <c r="AG144" s="45"/>
      <c r="AH144" s="9"/>
      <c r="AI144" s="5">
        <f>AF144/AJ144</f>
        <v>4511.7647058823532</v>
      </c>
      <c r="AJ144" s="29">
        <f>SUM(AJ79,AJ83,AJ87,AJ92,AJ95,AJ99,AJ103,AJ107,AJ111,AJ115,AJ119,AJ123,AJ127)</f>
        <v>34</v>
      </c>
      <c r="AK144" s="9"/>
      <c r="AL144" s="61" t="str">
        <f t="shared" ref="AL144:AM144" si="193">AL79</f>
        <v>たまごっちブロックシール</v>
      </c>
      <c r="AM144" s="62">
        <f t="shared" si="193"/>
        <v>600</v>
      </c>
      <c r="AN144" s="29">
        <f>SUM(AN79,AN83,AN87,AN92,AN95,AN99,AN103,AN107,AN111,AN115,AN119,AN123,AN127)</f>
        <v>20400</v>
      </c>
      <c r="AO144" s="28">
        <f>AN144/AF144</f>
        <v>0.13298565840938723</v>
      </c>
      <c r="AP144" s="11"/>
      <c r="AR144" s="165" t="s">
        <v>26</v>
      </c>
      <c r="AS144" s="166"/>
      <c r="AT144" s="29">
        <f>SUM(AT79,AT83,AT87,AT91,AT95,AT99,AT103,AT107,AT111,AT115,AT119,AT123,AT127)*100</f>
        <v>25200</v>
      </c>
      <c r="AU144" s="45"/>
      <c r="AV144" s="9"/>
      <c r="AW144" s="5">
        <f>AT144/AX144</f>
        <v>2520</v>
      </c>
      <c r="AX144" s="29">
        <f>SUM(AX79,AX83,AX87,AX92,AX95,AX99,AX103,AX107,AX111,AX115,AX119,AX123,AX127)</f>
        <v>10</v>
      </c>
      <c r="AY144" s="9"/>
      <c r="AZ144" s="61" t="str">
        <f t="shared" ref="AZ144:BA144" si="194">AZ79</f>
        <v>サンリオヒョウ柄バニティ</v>
      </c>
      <c r="BA144" s="62">
        <f t="shared" si="194"/>
        <v>1056</v>
      </c>
      <c r="BB144" s="29">
        <f>SUM(BB79,BB83,BB87,BB92,BB95,BB99,BB103,BB107,BB111,BB115,BB119,BB123,BB127)</f>
        <v>10648</v>
      </c>
      <c r="BC144" s="28">
        <f>BB144/AT144</f>
        <v>0.42253968253968255</v>
      </c>
      <c r="BD144" s="11"/>
      <c r="BF144" s="165" t="s">
        <v>26</v>
      </c>
      <c r="BG144" s="166"/>
      <c r="BH144" s="29">
        <f>SUM(BH79,BH83,BH87,BH91,BH95,BH99,BH103,BH107,BH111,BH115,BH119,BH123,BH127)*100</f>
        <v>24100</v>
      </c>
      <c r="BI144" s="45"/>
      <c r="BJ144" s="9"/>
      <c r="BK144" s="5">
        <f>BH144/BL144</f>
        <v>1853.8461538461538</v>
      </c>
      <c r="BL144" s="29">
        <f>SUM(BL79,BL83,BL87,BL92,BL95,BL99,BL103,BL107,BL111,BL115,BL119,BL123,BL127)</f>
        <v>13</v>
      </c>
      <c r="BM144" s="9"/>
      <c r="BN144" s="61" t="str">
        <f t="shared" ref="BN144:BO144" si="195">BN79</f>
        <v>サンリオヒョウ柄ポーチ</v>
      </c>
      <c r="BO144" s="62">
        <f t="shared" si="195"/>
        <v>935</v>
      </c>
      <c r="BP144" s="29">
        <f>SUM(BP79,BP83,BP87,BP92,BP95,BP99,BP103,BP107,BP111,BP115,BP119,BP123,BP127)</f>
        <v>10199</v>
      </c>
      <c r="BQ144" s="28">
        <f>BP144/BH144</f>
        <v>0.42319502074688797</v>
      </c>
      <c r="BR144" s="11"/>
      <c r="BT144" s="165" t="s">
        <v>26</v>
      </c>
      <c r="BU144" s="166"/>
      <c r="BV144" s="29">
        <f>SUM(BV79,BV83,BV87,BV91,BV95,BV99,BV103,BV107,BV111,BV115,BV119,BV123,BV127)*100</f>
        <v>22100</v>
      </c>
      <c r="BW144" s="45"/>
      <c r="BX144" s="9"/>
      <c r="BY144" s="5">
        <f>BV144/BZ144</f>
        <v>818.51851851851848</v>
      </c>
      <c r="BZ144" s="29">
        <f>SUM(BZ79,BZ83,BZ87,BZ92,BZ95,BZ99,BZ103,BZ107,BZ111,BZ115,BZ119,BZ123,BZ127)</f>
        <v>27</v>
      </c>
      <c r="CA144" s="9"/>
      <c r="CB144" s="61" t="str">
        <f t="shared" ref="CB144:CC144" si="196">CB79</f>
        <v>サンリオシューズ</v>
      </c>
      <c r="CC144" s="62">
        <f t="shared" si="196"/>
        <v>400</v>
      </c>
      <c r="CD144" s="29">
        <f>SUM(CD79,CD83,CD87,CD92,CD95,CD99,CD103,CD107,CD111,CD115,CD119,CD123,CD127)</f>
        <v>10800</v>
      </c>
      <c r="CE144" s="28">
        <f>CD144/BV144</f>
        <v>0.48868778280542985</v>
      </c>
      <c r="CF144" s="11"/>
    </row>
    <row r="145" spans="1:84">
      <c r="A145" s="95"/>
      <c r="B145" s="95"/>
      <c r="C145" s="45"/>
      <c r="D145" s="9"/>
      <c r="E145" s="9"/>
      <c r="F145" s="9"/>
      <c r="G145" s="5"/>
      <c r="H145" s="9"/>
      <c r="I145" s="9"/>
      <c r="J145" s="9"/>
      <c r="K145" s="9"/>
      <c r="L145" s="9"/>
      <c r="M145" s="9"/>
      <c r="N145" s="11"/>
      <c r="O145" s="2"/>
      <c r="P145" s="165" t="s">
        <v>26</v>
      </c>
      <c r="Q145" s="166"/>
      <c r="R145" s="29">
        <f>SUM(R80,R84,R88,R92,R96,R100,R104,R108,R112,R116,R120,R124,R128)*100</f>
        <v>124100</v>
      </c>
      <c r="S145" s="45"/>
      <c r="T145" s="9"/>
      <c r="U145" s="5">
        <f>R145/V145</f>
        <v>4596.2962962962965</v>
      </c>
      <c r="V145" s="29">
        <f>SUM(V80,V84,V88,V91,V96,V100,V104,V108,V112,V116,V120,V124,V128)</f>
        <v>27</v>
      </c>
      <c r="W145" s="9"/>
      <c r="X145" s="64" t="str">
        <f t="shared" ref="X145:Y145" si="197">X80</f>
        <v>バタースクイーズ</v>
      </c>
      <c r="Y145" s="62">
        <f t="shared" si="197"/>
        <v>440</v>
      </c>
      <c r="Z145" s="29">
        <f>SUM(Z80,Z84,Z88,Z91,Z96,Z100,Z104,Z108,Z112,Z116,Z120,Z124,Z128)</f>
        <v>12540</v>
      </c>
      <c r="AA145" s="28">
        <f>Z145/R145</f>
        <v>0.10104754230459306</v>
      </c>
      <c r="AB145" s="11"/>
      <c r="AC145" s="1"/>
      <c r="AD145" s="165" t="s">
        <v>26</v>
      </c>
      <c r="AE145" s="166"/>
      <c r="AF145" s="29">
        <f>SUM(AF80,AF84,AF88,AF92,AF96,AF100,AF104,AF108,AF112,AF116,AF120,AF124,AF128)*100</f>
        <v>81300</v>
      </c>
      <c r="AG145" s="45"/>
      <c r="AH145" s="9"/>
      <c r="AI145" s="5">
        <f>AF145/AJ145</f>
        <v>1594.1176470588234</v>
      </c>
      <c r="AJ145" s="29">
        <f>SUM(AJ80,AJ84,AJ88,AJ91,AJ96,AJ100,AJ104,AJ108,AJ112,AJ116,AJ120,AJ124,AJ128)</f>
        <v>51</v>
      </c>
      <c r="AK145" s="9"/>
      <c r="AL145" s="61" t="str">
        <f t="shared" ref="AL145:AM145" si="198">AL80</f>
        <v>ボンドロシール</v>
      </c>
      <c r="AM145" s="62">
        <f t="shared" si="198"/>
        <v>150</v>
      </c>
      <c r="AN145" s="29">
        <f>SUM(AN80,AN84,AN88,AN91,AN96,AN100,AN104,AN108,AN112,AN116,AN120,AN124,AN128)</f>
        <v>9900</v>
      </c>
      <c r="AO145" s="28">
        <f>AN145/AF145</f>
        <v>0.12177121771217712</v>
      </c>
      <c r="AP145" s="11"/>
      <c r="AR145" s="165" t="s">
        <v>26</v>
      </c>
      <c r="AS145" s="166"/>
      <c r="AT145" s="29">
        <f>SUM(AT80,AT84,AT88,AT92,AT96,AT100,AT104,AT108,AT112,AT116,AT120,AT124,AT128)*100</f>
        <v>23800</v>
      </c>
      <c r="AU145" s="45"/>
      <c r="AV145" s="9"/>
      <c r="AW145" s="5">
        <f>AT145/AX145</f>
        <v>1830.7692307692307</v>
      </c>
      <c r="AX145" s="29">
        <f>SUM(AX80,AX84,AX88,AX91,AX96,AX100,AX104,AX108,AX112,AX116,AX120,AX124,AX128)</f>
        <v>13</v>
      </c>
      <c r="AY145" s="9"/>
      <c r="AZ145" s="61" t="str">
        <f t="shared" ref="AZ145:BA145" si="199">AZ80</f>
        <v>サンリオファン</v>
      </c>
      <c r="BA145" s="62">
        <f t="shared" si="199"/>
        <v>1100</v>
      </c>
      <c r="BB145" s="29">
        <f>SUM(BB80,BB84,BB88,BB91,BB96,BB100,BB104,BB108,BB112,BB116,BB120,BB124,BB128)</f>
        <v>8756</v>
      </c>
      <c r="BC145" s="28">
        <f>BB145/AT145</f>
        <v>0.36789915966386555</v>
      </c>
      <c r="BD145" s="11"/>
      <c r="BF145" s="165" t="s">
        <v>26</v>
      </c>
      <c r="BG145" s="166"/>
      <c r="BH145" s="29">
        <f>SUM(BH80,BH84,BH88,BH92,BH96,BH100,BH104,BH108,BH112,BH116,BH120,BH124,BH128)*100</f>
        <v>38700</v>
      </c>
      <c r="BI145" s="45"/>
      <c r="BJ145" s="9"/>
      <c r="BK145" s="5">
        <f>BH145/BL145</f>
        <v>502.59740259740261</v>
      </c>
      <c r="BL145" s="29">
        <f>SUM(BL80,BL84,BL88,BL91,BL96,BL100,BL104,BL108,BL112,BL116,BL120,BL124,BL128)</f>
        <v>77</v>
      </c>
      <c r="BM145" s="9"/>
      <c r="BN145" s="61" t="str">
        <f t="shared" ref="BN145:BO145" si="200">BN80</f>
        <v>キティボールペン</v>
      </c>
      <c r="BO145" s="62">
        <f t="shared" si="200"/>
        <v>283</v>
      </c>
      <c r="BP145" s="29">
        <f>SUM(BP80,BP84,BP88,BP91,BP96,BP100,BP104,BP108,BP112,BP116,BP120,BP124,BP128)</f>
        <v>21791</v>
      </c>
      <c r="BQ145" s="28">
        <f>BP145/BH145</f>
        <v>0.56307493540051679</v>
      </c>
      <c r="BR145" s="11"/>
      <c r="BT145" s="165" t="s">
        <v>26</v>
      </c>
      <c r="BU145" s="166"/>
      <c r="BV145" s="29">
        <f>SUM(BV80,BV84,BV88,BV92,BV96,BV100,BV104,BV108,BV112,BV116,BV120,BV124,BV128)*100</f>
        <v>19400</v>
      </c>
      <c r="BW145" s="45"/>
      <c r="BX145" s="9"/>
      <c r="BY145" s="5">
        <f>BV145/BZ145</f>
        <v>2771.4285714285716</v>
      </c>
      <c r="BZ145" s="29">
        <f>SUM(BZ80,BZ84,BZ88,BZ91,BZ96,BZ100,BZ104,BZ108,BZ112,BZ116,BZ120,BZ124,BZ128)</f>
        <v>7</v>
      </c>
      <c r="CA145" s="9"/>
      <c r="CB145" s="61" t="str">
        <f t="shared" ref="CB145:CC145" si="201">CB80</f>
        <v>サンリオボアミラー</v>
      </c>
      <c r="CC145" s="62">
        <f t="shared" si="201"/>
        <v>1100</v>
      </c>
      <c r="CD145" s="29">
        <f>SUM(CD80,CD84,CD88,CD91,CD96,CD100,CD104,CD108,CD112,CD116,CD120,CD124,CD128)</f>
        <v>5600</v>
      </c>
      <c r="CE145" s="28">
        <f>CD145/BV145</f>
        <v>0.28865979381443296</v>
      </c>
      <c r="CF145" s="11"/>
    </row>
    <row r="146" spans="1:84">
      <c r="A146" s="95"/>
      <c r="B146" s="95"/>
      <c r="C146" s="45"/>
      <c r="D146" s="9"/>
      <c r="E146" s="9"/>
      <c r="F146" s="9"/>
      <c r="G146" s="5"/>
      <c r="H146" s="9"/>
      <c r="I146" s="9"/>
      <c r="J146" s="9"/>
      <c r="K146" s="9"/>
      <c r="L146" s="9"/>
      <c r="M146" s="9"/>
      <c r="N146" s="11"/>
      <c r="O146" s="2"/>
      <c r="P146" s="12"/>
      <c r="Q146" s="5" t="s">
        <v>17</v>
      </c>
      <c r="R146" s="9">
        <f>SUM(R142:R145)</f>
        <v>316000</v>
      </c>
      <c r="S146" s="45"/>
      <c r="T146" s="9"/>
      <c r="U146" s="9"/>
      <c r="V146" s="9">
        <f>SUM(V142:V145)</f>
        <v>55</v>
      </c>
      <c r="W146" s="9"/>
      <c r="X146" s="163" t="s">
        <v>28</v>
      </c>
      <c r="Y146" s="164"/>
      <c r="Z146" s="44">
        <f>SUM(Z142:Z145)</f>
        <v>34546</v>
      </c>
      <c r="AA146" s="68">
        <f>Z146/R146</f>
        <v>0.10932278481012658</v>
      </c>
      <c r="AB146" s="69"/>
      <c r="AC146" s="1"/>
      <c r="AD146" s="12"/>
      <c r="AE146" s="5" t="s">
        <v>17</v>
      </c>
      <c r="AF146" s="9">
        <f>SUM(AF142:AF145)</f>
        <v>348600</v>
      </c>
      <c r="AG146" s="45"/>
      <c r="AH146" s="9"/>
      <c r="AI146" s="9"/>
      <c r="AJ146" s="9">
        <f>SUM(AJ142:AJ145)</f>
        <v>107</v>
      </c>
      <c r="AK146" s="9"/>
      <c r="AL146" s="163" t="s">
        <v>28</v>
      </c>
      <c r="AM146" s="164"/>
      <c r="AN146" s="44">
        <f>SUM(AN142:AN145)</f>
        <v>44224</v>
      </c>
      <c r="AO146" s="68">
        <f>AN146/AF146</f>
        <v>0.12686173264486517</v>
      </c>
      <c r="AP146" s="11"/>
      <c r="AR146" s="12"/>
      <c r="AS146" s="5" t="s">
        <v>17</v>
      </c>
      <c r="AT146" s="9">
        <f>SUM(AT142:AT145)</f>
        <v>94700</v>
      </c>
      <c r="AU146" s="45"/>
      <c r="AV146" s="9"/>
      <c r="AW146" s="9"/>
      <c r="AX146" s="9">
        <f>SUM(AX142:AX145)</f>
        <v>41</v>
      </c>
      <c r="AY146" s="9"/>
      <c r="AZ146" s="163" t="s">
        <v>28</v>
      </c>
      <c r="BA146" s="164"/>
      <c r="BB146" s="44">
        <f>SUM(BB142:BB145)</f>
        <v>36404</v>
      </c>
      <c r="BC146" s="68">
        <f>BB146/AT146</f>
        <v>0.38441393875395985</v>
      </c>
      <c r="BD146" s="11"/>
      <c r="BF146" s="12"/>
      <c r="BG146" s="5" t="s">
        <v>17</v>
      </c>
      <c r="BH146" s="9">
        <f>SUM(BH142:BH145)</f>
        <v>97300</v>
      </c>
      <c r="BI146" s="45"/>
      <c r="BJ146" s="9"/>
      <c r="BK146" s="9"/>
      <c r="BL146" s="9">
        <f>SUM(BL142:BL145)</f>
        <v>106</v>
      </c>
      <c r="BM146" s="9"/>
      <c r="BN146" s="163" t="s">
        <v>28</v>
      </c>
      <c r="BO146" s="164"/>
      <c r="BP146" s="44">
        <f>SUM(BP142:BP145)</f>
        <v>42165</v>
      </c>
      <c r="BQ146" s="68">
        <f>BP146/BH146</f>
        <v>0.43335046248715314</v>
      </c>
      <c r="BR146" s="11"/>
      <c r="BT146" s="12"/>
      <c r="BU146" s="5" t="s">
        <v>17</v>
      </c>
      <c r="BV146" s="9">
        <f>SUM(BV142:BV145)</f>
        <v>77500</v>
      </c>
      <c r="BW146" s="45"/>
      <c r="BX146" s="9"/>
      <c r="BY146" s="9"/>
      <c r="BZ146" s="9">
        <f>SUM(BZ142:BZ145)</f>
        <v>55</v>
      </c>
      <c r="CA146" s="9"/>
      <c r="CB146" s="163" t="s">
        <v>28</v>
      </c>
      <c r="CC146" s="164"/>
      <c r="CD146" s="44">
        <f>SUM(CD142:CD145)</f>
        <v>34165</v>
      </c>
      <c r="CE146" s="68">
        <f>CD146/BV146</f>
        <v>0.44083870967741934</v>
      </c>
      <c r="CF146" s="11"/>
    </row>
    <row r="147" spans="1:84">
      <c r="A147" s="14"/>
      <c r="B147" s="76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2"/>
      <c r="P147" s="33"/>
      <c r="Q147" s="2"/>
      <c r="R147" s="2"/>
      <c r="S147" s="2"/>
      <c r="T147" s="2"/>
      <c r="U147" s="2"/>
      <c r="V147" s="2"/>
      <c r="W147" s="2"/>
      <c r="X147" s="43"/>
      <c r="Y147" s="2"/>
      <c r="Z147" s="2"/>
      <c r="AA147" s="2"/>
      <c r="AB147" s="42"/>
      <c r="AC147" s="1"/>
      <c r="AD147" s="33"/>
      <c r="AE147" s="2"/>
      <c r="AF147" s="2"/>
      <c r="AG147" s="2"/>
      <c r="AH147" s="2"/>
      <c r="AI147" s="2"/>
      <c r="AJ147" s="2"/>
      <c r="AK147" s="2"/>
      <c r="AL147" s="55"/>
      <c r="AM147" s="2"/>
      <c r="AN147" s="2"/>
      <c r="AO147" s="2"/>
      <c r="AP147" s="42"/>
    </row>
    <row r="148" spans="1:84" ht="15" customHeight="1">
      <c r="A148" s="33"/>
      <c r="B148" s="3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4"/>
      <c r="O148" s="2"/>
      <c r="P148" s="33"/>
      <c r="Q148" s="2"/>
      <c r="R148" s="2"/>
      <c r="S148" s="2"/>
      <c r="T148" s="2"/>
      <c r="U148" s="2"/>
      <c r="V148" s="2"/>
      <c r="W148" s="2"/>
      <c r="X148" s="43"/>
      <c r="Y148" s="2"/>
      <c r="Z148" s="2"/>
      <c r="AA148" s="2"/>
      <c r="AB148" s="42"/>
      <c r="AC148" s="2"/>
      <c r="AD148" s="33"/>
      <c r="AE148" s="2"/>
      <c r="AF148" s="2"/>
      <c r="AG148" s="2"/>
      <c r="AH148" s="2"/>
      <c r="AI148" s="2"/>
      <c r="AJ148" s="2"/>
      <c r="AK148" s="2"/>
      <c r="AL148" s="55"/>
      <c r="AM148" s="2"/>
      <c r="AN148" s="2"/>
      <c r="AO148" s="2"/>
      <c r="AP148" s="42"/>
    </row>
    <row r="149" spans="1:84">
      <c r="A149" s="188" t="s">
        <v>40</v>
      </c>
      <c r="B149" s="188"/>
      <c r="C149" s="189" t="s">
        <v>41</v>
      </c>
      <c r="D149" s="189"/>
      <c r="E149" s="36"/>
      <c r="F149" s="36"/>
      <c r="G149" s="59"/>
      <c r="H149" s="59"/>
      <c r="I149" s="59"/>
      <c r="J149" s="59"/>
      <c r="K149" s="59"/>
      <c r="L149" s="59"/>
      <c r="M149" s="59"/>
      <c r="N149" s="60"/>
      <c r="O149" s="56"/>
      <c r="P149" s="185" t="s">
        <v>39</v>
      </c>
      <c r="Q149" s="185"/>
      <c r="R149" s="185"/>
      <c r="S149" s="184" t="s">
        <v>38</v>
      </c>
      <c r="T149" s="184"/>
      <c r="U149" s="71"/>
      <c r="V149" s="71"/>
      <c r="W149" s="71"/>
      <c r="X149" s="72"/>
      <c r="Y149" s="71"/>
      <c r="Z149" s="71"/>
      <c r="AA149" s="71"/>
      <c r="AB149" s="73"/>
      <c r="AC149" s="74"/>
      <c r="AD149" s="185" t="s">
        <v>39</v>
      </c>
      <c r="AE149" s="185"/>
      <c r="AF149" s="185"/>
      <c r="AG149" s="184" t="s">
        <v>37</v>
      </c>
      <c r="AH149" s="184"/>
      <c r="AI149" s="71"/>
      <c r="AJ149" s="71"/>
      <c r="AK149" s="71"/>
      <c r="AL149" s="75"/>
      <c r="AM149" s="71"/>
      <c r="AN149" s="71"/>
      <c r="AO149" s="71"/>
      <c r="AP149" s="73"/>
      <c r="AR149" s="185" t="s">
        <v>39</v>
      </c>
      <c r="AS149" s="185"/>
      <c r="AT149" s="185"/>
      <c r="AU149" s="184" t="s">
        <v>259</v>
      </c>
      <c r="AV149" s="184"/>
      <c r="AW149" s="71"/>
      <c r="AX149" s="71"/>
      <c r="AY149" s="71"/>
      <c r="AZ149" s="75"/>
      <c r="BA149" s="71"/>
      <c r="BB149" s="71"/>
      <c r="BC149" s="71"/>
      <c r="BD149" s="73"/>
      <c r="BF149" s="185" t="s">
        <v>39</v>
      </c>
      <c r="BG149" s="185"/>
      <c r="BH149" s="185"/>
      <c r="BI149" s="184" t="s">
        <v>260</v>
      </c>
      <c r="BJ149" s="184"/>
      <c r="BK149" s="71"/>
      <c r="BL149" s="71"/>
      <c r="BM149" s="71"/>
      <c r="BN149" s="75"/>
      <c r="BO149" s="71"/>
      <c r="BP149" s="71"/>
      <c r="BQ149" s="71"/>
      <c r="BR149" s="73"/>
      <c r="BT149" s="185" t="s">
        <v>39</v>
      </c>
      <c r="BU149" s="185"/>
      <c r="BV149" s="185"/>
      <c r="BW149" s="184" t="s">
        <v>261</v>
      </c>
      <c r="BX149" s="184"/>
      <c r="BY149" s="71"/>
      <c r="BZ149" s="71"/>
      <c r="CA149" s="71"/>
      <c r="CB149" s="75"/>
      <c r="CC149" s="71"/>
      <c r="CD149" s="71"/>
      <c r="CE149" s="71"/>
      <c r="CF149" s="73"/>
    </row>
    <row r="150" spans="1:84">
      <c r="A150" s="7" t="s">
        <v>0</v>
      </c>
      <c r="B150" s="112" t="s">
        <v>34</v>
      </c>
      <c r="C150" s="5" t="s">
        <v>1</v>
      </c>
      <c r="D150" s="5" t="s">
        <v>2</v>
      </c>
      <c r="E150" s="6" t="s">
        <v>3</v>
      </c>
      <c r="F150" s="5" t="s">
        <v>2</v>
      </c>
      <c r="G150" s="5" t="s">
        <v>4</v>
      </c>
      <c r="H150" s="5" t="s">
        <v>5</v>
      </c>
      <c r="I150" s="5" t="s">
        <v>6</v>
      </c>
      <c r="J150" s="150" t="s">
        <v>11</v>
      </c>
      <c r="K150" s="5" t="s">
        <v>7</v>
      </c>
      <c r="L150" s="5" t="s">
        <v>8</v>
      </c>
      <c r="M150" s="5" t="s">
        <v>9</v>
      </c>
      <c r="N150" s="5" t="s">
        <v>10</v>
      </c>
      <c r="O150" s="2"/>
      <c r="P150" s="7" t="s">
        <v>0</v>
      </c>
      <c r="Q150" s="5" t="s">
        <v>1</v>
      </c>
      <c r="R150" s="5" t="s">
        <v>2</v>
      </c>
      <c r="S150" s="6" t="s">
        <v>3</v>
      </c>
      <c r="T150" s="5" t="s">
        <v>2</v>
      </c>
      <c r="U150" s="5" t="s">
        <v>4</v>
      </c>
      <c r="V150" s="5" t="s">
        <v>5</v>
      </c>
      <c r="W150" s="5" t="s">
        <v>6</v>
      </c>
      <c r="X150" s="6" t="s">
        <v>11</v>
      </c>
      <c r="Y150" s="5" t="s">
        <v>7</v>
      </c>
      <c r="Z150" s="5" t="s">
        <v>5</v>
      </c>
      <c r="AA150" s="5" t="s">
        <v>12</v>
      </c>
      <c r="AB150" s="5" t="s">
        <v>10</v>
      </c>
      <c r="AC150" s="3"/>
      <c r="AD150" s="7" t="s">
        <v>0</v>
      </c>
      <c r="AE150" s="5" t="s">
        <v>1</v>
      </c>
      <c r="AF150" s="5" t="s">
        <v>2</v>
      </c>
      <c r="AG150" s="6" t="s">
        <v>3</v>
      </c>
      <c r="AH150" s="5" t="s">
        <v>2</v>
      </c>
      <c r="AI150" s="5" t="s">
        <v>4</v>
      </c>
      <c r="AJ150" s="5" t="s">
        <v>5</v>
      </c>
      <c r="AK150" s="5" t="s">
        <v>6</v>
      </c>
      <c r="AL150" s="46" t="s">
        <v>11</v>
      </c>
      <c r="AM150" s="5" t="s">
        <v>7</v>
      </c>
      <c r="AN150" s="5" t="s">
        <v>5</v>
      </c>
      <c r="AO150" s="5" t="s">
        <v>12</v>
      </c>
      <c r="AP150" s="5" t="s">
        <v>10</v>
      </c>
      <c r="AR150" s="7" t="s">
        <v>0</v>
      </c>
      <c r="AS150" s="5" t="s">
        <v>1</v>
      </c>
      <c r="AT150" s="5" t="s">
        <v>2</v>
      </c>
      <c r="AU150" s="6" t="s">
        <v>3</v>
      </c>
      <c r="AV150" s="5" t="s">
        <v>2</v>
      </c>
      <c r="AW150" s="5" t="s">
        <v>4</v>
      </c>
      <c r="AX150" s="5" t="s">
        <v>5</v>
      </c>
      <c r="AY150" s="5" t="s">
        <v>6</v>
      </c>
      <c r="AZ150" s="46" t="s">
        <v>11</v>
      </c>
      <c r="BA150" s="5" t="s">
        <v>7</v>
      </c>
      <c r="BB150" s="5" t="s">
        <v>5</v>
      </c>
      <c r="BC150" s="5" t="s">
        <v>12</v>
      </c>
      <c r="BD150" s="5" t="s">
        <v>10</v>
      </c>
      <c r="BF150" s="7" t="s">
        <v>0</v>
      </c>
      <c r="BG150" s="5" t="s">
        <v>1</v>
      </c>
      <c r="BH150" s="5" t="s">
        <v>2</v>
      </c>
      <c r="BI150" s="6" t="s">
        <v>3</v>
      </c>
      <c r="BJ150" s="5" t="s">
        <v>2</v>
      </c>
      <c r="BK150" s="5" t="s">
        <v>4</v>
      </c>
      <c r="BL150" s="5" t="s">
        <v>5</v>
      </c>
      <c r="BM150" s="5" t="s">
        <v>6</v>
      </c>
      <c r="BN150" s="46" t="s">
        <v>11</v>
      </c>
      <c r="BO150" s="5" t="s">
        <v>7</v>
      </c>
      <c r="BP150" s="5" t="s">
        <v>5</v>
      </c>
      <c r="BQ150" s="5" t="s">
        <v>12</v>
      </c>
      <c r="BR150" s="5" t="s">
        <v>10</v>
      </c>
      <c r="BT150" s="7" t="s">
        <v>0</v>
      </c>
      <c r="BU150" s="5" t="s">
        <v>1</v>
      </c>
      <c r="BV150" s="5" t="s">
        <v>2</v>
      </c>
      <c r="BW150" s="6" t="s">
        <v>3</v>
      </c>
      <c r="BX150" s="5" t="s">
        <v>2</v>
      </c>
      <c r="BY150" s="5" t="s">
        <v>4</v>
      </c>
      <c r="BZ150" s="5" t="s">
        <v>5</v>
      </c>
      <c r="CA150" s="5" t="s">
        <v>6</v>
      </c>
      <c r="CB150" s="46" t="s">
        <v>11</v>
      </c>
      <c r="CC150" s="5" t="s">
        <v>7</v>
      </c>
      <c r="CD150" s="5" t="s">
        <v>5</v>
      </c>
      <c r="CE150" s="5" t="s">
        <v>12</v>
      </c>
      <c r="CF150" s="5" t="s">
        <v>10</v>
      </c>
    </row>
    <row r="151" spans="1:84">
      <c r="A151" s="12">
        <v>46095</v>
      </c>
      <c r="B151" s="8">
        <v>574</v>
      </c>
      <c r="C151" s="13">
        <v>39927</v>
      </c>
      <c r="D151" s="9">
        <v>282</v>
      </c>
      <c r="E151" s="9">
        <v>1128</v>
      </c>
      <c r="F151" s="9">
        <v>1</v>
      </c>
      <c r="G151" s="9">
        <v>28</v>
      </c>
      <c r="H151" s="9">
        <v>1</v>
      </c>
      <c r="I151" s="9">
        <v>0</v>
      </c>
      <c r="J151" s="151" t="s">
        <v>292</v>
      </c>
      <c r="K151" s="44">
        <v>1500</v>
      </c>
      <c r="L151" s="9">
        <v>1500</v>
      </c>
      <c r="M151" s="10">
        <v>5.3191489361702128E-2</v>
      </c>
      <c r="N151" s="70"/>
      <c r="O151" s="2"/>
      <c r="P151" s="12">
        <v>46095</v>
      </c>
      <c r="Q151" s="44">
        <v>12678</v>
      </c>
      <c r="R151" s="44">
        <v>18</v>
      </c>
      <c r="S151" s="44">
        <v>371</v>
      </c>
      <c r="T151" s="44">
        <v>0</v>
      </c>
      <c r="U151" s="44">
        <v>13</v>
      </c>
      <c r="V151" s="44">
        <v>0</v>
      </c>
      <c r="W151" s="44">
        <v>0</v>
      </c>
      <c r="X151" s="64" t="s">
        <v>205</v>
      </c>
      <c r="Y151" s="62">
        <v>996</v>
      </c>
      <c r="Z151" s="44">
        <v>0</v>
      </c>
      <c r="AA151" s="63">
        <v>0</v>
      </c>
      <c r="AB151" s="11" t="s">
        <v>256</v>
      </c>
      <c r="AC151" s="1"/>
      <c r="AD151" s="12">
        <v>46095</v>
      </c>
      <c r="AE151" s="44">
        <v>9918</v>
      </c>
      <c r="AF151" s="44">
        <v>4</v>
      </c>
      <c r="AG151" s="44">
        <v>259</v>
      </c>
      <c r="AH151" s="44">
        <v>0</v>
      </c>
      <c r="AI151" s="44">
        <v>22</v>
      </c>
      <c r="AJ151" s="44">
        <v>0</v>
      </c>
      <c r="AK151" s="44">
        <v>0</v>
      </c>
      <c r="AL151" s="61" t="s">
        <v>218</v>
      </c>
      <c r="AM151" s="62">
        <v>770</v>
      </c>
      <c r="AN151" s="44">
        <v>0</v>
      </c>
      <c r="AO151" s="63">
        <v>0</v>
      </c>
      <c r="AP151" s="11" t="s">
        <v>255</v>
      </c>
      <c r="AR151" s="12"/>
      <c r="AS151" s="44"/>
      <c r="AT151" s="44"/>
      <c r="AU151" s="44"/>
      <c r="AV151" s="44"/>
      <c r="AW151" s="44"/>
      <c r="AX151" s="44"/>
      <c r="AY151" s="44"/>
      <c r="AZ151" s="61"/>
      <c r="BA151" s="62"/>
      <c r="BB151" s="44"/>
      <c r="BC151" s="63"/>
      <c r="BD151" s="11"/>
      <c r="BF151" s="12"/>
      <c r="BG151" s="44"/>
      <c r="BH151" s="44"/>
      <c r="BI151" s="44"/>
      <c r="BJ151" s="44"/>
      <c r="BK151" s="44"/>
      <c r="BL151" s="44"/>
      <c r="BM151" s="44"/>
      <c r="BN151" s="61"/>
      <c r="BO151" s="62"/>
      <c r="BP151" s="44"/>
      <c r="BQ151" s="63"/>
      <c r="BR151" s="11"/>
      <c r="BT151" s="12"/>
      <c r="BU151" s="44"/>
      <c r="BV151" s="44"/>
      <c r="BW151" s="44"/>
      <c r="BX151" s="44"/>
      <c r="BY151" s="44"/>
      <c r="BZ151" s="44"/>
      <c r="CA151" s="44"/>
      <c r="CB151" s="61"/>
      <c r="CC151" s="62"/>
      <c r="CD151" s="44"/>
      <c r="CE151" s="63"/>
      <c r="CF151" s="11"/>
    </row>
    <row r="152" spans="1:84">
      <c r="A152" s="12">
        <v>46098</v>
      </c>
      <c r="B152" s="8">
        <f>IF(A152="","",SUM(D152)+SUM(R155:R158)+SUM(AF155:AF158)+SUM(BH155:BH158)+SUM(BV155:BV158)+SUM(AT155:AT158))</f>
        <v>1897</v>
      </c>
      <c r="C152" s="13">
        <v>41054</v>
      </c>
      <c r="D152" s="9">
        <f t="shared" ref="D152:D164" si="202">IF(C152="","",C152-C151)</f>
        <v>1127</v>
      </c>
      <c r="E152" s="9">
        <v>1145</v>
      </c>
      <c r="F152" s="9">
        <f t="shared" ref="F152:F164" si="203">IF(E152="","",E152-E151)</f>
        <v>17</v>
      </c>
      <c r="G152" s="9">
        <v>9</v>
      </c>
      <c r="H152" s="9">
        <f t="shared" ref="H152:H164" si="204">IF(G152="","",G151+I151-G152)</f>
        <v>19</v>
      </c>
      <c r="I152" s="9">
        <v>15</v>
      </c>
      <c r="J152" s="152" t="str">
        <f t="shared" ref="J152:J174" si="205">IF(C152="","",J151)</f>
        <v>ボンボンドロップシール</v>
      </c>
      <c r="K152" s="44">
        <f t="shared" ref="K152:K164" si="206">IF(C152="","",K151)</f>
        <v>1500</v>
      </c>
      <c r="L152" s="9">
        <f t="shared" ref="L152:L164" si="207">IF(K152="","",H152*K152)</f>
        <v>28500</v>
      </c>
      <c r="M152" s="10">
        <f t="shared" ref="M152:M164" si="208">IF(L152="","",L152/(D152*100))</f>
        <v>0.25288376220053238</v>
      </c>
      <c r="N152" s="34"/>
      <c r="O152" s="2"/>
      <c r="P152" s="12"/>
      <c r="Q152" s="9">
        <v>12073</v>
      </c>
      <c r="R152" s="9">
        <v>26</v>
      </c>
      <c r="S152" s="9">
        <v>264</v>
      </c>
      <c r="T152" s="9">
        <v>0</v>
      </c>
      <c r="U152" s="9">
        <v>12</v>
      </c>
      <c r="V152" s="9">
        <v>0</v>
      </c>
      <c r="W152" s="9">
        <v>0</v>
      </c>
      <c r="X152" s="64" t="s">
        <v>239</v>
      </c>
      <c r="Y152" s="44">
        <v>825</v>
      </c>
      <c r="Z152" s="9">
        <v>0</v>
      </c>
      <c r="AA152" s="10">
        <v>0</v>
      </c>
      <c r="AB152" s="11"/>
      <c r="AC152" s="1"/>
      <c r="AD152" s="12"/>
      <c r="AE152" s="9">
        <v>12738</v>
      </c>
      <c r="AF152" s="9">
        <v>71</v>
      </c>
      <c r="AG152" s="9">
        <v>225</v>
      </c>
      <c r="AH152" s="9">
        <v>4</v>
      </c>
      <c r="AI152" s="9">
        <v>8</v>
      </c>
      <c r="AJ152" s="9">
        <v>4</v>
      </c>
      <c r="AK152" s="9">
        <v>0</v>
      </c>
      <c r="AL152" s="47" t="s">
        <v>251</v>
      </c>
      <c r="AM152" s="45">
        <v>538</v>
      </c>
      <c r="AN152" s="9">
        <v>2152</v>
      </c>
      <c r="AO152" s="10">
        <v>0.30309859154929575</v>
      </c>
      <c r="AP152" s="11"/>
      <c r="AR152" s="12"/>
      <c r="AS152" s="9"/>
      <c r="AT152" s="9"/>
      <c r="AU152" s="9"/>
      <c r="AV152" s="9"/>
      <c r="AW152" s="9"/>
      <c r="AX152" s="9"/>
      <c r="AY152" s="9"/>
      <c r="AZ152" s="47"/>
      <c r="BA152" s="45"/>
      <c r="BB152" s="9"/>
      <c r="BC152" s="10"/>
      <c r="BD152" s="11"/>
      <c r="BF152" s="12"/>
      <c r="BG152" s="9"/>
      <c r="BH152" s="9"/>
      <c r="BI152" s="9"/>
      <c r="BJ152" s="9"/>
      <c r="BK152" s="9"/>
      <c r="BL152" s="9"/>
      <c r="BM152" s="9"/>
      <c r="BN152" s="47"/>
      <c r="BO152" s="45"/>
      <c r="BP152" s="9"/>
      <c r="BQ152" s="10"/>
      <c r="BR152" s="11"/>
      <c r="BT152" s="12"/>
      <c r="BU152" s="9"/>
      <c r="BV152" s="9"/>
      <c r="BW152" s="9"/>
      <c r="BX152" s="9"/>
      <c r="BY152" s="9"/>
      <c r="BZ152" s="9"/>
      <c r="CA152" s="9"/>
      <c r="CB152" s="47"/>
      <c r="CC152" s="45"/>
      <c r="CD152" s="9"/>
      <c r="CE152" s="10"/>
      <c r="CF152" s="11"/>
    </row>
    <row r="153" spans="1:84">
      <c r="A153" s="12">
        <v>46101</v>
      </c>
      <c r="B153" s="8">
        <f>IF(A153="","",SUM(D153)+SUM(R159:R162)+SUM(AF159:AF162)+SUM(BH159:BH162)+SUM(BV159:BV162)+SUM(AT159:AT162))</f>
        <v>1864</v>
      </c>
      <c r="C153" s="13">
        <v>42057</v>
      </c>
      <c r="D153" s="9">
        <f t="shared" si="202"/>
        <v>1003</v>
      </c>
      <c r="E153" s="9">
        <v>1156</v>
      </c>
      <c r="F153" s="9">
        <f t="shared" si="203"/>
        <v>11</v>
      </c>
      <c r="G153" s="9">
        <v>14</v>
      </c>
      <c r="H153" s="9">
        <f t="shared" si="204"/>
        <v>10</v>
      </c>
      <c r="I153" s="9">
        <v>15</v>
      </c>
      <c r="J153" s="152" t="str">
        <f t="shared" si="205"/>
        <v>ボンボンドロップシール</v>
      </c>
      <c r="K153" s="44">
        <f t="shared" si="206"/>
        <v>1500</v>
      </c>
      <c r="L153" s="9">
        <f t="shared" si="207"/>
        <v>15000</v>
      </c>
      <c r="M153" s="10">
        <f t="shared" si="208"/>
        <v>0.14955134596211367</v>
      </c>
      <c r="N153" s="34"/>
      <c r="O153" s="2"/>
      <c r="P153" s="12"/>
      <c r="Q153" s="9">
        <v>13923</v>
      </c>
      <c r="R153" s="81">
        <v>74</v>
      </c>
      <c r="S153" s="9">
        <v>477</v>
      </c>
      <c r="T153" s="9">
        <v>2</v>
      </c>
      <c r="U153" s="9">
        <v>12</v>
      </c>
      <c r="V153" s="9">
        <v>2</v>
      </c>
      <c r="W153" s="9">
        <v>0</v>
      </c>
      <c r="X153" s="15" t="s">
        <v>220</v>
      </c>
      <c r="Y153" s="45">
        <v>1100</v>
      </c>
      <c r="Z153" s="9">
        <v>2200</v>
      </c>
      <c r="AA153" s="10">
        <v>0.29729729729729731</v>
      </c>
      <c r="AB153" s="11"/>
      <c r="AC153" s="1"/>
      <c r="AD153" s="12"/>
      <c r="AE153" s="9">
        <v>13492</v>
      </c>
      <c r="AF153" s="81">
        <v>64</v>
      </c>
      <c r="AG153" s="9">
        <v>491</v>
      </c>
      <c r="AH153" s="9">
        <v>1</v>
      </c>
      <c r="AI153" s="9">
        <v>9</v>
      </c>
      <c r="AJ153" s="9">
        <v>1</v>
      </c>
      <c r="AK153" s="9">
        <v>0</v>
      </c>
      <c r="AL153" s="47" t="s">
        <v>225</v>
      </c>
      <c r="AM153" s="45">
        <v>1100</v>
      </c>
      <c r="AN153" s="9">
        <v>1100</v>
      </c>
      <c r="AO153" s="10">
        <v>0.171875</v>
      </c>
      <c r="AP153" s="11"/>
      <c r="AR153" s="12"/>
      <c r="AS153" s="9"/>
      <c r="AT153" s="9"/>
      <c r="AU153" s="9"/>
      <c r="AV153" s="9"/>
      <c r="AW153" s="9"/>
      <c r="AX153" s="9"/>
      <c r="AY153" s="9"/>
      <c r="AZ153" s="47"/>
      <c r="BA153" s="45"/>
      <c r="BB153" s="9"/>
      <c r="BC153" s="10"/>
      <c r="BD153" s="11"/>
      <c r="BF153" s="12"/>
      <c r="BG153" s="9"/>
      <c r="BH153" s="9"/>
      <c r="BI153" s="9"/>
      <c r="BJ153" s="9"/>
      <c r="BK153" s="9"/>
      <c r="BL153" s="9"/>
      <c r="BM153" s="9"/>
      <c r="BN153" s="47"/>
      <c r="BO153" s="45"/>
      <c r="BP153" s="9"/>
      <c r="BQ153" s="10"/>
      <c r="BR153" s="11"/>
      <c r="BT153" s="12"/>
      <c r="BU153" s="9"/>
      <c r="BV153" s="9"/>
      <c r="BW153" s="9"/>
      <c r="BX153" s="9"/>
      <c r="BY153" s="9"/>
      <c r="BZ153" s="9"/>
      <c r="CA153" s="9"/>
      <c r="CB153" s="47"/>
      <c r="CC153" s="45"/>
      <c r="CD153" s="9"/>
      <c r="CE153" s="10"/>
      <c r="CF153" s="11"/>
    </row>
    <row r="154" spans="1:84" ht="15" customHeight="1" thickBot="1">
      <c r="A154" s="12">
        <v>46104</v>
      </c>
      <c r="B154" s="8">
        <f>IF(A154="","",SUM(D154)+SUM(R163:R166)+SUM(AF163:AF166)+SUM(BH163:BH166)+SUM(BV163:BV166)+SUM(AT163:AT166))</f>
        <v>2618</v>
      </c>
      <c r="C154" s="13">
        <v>43093</v>
      </c>
      <c r="D154" s="9">
        <f t="shared" si="202"/>
        <v>1036</v>
      </c>
      <c r="E154" s="9">
        <v>1172</v>
      </c>
      <c r="F154" s="9">
        <f t="shared" si="203"/>
        <v>16</v>
      </c>
      <c r="G154" s="9">
        <v>13</v>
      </c>
      <c r="H154" s="9">
        <f t="shared" si="204"/>
        <v>16</v>
      </c>
      <c r="I154" s="9">
        <v>11</v>
      </c>
      <c r="J154" s="152" t="str">
        <f t="shared" si="205"/>
        <v>ボンボンドロップシール</v>
      </c>
      <c r="K154" s="44">
        <f t="shared" si="206"/>
        <v>1500</v>
      </c>
      <c r="L154" s="9">
        <f t="shared" si="207"/>
        <v>24000</v>
      </c>
      <c r="M154" s="10">
        <f t="shared" si="208"/>
        <v>0.23166023166023167</v>
      </c>
      <c r="N154" s="11"/>
      <c r="O154" s="2"/>
      <c r="P154" s="18"/>
      <c r="Q154" s="21">
        <v>15103</v>
      </c>
      <c r="R154" s="82">
        <v>16</v>
      </c>
      <c r="S154" s="19">
        <v>389</v>
      </c>
      <c r="T154" s="19">
        <v>0</v>
      </c>
      <c r="U154" s="19">
        <v>9</v>
      </c>
      <c r="V154" s="19">
        <v>0</v>
      </c>
      <c r="W154" s="19">
        <v>0</v>
      </c>
      <c r="X154" s="22" t="s">
        <v>252</v>
      </c>
      <c r="Y154" s="19">
        <v>950</v>
      </c>
      <c r="Z154" s="19">
        <v>0</v>
      </c>
      <c r="AA154" s="20">
        <v>0</v>
      </c>
      <c r="AB154" s="11"/>
      <c r="AC154" s="1"/>
      <c r="AD154" s="18"/>
      <c r="AE154" s="19">
        <v>16937</v>
      </c>
      <c r="AF154" s="19">
        <v>19</v>
      </c>
      <c r="AG154" s="19">
        <v>587</v>
      </c>
      <c r="AH154" s="19">
        <v>3</v>
      </c>
      <c r="AI154" s="19">
        <v>37</v>
      </c>
      <c r="AJ154" s="19">
        <v>1</v>
      </c>
      <c r="AK154" s="19">
        <v>0</v>
      </c>
      <c r="AL154" s="48" t="s">
        <v>238</v>
      </c>
      <c r="AM154" s="19">
        <v>150</v>
      </c>
      <c r="AN154" s="19">
        <v>200</v>
      </c>
      <c r="AO154" s="20">
        <v>0.10526315789473684</v>
      </c>
      <c r="AP154" s="11"/>
      <c r="AR154" s="18"/>
      <c r="AS154" s="19"/>
      <c r="AT154" s="19"/>
      <c r="AU154" s="19"/>
      <c r="AV154" s="19"/>
      <c r="AW154" s="19"/>
      <c r="AX154" s="19"/>
      <c r="AY154" s="19"/>
      <c r="AZ154" s="48"/>
      <c r="BA154" s="19"/>
      <c r="BB154" s="19"/>
      <c r="BC154" s="20"/>
      <c r="BD154" s="11"/>
      <c r="BF154" s="18"/>
      <c r="BG154" s="19"/>
      <c r="BH154" s="19"/>
      <c r="BI154" s="19"/>
      <c r="BJ154" s="19"/>
      <c r="BK154" s="19"/>
      <c r="BL154" s="19"/>
      <c r="BM154" s="19"/>
      <c r="BN154" s="48"/>
      <c r="BO154" s="19"/>
      <c r="BP154" s="19"/>
      <c r="BQ154" s="20"/>
      <c r="BR154" s="11"/>
      <c r="BT154" s="18"/>
      <c r="BU154" s="19"/>
      <c r="BV154" s="19"/>
      <c r="BW154" s="19"/>
      <c r="BX154" s="19"/>
      <c r="BY154" s="19"/>
      <c r="BZ154" s="19"/>
      <c r="CA154" s="19"/>
      <c r="CB154" s="48"/>
      <c r="CC154" s="19"/>
      <c r="CD154" s="19"/>
      <c r="CE154" s="20"/>
      <c r="CF154" s="11"/>
    </row>
    <row r="155" spans="1:84" ht="15" customHeight="1" thickTop="1">
      <c r="A155" s="12">
        <v>46108</v>
      </c>
      <c r="B155" s="8">
        <f>IF(A155="","",SUM(D155)+SUM(R167:R170)+SUM(AF167:AF170)+SUM(BH167:BH170)+SUM(BV167:BV170)+SUM(AT167:AT170))</f>
        <v>1876</v>
      </c>
      <c r="C155" s="13">
        <v>43909</v>
      </c>
      <c r="D155" s="9">
        <f t="shared" si="202"/>
        <v>816</v>
      </c>
      <c r="E155" s="9">
        <v>1181</v>
      </c>
      <c r="F155" s="9">
        <f t="shared" si="203"/>
        <v>9</v>
      </c>
      <c r="G155" s="9">
        <v>13</v>
      </c>
      <c r="H155" s="9">
        <f t="shared" si="204"/>
        <v>11</v>
      </c>
      <c r="I155" s="9">
        <v>16</v>
      </c>
      <c r="J155" s="152" t="str">
        <f t="shared" si="205"/>
        <v>ボンボンドロップシール</v>
      </c>
      <c r="K155" s="44">
        <f t="shared" si="206"/>
        <v>1500</v>
      </c>
      <c r="L155" s="9">
        <f t="shared" si="207"/>
        <v>16500</v>
      </c>
      <c r="M155" s="10">
        <f t="shared" si="208"/>
        <v>0.20220588235294118</v>
      </c>
      <c r="N155" s="11"/>
      <c r="O155" s="2"/>
      <c r="P155" s="65">
        <f>IF($A152="","",$A152)</f>
        <v>46098</v>
      </c>
      <c r="Q155" s="9">
        <v>12694</v>
      </c>
      <c r="R155" s="113">
        <f t="shared" ref="R155:R182" si="209">IF(Q155="","",Q155-Q151)</f>
        <v>16</v>
      </c>
      <c r="S155" s="9">
        <v>372</v>
      </c>
      <c r="T155" s="23">
        <f t="shared" ref="T155:T182" si="210">IF(S155="","",S155-S151)</f>
        <v>1</v>
      </c>
      <c r="U155" s="9">
        <v>12</v>
      </c>
      <c r="V155" s="44">
        <f t="shared" ref="V155:V182" si="211">IF(U155="","",U151+W151-U155)</f>
        <v>1</v>
      </c>
      <c r="W155" s="66">
        <v>1</v>
      </c>
      <c r="X155" s="61" t="str">
        <f t="shared" ref="X155:X165" si="212">IF(Q155="","",X151)</f>
        <v>キティ豹柄キーケース</v>
      </c>
      <c r="Y155" s="62">
        <f t="shared" ref="Y155:Y165" si="213">IF(R155="","",Y151)</f>
        <v>996</v>
      </c>
      <c r="Z155" s="23">
        <f t="shared" ref="Z155:Z182" si="214">IF(U155="","",V155*Y155)</f>
        <v>996</v>
      </c>
      <c r="AA155" s="24">
        <f t="shared" ref="AA155:AA182" si="215">IF(V155="","",Z155/(R155*100))</f>
        <v>0.62250000000000005</v>
      </c>
      <c r="AB155" s="11" t="s">
        <v>258</v>
      </c>
      <c r="AC155" s="1"/>
      <c r="AD155" s="65">
        <f>IF($A152="","",$A152)</f>
        <v>46098</v>
      </c>
      <c r="AE155" s="9">
        <v>9978</v>
      </c>
      <c r="AF155" s="44">
        <f t="shared" ref="AF155:AF182" si="216">IF(AE155="","",AE155-AE151)</f>
        <v>60</v>
      </c>
      <c r="AG155" s="9">
        <v>260</v>
      </c>
      <c r="AH155" s="23">
        <f t="shared" ref="AH155:AH182" si="217">IF(AG155="","",AG155-AG151)</f>
        <v>1</v>
      </c>
      <c r="AI155" s="9">
        <v>21</v>
      </c>
      <c r="AJ155" s="44">
        <f t="shared" ref="AJ155:AJ182" si="218">IF(AI155="","",AI151+AK151-AI155)</f>
        <v>1</v>
      </c>
      <c r="AK155" s="66">
        <v>0</v>
      </c>
      <c r="AL155" s="61" t="str">
        <f t="shared" ref="AL155:AL175" si="219">IF(AE155="","",AL151)</f>
        <v>ゲーム機柄イヤホン</v>
      </c>
      <c r="AM155" s="62">
        <f t="shared" ref="AM155:AM175" si="220">IF(AF155="","",AM151)</f>
        <v>770</v>
      </c>
      <c r="AN155" s="23">
        <f t="shared" ref="AN155:AN182" si="221">IF(AI155="","",AJ155*AM155)</f>
        <v>770</v>
      </c>
      <c r="AO155" s="24">
        <f t="shared" ref="AO155:AO182" si="222">IF(AJ155="","",AN155/(AF155*100))</f>
        <v>0.12833333333333333</v>
      </c>
      <c r="AP155" s="11" t="s">
        <v>257</v>
      </c>
      <c r="AR155" s="65">
        <f>IF($A152="","",$A152)</f>
        <v>46098</v>
      </c>
      <c r="AS155" s="9">
        <v>1030</v>
      </c>
      <c r="AT155" s="44"/>
      <c r="AU155" s="9">
        <v>1029</v>
      </c>
      <c r="AV155" s="23"/>
      <c r="AW155" s="9">
        <v>0</v>
      </c>
      <c r="AX155" s="44"/>
      <c r="AY155" s="66">
        <v>29</v>
      </c>
      <c r="AZ155" s="61" t="s">
        <v>262</v>
      </c>
      <c r="BA155" s="62" t="str">
        <f>IF(AT155="","",BA151)</f>
        <v/>
      </c>
      <c r="BB155" s="23"/>
      <c r="BC155" s="24" t="str">
        <f t="shared" ref="BC155:BC182" si="223">IF(AX155="","",BB155/(AT155*100))</f>
        <v/>
      </c>
      <c r="BD155" s="11"/>
      <c r="BF155" s="65">
        <f>IF($A152="","",$A152)</f>
        <v>46098</v>
      </c>
      <c r="BG155" s="9">
        <v>1030</v>
      </c>
      <c r="BH155" s="44"/>
      <c r="BI155" s="9">
        <v>1027</v>
      </c>
      <c r="BJ155" s="23"/>
      <c r="BK155" s="9">
        <v>0</v>
      </c>
      <c r="BL155" s="44"/>
      <c r="BM155" s="66">
        <v>14</v>
      </c>
      <c r="BN155" s="61" t="s">
        <v>269</v>
      </c>
      <c r="BO155" s="62" t="str">
        <f>IF(BH155="","",BO151)</f>
        <v/>
      </c>
      <c r="BP155" s="23"/>
      <c r="BQ155" s="24" t="str">
        <f t="shared" ref="BQ155:BQ182" si="224">IF(BL155="","",BP155/(BH155*100))</f>
        <v/>
      </c>
      <c r="BR155" s="11"/>
      <c r="BT155" s="65">
        <f>IF($A152="","",$A152)</f>
        <v>46098</v>
      </c>
      <c r="BU155" s="9">
        <v>1028</v>
      </c>
      <c r="BV155" s="44"/>
      <c r="BW155" s="9">
        <v>1032</v>
      </c>
      <c r="BX155" s="23"/>
      <c r="BY155" s="9">
        <v>0</v>
      </c>
      <c r="BZ155" s="44"/>
      <c r="CA155" s="66">
        <v>10</v>
      </c>
      <c r="CB155" s="145" t="s">
        <v>270</v>
      </c>
      <c r="CC155" s="62" t="str">
        <f>IF(BV155="","",CC151)</f>
        <v/>
      </c>
      <c r="CD155" s="23"/>
      <c r="CE155" s="24" t="str">
        <f t="shared" ref="CE155:CE182" si="225">IF(BZ155="","",CD155/(BV155*100))</f>
        <v/>
      </c>
      <c r="CF155" s="11"/>
    </row>
    <row r="156" spans="1:84">
      <c r="A156" s="12">
        <v>46111</v>
      </c>
      <c r="B156" s="8">
        <f>IF(A156="","",SUM(D156)+SUM(R171:R174)+SUM(AF171:AF174)+SUM(BH171:BH174)+SUM(BV171:BV174)+SUM(AT171:AT174))</f>
        <v>2249</v>
      </c>
      <c r="C156" s="13">
        <v>44631</v>
      </c>
      <c r="D156" s="9">
        <f t="shared" si="202"/>
        <v>722</v>
      </c>
      <c r="E156" s="9">
        <v>1190</v>
      </c>
      <c r="F156" s="9">
        <f t="shared" si="203"/>
        <v>9</v>
      </c>
      <c r="G156" s="9">
        <v>18</v>
      </c>
      <c r="H156" s="9">
        <f t="shared" si="204"/>
        <v>11</v>
      </c>
      <c r="I156" s="9">
        <v>14</v>
      </c>
      <c r="J156" s="152" t="str">
        <f t="shared" si="205"/>
        <v>ボンボンドロップシール</v>
      </c>
      <c r="K156" s="44">
        <f t="shared" si="206"/>
        <v>1500</v>
      </c>
      <c r="L156" s="9">
        <f t="shared" si="207"/>
        <v>16500</v>
      </c>
      <c r="M156" s="10">
        <f t="shared" si="208"/>
        <v>0.22853185595567868</v>
      </c>
      <c r="N156" s="11"/>
      <c r="O156" s="2"/>
      <c r="P156" s="12"/>
      <c r="Q156" s="44">
        <v>12147</v>
      </c>
      <c r="R156" s="9">
        <f t="shared" si="209"/>
        <v>74</v>
      </c>
      <c r="S156" s="44">
        <v>265</v>
      </c>
      <c r="T156" s="9">
        <f t="shared" si="210"/>
        <v>1</v>
      </c>
      <c r="U156" s="9">
        <v>11</v>
      </c>
      <c r="V156" s="9">
        <f t="shared" si="211"/>
        <v>1</v>
      </c>
      <c r="W156" s="13">
        <v>0</v>
      </c>
      <c r="X156" s="47" t="str">
        <f t="shared" si="212"/>
        <v>キティしっぽ付ポーチ</v>
      </c>
      <c r="Y156" s="45">
        <f t="shared" si="213"/>
        <v>825</v>
      </c>
      <c r="Z156" s="9">
        <f t="shared" si="214"/>
        <v>825</v>
      </c>
      <c r="AA156" s="10">
        <f t="shared" si="215"/>
        <v>0.11148648648648649</v>
      </c>
      <c r="AB156" s="11"/>
      <c r="AC156" s="1"/>
      <c r="AD156" s="12"/>
      <c r="AE156" s="44">
        <v>12778</v>
      </c>
      <c r="AF156" s="81">
        <f t="shared" si="216"/>
        <v>40</v>
      </c>
      <c r="AG156" s="44">
        <v>227</v>
      </c>
      <c r="AH156" s="9">
        <f t="shared" si="217"/>
        <v>2</v>
      </c>
      <c r="AI156" s="9">
        <v>6</v>
      </c>
      <c r="AJ156" s="9">
        <f t="shared" si="218"/>
        <v>2</v>
      </c>
      <c r="AK156" s="13">
        <v>13</v>
      </c>
      <c r="AL156" s="47" t="str">
        <f t="shared" si="219"/>
        <v>キティドデカパッチン</v>
      </c>
      <c r="AM156" s="45">
        <f t="shared" si="220"/>
        <v>538</v>
      </c>
      <c r="AN156" s="9">
        <f t="shared" si="221"/>
        <v>1076</v>
      </c>
      <c r="AO156" s="10">
        <f t="shared" si="222"/>
        <v>0.26900000000000002</v>
      </c>
      <c r="AP156" s="11" t="s">
        <v>196</v>
      </c>
      <c r="AR156" s="12"/>
      <c r="AS156" s="44">
        <v>1028</v>
      </c>
      <c r="AT156" s="9"/>
      <c r="AU156" s="44">
        <v>1033</v>
      </c>
      <c r="AV156" s="9"/>
      <c r="AW156" s="9">
        <v>0</v>
      </c>
      <c r="AX156" s="9"/>
      <c r="AY156" s="13">
        <v>18</v>
      </c>
      <c r="AZ156" s="47" t="s">
        <v>263</v>
      </c>
      <c r="BA156" s="45" t="str">
        <f>IF(AT156="","",BA152)</f>
        <v/>
      </c>
      <c r="BB156" s="9"/>
      <c r="BC156" s="10" t="str">
        <f t="shared" si="223"/>
        <v/>
      </c>
      <c r="BD156" s="11"/>
      <c r="BF156" s="12"/>
      <c r="BG156" s="44">
        <v>1040</v>
      </c>
      <c r="BH156" s="9"/>
      <c r="BI156" s="44">
        <v>1039</v>
      </c>
      <c r="BJ156" s="9"/>
      <c r="BK156" s="9">
        <v>0</v>
      </c>
      <c r="BL156" s="9"/>
      <c r="BM156" s="13">
        <v>42</v>
      </c>
      <c r="BN156" s="47" t="s">
        <v>268</v>
      </c>
      <c r="BO156" s="45" t="str">
        <f>IF(BH156="","",BO152)</f>
        <v/>
      </c>
      <c r="BP156" s="9"/>
      <c r="BQ156" s="10" t="str">
        <f t="shared" si="224"/>
        <v/>
      </c>
      <c r="BR156" s="11"/>
      <c r="BT156" s="12"/>
      <c r="BU156" s="44">
        <v>1030</v>
      </c>
      <c r="BV156" s="9"/>
      <c r="BW156" s="44">
        <v>1029</v>
      </c>
      <c r="BX156" s="9"/>
      <c r="BY156" s="9">
        <v>0</v>
      </c>
      <c r="BZ156" s="9"/>
      <c r="CA156" s="13">
        <v>18</v>
      </c>
      <c r="CB156" s="146" t="s">
        <v>271</v>
      </c>
      <c r="CC156" s="45" t="str">
        <f>IF(BV156="","",CC152)</f>
        <v/>
      </c>
      <c r="CD156" s="9"/>
      <c r="CE156" s="10" t="str">
        <f t="shared" si="225"/>
        <v/>
      </c>
      <c r="CF156" s="11"/>
    </row>
    <row r="157" spans="1:84" ht="15" customHeight="1">
      <c r="A157" s="12">
        <v>46117</v>
      </c>
      <c r="B157" s="8">
        <f>IF(A157="","",SUM(D157)+SUM(R175:R178)+SUM(AF175:AF178)+SUM(BH175:BH178)+SUM(BV175:BV178)+SUM(AT175:AT178))</f>
        <v>3682</v>
      </c>
      <c r="C157" s="13">
        <v>46140</v>
      </c>
      <c r="D157" s="9">
        <f t="shared" si="202"/>
        <v>1509</v>
      </c>
      <c r="E157" s="9">
        <v>1214</v>
      </c>
      <c r="F157" s="9">
        <f t="shared" si="203"/>
        <v>24</v>
      </c>
      <c r="G157" s="9">
        <v>8</v>
      </c>
      <c r="H157" s="9">
        <f t="shared" si="204"/>
        <v>24</v>
      </c>
      <c r="I157" s="9">
        <v>16</v>
      </c>
      <c r="J157" s="152" t="str">
        <f t="shared" si="205"/>
        <v>ボンボンドロップシール</v>
      </c>
      <c r="K157" s="44">
        <f t="shared" si="206"/>
        <v>1500</v>
      </c>
      <c r="L157" s="9">
        <f t="shared" si="207"/>
        <v>36000</v>
      </c>
      <c r="M157" s="10">
        <f t="shared" si="208"/>
        <v>0.23856858846918488</v>
      </c>
      <c r="N157" s="11"/>
      <c r="O157" s="2"/>
      <c r="P157" s="12"/>
      <c r="Q157" s="9">
        <v>14002</v>
      </c>
      <c r="R157" s="9">
        <f t="shared" si="209"/>
        <v>79</v>
      </c>
      <c r="S157" s="9">
        <v>479</v>
      </c>
      <c r="T157" s="9">
        <f t="shared" si="210"/>
        <v>2</v>
      </c>
      <c r="U157" s="9">
        <v>10</v>
      </c>
      <c r="V157" s="9">
        <f t="shared" si="211"/>
        <v>2</v>
      </c>
      <c r="W157" s="38">
        <v>1</v>
      </c>
      <c r="X157" s="47" t="str">
        <f t="shared" si="212"/>
        <v>キティボアバンスクリップ</v>
      </c>
      <c r="Y157" s="9">
        <f t="shared" si="213"/>
        <v>1100</v>
      </c>
      <c r="Z157" s="9">
        <f t="shared" si="214"/>
        <v>2200</v>
      </c>
      <c r="AA157" s="10">
        <f t="shared" si="215"/>
        <v>0.27848101265822783</v>
      </c>
      <c r="AB157" s="11"/>
      <c r="AC157" s="1"/>
      <c r="AD157" s="12"/>
      <c r="AE157" s="9">
        <v>13581</v>
      </c>
      <c r="AF157" s="9">
        <f t="shared" si="216"/>
        <v>89</v>
      </c>
      <c r="AG157" s="9">
        <v>492</v>
      </c>
      <c r="AH157" s="9">
        <f t="shared" si="217"/>
        <v>1</v>
      </c>
      <c r="AI157" s="9">
        <v>8</v>
      </c>
      <c r="AJ157" s="9">
        <f t="shared" si="218"/>
        <v>1</v>
      </c>
      <c r="AK157" s="38">
        <v>0</v>
      </c>
      <c r="AL157" s="47" t="str">
        <f t="shared" si="219"/>
        <v>ゲームアーク</v>
      </c>
      <c r="AM157" s="9">
        <f t="shared" si="220"/>
        <v>1100</v>
      </c>
      <c r="AN157" s="9">
        <f t="shared" si="221"/>
        <v>1100</v>
      </c>
      <c r="AO157" s="10">
        <f t="shared" si="222"/>
        <v>0.12359550561797752</v>
      </c>
      <c r="AP157" s="144" t="s">
        <v>118</v>
      </c>
      <c r="AR157" s="12"/>
      <c r="AS157" s="9">
        <v>1030</v>
      </c>
      <c r="AT157" s="9"/>
      <c r="AU157" s="9">
        <v>1031</v>
      </c>
      <c r="AV157" s="9"/>
      <c r="AW157" s="9">
        <v>0</v>
      </c>
      <c r="AX157" s="9"/>
      <c r="AY157" s="38">
        <v>9</v>
      </c>
      <c r="AZ157" s="47" t="s">
        <v>264</v>
      </c>
      <c r="BA157" s="9" t="str">
        <f>IF(AT157="","",BA153)</f>
        <v/>
      </c>
      <c r="BB157" s="9"/>
      <c r="BC157" s="10" t="str">
        <f t="shared" si="223"/>
        <v/>
      </c>
      <c r="BD157" s="11"/>
      <c r="BF157" s="12"/>
      <c r="BG157" s="9">
        <v>1030</v>
      </c>
      <c r="BH157" s="9"/>
      <c r="BI157" s="9">
        <v>1027</v>
      </c>
      <c r="BJ157" s="9"/>
      <c r="BK157" s="9">
        <v>0</v>
      </c>
      <c r="BL157" s="9"/>
      <c r="BM157" s="38">
        <v>8</v>
      </c>
      <c r="BN157" s="47" t="s">
        <v>267</v>
      </c>
      <c r="BO157" s="9" t="str">
        <f>IF(BH157="","",BO153)</f>
        <v/>
      </c>
      <c r="BP157" s="9"/>
      <c r="BQ157" s="10" t="str">
        <f t="shared" si="224"/>
        <v/>
      </c>
      <c r="BR157" s="11"/>
      <c r="BT157" s="12"/>
      <c r="BU157" s="9">
        <v>1031</v>
      </c>
      <c r="BV157" s="9"/>
      <c r="BW157" s="9">
        <v>1028</v>
      </c>
      <c r="BX157" s="9"/>
      <c r="BY157" s="9">
        <v>0</v>
      </c>
      <c r="BZ157" s="9"/>
      <c r="CA157" s="38">
        <v>130</v>
      </c>
      <c r="CB157" s="146" t="s">
        <v>272</v>
      </c>
      <c r="CC157" s="9" t="str">
        <f>IF(BV157="","",CC153)</f>
        <v/>
      </c>
      <c r="CD157" s="9"/>
      <c r="CE157" s="10" t="str">
        <f t="shared" si="225"/>
        <v/>
      </c>
      <c r="CF157" s="11"/>
    </row>
    <row r="158" spans="1:84" ht="15" customHeight="1" thickBot="1">
      <c r="A158" s="127">
        <v>46122</v>
      </c>
      <c r="B158" s="8">
        <f>IF(A158="","",SUM(D158)+SUM(R179:R182)+SUM(AF179:AF182)+SUM(BH179:BH182)+SUM(BV179:BV182)+SUM(AT179:AT182))</f>
        <v>3165</v>
      </c>
      <c r="C158" s="13">
        <v>47619</v>
      </c>
      <c r="D158" s="9">
        <f t="shared" si="202"/>
        <v>1479</v>
      </c>
      <c r="E158" s="9">
        <v>1232</v>
      </c>
      <c r="F158" s="9">
        <f t="shared" si="203"/>
        <v>18</v>
      </c>
      <c r="G158" s="9">
        <v>5</v>
      </c>
      <c r="H158" s="9">
        <f t="shared" si="204"/>
        <v>19</v>
      </c>
      <c r="I158" s="9">
        <v>24</v>
      </c>
      <c r="J158" s="152" t="str">
        <f t="shared" si="205"/>
        <v>ボンボンドロップシール</v>
      </c>
      <c r="K158" s="44">
        <f t="shared" si="206"/>
        <v>1500</v>
      </c>
      <c r="L158" s="9">
        <f t="shared" si="207"/>
        <v>28500</v>
      </c>
      <c r="M158" s="10">
        <f t="shared" si="208"/>
        <v>0.1926977687626775</v>
      </c>
      <c r="N158" s="11"/>
      <c r="O158" s="2"/>
      <c r="P158" s="80"/>
      <c r="Q158" s="19">
        <v>15154</v>
      </c>
      <c r="R158" s="19">
        <f t="shared" si="209"/>
        <v>51</v>
      </c>
      <c r="S158" s="19">
        <v>389</v>
      </c>
      <c r="T158" s="19">
        <f t="shared" si="210"/>
        <v>0</v>
      </c>
      <c r="U158" s="19">
        <v>9</v>
      </c>
      <c r="V158" s="19">
        <f t="shared" si="211"/>
        <v>0</v>
      </c>
      <c r="W158" s="37">
        <v>0</v>
      </c>
      <c r="X158" s="48" t="str">
        <f t="shared" si="212"/>
        <v>サンリオヘアバンド</v>
      </c>
      <c r="Y158" s="51">
        <f t="shared" si="213"/>
        <v>950</v>
      </c>
      <c r="Z158" s="19">
        <f t="shared" si="214"/>
        <v>0</v>
      </c>
      <c r="AA158" s="20">
        <f t="shared" si="215"/>
        <v>0</v>
      </c>
      <c r="AB158" s="149" t="s">
        <v>274</v>
      </c>
      <c r="AC158" s="1"/>
      <c r="AD158" s="80"/>
      <c r="AE158" s="19">
        <v>17298</v>
      </c>
      <c r="AF158" s="19">
        <f t="shared" si="216"/>
        <v>361</v>
      </c>
      <c r="AG158" s="19">
        <v>610</v>
      </c>
      <c r="AH158" s="19">
        <f t="shared" si="217"/>
        <v>23</v>
      </c>
      <c r="AI158" s="19">
        <v>13</v>
      </c>
      <c r="AJ158" s="19">
        <f t="shared" si="218"/>
        <v>24</v>
      </c>
      <c r="AK158" s="37">
        <v>40</v>
      </c>
      <c r="AL158" s="48" t="str">
        <f t="shared" si="219"/>
        <v>ボンドロシール</v>
      </c>
      <c r="AM158" s="51">
        <f t="shared" si="220"/>
        <v>150</v>
      </c>
      <c r="AN158" s="19">
        <f t="shared" si="221"/>
        <v>3600</v>
      </c>
      <c r="AO158" s="20">
        <f t="shared" si="222"/>
        <v>9.9722991689750698E-2</v>
      </c>
      <c r="AP158" s="11"/>
      <c r="AR158" s="80"/>
      <c r="AS158" s="19">
        <v>1030</v>
      </c>
      <c r="AT158" s="19"/>
      <c r="AU158" s="19">
        <v>1031</v>
      </c>
      <c r="AV158" s="19"/>
      <c r="AW158" s="19">
        <v>0</v>
      </c>
      <c r="AX158" s="19"/>
      <c r="AY158" s="37">
        <v>15</v>
      </c>
      <c r="AZ158" s="48" t="s">
        <v>265</v>
      </c>
      <c r="BA158" s="51" t="str">
        <f>IF(AT158="","",BA154)</f>
        <v/>
      </c>
      <c r="BB158" s="19"/>
      <c r="BC158" s="20" t="str">
        <f t="shared" si="223"/>
        <v/>
      </c>
      <c r="BD158" s="11"/>
      <c r="BF158" s="80"/>
      <c r="BG158" s="19">
        <v>1030</v>
      </c>
      <c r="BH158" s="19"/>
      <c r="BI158" s="19">
        <v>1027</v>
      </c>
      <c r="BJ158" s="19"/>
      <c r="BK158" s="19">
        <v>0</v>
      </c>
      <c r="BL158" s="19"/>
      <c r="BM158" s="37">
        <v>130</v>
      </c>
      <c r="BN158" s="48" t="s">
        <v>266</v>
      </c>
      <c r="BO158" s="51" t="str">
        <f>IF(BH158="","",BO154)</f>
        <v/>
      </c>
      <c r="BP158" s="19"/>
      <c r="BQ158" s="20" t="str">
        <f t="shared" si="224"/>
        <v/>
      </c>
      <c r="BR158" s="11"/>
      <c r="BT158" s="80"/>
      <c r="BU158" s="19">
        <v>1031</v>
      </c>
      <c r="BV158" s="19"/>
      <c r="BW158" s="19">
        <v>1028</v>
      </c>
      <c r="BX158" s="19"/>
      <c r="BY158" s="19">
        <v>0</v>
      </c>
      <c r="BZ158" s="19"/>
      <c r="CA158" s="37">
        <v>10</v>
      </c>
      <c r="CB158" s="147" t="s">
        <v>273</v>
      </c>
      <c r="CC158" s="51" t="str">
        <f>IF(BV158="","",CC154)</f>
        <v/>
      </c>
      <c r="CD158" s="19"/>
      <c r="CE158" s="20" t="str">
        <f t="shared" si="225"/>
        <v/>
      </c>
      <c r="CF158" s="11"/>
    </row>
    <row r="159" spans="1:84" ht="15" customHeight="1" thickTop="1">
      <c r="A159" s="12"/>
      <c r="B159" s="8"/>
      <c r="C159" s="13"/>
      <c r="D159" s="9"/>
      <c r="E159" s="9"/>
      <c r="F159" s="9"/>
      <c r="G159" s="9"/>
      <c r="H159" s="9"/>
      <c r="I159" s="9"/>
      <c r="J159" s="152"/>
      <c r="K159" s="44"/>
      <c r="L159" s="9"/>
      <c r="M159" s="10"/>
      <c r="N159" s="34"/>
      <c r="O159" s="2"/>
      <c r="P159" s="65">
        <f>IF($A153="","",$A153)</f>
        <v>46101</v>
      </c>
      <c r="Q159" s="44">
        <v>12724</v>
      </c>
      <c r="R159" s="44">
        <f t="shared" si="209"/>
        <v>30</v>
      </c>
      <c r="S159" s="44">
        <v>372</v>
      </c>
      <c r="T159" s="23">
        <f t="shared" si="210"/>
        <v>0</v>
      </c>
      <c r="U159" s="44">
        <v>13</v>
      </c>
      <c r="V159" s="44">
        <f t="shared" si="211"/>
        <v>0</v>
      </c>
      <c r="W159" s="66">
        <v>0</v>
      </c>
      <c r="X159" s="61" t="str">
        <f t="shared" si="212"/>
        <v>キティ豹柄キーケース</v>
      </c>
      <c r="Y159" s="62">
        <f t="shared" si="213"/>
        <v>996</v>
      </c>
      <c r="Z159" s="23">
        <f t="shared" si="214"/>
        <v>0</v>
      </c>
      <c r="AA159" s="24">
        <f t="shared" si="215"/>
        <v>0</v>
      </c>
      <c r="AB159" s="11"/>
      <c r="AC159" s="1"/>
      <c r="AD159" s="65">
        <f>IF($A153="","",$A153)</f>
        <v>46101</v>
      </c>
      <c r="AE159" s="44">
        <v>10086</v>
      </c>
      <c r="AF159" s="44">
        <f t="shared" si="216"/>
        <v>108</v>
      </c>
      <c r="AG159" s="44">
        <v>264</v>
      </c>
      <c r="AH159" s="23">
        <f t="shared" si="217"/>
        <v>4</v>
      </c>
      <c r="AI159" s="44">
        <v>17</v>
      </c>
      <c r="AJ159" s="44">
        <f t="shared" si="218"/>
        <v>4</v>
      </c>
      <c r="AK159" s="66">
        <v>0</v>
      </c>
      <c r="AL159" s="61" t="str">
        <f t="shared" si="219"/>
        <v>ゲーム機柄イヤホン</v>
      </c>
      <c r="AM159" s="62">
        <f t="shared" si="220"/>
        <v>770</v>
      </c>
      <c r="AN159" s="23">
        <f t="shared" si="221"/>
        <v>3080</v>
      </c>
      <c r="AO159" s="24">
        <f t="shared" si="222"/>
        <v>0.28518518518518521</v>
      </c>
      <c r="AP159" s="11"/>
      <c r="AR159" s="65">
        <f>IF($A153="","",$A153)</f>
        <v>46101</v>
      </c>
      <c r="AS159" s="44">
        <v>1038</v>
      </c>
      <c r="AT159" s="113">
        <f t="shared" ref="AT159:AT206" si="226">IF(AS159="","",AS159-AS155)</f>
        <v>8</v>
      </c>
      <c r="AU159" s="44">
        <v>1032</v>
      </c>
      <c r="AV159" s="23">
        <f t="shared" ref="AV159:AV206" si="227">IF(AU159="","",AU159-AU155)</f>
        <v>3</v>
      </c>
      <c r="AW159" s="44">
        <v>27</v>
      </c>
      <c r="AX159" s="44">
        <f t="shared" ref="AX159:AX206" si="228">IF(AW159="","",AW155+AY155-AW159)</f>
        <v>2</v>
      </c>
      <c r="AY159" s="66">
        <v>0</v>
      </c>
      <c r="AZ159" s="61" t="str">
        <f t="shared" ref="AZ159:AZ181" si="229">IF(AS159="","",AZ155)</f>
        <v>サンリオ千鳥格子フェイス</v>
      </c>
      <c r="BA159" s="62">
        <v>700</v>
      </c>
      <c r="BB159" s="23">
        <f t="shared" ref="BB159:BB206" si="230">IF(AW159="","",AX159*BA159)</f>
        <v>1400</v>
      </c>
      <c r="BC159" s="24">
        <f t="shared" si="223"/>
        <v>1.75</v>
      </c>
      <c r="BD159" s="11" t="s">
        <v>277</v>
      </c>
      <c r="BF159" s="65">
        <f>IF($A153="","",$A153)</f>
        <v>46101</v>
      </c>
      <c r="BG159" s="44">
        <v>1043</v>
      </c>
      <c r="BH159" s="44">
        <f t="shared" ref="BH159:BH206" si="231">IF(BG159="","",BG159-BG155)</f>
        <v>13</v>
      </c>
      <c r="BI159" s="44">
        <v>1027</v>
      </c>
      <c r="BJ159" s="23">
        <f t="shared" ref="BJ159:BJ206" si="232">IF(BI159="","",BI159-BI155)</f>
        <v>0</v>
      </c>
      <c r="BK159" s="44">
        <v>14</v>
      </c>
      <c r="BL159" s="44">
        <f t="shared" ref="BL159:BL206" si="233">IF(BK159="","",BK155+BM155-BK159)</f>
        <v>0</v>
      </c>
      <c r="BM159" s="66">
        <v>0</v>
      </c>
      <c r="BN159" s="61" t="str">
        <f t="shared" ref="BN159:BN171" si="234">IF(BG159="","",BN155)</f>
        <v>キティしっぽ付きフェイス</v>
      </c>
      <c r="BO159" s="62">
        <v>825</v>
      </c>
      <c r="BP159" s="23">
        <f t="shared" ref="BP159:BP206" si="235">IF(BK159="","",BL159*BO159)</f>
        <v>0</v>
      </c>
      <c r="BQ159" s="24">
        <f t="shared" si="224"/>
        <v>0</v>
      </c>
      <c r="BR159" s="11"/>
      <c r="BT159" s="65">
        <f>IF($A153="","",$A153)</f>
        <v>46101</v>
      </c>
      <c r="BU159" s="44">
        <v>1051</v>
      </c>
      <c r="BV159" s="44">
        <f t="shared" ref="BV159:BV206" si="236">IF(BU159="","",BU159-BU155)</f>
        <v>23</v>
      </c>
      <c r="BW159" s="44">
        <v>1034</v>
      </c>
      <c r="BX159" s="23">
        <f t="shared" ref="BX159:BX206" si="237">IF(BW159="","",BW159-BW155)</f>
        <v>2</v>
      </c>
      <c r="BY159" s="44">
        <v>8</v>
      </c>
      <c r="BZ159" s="44">
        <f t="shared" ref="BZ159:BZ206" si="238">IF(BY159="","",BY155+CA155-BY159)</f>
        <v>2</v>
      </c>
      <c r="CA159" s="66">
        <v>2</v>
      </c>
      <c r="CB159" s="61" t="str">
        <f t="shared" ref="CB159:CB175" si="239">IF(BU159="","",CB155)</f>
        <v>ギャルキティポーチ</v>
      </c>
      <c r="CC159" s="62">
        <v>935</v>
      </c>
      <c r="CD159" s="23">
        <f t="shared" ref="CD159:CD206" si="240">IF(BY159="","",BZ159*CC159)</f>
        <v>1870</v>
      </c>
      <c r="CE159" s="24">
        <f t="shared" si="225"/>
        <v>0.81304347826086953</v>
      </c>
      <c r="CF159" s="11"/>
    </row>
    <row r="160" spans="1:84">
      <c r="A160" s="12"/>
      <c r="B160" s="8" t="str">
        <f>IF(A160="","",SUM(D160)+SUM(R187:R190)+SUM(AF187:AF190)+SUM(BH187:BH190)+SUM(BV187:BV190)+SUM(AT187:AT190))</f>
        <v/>
      </c>
      <c r="C160" s="13"/>
      <c r="D160" s="9" t="str">
        <f t="shared" si="202"/>
        <v/>
      </c>
      <c r="E160" s="9"/>
      <c r="F160" s="9" t="str">
        <f t="shared" si="203"/>
        <v/>
      </c>
      <c r="G160" s="9"/>
      <c r="H160" s="9" t="str">
        <f t="shared" si="204"/>
        <v/>
      </c>
      <c r="I160" s="9"/>
      <c r="J160" s="152" t="str">
        <f t="shared" si="205"/>
        <v/>
      </c>
      <c r="K160" s="44" t="str">
        <f t="shared" si="206"/>
        <v/>
      </c>
      <c r="L160" s="9" t="str">
        <f t="shared" si="207"/>
        <v/>
      </c>
      <c r="M160" s="10" t="str">
        <f t="shared" si="208"/>
        <v/>
      </c>
      <c r="N160" s="34"/>
      <c r="O160" s="2"/>
      <c r="P160" s="12"/>
      <c r="Q160" s="9">
        <v>12194</v>
      </c>
      <c r="R160" s="44">
        <f t="shared" si="209"/>
        <v>47</v>
      </c>
      <c r="S160" s="9">
        <v>266</v>
      </c>
      <c r="T160" s="9">
        <f t="shared" si="210"/>
        <v>1</v>
      </c>
      <c r="U160" s="9">
        <v>10</v>
      </c>
      <c r="V160" s="9">
        <f t="shared" si="211"/>
        <v>1</v>
      </c>
      <c r="W160" s="13">
        <v>0</v>
      </c>
      <c r="X160" s="47" t="str">
        <f t="shared" si="212"/>
        <v>キティしっぽ付ポーチ</v>
      </c>
      <c r="Y160" s="45">
        <f t="shared" si="213"/>
        <v>825</v>
      </c>
      <c r="Z160" s="9">
        <f t="shared" si="214"/>
        <v>825</v>
      </c>
      <c r="AA160" s="10">
        <f t="shared" si="215"/>
        <v>0.17553191489361702</v>
      </c>
      <c r="AB160" s="11"/>
      <c r="AC160" s="1"/>
      <c r="AD160" s="12"/>
      <c r="AE160" s="9">
        <v>12805</v>
      </c>
      <c r="AF160" s="113">
        <f t="shared" si="216"/>
        <v>27</v>
      </c>
      <c r="AG160" s="9">
        <v>227</v>
      </c>
      <c r="AH160" s="9">
        <f t="shared" si="217"/>
        <v>0</v>
      </c>
      <c r="AI160" s="9">
        <v>18</v>
      </c>
      <c r="AJ160" s="9">
        <f t="shared" si="218"/>
        <v>1</v>
      </c>
      <c r="AK160" s="13">
        <v>0</v>
      </c>
      <c r="AL160" s="47" t="str">
        <f t="shared" si="219"/>
        <v>キティドデカパッチン</v>
      </c>
      <c r="AM160" s="45">
        <f t="shared" si="220"/>
        <v>538</v>
      </c>
      <c r="AN160" s="9">
        <f t="shared" si="221"/>
        <v>538</v>
      </c>
      <c r="AO160" s="10">
        <f t="shared" si="222"/>
        <v>0.19925925925925925</v>
      </c>
      <c r="AP160" s="11"/>
      <c r="AR160" s="12"/>
      <c r="AS160" s="9">
        <v>1046</v>
      </c>
      <c r="AT160" s="44">
        <f t="shared" si="226"/>
        <v>18</v>
      </c>
      <c r="AU160" s="9">
        <v>1034</v>
      </c>
      <c r="AV160" s="9">
        <f t="shared" si="227"/>
        <v>1</v>
      </c>
      <c r="AW160" s="9">
        <v>17</v>
      </c>
      <c r="AX160" s="9">
        <f t="shared" si="228"/>
        <v>1</v>
      </c>
      <c r="AY160" s="13">
        <v>2</v>
      </c>
      <c r="AZ160" s="47" t="str">
        <f t="shared" si="229"/>
        <v>サンリオボアバンスクリップ</v>
      </c>
      <c r="BA160" s="45">
        <v>1100</v>
      </c>
      <c r="BB160" s="9">
        <f t="shared" si="230"/>
        <v>1100</v>
      </c>
      <c r="BC160" s="10">
        <f t="shared" si="223"/>
        <v>0.61111111111111116</v>
      </c>
      <c r="BD160" s="11"/>
      <c r="BF160" s="12"/>
      <c r="BG160" s="9">
        <v>1054</v>
      </c>
      <c r="BH160" s="44">
        <f t="shared" si="231"/>
        <v>14</v>
      </c>
      <c r="BI160" s="9">
        <v>1041</v>
      </c>
      <c r="BJ160" s="9">
        <f t="shared" si="232"/>
        <v>2</v>
      </c>
      <c r="BK160" s="9">
        <v>41</v>
      </c>
      <c r="BL160" s="9">
        <f t="shared" si="233"/>
        <v>1</v>
      </c>
      <c r="BM160" s="13">
        <v>0</v>
      </c>
      <c r="BN160" s="47" t="str">
        <f t="shared" si="234"/>
        <v>サンリオ型押し</v>
      </c>
      <c r="BO160" s="45">
        <v>572</v>
      </c>
      <c r="BP160" s="9">
        <f t="shared" si="235"/>
        <v>572</v>
      </c>
      <c r="BQ160" s="10">
        <f t="shared" si="224"/>
        <v>0.40857142857142859</v>
      </c>
      <c r="BR160" s="11"/>
      <c r="BT160" s="12"/>
      <c r="BU160" s="9">
        <v>1058</v>
      </c>
      <c r="BV160" s="44">
        <f t="shared" si="236"/>
        <v>28</v>
      </c>
      <c r="BW160" s="9">
        <v>1033</v>
      </c>
      <c r="BX160" s="9">
        <f t="shared" si="237"/>
        <v>4</v>
      </c>
      <c r="BY160" s="9">
        <v>15</v>
      </c>
      <c r="BZ160" s="9">
        <f t="shared" si="238"/>
        <v>3</v>
      </c>
      <c r="CA160" s="13">
        <v>5</v>
      </c>
      <c r="CB160" s="47" t="str">
        <f t="shared" si="239"/>
        <v>ドデカパッチン</v>
      </c>
      <c r="CC160" s="45">
        <v>538</v>
      </c>
      <c r="CD160" s="9">
        <f t="shared" si="240"/>
        <v>1614</v>
      </c>
      <c r="CE160" s="10">
        <f t="shared" si="225"/>
        <v>0.5764285714285714</v>
      </c>
      <c r="CF160" s="11" t="s">
        <v>279</v>
      </c>
    </row>
    <row r="161" spans="1:84">
      <c r="A161" s="12"/>
      <c r="B161" s="8" t="str">
        <f>IF(A161="","",SUM(D161)+SUM(R191:R194)+SUM(AF191:AF194)+SUM(BH191:BH194)+SUM(BV191:BV194)+SUM(AT191:AT194))</f>
        <v/>
      </c>
      <c r="C161" s="13"/>
      <c r="D161" s="9" t="str">
        <f t="shared" si="202"/>
        <v/>
      </c>
      <c r="E161" s="9"/>
      <c r="F161" s="9" t="str">
        <f t="shared" si="203"/>
        <v/>
      </c>
      <c r="G161" s="9"/>
      <c r="H161" s="9" t="str">
        <f t="shared" si="204"/>
        <v/>
      </c>
      <c r="I161" s="9"/>
      <c r="J161" s="152" t="str">
        <f t="shared" si="205"/>
        <v/>
      </c>
      <c r="K161" s="44" t="str">
        <f t="shared" si="206"/>
        <v/>
      </c>
      <c r="L161" s="9" t="str">
        <f t="shared" si="207"/>
        <v/>
      </c>
      <c r="M161" s="10" t="str">
        <f t="shared" si="208"/>
        <v/>
      </c>
      <c r="N161" s="34"/>
      <c r="O161" s="2"/>
      <c r="P161" s="25"/>
      <c r="Q161" s="9">
        <v>14058</v>
      </c>
      <c r="R161" s="52">
        <f t="shared" si="209"/>
        <v>56</v>
      </c>
      <c r="S161" s="9">
        <v>481</v>
      </c>
      <c r="T161" s="9">
        <f t="shared" si="210"/>
        <v>2</v>
      </c>
      <c r="U161" s="9">
        <v>8</v>
      </c>
      <c r="V161" s="9">
        <f t="shared" si="211"/>
        <v>3</v>
      </c>
      <c r="W161" s="13">
        <v>3</v>
      </c>
      <c r="X161" s="47" t="str">
        <f t="shared" si="212"/>
        <v>キティボアバンスクリップ</v>
      </c>
      <c r="Y161" s="9">
        <f t="shared" si="213"/>
        <v>1100</v>
      </c>
      <c r="Z161" s="9">
        <f t="shared" si="214"/>
        <v>3300</v>
      </c>
      <c r="AA161" s="10">
        <f t="shared" si="215"/>
        <v>0.5892857142857143</v>
      </c>
      <c r="AB161" s="11"/>
      <c r="AD161" s="25"/>
      <c r="AE161" s="9">
        <v>13629</v>
      </c>
      <c r="AF161" s="52">
        <f t="shared" si="216"/>
        <v>48</v>
      </c>
      <c r="AG161" s="9">
        <v>492</v>
      </c>
      <c r="AH161" s="9">
        <f t="shared" si="217"/>
        <v>0</v>
      </c>
      <c r="AI161" s="9">
        <v>7</v>
      </c>
      <c r="AJ161" s="9">
        <f t="shared" si="218"/>
        <v>1</v>
      </c>
      <c r="AK161" s="13">
        <v>2</v>
      </c>
      <c r="AL161" s="47" t="str">
        <f t="shared" si="219"/>
        <v>ゲームアーク</v>
      </c>
      <c r="AM161" s="9">
        <f t="shared" si="220"/>
        <v>1100</v>
      </c>
      <c r="AN161" s="9">
        <f t="shared" si="221"/>
        <v>1100</v>
      </c>
      <c r="AO161" s="10">
        <f t="shared" si="222"/>
        <v>0.22916666666666666</v>
      </c>
      <c r="AP161" s="11"/>
      <c r="AR161" s="25"/>
      <c r="AS161" s="9">
        <v>1063</v>
      </c>
      <c r="AT161" s="52">
        <f t="shared" si="226"/>
        <v>33</v>
      </c>
      <c r="AU161" s="9">
        <v>1031</v>
      </c>
      <c r="AV161" s="9">
        <f t="shared" si="227"/>
        <v>0</v>
      </c>
      <c r="AW161" s="9">
        <v>9</v>
      </c>
      <c r="AX161" s="9">
        <f t="shared" si="228"/>
        <v>0</v>
      </c>
      <c r="AY161" s="13">
        <v>0</v>
      </c>
      <c r="AZ161" s="47" t="str">
        <f t="shared" si="229"/>
        <v>サンリオヒョウ柄バニティ</v>
      </c>
      <c r="BA161" s="9">
        <v>1056</v>
      </c>
      <c r="BB161" s="9">
        <f t="shared" si="230"/>
        <v>0</v>
      </c>
      <c r="BC161" s="10">
        <f t="shared" si="223"/>
        <v>0</v>
      </c>
      <c r="BD161" s="11"/>
      <c r="BF161" s="25"/>
      <c r="BG161" s="9">
        <v>1052</v>
      </c>
      <c r="BH161" s="52">
        <f t="shared" si="231"/>
        <v>22</v>
      </c>
      <c r="BI161" s="9">
        <v>1028</v>
      </c>
      <c r="BJ161" s="9">
        <f t="shared" si="232"/>
        <v>1</v>
      </c>
      <c r="BK161" s="9">
        <v>8</v>
      </c>
      <c r="BL161" s="9">
        <f t="shared" si="233"/>
        <v>0</v>
      </c>
      <c r="BM161" s="13">
        <v>0</v>
      </c>
      <c r="BN161" s="47" t="str">
        <f t="shared" si="234"/>
        <v>サンリオヒョウ柄ポーチ</v>
      </c>
      <c r="BO161" s="9">
        <v>935</v>
      </c>
      <c r="BP161" s="9">
        <f t="shared" si="235"/>
        <v>0</v>
      </c>
      <c r="BQ161" s="10">
        <f t="shared" si="224"/>
        <v>0</v>
      </c>
      <c r="BR161" s="11"/>
      <c r="BT161" s="25"/>
      <c r="BU161" s="9">
        <v>1052</v>
      </c>
      <c r="BV161" s="52">
        <f t="shared" si="236"/>
        <v>21</v>
      </c>
      <c r="BW161" s="9">
        <v>1033</v>
      </c>
      <c r="BX161" s="9">
        <f t="shared" si="237"/>
        <v>5</v>
      </c>
      <c r="BY161" s="9">
        <v>125</v>
      </c>
      <c r="BZ161" s="9">
        <f t="shared" si="238"/>
        <v>5</v>
      </c>
      <c r="CA161" s="13">
        <v>0</v>
      </c>
      <c r="CB161" s="47" t="str">
        <f t="shared" si="239"/>
        <v>サンリオシューズ</v>
      </c>
      <c r="CC161" s="9">
        <v>400</v>
      </c>
      <c r="CD161" s="9">
        <f t="shared" si="240"/>
        <v>2000</v>
      </c>
      <c r="CE161" s="10">
        <f t="shared" si="225"/>
        <v>0.95238095238095233</v>
      </c>
      <c r="CF161" s="11"/>
    </row>
    <row r="162" spans="1:84" ht="15" customHeight="1" thickBot="1">
      <c r="A162" s="12"/>
      <c r="B162" s="8" t="str">
        <f>IF(A162="","",SUM(D162)+SUM(R195:R198)+SUM(AF195:AF198)+SUM(BH195:BH198)+SUM(BV195:BV198)+SUM(AT195:AT198))</f>
        <v/>
      </c>
      <c r="C162" s="13"/>
      <c r="D162" s="9" t="str">
        <f t="shared" si="202"/>
        <v/>
      </c>
      <c r="E162" s="9"/>
      <c r="F162" s="9" t="str">
        <f t="shared" si="203"/>
        <v/>
      </c>
      <c r="G162" s="9"/>
      <c r="H162" s="9" t="str">
        <f t="shared" si="204"/>
        <v/>
      </c>
      <c r="I162" s="9"/>
      <c r="J162" s="152" t="str">
        <f t="shared" si="205"/>
        <v/>
      </c>
      <c r="K162" s="44" t="str">
        <f t="shared" si="206"/>
        <v/>
      </c>
      <c r="L162" s="9" t="str">
        <f t="shared" si="207"/>
        <v/>
      </c>
      <c r="M162" s="10" t="str">
        <f t="shared" si="208"/>
        <v/>
      </c>
      <c r="N162" s="11"/>
      <c r="O162" s="2"/>
      <c r="P162" s="18"/>
      <c r="Q162" s="21">
        <v>15250</v>
      </c>
      <c r="R162" s="50">
        <f t="shared" si="209"/>
        <v>96</v>
      </c>
      <c r="S162" s="51">
        <v>391</v>
      </c>
      <c r="T162" s="19">
        <f t="shared" si="210"/>
        <v>2</v>
      </c>
      <c r="U162" s="19">
        <v>6</v>
      </c>
      <c r="V162" s="19">
        <f t="shared" si="211"/>
        <v>3</v>
      </c>
      <c r="W162" s="37">
        <v>9</v>
      </c>
      <c r="X162" s="48" t="str">
        <f t="shared" si="212"/>
        <v>サンリオヘアバンド</v>
      </c>
      <c r="Y162" s="51">
        <f t="shared" si="213"/>
        <v>950</v>
      </c>
      <c r="Z162" s="19">
        <f t="shared" si="214"/>
        <v>2850</v>
      </c>
      <c r="AA162" s="20">
        <f t="shared" si="215"/>
        <v>0.296875</v>
      </c>
      <c r="AB162" s="11" t="s">
        <v>275</v>
      </c>
      <c r="AD162" s="18"/>
      <c r="AE162" s="21">
        <v>17448</v>
      </c>
      <c r="AF162" s="50">
        <f t="shared" si="216"/>
        <v>150</v>
      </c>
      <c r="AG162" s="51">
        <v>620</v>
      </c>
      <c r="AH162" s="19">
        <f t="shared" si="217"/>
        <v>10</v>
      </c>
      <c r="AI162" s="19">
        <v>40</v>
      </c>
      <c r="AJ162" s="19">
        <f t="shared" si="218"/>
        <v>13</v>
      </c>
      <c r="AK162" s="37">
        <v>5</v>
      </c>
      <c r="AL162" s="48" t="str">
        <f t="shared" si="219"/>
        <v>ボンドロシール</v>
      </c>
      <c r="AM162" s="51">
        <f t="shared" si="220"/>
        <v>150</v>
      </c>
      <c r="AN162" s="19">
        <f t="shared" si="221"/>
        <v>1950</v>
      </c>
      <c r="AO162" s="20">
        <f t="shared" si="222"/>
        <v>0.13</v>
      </c>
      <c r="AP162" s="11"/>
      <c r="AR162" s="18"/>
      <c r="AS162" s="21">
        <v>1038</v>
      </c>
      <c r="AT162" s="134">
        <f t="shared" si="226"/>
        <v>8</v>
      </c>
      <c r="AU162" s="51">
        <v>1031</v>
      </c>
      <c r="AV162" s="19">
        <f t="shared" si="227"/>
        <v>0</v>
      </c>
      <c r="AW162" s="19">
        <v>15</v>
      </c>
      <c r="AX162" s="19">
        <f t="shared" si="228"/>
        <v>0</v>
      </c>
      <c r="AY162" s="37">
        <v>0</v>
      </c>
      <c r="AZ162" s="48" t="str">
        <f t="shared" si="229"/>
        <v>サンリオヒョウ柄フェイス</v>
      </c>
      <c r="BA162" s="51">
        <v>792</v>
      </c>
      <c r="BB162" s="19">
        <f t="shared" si="230"/>
        <v>0</v>
      </c>
      <c r="BC162" s="20">
        <f t="shared" si="223"/>
        <v>0</v>
      </c>
      <c r="BD162" s="11"/>
      <c r="BF162" s="18"/>
      <c r="BG162" s="21">
        <v>1115</v>
      </c>
      <c r="BH162" s="50">
        <f t="shared" si="231"/>
        <v>85</v>
      </c>
      <c r="BI162" s="51">
        <v>1041</v>
      </c>
      <c r="BJ162" s="19">
        <f t="shared" si="232"/>
        <v>14</v>
      </c>
      <c r="BK162" s="19">
        <v>116</v>
      </c>
      <c r="BL162" s="19">
        <f t="shared" si="233"/>
        <v>14</v>
      </c>
      <c r="BM162" s="37">
        <v>10</v>
      </c>
      <c r="BN162" s="48" t="str">
        <f t="shared" si="234"/>
        <v>キティボールペン</v>
      </c>
      <c r="BO162" s="51">
        <v>283</v>
      </c>
      <c r="BP162" s="19">
        <f t="shared" si="235"/>
        <v>3962</v>
      </c>
      <c r="BQ162" s="20">
        <f t="shared" si="224"/>
        <v>0.46611764705882353</v>
      </c>
      <c r="BR162" s="11" t="s">
        <v>278</v>
      </c>
      <c r="BT162" s="18"/>
      <c r="BU162" s="21">
        <v>1057</v>
      </c>
      <c r="BV162" s="50">
        <f t="shared" si="236"/>
        <v>26</v>
      </c>
      <c r="BW162" s="51">
        <v>1028</v>
      </c>
      <c r="BX162" s="19">
        <f t="shared" si="237"/>
        <v>0</v>
      </c>
      <c r="BY162" s="19">
        <v>10</v>
      </c>
      <c r="BZ162" s="19">
        <f t="shared" si="238"/>
        <v>0</v>
      </c>
      <c r="CA162" s="37">
        <v>0</v>
      </c>
      <c r="CB162" s="48" t="str">
        <f t="shared" si="239"/>
        <v>サンリオボアミラー</v>
      </c>
      <c r="CC162" s="51">
        <v>1100</v>
      </c>
      <c r="CD162" s="19">
        <f t="shared" si="240"/>
        <v>0</v>
      </c>
      <c r="CE162" s="20">
        <f t="shared" si="225"/>
        <v>0</v>
      </c>
      <c r="CF162" s="11" t="s">
        <v>276</v>
      </c>
    </row>
    <row r="163" spans="1:84" ht="15" customHeight="1" thickTop="1">
      <c r="A163" s="12"/>
      <c r="B163" s="8" t="str">
        <f>IF(A163="","",SUM(D163)+SUM(R169:R172)+SUM(AF169:AF172)+SUM(BH169:BH172)+SUM(BV169:BV172)+SUM(AT169:AT172))</f>
        <v/>
      </c>
      <c r="C163" s="13"/>
      <c r="D163" s="9" t="str">
        <f t="shared" si="202"/>
        <v/>
      </c>
      <c r="E163" s="9"/>
      <c r="F163" s="9" t="str">
        <f t="shared" si="203"/>
        <v/>
      </c>
      <c r="G163" s="9"/>
      <c r="H163" s="9" t="str">
        <f t="shared" si="204"/>
        <v/>
      </c>
      <c r="I163" s="9"/>
      <c r="J163" s="152" t="str">
        <f t="shared" si="205"/>
        <v/>
      </c>
      <c r="K163" s="44" t="str">
        <f t="shared" si="206"/>
        <v/>
      </c>
      <c r="L163" s="9" t="str">
        <f t="shared" si="207"/>
        <v/>
      </c>
      <c r="M163" s="10" t="str">
        <f t="shared" si="208"/>
        <v/>
      </c>
      <c r="N163" s="11"/>
      <c r="O163" s="2"/>
      <c r="P163" s="65">
        <f>IF($A154="","",$A154)</f>
        <v>46104</v>
      </c>
      <c r="Q163" s="44">
        <v>12782</v>
      </c>
      <c r="R163" s="44">
        <f t="shared" si="209"/>
        <v>58</v>
      </c>
      <c r="S163" s="44">
        <v>373</v>
      </c>
      <c r="T163" s="23">
        <f t="shared" si="210"/>
        <v>1</v>
      </c>
      <c r="U163" s="44">
        <v>12</v>
      </c>
      <c r="V163" s="44">
        <f t="shared" si="211"/>
        <v>1</v>
      </c>
      <c r="W163" s="66">
        <v>1</v>
      </c>
      <c r="X163" s="61" t="str">
        <f t="shared" si="212"/>
        <v>キティ豹柄キーケース</v>
      </c>
      <c r="Y163" s="62">
        <f t="shared" si="213"/>
        <v>996</v>
      </c>
      <c r="Z163" s="23">
        <f t="shared" si="214"/>
        <v>996</v>
      </c>
      <c r="AA163" s="24">
        <f t="shared" si="215"/>
        <v>0.17172413793103447</v>
      </c>
      <c r="AB163" s="129" t="s">
        <v>281</v>
      </c>
      <c r="AC163" s="1"/>
      <c r="AD163" s="65">
        <f>IF($A154="","",$A154)</f>
        <v>46104</v>
      </c>
      <c r="AE163" s="44">
        <v>10182</v>
      </c>
      <c r="AF163" s="44">
        <f t="shared" si="216"/>
        <v>96</v>
      </c>
      <c r="AG163" s="44">
        <v>269</v>
      </c>
      <c r="AH163" s="23">
        <f t="shared" si="217"/>
        <v>5</v>
      </c>
      <c r="AI163" s="44">
        <v>12</v>
      </c>
      <c r="AJ163" s="44">
        <f t="shared" si="218"/>
        <v>5</v>
      </c>
      <c r="AK163" s="66">
        <v>0</v>
      </c>
      <c r="AL163" s="61" t="str">
        <f t="shared" si="219"/>
        <v>ゲーム機柄イヤホン</v>
      </c>
      <c r="AM163" s="62">
        <f t="shared" si="220"/>
        <v>770</v>
      </c>
      <c r="AN163" s="23">
        <f t="shared" si="221"/>
        <v>3850</v>
      </c>
      <c r="AO163" s="24">
        <f t="shared" si="222"/>
        <v>0.40104166666666669</v>
      </c>
      <c r="AP163" s="11" t="s">
        <v>282</v>
      </c>
      <c r="AR163" s="65">
        <f>IF($A154="","",$A154)</f>
        <v>46104</v>
      </c>
      <c r="AS163" s="44">
        <v>1065</v>
      </c>
      <c r="AT163" s="44">
        <f t="shared" si="226"/>
        <v>27</v>
      </c>
      <c r="AU163" s="44">
        <v>1034</v>
      </c>
      <c r="AV163" s="23">
        <f t="shared" si="227"/>
        <v>2</v>
      </c>
      <c r="AW163" s="44">
        <v>25</v>
      </c>
      <c r="AX163" s="44">
        <f t="shared" si="228"/>
        <v>2</v>
      </c>
      <c r="AY163" s="66">
        <v>4</v>
      </c>
      <c r="AZ163" s="61" t="str">
        <f t="shared" si="229"/>
        <v>サンリオ千鳥格子フェイス</v>
      </c>
      <c r="BA163" s="62">
        <f t="shared" ref="BA163:BA181" si="241">IF(AT163="","",BA159)</f>
        <v>700</v>
      </c>
      <c r="BB163" s="23">
        <f t="shared" si="230"/>
        <v>1400</v>
      </c>
      <c r="BC163" s="24">
        <f t="shared" si="223"/>
        <v>0.51851851851851849</v>
      </c>
      <c r="BD163" s="11"/>
      <c r="BF163" s="65">
        <f>IF($A154="","",$A154)</f>
        <v>46104</v>
      </c>
      <c r="BG163" s="44">
        <v>1125</v>
      </c>
      <c r="BH163" s="44">
        <f t="shared" si="231"/>
        <v>82</v>
      </c>
      <c r="BI163" s="44">
        <v>1030</v>
      </c>
      <c r="BJ163" s="23">
        <f t="shared" si="232"/>
        <v>3</v>
      </c>
      <c r="BK163" s="44">
        <v>11</v>
      </c>
      <c r="BL163" s="44">
        <f t="shared" si="233"/>
        <v>3</v>
      </c>
      <c r="BM163" s="66">
        <v>5</v>
      </c>
      <c r="BN163" s="61" t="str">
        <f t="shared" si="234"/>
        <v>キティしっぽ付きフェイス</v>
      </c>
      <c r="BO163" s="62">
        <f t="shared" ref="BO163:BO171" si="242">IF(BH163="","",BO159)</f>
        <v>825</v>
      </c>
      <c r="BP163" s="23">
        <f t="shared" si="235"/>
        <v>2475</v>
      </c>
      <c r="BQ163" s="24">
        <f t="shared" si="224"/>
        <v>0.30182926829268292</v>
      </c>
      <c r="BR163" s="11"/>
      <c r="BT163" s="65">
        <f>IF($A154="","",$A154)</f>
        <v>46104</v>
      </c>
      <c r="BU163" s="44">
        <v>1096</v>
      </c>
      <c r="BV163" s="44">
        <f t="shared" si="236"/>
        <v>45</v>
      </c>
      <c r="BW163" s="44">
        <v>1036</v>
      </c>
      <c r="BX163" s="23">
        <f t="shared" si="237"/>
        <v>2</v>
      </c>
      <c r="BY163" s="44">
        <v>8</v>
      </c>
      <c r="BZ163" s="44">
        <f t="shared" si="238"/>
        <v>2</v>
      </c>
      <c r="CA163" s="66">
        <v>1</v>
      </c>
      <c r="CB163" s="61" t="str">
        <f t="shared" si="239"/>
        <v>ギャルキティポーチ</v>
      </c>
      <c r="CC163" s="62">
        <f t="shared" ref="CC163:CC175" si="243">IF(BV163="","",CC159)</f>
        <v>935</v>
      </c>
      <c r="CD163" s="23">
        <f t="shared" si="240"/>
        <v>1870</v>
      </c>
      <c r="CE163" s="24">
        <f t="shared" si="225"/>
        <v>0.41555555555555557</v>
      </c>
      <c r="CF163" s="11"/>
    </row>
    <row r="164" spans="1:84">
      <c r="A164" s="12"/>
      <c r="B164" s="8" t="str">
        <f>IF(A164="","",SUM(D164)+SUM(R170:R173)+SUM(AF170:AF173)+SUM(BH170:BH173)+SUM(BV170:BV173)+SUM(AT170:AT173))</f>
        <v/>
      </c>
      <c r="C164" s="13"/>
      <c r="D164" s="9" t="str">
        <f t="shared" si="202"/>
        <v/>
      </c>
      <c r="E164" s="9"/>
      <c r="F164" s="9" t="str">
        <f t="shared" si="203"/>
        <v/>
      </c>
      <c r="G164" s="9"/>
      <c r="H164" s="9" t="str">
        <f t="shared" si="204"/>
        <v/>
      </c>
      <c r="I164" s="9"/>
      <c r="J164" s="152" t="str">
        <f t="shared" si="205"/>
        <v/>
      </c>
      <c r="K164" s="44" t="str">
        <f t="shared" si="206"/>
        <v/>
      </c>
      <c r="L164" s="9" t="str">
        <f t="shared" si="207"/>
        <v/>
      </c>
      <c r="M164" s="10" t="str">
        <f t="shared" si="208"/>
        <v/>
      </c>
      <c r="N164" s="11"/>
      <c r="O164" s="2"/>
      <c r="P164" s="12"/>
      <c r="Q164" s="9">
        <v>12259</v>
      </c>
      <c r="R164" s="44">
        <f t="shared" si="209"/>
        <v>65</v>
      </c>
      <c r="S164" s="9">
        <v>267</v>
      </c>
      <c r="T164" s="9">
        <f t="shared" si="210"/>
        <v>1</v>
      </c>
      <c r="U164" s="9">
        <v>8</v>
      </c>
      <c r="V164" s="9">
        <f t="shared" si="211"/>
        <v>2</v>
      </c>
      <c r="W164" s="13">
        <v>3</v>
      </c>
      <c r="X164" s="47" t="str">
        <f t="shared" si="212"/>
        <v>キティしっぽ付ポーチ</v>
      </c>
      <c r="Y164" s="45">
        <f t="shared" si="213"/>
        <v>825</v>
      </c>
      <c r="Z164" s="9">
        <f t="shared" si="214"/>
        <v>1650</v>
      </c>
      <c r="AA164" s="10">
        <f t="shared" si="215"/>
        <v>0.25384615384615383</v>
      </c>
      <c r="AB164" s="11"/>
      <c r="AC164" s="1"/>
      <c r="AD164" s="12"/>
      <c r="AE164" s="9">
        <v>12838</v>
      </c>
      <c r="AF164" s="113">
        <f t="shared" si="216"/>
        <v>33</v>
      </c>
      <c r="AG164" s="9">
        <v>227</v>
      </c>
      <c r="AH164" s="9">
        <f t="shared" si="217"/>
        <v>0</v>
      </c>
      <c r="AI164" s="9">
        <v>18</v>
      </c>
      <c r="AJ164" s="9">
        <f t="shared" si="218"/>
        <v>0</v>
      </c>
      <c r="AK164" s="13">
        <v>0</v>
      </c>
      <c r="AL164" s="47" t="str">
        <f t="shared" si="219"/>
        <v>キティドデカパッチン</v>
      </c>
      <c r="AM164" s="45">
        <f t="shared" si="220"/>
        <v>538</v>
      </c>
      <c r="AN164" s="9">
        <f t="shared" si="221"/>
        <v>0</v>
      </c>
      <c r="AO164" s="10">
        <f t="shared" si="222"/>
        <v>0</v>
      </c>
      <c r="AP164" s="11" t="s">
        <v>285</v>
      </c>
      <c r="AR164" s="12"/>
      <c r="AS164" s="9">
        <v>1109</v>
      </c>
      <c r="AT164" s="44">
        <f t="shared" si="226"/>
        <v>63</v>
      </c>
      <c r="AU164" s="9">
        <v>1035</v>
      </c>
      <c r="AV164" s="9">
        <f t="shared" si="227"/>
        <v>1</v>
      </c>
      <c r="AW164" s="9">
        <v>18</v>
      </c>
      <c r="AX164" s="9">
        <f t="shared" si="228"/>
        <v>1</v>
      </c>
      <c r="AY164" s="13">
        <v>1</v>
      </c>
      <c r="AZ164" s="47" t="str">
        <f t="shared" si="229"/>
        <v>サンリオボアバンスクリップ</v>
      </c>
      <c r="BA164" s="45">
        <f t="shared" si="241"/>
        <v>1100</v>
      </c>
      <c r="BB164" s="9">
        <f t="shared" si="230"/>
        <v>1100</v>
      </c>
      <c r="BC164" s="10">
        <f t="shared" si="223"/>
        <v>0.17460317460317459</v>
      </c>
      <c r="BD164" s="11"/>
      <c r="BF164" s="12"/>
      <c r="BG164" s="9">
        <v>1067</v>
      </c>
      <c r="BH164" s="113">
        <f t="shared" si="231"/>
        <v>13</v>
      </c>
      <c r="BI164" s="9">
        <v>1044</v>
      </c>
      <c r="BJ164" s="9">
        <f t="shared" si="232"/>
        <v>3</v>
      </c>
      <c r="BK164" s="9">
        <v>38</v>
      </c>
      <c r="BL164" s="9">
        <f t="shared" si="233"/>
        <v>3</v>
      </c>
      <c r="BM164" s="13">
        <v>0</v>
      </c>
      <c r="BN164" s="47" t="str">
        <f t="shared" si="234"/>
        <v>サンリオ型押し</v>
      </c>
      <c r="BO164" s="45">
        <f t="shared" si="242"/>
        <v>572</v>
      </c>
      <c r="BP164" s="9">
        <f t="shared" si="235"/>
        <v>1716</v>
      </c>
      <c r="BQ164" s="10">
        <f t="shared" si="224"/>
        <v>1.32</v>
      </c>
      <c r="BR164" s="11" t="s">
        <v>290</v>
      </c>
      <c r="BT164" s="12"/>
      <c r="BU164" s="9">
        <v>1084</v>
      </c>
      <c r="BV164" s="113">
        <f t="shared" si="236"/>
        <v>26</v>
      </c>
      <c r="BW164" s="9">
        <v>1034</v>
      </c>
      <c r="BX164" s="9">
        <f t="shared" si="237"/>
        <v>1</v>
      </c>
      <c r="BY164" s="9">
        <v>19</v>
      </c>
      <c r="BZ164" s="9">
        <f t="shared" si="238"/>
        <v>1</v>
      </c>
      <c r="CA164" s="13">
        <v>1</v>
      </c>
      <c r="CB164" s="47" t="str">
        <f t="shared" si="239"/>
        <v>ドデカパッチン</v>
      </c>
      <c r="CC164" s="45">
        <f t="shared" si="243"/>
        <v>538</v>
      </c>
      <c r="CD164" s="9">
        <f t="shared" si="240"/>
        <v>538</v>
      </c>
      <c r="CE164" s="10">
        <f t="shared" si="225"/>
        <v>0.20692307692307693</v>
      </c>
      <c r="CF164" s="129" t="s">
        <v>289</v>
      </c>
    </row>
    <row r="165" spans="1:84">
      <c r="A165" s="12"/>
      <c r="B165" s="8"/>
      <c r="C165" s="13"/>
      <c r="D165" s="9"/>
      <c r="E165" s="9"/>
      <c r="F165" s="9"/>
      <c r="G165" s="9"/>
      <c r="H165" s="9"/>
      <c r="I165" s="9"/>
      <c r="J165" s="152" t="str">
        <f t="shared" si="205"/>
        <v/>
      </c>
      <c r="K165" s="44"/>
      <c r="L165" s="9"/>
      <c r="M165" s="10"/>
      <c r="N165" s="11"/>
      <c r="O165" s="2"/>
      <c r="P165" s="25"/>
      <c r="Q165" s="26">
        <v>14208</v>
      </c>
      <c r="R165" s="44">
        <f t="shared" si="209"/>
        <v>150</v>
      </c>
      <c r="S165" s="26">
        <v>483</v>
      </c>
      <c r="T165" s="9">
        <f t="shared" si="210"/>
        <v>2</v>
      </c>
      <c r="U165" s="26">
        <v>10</v>
      </c>
      <c r="V165" s="9">
        <f t="shared" si="211"/>
        <v>1</v>
      </c>
      <c r="W165" s="38">
        <v>2</v>
      </c>
      <c r="X165" s="47" t="str">
        <f t="shared" si="212"/>
        <v>キティボアバンスクリップ</v>
      </c>
      <c r="Y165" s="9">
        <f t="shared" si="213"/>
        <v>1100</v>
      </c>
      <c r="Z165" s="9">
        <f t="shared" si="214"/>
        <v>1100</v>
      </c>
      <c r="AA165" s="10">
        <f t="shared" si="215"/>
        <v>7.3333333333333334E-2</v>
      </c>
      <c r="AB165" s="11"/>
      <c r="AD165" s="25"/>
      <c r="AE165" s="26">
        <v>13766</v>
      </c>
      <c r="AF165" s="44">
        <f t="shared" si="216"/>
        <v>137</v>
      </c>
      <c r="AG165" s="26">
        <v>493</v>
      </c>
      <c r="AH165" s="9">
        <f t="shared" si="217"/>
        <v>1</v>
      </c>
      <c r="AI165" s="26">
        <v>8</v>
      </c>
      <c r="AJ165" s="9">
        <f t="shared" si="218"/>
        <v>1</v>
      </c>
      <c r="AK165" s="38">
        <v>0</v>
      </c>
      <c r="AL165" s="47" t="str">
        <f t="shared" si="219"/>
        <v>ゲームアーク</v>
      </c>
      <c r="AM165" s="9">
        <f t="shared" si="220"/>
        <v>1100</v>
      </c>
      <c r="AN165" s="9">
        <f t="shared" si="221"/>
        <v>1100</v>
      </c>
      <c r="AO165" s="10">
        <f t="shared" si="222"/>
        <v>8.0291970802919707E-2</v>
      </c>
      <c r="AP165" s="11"/>
      <c r="AR165" s="25"/>
      <c r="AS165" s="26">
        <v>1141</v>
      </c>
      <c r="AT165" s="44">
        <f t="shared" si="226"/>
        <v>78</v>
      </c>
      <c r="AU165" s="26">
        <v>1032</v>
      </c>
      <c r="AV165" s="9">
        <f t="shared" si="227"/>
        <v>1</v>
      </c>
      <c r="AW165" s="26">
        <v>7</v>
      </c>
      <c r="AX165" s="9">
        <f t="shared" si="228"/>
        <v>2</v>
      </c>
      <c r="AY165" s="38">
        <v>0</v>
      </c>
      <c r="AZ165" s="47" t="str">
        <f t="shared" si="229"/>
        <v>サンリオヒョウ柄バニティ</v>
      </c>
      <c r="BA165" s="9">
        <f t="shared" si="241"/>
        <v>1056</v>
      </c>
      <c r="BB165" s="9">
        <f t="shared" si="230"/>
        <v>2112</v>
      </c>
      <c r="BC165" s="10">
        <f t="shared" si="223"/>
        <v>0.27076923076923076</v>
      </c>
      <c r="BD165" s="148" t="s">
        <v>283</v>
      </c>
      <c r="BF165" s="25"/>
      <c r="BG165" s="26">
        <v>1084</v>
      </c>
      <c r="BH165" s="44">
        <f t="shared" si="231"/>
        <v>32</v>
      </c>
      <c r="BI165" s="26">
        <v>1029</v>
      </c>
      <c r="BJ165" s="9">
        <f t="shared" si="232"/>
        <v>1</v>
      </c>
      <c r="BK165" s="26">
        <v>6</v>
      </c>
      <c r="BL165" s="9">
        <f t="shared" si="233"/>
        <v>2</v>
      </c>
      <c r="BM165" s="38">
        <v>5</v>
      </c>
      <c r="BN165" s="47" t="str">
        <f t="shared" si="234"/>
        <v>サンリオヒョウ柄ポーチ</v>
      </c>
      <c r="BO165" s="9">
        <f t="shared" si="242"/>
        <v>935</v>
      </c>
      <c r="BP165" s="9">
        <f t="shared" si="235"/>
        <v>1870</v>
      </c>
      <c r="BQ165" s="10">
        <f t="shared" si="224"/>
        <v>0.58437499999999998</v>
      </c>
      <c r="BR165" s="11"/>
      <c r="BT165" s="25"/>
      <c r="BU165" s="26">
        <v>1097</v>
      </c>
      <c r="BV165" s="44">
        <f t="shared" si="236"/>
        <v>45</v>
      </c>
      <c r="BW165" s="26">
        <v>1038</v>
      </c>
      <c r="BX165" s="9">
        <f t="shared" si="237"/>
        <v>5</v>
      </c>
      <c r="BY165" s="26">
        <v>120</v>
      </c>
      <c r="BZ165" s="9">
        <f t="shared" si="238"/>
        <v>5</v>
      </c>
      <c r="CA165" s="38">
        <v>0</v>
      </c>
      <c r="CB165" s="47" t="str">
        <f t="shared" si="239"/>
        <v>サンリオシューズ</v>
      </c>
      <c r="CC165" s="9">
        <f t="shared" si="243"/>
        <v>400</v>
      </c>
      <c r="CD165" s="9">
        <f t="shared" si="240"/>
        <v>2000</v>
      </c>
      <c r="CE165" s="10">
        <f t="shared" si="225"/>
        <v>0.44444444444444442</v>
      </c>
      <c r="CF165" s="11"/>
    </row>
    <row r="166" spans="1:84" ht="15" customHeight="1" thickBot="1">
      <c r="A166" s="12"/>
      <c r="B166" s="8"/>
      <c r="C166" s="13"/>
      <c r="D166" s="9" t="str">
        <f>IF(C166="","",C166-C167)</f>
        <v/>
      </c>
      <c r="E166" s="9"/>
      <c r="F166" s="9" t="str">
        <f>IF(E166="","",E166-E167)</f>
        <v/>
      </c>
      <c r="G166" s="9"/>
      <c r="H166" s="9" t="str">
        <f>IF(G166="","",G167+I167-G166)</f>
        <v/>
      </c>
      <c r="I166" s="9"/>
      <c r="J166" s="152" t="str">
        <f t="shared" si="205"/>
        <v/>
      </c>
      <c r="K166" s="44" t="str">
        <f>IF(C166="","",K167)</f>
        <v/>
      </c>
      <c r="L166" s="9" t="str">
        <f t="shared" ref="L166:L204" si="244">IF(K166="","",H166*K166)</f>
        <v/>
      </c>
      <c r="M166" s="10" t="str">
        <f t="shared" ref="M166:M204" si="245">IF(L166="","",L166/(D166*100))</f>
        <v/>
      </c>
      <c r="N166" s="11"/>
      <c r="O166" s="2"/>
      <c r="P166" s="18"/>
      <c r="Q166" s="19">
        <v>15620</v>
      </c>
      <c r="R166" s="50">
        <f t="shared" si="209"/>
        <v>370</v>
      </c>
      <c r="S166" s="19">
        <v>396</v>
      </c>
      <c r="T166" s="19">
        <f t="shared" si="210"/>
        <v>5</v>
      </c>
      <c r="U166" s="19">
        <v>11</v>
      </c>
      <c r="V166" s="19">
        <f t="shared" si="211"/>
        <v>4</v>
      </c>
      <c r="W166" s="37">
        <v>4</v>
      </c>
      <c r="X166" s="48" t="s">
        <v>280</v>
      </c>
      <c r="Y166" s="51">
        <v>440</v>
      </c>
      <c r="Z166" s="19">
        <f t="shared" si="214"/>
        <v>1760</v>
      </c>
      <c r="AA166" s="20">
        <f t="shared" si="215"/>
        <v>4.7567567567567567E-2</v>
      </c>
      <c r="AB166" s="11"/>
      <c r="AD166" s="18"/>
      <c r="AE166" s="19">
        <v>17641</v>
      </c>
      <c r="AF166" s="50">
        <f t="shared" si="216"/>
        <v>193</v>
      </c>
      <c r="AG166" s="19">
        <v>633</v>
      </c>
      <c r="AH166" s="19">
        <f t="shared" si="217"/>
        <v>13</v>
      </c>
      <c r="AI166" s="19">
        <v>31</v>
      </c>
      <c r="AJ166" s="19">
        <f t="shared" si="218"/>
        <v>14</v>
      </c>
      <c r="AK166" s="37">
        <v>6</v>
      </c>
      <c r="AL166" s="48" t="str">
        <f t="shared" si="219"/>
        <v>ボンドロシール</v>
      </c>
      <c r="AM166" s="51">
        <f t="shared" si="220"/>
        <v>150</v>
      </c>
      <c r="AN166" s="19">
        <f t="shared" si="221"/>
        <v>2100</v>
      </c>
      <c r="AO166" s="20">
        <f t="shared" si="222"/>
        <v>0.10880829015544041</v>
      </c>
      <c r="AP166" s="11"/>
      <c r="AR166" s="18"/>
      <c r="AS166" s="19">
        <v>1047</v>
      </c>
      <c r="AT166" s="134">
        <f t="shared" si="226"/>
        <v>9</v>
      </c>
      <c r="AU166" s="19">
        <v>1031</v>
      </c>
      <c r="AV166" s="19">
        <f t="shared" si="227"/>
        <v>0</v>
      </c>
      <c r="AW166" s="19">
        <v>15</v>
      </c>
      <c r="AX166" s="19">
        <f t="shared" si="228"/>
        <v>0</v>
      </c>
      <c r="AY166" s="37">
        <v>0</v>
      </c>
      <c r="AZ166" s="48" t="str">
        <f t="shared" si="229"/>
        <v>サンリオヒョウ柄フェイス</v>
      </c>
      <c r="BA166" s="51">
        <f t="shared" si="241"/>
        <v>792</v>
      </c>
      <c r="BB166" s="19">
        <f t="shared" si="230"/>
        <v>0</v>
      </c>
      <c r="BC166" s="20">
        <f t="shared" si="223"/>
        <v>0</v>
      </c>
      <c r="BD166" s="11" t="s">
        <v>284</v>
      </c>
      <c r="BF166" s="18"/>
      <c r="BG166" s="19">
        <v>1147</v>
      </c>
      <c r="BH166" s="50">
        <f t="shared" si="231"/>
        <v>32</v>
      </c>
      <c r="BI166" s="19">
        <v>1045</v>
      </c>
      <c r="BJ166" s="19">
        <f t="shared" si="232"/>
        <v>4</v>
      </c>
      <c r="BK166" s="19">
        <v>122</v>
      </c>
      <c r="BL166" s="19">
        <f t="shared" si="233"/>
        <v>4</v>
      </c>
      <c r="BM166" s="37">
        <v>20</v>
      </c>
      <c r="BN166" s="48" t="str">
        <f t="shared" si="234"/>
        <v>キティボールペン</v>
      </c>
      <c r="BO166" s="51">
        <f t="shared" si="242"/>
        <v>283</v>
      </c>
      <c r="BP166" s="19">
        <f t="shared" si="235"/>
        <v>1132</v>
      </c>
      <c r="BQ166" s="20">
        <f t="shared" si="224"/>
        <v>0.35375000000000001</v>
      </c>
      <c r="BR166" s="11"/>
      <c r="BT166" s="18"/>
      <c r="BU166" s="19">
        <v>1085</v>
      </c>
      <c r="BV166" s="134">
        <f t="shared" si="236"/>
        <v>28</v>
      </c>
      <c r="BW166" s="19">
        <v>1029</v>
      </c>
      <c r="BX166" s="19">
        <f t="shared" si="237"/>
        <v>1</v>
      </c>
      <c r="BY166" s="19">
        <v>9</v>
      </c>
      <c r="BZ166" s="19">
        <f t="shared" si="238"/>
        <v>1</v>
      </c>
      <c r="CA166" s="37">
        <v>1</v>
      </c>
      <c r="CB166" s="48" t="str">
        <f t="shared" si="239"/>
        <v>サンリオボアミラー</v>
      </c>
      <c r="CC166" s="51">
        <f t="shared" si="243"/>
        <v>1100</v>
      </c>
      <c r="CD166" s="19">
        <f t="shared" si="240"/>
        <v>1100</v>
      </c>
      <c r="CE166" s="20">
        <f t="shared" si="225"/>
        <v>0.39285714285714285</v>
      </c>
      <c r="CF166" s="11"/>
    </row>
    <row r="167" spans="1:84" ht="15" customHeight="1" thickTop="1">
      <c r="A167" s="12"/>
      <c r="B167" s="8"/>
      <c r="C167" s="13"/>
      <c r="D167" s="9" t="str">
        <f>IF(C167="","",C167-C164)</f>
        <v/>
      </c>
      <c r="E167" s="9"/>
      <c r="F167" s="9" t="str">
        <f>IF(E167="","",E167-E164)</f>
        <v/>
      </c>
      <c r="G167" s="9"/>
      <c r="H167" s="9" t="str">
        <f>IF(G167="","",G164+I164-G167)</f>
        <v/>
      </c>
      <c r="I167" s="9"/>
      <c r="J167" s="152" t="str">
        <f t="shared" si="205"/>
        <v/>
      </c>
      <c r="K167" s="44" t="str">
        <f>IF(C167="","",K164)</f>
        <v/>
      </c>
      <c r="L167" s="9" t="str">
        <f t="shared" si="244"/>
        <v/>
      </c>
      <c r="M167" s="10" t="str">
        <f t="shared" si="245"/>
        <v/>
      </c>
      <c r="N167" s="11"/>
      <c r="O167" s="2"/>
      <c r="P167" s="65">
        <f>IF($A155="","",$A155)</f>
        <v>46108</v>
      </c>
      <c r="Q167" s="44">
        <v>12838</v>
      </c>
      <c r="R167" s="44">
        <f t="shared" si="209"/>
        <v>56</v>
      </c>
      <c r="S167" s="44">
        <v>376</v>
      </c>
      <c r="T167" s="23">
        <f t="shared" si="210"/>
        <v>3</v>
      </c>
      <c r="U167" s="44">
        <v>11</v>
      </c>
      <c r="V167" s="44">
        <f t="shared" si="211"/>
        <v>2</v>
      </c>
      <c r="W167" s="66">
        <v>2</v>
      </c>
      <c r="X167" s="61" t="str">
        <f t="shared" ref="X167:X182" si="246">IF(Q167="","",X163)</f>
        <v>キティ豹柄キーケース</v>
      </c>
      <c r="Y167" s="62">
        <f t="shared" ref="Y167:Y182" si="247">IF(R167="","",Y163)</f>
        <v>996</v>
      </c>
      <c r="Z167" s="23">
        <f t="shared" si="214"/>
        <v>1992</v>
      </c>
      <c r="AA167" s="24">
        <f t="shared" si="215"/>
        <v>0.35571428571428571</v>
      </c>
      <c r="AB167" s="129" t="s">
        <v>281</v>
      </c>
      <c r="AD167" s="65">
        <f>IF($A155="","",$A155)</f>
        <v>46108</v>
      </c>
      <c r="AE167" s="44">
        <v>10297</v>
      </c>
      <c r="AF167" s="44">
        <f t="shared" si="216"/>
        <v>115</v>
      </c>
      <c r="AG167" s="44">
        <v>271</v>
      </c>
      <c r="AH167" s="23">
        <f t="shared" si="217"/>
        <v>2</v>
      </c>
      <c r="AI167" s="44">
        <v>10</v>
      </c>
      <c r="AJ167" s="44">
        <f t="shared" si="218"/>
        <v>2</v>
      </c>
      <c r="AK167" s="66">
        <v>5</v>
      </c>
      <c r="AL167" s="61" t="str">
        <f t="shared" si="219"/>
        <v>ゲーム機柄イヤホン</v>
      </c>
      <c r="AM167" s="62">
        <f t="shared" si="220"/>
        <v>770</v>
      </c>
      <c r="AN167" s="23">
        <f t="shared" si="221"/>
        <v>1540</v>
      </c>
      <c r="AO167" s="24">
        <f t="shared" si="222"/>
        <v>0.13391304347826086</v>
      </c>
      <c r="AP167" s="11"/>
      <c r="AR167" s="65">
        <f>IF($A155="","",$A155)</f>
        <v>46108</v>
      </c>
      <c r="AS167" s="44">
        <v>1117</v>
      </c>
      <c r="AT167" s="44">
        <f t="shared" si="226"/>
        <v>52</v>
      </c>
      <c r="AU167" s="44">
        <v>1038</v>
      </c>
      <c r="AV167" s="23">
        <f t="shared" si="227"/>
        <v>4</v>
      </c>
      <c r="AW167" s="44">
        <v>23</v>
      </c>
      <c r="AX167" s="44">
        <f t="shared" si="228"/>
        <v>6</v>
      </c>
      <c r="AY167" s="66">
        <v>0</v>
      </c>
      <c r="AZ167" s="61" t="str">
        <f t="shared" si="229"/>
        <v>サンリオ千鳥格子フェイス</v>
      </c>
      <c r="BA167" s="154">
        <f t="shared" si="241"/>
        <v>700</v>
      </c>
      <c r="BB167" s="23">
        <f t="shared" si="230"/>
        <v>4200</v>
      </c>
      <c r="BC167" s="24">
        <f t="shared" si="223"/>
        <v>0.80769230769230771</v>
      </c>
      <c r="BD167" s="148" t="s">
        <v>283</v>
      </c>
      <c r="BF167" s="65">
        <f>IF($A155="","",$A155)</f>
        <v>46108</v>
      </c>
      <c r="BG167" s="44">
        <v>1157</v>
      </c>
      <c r="BH167" s="44">
        <f t="shared" si="231"/>
        <v>32</v>
      </c>
      <c r="BI167" s="44">
        <v>1032</v>
      </c>
      <c r="BJ167" s="23">
        <f t="shared" si="232"/>
        <v>2</v>
      </c>
      <c r="BK167" s="44">
        <v>13</v>
      </c>
      <c r="BL167" s="44">
        <f t="shared" si="233"/>
        <v>3</v>
      </c>
      <c r="BM167" s="66">
        <v>0</v>
      </c>
      <c r="BN167" s="61" t="str">
        <f t="shared" si="234"/>
        <v>キティしっぽ付きフェイス</v>
      </c>
      <c r="BO167" s="62">
        <f t="shared" si="242"/>
        <v>825</v>
      </c>
      <c r="BP167" s="23">
        <f t="shared" si="235"/>
        <v>2475</v>
      </c>
      <c r="BQ167" s="24">
        <f t="shared" si="224"/>
        <v>0.7734375</v>
      </c>
      <c r="BR167" s="11"/>
      <c r="BT167" s="65">
        <f>IF($A155="","",$A155)</f>
        <v>46108</v>
      </c>
      <c r="BU167" s="44">
        <v>1121</v>
      </c>
      <c r="BV167" s="44">
        <f t="shared" si="236"/>
        <v>25</v>
      </c>
      <c r="BW167" s="44">
        <v>1039</v>
      </c>
      <c r="BX167" s="23">
        <f t="shared" si="237"/>
        <v>3</v>
      </c>
      <c r="BY167" s="44">
        <v>7</v>
      </c>
      <c r="BZ167" s="44">
        <f t="shared" si="238"/>
        <v>2</v>
      </c>
      <c r="CA167" s="66"/>
      <c r="CB167" s="61" t="str">
        <f t="shared" si="239"/>
        <v>ギャルキティポーチ</v>
      </c>
      <c r="CC167" s="62">
        <f t="shared" si="243"/>
        <v>935</v>
      </c>
      <c r="CD167" s="23">
        <f t="shared" si="240"/>
        <v>1870</v>
      </c>
      <c r="CE167" s="24">
        <f t="shared" si="225"/>
        <v>0.748</v>
      </c>
      <c r="CF167" s="11" t="s">
        <v>287</v>
      </c>
    </row>
    <row r="168" spans="1:84">
      <c r="A168" s="12"/>
      <c r="B168" s="8"/>
      <c r="C168" s="13"/>
      <c r="D168" s="9" t="str">
        <f>IF(C168="","",C168-C166)</f>
        <v/>
      </c>
      <c r="E168" s="9"/>
      <c r="F168" s="9" t="str">
        <f>IF(E168="","",E168-E166)</f>
        <v/>
      </c>
      <c r="G168" s="9"/>
      <c r="H168" s="9" t="str">
        <f>IF(G168="","",G166+I166-G168)</f>
        <v/>
      </c>
      <c r="I168" s="9"/>
      <c r="J168" s="152" t="str">
        <f t="shared" si="205"/>
        <v/>
      </c>
      <c r="K168" s="44" t="str">
        <f>IF(C168="","",K166)</f>
        <v/>
      </c>
      <c r="L168" s="9" t="str">
        <f t="shared" si="244"/>
        <v/>
      </c>
      <c r="M168" s="10" t="str">
        <f t="shared" si="245"/>
        <v/>
      </c>
      <c r="N168" s="11"/>
      <c r="O168" s="2"/>
      <c r="P168" s="65"/>
      <c r="Q168" s="9">
        <v>12334</v>
      </c>
      <c r="R168" s="9">
        <f t="shared" si="209"/>
        <v>75</v>
      </c>
      <c r="S168" s="9">
        <v>269</v>
      </c>
      <c r="T168" s="9">
        <f t="shared" si="210"/>
        <v>2</v>
      </c>
      <c r="U168" s="9">
        <v>9</v>
      </c>
      <c r="V168" s="9">
        <f t="shared" si="211"/>
        <v>2</v>
      </c>
      <c r="W168" s="13">
        <v>2</v>
      </c>
      <c r="X168" s="47" t="str">
        <f t="shared" si="246"/>
        <v>キティしっぽ付ポーチ</v>
      </c>
      <c r="Y168" s="45">
        <f t="shared" si="247"/>
        <v>825</v>
      </c>
      <c r="Z168" s="9">
        <f t="shared" si="214"/>
        <v>1650</v>
      </c>
      <c r="AA168" s="10">
        <f t="shared" si="215"/>
        <v>0.22</v>
      </c>
      <c r="AB168" s="11"/>
      <c r="AD168" s="65"/>
      <c r="AE168" s="9">
        <v>12861</v>
      </c>
      <c r="AF168" s="81">
        <f t="shared" si="216"/>
        <v>23</v>
      </c>
      <c r="AG168" s="9">
        <v>228</v>
      </c>
      <c r="AH168" s="9">
        <f t="shared" si="217"/>
        <v>1</v>
      </c>
      <c r="AI168" s="9">
        <v>16</v>
      </c>
      <c r="AJ168" s="9">
        <f t="shared" si="218"/>
        <v>2</v>
      </c>
      <c r="AK168" s="13">
        <v>5</v>
      </c>
      <c r="AL168" s="47" t="str">
        <f t="shared" si="219"/>
        <v>キティドデカパッチン</v>
      </c>
      <c r="AM168" s="45">
        <f t="shared" si="220"/>
        <v>538</v>
      </c>
      <c r="AN168" s="9">
        <f t="shared" si="221"/>
        <v>1076</v>
      </c>
      <c r="AO168" s="10">
        <f t="shared" si="222"/>
        <v>0.46782608695652173</v>
      </c>
      <c r="AP168" s="129" t="s">
        <v>291</v>
      </c>
      <c r="AR168" s="65"/>
      <c r="AS168" s="9">
        <v>1125</v>
      </c>
      <c r="AT168" s="81">
        <f t="shared" si="226"/>
        <v>16</v>
      </c>
      <c r="AU168" s="9">
        <v>1035</v>
      </c>
      <c r="AV168" s="9">
        <f t="shared" si="227"/>
        <v>0</v>
      </c>
      <c r="AW168" s="9">
        <v>19</v>
      </c>
      <c r="AX168" s="9">
        <f t="shared" si="228"/>
        <v>0</v>
      </c>
      <c r="AY168" s="13">
        <v>0</v>
      </c>
      <c r="AZ168" s="47" t="str">
        <f t="shared" si="229"/>
        <v>サンリオボアバンスクリップ</v>
      </c>
      <c r="BA168" s="45">
        <f t="shared" si="241"/>
        <v>1100</v>
      </c>
      <c r="BB168" s="9">
        <f t="shared" si="230"/>
        <v>0</v>
      </c>
      <c r="BC168" s="10">
        <f t="shared" si="223"/>
        <v>0</v>
      </c>
      <c r="BD168" s="11"/>
      <c r="BF168" s="65"/>
      <c r="BG168" s="9">
        <v>1071</v>
      </c>
      <c r="BH168" s="81">
        <f t="shared" si="231"/>
        <v>4</v>
      </c>
      <c r="BI168" s="9">
        <v>1046</v>
      </c>
      <c r="BJ168" s="9">
        <f t="shared" si="232"/>
        <v>2</v>
      </c>
      <c r="BK168" s="9">
        <v>36</v>
      </c>
      <c r="BL168" s="9">
        <f t="shared" si="233"/>
        <v>2</v>
      </c>
      <c r="BM168" s="13">
        <v>-21</v>
      </c>
      <c r="BN168" s="47" t="str">
        <f t="shared" si="234"/>
        <v>サンリオ型押し</v>
      </c>
      <c r="BO168" s="45">
        <f t="shared" si="242"/>
        <v>572</v>
      </c>
      <c r="BP168" s="9">
        <f t="shared" si="235"/>
        <v>1144</v>
      </c>
      <c r="BQ168" s="10">
        <f t="shared" si="224"/>
        <v>2.86</v>
      </c>
      <c r="BR168" s="11" t="s">
        <v>288</v>
      </c>
      <c r="BT168" s="65"/>
      <c r="BU168" s="9">
        <v>1099</v>
      </c>
      <c r="BV168" s="81">
        <f t="shared" si="236"/>
        <v>15</v>
      </c>
      <c r="BW168" s="9">
        <v>1036</v>
      </c>
      <c r="BX168" s="9">
        <f t="shared" si="237"/>
        <v>2</v>
      </c>
      <c r="BY168" s="9">
        <v>18</v>
      </c>
      <c r="BZ168" s="9">
        <f t="shared" si="238"/>
        <v>2</v>
      </c>
      <c r="CA168" s="13">
        <v>3</v>
      </c>
      <c r="CB168" s="47" t="str">
        <f t="shared" si="239"/>
        <v>ドデカパッチン</v>
      </c>
      <c r="CC168" s="45">
        <f t="shared" si="243"/>
        <v>538</v>
      </c>
      <c r="CD168" s="9">
        <f t="shared" si="240"/>
        <v>1076</v>
      </c>
      <c r="CE168" s="10">
        <f t="shared" si="225"/>
        <v>0.71733333333333338</v>
      </c>
      <c r="CF168" s="11" t="s">
        <v>189</v>
      </c>
    </row>
    <row r="169" spans="1:84" ht="15" customHeight="1">
      <c r="A169" s="12"/>
      <c r="B169" s="8"/>
      <c r="C169" s="13"/>
      <c r="D169" s="9" t="str">
        <f t="shared" ref="D169:D174" si="248">IF(C169="","",C169-C168)</f>
        <v/>
      </c>
      <c r="E169" s="9"/>
      <c r="F169" s="9" t="str">
        <f t="shared" ref="F169:F174" si="249">IF(E169="","",E169-E168)</f>
        <v/>
      </c>
      <c r="G169" s="9"/>
      <c r="H169" s="9" t="str">
        <f t="shared" ref="H169:H174" si="250">IF(G169="","",G168+I168-G169)</f>
        <v/>
      </c>
      <c r="I169" s="9"/>
      <c r="J169" s="152" t="str">
        <f t="shared" si="205"/>
        <v/>
      </c>
      <c r="K169" s="44" t="str">
        <f t="shared" ref="K169:K174" si="251">IF(C169="","",K168)</f>
        <v/>
      </c>
      <c r="L169" s="9" t="str">
        <f t="shared" si="244"/>
        <v/>
      </c>
      <c r="M169" s="10" t="str">
        <f t="shared" si="245"/>
        <v/>
      </c>
      <c r="N169" s="11"/>
      <c r="O169" s="2"/>
      <c r="P169" s="65"/>
      <c r="Q169" s="26">
        <v>14278</v>
      </c>
      <c r="R169" s="9">
        <f t="shared" si="209"/>
        <v>70</v>
      </c>
      <c r="S169" s="26">
        <v>484</v>
      </c>
      <c r="T169" s="9">
        <f t="shared" si="210"/>
        <v>1</v>
      </c>
      <c r="U169" s="26">
        <v>11</v>
      </c>
      <c r="V169" s="9">
        <f t="shared" si="211"/>
        <v>1</v>
      </c>
      <c r="W169" s="38">
        <v>1</v>
      </c>
      <c r="X169" s="47" t="str">
        <f t="shared" si="246"/>
        <v>キティボアバンスクリップ</v>
      </c>
      <c r="Y169" s="9">
        <f t="shared" si="247"/>
        <v>1100</v>
      </c>
      <c r="Z169" s="9">
        <f t="shared" si="214"/>
        <v>1100</v>
      </c>
      <c r="AA169" s="10">
        <f t="shared" si="215"/>
        <v>0.15714285714285714</v>
      </c>
      <c r="AB169" s="11"/>
      <c r="AD169" s="65"/>
      <c r="AE169" s="26">
        <v>13857</v>
      </c>
      <c r="AF169" s="9">
        <f t="shared" si="216"/>
        <v>91</v>
      </c>
      <c r="AG169" s="26">
        <v>493</v>
      </c>
      <c r="AH169" s="9">
        <f t="shared" si="217"/>
        <v>0</v>
      </c>
      <c r="AI169" s="26">
        <v>8</v>
      </c>
      <c r="AJ169" s="9">
        <f t="shared" si="218"/>
        <v>0</v>
      </c>
      <c r="AK169" s="38">
        <v>0</v>
      </c>
      <c r="AL169" s="47" t="str">
        <f t="shared" si="219"/>
        <v>ゲームアーク</v>
      </c>
      <c r="AM169" s="9">
        <f t="shared" si="220"/>
        <v>1100</v>
      </c>
      <c r="AN169" s="9">
        <f t="shared" si="221"/>
        <v>0</v>
      </c>
      <c r="AO169" s="10">
        <f t="shared" si="222"/>
        <v>0</v>
      </c>
      <c r="AP169" s="11"/>
      <c r="AR169" s="65"/>
      <c r="AS169" s="26">
        <v>1153</v>
      </c>
      <c r="AT169" s="81">
        <f t="shared" si="226"/>
        <v>12</v>
      </c>
      <c r="AU169" s="26">
        <v>1032</v>
      </c>
      <c r="AV169" s="9">
        <f t="shared" si="227"/>
        <v>0</v>
      </c>
      <c r="AW169" s="26">
        <v>7</v>
      </c>
      <c r="AX169" s="9">
        <f t="shared" si="228"/>
        <v>0</v>
      </c>
      <c r="AY169" s="38">
        <v>2</v>
      </c>
      <c r="AZ169" s="47" t="str">
        <f t="shared" si="229"/>
        <v>サンリオヒョウ柄バニティ</v>
      </c>
      <c r="BA169" s="9">
        <f t="shared" si="241"/>
        <v>1056</v>
      </c>
      <c r="BB169" s="9">
        <f t="shared" si="230"/>
        <v>0</v>
      </c>
      <c r="BC169" s="10">
        <f t="shared" si="223"/>
        <v>0</v>
      </c>
      <c r="BD169" s="11"/>
      <c r="BF169" s="65"/>
      <c r="BG169" s="26">
        <v>1115</v>
      </c>
      <c r="BH169" s="9">
        <f t="shared" si="231"/>
        <v>31</v>
      </c>
      <c r="BI169" s="26">
        <v>1030</v>
      </c>
      <c r="BJ169" s="9">
        <f t="shared" si="232"/>
        <v>1</v>
      </c>
      <c r="BK169" s="26">
        <v>10</v>
      </c>
      <c r="BL169" s="9">
        <f t="shared" si="233"/>
        <v>1</v>
      </c>
      <c r="BM169" s="38">
        <v>1</v>
      </c>
      <c r="BN169" s="47" t="str">
        <f t="shared" si="234"/>
        <v>サンリオヒョウ柄ポーチ</v>
      </c>
      <c r="BO169" s="9">
        <f t="shared" si="242"/>
        <v>935</v>
      </c>
      <c r="BP169" s="9">
        <f t="shared" si="235"/>
        <v>935</v>
      </c>
      <c r="BQ169" s="10">
        <f t="shared" si="224"/>
        <v>0.30161290322580647</v>
      </c>
      <c r="BR169" s="11"/>
      <c r="BT169" s="65"/>
      <c r="BU169" s="26">
        <v>1107</v>
      </c>
      <c r="BV169" s="81">
        <f t="shared" si="236"/>
        <v>10</v>
      </c>
      <c r="BW169" s="26">
        <v>1039</v>
      </c>
      <c r="BX169" s="9">
        <f t="shared" si="237"/>
        <v>1</v>
      </c>
      <c r="BY169" s="26">
        <v>119</v>
      </c>
      <c r="BZ169" s="9">
        <f t="shared" si="238"/>
        <v>1</v>
      </c>
      <c r="CA169" s="38"/>
      <c r="CB169" s="47" t="str">
        <f t="shared" si="239"/>
        <v>サンリオシューズ</v>
      </c>
      <c r="CC169" s="9">
        <f t="shared" si="243"/>
        <v>400</v>
      </c>
      <c r="CD169" s="9">
        <f t="shared" si="240"/>
        <v>400</v>
      </c>
      <c r="CE169" s="10">
        <f t="shared" si="225"/>
        <v>0.4</v>
      </c>
      <c r="CF169" s="11"/>
    </row>
    <row r="170" spans="1:84" ht="15" customHeight="1" thickBot="1">
      <c r="A170" s="12"/>
      <c r="B170" s="8"/>
      <c r="C170" s="13"/>
      <c r="D170" s="9" t="str">
        <f t="shared" si="248"/>
        <v/>
      </c>
      <c r="E170" s="9"/>
      <c r="F170" s="9" t="str">
        <f t="shared" si="249"/>
        <v/>
      </c>
      <c r="G170" s="9"/>
      <c r="H170" s="9" t="str">
        <f t="shared" si="250"/>
        <v/>
      </c>
      <c r="I170" s="9"/>
      <c r="J170" s="152" t="str">
        <f t="shared" si="205"/>
        <v/>
      </c>
      <c r="K170" s="44" t="str">
        <f t="shared" si="251"/>
        <v/>
      </c>
      <c r="L170" s="9" t="str">
        <f t="shared" si="244"/>
        <v/>
      </c>
      <c r="M170" s="10" t="str">
        <f t="shared" si="245"/>
        <v/>
      </c>
      <c r="N170" s="11"/>
      <c r="O170" s="2"/>
      <c r="P170" s="18"/>
      <c r="Q170" s="19">
        <v>15847</v>
      </c>
      <c r="R170" s="19">
        <f t="shared" si="209"/>
        <v>227</v>
      </c>
      <c r="S170" s="19">
        <v>397</v>
      </c>
      <c r="T170" s="19">
        <f t="shared" si="210"/>
        <v>1</v>
      </c>
      <c r="U170" s="19">
        <v>14</v>
      </c>
      <c r="V170" s="19">
        <f t="shared" si="211"/>
        <v>1</v>
      </c>
      <c r="W170" s="37">
        <v>1</v>
      </c>
      <c r="X170" s="48" t="str">
        <f t="shared" si="246"/>
        <v>バタースクイーズ</v>
      </c>
      <c r="Y170" s="51">
        <f t="shared" si="247"/>
        <v>440</v>
      </c>
      <c r="Z170" s="19">
        <f t="shared" si="214"/>
        <v>440</v>
      </c>
      <c r="AA170" s="20">
        <f t="shared" si="215"/>
        <v>1.9383259911894272E-2</v>
      </c>
      <c r="AB170" s="11" t="s">
        <v>286</v>
      </c>
      <c r="AD170" s="18"/>
      <c r="AE170" s="19">
        <v>17753</v>
      </c>
      <c r="AF170" s="19">
        <f t="shared" si="216"/>
        <v>112</v>
      </c>
      <c r="AG170" s="19">
        <v>638</v>
      </c>
      <c r="AH170" s="19">
        <f t="shared" si="217"/>
        <v>5</v>
      </c>
      <c r="AI170" s="19">
        <v>32</v>
      </c>
      <c r="AJ170" s="19">
        <f t="shared" si="218"/>
        <v>5</v>
      </c>
      <c r="AK170" s="37">
        <v>0</v>
      </c>
      <c r="AL170" s="48" t="str">
        <f t="shared" si="219"/>
        <v>ボンドロシール</v>
      </c>
      <c r="AM170" s="51">
        <f t="shared" si="220"/>
        <v>150</v>
      </c>
      <c r="AN170" s="19">
        <f t="shared" si="221"/>
        <v>750</v>
      </c>
      <c r="AO170" s="20">
        <f t="shared" si="222"/>
        <v>6.6964285714285712E-2</v>
      </c>
      <c r="AP170" s="143"/>
      <c r="AR170" s="18"/>
      <c r="AS170" s="19">
        <v>1070</v>
      </c>
      <c r="AT170" s="82">
        <f t="shared" si="226"/>
        <v>23</v>
      </c>
      <c r="AU170" s="19">
        <v>1032</v>
      </c>
      <c r="AV170" s="19">
        <f t="shared" si="227"/>
        <v>1</v>
      </c>
      <c r="AW170" s="19">
        <v>14</v>
      </c>
      <c r="AX170" s="19">
        <f t="shared" si="228"/>
        <v>1</v>
      </c>
      <c r="AY170" s="37">
        <v>0</v>
      </c>
      <c r="AZ170" s="48" t="str">
        <f t="shared" si="229"/>
        <v>サンリオヒョウ柄フェイス</v>
      </c>
      <c r="BA170" s="51">
        <f t="shared" si="241"/>
        <v>792</v>
      </c>
      <c r="BB170" s="19">
        <f t="shared" si="230"/>
        <v>792</v>
      </c>
      <c r="BC170" s="20">
        <f t="shared" si="223"/>
        <v>0.34434782608695652</v>
      </c>
      <c r="BD170" s="143"/>
      <c r="BF170" s="18"/>
      <c r="BG170" s="19">
        <v>1177</v>
      </c>
      <c r="BH170" s="19">
        <f t="shared" si="231"/>
        <v>30</v>
      </c>
      <c r="BI170" s="19">
        <v>1050</v>
      </c>
      <c r="BJ170" s="19">
        <f t="shared" si="232"/>
        <v>5</v>
      </c>
      <c r="BK170" s="19">
        <v>137</v>
      </c>
      <c r="BL170" s="19">
        <f t="shared" si="233"/>
        <v>5</v>
      </c>
      <c r="BM170" s="37">
        <v>10</v>
      </c>
      <c r="BN170" s="48" t="str">
        <f t="shared" si="234"/>
        <v>キティボールペン</v>
      </c>
      <c r="BO170" s="51">
        <f t="shared" si="242"/>
        <v>283</v>
      </c>
      <c r="BP170" s="19">
        <f t="shared" si="235"/>
        <v>1415</v>
      </c>
      <c r="BQ170" s="20">
        <f t="shared" si="224"/>
        <v>0.47166666666666668</v>
      </c>
      <c r="BR170" s="143"/>
      <c r="BT170" s="18"/>
      <c r="BU170" s="19">
        <v>1126</v>
      </c>
      <c r="BV170" s="19">
        <f t="shared" si="236"/>
        <v>41</v>
      </c>
      <c r="BW170" s="19">
        <v>1030</v>
      </c>
      <c r="BX170" s="19">
        <f t="shared" si="237"/>
        <v>1</v>
      </c>
      <c r="BY170" s="19">
        <v>8</v>
      </c>
      <c r="BZ170" s="19">
        <f t="shared" si="238"/>
        <v>2</v>
      </c>
      <c r="CA170" s="37"/>
      <c r="CB170" s="48" t="str">
        <f t="shared" si="239"/>
        <v>サンリオボアミラー</v>
      </c>
      <c r="CC170" s="51">
        <f t="shared" si="243"/>
        <v>1100</v>
      </c>
      <c r="CD170" s="19">
        <f t="shared" si="240"/>
        <v>2200</v>
      </c>
      <c r="CE170" s="20">
        <f t="shared" si="225"/>
        <v>0.53658536585365857</v>
      </c>
      <c r="CF170" s="143"/>
    </row>
    <row r="171" spans="1:84" ht="15" customHeight="1" thickTop="1">
      <c r="A171" s="12"/>
      <c r="B171" s="8"/>
      <c r="C171" s="13"/>
      <c r="D171" s="9" t="str">
        <f t="shared" si="248"/>
        <v/>
      </c>
      <c r="E171" s="9"/>
      <c r="F171" s="9" t="str">
        <f t="shared" si="249"/>
        <v/>
      </c>
      <c r="G171" s="9"/>
      <c r="H171" s="9" t="str">
        <f t="shared" si="250"/>
        <v/>
      </c>
      <c r="I171" s="9"/>
      <c r="J171" s="152" t="str">
        <f t="shared" si="205"/>
        <v/>
      </c>
      <c r="K171" s="44" t="str">
        <f t="shared" si="251"/>
        <v/>
      </c>
      <c r="L171" s="9" t="str">
        <f t="shared" si="244"/>
        <v/>
      </c>
      <c r="M171" s="10" t="str">
        <f t="shared" si="245"/>
        <v/>
      </c>
      <c r="N171" s="11"/>
      <c r="O171" s="2"/>
      <c r="P171" s="65">
        <f>IF($A156="","",$A156)</f>
        <v>46111</v>
      </c>
      <c r="Q171" s="44">
        <v>12991</v>
      </c>
      <c r="R171" s="44">
        <f t="shared" si="209"/>
        <v>153</v>
      </c>
      <c r="S171" s="44">
        <v>379</v>
      </c>
      <c r="T171" s="23">
        <f t="shared" si="210"/>
        <v>3</v>
      </c>
      <c r="U171" s="44">
        <v>12</v>
      </c>
      <c r="V171" s="44">
        <f t="shared" si="211"/>
        <v>1</v>
      </c>
      <c r="W171" s="66">
        <v>1</v>
      </c>
      <c r="X171" s="61" t="str">
        <f t="shared" si="246"/>
        <v>キティ豹柄キーケース</v>
      </c>
      <c r="Y171" s="62">
        <f t="shared" si="247"/>
        <v>996</v>
      </c>
      <c r="Z171" s="23">
        <f t="shared" si="214"/>
        <v>996</v>
      </c>
      <c r="AA171" s="24">
        <f t="shared" si="215"/>
        <v>6.5098039215686271E-2</v>
      </c>
      <c r="AB171" s="11"/>
      <c r="AD171" s="65">
        <f>IF($A156="","",$A156)</f>
        <v>46111</v>
      </c>
      <c r="AE171" s="44">
        <v>10394</v>
      </c>
      <c r="AF171" s="44">
        <f t="shared" si="216"/>
        <v>97</v>
      </c>
      <c r="AG171" s="44">
        <v>273</v>
      </c>
      <c r="AH171" s="23">
        <f t="shared" si="217"/>
        <v>2</v>
      </c>
      <c r="AI171" s="44">
        <v>13</v>
      </c>
      <c r="AJ171" s="44">
        <f t="shared" si="218"/>
        <v>2</v>
      </c>
      <c r="AK171" s="66">
        <v>0</v>
      </c>
      <c r="AL171" s="61" t="str">
        <f t="shared" si="219"/>
        <v>ゲーム機柄イヤホン</v>
      </c>
      <c r="AM171" s="62">
        <f t="shared" si="220"/>
        <v>770</v>
      </c>
      <c r="AN171" s="23">
        <f t="shared" si="221"/>
        <v>1540</v>
      </c>
      <c r="AO171" s="24">
        <f t="shared" si="222"/>
        <v>0.15876288659793814</v>
      </c>
      <c r="AP171" s="11"/>
      <c r="AR171" s="65">
        <f>IF($A156="","",$A156)</f>
        <v>46111</v>
      </c>
      <c r="AS171" s="44">
        <v>1135</v>
      </c>
      <c r="AT171" s="44">
        <f t="shared" si="226"/>
        <v>18</v>
      </c>
      <c r="AU171" s="44">
        <v>1041</v>
      </c>
      <c r="AV171" s="23">
        <f t="shared" si="227"/>
        <v>3</v>
      </c>
      <c r="AW171" s="44">
        <v>20</v>
      </c>
      <c r="AX171" s="44">
        <f t="shared" si="228"/>
        <v>3</v>
      </c>
      <c r="AY171" s="66">
        <v>6</v>
      </c>
      <c r="AZ171" s="61" t="str">
        <f t="shared" si="229"/>
        <v>サンリオ千鳥格子フェイス</v>
      </c>
      <c r="BA171" s="62">
        <f t="shared" si="241"/>
        <v>700</v>
      </c>
      <c r="BB171" s="23">
        <f t="shared" si="230"/>
        <v>2100</v>
      </c>
      <c r="BC171" s="24">
        <f t="shared" si="223"/>
        <v>1.1666666666666667</v>
      </c>
      <c r="BD171" s="11" t="s">
        <v>298</v>
      </c>
      <c r="BF171" s="65">
        <f>IF($A156="","",$A156)</f>
        <v>46111</v>
      </c>
      <c r="BG171" s="44">
        <v>1220</v>
      </c>
      <c r="BH171" s="44">
        <f t="shared" si="231"/>
        <v>63</v>
      </c>
      <c r="BI171" s="44">
        <v>1033</v>
      </c>
      <c r="BJ171" s="23">
        <f t="shared" si="232"/>
        <v>1</v>
      </c>
      <c r="BK171" s="44">
        <v>12</v>
      </c>
      <c r="BL171" s="44">
        <f t="shared" si="233"/>
        <v>1</v>
      </c>
      <c r="BM171" s="66">
        <v>0</v>
      </c>
      <c r="BN171" s="61" t="str">
        <f t="shared" si="234"/>
        <v>キティしっぽ付きフェイス</v>
      </c>
      <c r="BO171" s="62">
        <f t="shared" si="242"/>
        <v>825</v>
      </c>
      <c r="BP171" s="23">
        <f t="shared" si="235"/>
        <v>825</v>
      </c>
      <c r="BQ171" s="24">
        <f t="shared" si="224"/>
        <v>0.13095238095238096</v>
      </c>
      <c r="BR171" s="11" t="s">
        <v>300</v>
      </c>
      <c r="BT171" s="65">
        <f>IF($A156="","",$A156)</f>
        <v>46111</v>
      </c>
      <c r="BU171" s="44">
        <v>1154</v>
      </c>
      <c r="BV171" s="44">
        <f t="shared" si="236"/>
        <v>33</v>
      </c>
      <c r="BW171" s="44">
        <v>1041</v>
      </c>
      <c r="BX171" s="23">
        <f t="shared" si="237"/>
        <v>2</v>
      </c>
      <c r="BY171" s="44">
        <v>7</v>
      </c>
      <c r="BZ171" s="44">
        <f t="shared" si="238"/>
        <v>0</v>
      </c>
      <c r="CA171" s="66">
        <v>0</v>
      </c>
      <c r="CB171" s="61" t="str">
        <f t="shared" si="239"/>
        <v>ギャルキティポーチ</v>
      </c>
      <c r="CC171" s="62">
        <f t="shared" si="243"/>
        <v>935</v>
      </c>
      <c r="CD171" s="23">
        <f t="shared" si="240"/>
        <v>0</v>
      </c>
      <c r="CE171" s="24">
        <f t="shared" si="225"/>
        <v>0</v>
      </c>
      <c r="CF171" s="11"/>
    </row>
    <row r="172" spans="1:84" ht="15" customHeight="1">
      <c r="A172" s="12"/>
      <c r="B172" s="8"/>
      <c r="C172" s="13"/>
      <c r="D172" s="9" t="str">
        <f t="shared" si="248"/>
        <v/>
      </c>
      <c r="E172" s="9"/>
      <c r="F172" s="9" t="str">
        <f t="shared" si="249"/>
        <v/>
      </c>
      <c r="G172" s="9"/>
      <c r="H172" s="9" t="str">
        <f t="shared" si="250"/>
        <v/>
      </c>
      <c r="I172" s="9"/>
      <c r="J172" s="153" t="str">
        <f t="shared" si="205"/>
        <v/>
      </c>
      <c r="K172" s="44" t="str">
        <f t="shared" si="251"/>
        <v/>
      </c>
      <c r="L172" s="9" t="str">
        <f t="shared" si="244"/>
        <v/>
      </c>
      <c r="M172" s="10" t="str">
        <f t="shared" si="245"/>
        <v/>
      </c>
      <c r="N172" s="11"/>
      <c r="O172" s="2"/>
      <c r="P172" s="12"/>
      <c r="Q172" s="9">
        <v>12462</v>
      </c>
      <c r="R172" s="9">
        <f t="shared" si="209"/>
        <v>128</v>
      </c>
      <c r="S172" s="9">
        <v>271</v>
      </c>
      <c r="T172" s="9">
        <f t="shared" si="210"/>
        <v>2</v>
      </c>
      <c r="U172" s="9">
        <v>10</v>
      </c>
      <c r="V172" s="9">
        <f t="shared" si="211"/>
        <v>1</v>
      </c>
      <c r="W172" s="13">
        <v>0</v>
      </c>
      <c r="X172" s="47" t="str">
        <f t="shared" si="246"/>
        <v>キティしっぽ付ポーチ</v>
      </c>
      <c r="Y172" s="45">
        <f t="shared" si="247"/>
        <v>825</v>
      </c>
      <c r="Z172" s="9">
        <f t="shared" si="214"/>
        <v>825</v>
      </c>
      <c r="AA172" s="10">
        <f t="shared" si="215"/>
        <v>6.4453125E-2</v>
      </c>
      <c r="AB172" s="11"/>
      <c r="AD172" s="12"/>
      <c r="AE172" s="9">
        <v>12912</v>
      </c>
      <c r="AF172" s="9">
        <f t="shared" si="216"/>
        <v>51</v>
      </c>
      <c r="AG172" s="9">
        <v>230</v>
      </c>
      <c r="AH172" s="9">
        <f t="shared" si="217"/>
        <v>2</v>
      </c>
      <c r="AI172" s="9">
        <v>15</v>
      </c>
      <c r="AJ172" s="9">
        <f t="shared" si="218"/>
        <v>6</v>
      </c>
      <c r="AK172" s="13">
        <v>-1</v>
      </c>
      <c r="AL172" s="47" t="str">
        <f t="shared" si="219"/>
        <v>キティドデカパッチン</v>
      </c>
      <c r="AM172" s="45">
        <f t="shared" si="220"/>
        <v>538</v>
      </c>
      <c r="AN172" s="9">
        <f t="shared" si="221"/>
        <v>3228</v>
      </c>
      <c r="AO172" s="10">
        <f t="shared" si="222"/>
        <v>0.63294117647058823</v>
      </c>
      <c r="AP172" s="34" t="s">
        <v>293</v>
      </c>
      <c r="AR172" s="12"/>
      <c r="AS172" s="9">
        <v>1153</v>
      </c>
      <c r="AT172" s="9">
        <f t="shared" si="226"/>
        <v>28</v>
      </c>
      <c r="AU172" s="9">
        <v>1039</v>
      </c>
      <c r="AV172" s="9">
        <f t="shared" si="227"/>
        <v>4</v>
      </c>
      <c r="AW172" s="9">
        <v>14</v>
      </c>
      <c r="AX172" s="9">
        <f t="shared" si="228"/>
        <v>5</v>
      </c>
      <c r="AY172" s="13">
        <v>0</v>
      </c>
      <c r="AZ172" s="47" t="str">
        <f t="shared" si="229"/>
        <v>サンリオボアバンスクリップ</v>
      </c>
      <c r="BA172" s="45">
        <f t="shared" si="241"/>
        <v>1100</v>
      </c>
      <c r="BB172" s="9">
        <f t="shared" si="230"/>
        <v>5500</v>
      </c>
      <c r="BC172" s="10">
        <f t="shared" si="223"/>
        <v>1.9642857142857142</v>
      </c>
      <c r="BD172" s="34" t="s">
        <v>295</v>
      </c>
      <c r="BF172" s="12"/>
      <c r="BG172" s="9">
        <v>1121</v>
      </c>
      <c r="BH172" s="9">
        <f t="shared" si="231"/>
        <v>50</v>
      </c>
      <c r="BI172" s="9">
        <v>1049</v>
      </c>
      <c r="BJ172" s="9">
        <f t="shared" si="232"/>
        <v>3</v>
      </c>
      <c r="BK172" s="9">
        <v>12</v>
      </c>
      <c r="BL172" s="9">
        <f t="shared" si="233"/>
        <v>3</v>
      </c>
      <c r="BM172" s="13">
        <v>1</v>
      </c>
      <c r="BN172" s="47" t="s">
        <v>296</v>
      </c>
      <c r="BO172" s="45"/>
      <c r="BP172" s="9">
        <f t="shared" si="235"/>
        <v>0</v>
      </c>
      <c r="BQ172" s="10">
        <f t="shared" si="224"/>
        <v>0</v>
      </c>
      <c r="BR172" s="34"/>
      <c r="BT172" s="12"/>
      <c r="BU172" s="9">
        <v>1105</v>
      </c>
      <c r="BV172" s="81">
        <f t="shared" si="236"/>
        <v>6</v>
      </c>
      <c r="BW172" s="9">
        <v>1038</v>
      </c>
      <c r="BX172" s="9">
        <f t="shared" si="237"/>
        <v>2</v>
      </c>
      <c r="BY172" s="9">
        <v>18</v>
      </c>
      <c r="BZ172" s="9">
        <f t="shared" si="238"/>
        <v>3</v>
      </c>
      <c r="CA172" s="13">
        <v>2</v>
      </c>
      <c r="CB172" s="47" t="str">
        <f t="shared" si="239"/>
        <v>ドデカパッチン</v>
      </c>
      <c r="CC172" s="45">
        <f t="shared" si="243"/>
        <v>538</v>
      </c>
      <c r="CD172" s="9">
        <f t="shared" si="240"/>
        <v>1614</v>
      </c>
      <c r="CE172" s="10">
        <f t="shared" si="225"/>
        <v>2.69</v>
      </c>
      <c r="CF172" s="155" t="s">
        <v>301</v>
      </c>
    </row>
    <row r="173" spans="1:84" ht="15" customHeight="1">
      <c r="A173" s="12"/>
      <c r="B173" s="8"/>
      <c r="C173" s="9"/>
      <c r="D173" s="9" t="str">
        <f t="shared" si="248"/>
        <v/>
      </c>
      <c r="E173" s="9"/>
      <c r="F173" s="9" t="str">
        <f t="shared" si="249"/>
        <v/>
      </c>
      <c r="G173" s="9"/>
      <c r="H173" s="9" t="str">
        <f t="shared" si="250"/>
        <v/>
      </c>
      <c r="I173" s="9"/>
      <c r="J173" s="153" t="str">
        <f t="shared" si="205"/>
        <v/>
      </c>
      <c r="K173" s="44" t="str">
        <f t="shared" si="251"/>
        <v/>
      </c>
      <c r="L173" s="9" t="str">
        <f t="shared" si="244"/>
        <v/>
      </c>
      <c r="M173" s="10" t="str">
        <f t="shared" si="245"/>
        <v/>
      </c>
      <c r="N173" s="11"/>
      <c r="O173" s="2"/>
      <c r="P173" s="12"/>
      <c r="Q173" s="26">
        <v>14394</v>
      </c>
      <c r="R173" s="9">
        <f t="shared" si="209"/>
        <v>116</v>
      </c>
      <c r="S173" s="26">
        <v>485</v>
      </c>
      <c r="T173" s="9">
        <f t="shared" si="210"/>
        <v>1</v>
      </c>
      <c r="U173" s="9">
        <v>11</v>
      </c>
      <c r="V173" s="9">
        <f t="shared" si="211"/>
        <v>1</v>
      </c>
      <c r="W173" s="13">
        <v>0</v>
      </c>
      <c r="X173" s="47" t="str">
        <f t="shared" si="246"/>
        <v>キティボアバンスクリップ</v>
      </c>
      <c r="Y173" s="9">
        <f t="shared" si="247"/>
        <v>1100</v>
      </c>
      <c r="Z173" s="9">
        <f t="shared" si="214"/>
        <v>1100</v>
      </c>
      <c r="AA173" s="10">
        <f t="shared" si="215"/>
        <v>9.4827586206896547E-2</v>
      </c>
      <c r="AB173" s="11"/>
      <c r="AD173" s="12"/>
      <c r="AE173" s="26">
        <v>13940</v>
      </c>
      <c r="AF173" s="9">
        <f t="shared" si="216"/>
        <v>83</v>
      </c>
      <c r="AG173" s="26">
        <v>493</v>
      </c>
      <c r="AH173" s="9">
        <f t="shared" si="217"/>
        <v>0</v>
      </c>
      <c r="AI173" s="9">
        <v>8</v>
      </c>
      <c r="AJ173" s="9">
        <f t="shared" si="218"/>
        <v>0</v>
      </c>
      <c r="AK173" s="13">
        <v>0</v>
      </c>
      <c r="AL173" s="47" t="str">
        <f t="shared" si="219"/>
        <v>ゲームアーク</v>
      </c>
      <c r="AM173" s="9">
        <f t="shared" si="220"/>
        <v>1100</v>
      </c>
      <c r="AN173" s="9">
        <f t="shared" si="221"/>
        <v>0</v>
      </c>
      <c r="AO173" s="10">
        <f t="shared" si="222"/>
        <v>0</v>
      </c>
      <c r="AP173" s="11"/>
      <c r="AR173" s="12"/>
      <c r="AS173" s="26">
        <v>1161</v>
      </c>
      <c r="AT173" s="81">
        <f t="shared" si="226"/>
        <v>8</v>
      </c>
      <c r="AU173" s="26">
        <v>1032</v>
      </c>
      <c r="AV173" s="9">
        <f t="shared" si="227"/>
        <v>0</v>
      </c>
      <c r="AW173" s="9">
        <v>9</v>
      </c>
      <c r="AX173" s="9">
        <f t="shared" si="228"/>
        <v>0</v>
      </c>
      <c r="AY173" s="13">
        <v>0</v>
      </c>
      <c r="AZ173" s="47" t="str">
        <f t="shared" si="229"/>
        <v>サンリオヒョウ柄バニティ</v>
      </c>
      <c r="BA173" s="9">
        <f t="shared" si="241"/>
        <v>1056</v>
      </c>
      <c r="BB173" s="9">
        <f t="shared" si="230"/>
        <v>0</v>
      </c>
      <c r="BC173" s="10">
        <f t="shared" si="223"/>
        <v>0</v>
      </c>
      <c r="BD173" s="11" t="s">
        <v>297</v>
      </c>
      <c r="BF173" s="12"/>
      <c r="BG173" s="26">
        <v>1153</v>
      </c>
      <c r="BH173" s="9">
        <f t="shared" si="231"/>
        <v>38</v>
      </c>
      <c r="BI173" s="26">
        <v>1031</v>
      </c>
      <c r="BJ173" s="9">
        <f t="shared" si="232"/>
        <v>1</v>
      </c>
      <c r="BK173" s="9">
        <v>10</v>
      </c>
      <c r="BL173" s="9">
        <f t="shared" si="233"/>
        <v>1</v>
      </c>
      <c r="BM173" s="13">
        <v>0</v>
      </c>
      <c r="BN173" s="47" t="str">
        <f t="shared" ref="BN173:BN182" si="252">IF(BG173="","",BN169)</f>
        <v>サンリオヒョウ柄ポーチ</v>
      </c>
      <c r="BO173" s="9">
        <f t="shared" ref="BO173:BO182" si="253">IF(BH173="","",BO169)</f>
        <v>935</v>
      </c>
      <c r="BP173" s="9">
        <f t="shared" si="235"/>
        <v>935</v>
      </c>
      <c r="BQ173" s="10">
        <f t="shared" si="224"/>
        <v>0.24605263157894736</v>
      </c>
      <c r="BR173" s="11" t="s">
        <v>299</v>
      </c>
      <c r="BT173" s="12"/>
      <c r="BU173" s="26">
        <v>1126</v>
      </c>
      <c r="BV173" s="9">
        <f t="shared" si="236"/>
        <v>19</v>
      </c>
      <c r="BW173" s="26">
        <v>1040</v>
      </c>
      <c r="BX173" s="9">
        <f t="shared" si="237"/>
        <v>1</v>
      </c>
      <c r="BY173" s="9">
        <v>118</v>
      </c>
      <c r="BZ173" s="9">
        <f t="shared" si="238"/>
        <v>1</v>
      </c>
      <c r="CA173" s="13">
        <v>0</v>
      </c>
      <c r="CB173" s="47" t="str">
        <f t="shared" si="239"/>
        <v>サンリオシューズ</v>
      </c>
      <c r="CC173" s="9">
        <f t="shared" si="243"/>
        <v>400</v>
      </c>
      <c r="CD173" s="9">
        <f t="shared" si="240"/>
        <v>400</v>
      </c>
      <c r="CE173" s="10">
        <f t="shared" si="225"/>
        <v>0.21052631578947367</v>
      </c>
      <c r="CF173" s="11"/>
    </row>
    <row r="174" spans="1:84" ht="15" customHeight="1" thickBot="1">
      <c r="A174" s="12"/>
      <c r="B174" s="8"/>
      <c r="C174" s="9"/>
      <c r="D174" s="9" t="str">
        <f t="shared" si="248"/>
        <v/>
      </c>
      <c r="E174" s="9"/>
      <c r="F174" s="9" t="str">
        <f t="shared" si="249"/>
        <v/>
      </c>
      <c r="G174" s="9"/>
      <c r="H174" s="9" t="str">
        <f t="shared" si="250"/>
        <v/>
      </c>
      <c r="I174" s="9"/>
      <c r="J174" s="153" t="str">
        <f t="shared" si="205"/>
        <v/>
      </c>
      <c r="K174" s="44" t="str">
        <f t="shared" si="251"/>
        <v/>
      </c>
      <c r="L174" s="9" t="str">
        <f t="shared" si="244"/>
        <v/>
      </c>
      <c r="M174" s="10" t="str">
        <f t="shared" si="245"/>
        <v/>
      </c>
      <c r="N174" s="11"/>
      <c r="O174" s="2"/>
      <c r="P174" s="18"/>
      <c r="Q174" s="19">
        <v>16293</v>
      </c>
      <c r="R174" s="19">
        <f t="shared" si="209"/>
        <v>446</v>
      </c>
      <c r="S174" s="19">
        <v>407</v>
      </c>
      <c r="T174" s="19">
        <f t="shared" si="210"/>
        <v>10</v>
      </c>
      <c r="U174" s="19">
        <v>7</v>
      </c>
      <c r="V174" s="19">
        <f t="shared" si="211"/>
        <v>8</v>
      </c>
      <c r="W174" s="37">
        <v>4</v>
      </c>
      <c r="X174" s="48" t="str">
        <f t="shared" si="246"/>
        <v>バタースクイーズ</v>
      </c>
      <c r="Y174" s="51">
        <f t="shared" si="247"/>
        <v>440</v>
      </c>
      <c r="Z174" s="19">
        <f t="shared" si="214"/>
        <v>3520</v>
      </c>
      <c r="AA174" s="20">
        <f t="shared" si="215"/>
        <v>7.8923766816143492E-2</v>
      </c>
      <c r="AB174" s="11" t="s">
        <v>294</v>
      </c>
      <c r="AD174" s="18"/>
      <c r="AE174" s="19">
        <v>17864</v>
      </c>
      <c r="AF174" s="19">
        <f t="shared" si="216"/>
        <v>111</v>
      </c>
      <c r="AG174" s="19">
        <v>647</v>
      </c>
      <c r="AH174" s="19">
        <f t="shared" si="217"/>
        <v>9</v>
      </c>
      <c r="AI174" s="19">
        <v>23</v>
      </c>
      <c r="AJ174" s="19">
        <f t="shared" si="218"/>
        <v>9</v>
      </c>
      <c r="AK174" s="37">
        <v>20</v>
      </c>
      <c r="AL174" s="48" t="str">
        <f t="shared" si="219"/>
        <v>ボンドロシール</v>
      </c>
      <c r="AM174" s="51">
        <f t="shared" si="220"/>
        <v>150</v>
      </c>
      <c r="AN174" s="19">
        <f t="shared" si="221"/>
        <v>1350</v>
      </c>
      <c r="AO174" s="20">
        <f t="shared" si="222"/>
        <v>0.12162162162162163</v>
      </c>
      <c r="AP174" s="11"/>
      <c r="AR174" s="18"/>
      <c r="AS174" s="19">
        <v>1090</v>
      </c>
      <c r="AT174" s="19">
        <f t="shared" si="226"/>
        <v>20</v>
      </c>
      <c r="AU174" s="19">
        <v>1032</v>
      </c>
      <c r="AV174" s="19">
        <f t="shared" si="227"/>
        <v>0</v>
      </c>
      <c r="AW174" s="19">
        <v>14</v>
      </c>
      <c r="AX174" s="19">
        <f t="shared" si="228"/>
        <v>0</v>
      </c>
      <c r="AY174" s="37">
        <v>0</v>
      </c>
      <c r="AZ174" s="48" t="str">
        <f t="shared" si="229"/>
        <v>サンリオヒョウ柄フェイス</v>
      </c>
      <c r="BA174" s="51">
        <f t="shared" si="241"/>
        <v>792</v>
      </c>
      <c r="BB174" s="19">
        <f t="shared" si="230"/>
        <v>0</v>
      </c>
      <c r="BC174" s="20">
        <f t="shared" si="223"/>
        <v>0</v>
      </c>
      <c r="BD174" s="11"/>
      <c r="BF174" s="18"/>
      <c r="BG174" s="19">
        <v>1221</v>
      </c>
      <c r="BH174" s="19">
        <f t="shared" si="231"/>
        <v>44</v>
      </c>
      <c r="BI174" s="19">
        <v>1056</v>
      </c>
      <c r="BJ174" s="19">
        <f t="shared" si="232"/>
        <v>6</v>
      </c>
      <c r="BK174" s="19">
        <v>141</v>
      </c>
      <c r="BL174" s="19">
        <f t="shared" si="233"/>
        <v>6</v>
      </c>
      <c r="BM174" s="37">
        <v>10</v>
      </c>
      <c r="BN174" s="48" t="str">
        <f t="shared" si="252"/>
        <v>キティボールペン</v>
      </c>
      <c r="BO174" s="51">
        <f t="shared" si="253"/>
        <v>283</v>
      </c>
      <c r="BP174" s="19">
        <f t="shared" si="235"/>
        <v>1698</v>
      </c>
      <c r="BQ174" s="20">
        <f t="shared" si="224"/>
        <v>0.38590909090909092</v>
      </c>
      <c r="BR174" s="11"/>
      <c r="BT174" s="18"/>
      <c r="BU174" s="19">
        <v>1141</v>
      </c>
      <c r="BV174" s="19">
        <f t="shared" si="236"/>
        <v>15</v>
      </c>
      <c r="BW174" s="19">
        <v>1030</v>
      </c>
      <c r="BX174" s="19">
        <f t="shared" si="237"/>
        <v>0</v>
      </c>
      <c r="BY174" s="19">
        <v>8</v>
      </c>
      <c r="BZ174" s="19">
        <f t="shared" si="238"/>
        <v>0</v>
      </c>
      <c r="CA174" s="37">
        <v>2</v>
      </c>
      <c r="CB174" s="48" t="str">
        <f t="shared" si="239"/>
        <v>サンリオボアミラー</v>
      </c>
      <c r="CC174" s="51">
        <f t="shared" si="243"/>
        <v>1100</v>
      </c>
      <c r="CD174" s="19">
        <f t="shared" si="240"/>
        <v>0</v>
      </c>
      <c r="CE174" s="20">
        <f t="shared" si="225"/>
        <v>0</v>
      </c>
      <c r="CF174" s="11"/>
    </row>
    <row r="175" spans="1:84" ht="15" customHeight="1" thickTop="1">
      <c r="A175" s="12"/>
      <c r="B175" s="8"/>
      <c r="C175" s="9"/>
      <c r="D175" s="9" t="str">
        <f>IF(C175="","",C175-C176)</f>
        <v/>
      </c>
      <c r="E175" s="9"/>
      <c r="F175" s="9" t="str">
        <f>IF(E175="","",E175-E176)</f>
        <v/>
      </c>
      <c r="G175" s="9"/>
      <c r="H175" s="9" t="str">
        <f>IF(G175="","",G176+I176-G175)</f>
        <v/>
      </c>
      <c r="I175" s="9"/>
      <c r="J175" s="44"/>
      <c r="K175" s="44" t="str">
        <f>IF(C175="","",K176)</f>
        <v/>
      </c>
      <c r="L175" s="9" t="str">
        <f t="shared" si="244"/>
        <v/>
      </c>
      <c r="M175" s="10" t="str">
        <f t="shared" si="245"/>
        <v/>
      </c>
      <c r="N175" s="11"/>
      <c r="O175" s="2"/>
      <c r="P175" s="65">
        <f>IF($A157="","",$A157)</f>
        <v>46117</v>
      </c>
      <c r="Q175" s="9">
        <v>13077</v>
      </c>
      <c r="R175" s="44">
        <f t="shared" si="209"/>
        <v>86</v>
      </c>
      <c r="S175" s="9">
        <v>381</v>
      </c>
      <c r="T175" s="23">
        <f t="shared" si="210"/>
        <v>2</v>
      </c>
      <c r="U175" s="9">
        <v>12</v>
      </c>
      <c r="V175" s="44">
        <f t="shared" si="211"/>
        <v>1</v>
      </c>
      <c r="W175" s="66">
        <v>1</v>
      </c>
      <c r="X175" s="61" t="str">
        <f t="shared" si="246"/>
        <v>キティ豹柄キーケース</v>
      </c>
      <c r="Y175" s="62">
        <f t="shared" si="247"/>
        <v>996</v>
      </c>
      <c r="Z175" s="23">
        <f t="shared" si="214"/>
        <v>996</v>
      </c>
      <c r="AA175" s="24">
        <f t="shared" si="215"/>
        <v>0.11581395348837209</v>
      </c>
      <c r="AB175" s="156" t="s">
        <v>312</v>
      </c>
      <c r="AD175" s="65">
        <f>IF($A157="","",$A157)</f>
        <v>46117</v>
      </c>
      <c r="AE175" s="9">
        <v>10478</v>
      </c>
      <c r="AF175" s="44">
        <f t="shared" si="216"/>
        <v>84</v>
      </c>
      <c r="AG175" s="9">
        <v>274</v>
      </c>
      <c r="AH175" s="23">
        <f t="shared" si="217"/>
        <v>1</v>
      </c>
      <c r="AI175" s="9">
        <v>12</v>
      </c>
      <c r="AJ175" s="44">
        <f t="shared" si="218"/>
        <v>1</v>
      </c>
      <c r="AK175" s="66">
        <v>3</v>
      </c>
      <c r="AL175" s="61" t="str">
        <f t="shared" si="219"/>
        <v>ゲーム機柄イヤホン</v>
      </c>
      <c r="AM175" s="62">
        <f t="shared" si="220"/>
        <v>770</v>
      </c>
      <c r="AN175" s="23">
        <f t="shared" si="221"/>
        <v>770</v>
      </c>
      <c r="AO175" s="24">
        <f t="shared" si="222"/>
        <v>9.166666666666666E-2</v>
      </c>
      <c r="AP175" s="11"/>
      <c r="AR175" s="65">
        <f>IF($A157="","",$A157)</f>
        <v>46117</v>
      </c>
      <c r="AS175" s="9">
        <v>1211</v>
      </c>
      <c r="AT175" s="44">
        <f t="shared" si="226"/>
        <v>76</v>
      </c>
      <c r="AU175" s="9">
        <v>1046</v>
      </c>
      <c r="AV175" s="23">
        <f t="shared" si="227"/>
        <v>5</v>
      </c>
      <c r="AW175" s="9">
        <v>21</v>
      </c>
      <c r="AX175" s="44">
        <f t="shared" si="228"/>
        <v>5</v>
      </c>
      <c r="AY175" s="66">
        <v>3</v>
      </c>
      <c r="AZ175" s="61" t="str">
        <f t="shared" si="229"/>
        <v>サンリオ千鳥格子フェイス</v>
      </c>
      <c r="BA175" s="62">
        <f t="shared" si="241"/>
        <v>700</v>
      </c>
      <c r="BB175" s="23">
        <f t="shared" si="230"/>
        <v>3500</v>
      </c>
      <c r="BC175" s="24">
        <f t="shared" si="223"/>
        <v>0.46052631578947367</v>
      </c>
      <c r="BD175" s="11" t="s">
        <v>305</v>
      </c>
      <c r="BF175" s="65">
        <f>IF($A157="","",$A157)</f>
        <v>46117</v>
      </c>
      <c r="BG175" s="9">
        <v>1271</v>
      </c>
      <c r="BH175" s="44">
        <f t="shared" si="231"/>
        <v>51</v>
      </c>
      <c r="BI175" s="9">
        <v>1039</v>
      </c>
      <c r="BJ175" s="23">
        <f t="shared" si="232"/>
        <v>6</v>
      </c>
      <c r="BK175" s="9">
        <v>6</v>
      </c>
      <c r="BL175" s="44">
        <f t="shared" si="233"/>
        <v>6</v>
      </c>
      <c r="BM175" s="66">
        <v>0</v>
      </c>
      <c r="BN175" s="61" t="str">
        <f t="shared" si="252"/>
        <v>キティしっぽ付きフェイス</v>
      </c>
      <c r="BO175" s="62">
        <f t="shared" si="253"/>
        <v>825</v>
      </c>
      <c r="BP175" s="23">
        <f t="shared" si="235"/>
        <v>4950</v>
      </c>
      <c r="BQ175" s="24">
        <f t="shared" si="224"/>
        <v>0.97058823529411764</v>
      </c>
      <c r="BR175" s="11" t="s">
        <v>306</v>
      </c>
      <c r="BT175" s="65">
        <f>IF($A157="","",$A157)</f>
        <v>46117</v>
      </c>
      <c r="BU175" s="9">
        <v>1188</v>
      </c>
      <c r="BV175" s="113">
        <f t="shared" si="236"/>
        <v>34</v>
      </c>
      <c r="BW175" s="9">
        <v>1043</v>
      </c>
      <c r="BX175" s="23">
        <f t="shared" si="237"/>
        <v>2</v>
      </c>
      <c r="BY175" s="9">
        <v>5</v>
      </c>
      <c r="BZ175" s="44">
        <f t="shared" si="238"/>
        <v>2</v>
      </c>
      <c r="CA175" s="66">
        <v>4</v>
      </c>
      <c r="CB175" s="61" t="str">
        <f t="shared" si="239"/>
        <v>ギャルキティポーチ</v>
      </c>
      <c r="CC175" s="62">
        <f t="shared" si="243"/>
        <v>935</v>
      </c>
      <c r="CD175" s="23">
        <f t="shared" si="240"/>
        <v>1870</v>
      </c>
      <c r="CE175" s="24">
        <f t="shared" si="225"/>
        <v>0.55000000000000004</v>
      </c>
      <c r="CF175" s="156" t="s">
        <v>312</v>
      </c>
    </row>
    <row r="176" spans="1:84" ht="15" customHeight="1">
      <c r="A176" s="12"/>
      <c r="B176" s="8"/>
      <c r="C176" s="9"/>
      <c r="D176" s="9" t="str">
        <f>IF(C176="","",C176-C174)</f>
        <v/>
      </c>
      <c r="E176" s="9"/>
      <c r="F176" s="9" t="str">
        <f>IF(E176="","",E176-E174)</f>
        <v/>
      </c>
      <c r="G176" s="9"/>
      <c r="H176" s="9" t="str">
        <f>IF(G176="","",G174+I174-G176)</f>
        <v/>
      </c>
      <c r="I176" s="9"/>
      <c r="J176" s="44"/>
      <c r="K176" s="44" t="str">
        <f>IF(C176="","",K174)</f>
        <v/>
      </c>
      <c r="L176" s="9" t="str">
        <f t="shared" si="244"/>
        <v/>
      </c>
      <c r="M176" s="10" t="str">
        <f t="shared" si="245"/>
        <v/>
      </c>
      <c r="N176" s="11"/>
      <c r="O176" s="2"/>
      <c r="P176" s="65"/>
      <c r="Q176" s="44">
        <v>12573</v>
      </c>
      <c r="R176" s="9">
        <f t="shared" si="209"/>
        <v>111</v>
      </c>
      <c r="S176" s="44">
        <v>272</v>
      </c>
      <c r="T176" s="9">
        <f t="shared" si="210"/>
        <v>1</v>
      </c>
      <c r="U176" s="9">
        <v>9</v>
      </c>
      <c r="V176" s="9">
        <f t="shared" si="211"/>
        <v>1</v>
      </c>
      <c r="W176" s="13">
        <v>0</v>
      </c>
      <c r="X176" s="47" t="str">
        <f t="shared" si="246"/>
        <v>キティしっぽ付ポーチ</v>
      </c>
      <c r="Y176" s="45">
        <f t="shared" si="247"/>
        <v>825</v>
      </c>
      <c r="Z176" s="9">
        <f t="shared" si="214"/>
        <v>825</v>
      </c>
      <c r="AA176" s="10">
        <f t="shared" si="215"/>
        <v>7.4324324324324328E-2</v>
      </c>
      <c r="AB176" s="156" t="s">
        <v>313</v>
      </c>
      <c r="AD176" s="65"/>
      <c r="AE176" s="44">
        <v>12983</v>
      </c>
      <c r="AF176" s="9">
        <f t="shared" si="216"/>
        <v>71</v>
      </c>
      <c r="AG176" s="44">
        <v>232</v>
      </c>
      <c r="AH176" s="9">
        <f t="shared" si="217"/>
        <v>2</v>
      </c>
      <c r="AI176" s="9">
        <v>12</v>
      </c>
      <c r="AJ176" s="9">
        <f t="shared" si="218"/>
        <v>2</v>
      </c>
      <c r="AK176" s="13">
        <v>0</v>
      </c>
      <c r="AL176" s="47" t="s">
        <v>54</v>
      </c>
      <c r="AM176" s="45">
        <f t="shared" ref="AM176:AM182" si="254">IF(AF176="","",AM172)</f>
        <v>538</v>
      </c>
      <c r="AN176" s="9">
        <f t="shared" si="221"/>
        <v>1076</v>
      </c>
      <c r="AO176" s="10">
        <f t="shared" si="222"/>
        <v>0.15154929577464787</v>
      </c>
      <c r="AP176" s="11"/>
      <c r="AR176" s="65"/>
      <c r="AS176" s="44">
        <v>1277</v>
      </c>
      <c r="AT176" s="9">
        <f t="shared" si="226"/>
        <v>124</v>
      </c>
      <c r="AU176" s="44">
        <v>1042</v>
      </c>
      <c r="AV176" s="9">
        <f t="shared" si="227"/>
        <v>3</v>
      </c>
      <c r="AW176" s="9">
        <v>12</v>
      </c>
      <c r="AX176" s="9">
        <f t="shared" si="228"/>
        <v>2</v>
      </c>
      <c r="AY176" s="13">
        <v>3</v>
      </c>
      <c r="AZ176" s="47" t="str">
        <f t="shared" si="229"/>
        <v>サンリオボアバンスクリップ</v>
      </c>
      <c r="BA176" s="45">
        <f t="shared" si="241"/>
        <v>1100</v>
      </c>
      <c r="BB176" s="9">
        <f t="shared" si="230"/>
        <v>2200</v>
      </c>
      <c r="BC176" s="10">
        <f t="shared" si="223"/>
        <v>0.17741935483870969</v>
      </c>
      <c r="BD176" s="11"/>
      <c r="BF176" s="65"/>
      <c r="BG176" s="44">
        <v>1141</v>
      </c>
      <c r="BH176" s="81">
        <f t="shared" si="231"/>
        <v>20</v>
      </c>
      <c r="BI176" s="44">
        <v>1055</v>
      </c>
      <c r="BJ176" s="9">
        <f t="shared" si="232"/>
        <v>6</v>
      </c>
      <c r="BK176" s="9">
        <v>7</v>
      </c>
      <c r="BL176" s="9">
        <f t="shared" si="233"/>
        <v>6</v>
      </c>
      <c r="BM176" s="13">
        <v>6</v>
      </c>
      <c r="BN176" s="47" t="str">
        <f t="shared" si="252"/>
        <v>キティ豹柄ミニマスコット</v>
      </c>
      <c r="BO176" s="45">
        <f t="shared" si="253"/>
        <v>0</v>
      </c>
      <c r="BP176" s="9">
        <f t="shared" si="235"/>
        <v>0</v>
      </c>
      <c r="BQ176" s="10">
        <f t="shared" si="224"/>
        <v>0</v>
      </c>
      <c r="BR176" s="129" t="s">
        <v>308</v>
      </c>
      <c r="BT176" s="65"/>
      <c r="BU176" s="44">
        <v>1122</v>
      </c>
      <c r="BV176" s="81">
        <f t="shared" si="236"/>
        <v>17</v>
      </c>
      <c r="BW176" s="44">
        <v>1039</v>
      </c>
      <c r="BX176" s="9">
        <f t="shared" si="237"/>
        <v>1</v>
      </c>
      <c r="BY176" s="9">
        <v>19</v>
      </c>
      <c r="BZ176" s="9">
        <f t="shared" si="238"/>
        <v>1</v>
      </c>
      <c r="CA176" s="13">
        <v>10</v>
      </c>
      <c r="CB176" s="47" t="s">
        <v>304</v>
      </c>
      <c r="CC176" s="45">
        <v>517</v>
      </c>
      <c r="CD176" s="9">
        <f t="shared" si="240"/>
        <v>517</v>
      </c>
      <c r="CE176" s="10">
        <f t="shared" si="225"/>
        <v>0.30411764705882355</v>
      </c>
      <c r="CF176" s="129" t="s">
        <v>309</v>
      </c>
    </row>
    <row r="177" spans="1:84" ht="15" customHeight="1">
      <c r="A177" s="12"/>
      <c r="B177" s="8"/>
      <c r="C177" s="9"/>
      <c r="D177" s="9" t="str">
        <f>IF(C177="","",C177-C175)</f>
        <v/>
      </c>
      <c r="E177" s="9"/>
      <c r="F177" s="9" t="str">
        <f>IF(E177="","",E177-E175)</f>
        <v/>
      </c>
      <c r="G177" s="9"/>
      <c r="H177" s="9" t="str">
        <f>IF(G177="","",G175+I175-G177)</f>
        <v/>
      </c>
      <c r="I177" s="9"/>
      <c r="J177" s="44"/>
      <c r="K177" s="44" t="str">
        <f>IF(C177="","",K175)</f>
        <v/>
      </c>
      <c r="L177" s="9" t="str">
        <f t="shared" si="244"/>
        <v/>
      </c>
      <c r="M177" s="10" t="str">
        <f t="shared" si="245"/>
        <v/>
      </c>
      <c r="N177" s="11"/>
      <c r="O177" s="2"/>
      <c r="P177" s="12"/>
      <c r="Q177" s="9">
        <v>14539</v>
      </c>
      <c r="R177" s="9">
        <f t="shared" si="209"/>
        <v>145</v>
      </c>
      <c r="S177" s="9">
        <v>487</v>
      </c>
      <c r="T177" s="9">
        <f t="shared" si="210"/>
        <v>2</v>
      </c>
      <c r="U177" s="9">
        <v>9</v>
      </c>
      <c r="V177" s="9">
        <f t="shared" si="211"/>
        <v>2</v>
      </c>
      <c r="W177" s="38">
        <v>3</v>
      </c>
      <c r="X177" s="47" t="str">
        <f t="shared" si="246"/>
        <v>キティボアバンスクリップ</v>
      </c>
      <c r="Y177" s="9">
        <f t="shared" si="247"/>
        <v>1100</v>
      </c>
      <c r="Z177" s="9">
        <f t="shared" si="214"/>
        <v>2200</v>
      </c>
      <c r="AA177" s="10">
        <f t="shared" si="215"/>
        <v>0.15172413793103448</v>
      </c>
      <c r="AB177" s="156" t="s">
        <v>311</v>
      </c>
      <c r="AD177" s="12"/>
      <c r="AE177" s="9">
        <v>14103</v>
      </c>
      <c r="AF177" s="9">
        <f t="shared" si="216"/>
        <v>163</v>
      </c>
      <c r="AG177" s="9">
        <v>497</v>
      </c>
      <c r="AH177" s="9">
        <f t="shared" si="217"/>
        <v>4</v>
      </c>
      <c r="AI177" s="9">
        <v>5</v>
      </c>
      <c r="AJ177" s="9">
        <f t="shared" si="218"/>
        <v>3</v>
      </c>
      <c r="AK177" s="38">
        <v>0</v>
      </c>
      <c r="AL177" s="47" t="str">
        <f t="shared" ref="AL177:AL182" si="255">IF(AE177="","",AL173)</f>
        <v>ゲームアーク</v>
      </c>
      <c r="AM177" s="9">
        <f t="shared" si="254"/>
        <v>1100</v>
      </c>
      <c r="AN177" s="9">
        <f t="shared" si="221"/>
        <v>3300</v>
      </c>
      <c r="AO177" s="10">
        <f t="shared" si="222"/>
        <v>0.20245398773006135</v>
      </c>
      <c r="AP177" s="11"/>
      <c r="AR177" s="12"/>
      <c r="AS177" s="9">
        <v>1187</v>
      </c>
      <c r="AT177" s="81">
        <f t="shared" si="226"/>
        <v>26</v>
      </c>
      <c r="AU177" s="9">
        <v>1033</v>
      </c>
      <c r="AV177" s="9">
        <f t="shared" si="227"/>
        <v>1</v>
      </c>
      <c r="AW177" s="9">
        <v>7</v>
      </c>
      <c r="AX177" s="9">
        <f t="shared" si="228"/>
        <v>2</v>
      </c>
      <c r="AY177" s="38">
        <v>0</v>
      </c>
      <c r="AZ177" s="47" t="str">
        <f t="shared" si="229"/>
        <v>サンリオヒョウ柄バニティ</v>
      </c>
      <c r="BA177" s="9">
        <f t="shared" si="241"/>
        <v>1056</v>
      </c>
      <c r="BB177" s="9">
        <f t="shared" si="230"/>
        <v>2112</v>
      </c>
      <c r="BC177" s="10">
        <f t="shared" si="223"/>
        <v>0.81230769230769229</v>
      </c>
      <c r="BD177" s="11" t="s">
        <v>302</v>
      </c>
      <c r="BF177" s="12"/>
      <c r="BG177" s="9">
        <v>1244</v>
      </c>
      <c r="BH177" s="9">
        <f t="shared" si="231"/>
        <v>91</v>
      </c>
      <c r="BI177" s="9">
        <v>1034</v>
      </c>
      <c r="BJ177" s="9">
        <f t="shared" si="232"/>
        <v>3</v>
      </c>
      <c r="BK177" s="9">
        <v>7</v>
      </c>
      <c r="BL177" s="9">
        <f t="shared" si="233"/>
        <v>3</v>
      </c>
      <c r="BM177" s="38">
        <v>1</v>
      </c>
      <c r="BN177" s="47" t="str">
        <f t="shared" si="252"/>
        <v>サンリオヒョウ柄ポーチ</v>
      </c>
      <c r="BO177" s="9">
        <f t="shared" si="253"/>
        <v>935</v>
      </c>
      <c r="BP177" s="9">
        <f t="shared" si="235"/>
        <v>2805</v>
      </c>
      <c r="BQ177" s="10">
        <f t="shared" si="224"/>
        <v>0.30824175824175826</v>
      </c>
      <c r="BR177" s="11"/>
      <c r="BT177" s="12"/>
      <c r="BU177" s="9">
        <v>1175</v>
      </c>
      <c r="BV177" s="9">
        <f t="shared" si="236"/>
        <v>49</v>
      </c>
      <c r="BW177" s="9">
        <v>1048</v>
      </c>
      <c r="BX177" s="9">
        <f t="shared" si="237"/>
        <v>8</v>
      </c>
      <c r="BY177" s="9">
        <v>110</v>
      </c>
      <c r="BZ177" s="9">
        <f t="shared" si="238"/>
        <v>8</v>
      </c>
      <c r="CA177" s="38">
        <v>0</v>
      </c>
      <c r="CB177" s="47" t="str">
        <f t="shared" ref="CB177:CC182" si="256">IF(BU177="","",CB173)</f>
        <v>サンリオシューズ</v>
      </c>
      <c r="CC177" s="9">
        <f t="shared" si="256"/>
        <v>400</v>
      </c>
      <c r="CD177" s="9">
        <f t="shared" si="240"/>
        <v>3200</v>
      </c>
      <c r="CE177" s="10">
        <f t="shared" si="225"/>
        <v>0.65306122448979587</v>
      </c>
      <c r="CF177" s="130"/>
    </row>
    <row r="178" spans="1:84" ht="15" customHeight="1" thickBot="1">
      <c r="A178" s="12"/>
      <c r="B178" s="8"/>
      <c r="C178" s="9"/>
      <c r="D178" s="9" t="str">
        <f t="shared" ref="D178:D203" si="257">IF(C178="","",C178-C177)</f>
        <v/>
      </c>
      <c r="E178" s="9"/>
      <c r="F178" s="9" t="str">
        <f t="shared" ref="F178:F204" si="258">IF(E178="","",E178-E177)</f>
        <v/>
      </c>
      <c r="G178" s="9"/>
      <c r="H178" s="9" t="str">
        <f t="shared" ref="H178:H204" si="259">IF(G178="","",G177+I177-G178)</f>
        <v/>
      </c>
      <c r="I178" s="9"/>
      <c r="J178" s="44"/>
      <c r="K178" s="44" t="str">
        <f>IF(C178="","",K177)</f>
        <v/>
      </c>
      <c r="L178" s="9" t="str">
        <f t="shared" si="244"/>
        <v/>
      </c>
      <c r="M178" s="10" t="str">
        <f t="shared" si="245"/>
        <v/>
      </c>
      <c r="N178" s="11"/>
      <c r="O178" s="2"/>
      <c r="P178" s="18"/>
      <c r="Q178" s="19">
        <v>16658</v>
      </c>
      <c r="R178" s="19">
        <f t="shared" si="209"/>
        <v>365</v>
      </c>
      <c r="S178" s="19">
        <v>418</v>
      </c>
      <c r="T178" s="19">
        <f t="shared" si="210"/>
        <v>11</v>
      </c>
      <c r="U178" s="19">
        <v>0</v>
      </c>
      <c r="V178" s="19">
        <f t="shared" si="211"/>
        <v>11</v>
      </c>
      <c r="W178" s="37">
        <v>16</v>
      </c>
      <c r="X178" s="48" t="str">
        <f t="shared" si="246"/>
        <v>バタースクイーズ</v>
      </c>
      <c r="Y178" s="51">
        <f t="shared" si="247"/>
        <v>440</v>
      </c>
      <c r="Z178" s="19">
        <f t="shared" si="214"/>
        <v>4840</v>
      </c>
      <c r="AA178" s="20">
        <f t="shared" si="215"/>
        <v>0.1326027397260274</v>
      </c>
      <c r="AB178" s="11"/>
      <c r="AD178" s="18"/>
      <c r="AE178" s="19">
        <v>18247</v>
      </c>
      <c r="AF178" s="19">
        <f t="shared" si="216"/>
        <v>383</v>
      </c>
      <c r="AG178" s="19">
        <v>662</v>
      </c>
      <c r="AH178" s="19">
        <f t="shared" si="217"/>
        <v>15</v>
      </c>
      <c r="AI178" s="19">
        <v>25</v>
      </c>
      <c r="AJ178" s="19">
        <f t="shared" si="218"/>
        <v>18</v>
      </c>
      <c r="AK178" s="37">
        <v>14</v>
      </c>
      <c r="AL178" s="48" t="str">
        <f t="shared" si="255"/>
        <v>ボンドロシール</v>
      </c>
      <c r="AM178" s="51">
        <f t="shared" si="254"/>
        <v>150</v>
      </c>
      <c r="AN178" s="19">
        <f t="shared" si="221"/>
        <v>2700</v>
      </c>
      <c r="AO178" s="20">
        <f t="shared" si="222"/>
        <v>7.0496083550913843E-2</v>
      </c>
      <c r="AP178" s="11"/>
      <c r="AR178" s="18"/>
      <c r="AS178" s="19">
        <v>1111</v>
      </c>
      <c r="AT178" s="82">
        <f t="shared" si="226"/>
        <v>21</v>
      </c>
      <c r="AU178" s="19">
        <v>1033</v>
      </c>
      <c r="AV178" s="19">
        <f t="shared" si="227"/>
        <v>1</v>
      </c>
      <c r="AW178" s="19">
        <v>13</v>
      </c>
      <c r="AX178" s="19">
        <f t="shared" si="228"/>
        <v>1</v>
      </c>
      <c r="AY178" s="37">
        <v>3</v>
      </c>
      <c r="AZ178" s="48" t="str">
        <f t="shared" si="229"/>
        <v>サンリオヒョウ柄フェイス</v>
      </c>
      <c r="BA178" s="51">
        <f t="shared" si="241"/>
        <v>792</v>
      </c>
      <c r="BB178" s="19">
        <f t="shared" si="230"/>
        <v>792</v>
      </c>
      <c r="BC178" s="20">
        <f t="shared" si="223"/>
        <v>0.37714285714285717</v>
      </c>
      <c r="BD178" s="129" t="s">
        <v>310</v>
      </c>
      <c r="BF178" s="18"/>
      <c r="BG178" s="19">
        <v>1360</v>
      </c>
      <c r="BH178" s="19">
        <f t="shared" si="231"/>
        <v>139</v>
      </c>
      <c r="BI178" s="19">
        <v>1081</v>
      </c>
      <c r="BJ178" s="19">
        <f t="shared" si="232"/>
        <v>25</v>
      </c>
      <c r="BK178" s="19">
        <v>126</v>
      </c>
      <c r="BL178" s="19">
        <f t="shared" si="233"/>
        <v>25</v>
      </c>
      <c r="BM178" s="37">
        <v>20</v>
      </c>
      <c r="BN178" s="48" t="str">
        <f t="shared" si="252"/>
        <v>キティボールペン</v>
      </c>
      <c r="BO178" s="51">
        <f t="shared" si="253"/>
        <v>283</v>
      </c>
      <c r="BP178" s="19">
        <f t="shared" si="235"/>
        <v>7075</v>
      </c>
      <c r="BQ178" s="20">
        <f t="shared" si="224"/>
        <v>0.50899280575539574</v>
      </c>
      <c r="BR178" s="11" t="s">
        <v>303</v>
      </c>
      <c r="BT178" s="18"/>
      <c r="BU178" s="19">
        <v>1258</v>
      </c>
      <c r="BV178" s="19">
        <f t="shared" si="236"/>
        <v>117</v>
      </c>
      <c r="BW178" s="19">
        <v>1032</v>
      </c>
      <c r="BX178" s="19">
        <f t="shared" si="237"/>
        <v>2</v>
      </c>
      <c r="BY178" s="19">
        <v>8</v>
      </c>
      <c r="BZ178" s="19">
        <f t="shared" si="238"/>
        <v>2</v>
      </c>
      <c r="CA178" s="37">
        <v>0</v>
      </c>
      <c r="CB178" s="48" t="str">
        <f t="shared" si="256"/>
        <v>サンリオボアミラー</v>
      </c>
      <c r="CC178" s="51">
        <f t="shared" si="256"/>
        <v>1100</v>
      </c>
      <c r="CD178" s="19">
        <f t="shared" si="240"/>
        <v>2200</v>
      </c>
      <c r="CE178" s="20">
        <f t="shared" si="225"/>
        <v>0.18803418803418803</v>
      </c>
      <c r="CF178" s="130"/>
    </row>
    <row r="179" spans="1:84" ht="15" customHeight="1" thickTop="1">
      <c r="A179" s="12"/>
      <c r="B179" s="8"/>
      <c r="C179" s="9"/>
      <c r="D179" s="9" t="str">
        <f t="shared" si="257"/>
        <v/>
      </c>
      <c r="E179" s="9"/>
      <c r="F179" s="9" t="str">
        <f t="shared" si="258"/>
        <v/>
      </c>
      <c r="G179" s="9"/>
      <c r="H179" s="9" t="str">
        <f t="shared" si="259"/>
        <v/>
      </c>
      <c r="I179" s="9"/>
      <c r="J179" s="44"/>
      <c r="K179" s="44" t="str">
        <f>IF(C179="","",K178)</f>
        <v/>
      </c>
      <c r="L179" s="9" t="str">
        <f t="shared" si="244"/>
        <v/>
      </c>
      <c r="M179" s="10" t="str">
        <f t="shared" si="245"/>
        <v/>
      </c>
      <c r="N179" s="11"/>
      <c r="O179" s="2"/>
      <c r="P179" s="65">
        <f>IF($A158="","",$A158)</f>
        <v>46122</v>
      </c>
      <c r="Q179" s="9">
        <v>13197</v>
      </c>
      <c r="R179" s="44">
        <f t="shared" si="209"/>
        <v>120</v>
      </c>
      <c r="S179" s="9">
        <v>385</v>
      </c>
      <c r="T179" s="23">
        <f t="shared" si="210"/>
        <v>4</v>
      </c>
      <c r="U179" s="9">
        <v>11</v>
      </c>
      <c r="V179" s="44">
        <f t="shared" si="211"/>
        <v>2</v>
      </c>
      <c r="W179" s="66">
        <v>0</v>
      </c>
      <c r="X179" s="61" t="str">
        <f t="shared" si="246"/>
        <v>キティ豹柄キーケース</v>
      </c>
      <c r="Y179" s="62">
        <f t="shared" si="247"/>
        <v>996</v>
      </c>
      <c r="Z179" s="23">
        <f t="shared" si="214"/>
        <v>1992</v>
      </c>
      <c r="AA179" s="24">
        <f t="shared" si="215"/>
        <v>0.16600000000000001</v>
      </c>
      <c r="AB179" s="11"/>
      <c r="AD179" s="65">
        <f>IF($A158="","",$A158)</f>
        <v>46122</v>
      </c>
      <c r="AE179" s="9">
        <v>10568</v>
      </c>
      <c r="AF179" s="44">
        <f t="shared" si="216"/>
        <v>90</v>
      </c>
      <c r="AG179" s="9">
        <v>279</v>
      </c>
      <c r="AH179" s="23">
        <f t="shared" si="217"/>
        <v>5</v>
      </c>
      <c r="AI179" s="9">
        <v>10</v>
      </c>
      <c r="AJ179" s="44">
        <f t="shared" si="218"/>
        <v>5</v>
      </c>
      <c r="AK179" s="66">
        <v>0</v>
      </c>
      <c r="AL179" s="61" t="str">
        <f t="shared" si="255"/>
        <v>ゲーム機柄イヤホン</v>
      </c>
      <c r="AM179" s="62">
        <f t="shared" si="254"/>
        <v>770</v>
      </c>
      <c r="AN179" s="23">
        <f t="shared" si="221"/>
        <v>3850</v>
      </c>
      <c r="AO179" s="24">
        <f t="shared" si="222"/>
        <v>0.42777777777777776</v>
      </c>
      <c r="AP179" s="129" t="s">
        <v>314</v>
      </c>
      <c r="AR179" s="65">
        <f>IF($A158="","",$A158)</f>
        <v>46122</v>
      </c>
      <c r="AS179" s="9">
        <v>1242</v>
      </c>
      <c r="AT179" s="44">
        <f t="shared" si="226"/>
        <v>31</v>
      </c>
      <c r="AU179" s="9">
        <v>1047</v>
      </c>
      <c r="AV179" s="23">
        <f t="shared" si="227"/>
        <v>1</v>
      </c>
      <c r="AW179" s="9">
        <v>21</v>
      </c>
      <c r="AX179" s="44">
        <f t="shared" si="228"/>
        <v>3</v>
      </c>
      <c r="AY179" s="66">
        <v>0</v>
      </c>
      <c r="AZ179" s="61" t="str">
        <f t="shared" si="229"/>
        <v>サンリオ千鳥格子フェイス</v>
      </c>
      <c r="BA179" s="62">
        <f t="shared" si="241"/>
        <v>700</v>
      </c>
      <c r="BB179" s="23">
        <f t="shared" si="230"/>
        <v>2100</v>
      </c>
      <c r="BC179" s="24">
        <f t="shared" si="223"/>
        <v>0.67741935483870963</v>
      </c>
      <c r="BD179" s="11"/>
      <c r="BF179" s="65">
        <f>IF($A158="","",$A158)</f>
        <v>46122</v>
      </c>
      <c r="BG179" s="9">
        <v>1319</v>
      </c>
      <c r="BH179" s="44">
        <f t="shared" si="231"/>
        <v>48</v>
      </c>
      <c r="BI179" s="9">
        <v>1040</v>
      </c>
      <c r="BJ179" s="23">
        <f t="shared" si="232"/>
        <v>1</v>
      </c>
      <c r="BK179" s="9">
        <v>6</v>
      </c>
      <c r="BL179" s="44">
        <f t="shared" si="233"/>
        <v>0</v>
      </c>
      <c r="BM179" s="66">
        <v>6</v>
      </c>
      <c r="BN179" s="61" t="str">
        <f t="shared" si="252"/>
        <v>キティしっぽ付きフェイス</v>
      </c>
      <c r="BO179" s="62">
        <f t="shared" si="253"/>
        <v>825</v>
      </c>
      <c r="BP179" s="23">
        <f t="shared" si="235"/>
        <v>0</v>
      </c>
      <c r="BQ179" s="24">
        <f t="shared" si="224"/>
        <v>0</v>
      </c>
      <c r="BR179" s="11"/>
      <c r="BT179" s="65">
        <f>IF($A158="","",$A158)</f>
        <v>46122</v>
      </c>
      <c r="BU179" s="9">
        <v>1223</v>
      </c>
      <c r="BV179" s="44">
        <f t="shared" si="236"/>
        <v>35</v>
      </c>
      <c r="BW179" s="9">
        <v>1045</v>
      </c>
      <c r="BX179" s="23">
        <f t="shared" si="237"/>
        <v>2</v>
      </c>
      <c r="BY179" s="9">
        <v>8</v>
      </c>
      <c r="BZ179" s="44">
        <f t="shared" si="238"/>
        <v>1</v>
      </c>
      <c r="CA179" s="66">
        <v>2</v>
      </c>
      <c r="CB179" s="61" t="str">
        <f t="shared" si="256"/>
        <v>ギャルキティポーチ</v>
      </c>
      <c r="CC179" s="62">
        <f t="shared" si="256"/>
        <v>935</v>
      </c>
      <c r="CD179" s="23">
        <f t="shared" si="240"/>
        <v>935</v>
      </c>
      <c r="CE179" s="24">
        <f t="shared" si="225"/>
        <v>0.26714285714285713</v>
      </c>
      <c r="CF179" s="11"/>
    </row>
    <row r="180" spans="1:84" ht="15" customHeight="1">
      <c r="A180" s="12"/>
      <c r="B180" s="8"/>
      <c r="C180" s="9"/>
      <c r="D180" s="9" t="str">
        <f t="shared" si="257"/>
        <v/>
      </c>
      <c r="E180" s="9"/>
      <c r="F180" s="9" t="str">
        <f t="shared" si="258"/>
        <v/>
      </c>
      <c r="G180" s="9"/>
      <c r="H180" s="9" t="str">
        <f t="shared" si="259"/>
        <v/>
      </c>
      <c r="I180" s="9"/>
      <c r="J180" s="44"/>
      <c r="K180" s="44" t="str">
        <f>IF(C180="","",K179)</f>
        <v/>
      </c>
      <c r="L180" s="9" t="str">
        <f t="shared" si="244"/>
        <v/>
      </c>
      <c r="M180" s="10" t="str">
        <f t="shared" si="245"/>
        <v/>
      </c>
      <c r="N180" s="11"/>
      <c r="O180" s="2"/>
      <c r="P180" s="12"/>
      <c r="Q180" s="44">
        <v>12632</v>
      </c>
      <c r="R180" s="9">
        <f t="shared" si="209"/>
        <v>59</v>
      </c>
      <c r="S180" s="44">
        <v>272</v>
      </c>
      <c r="T180" s="9">
        <f t="shared" si="210"/>
        <v>0</v>
      </c>
      <c r="U180" s="9">
        <v>9</v>
      </c>
      <c r="V180" s="9">
        <f t="shared" si="211"/>
        <v>0</v>
      </c>
      <c r="W180" s="13">
        <v>3</v>
      </c>
      <c r="X180" s="47" t="str">
        <f t="shared" si="246"/>
        <v>キティしっぽ付ポーチ</v>
      </c>
      <c r="Y180" s="45">
        <f t="shared" si="247"/>
        <v>825</v>
      </c>
      <c r="Z180" s="9">
        <f t="shared" si="214"/>
        <v>0</v>
      </c>
      <c r="AA180" s="10">
        <f t="shared" si="215"/>
        <v>0</v>
      </c>
      <c r="AB180" s="11" t="s">
        <v>316</v>
      </c>
      <c r="AD180" s="12"/>
      <c r="AE180" s="44">
        <v>13126</v>
      </c>
      <c r="AF180" s="9">
        <f t="shared" si="216"/>
        <v>143</v>
      </c>
      <c r="AG180" s="44">
        <v>234</v>
      </c>
      <c r="AH180" s="9">
        <f t="shared" si="217"/>
        <v>2</v>
      </c>
      <c r="AI180" s="9">
        <v>11</v>
      </c>
      <c r="AJ180" s="9">
        <f t="shared" si="218"/>
        <v>1</v>
      </c>
      <c r="AK180" s="13">
        <v>0</v>
      </c>
      <c r="AL180" s="47" t="str">
        <f t="shared" si="255"/>
        <v>デジタルミニカメラ</v>
      </c>
      <c r="AM180" s="45">
        <f t="shared" si="254"/>
        <v>538</v>
      </c>
      <c r="AN180" s="9">
        <f t="shared" si="221"/>
        <v>538</v>
      </c>
      <c r="AO180" s="10">
        <f t="shared" si="222"/>
        <v>3.762237762237762E-2</v>
      </c>
      <c r="AP180" s="144" t="s">
        <v>118</v>
      </c>
      <c r="AR180" s="12"/>
      <c r="AS180" s="44">
        <v>1308</v>
      </c>
      <c r="AT180" s="9">
        <f t="shared" si="226"/>
        <v>31</v>
      </c>
      <c r="AU180" s="44">
        <v>1043</v>
      </c>
      <c r="AV180" s="9">
        <f t="shared" si="227"/>
        <v>1</v>
      </c>
      <c r="AW180" s="9">
        <v>14</v>
      </c>
      <c r="AX180" s="9">
        <f t="shared" si="228"/>
        <v>1</v>
      </c>
      <c r="AY180" s="13">
        <v>0</v>
      </c>
      <c r="AZ180" s="47" t="str">
        <f t="shared" si="229"/>
        <v>サンリオボアバンスクリップ</v>
      </c>
      <c r="BA180" s="45">
        <f t="shared" si="241"/>
        <v>1100</v>
      </c>
      <c r="BB180" s="9">
        <f t="shared" si="230"/>
        <v>1100</v>
      </c>
      <c r="BC180" s="10">
        <f t="shared" si="223"/>
        <v>0.35483870967741937</v>
      </c>
      <c r="BD180" s="11"/>
      <c r="BF180" s="12"/>
      <c r="BG180" s="44">
        <v>1158</v>
      </c>
      <c r="BH180" s="9">
        <f t="shared" si="231"/>
        <v>17</v>
      </c>
      <c r="BI180" s="44">
        <v>1057</v>
      </c>
      <c r="BJ180" s="9">
        <f t="shared" si="232"/>
        <v>2</v>
      </c>
      <c r="BK180" s="9">
        <v>11</v>
      </c>
      <c r="BL180" s="9">
        <f t="shared" si="233"/>
        <v>2</v>
      </c>
      <c r="BM180" s="13">
        <v>5</v>
      </c>
      <c r="BN180" s="47" t="str">
        <f t="shared" si="252"/>
        <v>キティ豹柄ミニマスコット</v>
      </c>
      <c r="BO180" s="45">
        <f t="shared" si="253"/>
        <v>0</v>
      </c>
      <c r="BP180" s="9">
        <f t="shared" si="235"/>
        <v>0</v>
      </c>
      <c r="BQ180" s="10">
        <f t="shared" si="224"/>
        <v>0</v>
      </c>
      <c r="BR180" s="11" t="s">
        <v>318</v>
      </c>
      <c r="BT180" s="12"/>
      <c r="BU180" s="44">
        <v>1134</v>
      </c>
      <c r="BV180" s="9">
        <f t="shared" si="236"/>
        <v>12</v>
      </c>
      <c r="BW180" s="44">
        <v>1039</v>
      </c>
      <c r="BX180" s="9">
        <f t="shared" si="237"/>
        <v>0</v>
      </c>
      <c r="BY180" s="9">
        <v>29</v>
      </c>
      <c r="BZ180" s="9">
        <f t="shared" si="238"/>
        <v>0</v>
      </c>
      <c r="CA180" s="13">
        <v>-17</v>
      </c>
      <c r="CB180" s="47" t="str">
        <f t="shared" si="256"/>
        <v>キティ豹柄リボンポーチ</v>
      </c>
      <c r="CC180" s="45">
        <f t="shared" si="256"/>
        <v>517</v>
      </c>
      <c r="CD180" s="9">
        <f t="shared" si="240"/>
        <v>0</v>
      </c>
      <c r="CE180" s="10">
        <f t="shared" si="225"/>
        <v>0</v>
      </c>
      <c r="CF180" s="11" t="s">
        <v>321</v>
      </c>
    </row>
    <row r="181" spans="1:84">
      <c r="A181" s="12"/>
      <c r="B181" s="8"/>
      <c r="C181" s="9"/>
      <c r="D181" s="9" t="str">
        <f t="shared" si="257"/>
        <v/>
      </c>
      <c r="E181" s="9"/>
      <c r="F181" s="9" t="str">
        <f t="shared" si="258"/>
        <v/>
      </c>
      <c r="G181" s="9"/>
      <c r="H181" s="9" t="str">
        <f t="shared" si="259"/>
        <v/>
      </c>
      <c r="I181" s="9"/>
      <c r="J181" s="9"/>
      <c r="K181" s="9"/>
      <c r="L181" s="9" t="str">
        <f t="shared" si="244"/>
        <v/>
      </c>
      <c r="M181" s="10" t="str">
        <f t="shared" si="245"/>
        <v/>
      </c>
      <c r="N181" s="11"/>
      <c r="O181" s="2"/>
      <c r="P181" s="12"/>
      <c r="Q181" s="9">
        <v>14640</v>
      </c>
      <c r="R181" s="9">
        <f t="shared" si="209"/>
        <v>101</v>
      </c>
      <c r="S181" s="9">
        <v>489</v>
      </c>
      <c r="T181" s="9">
        <f t="shared" si="210"/>
        <v>2</v>
      </c>
      <c r="U181" s="9">
        <v>10</v>
      </c>
      <c r="V181" s="9">
        <f t="shared" si="211"/>
        <v>2</v>
      </c>
      <c r="W181" s="38">
        <v>0</v>
      </c>
      <c r="X181" s="47" t="str">
        <f t="shared" si="246"/>
        <v>キティボアバンスクリップ</v>
      </c>
      <c r="Y181" s="9">
        <f t="shared" si="247"/>
        <v>1100</v>
      </c>
      <c r="Z181" s="9">
        <f t="shared" si="214"/>
        <v>2200</v>
      </c>
      <c r="AA181" s="10">
        <f t="shared" si="215"/>
        <v>0.21782178217821782</v>
      </c>
      <c r="AB181" s="11"/>
      <c r="AD181" s="12"/>
      <c r="AE181" s="9">
        <v>14216</v>
      </c>
      <c r="AF181" s="9">
        <f t="shared" si="216"/>
        <v>113</v>
      </c>
      <c r="AG181" s="9">
        <v>498</v>
      </c>
      <c r="AH181" s="9">
        <f t="shared" si="217"/>
        <v>1</v>
      </c>
      <c r="AI181" s="9">
        <v>4</v>
      </c>
      <c r="AJ181" s="9">
        <f t="shared" si="218"/>
        <v>1</v>
      </c>
      <c r="AK181" s="38">
        <v>10</v>
      </c>
      <c r="AL181" s="47" t="str">
        <f t="shared" si="255"/>
        <v>ゲームアーク</v>
      </c>
      <c r="AM181" s="9">
        <f t="shared" si="254"/>
        <v>1100</v>
      </c>
      <c r="AN181" s="9">
        <f t="shared" si="221"/>
        <v>1100</v>
      </c>
      <c r="AO181" s="10">
        <f t="shared" si="222"/>
        <v>9.7345132743362831E-2</v>
      </c>
      <c r="AP181" s="11" t="s">
        <v>315</v>
      </c>
      <c r="AR181" s="12"/>
      <c r="AS181" s="9">
        <v>1225</v>
      </c>
      <c r="AT181" s="9">
        <f t="shared" si="226"/>
        <v>38</v>
      </c>
      <c r="AU181" s="9">
        <v>1034</v>
      </c>
      <c r="AV181" s="9">
        <f t="shared" si="227"/>
        <v>1</v>
      </c>
      <c r="AW181" s="9">
        <v>6</v>
      </c>
      <c r="AX181" s="9">
        <f t="shared" si="228"/>
        <v>1</v>
      </c>
      <c r="AY181" s="38">
        <v>3</v>
      </c>
      <c r="AZ181" s="47" t="str">
        <f t="shared" si="229"/>
        <v>サンリオヒョウ柄バニティ</v>
      </c>
      <c r="BA181" s="9">
        <f t="shared" si="241"/>
        <v>1056</v>
      </c>
      <c r="BB181" s="9">
        <f t="shared" si="230"/>
        <v>1056</v>
      </c>
      <c r="BC181" s="10">
        <f t="shared" si="223"/>
        <v>0.27789473684210525</v>
      </c>
      <c r="BD181" s="11"/>
      <c r="BF181" s="12"/>
      <c r="BG181" s="9">
        <v>1278</v>
      </c>
      <c r="BH181" s="9">
        <f t="shared" si="231"/>
        <v>34</v>
      </c>
      <c r="BI181" s="9">
        <v>1035</v>
      </c>
      <c r="BJ181" s="9">
        <f t="shared" si="232"/>
        <v>1</v>
      </c>
      <c r="BK181" s="9">
        <v>7</v>
      </c>
      <c r="BL181" s="9">
        <f t="shared" si="233"/>
        <v>1</v>
      </c>
      <c r="BM181" s="38">
        <v>4</v>
      </c>
      <c r="BN181" s="47" t="str">
        <f t="shared" si="252"/>
        <v>サンリオヒョウ柄ポーチ</v>
      </c>
      <c r="BO181" s="9">
        <f t="shared" si="253"/>
        <v>935</v>
      </c>
      <c r="BP181" s="9">
        <f t="shared" si="235"/>
        <v>935</v>
      </c>
      <c r="BQ181" s="10">
        <f t="shared" si="224"/>
        <v>0.27500000000000002</v>
      </c>
      <c r="BR181" s="11"/>
      <c r="BT181" s="12"/>
      <c r="BU181" s="9">
        <v>1186</v>
      </c>
      <c r="BV181" s="9">
        <f t="shared" si="236"/>
        <v>11</v>
      </c>
      <c r="BW181" s="9">
        <v>1049</v>
      </c>
      <c r="BX181" s="9">
        <f t="shared" si="237"/>
        <v>1</v>
      </c>
      <c r="BY181" s="9">
        <v>108</v>
      </c>
      <c r="BZ181" s="9">
        <f t="shared" si="238"/>
        <v>2</v>
      </c>
      <c r="CA181" s="38">
        <v>20</v>
      </c>
      <c r="CB181" s="47" t="str">
        <f t="shared" si="256"/>
        <v>サンリオシューズ</v>
      </c>
      <c r="CC181" s="9">
        <f t="shared" si="256"/>
        <v>400</v>
      </c>
      <c r="CD181" s="9">
        <f t="shared" si="240"/>
        <v>800</v>
      </c>
      <c r="CE181" s="10">
        <f t="shared" si="225"/>
        <v>0.72727272727272729</v>
      </c>
      <c r="CF181" s="11" t="s">
        <v>319</v>
      </c>
    </row>
    <row r="182" spans="1:84" ht="15" customHeight="1" thickBot="1">
      <c r="A182" s="12"/>
      <c r="B182" s="8"/>
      <c r="C182" s="9"/>
      <c r="D182" s="9" t="str">
        <f t="shared" si="257"/>
        <v/>
      </c>
      <c r="E182" s="9"/>
      <c r="F182" s="9" t="str">
        <f t="shared" si="258"/>
        <v/>
      </c>
      <c r="G182" s="9"/>
      <c r="H182" s="9" t="str">
        <f t="shared" si="259"/>
        <v/>
      </c>
      <c r="I182" s="9"/>
      <c r="J182" s="9"/>
      <c r="K182" s="9"/>
      <c r="L182" s="9" t="str">
        <f t="shared" si="244"/>
        <v/>
      </c>
      <c r="M182" s="10" t="str">
        <f t="shared" si="245"/>
        <v/>
      </c>
      <c r="N182" s="11"/>
      <c r="O182" s="2"/>
      <c r="P182" s="18"/>
      <c r="Q182" s="19">
        <v>17043</v>
      </c>
      <c r="R182" s="19">
        <f t="shared" si="209"/>
        <v>385</v>
      </c>
      <c r="S182" s="19">
        <v>424</v>
      </c>
      <c r="T182" s="19">
        <f t="shared" si="210"/>
        <v>6</v>
      </c>
      <c r="U182" s="19">
        <v>12</v>
      </c>
      <c r="V182" s="19">
        <f t="shared" si="211"/>
        <v>4</v>
      </c>
      <c r="W182" s="37">
        <v>4</v>
      </c>
      <c r="X182" s="48" t="str">
        <f t="shared" si="246"/>
        <v>バタースクイーズ</v>
      </c>
      <c r="Y182" s="51">
        <f t="shared" si="247"/>
        <v>440</v>
      </c>
      <c r="Z182" s="19">
        <f t="shared" si="214"/>
        <v>1760</v>
      </c>
      <c r="AA182" s="20">
        <f t="shared" si="215"/>
        <v>4.5714285714285714E-2</v>
      </c>
      <c r="AB182" s="11"/>
      <c r="AD182" s="18"/>
      <c r="AE182" s="19">
        <v>18558</v>
      </c>
      <c r="AF182" s="19">
        <f t="shared" si="216"/>
        <v>311</v>
      </c>
      <c r="AG182" s="19">
        <v>678</v>
      </c>
      <c r="AH182" s="19">
        <f t="shared" si="217"/>
        <v>16</v>
      </c>
      <c r="AI182" s="19">
        <v>22</v>
      </c>
      <c r="AJ182" s="19">
        <f t="shared" si="218"/>
        <v>17</v>
      </c>
      <c r="AK182" s="37">
        <v>24</v>
      </c>
      <c r="AL182" s="48" t="str">
        <f t="shared" si="255"/>
        <v>ボンドロシール</v>
      </c>
      <c r="AM182" s="51">
        <f t="shared" si="254"/>
        <v>150</v>
      </c>
      <c r="AN182" s="19">
        <f t="shared" si="221"/>
        <v>2550</v>
      </c>
      <c r="AO182" s="20">
        <f t="shared" si="222"/>
        <v>8.1993569131832797E-2</v>
      </c>
      <c r="AP182" s="11"/>
      <c r="AR182" s="18"/>
      <c r="AS182" s="19">
        <v>1119</v>
      </c>
      <c r="AT182" s="19">
        <f t="shared" si="226"/>
        <v>8</v>
      </c>
      <c r="AU182" s="19">
        <v>1034</v>
      </c>
      <c r="AV182" s="19">
        <f t="shared" si="227"/>
        <v>1</v>
      </c>
      <c r="AW182" s="19">
        <v>16</v>
      </c>
      <c r="AX182" s="19">
        <f t="shared" si="228"/>
        <v>0</v>
      </c>
      <c r="AY182" s="37">
        <v>-5</v>
      </c>
      <c r="AZ182" s="48" t="s">
        <v>317</v>
      </c>
      <c r="BA182" s="51">
        <v>1100</v>
      </c>
      <c r="BB182" s="19">
        <f t="shared" si="230"/>
        <v>0</v>
      </c>
      <c r="BC182" s="20">
        <f t="shared" si="223"/>
        <v>0</v>
      </c>
      <c r="BD182" s="11" t="s">
        <v>320</v>
      </c>
      <c r="BF182" s="18"/>
      <c r="BG182" s="19">
        <v>1428</v>
      </c>
      <c r="BH182" s="19">
        <f t="shared" si="231"/>
        <v>68</v>
      </c>
      <c r="BI182" s="19">
        <v>1091</v>
      </c>
      <c r="BJ182" s="19">
        <f t="shared" si="232"/>
        <v>10</v>
      </c>
      <c r="BK182" s="19">
        <v>130</v>
      </c>
      <c r="BL182" s="19">
        <f t="shared" si="233"/>
        <v>16</v>
      </c>
      <c r="BM182" s="37">
        <v>0</v>
      </c>
      <c r="BN182" s="48" t="str">
        <f t="shared" si="252"/>
        <v>キティボールペン</v>
      </c>
      <c r="BO182" s="51">
        <f t="shared" si="253"/>
        <v>283</v>
      </c>
      <c r="BP182" s="19">
        <f t="shared" si="235"/>
        <v>4528</v>
      </c>
      <c r="BQ182" s="20">
        <f t="shared" si="224"/>
        <v>0.66588235294117648</v>
      </c>
      <c r="BR182" s="11"/>
      <c r="BT182" s="18"/>
      <c r="BU182" s="19">
        <v>1289</v>
      </c>
      <c r="BV182" s="19">
        <f t="shared" si="236"/>
        <v>31</v>
      </c>
      <c r="BW182" s="19">
        <v>1034</v>
      </c>
      <c r="BX182" s="19">
        <f t="shared" si="237"/>
        <v>2</v>
      </c>
      <c r="BY182" s="19">
        <v>8</v>
      </c>
      <c r="BZ182" s="19">
        <f t="shared" si="238"/>
        <v>0</v>
      </c>
      <c r="CA182" s="37">
        <v>4</v>
      </c>
      <c r="CB182" s="48" t="str">
        <f t="shared" si="256"/>
        <v>サンリオボアミラー</v>
      </c>
      <c r="CC182" s="51">
        <f t="shared" si="256"/>
        <v>1100</v>
      </c>
      <c r="CD182" s="19">
        <f t="shared" si="240"/>
        <v>0</v>
      </c>
      <c r="CE182" s="20">
        <f t="shared" si="225"/>
        <v>0</v>
      </c>
      <c r="CF182" s="11"/>
    </row>
    <row r="183" spans="1:84" ht="15" customHeight="1" thickTop="1">
      <c r="A183" s="12"/>
      <c r="B183" s="8"/>
      <c r="C183" s="9"/>
      <c r="D183" s="9" t="str">
        <f t="shared" si="257"/>
        <v/>
      </c>
      <c r="E183" s="9"/>
      <c r="F183" s="9" t="str">
        <f t="shared" si="258"/>
        <v/>
      </c>
      <c r="G183" s="9"/>
      <c r="H183" s="9" t="str">
        <f t="shared" si="259"/>
        <v/>
      </c>
      <c r="I183" s="9"/>
      <c r="J183" s="9"/>
      <c r="K183" s="9"/>
      <c r="L183" s="9" t="str">
        <f t="shared" si="244"/>
        <v/>
      </c>
      <c r="M183" s="10" t="str">
        <f t="shared" si="245"/>
        <v/>
      </c>
      <c r="N183" s="11"/>
      <c r="O183" s="2"/>
      <c r="P183" s="65" t="str">
        <f>IF($A159="","",$A159)</f>
        <v/>
      </c>
      <c r="Q183" s="9"/>
      <c r="R183" s="44"/>
      <c r="S183" s="9"/>
      <c r="T183" s="23"/>
      <c r="U183" s="9"/>
      <c r="V183" s="44"/>
      <c r="W183" s="66"/>
      <c r="X183" s="61"/>
      <c r="Y183" s="62"/>
      <c r="Z183" s="23"/>
      <c r="AA183" s="24"/>
      <c r="AB183" s="11"/>
      <c r="AD183" s="65"/>
      <c r="AE183" s="9"/>
      <c r="AF183" s="44"/>
      <c r="AG183" s="9"/>
      <c r="AH183" s="23"/>
      <c r="AI183" s="9"/>
      <c r="AJ183" s="44"/>
      <c r="AK183" s="66"/>
      <c r="AL183" s="61"/>
      <c r="AM183" s="62"/>
      <c r="AN183" s="23"/>
      <c r="AO183" s="24"/>
      <c r="AP183" s="11"/>
      <c r="AR183" s="65"/>
      <c r="AS183" s="9"/>
      <c r="AT183" s="113"/>
      <c r="AU183" s="9"/>
      <c r="AV183" s="23"/>
      <c r="AW183" s="9"/>
      <c r="AX183" s="44"/>
      <c r="AY183" s="66"/>
      <c r="AZ183" s="61"/>
      <c r="BA183" s="62"/>
      <c r="BB183" s="23"/>
      <c r="BC183" s="24"/>
      <c r="BD183" s="11"/>
      <c r="BF183" s="65"/>
      <c r="BG183" s="9"/>
      <c r="BH183" s="44"/>
      <c r="BI183" s="9"/>
      <c r="BJ183" s="23"/>
      <c r="BK183" s="9"/>
      <c r="BL183" s="44"/>
      <c r="BM183" s="66"/>
      <c r="BN183" s="61"/>
      <c r="BO183" s="62"/>
      <c r="BP183" s="23"/>
      <c r="BQ183" s="24"/>
      <c r="BR183" s="11"/>
      <c r="BT183" s="65"/>
      <c r="BU183" s="9"/>
      <c r="BV183" s="113"/>
      <c r="BW183" s="9"/>
      <c r="BX183" s="23"/>
      <c r="BY183" s="9"/>
      <c r="BZ183" s="44"/>
      <c r="CA183" s="66"/>
      <c r="CB183" s="61"/>
      <c r="CC183" s="62"/>
      <c r="CD183" s="23"/>
      <c r="CE183" s="24"/>
      <c r="CF183" s="129"/>
    </row>
    <row r="184" spans="1:84" ht="15" customHeight="1">
      <c r="A184" s="12"/>
      <c r="B184" s="8"/>
      <c r="C184" s="9"/>
      <c r="D184" s="9" t="str">
        <f t="shared" si="257"/>
        <v/>
      </c>
      <c r="E184" s="9"/>
      <c r="F184" s="9" t="str">
        <f t="shared" si="258"/>
        <v/>
      </c>
      <c r="G184" s="9"/>
      <c r="H184" s="9" t="str">
        <f t="shared" si="259"/>
        <v/>
      </c>
      <c r="I184" s="9"/>
      <c r="J184" s="9"/>
      <c r="K184" s="9"/>
      <c r="L184" s="9" t="str">
        <f t="shared" si="244"/>
        <v/>
      </c>
      <c r="M184" s="10" t="str">
        <f t="shared" si="245"/>
        <v/>
      </c>
      <c r="N184" s="11"/>
      <c r="O184" s="2"/>
      <c r="P184" s="12"/>
      <c r="Q184" s="44"/>
      <c r="R184" s="9"/>
      <c r="S184" s="44"/>
      <c r="T184" s="9"/>
      <c r="U184" s="9"/>
      <c r="V184" s="9"/>
      <c r="W184" s="13"/>
      <c r="X184" s="47"/>
      <c r="Y184" s="45"/>
      <c r="Z184" s="9"/>
      <c r="AA184" s="10"/>
      <c r="AB184" s="11"/>
      <c r="AD184" s="12"/>
      <c r="AE184" s="44"/>
      <c r="AF184" s="9"/>
      <c r="AG184" s="44"/>
      <c r="AH184" s="9"/>
      <c r="AI184" s="9"/>
      <c r="AJ184" s="9"/>
      <c r="AK184" s="13"/>
      <c r="AL184" s="47"/>
      <c r="AM184" s="45"/>
      <c r="AN184" s="9"/>
      <c r="AO184" s="10"/>
      <c r="AP184" s="130"/>
      <c r="AR184" s="12"/>
      <c r="AS184" s="44"/>
      <c r="AT184" s="9"/>
      <c r="AU184" s="44"/>
      <c r="AV184" s="9"/>
      <c r="AW184" s="9"/>
      <c r="AX184" s="9"/>
      <c r="AY184" s="13"/>
      <c r="AZ184" s="47"/>
      <c r="BA184" s="45"/>
      <c r="BB184" s="9"/>
      <c r="BC184" s="10"/>
      <c r="BD184" s="11"/>
      <c r="BF184" s="12"/>
      <c r="BG184" s="44"/>
      <c r="BH184" s="81"/>
      <c r="BI184" s="44"/>
      <c r="BJ184" s="9"/>
      <c r="BK184" s="9"/>
      <c r="BL184" s="9"/>
      <c r="BM184" s="13"/>
      <c r="BN184" s="47"/>
      <c r="BO184" s="45"/>
      <c r="BP184" s="9"/>
      <c r="BQ184" s="10"/>
      <c r="BR184" s="11"/>
      <c r="BT184" s="12"/>
      <c r="BU184" s="44"/>
      <c r="BV184" s="81"/>
      <c r="BW184" s="44"/>
      <c r="BX184" s="9"/>
      <c r="BY184" s="9"/>
      <c r="BZ184" s="9"/>
      <c r="CA184" s="13"/>
      <c r="CB184" s="47"/>
      <c r="CC184" s="45"/>
      <c r="CD184" s="9"/>
      <c r="CE184" s="10"/>
      <c r="CF184" s="11"/>
    </row>
    <row r="185" spans="1:84" ht="15" customHeight="1">
      <c r="A185" s="12"/>
      <c r="B185" s="8"/>
      <c r="C185" s="9"/>
      <c r="D185" s="9" t="str">
        <f t="shared" si="257"/>
        <v/>
      </c>
      <c r="E185" s="9"/>
      <c r="F185" s="9" t="str">
        <f t="shared" si="258"/>
        <v/>
      </c>
      <c r="G185" s="9"/>
      <c r="H185" s="9" t="str">
        <f t="shared" si="259"/>
        <v/>
      </c>
      <c r="I185" s="9"/>
      <c r="J185" s="9"/>
      <c r="K185" s="9"/>
      <c r="L185" s="9" t="str">
        <f t="shared" si="244"/>
        <v/>
      </c>
      <c r="M185" s="10" t="str">
        <f t="shared" si="245"/>
        <v/>
      </c>
      <c r="N185" s="11"/>
      <c r="O185" s="2"/>
      <c r="P185" s="12"/>
      <c r="Q185" s="9"/>
      <c r="R185" s="9"/>
      <c r="S185" s="9"/>
      <c r="T185" s="9"/>
      <c r="U185" s="9"/>
      <c r="V185" s="9"/>
      <c r="W185" s="38"/>
      <c r="X185" s="47"/>
      <c r="Y185" s="9"/>
      <c r="Z185" s="9"/>
      <c r="AA185" s="10"/>
      <c r="AB185" s="11"/>
      <c r="AD185" s="12"/>
      <c r="AE185" s="9"/>
      <c r="AF185" s="9"/>
      <c r="AG185" s="9"/>
      <c r="AH185" s="9"/>
      <c r="AI185" s="9"/>
      <c r="AJ185" s="9"/>
      <c r="AK185" s="38"/>
      <c r="AL185" s="47"/>
      <c r="AM185" s="9"/>
      <c r="AN185" s="9"/>
      <c r="AO185" s="10"/>
      <c r="AP185" s="130"/>
      <c r="AR185" s="12"/>
      <c r="AS185" s="9"/>
      <c r="AT185" s="81"/>
      <c r="AU185" s="9"/>
      <c r="AV185" s="9"/>
      <c r="AW185" s="9"/>
      <c r="AX185" s="9"/>
      <c r="AY185" s="38"/>
      <c r="AZ185" s="47"/>
      <c r="BA185" s="9"/>
      <c r="BB185" s="9"/>
      <c r="BC185" s="10"/>
      <c r="BD185" s="11"/>
      <c r="BF185" s="12"/>
      <c r="BG185" s="9"/>
      <c r="BH185" s="9"/>
      <c r="BI185" s="9"/>
      <c r="BJ185" s="9"/>
      <c r="BK185" s="9"/>
      <c r="BL185" s="9"/>
      <c r="BM185" s="38"/>
      <c r="BN185" s="47"/>
      <c r="BO185" s="9"/>
      <c r="BP185" s="9"/>
      <c r="BQ185" s="10"/>
      <c r="BR185" s="11"/>
      <c r="BT185" s="12"/>
      <c r="BU185" s="9"/>
      <c r="BV185" s="9"/>
      <c r="BW185" s="9"/>
      <c r="BX185" s="9"/>
      <c r="BY185" s="9"/>
      <c r="BZ185" s="9"/>
      <c r="CA185" s="38"/>
      <c r="CB185" s="47"/>
      <c r="CC185" s="9"/>
      <c r="CD185" s="9"/>
      <c r="CE185" s="10"/>
      <c r="CF185" s="11"/>
    </row>
    <row r="186" spans="1:84" ht="15" customHeight="1" thickBot="1">
      <c r="A186" s="12"/>
      <c r="B186" s="8"/>
      <c r="C186" s="9"/>
      <c r="D186" s="9" t="str">
        <f t="shared" si="257"/>
        <v/>
      </c>
      <c r="E186" s="9"/>
      <c r="F186" s="9" t="str">
        <f t="shared" si="258"/>
        <v/>
      </c>
      <c r="G186" s="9"/>
      <c r="H186" s="9" t="str">
        <f t="shared" si="259"/>
        <v/>
      </c>
      <c r="I186" s="9"/>
      <c r="J186" s="9"/>
      <c r="K186" s="9"/>
      <c r="L186" s="9" t="str">
        <f t="shared" si="244"/>
        <v/>
      </c>
      <c r="M186" s="10" t="str">
        <f t="shared" si="245"/>
        <v/>
      </c>
      <c r="N186" s="11"/>
      <c r="O186" s="2"/>
      <c r="P186" s="18"/>
      <c r="Q186" s="19"/>
      <c r="R186" s="19"/>
      <c r="S186" s="19"/>
      <c r="T186" s="19"/>
      <c r="U186" s="19"/>
      <c r="V186" s="19"/>
      <c r="W186" s="37"/>
      <c r="X186" s="48"/>
      <c r="Y186" s="51"/>
      <c r="Z186" s="19"/>
      <c r="AA186" s="20"/>
      <c r="AB186" s="11"/>
      <c r="AD186" s="18"/>
      <c r="AE186" s="19"/>
      <c r="AF186" s="19"/>
      <c r="AG186" s="19"/>
      <c r="AH186" s="19"/>
      <c r="AI186" s="19"/>
      <c r="AJ186" s="19"/>
      <c r="AK186" s="37"/>
      <c r="AL186" s="48"/>
      <c r="AM186" s="51"/>
      <c r="AN186" s="19"/>
      <c r="AO186" s="20"/>
      <c r="AP186" s="11"/>
      <c r="AR186" s="18"/>
      <c r="AS186" s="19"/>
      <c r="AT186" s="19"/>
      <c r="AU186" s="19"/>
      <c r="AV186" s="19"/>
      <c r="AW186" s="19"/>
      <c r="AX186" s="19"/>
      <c r="AY186" s="37"/>
      <c r="AZ186" s="48"/>
      <c r="BA186" s="51"/>
      <c r="BB186" s="19"/>
      <c r="BC186" s="20"/>
      <c r="BD186" s="129"/>
      <c r="BF186" s="18"/>
      <c r="BG186" s="19"/>
      <c r="BH186" s="19"/>
      <c r="BI186" s="19"/>
      <c r="BJ186" s="19"/>
      <c r="BK186" s="19"/>
      <c r="BL186" s="19"/>
      <c r="BM186" s="37"/>
      <c r="BN186" s="48"/>
      <c r="BO186" s="51"/>
      <c r="BP186" s="19"/>
      <c r="BQ186" s="20"/>
      <c r="BR186" s="157"/>
      <c r="BT186" s="18"/>
      <c r="BU186" s="19"/>
      <c r="BV186" s="19"/>
      <c r="BW186" s="19"/>
      <c r="BX186" s="19"/>
      <c r="BY186" s="19"/>
      <c r="BZ186" s="19"/>
      <c r="CA186" s="37"/>
      <c r="CB186" s="48"/>
      <c r="CC186" s="51"/>
      <c r="CD186" s="19"/>
      <c r="CE186" s="20"/>
      <c r="CF186" s="11"/>
    </row>
    <row r="187" spans="1:84" ht="15" customHeight="1" thickTop="1">
      <c r="A187" s="12"/>
      <c r="B187" s="8"/>
      <c r="C187" s="9"/>
      <c r="D187" s="9" t="str">
        <f t="shared" si="257"/>
        <v/>
      </c>
      <c r="E187" s="9"/>
      <c r="F187" s="9" t="str">
        <f t="shared" si="258"/>
        <v/>
      </c>
      <c r="G187" s="9"/>
      <c r="H187" s="9" t="str">
        <f t="shared" si="259"/>
        <v/>
      </c>
      <c r="I187" s="9"/>
      <c r="J187" s="9"/>
      <c r="K187" s="9"/>
      <c r="L187" s="9" t="str">
        <f t="shared" si="244"/>
        <v/>
      </c>
      <c r="M187" s="10" t="str">
        <f t="shared" si="245"/>
        <v/>
      </c>
      <c r="N187" s="11"/>
      <c r="O187" s="2"/>
      <c r="P187" s="65" t="str">
        <f>IF($A160="","",$A160)</f>
        <v/>
      </c>
      <c r="Q187" s="44"/>
      <c r="R187" s="44" t="str">
        <f t="shared" ref="R187:R206" si="260">IF(Q187="","",Q187-Q183)</f>
        <v/>
      </c>
      <c r="S187" s="44"/>
      <c r="T187" s="23" t="str">
        <f t="shared" ref="T187:T206" si="261">IF(S187="","",S187-S183)</f>
        <v/>
      </c>
      <c r="U187" s="44"/>
      <c r="V187" s="44" t="str">
        <f t="shared" ref="V187:V206" si="262">IF(U187="","",U183+W183-U187)</f>
        <v/>
      </c>
      <c r="W187" s="66"/>
      <c r="X187" s="61" t="str">
        <f t="shared" ref="X187:Y191" si="263">IF(Q187="","",X183)</f>
        <v/>
      </c>
      <c r="Y187" s="62" t="str">
        <f t="shared" si="263"/>
        <v/>
      </c>
      <c r="Z187" s="23" t="str">
        <f t="shared" ref="Z187:Z206" si="264">IF(U187="","",V187*Y187)</f>
        <v/>
      </c>
      <c r="AA187" s="24" t="str">
        <f t="shared" ref="AA187:AA206" si="265">IF(V187="","",Z187/(R187*100))</f>
        <v/>
      </c>
      <c r="AB187" s="11"/>
      <c r="AD187" s="65" t="str">
        <f>IF($A160="","",$A160)</f>
        <v/>
      </c>
      <c r="AE187" s="44"/>
      <c r="AF187" s="44" t="str">
        <f t="shared" ref="AF187:AF206" si="266">IF(AE187="","",AE187-AE183)</f>
        <v/>
      </c>
      <c r="AG187" s="44"/>
      <c r="AH187" s="23" t="str">
        <f t="shared" ref="AH187:AH206" si="267">IF(AG187="","",AG187-AG183)</f>
        <v/>
      </c>
      <c r="AI187" s="44"/>
      <c r="AJ187" s="44" t="str">
        <f t="shared" ref="AJ187:AJ206" si="268">IF(AI187="","",AI183+AK183-AI187)</f>
        <v/>
      </c>
      <c r="AK187" s="66"/>
      <c r="AL187" s="61" t="str">
        <f t="shared" ref="AL187:AM191" si="269">IF(AE187="","",AL183)</f>
        <v/>
      </c>
      <c r="AM187" s="62" t="str">
        <f t="shared" si="269"/>
        <v/>
      </c>
      <c r="AN187" s="23" t="str">
        <f t="shared" ref="AN187:AN206" si="270">IF(AI187="","",AJ187*AM187)</f>
        <v/>
      </c>
      <c r="AO187" s="24" t="str">
        <f t="shared" ref="AO187:AO206" si="271">IF(AJ187="","",AN187/(AF187*100))</f>
        <v/>
      </c>
      <c r="AP187" s="11"/>
      <c r="AR187" s="65" t="str">
        <f>IF($A160="","",$A160)</f>
        <v/>
      </c>
      <c r="AS187" s="44"/>
      <c r="AT187" s="44" t="str">
        <f t="shared" si="226"/>
        <v/>
      </c>
      <c r="AU187" s="44"/>
      <c r="AV187" s="23" t="str">
        <f t="shared" si="227"/>
        <v/>
      </c>
      <c r="AW187" s="44"/>
      <c r="AX187" s="44" t="str">
        <f t="shared" si="228"/>
        <v/>
      </c>
      <c r="AY187" s="66"/>
      <c r="AZ187" s="61" t="str">
        <f t="shared" ref="AZ187:BA191" si="272">IF(AS187="","",AZ183)</f>
        <v/>
      </c>
      <c r="BA187" s="62" t="str">
        <f t="shared" si="272"/>
        <v/>
      </c>
      <c r="BB187" s="23" t="str">
        <f t="shared" si="230"/>
        <v/>
      </c>
      <c r="BC187" s="24" t="str">
        <f t="shared" ref="BC187:BC206" si="273">IF(AX187="","",BB187/(AT187*100))</f>
        <v/>
      </c>
      <c r="BD187" s="11"/>
      <c r="BF187" s="65" t="str">
        <f>IF($A160="","",$A160)</f>
        <v/>
      </c>
      <c r="BG187" s="44"/>
      <c r="BH187" s="44" t="str">
        <f t="shared" si="231"/>
        <v/>
      </c>
      <c r="BI187" s="44"/>
      <c r="BJ187" s="23" t="str">
        <f t="shared" si="232"/>
        <v/>
      </c>
      <c r="BK187" s="44"/>
      <c r="BL187" s="44" t="str">
        <f t="shared" si="233"/>
        <v/>
      </c>
      <c r="BM187" s="66"/>
      <c r="BN187" s="61" t="str">
        <f t="shared" ref="BN187:BO191" si="274">IF(BG187="","",BN183)</f>
        <v/>
      </c>
      <c r="BO187" s="62" t="str">
        <f t="shared" si="274"/>
        <v/>
      </c>
      <c r="BP187" s="23" t="str">
        <f t="shared" si="235"/>
        <v/>
      </c>
      <c r="BQ187" s="24" t="str">
        <f t="shared" ref="BQ187:BQ206" si="275">IF(BL187="","",BP187/(BH187*100))</f>
        <v/>
      </c>
      <c r="BR187" s="11"/>
      <c r="BT187" s="65" t="str">
        <f>IF($A160="","",$A160)</f>
        <v/>
      </c>
      <c r="BU187" s="44"/>
      <c r="BV187" s="44" t="str">
        <f t="shared" si="236"/>
        <v/>
      </c>
      <c r="BW187" s="44"/>
      <c r="BX187" s="23" t="str">
        <f t="shared" si="237"/>
        <v/>
      </c>
      <c r="BY187" s="44"/>
      <c r="BZ187" s="44" t="str">
        <f t="shared" si="238"/>
        <v/>
      </c>
      <c r="CA187" s="66"/>
      <c r="CB187" s="61" t="str">
        <f t="shared" ref="CB187:CC191" si="276">IF(BU187="","",CB183)</f>
        <v/>
      </c>
      <c r="CC187" s="62" t="str">
        <f t="shared" si="276"/>
        <v/>
      </c>
      <c r="CD187" s="23" t="str">
        <f t="shared" si="240"/>
        <v/>
      </c>
      <c r="CE187" s="24" t="str">
        <f t="shared" ref="CE187:CE206" si="277">IF(BZ187="","",CD187/(BV187*100))</f>
        <v/>
      </c>
      <c r="CF187" s="11"/>
    </row>
    <row r="188" spans="1:84">
      <c r="A188" s="12"/>
      <c r="B188" s="8"/>
      <c r="C188" s="9"/>
      <c r="D188" s="9" t="str">
        <f t="shared" si="257"/>
        <v/>
      </c>
      <c r="E188" s="9"/>
      <c r="F188" s="9" t="str">
        <f t="shared" si="258"/>
        <v/>
      </c>
      <c r="G188" s="9"/>
      <c r="H188" s="9" t="str">
        <f t="shared" si="259"/>
        <v/>
      </c>
      <c r="I188" s="9"/>
      <c r="J188" s="9"/>
      <c r="K188" s="9"/>
      <c r="L188" s="9" t="str">
        <f t="shared" si="244"/>
        <v/>
      </c>
      <c r="M188" s="10" t="str">
        <f t="shared" si="245"/>
        <v/>
      </c>
      <c r="N188" s="11"/>
      <c r="O188" s="2"/>
      <c r="P188" s="12"/>
      <c r="Q188" s="9"/>
      <c r="R188" s="44" t="str">
        <f t="shared" si="260"/>
        <v/>
      </c>
      <c r="S188" s="9"/>
      <c r="T188" s="9" t="str">
        <f t="shared" si="261"/>
        <v/>
      </c>
      <c r="U188" s="9"/>
      <c r="V188" s="9" t="str">
        <f t="shared" si="262"/>
        <v/>
      </c>
      <c r="W188" s="13"/>
      <c r="X188" s="47" t="str">
        <f t="shared" si="263"/>
        <v/>
      </c>
      <c r="Y188" s="45" t="str">
        <f t="shared" si="263"/>
        <v/>
      </c>
      <c r="Z188" s="9" t="str">
        <f t="shared" si="264"/>
        <v/>
      </c>
      <c r="AA188" s="10" t="str">
        <f t="shared" si="265"/>
        <v/>
      </c>
      <c r="AB188" s="11"/>
      <c r="AD188" s="12"/>
      <c r="AE188" s="9"/>
      <c r="AF188" s="44" t="str">
        <f t="shared" si="266"/>
        <v/>
      </c>
      <c r="AG188" s="9"/>
      <c r="AH188" s="9" t="str">
        <f t="shared" si="267"/>
        <v/>
      </c>
      <c r="AI188" s="9"/>
      <c r="AJ188" s="9" t="str">
        <f t="shared" si="268"/>
        <v/>
      </c>
      <c r="AK188" s="13"/>
      <c r="AL188" s="47" t="str">
        <f t="shared" si="269"/>
        <v/>
      </c>
      <c r="AM188" s="45" t="str">
        <f t="shared" si="269"/>
        <v/>
      </c>
      <c r="AN188" s="9" t="str">
        <f t="shared" si="270"/>
        <v/>
      </c>
      <c r="AO188" s="10" t="str">
        <f t="shared" si="271"/>
        <v/>
      </c>
      <c r="AP188" s="11"/>
      <c r="AR188" s="12"/>
      <c r="AS188" s="9"/>
      <c r="AT188" s="44" t="str">
        <f t="shared" si="226"/>
        <v/>
      </c>
      <c r="AU188" s="9"/>
      <c r="AV188" s="9" t="str">
        <f t="shared" si="227"/>
        <v/>
      </c>
      <c r="AW188" s="9"/>
      <c r="AX188" s="9" t="str">
        <f t="shared" si="228"/>
        <v/>
      </c>
      <c r="AY188" s="13"/>
      <c r="AZ188" s="47" t="str">
        <f t="shared" si="272"/>
        <v/>
      </c>
      <c r="BA188" s="45" t="str">
        <f t="shared" si="272"/>
        <v/>
      </c>
      <c r="BB188" s="9" t="str">
        <f t="shared" si="230"/>
        <v/>
      </c>
      <c r="BC188" s="10" t="str">
        <f t="shared" si="273"/>
        <v/>
      </c>
      <c r="BD188" s="11"/>
      <c r="BF188" s="12"/>
      <c r="BG188" s="9"/>
      <c r="BH188" s="44" t="str">
        <f t="shared" si="231"/>
        <v/>
      </c>
      <c r="BI188" s="9"/>
      <c r="BJ188" s="9" t="str">
        <f t="shared" si="232"/>
        <v/>
      </c>
      <c r="BK188" s="9"/>
      <c r="BL188" s="9" t="str">
        <f t="shared" si="233"/>
        <v/>
      </c>
      <c r="BM188" s="13"/>
      <c r="BN188" s="47" t="str">
        <f t="shared" si="274"/>
        <v/>
      </c>
      <c r="BO188" s="45" t="str">
        <f t="shared" si="274"/>
        <v/>
      </c>
      <c r="BP188" s="9" t="str">
        <f t="shared" si="235"/>
        <v/>
      </c>
      <c r="BQ188" s="10" t="str">
        <f t="shared" si="275"/>
        <v/>
      </c>
      <c r="BR188" s="11"/>
      <c r="BT188" s="12"/>
      <c r="BU188" s="9"/>
      <c r="BV188" s="44" t="str">
        <f t="shared" si="236"/>
        <v/>
      </c>
      <c r="BW188" s="9"/>
      <c r="BX188" s="9" t="str">
        <f t="shared" si="237"/>
        <v/>
      </c>
      <c r="BY188" s="9"/>
      <c r="BZ188" s="9" t="str">
        <f t="shared" si="238"/>
        <v/>
      </c>
      <c r="CA188" s="13"/>
      <c r="CB188" s="47" t="str">
        <f t="shared" si="276"/>
        <v/>
      </c>
      <c r="CC188" s="45" t="str">
        <f t="shared" si="276"/>
        <v/>
      </c>
      <c r="CD188" s="9" t="str">
        <f t="shared" si="240"/>
        <v/>
      </c>
      <c r="CE188" s="10" t="str">
        <f t="shared" si="277"/>
        <v/>
      </c>
      <c r="CF188" s="11"/>
    </row>
    <row r="189" spans="1:84" ht="15" customHeight="1">
      <c r="A189" s="12"/>
      <c r="B189" s="8"/>
      <c r="C189" s="9"/>
      <c r="D189" s="9" t="str">
        <f t="shared" si="257"/>
        <v/>
      </c>
      <c r="E189" s="9"/>
      <c r="F189" s="9" t="str">
        <f t="shared" si="258"/>
        <v/>
      </c>
      <c r="G189" s="9"/>
      <c r="H189" s="9" t="str">
        <f t="shared" si="259"/>
        <v/>
      </c>
      <c r="I189" s="9"/>
      <c r="J189" s="9"/>
      <c r="K189" s="9"/>
      <c r="L189" s="9" t="str">
        <f t="shared" si="244"/>
        <v/>
      </c>
      <c r="M189" s="10" t="str">
        <f t="shared" si="245"/>
        <v/>
      </c>
      <c r="N189" s="11"/>
      <c r="O189" s="2"/>
      <c r="P189" s="12"/>
      <c r="Q189" s="9"/>
      <c r="R189" s="52" t="str">
        <f t="shared" si="260"/>
        <v/>
      </c>
      <c r="S189" s="9"/>
      <c r="T189" s="9" t="str">
        <f t="shared" si="261"/>
        <v/>
      </c>
      <c r="U189" s="26"/>
      <c r="V189" s="26" t="str">
        <f t="shared" si="262"/>
        <v/>
      </c>
      <c r="W189" s="38"/>
      <c r="X189" s="47" t="str">
        <f t="shared" si="263"/>
        <v/>
      </c>
      <c r="Y189" s="9" t="str">
        <f t="shared" si="263"/>
        <v/>
      </c>
      <c r="Z189" s="9" t="str">
        <f t="shared" si="264"/>
        <v/>
      </c>
      <c r="AA189" s="10" t="str">
        <f t="shared" si="265"/>
        <v/>
      </c>
      <c r="AB189" s="11"/>
      <c r="AD189" s="12"/>
      <c r="AE189" s="9"/>
      <c r="AF189" s="52" t="str">
        <f t="shared" si="266"/>
        <v/>
      </c>
      <c r="AG189" s="9"/>
      <c r="AH189" s="9" t="str">
        <f t="shared" si="267"/>
        <v/>
      </c>
      <c r="AI189" s="26"/>
      <c r="AJ189" s="26" t="str">
        <f t="shared" si="268"/>
        <v/>
      </c>
      <c r="AK189" s="38"/>
      <c r="AL189" s="47" t="str">
        <f t="shared" si="269"/>
        <v/>
      </c>
      <c r="AM189" s="9" t="str">
        <f t="shared" si="269"/>
        <v/>
      </c>
      <c r="AN189" s="9" t="str">
        <f t="shared" si="270"/>
        <v/>
      </c>
      <c r="AO189" s="10" t="str">
        <f t="shared" si="271"/>
        <v/>
      </c>
      <c r="AP189" s="11"/>
      <c r="AR189" s="12"/>
      <c r="AS189" s="9"/>
      <c r="AT189" s="52" t="str">
        <f t="shared" si="226"/>
        <v/>
      </c>
      <c r="AU189" s="9"/>
      <c r="AV189" s="9" t="str">
        <f t="shared" si="227"/>
        <v/>
      </c>
      <c r="AW189" s="26"/>
      <c r="AX189" s="26" t="str">
        <f t="shared" si="228"/>
        <v/>
      </c>
      <c r="AY189" s="38"/>
      <c r="AZ189" s="47" t="str">
        <f t="shared" si="272"/>
        <v/>
      </c>
      <c r="BA189" s="9" t="str">
        <f t="shared" si="272"/>
        <v/>
      </c>
      <c r="BB189" s="9" t="str">
        <f t="shared" si="230"/>
        <v/>
      </c>
      <c r="BC189" s="10" t="str">
        <f t="shared" si="273"/>
        <v/>
      </c>
      <c r="BD189" s="11"/>
      <c r="BF189" s="12"/>
      <c r="BG189" s="9"/>
      <c r="BH189" s="52" t="str">
        <f t="shared" si="231"/>
        <v/>
      </c>
      <c r="BI189" s="9"/>
      <c r="BJ189" s="9" t="str">
        <f t="shared" si="232"/>
        <v/>
      </c>
      <c r="BK189" s="26"/>
      <c r="BL189" s="26" t="str">
        <f t="shared" si="233"/>
        <v/>
      </c>
      <c r="BM189" s="38"/>
      <c r="BN189" s="47" t="str">
        <f t="shared" si="274"/>
        <v/>
      </c>
      <c r="BO189" s="9" t="str">
        <f t="shared" si="274"/>
        <v/>
      </c>
      <c r="BP189" s="9" t="str">
        <f t="shared" si="235"/>
        <v/>
      </c>
      <c r="BQ189" s="10" t="str">
        <f t="shared" si="275"/>
        <v/>
      </c>
      <c r="BR189" s="11"/>
      <c r="BT189" s="12"/>
      <c r="BU189" s="9"/>
      <c r="BV189" s="52" t="str">
        <f t="shared" si="236"/>
        <v/>
      </c>
      <c r="BW189" s="9"/>
      <c r="BX189" s="9" t="str">
        <f t="shared" si="237"/>
        <v/>
      </c>
      <c r="BY189" s="26"/>
      <c r="BZ189" s="26" t="str">
        <f t="shared" si="238"/>
        <v/>
      </c>
      <c r="CA189" s="38"/>
      <c r="CB189" s="47" t="str">
        <f t="shared" si="276"/>
        <v/>
      </c>
      <c r="CC189" s="9" t="str">
        <f t="shared" si="276"/>
        <v/>
      </c>
      <c r="CD189" s="9" t="str">
        <f t="shared" si="240"/>
        <v/>
      </c>
      <c r="CE189" s="10" t="str">
        <f t="shared" si="277"/>
        <v/>
      </c>
      <c r="CF189" s="11"/>
    </row>
    <row r="190" spans="1:84" ht="15" customHeight="1" thickBot="1">
      <c r="A190" s="12"/>
      <c r="B190" s="8"/>
      <c r="C190" s="9"/>
      <c r="D190" s="9" t="str">
        <f t="shared" si="257"/>
        <v/>
      </c>
      <c r="E190" s="9"/>
      <c r="F190" s="9" t="str">
        <f t="shared" si="258"/>
        <v/>
      </c>
      <c r="G190" s="9"/>
      <c r="H190" s="9" t="str">
        <f t="shared" si="259"/>
        <v/>
      </c>
      <c r="I190" s="9"/>
      <c r="J190" s="9"/>
      <c r="K190" s="9"/>
      <c r="L190" s="9" t="str">
        <f t="shared" si="244"/>
        <v/>
      </c>
      <c r="M190" s="10" t="str">
        <f t="shared" si="245"/>
        <v/>
      </c>
      <c r="N190" s="11"/>
      <c r="O190" s="2"/>
      <c r="P190" s="18"/>
      <c r="Q190" s="21"/>
      <c r="R190" s="50" t="str">
        <f t="shared" si="260"/>
        <v/>
      </c>
      <c r="S190" s="51"/>
      <c r="T190" s="21" t="str">
        <f t="shared" si="261"/>
        <v/>
      </c>
      <c r="U190" s="53"/>
      <c r="V190" s="53" t="str">
        <f t="shared" si="262"/>
        <v/>
      </c>
      <c r="W190" s="37"/>
      <c r="X190" s="48" t="str">
        <f t="shared" si="263"/>
        <v/>
      </c>
      <c r="Y190" s="51" t="str">
        <f t="shared" si="263"/>
        <v/>
      </c>
      <c r="Z190" s="19" t="str">
        <f t="shared" si="264"/>
        <v/>
      </c>
      <c r="AA190" s="20" t="str">
        <f t="shared" si="265"/>
        <v/>
      </c>
      <c r="AB190" s="137"/>
      <c r="AD190" s="18"/>
      <c r="AE190" s="21"/>
      <c r="AF190" s="50" t="str">
        <f t="shared" si="266"/>
        <v/>
      </c>
      <c r="AG190" s="51"/>
      <c r="AH190" s="21" t="str">
        <f t="shared" si="267"/>
        <v/>
      </c>
      <c r="AI190" s="53"/>
      <c r="AJ190" s="53" t="str">
        <f t="shared" si="268"/>
        <v/>
      </c>
      <c r="AK190" s="37"/>
      <c r="AL190" s="48" t="str">
        <f t="shared" si="269"/>
        <v/>
      </c>
      <c r="AM190" s="51" t="str">
        <f t="shared" si="269"/>
        <v/>
      </c>
      <c r="AN190" s="19" t="str">
        <f t="shared" si="270"/>
        <v/>
      </c>
      <c r="AO190" s="20" t="str">
        <f t="shared" si="271"/>
        <v/>
      </c>
      <c r="AP190" s="137"/>
      <c r="AR190" s="18"/>
      <c r="AS190" s="21"/>
      <c r="AT190" s="50" t="str">
        <f t="shared" si="226"/>
        <v/>
      </c>
      <c r="AU190" s="51"/>
      <c r="AV190" s="21" t="str">
        <f t="shared" si="227"/>
        <v/>
      </c>
      <c r="AW190" s="53"/>
      <c r="AX190" s="53" t="str">
        <f t="shared" si="228"/>
        <v/>
      </c>
      <c r="AY190" s="37"/>
      <c r="AZ190" s="48" t="str">
        <f t="shared" si="272"/>
        <v/>
      </c>
      <c r="BA190" s="51" t="str">
        <f t="shared" si="272"/>
        <v/>
      </c>
      <c r="BB190" s="19" t="str">
        <f t="shared" si="230"/>
        <v/>
      </c>
      <c r="BC190" s="20" t="str">
        <f t="shared" si="273"/>
        <v/>
      </c>
      <c r="BD190" s="137"/>
      <c r="BF190" s="18"/>
      <c r="BG190" s="21"/>
      <c r="BH190" s="50" t="str">
        <f t="shared" si="231"/>
        <v/>
      </c>
      <c r="BI190" s="51"/>
      <c r="BJ190" s="21" t="str">
        <f t="shared" si="232"/>
        <v/>
      </c>
      <c r="BK190" s="53"/>
      <c r="BL190" s="53" t="str">
        <f t="shared" si="233"/>
        <v/>
      </c>
      <c r="BM190" s="37"/>
      <c r="BN190" s="48" t="str">
        <f t="shared" si="274"/>
        <v/>
      </c>
      <c r="BO190" s="51" t="str">
        <f t="shared" si="274"/>
        <v/>
      </c>
      <c r="BP190" s="19" t="str">
        <f t="shared" si="235"/>
        <v/>
      </c>
      <c r="BQ190" s="20" t="str">
        <f t="shared" si="275"/>
        <v/>
      </c>
      <c r="BR190" s="137"/>
      <c r="BT190" s="18"/>
      <c r="BU190" s="21"/>
      <c r="BV190" s="50" t="str">
        <f t="shared" si="236"/>
        <v/>
      </c>
      <c r="BW190" s="51"/>
      <c r="BX190" s="21" t="str">
        <f t="shared" si="237"/>
        <v/>
      </c>
      <c r="BY190" s="53"/>
      <c r="BZ190" s="53" t="str">
        <f t="shared" si="238"/>
        <v/>
      </c>
      <c r="CA190" s="37"/>
      <c r="CB190" s="48" t="str">
        <f t="shared" si="276"/>
        <v/>
      </c>
      <c r="CC190" s="51" t="str">
        <f t="shared" si="276"/>
        <v/>
      </c>
      <c r="CD190" s="19" t="str">
        <f t="shared" si="240"/>
        <v/>
      </c>
      <c r="CE190" s="20" t="str">
        <f t="shared" si="277"/>
        <v/>
      </c>
      <c r="CF190" s="137"/>
    </row>
    <row r="191" spans="1:84" ht="15" customHeight="1" thickTop="1">
      <c r="A191" s="12"/>
      <c r="B191" s="8"/>
      <c r="C191" s="9"/>
      <c r="D191" s="9" t="str">
        <f t="shared" si="257"/>
        <v/>
      </c>
      <c r="E191" s="9"/>
      <c r="F191" s="9" t="str">
        <f t="shared" si="258"/>
        <v/>
      </c>
      <c r="G191" s="9"/>
      <c r="H191" s="9" t="str">
        <f t="shared" si="259"/>
        <v/>
      </c>
      <c r="I191" s="9"/>
      <c r="J191" s="9"/>
      <c r="K191" s="9"/>
      <c r="L191" s="9" t="str">
        <f t="shared" si="244"/>
        <v/>
      </c>
      <c r="M191" s="10" t="str">
        <f t="shared" si="245"/>
        <v/>
      </c>
      <c r="N191" s="11"/>
      <c r="O191" s="2"/>
      <c r="P191" s="65" t="str">
        <f>IF($A161="","",$A161)</f>
        <v/>
      </c>
      <c r="Q191" s="44"/>
      <c r="R191" s="44" t="str">
        <f t="shared" si="260"/>
        <v/>
      </c>
      <c r="S191" s="44"/>
      <c r="T191" s="23" t="str">
        <f t="shared" si="261"/>
        <v/>
      </c>
      <c r="U191" s="44"/>
      <c r="V191" s="44" t="str">
        <f t="shared" si="262"/>
        <v/>
      </c>
      <c r="W191" s="66"/>
      <c r="X191" s="61" t="str">
        <f t="shared" si="263"/>
        <v/>
      </c>
      <c r="Y191" s="62" t="str">
        <f t="shared" si="263"/>
        <v/>
      </c>
      <c r="Z191" s="23" t="str">
        <f t="shared" si="264"/>
        <v/>
      </c>
      <c r="AA191" s="24" t="str">
        <f t="shared" si="265"/>
        <v/>
      </c>
      <c r="AB191" s="11"/>
      <c r="AD191" s="65" t="str">
        <f>IF($A161="","",$A161)</f>
        <v/>
      </c>
      <c r="AE191" s="44"/>
      <c r="AF191" s="44" t="str">
        <f t="shared" si="266"/>
        <v/>
      </c>
      <c r="AG191" s="44"/>
      <c r="AH191" s="23" t="str">
        <f t="shared" si="267"/>
        <v/>
      </c>
      <c r="AI191" s="44"/>
      <c r="AJ191" s="44" t="str">
        <f t="shared" si="268"/>
        <v/>
      </c>
      <c r="AK191" s="66"/>
      <c r="AL191" s="61" t="str">
        <f t="shared" si="269"/>
        <v/>
      </c>
      <c r="AM191" s="62" t="str">
        <f t="shared" si="269"/>
        <v/>
      </c>
      <c r="AN191" s="23" t="str">
        <f t="shared" si="270"/>
        <v/>
      </c>
      <c r="AO191" s="24" t="str">
        <f t="shared" si="271"/>
        <v/>
      </c>
      <c r="AP191" s="11"/>
      <c r="AR191" s="65" t="str">
        <f>IF($A161="","",$A161)</f>
        <v/>
      </c>
      <c r="AS191" s="44"/>
      <c r="AT191" s="44" t="str">
        <f t="shared" si="226"/>
        <v/>
      </c>
      <c r="AU191" s="44"/>
      <c r="AV191" s="23" t="str">
        <f t="shared" si="227"/>
        <v/>
      </c>
      <c r="AW191" s="44"/>
      <c r="AX191" s="44" t="str">
        <f t="shared" si="228"/>
        <v/>
      </c>
      <c r="AY191" s="66"/>
      <c r="AZ191" s="61" t="str">
        <f t="shared" si="272"/>
        <v/>
      </c>
      <c r="BA191" s="62" t="str">
        <f t="shared" si="272"/>
        <v/>
      </c>
      <c r="BB191" s="23" t="str">
        <f t="shared" si="230"/>
        <v/>
      </c>
      <c r="BC191" s="24" t="str">
        <f t="shared" si="273"/>
        <v/>
      </c>
      <c r="BD191" s="11"/>
      <c r="BF191" s="65" t="str">
        <f>IF($A161="","",$A161)</f>
        <v/>
      </c>
      <c r="BG191" s="44"/>
      <c r="BH191" s="44" t="str">
        <f t="shared" si="231"/>
        <v/>
      </c>
      <c r="BI191" s="44"/>
      <c r="BJ191" s="23" t="str">
        <f t="shared" si="232"/>
        <v/>
      </c>
      <c r="BK191" s="44"/>
      <c r="BL191" s="44" t="str">
        <f t="shared" si="233"/>
        <v/>
      </c>
      <c r="BM191" s="66"/>
      <c r="BN191" s="61" t="str">
        <f t="shared" si="274"/>
        <v/>
      </c>
      <c r="BO191" s="62" t="str">
        <f t="shared" si="274"/>
        <v/>
      </c>
      <c r="BP191" s="23" t="str">
        <f t="shared" si="235"/>
        <v/>
      </c>
      <c r="BQ191" s="24" t="str">
        <f t="shared" si="275"/>
        <v/>
      </c>
      <c r="BR191" s="11"/>
      <c r="BT191" s="65" t="str">
        <f>IF($A161="","",$A161)</f>
        <v/>
      </c>
      <c r="BU191" s="44"/>
      <c r="BV191" s="44" t="str">
        <f t="shared" si="236"/>
        <v/>
      </c>
      <c r="BW191" s="44"/>
      <c r="BX191" s="23" t="str">
        <f t="shared" si="237"/>
        <v/>
      </c>
      <c r="BY191" s="44"/>
      <c r="BZ191" s="44" t="str">
        <f t="shared" si="238"/>
        <v/>
      </c>
      <c r="CA191" s="66"/>
      <c r="CB191" s="61" t="str">
        <f t="shared" si="276"/>
        <v/>
      </c>
      <c r="CC191" s="62" t="str">
        <f t="shared" si="276"/>
        <v/>
      </c>
      <c r="CD191" s="23" t="str">
        <f t="shared" si="240"/>
        <v/>
      </c>
      <c r="CE191" s="24" t="str">
        <f t="shared" si="277"/>
        <v/>
      </c>
      <c r="CF191" s="11"/>
    </row>
    <row r="192" spans="1:84" ht="15" customHeight="1">
      <c r="A192" s="12"/>
      <c r="B192" s="8"/>
      <c r="C192" s="9"/>
      <c r="D192" s="9" t="str">
        <f t="shared" si="257"/>
        <v/>
      </c>
      <c r="E192" s="9"/>
      <c r="F192" s="9" t="str">
        <f t="shared" si="258"/>
        <v/>
      </c>
      <c r="G192" s="9"/>
      <c r="H192" s="9" t="str">
        <f t="shared" si="259"/>
        <v/>
      </c>
      <c r="I192" s="9"/>
      <c r="J192" s="9"/>
      <c r="K192" s="9"/>
      <c r="L192" s="9" t="str">
        <f t="shared" si="244"/>
        <v/>
      </c>
      <c r="M192" s="10" t="str">
        <f t="shared" si="245"/>
        <v/>
      </c>
      <c r="N192" s="11"/>
      <c r="O192" s="2"/>
      <c r="P192" s="12"/>
      <c r="Q192" s="9"/>
      <c r="R192" s="44" t="str">
        <f t="shared" si="260"/>
        <v/>
      </c>
      <c r="S192" s="9"/>
      <c r="T192" s="9" t="str">
        <f t="shared" si="261"/>
        <v/>
      </c>
      <c r="U192" s="9"/>
      <c r="V192" s="9" t="str">
        <f t="shared" si="262"/>
        <v/>
      </c>
      <c r="W192" s="13"/>
      <c r="X192" s="47" t="str">
        <f t="shared" ref="X192:X206" si="278">IF(Q192="","",X188)</f>
        <v/>
      </c>
      <c r="Y192" s="45"/>
      <c r="Z192" s="9" t="str">
        <f t="shared" si="264"/>
        <v/>
      </c>
      <c r="AA192" s="10" t="str">
        <f t="shared" si="265"/>
        <v/>
      </c>
      <c r="AB192" s="11"/>
      <c r="AD192" s="12"/>
      <c r="AE192" s="9"/>
      <c r="AF192" s="44" t="str">
        <f t="shared" si="266"/>
        <v/>
      </c>
      <c r="AG192" s="9"/>
      <c r="AH192" s="9" t="str">
        <f t="shared" si="267"/>
        <v/>
      </c>
      <c r="AI192" s="9"/>
      <c r="AJ192" s="9" t="str">
        <f t="shared" si="268"/>
        <v/>
      </c>
      <c r="AK192" s="13"/>
      <c r="AL192" s="47" t="str">
        <f t="shared" ref="AL192:AL206" si="279">IF(AE192="","",AL188)</f>
        <v/>
      </c>
      <c r="AM192" s="45"/>
      <c r="AN192" s="9" t="str">
        <f t="shared" si="270"/>
        <v/>
      </c>
      <c r="AO192" s="10" t="str">
        <f t="shared" si="271"/>
        <v/>
      </c>
      <c r="AP192" s="11"/>
      <c r="AR192" s="12"/>
      <c r="AS192" s="9"/>
      <c r="AT192" s="44" t="str">
        <f t="shared" si="226"/>
        <v/>
      </c>
      <c r="AU192" s="9"/>
      <c r="AV192" s="9" t="str">
        <f t="shared" si="227"/>
        <v/>
      </c>
      <c r="AW192" s="9"/>
      <c r="AX192" s="9" t="str">
        <f t="shared" si="228"/>
        <v/>
      </c>
      <c r="AY192" s="13"/>
      <c r="AZ192" s="47" t="str">
        <f t="shared" ref="AZ192:AZ206" si="280">IF(AS192="","",AZ188)</f>
        <v/>
      </c>
      <c r="BA192" s="45"/>
      <c r="BB192" s="9" t="str">
        <f t="shared" si="230"/>
        <v/>
      </c>
      <c r="BC192" s="10" t="str">
        <f t="shared" si="273"/>
        <v/>
      </c>
      <c r="BD192" s="11"/>
      <c r="BF192" s="12"/>
      <c r="BG192" s="9"/>
      <c r="BH192" s="44" t="str">
        <f t="shared" si="231"/>
        <v/>
      </c>
      <c r="BI192" s="9"/>
      <c r="BJ192" s="9" t="str">
        <f t="shared" si="232"/>
        <v/>
      </c>
      <c r="BK192" s="9"/>
      <c r="BL192" s="9" t="str">
        <f t="shared" si="233"/>
        <v/>
      </c>
      <c r="BM192" s="13"/>
      <c r="BN192" s="47" t="str">
        <f t="shared" ref="BN192:BN206" si="281">IF(BG192="","",BN188)</f>
        <v/>
      </c>
      <c r="BO192" s="45"/>
      <c r="BP192" s="9" t="str">
        <f t="shared" si="235"/>
        <v/>
      </c>
      <c r="BQ192" s="10" t="str">
        <f t="shared" si="275"/>
        <v/>
      </c>
      <c r="BR192" s="11"/>
      <c r="BT192" s="12"/>
      <c r="BU192" s="9"/>
      <c r="BV192" s="44" t="str">
        <f t="shared" si="236"/>
        <v/>
      </c>
      <c r="BW192" s="9"/>
      <c r="BX192" s="9" t="str">
        <f t="shared" si="237"/>
        <v/>
      </c>
      <c r="BY192" s="9"/>
      <c r="BZ192" s="9" t="str">
        <f t="shared" si="238"/>
        <v/>
      </c>
      <c r="CA192" s="13"/>
      <c r="CB192" s="47" t="str">
        <f t="shared" ref="CB192:CB206" si="282">IF(BU192="","",CB188)</f>
        <v/>
      </c>
      <c r="CC192" s="45"/>
      <c r="CD192" s="9" t="str">
        <f t="shared" si="240"/>
        <v/>
      </c>
      <c r="CE192" s="10" t="str">
        <f t="shared" si="277"/>
        <v/>
      </c>
      <c r="CF192" s="11"/>
    </row>
    <row r="193" spans="1:84" ht="15" customHeight="1">
      <c r="A193" s="12"/>
      <c r="B193" s="8"/>
      <c r="C193" s="9"/>
      <c r="D193" s="9" t="str">
        <f t="shared" si="257"/>
        <v/>
      </c>
      <c r="E193" s="9"/>
      <c r="F193" s="9" t="str">
        <f t="shared" si="258"/>
        <v/>
      </c>
      <c r="G193" s="9"/>
      <c r="H193" s="9" t="str">
        <f t="shared" si="259"/>
        <v/>
      </c>
      <c r="I193" s="9"/>
      <c r="J193" s="9"/>
      <c r="K193" s="9"/>
      <c r="L193" s="9" t="str">
        <f t="shared" si="244"/>
        <v/>
      </c>
      <c r="M193" s="10" t="str">
        <f t="shared" si="245"/>
        <v/>
      </c>
      <c r="N193" s="11"/>
      <c r="O193" s="2"/>
      <c r="P193" s="12"/>
      <c r="Q193" s="9"/>
      <c r="R193" s="52" t="str">
        <f t="shared" si="260"/>
        <v/>
      </c>
      <c r="S193" s="9"/>
      <c r="T193" s="9" t="str">
        <f t="shared" si="261"/>
        <v/>
      </c>
      <c r="U193" s="9"/>
      <c r="V193" s="9" t="str">
        <f t="shared" si="262"/>
        <v/>
      </c>
      <c r="W193" s="13"/>
      <c r="X193" s="47" t="str">
        <f t="shared" si="278"/>
        <v/>
      </c>
      <c r="Y193" s="9" t="str">
        <f t="shared" ref="Y193:Y206" si="283">IF(R193="","",Y189)</f>
        <v/>
      </c>
      <c r="Z193" s="9" t="str">
        <f t="shared" si="264"/>
        <v/>
      </c>
      <c r="AA193" s="10" t="str">
        <f t="shared" si="265"/>
        <v/>
      </c>
      <c r="AB193" s="11"/>
      <c r="AD193" s="12"/>
      <c r="AE193" s="9"/>
      <c r="AF193" s="52" t="str">
        <f t="shared" si="266"/>
        <v/>
      </c>
      <c r="AG193" s="9"/>
      <c r="AH193" s="9" t="str">
        <f t="shared" si="267"/>
        <v/>
      </c>
      <c r="AI193" s="9"/>
      <c r="AJ193" s="9" t="str">
        <f t="shared" si="268"/>
        <v/>
      </c>
      <c r="AK193" s="13"/>
      <c r="AL193" s="47" t="str">
        <f t="shared" si="279"/>
        <v/>
      </c>
      <c r="AM193" s="9" t="str">
        <f t="shared" ref="AM193:AM206" si="284">IF(AF193="","",AM189)</f>
        <v/>
      </c>
      <c r="AN193" s="9" t="str">
        <f t="shared" si="270"/>
        <v/>
      </c>
      <c r="AO193" s="10" t="str">
        <f t="shared" si="271"/>
        <v/>
      </c>
      <c r="AP193" s="11"/>
      <c r="AR193" s="12"/>
      <c r="AS193" s="9"/>
      <c r="AT193" s="52" t="str">
        <f t="shared" si="226"/>
        <v/>
      </c>
      <c r="AU193" s="9"/>
      <c r="AV193" s="9" t="str">
        <f t="shared" si="227"/>
        <v/>
      </c>
      <c r="AW193" s="9"/>
      <c r="AX193" s="9" t="str">
        <f t="shared" si="228"/>
        <v/>
      </c>
      <c r="AY193" s="13"/>
      <c r="AZ193" s="47" t="str">
        <f t="shared" si="280"/>
        <v/>
      </c>
      <c r="BA193" s="9" t="str">
        <f t="shared" ref="BA193:BA206" si="285">IF(AT193="","",BA189)</f>
        <v/>
      </c>
      <c r="BB193" s="9" t="str">
        <f t="shared" si="230"/>
        <v/>
      </c>
      <c r="BC193" s="10" t="str">
        <f t="shared" si="273"/>
        <v/>
      </c>
      <c r="BD193" s="11"/>
      <c r="BF193" s="12"/>
      <c r="BG193" s="9"/>
      <c r="BH193" s="52" t="str">
        <f t="shared" si="231"/>
        <v/>
      </c>
      <c r="BI193" s="9"/>
      <c r="BJ193" s="9" t="str">
        <f t="shared" si="232"/>
        <v/>
      </c>
      <c r="BK193" s="9"/>
      <c r="BL193" s="9" t="str">
        <f t="shared" si="233"/>
        <v/>
      </c>
      <c r="BM193" s="13"/>
      <c r="BN193" s="47" t="str">
        <f t="shared" si="281"/>
        <v/>
      </c>
      <c r="BO193" s="9" t="str">
        <f t="shared" ref="BO193:BO206" si="286">IF(BH193="","",BO189)</f>
        <v/>
      </c>
      <c r="BP193" s="9" t="str">
        <f t="shared" si="235"/>
        <v/>
      </c>
      <c r="BQ193" s="10" t="str">
        <f t="shared" si="275"/>
        <v/>
      </c>
      <c r="BR193" s="11"/>
      <c r="BT193" s="12"/>
      <c r="BU193" s="9"/>
      <c r="BV193" s="52" t="str">
        <f t="shared" si="236"/>
        <v/>
      </c>
      <c r="BW193" s="9"/>
      <c r="BX193" s="9" t="str">
        <f t="shared" si="237"/>
        <v/>
      </c>
      <c r="BY193" s="9"/>
      <c r="BZ193" s="9" t="str">
        <f t="shared" si="238"/>
        <v/>
      </c>
      <c r="CA193" s="13"/>
      <c r="CB193" s="47" t="str">
        <f t="shared" si="282"/>
        <v/>
      </c>
      <c r="CC193" s="9" t="str">
        <f t="shared" ref="CC193:CC206" si="287">IF(BV193="","",CC189)</f>
        <v/>
      </c>
      <c r="CD193" s="9" t="str">
        <f t="shared" si="240"/>
        <v/>
      </c>
      <c r="CE193" s="10" t="str">
        <f t="shared" si="277"/>
        <v/>
      </c>
      <c r="CF193" s="11"/>
    </row>
    <row r="194" spans="1:84" ht="15" customHeight="1" thickBot="1">
      <c r="A194" s="12"/>
      <c r="B194" s="8"/>
      <c r="C194" s="9"/>
      <c r="D194" s="9" t="str">
        <f t="shared" si="257"/>
        <v/>
      </c>
      <c r="E194" s="9"/>
      <c r="F194" s="9" t="str">
        <f t="shared" si="258"/>
        <v/>
      </c>
      <c r="G194" s="9"/>
      <c r="H194" s="9" t="str">
        <f t="shared" si="259"/>
        <v/>
      </c>
      <c r="I194" s="9"/>
      <c r="J194" s="9"/>
      <c r="K194" s="9"/>
      <c r="L194" s="9" t="str">
        <f t="shared" si="244"/>
        <v/>
      </c>
      <c r="M194" s="10" t="str">
        <f t="shared" si="245"/>
        <v/>
      </c>
      <c r="N194" s="11"/>
      <c r="O194" s="2"/>
      <c r="P194" s="18"/>
      <c r="Q194" s="21"/>
      <c r="R194" s="50" t="str">
        <f t="shared" si="260"/>
        <v/>
      </c>
      <c r="S194" s="51"/>
      <c r="T194" s="19" t="str">
        <f t="shared" si="261"/>
        <v/>
      </c>
      <c r="U194" s="19"/>
      <c r="V194" s="19" t="str">
        <f t="shared" si="262"/>
        <v/>
      </c>
      <c r="W194" s="37"/>
      <c r="X194" s="48" t="str">
        <f t="shared" si="278"/>
        <v/>
      </c>
      <c r="Y194" s="51" t="str">
        <f t="shared" si="283"/>
        <v/>
      </c>
      <c r="Z194" s="19" t="str">
        <f t="shared" si="264"/>
        <v/>
      </c>
      <c r="AA194" s="20" t="str">
        <f t="shared" si="265"/>
        <v/>
      </c>
      <c r="AB194" s="11"/>
      <c r="AD194" s="18"/>
      <c r="AE194" s="21"/>
      <c r="AF194" s="50" t="str">
        <f t="shared" si="266"/>
        <v/>
      </c>
      <c r="AG194" s="51"/>
      <c r="AH194" s="19" t="str">
        <f t="shared" si="267"/>
        <v/>
      </c>
      <c r="AI194" s="19"/>
      <c r="AJ194" s="19" t="str">
        <f t="shared" si="268"/>
        <v/>
      </c>
      <c r="AK194" s="37"/>
      <c r="AL194" s="48" t="str">
        <f t="shared" si="279"/>
        <v/>
      </c>
      <c r="AM194" s="51" t="str">
        <f t="shared" si="284"/>
        <v/>
      </c>
      <c r="AN194" s="19" t="str">
        <f t="shared" si="270"/>
        <v/>
      </c>
      <c r="AO194" s="20" t="str">
        <f t="shared" si="271"/>
        <v/>
      </c>
      <c r="AP194" s="11"/>
      <c r="AR194" s="18"/>
      <c r="AS194" s="21"/>
      <c r="AT194" s="50" t="str">
        <f t="shared" si="226"/>
        <v/>
      </c>
      <c r="AU194" s="51"/>
      <c r="AV194" s="19" t="str">
        <f t="shared" si="227"/>
        <v/>
      </c>
      <c r="AW194" s="19"/>
      <c r="AX194" s="19" t="str">
        <f t="shared" si="228"/>
        <v/>
      </c>
      <c r="AY194" s="37"/>
      <c r="AZ194" s="48" t="str">
        <f t="shared" si="280"/>
        <v/>
      </c>
      <c r="BA194" s="51" t="str">
        <f t="shared" si="285"/>
        <v/>
      </c>
      <c r="BB194" s="19" t="str">
        <f t="shared" si="230"/>
        <v/>
      </c>
      <c r="BC194" s="20" t="str">
        <f t="shared" si="273"/>
        <v/>
      </c>
      <c r="BD194" s="11"/>
      <c r="BF194" s="18"/>
      <c r="BG194" s="21"/>
      <c r="BH194" s="50" t="str">
        <f t="shared" si="231"/>
        <v/>
      </c>
      <c r="BI194" s="51"/>
      <c r="BJ194" s="19" t="str">
        <f t="shared" si="232"/>
        <v/>
      </c>
      <c r="BK194" s="19"/>
      <c r="BL194" s="19" t="str">
        <f t="shared" si="233"/>
        <v/>
      </c>
      <c r="BM194" s="37"/>
      <c r="BN194" s="48" t="str">
        <f t="shared" si="281"/>
        <v/>
      </c>
      <c r="BO194" s="51" t="str">
        <f t="shared" si="286"/>
        <v/>
      </c>
      <c r="BP194" s="19" t="str">
        <f t="shared" si="235"/>
        <v/>
      </c>
      <c r="BQ194" s="20" t="str">
        <f t="shared" si="275"/>
        <v/>
      </c>
      <c r="BR194" s="11"/>
      <c r="BT194" s="18"/>
      <c r="BU194" s="21"/>
      <c r="BV194" s="50" t="str">
        <f t="shared" si="236"/>
        <v/>
      </c>
      <c r="BW194" s="51"/>
      <c r="BX194" s="19" t="str">
        <f t="shared" si="237"/>
        <v/>
      </c>
      <c r="BY194" s="19"/>
      <c r="BZ194" s="19" t="str">
        <f t="shared" si="238"/>
        <v/>
      </c>
      <c r="CA194" s="37"/>
      <c r="CB194" s="48" t="str">
        <f t="shared" si="282"/>
        <v/>
      </c>
      <c r="CC194" s="51" t="str">
        <f t="shared" si="287"/>
        <v/>
      </c>
      <c r="CD194" s="19" t="str">
        <f t="shared" si="240"/>
        <v/>
      </c>
      <c r="CE194" s="20" t="str">
        <f t="shared" si="277"/>
        <v/>
      </c>
      <c r="CF194" s="11"/>
    </row>
    <row r="195" spans="1:84" ht="15" customHeight="1" thickTop="1">
      <c r="A195" s="12"/>
      <c r="B195" s="8"/>
      <c r="C195" s="9"/>
      <c r="D195" s="9" t="str">
        <f t="shared" si="257"/>
        <v/>
      </c>
      <c r="E195" s="9"/>
      <c r="F195" s="9" t="str">
        <f t="shared" si="258"/>
        <v/>
      </c>
      <c r="G195" s="9"/>
      <c r="H195" s="9" t="str">
        <f t="shared" si="259"/>
        <v/>
      </c>
      <c r="I195" s="9"/>
      <c r="J195" s="9"/>
      <c r="K195" s="9"/>
      <c r="L195" s="9" t="str">
        <f t="shared" si="244"/>
        <v/>
      </c>
      <c r="M195" s="10" t="str">
        <f t="shared" si="245"/>
        <v/>
      </c>
      <c r="N195" s="11"/>
      <c r="O195" s="2"/>
      <c r="P195" s="65" t="str">
        <f>IF($A162="","",$A162)</f>
        <v/>
      </c>
      <c r="Q195" s="44"/>
      <c r="R195" s="44" t="str">
        <f t="shared" si="260"/>
        <v/>
      </c>
      <c r="S195" s="44"/>
      <c r="T195" s="23" t="str">
        <f t="shared" si="261"/>
        <v/>
      </c>
      <c r="U195" s="44"/>
      <c r="V195" s="44" t="str">
        <f t="shared" si="262"/>
        <v/>
      </c>
      <c r="W195" s="44"/>
      <c r="X195" s="61" t="str">
        <f t="shared" si="278"/>
        <v/>
      </c>
      <c r="Y195" s="62" t="str">
        <f t="shared" si="283"/>
        <v/>
      </c>
      <c r="Z195" s="23" t="str">
        <f t="shared" si="264"/>
        <v/>
      </c>
      <c r="AA195" s="24" t="str">
        <f t="shared" si="265"/>
        <v/>
      </c>
      <c r="AB195" s="11"/>
      <c r="AD195" s="65" t="str">
        <f>IF($A162="","",$A162)</f>
        <v/>
      </c>
      <c r="AE195" s="44"/>
      <c r="AF195" s="44" t="str">
        <f t="shared" si="266"/>
        <v/>
      </c>
      <c r="AG195" s="44"/>
      <c r="AH195" s="23" t="str">
        <f t="shared" si="267"/>
        <v/>
      </c>
      <c r="AI195" s="44"/>
      <c r="AJ195" s="44" t="str">
        <f t="shared" si="268"/>
        <v/>
      </c>
      <c r="AK195" s="44"/>
      <c r="AL195" s="61" t="str">
        <f t="shared" si="279"/>
        <v/>
      </c>
      <c r="AM195" s="62" t="str">
        <f t="shared" si="284"/>
        <v/>
      </c>
      <c r="AN195" s="23" t="str">
        <f t="shared" si="270"/>
        <v/>
      </c>
      <c r="AO195" s="24" t="str">
        <f t="shared" si="271"/>
        <v/>
      </c>
      <c r="AP195" s="11"/>
      <c r="AR195" s="65" t="str">
        <f>IF($A162="","",$A162)</f>
        <v/>
      </c>
      <c r="AS195" s="44"/>
      <c r="AT195" s="44" t="str">
        <f t="shared" si="226"/>
        <v/>
      </c>
      <c r="AU195" s="44"/>
      <c r="AV195" s="23" t="str">
        <f t="shared" si="227"/>
        <v/>
      </c>
      <c r="AW195" s="44"/>
      <c r="AX195" s="44" t="str">
        <f t="shared" si="228"/>
        <v/>
      </c>
      <c r="AY195" s="44"/>
      <c r="AZ195" s="61" t="str">
        <f t="shared" si="280"/>
        <v/>
      </c>
      <c r="BA195" s="62" t="str">
        <f t="shared" si="285"/>
        <v/>
      </c>
      <c r="BB195" s="23" t="str">
        <f t="shared" si="230"/>
        <v/>
      </c>
      <c r="BC195" s="24" t="str">
        <f t="shared" si="273"/>
        <v/>
      </c>
      <c r="BD195" s="11"/>
      <c r="BF195" s="65" t="str">
        <f>IF($A162="","",$A162)</f>
        <v/>
      </c>
      <c r="BG195" s="44"/>
      <c r="BH195" s="44" t="str">
        <f t="shared" si="231"/>
        <v/>
      </c>
      <c r="BI195" s="44"/>
      <c r="BJ195" s="23" t="str">
        <f t="shared" si="232"/>
        <v/>
      </c>
      <c r="BK195" s="44"/>
      <c r="BL195" s="44" t="str">
        <f t="shared" si="233"/>
        <v/>
      </c>
      <c r="BM195" s="44"/>
      <c r="BN195" s="61" t="str">
        <f t="shared" si="281"/>
        <v/>
      </c>
      <c r="BO195" s="62" t="str">
        <f t="shared" si="286"/>
        <v/>
      </c>
      <c r="BP195" s="23" t="str">
        <f t="shared" si="235"/>
        <v/>
      </c>
      <c r="BQ195" s="24" t="str">
        <f t="shared" si="275"/>
        <v/>
      </c>
      <c r="BR195" s="11"/>
      <c r="BT195" s="65" t="str">
        <f>IF($A162="","",$A162)</f>
        <v/>
      </c>
      <c r="BU195" s="44"/>
      <c r="BV195" s="44" t="str">
        <f t="shared" si="236"/>
        <v/>
      </c>
      <c r="BW195" s="44"/>
      <c r="BX195" s="23" t="str">
        <f t="shared" si="237"/>
        <v/>
      </c>
      <c r="BY195" s="44"/>
      <c r="BZ195" s="44" t="str">
        <f t="shared" si="238"/>
        <v/>
      </c>
      <c r="CA195" s="44"/>
      <c r="CB195" s="61" t="str">
        <f t="shared" si="282"/>
        <v/>
      </c>
      <c r="CC195" s="62" t="str">
        <f t="shared" si="287"/>
        <v/>
      </c>
      <c r="CD195" s="23" t="str">
        <f t="shared" si="240"/>
        <v/>
      </c>
      <c r="CE195" s="24" t="str">
        <f t="shared" si="277"/>
        <v/>
      </c>
      <c r="CF195" s="11"/>
    </row>
    <row r="196" spans="1:84" ht="15" customHeight="1">
      <c r="A196" s="12"/>
      <c r="B196" s="8"/>
      <c r="C196" s="9"/>
      <c r="D196" s="9" t="str">
        <f t="shared" si="257"/>
        <v/>
      </c>
      <c r="E196" s="9"/>
      <c r="F196" s="9" t="str">
        <f t="shared" si="258"/>
        <v/>
      </c>
      <c r="G196" s="9"/>
      <c r="H196" s="9" t="str">
        <f t="shared" si="259"/>
        <v/>
      </c>
      <c r="I196" s="9"/>
      <c r="J196" s="9"/>
      <c r="K196" s="9"/>
      <c r="L196" s="9" t="str">
        <f t="shared" si="244"/>
        <v/>
      </c>
      <c r="M196" s="10" t="str">
        <f t="shared" si="245"/>
        <v/>
      </c>
      <c r="N196" s="11"/>
      <c r="O196" s="2"/>
      <c r="P196" s="12"/>
      <c r="Q196" s="9"/>
      <c r="R196" s="9" t="str">
        <f t="shared" si="260"/>
        <v/>
      </c>
      <c r="S196" s="9"/>
      <c r="T196" s="9" t="str">
        <f t="shared" si="261"/>
        <v/>
      </c>
      <c r="U196" s="9"/>
      <c r="V196" s="9" t="str">
        <f t="shared" si="262"/>
        <v/>
      </c>
      <c r="W196" s="9"/>
      <c r="X196" s="47" t="str">
        <f t="shared" si="278"/>
        <v/>
      </c>
      <c r="Y196" s="45" t="str">
        <f t="shared" si="283"/>
        <v/>
      </c>
      <c r="Z196" s="9" t="str">
        <f t="shared" si="264"/>
        <v/>
      </c>
      <c r="AA196" s="10" t="str">
        <f t="shared" si="265"/>
        <v/>
      </c>
      <c r="AB196" s="11"/>
      <c r="AD196" s="12"/>
      <c r="AE196" s="9"/>
      <c r="AF196" s="9" t="str">
        <f t="shared" si="266"/>
        <v/>
      </c>
      <c r="AG196" s="9"/>
      <c r="AH196" s="9" t="str">
        <f t="shared" si="267"/>
        <v/>
      </c>
      <c r="AI196" s="9"/>
      <c r="AJ196" s="9" t="str">
        <f t="shared" si="268"/>
        <v/>
      </c>
      <c r="AK196" s="9"/>
      <c r="AL196" s="47" t="str">
        <f t="shared" si="279"/>
        <v/>
      </c>
      <c r="AM196" s="45" t="str">
        <f t="shared" si="284"/>
        <v/>
      </c>
      <c r="AN196" s="9" t="str">
        <f t="shared" si="270"/>
        <v/>
      </c>
      <c r="AO196" s="10" t="str">
        <f t="shared" si="271"/>
        <v/>
      </c>
      <c r="AP196" s="11"/>
      <c r="AR196" s="12"/>
      <c r="AS196" s="9"/>
      <c r="AT196" s="9" t="str">
        <f t="shared" si="226"/>
        <v/>
      </c>
      <c r="AU196" s="9"/>
      <c r="AV196" s="9" t="str">
        <f t="shared" si="227"/>
        <v/>
      </c>
      <c r="AW196" s="9"/>
      <c r="AX196" s="9" t="str">
        <f t="shared" si="228"/>
        <v/>
      </c>
      <c r="AY196" s="9"/>
      <c r="AZ196" s="47" t="str">
        <f t="shared" si="280"/>
        <v/>
      </c>
      <c r="BA196" s="45" t="str">
        <f t="shared" si="285"/>
        <v/>
      </c>
      <c r="BB196" s="9" t="str">
        <f t="shared" si="230"/>
        <v/>
      </c>
      <c r="BC196" s="10" t="str">
        <f t="shared" si="273"/>
        <v/>
      </c>
      <c r="BD196" s="11"/>
      <c r="BF196" s="12"/>
      <c r="BG196" s="9"/>
      <c r="BH196" s="9" t="str">
        <f t="shared" si="231"/>
        <v/>
      </c>
      <c r="BI196" s="9"/>
      <c r="BJ196" s="9" t="str">
        <f t="shared" si="232"/>
        <v/>
      </c>
      <c r="BK196" s="9"/>
      <c r="BL196" s="9" t="str">
        <f t="shared" si="233"/>
        <v/>
      </c>
      <c r="BM196" s="9"/>
      <c r="BN196" s="47" t="str">
        <f t="shared" si="281"/>
        <v/>
      </c>
      <c r="BO196" s="45" t="str">
        <f t="shared" si="286"/>
        <v/>
      </c>
      <c r="BP196" s="9" t="str">
        <f t="shared" si="235"/>
        <v/>
      </c>
      <c r="BQ196" s="10" t="str">
        <f t="shared" si="275"/>
        <v/>
      </c>
      <c r="BR196" s="11"/>
      <c r="BT196" s="12"/>
      <c r="BU196" s="9"/>
      <c r="BV196" s="9" t="str">
        <f t="shared" si="236"/>
        <v/>
      </c>
      <c r="BW196" s="9"/>
      <c r="BX196" s="9" t="str">
        <f t="shared" si="237"/>
        <v/>
      </c>
      <c r="BY196" s="9"/>
      <c r="BZ196" s="9" t="str">
        <f t="shared" si="238"/>
        <v/>
      </c>
      <c r="CA196" s="9"/>
      <c r="CB196" s="47" t="str">
        <f t="shared" si="282"/>
        <v/>
      </c>
      <c r="CC196" s="45" t="str">
        <f t="shared" si="287"/>
        <v/>
      </c>
      <c r="CD196" s="9" t="str">
        <f t="shared" si="240"/>
        <v/>
      </c>
      <c r="CE196" s="10" t="str">
        <f t="shared" si="277"/>
        <v/>
      </c>
      <c r="CF196" s="11"/>
    </row>
    <row r="197" spans="1:84" ht="15" customHeight="1">
      <c r="A197" s="12"/>
      <c r="B197" s="8"/>
      <c r="C197" s="9"/>
      <c r="D197" s="9" t="str">
        <f t="shared" si="257"/>
        <v/>
      </c>
      <c r="E197" s="9"/>
      <c r="F197" s="9" t="str">
        <f t="shared" si="258"/>
        <v/>
      </c>
      <c r="G197" s="9"/>
      <c r="H197" s="9" t="str">
        <f t="shared" si="259"/>
        <v/>
      </c>
      <c r="I197" s="9"/>
      <c r="J197" s="9"/>
      <c r="K197" s="9"/>
      <c r="L197" s="9" t="str">
        <f t="shared" si="244"/>
        <v/>
      </c>
      <c r="M197" s="10" t="str">
        <f t="shared" si="245"/>
        <v/>
      </c>
      <c r="N197" s="11"/>
      <c r="O197" s="2"/>
      <c r="P197" s="12"/>
      <c r="Q197" s="9"/>
      <c r="R197" s="9" t="str">
        <f t="shared" si="260"/>
        <v/>
      </c>
      <c r="S197" s="9"/>
      <c r="T197" s="9" t="str">
        <f t="shared" si="261"/>
        <v/>
      </c>
      <c r="U197" s="9"/>
      <c r="V197" s="9" t="str">
        <f t="shared" si="262"/>
        <v/>
      </c>
      <c r="W197" s="9"/>
      <c r="X197" s="47" t="str">
        <f t="shared" si="278"/>
        <v/>
      </c>
      <c r="Y197" s="9" t="str">
        <f t="shared" si="283"/>
        <v/>
      </c>
      <c r="Z197" s="9" t="str">
        <f t="shared" si="264"/>
        <v/>
      </c>
      <c r="AA197" s="10" t="str">
        <f t="shared" si="265"/>
        <v/>
      </c>
      <c r="AB197" s="11"/>
      <c r="AD197" s="12"/>
      <c r="AE197" s="9"/>
      <c r="AF197" s="9" t="str">
        <f t="shared" si="266"/>
        <v/>
      </c>
      <c r="AG197" s="9"/>
      <c r="AH197" s="9" t="str">
        <f t="shared" si="267"/>
        <v/>
      </c>
      <c r="AI197" s="9"/>
      <c r="AJ197" s="9" t="str">
        <f t="shared" si="268"/>
        <v/>
      </c>
      <c r="AK197" s="9"/>
      <c r="AL197" s="47" t="str">
        <f t="shared" si="279"/>
        <v/>
      </c>
      <c r="AM197" s="9" t="str">
        <f t="shared" si="284"/>
        <v/>
      </c>
      <c r="AN197" s="9" t="str">
        <f t="shared" si="270"/>
        <v/>
      </c>
      <c r="AO197" s="10" t="str">
        <f t="shared" si="271"/>
        <v/>
      </c>
      <c r="AP197" s="11"/>
      <c r="AR197" s="12"/>
      <c r="AS197" s="9"/>
      <c r="AT197" s="9" t="str">
        <f t="shared" si="226"/>
        <v/>
      </c>
      <c r="AU197" s="9"/>
      <c r="AV197" s="9" t="str">
        <f t="shared" si="227"/>
        <v/>
      </c>
      <c r="AW197" s="9"/>
      <c r="AX197" s="9" t="str">
        <f t="shared" si="228"/>
        <v/>
      </c>
      <c r="AY197" s="9"/>
      <c r="AZ197" s="47" t="str">
        <f t="shared" si="280"/>
        <v/>
      </c>
      <c r="BA197" s="9" t="str">
        <f t="shared" si="285"/>
        <v/>
      </c>
      <c r="BB197" s="9" t="str">
        <f t="shared" si="230"/>
        <v/>
      </c>
      <c r="BC197" s="10" t="str">
        <f t="shared" si="273"/>
        <v/>
      </c>
      <c r="BD197" s="11"/>
      <c r="BF197" s="12"/>
      <c r="BG197" s="9"/>
      <c r="BH197" s="9" t="str">
        <f t="shared" si="231"/>
        <v/>
      </c>
      <c r="BI197" s="9"/>
      <c r="BJ197" s="9" t="str">
        <f t="shared" si="232"/>
        <v/>
      </c>
      <c r="BK197" s="9"/>
      <c r="BL197" s="9" t="str">
        <f t="shared" si="233"/>
        <v/>
      </c>
      <c r="BM197" s="9"/>
      <c r="BN197" s="47" t="str">
        <f t="shared" si="281"/>
        <v/>
      </c>
      <c r="BO197" s="9" t="str">
        <f t="shared" si="286"/>
        <v/>
      </c>
      <c r="BP197" s="9" t="str">
        <f t="shared" si="235"/>
        <v/>
      </c>
      <c r="BQ197" s="10" t="str">
        <f t="shared" si="275"/>
        <v/>
      </c>
      <c r="BR197" s="11"/>
      <c r="BT197" s="12"/>
      <c r="BU197" s="9"/>
      <c r="BV197" s="9" t="str">
        <f t="shared" si="236"/>
        <v/>
      </c>
      <c r="BW197" s="9"/>
      <c r="BX197" s="9" t="str">
        <f t="shared" si="237"/>
        <v/>
      </c>
      <c r="BY197" s="9"/>
      <c r="BZ197" s="9" t="str">
        <f t="shared" si="238"/>
        <v/>
      </c>
      <c r="CA197" s="9"/>
      <c r="CB197" s="47" t="str">
        <f t="shared" si="282"/>
        <v/>
      </c>
      <c r="CC197" s="9" t="str">
        <f t="shared" si="287"/>
        <v/>
      </c>
      <c r="CD197" s="9" t="str">
        <f t="shared" si="240"/>
        <v/>
      </c>
      <c r="CE197" s="10" t="str">
        <f t="shared" si="277"/>
        <v/>
      </c>
      <c r="CF197" s="11"/>
    </row>
    <row r="198" spans="1:84" ht="15" customHeight="1" thickBot="1">
      <c r="A198" s="12"/>
      <c r="B198" s="8"/>
      <c r="C198" s="9"/>
      <c r="D198" s="9" t="str">
        <f t="shared" si="257"/>
        <v/>
      </c>
      <c r="E198" s="9"/>
      <c r="F198" s="9" t="str">
        <f t="shared" si="258"/>
        <v/>
      </c>
      <c r="G198" s="9"/>
      <c r="H198" s="9" t="str">
        <f t="shared" si="259"/>
        <v/>
      </c>
      <c r="I198" s="9"/>
      <c r="J198" s="9"/>
      <c r="K198" s="9"/>
      <c r="L198" s="9" t="str">
        <f t="shared" si="244"/>
        <v/>
      </c>
      <c r="M198" s="10" t="str">
        <f t="shared" si="245"/>
        <v/>
      </c>
      <c r="N198" s="11"/>
      <c r="O198" s="2"/>
      <c r="P198" s="18"/>
      <c r="Q198" s="19"/>
      <c r="R198" s="19" t="str">
        <f t="shared" si="260"/>
        <v/>
      </c>
      <c r="S198" s="19"/>
      <c r="T198" s="19" t="str">
        <f t="shared" si="261"/>
        <v/>
      </c>
      <c r="U198" s="19"/>
      <c r="V198" s="19" t="str">
        <f t="shared" si="262"/>
        <v/>
      </c>
      <c r="W198" s="19"/>
      <c r="X198" s="48" t="str">
        <f t="shared" si="278"/>
        <v/>
      </c>
      <c r="Y198" s="51" t="str">
        <f t="shared" si="283"/>
        <v/>
      </c>
      <c r="Z198" s="19" t="str">
        <f t="shared" si="264"/>
        <v/>
      </c>
      <c r="AA198" s="20" t="str">
        <f t="shared" si="265"/>
        <v/>
      </c>
      <c r="AB198" s="11"/>
      <c r="AD198" s="18"/>
      <c r="AE198" s="19"/>
      <c r="AF198" s="19" t="str">
        <f t="shared" si="266"/>
        <v/>
      </c>
      <c r="AG198" s="19"/>
      <c r="AH198" s="19" t="str">
        <f t="shared" si="267"/>
        <v/>
      </c>
      <c r="AI198" s="19"/>
      <c r="AJ198" s="19" t="str">
        <f t="shared" si="268"/>
        <v/>
      </c>
      <c r="AK198" s="19"/>
      <c r="AL198" s="48" t="str">
        <f t="shared" si="279"/>
        <v/>
      </c>
      <c r="AM198" s="51" t="str">
        <f t="shared" si="284"/>
        <v/>
      </c>
      <c r="AN198" s="19" t="str">
        <f t="shared" si="270"/>
        <v/>
      </c>
      <c r="AO198" s="20" t="str">
        <f t="shared" si="271"/>
        <v/>
      </c>
      <c r="AP198" s="11"/>
      <c r="AR198" s="18"/>
      <c r="AS198" s="19"/>
      <c r="AT198" s="19" t="str">
        <f t="shared" si="226"/>
        <v/>
      </c>
      <c r="AU198" s="19"/>
      <c r="AV198" s="19" t="str">
        <f t="shared" si="227"/>
        <v/>
      </c>
      <c r="AW198" s="19"/>
      <c r="AX198" s="19" t="str">
        <f t="shared" si="228"/>
        <v/>
      </c>
      <c r="AY198" s="19"/>
      <c r="AZ198" s="48" t="str">
        <f t="shared" si="280"/>
        <v/>
      </c>
      <c r="BA198" s="51" t="str">
        <f t="shared" si="285"/>
        <v/>
      </c>
      <c r="BB198" s="19" t="str">
        <f t="shared" si="230"/>
        <v/>
      </c>
      <c r="BC198" s="20" t="str">
        <f t="shared" si="273"/>
        <v/>
      </c>
      <c r="BD198" s="11"/>
      <c r="BF198" s="18"/>
      <c r="BG198" s="19"/>
      <c r="BH198" s="19" t="str">
        <f t="shared" si="231"/>
        <v/>
      </c>
      <c r="BI198" s="19"/>
      <c r="BJ198" s="19" t="str">
        <f t="shared" si="232"/>
        <v/>
      </c>
      <c r="BK198" s="19"/>
      <c r="BL198" s="19" t="str">
        <f t="shared" si="233"/>
        <v/>
      </c>
      <c r="BM198" s="19"/>
      <c r="BN198" s="48" t="str">
        <f t="shared" si="281"/>
        <v/>
      </c>
      <c r="BO198" s="51" t="str">
        <f t="shared" si="286"/>
        <v/>
      </c>
      <c r="BP198" s="19" t="str">
        <f t="shared" si="235"/>
        <v/>
      </c>
      <c r="BQ198" s="20" t="str">
        <f t="shared" si="275"/>
        <v/>
      </c>
      <c r="BR198" s="11"/>
      <c r="BT198" s="18"/>
      <c r="BU198" s="19"/>
      <c r="BV198" s="19" t="str">
        <f t="shared" si="236"/>
        <v/>
      </c>
      <c r="BW198" s="19"/>
      <c r="BX198" s="19" t="str">
        <f t="shared" si="237"/>
        <v/>
      </c>
      <c r="BY198" s="19"/>
      <c r="BZ198" s="19" t="str">
        <f t="shared" si="238"/>
        <v/>
      </c>
      <c r="CA198" s="19"/>
      <c r="CB198" s="48" t="str">
        <f t="shared" si="282"/>
        <v/>
      </c>
      <c r="CC198" s="51" t="str">
        <f t="shared" si="287"/>
        <v/>
      </c>
      <c r="CD198" s="19" t="str">
        <f t="shared" si="240"/>
        <v/>
      </c>
      <c r="CE198" s="20" t="str">
        <f t="shared" si="277"/>
        <v/>
      </c>
      <c r="CF198" s="11"/>
    </row>
    <row r="199" spans="1:84" ht="15" customHeight="1" thickTop="1">
      <c r="A199" s="12"/>
      <c r="B199" s="8"/>
      <c r="C199" s="9"/>
      <c r="D199" s="9" t="str">
        <f t="shared" si="257"/>
        <v/>
      </c>
      <c r="E199" s="9"/>
      <c r="F199" s="9" t="str">
        <f t="shared" si="258"/>
        <v/>
      </c>
      <c r="G199" s="9"/>
      <c r="H199" s="9" t="str">
        <f t="shared" si="259"/>
        <v/>
      </c>
      <c r="I199" s="9"/>
      <c r="J199" s="9"/>
      <c r="K199" s="9"/>
      <c r="L199" s="9" t="str">
        <f t="shared" si="244"/>
        <v/>
      </c>
      <c r="M199" s="10" t="str">
        <f t="shared" si="245"/>
        <v/>
      </c>
      <c r="N199" s="11"/>
      <c r="O199" s="2"/>
      <c r="P199" s="65" t="str">
        <f>IF($A163="","",$A163)</f>
        <v/>
      </c>
      <c r="Q199" s="44"/>
      <c r="R199" s="44" t="str">
        <f t="shared" si="260"/>
        <v/>
      </c>
      <c r="S199" s="44"/>
      <c r="T199" s="23" t="str">
        <f t="shared" si="261"/>
        <v/>
      </c>
      <c r="U199" s="44"/>
      <c r="V199" s="44" t="str">
        <f t="shared" si="262"/>
        <v/>
      </c>
      <c r="W199" s="44"/>
      <c r="X199" s="61" t="str">
        <f t="shared" si="278"/>
        <v/>
      </c>
      <c r="Y199" s="62" t="str">
        <f t="shared" si="283"/>
        <v/>
      </c>
      <c r="Z199" s="23" t="str">
        <f t="shared" si="264"/>
        <v/>
      </c>
      <c r="AA199" s="24" t="str">
        <f t="shared" si="265"/>
        <v/>
      </c>
      <c r="AB199" s="11"/>
      <c r="AD199" s="65" t="str">
        <f>IF($A163="","",$A163)</f>
        <v/>
      </c>
      <c r="AE199" s="44"/>
      <c r="AF199" s="44" t="str">
        <f t="shared" si="266"/>
        <v/>
      </c>
      <c r="AG199" s="44"/>
      <c r="AH199" s="23" t="str">
        <f t="shared" si="267"/>
        <v/>
      </c>
      <c r="AI199" s="44"/>
      <c r="AJ199" s="44" t="str">
        <f t="shared" si="268"/>
        <v/>
      </c>
      <c r="AK199" s="44"/>
      <c r="AL199" s="61" t="str">
        <f t="shared" si="279"/>
        <v/>
      </c>
      <c r="AM199" s="62" t="str">
        <f t="shared" si="284"/>
        <v/>
      </c>
      <c r="AN199" s="23" t="str">
        <f t="shared" si="270"/>
        <v/>
      </c>
      <c r="AO199" s="24" t="str">
        <f t="shared" si="271"/>
        <v/>
      </c>
      <c r="AP199" s="11"/>
      <c r="AR199" s="65" t="str">
        <f>IF($A163="","",$A163)</f>
        <v/>
      </c>
      <c r="AS199" s="44"/>
      <c r="AT199" s="44" t="str">
        <f t="shared" si="226"/>
        <v/>
      </c>
      <c r="AU199" s="44"/>
      <c r="AV199" s="23" t="str">
        <f t="shared" si="227"/>
        <v/>
      </c>
      <c r="AW199" s="44"/>
      <c r="AX199" s="44" t="str">
        <f t="shared" si="228"/>
        <v/>
      </c>
      <c r="AY199" s="44"/>
      <c r="AZ199" s="61" t="str">
        <f t="shared" si="280"/>
        <v/>
      </c>
      <c r="BA199" s="62" t="str">
        <f t="shared" si="285"/>
        <v/>
      </c>
      <c r="BB199" s="23" t="str">
        <f t="shared" si="230"/>
        <v/>
      </c>
      <c r="BC199" s="24" t="str">
        <f t="shared" si="273"/>
        <v/>
      </c>
      <c r="BD199" s="11"/>
      <c r="BF199" s="65" t="str">
        <f>IF($A163="","",$A163)</f>
        <v/>
      </c>
      <c r="BG199" s="44"/>
      <c r="BH199" s="44" t="str">
        <f t="shared" si="231"/>
        <v/>
      </c>
      <c r="BI199" s="44"/>
      <c r="BJ199" s="23" t="str">
        <f t="shared" si="232"/>
        <v/>
      </c>
      <c r="BK199" s="44"/>
      <c r="BL199" s="44" t="str">
        <f t="shared" si="233"/>
        <v/>
      </c>
      <c r="BM199" s="44"/>
      <c r="BN199" s="61" t="str">
        <f t="shared" si="281"/>
        <v/>
      </c>
      <c r="BO199" s="62" t="str">
        <f t="shared" si="286"/>
        <v/>
      </c>
      <c r="BP199" s="23" t="str">
        <f t="shared" si="235"/>
        <v/>
      </c>
      <c r="BQ199" s="24" t="str">
        <f t="shared" si="275"/>
        <v/>
      </c>
      <c r="BR199" s="11"/>
      <c r="BT199" s="65" t="str">
        <f>IF($A163="","",$A163)</f>
        <v/>
      </c>
      <c r="BU199" s="44"/>
      <c r="BV199" s="44" t="str">
        <f t="shared" si="236"/>
        <v/>
      </c>
      <c r="BW199" s="44"/>
      <c r="BX199" s="23" t="str">
        <f t="shared" si="237"/>
        <v/>
      </c>
      <c r="BY199" s="44"/>
      <c r="BZ199" s="44" t="str">
        <f t="shared" si="238"/>
        <v/>
      </c>
      <c r="CA199" s="44"/>
      <c r="CB199" s="61" t="str">
        <f t="shared" si="282"/>
        <v/>
      </c>
      <c r="CC199" s="62" t="str">
        <f t="shared" si="287"/>
        <v/>
      </c>
      <c r="CD199" s="23" t="str">
        <f t="shared" si="240"/>
        <v/>
      </c>
      <c r="CE199" s="24" t="str">
        <f t="shared" si="277"/>
        <v/>
      </c>
      <c r="CF199" s="11"/>
    </row>
    <row r="200" spans="1:84" ht="15" customHeight="1">
      <c r="A200" s="12"/>
      <c r="B200" s="8"/>
      <c r="C200" s="9"/>
      <c r="D200" s="9" t="str">
        <f t="shared" si="257"/>
        <v/>
      </c>
      <c r="E200" s="9"/>
      <c r="F200" s="9" t="str">
        <f t="shared" si="258"/>
        <v/>
      </c>
      <c r="G200" s="9"/>
      <c r="H200" s="9" t="str">
        <f t="shared" si="259"/>
        <v/>
      </c>
      <c r="I200" s="9"/>
      <c r="J200" s="9"/>
      <c r="K200" s="9"/>
      <c r="L200" s="9" t="str">
        <f t="shared" si="244"/>
        <v/>
      </c>
      <c r="M200" s="10" t="str">
        <f t="shared" si="245"/>
        <v/>
      </c>
      <c r="N200" s="11"/>
      <c r="O200" s="2"/>
      <c r="P200" s="12"/>
      <c r="Q200" s="9"/>
      <c r="R200" s="9" t="str">
        <f t="shared" si="260"/>
        <v/>
      </c>
      <c r="S200" s="9"/>
      <c r="T200" s="9" t="str">
        <f t="shared" si="261"/>
        <v/>
      </c>
      <c r="U200" s="9"/>
      <c r="V200" s="9" t="str">
        <f t="shared" si="262"/>
        <v/>
      </c>
      <c r="W200" s="9"/>
      <c r="X200" s="47" t="str">
        <f t="shared" si="278"/>
        <v/>
      </c>
      <c r="Y200" s="45" t="str">
        <f t="shared" si="283"/>
        <v/>
      </c>
      <c r="Z200" s="9" t="str">
        <f t="shared" si="264"/>
        <v/>
      </c>
      <c r="AA200" s="10" t="str">
        <f t="shared" si="265"/>
        <v/>
      </c>
      <c r="AB200" s="11"/>
      <c r="AD200" s="12"/>
      <c r="AE200" s="9"/>
      <c r="AF200" s="9" t="str">
        <f t="shared" si="266"/>
        <v/>
      </c>
      <c r="AG200" s="9"/>
      <c r="AH200" s="9" t="str">
        <f t="shared" si="267"/>
        <v/>
      </c>
      <c r="AI200" s="9"/>
      <c r="AJ200" s="9" t="str">
        <f t="shared" si="268"/>
        <v/>
      </c>
      <c r="AK200" s="9"/>
      <c r="AL200" s="47" t="str">
        <f t="shared" si="279"/>
        <v/>
      </c>
      <c r="AM200" s="45" t="str">
        <f t="shared" si="284"/>
        <v/>
      </c>
      <c r="AN200" s="9" t="str">
        <f t="shared" si="270"/>
        <v/>
      </c>
      <c r="AO200" s="10" t="str">
        <f t="shared" si="271"/>
        <v/>
      </c>
      <c r="AP200" s="11"/>
      <c r="AR200" s="12"/>
      <c r="AS200" s="9"/>
      <c r="AT200" s="9" t="str">
        <f t="shared" si="226"/>
        <v/>
      </c>
      <c r="AU200" s="9"/>
      <c r="AV200" s="9" t="str">
        <f t="shared" si="227"/>
        <v/>
      </c>
      <c r="AW200" s="9"/>
      <c r="AX200" s="9" t="str">
        <f t="shared" si="228"/>
        <v/>
      </c>
      <c r="AY200" s="9"/>
      <c r="AZ200" s="47" t="str">
        <f t="shared" si="280"/>
        <v/>
      </c>
      <c r="BA200" s="45" t="str">
        <f t="shared" si="285"/>
        <v/>
      </c>
      <c r="BB200" s="9" t="str">
        <f t="shared" si="230"/>
        <v/>
      </c>
      <c r="BC200" s="10" t="str">
        <f t="shared" si="273"/>
        <v/>
      </c>
      <c r="BD200" s="11"/>
      <c r="BF200" s="12"/>
      <c r="BG200" s="9"/>
      <c r="BH200" s="9" t="str">
        <f t="shared" si="231"/>
        <v/>
      </c>
      <c r="BI200" s="9"/>
      <c r="BJ200" s="9" t="str">
        <f t="shared" si="232"/>
        <v/>
      </c>
      <c r="BK200" s="9"/>
      <c r="BL200" s="9" t="str">
        <f t="shared" si="233"/>
        <v/>
      </c>
      <c r="BM200" s="9"/>
      <c r="BN200" s="47" t="str">
        <f t="shared" si="281"/>
        <v/>
      </c>
      <c r="BO200" s="45" t="str">
        <f t="shared" si="286"/>
        <v/>
      </c>
      <c r="BP200" s="9" t="str">
        <f t="shared" si="235"/>
        <v/>
      </c>
      <c r="BQ200" s="10" t="str">
        <f t="shared" si="275"/>
        <v/>
      </c>
      <c r="BR200" s="11"/>
      <c r="BT200" s="12"/>
      <c r="BU200" s="9"/>
      <c r="BV200" s="9" t="str">
        <f t="shared" si="236"/>
        <v/>
      </c>
      <c r="BW200" s="9"/>
      <c r="BX200" s="9" t="str">
        <f t="shared" si="237"/>
        <v/>
      </c>
      <c r="BY200" s="9"/>
      <c r="BZ200" s="9" t="str">
        <f t="shared" si="238"/>
        <v/>
      </c>
      <c r="CA200" s="9"/>
      <c r="CB200" s="47" t="str">
        <f t="shared" si="282"/>
        <v/>
      </c>
      <c r="CC200" s="45" t="str">
        <f t="shared" si="287"/>
        <v/>
      </c>
      <c r="CD200" s="9" t="str">
        <f t="shared" si="240"/>
        <v/>
      </c>
      <c r="CE200" s="10" t="str">
        <f t="shared" si="277"/>
        <v/>
      </c>
      <c r="CF200" s="11"/>
    </row>
    <row r="201" spans="1:84" ht="15" customHeight="1">
      <c r="A201" s="12"/>
      <c r="B201" s="8"/>
      <c r="C201" s="9"/>
      <c r="D201" s="9" t="str">
        <f t="shared" si="257"/>
        <v/>
      </c>
      <c r="E201" s="9"/>
      <c r="F201" s="9" t="str">
        <f t="shared" si="258"/>
        <v/>
      </c>
      <c r="G201" s="9"/>
      <c r="H201" s="9" t="str">
        <f t="shared" si="259"/>
        <v/>
      </c>
      <c r="I201" s="9"/>
      <c r="J201" s="9"/>
      <c r="K201" s="9"/>
      <c r="L201" s="9" t="str">
        <f t="shared" si="244"/>
        <v/>
      </c>
      <c r="M201" s="10" t="str">
        <f t="shared" si="245"/>
        <v/>
      </c>
      <c r="N201" s="11"/>
      <c r="O201" s="2"/>
      <c r="P201" s="12"/>
      <c r="Q201" s="9"/>
      <c r="R201" s="9" t="str">
        <f t="shared" si="260"/>
        <v/>
      </c>
      <c r="S201" s="9"/>
      <c r="T201" s="9" t="str">
        <f t="shared" si="261"/>
        <v/>
      </c>
      <c r="U201" s="9"/>
      <c r="V201" s="9" t="str">
        <f t="shared" si="262"/>
        <v/>
      </c>
      <c r="W201" s="9"/>
      <c r="X201" s="47" t="str">
        <f t="shared" si="278"/>
        <v/>
      </c>
      <c r="Y201" s="9" t="str">
        <f t="shared" si="283"/>
        <v/>
      </c>
      <c r="Z201" s="9" t="str">
        <f t="shared" si="264"/>
        <v/>
      </c>
      <c r="AA201" s="10" t="str">
        <f t="shared" si="265"/>
        <v/>
      </c>
      <c r="AB201" s="11"/>
      <c r="AD201" s="12"/>
      <c r="AE201" s="9"/>
      <c r="AF201" s="9" t="str">
        <f t="shared" si="266"/>
        <v/>
      </c>
      <c r="AG201" s="9"/>
      <c r="AH201" s="9" t="str">
        <f t="shared" si="267"/>
        <v/>
      </c>
      <c r="AI201" s="9"/>
      <c r="AJ201" s="9" t="str">
        <f t="shared" si="268"/>
        <v/>
      </c>
      <c r="AK201" s="9"/>
      <c r="AL201" s="47" t="str">
        <f t="shared" si="279"/>
        <v/>
      </c>
      <c r="AM201" s="9" t="str">
        <f t="shared" si="284"/>
        <v/>
      </c>
      <c r="AN201" s="9" t="str">
        <f t="shared" si="270"/>
        <v/>
      </c>
      <c r="AO201" s="10" t="str">
        <f t="shared" si="271"/>
        <v/>
      </c>
      <c r="AP201" s="11"/>
      <c r="AR201" s="12"/>
      <c r="AS201" s="9"/>
      <c r="AT201" s="9" t="str">
        <f t="shared" si="226"/>
        <v/>
      </c>
      <c r="AU201" s="9"/>
      <c r="AV201" s="9" t="str">
        <f t="shared" si="227"/>
        <v/>
      </c>
      <c r="AW201" s="9"/>
      <c r="AX201" s="9" t="str">
        <f t="shared" si="228"/>
        <v/>
      </c>
      <c r="AY201" s="9"/>
      <c r="AZ201" s="47" t="str">
        <f t="shared" si="280"/>
        <v/>
      </c>
      <c r="BA201" s="9" t="str">
        <f t="shared" si="285"/>
        <v/>
      </c>
      <c r="BB201" s="9" t="str">
        <f t="shared" si="230"/>
        <v/>
      </c>
      <c r="BC201" s="10" t="str">
        <f t="shared" si="273"/>
        <v/>
      </c>
      <c r="BD201" s="11"/>
      <c r="BF201" s="12"/>
      <c r="BG201" s="9"/>
      <c r="BH201" s="9" t="str">
        <f t="shared" si="231"/>
        <v/>
      </c>
      <c r="BI201" s="9"/>
      <c r="BJ201" s="9" t="str">
        <f t="shared" si="232"/>
        <v/>
      </c>
      <c r="BK201" s="9"/>
      <c r="BL201" s="9" t="str">
        <f t="shared" si="233"/>
        <v/>
      </c>
      <c r="BM201" s="9"/>
      <c r="BN201" s="47" t="str">
        <f t="shared" si="281"/>
        <v/>
      </c>
      <c r="BO201" s="9" t="str">
        <f t="shared" si="286"/>
        <v/>
      </c>
      <c r="BP201" s="9" t="str">
        <f t="shared" si="235"/>
        <v/>
      </c>
      <c r="BQ201" s="10" t="str">
        <f t="shared" si="275"/>
        <v/>
      </c>
      <c r="BR201" s="11"/>
      <c r="BT201" s="12"/>
      <c r="BU201" s="9"/>
      <c r="BV201" s="9" t="str">
        <f t="shared" si="236"/>
        <v/>
      </c>
      <c r="BW201" s="9"/>
      <c r="BX201" s="9" t="str">
        <f t="shared" si="237"/>
        <v/>
      </c>
      <c r="BY201" s="9"/>
      <c r="BZ201" s="9" t="str">
        <f t="shared" si="238"/>
        <v/>
      </c>
      <c r="CA201" s="9"/>
      <c r="CB201" s="47" t="str">
        <f t="shared" si="282"/>
        <v/>
      </c>
      <c r="CC201" s="9" t="str">
        <f t="shared" si="287"/>
        <v/>
      </c>
      <c r="CD201" s="9" t="str">
        <f t="shared" si="240"/>
        <v/>
      </c>
      <c r="CE201" s="10" t="str">
        <f t="shared" si="277"/>
        <v/>
      </c>
      <c r="CF201" s="11"/>
    </row>
    <row r="202" spans="1:84" ht="15" customHeight="1" thickBot="1">
      <c r="A202" s="12"/>
      <c r="B202" s="8"/>
      <c r="C202" s="9"/>
      <c r="D202" s="9" t="str">
        <f t="shared" si="257"/>
        <v/>
      </c>
      <c r="E202" s="9"/>
      <c r="F202" s="9" t="str">
        <f t="shared" si="258"/>
        <v/>
      </c>
      <c r="G202" s="9"/>
      <c r="H202" s="9" t="str">
        <f t="shared" si="259"/>
        <v/>
      </c>
      <c r="I202" s="9"/>
      <c r="J202" s="9"/>
      <c r="K202" s="9"/>
      <c r="L202" s="9" t="str">
        <f t="shared" si="244"/>
        <v/>
      </c>
      <c r="M202" s="10" t="str">
        <f t="shared" si="245"/>
        <v/>
      </c>
      <c r="N202" s="11"/>
      <c r="O202" s="2"/>
      <c r="P202" s="18"/>
      <c r="Q202" s="19"/>
      <c r="R202" s="19" t="str">
        <f t="shared" si="260"/>
        <v/>
      </c>
      <c r="S202" s="19"/>
      <c r="T202" s="19" t="str">
        <f t="shared" si="261"/>
        <v/>
      </c>
      <c r="U202" s="19"/>
      <c r="V202" s="19" t="str">
        <f t="shared" si="262"/>
        <v/>
      </c>
      <c r="W202" s="19"/>
      <c r="X202" s="48" t="str">
        <f t="shared" si="278"/>
        <v/>
      </c>
      <c r="Y202" s="51" t="str">
        <f t="shared" si="283"/>
        <v/>
      </c>
      <c r="Z202" s="19" t="str">
        <f t="shared" si="264"/>
        <v/>
      </c>
      <c r="AA202" s="20" t="str">
        <f t="shared" si="265"/>
        <v/>
      </c>
      <c r="AB202" s="11"/>
      <c r="AD202" s="18"/>
      <c r="AE202" s="19"/>
      <c r="AF202" s="19" t="str">
        <f t="shared" si="266"/>
        <v/>
      </c>
      <c r="AG202" s="19"/>
      <c r="AH202" s="19" t="str">
        <f t="shared" si="267"/>
        <v/>
      </c>
      <c r="AI202" s="19"/>
      <c r="AJ202" s="19" t="str">
        <f t="shared" si="268"/>
        <v/>
      </c>
      <c r="AK202" s="19"/>
      <c r="AL202" s="48" t="str">
        <f t="shared" si="279"/>
        <v/>
      </c>
      <c r="AM202" s="51" t="str">
        <f t="shared" si="284"/>
        <v/>
      </c>
      <c r="AN202" s="19" t="str">
        <f t="shared" si="270"/>
        <v/>
      </c>
      <c r="AO202" s="20" t="str">
        <f t="shared" si="271"/>
        <v/>
      </c>
      <c r="AP202" s="11"/>
      <c r="AR202" s="18"/>
      <c r="AS202" s="19"/>
      <c r="AT202" s="19" t="str">
        <f t="shared" si="226"/>
        <v/>
      </c>
      <c r="AU202" s="19"/>
      <c r="AV202" s="19" t="str">
        <f t="shared" si="227"/>
        <v/>
      </c>
      <c r="AW202" s="19"/>
      <c r="AX202" s="19" t="str">
        <f t="shared" si="228"/>
        <v/>
      </c>
      <c r="AY202" s="19"/>
      <c r="AZ202" s="48" t="str">
        <f t="shared" si="280"/>
        <v/>
      </c>
      <c r="BA202" s="51" t="str">
        <f t="shared" si="285"/>
        <v/>
      </c>
      <c r="BB202" s="19" t="str">
        <f t="shared" si="230"/>
        <v/>
      </c>
      <c r="BC202" s="20" t="str">
        <f t="shared" si="273"/>
        <v/>
      </c>
      <c r="BD202" s="11"/>
      <c r="BF202" s="18"/>
      <c r="BG202" s="19"/>
      <c r="BH202" s="19" t="str">
        <f t="shared" si="231"/>
        <v/>
      </c>
      <c r="BI202" s="19"/>
      <c r="BJ202" s="19" t="str">
        <f t="shared" si="232"/>
        <v/>
      </c>
      <c r="BK202" s="19"/>
      <c r="BL202" s="19" t="str">
        <f t="shared" si="233"/>
        <v/>
      </c>
      <c r="BM202" s="19"/>
      <c r="BN202" s="48" t="str">
        <f t="shared" si="281"/>
        <v/>
      </c>
      <c r="BO202" s="51" t="str">
        <f t="shared" si="286"/>
        <v/>
      </c>
      <c r="BP202" s="19" t="str">
        <f t="shared" si="235"/>
        <v/>
      </c>
      <c r="BQ202" s="20" t="str">
        <f t="shared" si="275"/>
        <v/>
      </c>
      <c r="BR202" s="11"/>
      <c r="BT202" s="18"/>
      <c r="BU202" s="19"/>
      <c r="BV202" s="19" t="str">
        <f t="shared" si="236"/>
        <v/>
      </c>
      <c r="BW202" s="19"/>
      <c r="BX202" s="19" t="str">
        <f t="shared" si="237"/>
        <v/>
      </c>
      <c r="BY202" s="19"/>
      <c r="BZ202" s="19" t="str">
        <f t="shared" si="238"/>
        <v/>
      </c>
      <c r="CA202" s="19"/>
      <c r="CB202" s="48" t="str">
        <f t="shared" si="282"/>
        <v/>
      </c>
      <c r="CC202" s="51" t="str">
        <f t="shared" si="287"/>
        <v/>
      </c>
      <c r="CD202" s="19" t="str">
        <f t="shared" si="240"/>
        <v/>
      </c>
      <c r="CE202" s="20" t="str">
        <f t="shared" si="277"/>
        <v/>
      </c>
      <c r="CF202" s="11"/>
    </row>
    <row r="203" spans="1:84" ht="15" customHeight="1" thickTop="1">
      <c r="A203" s="12"/>
      <c r="B203" s="8"/>
      <c r="C203" s="9"/>
      <c r="D203" s="9" t="str">
        <f t="shared" si="257"/>
        <v/>
      </c>
      <c r="E203" s="9"/>
      <c r="F203" s="9" t="str">
        <f t="shared" si="258"/>
        <v/>
      </c>
      <c r="G203" s="9"/>
      <c r="H203" s="9" t="str">
        <f t="shared" si="259"/>
        <v/>
      </c>
      <c r="I203" s="9"/>
      <c r="J203" s="9"/>
      <c r="K203" s="9"/>
      <c r="L203" s="9" t="str">
        <f t="shared" si="244"/>
        <v/>
      </c>
      <c r="M203" s="10" t="str">
        <f t="shared" si="245"/>
        <v/>
      </c>
      <c r="N203" s="11"/>
      <c r="O203" s="2"/>
      <c r="P203" s="65" t="str">
        <f>IF($A164="","",$A164)</f>
        <v/>
      </c>
      <c r="Q203" s="44"/>
      <c r="R203" s="44" t="str">
        <f t="shared" si="260"/>
        <v/>
      </c>
      <c r="S203" s="44"/>
      <c r="T203" s="44" t="str">
        <f t="shared" si="261"/>
        <v/>
      </c>
      <c r="U203" s="44"/>
      <c r="V203" s="44" t="str">
        <f t="shared" si="262"/>
        <v/>
      </c>
      <c r="W203" s="44"/>
      <c r="X203" s="64" t="str">
        <f t="shared" si="278"/>
        <v/>
      </c>
      <c r="Y203" s="44" t="str">
        <f t="shared" si="283"/>
        <v/>
      </c>
      <c r="Z203" s="44" t="str">
        <f t="shared" si="264"/>
        <v/>
      </c>
      <c r="AA203" s="44" t="str">
        <f t="shared" si="265"/>
        <v/>
      </c>
      <c r="AB203" s="11"/>
      <c r="AD203" s="65" t="str">
        <f>IF($A164="","",$A164)</f>
        <v/>
      </c>
      <c r="AE203" s="44"/>
      <c r="AF203" s="44" t="str">
        <f t="shared" si="266"/>
        <v/>
      </c>
      <c r="AG203" s="44"/>
      <c r="AH203" s="44" t="str">
        <f t="shared" si="267"/>
        <v/>
      </c>
      <c r="AI203" s="44"/>
      <c r="AJ203" s="44" t="str">
        <f t="shared" si="268"/>
        <v/>
      </c>
      <c r="AK203" s="44"/>
      <c r="AL203" s="61" t="str">
        <f t="shared" si="279"/>
        <v/>
      </c>
      <c r="AM203" s="44" t="str">
        <f t="shared" si="284"/>
        <v/>
      </c>
      <c r="AN203" s="23" t="str">
        <f t="shared" si="270"/>
        <v/>
      </c>
      <c r="AO203" s="24" t="str">
        <f t="shared" si="271"/>
        <v/>
      </c>
      <c r="AP203" s="11"/>
      <c r="AR203" s="65" t="str">
        <f>IF($A164="","",$A164)</f>
        <v/>
      </c>
      <c r="AS203" s="44"/>
      <c r="AT203" s="44" t="str">
        <f t="shared" si="226"/>
        <v/>
      </c>
      <c r="AU203" s="44"/>
      <c r="AV203" s="44" t="str">
        <f t="shared" si="227"/>
        <v/>
      </c>
      <c r="AW203" s="44"/>
      <c r="AX203" s="44" t="str">
        <f t="shared" si="228"/>
        <v/>
      </c>
      <c r="AY203" s="44"/>
      <c r="AZ203" s="61" t="str">
        <f t="shared" si="280"/>
        <v/>
      </c>
      <c r="BA203" s="44" t="str">
        <f t="shared" si="285"/>
        <v/>
      </c>
      <c r="BB203" s="23" t="str">
        <f t="shared" si="230"/>
        <v/>
      </c>
      <c r="BC203" s="24" t="str">
        <f t="shared" si="273"/>
        <v/>
      </c>
      <c r="BD203" s="11"/>
      <c r="BF203" s="65" t="str">
        <f>IF($A164="","",$A164)</f>
        <v/>
      </c>
      <c r="BG203" s="44"/>
      <c r="BH203" s="44" t="str">
        <f t="shared" si="231"/>
        <v/>
      </c>
      <c r="BI203" s="44"/>
      <c r="BJ203" s="44" t="str">
        <f t="shared" si="232"/>
        <v/>
      </c>
      <c r="BK203" s="44"/>
      <c r="BL203" s="44" t="str">
        <f t="shared" si="233"/>
        <v/>
      </c>
      <c r="BM203" s="44"/>
      <c r="BN203" s="61" t="str">
        <f t="shared" si="281"/>
        <v/>
      </c>
      <c r="BO203" s="44" t="str">
        <f t="shared" si="286"/>
        <v/>
      </c>
      <c r="BP203" s="23" t="str">
        <f t="shared" si="235"/>
        <v/>
      </c>
      <c r="BQ203" s="24" t="str">
        <f t="shared" si="275"/>
        <v/>
      </c>
      <c r="BR203" s="11"/>
      <c r="BT203" s="65" t="str">
        <f>IF($A164="","",$A164)</f>
        <v/>
      </c>
      <c r="BU203" s="44"/>
      <c r="BV203" s="44" t="str">
        <f t="shared" si="236"/>
        <v/>
      </c>
      <c r="BW203" s="44"/>
      <c r="BX203" s="44" t="str">
        <f t="shared" si="237"/>
        <v/>
      </c>
      <c r="BY203" s="44"/>
      <c r="BZ203" s="44" t="str">
        <f t="shared" si="238"/>
        <v/>
      </c>
      <c r="CA203" s="44"/>
      <c r="CB203" s="61" t="str">
        <f t="shared" si="282"/>
        <v/>
      </c>
      <c r="CC203" s="44" t="str">
        <f t="shared" si="287"/>
        <v/>
      </c>
      <c r="CD203" s="23" t="str">
        <f t="shared" si="240"/>
        <v/>
      </c>
      <c r="CE203" s="24" t="str">
        <f t="shared" si="277"/>
        <v/>
      </c>
      <c r="CF203" s="11"/>
    </row>
    <row r="204" spans="1:84" ht="15" customHeight="1">
      <c r="A204" s="12"/>
      <c r="B204" s="8"/>
      <c r="C204" s="9"/>
      <c r="D204" s="9"/>
      <c r="E204" s="9"/>
      <c r="F204" s="9" t="str">
        <f t="shared" si="258"/>
        <v/>
      </c>
      <c r="G204" s="9"/>
      <c r="H204" s="9" t="str">
        <f t="shared" si="259"/>
        <v/>
      </c>
      <c r="I204" s="9"/>
      <c r="J204" s="9"/>
      <c r="K204" s="9"/>
      <c r="L204" s="9" t="str">
        <f t="shared" si="244"/>
        <v/>
      </c>
      <c r="M204" s="10" t="str">
        <f t="shared" si="245"/>
        <v/>
      </c>
      <c r="N204" s="11"/>
      <c r="O204" s="2"/>
      <c r="P204" s="65"/>
      <c r="Q204" s="44"/>
      <c r="R204" s="44" t="str">
        <f t="shared" si="260"/>
        <v/>
      </c>
      <c r="S204" s="44"/>
      <c r="T204" s="44" t="str">
        <f t="shared" si="261"/>
        <v/>
      </c>
      <c r="U204" s="44"/>
      <c r="V204" s="44" t="str">
        <f t="shared" si="262"/>
        <v/>
      </c>
      <c r="W204" s="44"/>
      <c r="X204" s="64" t="str">
        <f t="shared" si="278"/>
        <v/>
      </c>
      <c r="Y204" s="44" t="str">
        <f t="shared" si="283"/>
        <v/>
      </c>
      <c r="Z204" s="44" t="str">
        <f t="shared" si="264"/>
        <v/>
      </c>
      <c r="AA204" s="44" t="str">
        <f t="shared" si="265"/>
        <v/>
      </c>
      <c r="AB204" s="11"/>
      <c r="AD204" s="65"/>
      <c r="AE204" s="44"/>
      <c r="AF204" s="44" t="str">
        <f t="shared" si="266"/>
        <v/>
      </c>
      <c r="AG204" s="44"/>
      <c r="AH204" s="44" t="str">
        <f t="shared" si="267"/>
        <v/>
      </c>
      <c r="AI204" s="44"/>
      <c r="AJ204" s="44" t="str">
        <f t="shared" si="268"/>
        <v/>
      </c>
      <c r="AK204" s="44"/>
      <c r="AL204" s="61" t="str">
        <f t="shared" si="279"/>
        <v/>
      </c>
      <c r="AM204" s="44" t="str">
        <f t="shared" si="284"/>
        <v/>
      </c>
      <c r="AN204" s="9" t="str">
        <f t="shared" si="270"/>
        <v/>
      </c>
      <c r="AO204" s="10" t="str">
        <f t="shared" si="271"/>
        <v/>
      </c>
      <c r="AP204" s="11"/>
      <c r="AR204" s="65"/>
      <c r="AS204" s="44"/>
      <c r="AT204" s="44" t="str">
        <f t="shared" si="226"/>
        <v/>
      </c>
      <c r="AU204" s="44"/>
      <c r="AV204" s="44" t="str">
        <f t="shared" si="227"/>
        <v/>
      </c>
      <c r="AW204" s="44"/>
      <c r="AX204" s="44" t="str">
        <f t="shared" si="228"/>
        <v/>
      </c>
      <c r="AY204" s="44"/>
      <c r="AZ204" s="61" t="str">
        <f t="shared" si="280"/>
        <v/>
      </c>
      <c r="BA204" s="44" t="str">
        <f t="shared" si="285"/>
        <v/>
      </c>
      <c r="BB204" s="9" t="str">
        <f t="shared" si="230"/>
        <v/>
      </c>
      <c r="BC204" s="10" t="str">
        <f t="shared" si="273"/>
        <v/>
      </c>
      <c r="BD204" s="11"/>
      <c r="BF204" s="65"/>
      <c r="BG204" s="44"/>
      <c r="BH204" s="44" t="str">
        <f t="shared" si="231"/>
        <v/>
      </c>
      <c r="BI204" s="44"/>
      <c r="BJ204" s="44" t="str">
        <f t="shared" si="232"/>
        <v/>
      </c>
      <c r="BK204" s="44"/>
      <c r="BL204" s="44" t="str">
        <f t="shared" si="233"/>
        <v/>
      </c>
      <c r="BM204" s="44"/>
      <c r="BN204" s="61" t="str">
        <f t="shared" si="281"/>
        <v/>
      </c>
      <c r="BO204" s="44" t="str">
        <f t="shared" si="286"/>
        <v/>
      </c>
      <c r="BP204" s="9" t="str">
        <f t="shared" si="235"/>
        <v/>
      </c>
      <c r="BQ204" s="10" t="str">
        <f t="shared" si="275"/>
        <v/>
      </c>
      <c r="BR204" s="11"/>
      <c r="BT204" s="65"/>
      <c r="BU204" s="44"/>
      <c r="BV204" s="44" t="str">
        <f t="shared" si="236"/>
        <v/>
      </c>
      <c r="BW204" s="44"/>
      <c r="BX204" s="44" t="str">
        <f t="shared" si="237"/>
        <v/>
      </c>
      <c r="BY204" s="44"/>
      <c r="BZ204" s="44" t="str">
        <f t="shared" si="238"/>
        <v/>
      </c>
      <c r="CA204" s="44"/>
      <c r="CB204" s="61" t="str">
        <f t="shared" si="282"/>
        <v/>
      </c>
      <c r="CC204" s="44" t="str">
        <f t="shared" si="287"/>
        <v/>
      </c>
      <c r="CD204" s="9" t="str">
        <f t="shared" si="240"/>
        <v/>
      </c>
      <c r="CE204" s="10" t="str">
        <f t="shared" si="277"/>
        <v/>
      </c>
      <c r="CF204" s="11"/>
    </row>
    <row r="205" spans="1:84" ht="15" customHeight="1">
      <c r="A205" s="12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11"/>
      <c r="O205" s="2"/>
      <c r="P205" s="89"/>
      <c r="Q205" s="52"/>
      <c r="R205" s="52" t="str">
        <f t="shared" si="260"/>
        <v/>
      </c>
      <c r="S205" s="52"/>
      <c r="T205" s="52" t="str">
        <f t="shared" si="261"/>
        <v/>
      </c>
      <c r="U205" s="52"/>
      <c r="V205" s="52" t="str">
        <f t="shared" si="262"/>
        <v/>
      </c>
      <c r="W205" s="52"/>
      <c r="X205" s="90" t="str">
        <f t="shared" si="278"/>
        <v/>
      </c>
      <c r="Y205" s="52" t="str">
        <f t="shared" si="283"/>
        <v/>
      </c>
      <c r="Z205" s="52" t="str">
        <f t="shared" si="264"/>
        <v/>
      </c>
      <c r="AA205" s="52" t="str">
        <f t="shared" si="265"/>
        <v/>
      </c>
      <c r="AB205" s="31"/>
      <c r="AD205" s="89"/>
      <c r="AE205" s="52"/>
      <c r="AF205" s="52" t="str">
        <f t="shared" si="266"/>
        <v/>
      </c>
      <c r="AG205" s="52"/>
      <c r="AH205" s="52" t="str">
        <f t="shared" si="267"/>
        <v/>
      </c>
      <c r="AI205" s="52"/>
      <c r="AJ205" s="52" t="str">
        <f t="shared" si="268"/>
        <v/>
      </c>
      <c r="AK205" s="52"/>
      <c r="AL205" s="92" t="str">
        <f t="shared" si="279"/>
        <v/>
      </c>
      <c r="AM205" s="52" t="str">
        <f t="shared" si="284"/>
        <v/>
      </c>
      <c r="AN205" s="9" t="str">
        <f t="shared" si="270"/>
        <v/>
      </c>
      <c r="AO205" s="10" t="str">
        <f t="shared" si="271"/>
        <v/>
      </c>
      <c r="AP205" s="31"/>
      <c r="AR205" s="89"/>
      <c r="AS205" s="52"/>
      <c r="AT205" s="52" t="str">
        <f t="shared" si="226"/>
        <v/>
      </c>
      <c r="AU205" s="52"/>
      <c r="AV205" s="52" t="str">
        <f t="shared" si="227"/>
        <v/>
      </c>
      <c r="AW205" s="52"/>
      <c r="AX205" s="52" t="str">
        <f t="shared" si="228"/>
        <v/>
      </c>
      <c r="AY205" s="52"/>
      <c r="AZ205" s="92" t="str">
        <f t="shared" si="280"/>
        <v/>
      </c>
      <c r="BA205" s="52" t="str">
        <f t="shared" si="285"/>
        <v/>
      </c>
      <c r="BB205" s="9" t="str">
        <f t="shared" si="230"/>
        <v/>
      </c>
      <c r="BC205" s="10" t="str">
        <f t="shared" si="273"/>
        <v/>
      </c>
      <c r="BD205" s="31"/>
      <c r="BF205" s="89"/>
      <c r="BG205" s="52"/>
      <c r="BH205" s="52" t="str">
        <f t="shared" si="231"/>
        <v/>
      </c>
      <c r="BI205" s="52"/>
      <c r="BJ205" s="52" t="str">
        <f t="shared" si="232"/>
        <v/>
      </c>
      <c r="BK205" s="52"/>
      <c r="BL205" s="52" t="str">
        <f t="shared" si="233"/>
        <v/>
      </c>
      <c r="BM205" s="52"/>
      <c r="BN205" s="92" t="str">
        <f t="shared" si="281"/>
        <v/>
      </c>
      <c r="BO205" s="52" t="str">
        <f t="shared" si="286"/>
        <v/>
      </c>
      <c r="BP205" s="9" t="str">
        <f t="shared" si="235"/>
        <v/>
      </c>
      <c r="BQ205" s="10" t="str">
        <f t="shared" si="275"/>
        <v/>
      </c>
      <c r="BR205" s="31"/>
      <c r="BT205" s="89"/>
      <c r="BU205" s="52"/>
      <c r="BV205" s="52" t="str">
        <f t="shared" si="236"/>
        <v/>
      </c>
      <c r="BW205" s="52"/>
      <c r="BX205" s="52" t="str">
        <f t="shared" si="237"/>
        <v/>
      </c>
      <c r="BY205" s="52"/>
      <c r="BZ205" s="52" t="str">
        <f t="shared" si="238"/>
        <v/>
      </c>
      <c r="CA205" s="52"/>
      <c r="CB205" s="92" t="str">
        <f t="shared" si="282"/>
        <v/>
      </c>
      <c r="CC205" s="52" t="str">
        <f t="shared" si="287"/>
        <v/>
      </c>
      <c r="CD205" s="9" t="str">
        <f t="shared" si="240"/>
        <v/>
      </c>
      <c r="CE205" s="10" t="str">
        <f t="shared" si="277"/>
        <v/>
      </c>
      <c r="CF205" s="31"/>
    </row>
    <row r="206" spans="1:84" ht="15" customHeight="1" thickBot="1">
      <c r="A206" s="12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0"/>
      <c r="N206" s="11"/>
      <c r="O206" s="2"/>
      <c r="P206" s="85"/>
      <c r="Q206" s="50"/>
      <c r="R206" s="50" t="str">
        <f t="shared" si="260"/>
        <v/>
      </c>
      <c r="S206" s="50"/>
      <c r="T206" s="50" t="str">
        <f t="shared" si="261"/>
        <v/>
      </c>
      <c r="U206" s="50"/>
      <c r="V206" s="50" t="str">
        <f t="shared" si="262"/>
        <v/>
      </c>
      <c r="W206" s="50"/>
      <c r="X206" s="86" t="str">
        <f t="shared" si="278"/>
        <v/>
      </c>
      <c r="Y206" s="50" t="str">
        <f t="shared" si="283"/>
        <v/>
      </c>
      <c r="Z206" s="50" t="str">
        <f t="shared" si="264"/>
        <v/>
      </c>
      <c r="AA206" s="50" t="str">
        <f t="shared" si="265"/>
        <v/>
      </c>
      <c r="AB206" s="87"/>
      <c r="AD206" s="85"/>
      <c r="AE206" s="50"/>
      <c r="AF206" s="50" t="str">
        <f t="shared" si="266"/>
        <v/>
      </c>
      <c r="AG206" s="50"/>
      <c r="AH206" s="50" t="str">
        <f t="shared" si="267"/>
        <v/>
      </c>
      <c r="AI206" s="50"/>
      <c r="AJ206" s="50" t="str">
        <f t="shared" si="268"/>
        <v/>
      </c>
      <c r="AK206" s="50"/>
      <c r="AL206" s="91" t="str">
        <f t="shared" si="279"/>
        <v/>
      </c>
      <c r="AM206" s="50" t="str">
        <f t="shared" si="284"/>
        <v/>
      </c>
      <c r="AN206" s="19" t="str">
        <f t="shared" si="270"/>
        <v/>
      </c>
      <c r="AO206" s="20" t="str">
        <f t="shared" si="271"/>
        <v/>
      </c>
      <c r="AP206" s="87"/>
      <c r="AR206" s="85"/>
      <c r="AS206" s="50"/>
      <c r="AT206" s="50" t="str">
        <f t="shared" si="226"/>
        <v/>
      </c>
      <c r="AU206" s="50"/>
      <c r="AV206" s="50" t="str">
        <f t="shared" si="227"/>
        <v/>
      </c>
      <c r="AW206" s="50"/>
      <c r="AX206" s="50" t="str">
        <f t="shared" si="228"/>
        <v/>
      </c>
      <c r="AY206" s="50"/>
      <c r="AZ206" s="91" t="str">
        <f t="shared" si="280"/>
        <v/>
      </c>
      <c r="BA206" s="50" t="str">
        <f t="shared" si="285"/>
        <v/>
      </c>
      <c r="BB206" s="19" t="str">
        <f t="shared" si="230"/>
        <v/>
      </c>
      <c r="BC206" s="20" t="str">
        <f t="shared" si="273"/>
        <v/>
      </c>
      <c r="BD206" s="87"/>
      <c r="BF206" s="85"/>
      <c r="BG206" s="50"/>
      <c r="BH206" s="50" t="str">
        <f t="shared" si="231"/>
        <v/>
      </c>
      <c r="BI206" s="50"/>
      <c r="BJ206" s="50" t="str">
        <f t="shared" si="232"/>
        <v/>
      </c>
      <c r="BK206" s="50"/>
      <c r="BL206" s="50" t="str">
        <f t="shared" si="233"/>
        <v/>
      </c>
      <c r="BM206" s="50"/>
      <c r="BN206" s="91" t="str">
        <f t="shared" si="281"/>
        <v/>
      </c>
      <c r="BO206" s="50" t="str">
        <f t="shared" si="286"/>
        <v/>
      </c>
      <c r="BP206" s="19" t="str">
        <f t="shared" si="235"/>
        <v/>
      </c>
      <c r="BQ206" s="20" t="str">
        <f t="shared" si="275"/>
        <v/>
      </c>
      <c r="BR206" s="87"/>
      <c r="BT206" s="85"/>
      <c r="BU206" s="50"/>
      <c r="BV206" s="50" t="str">
        <f t="shared" si="236"/>
        <v/>
      </c>
      <c r="BW206" s="50"/>
      <c r="BX206" s="50" t="str">
        <f t="shared" si="237"/>
        <v/>
      </c>
      <c r="BY206" s="50"/>
      <c r="BZ206" s="50" t="str">
        <f t="shared" si="238"/>
        <v/>
      </c>
      <c r="CA206" s="50"/>
      <c r="CB206" s="91" t="str">
        <f t="shared" si="282"/>
        <v/>
      </c>
      <c r="CC206" s="50" t="str">
        <f t="shared" si="287"/>
        <v/>
      </c>
      <c r="CD206" s="19" t="str">
        <f t="shared" si="240"/>
        <v/>
      </c>
      <c r="CE206" s="20" t="str">
        <f t="shared" si="277"/>
        <v/>
      </c>
      <c r="CF206" s="87"/>
    </row>
    <row r="207" spans="1:84" ht="15" customHeight="1" thickTop="1">
      <c r="A207" s="4">
        <v>28</v>
      </c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0"/>
      <c r="N207" s="11"/>
      <c r="O207" s="2"/>
      <c r="P207" s="65"/>
      <c r="Q207" s="84" t="s">
        <v>17</v>
      </c>
      <c r="R207" s="44">
        <f>SUM(R151:R203)*100</f>
        <v>386900</v>
      </c>
      <c r="S207" s="44"/>
      <c r="T207" s="44"/>
      <c r="U207" s="84"/>
      <c r="V207" s="44"/>
      <c r="W207" s="44"/>
      <c r="X207" s="186" t="s">
        <v>19</v>
      </c>
      <c r="Y207" s="187"/>
      <c r="Z207" s="44">
        <f>SUM(Z151:Z203)</f>
        <v>45138</v>
      </c>
      <c r="AA207" s="44"/>
      <c r="AB207" s="69"/>
      <c r="AD207" s="65"/>
      <c r="AE207" s="84" t="s">
        <v>17</v>
      </c>
      <c r="AF207" s="44">
        <f>SUM(AF151:AF203)*100</f>
        <v>354100</v>
      </c>
      <c r="AG207" s="44"/>
      <c r="AH207" s="44"/>
      <c r="AI207" s="84"/>
      <c r="AJ207" s="44"/>
      <c r="AK207" s="44"/>
      <c r="AL207" s="186" t="s">
        <v>19</v>
      </c>
      <c r="AM207" s="187"/>
      <c r="AN207" s="44">
        <f>SUM(AN151:AN203)</f>
        <v>49084</v>
      </c>
      <c r="AO207" s="44"/>
      <c r="AP207" s="69"/>
      <c r="AR207" s="65"/>
      <c r="AS207" s="84" t="s">
        <v>17</v>
      </c>
      <c r="AT207" s="44">
        <f>SUM(AT151:AT203)*100</f>
        <v>77600</v>
      </c>
      <c r="AU207" s="44"/>
      <c r="AV207" s="44"/>
      <c r="AW207" s="84"/>
      <c r="AX207" s="44"/>
      <c r="AY207" s="44"/>
      <c r="AZ207" s="186" t="s">
        <v>19</v>
      </c>
      <c r="BA207" s="187"/>
      <c r="BB207" s="44">
        <f>SUM(BB151:BB203)</f>
        <v>32564</v>
      </c>
      <c r="BC207" s="44"/>
      <c r="BD207" s="69"/>
      <c r="BF207" s="65"/>
      <c r="BG207" s="84" t="s">
        <v>17</v>
      </c>
      <c r="BH207" s="44">
        <f>SUM(BH151:BH203)*100</f>
        <v>105300</v>
      </c>
      <c r="BI207" s="44"/>
      <c r="BJ207" s="44"/>
      <c r="BK207" s="84"/>
      <c r="BL207" s="44"/>
      <c r="BM207" s="44"/>
      <c r="BN207" s="186" t="s">
        <v>19</v>
      </c>
      <c r="BO207" s="187"/>
      <c r="BP207" s="44">
        <f>SUM(BP151:BP203)</f>
        <v>41447</v>
      </c>
      <c r="BQ207" s="44"/>
      <c r="BR207" s="69"/>
      <c r="BT207" s="65"/>
      <c r="BU207" s="84" t="s">
        <v>17</v>
      </c>
      <c r="BV207" s="44">
        <f>SUM(BV151:BV203)*100</f>
        <v>71200</v>
      </c>
      <c r="BW207" s="44"/>
      <c r="BX207" s="44"/>
      <c r="BY207" s="84"/>
      <c r="BZ207" s="44"/>
      <c r="CA207" s="44"/>
      <c r="CB207" s="186" t="s">
        <v>19</v>
      </c>
      <c r="CC207" s="187"/>
      <c r="CD207" s="44">
        <f>SUM(CD151:CD203)</f>
        <v>28074</v>
      </c>
      <c r="CE207" s="44"/>
      <c r="CF207" s="69"/>
    </row>
    <row r="208" spans="1:84" ht="15" customHeight="1">
      <c r="A208" s="96">
        <f>DATEDIF(A231,A158,"d")</f>
        <v>28</v>
      </c>
      <c r="B208" s="8">
        <f>SUM(B151:B207)</f>
        <v>17925</v>
      </c>
      <c r="C208" s="5" t="s">
        <v>17</v>
      </c>
      <c r="D208" s="9">
        <f>SUM(D151:D204)*100</f>
        <v>797400</v>
      </c>
      <c r="E208" s="9"/>
      <c r="F208" s="9"/>
      <c r="G208" s="5"/>
      <c r="H208" s="9"/>
      <c r="I208" s="9"/>
      <c r="J208" s="9"/>
      <c r="K208" s="9"/>
      <c r="L208" s="9"/>
      <c r="M208" s="9"/>
      <c r="N208" s="11"/>
      <c r="O208" s="2"/>
      <c r="P208" s="25"/>
      <c r="Q208" s="5" t="s">
        <v>20</v>
      </c>
      <c r="R208" s="9">
        <f>R207/$A208</f>
        <v>13817.857142857143</v>
      </c>
      <c r="S208" s="9">
        <f>R208*A207</f>
        <v>386900</v>
      </c>
      <c r="T208" s="9"/>
      <c r="U208" s="5"/>
      <c r="V208" s="9"/>
      <c r="W208" s="9"/>
      <c r="X208" s="178" t="s">
        <v>21</v>
      </c>
      <c r="Y208" s="179"/>
      <c r="Z208" s="9"/>
      <c r="AA208" s="28">
        <f>Z207/R207</f>
        <v>0.11666580511760145</v>
      </c>
      <c r="AB208" s="11"/>
      <c r="AD208" s="40"/>
      <c r="AE208" s="5" t="s">
        <v>20</v>
      </c>
      <c r="AF208" s="9">
        <f>AF207/$A208</f>
        <v>12646.428571428571</v>
      </c>
      <c r="AG208" s="9">
        <f>AF208*A207</f>
        <v>354100</v>
      </c>
      <c r="AH208" s="9"/>
      <c r="AI208" s="5"/>
      <c r="AJ208" s="9"/>
      <c r="AK208" s="9"/>
      <c r="AL208" s="178" t="s">
        <v>21</v>
      </c>
      <c r="AM208" s="179"/>
      <c r="AN208" s="9"/>
      <c r="AO208" s="28">
        <f>AN207/AF207</f>
        <v>0.13861621011013839</v>
      </c>
      <c r="AP208" s="11"/>
      <c r="AR208" s="40"/>
      <c r="AS208" s="5" t="s">
        <v>20</v>
      </c>
      <c r="AT208" s="9">
        <f>AT207/$A208</f>
        <v>2771.4285714285716</v>
      </c>
      <c r="AU208" s="9">
        <f>AT208*A207</f>
        <v>77600</v>
      </c>
      <c r="AV208" s="9"/>
      <c r="AW208" s="5"/>
      <c r="AX208" s="9"/>
      <c r="AY208" s="9"/>
      <c r="AZ208" s="178" t="s">
        <v>21</v>
      </c>
      <c r="BA208" s="179"/>
      <c r="BB208" s="9"/>
      <c r="BC208" s="28">
        <f>BB207/AT207</f>
        <v>0.41963917525773198</v>
      </c>
      <c r="BD208" s="11"/>
      <c r="BF208" s="40"/>
      <c r="BG208" s="5" t="s">
        <v>20</v>
      </c>
      <c r="BH208" s="9">
        <f>BH207/$A208</f>
        <v>3760.7142857142858</v>
      </c>
      <c r="BI208" s="9">
        <f>BH208*A207</f>
        <v>105300</v>
      </c>
      <c r="BJ208" s="9"/>
      <c r="BK208" s="5"/>
      <c r="BL208" s="9"/>
      <c r="BM208" s="9"/>
      <c r="BN208" s="178" t="s">
        <v>21</v>
      </c>
      <c r="BO208" s="179"/>
      <c r="BP208" s="9"/>
      <c r="BQ208" s="28">
        <f>BP207/BH207</f>
        <v>0.39360873694207027</v>
      </c>
      <c r="BR208" s="11"/>
      <c r="BT208" s="40"/>
      <c r="BU208" s="5" t="s">
        <v>20</v>
      </c>
      <c r="BV208" s="9">
        <f>BV207/$A208</f>
        <v>2542.8571428571427</v>
      </c>
      <c r="BW208" s="9">
        <f>BV208*A207</f>
        <v>71200</v>
      </c>
      <c r="BX208" s="9"/>
      <c r="BY208" s="5"/>
      <c r="BZ208" s="9"/>
      <c r="CA208" s="9"/>
      <c r="CB208" s="178" t="s">
        <v>21</v>
      </c>
      <c r="CC208" s="179"/>
      <c r="CD208" s="9"/>
      <c r="CE208" s="28">
        <f>CD207/BV207</f>
        <v>0.39429775280898877</v>
      </c>
      <c r="CF208" s="11"/>
    </row>
    <row r="209" spans="1:84" ht="15" customHeight="1">
      <c r="A209" s="97"/>
      <c r="B209" s="8">
        <f>B208/A208</f>
        <v>640.17857142857144</v>
      </c>
      <c r="C209" s="5" t="s">
        <v>20</v>
      </c>
      <c r="D209" s="9">
        <f>D208/A208</f>
        <v>28478.571428571428</v>
      </c>
      <c r="E209" s="9">
        <f>D209*A207</f>
        <v>797400</v>
      </c>
      <c r="F209" s="9"/>
      <c r="G209" s="5"/>
      <c r="H209" s="9"/>
      <c r="I209" s="9"/>
      <c r="J209" s="9"/>
      <c r="K209" s="9"/>
      <c r="L209" s="9"/>
      <c r="M209" s="9"/>
      <c r="N209" s="11"/>
      <c r="O209" s="2"/>
      <c r="P209" s="12"/>
      <c r="Q209" s="58" t="s">
        <v>23</v>
      </c>
      <c r="R209" s="9">
        <f>R207*0.6</f>
        <v>232140</v>
      </c>
      <c r="S209" s="9"/>
      <c r="T209" s="9"/>
      <c r="U209" s="5"/>
      <c r="V209" s="9"/>
      <c r="W209" s="9"/>
      <c r="X209" s="178" t="s">
        <v>24</v>
      </c>
      <c r="Y209" s="179"/>
      <c r="Z209" s="9">
        <f>R209-Z207</f>
        <v>187002</v>
      </c>
      <c r="AA209" s="28">
        <f>Z209/R207</f>
        <v>0.48333419488239854</v>
      </c>
      <c r="AB209" s="11"/>
      <c r="AD209" s="12"/>
      <c r="AE209" s="58" t="s">
        <v>23</v>
      </c>
      <c r="AF209" s="9">
        <f>AF207*0.6</f>
        <v>212460</v>
      </c>
      <c r="AG209" s="9"/>
      <c r="AH209" s="9"/>
      <c r="AI209" s="5"/>
      <c r="AJ209" s="9"/>
      <c r="AK209" s="9"/>
      <c r="AL209" s="178" t="s">
        <v>24</v>
      </c>
      <c r="AM209" s="179"/>
      <c r="AN209" s="9">
        <f>AF209-AN207</f>
        <v>163376</v>
      </c>
      <c r="AO209" s="28">
        <f>AN209/AF207</f>
        <v>0.46138378988986162</v>
      </c>
      <c r="AP209" s="11"/>
      <c r="AR209" s="12"/>
      <c r="AS209" s="58" t="s">
        <v>23</v>
      </c>
      <c r="AT209" s="9">
        <f>AT207*0.6</f>
        <v>46560</v>
      </c>
      <c r="AU209" s="9"/>
      <c r="AV209" s="9"/>
      <c r="AW209" s="5"/>
      <c r="AX209" s="9"/>
      <c r="AY209" s="9"/>
      <c r="AZ209" s="178" t="s">
        <v>24</v>
      </c>
      <c r="BA209" s="179"/>
      <c r="BB209" s="9">
        <f>AT209-BB207</f>
        <v>13996</v>
      </c>
      <c r="BC209" s="28">
        <f>BB209/AT207</f>
        <v>0.18036082474226803</v>
      </c>
      <c r="BD209" s="11"/>
      <c r="BF209" s="12"/>
      <c r="BG209" s="58" t="s">
        <v>23</v>
      </c>
      <c r="BH209" s="9">
        <f>BH207*0.6</f>
        <v>63180</v>
      </c>
      <c r="BI209" s="9"/>
      <c r="BJ209" s="9"/>
      <c r="BK209" s="5"/>
      <c r="BL209" s="9"/>
      <c r="BM209" s="9"/>
      <c r="BN209" s="178" t="s">
        <v>24</v>
      </c>
      <c r="BO209" s="179"/>
      <c r="BP209" s="9">
        <f>BH209-BP207</f>
        <v>21733</v>
      </c>
      <c r="BQ209" s="28">
        <f>BP209/BH207</f>
        <v>0.20639126305792974</v>
      </c>
      <c r="BR209" s="11"/>
      <c r="BT209" s="12"/>
      <c r="BU209" s="58" t="s">
        <v>23</v>
      </c>
      <c r="BV209" s="9">
        <f>BV207*0.6</f>
        <v>42720</v>
      </c>
      <c r="BW209" s="9"/>
      <c r="BX209" s="9"/>
      <c r="BY209" s="5"/>
      <c r="BZ209" s="9"/>
      <c r="CA209" s="9"/>
      <c r="CB209" s="178" t="s">
        <v>24</v>
      </c>
      <c r="CC209" s="179"/>
      <c r="CD209" s="9">
        <f>BV209-CD207</f>
        <v>14646</v>
      </c>
      <c r="CE209" s="28">
        <f>CD209/BV207</f>
        <v>0.20570224719101124</v>
      </c>
      <c r="CF209" s="11"/>
    </row>
    <row r="210" spans="1:84" ht="15" customHeight="1">
      <c r="A210" s="12"/>
      <c r="B210" s="8">
        <f>B209*A207</f>
        <v>17925</v>
      </c>
      <c r="C210" s="5" t="s">
        <v>23</v>
      </c>
      <c r="D210" s="9">
        <f>D208*0.6</f>
        <v>478440</v>
      </c>
      <c r="E210" s="9"/>
      <c r="F210" s="9"/>
      <c r="G210" s="180" t="s">
        <v>27</v>
      </c>
      <c r="H210" s="181"/>
      <c r="I210" s="9">
        <f>(G159+I159)*K159</f>
        <v>0</v>
      </c>
      <c r="J210" s="9"/>
      <c r="K210" s="9"/>
      <c r="L210" s="9"/>
      <c r="M210" s="9"/>
      <c r="N210" s="11"/>
      <c r="O210" s="2"/>
      <c r="P210" s="65"/>
      <c r="Q210" s="5" t="s">
        <v>25</v>
      </c>
      <c r="R210" s="9">
        <f>R281</f>
        <v>201800</v>
      </c>
      <c r="S210" s="9"/>
      <c r="T210" s="9"/>
      <c r="U210" s="5"/>
      <c r="V210" s="9"/>
      <c r="W210" s="17"/>
      <c r="X210" s="182" t="s">
        <v>27</v>
      </c>
      <c r="Y210" s="183"/>
      <c r="Z210" s="44">
        <f>(U183+W183)*Y183+(U184+W184)*Y184+(U185+W185)*Y185+(U186+W186)*Y186</f>
        <v>0</v>
      </c>
      <c r="AA210" s="10"/>
      <c r="AB210" s="11"/>
      <c r="AD210" s="65"/>
      <c r="AE210" s="5" t="s">
        <v>25</v>
      </c>
      <c r="AF210" s="9">
        <f>AF281</f>
        <v>333500</v>
      </c>
      <c r="AG210" s="9"/>
      <c r="AH210" s="9"/>
      <c r="AI210" s="5"/>
      <c r="AJ210" s="9"/>
      <c r="AK210" s="17"/>
      <c r="AL210" s="182" t="s">
        <v>27</v>
      </c>
      <c r="AM210" s="183"/>
      <c r="AN210" s="44">
        <f>(AI183+AK183)*AM183+(AI184+AK184)*AM184+(AI185+AK185)*AM185+(AI186+AK186)*AM186</f>
        <v>0</v>
      </c>
      <c r="AO210" s="10"/>
      <c r="AP210" s="11"/>
      <c r="AR210" s="65"/>
      <c r="AS210" s="5" t="s">
        <v>25</v>
      </c>
      <c r="AT210" s="9" t="e">
        <f>#REF!</f>
        <v>#REF!</v>
      </c>
      <c r="AU210" s="9"/>
      <c r="AV210" s="9"/>
      <c r="AW210" s="5"/>
      <c r="AX210" s="9"/>
      <c r="AY210" s="17"/>
      <c r="AZ210" s="182" t="s">
        <v>27</v>
      </c>
      <c r="BA210" s="183"/>
      <c r="BB210" s="44">
        <f>(AW183+AY183)*BA183+(AW184+AY184)*BA184+(AW185+AY185)*BA185+(AW186+AY186)*BA186</f>
        <v>0</v>
      </c>
      <c r="BC210" s="10"/>
      <c r="BD210" s="11"/>
      <c r="BF210" s="65"/>
      <c r="BG210" s="5" t="s">
        <v>25</v>
      </c>
      <c r="BH210" s="9" t="e">
        <f>#REF!</f>
        <v>#REF!</v>
      </c>
      <c r="BI210" s="9"/>
      <c r="BJ210" s="9"/>
      <c r="BK210" s="5"/>
      <c r="BL210" s="9"/>
      <c r="BM210" s="17"/>
      <c r="BN210" s="182" t="s">
        <v>27</v>
      </c>
      <c r="BO210" s="183"/>
      <c r="BP210" s="44">
        <f>(BK183+BM183)*BO183+(BK184+BM184)*BO184+(BK185+BM185)*BO185+(BK186+BM186)*BO186</f>
        <v>0</v>
      </c>
      <c r="BQ210" s="10"/>
      <c r="BR210" s="11"/>
      <c r="BT210" s="65"/>
      <c r="BU210" s="5" t="s">
        <v>25</v>
      </c>
      <c r="BV210" s="9" t="e">
        <f>#REF!</f>
        <v>#REF!</v>
      </c>
      <c r="BW210" s="9"/>
      <c r="BX210" s="9"/>
      <c r="BY210" s="5"/>
      <c r="BZ210" s="9"/>
      <c r="CA210" s="17"/>
      <c r="CB210" s="182" t="s">
        <v>27</v>
      </c>
      <c r="CC210" s="183"/>
      <c r="CD210" s="44">
        <f>(BY183+CA183)*CC183+(BY184+CA184)*CC184+(BY185+CA185)*CC185+(BY186+CA186)*CC186</f>
        <v>0</v>
      </c>
      <c r="CE210" s="10"/>
      <c r="CF210" s="11"/>
    </row>
    <row r="211" spans="1:84" ht="15" customHeight="1">
      <c r="A211" s="12"/>
      <c r="B211" s="8"/>
      <c r="C211" s="5" t="s">
        <v>25</v>
      </c>
      <c r="D211" s="9">
        <f>D282</f>
        <v>530900</v>
      </c>
      <c r="E211" s="9"/>
      <c r="F211" s="9"/>
      <c r="G211" s="5" t="s">
        <v>22</v>
      </c>
      <c r="H211" s="9">
        <f>SUM(L151:L204)</f>
        <v>166500</v>
      </c>
      <c r="I211" s="28">
        <f>H211/D208</f>
        <v>0.20880361173814899</v>
      </c>
      <c r="J211" s="28"/>
      <c r="K211" s="9"/>
      <c r="L211" s="9"/>
      <c r="M211" s="9"/>
      <c r="N211" s="11"/>
      <c r="O211" s="2"/>
      <c r="P211" s="65"/>
      <c r="Q211" s="5"/>
      <c r="R211" s="9"/>
      <c r="S211" s="9"/>
      <c r="T211" s="9"/>
      <c r="U211" s="5"/>
      <c r="V211" s="9"/>
      <c r="W211" s="17"/>
      <c r="X211" s="100"/>
      <c r="Y211" s="103"/>
      <c r="Z211" s="62"/>
      <c r="AA211" s="10"/>
      <c r="AB211" s="11"/>
      <c r="AD211" s="65"/>
      <c r="AE211" s="5"/>
      <c r="AF211" s="9"/>
      <c r="AG211" s="9"/>
      <c r="AH211" s="9"/>
      <c r="AI211" s="5"/>
      <c r="AJ211" s="9"/>
      <c r="AK211" s="17"/>
      <c r="AL211" s="100"/>
      <c r="AM211" s="103"/>
      <c r="AN211" s="62"/>
      <c r="AO211" s="10"/>
      <c r="AP211" s="11"/>
      <c r="AR211" s="65"/>
      <c r="AS211" s="5"/>
      <c r="AT211" s="9"/>
      <c r="AU211" s="9"/>
      <c r="AV211" s="9"/>
      <c r="AW211" s="5"/>
      <c r="AX211" s="9"/>
      <c r="AY211" s="17"/>
      <c r="AZ211" s="100"/>
      <c r="BA211" s="103"/>
      <c r="BB211" s="62"/>
      <c r="BC211" s="10"/>
      <c r="BD211" s="11"/>
      <c r="BF211" s="65"/>
      <c r="BG211" s="5"/>
      <c r="BH211" s="9"/>
      <c r="BI211" s="9"/>
      <c r="BJ211" s="9"/>
      <c r="BK211" s="5"/>
      <c r="BL211" s="9"/>
      <c r="BM211" s="17"/>
      <c r="BN211" s="100"/>
      <c r="BO211" s="103"/>
      <c r="BP211" s="62"/>
      <c r="BQ211" s="10"/>
      <c r="BR211" s="11"/>
      <c r="BT211" s="65"/>
      <c r="BU211" s="5"/>
      <c r="BV211" s="9"/>
      <c r="BW211" s="9"/>
      <c r="BX211" s="9"/>
      <c r="BY211" s="5"/>
      <c r="BZ211" s="9"/>
      <c r="CA211" s="17"/>
      <c r="CB211" s="100"/>
      <c r="CC211" s="103"/>
      <c r="CD211" s="62"/>
      <c r="CE211" s="10"/>
      <c r="CF211" s="11"/>
    </row>
    <row r="212" spans="1:84" ht="15" customHeight="1">
      <c r="A212" s="12"/>
      <c r="B212" s="139"/>
      <c r="C212" s="140"/>
      <c r="D212" s="9"/>
      <c r="E212" s="9"/>
      <c r="F212" s="9"/>
      <c r="G212" s="30" t="s">
        <v>24</v>
      </c>
      <c r="H212" s="26">
        <f>D210-H211</f>
        <v>311940</v>
      </c>
      <c r="I212" s="28">
        <f>H212/D208</f>
        <v>0.39119638826185099</v>
      </c>
      <c r="J212" s="28"/>
      <c r="K212" s="9"/>
      <c r="L212" s="9"/>
      <c r="M212" s="9"/>
      <c r="N212" s="11"/>
      <c r="O212" s="2"/>
      <c r="P212" s="65"/>
      <c r="Q212" s="5"/>
      <c r="R212" s="9"/>
      <c r="S212" s="26"/>
      <c r="T212" s="9"/>
      <c r="U212" s="5"/>
      <c r="V212" s="9"/>
      <c r="W212" s="17"/>
      <c r="X212" s="100"/>
      <c r="Y212" s="103"/>
      <c r="Z212" s="62"/>
      <c r="AA212" s="10"/>
      <c r="AB212" s="11"/>
      <c r="AD212" s="65"/>
      <c r="AE212" s="5"/>
      <c r="AF212" s="9"/>
      <c r="AG212" s="26"/>
      <c r="AH212" s="9"/>
      <c r="AI212" s="5"/>
      <c r="AJ212" s="9"/>
      <c r="AK212" s="17"/>
      <c r="AL212" s="100"/>
      <c r="AM212" s="103"/>
      <c r="AN212" s="62"/>
      <c r="AO212" s="10"/>
      <c r="AP212" s="11"/>
      <c r="AR212" s="65"/>
      <c r="AS212" s="5"/>
      <c r="AT212" s="9"/>
      <c r="AU212" s="26"/>
      <c r="AV212" s="9"/>
      <c r="AW212" s="5"/>
      <c r="AX212" s="9"/>
      <c r="AY212" s="17"/>
      <c r="AZ212" s="100"/>
      <c r="BA212" s="103"/>
      <c r="BB212" s="62"/>
      <c r="BC212" s="10"/>
      <c r="BD212" s="11"/>
      <c r="BF212" s="65"/>
      <c r="BG212" s="5"/>
      <c r="BH212" s="9"/>
      <c r="BI212" s="26"/>
      <c r="BJ212" s="9"/>
      <c r="BK212" s="5"/>
      <c r="BL212" s="9"/>
      <c r="BM212" s="17"/>
      <c r="BN212" s="100"/>
      <c r="BO212" s="103"/>
      <c r="BP212" s="62"/>
      <c r="BQ212" s="10"/>
      <c r="BR212" s="11"/>
      <c r="BT212" s="65"/>
      <c r="BU212" s="5"/>
      <c r="BV212" s="9"/>
      <c r="BW212" s="26"/>
      <c r="BX212" s="9"/>
      <c r="BY212" s="5"/>
      <c r="BZ212" s="9"/>
      <c r="CA212" s="17"/>
      <c r="CB212" s="100"/>
      <c r="CC212" s="103"/>
      <c r="CD212" s="62"/>
      <c r="CE212" s="10"/>
      <c r="CF212" s="11"/>
    </row>
    <row r="213" spans="1:84" ht="15" customHeight="1">
      <c r="A213" s="33"/>
      <c r="B213" s="142"/>
      <c r="C213" s="102"/>
      <c r="D213" s="45"/>
      <c r="E213" s="9"/>
      <c r="F213" s="9"/>
      <c r="G213" s="104"/>
      <c r="H213" s="106"/>
      <c r="I213" s="28"/>
      <c r="J213" s="28"/>
      <c r="K213" s="9"/>
      <c r="L213" s="9"/>
      <c r="M213" s="9"/>
      <c r="N213" s="11"/>
      <c r="O213" s="2"/>
      <c r="P213" s="65"/>
      <c r="Q213" s="5"/>
      <c r="R213" s="17"/>
      <c r="S213" s="111"/>
      <c r="T213" s="45"/>
      <c r="U213" s="5"/>
      <c r="V213" s="9"/>
      <c r="W213" s="17"/>
      <c r="X213" s="100"/>
      <c r="Y213" s="103"/>
      <c r="Z213" s="62"/>
      <c r="AA213" s="10"/>
      <c r="AB213" s="11"/>
      <c r="AD213" s="65"/>
      <c r="AE213" s="5"/>
      <c r="AF213" s="17"/>
      <c r="AG213" s="111"/>
      <c r="AH213" s="45"/>
      <c r="AI213" s="5"/>
      <c r="AJ213" s="9"/>
      <c r="AK213" s="17"/>
      <c r="AL213" s="100"/>
      <c r="AM213" s="103"/>
      <c r="AN213" s="62"/>
      <c r="AO213" s="10"/>
      <c r="AP213" s="11"/>
      <c r="AR213" s="65"/>
      <c r="AS213" s="5"/>
      <c r="AT213" s="17"/>
      <c r="AU213" s="111"/>
      <c r="AV213" s="45"/>
      <c r="AW213" s="5"/>
      <c r="AX213" s="9"/>
      <c r="AY213" s="17"/>
      <c r="AZ213" s="100"/>
      <c r="BA213" s="103"/>
      <c r="BB213" s="62"/>
      <c r="BC213" s="10"/>
      <c r="BD213" s="11"/>
      <c r="BF213" s="65"/>
      <c r="BG213" s="5"/>
      <c r="BH213" s="17"/>
      <c r="BI213" s="111"/>
      <c r="BJ213" s="45"/>
      <c r="BK213" s="5"/>
      <c r="BL213" s="9"/>
      <c r="BM213" s="17"/>
      <c r="BN213" s="100"/>
      <c r="BO213" s="103"/>
      <c r="BP213" s="62"/>
      <c r="BQ213" s="10"/>
      <c r="BR213" s="11"/>
      <c r="BT213" s="65"/>
      <c r="BU213" s="5"/>
      <c r="BV213" s="17"/>
      <c r="BW213" s="111"/>
      <c r="BX213" s="45"/>
      <c r="BY213" s="5"/>
      <c r="BZ213" s="9"/>
      <c r="CA213" s="17"/>
      <c r="CB213" s="100"/>
      <c r="CC213" s="103"/>
      <c r="CD213" s="62"/>
      <c r="CE213" s="10"/>
      <c r="CF213" s="11"/>
    </row>
    <row r="214" spans="1:84" ht="15" customHeight="1">
      <c r="A214" s="98"/>
      <c r="B214" s="141"/>
      <c r="C214" s="84"/>
      <c r="D214" s="9"/>
      <c r="E214" s="9"/>
      <c r="F214" s="9"/>
      <c r="G214" s="27"/>
      <c r="H214" s="17"/>
      <c r="I214" s="28"/>
      <c r="J214" s="28"/>
      <c r="K214" s="10"/>
      <c r="L214" s="10"/>
      <c r="M214" s="10"/>
      <c r="N214" s="11"/>
      <c r="O214" s="2"/>
      <c r="P214" s="12"/>
      <c r="Q214" s="9"/>
      <c r="R214" s="9"/>
      <c r="T214" s="9"/>
      <c r="U214" s="5"/>
      <c r="V214" s="9"/>
      <c r="W214" s="9"/>
      <c r="X214" s="41"/>
      <c r="Y214" s="67"/>
      <c r="Z214" s="10"/>
      <c r="AA214" s="10"/>
      <c r="AB214" s="11"/>
      <c r="AD214" s="12"/>
      <c r="AE214" s="9"/>
      <c r="AF214" s="9"/>
      <c r="AH214" s="9"/>
      <c r="AI214" s="5"/>
      <c r="AJ214" s="9"/>
      <c r="AK214" s="9"/>
      <c r="AL214" s="54"/>
      <c r="AM214" s="67"/>
      <c r="AN214" s="10"/>
      <c r="AO214" s="10"/>
      <c r="AP214" s="11"/>
      <c r="AR214" s="12"/>
      <c r="AS214" s="9"/>
      <c r="AT214" s="9"/>
      <c r="AV214" s="9"/>
      <c r="AW214" s="5"/>
      <c r="AX214" s="9"/>
      <c r="AY214" s="9"/>
      <c r="AZ214" s="54"/>
      <c r="BA214" s="67"/>
      <c r="BB214" s="10"/>
      <c r="BC214" s="10"/>
      <c r="BD214" s="11"/>
      <c r="BF214" s="12"/>
      <c r="BG214" s="9"/>
      <c r="BH214" s="9"/>
      <c r="BJ214" s="9"/>
      <c r="BK214" s="5"/>
      <c r="BL214" s="9"/>
      <c r="BM214" s="9"/>
      <c r="BN214" s="54"/>
      <c r="BO214" s="67"/>
      <c r="BP214" s="10"/>
      <c r="BQ214" s="10"/>
      <c r="BR214" s="11"/>
      <c r="BT214" s="12"/>
      <c r="BU214" s="9"/>
      <c r="BV214" s="9"/>
      <c r="BX214" s="9"/>
      <c r="BY214" s="5"/>
      <c r="BZ214" s="9"/>
      <c r="CA214" s="9"/>
      <c r="CB214" s="54"/>
      <c r="CC214" s="67"/>
      <c r="CD214" s="10"/>
      <c r="CE214" s="10"/>
      <c r="CF214" s="11"/>
    </row>
    <row r="215" spans="1:84" ht="15" customHeight="1">
      <c r="A215" s="169" t="s">
        <v>43</v>
      </c>
      <c r="B215" s="170"/>
      <c r="C215" s="171" t="s">
        <v>46</v>
      </c>
      <c r="D215" s="172"/>
      <c r="E215" s="171" t="s">
        <v>47</v>
      </c>
      <c r="F215" s="172"/>
      <c r="G215" s="102"/>
      <c r="H215" s="93"/>
      <c r="I215" s="101"/>
      <c r="J215" s="101"/>
      <c r="K215" s="10"/>
      <c r="L215" s="10"/>
      <c r="M215" s="10"/>
      <c r="N215" s="11"/>
      <c r="O215" s="2"/>
      <c r="P215" s="79"/>
      <c r="Q215" s="45"/>
      <c r="R215" s="9"/>
      <c r="S215" s="5"/>
      <c r="T215" s="9"/>
      <c r="U215" s="5"/>
      <c r="V215" s="9"/>
      <c r="W215" s="9"/>
      <c r="X215" s="41"/>
      <c r="Y215" s="67"/>
      <c r="Z215" s="10"/>
      <c r="AA215" s="10"/>
      <c r="AB215" s="11"/>
      <c r="AD215" s="79"/>
      <c r="AE215" s="45"/>
      <c r="AF215" s="9"/>
      <c r="AG215" s="5"/>
      <c r="AH215" s="9"/>
      <c r="AI215" s="5"/>
      <c r="AJ215" s="9"/>
      <c r="AK215" s="9"/>
      <c r="AL215" s="54"/>
      <c r="AM215" s="67"/>
      <c r="AN215" s="10"/>
      <c r="AO215" s="10"/>
      <c r="AP215" s="11"/>
      <c r="AR215" s="79"/>
      <c r="AS215" s="45"/>
      <c r="AT215" s="9"/>
      <c r="AU215" s="5"/>
      <c r="AV215" s="9"/>
      <c r="AW215" s="5"/>
      <c r="AX215" s="9"/>
      <c r="AY215" s="9"/>
      <c r="AZ215" s="54"/>
      <c r="BA215" s="67"/>
      <c r="BB215" s="10"/>
      <c r="BC215" s="10"/>
      <c r="BD215" s="11"/>
      <c r="BF215" s="79"/>
      <c r="BG215" s="45"/>
      <c r="BH215" s="9"/>
      <c r="BI215" s="5"/>
      <c r="BJ215" s="9"/>
      <c r="BK215" s="5"/>
      <c r="BL215" s="9"/>
      <c r="BM215" s="9"/>
      <c r="BN215" s="54"/>
      <c r="BO215" s="67"/>
      <c r="BP215" s="10"/>
      <c r="BQ215" s="10"/>
      <c r="BR215" s="11"/>
      <c r="BT215" s="79"/>
      <c r="BU215" s="45"/>
      <c r="BV215" s="9"/>
      <c r="BW215" s="5"/>
      <c r="BX215" s="9"/>
      <c r="BY215" s="5"/>
      <c r="BZ215" s="9"/>
      <c r="CA215" s="9"/>
      <c r="CB215" s="54"/>
      <c r="CC215" s="67"/>
      <c r="CD215" s="10"/>
      <c r="CE215" s="10"/>
      <c r="CF215" s="11"/>
    </row>
    <row r="216" spans="1:84">
      <c r="A216" s="173">
        <f>B208/A208*A207*100</f>
        <v>1792500</v>
      </c>
      <c r="B216" s="174"/>
      <c r="C216" s="175">
        <f>H211+Z207+AN207+BB207+BP207+CD207</f>
        <v>362807</v>
      </c>
      <c r="D216" s="176"/>
      <c r="E216" s="175">
        <f>I210+Z210+AN210</f>
        <v>0</v>
      </c>
      <c r="F216" s="177"/>
      <c r="G216" s="84"/>
      <c r="H216" s="44"/>
      <c r="I216" s="28"/>
      <c r="J216" s="28"/>
      <c r="K216" s="10"/>
      <c r="L216" s="10"/>
      <c r="M216" s="10"/>
      <c r="N216" s="11"/>
      <c r="O216" s="2"/>
      <c r="P216" s="165" t="s">
        <v>26</v>
      </c>
      <c r="Q216" s="166"/>
      <c r="R216" s="29">
        <f>SUM(R151,R155,R159,R163,R167,R171,R176,R179,R183,R187,R191,R195,R199)*100</f>
        <v>56200</v>
      </c>
      <c r="S216" s="45"/>
      <c r="T216" s="9"/>
      <c r="U216" s="5">
        <f>R216/V216</f>
        <v>7025</v>
      </c>
      <c r="V216" s="29">
        <f>SUM(V151,V155,V159,V163,V167,V171,V176,V179,V183,V187,V191,V195,V199)</f>
        <v>8</v>
      </c>
      <c r="W216" s="9"/>
      <c r="X216" s="64" t="str">
        <f t="shared" ref="X216:Y219" si="288">X151</f>
        <v>キティ豹柄キーケース</v>
      </c>
      <c r="Y216" s="62">
        <f t="shared" si="288"/>
        <v>996</v>
      </c>
      <c r="Z216" s="29">
        <f>SUM(Z151,Z155,Z159,Z163,Z167,Z171,Z176,Z179,Z183,Z187,Z191,Z195,Z199)</f>
        <v>7797</v>
      </c>
      <c r="AA216" s="28">
        <f>Z216/R216</f>
        <v>0.13873665480427047</v>
      </c>
      <c r="AB216" s="11"/>
      <c r="AC216" s="16"/>
      <c r="AD216" s="165" t="s">
        <v>26</v>
      </c>
      <c r="AE216" s="166"/>
      <c r="AF216" s="29">
        <f>SUM(AF151,AF155,AF159,AF163,AF167,AF171,AF175,AF179,AF183,AF187,AF191,AF195,AF199)*100</f>
        <v>65400</v>
      </c>
      <c r="AG216" s="45"/>
      <c r="AH216" s="9"/>
      <c r="AI216" s="5">
        <f>AF216/AJ216</f>
        <v>3114.2857142857142</v>
      </c>
      <c r="AJ216" s="29">
        <f>SUM(AJ151,AJ155,AJ159,AJ163,AJ167,AJ171,AJ176,AJ179,AJ183,AJ187,AJ191,AJ195,AJ199)</f>
        <v>21</v>
      </c>
      <c r="AK216" s="9"/>
      <c r="AL216" s="61" t="str">
        <f t="shared" ref="AL216:AM219" si="289">AL151</f>
        <v>ゲーム機柄イヤホン</v>
      </c>
      <c r="AM216" s="62">
        <f t="shared" si="289"/>
        <v>770</v>
      </c>
      <c r="AN216" s="29">
        <f>SUM(AN151,AN155,AN159,AN163,AN167,AN171,AN176,AN179,AN183,AN187,AN191,AN195,AN199)</f>
        <v>15706</v>
      </c>
      <c r="AO216" s="28">
        <f>AN216/AF216</f>
        <v>0.24015290519877674</v>
      </c>
      <c r="AP216" s="11"/>
      <c r="AR216" s="165" t="s">
        <v>26</v>
      </c>
      <c r="AS216" s="166"/>
      <c r="AT216" s="29">
        <f>SUM(AT151,AT155,AT159,AT163,AT167,AT171,AT175,AT179,AT183,AT187,AT191,AT195,AT199)*100</f>
        <v>21200</v>
      </c>
      <c r="AU216" s="45"/>
      <c r="AV216" s="9"/>
      <c r="AW216" s="5">
        <f>AT216/AX216</f>
        <v>1177.7777777777778</v>
      </c>
      <c r="AX216" s="29">
        <f>SUM(AX151,AX155,AX159,AX163,AX167,AX171,AX176,AX179,AX183,AX187,AX191,AX195,AX199)</f>
        <v>18</v>
      </c>
      <c r="AY216" s="9"/>
      <c r="AZ216" s="61">
        <f t="shared" ref="AZ216:BA219" si="290">AZ151</f>
        <v>0</v>
      </c>
      <c r="BA216" s="62">
        <f t="shared" si="290"/>
        <v>0</v>
      </c>
      <c r="BB216" s="29">
        <f>SUM(BB151,BB155,BB159,BB163,BB167,BB171,BB176,BB179,BB183,BB187,BB191,BB195,BB199)</f>
        <v>13400</v>
      </c>
      <c r="BC216" s="28">
        <f>BB216/AT216</f>
        <v>0.63207547169811318</v>
      </c>
      <c r="BD216" s="11"/>
      <c r="BF216" s="165" t="s">
        <v>26</v>
      </c>
      <c r="BG216" s="166"/>
      <c r="BH216" s="29">
        <f>SUM(BH151,BH155,BH159,BH163,BH167,BH171,BH175,BH179,BH183,BH187,BH191,BH195,BH199)*100</f>
        <v>28900</v>
      </c>
      <c r="BI216" s="45"/>
      <c r="BJ216" s="9"/>
      <c r="BK216" s="5">
        <f>BH216/BL216</f>
        <v>2223.0769230769229</v>
      </c>
      <c r="BL216" s="29">
        <f>SUM(BL151,BL155,BL159,BL163,BL167,BL171,BL176,BL179,BL183,BL187,BL191,BL195,BL199)</f>
        <v>13</v>
      </c>
      <c r="BM216" s="9"/>
      <c r="BN216" s="61">
        <f t="shared" ref="BN216:BO219" si="291">BN151</f>
        <v>0</v>
      </c>
      <c r="BO216" s="62">
        <f t="shared" si="291"/>
        <v>0</v>
      </c>
      <c r="BP216" s="29">
        <f>SUM(BP151,BP155,BP159,BP163,BP167,BP171,BP176,BP179,BP183,BP187,BP191,BP195,BP199)</f>
        <v>5775</v>
      </c>
      <c r="BQ216" s="28">
        <f>BP216/BH216</f>
        <v>0.19982698961937717</v>
      </c>
      <c r="BR216" s="11"/>
      <c r="BT216" s="165" t="s">
        <v>26</v>
      </c>
      <c r="BU216" s="166"/>
      <c r="BV216" s="29">
        <f>SUM(BV151,BV155,BV159,BV163,BV167,BV171,BV175,BV179,BV183,BV187,BV191,BV195,BV199)*100</f>
        <v>19500</v>
      </c>
      <c r="BW216" s="45"/>
      <c r="BX216" s="9"/>
      <c r="BY216" s="5">
        <f>BV216/BZ216</f>
        <v>2437.5</v>
      </c>
      <c r="BZ216" s="29">
        <f>SUM(BZ151,BZ155,BZ159,BZ163,BZ167,BZ171,BZ176,BZ179,BZ183,BZ187,BZ191,BZ195,BZ199)</f>
        <v>8</v>
      </c>
      <c r="CA216" s="9"/>
      <c r="CB216" s="61">
        <f t="shared" ref="CB216:CC219" si="292">CB151</f>
        <v>0</v>
      </c>
      <c r="CC216" s="62">
        <f t="shared" si="292"/>
        <v>0</v>
      </c>
      <c r="CD216" s="29">
        <f>SUM(CD151,CD155,CD159,CD163,CD167,CD171,CD176,CD179,CD183,CD187,CD191,CD195,CD199)</f>
        <v>7062</v>
      </c>
      <c r="CE216" s="28">
        <f>CD216/BV216</f>
        <v>0.36215384615384616</v>
      </c>
      <c r="CF216" s="11"/>
    </row>
    <row r="217" spans="1:84">
      <c r="A217" s="167">
        <v>248000</v>
      </c>
      <c r="B217" s="168"/>
      <c r="C217" s="45"/>
      <c r="D217" s="105">
        <f>C216/A216</f>
        <v>0.20240278940027895</v>
      </c>
      <c r="E217" s="9"/>
      <c r="F217" s="9"/>
      <c r="G217" s="5"/>
      <c r="H217" s="9"/>
      <c r="I217" s="9"/>
      <c r="J217" s="9"/>
      <c r="K217" s="9"/>
      <c r="L217" s="9"/>
      <c r="M217" s="9"/>
      <c r="N217" s="11"/>
      <c r="O217" s="2"/>
      <c r="P217" s="165" t="s">
        <v>26</v>
      </c>
      <c r="Q217" s="166"/>
      <c r="R217" s="29">
        <f>SUM(R152,R156,R160,R164,R168,R172,R175,R180,R184,R188,R192,R196,R200)*100</f>
        <v>56000</v>
      </c>
      <c r="S217" s="45"/>
      <c r="T217" s="9"/>
      <c r="U217" s="5">
        <f>R217/V217</f>
        <v>7000</v>
      </c>
      <c r="V217" s="29">
        <f>SUM(V152,V156,V160,V164,V168,V172,V175,V180,V184,V188,V192,V196,V200)</f>
        <v>8</v>
      </c>
      <c r="W217" s="9"/>
      <c r="X217" s="64" t="str">
        <f t="shared" si="288"/>
        <v>キティしっぽ付ポーチ</v>
      </c>
      <c r="Y217" s="62">
        <f t="shared" si="288"/>
        <v>825</v>
      </c>
      <c r="Z217" s="29">
        <f>SUM(Z152,Z156,Z160,Z164,Z168,Z172,Z175,Z180,Z184,Z188,Z192,Z196,Z200)</f>
        <v>6771</v>
      </c>
      <c r="AA217" s="28">
        <f>Z217/R217</f>
        <v>0.12091071428571429</v>
      </c>
      <c r="AB217" s="11"/>
      <c r="AC217" s="1"/>
      <c r="AD217" s="165" t="s">
        <v>26</v>
      </c>
      <c r="AE217" s="166"/>
      <c r="AF217" s="29">
        <f>SUM(AF152,AF156,AF160,AF164,AF168,AF172,AF176,AF180,AF184,AF188,AF192,AF196,AF200)*100</f>
        <v>45900</v>
      </c>
      <c r="AG217" s="45"/>
      <c r="AH217" s="9"/>
      <c r="AI217" s="5">
        <f>AF217/AJ217</f>
        <v>2700</v>
      </c>
      <c r="AJ217" s="29">
        <f>SUM(AJ152,AJ156,AJ160,AJ164,AJ168,AJ172,AJ175,AJ180,AJ184,AJ188,AJ192,AJ196,AJ200)</f>
        <v>17</v>
      </c>
      <c r="AK217" s="9"/>
      <c r="AL217" s="61" t="str">
        <f t="shared" si="289"/>
        <v>キティドデカパッチン</v>
      </c>
      <c r="AM217" s="62">
        <f t="shared" si="289"/>
        <v>538</v>
      </c>
      <c r="AN217" s="29">
        <f>SUM(AN152,AN156,AN160,AN164,AN168,AN172,AN175,AN180,AN184,AN188,AN192,AN196,AN200)</f>
        <v>9378</v>
      </c>
      <c r="AO217" s="28">
        <f>AN217/AF217</f>
        <v>0.20431372549019608</v>
      </c>
      <c r="AP217" s="11"/>
      <c r="AR217" s="165" t="s">
        <v>26</v>
      </c>
      <c r="AS217" s="166"/>
      <c r="AT217" s="29">
        <f>SUM(AT152,AT156,AT160,AT164,AT168,AT172,AT176,AT180,AT184,AT188,AT192,AT196,AT200)*100</f>
        <v>28000</v>
      </c>
      <c r="AU217" s="45"/>
      <c r="AV217" s="9"/>
      <c r="AW217" s="5">
        <f>AT217/AX217</f>
        <v>2153.8461538461538</v>
      </c>
      <c r="AX217" s="29">
        <f>SUM(AX152,AX156,AX160,AX164,AX168,AX172,AX175,AX180,AX184,AX188,AX192,AX196,AX200)</f>
        <v>13</v>
      </c>
      <c r="AY217" s="9"/>
      <c r="AZ217" s="61">
        <f t="shared" si="290"/>
        <v>0</v>
      </c>
      <c r="BA217" s="62">
        <f t="shared" si="290"/>
        <v>0</v>
      </c>
      <c r="BB217" s="29">
        <f>SUM(BB152,BB156,BB160,BB164,BB168,BB172,BB175,BB180,BB184,BB188,BB192,BB196,BB200)</f>
        <v>12300</v>
      </c>
      <c r="BC217" s="28">
        <f>BB217/AT217</f>
        <v>0.43928571428571428</v>
      </c>
      <c r="BD217" s="11"/>
      <c r="BF217" s="165" t="s">
        <v>26</v>
      </c>
      <c r="BG217" s="166"/>
      <c r="BH217" s="29">
        <f>SUM(BH152,BH156,BH160,BH164,BH168,BH172,BH176,BH180,BH184,BH188,BH192,BH196,BH200)*100</f>
        <v>11800</v>
      </c>
      <c r="BI217" s="45"/>
      <c r="BJ217" s="9"/>
      <c r="BK217" s="5">
        <f>BH217/BL217</f>
        <v>694.11764705882354</v>
      </c>
      <c r="BL217" s="29">
        <f>SUM(BL152,BL156,BL160,BL164,BL168,BL172,BL175,BL180,BL184,BL188,BL192,BL196,BL200)</f>
        <v>17</v>
      </c>
      <c r="BM217" s="9"/>
      <c r="BN217" s="61">
        <f t="shared" si="291"/>
        <v>0</v>
      </c>
      <c r="BO217" s="62">
        <f t="shared" si="291"/>
        <v>0</v>
      </c>
      <c r="BP217" s="29">
        <f>SUM(BP152,BP156,BP160,BP164,BP168,BP172,BP175,BP180,BP184,BP188,BP192,BP196,BP200)</f>
        <v>8382</v>
      </c>
      <c r="BQ217" s="28">
        <f>BP217/BH217</f>
        <v>0.71033898305084742</v>
      </c>
      <c r="BR217" s="11"/>
      <c r="BT217" s="165" t="s">
        <v>26</v>
      </c>
      <c r="BU217" s="166"/>
      <c r="BV217" s="29">
        <f>SUM(BV152,BV156,BV160,BV164,BV168,BV172,BV176,BV180,BV184,BV188,BV192,BV196,BV200)*100</f>
        <v>10400</v>
      </c>
      <c r="BW217" s="45"/>
      <c r="BX217" s="9"/>
      <c r="BY217" s="5">
        <f>BV217/BZ217</f>
        <v>945.4545454545455</v>
      </c>
      <c r="BZ217" s="29">
        <f>SUM(BZ152,BZ156,BZ160,BZ164,BZ168,BZ172,BZ175,BZ180,BZ184,BZ188,BZ192,BZ196,BZ200)</f>
        <v>11</v>
      </c>
      <c r="CA217" s="9"/>
      <c r="CB217" s="61">
        <f t="shared" si="292"/>
        <v>0</v>
      </c>
      <c r="CC217" s="62">
        <f t="shared" si="292"/>
        <v>0</v>
      </c>
      <c r="CD217" s="29">
        <f>SUM(CD152,CD156,CD160,CD164,CD168,CD172,CD175,CD180,CD184,CD188,CD192,CD196,CD200)</f>
        <v>6712</v>
      </c>
      <c r="CE217" s="28">
        <f>CD217/BV217</f>
        <v>0.64538461538461533</v>
      </c>
      <c r="CF217" s="11"/>
    </row>
    <row r="218" spans="1:84">
      <c r="A218" s="95"/>
      <c r="B218" s="95"/>
      <c r="C218" s="45"/>
      <c r="D218" s="9"/>
      <c r="E218" s="9"/>
      <c r="F218" s="9"/>
      <c r="G218" s="5"/>
      <c r="H218" s="9"/>
      <c r="I218" s="9"/>
      <c r="J218" s="9"/>
      <c r="K218" s="9"/>
      <c r="L218" s="9"/>
      <c r="M218" s="9"/>
      <c r="N218" s="11"/>
      <c r="O218" s="2"/>
      <c r="P218" s="165" t="s">
        <v>26</v>
      </c>
      <c r="Q218" s="166"/>
      <c r="R218" s="29">
        <f>SUM(R153,R157,R161,R165,R169,R173,R177,R181,R185,R189,R193,R197,R201)*100</f>
        <v>79100</v>
      </c>
      <c r="S218" s="45"/>
      <c r="T218" s="9"/>
      <c r="U218" s="5">
        <f>R218/V218</f>
        <v>4652.9411764705883</v>
      </c>
      <c r="V218" s="29">
        <f>SUM(V153,V157,V161,V166,V169,V173,V177,V181,V185,V189,V193,V197,V201)</f>
        <v>17</v>
      </c>
      <c r="W218" s="9"/>
      <c r="X218" s="64" t="str">
        <f t="shared" si="288"/>
        <v>キティボアバンスクリップ</v>
      </c>
      <c r="Y218" s="62">
        <f t="shared" si="288"/>
        <v>1100</v>
      </c>
      <c r="Z218" s="29">
        <f>SUM(Z153,Z157,Z161,Z166,Z169,Z173,Z177,Z181,Z185,Z189,Z193,Z197,Z201)</f>
        <v>16060</v>
      </c>
      <c r="AA218" s="28">
        <f>Z218/R218</f>
        <v>0.20303413400758533</v>
      </c>
      <c r="AB218" s="11"/>
      <c r="AC218" s="1"/>
      <c r="AD218" s="165" t="s">
        <v>26</v>
      </c>
      <c r="AE218" s="166"/>
      <c r="AF218" s="29">
        <f>SUM(AF153,AF157,AF161,AF165,AF169,AF173,AF177,AF181,AF185,AF189,AF193,AF197,AF201)*100</f>
        <v>78800</v>
      </c>
      <c r="AG218" s="45"/>
      <c r="AH218" s="9"/>
      <c r="AI218" s="5">
        <f>AF218/AJ218</f>
        <v>3752.3809523809523</v>
      </c>
      <c r="AJ218" s="29">
        <f>SUM(AJ153,AJ157,AJ161,AJ166,AJ169,AJ173,AJ177,AJ181,AJ185,AJ189,AJ193,AJ197,AJ201)</f>
        <v>21</v>
      </c>
      <c r="AK218" s="9"/>
      <c r="AL218" s="61" t="str">
        <f t="shared" si="289"/>
        <v>ゲームアーク</v>
      </c>
      <c r="AM218" s="62">
        <f t="shared" si="289"/>
        <v>1100</v>
      </c>
      <c r="AN218" s="29">
        <f>SUM(AN153,AN157,AN161,AN166,AN169,AN173,AN177,AN181,AN185,AN189,AN193,AN197,AN201)</f>
        <v>9800</v>
      </c>
      <c r="AO218" s="28">
        <f>AN218/AF218</f>
        <v>0.12436548223350254</v>
      </c>
      <c r="AP218" s="11"/>
      <c r="AR218" s="165" t="s">
        <v>26</v>
      </c>
      <c r="AS218" s="166"/>
      <c r="AT218" s="29">
        <f>SUM(AT153,AT157,AT161,AT165,AT169,AT173,AT177,AT181,AT185,AT189,AT193,AT197,AT201)*100</f>
        <v>19500</v>
      </c>
      <c r="AU218" s="45"/>
      <c r="AV218" s="9"/>
      <c r="AW218" s="5">
        <f>AT218/AX218</f>
        <v>6500</v>
      </c>
      <c r="AX218" s="29">
        <f>SUM(AX153,AX157,AX161,AX166,AX169,AX173,AX177,AX181,AX185,AX189,AX193,AX197,AX201)</f>
        <v>3</v>
      </c>
      <c r="AY218" s="9"/>
      <c r="AZ218" s="61">
        <f t="shared" si="290"/>
        <v>0</v>
      </c>
      <c r="BA218" s="62">
        <f t="shared" si="290"/>
        <v>0</v>
      </c>
      <c r="BB218" s="29">
        <f>SUM(BB153,BB157,BB161,BB166,BB169,BB173,BB177,BB181,BB185,BB189,BB193,BB197,BB201)</f>
        <v>3168</v>
      </c>
      <c r="BC218" s="28">
        <f>BB218/AT218</f>
        <v>0.16246153846153846</v>
      </c>
      <c r="BD218" s="11"/>
      <c r="BF218" s="165" t="s">
        <v>26</v>
      </c>
      <c r="BG218" s="166"/>
      <c r="BH218" s="29">
        <f>SUM(BH153,BH157,BH161,BH165,BH169,BH173,BH177,BH181,BH185,BH189,BH193,BH197,BH201)*100</f>
        <v>24800</v>
      </c>
      <c r="BI218" s="45"/>
      <c r="BJ218" s="9"/>
      <c r="BK218" s="5">
        <f>BH218/BL218</f>
        <v>2480</v>
      </c>
      <c r="BL218" s="29">
        <f>SUM(BL153,BL157,BL161,BL166,BL169,BL173,BL177,BL181,BL185,BL189,BL193,BL197,BL201)</f>
        <v>10</v>
      </c>
      <c r="BM218" s="9"/>
      <c r="BN218" s="61">
        <f t="shared" si="291"/>
        <v>0</v>
      </c>
      <c r="BO218" s="62">
        <f t="shared" si="291"/>
        <v>0</v>
      </c>
      <c r="BP218" s="29">
        <f>SUM(BP153,BP157,BP161,BP166,BP169,BP173,BP177,BP181,BP185,BP189,BP193,BP197,BP201)</f>
        <v>6742</v>
      </c>
      <c r="BQ218" s="28">
        <f>BP218/BH218</f>
        <v>0.27185483870967742</v>
      </c>
      <c r="BR218" s="11"/>
      <c r="BT218" s="165" t="s">
        <v>26</v>
      </c>
      <c r="BU218" s="166"/>
      <c r="BV218" s="29">
        <f>SUM(BV153,BV157,BV161,BV165,BV169,BV173,BV177,BV181,BV185,BV189,BV193,BV197,BV201)*100</f>
        <v>15500</v>
      </c>
      <c r="BW218" s="45"/>
      <c r="BX218" s="9"/>
      <c r="BY218" s="5">
        <f>BV218/BZ218</f>
        <v>861.11111111111109</v>
      </c>
      <c r="BZ218" s="29">
        <f>SUM(BZ153,BZ157,BZ161,BZ166,BZ169,BZ173,BZ177,BZ181,BZ185,BZ189,BZ193,BZ197,BZ201)</f>
        <v>18</v>
      </c>
      <c r="CA218" s="9"/>
      <c r="CB218" s="61">
        <f t="shared" si="292"/>
        <v>0</v>
      </c>
      <c r="CC218" s="62">
        <f t="shared" si="292"/>
        <v>0</v>
      </c>
      <c r="CD218" s="29">
        <f>SUM(CD153,CD157,CD161,CD166,CD169,CD173,CD177,CD181,CD185,CD189,CD193,CD197,CD201)</f>
        <v>7900</v>
      </c>
      <c r="CE218" s="28">
        <f>CD218/BV218</f>
        <v>0.50967741935483868</v>
      </c>
      <c r="CF218" s="11"/>
    </row>
    <row r="219" spans="1:84">
      <c r="A219" s="95"/>
      <c r="B219" s="95"/>
      <c r="C219" s="45"/>
      <c r="D219" s="9"/>
      <c r="E219" s="9"/>
      <c r="F219" s="9"/>
      <c r="G219" s="5"/>
      <c r="H219" s="9"/>
      <c r="I219" s="9"/>
      <c r="J219" s="9"/>
      <c r="K219" s="9"/>
      <c r="L219" s="9"/>
      <c r="M219" s="9"/>
      <c r="N219" s="11"/>
      <c r="O219" s="2"/>
      <c r="P219" s="165" t="s">
        <v>26</v>
      </c>
      <c r="Q219" s="166"/>
      <c r="R219" s="29">
        <f>SUM(R154,R158,R162,R166,R170,R174,R178,R182,R186,R190,R194,R198,R202)*100</f>
        <v>195600</v>
      </c>
      <c r="S219" s="45"/>
      <c r="T219" s="9"/>
      <c r="U219" s="5">
        <f>R219/V219</f>
        <v>6985.7142857142853</v>
      </c>
      <c r="V219" s="29">
        <f>SUM(V154,V158,V162,V165,V170,V174,V178,V182,V186,V190,V194,V198,V202)</f>
        <v>28</v>
      </c>
      <c r="W219" s="9"/>
      <c r="X219" s="64" t="str">
        <f t="shared" si="288"/>
        <v>サンリオヘアバンド</v>
      </c>
      <c r="Y219" s="62">
        <f t="shared" si="288"/>
        <v>950</v>
      </c>
      <c r="Z219" s="29">
        <f>SUM(Z154,Z158,Z162,Z165,Z170,Z174,Z178,Z182,Z186,Z190,Z194,Z198,Z202)</f>
        <v>14510</v>
      </c>
      <c r="AA219" s="28">
        <f>Z219/R219</f>
        <v>7.4182004089979547E-2</v>
      </c>
      <c r="AB219" s="11"/>
      <c r="AC219" s="1"/>
      <c r="AD219" s="165" t="s">
        <v>26</v>
      </c>
      <c r="AE219" s="166"/>
      <c r="AF219" s="29">
        <f>SUM(AF154,AF158,AF162,AF166,AF170,AF174,AF178,AF182,AF186,AF190,AF194,AF198,AF202)*100</f>
        <v>164000</v>
      </c>
      <c r="AG219" s="45"/>
      <c r="AH219" s="9"/>
      <c r="AI219" s="5">
        <f>AF219/AJ219</f>
        <v>1863.6363636363637</v>
      </c>
      <c r="AJ219" s="29">
        <f>SUM(AJ154,AJ158,AJ162,AJ165,AJ170,AJ174,AJ178,AJ182,AJ186,AJ190,AJ194,AJ198,AJ202)</f>
        <v>88</v>
      </c>
      <c r="AK219" s="9"/>
      <c r="AL219" s="61" t="str">
        <f t="shared" si="289"/>
        <v>ボンドロシール</v>
      </c>
      <c r="AM219" s="62">
        <f t="shared" si="289"/>
        <v>150</v>
      </c>
      <c r="AN219" s="29">
        <f>SUM(AN154,AN158,AN162,AN165,AN170,AN174,AN178,AN182,AN186,AN190,AN194,AN198,AN202)</f>
        <v>14200</v>
      </c>
      <c r="AO219" s="28">
        <f>AN219/AF219</f>
        <v>8.658536585365853E-2</v>
      </c>
      <c r="AP219" s="11"/>
      <c r="AR219" s="165" t="s">
        <v>26</v>
      </c>
      <c r="AS219" s="166"/>
      <c r="AT219" s="29">
        <f>SUM(AT154,AT158,AT162,AT166,AT170,AT174,AT178,AT182,AT186,AT190,AT194,AT198,AT202)*100</f>
        <v>8900</v>
      </c>
      <c r="AU219" s="45"/>
      <c r="AV219" s="9"/>
      <c r="AW219" s="5">
        <f>AT219/AX219</f>
        <v>2225</v>
      </c>
      <c r="AX219" s="29">
        <f>SUM(AX154,AX158,AX162,AX165,AX170,AX174,AX178,AX182,AX186,AX190,AX194,AX198,AX202)</f>
        <v>4</v>
      </c>
      <c r="AY219" s="9"/>
      <c r="AZ219" s="61">
        <f t="shared" si="290"/>
        <v>0</v>
      </c>
      <c r="BA219" s="62">
        <f t="shared" si="290"/>
        <v>0</v>
      </c>
      <c r="BB219" s="29">
        <f>SUM(BB154,BB158,BB162,BB165,BB170,BB174,BB178,BB182,BB186,BB190,BB194,BB198,BB202)</f>
        <v>3696</v>
      </c>
      <c r="BC219" s="28">
        <f>BB219/AT219</f>
        <v>0.41528089887640451</v>
      </c>
      <c r="BD219" s="11"/>
      <c r="BF219" s="165" t="s">
        <v>26</v>
      </c>
      <c r="BG219" s="166"/>
      <c r="BH219" s="29">
        <f>SUM(BH154,BH158,BH162,BH166,BH170,BH174,BH178,BH182,BH186,BH190,BH194,BH198,BH202)*100</f>
        <v>39800</v>
      </c>
      <c r="BI219" s="45"/>
      <c r="BJ219" s="9"/>
      <c r="BK219" s="5">
        <f>BH219/BL219</f>
        <v>585.29411764705878</v>
      </c>
      <c r="BL219" s="29">
        <f>SUM(BL154,BL158,BL162,BL165,BL170,BL174,BL178,BL182,BL186,BL190,BL194,BL198,BL202)</f>
        <v>68</v>
      </c>
      <c r="BM219" s="9"/>
      <c r="BN219" s="61">
        <f t="shared" si="291"/>
        <v>0</v>
      </c>
      <c r="BO219" s="62">
        <f t="shared" si="291"/>
        <v>0</v>
      </c>
      <c r="BP219" s="29">
        <f>SUM(BP154,BP158,BP162,BP165,BP170,BP174,BP178,BP182,BP186,BP190,BP194,BP198,BP202)</f>
        <v>20548</v>
      </c>
      <c r="BQ219" s="28">
        <f>BP219/BH219</f>
        <v>0.51628140703517589</v>
      </c>
      <c r="BR219" s="11"/>
      <c r="BT219" s="165" t="s">
        <v>26</v>
      </c>
      <c r="BU219" s="166"/>
      <c r="BV219" s="29">
        <f>SUM(BV154,BV158,BV162,BV166,BV170,BV174,BV178,BV182,BV186,BV190,BV194,BV198,BV202)*100</f>
        <v>25800</v>
      </c>
      <c r="BW219" s="45"/>
      <c r="BX219" s="9"/>
      <c r="BY219" s="5">
        <f>BV219/BZ219</f>
        <v>2866.6666666666665</v>
      </c>
      <c r="BZ219" s="29">
        <f>SUM(BZ154,BZ158,BZ162,BZ165,BZ170,BZ174,BZ178,BZ182,BZ186,BZ190,BZ194,BZ198,BZ202)</f>
        <v>9</v>
      </c>
      <c r="CA219" s="9"/>
      <c r="CB219" s="61">
        <f t="shared" si="292"/>
        <v>0</v>
      </c>
      <c r="CC219" s="62">
        <f t="shared" si="292"/>
        <v>0</v>
      </c>
      <c r="CD219" s="29">
        <f>SUM(CD154,CD158,CD162,CD165,CD170,CD174,CD178,CD182,CD186,CD190,CD194,CD198,CD202)</f>
        <v>6400</v>
      </c>
      <c r="CE219" s="28">
        <f>CD219/BV219</f>
        <v>0.24806201550387597</v>
      </c>
      <c r="CF219" s="11"/>
    </row>
    <row r="220" spans="1:84">
      <c r="A220" s="95"/>
      <c r="B220" s="95"/>
      <c r="C220" s="45"/>
      <c r="D220" s="9"/>
      <c r="E220" s="9"/>
      <c r="F220" s="9"/>
      <c r="G220" s="5"/>
      <c r="H220" s="9"/>
      <c r="I220" s="9"/>
      <c r="J220" s="9"/>
      <c r="K220" s="9"/>
      <c r="L220" s="9"/>
      <c r="M220" s="9"/>
      <c r="N220" s="11"/>
      <c r="O220" s="2"/>
      <c r="P220" s="12"/>
      <c r="Q220" s="5" t="s">
        <v>17</v>
      </c>
      <c r="R220" s="9">
        <f>SUM(R216:R219)</f>
        <v>386900</v>
      </c>
      <c r="S220" s="45"/>
      <c r="T220" s="9"/>
      <c r="U220" s="9"/>
      <c r="V220" s="9">
        <f>SUM(V216:V219)</f>
        <v>61</v>
      </c>
      <c r="W220" s="9"/>
      <c r="X220" s="163" t="s">
        <v>28</v>
      </c>
      <c r="Y220" s="164"/>
      <c r="Z220" s="44">
        <f>SUM(Z216:Z219)</f>
        <v>45138</v>
      </c>
      <c r="AA220" s="68">
        <f>Z220/R220</f>
        <v>0.11666580511760145</v>
      </c>
      <c r="AB220" s="69"/>
      <c r="AC220" s="1"/>
      <c r="AD220" s="12"/>
      <c r="AE220" s="5" t="s">
        <v>17</v>
      </c>
      <c r="AF220" s="9">
        <f>SUM(AF216:AF219)</f>
        <v>354100</v>
      </c>
      <c r="AG220" s="45"/>
      <c r="AH220" s="9"/>
      <c r="AI220" s="9"/>
      <c r="AJ220" s="9">
        <f>SUM(AJ216:AJ219)</f>
        <v>147</v>
      </c>
      <c r="AK220" s="9"/>
      <c r="AL220" s="163" t="s">
        <v>28</v>
      </c>
      <c r="AM220" s="164"/>
      <c r="AN220" s="44">
        <f>SUM(AN216:AN219)</f>
        <v>49084</v>
      </c>
      <c r="AO220" s="68">
        <f>AN220/AF220</f>
        <v>0.13861621011013839</v>
      </c>
      <c r="AP220" s="11"/>
      <c r="AR220" s="12"/>
      <c r="AS220" s="5" t="s">
        <v>17</v>
      </c>
      <c r="AT220" s="9">
        <f>SUM(AT216:AT219)</f>
        <v>77600</v>
      </c>
      <c r="AU220" s="45"/>
      <c r="AV220" s="9"/>
      <c r="AW220" s="9"/>
      <c r="AX220" s="9">
        <f>SUM(AX216:AX219)</f>
        <v>38</v>
      </c>
      <c r="AY220" s="9"/>
      <c r="AZ220" s="163" t="s">
        <v>28</v>
      </c>
      <c r="BA220" s="164"/>
      <c r="BB220" s="44">
        <f>SUM(BB216:BB219)</f>
        <v>32564</v>
      </c>
      <c r="BC220" s="68">
        <f>BB220/AT220</f>
        <v>0.41963917525773198</v>
      </c>
      <c r="BD220" s="11"/>
      <c r="BF220" s="12"/>
      <c r="BG220" s="5" t="s">
        <v>17</v>
      </c>
      <c r="BH220" s="9">
        <f>SUM(BH216:BH219)</f>
        <v>105300</v>
      </c>
      <c r="BI220" s="45"/>
      <c r="BJ220" s="9"/>
      <c r="BK220" s="9"/>
      <c r="BL220" s="9">
        <f>SUM(BL216:BL219)</f>
        <v>108</v>
      </c>
      <c r="BM220" s="9"/>
      <c r="BN220" s="163" t="s">
        <v>28</v>
      </c>
      <c r="BO220" s="164"/>
      <c r="BP220" s="44">
        <f>SUM(BP216:BP219)</f>
        <v>41447</v>
      </c>
      <c r="BQ220" s="68">
        <f>BP220/BH220</f>
        <v>0.39360873694207027</v>
      </c>
      <c r="BR220" s="11"/>
      <c r="BT220" s="12"/>
      <c r="BU220" s="5" t="s">
        <v>17</v>
      </c>
      <c r="BV220" s="9">
        <f>SUM(BV216:BV219)</f>
        <v>71200</v>
      </c>
      <c r="BW220" s="45"/>
      <c r="BX220" s="9"/>
      <c r="BY220" s="9"/>
      <c r="BZ220" s="9">
        <f>SUM(BZ216:BZ219)</f>
        <v>46</v>
      </c>
      <c r="CA220" s="9"/>
      <c r="CB220" s="163" t="s">
        <v>28</v>
      </c>
      <c r="CC220" s="164"/>
      <c r="CD220" s="44">
        <f>SUM(CD216:CD219)</f>
        <v>28074</v>
      </c>
      <c r="CE220" s="68">
        <f>CD220/BV220</f>
        <v>0.39429775280898877</v>
      </c>
      <c r="CF220" s="11"/>
    </row>
    <row r="221" spans="1:84">
      <c r="A221" s="14"/>
      <c r="B221" s="76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2"/>
      <c r="P221" s="33"/>
      <c r="Q221" s="2"/>
      <c r="R221" s="2"/>
      <c r="S221" s="2"/>
      <c r="T221" s="2"/>
      <c r="U221" s="2"/>
      <c r="V221" s="2"/>
      <c r="W221" s="2"/>
      <c r="X221" s="43"/>
      <c r="Y221" s="2"/>
      <c r="Z221" s="2"/>
      <c r="AA221" s="2"/>
      <c r="AB221" s="42"/>
      <c r="AC221" s="1"/>
      <c r="AD221" s="33"/>
      <c r="AE221" s="2"/>
      <c r="AF221" s="2"/>
      <c r="AG221" s="2"/>
      <c r="AH221" s="2"/>
      <c r="AI221" s="2"/>
      <c r="AJ221" s="2"/>
      <c r="AK221" s="2"/>
      <c r="AL221" s="55"/>
      <c r="AM221" s="2"/>
      <c r="AN221" s="2"/>
      <c r="AO221" s="2"/>
      <c r="AP221" s="42"/>
    </row>
    <row r="222" spans="1:84" ht="15" customHeight="1">
      <c r="A222" s="33"/>
      <c r="B222" s="3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4"/>
      <c r="O222" s="2"/>
      <c r="P222" s="33"/>
      <c r="Q222" s="2"/>
      <c r="R222" s="2"/>
      <c r="S222" s="2"/>
      <c r="T222" s="2"/>
      <c r="U222" s="2"/>
      <c r="V222" s="2"/>
      <c r="W222" s="2"/>
      <c r="X222" s="43"/>
      <c r="Y222" s="2"/>
      <c r="Z222" s="2"/>
      <c r="AA222" s="2"/>
      <c r="AB222" s="42"/>
      <c r="AC222" s="2"/>
      <c r="AD222" s="33"/>
      <c r="AE222" s="2"/>
      <c r="AF222" s="2"/>
      <c r="AG222" s="2"/>
      <c r="AH222" s="2"/>
      <c r="AI222" s="2"/>
      <c r="AJ222" s="2"/>
      <c r="AK222" s="2"/>
      <c r="AL222" s="55"/>
      <c r="AM222" s="2"/>
      <c r="AN222" s="2"/>
      <c r="AO222" s="2"/>
      <c r="AP222" s="42"/>
    </row>
    <row r="223" spans="1:84">
      <c r="A223" s="188" t="s">
        <v>40</v>
      </c>
      <c r="B223" s="188"/>
      <c r="C223" s="189" t="s">
        <v>41</v>
      </c>
      <c r="D223" s="189"/>
      <c r="E223" s="36"/>
      <c r="F223" s="36"/>
      <c r="G223" s="59"/>
      <c r="H223" s="59"/>
      <c r="I223" s="59"/>
      <c r="J223" s="59"/>
      <c r="K223" s="59"/>
      <c r="L223" s="59"/>
      <c r="M223" s="59"/>
      <c r="N223" s="60"/>
      <c r="O223" s="56"/>
      <c r="P223" s="185" t="s">
        <v>39</v>
      </c>
      <c r="Q223" s="185"/>
      <c r="R223" s="185"/>
      <c r="S223" s="184" t="s">
        <v>38</v>
      </c>
      <c r="T223" s="184"/>
      <c r="U223" s="71"/>
      <c r="V223" s="71"/>
      <c r="W223" s="71"/>
      <c r="X223" s="72"/>
      <c r="Y223" s="71"/>
      <c r="Z223" s="71"/>
      <c r="AA223" s="71"/>
      <c r="AB223" s="73"/>
      <c r="AC223" s="74"/>
      <c r="AD223" s="185" t="s">
        <v>39</v>
      </c>
      <c r="AE223" s="185"/>
      <c r="AF223" s="185"/>
      <c r="AG223" s="184" t="s">
        <v>37</v>
      </c>
      <c r="AH223" s="184"/>
      <c r="AI223" s="71"/>
      <c r="AJ223" s="71"/>
      <c r="AK223" s="71"/>
      <c r="AL223" s="75"/>
      <c r="AM223" s="71"/>
      <c r="AN223" s="71"/>
      <c r="AO223" s="71"/>
      <c r="AP223" s="73"/>
    </row>
    <row r="224" spans="1:84">
      <c r="A224" s="7" t="s">
        <v>0</v>
      </c>
      <c r="B224" s="112" t="s">
        <v>34</v>
      </c>
      <c r="C224" s="5" t="s">
        <v>1</v>
      </c>
      <c r="D224" s="5" t="s">
        <v>2</v>
      </c>
      <c r="E224" s="6" t="s">
        <v>3</v>
      </c>
      <c r="F224" s="5" t="s">
        <v>2</v>
      </c>
      <c r="G224" s="5" t="s">
        <v>4</v>
      </c>
      <c r="H224" s="5" t="s">
        <v>5</v>
      </c>
      <c r="I224" s="5" t="s">
        <v>6</v>
      </c>
      <c r="J224" s="5"/>
      <c r="K224" s="5" t="s">
        <v>7</v>
      </c>
      <c r="L224" s="5" t="s">
        <v>8</v>
      </c>
      <c r="M224" s="5" t="s">
        <v>9</v>
      </c>
      <c r="N224" s="5" t="s">
        <v>10</v>
      </c>
      <c r="O224" s="2"/>
      <c r="P224" s="7" t="s">
        <v>0</v>
      </c>
      <c r="Q224" s="5" t="s">
        <v>1</v>
      </c>
      <c r="R224" s="5" t="s">
        <v>2</v>
      </c>
      <c r="S224" s="6" t="s">
        <v>3</v>
      </c>
      <c r="T224" s="5" t="s">
        <v>2</v>
      </c>
      <c r="U224" s="5" t="s">
        <v>4</v>
      </c>
      <c r="V224" s="5" t="s">
        <v>5</v>
      </c>
      <c r="W224" s="5" t="s">
        <v>6</v>
      </c>
      <c r="X224" s="6" t="s">
        <v>11</v>
      </c>
      <c r="Y224" s="5" t="s">
        <v>7</v>
      </c>
      <c r="Z224" s="5" t="s">
        <v>5</v>
      </c>
      <c r="AA224" s="5" t="s">
        <v>12</v>
      </c>
      <c r="AB224" s="5" t="s">
        <v>10</v>
      </c>
      <c r="AC224" s="3"/>
      <c r="AD224" s="7" t="s">
        <v>0</v>
      </c>
      <c r="AE224" s="5" t="s">
        <v>1</v>
      </c>
      <c r="AF224" s="5" t="s">
        <v>2</v>
      </c>
      <c r="AG224" s="6" t="s">
        <v>3</v>
      </c>
      <c r="AH224" s="5" t="s">
        <v>2</v>
      </c>
      <c r="AI224" s="5" t="s">
        <v>4</v>
      </c>
      <c r="AJ224" s="5" t="s">
        <v>5</v>
      </c>
      <c r="AK224" s="5" t="s">
        <v>6</v>
      </c>
      <c r="AL224" s="46" t="s">
        <v>11</v>
      </c>
      <c r="AM224" s="5" t="s">
        <v>7</v>
      </c>
      <c r="AN224" s="5" t="s">
        <v>5</v>
      </c>
      <c r="AO224" s="5" t="s">
        <v>12</v>
      </c>
      <c r="AP224" s="5" t="s">
        <v>10</v>
      </c>
    </row>
    <row r="225" spans="1:42">
      <c r="A225" s="12">
        <v>46073</v>
      </c>
      <c r="B225" s="8">
        <v>879</v>
      </c>
      <c r="C225" s="13">
        <v>34391</v>
      </c>
      <c r="D225" s="9">
        <v>55</v>
      </c>
      <c r="E225" s="9">
        <v>1064</v>
      </c>
      <c r="F225" s="9">
        <v>2</v>
      </c>
      <c r="G225" s="9">
        <v>33</v>
      </c>
      <c r="H225" s="9">
        <v>2</v>
      </c>
      <c r="I225" s="9">
        <v>-7</v>
      </c>
      <c r="J225" s="44"/>
      <c r="K225" s="44">
        <v>950</v>
      </c>
      <c r="L225" s="9">
        <v>1900</v>
      </c>
      <c r="M225" s="10">
        <v>0.34545454545454546</v>
      </c>
      <c r="N225" s="70" t="s">
        <v>242</v>
      </c>
      <c r="O225" s="2"/>
      <c r="P225" s="12">
        <v>46073</v>
      </c>
      <c r="Q225" s="44">
        <v>12274</v>
      </c>
      <c r="R225" s="44">
        <v>105</v>
      </c>
      <c r="S225" s="44">
        <v>361</v>
      </c>
      <c r="T225" s="44">
        <v>6</v>
      </c>
      <c r="U225" s="44">
        <v>11</v>
      </c>
      <c r="V225" s="44">
        <v>2</v>
      </c>
      <c r="W225" s="44">
        <v>0</v>
      </c>
      <c r="X225" s="64" t="s">
        <v>205</v>
      </c>
      <c r="Y225" s="62">
        <v>996</v>
      </c>
      <c r="Z225" s="44">
        <v>1992</v>
      </c>
      <c r="AA225" s="63">
        <v>0.18971428571428572</v>
      </c>
      <c r="AB225" s="11"/>
      <c r="AC225" s="1"/>
      <c r="AD225" s="12">
        <v>46073</v>
      </c>
      <c r="AE225" s="44">
        <v>9509</v>
      </c>
      <c r="AF225" s="44">
        <v>78</v>
      </c>
      <c r="AG225" s="44">
        <v>252</v>
      </c>
      <c r="AH225" s="44">
        <v>1</v>
      </c>
      <c r="AI225" s="44">
        <v>21</v>
      </c>
      <c r="AJ225" s="44">
        <v>0</v>
      </c>
      <c r="AK225" s="44">
        <v>0</v>
      </c>
      <c r="AL225" s="61" t="s">
        <v>218</v>
      </c>
      <c r="AM225" s="62">
        <v>1100</v>
      </c>
      <c r="AN225" s="44">
        <v>0</v>
      </c>
      <c r="AO225" s="63">
        <v>0</v>
      </c>
      <c r="AP225" s="11"/>
    </row>
    <row r="226" spans="1:42">
      <c r="A226" s="12">
        <v>46076</v>
      </c>
      <c r="B226" s="8">
        <f>IF(A226="","",SUM(D226)+SUM(R229:R232)+SUM(AF229:AF232))</f>
        <v>2046</v>
      </c>
      <c r="C226" s="13">
        <v>35567</v>
      </c>
      <c r="D226" s="9">
        <f t="shared" ref="D226:D238" si="293">IF(C226="","",C226-C225)</f>
        <v>1176</v>
      </c>
      <c r="E226" s="9">
        <v>1079</v>
      </c>
      <c r="F226" s="9">
        <f t="shared" ref="F226:F238" si="294">IF(E226="","",E226-E225)</f>
        <v>15</v>
      </c>
      <c r="G226" s="9">
        <v>10</v>
      </c>
      <c r="H226" s="9">
        <f t="shared" ref="H226:H238" si="295">IF(G226="","",G225+I225-G226)</f>
        <v>16</v>
      </c>
      <c r="I226" s="9">
        <v>15</v>
      </c>
      <c r="J226" s="44"/>
      <c r="K226" s="44">
        <v>1500</v>
      </c>
      <c r="L226" s="9">
        <f t="shared" ref="L226:L238" si="296">IF(K226="","",H226*K226)</f>
        <v>24000</v>
      </c>
      <c r="M226" s="10">
        <f t="shared" ref="M226:M238" si="297">IF(L226="","",L226/(D226*100))</f>
        <v>0.20408163265306123</v>
      </c>
      <c r="N226" s="34"/>
      <c r="O226" s="2"/>
      <c r="P226" s="12"/>
      <c r="Q226" s="9">
        <v>11670</v>
      </c>
      <c r="R226" s="9">
        <v>149</v>
      </c>
      <c r="S226" s="9">
        <v>259</v>
      </c>
      <c r="T226" s="9">
        <v>3</v>
      </c>
      <c r="U226" s="9">
        <v>9</v>
      </c>
      <c r="V226" s="9">
        <v>3</v>
      </c>
      <c r="W226" s="9">
        <v>3</v>
      </c>
      <c r="X226" s="64" t="s">
        <v>239</v>
      </c>
      <c r="Y226" s="44">
        <v>825</v>
      </c>
      <c r="Z226" s="9">
        <v>0</v>
      </c>
      <c r="AA226" s="10">
        <v>0</v>
      </c>
      <c r="AB226" s="11"/>
      <c r="AC226" s="1"/>
      <c r="AD226" s="12"/>
      <c r="AE226" s="9">
        <v>12346</v>
      </c>
      <c r="AF226" s="9">
        <v>28</v>
      </c>
      <c r="AG226" s="9">
        <v>215</v>
      </c>
      <c r="AH226" s="9">
        <v>1</v>
      </c>
      <c r="AI226" s="9">
        <v>11</v>
      </c>
      <c r="AJ226" s="9">
        <v>1</v>
      </c>
      <c r="AK226" s="9">
        <v>0</v>
      </c>
      <c r="AL226" s="47" t="s">
        <v>155</v>
      </c>
      <c r="AM226" s="45">
        <v>1075</v>
      </c>
      <c r="AN226" s="9">
        <v>1075</v>
      </c>
      <c r="AO226" s="10">
        <v>0.38392857142857145</v>
      </c>
      <c r="AP226" s="11"/>
    </row>
    <row r="227" spans="1:42">
      <c r="A227" s="12">
        <v>46080</v>
      </c>
      <c r="B227" s="8">
        <f>IF(A227="","",SUM(D227)+SUM(R233:R236)+SUM(AF233:AF236))</f>
        <v>1922</v>
      </c>
      <c r="C227" s="13">
        <v>36661</v>
      </c>
      <c r="D227" s="9">
        <f t="shared" si="293"/>
        <v>1094</v>
      </c>
      <c r="E227" s="9">
        <v>1094</v>
      </c>
      <c r="F227" s="9">
        <f t="shared" si="294"/>
        <v>15</v>
      </c>
      <c r="G227" s="9">
        <v>9</v>
      </c>
      <c r="H227" s="9">
        <f t="shared" si="295"/>
        <v>16</v>
      </c>
      <c r="I227" s="9">
        <v>20</v>
      </c>
      <c r="J227" s="44"/>
      <c r="K227" s="44">
        <f t="shared" ref="K227:K238" si="298">IF(C227="","",K226)</f>
        <v>1500</v>
      </c>
      <c r="L227" s="9">
        <f t="shared" si="296"/>
        <v>24000</v>
      </c>
      <c r="M227" s="10">
        <f t="shared" si="297"/>
        <v>0.21937842778793418</v>
      </c>
      <c r="N227" s="34"/>
      <c r="O227" s="2"/>
      <c r="P227" s="12"/>
      <c r="Q227" s="9">
        <v>13153</v>
      </c>
      <c r="R227" s="81">
        <v>75</v>
      </c>
      <c r="S227" s="9">
        <v>468</v>
      </c>
      <c r="T227" s="9">
        <v>3</v>
      </c>
      <c r="U227" s="9">
        <v>9</v>
      </c>
      <c r="V227" s="9">
        <v>3</v>
      </c>
      <c r="W227" s="9">
        <v>3</v>
      </c>
      <c r="X227" s="15" t="s">
        <v>220</v>
      </c>
      <c r="Y227" s="45">
        <v>1100</v>
      </c>
      <c r="Z227" s="9">
        <v>3300</v>
      </c>
      <c r="AA227" s="10">
        <v>0.44</v>
      </c>
      <c r="AB227" s="11" t="s">
        <v>110</v>
      </c>
      <c r="AC227" s="1"/>
      <c r="AD227" s="12"/>
      <c r="AE227" s="9">
        <v>12787</v>
      </c>
      <c r="AF227" s="81">
        <v>69</v>
      </c>
      <c r="AG227" s="9">
        <v>480</v>
      </c>
      <c r="AH227" s="9">
        <v>2</v>
      </c>
      <c r="AI227" s="9">
        <v>7</v>
      </c>
      <c r="AJ227" s="9">
        <v>2</v>
      </c>
      <c r="AK227" s="9">
        <v>4</v>
      </c>
      <c r="AL227" s="47" t="s">
        <v>225</v>
      </c>
      <c r="AM227" s="45">
        <v>1100</v>
      </c>
      <c r="AN227" s="9">
        <v>2200</v>
      </c>
      <c r="AO227" s="10">
        <v>0.3188405797101449</v>
      </c>
      <c r="AP227" s="11"/>
    </row>
    <row r="228" spans="1:42" ht="15" customHeight="1" thickBot="1">
      <c r="A228" s="12">
        <v>46083</v>
      </c>
      <c r="B228" s="8">
        <f>IF(A228="","",SUM(D228)+SUM(R237:R240)+SUM(AF237:AF240))</f>
        <v>2170</v>
      </c>
      <c r="C228" s="13">
        <v>38033</v>
      </c>
      <c r="D228" s="9">
        <f t="shared" si="293"/>
        <v>1372</v>
      </c>
      <c r="E228" s="9">
        <v>1102</v>
      </c>
      <c r="F228" s="9">
        <f t="shared" si="294"/>
        <v>8</v>
      </c>
      <c r="G228" s="9">
        <v>19</v>
      </c>
      <c r="H228" s="9">
        <f t="shared" si="295"/>
        <v>10</v>
      </c>
      <c r="I228" s="9">
        <v>11</v>
      </c>
      <c r="J228" s="44"/>
      <c r="K228" s="44">
        <f t="shared" si="298"/>
        <v>1500</v>
      </c>
      <c r="L228" s="9">
        <f t="shared" si="296"/>
        <v>15000</v>
      </c>
      <c r="M228" s="10">
        <f t="shared" si="297"/>
        <v>0.10932944606413994</v>
      </c>
      <c r="N228" s="11"/>
      <c r="O228" s="2"/>
      <c r="P228" s="18"/>
      <c r="Q228" s="21">
        <v>14878</v>
      </c>
      <c r="R228" s="82">
        <v>21</v>
      </c>
      <c r="S228" s="19">
        <v>384</v>
      </c>
      <c r="T228" s="19">
        <v>1</v>
      </c>
      <c r="U228" s="19">
        <v>16</v>
      </c>
      <c r="V228" s="19">
        <v>1</v>
      </c>
      <c r="W228" s="19">
        <v>0</v>
      </c>
      <c r="X228" s="22" t="s">
        <v>245</v>
      </c>
      <c r="Y228" s="19">
        <v>950</v>
      </c>
      <c r="Z228" s="19">
        <v>950</v>
      </c>
      <c r="AA228" s="20">
        <v>0.45238095238095238</v>
      </c>
      <c r="AB228" s="11" t="s">
        <v>243</v>
      </c>
      <c r="AC228" s="1"/>
      <c r="AD228" s="18"/>
      <c r="AE228" s="19">
        <v>15424</v>
      </c>
      <c r="AF228" s="19">
        <v>299</v>
      </c>
      <c r="AG228" s="19">
        <v>532</v>
      </c>
      <c r="AH228" s="19">
        <v>7</v>
      </c>
      <c r="AI228" s="19">
        <v>26</v>
      </c>
      <c r="AJ228" s="19">
        <v>8</v>
      </c>
      <c r="AK228" s="19">
        <v>20</v>
      </c>
      <c r="AL228" s="48" t="s">
        <v>238</v>
      </c>
      <c r="AM228" s="19">
        <v>200</v>
      </c>
      <c r="AN228" s="19">
        <v>1600</v>
      </c>
      <c r="AO228" s="20">
        <v>5.3511705685618728E-2</v>
      </c>
      <c r="AP228" s="11"/>
    </row>
    <row r="229" spans="1:42" ht="15" customHeight="1" thickTop="1">
      <c r="A229" s="12">
        <v>46087</v>
      </c>
      <c r="B229" s="8">
        <f>IF(A229="","",SUM(D229)+SUM(R241:R244)+SUM(AF241:AF244))</f>
        <v>1473</v>
      </c>
      <c r="C229" s="13">
        <v>38845</v>
      </c>
      <c r="D229" s="9">
        <f t="shared" si="293"/>
        <v>812</v>
      </c>
      <c r="E229" s="9">
        <v>1114</v>
      </c>
      <c r="F229" s="9">
        <f t="shared" si="294"/>
        <v>12</v>
      </c>
      <c r="G229" s="9">
        <v>21</v>
      </c>
      <c r="H229" s="9">
        <f t="shared" si="295"/>
        <v>9</v>
      </c>
      <c r="I229" s="9">
        <v>9</v>
      </c>
      <c r="J229" s="44"/>
      <c r="K229" s="44">
        <f t="shared" si="298"/>
        <v>1500</v>
      </c>
      <c r="L229" s="9">
        <f t="shared" si="296"/>
        <v>13500</v>
      </c>
      <c r="M229" s="10">
        <f t="shared" si="297"/>
        <v>0.16625615763546797</v>
      </c>
      <c r="N229" s="11"/>
      <c r="O229" s="2"/>
      <c r="P229" s="65">
        <f>IF($A226="","",$A226)</f>
        <v>46076</v>
      </c>
      <c r="Q229" s="44">
        <v>12357</v>
      </c>
      <c r="R229" s="44">
        <f t="shared" ref="R229:R252" si="299">IF(Q229="","",Q229-Q225)</f>
        <v>83</v>
      </c>
      <c r="S229" s="44">
        <v>363</v>
      </c>
      <c r="T229" s="23">
        <f t="shared" ref="T229:T252" si="300">IF(S229="","",S229-S225)</f>
        <v>2</v>
      </c>
      <c r="U229" s="44">
        <v>9</v>
      </c>
      <c r="V229" s="44">
        <f t="shared" ref="V229:V252" si="301">IF(U229="","",U225+W225-U229)</f>
        <v>2</v>
      </c>
      <c r="W229" s="66">
        <v>0</v>
      </c>
      <c r="X229" s="61" t="str">
        <f>IF(Q229="","",X225)</f>
        <v>キティ豹柄キーケース</v>
      </c>
      <c r="Y229" s="62">
        <f>IF(R229="","",Y225)</f>
        <v>996</v>
      </c>
      <c r="Z229" s="23">
        <f t="shared" ref="Z229:Z252" si="302">IF(U229="","",V229*Y229)</f>
        <v>1992</v>
      </c>
      <c r="AA229" s="24">
        <f t="shared" ref="AA229:AA252" si="303">IF(V229="","",Z229/(R229*100))</f>
        <v>0.24</v>
      </c>
      <c r="AB229" s="11" t="s">
        <v>244</v>
      </c>
      <c r="AC229" s="1"/>
      <c r="AD229" s="65">
        <f>IF($A226="","",$A226)</f>
        <v>46076</v>
      </c>
      <c r="AE229" s="44">
        <v>9627</v>
      </c>
      <c r="AF229" s="44">
        <f t="shared" ref="AF229:AF252" si="304">IF(AE229="","",AE229-AE225)</f>
        <v>118</v>
      </c>
      <c r="AG229" s="44">
        <v>254</v>
      </c>
      <c r="AH229" s="23">
        <f t="shared" ref="AH229:AH252" si="305">IF(AG229="","",AG229-AG225)</f>
        <v>2</v>
      </c>
      <c r="AI229" s="44">
        <v>21</v>
      </c>
      <c r="AJ229" s="44">
        <f t="shared" ref="AJ229:AJ252" si="306">IF(AI229="","",AI225+AK225-AI229)</f>
        <v>0</v>
      </c>
      <c r="AK229" s="66">
        <v>0</v>
      </c>
      <c r="AL229" s="61" t="str">
        <f t="shared" ref="AL229:AL245" si="307">IF(AE229="","",AL225)</f>
        <v>ゲーム機柄イヤホン</v>
      </c>
      <c r="AM229" s="62">
        <f t="shared" ref="AM229:AM245" si="308">IF(AF229="","",AM225)</f>
        <v>1100</v>
      </c>
      <c r="AN229" s="23">
        <f t="shared" ref="AN229:AN252" si="309">IF(AI229="","",AJ229*AM229)</f>
        <v>0</v>
      </c>
      <c r="AO229" s="24">
        <f t="shared" ref="AO229:AO252" si="310">IF(AJ229="","",AN229/(AF229*100))</f>
        <v>0</v>
      </c>
      <c r="AP229" s="11"/>
    </row>
    <row r="230" spans="1:42">
      <c r="A230" s="12">
        <v>46090</v>
      </c>
      <c r="B230" s="8">
        <f>IF(A230="","",SUM(D230)+SUM(R245:R248)+SUM(AF245:AF248))</f>
        <v>1085</v>
      </c>
      <c r="C230" s="13">
        <v>39070</v>
      </c>
      <c r="D230" s="9">
        <f t="shared" si="293"/>
        <v>225</v>
      </c>
      <c r="E230" s="9">
        <v>1120</v>
      </c>
      <c r="F230" s="9">
        <f t="shared" si="294"/>
        <v>6</v>
      </c>
      <c r="G230" s="9">
        <v>24</v>
      </c>
      <c r="H230" s="9">
        <f t="shared" si="295"/>
        <v>6</v>
      </c>
      <c r="I230" s="9">
        <v>0</v>
      </c>
      <c r="J230" s="44"/>
      <c r="K230" s="44">
        <f t="shared" si="298"/>
        <v>1500</v>
      </c>
      <c r="L230" s="9">
        <f t="shared" si="296"/>
        <v>9000</v>
      </c>
      <c r="M230" s="10">
        <f t="shared" si="297"/>
        <v>0.4</v>
      </c>
      <c r="N230" s="11"/>
      <c r="O230" s="2"/>
      <c r="P230" s="12"/>
      <c r="Q230" s="9">
        <v>11700</v>
      </c>
      <c r="R230" s="113">
        <f t="shared" si="299"/>
        <v>30</v>
      </c>
      <c r="S230" s="9">
        <v>259</v>
      </c>
      <c r="T230" s="9">
        <f t="shared" si="300"/>
        <v>0</v>
      </c>
      <c r="U230" s="9">
        <v>12</v>
      </c>
      <c r="V230" s="9">
        <f t="shared" si="301"/>
        <v>0</v>
      </c>
      <c r="W230" s="13">
        <v>0</v>
      </c>
      <c r="X230" s="47" t="str">
        <f t="shared" ref="X230:X261" si="311">IF(Q230="","",X226)</f>
        <v>キティしっぽ付ポーチ</v>
      </c>
      <c r="Y230" s="45">
        <v>825</v>
      </c>
      <c r="Z230" s="9">
        <f t="shared" si="302"/>
        <v>0</v>
      </c>
      <c r="AA230" s="10">
        <f t="shared" si="303"/>
        <v>0</v>
      </c>
      <c r="AB230" s="11"/>
      <c r="AC230" s="1"/>
      <c r="AD230" s="12"/>
      <c r="AE230" s="9">
        <v>12419</v>
      </c>
      <c r="AF230" s="44">
        <f t="shared" si="304"/>
        <v>73</v>
      </c>
      <c r="AG230" s="9">
        <v>216</v>
      </c>
      <c r="AH230" s="9">
        <f t="shared" si="305"/>
        <v>1</v>
      </c>
      <c r="AI230" s="9">
        <v>10</v>
      </c>
      <c r="AJ230" s="9">
        <f t="shared" si="306"/>
        <v>1</v>
      </c>
      <c r="AK230" s="13">
        <v>0</v>
      </c>
      <c r="AL230" s="47" t="str">
        <f t="shared" si="307"/>
        <v>液晶ミニカメラ</v>
      </c>
      <c r="AM230" s="45">
        <f t="shared" si="308"/>
        <v>1075</v>
      </c>
      <c r="AN230" s="9">
        <f t="shared" si="309"/>
        <v>1075</v>
      </c>
      <c r="AO230" s="10">
        <f t="shared" si="310"/>
        <v>0.14726027397260275</v>
      </c>
      <c r="AP230" s="11"/>
    </row>
    <row r="231" spans="1:42">
      <c r="A231" s="12">
        <v>46094</v>
      </c>
      <c r="B231" s="8">
        <f>IF(A231="","",SUM(D231)+SUM(R249:R252)+SUM(AF249:AF252))</f>
        <v>1087</v>
      </c>
      <c r="C231" s="13">
        <v>39645</v>
      </c>
      <c r="D231" s="9">
        <f t="shared" si="293"/>
        <v>575</v>
      </c>
      <c r="E231" s="9">
        <v>1127</v>
      </c>
      <c r="F231" s="9">
        <f t="shared" si="294"/>
        <v>7</v>
      </c>
      <c r="G231" s="9">
        <v>17</v>
      </c>
      <c r="H231" s="9">
        <f t="shared" si="295"/>
        <v>7</v>
      </c>
      <c r="I231" s="9">
        <v>12</v>
      </c>
      <c r="J231" s="44"/>
      <c r="K231" s="44">
        <f t="shared" si="298"/>
        <v>1500</v>
      </c>
      <c r="L231" s="9">
        <f t="shared" si="296"/>
        <v>10500</v>
      </c>
      <c r="M231" s="10">
        <f t="shared" si="297"/>
        <v>0.18260869565217391</v>
      </c>
      <c r="N231" s="11"/>
      <c r="O231" s="2"/>
      <c r="P231" s="12"/>
      <c r="Q231" s="9">
        <v>13264</v>
      </c>
      <c r="R231" s="52">
        <f t="shared" si="299"/>
        <v>111</v>
      </c>
      <c r="S231" s="9">
        <v>470</v>
      </c>
      <c r="T231" s="9">
        <f t="shared" si="300"/>
        <v>2</v>
      </c>
      <c r="U231" s="9">
        <v>9</v>
      </c>
      <c r="V231" s="9">
        <f t="shared" si="301"/>
        <v>3</v>
      </c>
      <c r="W231" s="13">
        <v>3</v>
      </c>
      <c r="X231" s="47" t="str">
        <f t="shared" si="311"/>
        <v>キティボアバンスクリップ</v>
      </c>
      <c r="Y231" s="9">
        <f t="shared" ref="Y231:Y265" si="312">IF(R231="","",Y227)</f>
        <v>1100</v>
      </c>
      <c r="Z231" s="9">
        <f t="shared" si="302"/>
        <v>3300</v>
      </c>
      <c r="AA231" s="10">
        <f t="shared" si="303"/>
        <v>0.29729729729729731</v>
      </c>
      <c r="AB231" s="11"/>
      <c r="AC231" s="1"/>
      <c r="AD231" s="12"/>
      <c r="AE231" s="9">
        <v>12951</v>
      </c>
      <c r="AF231" s="52">
        <f t="shared" si="304"/>
        <v>164</v>
      </c>
      <c r="AG231" s="9">
        <v>484</v>
      </c>
      <c r="AH231" s="9">
        <f t="shared" si="305"/>
        <v>4</v>
      </c>
      <c r="AI231" s="9">
        <v>8</v>
      </c>
      <c r="AJ231" s="9">
        <f t="shared" si="306"/>
        <v>3</v>
      </c>
      <c r="AK231" s="13">
        <v>0</v>
      </c>
      <c r="AL231" s="47" t="str">
        <f t="shared" si="307"/>
        <v>ゲームアーク</v>
      </c>
      <c r="AM231" s="9">
        <f t="shared" si="308"/>
        <v>1100</v>
      </c>
      <c r="AN231" s="9">
        <f t="shared" si="309"/>
        <v>3300</v>
      </c>
      <c r="AO231" s="10">
        <f t="shared" si="310"/>
        <v>0.20121951219512196</v>
      </c>
      <c r="AP231" s="11"/>
    </row>
    <row r="232" spans="1:42" ht="15" customHeight="1" thickBot="1">
      <c r="A232" s="127"/>
      <c r="B232" s="8"/>
      <c r="C232" s="13"/>
      <c r="D232" s="9"/>
      <c r="E232" s="9"/>
      <c r="F232" s="9"/>
      <c r="G232" s="9"/>
      <c r="H232" s="9"/>
      <c r="I232" s="9"/>
      <c r="J232" s="44"/>
      <c r="K232" s="44"/>
      <c r="L232" s="9"/>
      <c r="M232" s="10"/>
      <c r="N232" s="11"/>
      <c r="O232" s="2"/>
      <c r="P232" s="80"/>
      <c r="Q232" s="21">
        <v>14924</v>
      </c>
      <c r="R232" s="134">
        <f t="shared" si="299"/>
        <v>46</v>
      </c>
      <c r="S232" s="51">
        <v>386</v>
      </c>
      <c r="T232" s="19">
        <f t="shared" si="300"/>
        <v>2</v>
      </c>
      <c r="U232" s="19">
        <v>15</v>
      </c>
      <c r="V232" s="19">
        <f t="shared" si="301"/>
        <v>1</v>
      </c>
      <c r="W232" s="37">
        <v>1</v>
      </c>
      <c r="X232" s="48" t="str">
        <f t="shared" si="311"/>
        <v>yayaマスコット</v>
      </c>
      <c r="Y232" s="51">
        <f t="shared" si="312"/>
        <v>950</v>
      </c>
      <c r="Z232" s="19">
        <f t="shared" si="302"/>
        <v>950</v>
      </c>
      <c r="AA232" s="20">
        <f t="shared" si="303"/>
        <v>0.20652173913043478</v>
      </c>
      <c r="AB232" s="11"/>
      <c r="AC232" s="1"/>
      <c r="AD232" s="80"/>
      <c r="AE232" s="21">
        <v>15669</v>
      </c>
      <c r="AF232" s="50">
        <f t="shared" si="304"/>
        <v>245</v>
      </c>
      <c r="AG232" s="51">
        <v>536</v>
      </c>
      <c r="AH232" s="19">
        <f t="shared" si="305"/>
        <v>4</v>
      </c>
      <c r="AI232" s="19">
        <v>42</v>
      </c>
      <c r="AJ232" s="19">
        <f t="shared" si="306"/>
        <v>4</v>
      </c>
      <c r="AK232" s="37">
        <v>0</v>
      </c>
      <c r="AL232" s="48" t="str">
        <f t="shared" si="307"/>
        <v>ボンドロシール</v>
      </c>
      <c r="AM232" s="51">
        <f t="shared" si="308"/>
        <v>200</v>
      </c>
      <c r="AN232" s="19">
        <f t="shared" si="309"/>
        <v>800</v>
      </c>
      <c r="AO232" s="20">
        <f t="shared" si="310"/>
        <v>3.2653061224489799E-2</v>
      </c>
      <c r="AP232" s="94" t="s">
        <v>246</v>
      </c>
    </row>
    <row r="233" spans="1:42" ht="15" customHeight="1" thickTop="1">
      <c r="A233" s="12"/>
      <c r="B233" s="8"/>
      <c r="C233" s="13"/>
      <c r="D233" s="9"/>
      <c r="E233" s="9"/>
      <c r="F233" s="9"/>
      <c r="G233" s="9"/>
      <c r="H233" s="9"/>
      <c r="I233" s="9"/>
      <c r="J233" s="44"/>
      <c r="K233" s="44"/>
      <c r="L233" s="9"/>
      <c r="M233" s="10"/>
      <c r="N233" s="34"/>
      <c r="O233" s="2"/>
      <c r="P233" s="65">
        <f>IF($A227="","",$A227)</f>
        <v>46080</v>
      </c>
      <c r="Q233" s="44">
        <v>12391</v>
      </c>
      <c r="R233" s="44">
        <f t="shared" si="299"/>
        <v>34</v>
      </c>
      <c r="S233" s="44">
        <v>369</v>
      </c>
      <c r="T233" s="23">
        <f t="shared" si="300"/>
        <v>6</v>
      </c>
      <c r="U233" s="44">
        <v>4</v>
      </c>
      <c r="V233" s="44">
        <f t="shared" si="301"/>
        <v>5</v>
      </c>
      <c r="W233" s="66">
        <v>8</v>
      </c>
      <c r="X233" s="61" t="str">
        <f t="shared" si="311"/>
        <v>キティ豹柄キーケース</v>
      </c>
      <c r="Y233" s="62">
        <f t="shared" si="312"/>
        <v>996</v>
      </c>
      <c r="Z233" s="23">
        <f t="shared" si="302"/>
        <v>4980</v>
      </c>
      <c r="AA233" s="24">
        <f t="shared" si="303"/>
        <v>1.4647058823529411</v>
      </c>
      <c r="AB233" s="11" t="s">
        <v>247</v>
      </c>
      <c r="AC233" s="1"/>
      <c r="AD233" s="65">
        <f>IF($A227="","",$A227)</f>
        <v>46080</v>
      </c>
      <c r="AE233" s="44">
        <v>9731</v>
      </c>
      <c r="AF233" s="44">
        <f t="shared" si="304"/>
        <v>104</v>
      </c>
      <c r="AG233" s="44">
        <v>256</v>
      </c>
      <c r="AH233" s="23">
        <f t="shared" si="305"/>
        <v>2</v>
      </c>
      <c r="AI233" s="44">
        <v>20</v>
      </c>
      <c r="AJ233" s="44">
        <f t="shared" si="306"/>
        <v>1</v>
      </c>
      <c r="AK233" s="66">
        <v>0</v>
      </c>
      <c r="AL233" s="61" t="str">
        <f t="shared" si="307"/>
        <v>ゲーム機柄イヤホン</v>
      </c>
      <c r="AM233" s="62">
        <f t="shared" si="308"/>
        <v>1100</v>
      </c>
      <c r="AN233" s="23">
        <f t="shared" si="309"/>
        <v>1100</v>
      </c>
      <c r="AO233" s="24">
        <f t="shared" si="310"/>
        <v>0.10576923076923077</v>
      </c>
      <c r="AP233" s="11"/>
    </row>
    <row r="234" spans="1:42">
      <c r="A234" s="12"/>
      <c r="B234" s="8" t="str">
        <f>IF(A234="","",SUM(D234)+SUM(R261:R264)+SUM(AF261:AF264))</f>
        <v/>
      </c>
      <c r="C234" s="13"/>
      <c r="D234" s="9" t="str">
        <f t="shared" si="293"/>
        <v/>
      </c>
      <c r="E234" s="9"/>
      <c r="F234" s="9" t="str">
        <f t="shared" si="294"/>
        <v/>
      </c>
      <c r="G234" s="9"/>
      <c r="H234" s="9" t="str">
        <f t="shared" si="295"/>
        <v/>
      </c>
      <c r="I234" s="9"/>
      <c r="J234" s="44"/>
      <c r="K234" s="44" t="str">
        <f t="shared" si="298"/>
        <v/>
      </c>
      <c r="L234" s="9" t="str">
        <f t="shared" si="296"/>
        <v/>
      </c>
      <c r="M234" s="10" t="str">
        <f t="shared" si="297"/>
        <v/>
      </c>
      <c r="N234" s="34"/>
      <c r="O234" s="2"/>
      <c r="P234" s="12"/>
      <c r="Q234" s="9">
        <v>11754</v>
      </c>
      <c r="R234" s="44">
        <f t="shared" si="299"/>
        <v>54</v>
      </c>
      <c r="S234" s="9">
        <v>260</v>
      </c>
      <c r="T234" s="9">
        <f t="shared" si="300"/>
        <v>1</v>
      </c>
      <c r="U234" s="9">
        <v>11</v>
      </c>
      <c r="V234" s="9">
        <f t="shared" si="301"/>
        <v>1</v>
      </c>
      <c r="W234" s="13">
        <v>0</v>
      </c>
      <c r="X234" s="47" t="str">
        <f t="shared" si="311"/>
        <v>キティしっぽ付ポーチ</v>
      </c>
      <c r="Y234" s="45">
        <f t="shared" si="312"/>
        <v>825</v>
      </c>
      <c r="Z234" s="9">
        <f t="shared" si="302"/>
        <v>825</v>
      </c>
      <c r="AA234" s="10">
        <f t="shared" si="303"/>
        <v>0.15277777777777779</v>
      </c>
      <c r="AB234" s="11" t="s">
        <v>248</v>
      </c>
      <c r="AC234" s="1"/>
      <c r="AD234" s="12"/>
      <c r="AE234" s="9">
        <v>12467</v>
      </c>
      <c r="AF234" s="44">
        <f t="shared" si="304"/>
        <v>48</v>
      </c>
      <c r="AG234" s="9">
        <v>217</v>
      </c>
      <c r="AH234" s="9">
        <f t="shared" si="305"/>
        <v>1</v>
      </c>
      <c r="AI234" s="9">
        <v>9</v>
      </c>
      <c r="AJ234" s="9">
        <f t="shared" si="306"/>
        <v>1</v>
      </c>
      <c r="AK234" s="13">
        <v>0</v>
      </c>
      <c r="AL234" s="47" t="str">
        <f t="shared" si="307"/>
        <v>液晶ミニカメラ</v>
      </c>
      <c r="AM234" s="45">
        <f t="shared" si="308"/>
        <v>1075</v>
      </c>
      <c r="AN234" s="9">
        <f t="shared" si="309"/>
        <v>1075</v>
      </c>
      <c r="AO234" s="10">
        <f t="shared" si="310"/>
        <v>0.22395833333333334</v>
      </c>
      <c r="AP234" s="11"/>
    </row>
    <row r="235" spans="1:42">
      <c r="A235" s="12"/>
      <c r="B235" s="8" t="str">
        <f>IF(A235="","",SUM(D235)+SUM(R265:R268)+SUM(AF265:AF268))</f>
        <v/>
      </c>
      <c r="C235" s="13"/>
      <c r="D235" s="9" t="str">
        <f t="shared" si="293"/>
        <v/>
      </c>
      <c r="E235" s="9"/>
      <c r="F235" s="9" t="str">
        <f t="shared" si="294"/>
        <v/>
      </c>
      <c r="G235" s="9"/>
      <c r="H235" s="9" t="str">
        <f t="shared" si="295"/>
        <v/>
      </c>
      <c r="I235" s="9"/>
      <c r="J235" s="44"/>
      <c r="K235" s="44" t="str">
        <f t="shared" si="298"/>
        <v/>
      </c>
      <c r="L235" s="9" t="str">
        <f t="shared" si="296"/>
        <v/>
      </c>
      <c r="M235" s="10" t="str">
        <f t="shared" si="297"/>
        <v/>
      </c>
      <c r="N235" s="34"/>
      <c r="O235" s="2"/>
      <c r="P235" s="25"/>
      <c r="Q235" s="9">
        <v>13447</v>
      </c>
      <c r="R235" s="52">
        <f t="shared" si="299"/>
        <v>183</v>
      </c>
      <c r="S235" s="9">
        <v>474</v>
      </c>
      <c r="T235" s="9">
        <f t="shared" si="300"/>
        <v>4</v>
      </c>
      <c r="U235" s="9">
        <v>9</v>
      </c>
      <c r="V235" s="9">
        <f t="shared" si="301"/>
        <v>3</v>
      </c>
      <c r="W235" s="13">
        <v>4</v>
      </c>
      <c r="X235" s="47" t="str">
        <f t="shared" si="311"/>
        <v>キティボアバンスクリップ</v>
      </c>
      <c r="Y235" s="9">
        <f t="shared" si="312"/>
        <v>1100</v>
      </c>
      <c r="Z235" s="9">
        <f t="shared" si="302"/>
        <v>3300</v>
      </c>
      <c r="AA235" s="10">
        <f t="shared" si="303"/>
        <v>0.18032786885245902</v>
      </c>
      <c r="AB235" s="11"/>
      <c r="AD235" s="25"/>
      <c r="AE235" s="9">
        <v>13055</v>
      </c>
      <c r="AF235" s="52">
        <f t="shared" si="304"/>
        <v>104</v>
      </c>
      <c r="AG235" s="9">
        <v>485</v>
      </c>
      <c r="AH235" s="9">
        <f t="shared" si="305"/>
        <v>1</v>
      </c>
      <c r="AI235" s="9">
        <v>7</v>
      </c>
      <c r="AJ235" s="9">
        <f t="shared" si="306"/>
        <v>1</v>
      </c>
      <c r="AK235" s="13">
        <v>0</v>
      </c>
      <c r="AL235" s="47" t="str">
        <f t="shared" si="307"/>
        <v>ゲームアーク</v>
      </c>
      <c r="AM235" s="9">
        <f t="shared" si="308"/>
        <v>1100</v>
      </c>
      <c r="AN235" s="9">
        <f t="shared" si="309"/>
        <v>1100</v>
      </c>
      <c r="AO235" s="10">
        <f t="shared" si="310"/>
        <v>0.10576923076923077</v>
      </c>
      <c r="AP235" s="11"/>
    </row>
    <row r="236" spans="1:42" ht="15" customHeight="1" thickBot="1">
      <c r="A236" s="12"/>
      <c r="B236" s="8" t="str">
        <f>IF(A236="","",SUM(D236)+SUM(R269:R272)+SUM(AF269:AF272))</f>
        <v/>
      </c>
      <c r="C236" s="13"/>
      <c r="D236" s="9" t="str">
        <f t="shared" si="293"/>
        <v/>
      </c>
      <c r="E236" s="9"/>
      <c r="F236" s="9" t="str">
        <f t="shared" si="294"/>
        <v/>
      </c>
      <c r="G236" s="9"/>
      <c r="H236" s="9" t="str">
        <f t="shared" si="295"/>
        <v/>
      </c>
      <c r="I236" s="9"/>
      <c r="J236" s="44"/>
      <c r="K236" s="44" t="str">
        <f t="shared" si="298"/>
        <v/>
      </c>
      <c r="L236" s="9" t="str">
        <f t="shared" si="296"/>
        <v/>
      </c>
      <c r="M236" s="10" t="str">
        <f t="shared" si="297"/>
        <v/>
      </c>
      <c r="N236" s="11"/>
      <c r="O236" s="2"/>
      <c r="P236" s="18"/>
      <c r="Q236" s="21">
        <v>14950</v>
      </c>
      <c r="R236" s="50">
        <f t="shared" si="299"/>
        <v>26</v>
      </c>
      <c r="S236" s="51">
        <v>386</v>
      </c>
      <c r="T236" s="19">
        <f t="shared" si="300"/>
        <v>0</v>
      </c>
      <c r="U236" s="19">
        <v>16</v>
      </c>
      <c r="V236" s="19">
        <f t="shared" si="301"/>
        <v>0</v>
      </c>
      <c r="W236" s="37">
        <v>0</v>
      </c>
      <c r="X236" s="48" t="str">
        <f t="shared" si="311"/>
        <v>yayaマスコット</v>
      </c>
      <c r="Y236" s="51">
        <f t="shared" si="312"/>
        <v>950</v>
      </c>
      <c r="Z236" s="19">
        <f t="shared" si="302"/>
        <v>0</v>
      </c>
      <c r="AA236" s="20">
        <f t="shared" si="303"/>
        <v>0</v>
      </c>
      <c r="AB236" s="11" t="s">
        <v>249</v>
      </c>
      <c r="AD236" s="18"/>
      <c r="AE236" s="21">
        <v>15944</v>
      </c>
      <c r="AF236" s="50">
        <f t="shared" si="304"/>
        <v>275</v>
      </c>
      <c r="AG236" s="51">
        <v>548</v>
      </c>
      <c r="AH236" s="19">
        <f t="shared" si="305"/>
        <v>12</v>
      </c>
      <c r="AI236" s="19">
        <v>29</v>
      </c>
      <c r="AJ236" s="19">
        <f t="shared" si="306"/>
        <v>13</v>
      </c>
      <c r="AK236" s="37">
        <v>9</v>
      </c>
      <c r="AL236" s="48" t="str">
        <f t="shared" si="307"/>
        <v>ボンドロシール</v>
      </c>
      <c r="AM236" s="51">
        <f t="shared" si="308"/>
        <v>200</v>
      </c>
      <c r="AN236" s="19">
        <f t="shared" si="309"/>
        <v>2600</v>
      </c>
      <c r="AO236" s="20">
        <f t="shared" si="310"/>
        <v>9.4545454545454544E-2</v>
      </c>
      <c r="AP236" s="11"/>
    </row>
    <row r="237" spans="1:42" ht="15" customHeight="1" thickTop="1">
      <c r="A237" s="12"/>
      <c r="B237" s="8" t="str">
        <f>IF(A237="","",SUM(D237)+SUM(R270:R273)+SUM(AF270:AF273))</f>
        <v/>
      </c>
      <c r="C237" s="13"/>
      <c r="D237" s="9" t="str">
        <f t="shared" si="293"/>
        <v/>
      </c>
      <c r="E237" s="9"/>
      <c r="F237" s="9" t="str">
        <f t="shared" si="294"/>
        <v/>
      </c>
      <c r="G237" s="9"/>
      <c r="H237" s="9" t="str">
        <f t="shared" si="295"/>
        <v/>
      </c>
      <c r="I237" s="9"/>
      <c r="J237" s="44"/>
      <c r="K237" s="44" t="str">
        <f t="shared" si="298"/>
        <v/>
      </c>
      <c r="L237" s="9" t="str">
        <f t="shared" si="296"/>
        <v/>
      </c>
      <c r="M237" s="10" t="str">
        <f t="shared" si="297"/>
        <v/>
      </c>
      <c r="N237" s="11"/>
      <c r="O237" s="2"/>
      <c r="P237" s="65">
        <f>IF($A228="","",$A228)</f>
        <v>46083</v>
      </c>
      <c r="Q237" s="44">
        <v>12462</v>
      </c>
      <c r="R237" s="44">
        <f t="shared" si="299"/>
        <v>71</v>
      </c>
      <c r="S237" s="44">
        <v>369</v>
      </c>
      <c r="T237" s="23">
        <f t="shared" si="300"/>
        <v>0</v>
      </c>
      <c r="U237" s="44">
        <v>12</v>
      </c>
      <c r="V237" s="44">
        <f t="shared" si="301"/>
        <v>0</v>
      </c>
      <c r="W237" s="66">
        <v>0</v>
      </c>
      <c r="X237" s="61" t="str">
        <f t="shared" si="311"/>
        <v>キティ豹柄キーケース</v>
      </c>
      <c r="Y237" s="62">
        <f t="shared" si="312"/>
        <v>996</v>
      </c>
      <c r="Z237" s="23">
        <f t="shared" si="302"/>
        <v>0</v>
      </c>
      <c r="AA237" s="24">
        <f t="shared" si="303"/>
        <v>0</v>
      </c>
      <c r="AB237" s="11"/>
      <c r="AC237" s="1"/>
      <c r="AD237" s="65">
        <f>IF($A228="","",$A228)</f>
        <v>46083</v>
      </c>
      <c r="AE237" s="44">
        <v>9781</v>
      </c>
      <c r="AF237" s="44">
        <f t="shared" si="304"/>
        <v>50</v>
      </c>
      <c r="AG237" s="44">
        <v>257</v>
      </c>
      <c r="AH237" s="23">
        <f t="shared" si="305"/>
        <v>1</v>
      </c>
      <c r="AI237" s="44">
        <v>19</v>
      </c>
      <c r="AJ237" s="44">
        <f t="shared" si="306"/>
        <v>1</v>
      </c>
      <c r="AK237" s="66">
        <v>0</v>
      </c>
      <c r="AL237" s="61" t="str">
        <f t="shared" si="307"/>
        <v>ゲーム機柄イヤホン</v>
      </c>
      <c r="AM237" s="62">
        <f t="shared" si="308"/>
        <v>1100</v>
      </c>
      <c r="AN237" s="23">
        <f t="shared" si="309"/>
        <v>1100</v>
      </c>
      <c r="AO237" s="24">
        <f t="shared" si="310"/>
        <v>0.22</v>
      </c>
      <c r="AP237" s="11"/>
    </row>
    <row r="238" spans="1:42">
      <c r="A238" s="12"/>
      <c r="B238" s="8"/>
      <c r="C238" s="13"/>
      <c r="D238" s="9" t="str">
        <f t="shared" si="293"/>
        <v/>
      </c>
      <c r="E238" s="9"/>
      <c r="F238" s="9" t="str">
        <f t="shared" si="294"/>
        <v/>
      </c>
      <c r="G238" s="9"/>
      <c r="H238" s="9" t="str">
        <f t="shared" si="295"/>
        <v/>
      </c>
      <c r="I238" s="9"/>
      <c r="J238" s="44"/>
      <c r="K238" s="44" t="str">
        <f t="shared" si="298"/>
        <v/>
      </c>
      <c r="L238" s="9" t="str">
        <f t="shared" si="296"/>
        <v/>
      </c>
      <c r="M238" s="10" t="str">
        <f t="shared" si="297"/>
        <v/>
      </c>
      <c r="N238" s="11"/>
      <c r="O238" s="2"/>
      <c r="P238" s="12"/>
      <c r="Q238" s="9">
        <v>11817</v>
      </c>
      <c r="R238" s="44">
        <f t="shared" si="299"/>
        <v>63</v>
      </c>
      <c r="S238" s="9">
        <v>261</v>
      </c>
      <c r="T238" s="9">
        <f t="shared" si="300"/>
        <v>1</v>
      </c>
      <c r="U238" s="9">
        <v>10</v>
      </c>
      <c r="V238" s="9">
        <f t="shared" si="301"/>
        <v>1</v>
      </c>
      <c r="W238" s="13">
        <v>2</v>
      </c>
      <c r="X238" s="47" t="str">
        <f t="shared" si="311"/>
        <v>キティしっぽ付ポーチ</v>
      </c>
      <c r="Y238" s="45">
        <f t="shared" si="312"/>
        <v>825</v>
      </c>
      <c r="Z238" s="9">
        <f t="shared" si="302"/>
        <v>825</v>
      </c>
      <c r="AA238" s="10">
        <f t="shared" si="303"/>
        <v>0.13095238095238096</v>
      </c>
      <c r="AB238" s="11"/>
      <c r="AC238" s="1"/>
      <c r="AD238" s="12"/>
      <c r="AE238" s="9">
        <v>12508</v>
      </c>
      <c r="AF238" s="113">
        <f t="shared" si="304"/>
        <v>41</v>
      </c>
      <c r="AG238" s="9">
        <v>217</v>
      </c>
      <c r="AH238" s="9">
        <f t="shared" si="305"/>
        <v>0</v>
      </c>
      <c r="AI238" s="9">
        <v>9</v>
      </c>
      <c r="AJ238" s="9">
        <f t="shared" si="306"/>
        <v>0</v>
      </c>
      <c r="AK238" s="13">
        <v>0</v>
      </c>
      <c r="AL238" s="47" t="str">
        <f t="shared" si="307"/>
        <v>液晶ミニカメラ</v>
      </c>
      <c r="AM238" s="45">
        <f t="shared" si="308"/>
        <v>1075</v>
      </c>
      <c r="AN238" s="9">
        <f t="shared" si="309"/>
        <v>0</v>
      </c>
      <c r="AO238" s="10">
        <f t="shared" si="310"/>
        <v>0</v>
      </c>
      <c r="AP238" s="11"/>
    </row>
    <row r="239" spans="1:42">
      <c r="A239" s="12"/>
      <c r="B239" s="8"/>
      <c r="C239" s="13"/>
      <c r="D239" s="9"/>
      <c r="E239" s="9"/>
      <c r="F239" s="9"/>
      <c r="G239" s="9"/>
      <c r="H239" s="9"/>
      <c r="I239" s="9"/>
      <c r="J239" s="44"/>
      <c r="K239" s="44"/>
      <c r="L239" s="9"/>
      <c r="M239" s="10"/>
      <c r="N239" s="11"/>
      <c r="O239" s="2"/>
      <c r="P239" s="25"/>
      <c r="Q239" s="26">
        <v>13544</v>
      </c>
      <c r="R239" s="44">
        <f t="shared" si="299"/>
        <v>97</v>
      </c>
      <c r="S239" s="26">
        <v>474</v>
      </c>
      <c r="T239" s="9">
        <f t="shared" si="300"/>
        <v>0</v>
      </c>
      <c r="U239" s="26">
        <v>13</v>
      </c>
      <c r="V239" s="9">
        <f t="shared" si="301"/>
        <v>0</v>
      </c>
      <c r="W239" s="38">
        <v>0</v>
      </c>
      <c r="X239" s="47" t="str">
        <f t="shared" si="311"/>
        <v>キティボアバンスクリップ</v>
      </c>
      <c r="Y239" s="9">
        <f t="shared" si="312"/>
        <v>1100</v>
      </c>
      <c r="Z239" s="9">
        <f t="shared" si="302"/>
        <v>0</v>
      </c>
      <c r="AA239" s="10">
        <f t="shared" si="303"/>
        <v>0</v>
      </c>
      <c r="AB239" s="11"/>
      <c r="AD239" s="25"/>
      <c r="AE239" s="26">
        <v>13151</v>
      </c>
      <c r="AF239" s="44">
        <f t="shared" si="304"/>
        <v>96</v>
      </c>
      <c r="AG239" s="26">
        <v>485</v>
      </c>
      <c r="AH239" s="9">
        <f t="shared" si="305"/>
        <v>0</v>
      </c>
      <c r="AI239" s="26">
        <v>7</v>
      </c>
      <c r="AJ239" s="9">
        <f t="shared" si="306"/>
        <v>0</v>
      </c>
      <c r="AK239" s="38">
        <v>0</v>
      </c>
      <c r="AL239" s="47" t="str">
        <f t="shared" si="307"/>
        <v>ゲームアーク</v>
      </c>
      <c r="AM239" s="9">
        <f t="shared" si="308"/>
        <v>1100</v>
      </c>
      <c r="AN239" s="9">
        <f t="shared" si="309"/>
        <v>0</v>
      </c>
      <c r="AO239" s="10">
        <f t="shared" si="310"/>
        <v>0</v>
      </c>
      <c r="AP239" s="11"/>
    </row>
    <row r="240" spans="1:42" ht="15" customHeight="1" thickBot="1">
      <c r="A240" s="12"/>
      <c r="B240" s="8"/>
      <c r="C240" s="13"/>
      <c r="D240" s="9" t="str">
        <f>IF(C240="","",C240-C241)</f>
        <v/>
      </c>
      <c r="E240" s="9"/>
      <c r="F240" s="9" t="str">
        <f>IF(E240="","",E240-E241)</f>
        <v/>
      </c>
      <c r="G240" s="9"/>
      <c r="H240" s="9" t="str">
        <f>IF(G240="","",G241+I241-G240)</f>
        <v/>
      </c>
      <c r="I240" s="9"/>
      <c r="J240" s="44"/>
      <c r="K240" s="44" t="str">
        <f>IF(C240="","",K241)</f>
        <v/>
      </c>
      <c r="L240" s="9" t="str">
        <f t="shared" ref="L240:L278" si="313">IF(K240="","",H240*K240)</f>
        <v/>
      </c>
      <c r="M240" s="10" t="str">
        <f t="shared" ref="M240:M278" si="314">IF(L240="","",L240/(D240*100))</f>
        <v/>
      </c>
      <c r="N240" s="11"/>
      <c r="O240" s="2"/>
      <c r="P240" s="18"/>
      <c r="Q240" s="19">
        <v>14991</v>
      </c>
      <c r="R240" s="134">
        <f t="shared" si="299"/>
        <v>41</v>
      </c>
      <c r="S240" s="19">
        <v>388</v>
      </c>
      <c r="T240" s="19">
        <f t="shared" si="300"/>
        <v>2</v>
      </c>
      <c r="U240" s="19">
        <v>14</v>
      </c>
      <c r="V240" s="19">
        <f t="shared" si="301"/>
        <v>2</v>
      </c>
      <c r="W240" s="37">
        <v>0</v>
      </c>
      <c r="X240" s="48" t="str">
        <f t="shared" si="311"/>
        <v>yayaマスコット</v>
      </c>
      <c r="Y240" s="51">
        <f t="shared" si="312"/>
        <v>950</v>
      </c>
      <c r="Z240" s="19">
        <f t="shared" si="302"/>
        <v>1900</v>
      </c>
      <c r="AA240" s="20">
        <f t="shared" si="303"/>
        <v>0.46341463414634149</v>
      </c>
      <c r="AB240" s="11"/>
      <c r="AD240" s="18"/>
      <c r="AE240" s="19">
        <v>16283</v>
      </c>
      <c r="AF240" s="50">
        <f t="shared" si="304"/>
        <v>339</v>
      </c>
      <c r="AG240" s="19">
        <v>560</v>
      </c>
      <c r="AH240" s="19">
        <f t="shared" si="305"/>
        <v>12</v>
      </c>
      <c r="AI240" s="19">
        <v>26</v>
      </c>
      <c r="AJ240" s="19">
        <f t="shared" si="306"/>
        <v>12</v>
      </c>
      <c r="AK240" s="37">
        <v>12</v>
      </c>
      <c r="AL240" s="48" t="str">
        <f t="shared" si="307"/>
        <v>ボンドロシール</v>
      </c>
      <c r="AM240" s="51">
        <f t="shared" si="308"/>
        <v>200</v>
      </c>
      <c r="AN240" s="19">
        <f t="shared" si="309"/>
        <v>2400</v>
      </c>
      <c r="AO240" s="20">
        <f t="shared" si="310"/>
        <v>7.0796460176991149E-2</v>
      </c>
      <c r="AP240" s="11"/>
    </row>
    <row r="241" spans="1:42" ht="15" customHeight="1" thickTop="1">
      <c r="A241" s="12"/>
      <c r="B241" s="8"/>
      <c r="C241" s="13"/>
      <c r="D241" s="9" t="str">
        <f>IF(C241="","",C241-C238)</f>
        <v/>
      </c>
      <c r="E241" s="9"/>
      <c r="F241" s="9" t="str">
        <f>IF(E241="","",E241-E238)</f>
        <v/>
      </c>
      <c r="G241" s="9"/>
      <c r="H241" s="9" t="str">
        <f>IF(G241="","",G238+I238-G241)</f>
        <v/>
      </c>
      <c r="I241" s="9"/>
      <c r="J241" s="44"/>
      <c r="K241" s="44" t="str">
        <f>IF(C241="","",K238)</f>
        <v/>
      </c>
      <c r="L241" s="9" t="str">
        <f t="shared" si="313"/>
        <v/>
      </c>
      <c r="M241" s="10" t="str">
        <f t="shared" si="314"/>
        <v/>
      </c>
      <c r="N241" s="11"/>
      <c r="O241" s="2"/>
      <c r="P241" s="65">
        <f>IF($A229="","",$A229)</f>
        <v>46087</v>
      </c>
      <c r="Q241" s="44">
        <v>12520</v>
      </c>
      <c r="R241" s="44">
        <f t="shared" si="299"/>
        <v>58</v>
      </c>
      <c r="S241" s="44">
        <v>370</v>
      </c>
      <c r="T241" s="23">
        <f t="shared" si="300"/>
        <v>1</v>
      </c>
      <c r="U241" s="44">
        <v>11</v>
      </c>
      <c r="V241" s="44">
        <f t="shared" si="301"/>
        <v>1</v>
      </c>
      <c r="W241" s="66">
        <v>3</v>
      </c>
      <c r="X241" s="61" t="str">
        <f t="shared" si="311"/>
        <v>キティ豹柄キーケース</v>
      </c>
      <c r="Y241" s="62">
        <f t="shared" si="312"/>
        <v>996</v>
      </c>
      <c r="Z241" s="23">
        <f t="shared" si="302"/>
        <v>996</v>
      </c>
      <c r="AA241" s="24">
        <f t="shared" si="303"/>
        <v>0.17172413793103447</v>
      </c>
      <c r="AB241" s="11"/>
      <c r="AD241" s="65">
        <f>IF($A229="","",$A229)</f>
        <v>46087</v>
      </c>
      <c r="AE241" s="44">
        <v>9821</v>
      </c>
      <c r="AF241" s="44">
        <f t="shared" si="304"/>
        <v>40</v>
      </c>
      <c r="AG241" s="44">
        <v>257</v>
      </c>
      <c r="AH241" s="23">
        <f t="shared" si="305"/>
        <v>0</v>
      </c>
      <c r="AI241" s="44">
        <v>19</v>
      </c>
      <c r="AJ241" s="44">
        <f t="shared" si="306"/>
        <v>0</v>
      </c>
      <c r="AK241" s="66">
        <v>2</v>
      </c>
      <c r="AL241" s="61" t="str">
        <f t="shared" si="307"/>
        <v>ゲーム機柄イヤホン</v>
      </c>
      <c r="AM241" s="62">
        <f t="shared" si="308"/>
        <v>1100</v>
      </c>
      <c r="AN241" s="23">
        <f t="shared" si="309"/>
        <v>0</v>
      </c>
      <c r="AO241" s="24">
        <f t="shared" si="310"/>
        <v>0</v>
      </c>
      <c r="AP241" s="11"/>
    </row>
    <row r="242" spans="1:42">
      <c r="A242" s="12"/>
      <c r="B242" s="8"/>
      <c r="C242" s="13"/>
      <c r="D242" s="9" t="str">
        <f>IF(C242="","",C242-C240)</f>
        <v/>
      </c>
      <c r="E242" s="9"/>
      <c r="F242" s="9" t="str">
        <f>IF(E242="","",E242-E240)</f>
        <v/>
      </c>
      <c r="G242" s="9"/>
      <c r="H242" s="9" t="str">
        <f>IF(G242="","",G240+I240-G242)</f>
        <v/>
      </c>
      <c r="I242" s="9"/>
      <c r="J242" s="44"/>
      <c r="K242" s="44" t="str">
        <f>IF(C242="","",K240)</f>
        <v/>
      </c>
      <c r="L242" s="9" t="str">
        <f t="shared" si="313"/>
        <v/>
      </c>
      <c r="M242" s="10" t="str">
        <f t="shared" si="314"/>
        <v/>
      </c>
      <c r="N242" s="11"/>
      <c r="O242" s="2"/>
      <c r="P242" s="65"/>
      <c r="Q242" s="9">
        <v>11909</v>
      </c>
      <c r="R242" s="9">
        <f t="shared" si="299"/>
        <v>92</v>
      </c>
      <c r="S242" s="9">
        <v>263</v>
      </c>
      <c r="T242" s="9">
        <f t="shared" si="300"/>
        <v>2</v>
      </c>
      <c r="U242" s="9">
        <v>11</v>
      </c>
      <c r="V242" s="9">
        <f t="shared" si="301"/>
        <v>1</v>
      </c>
      <c r="W242" s="13">
        <v>0</v>
      </c>
      <c r="X242" s="47" t="str">
        <f t="shared" si="311"/>
        <v>キティしっぽ付ポーチ</v>
      </c>
      <c r="Y242" s="45">
        <f t="shared" si="312"/>
        <v>825</v>
      </c>
      <c r="Z242" s="9">
        <f t="shared" si="302"/>
        <v>825</v>
      </c>
      <c r="AA242" s="10">
        <f t="shared" si="303"/>
        <v>8.9673913043478257E-2</v>
      </c>
      <c r="AB242" s="11"/>
      <c r="AD242" s="65"/>
      <c r="AE242" s="9">
        <v>12535</v>
      </c>
      <c r="AF242" s="81">
        <f t="shared" si="304"/>
        <v>27</v>
      </c>
      <c r="AG242" s="9">
        <v>218</v>
      </c>
      <c r="AH242" s="9">
        <f t="shared" si="305"/>
        <v>1</v>
      </c>
      <c r="AI242" s="9">
        <v>8</v>
      </c>
      <c r="AJ242" s="9">
        <f t="shared" si="306"/>
        <v>1</v>
      </c>
      <c r="AK242" s="13">
        <v>3</v>
      </c>
      <c r="AL242" s="47" t="str">
        <f t="shared" si="307"/>
        <v>液晶ミニカメラ</v>
      </c>
      <c r="AM242" s="45">
        <f t="shared" si="308"/>
        <v>1075</v>
      </c>
      <c r="AN242" s="9">
        <f t="shared" si="309"/>
        <v>1075</v>
      </c>
      <c r="AO242" s="10">
        <f t="shared" si="310"/>
        <v>0.39814814814814814</v>
      </c>
      <c r="AP242" s="143" t="s">
        <v>254</v>
      </c>
    </row>
    <row r="243" spans="1:42" ht="15" customHeight="1">
      <c r="A243" s="12"/>
      <c r="B243" s="8"/>
      <c r="C243" s="13"/>
      <c r="D243" s="9" t="str">
        <f t="shared" ref="D243:D248" si="315">IF(C243="","",C243-C242)</f>
        <v/>
      </c>
      <c r="E243" s="9"/>
      <c r="F243" s="9" t="str">
        <f t="shared" ref="F243:F248" si="316">IF(E243="","",E243-E242)</f>
        <v/>
      </c>
      <c r="G243" s="9"/>
      <c r="H243" s="9" t="str">
        <f t="shared" ref="H243:H248" si="317">IF(G243="","",G242+I242-G243)</f>
        <v/>
      </c>
      <c r="I243" s="9"/>
      <c r="J243" s="44"/>
      <c r="K243" s="44" t="str">
        <f t="shared" ref="K243:K248" si="318">IF(C243="","",K242)</f>
        <v/>
      </c>
      <c r="L243" s="9" t="str">
        <f t="shared" si="313"/>
        <v/>
      </c>
      <c r="M243" s="10" t="str">
        <f t="shared" si="314"/>
        <v/>
      </c>
      <c r="N243" s="11"/>
      <c r="O243" s="2"/>
      <c r="P243" s="65"/>
      <c r="Q243" s="26">
        <v>13701</v>
      </c>
      <c r="R243" s="9">
        <f t="shared" si="299"/>
        <v>157</v>
      </c>
      <c r="S243" s="26">
        <v>474</v>
      </c>
      <c r="T243" s="9">
        <f t="shared" si="300"/>
        <v>0</v>
      </c>
      <c r="U243" s="26">
        <v>12</v>
      </c>
      <c r="V243" s="9">
        <f t="shared" si="301"/>
        <v>1</v>
      </c>
      <c r="W243" s="38">
        <v>0</v>
      </c>
      <c r="X243" s="47" t="str">
        <f t="shared" si="311"/>
        <v>キティボアバンスクリップ</v>
      </c>
      <c r="Y243" s="9">
        <f t="shared" si="312"/>
        <v>1100</v>
      </c>
      <c r="Z243" s="9">
        <f t="shared" si="302"/>
        <v>1100</v>
      </c>
      <c r="AA243" s="10">
        <f t="shared" si="303"/>
        <v>7.0063694267515922E-2</v>
      </c>
      <c r="AB243" s="11"/>
      <c r="AD243" s="65"/>
      <c r="AE243" s="26">
        <v>13273</v>
      </c>
      <c r="AF243" s="9">
        <f t="shared" si="304"/>
        <v>122</v>
      </c>
      <c r="AG243" s="26">
        <v>489</v>
      </c>
      <c r="AH243" s="9">
        <f t="shared" si="305"/>
        <v>4</v>
      </c>
      <c r="AI243" s="26">
        <v>6</v>
      </c>
      <c r="AJ243" s="9">
        <f t="shared" si="306"/>
        <v>1</v>
      </c>
      <c r="AK243" s="38">
        <v>2</v>
      </c>
      <c r="AL243" s="47" t="str">
        <f t="shared" si="307"/>
        <v>ゲームアーク</v>
      </c>
      <c r="AM243" s="9">
        <f t="shared" si="308"/>
        <v>1100</v>
      </c>
      <c r="AN243" s="9">
        <f t="shared" si="309"/>
        <v>1100</v>
      </c>
      <c r="AO243" s="10">
        <f t="shared" si="310"/>
        <v>9.0163934426229511E-2</v>
      </c>
      <c r="AP243" s="11"/>
    </row>
    <row r="244" spans="1:42" ht="15" customHeight="1" thickBot="1">
      <c r="A244" s="12"/>
      <c r="B244" s="8"/>
      <c r="C244" s="13"/>
      <c r="D244" s="9" t="str">
        <f t="shared" si="315"/>
        <v/>
      </c>
      <c r="E244" s="9"/>
      <c r="F244" s="9" t="str">
        <f t="shared" si="316"/>
        <v/>
      </c>
      <c r="G244" s="9"/>
      <c r="H244" s="9" t="str">
        <f t="shared" si="317"/>
        <v/>
      </c>
      <c r="I244" s="9"/>
      <c r="J244" s="44"/>
      <c r="K244" s="44" t="str">
        <f t="shared" si="318"/>
        <v/>
      </c>
      <c r="L244" s="9" t="str">
        <f t="shared" si="313"/>
        <v/>
      </c>
      <c r="M244" s="10" t="str">
        <f t="shared" si="314"/>
        <v/>
      </c>
      <c r="N244" s="11"/>
      <c r="O244" s="2"/>
      <c r="P244" s="18"/>
      <c r="Q244" s="19">
        <v>15025</v>
      </c>
      <c r="R244" s="19">
        <f t="shared" si="299"/>
        <v>34</v>
      </c>
      <c r="S244" s="19">
        <v>388</v>
      </c>
      <c r="T244" s="19">
        <f t="shared" si="300"/>
        <v>0</v>
      </c>
      <c r="U244" s="19">
        <v>14</v>
      </c>
      <c r="V244" s="19">
        <f t="shared" si="301"/>
        <v>0</v>
      </c>
      <c r="W244" s="37">
        <v>-8</v>
      </c>
      <c r="X244" s="48" t="str">
        <f t="shared" si="311"/>
        <v>yayaマスコット</v>
      </c>
      <c r="Y244" s="51">
        <f t="shared" si="312"/>
        <v>950</v>
      </c>
      <c r="Z244" s="19">
        <f t="shared" si="302"/>
        <v>0</v>
      </c>
      <c r="AA244" s="20">
        <f t="shared" si="303"/>
        <v>0</v>
      </c>
      <c r="AB244" s="143" t="s">
        <v>253</v>
      </c>
      <c r="AD244" s="18"/>
      <c r="AE244" s="19">
        <v>16414</v>
      </c>
      <c r="AF244" s="19">
        <f t="shared" si="304"/>
        <v>131</v>
      </c>
      <c r="AG244" s="19">
        <v>566</v>
      </c>
      <c r="AH244" s="19">
        <f t="shared" si="305"/>
        <v>6</v>
      </c>
      <c r="AI244" s="19">
        <v>27</v>
      </c>
      <c r="AJ244" s="19">
        <f t="shared" si="306"/>
        <v>11</v>
      </c>
      <c r="AK244" s="37">
        <v>11</v>
      </c>
      <c r="AL244" s="48" t="str">
        <f t="shared" si="307"/>
        <v>ボンドロシール</v>
      </c>
      <c r="AM244" s="51">
        <f t="shared" si="308"/>
        <v>200</v>
      </c>
      <c r="AN244" s="19">
        <f t="shared" si="309"/>
        <v>2200</v>
      </c>
      <c r="AO244" s="20">
        <f t="shared" si="310"/>
        <v>0.16793893129770993</v>
      </c>
      <c r="AP244" s="11"/>
    </row>
    <row r="245" spans="1:42" ht="15" customHeight="1" thickTop="1">
      <c r="A245" s="12"/>
      <c r="B245" s="8"/>
      <c r="C245" s="13"/>
      <c r="D245" s="9" t="str">
        <f t="shared" si="315"/>
        <v/>
      </c>
      <c r="E245" s="9"/>
      <c r="F245" s="9" t="str">
        <f t="shared" si="316"/>
        <v/>
      </c>
      <c r="G245" s="9"/>
      <c r="H245" s="9" t="str">
        <f t="shared" si="317"/>
        <v/>
      </c>
      <c r="I245" s="9"/>
      <c r="J245" s="44"/>
      <c r="K245" s="44" t="str">
        <f t="shared" si="318"/>
        <v/>
      </c>
      <c r="L245" s="9" t="str">
        <f t="shared" si="313"/>
        <v/>
      </c>
      <c r="M245" s="10" t="str">
        <f t="shared" si="314"/>
        <v/>
      </c>
      <c r="N245" s="11"/>
      <c r="O245" s="2"/>
      <c r="P245" s="65">
        <f>IF($A230="","",$A230)</f>
        <v>46090</v>
      </c>
      <c r="Q245" s="44">
        <v>12567</v>
      </c>
      <c r="R245" s="44">
        <f t="shared" si="299"/>
        <v>47</v>
      </c>
      <c r="S245" s="44">
        <v>370</v>
      </c>
      <c r="T245" s="23">
        <f t="shared" si="300"/>
        <v>0</v>
      </c>
      <c r="U245" s="44">
        <v>14</v>
      </c>
      <c r="V245" s="44">
        <f t="shared" si="301"/>
        <v>0</v>
      </c>
      <c r="W245" s="66">
        <v>0</v>
      </c>
      <c r="X245" s="61" t="str">
        <f t="shared" si="311"/>
        <v>キティ豹柄キーケース</v>
      </c>
      <c r="Y245" s="62">
        <f t="shared" si="312"/>
        <v>996</v>
      </c>
      <c r="Z245" s="23">
        <f t="shared" si="302"/>
        <v>0</v>
      </c>
      <c r="AA245" s="24">
        <f t="shared" si="303"/>
        <v>0</v>
      </c>
      <c r="AB245" s="11"/>
      <c r="AD245" s="65">
        <f>IF($A230="","",$A230)</f>
        <v>46090</v>
      </c>
      <c r="AE245" s="44">
        <v>9859</v>
      </c>
      <c r="AF245" s="44">
        <f t="shared" si="304"/>
        <v>38</v>
      </c>
      <c r="AG245" s="44">
        <v>258</v>
      </c>
      <c r="AH245" s="23">
        <f t="shared" si="305"/>
        <v>1</v>
      </c>
      <c r="AI245" s="44">
        <v>20</v>
      </c>
      <c r="AJ245" s="44">
        <f t="shared" si="306"/>
        <v>1</v>
      </c>
      <c r="AK245" s="66">
        <v>0</v>
      </c>
      <c r="AL245" s="61" t="str">
        <f t="shared" si="307"/>
        <v>ゲーム機柄イヤホン</v>
      </c>
      <c r="AM245" s="62">
        <f t="shared" si="308"/>
        <v>1100</v>
      </c>
      <c r="AN245" s="23">
        <f t="shared" si="309"/>
        <v>1100</v>
      </c>
      <c r="AO245" s="24">
        <f t="shared" si="310"/>
        <v>0.28947368421052633</v>
      </c>
      <c r="AP245" s="11"/>
    </row>
    <row r="246" spans="1:42" ht="15" customHeight="1">
      <c r="A246" s="12"/>
      <c r="B246" s="8"/>
      <c r="C246" s="13"/>
      <c r="D246" s="9" t="str">
        <f t="shared" si="315"/>
        <v/>
      </c>
      <c r="E246" s="9"/>
      <c r="F246" s="9" t="str">
        <f t="shared" si="316"/>
        <v/>
      </c>
      <c r="G246" s="9"/>
      <c r="H246" s="9" t="str">
        <f t="shared" si="317"/>
        <v/>
      </c>
      <c r="I246" s="9"/>
      <c r="J246" s="44"/>
      <c r="K246" s="44" t="str">
        <f t="shared" si="318"/>
        <v/>
      </c>
      <c r="L246" s="9" t="str">
        <f t="shared" si="313"/>
        <v/>
      </c>
      <c r="M246" s="10" t="str">
        <f t="shared" si="314"/>
        <v/>
      </c>
      <c r="N246" s="11"/>
      <c r="O246" s="2"/>
      <c r="P246" s="12"/>
      <c r="Q246" s="9">
        <v>11979</v>
      </c>
      <c r="R246" s="9">
        <f t="shared" si="299"/>
        <v>70</v>
      </c>
      <c r="S246" s="9">
        <v>264</v>
      </c>
      <c r="T246" s="9">
        <f t="shared" si="300"/>
        <v>1</v>
      </c>
      <c r="U246" s="9">
        <v>10</v>
      </c>
      <c r="V246" s="9">
        <f t="shared" si="301"/>
        <v>1</v>
      </c>
      <c r="W246" s="13">
        <v>0</v>
      </c>
      <c r="X246" s="47" t="str">
        <f t="shared" si="311"/>
        <v>キティしっぽ付ポーチ</v>
      </c>
      <c r="Y246" s="45">
        <f t="shared" si="312"/>
        <v>825</v>
      </c>
      <c r="Z246" s="9">
        <f t="shared" si="302"/>
        <v>825</v>
      </c>
      <c r="AA246" s="10">
        <f t="shared" si="303"/>
        <v>0.11785714285714285</v>
      </c>
      <c r="AB246" s="34"/>
      <c r="AD246" s="12"/>
      <c r="AE246" s="9">
        <v>12613</v>
      </c>
      <c r="AF246" s="9">
        <f t="shared" si="304"/>
        <v>78</v>
      </c>
      <c r="AG246" s="9">
        <v>220</v>
      </c>
      <c r="AH246" s="9">
        <f t="shared" si="305"/>
        <v>2</v>
      </c>
      <c r="AI246" s="9">
        <v>9</v>
      </c>
      <c r="AJ246" s="9">
        <f t="shared" si="306"/>
        <v>2</v>
      </c>
      <c r="AK246" s="13">
        <v>0</v>
      </c>
      <c r="AL246" s="47" t="s">
        <v>251</v>
      </c>
      <c r="AM246" s="45">
        <v>538</v>
      </c>
      <c r="AN246" s="9">
        <f t="shared" si="309"/>
        <v>1076</v>
      </c>
      <c r="AO246" s="10">
        <f t="shared" si="310"/>
        <v>0.13794871794871794</v>
      </c>
      <c r="AP246" s="34"/>
    </row>
    <row r="247" spans="1:42" ht="15" customHeight="1">
      <c r="A247" s="12"/>
      <c r="B247" s="8"/>
      <c r="C247" s="9"/>
      <c r="D247" s="9" t="str">
        <f t="shared" si="315"/>
        <v/>
      </c>
      <c r="E247" s="9"/>
      <c r="F247" s="9" t="str">
        <f t="shared" si="316"/>
        <v/>
      </c>
      <c r="G247" s="9"/>
      <c r="H247" s="9" t="str">
        <f t="shared" si="317"/>
        <v/>
      </c>
      <c r="I247" s="9"/>
      <c r="J247" s="44"/>
      <c r="K247" s="44" t="str">
        <f t="shared" si="318"/>
        <v/>
      </c>
      <c r="L247" s="9" t="str">
        <f t="shared" si="313"/>
        <v/>
      </c>
      <c r="M247" s="10" t="str">
        <f t="shared" si="314"/>
        <v/>
      </c>
      <c r="N247" s="11"/>
      <c r="O247" s="2"/>
      <c r="P247" s="12"/>
      <c r="Q247" s="26">
        <v>13811</v>
      </c>
      <c r="R247" s="9">
        <f t="shared" si="299"/>
        <v>110</v>
      </c>
      <c r="S247" s="26">
        <v>475</v>
      </c>
      <c r="T247" s="9">
        <f t="shared" si="300"/>
        <v>1</v>
      </c>
      <c r="U247" s="9">
        <v>11</v>
      </c>
      <c r="V247" s="9">
        <f t="shared" si="301"/>
        <v>1</v>
      </c>
      <c r="W247" s="13">
        <v>2</v>
      </c>
      <c r="X247" s="47" t="str">
        <f t="shared" si="311"/>
        <v>キティボアバンスクリップ</v>
      </c>
      <c r="Y247" s="9">
        <f t="shared" si="312"/>
        <v>1100</v>
      </c>
      <c r="Z247" s="9">
        <f t="shared" si="302"/>
        <v>1100</v>
      </c>
      <c r="AA247" s="10">
        <f t="shared" si="303"/>
        <v>0.1</v>
      </c>
      <c r="AB247" s="11"/>
      <c r="AD247" s="12"/>
      <c r="AE247" s="26">
        <v>13346</v>
      </c>
      <c r="AF247" s="9">
        <f t="shared" si="304"/>
        <v>73</v>
      </c>
      <c r="AG247" s="26">
        <v>490</v>
      </c>
      <c r="AH247" s="9">
        <f t="shared" si="305"/>
        <v>1</v>
      </c>
      <c r="AI247" s="9">
        <v>7</v>
      </c>
      <c r="AJ247" s="9">
        <f t="shared" si="306"/>
        <v>1</v>
      </c>
      <c r="AK247" s="13">
        <v>0</v>
      </c>
      <c r="AL247" s="47" t="str">
        <f t="shared" ref="AL247:AL265" si="319">IF(AE247="","",AL243)</f>
        <v>ゲームアーク</v>
      </c>
      <c r="AM247" s="9">
        <f t="shared" ref="AM247:AM265" si="320">IF(AF247="","",AM243)</f>
        <v>1100</v>
      </c>
      <c r="AN247" s="9">
        <f t="shared" si="309"/>
        <v>1100</v>
      </c>
      <c r="AO247" s="10">
        <f t="shared" si="310"/>
        <v>0.15068493150684931</v>
      </c>
      <c r="AP247" s="11"/>
    </row>
    <row r="248" spans="1:42" ht="15" customHeight="1" thickBot="1">
      <c r="A248" s="12"/>
      <c r="B248" s="8"/>
      <c r="C248" s="9"/>
      <c r="D248" s="9" t="str">
        <f t="shared" si="315"/>
        <v/>
      </c>
      <c r="E248" s="9"/>
      <c r="F248" s="9" t="str">
        <f t="shared" si="316"/>
        <v/>
      </c>
      <c r="G248" s="9"/>
      <c r="H248" s="9" t="str">
        <f t="shared" si="317"/>
        <v/>
      </c>
      <c r="I248" s="9"/>
      <c r="J248" s="44"/>
      <c r="K248" s="44" t="str">
        <f t="shared" si="318"/>
        <v/>
      </c>
      <c r="L248" s="9" t="str">
        <f t="shared" si="313"/>
        <v/>
      </c>
      <c r="M248" s="10" t="str">
        <f t="shared" si="314"/>
        <v/>
      </c>
      <c r="N248" s="11"/>
      <c r="O248" s="2"/>
      <c r="P248" s="18"/>
      <c r="Q248" s="19">
        <v>15069</v>
      </c>
      <c r="R248" s="19">
        <f t="shared" si="299"/>
        <v>44</v>
      </c>
      <c r="S248" s="19">
        <v>389</v>
      </c>
      <c r="T248" s="19">
        <f t="shared" si="300"/>
        <v>1</v>
      </c>
      <c r="U248" s="19">
        <v>5</v>
      </c>
      <c r="V248" s="19">
        <f t="shared" si="301"/>
        <v>1</v>
      </c>
      <c r="W248" s="37">
        <v>0</v>
      </c>
      <c r="X248" s="48" t="s">
        <v>252</v>
      </c>
      <c r="Y248" s="51">
        <f t="shared" si="312"/>
        <v>950</v>
      </c>
      <c r="Z248" s="19">
        <f t="shared" si="302"/>
        <v>950</v>
      </c>
      <c r="AA248" s="20">
        <f t="shared" si="303"/>
        <v>0.21590909090909091</v>
      </c>
      <c r="AB248" s="11"/>
      <c r="AD248" s="18"/>
      <c r="AE248" s="19">
        <v>16814</v>
      </c>
      <c r="AF248" s="19">
        <f t="shared" si="304"/>
        <v>400</v>
      </c>
      <c r="AG248" s="19">
        <v>579</v>
      </c>
      <c r="AH248" s="19">
        <f t="shared" si="305"/>
        <v>13</v>
      </c>
      <c r="AI248" s="19">
        <v>25</v>
      </c>
      <c r="AJ248" s="19">
        <f t="shared" si="306"/>
        <v>13</v>
      </c>
      <c r="AK248" s="37">
        <v>15</v>
      </c>
      <c r="AL248" s="48" t="str">
        <f t="shared" si="319"/>
        <v>ボンドロシール</v>
      </c>
      <c r="AM248" s="51">
        <f t="shared" si="320"/>
        <v>200</v>
      </c>
      <c r="AN248" s="19">
        <f t="shared" si="309"/>
        <v>2600</v>
      </c>
      <c r="AO248" s="20">
        <f t="shared" si="310"/>
        <v>6.5000000000000002E-2</v>
      </c>
      <c r="AP248" s="11" t="s">
        <v>250</v>
      </c>
    </row>
    <row r="249" spans="1:42" ht="15" customHeight="1" thickTop="1">
      <c r="A249" s="12"/>
      <c r="B249" s="8"/>
      <c r="C249" s="9"/>
      <c r="D249" s="9" t="str">
        <f>IF(C249="","",C249-C250)</f>
        <v/>
      </c>
      <c r="E249" s="9"/>
      <c r="F249" s="9" t="str">
        <f>IF(E249="","",E249-E250)</f>
        <v/>
      </c>
      <c r="G249" s="9"/>
      <c r="H249" s="9" t="str">
        <f>IF(G249="","",G250+I250-G249)</f>
        <v/>
      </c>
      <c r="I249" s="9"/>
      <c r="J249" s="44"/>
      <c r="K249" s="44" t="str">
        <f>IF(C249="","",K250)</f>
        <v/>
      </c>
      <c r="L249" s="9" t="str">
        <f t="shared" si="313"/>
        <v/>
      </c>
      <c r="M249" s="10" t="str">
        <f t="shared" si="314"/>
        <v/>
      </c>
      <c r="N249" s="11"/>
      <c r="O249" s="2"/>
      <c r="P249" s="65">
        <f>IF($A231="","",$A231)</f>
        <v>46094</v>
      </c>
      <c r="Q249" s="9">
        <v>12660</v>
      </c>
      <c r="R249" s="44">
        <f t="shared" si="299"/>
        <v>93</v>
      </c>
      <c r="S249" s="9">
        <v>371</v>
      </c>
      <c r="T249" s="23">
        <f t="shared" si="300"/>
        <v>1</v>
      </c>
      <c r="U249" s="9">
        <v>13</v>
      </c>
      <c r="V249" s="44">
        <f t="shared" si="301"/>
        <v>1</v>
      </c>
      <c r="W249" s="66">
        <v>0</v>
      </c>
      <c r="X249" s="61" t="str">
        <f t="shared" si="311"/>
        <v>キティ豹柄キーケース</v>
      </c>
      <c r="Y249" s="62">
        <f t="shared" si="312"/>
        <v>996</v>
      </c>
      <c r="Z249" s="23">
        <f t="shared" si="302"/>
        <v>996</v>
      </c>
      <c r="AA249" s="24">
        <f t="shared" si="303"/>
        <v>0.10709677419354839</v>
      </c>
      <c r="AB249" s="11"/>
      <c r="AD249" s="65">
        <f>IF($A231="","",$A231)</f>
        <v>46094</v>
      </c>
      <c r="AE249" s="9">
        <v>9914</v>
      </c>
      <c r="AF249" s="44">
        <f t="shared" si="304"/>
        <v>55</v>
      </c>
      <c r="AG249" s="9">
        <v>259</v>
      </c>
      <c r="AH249" s="23">
        <f t="shared" si="305"/>
        <v>1</v>
      </c>
      <c r="AI249" s="9">
        <v>19</v>
      </c>
      <c r="AJ249" s="44">
        <f t="shared" si="306"/>
        <v>1</v>
      </c>
      <c r="AK249" s="66">
        <v>3</v>
      </c>
      <c r="AL249" s="61" t="str">
        <f t="shared" si="319"/>
        <v>ゲーム機柄イヤホン</v>
      </c>
      <c r="AM249" s="62">
        <f t="shared" si="320"/>
        <v>1100</v>
      </c>
      <c r="AN249" s="23">
        <f t="shared" si="309"/>
        <v>1100</v>
      </c>
      <c r="AO249" s="24">
        <f t="shared" si="310"/>
        <v>0.2</v>
      </c>
      <c r="AP249" s="11"/>
    </row>
    <row r="250" spans="1:42" ht="15" customHeight="1">
      <c r="A250" s="12"/>
      <c r="B250" s="8"/>
      <c r="C250" s="9"/>
      <c r="D250" s="9" t="str">
        <f>IF(C250="","",C250-C248)</f>
        <v/>
      </c>
      <c r="E250" s="9"/>
      <c r="F250" s="9" t="str">
        <f>IF(E250="","",E250-E248)</f>
        <v/>
      </c>
      <c r="G250" s="9"/>
      <c r="H250" s="9" t="str">
        <f>IF(G250="","",G248+I248-G250)</f>
        <v/>
      </c>
      <c r="I250" s="9"/>
      <c r="J250" s="44"/>
      <c r="K250" s="44" t="str">
        <f>IF(C250="","",K248)</f>
        <v/>
      </c>
      <c r="L250" s="9" t="str">
        <f t="shared" si="313"/>
        <v/>
      </c>
      <c r="M250" s="10" t="str">
        <f t="shared" si="314"/>
        <v/>
      </c>
      <c r="N250" s="11"/>
      <c r="O250" s="2"/>
      <c r="P250" s="65"/>
      <c r="Q250" s="44">
        <v>12047</v>
      </c>
      <c r="R250" s="9">
        <f t="shared" si="299"/>
        <v>68</v>
      </c>
      <c r="S250" s="44">
        <v>264</v>
      </c>
      <c r="T250" s="9">
        <f t="shared" si="300"/>
        <v>0</v>
      </c>
      <c r="U250" s="9">
        <v>12</v>
      </c>
      <c r="V250" s="9">
        <f t="shared" si="301"/>
        <v>-2</v>
      </c>
      <c r="W250" s="13">
        <v>0</v>
      </c>
      <c r="X250" s="47" t="str">
        <f t="shared" si="311"/>
        <v>キティしっぽ付ポーチ</v>
      </c>
      <c r="Y250" s="45">
        <f t="shared" si="312"/>
        <v>825</v>
      </c>
      <c r="Z250" s="9">
        <f t="shared" si="302"/>
        <v>-1650</v>
      </c>
      <c r="AA250" s="10">
        <f t="shared" si="303"/>
        <v>-0.24264705882352941</v>
      </c>
      <c r="AB250" s="11"/>
      <c r="AD250" s="65"/>
      <c r="AE250" s="44">
        <v>12667</v>
      </c>
      <c r="AF250" s="9">
        <f t="shared" si="304"/>
        <v>54</v>
      </c>
      <c r="AG250" s="44">
        <v>221</v>
      </c>
      <c r="AH250" s="9">
        <f t="shared" si="305"/>
        <v>1</v>
      </c>
      <c r="AI250" s="9">
        <v>8</v>
      </c>
      <c r="AJ250" s="9">
        <f t="shared" si="306"/>
        <v>1</v>
      </c>
      <c r="AK250" s="13">
        <v>4</v>
      </c>
      <c r="AL250" s="47" t="str">
        <f t="shared" si="319"/>
        <v>キティドデカパッチン</v>
      </c>
      <c r="AM250" s="45">
        <f t="shared" si="320"/>
        <v>538</v>
      </c>
      <c r="AN250" s="9">
        <f t="shared" si="309"/>
        <v>538</v>
      </c>
      <c r="AO250" s="10">
        <f t="shared" si="310"/>
        <v>9.9629629629629624E-2</v>
      </c>
      <c r="AP250" s="11"/>
    </row>
    <row r="251" spans="1:42" ht="15" customHeight="1">
      <c r="A251" s="12"/>
      <c r="B251" s="8"/>
      <c r="C251" s="9"/>
      <c r="D251" s="9" t="str">
        <f>IF(C251="","",C251-C249)</f>
        <v/>
      </c>
      <c r="E251" s="9"/>
      <c r="F251" s="9" t="str">
        <f>IF(E251="","",E251-E249)</f>
        <v/>
      </c>
      <c r="G251" s="9"/>
      <c r="H251" s="9" t="str">
        <f>IF(G251="","",G249+I249-G251)</f>
        <v/>
      </c>
      <c r="I251" s="9"/>
      <c r="J251" s="44"/>
      <c r="K251" s="44" t="str">
        <f>IF(C251="","",K249)</f>
        <v/>
      </c>
      <c r="L251" s="9" t="str">
        <f t="shared" si="313"/>
        <v/>
      </c>
      <c r="M251" s="10" t="str">
        <f t="shared" si="314"/>
        <v/>
      </c>
      <c r="N251" s="11"/>
      <c r="O251" s="2"/>
      <c r="P251" s="12"/>
      <c r="Q251" s="9">
        <v>13849</v>
      </c>
      <c r="R251" s="9">
        <f t="shared" si="299"/>
        <v>38</v>
      </c>
      <c r="S251" s="9">
        <v>475</v>
      </c>
      <c r="T251" s="9">
        <f t="shared" si="300"/>
        <v>0</v>
      </c>
      <c r="U251" s="9">
        <v>13</v>
      </c>
      <c r="V251" s="9">
        <f t="shared" si="301"/>
        <v>0</v>
      </c>
      <c r="W251" s="38">
        <v>1</v>
      </c>
      <c r="X251" s="47" t="str">
        <f t="shared" si="311"/>
        <v>キティボアバンスクリップ</v>
      </c>
      <c r="Y251" s="9">
        <f t="shared" si="312"/>
        <v>1100</v>
      </c>
      <c r="Z251" s="9">
        <f t="shared" si="302"/>
        <v>0</v>
      </c>
      <c r="AA251" s="10">
        <f t="shared" si="303"/>
        <v>0</v>
      </c>
      <c r="AB251" s="11" t="s">
        <v>75</v>
      </c>
      <c r="AD251" s="12"/>
      <c r="AE251" s="9">
        <v>13428</v>
      </c>
      <c r="AF251" s="9">
        <f t="shared" si="304"/>
        <v>82</v>
      </c>
      <c r="AG251" s="9">
        <v>490</v>
      </c>
      <c r="AH251" s="9">
        <f t="shared" si="305"/>
        <v>0</v>
      </c>
      <c r="AI251" s="9">
        <v>7</v>
      </c>
      <c r="AJ251" s="9">
        <f t="shared" si="306"/>
        <v>0</v>
      </c>
      <c r="AK251" s="38">
        <v>3</v>
      </c>
      <c r="AL251" s="47" t="str">
        <f t="shared" si="319"/>
        <v>ゲームアーク</v>
      </c>
      <c r="AM251" s="9">
        <f t="shared" si="320"/>
        <v>1100</v>
      </c>
      <c r="AN251" s="9">
        <f t="shared" si="309"/>
        <v>0</v>
      </c>
      <c r="AO251" s="10">
        <f t="shared" si="310"/>
        <v>0</v>
      </c>
      <c r="AP251" s="11"/>
    </row>
    <row r="252" spans="1:42" ht="15" customHeight="1" thickBot="1">
      <c r="A252" s="12"/>
      <c r="B252" s="8"/>
      <c r="C252" s="9"/>
      <c r="D252" s="9" t="str">
        <f t="shared" ref="D252:D277" si="321">IF(C252="","",C252-C251)</f>
        <v/>
      </c>
      <c r="E252" s="9"/>
      <c r="F252" s="9" t="str">
        <f t="shared" ref="F252:F278" si="322">IF(E252="","",E252-E251)</f>
        <v/>
      </c>
      <c r="G252" s="9"/>
      <c r="H252" s="9" t="str">
        <f t="shared" ref="H252:H278" si="323">IF(G252="","",G251+I251-G252)</f>
        <v/>
      </c>
      <c r="I252" s="9"/>
      <c r="J252" s="44"/>
      <c r="K252" s="44" t="str">
        <f>IF(C252="","",K251)</f>
        <v/>
      </c>
      <c r="L252" s="9" t="str">
        <f t="shared" si="313"/>
        <v/>
      </c>
      <c r="M252" s="10" t="str">
        <f t="shared" si="314"/>
        <v/>
      </c>
      <c r="N252" s="11"/>
      <c r="O252" s="2"/>
      <c r="P252" s="18"/>
      <c r="Q252" s="19">
        <v>15087</v>
      </c>
      <c r="R252" s="82">
        <f t="shared" si="299"/>
        <v>18</v>
      </c>
      <c r="S252" s="19">
        <v>389</v>
      </c>
      <c r="T252" s="19">
        <f t="shared" si="300"/>
        <v>0</v>
      </c>
      <c r="U252" s="19">
        <v>5</v>
      </c>
      <c r="V252" s="19">
        <f t="shared" si="301"/>
        <v>0</v>
      </c>
      <c r="W252" s="37">
        <v>4</v>
      </c>
      <c r="X252" s="138" t="str">
        <f t="shared" si="311"/>
        <v>サンリオヘアバンド</v>
      </c>
      <c r="Y252" s="51">
        <f t="shared" si="312"/>
        <v>950</v>
      </c>
      <c r="Z252" s="19">
        <f t="shared" si="302"/>
        <v>0</v>
      </c>
      <c r="AA252" s="20">
        <f t="shared" si="303"/>
        <v>0</v>
      </c>
      <c r="AB252" s="11"/>
      <c r="AD252" s="18"/>
      <c r="AE252" s="19">
        <v>16918</v>
      </c>
      <c r="AF252" s="19">
        <f t="shared" si="304"/>
        <v>104</v>
      </c>
      <c r="AG252" s="19">
        <v>584</v>
      </c>
      <c r="AH252" s="19">
        <f t="shared" si="305"/>
        <v>5</v>
      </c>
      <c r="AI252" s="19">
        <v>34</v>
      </c>
      <c r="AJ252" s="19">
        <f t="shared" si="306"/>
        <v>6</v>
      </c>
      <c r="AK252" s="37">
        <v>4</v>
      </c>
      <c r="AL252" s="48" t="str">
        <f t="shared" si="319"/>
        <v>ボンドロシール</v>
      </c>
      <c r="AM252" s="51">
        <f t="shared" si="320"/>
        <v>200</v>
      </c>
      <c r="AN252" s="19">
        <f t="shared" si="309"/>
        <v>1200</v>
      </c>
      <c r="AO252" s="20">
        <f t="shared" si="310"/>
        <v>0.11538461538461539</v>
      </c>
      <c r="AP252" s="11"/>
    </row>
    <row r="253" spans="1:42" ht="15" customHeight="1" thickTop="1">
      <c r="A253" s="12"/>
      <c r="B253" s="8"/>
      <c r="C253" s="9"/>
      <c r="D253" s="9" t="str">
        <f t="shared" si="321"/>
        <v/>
      </c>
      <c r="E253" s="9"/>
      <c r="F253" s="9" t="str">
        <f t="shared" si="322"/>
        <v/>
      </c>
      <c r="G253" s="9"/>
      <c r="H253" s="9" t="str">
        <f t="shared" si="323"/>
        <v/>
      </c>
      <c r="I253" s="9"/>
      <c r="J253" s="44"/>
      <c r="K253" s="44" t="str">
        <f>IF(C253="","",K252)</f>
        <v/>
      </c>
      <c r="L253" s="9" t="str">
        <f t="shared" si="313"/>
        <v/>
      </c>
      <c r="M253" s="10" t="str">
        <f t="shared" si="314"/>
        <v/>
      </c>
      <c r="N253" s="11"/>
      <c r="O253" s="2"/>
      <c r="P253" s="65" t="str">
        <f>IF($A232="","",$A232)</f>
        <v/>
      </c>
      <c r="Q253" s="9"/>
      <c r="R253" s="44"/>
      <c r="S253" s="9"/>
      <c r="T253" s="23"/>
      <c r="U253" s="9"/>
      <c r="V253" s="44"/>
      <c r="W253" s="66"/>
      <c r="X253" s="61"/>
      <c r="Y253" s="62"/>
      <c r="Z253" s="23"/>
      <c r="AA253" s="24"/>
      <c r="AB253" s="11"/>
      <c r="AD253" s="65"/>
      <c r="AE253" s="9"/>
      <c r="AF253" s="113"/>
      <c r="AG253" s="9"/>
      <c r="AH253" s="23"/>
      <c r="AI253" s="9"/>
      <c r="AJ253" s="44"/>
      <c r="AK253" s="66"/>
      <c r="AL253" s="61"/>
      <c r="AM253" s="62"/>
      <c r="AN253" s="23"/>
      <c r="AO253" s="24"/>
      <c r="AP253" s="11"/>
    </row>
    <row r="254" spans="1:42" ht="15" customHeight="1">
      <c r="A254" s="12"/>
      <c r="B254" s="8"/>
      <c r="C254" s="9"/>
      <c r="D254" s="9" t="str">
        <f t="shared" si="321"/>
        <v/>
      </c>
      <c r="E254" s="9"/>
      <c r="F254" s="9" t="str">
        <f t="shared" si="322"/>
        <v/>
      </c>
      <c r="G254" s="9"/>
      <c r="H254" s="9" t="str">
        <f t="shared" si="323"/>
        <v/>
      </c>
      <c r="I254" s="9"/>
      <c r="J254" s="44"/>
      <c r="K254" s="44" t="str">
        <f>IF(C254="","",K253)</f>
        <v/>
      </c>
      <c r="L254" s="9" t="str">
        <f t="shared" si="313"/>
        <v/>
      </c>
      <c r="M254" s="10" t="str">
        <f t="shared" si="314"/>
        <v/>
      </c>
      <c r="N254" s="11"/>
      <c r="O254" s="2"/>
      <c r="P254" s="12"/>
      <c r="Q254" s="44"/>
      <c r="R254" s="9"/>
      <c r="S254" s="44"/>
      <c r="T254" s="9"/>
      <c r="U254" s="9"/>
      <c r="V254" s="9"/>
      <c r="W254" s="13"/>
      <c r="X254" s="47"/>
      <c r="Y254" s="45"/>
      <c r="Z254" s="9"/>
      <c r="AA254" s="10"/>
      <c r="AB254" s="11"/>
      <c r="AD254" s="12"/>
      <c r="AE254" s="44"/>
      <c r="AF254" s="9"/>
      <c r="AG254" s="44"/>
      <c r="AH254" s="9"/>
      <c r="AI254" s="9"/>
      <c r="AJ254" s="9"/>
      <c r="AK254" s="13"/>
      <c r="AL254" s="47"/>
      <c r="AM254" s="45"/>
      <c r="AN254" s="9"/>
      <c r="AO254" s="10"/>
      <c r="AP254" s="11"/>
    </row>
    <row r="255" spans="1:42">
      <c r="A255" s="12"/>
      <c r="B255" s="8"/>
      <c r="C255" s="9"/>
      <c r="D255" s="9" t="str">
        <f t="shared" si="321"/>
        <v/>
      </c>
      <c r="E255" s="9"/>
      <c r="F255" s="9" t="str">
        <f t="shared" si="322"/>
        <v/>
      </c>
      <c r="G255" s="9"/>
      <c r="H255" s="9" t="str">
        <f t="shared" si="323"/>
        <v/>
      </c>
      <c r="I255" s="9"/>
      <c r="J255" s="9"/>
      <c r="K255" s="9"/>
      <c r="L255" s="9" t="str">
        <f t="shared" si="313"/>
        <v/>
      </c>
      <c r="M255" s="10" t="str">
        <f t="shared" si="314"/>
        <v/>
      </c>
      <c r="N255" s="11"/>
      <c r="O255" s="2"/>
      <c r="P255" s="12"/>
      <c r="Q255" s="9"/>
      <c r="R255" s="9"/>
      <c r="S255" s="9"/>
      <c r="T255" s="9"/>
      <c r="U255" s="9"/>
      <c r="V255" s="9"/>
      <c r="W255" s="38"/>
      <c r="X255" s="47"/>
      <c r="Y255" s="9"/>
      <c r="Z255" s="9"/>
      <c r="AA255" s="10"/>
      <c r="AB255" s="11"/>
      <c r="AD255" s="12"/>
      <c r="AE255" s="9"/>
      <c r="AF255" s="9"/>
      <c r="AG255" s="9"/>
      <c r="AH255" s="9"/>
      <c r="AI255" s="9"/>
      <c r="AJ255" s="9"/>
      <c r="AK255" s="38"/>
      <c r="AL255" s="47"/>
      <c r="AM255" s="9"/>
      <c r="AN255" s="9"/>
      <c r="AO255" s="10"/>
      <c r="AP255" s="11"/>
    </row>
    <row r="256" spans="1:42" ht="15" customHeight="1" thickBot="1">
      <c r="A256" s="12"/>
      <c r="B256" s="8"/>
      <c r="C256" s="9"/>
      <c r="D256" s="9" t="str">
        <f t="shared" si="321"/>
        <v/>
      </c>
      <c r="E256" s="9"/>
      <c r="F256" s="9" t="str">
        <f t="shared" si="322"/>
        <v/>
      </c>
      <c r="G256" s="9"/>
      <c r="H256" s="9" t="str">
        <f t="shared" si="323"/>
        <v/>
      </c>
      <c r="I256" s="9"/>
      <c r="J256" s="9"/>
      <c r="K256" s="9"/>
      <c r="L256" s="9" t="str">
        <f t="shared" si="313"/>
        <v/>
      </c>
      <c r="M256" s="10" t="str">
        <f t="shared" si="314"/>
        <v/>
      </c>
      <c r="N256" s="11"/>
      <c r="O256" s="2"/>
      <c r="P256" s="18"/>
      <c r="Q256" s="19"/>
      <c r="R256" s="19"/>
      <c r="S256" s="19"/>
      <c r="T256" s="19"/>
      <c r="U256" s="19"/>
      <c r="V256" s="19"/>
      <c r="W256" s="37"/>
      <c r="X256" s="48"/>
      <c r="Y256" s="51"/>
      <c r="Z256" s="19"/>
      <c r="AA256" s="20"/>
      <c r="AB256" s="11"/>
      <c r="AD256" s="18"/>
      <c r="AE256" s="19"/>
      <c r="AF256" s="19"/>
      <c r="AG256" s="19"/>
      <c r="AH256" s="19"/>
      <c r="AI256" s="19"/>
      <c r="AJ256" s="19"/>
      <c r="AK256" s="37"/>
      <c r="AL256" s="48"/>
      <c r="AM256" s="51"/>
      <c r="AN256" s="19"/>
      <c r="AO256" s="20"/>
      <c r="AP256" s="11"/>
    </row>
    <row r="257" spans="1:42" ht="15" customHeight="1" thickTop="1">
      <c r="A257" s="12"/>
      <c r="B257" s="8"/>
      <c r="C257" s="9"/>
      <c r="D257" s="9" t="str">
        <f t="shared" si="321"/>
        <v/>
      </c>
      <c r="E257" s="9"/>
      <c r="F257" s="9" t="str">
        <f t="shared" si="322"/>
        <v/>
      </c>
      <c r="G257" s="9"/>
      <c r="H257" s="9" t="str">
        <f t="shared" si="323"/>
        <v/>
      </c>
      <c r="I257" s="9"/>
      <c r="J257" s="9"/>
      <c r="K257" s="9"/>
      <c r="L257" s="9" t="str">
        <f t="shared" si="313"/>
        <v/>
      </c>
      <c r="M257" s="10" t="str">
        <f t="shared" si="314"/>
        <v/>
      </c>
      <c r="N257" s="11"/>
      <c r="O257" s="2"/>
      <c r="P257" s="65" t="str">
        <f>IF($A233="","",$A233)</f>
        <v/>
      </c>
      <c r="Q257" s="9"/>
      <c r="R257" s="113"/>
      <c r="S257" s="9"/>
      <c r="T257" s="23"/>
      <c r="U257" s="9"/>
      <c r="V257" s="44"/>
      <c r="W257" s="66"/>
      <c r="X257" s="61"/>
      <c r="Y257" s="62"/>
      <c r="Z257" s="23"/>
      <c r="AA257" s="24"/>
      <c r="AB257" s="11"/>
      <c r="AD257" s="65"/>
      <c r="AE257" s="9"/>
      <c r="AF257" s="44"/>
      <c r="AG257" s="9"/>
      <c r="AH257" s="23"/>
      <c r="AI257" s="9"/>
      <c r="AJ257" s="44"/>
      <c r="AK257" s="66"/>
      <c r="AL257" s="61"/>
      <c r="AM257" s="62"/>
      <c r="AN257" s="23"/>
      <c r="AO257" s="24"/>
      <c r="AP257" s="11"/>
    </row>
    <row r="258" spans="1:42" ht="15" customHeight="1">
      <c r="A258" s="12"/>
      <c r="B258" s="8"/>
      <c r="C258" s="9"/>
      <c r="D258" s="9" t="str">
        <f t="shared" si="321"/>
        <v/>
      </c>
      <c r="E258" s="9"/>
      <c r="F258" s="9" t="str">
        <f t="shared" si="322"/>
        <v/>
      </c>
      <c r="G258" s="9"/>
      <c r="H258" s="9" t="str">
        <f t="shared" si="323"/>
        <v/>
      </c>
      <c r="I258" s="9"/>
      <c r="J258" s="9"/>
      <c r="K258" s="9"/>
      <c r="L258" s="9" t="str">
        <f t="shared" si="313"/>
        <v/>
      </c>
      <c r="M258" s="10" t="str">
        <f t="shared" si="314"/>
        <v/>
      </c>
      <c r="N258" s="11"/>
      <c r="O258" s="2"/>
      <c r="P258" s="12"/>
      <c r="Q258" s="44"/>
      <c r="R258" s="9"/>
      <c r="S258" s="44"/>
      <c r="T258" s="9"/>
      <c r="U258" s="9"/>
      <c r="V258" s="9"/>
      <c r="W258" s="13"/>
      <c r="X258" s="47"/>
      <c r="Y258" s="45"/>
      <c r="Z258" s="9"/>
      <c r="AA258" s="10"/>
      <c r="AB258" s="11"/>
      <c r="AD258" s="12"/>
      <c r="AE258" s="44"/>
      <c r="AF258" s="9"/>
      <c r="AG258" s="44"/>
      <c r="AH258" s="9"/>
      <c r="AI258" s="9"/>
      <c r="AJ258" s="9"/>
      <c r="AK258" s="13"/>
      <c r="AL258" s="47"/>
      <c r="AM258" s="45"/>
      <c r="AN258" s="9"/>
      <c r="AO258" s="10"/>
      <c r="AP258" s="11"/>
    </row>
    <row r="259" spans="1:42" ht="15" customHeight="1">
      <c r="A259" s="12"/>
      <c r="B259" s="8"/>
      <c r="C259" s="9"/>
      <c r="D259" s="9" t="str">
        <f t="shared" si="321"/>
        <v/>
      </c>
      <c r="E259" s="9"/>
      <c r="F259" s="9" t="str">
        <f t="shared" si="322"/>
        <v/>
      </c>
      <c r="G259" s="9"/>
      <c r="H259" s="9" t="str">
        <f t="shared" si="323"/>
        <v/>
      </c>
      <c r="I259" s="9"/>
      <c r="J259" s="9"/>
      <c r="K259" s="9"/>
      <c r="L259" s="9" t="str">
        <f t="shared" si="313"/>
        <v/>
      </c>
      <c r="M259" s="10" t="str">
        <f t="shared" si="314"/>
        <v/>
      </c>
      <c r="N259" s="11"/>
      <c r="O259" s="2"/>
      <c r="P259" s="12"/>
      <c r="Q259" s="9"/>
      <c r="R259" s="9"/>
      <c r="S259" s="9"/>
      <c r="T259" s="9"/>
      <c r="U259" s="9"/>
      <c r="V259" s="9"/>
      <c r="W259" s="38"/>
      <c r="X259" s="47"/>
      <c r="Y259" s="9"/>
      <c r="Z259" s="9"/>
      <c r="AA259" s="10"/>
      <c r="AB259" s="11"/>
      <c r="AD259" s="12"/>
      <c r="AE259" s="9"/>
      <c r="AF259" s="9"/>
      <c r="AG259" s="9"/>
      <c r="AH259" s="9"/>
      <c r="AI259" s="9"/>
      <c r="AJ259" s="9"/>
      <c r="AK259" s="38"/>
      <c r="AL259" s="47"/>
      <c r="AM259" s="9"/>
      <c r="AN259" s="9"/>
      <c r="AO259" s="10"/>
      <c r="AP259" s="144"/>
    </row>
    <row r="260" spans="1:42" ht="15" customHeight="1" thickBot="1">
      <c r="A260" s="12"/>
      <c r="B260" s="8"/>
      <c r="C260" s="9"/>
      <c r="D260" s="9" t="str">
        <f t="shared" si="321"/>
        <v/>
      </c>
      <c r="E260" s="9"/>
      <c r="F260" s="9" t="str">
        <f t="shared" si="322"/>
        <v/>
      </c>
      <c r="G260" s="9"/>
      <c r="H260" s="9" t="str">
        <f t="shared" si="323"/>
        <v/>
      </c>
      <c r="I260" s="9"/>
      <c r="J260" s="9"/>
      <c r="K260" s="9"/>
      <c r="L260" s="9" t="str">
        <f t="shared" si="313"/>
        <v/>
      </c>
      <c r="M260" s="10" t="str">
        <f t="shared" si="314"/>
        <v/>
      </c>
      <c r="N260" s="11"/>
      <c r="O260" s="2"/>
      <c r="P260" s="18"/>
      <c r="Q260" s="19"/>
      <c r="R260" s="19"/>
      <c r="S260" s="19"/>
      <c r="T260" s="19"/>
      <c r="U260" s="19"/>
      <c r="V260" s="19"/>
      <c r="W260" s="37"/>
      <c r="X260" s="48"/>
      <c r="Y260" s="51"/>
      <c r="Z260" s="19"/>
      <c r="AA260" s="20"/>
      <c r="AB260" s="11"/>
      <c r="AD260" s="18"/>
      <c r="AE260" s="19"/>
      <c r="AF260" s="19"/>
      <c r="AG260" s="19"/>
      <c r="AH260" s="19"/>
      <c r="AI260" s="19"/>
      <c r="AJ260" s="19"/>
      <c r="AK260" s="37"/>
      <c r="AL260" s="48"/>
      <c r="AM260" s="51"/>
      <c r="AN260" s="19"/>
      <c r="AO260" s="20"/>
      <c r="AP260" s="11"/>
    </row>
    <row r="261" spans="1:42" ht="15" customHeight="1" thickTop="1">
      <c r="A261" s="12"/>
      <c r="B261" s="8"/>
      <c r="C261" s="9"/>
      <c r="D261" s="9" t="str">
        <f t="shared" si="321"/>
        <v/>
      </c>
      <c r="E261" s="9"/>
      <c r="F261" s="9" t="str">
        <f t="shared" si="322"/>
        <v/>
      </c>
      <c r="G261" s="9"/>
      <c r="H261" s="9" t="str">
        <f t="shared" si="323"/>
        <v/>
      </c>
      <c r="I261" s="9"/>
      <c r="J261" s="9"/>
      <c r="K261" s="9"/>
      <c r="L261" s="9" t="str">
        <f t="shared" si="313"/>
        <v/>
      </c>
      <c r="M261" s="10" t="str">
        <f t="shared" si="314"/>
        <v/>
      </c>
      <c r="N261" s="11"/>
      <c r="O261" s="2"/>
      <c r="P261" s="65" t="str">
        <f>IF($A234="","",$A234)</f>
        <v/>
      </c>
      <c r="Q261" s="44"/>
      <c r="R261" s="44" t="str">
        <f t="shared" ref="R261:R280" si="324">IF(Q261="","",Q261-Q257)</f>
        <v/>
      </c>
      <c r="S261" s="44"/>
      <c r="T261" s="23" t="str">
        <f t="shared" ref="T261:T280" si="325">IF(S261="","",S261-S257)</f>
        <v/>
      </c>
      <c r="U261" s="44"/>
      <c r="V261" s="44" t="str">
        <f t="shared" ref="V261:V280" si="326">IF(U261="","",U257+W257-U261)</f>
        <v/>
      </c>
      <c r="W261" s="66"/>
      <c r="X261" s="61" t="str">
        <f t="shared" si="311"/>
        <v/>
      </c>
      <c r="Y261" s="62" t="str">
        <f t="shared" si="312"/>
        <v/>
      </c>
      <c r="Z261" s="23" t="str">
        <f t="shared" ref="Z261:Z280" si="327">IF(U261="","",V261*Y261)</f>
        <v/>
      </c>
      <c r="AA261" s="24" t="str">
        <f t="shared" ref="AA261:AA280" si="328">IF(V261="","",Z261/(R261*100))</f>
        <v/>
      </c>
      <c r="AB261" s="11"/>
      <c r="AD261" s="65" t="str">
        <f>IF($A234="","",$A234)</f>
        <v/>
      </c>
      <c r="AE261" s="44"/>
      <c r="AF261" s="44" t="str">
        <f t="shared" ref="AF261:AF280" si="329">IF(AE261="","",AE261-AE257)</f>
        <v/>
      </c>
      <c r="AG261" s="44"/>
      <c r="AH261" s="23" t="str">
        <f t="shared" ref="AH261:AH280" si="330">IF(AG261="","",AG261-AG257)</f>
        <v/>
      </c>
      <c r="AI261" s="44"/>
      <c r="AJ261" s="44" t="str">
        <f t="shared" ref="AJ261:AJ280" si="331">IF(AI261="","",AI257+AK257-AI261)</f>
        <v/>
      </c>
      <c r="AK261" s="66"/>
      <c r="AL261" s="61" t="str">
        <f t="shared" si="319"/>
        <v/>
      </c>
      <c r="AM261" s="62" t="str">
        <f t="shared" si="320"/>
        <v/>
      </c>
      <c r="AN261" s="23" t="str">
        <f t="shared" ref="AN261:AN280" si="332">IF(AI261="","",AJ261*AM261)</f>
        <v/>
      </c>
      <c r="AO261" s="24" t="str">
        <f t="shared" ref="AO261:AO280" si="333">IF(AJ261="","",AN261/(AF261*100))</f>
        <v/>
      </c>
      <c r="AP261" s="11"/>
    </row>
    <row r="262" spans="1:42">
      <c r="A262" s="12"/>
      <c r="B262" s="8"/>
      <c r="C262" s="9"/>
      <c r="D262" s="9" t="str">
        <f t="shared" si="321"/>
        <v/>
      </c>
      <c r="E262" s="9"/>
      <c r="F262" s="9" t="str">
        <f t="shared" si="322"/>
        <v/>
      </c>
      <c r="G262" s="9"/>
      <c r="H262" s="9" t="str">
        <f t="shared" si="323"/>
        <v/>
      </c>
      <c r="I262" s="9"/>
      <c r="J262" s="9"/>
      <c r="K262" s="9"/>
      <c r="L262" s="9" t="str">
        <f t="shared" si="313"/>
        <v/>
      </c>
      <c r="M262" s="10" t="str">
        <f t="shared" si="314"/>
        <v/>
      </c>
      <c r="N262" s="11"/>
      <c r="O262" s="2"/>
      <c r="P262" s="12"/>
      <c r="Q262" s="9"/>
      <c r="R262" s="44" t="str">
        <f t="shared" si="324"/>
        <v/>
      </c>
      <c r="S262" s="9"/>
      <c r="T262" s="9" t="str">
        <f t="shared" si="325"/>
        <v/>
      </c>
      <c r="U262" s="9"/>
      <c r="V262" s="9" t="str">
        <f t="shared" si="326"/>
        <v/>
      </c>
      <c r="W262" s="13"/>
      <c r="X262" s="47" t="str">
        <f t="shared" ref="X262:X280" si="334">IF(Q262="","",X258)</f>
        <v/>
      </c>
      <c r="Y262" s="45" t="str">
        <f t="shared" si="312"/>
        <v/>
      </c>
      <c r="Z262" s="9" t="str">
        <f t="shared" si="327"/>
        <v/>
      </c>
      <c r="AA262" s="10" t="str">
        <f t="shared" si="328"/>
        <v/>
      </c>
      <c r="AB262" s="11"/>
      <c r="AD262" s="12"/>
      <c r="AE262" s="9"/>
      <c r="AF262" s="44" t="str">
        <f t="shared" si="329"/>
        <v/>
      </c>
      <c r="AG262" s="9"/>
      <c r="AH262" s="9" t="str">
        <f t="shared" si="330"/>
        <v/>
      </c>
      <c r="AI262" s="9"/>
      <c r="AJ262" s="9" t="str">
        <f t="shared" si="331"/>
        <v/>
      </c>
      <c r="AK262" s="13"/>
      <c r="AL262" s="47" t="str">
        <f t="shared" si="319"/>
        <v/>
      </c>
      <c r="AM262" s="45" t="str">
        <f t="shared" si="320"/>
        <v/>
      </c>
      <c r="AN262" s="9" t="str">
        <f t="shared" si="332"/>
        <v/>
      </c>
      <c r="AO262" s="10" t="str">
        <f t="shared" si="333"/>
        <v/>
      </c>
      <c r="AP262" s="11"/>
    </row>
    <row r="263" spans="1:42" ht="15" customHeight="1">
      <c r="A263" s="12"/>
      <c r="B263" s="8"/>
      <c r="C263" s="9"/>
      <c r="D263" s="9" t="str">
        <f t="shared" si="321"/>
        <v/>
      </c>
      <c r="E263" s="9"/>
      <c r="F263" s="9" t="str">
        <f t="shared" si="322"/>
        <v/>
      </c>
      <c r="G263" s="9"/>
      <c r="H263" s="9" t="str">
        <f t="shared" si="323"/>
        <v/>
      </c>
      <c r="I263" s="9"/>
      <c r="J263" s="9"/>
      <c r="K263" s="9"/>
      <c r="L263" s="9" t="str">
        <f t="shared" si="313"/>
        <v/>
      </c>
      <c r="M263" s="10" t="str">
        <f t="shared" si="314"/>
        <v/>
      </c>
      <c r="N263" s="11"/>
      <c r="O263" s="2"/>
      <c r="P263" s="12"/>
      <c r="Q263" s="9"/>
      <c r="R263" s="52" t="str">
        <f t="shared" si="324"/>
        <v/>
      </c>
      <c r="S263" s="9"/>
      <c r="T263" s="9" t="str">
        <f t="shared" si="325"/>
        <v/>
      </c>
      <c r="U263" s="26"/>
      <c r="V263" s="26" t="str">
        <f t="shared" si="326"/>
        <v/>
      </c>
      <c r="W263" s="38"/>
      <c r="X263" s="47" t="str">
        <f t="shared" si="334"/>
        <v/>
      </c>
      <c r="Y263" s="9" t="str">
        <f t="shared" si="312"/>
        <v/>
      </c>
      <c r="Z263" s="9" t="str">
        <f t="shared" si="327"/>
        <v/>
      </c>
      <c r="AA263" s="10" t="str">
        <f t="shared" si="328"/>
        <v/>
      </c>
      <c r="AB263" s="11"/>
      <c r="AD263" s="12"/>
      <c r="AE263" s="9"/>
      <c r="AF263" s="52" t="str">
        <f t="shared" si="329"/>
        <v/>
      </c>
      <c r="AG263" s="9"/>
      <c r="AH263" s="9" t="str">
        <f t="shared" si="330"/>
        <v/>
      </c>
      <c r="AI263" s="26"/>
      <c r="AJ263" s="26" t="str">
        <f t="shared" si="331"/>
        <v/>
      </c>
      <c r="AK263" s="38"/>
      <c r="AL263" s="47" t="str">
        <f t="shared" si="319"/>
        <v/>
      </c>
      <c r="AM263" s="9" t="str">
        <f t="shared" si="320"/>
        <v/>
      </c>
      <c r="AN263" s="9" t="str">
        <f t="shared" si="332"/>
        <v/>
      </c>
      <c r="AO263" s="10" t="str">
        <f t="shared" si="333"/>
        <v/>
      </c>
      <c r="AP263" s="11"/>
    </row>
    <row r="264" spans="1:42" ht="15" customHeight="1" thickBot="1">
      <c r="A264" s="12"/>
      <c r="B264" s="8"/>
      <c r="C264" s="9"/>
      <c r="D264" s="9" t="str">
        <f t="shared" si="321"/>
        <v/>
      </c>
      <c r="E264" s="9"/>
      <c r="F264" s="9" t="str">
        <f t="shared" si="322"/>
        <v/>
      </c>
      <c r="G264" s="9"/>
      <c r="H264" s="9" t="str">
        <f t="shared" si="323"/>
        <v/>
      </c>
      <c r="I264" s="9"/>
      <c r="J264" s="9"/>
      <c r="K264" s="9"/>
      <c r="L264" s="9" t="str">
        <f t="shared" si="313"/>
        <v/>
      </c>
      <c r="M264" s="10" t="str">
        <f t="shared" si="314"/>
        <v/>
      </c>
      <c r="N264" s="11"/>
      <c r="O264" s="2"/>
      <c r="P264" s="18"/>
      <c r="Q264" s="21"/>
      <c r="R264" s="50" t="str">
        <f t="shared" si="324"/>
        <v/>
      </c>
      <c r="S264" s="51"/>
      <c r="T264" s="21" t="str">
        <f t="shared" si="325"/>
        <v/>
      </c>
      <c r="U264" s="53"/>
      <c r="V264" s="53" t="str">
        <f t="shared" si="326"/>
        <v/>
      </c>
      <c r="W264" s="37"/>
      <c r="X264" s="48" t="str">
        <f t="shared" si="334"/>
        <v/>
      </c>
      <c r="Y264" s="51" t="str">
        <f t="shared" si="312"/>
        <v/>
      </c>
      <c r="Z264" s="19" t="str">
        <f t="shared" si="327"/>
        <v/>
      </c>
      <c r="AA264" s="20" t="str">
        <f t="shared" si="328"/>
        <v/>
      </c>
      <c r="AB264" s="137"/>
      <c r="AD264" s="18"/>
      <c r="AE264" s="21"/>
      <c r="AF264" s="50" t="str">
        <f t="shared" si="329"/>
        <v/>
      </c>
      <c r="AG264" s="51"/>
      <c r="AH264" s="21" t="str">
        <f t="shared" si="330"/>
        <v/>
      </c>
      <c r="AI264" s="53"/>
      <c r="AJ264" s="53" t="str">
        <f t="shared" si="331"/>
        <v/>
      </c>
      <c r="AK264" s="37"/>
      <c r="AL264" s="48" t="str">
        <f t="shared" si="319"/>
        <v/>
      </c>
      <c r="AM264" s="51" t="str">
        <f t="shared" si="320"/>
        <v/>
      </c>
      <c r="AN264" s="19" t="str">
        <f t="shared" si="332"/>
        <v/>
      </c>
      <c r="AO264" s="20" t="str">
        <f t="shared" si="333"/>
        <v/>
      </c>
      <c r="AP264" s="137"/>
    </row>
    <row r="265" spans="1:42" ht="15" customHeight="1" thickTop="1">
      <c r="A265" s="12"/>
      <c r="B265" s="8"/>
      <c r="C265" s="9"/>
      <c r="D265" s="9" t="str">
        <f t="shared" si="321"/>
        <v/>
      </c>
      <c r="E265" s="9"/>
      <c r="F265" s="9" t="str">
        <f t="shared" si="322"/>
        <v/>
      </c>
      <c r="G265" s="9"/>
      <c r="H265" s="9" t="str">
        <f t="shared" si="323"/>
        <v/>
      </c>
      <c r="I265" s="9"/>
      <c r="J265" s="9"/>
      <c r="K265" s="9"/>
      <c r="L265" s="9" t="str">
        <f t="shared" si="313"/>
        <v/>
      </c>
      <c r="M265" s="10" t="str">
        <f t="shared" si="314"/>
        <v/>
      </c>
      <c r="N265" s="11"/>
      <c r="O265" s="2"/>
      <c r="P265" s="65" t="str">
        <f>IF($A235="","",$A235)</f>
        <v/>
      </c>
      <c r="Q265" s="44"/>
      <c r="R265" s="44" t="str">
        <f t="shared" si="324"/>
        <v/>
      </c>
      <c r="S265" s="44"/>
      <c r="T265" s="23" t="str">
        <f t="shared" si="325"/>
        <v/>
      </c>
      <c r="U265" s="44"/>
      <c r="V265" s="44" t="str">
        <f t="shared" si="326"/>
        <v/>
      </c>
      <c r="W265" s="66"/>
      <c r="X265" s="61" t="str">
        <f t="shared" si="334"/>
        <v/>
      </c>
      <c r="Y265" s="62" t="str">
        <f t="shared" si="312"/>
        <v/>
      </c>
      <c r="Z265" s="23" t="str">
        <f t="shared" si="327"/>
        <v/>
      </c>
      <c r="AA265" s="24" t="str">
        <f t="shared" si="328"/>
        <v/>
      </c>
      <c r="AB265" s="11"/>
      <c r="AD265" s="65" t="str">
        <f>IF($A235="","",$A235)</f>
        <v/>
      </c>
      <c r="AE265" s="44"/>
      <c r="AF265" s="44" t="str">
        <f t="shared" si="329"/>
        <v/>
      </c>
      <c r="AG265" s="44"/>
      <c r="AH265" s="23" t="str">
        <f t="shared" si="330"/>
        <v/>
      </c>
      <c r="AI265" s="44"/>
      <c r="AJ265" s="44" t="str">
        <f t="shared" si="331"/>
        <v/>
      </c>
      <c r="AK265" s="66"/>
      <c r="AL265" s="61" t="str">
        <f t="shared" si="319"/>
        <v/>
      </c>
      <c r="AM265" s="62" t="str">
        <f t="shared" si="320"/>
        <v/>
      </c>
      <c r="AN265" s="23" t="str">
        <f t="shared" si="332"/>
        <v/>
      </c>
      <c r="AO265" s="24" t="str">
        <f t="shared" si="333"/>
        <v/>
      </c>
      <c r="AP265" s="11"/>
    </row>
    <row r="266" spans="1:42" ht="15" customHeight="1">
      <c r="A266" s="12"/>
      <c r="B266" s="8"/>
      <c r="C266" s="9"/>
      <c r="D266" s="9" t="str">
        <f t="shared" si="321"/>
        <v/>
      </c>
      <c r="E266" s="9"/>
      <c r="F266" s="9" t="str">
        <f t="shared" si="322"/>
        <v/>
      </c>
      <c r="G266" s="9"/>
      <c r="H266" s="9" t="str">
        <f t="shared" si="323"/>
        <v/>
      </c>
      <c r="I266" s="9"/>
      <c r="J266" s="9"/>
      <c r="K266" s="9"/>
      <c r="L266" s="9" t="str">
        <f t="shared" si="313"/>
        <v/>
      </c>
      <c r="M266" s="10" t="str">
        <f t="shared" si="314"/>
        <v/>
      </c>
      <c r="N266" s="11"/>
      <c r="O266" s="2"/>
      <c r="P266" s="12"/>
      <c r="Q266" s="9"/>
      <c r="R266" s="44" t="str">
        <f t="shared" si="324"/>
        <v/>
      </c>
      <c r="S266" s="9"/>
      <c r="T266" s="9" t="str">
        <f t="shared" si="325"/>
        <v/>
      </c>
      <c r="U266" s="9"/>
      <c r="V266" s="9" t="str">
        <f t="shared" si="326"/>
        <v/>
      </c>
      <c r="W266" s="13"/>
      <c r="X266" s="47" t="str">
        <f t="shared" si="334"/>
        <v/>
      </c>
      <c r="Y266" s="45"/>
      <c r="Z266" s="9" t="str">
        <f t="shared" si="327"/>
        <v/>
      </c>
      <c r="AA266" s="10" t="str">
        <f t="shared" si="328"/>
        <v/>
      </c>
      <c r="AB266" s="11"/>
      <c r="AD266" s="12"/>
      <c r="AE266" s="9"/>
      <c r="AF266" s="44" t="str">
        <f t="shared" si="329"/>
        <v/>
      </c>
      <c r="AG266" s="9"/>
      <c r="AH266" s="9" t="str">
        <f t="shared" si="330"/>
        <v/>
      </c>
      <c r="AI266" s="9"/>
      <c r="AJ266" s="9" t="str">
        <f t="shared" si="331"/>
        <v/>
      </c>
      <c r="AK266" s="13"/>
      <c r="AL266" s="47" t="str">
        <f t="shared" ref="AL266:AL280" si="335">IF(AE266="","",AL262)</f>
        <v/>
      </c>
      <c r="AM266" s="45"/>
      <c r="AN266" s="9" t="str">
        <f t="shared" si="332"/>
        <v/>
      </c>
      <c r="AO266" s="10" t="str">
        <f t="shared" si="333"/>
        <v/>
      </c>
      <c r="AP266" s="11"/>
    </row>
    <row r="267" spans="1:42" ht="15" customHeight="1">
      <c r="A267" s="12"/>
      <c r="B267" s="8"/>
      <c r="C267" s="9"/>
      <c r="D267" s="9" t="str">
        <f t="shared" si="321"/>
        <v/>
      </c>
      <c r="E267" s="9"/>
      <c r="F267" s="9" t="str">
        <f t="shared" si="322"/>
        <v/>
      </c>
      <c r="G267" s="9"/>
      <c r="H267" s="9" t="str">
        <f t="shared" si="323"/>
        <v/>
      </c>
      <c r="I267" s="9"/>
      <c r="J267" s="9"/>
      <c r="K267" s="9"/>
      <c r="L267" s="9" t="str">
        <f t="shared" si="313"/>
        <v/>
      </c>
      <c r="M267" s="10" t="str">
        <f t="shared" si="314"/>
        <v/>
      </c>
      <c r="N267" s="11"/>
      <c r="O267" s="2"/>
      <c r="P267" s="12"/>
      <c r="Q267" s="9"/>
      <c r="R267" s="52" t="str">
        <f t="shared" si="324"/>
        <v/>
      </c>
      <c r="S267" s="9"/>
      <c r="T267" s="9" t="str">
        <f t="shared" si="325"/>
        <v/>
      </c>
      <c r="U267" s="9"/>
      <c r="V267" s="9" t="str">
        <f t="shared" si="326"/>
        <v/>
      </c>
      <c r="W267" s="13"/>
      <c r="X267" s="47" t="str">
        <f t="shared" si="334"/>
        <v/>
      </c>
      <c r="Y267" s="9" t="str">
        <f t="shared" ref="Y267:Y280" si="336">IF(R267="","",Y263)</f>
        <v/>
      </c>
      <c r="Z267" s="9" t="str">
        <f t="shared" si="327"/>
        <v/>
      </c>
      <c r="AA267" s="10" t="str">
        <f t="shared" si="328"/>
        <v/>
      </c>
      <c r="AB267" s="11"/>
      <c r="AD267" s="12"/>
      <c r="AE267" s="9"/>
      <c r="AF267" s="52" t="str">
        <f t="shared" si="329"/>
        <v/>
      </c>
      <c r="AG267" s="9"/>
      <c r="AH267" s="9" t="str">
        <f t="shared" si="330"/>
        <v/>
      </c>
      <c r="AI267" s="9"/>
      <c r="AJ267" s="9" t="str">
        <f t="shared" si="331"/>
        <v/>
      </c>
      <c r="AK267" s="13"/>
      <c r="AL267" s="47" t="str">
        <f t="shared" si="335"/>
        <v/>
      </c>
      <c r="AM267" s="9" t="str">
        <f t="shared" ref="AM267:AM280" si="337">IF(AF267="","",AM263)</f>
        <v/>
      </c>
      <c r="AN267" s="9" t="str">
        <f t="shared" si="332"/>
        <v/>
      </c>
      <c r="AO267" s="10" t="str">
        <f t="shared" si="333"/>
        <v/>
      </c>
      <c r="AP267" s="11"/>
    </row>
    <row r="268" spans="1:42" ht="15" customHeight="1" thickBot="1">
      <c r="A268" s="12"/>
      <c r="B268" s="8"/>
      <c r="C268" s="9"/>
      <c r="D268" s="9" t="str">
        <f t="shared" si="321"/>
        <v/>
      </c>
      <c r="E268" s="9"/>
      <c r="F268" s="9" t="str">
        <f t="shared" si="322"/>
        <v/>
      </c>
      <c r="G268" s="9"/>
      <c r="H268" s="9" t="str">
        <f t="shared" si="323"/>
        <v/>
      </c>
      <c r="I268" s="9"/>
      <c r="J268" s="9"/>
      <c r="K268" s="9"/>
      <c r="L268" s="9" t="str">
        <f t="shared" si="313"/>
        <v/>
      </c>
      <c r="M268" s="10" t="str">
        <f t="shared" si="314"/>
        <v/>
      </c>
      <c r="N268" s="11"/>
      <c r="O268" s="2"/>
      <c r="P268" s="18"/>
      <c r="Q268" s="21"/>
      <c r="R268" s="50" t="str">
        <f t="shared" si="324"/>
        <v/>
      </c>
      <c r="S268" s="51"/>
      <c r="T268" s="19" t="str">
        <f t="shared" si="325"/>
        <v/>
      </c>
      <c r="U268" s="19"/>
      <c r="V268" s="19" t="str">
        <f t="shared" si="326"/>
        <v/>
      </c>
      <c r="W268" s="37"/>
      <c r="X268" s="48" t="str">
        <f t="shared" si="334"/>
        <v/>
      </c>
      <c r="Y268" s="51" t="str">
        <f t="shared" si="336"/>
        <v/>
      </c>
      <c r="Z268" s="19" t="str">
        <f t="shared" si="327"/>
        <v/>
      </c>
      <c r="AA268" s="20" t="str">
        <f t="shared" si="328"/>
        <v/>
      </c>
      <c r="AB268" s="11"/>
      <c r="AD268" s="18"/>
      <c r="AE268" s="21"/>
      <c r="AF268" s="50" t="str">
        <f t="shared" si="329"/>
        <v/>
      </c>
      <c r="AG268" s="51"/>
      <c r="AH268" s="19" t="str">
        <f t="shared" si="330"/>
        <v/>
      </c>
      <c r="AI268" s="19"/>
      <c r="AJ268" s="19" t="str">
        <f t="shared" si="331"/>
        <v/>
      </c>
      <c r="AK268" s="37"/>
      <c r="AL268" s="48" t="str">
        <f t="shared" si="335"/>
        <v/>
      </c>
      <c r="AM268" s="51" t="str">
        <f t="shared" si="337"/>
        <v/>
      </c>
      <c r="AN268" s="19" t="str">
        <f t="shared" si="332"/>
        <v/>
      </c>
      <c r="AO268" s="20" t="str">
        <f t="shared" si="333"/>
        <v/>
      </c>
      <c r="AP268" s="11"/>
    </row>
    <row r="269" spans="1:42" ht="15" customHeight="1" thickTop="1">
      <c r="A269" s="12"/>
      <c r="B269" s="8"/>
      <c r="C269" s="9"/>
      <c r="D269" s="9" t="str">
        <f t="shared" si="321"/>
        <v/>
      </c>
      <c r="E269" s="9"/>
      <c r="F269" s="9" t="str">
        <f t="shared" si="322"/>
        <v/>
      </c>
      <c r="G269" s="9"/>
      <c r="H269" s="9" t="str">
        <f t="shared" si="323"/>
        <v/>
      </c>
      <c r="I269" s="9"/>
      <c r="J269" s="9"/>
      <c r="K269" s="9"/>
      <c r="L269" s="9" t="str">
        <f t="shared" si="313"/>
        <v/>
      </c>
      <c r="M269" s="10" t="str">
        <f t="shared" si="314"/>
        <v/>
      </c>
      <c r="N269" s="11"/>
      <c r="O269" s="2"/>
      <c r="P269" s="65" t="str">
        <f>IF($A236="","",$A236)</f>
        <v/>
      </c>
      <c r="Q269" s="44"/>
      <c r="R269" s="44" t="str">
        <f t="shared" si="324"/>
        <v/>
      </c>
      <c r="S269" s="44"/>
      <c r="T269" s="23" t="str">
        <f t="shared" si="325"/>
        <v/>
      </c>
      <c r="U269" s="44"/>
      <c r="V269" s="44" t="str">
        <f t="shared" si="326"/>
        <v/>
      </c>
      <c r="W269" s="44"/>
      <c r="X269" s="61" t="str">
        <f t="shared" si="334"/>
        <v/>
      </c>
      <c r="Y269" s="62" t="str">
        <f t="shared" si="336"/>
        <v/>
      </c>
      <c r="Z269" s="23" t="str">
        <f t="shared" si="327"/>
        <v/>
      </c>
      <c r="AA269" s="24" t="str">
        <f t="shared" si="328"/>
        <v/>
      </c>
      <c r="AB269" s="11"/>
      <c r="AD269" s="65" t="str">
        <f>IF($A236="","",$A236)</f>
        <v/>
      </c>
      <c r="AE269" s="44"/>
      <c r="AF269" s="44" t="str">
        <f t="shared" si="329"/>
        <v/>
      </c>
      <c r="AG269" s="44"/>
      <c r="AH269" s="23" t="str">
        <f t="shared" si="330"/>
        <v/>
      </c>
      <c r="AI269" s="44"/>
      <c r="AJ269" s="44" t="str">
        <f t="shared" si="331"/>
        <v/>
      </c>
      <c r="AK269" s="44"/>
      <c r="AL269" s="61" t="str">
        <f t="shared" si="335"/>
        <v/>
      </c>
      <c r="AM269" s="62" t="str">
        <f t="shared" si="337"/>
        <v/>
      </c>
      <c r="AN269" s="23" t="str">
        <f t="shared" si="332"/>
        <v/>
      </c>
      <c r="AO269" s="24" t="str">
        <f t="shared" si="333"/>
        <v/>
      </c>
      <c r="AP269" s="11"/>
    </row>
    <row r="270" spans="1:42" ht="15" customHeight="1">
      <c r="A270" s="12"/>
      <c r="B270" s="8"/>
      <c r="C270" s="9"/>
      <c r="D270" s="9" t="str">
        <f t="shared" si="321"/>
        <v/>
      </c>
      <c r="E270" s="9"/>
      <c r="F270" s="9" t="str">
        <f t="shared" si="322"/>
        <v/>
      </c>
      <c r="G270" s="9"/>
      <c r="H270" s="9" t="str">
        <f t="shared" si="323"/>
        <v/>
      </c>
      <c r="I270" s="9"/>
      <c r="J270" s="9"/>
      <c r="K270" s="9"/>
      <c r="L270" s="9" t="str">
        <f t="shared" si="313"/>
        <v/>
      </c>
      <c r="M270" s="10" t="str">
        <f t="shared" si="314"/>
        <v/>
      </c>
      <c r="N270" s="11"/>
      <c r="O270" s="2"/>
      <c r="P270" s="12"/>
      <c r="Q270" s="9"/>
      <c r="R270" s="9" t="str">
        <f t="shared" si="324"/>
        <v/>
      </c>
      <c r="S270" s="9"/>
      <c r="T270" s="9" t="str">
        <f t="shared" si="325"/>
        <v/>
      </c>
      <c r="U270" s="9"/>
      <c r="V270" s="9" t="str">
        <f t="shared" si="326"/>
        <v/>
      </c>
      <c r="W270" s="9"/>
      <c r="X270" s="47" t="str">
        <f t="shared" si="334"/>
        <v/>
      </c>
      <c r="Y270" s="45" t="str">
        <f t="shared" si="336"/>
        <v/>
      </c>
      <c r="Z270" s="9" t="str">
        <f t="shared" si="327"/>
        <v/>
      </c>
      <c r="AA270" s="10" t="str">
        <f t="shared" si="328"/>
        <v/>
      </c>
      <c r="AB270" s="11"/>
      <c r="AD270" s="12"/>
      <c r="AE270" s="9"/>
      <c r="AF270" s="9" t="str">
        <f t="shared" si="329"/>
        <v/>
      </c>
      <c r="AG270" s="9"/>
      <c r="AH270" s="9" t="str">
        <f t="shared" si="330"/>
        <v/>
      </c>
      <c r="AI270" s="9"/>
      <c r="AJ270" s="9" t="str">
        <f t="shared" si="331"/>
        <v/>
      </c>
      <c r="AK270" s="9"/>
      <c r="AL270" s="47" t="str">
        <f t="shared" si="335"/>
        <v/>
      </c>
      <c r="AM270" s="45" t="str">
        <f t="shared" si="337"/>
        <v/>
      </c>
      <c r="AN270" s="9" t="str">
        <f t="shared" si="332"/>
        <v/>
      </c>
      <c r="AO270" s="10" t="str">
        <f t="shared" si="333"/>
        <v/>
      </c>
      <c r="AP270" s="11"/>
    </row>
    <row r="271" spans="1:42" ht="15" customHeight="1">
      <c r="A271" s="12"/>
      <c r="B271" s="8"/>
      <c r="C271" s="9"/>
      <c r="D271" s="9" t="str">
        <f t="shared" si="321"/>
        <v/>
      </c>
      <c r="E271" s="9"/>
      <c r="F271" s="9" t="str">
        <f t="shared" si="322"/>
        <v/>
      </c>
      <c r="G271" s="9"/>
      <c r="H271" s="9" t="str">
        <f t="shared" si="323"/>
        <v/>
      </c>
      <c r="I271" s="9"/>
      <c r="J271" s="9"/>
      <c r="K271" s="9"/>
      <c r="L271" s="9" t="str">
        <f t="shared" si="313"/>
        <v/>
      </c>
      <c r="M271" s="10" t="str">
        <f t="shared" si="314"/>
        <v/>
      </c>
      <c r="N271" s="11"/>
      <c r="O271" s="2"/>
      <c r="P271" s="12"/>
      <c r="Q271" s="9"/>
      <c r="R271" s="9" t="str">
        <f t="shared" si="324"/>
        <v/>
      </c>
      <c r="S271" s="9"/>
      <c r="T271" s="9" t="str">
        <f t="shared" si="325"/>
        <v/>
      </c>
      <c r="U271" s="9"/>
      <c r="V271" s="9" t="str">
        <f t="shared" si="326"/>
        <v/>
      </c>
      <c r="W271" s="9"/>
      <c r="X271" s="47" t="str">
        <f t="shared" si="334"/>
        <v/>
      </c>
      <c r="Y271" s="9" t="str">
        <f t="shared" si="336"/>
        <v/>
      </c>
      <c r="Z271" s="9" t="str">
        <f t="shared" si="327"/>
        <v/>
      </c>
      <c r="AA271" s="10" t="str">
        <f t="shared" si="328"/>
        <v/>
      </c>
      <c r="AB271" s="11"/>
      <c r="AD271" s="12"/>
      <c r="AE271" s="9"/>
      <c r="AF271" s="9" t="str">
        <f t="shared" si="329"/>
        <v/>
      </c>
      <c r="AG271" s="9"/>
      <c r="AH271" s="9" t="str">
        <f t="shared" si="330"/>
        <v/>
      </c>
      <c r="AI271" s="9"/>
      <c r="AJ271" s="9" t="str">
        <f t="shared" si="331"/>
        <v/>
      </c>
      <c r="AK271" s="9"/>
      <c r="AL271" s="47" t="str">
        <f t="shared" si="335"/>
        <v/>
      </c>
      <c r="AM271" s="9" t="str">
        <f t="shared" si="337"/>
        <v/>
      </c>
      <c r="AN271" s="9" t="str">
        <f t="shared" si="332"/>
        <v/>
      </c>
      <c r="AO271" s="10" t="str">
        <f t="shared" si="333"/>
        <v/>
      </c>
      <c r="AP271" s="11"/>
    </row>
    <row r="272" spans="1:42" ht="15" customHeight="1" thickBot="1">
      <c r="A272" s="12"/>
      <c r="B272" s="8"/>
      <c r="C272" s="9"/>
      <c r="D272" s="9" t="str">
        <f t="shared" si="321"/>
        <v/>
      </c>
      <c r="E272" s="9"/>
      <c r="F272" s="9" t="str">
        <f t="shared" si="322"/>
        <v/>
      </c>
      <c r="G272" s="9"/>
      <c r="H272" s="9" t="str">
        <f t="shared" si="323"/>
        <v/>
      </c>
      <c r="I272" s="9"/>
      <c r="J272" s="9"/>
      <c r="K272" s="9"/>
      <c r="L272" s="9" t="str">
        <f t="shared" si="313"/>
        <v/>
      </c>
      <c r="M272" s="10" t="str">
        <f t="shared" si="314"/>
        <v/>
      </c>
      <c r="N272" s="11"/>
      <c r="O272" s="2"/>
      <c r="P272" s="18"/>
      <c r="Q272" s="19"/>
      <c r="R272" s="19" t="str">
        <f t="shared" si="324"/>
        <v/>
      </c>
      <c r="S272" s="19"/>
      <c r="T272" s="19" t="str">
        <f t="shared" si="325"/>
        <v/>
      </c>
      <c r="U272" s="19"/>
      <c r="V272" s="19" t="str">
        <f t="shared" si="326"/>
        <v/>
      </c>
      <c r="W272" s="19"/>
      <c r="X272" s="48" t="str">
        <f t="shared" si="334"/>
        <v/>
      </c>
      <c r="Y272" s="51" t="str">
        <f t="shared" si="336"/>
        <v/>
      </c>
      <c r="Z272" s="19" t="str">
        <f t="shared" si="327"/>
        <v/>
      </c>
      <c r="AA272" s="20" t="str">
        <f t="shared" si="328"/>
        <v/>
      </c>
      <c r="AB272" s="11"/>
      <c r="AD272" s="18"/>
      <c r="AE272" s="19"/>
      <c r="AF272" s="19" t="str">
        <f t="shared" si="329"/>
        <v/>
      </c>
      <c r="AG272" s="19"/>
      <c r="AH272" s="19" t="str">
        <f t="shared" si="330"/>
        <v/>
      </c>
      <c r="AI272" s="19"/>
      <c r="AJ272" s="19" t="str">
        <f t="shared" si="331"/>
        <v/>
      </c>
      <c r="AK272" s="19"/>
      <c r="AL272" s="48" t="str">
        <f t="shared" si="335"/>
        <v/>
      </c>
      <c r="AM272" s="51" t="str">
        <f t="shared" si="337"/>
        <v/>
      </c>
      <c r="AN272" s="19" t="str">
        <f t="shared" si="332"/>
        <v/>
      </c>
      <c r="AO272" s="20" t="str">
        <f t="shared" si="333"/>
        <v/>
      </c>
      <c r="AP272" s="11"/>
    </row>
    <row r="273" spans="1:42" ht="15" customHeight="1" thickTop="1">
      <c r="A273" s="12"/>
      <c r="B273" s="8"/>
      <c r="C273" s="9"/>
      <c r="D273" s="9" t="str">
        <f t="shared" si="321"/>
        <v/>
      </c>
      <c r="E273" s="9"/>
      <c r="F273" s="9" t="str">
        <f t="shared" si="322"/>
        <v/>
      </c>
      <c r="G273" s="9"/>
      <c r="H273" s="9" t="str">
        <f t="shared" si="323"/>
        <v/>
      </c>
      <c r="I273" s="9"/>
      <c r="J273" s="9"/>
      <c r="K273" s="9"/>
      <c r="L273" s="9" t="str">
        <f t="shared" si="313"/>
        <v/>
      </c>
      <c r="M273" s="10" t="str">
        <f t="shared" si="314"/>
        <v/>
      </c>
      <c r="N273" s="11"/>
      <c r="O273" s="2"/>
      <c r="P273" s="65" t="str">
        <f>IF($A237="","",$A237)</f>
        <v/>
      </c>
      <c r="Q273" s="44"/>
      <c r="R273" s="44" t="str">
        <f t="shared" si="324"/>
        <v/>
      </c>
      <c r="S273" s="44"/>
      <c r="T273" s="23" t="str">
        <f t="shared" si="325"/>
        <v/>
      </c>
      <c r="U273" s="44"/>
      <c r="V273" s="44" t="str">
        <f t="shared" si="326"/>
        <v/>
      </c>
      <c r="W273" s="44"/>
      <c r="X273" s="61" t="str">
        <f t="shared" si="334"/>
        <v/>
      </c>
      <c r="Y273" s="62" t="str">
        <f t="shared" si="336"/>
        <v/>
      </c>
      <c r="Z273" s="23" t="str">
        <f t="shared" si="327"/>
        <v/>
      </c>
      <c r="AA273" s="24" t="str">
        <f t="shared" si="328"/>
        <v/>
      </c>
      <c r="AB273" s="11"/>
      <c r="AD273" s="65" t="str">
        <f>IF($A237="","",$A237)</f>
        <v/>
      </c>
      <c r="AE273" s="44"/>
      <c r="AF273" s="44" t="str">
        <f t="shared" si="329"/>
        <v/>
      </c>
      <c r="AG273" s="44"/>
      <c r="AH273" s="23" t="str">
        <f t="shared" si="330"/>
        <v/>
      </c>
      <c r="AI273" s="44"/>
      <c r="AJ273" s="44" t="str">
        <f t="shared" si="331"/>
        <v/>
      </c>
      <c r="AK273" s="44"/>
      <c r="AL273" s="61" t="str">
        <f t="shared" si="335"/>
        <v/>
      </c>
      <c r="AM273" s="62" t="str">
        <f t="shared" si="337"/>
        <v/>
      </c>
      <c r="AN273" s="23" t="str">
        <f t="shared" si="332"/>
        <v/>
      </c>
      <c r="AO273" s="24" t="str">
        <f t="shared" si="333"/>
        <v/>
      </c>
      <c r="AP273" s="11"/>
    </row>
    <row r="274" spans="1:42" ht="15" customHeight="1">
      <c r="A274" s="12"/>
      <c r="B274" s="8"/>
      <c r="C274" s="9"/>
      <c r="D274" s="9" t="str">
        <f t="shared" si="321"/>
        <v/>
      </c>
      <c r="E274" s="9"/>
      <c r="F274" s="9" t="str">
        <f t="shared" si="322"/>
        <v/>
      </c>
      <c r="G274" s="9"/>
      <c r="H274" s="9" t="str">
        <f t="shared" si="323"/>
        <v/>
      </c>
      <c r="I274" s="9"/>
      <c r="J274" s="9"/>
      <c r="K274" s="9"/>
      <c r="L274" s="9" t="str">
        <f t="shared" si="313"/>
        <v/>
      </c>
      <c r="M274" s="10" t="str">
        <f t="shared" si="314"/>
        <v/>
      </c>
      <c r="N274" s="11"/>
      <c r="O274" s="2"/>
      <c r="P274" s="12"/>
      <c r="Q274" s="9"/>
      <c r="R274" s="9" t="str">
        <f t="shared" si="324"/>
        <v/>
      </c>
      <c r="S274" s="9"/>
      <c r="T274" s="9" t="str">
        <f t="shared" si="325"/>
        <v/>
      </c>
      <c r="U274" s="9"/>
      <c r="V274" s="9" t="str">
        <f t="shared" si="326"/>
        <v/>
      </c>
      <c r="W274" s="9"/>
      <c r="X274" s="47" t="str">
        <f t="shared" si="334"/>
        <v/>
      </c>
      <c r="Y274" s="45" t="str">
        <f t="shared" si="336"/>
        <v/>
      </c>
      <c r="Z274" s="9" t="str">
        <f t="shared" si="327"/>
        <v/>
      </c>
      <c r="AA274" s="10" t="str">
        <f t="shared" si="328"/>
        <v/>
      </c>
      <c r="AB274" s="11"/>
      <c r="AD274" s="12"/>
      <c r="AE274" s="9"/>
      <c r="AF274" s="9" t="str">
        <f t="shared" si="329"/>
        <v/>
      </c>
      <c r="AG274" s="9"/>
      <c r="AH274" s="9" t="str">
        <f t="shared" si="330"/>
        <v/>
      </c>
      <c r="AI274" s="9"/>
      <c r="AJ274" s="9" t="str">
        <f t="shared" si="331"/>
        <v/>
      </c>
      <c r="AK274" s="9"/>
      <c r="AL274" s="47" t="str">
        <f t="shared" si="335"/>
        <v/>
      </c>
      <c r="AM274" s="45" t="str">
        <f t="shared" si="337"/>
        <v/>
      </c>
      <c r="AN274" s="9" t="str">
        <f t="shared" si="332"/>
        <v/>
      </c>
      <c r="AO274" s="10" t="str">
        <f t="shared" si="333"/>
        <v/>
      </c>
      <c r="AP274" s="11"/>
    </row>
    <row r="275" spans="1:42" ht="15" customHeight="1">
      <c r="A275" s="12"/>
      <c r="B275" s="8"/>
      <c r="C275" s="9"/>
      <c r="D275" s="9" t="str">
        <f t="shared" si="321"/>
        <v/>
      </c>
      <c r="E275" s="9"/>
      <c r="F275" s="9" t="str">
        <f t="shared" si="322"/>
        <v/>
      </c>
      <c r="G275" s="9"/>
      <c r="H275" s="9" t="str">
        <f t="shared" si="323"/>
        <v/>
      </c>
      <c r="I275" s="9"/>
      <c r="J275" s="9"/>
      <c r="K275" s="9"/>
      <c r="L275" s="9" t="str">
        <f t="shared" si="313"/>
        <v/>
      </c>
      <c r="M275" s="10" t="str">
        <f t="shared" si="314"/>
        <v/>
      </c>
      <c r="N275" s="11"/>
      <c r="O275" s="2"/>
      <c r="P275" s="12"/>
      <c r="Q275" s="9"/>
      <c r="R275" s="9" t="str">
        <f t="shared" si="324"/>
        <v/>
      </c>
      <c r="S275" s="9"/>
      <c r="T275" s="9" t="str">
        <f t="shared" si="325"/>
        <v/>
      </c>
      <c r="U275" s="9"/>
      <c r="V275" s="9" t="str">
        <f t="shared" si="326"/>
        <v/>
      </c>
      <c r="W275" s="9"/>
      <c r="X275" s="47" t="str">
        <f t="shared" si="334"/>
        <v/>
      </c>
      <c r="Y275" s="9" t="str">
        <f t="shared" si="336"/>
        <v/>
      </c>
      <c r="Z275" s="9" t="str">
        <f t="shared" si="327"/>
        <v/>
      </c>
      <c r="AA275" s="10" t="str">
        <f t="shared" si="328"/>
        <v/>
      </c>
      <c r="AB275" s="11"/>
      <c r="AD275" s="12"/>
      <c r="AE275" s="9"/>
      <c r="AF275" s="9" t="str">
        <f t="shared" si="329"/>
        <v/>
      </c>
      <c r="AG275" s="9"/>
      <c r="AH275" s="9" t="str">
        <f t="shared" si="330"/>
        <v/>
      </c>
      <c r="AI275" s="9"/>
      <c r="AJ275" s="9" t="str">
        <f t="shared" si="331"/>
        <v/>
      </c>
      <c r="AK275" s="9"/>
      <c r="AL275" s="47" t="str">
        <f t="shared" si="335"/>
        <v/>
      </c>
      <c r="AM275" s="9" t="str">
        <f t="shared" si="337"/>
        <v/>
      </c>
      <c r="AN275" s="9" t="str">
        <f t="shared" si="332"/>
        <v/>
      </c>
      <c r="AO275" s="10" t="str">
        <f t="shared" si="333"/>
        <v/>
      </c>
      <c r="AP275" s="11"/>
    </row>
    <row r="276" spans="1:42" ht="15" customHeight="1" thickBot="1">
      <c r="A276" s="12"/>
      <c r="B276" s="8"/>
      <c r="C276" s="9"/>
      <c r="D276" s="9" t="str">
        <f t="shared" si="321"/>
        <v/>
      </c>
      <c r="E276" s="9"/>
      <c r="F276" s="9" t="str">
        <f t="shared" si="322"/>
        <v/>
      </c>
      <c r="G276" s="9"/>
      <c r="H276" s="9" t="str">
        <f t="shared" si="323"/>
        <v/>
      </c>
      <c r="I276" s="9"/>
      <c r="J276" s="9"/>
      <c r="K276" s="9"/>
      <c r="L276" s="9" t="str">
        <f t="shared" si="313"/>
        <v/>
      </c>
      <c r="M276" s="10" t="str">
        <f t="shared" si="314"/>
        <v/>
      </c>
      <c r="N276" s="11"/>
      <c r="O276" s="2"/>
      <c r="P276" s="18"/>
      <c r="Q276" s="19"/>
      <c r="R276" s="19" t="str">
        <f t="shared" si="324"/>
        <v/>
      </c>
      <c r="S276" s="19"/>
      <c r="T276" s="19" t="str">
        <f t="shared" si="325"/>
        <v/>
      </c>
      <c r="U276" s="19"/>
      <c r="V276" s="19" t="str">
        <f t="shared" si="326"/>
        <v/>
      </c>
      <c r="W276" s="19"/>
      <c r="X276" s="48" t="str">
        <f t="shared" si="334"/>
        <v/>
      </c>
      <c r="Y276" s="51" t="str">
        <f t="shared" si="336"/>
        <v/>
      </c>
      <c r="Z276" s="19" t="str">
        <f t="shared" si="327"/>
        <v/>
      </c>
      <c r="AA276" s="20" t="str">
        <f t="shared" si="328"/>
        <v/>
      </c>
      <c r="AB276" s="11"/>
      <c r="AD276" s="18"/>
      <c r="AE276" s="19"/>
      <c r="AF276" s="19" t="str">
        <f t="shared" si="329"/>
        <v/>
      </c>
      <c r="AG276" s="19"/>
      <c r="AH276" s="19" t="str">
        <f t="shared" si="330"/>
        <v/>
      </c>
      <c r="AI276" s="19"/>
      <c r="AJ276" s="19" t="str">
        <f t="shared" si="331"/>
        <v/>
      </c>
      <c r="AK276" s="19"/>
      <c r="AL276" s="48" t="str">
        <f t="shared" si="335"/>
        <v/>
      </c>
      <c r="AM276" s="51" t="str">
        <f t="shared" si="337"/>
        <v/>
      </c>
      <c r="AN276" s="19" t="str">
        <f t="shared" si="332"/>
        <v/>
      </c>
      <c r="AO276" s="20" t="str">
        <f t="shared" si="333"/>
        <v/>
      </c>
      <c r="AP276" s="11"/>
    </row>
    <row r="277" spans="1:42" ht="15" customHeight="1" thickTop="1">
      <c r="A277" s="12"/>
      <c r="B277" s="8"/>
      <c r="C277" s="9"/>
      <c r="D277" s="9" t="str">
        <f t="shared" si="321"/>
        <v/>
      </c>
      <c r="E277" s="9"/>
      <c r="F277" s="9" t="str">
        <f t="shared" si="322"/>
        <v/>
      </c>
      <c r="G277" s="9"/>
      <c r="H277" s="9" t="str">
        <f t="shared" si="323"/>
        <v/>
      </c>
      <c r="I277" s="9"/>
      <c r="J277" s="9"/>
      <c r="K277" s="9"/>
      <c r="L277" s="9" t="str">
        <f t="shared" si="313"/>
        <v/>
      </c>
      <c r="M277" s="10" t="str">
        <f t="shared" si="314"/>
        <v/>
      </c>
      <c r="N277" s="11"/>
      <c r="O277" s="2"/>
      <c r="P277" s="65" t="str">
        <f>IF($A238="","",$A238)</f>
        <v/>
      </c>
      <c r="Q277" s="44"/>
      <c r="R277" s="44" t="str">
        <f t="shared" si="324"/>
        <v/>
      </c>
      <c r="S277" s="44"/>
      <c r="T277" s="44" t="str">
        <f t="shared" si="325"/>
        <v/>
      </c>
      <c r="U277" s="44"/>
      <c r="V277" s="44" t="str">
        <f t="shared" si="326"/>
        <v/>
      </c>
      <c r="W277" s="44"/>
      <c r="X277" s="64" t="str">
        <f t="shared" si="334"/>
        <v/>
      </c>
      <c r="Y277" s="44" t="str">
        <f t="shared" si="336"/>
        <v/>
      </c>
      <c r="Z277" s="44" t="str">
        <f t="shared" si="327"/>
        <v/>
      </c>
      <c r="AA277" s="44" t="str">
        <f t="shared" si="328"/>
        <v/>
      </c>
      <c r="AB277" s="11"/>
      <c r="AD277" s="65" t="str">
        <f>IF($A238="","",$A238)</f>
        <v/>
      </c>
      <c r="AE277" s="44"/>
      <c r="AF277" s="44" t="str">
        <f t="shared" si="329"/>
        <v/>
      </c>
      <c r="AG277" s="44"/>
      <c r="AH277" s="44" t="str">
        <f t="shared" si="330"/>
        <v/>
      </c>
      <c r="AI277" s="44"/>
      <c r="AJ277" s="44" t="str">
        <f t="shared" si="331"/>
        <v/>
      </c>
      <c r="AK277" s="44"/>
      <c r="AL277" s="61" t="str">
        <f t="shared" si="335"/>
        <v/>
      </c>
      <c r="AM277" s="44" t="str">
        <f t="shared" si="337"/>
        <v/>
      </c>
      <c r="AN277" s="23" t="str">
        <f t="shared" si="332"/>
        <v/>
      </c>
      <c r="AO277" s="24" t="str">
        <f t="shared" si="333"/>
        <v/>
      </c>
      <c r="AP277" s="11"/>
    </row>
    <row r="278" spans="1:42" ht="15" customHeight="1">
      <c r="A278" s="12"/>
      <c r="B278" s="8"/>
      <c r="C278" s="9"/>
      <c r="D278" s="9"/>
      <c r="E278" s="9"/>
      <c r="F278" s="9" t="str">
        <f t="shared" si="322"/>
        <v/>
      </c>
      <c r="G278" s="9"/>
      <c r="H278" s="9" t="str">
        <f t="shared" si="323"/>
        <v/>
      </c>
      <c r="I278" s="9"/>
      <c r="J278" s="9"/>
      <c r="K278" s="9"/>
      <c r="L278" s="9" t="str">
        <f t="shared" si="313"/>
        <v/>
      </c>
      <c r="M278" s="10" t="str">
        <f t="shared" si="314"/>
        <v/>
      </c>
      <c r="N278" s="11"/>
      <c r="O278" s="2"/>
      <c r="P278" s="65"/>
      <c r="Q278" s="44"/>
      <c r="R278" s="44" t="str">
        <f t="shared" si="324"/>
        <v/>
      </c>
      <c r="S278" s="44"/>
      <c r="T278" s="44" t="str">
        <f t="shared" si="325"/>
        <v/>
      </c>
      <c r="U278" s="44"/>
      <c r="V278" s="44" t="str">
        <f t="shared" si="326"/>
        <v/>
      </c>
      <c r="W278" s="44"/>
      <c r="X278" s="64" t="str">
        <f t="shared" si="334"/>
        <v/>
      </c>
      <c r="Y278" s="44" t="str">
        <f t="shared" si="336"/>
        <v/>
      </c>
      <c r="Z278" s="44" t="str">
        <f t="shared" si="327"/>
        <v/>
      </c>
      <c r="AA278" s="44" t="str">
        <f t="shared" si="328"/>
        <v/>
      </c>
      <c r="AB278" s="11"/>
      <c r="AD278" s="65"/>
      <c r="AE278" s="44"/>
      <c r="AF278" s="44" t="str">
        <f t="shared" si="329"/>
        <v/>
      </c>
      <c r="AG278" s="44"/>
      <c r="AH278" s="44" t="str">
        <f t="shared" si="330"/>
        <v/>
      </c>
      <c r="AI278" s="44"/>
      <c r="AJ278" s="44" t="str">
        <f t="shared" si="331"/>
        <v/>
      </c>
      <c r="AK278" s="44"/>
      <c r="AL278" s="61" t="str">
        <f t="shared" si="335"/>
        <v/>
      </c>
      <c r="AM278" s="44" t="str">
        <f t="shared" si="337"/>
        <v/>
      </c>
      <c r="AN278" s="9" t="str">
        <f t="shared" si="332"/>
        <v/>
      </c>
      <c r="AO278" s="10" t="str">
        <f t="shared" si="333"/>
        <v/>
      </c>
      <c r="AP278" s="11"/>
    </row>
    <row r="279" spans="1:42" ht="15" customHeight="1">
      <c r="A279" s="12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0"/>
      <c r="N279" s="11"/>
      <c r="O279" s="2"/>
      <c r="P279" s="89"/>
      <c r="Q279" s="52"/>
      <c r="R279" s="52" t="str">
        <f t="shared" si="324"/>
        <v/>
      </c>
      <c r="S279" s="52"/>
      <c r="T279" s="52" t="str">
        <f t="shared" si="325"/>
        <v/>
      </c>
      <c r="U279" s="52"/>
      <c r="V279" s="52" t="str">
        <f t="shared" si="326"/>
        <v/>
      </c>
      <c r="W279" s="52"/>
      <c r="X279" s="90" t="str">
        <f t="shared" si="334"/>
        <v/>
      </c>
      <c r="Y279" s="52" t="str">
        <f t="shared" si="336"/>
        <v/>
      </c>
      <c r="Z279" s="52" t="str">
        <f t="shared" si="327"/>
        <v/>
      </c>
      <c r="AA279" s="52" t="str">
        <f t="shared" si="328"/>
        <v/>
      </c>
      <c r="AB279" s="31"/>
      <c r="AD279" s="89"/>
      <c r="AE279" s="52"/>
      <c r="AF279" s="52" t="str">
        <f t="shared" si="329"/>
        <v/>
      </c>
      <c r="AG279" s="52"/>
      <c r="AH279" s="52" t="str">
        <f t="shared" si="330"/>
        <v/>
      </c>
      <c r="AI279" s="52"/>
      <c r="AJ279" s="52" t="str">
        <f t="shared" si="331"/>
        <v/>
      </c>
      <c r="AK279" s="52"/>
      <c r="AL279" s="92" t="str">
        <f t="shared" si="335"/>
        <v/>
      </c>
      <c r="AM279" s="52" t="str">
        <f t="shared" si="337"/>
        <v/>
      </c>
      <c r="AN279" s="9" t="str">
        <f t="shared" si="332"/>
        <v/>
      </c>
      <c r="AO279" s="10" t="str">
        <f t="shared" si="333"/>
        <v/>
      </c>
      <c r="AP279" s="31"/>
    </row>
    <row r="280" spans="1:42" ht="15" customHeight="1" thickBot="1">
      <c r="A280" s="12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0"/>
      <c r="N280" s="11"/>
      <c r="O280" s="2"/>
      <c r="P280" s="85"/>
      <c r="Q280" s="50"/>
      <c r="R280" s="50" t="str">
        <f t="shared" si="324"/>
        <v/>
      </c>
      <c r="S280" s="50"/>
      <c r="T280" s="50" t="str">
        <f t="shared" si="325"/>
        <v/>
      </c>
      <c r="U280" s="50"/>
      <c r="V280" s="50" t="str">
        <f t="shared" si="326"/>
        <v/>
      </c>
      <c r="W280" s="50"/>
      <c r="X280" s="86" t="str">
        <f t="shared" si="334"/>
        <v/>
      </c>
      <c r="Y280" s="50" t="str">
        <f t="shared" si="336"/>
        <v/>
      </c>
      <c r="Z280" s="50" t="str">
        <f t="shared" si="327"/>
        <v/>
      </c>
      <c r="AA280" s="50" t="str">
        <f t="shared" si="328"/>
        <v/>
      </c>
      <c r="AB280" s="87"/>
      <c r="AD280" s="85"/>
      <c r="AE280" s="50"/>
      <c r="AF280" s="50" t="str">
        <f t="shared" si="329"/>
        <v/>
      </c>
      <c r="AG280" s="50"/>
      <c r="AH280" s="50" t="str">
        <f t="shared" si="330"/>
        <v/>
      </c>
      <c r="AI280" s="50"/>
      <c r="AJ280" s="50" t="str">
        <f t="shared" si="331"/>
        <v/>
      </c>
      <c r="AK280" s="50"/>
      <c r="AL280" s="91" t="str">
        <f t="shared" si="335"/>
        <v/>
      </c>
      <c r="AM280" s="50" t="str">
        <f t="shared" si="337"/>
        <v/>
      </c>
      <c r="AN280" s="19" t="str">
        <f t="shared" si="332"/>
        <v/>
      </c>
      <c r="AO280" s="20" t="str">
        <f t="shared" si="333"/>
        <v/>
      </c>
      <c r="AP280" s="87"/>
    </row>
    <row r="281" spans="1:42" ht="15" customHeight="1" thickTop="1">
      <c r="A281" s="4">
        <v>25</v>
      </c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0"/>
      <c r="N281" s="11"/>
      <c r="O281" s="2"/>
      <c r="P281" s="65"/>
      <c r="Q281" s="84" t="s">
        <v>17</v>
      </c>
      <c r="R281" s="44">
        <f>SUM(R225:R277)*100</f>
        <v>201800</v>
      </c>
      <c r="S281" s="44"/>
      <c r="T281" s="44"/>
      <c r="U281" s="84"/>
      <c r="V281" s="44"/>
      <c r="W281" s="44"/>
      <c r="X281" s="195" t="s">
        <v>19</v>
      </c>
      <c r="Y281" s="195"/>
      <c r="Z281" s="44">
        <f>SUM(Z225:Z277)</f>
        <v>29456</v>
      </c>
      <c r="AA281" s="44"/>
      <c r="AB281" s="69"/>
      <c r="AD281" s="65"/>
      <c r="AE281" s="84" t="s">
        <v>17</v>
      </c>
      <c r="AF281" s="44">
        <f>SUM(AF225:AF277)*100</f>
        <v>333500</v>
      </c>
      <c r="AG281" s="44"/>
      <c r="AH281" s="44"/>
      <c r="AI281" s="84"/>
      <c r="AJ281" s="44"/>
      <c r="AK281" s="44"/>
      <c r="AL281" s="195" t="s">
        <v>19</v>
      </c>
      <c r="AM281" s="195"/>
      <c r="AN281" s="44">
        <f>SUM(AN225:AN277)</f>
        <v>32514</v>
      </c>
      <c r="AO281" s="44"/>
      <c r="AP281" s="69"/>
    </row>
    <row r="282" spans="1:42" ht="15" customHeight="1">
      <c r="A282" s="96">
        <f>DATEDIF(A307,A231,"d")</f>
        <v>25</v>
      </c>
      <c r="B282" s="8">
        <f>SUM(B225:B281)</f>
        <v>10662</v>
      </c>
      <c r="C282" s="5" t="s">
        <v>17</v>
      </c>
      <c r="D282" s="9">
        <f>SUM(D225:D278)*100</f>
        <v>530900</v>
      </c>
      <c r="E282" s="9"/>
      <c r="F282" s="9"/>
      <c r="G282" s="5"/>
      <c r="H282" s="9"/>
      <c r="I282" s="9"/>
      <c r="J282" s="9"/>
      <c r="K282" s="9"/>
      <c r="L282" s="9"/>
      <c r="M282" s="9"/>
      <c r="N282" s="11"/>
      <c r="O282" s="2"/>
      <c r="P282" s="25"/>
      <c r="Q282" s="5" t="s">
        <v>20</v>
      </c>
      <c r="R282" s="9">
        <f>R281/$A282</f>
        <v>8072</v>
      </c>
      <c r="S282" s="9">
        <f>R282*A281</f>
        <v>201800</v>
      </c>
      <c r="T282" s="9"/>
      <c r="U282" s="5"/>
      <c r="V282" s="9"/>
      <c r="W282" s="9"/>
      <c r="X282" s="178" t="s">
        <v>21</v>
      </c>
      <c r="Y282" s="178"/>
      <c r="Z282" s="9"/>
      <c r="AA282" s="28">
        <f>Z281/R281</f>
        <v>0.14596630327056492</v>
      </c>
      <c r="AB282" s="11"/>
      <c r="AD282" s="40"/>
      <c r="AE282" s="5" t="s">
        <v>20</v>
      </c>
      <c r="AF282" s="9">
        <f>AF281/$A282</f>
        <v>13340</v>
      </c>
      <c r="AG282" s="9">
        <f>AF282*A281</f>
        <v>333500</v>
      </c>
      <c r="AH282" s="9"/>
      <c r="AI282" s="5"/>
      <c r="AJ282" s="9"/>
      <c r="AK282" s="9"/>
      <c r="AL282" s="178" t="s">
        <v>21</v>
      </c>
      <c r="AM282" s="178"/>
      <c r="AN282" s="9"/>
      <c r="AO282" s="28">
        <f>AN281/AF281</f>
        <v>9.7493253373313341E-2</v>
      </c>
      <c r="AP282" s="11"/>
    </row>
    <row r="283" spans="1:42" ht="15" customHeight="1">
      <c r="A283" s="97"/>
      <c r="B283" s="8">
        <f>B282/A282</f>
        <v>426.48</v>
      </c>
      <c r="C283" s="5" t="s">
        <v>20</v>
      </c>
      <c r="D283" s="9">
        <f>D282/A282</f>
        <v>21236</v>
      </c>
      <c r="E283" s="9">
        <f>D283*A281</f>
        <v>530900</v>
      </c>
      <c r="F283" s="9"/>
      <c r="G283" s="5"/>
      <c r="H283" s="9"/>
      <c r="I283" s="9"/>
      <c r="J283" s="9"/>
      <c r="K283" s="9"/>
      <c r="L283" s="9"/>
      <c r="M283" s="9"/>
      <c r="N283" s="11"/>
      <c r="O283" s="2"/>
      <c r="P283" s="12"/>
      <c r="Q283" s="58" t="s">
        <v>23</v>
      </c>
      <c r="R283" s="9">
        <f>R281*0.6</f>
        <v>121080</v>
      </c>
      <c r="S283" s="9"/>
      <c r="T283" s="9"/>
      <c r="U283" s="5"/>
      <c r="V283" s="9"/>
      <c r="W283" s="9"/>
      <c r="X283" s="178" t="s">
        <v>24</v>
      </c>
      <c r="Y283" s="178"/>
      <c r="Z283" s="9">
        <f>R283-Z281</f>
        <v>91624</v>
      </c>
      <c r="AA283" s="28">
        <f>Z283/R281</f>
        <v>0.45403369672943511</v>
      </c>
      <c r="AB283" s="11"/>
      <c r="AD283" s="12"/>
      <c r="AE283" s="58" t="s">
        <v>23</v>
      </c>
      <c r="AF283" s="9">
        <f>AF281*0.6</f>
        <v>200100</v>
      </c>
      <c r="AG283" s="9"/>
      <c r="AH283" s="9"/>
      <c r="AI283" s="5"/>
      <c r="AJ283" s="9"/>
      <c r="AK283" s="9"/>
      <c r="AL283" s="178" t="s">
        <v>24</v>
      </c>
      <c r="AM283" s="178"/>
      <c r="AN283" s="9">
        <f>AF283-AN281</f>
        <v>167586</v>
      </c>
      <c r="AO283" s="28">
        <f>AN283/AF281</f>
        <v>0.50250674662668671</v>
      </c>
      <c r="AP283" s="11"/>
    </row>
    <row r="284" spans="1:42" ht="15" customHeight="1">
      <c r="A284" s="12"/>
      <c r="B284" s="8">
        <f>B283*A281</f>
        <v>10662</v>
      </c>
      <c r="C284" s="5" t="s">
        <v>23</v>
      </c>
      <c r="D284" s="9">
        <f>D282*0.6</f>
        <v>318540</v>
      </c>
      <c r="E284" s="9"/>
      <c r="F284" s="9"/>
      <c r="G284" s="180" t="s">
        <v>27</v>
      </c>
      <c r="H284" s="180"/>
      <c r="I284" s="9">
        <f>(G233+I233)*K233</f>
        <v>0</v>
      </c>
      <c r="J284" s="9"/>
      <c r="K284" s="9"/>
      <c r="L284" s="9"/>
      <c r="M284" s="9"/>
      <c r="N284" s="11"/>
      <c r="O284" s="2"/>
      <c r="P284" s="65"/>
      <c r="Q284" s="5" t="s">
        <v>25</v>
      </c>
      <c r="R284" s="9">
        <f>R355</f>
        <v>327300</v>
      </c>
      <c r="S284" s="9"/>
      <c r="T284" s="9"/>
      <c r="U284" s="5"/>
      <c r="V284" s="9"/>
      <c r="W284" s="17"/>
      <c r="X284" s="182" t="s">
        <v>27</v>
      </c>
      <c r="Y284" s="182"/>
      <c r="Z284" s="44">
        <f>(U257+W257)*Y257+(U258+W258)*Y258+(U259+W259)*Y259+(U260+W260)*Y260</f>
        <v>0</v>
      </c>
      <c r="AA284" s="10"/>
      <c r="AB284" s="11"/>
      <c r="AD284" s="65"/>
      <c r="AE284" s="5" t="s">
        <v>25</v>
      </c>
      <c r="AF284" s="9">
        <f>AF355</f>
        <v>369000</v>
      </c>
      <c r="AG284" s="9"/>
      <c r="AH284" s="9"/>
      <c r="AI284" s="5"/>
      <c r="AJ284" s="9"/>
      <c r="AK284" s="17"/>
      <c r="AL284" s="182" t="s">
        <v>27</v>
      </c>
      <c r="AM284" s="182"/>
      <c r="AN284" s="44">
        <f>(AI257+AK257)*AM257+(AI258+AK258)*AM258+(AI259+AK259)*AM259+(AI260+AK260)*AM260</f>
        <v>0</v>
      </c>
      <c r="AO284" s="10"/>
      <c r="AP284" s="11"/>
    </row>
    <row r="285" spans="1:42" ht="15" customHeight="1">
      <c r="A285" s="12"/>
      <c r="B285" s="8"/>
      <c r="C285" s="5" t="s">
        <v>25</v>
      </c>
      <c r="D285" s="9">
        <f>D356</f>
        <v>168200</v>
      </c>
      <c r="E285" s="9"/>
      <c r="F285" s="9"/>
      <c r="G285" s="5" t="s">
        <v>22</v>
      </c>
      <c r="H285" s="9">
        <f>SUM(L225:L278)</f>
        <v>97900</v>
      </c>
      <c r="I285" s="28">
        <f>H285/D282</f>
        <v>0.1844038425315502</v>
      </c>
      <c r="J285" s="28"/>
      <c r="K285" s="9"/>
      <c r="L285" s="9"/>
      <c r="M285" s="9"/>
      <c r="N285" s="11"/>
      <c r="O285" s="2"/>
      <c r="P285" s="65"/>
      <c r="Q285" s="5"/>
      <c r="R285" s="9"/>
      <c r="S285" s="9"/>
      <c r="T285" s="9"/>
      <c r="U285" s="5"/>
      <c r="V285" s="9"/>
      <c r="W285" s="17"/>
      <c r="X285" s="100"/>
      <c r="Y285" s="103"/>
      <c r="Z285" s="62"/>
      <c r="AA285" s="10"/>
      <c r="AB285" s="11"/>
      <c r="AD285" s="65"/>
      <c r="AE285" s="5"/>
      <c r="AF285" s="9"/>
      <c r="AG285" s="9"/>
      <c r="AH285" s="9"/>
      <c r="AI285" s="5"/>
      <c r="AJ285" s="9"/>
      <c r="AK285" s="17"/>
      <c r="AL285" s="100"/>
      <c r="AM285" s="103"/>
      <c r="AN285" s="62"/>
      <c r="AO285" s="10"/>
      <c r="AP285" s="11"/>
    </row>
    <row r="286" spans="1:42" ht="15" customHeight="1">
      <c r="A286" s="12"/>
      <c r="B286" s="139"/>
      <c r="C286" s="140"/>
      <c r="D286" s="9"/>
      <c r="E286" s="9"/>
      <c r="F286" s="9"/>
      <c r="G286" s="30" t="s">
        <v>24</v>
      </c>
      <c r="H286" s="26">
        <f>D284-H285</f>
        <v>220640</v>
      </c>
      <c r="I286" s="28">
        <f>H286/D282</f>
        <v>0.4155961574684498</v>
      </c>
      <c r="J286" s="28"/>
      <c r="K286" s="9"/>
      <c r="L286" s="9"/>
      <c r="M286" s="9"/>
      <c r="N286" s="11"/>
      <c r="O286" s="2"/>
      <c r="P286" s="65"/>
      <c r="Q286" s="5"/>
      <c r="R286" s="9"/>
      <c r="S286" s="26"/>
      <c r="T286" s="9"/>
      <c r="U286" s="5"/>
      <c r="V286" s="9"/>
      <c r="W286" s="17"/>
      <c r="X286" s="100"/>
      <c r="Y286" s="103"/>
      <c r="Z286" s="62"/>
      <c r="AA286" s="10"/>
      <c r="AB286" s="11"/>
      <c r="AD286" s="65"/>
      <c r="AE286" s="5"/>
      <c r="AF286" s="9"/>
      <c r="AG286" s="26"/>
      <c r="AH286" s="9"/>
      <c r="AI286" s="5"/>
      <c r="AJ286" s="9"/>
      <c r="AK286" s="17"/>
      <c r="AL286" s="100"/>
      <c r="AM286" s="103"/>
      <c r="AN286" s="62"/>
      <c r="AO286" s="10"/>
      <c r="AP286" s="11"/>
    </row>
    <row r="287" spans="1:42" ht="15" customHeight="1">
      <c r="A287" s="33"/>
      <c r="B287" s="142"/>
      <c r="C287" s="102"/>
      <c r="D287" s="45"/>
      <c r="E287" s="9"/>
      <c r="F287" s="9"/>
      <c r="G287" s="104"/>
      <c r="H287" s="106"/>
      <c r="I287" s="28"/>
      <c r="J287" s="28"/>
      <c r="K287" s="9"/>
      <c r="L287" s="9"/>
      <c r="M287" s="9"/>
      <c r="N287" s="11"/>
      <c r="O287" s="2"/>
      <c r="P287" s="65"/>
      <c r="Q287" s="5"/>
      <c r="R287" s="17"/>
      <c r="S287" s="111"/>
      <c r="T287" s="45"/>
      <c r="U287" s="5"/>
      <c r="V287" s="9"/>
      <c r="W287" s="17"/>
      <c r="X287" s="100"/>
      <c r="Y287" s="103"/>
      <c r="Z287" s="62"/>
      <c r="AA287" s="10"/>
      <c r="AB287" s="11"/>
      <c r="AD287" s="65"/>
      <c r="AE287" s="5"/>
      <c r="AF287" s="17"/>
      <c r="AG287" s="111"/>
      <c r="AH287" s="45"/>
      <c r="AI287" s="5"/>
      <c r="AJ287" s="9"/>
      <c r="AK287" s="17"/>
      <c r="AL287" s="100"/>
      <c r="AM287" s="103"/>
      <c r="AN287" s="62"/>
      <c r="AO287" s="10"/>
      <c r="AP287" s="11"/>
    </row>
    <row r="288" spans="1:42" ht="15" customHeight="1">
      <c r="A288" s="98"/>
      <c r="B288" s="141"/>
      <c r="C288" s="84"/>
      <c r="D288" s="9"/>
      <c r="E288" s="9"/>
      <c r="F288" s="9"/>
      <c r="G288" s="27"/>
      <c r="H288" s="17"/>
      <c r="I288" s="28"/>
      <c r="J288" s="28"/>
      <c r="K288" s="10"/>
      <c r="L288" s="10"/>
      <c r="M288" s="10"/>
      <c r="N288" s="11"/>
      <c r="O288" s="2"/>
      <c r="P288" s="12"/>
      <c r="Q288" s="9"/>
      <c r="R288" s="9"/>
      <c r="T288" s="9"/>
      <c r="U288" s="5"/>
      <c r="V288" s="9"/>
      <c r="W288" s="9"/>
      <c r="X288" s="41"/>
      <c r="Y288" s="67"/>
      <c r="Z288" s="10"/>
      <c r="AA288" s="10"/>
      <c r="AB288" s="11"/>
      <c r="AD288" s="12"/>
      <c r="AE288" s="9"/>
      <c r="AF288" s="9"/>
      <c r="AH288" s="9"/>
      <c r="AI288" s="5"/>
      <c r="AJ288" s="9"/>
      <c r="AK288" s="9"/>
      <c r="AL288" s="54"/>
      <c r="AM288" s="67"/>
      <c r="AN288" s="10"/>
      <c r="AO288" s="10"/>
      <c r="AP288" s="11"/>
    </row>
    <row r="289" spans="1:42" ht="15" customHeight="1">
      <c r="A289" s="191" t="s">
        <v>43</v>
      </c>
      <c r="B289" s="191"/>
      <c r="C289" s="192" t="s">
        <v>46</v>
      </c>
      <c r="D289" s="192"/>
      <c r="E289" s="192" t="s">
        <v>47</v>
      </c>
      <c r="F289" s="192"/>
      <c r="G289" s="102"/>
      <c r="H289" s="93"/>
      <c r="I289" s="101"/>
      <c r="J289" s="101"/>
      <c r="K289" s="10"/>
      <c r="L289" s="10"/>
      <c r="M289" s="10"/>
      <c r="N289" s="11"/>
      <c r="O289" s="2"/>
      <c r="P289" s="79"/>
      <c r="Q289" s="45"/>
      <c r="R289" s="9"/>
      <c r="S289" s="5"/>
      <c r="T289" s="9"/>
      <c r="U289" s="5"/>
      <c r="V289" s="9"/>
      <c r="W289" s="9"/>
      <c r="X289" s="41"/>
      <c r="Y289" s="67"/>
      <c r="Z289" s="10"/>
      <c r="AA289" s="10"/>
      <c r="AB289" s="11"/>
      <c r="AD289" s="79"/>
      <c r="AE289" s="45"/>
      <c r="AF289" s="9"/>
      <c r="AG289" s="5"/>
      <c r="AH289" s="9"/>
      <c r="AI289" s="5"/>
      <c r="AJ289" s="9"/>
      <c r="AK289" s="9"/>
      <c r="AL289" s="54"/>
      <c r="AM289" s="67"/>
      <c r="AN289" s="10"/>
      <c r="AO289" s="10"/>
      <c r="AP289" s="11"/>
    </row>
    <row r="290" spans="1:42">
      <c r="A290" s="193">
        <f>B282/A282*A281*100</f>
        <v>1066200</v>
      </c>
      <c r="B290" s="193"/>
      <c r="C290" s="194">
        <f>H285+Z281+AN281</f>
        <v>159870</v>
      </c>
      <c r="D290" s="194"/>
      <c r="E290" s="194">
        <f>I284+Z284+AN284</f>
        <v>0</v>
      </c>
      <c r="F290" s="194"/>
      <c r="G290" s="84"/>
      <c r="H290" s="44"/>
      <c r="I290" s="28"/>
      <c r="J290" s="28"/>
      <c r="K290" s="10"/>
      <c r="L290" s="10"/>
      <c r="M290" s="10"/>
      <c r="N290" s="11"/>
      <c r="O290" s="2"/>
      <c r="P290" s="165" t="s">
        <v>26</v>
      </c>
      <c r="Q290" s="165"/>
      <c r="R290" s="29">
        <f>SUM(R225,R229,R233,R237,R241,R245,R250,R253,R257,R261,R265,R269,R273)*100</f>
        <v>46600</v>
      </c>
      <c r="S290" s="45"/>
      <c r="T290" s="9"/>
      <c r="U290" s="5">
        <f>R290/V290</f>
        <v>5825</v>
      </c>
      <c r="V290" s="29">
        <f>SUM(V225,V229,V233,V237,V241,V245,V250,V253,V257,V261,V265,V269,V273)</f>
        <v>8</v>
      </c>
      <c r="W290" s="9"/>
      <c r="X290" s="64" t="str">
        <f t="shared" ref="X290:Y293" si="338">X225</f>
        <v>キティ豹柄キーケース</v>
      </c>
      <c r="Y290" s="62">
        <f t="shared" si="338"/>
        <v>996</v>
      </c>
      <c r="Z290" s="29">
        <f>SUM(Z225,Z229,Z233,Z237,Z241,Z245,Z250,Z253,Z257,Z261,Z265,Z269,Z273)</f>
        <v>8310</v>
      </c>
      <c r="AA290" s="28">
        <f>Z290/R290</f>
        <v>0.17832618025751074</v>
      </c>
      <c r="AB290" s="11"/>
      <c r="AC290" s="16"/>
      <c r="AD290" s="165" t="s">
        <v>26</v>
      </c>
      <c r="AE290" s="165"/>
      <c r="AF290" s="29">
        <f>SUM(AF225,AF229,AF233,AF237,AF241,AF245,AF249,AF253,AF257,AF261,AF265,AF269,AF273)*100</f>
        <v>48300</v>
      </c>
      <c r="AG290" s="45"/>
      <c r="AH290" s="9"/>
      <c r="AI290" s="5">
        <f>AF290/AJ290</f>
        <v>12075</v>
      </c>
      <c r="AJ290" s="29">
        <f>SUM(AJ225,AJ229,AJ233,AJ237,AJ241,AJ245,AJ250,AJ253,AJ257,AJ261,AJ265,AJ269,AJ273)</f>
        <v>4</v>
      </c>
      <c r="AK290" s="9"/>
      <c r="AL290" s="61" t="str">
        <f t="shared" ref="AL290:AM293" si="339">AL225</f>
        <v>ゲーム機柄イヤホン</v>
      </c>
      <c r="AM290" s="62">
        <f t="shared" si="339"/>
        <v>1100</v>
      </c>
      <c r="AN290" s="29">
        <f>SUM(AN225,AN229,AN233,AN237,AN241,AN245,AN250,AN253,AN257,AN261,AN265,AN269,AN273)</f>
        <v>3838</v>
      </c>
      <c r="AO290" s="28">
        <f>AN290/AF290</f>
        <v>7.9461697722567282E-2</v>
      </c>
      <c r="AP290" s="11"/>
    </row>
    <row r="291" spans="1:42">
      <c r="A291" s="190">
        <v>298000</v>
      </c>
      <c r="B291" s="190"/>
      <c r="C291" s="45"/>
      <c r="D291" s="105">
        <f>C290/A290</f>
        <v>0.14994372537985368</v>
      </c>
      <c r="E291" s="9"/>
      <c r="F291" s="9"/>
      <c r="G291" s="5"/>
      <c r="H291" s="9"/>
      <c r="I291" s="9"/>
      <c r="J291" s="9"/>
      <c r="K291" s="9"/>
      <c r="L291" s="9"/>
      <c r="M291" s="9"/>
      <c r="N291" s="11"/>
      <c r="O291" s="2"/>
      <c r="P291" s="165" t="s">
        <v>26</v>
      </c>
      <c r="Q291" s="165"/>
      <c r="R291" s="29">
        <f>SUM(R226,R230,R234,R238,R242,R246,R249,R254,R258,R262,R266,R270,R274)*100</f>
        <v>55100</v>
      </c>
      <c r="S291" s="45"/>
      <c r="T291" s="9"/>
      <c r="U291" s="5">
        <f>R291/V291</f>
        <v>6887.5</v>
      </c>
      <c r="V291" s="29">
        <f>SUM(V226,V230,V234,V238,V242,V246,V249,V254,V258,V262,V266,V270,V274)</f>
        <v>8</v>
      </c>
      <c r="W291" s="9"/>
      <c r="X291" s="64" t="str">
        <f t="shared" si="338"/>
        <v>キティしっぽ付ポーチ</v>
      </c>
      <c r="Y291" s="62">
        <f t="shared" si="338"/>
        <v>825</v>
      </c>
      <c r="Z291" s="29">
        <f>SUM(Z226,Z230,Z234,Z238,Z242,Z246,Z249,Z254,Z258,Z262,Z266,Z270,Z274)</f>
        <v>4296</v>
      </c>
      <c r="AA291" s="28">
        <f>Z291/R291</f>
        <v>7.7967332123411975E-2</v>
      </c>
      <c r="AB291" s="11"/>
      <c r="AC291" s="1"/>
      <c r="AD291" s="165" t="s">
        <v>26</v>
      </c>
      <c r="AE291" s="165"/>
      <c r="AF291" s="29">
        <f>SUM(AF226,AF230,AF234,AF238,AF242,AF246,AF250,AF254,AF258,AF262,AF266,AF270,AF274)*100</f>
        <v>34900</v>
      </c>
      <c r="AG291" s="45"/>
      <c r="AH291" s="9"/>
      <c r="AI291" s="5">
        <f>AF291/AJ291</f>
        <v>4985.7142857142853</v>
      </c>
      <c r="AJ291" s="29">
        <f>SUM(AJ226,AJ230,AJ234,AJ238,AJ242,AJ246,AJ249,AJ254,AJ258,AJ262,AJ266,AJ270,AJ274)</f>
        <v>7</v>
      </c>
      <c r="AK291" s="9"/>
      <c r="AL291" s="61" t="str">
        <f t="shared" si="339"/>
        <v>液晶ミニカメラ</v>
      </c>
      <c r="AM291" s="62">
        <f t="shared" si="339"/>
        <v>1075</v>
      </c>
      <c r="AN291" s="29">
        <f>SUM(AN226,AN230,AN234,AN238,AN242,AN246,AN249,AN254,AN258,AN262,AN266,AN270,AN274)</f>
        <v>6476</v>
      </c>
      <c r="AO291" s="28">
        <f>AN291/AF291</f>
        <v>0.18555873925501432</v>
      </c>
      <c r="AP291" s="11"/>
    </row>
    <row r="292" spans="1:42">
      <c r="A292" s="95"/>
      <c r="B292" s="95"/>
      <c r="C292" s="45"/>
      <c r="D292" s="9"/>
      <c r="E292" s="9"/>
      <c r="F292" s="9"/>
      <c r="G292" s="5"/>
      <c r="H292" s="9"/>
      <c r="I292" s="9"/>
      <c r="J292" s="9"/>
      <c r="K292" s="9"/>
      <c r="L292" s="9"/>
      <c r="M292" s="9"/>
      <c r="N292" s="11"/>
      <c r="O292" s="2"/>
      <c r="P292" s="165" t="s">
        <v>26</v>
      </c>
      <c r="Q292" s="165"/>
      <c r="R292" s="29">
        <f>SUM(R227,R231,R235,R239,R243,R247,R251,R255,R259,R263,R267,R271,R275)*100</f>
        <v>77100</v>
      </c>
      <c r="S292" s="45"/>
      <c r="T292" s="9"/>
      <c r="U292" s="5">
        <f>R292/V292</f>
        <v>5930.7692307692305</v>
      </c>
      <c r="V292" s="29">
        <f>SUM(V227,V231,V235,V240,V243,V247,V251,V255,V259,V263,V267,V271,V275)</f>
        <v>13</v>
      </c>
      <c r="W292" s="9"/>
      <c r="X292" s="64" t="str">
        <f t="shared" si="338"/>
        <v>キティボアバンスクリップ</v>
      </c>
      <c r="Y292" s="62">
        <f t="shared" si="338"/>
        <v>1100</v>
      </c>
      <c r="Z292" s="29">
        <f>SUM(Z227,Z231,Z235,Z240,Z243,Z247,Z251,Z255,Z259,Z263,Z267,Z271,Z275)</f>
        <v>14000</v>
      </c>
      <c r="AA292" s="28">
        <f>Z292/R292</f>
        <v>0.18158236057068741</v>
      </c>
      <c r="AB292" s="11"/>
      <c r="AC292" s="1"/>
      <c r="AD292" s="165" t="s">
        <v>26</v>
      </c>
      <c r="AE292" s="165"/>
      <c r="AF292" s="29">
        <f>SUM(AF227,AF231,AF235,AF239,AF243,AF247,AF251,AF255,AF259,AF263,AF267,AF271,AF275)*100</f>
        <v>71000</v>
      </c>
      <c r="AG292" s="45"/>
      <c r="AH292" s="9"/>
      <c r="AI292" s="5">
        <f>AF292/AJ292</f>
        <v>3550</v>
      </c>
      <c r="AJ292" s="29">
        <f>SUM(AJ227,AJ231,AJ235,AJ240,AJ243,AJ247,AJ251,AJ255,AJ259,AJ263,AJ267,AJ271,AJ275)</f>
        <v>20</v>
      </c>
      <c r="AK292" s="9"/>
      <c r="AL292" s="61" t="str">
        <f t="shared" si="339"/>
        <v>ゲームアーク</v>
      </c>
      <c r="AM292" s="62">
        <f t="shared" si="339"/>
        <v>1100</v>
      </c>
      <c r="AN292" s="29">
        <f>SUM(AN227,AN231,AN235,AN240,AN243,AN247,AN251,AN255,AN259,AN263,AN267,AN271,AN275)</f>
        <v>11200</v>
      </c>
      <c r="AO292" s="28">
        <f>AN292/AF292</f>
        <v>0.15774647887323945</v>
      </c>
      <c r="AP292" s="11"/>
    </row>
    <row r="293" spans="1:42">
      <c r="A293" s="95"/>
      <c r="B293" s="95"/>
      <c r="C293" s="45"/>
      <c r="D293" s="9"/>
      <c r="E293" s="9"/>
      <c r="F293" s="9"/>
      <c r="G293" s="5"/>
      <c r="H293" s="9"/>
      <c r="I293" s="9"/>
      <c r="J293" s="9"/>
      <c r="K293" s="9"/>
      <c r="L293" s="9"/>
      <c r="M293" s="9"/>
      <c r="N293" s="11"/>
      <c r="O293" s="2"/>
      <c r="P293" s="165" t="s">
        <v>26</v>
      </c>
      <c r="Q293" s="165"/>
      <c r="R293" s="29">
        <f>SUM(R228,R232,R236,R240,R244,R248,R252,R256,R260,R264,R268,R272,R276)*100</f>
        <v>23000</v>
      </c>
      <c r="S293" s="45"/>
      <c r="T293" s="9"/>
      <c r="U293" s="5">
        <f>R293/V293</f>
        <v>7666.666666666667</v>
      </c>
      <c r="V293" s="29">
        <f>SUM(V228,V232,V236,V239,V244,V248,V252,V256,V260,V264,V268,V272,V276)</f>
        <v>3</v>
      </c>
      <c r="W293" s="9"/>
      <c r="X293" s="64" t="str">
        <f t="shared" si="338"/>
        <v>yayaマスコット</v>
      </c>
      <c r="Y293" s="62">
        <f t="shared" si="338"/>
        <v>950</v>
      </c>
      <c r="Z293" s="29">
        <f>SUM(Z228,Z232,Z236,Z239,Z244,Z248,Z252,Z256,Z260,Z264,Z268,Z272,Z276)</f>
        <v>2850</v>
      </c>
      <c r="AA293" s="28">
        <f>Z293/R293</f>
        <v>0.12391304347826088</v>
      </c>
      <c r="AB293" s="11"/>
      <c r="AC293" s="1"/>
      <c r="AD293" s="165" t="s">
        <v>26</v>
      </c>
      <c r="AE293" s="165"/>
      <c r="AF293" s="29">
        <f>SUM(AF228,AF232,AF236,AF240,AF244,AF248,AF252,AF256,AF260,AF264,AF268,AF272,AF276)*100</f>
        <v>179300</v>
      </c>
      <c r="AG293" s="45"/>
      <c r="AH293" s="9"/>
      <c r="AI293" s="5">
        <f>AF293/AJ293</f>
        <v>3260</v>
      </c>
      <c r="AJ293" s="29">
        <f>SUM(AJ228,AJ232,AJ236,AJ239,AJ244,AJ248,AJ252,AJ256,AJ260,AJ264,AJ268,AJ272,AJ276)</f>
        <v>55</v>
      </c>
      <c r="AK293" s="9"/>
      <c r="AL293" s="61" t="str">
        <f t="shared" si="339"/>
        <v>ボンドロシール</v>
      </c>
      <c r="AM293" s="62">
        <f t="shared" si="339"/>
        <v>200</v>
      </c>
      <c r="AN293" s="29">
        <f>SUM(AN228,AN232,AN236,AN239,AN244,AN248,AN252,AN256,AN260,AN264,AN268,AN272,AN276)</f>
        <v>11000</v>
      </c>
      <c r="AO293" s="28">
        <f>AN293/AF293</f>
        <v>6.1349693251533742E-2</v>
      </c>
      <c r="AP293" s="11"/>
    </row>
    <row r="294" spans="1:42">
      <c r="A294" s="95"/>
      <c r="B294" s="95"/>
      <c r="C294" s="45"/>
      <c r="D294" s="9"/>
      <c r="E294" s="9"/>
      <c r="F294" s="9"/>
      <c r="G294" s="5"/>
      <c r="H294" s="9"/>
      <c r="I294" s="9"/>
      <c r="J294" s="9"/>
      <c r="K294" s="9"/>
      <c r="L294" s="9"/>
      <c r="M294" s="9"/>
      <c r="N294" s="11"/>
      <c r="O294" s="2"/>
      <c r="P294" s="12"/>
      <c r="Q294" s="5" t="s">
        <v>17</v>
      </c>
      <c r="R294" s="9">
        <f>SUM(R290:R293)</f>
        <v>201800</v>
      </c>
      <c r="S294" s="45"/>
      <c r="T294" s="9"/>
      <c r="U294" s="9"/>
      <c r="V294" s="9">
        <f>SUM(V290:V293)</f>
        <v>32</v>
      </c>
      <c r="W294" s="9"/>
      <c r="X294" s="163" t="s">
        <v>28</v>
      </c>
      <c r="Y294" s="163"/>
      <c r="Z294" s="44">
        <f>SUM(Z290:Z293)</f>
        <v>29456</v>
      </c>
      <c r="AA294" s="68">
        <f>Z294/R294</f>
        <v>0.14596630327056492</v>
      </c>
      <c r="AB294" s="69"/>
      <c r="AC294" s="1"/>
      <c r="AD294" s="12"/>
      <c r="AE294" s="5" t="s">
        <v>17</v>
      </c>
      <c r="AF294" s="9">
        <f>SUM(AF290:AF293)</f>
        <v>333500</v>
      </c>
      <c r="AG294" s="45"/>
      <c r="AH294" s="9"/>
      <c r="AI294" s="9"/>
      <c r="AJ294" s="9">
        <f>SUM(AJ290:AJ293)</f>
        <v>86</v>
      </c>
      <c r="AK294" s="9"/>
      <c r="AL294" s="163" t="s">
        <v>28</v>
      </c>
      <c r="AM294" s="163"/>
      <c r="AN294" s="44">
        <f>SUM(AN290:AN293)</f>
        <v>32514</v>
      </c>
      <c r="AO294" s="68">
        <f>AN294/AF294</f>
        <v>9.7493253373313341E-2</v>
      </c>
      <c r="AP294" s="11"/>
    </row>
    <row r="295" spans="1:42">
      <c r="A295" s="14"/>
      <c r="B295" s="76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2"/>
      <c r="P295" s="33"/>
      <c r="Q295" s="2"/>
      <c r="R295" s="2"/>
      <c r="S295" s="2"/>
      <c r="T295" s="2"/>
      <c r="U295" s="2"/>
      <c r="V295" s="2"/>
      <c r="W295" s="2"/>
      <c r="X295" s="43"/>
      <c r="Y295" s="2"/>
      <c r="Z295" s="2"/>
      <c r="AA295" s="2"/>
      <c r="AB295" s="42"/>
      <c r="AC295" s="1"/>
      <c r="AD295" s="33"/>
      <c r="AE295" s="2"/>
      <c r="AF295" s="2"/>
      <c r="AG295" s="2"/>
      <c r="AH295" s="2"/>
      <c r="AI295" s="2"/>
      <c r="AJ295" s="2"/>
      <c r="AK295" s="2"/>
      <c r="AL295" s="55"/>
      <c r="AM295" s="2"/>
      <c r="AN295" s="2"/>
      <c r="AO295" s="2"/>
      <c r="AP295" s="42"/>
    </row>
    <row r="296" spans="1:42" ht="15" customHeight="1">
      <c r="A296" s="33"/>
      <c r="B296" s="3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4"/>
      <c r="O296" s="2"/>
      <c r="P296" s="33"/>
      <c r="Q296" s="2"/>
      <c r="R296" s="2"/>
      <c r="S296" s="2"/>
      <c r="T296" s="2"/>
      <c r="U296" s="2"/>
      <c r="V296" s="2"/>
      <c r="W296" s="2"/>
      <c r="X296" s="43"/>
      <c r="Y296" s="2"/>
      <c r="Z296" s="2"/>
      <c r="AA296" s="2"/>
      <c r="AB296" s="42"/>
      <c r="AC296" s="2"/>
      <c r="AD296" s="33"/>
      <c r="AE296" s="2"/>
      <c r="AF296" s="2"/>
      <c r="AG296" s="2"/>
      <c r="AH296" s="2"/>
      <c r="AI296" s="2"/>
      <c r="AJ296" s="2"/>
      <c r="AK296" s="2"/>
      <c r="AL296" s="55"/>
      <c r="AM296" s="2"/>
      <c r="AN296" s="2"/>
      <c r="AO296" s="2"/>
      <c r="AP296" s="42"/>
    </row>
    <row r="297" spans="1:42">
      <c r="A297" s="188" t="s">
        <v>40</v>
      </c>
      <c r="B297" s="188"/>
      <c r="C297" s="189" t="s">
        <v>41</v>
      </c>
      <c r="D297" s="189"/>
      <c r="E297" s="36"/>
      <c r="F297" s="36"/>
      <c r="G297" s="59"/>
      <c r="H297" s="59"/>
      <c r="I297" s="59"/>
      <c r="J297" s="59"/>
      <c r="K297" s="59"/>
      <c r="L297" s="59"/>
      <c r="M297" s="59"/>
      <c r="N297" s="60"/>
      <c r="O297" s="56"/>
      <c r="P297" s="185" t="s">
        <v>39</v>
      </c>
      <c r="Q297" s="185"/>
      <c r="R297" s="185"/>
      <c r="S297" s="184" t="s">
        <v>38</v>
      </c>
      <c r="T297" s="184"/>
      <c r="U297" s="71"/>
      <c r="V297" s="71"/>
      <c r="W297" s="71"/>
      <c r="X297" s="72"/>
      <c r="Y297" s="71"/>
      <c r="Z297" s="71"/>
      <c r="AA297" s="71"/>
      <c r="AB297" s="73"/>
      <c r="AC297" s="74"/>
      <c r="AD297" s="185" t="s">
        <v>39</v>
      </c>
      <c r="AE297" s="185"/>
      <c r="AF297" s="185"/>
      <c r="AG297" s="184" t="s">
        <v>37</v>
      </c>
      <c r="AH297" s="184"/>
      <c r="AI297" s="71"/>
      <c r="AJ297" s="71"/>
      <c r="AK297" s="71"/>
      <c r="AL297" s="75"/>
      <c r="AM297" s="71"/>
      <c r="AN297" s="71"/>
      <c r="AO297" s="71"/>
      <c r="AP297" s="73"/>
    </row>
    <row r="298" spans="1:42">
      <c r="A298" s="7" t="s">
        <v>0</v>
      </c>
      <c r="B298" s="112" t="s">
        <v>34</v>
      </c>
      <c r="C298" s="5" t="s">
        <v>1</v>
      </c>
      <c r="D298" s="5" t="s">
        <v>2</v>
      </c>
      <c r="E298" s="6" t="s">
        <v>3</v>
      </c>
      <c r="F298" s="5" t="s">
        <v>2</v>
      </c>
      <c r="G298" s="5" t="s">
        <v>4</v>
      </c>
      <c r="H298" s="5" t="s">
        <v>5</v>
      </c>
      <c r="I298" s="5" t="s">
        <v>6</v>
      </c>
      <c r="J298" s="5"/>
      <c r="K298" s="5" t="s">
        <v>7</v>
      </c>
      <c r="L298" s="5" t="s">
        <v>8</v>
      </c>
      <c r="M298" s="5" t="s">
        <v>9</v>
      </c>
      <c r="N298" s="5" t="s">
        <v>10</v>
      </c>
      <c r="O298" s="2"/>
      <c r="P298" s="7" t="s">
        <v>0</v>
      </c>
      <c r="Q298" s="5" t="s">
        <v>1</v>
      </c>
      <c r="R298" s="5" t="s">
        <v>2</v>
      </c>
      <c r="S298" s="6" t="s">
        <v>3</v>
      </c>
      <c r="T298" s="5" t="s">
        <v>2</v>
      </c>
      <c r="U298" s="5" t="s">
        <v>4</v>
      </c>
      <c r="V298" s="5" t="s">
        <v>5</v>
      </c>
      <c r="W298" s="5" t="s">
        <v>6</v>
      </c>
      <c r="X298" s="6" t="s">
        <v>11</v>
      </c>
      <c r="Y298" s="5" t="s">
        <v>7</v>
      </c>
      <c r="Z298" s="5" t="s">
        <v>5</v>
      </c>
      <c r="AA298" s="5" t="s">
        <v>12</v>
      </c>
      <c r="AB298" s="5" t="s">
        <v>10</v>
      </c>
      <c r="AC298" s="3"/>
      <c r="AD298" s="7" t="s">
        <v>0</v>
      </c>
      <c r="AE298" s="5" t="s">
        <v>1</v>
      </c>
      <c r="AF298" s="5" t="s">
        <v>2</v>
      </c>
      <c r="AG298" s="6" t="s">
        <v>3</v>
      </c>
      <c r="AH298" s="5" t="s">
        <v>2</v>
      </c>
      <c r="AI298" s="5" t="s">
        <v>4</v>
      </c>
      <c r="AJ298" s="5" t="s">
        <v>5</v>
      </c>
      <c r="AK298" s="5" t="s">
        <v>6</v>
      </c>
      <c r="AL298" s="46" t="s">
        <v>11</v>
      </c>
      <c r="AM298" s="5" t="s">
        <v>7</v>
      </c>
      <c r="AN298" s="5" t="s">
        <v>5</v>
      </c>
      <c r="AO298" s="5" t="s">
        <v>12</v>
      </c>
      <c r="AP298" s="5" t="s">
        <v>10</v>
      </c>
    </row>
    <row r="299" spans="1:42">
      <c r="A299" s="12">
        <v>46041</v>
      </c>
      <c r="B299" s="8">
        <v>945</v>
      </c>
      <c r="C299" s="13">
        <v>32780</v>
      </c>
      <c r="D299" s="9">
        <v>126</v>
      </c>
      <c r="E299" s="9">
        <v>1022</v>
      </c>
      <c r="F299" s="9">
        <v>2</v>
      </c>
      <c r="G299" s="9">
        <v>4</v>
      </c>
      <c r="H299" s="9">
        <v>6</v>
      </c>
      <c r="I299" s="9">
        <v>32</v>
      </c>
      <c r="J299" s="44"/>
      <c r="K299" s="44">
        <v>950</v>
      </c>
      <c r="L299" s="9">
        <v>4290</v>
      </c>
      <c r="M299" s="10">
        <v>0.34047619047619049</v>
      </c>
      <c r="N299" s="70" t="s">
        <v>231</v>
      </c>
      <c r="O299" s="2"/>
      <c r="P299" s="12">
        <v>46041</v>
      </c>
      <c r="Q299" s="44">
        <v>11609</v>
      </c>
      <c r="R299" s="44">
        <v>80</v>
      </c>
      <c r="S299" s="44">
        <v>328</v>
      </c>
      <c r="T299" s="44">
        <v>4</v>
      </c>
      <c r="U299" s="44">
        <v>3</v>
      </c>
      <c r="V299" s="44">
        <v>2</v>
      </c>
      <c r="W299" s="44">
        <v>11</v>
      </c>
      <c r="X299" s="64" t="s">
        <v>205</v>
      </c>
      <c r="Y299" s="62">
        <v>996</v>
      </c>
      <c r="Z299" s="44">
        <v>1992</v>
      </c>
      <c r="AA299" s="63">
        <v>0.249</v>
      </c>
      <c r="AB299" s="11"/>
      <c r="AC299" s="1"/>
      <c r="AD299" s="12">
        <v>46041</v>
      </c>
      <c r="AE299" s="44">
        <v>8696</v>
      </c>
      <c r="AF299" s="44">
        <v>70</v>
      </c>
      <c r="AG299" s="44">
        <v>239</v>
      </c>
      <c r="AH299" s="44">
        <v>0</v>
      </c>
      <c r="AI299" s="44">
        <v>19</v>
      </c>
      <c r="AJ299" s="44">
        <v>0</v>
      </c>
      <c r="AK299" s="44">
        <v>0</v>
      </c>
      <c r="AL299" s="61" t="s">
        <v>218</v>
      </c>
      <c r="AM299" s="62">
        <v>1100</v>
      </c>
      <c r="AN299" s="44">
        <v>0</v>
      </c>
      <c r="AO299" s="63">
        <v>0</v>
      </c>
      <c r="AP299" s="11" t="s">
        <v>222</v>
      </c>
    </row>
    <row r="300" spans="1:42">
      <c r="A300" s="12">
        <v>46045</v>
      </c>
      <c r="B300" s="8">
        <f>IF(A300="","",SUM(D300)+SUM(R303:R306)+SUM(AF303:AF306))</f>
        <v>1007</v>
      </c>
      <c r="C300" s="13">
        <v>33193</v>
      </c>
      <c r="D300" s="9">
        <f t="shared" ref="D300:D307" si="340">IF(C300="","",C300-C299)</f>
        <v>413</v>
      </c>
      <c r="E300" s="9">
        <v>1041</v>
      </c>
      <c r="F300" s="9">
        <f t="shared" ref="F300:F307" si="341">IF(E300="","",E300-E299)</f>
        <v>19</v>
      </c>
      <c r="G300" s="9">
        <v>14</v>
      </c>
      <c r="H300" s="9">
        <f t="shared" ref="H300:H307" si="342">IF(G300="","",G299+I299-G300)</f>
        <v>22</v>
      </c>
      <c r="I300" s="9">
        <v>0</v>
      </c>
      <c r="J300" s="44"/>
      <c r="K300" s="44">
        <f t="shared" ref="K300:K307" si="343">IF(C300="","",K299)</f>
        <v>950</v>
      </c>
      <c r="L300" s="9">
        <f t="shared" ref="L300:L307" si="344">IF(K300="","",H300*K300)</f>
        <v>20900</v>
      </c>
      <c r="M300" s="10">
        <f t="shared" ref="M300:M307" si="345">IF(L300="","",L300/(D300*100))</f>
        <v>0.50605326876513312</v>
      </c>
      <c r="N300" s="34" t="s">
        <v>230</v>
      </c>
      <c r="O300" s="2"/>
      <c r="P300" s="12"/>
      <c r="Q300" s="9">
        <v>10944</v>
      </c>
      <c r="R300" s="9">
        <v>55</v>
      </c>
      <c r="S300" s="9">
        <v>246</v>
      </c>
      <c r="T300" s="9">
        <v>1</v>
      </c>
      <c r="U300" s="9">
        <v>6</v>
      </c>
      <c r="V300" s="9">
        <v>1</v>
      </c>
      <c r="W300" s="9">
        <v>4</v>
      </c>
      <c r="X300" s="64" t="s">
        <v>195</v>
      </c>
      <c r="Y300" s="44"/>
      <c r="Z300" s="9">
        <v>0</v>
      </c>
      <c r="AA300" s="10">
        <v>0</v>
      </c>
      <c r="AB300" s="11"/>
      <c r="AC300" s="1"/>
      <c r="AD300" s="12"/>
      <c r="AE300" s="9">
        <v>11604</v>
      </c>
      <c r="AF300" s="9">
        <v>85</v>
      </c>
      <c r="AG300" s="9">
        <v>207</v>
      </c>
      <c r="AH300" s="9">
        <v>0</v>
      </c>
      <c r="AI300" s="9">
        <v>15</v>
      </c>
      <c r="AJ300" s="9">
        <v>0</v>
      </c>
      <c r="AK300" s="9">
        <v>4</v>
      </c>
      <c r="AL300" s="47" t="s">
        <v>155</v>
      </c>
      <c r="AM300" s="45">
        <v>1075</v>
      </c>
      <c r="AN300" s="9">
        <v>0</v>
      </c>
      <c r="AO300" s="10">
        <v>0</v>
      </c>
      <c r="AP300" s="11"/>
    </row>
    <row r="301" spans="1:42">
      <c r="A301" s="12">
        <v>46048</v>
      </c>
      <c r="B301" s="8">
        <f>IF(A301="","",SUM(D301)+SUM(R307:R310)+SUM(AF307:AF310))</f>
        <v>1098</v>
      </c>
      <c r="C301" s="13">
        <v>33303</v>
      </c>
      <c r="D301" s="9">
        <f t="shared" si="340"/>
        <v>110</v>
      </c>
      <c r="E301" s="9">
        <v>1048</v>
      </c>
      <c r="F301" s="9">
        <f t="shared" si="341"/>
        <v>7</v>
      </c>
      <c r="G301" s="9">
        <v>4</v>
      </c>
      <c r="H301" s="9">
        <f t="shared" si="342"/>
        <v>10</v>
      </c>
      <c r="I301" s="9">
        <v>29</v>
      </c>
      <c r="J301" s="44"/>
      <c r="K301" s="44">
        <f t="shared" si="343"/>
        <v>950</v>
      </c>
      <c r="L301" s="9">
        <f t="shared" si="344"/>
        <v>9500</v>
      </c>
      <c r="M301" s="10">
        <f t="shared" si="345"/>
        <v>0.86363636363636365</v>
      </c>
      <c r="N301" s="34" t="s">
        <v>234</v>
      </c>
      <c r="O301" s="2"/>
      <c r="P301" s="12"/>
      <c r="Q301" s="9">
        <v>11846</v>
      </c>
      <c r="R301" s="81">
        <v>178</v>
      </c>
      <c r="S301" s="9">
        <v>437</v>
      </c>
      <c r="T301" s="9">
        <v>6</v>
      </c>
      <c r="U301" s="9">
        <v>6</v>
      </c>
      <c r="V301" s="9">
        <v>5</v>
      </c>
      <c r="W301" s="9">
        <v>6</v>
      </c>
      <c r="X301" s="15" t="s">
        <v>220</v>
      </c>
      <c r="Y301" s="45">
        <v>1100</v>
      </c>
      <c r="Z301" s="9">
        <v>5500</v>
      </c>
      <c r="AA301" s="10">
        <v>0.3089887640449438</v>
      </c>
      <c r="AB301" s="11"/>
      <c r="AC301" s="1"/>
      <c r="AD301" s="12"/>
      <c r="AE301" s="9">
        <v>11650</v>
      </c>
      <c r="AF301" s="81">
        <v>155</v>
      </c>
      <c r="AG301" s="9">
        <v>446</v>
      </c>
      <c r="AH301" s="9">
        <v>2</v>
      </c>
      <c r="AI301" s="9">
        <v>33</v>
      </c>
      <c r="AJ301" s="9">
        <v>2</v>
      </c>
      <c r="AK301" s="9">
        <v>0</v>
      </c>
      <c r="AL301" s="47" t="s">
        <v>225</v>
      </c>
      <c r="AM301" s="45">
        <v>1100</v>
      </c>
      <c r="AN301" s="9">
        <v>2200</v>
      </c>
      <c r="AO301" s="10">
        <v>0.14193548387096774</v>
      </c>
      <c r="AP301" s="11"/>
    </row>
    <row r="302" spans="1:42" ht="15" customHeight="1" thickBot="1">
      <c r="A302" s="12">
        <v>46052</v>
      </c>
      <c r="B302" s="8">
        <f>IF(A302="","",SUM(D302)+SUM(R311:R314)+SUM(AF311:AF314))</f>
        <v>929</v>
      </c>
      <c r="C302" s="13">
        <v>33413</v>
      </c>
      <c r="D302" s="9">
        <f t="shared" si="340"/>
        <v>110</v>
      </c>
      <c r="E302" s="9">
        <v>1049</v>
      </c>
      <c r="F302" s="9">
        <f t="shared" si="341"/>
        <v>1</v>
      </c>
      <c r="G302" s="9">
        <v>32</v>
      </c>
      <c r="H302" s="9">
        <f t="shared" si="342"/>
        <v>1</v>
      </c>
      <c r="I302" s="9">
        <v>4</v>
      </c>
      <c r="J302" s="44"/>
      <c r="K302" s="44">
        <f t="shared" si="343"/>
        <v>950</v>
      </c>
      <c r="L302" s="9">
        <f t="shared" si="344"/>
        <v>950</v>
      </c>
      <c r="M302" s="10">
        <f t="shared" si="345"/>
        <v>8.6363636363636365E-2</v>
      </c>
      <c r="N302" s="11"/>
      <c r="O302" s="2"/>
      <c r="P302" s="18"/>
      <c r="Q302" s="21">
        <v>14370</v>
      </c>
      <c r="R302" s="19">
        <v>104</v>
      </c>
      <c r="S302" s="19">
        <v>371</v>
      </c>
      <c r="T302" s="19">
        <v>0</v>
      </c>
      <c r="U302" s="19">
        <v>13</v>
      </c>
      <c r="V302" s="19">
        <v>0</v>
      </c>
      <c r="W302" s="19">
        <v>4</v>
      </c>
      <c r="X302" s="22" t="s">
        <v>149</v>
      </c>
      <c r="Y302" s="19">
        <v>400</v>
      </c>
      <c r="Z302" s="19">
        <v>0</v>
      </c>
      <c r="AA302" s="20">
        <v>0</v>
      </c>
      <c r="AB302" s="11" t="s">
        <v>229</v>
      </c>
      <c r="AC302" s="1"/>
      <c r="AD302" s="18"/>
      <c r="AE302" s="19">
        <v>14354</v>
      </c>
      <c r="AF302" s="19">
        <v>92</v>
      </c>
      <c r="AG302" s="19">
        <v>485</v>
      </c>
      <c r="AH302" s="19">
        <v>4</v>
      </c>
      <c r="AI302" s="19">
        <v>120</v>
      </c>
      <c r="AJ302" s="19">
        <v>5</v>
      </c>
      <c r="AK302" s="19">
        <v>20</v>
      </c>
      <c r="AL302" s="48" t="s">
        <v>95</v>
      </c>
      <c r="AM302" s="19">
        <v>200</v>
      </c>
      <c r="AN302" s="19">
        <v>1000</v>
      </c>
      <c r="AO302" s="20">
        <v>0.10869565217391304</v>
      </c>
      <c r="AP302" s="11"/>
    </row>
    <row r="303" spans="1:42" ht="15" customHeight="1" thickTop="1">
      <c r="A303" s="12">
        <v>46055</v>
      </c>
      <c r="B303" s="8">
        <f>IF(A303="","",SUM(D303)+SUM(R315:R318)+SUM(AF315:AF318))</f>
        <v>1212</v>
      </c>
      <c r="C303" s="13">
        <v>33676</v>
      </c>
      <c r="D303" s="9">
        <f t="shared" si="340"/>
        <v>263</v>
      </c>
      <c r="E303" s="9">
        <v>1053</v>
      </c>
      <c r="F303" s="9">
        <f t="shared" si="341"/>
        <v>4</v>
      </c>
      <c r="G303" s="9">
        <v>32</v>
      </c>
      <c r="H303" s="9">
        <f t="shared" si="342"/>
        <v>4</v>
      </c>
      <c r="I303" s="9">
        <v>0</v>
      </c>
      <c r="J303" s="44"/>
      <c r="K303" s="44">
        <f t="shared" si="343"/>
        <v>950</v>
      </c>
      <c r="L303" s="9">
        <f t="shared" si="344"/>
        <v>3800</v>
      </c>
      <c r="M303" s="10">
        <f t="shared" si="345"/>
        <v>0.14448669201520911</v>
      </c>
      <c r="N303" s="11"/>
      <c r="O303" s="2"/>
      <c r="P303" s="65">
        <f>IF($A300="","",$A300)</f>
        <v>46045</v>
      </c>
      <c r="Q303" s="44">
        <v>11680</v>
      </c>
      <c r="R303" s="44">
        <f t="shared" ref="R303:R334" si="346">IF(Q303="","",Q303-Q299)</f>
        <v>71</v>
      </c>
      <c r="S303" s="44">
        <v>332</v>
      </c>
      <c r="T303" s="23">
        <f t="shared" ref="T303:T334" si="347">IF(S303="","",S303-S299)</f>
        <v>4</v>
      </c>
      <c r="U303" s="44">
        <v>10</v>
      </c>
      <c r="V303" s="44">
        <f t="shared" ref="V303:V334" si="348">IF(U303="","",U299+W299-U303)</f>
        <v>4</v>
      </c>
      <c r="W303" s="66">
        <v>0</v>
      </c>
      <c r="X303" s="61" t="str">
        <f>IF(Q303="","",X299)</f>
        <v>キティ豹柄キーケース</v>
      </c>
      <c r="Y303" s="62">
        <f>IF(R303="","",Y299)</f>
        <v>996</v>
      </c>
      <c r="Z303" s="23">
        <f t="shared" ref="Z303:Z334" si="349">IF(U303="","",V303*Y303)</f>
        <v>3984</v>
      </c>
      <c r="AA303" s="24">
        <f t="shared" ref="AA303:AA334" si="350">IF(V303="","",Z303/(R303*100))</f>
        <v>0.56112676056338029</v>
      </c>
      <c r="AB303" s="34" t="s">
        <v>202</v>
      </c>
      <c r="AC303" s="1"/>
      <c r="AD303" s="65">
        <f>IF($A300="","",$A300)</f>
        <v>46045</v>
      </c>
      <c r="AE303" s="44">
        <v>8774</v>
      </c>
      <c r="AF303" s="44">
        <f t="shared" ref="AF303:AF334" si="351">IF(AE303="","",AE303-AE299)</f>
        <v>78</v>
      </c>
      <c r="AG303" s="44">
        <v>239</v>
      </c>
      <c r="AH303" s="23">
        <f t="shared" ref="AH303:AH334" si="352">IF(AG303="","",AG303-AG299)</f>
        <v>0</v>
      </c>
      <c r="AI303" s="44">
        <v>19</v>
      </c>
      <c r="AJ303" s="44">
        <f t="shared" ref="AJ303:AJ334" si="353">IF(AI303="","",AI299+AK299-AI303)</f>
        <v>0</v>
      </c>
      <c r="AK303" s="66">
        <v>0</v>
      </c>
      <c r="AL303" s="61" t="str">
        <f t="shared" ref="AL303:AL333" si="354">IF(AE303="","",AL299)</f>
        <v>ゲーム機柄イヤホン</v>
      </c>
      <c r="AM303" s="62">
        <f t="shared" ref="AM303:AM333" si="355">IF(AF303="","",AM299)</f>
        <v>1100</v>
      </c>
      <c r="AN303" s="23">
        <f t="shared" ref="AN303:AN334" si="356">IF(AI303="","",AJ303*AM303)</f>
        <v>0</v>
      </c>
      <c r="AO303" s="24">
        <f t="shared" ref="AO303:AO334" si="357">IF(AJ303="","",AN303/(AF303*100))</f>
        <v>0</v>
      </c>
      <c r="AP303" s="34"/>
    </row>
    <row r="304" spans="1:42">
      <c r="A304" s="12">
        <v>46059</v>
      </c>
      <c r="B304" s="8">
        <f>IF(A304="","",SUM(D304)+SUM(R319:R322)+SUM(AF319:AF322))</f>
        <v>636</v>
      </c>
      <c r="C304" s="13">
        <v>33831</v>
      </c>
      <c r="D304" s="9">
        <f t="shared" si="340"/>
        <v>155</v>
      </c>
      <c r="E304" s="9">
        <v>1056</v>
      </c>
      <c r="F304" s="9">
        <f t="shared" si="341"/>
        <v>3</v>
      </c>
      <c r="G304" s="9">
        <v>29</v>
      </c>
      <c r="H304" s="9">
        <f t="shared" si="342"/>
        <v>3</v>
      </c>
      <c r="I304" s="9">
        <v>0</v>
      </c>
      <c r="J304" s="44"/>
      <c r="K304" s="44">
        <f t="shared" si="343"/>
        <v>950</v>
      </c>
      <c r="L304" s="9">
        <f t="shared" si="344"/>
        <v>2850</v>
      </c>
      <c r="M304" s="10">
        <f t="shared" si="345"/>
        <v>0.18387096774193548</v>
      </c>
      <c r="N304" s="11"/>
      <c r="O304" s="2"/>
      <c r="P304" s="12"/>
      <c r="Q304" s="9">
        <v>10952</v>
      </c>
      <c r="R304" s="44">
        <f t="shared" si="346"/>
        <v>8</v>
      </c>
      <c r="S304" s="9">
        <v>250</v>
      </c>
      <c r="T304" s="9">
        <f t="shared" si="347"/>
        <v>4</v>
      </c>
      <c r="U304" s="9">
        <v>5</v>
      </c>
      <c r="V304" s="9">
        <f t="shared" si="348"/>
        <v>5</v>
      </c>
      <c r="W304" s="13">
        <v>0</v>
      </c>
      <c r="X304" s="47" t="s">
        <v>233</v>
      </c>
      <c r="Y304" s="45">
        <f t="shared" ref="Y304:Y333" si="358">IF(R304="","",Y300)</f>
        <v>0</v>
      </c>
      <c r="Z304" s="9">
        <f t="shared" si="349"/>
        <v>0</v>
      </c>
      <c r="AA304" s="10">
        <f t="shared" si="350"/>
        <v>0</v>
      </c>
      <c r="AB304" s="11" t="s">
        <v>232</v>
      </c>
      <c r="AC304" s="1"/>
      <c r="AD304" s="12"/>
      <c r="AE304" s="9">
        <v>11685</v>
      </c>
      <c r="AF304" s="44">
        <f t="shared" si="351"/>
        <v>81</v>
      </c>
      <c r="AG304" s="9">
        <v>207</v>
      </c>
      <c r="AH304" s="9">
        <f t="shared" si="352"/>
        <v>0</v>
      </c>
      <c r="AI304" s="9">
        <v>20</v>
      </c>
      <c r="AJ304" s="9">
        <f t="shared" si="353"/>
        <v>-1</v>
      </c>
      <c r="AK304" s="13">
        <v>0</v>
      </c>
      <c r="AL304" s="47" t="str">
        <f t="shared" si="354"/>
        <v>液晶ミニカメラ</v>
      </c>
      <c r="AM304" s="45">
        <f t="shared" si="355"/>
        <v>1075</v>
      </c>
      <c r="AN304" s="9">
        <f t="shared" si="356"/>
        <v>-1075</v>
      </c>
      <c r="AO304" s="10">
        <f t="shared" si="357"/>
        <v>-0.13271604938271606</v>
      </c>
      <c r="AP304" s="11"/>
    </row>
    <row r="305" spans="1:42">
      <c r="A305" s="12">
        <v>46063</v>
      </c>
      <c r="B305" s="8">
        <f>IF(A305="","",SUM(D305)+SUM(R323:R326)+SUM(AF323:AF326))</f>
        <v>1015</v>
      </c>
      <c r="C305" s="13">
        <v>34106</v>
      </c>
      <c r="D305" s="9">
        <f t="shared" si="340"/>
        <v>275</v>
      </c>
      <c r="E305" s="9">
        <v>1057</v>
      </c>
      <c r="F305" s="9">
        <f t="shared" si="341"/>
        <v>1</v>
      </c>
      <c r="G305" s="9">
        <v>28</v>
      </c>
      <c r="H305" s="9">
        <f t="shared" si="342"/>
        <v>1</v>
      </c>
      <c r="I305" s="9">
        <v>12</v>
      </c>
      <c r="J305" s="44"/>
      <c r="K305" s="44">
        <f t="shared" si="343"/>
        <v>950</v>
      </c>
      <c r="L305" s="9">
        <f t="shared" si="344"/>
        <v>950</v>
      </c>
      <c r="M305" s="10">
        <f t="shared" si="345"/>
        <v>3.4545454545454546E-2</v>
      </c>
      <c r="N305" s="11"/>
      <c r="O305" s="2"/>
      <c r="P305" s="12"/>
      <c r="Q305" s="9">
        <v>12003</v>
      </c>
      <c r="R305" s="52">
        <f t="shared" si="346"/>
        <v>157</v>
      </c>
      <c r="S305" s="9">
        <v>440</v>
      </c>
      <c r="T305" s="9">
        <f t="shared" si="347"/>
        <v>3</v>
      </c>
      <c r="U305" s="26">
        <v>9</v>
      </c>
      <c r="V305" s="26">
        <f t="shared" si="348"/>
        <v>3</v>
      </c>
      <c r="W305" s="38">
        <v>6</v>
      </c>
      <c r="X305" s="47" t="str">
        <f t="shared" ref="X305:X331" si="359">IF(Q305="","",X301)</f>
        <v>キティボアバンスクリップ</v>
      </c>
      <c r="Y305" s="9">
        <f t="shared" si="358"/>
        <v>1100</v>
      </c>
      <c r="Z305" s="9">
        <f t="shared" si="349"/>
        <v>3300</v>
      </c>
      <c r="AA305" s="10">
        <f t="shared" si="350"/>
        <v>0.21019108280254778</v>
      </c>
      <c r="AB305" s="11"/>
      <c r="AC305" s="1"/>
      <c r="AD305" s="12"/>
      <c r="AE305" s="9">
        <v>11692</v>
      </c>
      <c r="AF305" s="52">
        <f t="shared" si="351"/>
        <v>42</v>
      </c>
      <c r="AG305" s="9">
        <v>447</v>
      </c>
      <c r="AH305" s="9">
        <f t="shared" si="352"/>
        <v>1</v>
      </c>
      <c r="AI305" s="26">
        <v>32</v>
      </c>
      <c r="AJ305" s="26">
        <f t="shared" si="353"/>
        <v>1</v>
      </c>
      <c r="AK305" s="38">
        <v>18</v>
      </c>
      <c r="AL305" s="47" t="str">
        <f t="shared" si="354"/>
        <v>ゲームアーク</v>
      </c>
      <c r="AM305" s="9">
        <f t="shared" si="355"/>
        <v>1100</v>
      </c>
      <c r="AN305" s="9">
        <f t="shared" si="356"/>
        <v>1100</v>
      </c>
      <c r="AO305" s="10">
        <f t="shared" si="357"/>
        <v>0.26190476190476192</v>
      </c>
      <c r="AP305" s="11"/>
    </row>
    <row r="306" spans="1:42" ht="15" customHeight="1" thickBot="1">
      <c r="A306" s="127">
        <v>46066</v>
      </c>
      <c r="B306" s="8">
        <f>IF(A306="","",SUM(D306)+SUM(R327:R330)+SUM(AF327:AF330))</f>
        <v>807</v>
      </c>
      <c r="C306" s="13">
        <v>34250</v>
      </c>
      <c r="D306" s="9">
        <f t="shared" si="340"/>
        <v>144</v>
      </c>
      <c r="E306" s="9">
        <v>1062</v>
      </c>
      <c r="F306" s="9">
        <f t="shared" si="341"/>
        <v>5</v>
      </c>
      <c r="G306" s="9">
        <v>25</v>
      </c>
      <c r="H306" s="9">
        <f t="shared" si="342"/>
        <v>15</v>
      </c>
      <c r="I306" s="9">
        <v>10</v>
      </c>
      <c r="J306" s="44"/>
      <c r="K306" s="44">
        <f t="shared" si="343"/>
        <v>950</v>
      </c>
      <c r="L306" s="9">
        <f t="shared" si="344"/>
        <v>14250</v>
      </c>
      <c r="M306" s="10">
        <f t="shared" si="345"/>
        <v>0.98958333333333337</v>
      </c>
      <c r="N306" s="11"/>
      <c r="O306" s="2"/>
      <c r="P306" s="80"/>
      <c r="Q306" s="21">
        <v>14435</v>
      </c>
      <c r="R306" s="50">
        <f t="shared" si="346"/>
        <v>65</v>
      </c>
      <c r="S306" s="51">
        <v>372</v>
      </c>
      <c r="T306" s="21">
        <f t="shared" si="347"/>
        <v>1</v>
      </c>
      <c r="U306" s="53">
        <v>16</v>
      </c>
      <c r="V306" s="53">
        <f t="shared" si="348"/>
        <v>1</v>
      </c>
      <c r="W306" s="37">
        <v>0</v>
      </c>
      <c r="X306" s="48" t="str">
        <f t="shared" si="359"/>
        <v>ラブブキーホルダー</v>
      </c>
      <c r="Y306" s="51">
        <f t="shared" si="358"/>
        <v>400</v>
      </c>
      <c r="Z306" s="19">
        <f t="shared" si="349"/>
        <v>400</v>
      </c>
      <c r="AA306" s="20">
        <f t="shared" si="350"/>
        <v>6.1538461538461542E-2</v>
      </c>
      <c r="AB306" s="11"/>
      <c r="AC306" s="1"/>
      <c r="AD306" s="80"/>
      <c r="AE306" s="21">
        <v>14446</v>
      </c>
      <c r="AF306" s="50">
        <f t="shared" si="351"/>
        <v>92</v>
      </c>
      <c r="AG306" s="51">
        <v>489</v>
      </c>
      <c r="AH306" s="21">
        <f t="shared" si="352"/>
        <v>4</v>
      </c>
      <c r="AI306" s="53">
        <v>135</v>
      </c>
      <c r="AJ306" s="53">
        <f t="shared" si="353"/>
        <v>5</v>
      </c>
      <c r="AK306" s="37">
        <v>8</v>
      </c>
      <c r="AL306" s="48" t="str">
        <f t="shared" si="354"/>
        <v>AIモンスターラバー</v>
      </c>
      <c r="AM306" s="51">
        <f t="shared" si="355"/>
        <v>200</v>
      </c>
      <c r="AN306" s="19">
        <f t="shared" si="356"/>
        <v>1000</v>
      </c>
      <c r="AO306" s="20">
        <f t="shared" si="357"/>
        <v>0.10869565217391304</v>
      </c>
      <c r="AP306" s="11"/>
    </row>
    <row r="307" spans="1:42" ht="15" customHeight="1" thickTop="1">
      <c r="A307" s="12">
        <v>46069</v>
      </c>
      <c r="B307" s="8">
        <f>IF(A307="","",SUM(D307)+SUM(R331:R334)+SUM(AF331:AF334))</f>
        <v>996</v>
      </c>
      <c r="C307" s="13">
        <v>34336</v>
      </c>
      <c r="D307" s="9">
        <f t="shared" si="340"/>
        <v>86</v>
      </c>
      <c r="E307" s="9">
        <v>1062</v>
      </c>
      <c r="F307" s="9">
        <f t="shared" si="341"/>
        <v>0</v>
      </c>
      <c r="G307" s="9">
        <v>35</v>
      </c>
      <c r="H307" s="9">
        <f t="shared" si="342"/>
        <v>0</v>
      </c>
      <c r="I307" s="9">
        <v>0</v>
      </c>
      <c r="J307" s="44"/>
      <c r="K307" s="44">
        <f t="shared" si="343"/>
        <v>950</v>
      </c>
      <c r="L307" s="9">
        <f t="shared" si="344"/>
        <v>0</v>
      </c>
      <c r="M307" s="10">
        <f t="shared" si="345"/>
        <v>0</v>
      </c>
      <c r="N307" s="34"/>
      <c r="O307" s="2"/>
      <c r="P307" s="65">
        <f>IF($A301="","",$A301)</f>
        <v>46048</v>
      </c>
      <c r="Q307" s="44">
        <v>11799</v>
      </c>
      <c r="R307" s="44">
        <f t="shared" si="346"/>
        <v>119</v>
      </c>
      <c r="S307" s="44">
        <v>335</v>
      </c>
      <c r="T307" s="23">
        <f t="shared" si="347"/>
        <v>3</v>
      </c>
      <c r="U307" s="44">
        <v>7</v>
      </c>
      <c r="V307" s="44">
        <f t="shared" si="348"/>
        <v>3</v>
      </c>
      <c r="W307" s="66">
        <v>0</v>
      </c>
      <c r="X307" s="61" t="str">
        <f t="shared" si="359"/>
        <v>キティ豹柄キーケース</v>
      </c>
      <c r="Y307" s="62">
        <f t="shared" si="358"/>
        <v>996</v>
      </c>
      <c r="Z307" s="23">
        <f t="shared" si="349"/>
        <v>2988</v>
      </c>
      <c r="AA307" s="24">
        <f t="shared" si="350"/>
        <v>0.25109243697478989</v>
      </c>
      <c r="AB307" s="11"/>
      <c r="AC307" s="1"/>
      <c r="AD307" s="65">
        <f>IF($A301="","",$A301)</f>
        <v>46048</v>
      </c>
      <c r="AE307" s="44">
        <v>8890</v>
      </c>
      <c r="AF307" s="44">
        <f t="shared" si="351"/>
        <v>116</v>
      </c>
      <c r="AG307" s="44">
        <v>243</v>
      </c>
      <c r="AH307" s="23">
        <f t="shared" si="352"/>
        <v>4</v>
      </c>
      <c r="AI307" s="44">
        <v>16</v>
      </c>
      <c r="AJ307" s="44">
        <f t="shared" si="353"/>
        <v>3</v>
      </c>
      <c r="AK307" s="66">
        <v>4</v>
      </c>
      <c r="AL307" s="61" t="str">
        <f t="shared" si="354"/>
        <v>ゲーム機柄イヤホン</v>
      </c>
      <c r="AM307" s="62">
        <f t="shared" si="355"/>
        <v>1100</v>
      </c>
      <c r="AN307" s="23">
        <f t="shared" si="356"/>
        <v>3300</v>
      </c>
      <c r="AO307" s="24">
        <f t="shared" si="357"/>
        <v>0.28448275862068967</v>
      </c>
      <c r="AP307" s="11"/>
    </row>
    <row r="308" spans="1:42">
      <c r="A308" s="12"/>
      <c r="B308" s="8"/>
      <c r="C308" s="13"/>
      <c r="D308" s="9"/>
      <c r="E308" s="9"/>
      <c r="F308" s="9"/>
      <c r="G308" s="9"/>
      <c r="H308" s="9"/>
      <c r="I308" s="9"/>
      <c r="J308" s="44"/>
      <c r="K308" s="44"/>
      <c r="L308" s="9"/>
      <c r="M308" s="10"/>
      <c r="N308" s="34"/>
      <c r="O308" s="2"/>
      <c r="P308" s="12"/>
      <c r="Q308" s="9">
        <v>11049</v>
      </c>
      <c r="R308" s="44">
        <f t="shared" si="346"/>
        <v>97</v>
      </c>
      <c r="S308" s="9">
        <v>252</v>
      </c>
      <c r="T308" s="9">
        <f t="shared" si="347"/>
        <v>2</v>
      </c>
      <c r="U308" s="9">
        <v>3</v>
      </c>
      <c r="V308" s="9">
        <f t="shared" si="348"/>
        <v>2</v>
      </c>
      <c r="W308" s="13">
        <v>7</v>
      </c>
      <c r="X308" s="47" t="str">
        <f t="shared" si="359"/>
        <v>ギャルキティマスコット</v>
      </c>
      <c r="Y308" s="45">
        <f t="shared" si="358"/>
        <v>0</v>
      </c>
      <c r="Z308" s="9">
        <f t="shared" si="349"/>
        <v>0</v>
      </c>
      <c r="AA308" s="10">
        <f t="shared" si="350"/>
        <v>0</v>
      </c>
      <c r="AB308" s="11"/>
      <c r="AC308" s="1"/>
      <c r="AD308" s="12"/>
      <c r="AE308" s="9">
        <v>11795</v>
      </c>
      <c r="AF308" s="44">
        <f t="shared" si="351"/>
        <v>110</v>
      </c>
      <c r="AG308" s="9">
        <v>208</v>
      </c>
      <c r="AH308" s="9">
        <f t="shared" si="352"/>
        <v>1</v>
      </c>
      <c r="AI308" s="9">
        <v>18</v>
      </c>
      <c r="AJ308" s="9">
        <f t="shared" si="353"/>
        <v>2</v>
      </c>
      <c r="AK308" s="13">
        <v>0</v>
      </c>
      <c r="AL308" s="47" t="str">
        <f t="shared" si="354"/>
        <v>液晶ミニカメラ</v>
      </c>
      <c r="AM308" s="45">
        <f t="shared" si="355"/>
        <v>1075</v>
      </c>
      <c r="AN308" s="9">
        <f t="shared" si="356"/>
        <v>2150</v>
      </c>
      <c r="AO308" s="10">
        <f t="shared" si="357"/>
        <v>0.19545454545454546</v>
      </c>
      <c r="AP308" s="11"/>
    </row>
    <row r="309" spans="1:42">
      <c r="A309" s="12"/>
      <c r="B309" s="8"/>
      <c r="C309" s="13"/>
      <c r="D309" s="9"/>
      <c r="E309" s="9"/>
      <c r="F309" s="9"/>
      <c r="G309" s="9"/>
      <c r="H309" s="9"/>
      <c r="I309" s="9"/>
      <c r="J309" s="44"/>
      <c r="K309" s="44"/>
      <c r="L309" s="9"/>
      <c r="M309" s="10"/>
      <c r="N309" s="34"/>
      <c r="O309" s="2"/>
      <c r="P309" s="25"/>
      <c r="Q309" s="9">
        <v>12161</v>
      </c>
      <c r="R309" s="52">
        <f t="shared" si="346"/>
        <v>158</v>
      </c>
      <c r="S309" s="9">
        <v>446</v>
      </c>
      <c r="T309" s="9">
        <f t="shared" si="347"/>
        <v>6</v>
      </c>
      <c r="U309" s="9">
        <v>10</v>
      </c>
      <c r="V309" s="9">
        <f t="shared" si="348"/>
        <v>5</v>
      </c>
      <c r="W309" s="13">
        <v>4</v>
      </c>
      <c r="X309" s="47" t="str">
        <f t="shared" si="359"/>
        <v>キティボアバンスクリップ</v>
      </c>
      <c r="Y309" s="9">
        <f t="shared" si="358"/>
        <v>1100</v>
      </c>
      <c r="Z309" s="9">
        <f t="shared" si="349"/>
        <v>5500</v>
      </c>
      <c r="AA309" s="10">
        <f t="shared" si="350"/>
        <v>0.34810126582278483</v>
      </c>
      <c r="AB309" s="11"/>
      <c r="AD309" s="25"/>
      <c r="AE309" s="9">
        <v>11919</v>
      </c>
      <c r="AF309" s="52">
        <f t="shared" si="351"/>
        <v>227</v>
      </c>
      <c r="AG309" s="9">
        <v>452</v>
      </c>
      <c r="AH309" s="9">
        <f t="shared" si="352"/>
        <v>5</v>
      </c>
      <c r="AI309" s="9">
        <v>45</v>
      </c>
      <c r="AJ309" s="9">
        <f t="shared" si="353"/>
        <v>5</v>
      </c>
      <c r="AK309" s="13">
        <v>8</v>
      </c>
      <c r="AL309" s="47" t="str">
        <f t="shared" si="354"/>
        <v>ゲームアーク</v>
      </c>
      <c r="AM309" s="9">
        <f t="shared" si="355"/>
        <v>1100</v>
      </c>
      <c r="AN309" s="9">
        <f t="shared" si="356"/>
        <v>5500</v>
      </c>
      <c r="AO309" s="10">
        <f t="shared" si="357"/>
        <v>0.24229074889867841</v>
      </c>
      <c r="AP309" s="11"/>
    </row>
    <row r="310" spans="1:42" ht="15" customHeight="1" thickBot="1">
      <c r="A310" s="12"/>
      <c r="B310" s="8" t="str">
        <f>IF(A310="","",SUM(D310)+SUM(R343:R346)+SUM(AF343:AF346))</f>
        <v/>
      </c>
      <c r="C310" s="13"/>
      <c r="D310" s="9" t="str">
        <f>IF(C310="","",C310-C309)</f>
        <v/>
      </c>
      <c r="E310" s="9"/>
      <c r="F310" s="9" t="str">
        <f>IF(E310="","",E310-E309)</f>
        <v/>
      </c>
      <c r="G310" s="9"/>
      <c r="H310" s="9" t="str">
        <f>IF(G310="","",G309+I309-G310)</f>
        <v/>
      </c>
      <c r="I310" s="9"/>
      <c r="J310" s="44"/>
      <c r="K310" s="44" t="str">
        <f>IF(C310="","",K309)</f>
        <v/>
      </c>
      <c r="L310" s="9" t="str">
        <f>IF(K310="","",H310*K310)</f>
        <v/>
      </c>
      <c r="M310" s="10" t="str">
        <f>IF(L310="","",L310/(D310*100))</f>
        <v/>
      </c>
      <c r="N310" s="11"/>
      <c r="O310" s="2"/>
      <c r="P310" s="18"/>
      <c r="Q310" s="21">
        <v>14486</v>
      </c>
      <c r="R310" s="134">
        <f t="shared" si="346"/>
        <v>51</v>
      </c>
      <c r="S310" s="51">
        <v>373</v>
      </c>
      <c r="T310" s="19">
        <f t="shared" si="347"/>
        <v>1</v>
      </c>
      <c r="U310" s="19">
        <v>15</v>
      </c>
      <c r="V310" s="19">
        <f t="shared" si="348"/>
        <v>1</v>
      </c>
      <c r="W310" s="37">
        <v>0</v>
      </c>
      <c r="X310" s="48" t="str">
        <f t="shared" si="359"/>
        <v>ラブブキーホルダー</v>
      </c>
      <c r="Y310" s="51">
        <f t="shared" si="358"/>
        <v>400</v>
      </c>
      <c r="Z310" s="19">
        <f t="shared" si="349"/>
        <v>400</v>
      </c>
      <c r="AA310" s="20">
        <f t="shared" si="350"/>
        <v>7.8431372549019607E-2</v>
      </c>
      <c r="AB310" s="11"/>
      <c r="AD310" s="18"/>
      <c r="AE310" s="21">
        <v>14556</v>
      </c>
      <c r="AF310" s="50">
        <f t="shared" si="351"/>
        <v>110</v>
      </c>
      <c r="AG310" s="51">
        <v>496</v>
      </c>
      <c r="AH310" s="19">
        <f t="shared" si="352"/>
        <v>7</v>
      </c>
      <c r="AI310" s="19">
        <v>135</v>
      </c>
      <c r="AJ310" s="19">
        <f t="shared" si="353"/>
        <v>8</v>
      </c>
      <c r="AK310" s="37">
        <v>0</v>
      </c>
      <c r="AL310" s="48" t="str">
        <f t="shared" si="354"/>
        <v>AIモンスターラバー</v>
      </c>
      <c r="AM310" s="51">
        <f t="shared" si="355"/>
        <v>200</v>
      </c>
      <c r="AN310" s="19">
        <f t="shared" si="356"/>
        <v>1600</v>
      </c>
      <c r="AO310" s="20">
        <f t="shared" si="357"/>
        <v>0.14545454545454545</v>
      </c>
      <c r="AP310" s="11"/>
    </row>
    <row r="311" spans="1:42" ht="15" customHeight="1" thickTop="1">
      <c r="A311" s="12"/>
      <c r="B311" s="8" t="str">
        <f>IF(A311="","",SUM(D311)+SUM(R344:R347)+SUM(AF344:AF347))</f>
        <v/>
      </c>
      <c r="C311" s="13"/>
      <c r="D311" s="9" t="str">
        <f>IF(C311="","",C311-C310)</f>
        <v/>
      </c>
      <c r="E311" s="9"/>
      <c r="F311" s="9" t="str">
        <f>IF(E311="","",E311-E310)</f>
        <v/>
      </c>
      <c r="G311" s="9"/>
      <c r="H311" s="9" t="str">
        <f>IF(G311="","",G310+I310-G311)</f>
        <v/>
      </c>
      <c r="I311" s="9"/>
      <c r="J311" s="44"/>
      <c r="K311" s="44" t="str">
        <f>IF(C311="","",K310)</f>
        <v/>
      </c>
      <c r="L311" s="9" t="str">
        <f>IF(K311="","",H311*K311)</f>
        <v/>
      </c>
      <c r="M311" s="10" t="str">
        <f>IF(L311="","",L311/(D311*100))</f>
        <v/>
      </c>
      <c r="N311" s="11"/>
      <c r="O311" s="2"/>
      <c r="P311" s="65">
        <f>IF($A302="","",$A302)</f>
        <v>46052</v>
      </c>
      <c r="Q311" s="44">
        <v>11871</v>
      </c>
      <c r="R311" s="44">
        <f t="shared" si="346"/>
        <v>72</v>
      </c>
      <c r="S311" s="44">
        <v>340</v>
      </c>
      <c r="T311" s="23">
        <f t="shared" si="347"/>
        <v>5</v>
      </c>
      <c r="U311" s="44">
        <v>3</v>
      </c>
      <c r="V311" s="44">
        <f t="shared" si="348"/>
        <v>4</v>
      </c>
      <c r="W311" s="66">
        <v>4</v>
      </c>
      <c r="X311" s="61" t="str">
        <f t="shared" si="359"/>
        <v>キティ豹柄キーケース</v>
      </c>
      <c r="Y311" s="62">
        <f t="shared" si="358"/>
        <v>996</v>
      </c>
      <c r="Z311" s="23">
        <f t="shared" si="349"/>
        <v>3984</v>
      </c>
      <c r="AA311" s="24">
        <f t="shared" si="350"/>
        <v>0.55333333333333334</v>
      </c>
      <c r="AB311" s="11"/>
      <c r="AC311" s="1"/>
      <c r="AD311" s="65">
        <f>IF($A302="","",$A302)</f>
        <v>46052</v>
      </c>
      <c r="AE311" s="44">
        <v>8993</v>
      </c>
      <c r="AF311" s="44">
        <f t="shared" si="351"/>
        <v>103</v>
      </c>
      <c r="AG311" s="44">
        <v>245</v>
      </c>
      <c r="AH311" s="23">
        <f t="shared" si="352"/>
        <v>2</v>
      </c>
      <c r="AI311" s="44">
        <v>18</v>
      </c>
      <c r="AJ311" s="44">
        <f t="shared" si="353"/>
        <v>2</v>
      </c>
      <c r="AK311" s="66">
        <v>0</v>
      </c>
      <c r="AL311" s="61" t="str">
        <f t="shared" si="354"/>
        <v>ゲーム機柄イヤホン</v>
      </c>
      <c r="AM311" s="62">
        <f t="shared" si="355"/>
        <v>1100</v>
      </c>
      <c r="AN311" s="23">
        <f t="shared" si="356"/>
        <v>2200</v>
      </c>
      <c r="AO311" s="24">
        <f t="shared" si="357"/>
        <v>0.21359223300970873</v>
      </c>
      <c r="AP311" s="11"/>
    </row>
    <row r="312" spans="1:42">
      <c r="A312" s="12"/>
      <c r="B312" s="8"/>
      <c r="C312" s="13"/>
      <c r="D312" s="9" t="str">
        <f>IF(C312="","",C312-C311)</f>
        <v/>
      </c>
      <c r="E312" s="9"/>
      <c r="F312" s="9" t="str">
        <f>IF(E312="","",E312-E311)</f>
        <v/>
      </c>
      <c r="G312" s="9"/>
      <c r="H312" s="9" t="str">
        <f>IF(G312="","",G311+I311-G312)</f>
        <v/>
      </c>
      <c r="I312" s="9"/>
      <c r="J312" s="44"/>
      <c r="K312" s="44" t="str">
        <f>IF(C312="","",K311)</f>
        <v/>
      </c>
      <c r="L312" s="9" t="str">
        <f>IF(K312="","",H312*K312)</f>
        <v/>
      </c>
      <c r="M312" s="10" t="str">
        <f>IF(L312="","",L312/(D312*100))</f>
        <v/>
      </c>
      <c r="N312" s="11"/>
      <c r="O312" s="2"/>
      <c r="P312" s="12"/>
      <c r="Q312" s="9">
        <v>11100</v>
      </c>
      <c r="R312" s="44">
        <f t="shared" si="346"/>
        <v>51</v>
      </c>
      <c r="S312" s="9">
        <v>253</v>
      </c>
      <c r="T312" s="9">
        <f t="shared" si="347"/>
        <v>1</v>
      </c>
      <c r="U312" s="9">
        <v>9</v>
      </c>
      <c r="V312" s="9">
        <f t="shared" si="348"/>
        <v>1</v>
      </c>
      <c r="W312" s="13">
        <v>0</v>
      </c>
      <c r="X312" s="47" t="str">
        <f t="shared" si="359"/>
        <v>ギャルキティマスコット</v>
      </c>
      <c r="Y312" s="45">
        <f t="shared" si="358"/>
        <v>0</v>
      </c>
      <c r="Z312" s="9">
        <f t="shared" si="349"/>
        <v>0</v>
      </c>
      <c r="AA312" s="10">
        <f t="shared" si="350"/>
        <v>0</v>
      </c>
      <c r="AB312" s="11"/>
      <c r="AC312" s="1"/>
      <c r="AD312" s="12"/>
      <c r="AE312" s="9">
        <v>11856</v>
      </c>
      <c r="AF312" s="44">
        <f t="shared" si="351"/>
        <v>61</v>
      </c>
      <c r="AG312" s="9">
        <v>209</v>
      </c>
      <c r="AH312" s="9">
        <f t="shared" si="352"/>
        <v>1</v>
      </c>
      <c r="AI312" s="9">
        <v>17</v>
      </c>
      <c r="AJ312" s="9">
        <f t="shared" si="353"/>
        <v>1</v>
      </c>
      <c r="AK312" s="13">
        <v>0</v>
      </c>
      <c r="AL312" s="47" t="str">
        <f t="shared" si="354"/>
        <v>液晶ミニカメラ</v>
      </c>
      <c r="AM312" s="45">
        <f t="shared" si="355"/>
        <v>1075</v>
      </c>
      <c r="AN312" s="9">
        <f t="shared" si="356"/>
        <v>1075</v>
      </c>
      <c r="AO312" s="10">
        <f t="shared" si="357"/>
        <v>0.17622950819672131</v>
      </c>
      <c r="AP312" s="11"/>
    </row>
    <row r="313" spans="1:42">
      <c r="A313" s="12"/>
      <c r="B313" s="8"/>
      <c r="C313" s="13"/>
      <c r="D313" s="9"/>
      <c r="E313" s="9"/>
      <c r="F313" s="9"/>
      <c r="G313" s="9"/>
      <c r="H313" s="9"/>
      <c r="I313" s="9"/>
      <c r="J313" s="44"/>
      <c r="K313" s="44"/>
      <c r="L313" s="9"/>
      <c r="M313" s="10"/>
      <c r="N313" s="11"/>
      <c r="O313" s="2"/>
      <c r="P313" s="25"/>
      <c r="Q313" s="26">
        <v>12480</v>
      </c>
      <c r="R313" s="44">
        <f t="shared" si="346"/>
        <v>319</v>
      </c>
      <c r="S313" s="26">
        <v>452</v>
      </c>
      <c r="T313" s="9">
        <f t="shared" si="347"/>
        <v>6</v>
      </c>
      <c r="U313" s="26">
        <v>6</v>
      </c>
      <c r="V313" s="9">
        <f t="shared" si="348"/>
        <v>8</v>
      </c>
      <c r="W313" s="38">
        <v>6</v>
      </c>
      <c r="X313" s="47" t="str">
        <f t="shared" si="359"/>
        <v>キティボアバンスクリップ</v>
      </c>
      <c r="Y313" s="9">
        <f t="shared" si="358"/>
        <v>1100</v>
      </c>
      <c r="Z313" s="9">
        <f t="shared" si="349"/>
        <v>8800</v>
      </c>
      <c r="AA313" s="10">
        <f t="shared" si="350"/>
        <v>0.27586206896551724</v>
      </c>
      <c r="AB313" s="11"/>
      <c r="AD313" s="25"/>
      <c r="AE313" s="26">
        <v>12015</v>
      </c>
      <c r="AF313" s="44">
        <f t="shared" si="351"/>
        <v>96</v>
      </c>
      <c r="AG313" s="26">
        <v>455</v>
      </c>
      <c r="AH313" s="9">
        <f t="shared" si="352"/>
        <v>3</v>
      </c>
      <c r="AI313" s="26">
        <v>50</v>
      </c>
      <c r="AJ313" s="9">
        <f t="shared" si="353"/>
        <v>3</v>
      </c>
      <c r="AK313" s="38">
        <v>3</v>
      </c>
      <c r="AL313" s="47" t="str">
        <f t="shared" si="354"/>
        <v>ゲームアーク</v>
      </c>
      <c r="AM313" s="9">
        <f t="shared" si="355"/>
        <v>1100</v>
      </c>
      <c r="AN313" s="9">
        <f t="shared" si="356"/>
        <v>3300</v>
      </c>
      <c r="AO313" s="10">
        <f t="shared" si="357"/>
        <v>0.34375</v>
      </c>
      <c r="AP313" s="11"/>
    </row>
    <row r="314" spans="1:42" ht="15" customHeight="1" thickBot="1">
      <c r="A314" s="12"/>
      <c r="B314" s="8"/>
      <c r="C314" s="13"/>
      <c r="D314" s="9" t="str">
        <f>IF(C314="","",C314-C315)</f>
        <v/>
      </c>
      <c r="E314" s="9"/>
      <c r="F314" s="9" t="str">
        <f>IF(E314="","",E314-E315)</f>
        <v/>
      </c>
      <c r="G314" s="9"/>
      <c r="H314" s="9" t="str">
        <f>IF(G314="","",G315+I315-G314)</f>
        <v/>
      </c>
      <c r="I314" s="9"/>
      <c r="J314" s="44"/>
      <c r="K314" s="44" t="str">
        <f>IF(C314="","",K315)</f>
        <v/>
      </c>
      <c r="L314" s="9" t="str">
        <f t="shared" ref="L314:L352" si="360">IF(K314="","",H314*K314)</f>
        <v/>
      </c>
      <c r="M314" s="10" t="str">
        <f t="shared" ref="M314:M352" si="361">IF(L314="","",L314/(D314*100))</f>
        <v/>
      </c>
      <c r="N314" s="11"/>
      <c r="O314" s="2"/>
      <c r="P314" s="18"/>
      <c r="Q314" s="19">
        <v>14555</v>
      </c>
      <c r="R314" s="50">
        <f t="shared" si="346"/>
        <v>69</v>
      </c>
      <c r="S314" s="19">
        <v>373</v>
      </c>
      <c r="T314" s="19">
        <f t="shared" si="347"/>
        <v>0</v>
      </c>
      <c r="U314" s="19">
        <v>15</v>
      </c>
      <c r="V314" s="19">
        <f t="shared" si="348"/>
        <v>0</v>
      </c>
      <c r="W314" s="37">
        <v>0</v>
      </c>
      <c r="X314" s="48" t="str">
        <f t="shared" si="359"/>
        <v>ラブブキーホルダー</v>
      </c>
      <c r="Y314" s="51">
        <f t="shared" si="358"/>
        <v>400</v>
      </c>
      <c r="Z314" s="19">
        <f t="shared" si="349"/>
        <v>0</v>
      </c>
      <c r="AA314" s="20">
        <f t="shared" si="350"/>
        <v>0</v>
      </c>
      <c r="AB314" s="11"/>
      <c r="AD314" s="18"/>
      <c r="AE314" s="19">
        <v>14604</v>
      </c>
      <c r="AF314" s="50">
        <f t="shared" si="351"/>
        <v>48</v>
      </c>
      <c r="AG314" s="19">
        <v>496</v>
      </c>
      <c r="AH314" s="19">
        <f t="shared" si="352"/>
        <v>0</v>
      </c>
      <c r="AI314" s="19">
        <v>130</v>
      </c>
      <c r="AJ314" s="19">
        <f t="shared" si="353"/>
        <v>5</v>
      </c>
      <c r="AK314" s="37">
        <v>0</v>
      </c>
      <c r="AL314" s="48" t="str">
        <f t="shared" si="354"/>
        <v>AIモンスターラバー</v>
      </c>
      <c r="AM314" s="51">
        <f t="shared" si="355"/>
        <v>200</v>
      </c>
      <c r="AN314" s="19">
        <f t="shared" si="356"/>
        <v>1000</v>
      </c>
      <c r="AO314" s="20">
        <f t="shared" si="357"/>
        <v>0.20833333333333334</v>
      </c>
      <c r="AP314" s="11"/>
    </row>
    <row r="315" spans="1:42" ht="15" customHeight="1" thickTop="1">
      <c r="A315" s="12"/>
      <c r="B315" s="8"/>
      <c r="C315" s="13"/>
      <c r="D315" s="9" t="str">
        <f>IF(C315="","",C315-C312)</f>
        <v/>
      </c>
      <c r="E315" s="9"/>
      <c r="F315" s="9" t="str">
        <f>IF(E315="","",E315-E312)</f>
        <v/>
      </c>
      <c r="G315" s="9"/>
      <c r="H315" s="9" t="str">
        <f>IF(G315="","",G312+I312-G315)</f>
        <v/>
      </c>
      <c r="I315" s="9"/>
      <c r="J315" s="44"/>
      <c r="K315" s="44" t="str">
        <f>IF(C315="","",K312)</f>
        <v/>
      </c>
      <c r="L315" s="9" t="str">
        <f t="shared" si="360"/>
        <v/>
      </c>
      <c r="M315" s="10" t="str">
        <f t="shared" si="361"/>
        <v/>
      </c>
      <c r="N315" s="11"/>
      <c r="O315" s="2"/>
      <c r="P315" s="65">
        <f>IF($A303="","",$A303)</f>
        <v>46055</v>
      </c>
      <c r="Q315" s="44">
        <v>11943</v>
      </c>
      <c r="R315" s="113">
        <f t="shared" si="346"/>
        <v>72</v>
      </c>
      <c r="S315" s="44">
        <v>344</v>
      </c>
      <c r="T315" s="23">
        <f t="shared" si="347"/>
        <v>4</v>
      </c>
      <c r="U315" s="44">
        <v>3</v>
      </c>
      <c r="V315" s="44">
        <f t="shared" si="348"/>
        <v>4</v>
      </c>
      <c r="W315" s="66">
        <v>5</v>
      </c>
      <c r="X315" s="61" t="str">
        <f t="shared" si="359"/>
        <v>キティ豹柄キーケース</v>
      </c>
      <c r="Y315" s="62">
        <f t="shared" si="358"/>
        <v>996</v>
      </c>
      <c r="Z315" s="23">
        <f t="shared" si="349"/>
        <v>3984</v>
      </c>
      <c r="AA315" s="24">
        <f t="shared" si="350"/>
        <v>0.55333333333333334</v>
      </c>
      <c r="AB315" s="11"/>
      <c r="AD315" s="65">
        <f>IF($A303="","",$A303)</f>
        <v>46055</v>
      </c>
      <c r="AE315" s="44">
        <v>9102</v>
      </c>
      <c r="AF315" s="44">
        <f t="shared" si="351"/>
        <v>109</v>
      </c>
      <c r="AG315" s="44">
        <v>245</v>
      </c>
      <c r="AH315" s="23">
        <f t="shared" si="352"/>
        <v>0</v>
      </c>
      <c r="AI315" s="44">
        <v>18</v>
      </c>
      <c r="AJ315" s="44">
        <f t="shared" si="353"/>
        <v>0</v>
      </c>
      <c r="AK315" s="66">
        <v>0</v>
      </c>
      <c r="AL315" s="61" t="str">
        <f t="shared" si="354"/>
        <v>ゲーム機柄イヤホン</v>
      </c>
      <c r="AM315" s="62">
        <f t="shared" si="355"/>
        <v>1100</v>
      </c>
      <c r="AN315" s="23">
        <f t="shared" si="356"/>
        <v>0</v>
      </c>
      <c r="AO315" s="24">
        <f t="shared" si="357"/>
        <v>0</v>
      </c>
      <c r="AP315" s="11"/>
    </row>
    <row r="316" spans="1:42">
      <c r="A316" s="12"/>
      <c r="B316" s="8"/>
      <c r="C316" s="13"/>
      <c r="D316" s="9" t="str">
        <f>IF(C316="","",C316-C314)</f>
        <v/>
      </c>
      <c r="E316" s="9"/>
      <c r="F316" s="9" t="str">
        <f>IF(E316="","",E316-E314)</f>
        <v/>
      </c>
      <c r="G316" s="9"/>
      <c r="H316" s="9" t="str">
        <f>IF(G316="","",G314+I314-G316)</f>
        <v/>
      </c>
      <c r="I316" s="9"/>
      <c r="J316" s="44"/>
      <c r="K316" s="44" t="str">
        <f>IF(C316="","",K314)</f>
        <v/>
      </c>
      <c r="L316" s="9" t="str">
        <f t="shared" si="360"/>
        <v/>
      </c>
      <c r="M316" s="10" t="str">
        <f t="shared" si="361"/>
        <v/>
      </c>
      <c r="N316" s="11"/>
      <c r="O316" s="2"/>
      <c r="P316" s="65"/>
      <c r="Q316" s="9">
        <v>11268</v>
      </c>
      <c r="R316" s="9">
        <f t="shared" si="346"/>
        <v>168</v>
      </c>
      <c r="S316" s="9">
        <v>254</v>
      </c>
      <c r="T316" s="9">
        <f t="shared" si="347"/>
        <v>1</v>
      </c>
      <c r="U316" s="9">
        <v>8</v>
      </c>
      <c r="V316" s="9">
        <f t="shared" si="348"/>
        <v>1</v>
      </c>
      <c r="W316" s="13">
        <v>2</v>
      </c>
      <c r="X316" s="47" t="str">
        <f t="shared" si="359"/>
        <v>ギャルキティマスコット</v>
      </c>
      <c r="Y316" s="45">
        <f t="shared" si="358"/>
        <v>0</v>
      </c>
      <c r="Z316" s="9">
        <f t="shared" si="349"/>
        <v>0</v>
      </c>
      <c r="AA316" s="10">
        <f t="shared" si="350"/>
        <v>0</v>
      </c>
      <c r="AB316" s="11"/>
      <c r="AD316" s="65"/>
      <c r="AE316" s="9">
        <v>11919</v>
      </c>
      <c r="AF316" s="81">
        <f t="shared" si="351"/>
        <v>63</v>
      </c>
      <c r="AG316" s="9">
        <v>210</v>
      </c>
      <c r="AH316" s="9">
        <f t="shared" si="352"/>
        <v>1</v>
      </c>
      <c r="AI316" s="9">
        <v>16</v>
      </c>
      <c r="AJ316" s="9">
        <f t="shared" si="353"/>
        <v>1</v>
      </c>
      <c r="AK316" s="13">
        <v>0</v>
      </c>
      <c r="AL316" s="47" t="str">
        <f t="shared" si="354"/>
        <v>液晶ミニカメラ</v>
      </c>
      <c r="AM316" s="45">
        <f t="shared" si="355"/>
        <v>1075</v>
      </c>
      <c r="AN316" s="9">
        <f t="shared" si="356"/>
        <v>1075</v>
      </c>
      <c r="AO316" s="10">
        <f t="shared" si="357"/>
        <v>0.17063492063492064</v>
      </c>
      <c r="AP316" s="11"/>
    </row>
    <row r="317" spans="1:42" ht="15" customHeight="1">
      <c r="A317" s="12"/>
      <c r="B317" s="8"/>
      <c r="C317" s="13"/>
      <c r="D317" s="9" t="str">
        <f t="shared" ref="D317:D322" si="362">IF(C317="","",C317-C316)</f>
        <v/>
      </c>
      <c r="E317" s="9"/>
      <c r="F317" s="9" t="str">
        <f t="shared" ref="F317:F322" si="363">IF(E317="","",E317-E316)</f>
        <v/>
      </c>
      <c r="G317" s="9"/>
      <c r="H317" s="9" t="str">
        <f t="shared" ref="H317:H322" si="364">IF(G317="","",G316+I316-G317)</f>
        <v/>
      </c>
      <c r="I317" s="9"/>
      <c r="J317" s="44"/>
      <c r="K317" s="44" t="str">
        <f t="shared" ref="K317:K322" si="365">IF(C317="","",K316)</f>
        <v/>
      </c>
      <c r="L317" s="9" t="str">
        <f t="shared" si="360"/>
        <v/>
      </c>
      <c r="M317" s="10" t="str">
        <f t="shared" si="361"/>
        <v/>
      </c>
      <c r="N317" s="11"/>
      <c r="O317" s="2"/>
      <c r="P317" s="65"/>
      <c r="Q317" s="26">
        <v>12634</v>
      </c>
      <c r="R317" s="9">
        <f t="shared" si="346"/>
        <v>154</v>
      </c>
      <c r="S317" s="26">
        <v>455</v>
      </c>
      <c r="T317" s="9">
        <f t="shared" si="347"/>
        <v>3</v>
      </c>
      <c r="U317" s="26">
        <v>10</v>
      </c>
      <c r="V317" s="9">
        <f t="shared" si="348"/>
        <v>2</v>
      </c>
      <c r="W317" s="38">
        <v>3</v>
      </c>
      <c r="X317" s="47" t="str">
        <f t="shared" si="359"/>
        <v>キティボアバンスクリップ</v>
      </c>
      <c r="Y317" s="9">
        <f t="shared" si="358"/>
        <v>1100</v>
      </c>
      <c r="Z317" s="9">
        <f t="shared" si="349"/>
        <v>2200</v>
      </c>
      <c r="AA317" s="10">
        <f t="shared" si="350"/>
        <v>0.14285714285714285</v>
      </c>
      <c r="AB317" s="11"/>
      <c r="AD317" s="65"/>
      <c r="AE317" s="26">
        <v>12168</v>
      </c>
      <c r="AF317" s="9">
        <f t="shared" si="351"/>
        <v>153</v>
      </c>
      <c r="AG317" s="26">
        <v>461</v>
      </c>
      <c r="AH317" s="9">
        <f t="shared" si="352"/>
        <v>6</v>
      </c>
      <c r="AI317" s="26">
        <v>47</v>
      </c>
      <c r="AJ317" s="9">
        <f t="shared" si="353"/>
        <v>6</v>
      </c>
      <c r="AK317" s="38">
        <v>8</v>
      </c>
      <c r="AL317" s="47" t="str">
        <f t="shared" si="354"/>
        <v>ゲームアーク</v>
      </c>
      <c r="AM317" s="9">
        <f t="shared" si="355"/>
        <v>1100</v>
      </c>
      <c r="AN317" s="9">
        <f t="shared" si="356"/>
        <v>6600</v>
      </c>
      <c r="AO317" s="10">
        <f t="shared" si="357"/>
        <v>0.43137254901960786</v>
      </c>
      <c r="AP317" s="11"/>
    </row>
    <row r="318" spans="1:42" ht="15" customHeight="1" thickBot="1">
      <c r="A318" s="12"/>
      <c r="B318" s="8"/>
      <c r="C318" s="13"/>
      <c r="D318" s="9" t="str">
        <f t="shared" si="362"/>
        <v/>
      </c>
      <c r="E318" s="9"/>
      <c r="F318" s="9" t="str">
        <f t="shared" si="363"/>
        <v/>
      </c>
      <c r="G318" s="9"/>
      <c r="H318" s="9" t="str">
        <f t="shared" si="364"/>
        <v/>
      </c>
      <c r="I318" s="9"/>
      <c r="J318" s="44"/>
      <c r="K318" s="44" t="str">
        <f t="shared" si="365"/>
        <v/>
      </c>
      <c r="L318" s="9" t="str">
        <f t="shared" si="360"/>
        <v/>
      </c>
      <c r="M318" s="10" t="str">
        <f t="shared" si="361"/>
        <v/>
      </c>
      <c r="N318" s="11"/>
      <c r="O318" s="2"/>
      <c r="P318" s="18"/>
      <c r="Q318" s="19">
        <v>14671</v>
      </c>
      <c r="R318" s="19">
        <f t="shared" si="346"/>
        <v>116</v>
      </c>
      <c r="S318" s="19">
        <v>376</v>
      </c>
      <c r="T318" s="19">
        <f t="shared" si="347"/>
        <v>3</v>
      </c>
      <c r="U318" s="19">
        <v>12</v>
      </c>
      <c r="V318" s="19">
        <f t="shared" si="348"/>
        <v>3</v>
      </c>
      <c r="W318" s="37">
        <v>0</v>
      </c>
      <c r="X318" s="48" t="str">
        <f t="shared" si="359"/>
        <v>ラブブキーホルダー</v>
      </c>
      <c r="Y318" s="51">
        <f t="shared" si="358"/>
        <v>400</v>
      </c>
      <c r="Z318" s="19">
        <f t="shared" si="349"/>
        <v>1200</v>
      </c>
      <c r="AA318" s="20">
        <f t="shared" si="350"/>
        <v>0.10344827586206896</v>
      </c>
      <c r="AB318" s="11"/>
      <c r="AD318" s="18"/>
      <c r="AE318" s="19">
        <v>14718</v>
      </c>
      <c r="AF318" s="19">
        <f t="shared" si="351"/>
        <v>114</v>
      </c>
      <c r="AG318" s="19">
        <v>501</v>
      </c>
      <c r="AH318" s="19">
        <f t="shared" si="352"/>
        <v>5</v>
      </c>
      <c r="AI318" s="19">
        <v>124</v>
      </c>
      <c r="AJ318" s="19">
        <f t="shared" si="353"/>
        <v>6</v>
      </c>
      <c r="AK318" s="37">
        <v>0</v>
      </c>
      <c r="AL318" s="48" t="str">
        <f t="shared" si="354"/>
        <v>AIモンスターラバー</v>
      </c>
      <c r="AM318" s="51">
        <f t="shared" si="355"/>
        <v>200</v>
      </c>
      <c r="AN318" s="19">
        <f t="shared" si="356"/>
        <v>1200</v>
      </c>
      <c r="AO318" s="20">
        <f t="shared" si="357"/>
        <v>0.10526315789473684</v>
      </c>
      <c r="AP318" s="11"/>
    </row>
    <row r="319" spans="1:42" ht="15" customHeight="1" thickTop="1">
      <c r="A319" s="12"/>
      <c r="B319" s="8"/>
      <c r="C319" s="13"/>
      <c r="D319" s="9" t="str">
        <f t="shared" si="362"/>
        <v/>
      </c>
      <c r="E319" s="9"/>
      <c r="F319" s="9" t="str">
        <f t="shared" si="363"/>
        <v/>
      </c>
      <c r="G319" s="9"/>
      <c r="H319" s="9" t="str">
        <f t="shared" si="364"/>
        <v/>
      </c>
      <c r="I319" s="9"/>
      <c r="J319" s="44"/>
      <c r="K319" s="44" t="str">
        <f t="shared" si="365"/>
        <v/>
      </c>
      <c r="L319" s="9" t="str">
        <f t="shared" si="360"/>
        <v/>
      </c>
      <c r="M319" s="10" t="str">
        <f t="shared" si="361"/>
        <v/>
      </c>
      <c r="N319" s="11"/>
      <c r="O319" s="2"/>
      <c r="P319" s="65">
        <f>IF($A304="","",$A304)</f>
        <v>46059</v>
      </c>
      <c r="Q319" s="44">
        <v>12000</v>
      </c>
      <c r="R319" s="44">
        <f t="shared" si="346"/>
        <v>57</v>
      </c>
      <c r="S319" s="44">
        <v>346</v>
      </c>
      <c r="T319" s="23">
        <f t="shared" si="347"/>
        <v>2</v>
      </c>
      <c r="U319" s="44">
        <v>9</v>
      </c>
      <c r="V319" s="44">
        <f t="shared" si="348"/>
        <v>-1</v>
      </c>
      <c r="W319" s="66">
        <v>0</v>
      </c>
      <c r="X319" s="61" t="str">
        <f t="shared" si="359"/>
        <v>キティ豹柄キーケース</v>
      </c>
      <c r="Y319" s="62">
        <f t="shared" si="358"/>
        <v>996</v>
      </c>
      <c r="Z319" s="23">
        <f t="shared" si="349"/>
        <v>-996</v>
      </c>
      <c r="AA319" s="24">
        <f t="shared" si="350"/>
        <v>-0.17473684210526316</v>
      </c>
      <c r="AB319" s="11"/>
      <c r="AD319" s="65">
        <f>IF($A304="","",$A304)</f>
        <v>46059</v>
      </c>
      <c r="AE319" s="44">
        <v>9146</v>
      </c>
      <c r="AF319" s="44">
        <f t="shared" si="351"/>
        <v>44</v>
      </c>
      <c r="AG319" s="44">
        <v>246</v>
      </c>
      <c r="AH319" s="23">
        <f t="shared" si="352"/>
        <v>1</v>
      </c>
      <c r="AI319" s="44">
        <v>18</v>
      </c>
      <c r="AJ319" s="44">
        <f t="shared" si="353"/>
        <v>0</v>
      </c>
      <c r="AK319" s="66">
        <v>0</v>
      </c>
      <c r="AL319" s="61" t="str">
        <f t="shared" si="354"/>
        <v>ゲーム機柄イヤホン</v>
      </c>
      <c r="AM319" s="62">
        <f t="shared" si="355"/>
        <v>1100</v>
      </c>
      <c r="AN319" s="23">
        <f t="shared" si="356"/>
        <v>0</v>
      </c>
      <c r="AO319" s="24">
        <f t="shared" si="357"/>
        <v>0</v>
      </c>
      <c r="AP319" s="11"/>
    </row>
    <row r="320" spans="1:42" ht="15" customHeight="1">
      <c r="A320" s="12"/>
      <c r="B320" s="8"/>
      <c r="C320" s="13"/>
      <c r="D320" s="9" t="str">
        <f t="shared" si="362"/>
        <v/>
      </c>
      <c r="E320" s="9"/>
      <c r="F320" s="9" t="str">
        <f t="shared" si="363"/>
        <v/>
      </c>
      <c r="G320" s="9"/>
      <c r="H320" s="9" t="str">
        <f t="shared" si="364"/>
        <v/>
      </c>
      <c r="I320" s="9"/>
      <c r="J320" s="44"/>
      <c r="K320" s="44" t="str">
        <f t="shared" si="365"/>
        <v/>
      </c>
      <c r="L320" s="9" t="str">
        <f t="shared" si="360"/>
        <v/>
      </c>
      <c r="M320" s="10" t="str">
        <f t="shared" si="361"/>
        <v/>
      </c>
      <c r="N320" s="11"/>
      <c r="O320" s="2"/>
      <c r="P320" s="12"/>
      <c r="Q320" s="9">
        <v>11301</v>
      </c>
      <c r="R320" s="81">
        <f t="shared" si="346"/>
        <v>33</v>
      </c>
      <c r="S320" s="9">
        <v>254</v>
      </c>
      <c r="T320" s="9">
        <f t="shared" si="347"/>
        <v>0</v>
      </c>
      <c r="U320" s="9">
        <v>10</v>
      </c>
      <c r="V320" s="9">
        <f t="shared" si="348"/>
        <v>0</v>
      </c>
      <c r="W320" s="13">
        <v>0</v>
      </c>
      <c r="X320" s="47" t="str">
        <f t="shared" si="359"/>
        <v>ギャルキティマスコット</v>
      </c>
      <c r="Y320" s="45">
        <f t="shared" si="358"/>
        <v>0</v>
      </c>
      <c r="Z320" s="9">
        <f t="shared" si="349"/>
        <v>0</v>
      </c>
      <c r="AA320" s="10">
        <f t="shared" si="350"/>
        <v>0</v>
      </c>
      <c r="AB320" s="34"/>
      <c r="AD320" s="12"/>
      <c r="AE320" s="9">
        <v>12008</v>
      </c>
      <c r="AF320" s="9">
        <f t="shared" si="351"/>
        <v>89</v>
      </c>
      <c r="AG320" s="9">
        <v>211</v>
      </c>
      <c r="AH320" s="9">
        <f t="shared" si="352"/>
        <v>1</v>
      </c>
      <c r="AI320" s="9">
        <v>15</v>
      </c>
      <c r="AJ320" s="9">
        <f t="shared" si="353"/>
        <v>1</v>
      </c>
      <c r="AK320" s="13">
        <v>0</v>
      </c>
      <c r="AL320" s="47" t="str">
        <f t="shared" si="354"/>
        <v>液晶ミニカメラ</v>
      </c>
      <c r="AM320" s="45">
        <f t="shared" si="355"/>
        <v>1075</v>
      </c>
      <c r="AN320" s="9">
        <f t="shared" si="356"/>
        <v>1075</v>
      </c>
      <c r="AO320" s="10">
        <f t="shared" si="357"/>
        <v>0.12078651685393259</v>
      </c>
      <c r="AP320" s="34"/>
    </row>
    <row r="321" spans="1:42" ht="15" customHeight="1">
      <c r="A321" s="12"/>
      <c r="B321" s="8"/>
      <c r="C321" s="9"/>
      <c r="D321" s="9" t="str">
        <f t="shared" si="362"/>
        <v/>
      </c>
      <c r="E321" s="9"/>
      <c r="F321" s="9" t="str">
        <f t="shared" si="363"/>
        <v/>
      </c>
      <c r="G321" s="9"/>
      <c r="H321" s="9" t="str">
        <f t="shared" si="364"/>
        <v/>
      </c>
      <c r="I321" s="9"/>
      <c r="J321" s="44"/>
      <c r="K321" s="44" t="str">
        <f t="shared" si="365"/>
        <v/>
      </c>
      <c r="L321" s="9" t="str">
        <f t="shared" si="360"/>
        <v/>
      </c>
      <c r="M321" s="10" t="str">
        <f t="shared" si="361"/>
        <v/>
      </c>
      <c r="N321" s="11"/>
      <c r="O321" s="2"/>
      <c r="P321" s="12"/>
      <c r="Q321" s="26">
        <v>12727</v>
      </c>
      <c r="R321" s="9">
        <f t="shared" si="346"/>
        <v>93</v>
      </c>
      <c r="S321" s="26">
        <v>456</v>
      </c>
      <c r="T321" s="9">
        <f t="shared" si="347"/>
        <v>1</v>
      </c>
      <c r="U321" s="9">
        <v>12</v>
      </c>
      <c r="V321" s="9">
        <f t="shared" si="348"/>
        <v>1</v>
      </c>
      <c r="W321" s="13">
        <v>0</v>
      </c>
      <c r="X321" s="47" t="str">
        <f t="shared" si="359"/>
        <v>キティボアバンスクリップ</v>
      </c>
      <c r="Y321" s="9">
        <f t="shared" si="358"/>
        <v>1100</v>
      </c>
      <c r="Z321" s="9">
        <f t="shared" si="349"/>
        <v>1100</v>
      </c>
      <c r="AA321" s="10">
        <f t="shared" si="350"/>
        <v>0.11827956989247312</v>
      </c>
      <c r="AB321" s="11"/>
      <c r="AD321" s="12"/>
      <c r="AE321" s="26">
        <v>12268</v>
      </c>
      <c r="AF321" s="9">
        <f t="shared" si="351"/>
        <v>100</v>
      </c>
      <c r="AG321" s="26">
        <v>462</v>
      </c>
      <c r="AH321" s="9">
        <f t="shared" si="352"/>
        <v>1</v>
      </c>
      <c r="AI321" s="9">
        <v>54</v>
      </c>
      <c r="AJ321" s="9">
        <f t="shared" si="353"/>
        <v>1</v>
      </c>
      <c r="AK321" s="13">
        <v>1</v>
      </c>
      <c r="AL321" s="47" t="str">
        <f t="shared" si="354"/>
        <v>ゲームアーク</v>
      </c>
      <c r="AM321" s="9">
        <f t="shared" si="355"/>
        <v>1100</v>
      </c>
      <c r="AN321" s="9">
        <f t="shared" si="356"/>
        <v>1100</v>
      </c>
      <c r="AO321" s="10">
        <f t="shared" si="357"/>
        <v>0.11</v>
      </c>
      <c r="AP321" s="11"/>
    </row>
    <row r="322" spans="1:42" ht="15" customHeight="1" thickBot="1">
      <c r="A322" s="12"/>
      <c r="B322" s="8"/>
      <c r="C322" s="9"/>
      <c r="D322" s="9" t="str">
        <f t="shared" si="362"/>
        <v/>
      </c>
      <c r="E322" s="9"/>
      <c r="F322" s="9" t="str">
        <f t="shared" si="363"/>
        <v/>
      </c>
      <c r="G322" s="9"/>
      <c r="H322" s="9" t="str">
        <f t="shared" si="364"/>
        <v/>
      </c>
      <c r="I322" s="9"/>
      <c r="J322" s="44"/>
      <c r="K322" s="44" t="str">
        <f t="shared" si="365"/>
        <v/>
      </c>
      <c r="L322" s="9" t="str">
        <f t="shared" si="360"/>
        <v/>
      </c>
      <c r="M322" s="10" t="str">
        <f t="shared" si="361"/>
        <v/>
      </c>
      <c r="N322" s="11"/>
      <c r="O322" s="2"/>
      <c r="P322" s="18"/>
      <c r="Q322" s="19">
        <v>14703</v>
      </c>
      <c r="R322" s="82">
        <f t="shared" si="346"/>
        <v>32</v>
      </c>
      <c r="S322" s="19">
        <v>376</v>
      </c>
      <c r="T322" s="19">
        <f t="shared" si="347"/>
        <v>0</v>
      </c>
      <c r="U322" s="19">
        <v>12</v>
      </c>
      <c r="V322" s="19">
        <f t="shared" si="348"/>
        <v>0</v>
      </c>
      <c r="W322" s="37">
        <v>0</v>
      </c>
      <c r="X322" s="48" t="str">
        <f t="shared" si="359"/>
        <v>ラブブキーホルダー</v>
      </c>
      <c r="Y322" s="51">
        <f t="shared" si="358"/>
        <v>400</v>
      </c>
      <c r="Z322" s="19">
        <f t="shared" si="349"/>
        <v>0</v>
      </c>
      <c r="AA322" s="20">
        <f t="shared" si="350"/>
        <v>0</v>
      </c>
      <c r="AB322" s="11"/>
      <c r="AD322" s="18"/>
      <c r="AE322" s="19">
        <v>14751</v>
      </c>
      <c r="AF322" s="82">
        <f t="shared" si="351"/>
        <v>33</v>
      </c>
      <c r="AG322" s="19">
        <v>501</v>
      </c>
      <c r="AH322" s="19">
        <f t="shared" si="352"/>
        <v>0</v>
      </c>
      <c r="AI322" s="19">
        <v>124</v>
      </c>
      <c r="AJ322" s="19">
        <f t="shared" si="353"/>
        <v>0</v>
      </c>
      <c r="AK322" s="37">
        <v>0</v>
      </c>
      <c r="AL322" s="48" t="str">
        <f t="shared" si="354"/>
        <v>AIモンスターラバー</v>
      </c>
      <c r="AM322" s="51">
        <f t="shared" si="355"/>
        <v>200</v>
      </c>
      <c r="AN322" s="19">
        <f t="shared" si="356"/>
        <v>0</v>
      </c>
      <c r="AO322" s="20">
        <f t="shared" si="357"/>
        <v>0</v>
      </c>
      <c r="AP322" s="11"/>
    </row>
    <row r="323" spans="1:42" ht="15" customHeight="1" thickTop="1">
      <c r="A323" s="12"/>
      <c r="B323" s="8"/>
      <c r="C323" s="9"/>
      <c r="D323" s="9" t="str">
        <f>IF(C323="","",C323-C324)</f>
        <v/>
      </c>
      <c r="E323" s="9"/>
      <c r="F323" s="9" t="str">
        <f>IF(E323="","",E323-E324)</f>
        <v/>
      </c>
      <c r="G323" s="9"/>
      <c r="H323" s="9" t="str">
        <f>IF(G323="","",G324+I324-G323)</f>
        <v/>
      </c>
      <c r="I323" s="9"/>
      <c r="J323" s="44"/>
      <c r="K323" s="44" t="str">
        <f>IF(C323="","",K324)</f>
        <v/>
      </c>
      <c r="L323" s="9" t="str">
        <f t="shared" si="360"/>
        <v/>
      </c>
      <c r="M323" s="10" t="str">
        <f t="shared" si="361"/>
        <v/>
      </c>
      <c r="N323" s="11"/>
      <c r="O323" s="2"/>
      <c r="P323" s="65">
        <f>IF($A305="","",$A305)</f>
        <v>46063</v>
      </c>
      <c r="Q323" s="9">
        <v>12059</v>
      </c>
      <c r="R323" s="113">
        <f t="shared" si="346"/>
        <v>59</v>
      </c>
      <c r="S323" s="9">
        <v>349</v>
      </c>
      <c r="T323" s="23">
        <f t="shared" si="347"/>
        <v>3</v>
      </c>
      <c r="U323" s="9">
        <v>6</v>
      </c>
      <c r="V323" s="44">
        <f t="shared" si="348"/>
        <v>3</v>
      </c>
      <c r="W323" s="66">
        <v>6</v>
      </c>
      <c r="X323" s="61" t="str">
        <f t="shared" si="359"/>
        <v>キティ豹柄キーケース</v>
      </c>
      <c r="Y323" s="62">
        <f t="shared" si="358"/>
        <v>996</v>
      </c>
      <c r="Z323" s="23">
        <f t="shared" si="349"/>
        <v>2988</v>
      </c>
      <c r="AA323" s="115">
        <f t="shared" si="350"/>
        <v>0.5064406779661017</v>
      </c>
      <c r="AB323" s="11"/>
      <c r="AD323" s="65">
        <f>IF($A305="","",$A305)</f>
        <v>46063</v>
      </c>
      <c r="AE323" s="9">
        <v>9227</v>
      </c>
      <c r="AF323" s="113">
        <f t="shared" si="351"/>
        <v>81</v>
      </c>
      <c r="AG323" s="9">
        <v>247</v>
      </c>
      <c r="AH323" s="23">
        <f t="shared" si="352"/>
        <v>1</v>
      </c>
      <c r="AI323" s="9">
        <v>17</v>
      </c>
      <c r="AJ323" s="44">
        <f t="shared" si="353"/>
        <v>1</v>
      </c>
      <c r="AK323" s="66">
        <v>0</v>
      </c>
      <c r="AL323" s="61" t="str">
        <f t="shared" si="354"/>
        <v>ゲーム機柄イヤホン</v>
      </c>
      <c r="AM323" s="62">
        <f t="shared" si="355"/>
        <v>1100</v>
      </c>
      <c r="AN323" s="23">
        <f t="shared" si="356"/>
        <v>1100</v>
      </c>
      <c r="AO323" s="24">
        <f t="shared" si="357"/>
        <v>0.13580246913580246</v>
      </c>
      <c r="AP323" s="11"/>
    </row>
    <row r="324" spans="1:42" ht="15" customHeight="1">
      <c r="A324" s="12"/>
      <c r="B324" s="8"/>
      <c r="C324" s="9"/>
      <c r="D324" s="9" t="str">
        <f>IF(C324="","",C324-C322)</f>
        <v/>
      </c>
      <c r="E324" s="9"/>
      <c r="F324" s="9" t="str">
        <f>IF(E324="","",E324-E322)</f>
        <v/>
      </c>
      <c r="G324" s="9"/>
      <c r="H324" s="9" t="str">
        <f>IF(G324="","",G322+I322-G324)</f>
        <v/>
      </c>
      <c r="I324" s="9"/>
      <c r="J324" s="44"/>
      <c r="K324" s="44" t="str">
        <f>IF(C324="","",K322)</f>
        <v/>
      </c>
      <c r="L324" s="9" t="str">
        <f t="shared" si="360"/>
        <v/>
      </c>
      <c r="M324" s="10" t="str">
        <f t="shared" si="361"/>
        <v/>
      </c>
      <c r="N324" s="11"/>
      <c r="O324" s="2"/>
      <c r="P324" s="65"/>
      <c r="Q324" s="44">
        <v>11421</v>
      </c>
      <c r="R324" s="9">
        <f t="shared" si="346"/>
        <v>120</v>
      </c>
      <c r="S324" s="44">
        <v>254</v>
      </c>
      <c r="T324" s="9">
        <f t="shared" si="347"/>
        <v>0</v>
      </c>
      <c r="U324" s="9">
        <v>10</v>
      </c>
      <c r="V324" s="9">
        <f t="shared" si="348"/>
        <v>0</v>
      </c>
      <c r="W324" s="13">
        <v>1</v>
      </c>
      <c r="X324" s="47" t="str">
        <f t="shared" si="359"/>
        <v>ギャルキティマスコット</v>
      </c>
      <c r="Y324" s="45">
        <f t="shared" si="358"/>
        <v>0</v>
      </c>
      <c r="Z324" s="9">
        <f t="shared" si="349"/>
        <v>0</v>
      </c>
      <c r="AA324" s="10">
        <f t="shared" si="350"/>
        <v>0</v>
      </c>
      <c r="AB324" s="11"/>
      <c r="AD324" s="65"/>
      <c r="AE324" s="44">
        <v>12085</v>
      </c>
      <c r="AF324" s="81">
        <f t="shared" si="351"/>
        <v>77</v>
      </c>
      <c r="AG324" s="44">
        <v>213</v>
      </c>
      <c r="AH324" s="9">
        <f t="shared" si="352"/>
        <v>2</v>
      </c>
      <c r="AI324" s="9">
        <v>13</v>
      </c>
      <c r="AJ324" s="9">
        <f t="shared" si="353"/>
        <v>2</v>
      </c>
      <c r="AK324" s="13">
        <v>0</v>
      </c>
      <c r="AL324" s="47" t="str">
        <f t="shared" si="354"/>
        <v>液晶ミニカメラ</v>
      </c>
      <c r="AM324" s="45">
        <f t="shared" si="355"/>
        <v>1075</v>
      </c>
      <c r="AN324" s="9">
        <f t="shared" si="356"/>
        <v>2150</v>
      </c>
      <c r="AO324" s="10">
        <f t="shared" si="357"/>
        <v>0.2792207792207792</v>
      </c>
      <c r="AP324" s="11"/>
    </row>
    <row r="325" spans="1:42" ht="15" customHeight="1">
      <c r="A325" s="12"/>
      <c r="B325" s="8"/>
      <c r="C325" s="9"/>
      <c r="D325" s="9" t="str">
        <f>IF(C325="","",C325-C323)</f>
        <v/>
      </c>
      <c r="E325" s="9"/>
      <c r="F325" s="9" t="str">
        <f>IF(E325="","",E325-E323)</f>
        <v/>
      </c>
      <c r="G325" s="9"/>
      <c r="H325" s="9" t="str">
        <f>IF(G325="","",G323+I323-G325)</f>
        <v/>
      </c>
      <c r="I325" s="9"/>
      <c r="J325" s="44"/>
      <c r="K325" s="44" t="str">
        <f>IF(C325="","",K323)</f>
        <v/>
      </c>
      <c r="L325" s="9" t="str">
        <f t="shared" si="360"/>
        <v/>
      </c>
      <c r="M325" s="10" t="str">
        <f t="shared" si="361"/>
        <v/>
      </c>
      <c r="N325" s="11"/>
      <c r="O325" s="2"/>
      <c r="P325" s="12"/>
      <c r="Q325" s="9">
        <v>12844</v>
      </c>
      <c r="R325" s="9">
        <f t="shared" si="346"/>
        <v>117</v>
      </c>
      <c r="S325" s="9">
        <v>460</v>
      </c>
      <c r="T325" s="9">
        <f t="shared" si="347"/>
        <v>4</v>
      </c>
      <c r="U325" s="9">
        <v>7</v>
      </c>
      <c r="V325" s="9">
        <f t="shared" si="348"/>
        <v>5</v>
      </c>
      <c r="W325" s="38">
        <v>4</v>
      </c>
      <c r="X325" s="47" t="str">
        <f t="shared" si="359"/>
        <v>キティボアバンスクリップ</v>
      </c>
      <c r="Y325" s="9">
        <f t="shared" si="358"/>
        <v>1100</v>
      </c>
      <c r="Z325" s="9">
        <f t="shared" si="349"/>
        <v>5500</v>
      </c>
      <c r="AA325" s="135">
        <f t="shared" si="350"/>
        <v>0.47008547008547008</v>
      </c>
      <c r="AB325" s="11"/>
      <c r="AD325" s="12"/>
      <c r="AE325" s="9">
        <v>12455</v>
      </c>
      <c r="AF325" s="9">
        <f t="shared" si="351"/>
        <v>187</v>
      </c>
      <c r="AG325" s="9">
        <v>466</v>
      </c>
      <c r="AH325" s="9">
        <f t="shared" si="352"/>
        <v>4</v>
      </c>
      <c r="AI325" s="9">
        <v>51</v>
      </c>
      <c r="AJ325" s="9">
        <f t="shared" si="353"/>
        <v>4</v>
      </c>
      <c r="AK325" s="38">
        <v>8</v>
      </c>
      <c r="AL325" s="47" t="str">
        <f t="shared" si="354"/>
        <v>ゲームアーク</v>
      </c>
      <c r="AM325" s="9">
        <f t="shared" si="355"/>
        <v>1100</v>
      </c>
      <c r="AN325" s="9">
        <f t="shared" si="356"/>
        <v>4400</v>
      </c>
      <c r="AO325" s="10">
        <f t="shared" si="357"/>
        <v>0.23529411764705882</v>
      </c>
      <c r="AP325" s="11"/>
    </row>
    <row r="326" spans="1:42" ht="15" customHeight="1" thickBot="1">
      <c r="A326" s="12"/>
      <c r="B326" s="8"/>
      <c r="C326" s="9"/>
      <c r="D326" s="9" t="str">
        <f t="shared" ref="D326:D351" si="366">IF(C326="","",C326-C325)</f>
        <v/>
      </c>
      <c r="E326" s="9"/>
      <c r="F326" s="9" t="str">
        <f t="shared" ref="F326:F352" si="367">IF(E326="","",E326-E325)</f>
        <v/>
      </c>
      <c r="G326" s="9"/>
      <c r="H326" s="9" t="str">
        <f t="shared" ref="H326:H352" si="368">IF(G326="","",G325+I325-G326)</f>
        <v/>
      </c>
      <c r="I326" s="9"/>
      <c r="J326" s="44"/>
      <c r="K326" s="44" t="str">
        <f>IF(C326="","",K325)</f>
        <v/>
      </c>
      <c r="L326" s="9" t="str">
        <f t="shared" si="360"/>
        <v/>
      </c>
      <c r="M326" s="10" t="str">
        <f t="shared" si="361"/>
        <v/>
      </c>
      <c r="N326" s="11"/>
      <c r="O326" s="2"/>
      <c r="P326" s="18"/>
      <c r="Q326" s="19">
        <v>14760</v>
      </c>
      <c r="R326" s="82">
        <f t="shared" si="346"/>
        <v>57</v>
      </c>
      <c r="S326" s="19">
        <v>378</v>
      </c>
      <c r="T326" s="19">
        <f t="shared" si="347"/>
        <v>2</v>
      </c>
      <c r="U326" s="19">
        <v>18</v>
      </c>
      <c r="V326" s="19">
        <f t="shared" si="348"/>
        <v>-6</v>
      </c>
      <c r="W326" s="37">
        <v>0</v>
      </c>
      <c r="X326" s="48" t="str">
        <f t="shared" si="359"/>
        <v>ラブブキーホルダー</v>
      </c>
      <c r="Y326" s="51">
        <f t="shared" si="358"/>
        <v>400</v>
      </c>
      <c r="Z326" s="19">
        <f t="shared" si="349"/>
        <v>-2400</v>
      </c>
      <c r="AA326" s="20">
        <f t="shared" si="350"/>
        <v>-0.42105263157894735</v>
      </c>
      <c r="AB326" s="11"/>
      <c r="AD326" s="18"/>
      <c r="AE326" s="19">
        <v>14793</v>
      </c>
      <c r="AF326" s="82">
        <f t="shared" si="351"/>
        <v>42</v>
      </c>
      <c r="AG326" s="19">
        <v>502</v>
      </c>
      <c r="AH326" s="19">
        <f t="shared" si="352"/>
        <v>1</v>
      </c>
      <c r="AI326" s="19">
        <v>122</v>
      </c>
      <c r="AJ326" s="19">
        <f t="shared" si="353"/>
        <v>2</v>
      </c>
      <c r="AK326" s="37">
        <v>0</v>
      </c>
      <c r="AL326" s="48" t="str">
        <f t="shared" si="354"/>
        <v>AIモンスターラバー</v>
      </c>
      <c r="AM326" s="51">
        <f t="shared" si="355"/>
        <v>200</v>
      </c>
      <c r="AN326" s="19">
        <f t="shared" si="356"/>
        <v>400</v>
      </c>
      <c r="AO326" s="20">
        <f t="shared" si="357"/>
        <v>9.5238095238095233E-2</v>
      </c>
      <c r="AP326" s="11"/>
    </row>
    <row r="327" spans="1:42" ht="15" customHeight="1" thickTop="1">
      <c r="A327" s="12"/>
      <c r="B327" s="8"/>
      <c r="C327" s="9"/>
      <c r="D327" s="9" t="str">
        <f t="shared" si="366"/>
        <v/>
      </c>
      <c r="E327" s="9"/>
      <c r="F327" s="9" t="str">
        <f t="shared" si="367"/>
        <v/>
      </c>
      <c r="G327" s="9"/>
      <c r="H327" s="9" t="str">
        <f t="shared" si="368"/>
        <v/>
      </c>
      <c r="I327" s="9"/>
      <c r="J327" s="44"/>
      <c r="K327" s="44" t="str">
        <f>IF(C327="","",K326)</f>
        <v/>
      </c>
      <c r="L327" s="9" t="str">
        <f t="shared" si="360"/>
        <v/>
      </c>
      <c r="M327" s="10" t="str">
        <f t="shared" si="361"/>
        <v/>
      </c>
      <c r="N327" s="11"/>
      <c r="O327" s="2"/>
      <c r="P327" s="65">
        <f>IF($A306="","",$A306)</f>
        <v>46066</v>
      </c>
      <c r="Q327" s="9">
        <v>12113</v>
      </c>
      <c r="R327" s="44">
        <f t="shared" si="346"/>
        <v>54</v>
      </c>
      <c r="S327" s="9">
        <v>351</v>
      </c>
      <c r="T327" s="23">
        <f t="shared" si="347"/>
        <v>2</v>
      </c>
      <c r="U327" s="9">
        <v>10</v>
      </c>
      <c r="V327" s="44">
        <f t="shared" si="348"/>
        <v>2</v>
      </c>
      <c r="W327" s="66">
        <v>1</v>
      </c>
      <c r="X327" s="61" t="str">
        <f t="shared" si="359"/>
        <v>キティ豹柄キーケース</v>
      </c>
      <c r="Y327" s="62">
        <f t="shared" si="358"/>
        <v>996</v>
      </c>
      <c r="Z327" s="23">
        <f t="shared" si="349"/>
        <v>1992</v>
      </c>
      <c r="AA327" s="24">
        <f t="shared" si="350"/>
        <v>0.36888888888888888</v>
      </c>
      <c r="AB327" s="11"/>
      <c r="AD327" s="65">
        <f>IF($A306="","",$A306)</f>
        <v>46066</v>
      </c>
      <c r="AE327" s="9">
        <v>9348</v>
      </c>
      <c r="AF327" s="44">
        <f t="shared" si="351"/>
        <v>121</v>
      </c>
      <c r="AG327" s="9">
        <v>251</v>
      </c>
      <c r="AH327" s="23">
        <f t="shared" si="352"/>
        <v>4</v>
      </c>
      <c r="AI327" s="9">
        <v>15</v>
      </c>
      <c r="AJ327" s="44">
        <f t="shared" si="353"/>
        <v>2</v>
      </c>
      <c r="AK327" s="66">
        <v>6</v>
      </c>
      <c r="AL327" s="61" t="str">
        <f t="shared" si="354"/>
        <v>ゲーム機柄イヤホン</v>
      </c>
      <c r="AM327" s="62">
        <f t="shared" si="355"/>
        <v>1100</v>
      </c>
      <c r="AN327" s="23">
        <f t="shared" si="356"/>
        <v>2200</v>
      </c>
      <c r="AO327" s="24">
        <f t="shared" si="357"/>
        <v>0.18181818181818182</v>
      </c>
      <c r="AP327" s="11"/>
    </row>
    <row r="328" spans="1:42" ht="15" customHeight="1">
      <c r="A328" s="12"/>
      <c r="B328" s="8"/>
      <c r="C328" s="9"/>
      <c r="D328" s="9" t="str">
        <f t="shared" si="366"/>
        <v/>
      </c>
      <c r="E328" s="9"/>
      <c r="F328" s="9" t="str">
        <f t="shared" si="367"/>
        <v/>
      </c>
      <c r="G328" s="9"/>
      <c r="H328" s="9" t="str">
        <f t="shared" si="368"/>
        <v/>
      </c>
      <c r="I328" s="9"/>
      <c r="J328" s="44"/>
      <c r="K328" s="44" t="str">
        <f>IF(C328="","",K327)</f>
        <v/>
      </c>
      <c r="L328" s="9" t="str">
        <f t="shared" si="360"/>
        <v/>
      </c>
      <c r="M328" s="10" t="str">
        <f t="shared" si="361"/>
        <v/>
      </c>
      <c r="N328" s="11"/>
      <c r="O328" s="2"/>
      <c r="P328" s="12"/>
      <c r="Q328" s="44">
        <v>11434</v>
      </c>
      <c r="R328" s="81">
        <f t="shared" si="346"/>
        <v>13</v>
      </c>
      <c r="S328" s="44">
        <v>255</v>
      </c>
      <c r="T328" s="9">
        <f t="shared" si="347"/>
        <v>1</v>
      </c>
      <c r="U328" s="9">
        <v>10</v>
      </c>
      <c r="V328" s="9">
        <f t="shared" si="348"/>
        <v>1</v>
      </c>
      <c r="W328" s="13">
        <v>1</v>
      </c>
      <c r="X328" s="47" t="str">
        <f t="shared" si="359"/>
        <v>ギャルキティマスコット</v>
      </c>
      <c r="Y328" s="45">
        <f t="shared" si="358"/>
        <v>0</v>
      </c>
      <c r="Z328" s="9">
        <f t="shared" si="349"/>
        <v>0</v>
      </c>
      <c r="AA328" s="10">
        <f t="shared" si="350"/>
        <v>0</v>
      </c>
      <c r="AB328" s="11" t="s">
        <v>236</v>
      </c>
      <c r="AD328" s="12"/>
      <c r="AE328" s="44">
        <v>12210</v>
      </c>
      <c r="AF328" s="9">
        <f t="shared" si="351"/>
        <v>125</v>
      </c>
      <c r="AG328" s="44">
        <v>213</v>
      </c>
      <c r="AH328" s="9">
        <f t="shared" si="352"/>
        <v>0</v>
      </c>
      <c r="AI328" s="9">
        <v>13</v>
      </c>
      <c r="AJ328" s="9">
        <f t="shared" si="353"/>
        <v>0</v>
      </c>
      <c r="AK328" s="13"/>
      <c r="AL328" s="47" t="str">
        <f t="shared" si="354"/>
        <v>液晶ミニカメラ</v>
      </c>
      <c r="AM328" s="45">
        <f t="shared" si="355"/>
        <v>1075</v>
      </c>
      <c r="AN328" s="9">
        <f t="shared" si="356"/>
        <v>0</v>
      </c>
      <c r="AO328" s="10">
        <f t="shared" si="357"/>
        <v>0</v>
      </c>
      <c r="AP328" s="11"/>
    </row>
    <row r="329" spans="1:42">
      <c r="A329" s="12"/>
      <c r="B329" s="8"/>
      <c r="C329" s="9"/>
      <c r="D329" s="9" t="str">
        <f t="shared" si="366"/>
        <v/>
      </c>
      <c r="E329" s="9"/>
      <c r="F329" s="9" t="str">
        <f t="shared" si="367"/>
        <v/>
      </c>
      <c r="G329" s="9"/>
      <c r="H329" s="9" t="str">
        <f t="shared" si="368"/>
        <v/>
      </c>
      <c r="I329" s="9"/>
      <c r="J329" s="9"/>
      <c r="K329" s="9"/>
      <c r="L329" s="9" t="str">
        <f t="shared" si="360"/>
        <v/>
      </c>
      <c r="M329" s="10" t="str">
        <f t="shared" si="361"/>
        <v/>
      </c>
      <c r="N329" s="11"/>
      <c r="O329" s="2"/>
      <c r="P329" s="12"/>
      <c r="Q329" s="9">
        <v>12960</v>
      </c>
      <c r="R329" s="9">
        <f t="shared" si="346"/>
        <v>116</v>
      </c>
      <c r="S329" s="9">
        <v>462</v>
      </c>
      <c r="T329" s="9">
        <f t="shared" si="347"/>
        <v>2</v>
      </c>
      <c r="U329" s="9">
        <v>10</v>
      </c>
      <c r="V329" s="9">
        <f t="shared" si="348"/>
        <v>1</v>
      </c>
      <c r="W329" s="38">
        <v>2</v>
      </c>
      <c r="X329" s="47" t="str">
        <f t="shared" si="359"/>
        <v>キティボアバンスクリップ</v>
      </c>
      <c r="Y329" s="9">
        <f t="shared" si="358"/>
        <v>1100</v>
      </c>
      <c r="Z329" s="9">
        <f t="shared" si="349"/>
        <v>1100</v>
      </c>
      <c r="AA329" s="10">
        <f t="shared" si="350"/>
        <v>9.4827586206896547E-2</v>
      </c>
      <c r="AB329" s="11"/>
      <c r="AD329" s="12"/>
      <c r="AE329" s="9">
        <v>12600</v>
      </c>
      <c r="AF329" s="9">
        <f t="shared" si="351"/>
        <v>145</v>
      </c>
      <c r="AG329" s="9">
        <v>473</v>
      </c>
      <c r="AH329" s="9">
        <f t="shared" si="352"/>
        <v>7</v>
      </c>
      <c r="AI329" s="9">
        <v>4</v>
      </c>
      <c r="AJ329" s="9">
        <f t="shared" si="353"/>
        <v>55</v>
      </c>
      <c r="AK329" s="38">
        <v>6</v>
      </c>
      <c r="AL329" s="47" t="str">
        <f t="shared" si="354"/>
        <v>ゲームアーク</v>
      </c>
      <c r="AM329" s="9">
        <f t="shared" si="355"/>
        <v>1100</v>
      </c>
      <c r="AN329" s="9">
        <f t="shared" si="356"/>
        <v>60500</v>
      </c>
      <c r="AO329" s="10">
        <f t="shared" si="357"/>
        <v>4.1724137931034484</v>
      </c>
      <c r="AP329" s="11"/>
    </row>
    <row r="330" spans="1:42" ht="15" customHeight="1" thickBot="1">
      <c r="A330" s="12"/>
      <c r="B330" s="8"/>
      <c r="C330" s="9"/>
      <c r="D330" s="9" t="str">
        <f t="shared" si="366"/>
        <v/>
      </c>
      <c r="E330" s="9"/>
      <c r="F330" s="9" t="str">
        <f t="shared" si="367"/>
        <v/>
      </c>
      <c r="G330" s="9"/>
      <c r="H330" s="9" t="str">
        <f t="shared" si="368"/>
        <v/>
      </c>
      <c r="I330" s="9"/>
      <c r="J330" s="9"/>
      <c r="K330" s="9"/>
      <c r="L330" s="9" t="str">
        <f t="shared" si="360"/>
        <v/>
      </c>
      <c r="M330" s="10" t="str">
        <f t="shared" si="361"/>
        <v/>
      </c>
      <c r="N330" s="11"/>
      <c r="O330" s="2"/>
      <c r="P330" s="18"/>
      <c r="Q330" s="19">
        <v>14826</v>
      </c>
      <c r="R330" s="19">
        <f t="shared" si="346"/>
        <v>66</v>
      </c>
      <c r="S330" s="19">
        <v>380</v>
      </c>
      <c r="T330" s="19">
        <f t="shared" si="347"/>
        <v>2</v>
      </c>
      <c r="U330" s="19">
        <v>13</v>
      </c>
      <c r="V330" s="19">
        <f t="shared" si="348"/>
        <v>5</v>
      </c>
      <c r="W330" s="37">
        <v>3</v>
      </c>
      <c r="X330" s="48" t="str">
        <f t="shared" si="359"/>
        <v>ラブブキーホルダー</v>
      </c>
      <c r="Y330" s="51">
        <f t="shared" si="358"/>
        <v>400</v>
      </c>
      <c r="Z330" s="19">
        <f t="shared" si="349"/>
        <v>2000</v>
      </c>
      <c r="AA330" s="20">
        <f t="shared" si="350"/>
        <v>0.30303030303030304</v>
      </c>
      <c r="AB330" s="11" t="s">
        <v>240</v>
      </c>
      <c r="AD330" s="18"/>
      <c r="AE330" s="19">
        <v>14816</v>
      </c>
      <c r="AF330" s="82">
        <f t="shared" si="351"/>
        <v>23</v>
      </c>
      <c r="AG330" s="19">
        <v>504</v>
      </c>
      <c r="AH330" s="19">
        <f t="shared" si="352"/>
        <v>2</v>
      </c>
      <c r="AI330" s="19">
        <v>120</v>
      </c>
      <c r="AJ330" s="19">
        <f t="shared" si="353"/>
        <v>2</v>
      </c>
      <c r="AK330" s="37">
        <v>-95</v>
      </c>
      <c r="AL330" s="48" t="str">
        <f t="shared" si="354"/>
        <v>AIモンスターラバー</v>
      </c>
      <c r="AM330" s="51">
        <f t="shared" si="355"/>
        <v>200</v>
      </c>
      <c r="AN330" s="19">
        <f t="shared" si="356"/>
        <v>400</v>
      </c>
      <c r="AO330" s="20">
        <f t="shared" si="357"/>
        <v>0.17391304347826086</v>
      </c>
      <c r="AP330" s="11" t="s">
        <v>235</v>
      </c>
    </row>
    <row r="331" spans="1:42" ht="15" customHeight="1" thickTop="1">
      <c r="A331" s="12"/>
      <c r="B331" s="8"/>
      <c r="C331" s="9"/>
      <c r="D331" s="9" t="str">
        <f t="shared" si="366"/>
        <v/>
      </c>
      <c r="E331" s="9"/>
      <c r="F331" s="9" t="str">
        <f t="shared" si="367"/>
        <v/>
      </c>
      <c r="G331" s="9"/>
      <c r="H331" s="9" t="str">
        <f t="shared" si="368"/>
        <v/>
      </c>
      <c r="I331" s="9"/>
      <c r="J331" s="9"/>
      <c r="K331" s="9"/>
      <c r="L331" s="9" t="str">
        <f t="shared" si="360"/>
        <v/>
      </c>
      <c r="M331" s="10" t="str">
        <f t="shared" si="361"/>
        <v/>
      </c>
      <c r="N331" s="11"/>
      <c r="O331" s="2"/>
      <c r="P331" s="65">
        <f>IF($A307="","",$A307)</f>
        <v>46069</v>
      </c>
      <c r="Q331" s="9">
        <v>12169</v>
      </c>
      <c r="R331" s="44">
        <f t="shared" si="346"/>
        <v>56</v>
      </c>
      <c r="S331" s="9">
        <v>355</v>
      </c>
      <c r="T331" s="23">
        <f t="shared" si="347"/>
        <v>4</v>
      </c>
      <c r="U331" s="9">
        <v>7</v>
      </c>
      <c r="V331" s="44">
        <f t="shared" si="348"/>
        <v>4</v>
      </c>
      <c r="W331" s="66">
        <v>6</v>
      </c>
      <c r="X331" s="61" t="str">
        <f t="shared" si="359"/>
        <v>キティ豹柄キーケース</v>
      </c>
      <c r="Y331" s="62">
        <f t="shared" si="358"/>
        <v>996</v>
      </c>
      <c r="Z331" s="23">
        <f t="shared" si="349"/>
        <v>3984</v>
      </c>
      <c r="AA331" s="24">
        <f t="shared" si="350"/>
        <v>0.71142857142857141</v>
      </c>
      <c r="AB331" s="11"/>
      <c r="AD331" s="65">
        <f>IF($A307="","",$A307)</f>
        <v>46069</v>
      </c>
      <c r="AE331" s="9">
        <v>9431</v>
      </c>
      <c r="AF331" s="44">
        <f t="shared" si="351"/>
        <v>83</v>
      </c>
      <c r="AG331" s="9">
        <v>251</v>
      </c>
      <c r="AH331" s="23">
        <f t="shared" si="352"/>
        <v>0</v>
      </c>
      <c r="AI331" s="9">
        <v>21</v>
      </c>
      <c r="AJ331" s="44">
        <f t="shared" si="353"/>
        <v>0</v>
      </c>
      <c r="AK331" s="66">
        <v>0</v>
      </c>
      <c r="AL331" s="61" t="str">
        <f t="shared" si="354"/>
        <v>ゲーム機柄イヤホン</v>
      </c>
      <c r="AM331" s="62">
        <f t="shared" si="355"/>
        <v>1100</v>
      </c>
      <c r="AN331" s="23">
        <f t="shared" si="356"/>
        <v>0</v>
      </c>
      <c r="AO331" s="24">
        <f t="shared" si="357"/>
        <v>0</v>
      </c>
      <c r="AP331" s="11"/>
    </row>
    <row r="332" spans="1:42" ht="15" customHeight="1">
      <c r="A332" s="12"/>
      <c r="B332" s="8"/>
      <c r="C332" s="9"/>
      <c r="D332" s="9" t="str">
        <f t="shared" si="366"/>
        <v/>
      </c>
      <c r="E332" s="9"/>
      <c r="F332" s="9" t="str">
        <f t="shared" si="367"/>
        <v/>
      </c>
      <c r="G332" s="9"/>
      <c r="H332" s="9" t="str">
        <f t="shared" si="368"/>
        <v/>
      </c>
      <c r="I332" s="9"/>
      <c r="J332" s="9"/>
      <c r="K332" s="9"/>
      <c r="L332" s="9" t="str">
        <f t="shared" si="360"/>
        <v/>
      </c>
      <c r="M332" s="10" t="str">
        <f t="shared" si="361"/>
        <v/>
      </c>
      <c r="N332" s="11"/>
      <c r="O332" s="2"/>
      <c r="P332" s="12"/>
      <c r="Q332" s="44">
        <v>11521</v>
      </c>
      <c r="R332" s="9">
        <f t="shared" si="346"/>
        <v>87</v>
      </c>
      <c r="S332" s="44">
        <v>256</v>
      </c>
      <c r="T332" s="9">
        <f t="shared" si="347"/>
        <v>1</v>
      </c>
      <c r="U332" s="9">
        <v>10</v>
      </c>
      <c r="V332" s="9">
        <f t="shared" si="348"/>
        <v>1</v>
      </c>
      <c r="W332" s="13">
        <v>2</v>
      </c>
      <c r="X332" s="47" t="s">
        <v>239</v>
      </c>
      <c r="Y332" s="45">
        <f t="shared" si="358"/>
        <v>0</v>
      </c>
      <c r="Z332" s="9">
        <f t="shared" si="349"/>
        <v>0</v>
      </c>
      <c r="AA332" s="10">
        <f t="shared" si="350"/>
        <v>0</v>
      </c>
      <c r="AB332" s="11"/>
      <c r="AD332" s="12"/>
      <c r="AE332" s="44">
        <v>12318</v>
      </c>
      <c r="AF332" s="9">
        <f t="shared" si="351"/>
        <v>108</v>
      </c>
      <c r="AG332" s="44">
        <v>214</v>
      </c>
      <c r="AH332" s="9">
        <f t="shared" si="352"/>
        <v>1</v>
      </c>
      <c r="AI332" s="9">
        <v>12</v>
      </c>
      <c r="AJ332" s="9">
        <f t="shared" si="353"/>
        <v>1</v>
      </c>
      <c r="AK332" s="13">
        <v>0</v>
      </c>
      <c r="AL332" s="47" t="str">
        <f t="shared" si="354"/>
        <v>液晶ミニカメラ</v>
      </c>
      <c r="AM332" s="45">
        <f t="shared" si="355"/>
        <v>1075</v>
      </c>
      <c r="AN332" s="9">
        <f t="shared" si="356"/>
        <v>1075</v>
      </c>
      <c r="AO332" s="10">
        <f t="shared" si="357"/>
        <v>9.9537037037037035E-2</v>
      </c>
      <c r="AP332" s="11"/>
    </row>
    <row r="333" spans="1:42" ht="15" customHeight="1">
      <c r="A333" s="12"/>
      <c r="B333" s="8"/>
      <c r="C333" s="9"/>
      <c r="D333" s="9" t="str">
        <f t="shared" si="366"/>
        <v/>
      </c>
      <c r="E333" s="9"/>
      <c r="F333" s="9" t="str">
        <f t="shared" si="367"/>
        <v/>
      </c>
      <c r="G333" s="9"/>
      <c r="H333" s="9" t="str">
        <f t="shared" si="368"/>
        <v/>
      </c>
      <c r="I333" s="9"/>
      <c r="J333" s="9"/>
      <c r="K333" s="9"/>
      <c r="L333" s="9" t="str">
        <f t="shared" si="360"/>
        <v/>
      </c>
      <c r="M333" s="10" t="str">
        <f t="shared" si="361"/>
        <v/>
      </c>
      <c r="N333" s="11"/>
      <c r="O333" s="2"/>
      <c r="P333" s="12"/>
      <c r="Q333" s="9">
        <v>13078</v>
      </c>
      <c r="R333" s="9">
        <f t="shared" si="346"/>
        <v>118</v>
      </c>
      <c r="S333" s="9">
        <v>465</v>
      </c>
      <c r="T333" s="9">
        <f t="shared" si="347"/>
        <v>3</v>
      </c>
      <c r="U333" s="9">
        <v>10</v>
      </c>
      <c r="V333" s="9">
        <f t="shared" si="348"/>
        <v>2</v>
      </c>
      <c r="W333" s="38">
        <v>2</v>
      </c>
      <c r="X333" s="47" t="str">
        <f>IF(Q333="","",X329)</f>
        <v>キティボアバンスクリップ</v>
      </c>
      <c r="Y333" s="9">
        <f t="shared" si="358"/>
        <v>1100</v>
      </c>
      <c r="Z333" s="9">
        <f t="shared" si="349"/>
        <v>2200</v>
      </c>
      <c r="AA333" s="10">
        <f t="shared" si="350"/>
        <v>0.1864406779661017</v>
      </c>
      <c r="AB333" s="11"/>
      <c r="AD333" s="12"/>
      <c r="AE333" s="9">
        <v>12718</v>
      </c>
      <c r="AF333" s="9">
        <f t="shared" si="351"/>
        <v>118</v>
      </c>
      <c r="AG333" s="9">
        <v>478</v>
      </c>
      <c r="AH333" s="9">
        <f t="shared" si="352"/>
        <v>5</v>
      </c>
      <c r="AI333" s="9">
        <v>7</v>
      </c>
      <c r="AJ333" s="9">
        <f t="shared" si="353"/>
        <v>3</v>
      </c>
      <c r="AK333" s="38">
        <v>2</v>
      </c>
      <c r="AL333" s="47" t="str">
        <f t="shared" si="354"/>
        <v>ゲームアーク</v>
      </c>
      <c r="AM333" s="9">
        <f t="shared" si="355"/>
        <v>1100</v>
      </c>
      <c r="AN333" s="9">
        <f t="shared" si="356"/>
        <v>3300</v>
      </c>
      <c r="AO333" s="10">
        <f t="shared" si="357"/>
        <v>0.27966101694915252</v>
      </c>
      <c r="AP333" s="11"/>
    </row>
    <row r="334" spans="1:42" ht="15" customHeight="1" thickBot="1">
      <c r="A334" s="12"/>
      <c r="B334" s="8"/>
      <c r="C334" s="9"/>
      <c r="D334" s="9" t="str">
        <f t="shared" si="366"/>
        <v/>
      </c>
      <c r="E334" s="9"/>
      <c r="F334" s="9" t="str">
        <f t="shared" si="367"/>
        <v/>
      </c>
      <c r="G334" s="9"/>
      <c r="H334" s="9" t="str">
        <f t="shared" si="368"/>
        <v/>
      </c>
      <c r="I334" s="9"/>
      <c r="J334" s="9"/>
      <c r="K334" s="9"/>
      <c r="L334" s="9" t="str">
        <f t="shared" si="360"/>
        <v/>
      </c>
      <c r="M334" s="10" t="str">
        <f t="shared" si="361"/>
        <v/>
      </c>
      <c r="N334" s="11"/>
      <c r="O334" s="2"/>
      <c r="P334" s="18"/>
      <c r="Q334" s="19">
        <v>14857</v>
      </c>
      <c r="R334" s="19">
        <f t="shared" si="346"/>
        <v>31</v>
      </c>
      <c r="S334" s="19">
        <v>383</v>
      </c>
      <c r="T334" s="19">
        <f t="shared" si="347"/>
        <v>3</v>
      </c>
      <c r="U334" s="19">
        <v>14</v>
      </c>
      <c r="V334" s="19">
        <f t="shared" si="348"/>
        <v>2</v>
      </c>
      <c r="W334" s="37">
        <v>3</v>
      </c>
      <c r="X334" s="48" t="s">
        <v>237</v>
      </c>
      <c r="Y334" s="51">
        <v>950</v>
      </c>
      <c r="Z334" s="19">
        <f t="shared" si="349"/>
        <v>1900</v>
      </c>
      <c r="AA334" s="20">
        <f t="shared" si="350"/>
        <v>0.61290322580645162</v>
      </c>
      <c r="AB334" s="11" t="s">
        <v>241</v>
      </c>
      <c r="AD334" s="18"/>
      <c r="AE334" s="19">
        <v>15125</v>
      </c>
      <c r="AF334" s="19">
        <f t="shared" si="351"/>
        <v>309</v>
      </c>
      <c r="AG334" s="19">
        <v>525</v>
      </c>
      <c r="AH334" s="19">
        <f t="shared" si="352"/>
        <v>21</v>
      </c>
      <c r="AI334" s="19">
        <v>4</v>
      </c>
      <c r="AJ334" s="19">
        <f t="shared" si="353"/>
        <v>21</v>
      </c>
      <c r="AK334" s="37">
        <v>30</v>
      </c>
      <c r="AL334" s="48" t="s">
        <v>238</v>
      </c>
      <c r="AM334" s="51">
        <f>IF(AF334="","",AM330)</f>
        <v>200</v>
      </c>
      <c r="AN334" s="19">
        <f t="shared" si="356"/>
        <v>4200</v>
      </c>
      <c r="AO334" s="20">
        <f t="shared" si="357"/>
        <v>0.13592233009708737</v>
      </c>
      <c r="AP334" s="11"/>
    </row>
    <row r="335" spans="1:42" ht="15" customHeight="1" thickTop="1">
      <c r="A335" s="12"/>
      <c r="B335" s="8"/>
      <c r="C335" s="9"/>
      <c r="D335" s="9" t="str">
        <f t="shared" si="366"/>
        <v/>
      </c>
      <c r="E335" s="9"/>
      <c r="F335" s="9" t="str">
        <f t="shared" si="367"/>
        <v/>
      </c>
      <c r="G335" s="9"/>
      <c r="H335" s="9" t="str">
        <f t="shared" si="368"/>
        <v/>
      </c>
      <c r="I335" s="9"/>
      <c r="J335" s="9"/>
      <c r="K335" s="9"/>
      <c r="L335" s="9" t="str">
        <f t="shared" si="360"/>
        <v/>
      </c>
      <c r="M335" s="10" t="str">
        <f t="shared" si="361"/>
        <v/>
      </c>
      <c r="N335" s="11"/>
      <c r="O335" s="2"/>
      <c r="P335" s="65"/>
      <c r="Q335" s="44"/>
      <c r="R335" s="44"/>
      <c r="S335" s="44"/>
      <c r="T335" s="23"/>
      <c r="U335" s="44"/>
      <c r="V335" s="44"/>
      <c r="W335" s="66"/>
      <c r="X335" s="61"/>
      <c r="Y335" s="62"/>
      <c r="Z335" s="23"/>
      <c r="AA335" s="24"/>
      <c r="AB335" s="11"/>
      <c r="AD335" s="65"/>
      <c r="AE335" s="44"/>
      <c r="AF335" s="44"/>
      <c r="AG335" s="44"/>
      <c r="AH335" s="23"/>
      <c r="AI335" s="44"/>
      <c r="AJ335" s="44"/>
      <c r="AK335" s="66"/>
      <c r="AL335" s="61"/>
      <c r="AM335" s="62"/>
      <c r="AN335" s="23"/>
      <c r="AO335" s="24"/>
      <c r="AP335" s="11"/>
    </row>
    <row r="336" spans="1:42">
      <c r="A336" s="12"/>
      <c r="B336" s="8"/>
      <c r="C336" s="9"/>
      <c r="D336" s="9" t="str">
        <f t="shared" si="366"/>
        <v/>
      </c>
      <c r="E336" s="9"/>
      <c r="F336" s="9" t="str">
        <f t="shared" si="367"/>
        <v/>
      </c>
      <c r="G336" s="9"/>
      <c r="H336" s="9" t="str">
        <f t="shared" si="368"/>
        <v/>
      </c>
      <c r="I336" s="9"/>
      <c r="J336" s="9"/>
      <c r="K336" s="9"/>
      <c r="L336" s="9" t="str">
        <f t="shared" si="360"/>
        <v/>
      </c>
      <c r="M336" s="10" t="str">
        <f t="shared" si="361"/>
        <v/>
      </c>
      <c r="N336" s="11"/>
      <c r="O336" s="2"/>
      <c r="P336" s="12"/>
      <c r="Q336" s="9"/>
      <c r="R336" s="44"/>
      <c r="S336" s="9"/>
      <c r="T336" s="9"/>
      <c r="U336" s="9"/>
      <c r="V336" s="9"/>
      <c r="W336" s="13"/>
      <c r="X336" s="47"/>
      <c r="Y336" s="45"/>
      <c r="Z336" s="9"/>
      <c r="AA336" s="10"/>
      <c r="AB336" s="11"/>
      <c r="AD336" s="12"/>
      <c r="AE336" s="9"/>
      <c r="AF336" s="44"/>
      <c r="AG336" s="9"/>
      <c r="AH336" s="9"/>
      <c r="AI336" s="9"/>
      <c r="AJ336" s="9"/>
      <c r="AK336" s="13"/>
      <c r="AL336" s="47"/>
      <c r="AM336" s="45"/>
      <c r="AN336" s="9"/>
      <c r="AO336" s="10"/>
      <c r="AP336" s="11"/>
    </row>
    <row r="337" spans="1:42" ht="15" customHeight="1">
      <c r="A337" s="12"/>
      <c r="B337" s="8"/>
      <c r="C337" s="9"/>
      <c r="D337" s="9" t="str">
        <f t="shared" si="366"/>
        <v/>
      </c>
      <c r="E337" s="9"/>
      <c r="F337" s="9" t="str">
        <f t="shared" si="367"/>
        <v/>
      </c>
      <c r="G337" s="9"/>
      <c r="H337" s="9" t="str">
        <f t="shared" si="368"/>
        <v/>
      </c>
      <c r="I337" s="9"/>
      <c r="J337" s="9"/>
      <c r="K337" s="9"/>
      <c r="L337" s="9" t="str">
        <f t="shared" si="360"/>
        <v/>
      </c>
      <c r="M337" s="10" t="str">
        <f t="shared" si="361"/>
        <v/>
      </c>
      <c r="N337" s="11"/>
      <c r="O337" s="2"/>
      <c r="P337" s="12"/>
      <c r="Q337" s="9"/>
      <c r="R337" s="52"/>
      <c r="S337" s="9"/>
      <c r="T337" s="9"/>
      <c r="U337" s="26"/>
      <c r="V337" s="26"/>
      <c r="W337" s="38"/>
      <c r="X337" s="47"/>
      <c r="Y337" s="9"/>
      <c r="Z337" s="9"/>
      <c r="AA337" s="10"/>
      <c r="AB337" s="11"/>
      <c r="AD337" s="12"/>
      <c r="AE337" s="9"/>
      <c r="AF337" s="52"/>
      <c r="AG337" s="9"/>
      <c r="AH337" s="9"/>
      <c r="AI337" s="26"/>
      <c r="AJ337" s="26"/>
      <c r="AK337" s="38"/>
      <c r="AL337" s="47"/>
      <c r="AM337" s="9"/>
      <c r="AN337" s="9"/>
      <c r="AO337" s="10"/>
      <c r="AP337" s="11"/>
    </row>
    <row r="338" spans="1:42" ht="15" customHeight="1" thickBot="1">
      <c r="A338" s="12"/>
      <c r="B338" s="8"/>
      <c r="C338" s="9"/>
      <c r="D338" s="9" t="str">
        <f t="shared" si="366"/>
        <v/>
      </c>
      <c r="E338" s="9"/>
      <c r="F338" s="9" t="str">
        <f t="shared" si="367"/>
        <v/>
      </c>
      <c r="G338" s="9"/>
      <c r="H338" s="9" t="str">
        <f t="shared" si="368"/>
        <v/>
      </c>
      <c r="I338" s="9"/>
      <c r="J338" s="9"/>
      <c r="K338" s="9"/>
      <c r="L338" s="9" t="str">
        <f t="shared" si="360"/>
        <v/>
      </c>
      <c r="M338" s="10" t="str">
        <f t="shared" si="361"/>
        <v/>
      </c>
      <c r="N338" s="11"/>
      <c r="O338" s="2"/>
      <c r="P338" s="18"/>
      <c r="Q338" s="21"/>
      <c r="R338" s="50"/>
      <c r="S338" s="51"/>
      <c r="T338" s="21"/>
      <c r="U338" s="53"/>
      <c r="V338" s="53"/>
      <c r="W338" s="37"/>
      <c r="X338" s="48"/>
      <c r="Y338" s="51"/>
      <c r="Z338" s="19"/>
      <c r="AA338" s="20"/>
      <c r="AB338" s="136"/>
      <c r="AD338" s="18"/>
      <c r="AE338" s="21"/>
      <c r="AF338" s="50"/>
      <c r="AG338" s="51"/>
      <c r="AH338" s="21"/>
      <c r="AI338" s="53"/>
      <c r="AJ338" s="53"/>
      <c r="AK338" s="37"/>
      <c r="AL338" s="48"/>
      <c r="AM338" s="51"/>
      <c r="AN338" s="19"/>
      <c r="AO338" s="20"/>
      <c r="AP338" s="11"/>
    </row>
    <row r="339" spans="1:42" ht="15" customHeight="1" thickTop="1">
      <c r="A339" s="12"/>
      <c r="B339" s="8"/>
      <c r="C339" s="9"/>
      <c r="D339" s="9" t="str">
        <f t="shared" si="366"/>
        <v/>
      </c>
      <c r="E339" s="9"/>
      <c r="F339" s="9" t="str">
        <f t="shared" si="367"/>
        <v/>
      </c>
      <c r="G339" s="9"/>
      <c r="H339" s="9" t="str">
        <f t="shared" si="368"/>
        <v/>
      </c>
      <c r="I339" s="9"/>
      <c r="J339" s="9"/>
      <c r="K339" s="9"/>
      <c r="L339" s="9" t="str">
        <f t="shared" si="360"/>
        <v/>
      </c>
      <c r="M339" s="10" t="str">
        <f t="shared" si="361"/>
        <v/>
      </c>
      <c r="N339" s="11"/>
      <c r="O339" s="2"/>
      <c r="P339" s="65"/>
      <c r="Q339" s="44"/>
      <c r="R339" s="44"/>
      <c r="S339" s="44"/>
      <c r="T339" s="23"/>
      <c r="U339" s="44"/>
      <c r="V339" s="44"/>
      <c r="W339" s="66"/>
      <c r="X339" s="61"/>
      <c r="Y339" s="62"/>
      <c r="Z339" s="23"/>
      <c r="AA339" s="24"/>
      <c r="AB339" s="11"/>
      <c r="AD339" s="65"/>
      <c r="AE339" s="44"/>
      <c r="AF339" s="44"/>
      <c r="AG339" s="44"/>
      <c r="AH339" s="23"/>
      <c r="AI339" s="44"/>
      <c r="AJ339" s="44"/>
      <c r="AK339" s="66"/>
      <c r="AL339" s="61"/>
      <c r="AM339" s="62"/>
      <c r="AN339" s="23"/>
      <c r="AO339" s="24"/>
      <c r="AP339" s="11"/>
    </row>
    <row r="340" spans="1:42" ht="15" customHeight="1">
      <c r="A340" s="12"/>
      <c r="B340" s="8"/>
      <c r="C340" s="9"/>
      <c r="D340" s="9" t="str">
        <f t="shared" si="366"/>
        <v/>
      </c>
      <c r="E340" s="9"/>
      <c r="F340" s="9" t="str">
        <f t="shared" si="367"/>
        <v/>
      </c>
      <c r="G340" s="9"/>
      <c r="H340" s="9" t="str">
        <f t="shared" si="368"/>
        <v/>
      </c>
      <c r="I340" s="9"/>
      <c r="J340" s="9"/>
      <c r="K340" s="9"/>
      <c r="L340" s="9" t="str">
        <f t="shared" si="360"/>
        <v/>
      </c>
      <c r="M340" s="10" t="str">
        <f t="shared" si="361"/>
        <v/>
      </c>
      <c r="N340" s="11"/>
      <c r="O340" s="2"/>
      <c r="P340" s="12"/>
      <c r="Q340" s="9"/>
      <c r="R340" s="113"/>
      <c r="S340" s="9"/>
      <c r="T340" s="9"/>
      <c r="U340" s="9"/>
      <c r="V340" s="9"/>
      <c r="W340" s="13"/>
      <c r="X340" s="47"/>
      <c r="Y340" s="45"/>
      <c r="Z340" s="9"/>
      <c r="AA340" s="10"/>
      <c r="AB340" s="11"/>
      <c r="AD340" s="12"/>
      <c r="AE340" s="9"/>
      <c r="AF340" s="44"/>
      <c r="AG340" s="9"/>
      <c r="AH340" s="9"/>
      <c r="AI340" s="9"/>
      <c r="AJ340" s="9"/>
      <c r="AK340" s="13"/>
      <c r="AL340" s="47"/>
      <c r="AM340" s="45"/>
      <c r="AN340" s="9"/>
      <c r="AO340" s="10"/>
      <c r="AP340" s="11"/>
    </row>
    <row r="341" spans="1:42" ht="15" customHeight="1">
      <c r="A341" s="12"/>
      <c r="B341" s="8"/>
      <c r="C341" s="9"/>
      <c r="D341" s="9" t="str">
        <f t="shared" si="366"/>
        <v/>
      </c>
      <c r="E341" s="9"/>
      <c r="F341" s="9" t="str">
        <f t="shared" si="367"/>
        <v/>
      </c>
      <c r="G341" s="9"/>
      <c r="H341" s="9" t="str">
        <f t="shared" si="368"/>
        <v/>
      </c>
      <c r="I341" s="9"/>
      <c r="J341" s="9"/>
      <c r="K341" s="9"/>
      <c r="L341" s="9" t="str">
        <f t="shared" si="360"/>
        <v/>
      </c>
      <c r="M341" s="10" t="str">
        <f t="shared" si="361"/>
        <v/>
      </c>
      <c r="N341" s="11"/>
      <c r="O341" s="2"/>
      <c r="P341" s="12"/>
      <c r="Q341" s="9"/>
      <c r="R341" s="52"/>
      <c r="S341" s="9"/>
      <c r="T341" s="9"/>
      <c r="U341" s="9"/>
      <c r="V341" s="9"/>
      <c r="W341" s="13"/>
      <c r="X341" s="47"/>
      <c r="Y341" s="9"/>
      <c r="Z341" s="9"/>
      <c r="AA341" s="10"/>
      <c r="AB341" s="11"/>
      <c r="AD341" s="12"/>
      <c r="AE341" s="9"/>
      <c r="AF341" s="52"/>
      <c r="AG341" s="9"/>
      <c r="AH341" s="9"/>
      <c r="AI341" s="9"/>
      <c r="AJ341" s="9"/>
      <c r="AK341" s="13"/>
      <c r="AL341" s="47"/>
      <c r="AM341" s="9"/>
      <c r="AN341" s="9"/>
      <c r="AO341" s="10"/>
      <c r="AP341" s="11"/>
    </row>
    <row r="342" spans="1:42" ht="15" customHeight="1" thickBot="1">
      <c r="A342" s="12"/>
      <c r="B342" s="8"/>
      <c r="C342" s="9"/>
      <c r="D342" s="9" t="str">
        <f t="shared" si="366"/>
        <v/>
      </c>
      <c r="E342" s="9"/>
      <c r="F342" s="9" t="str">
        <f t="shared" si="367"/>
        <v/>
      </c>
      <c r="G342" s="9"/>
      <c r="H342" s="9" t="str">
        <f t="shared" si="368"/>
        <v/>
      </c>
      <c r="I342" s="9"/>
      <c r="J342" s="9"/>
      <c r="K342" s="9"/>
      <c r="L342" s="9" t="str">
        <f t="shared" si="360"/>
        <v/>
      </c>
      <c r="M342" s="10" t="str">
        <f t="shared" si="361"/>
        <v/>
      </c>
      <c r="N342" s="11"/>
      <c r="O342" s="2"/>
      <c r="P342" s="18"/>
      <c r="Q342" s="21"/>
      <c r="R342" s="134"/>
      <c r="S342" s="51"/>
      <c r="T342" s="19"/>
      <c r="U342" s="19"/>
      <c r="V342" s="19"/>
      <c r="W342" s="37"/>
      <c r="X342" s="48"/>
      <c r="Y342" s="51"/>
      <c r="Z342" s="19"/>
      <c r="AA342" s="20"/>
      <c r="AB342" s="11"/>
      <c r="AD342" s="18"/>
      <c r="AE342" s="21"/>
      <c r="AF342" s="50"/>
      <c r="AG342" s="51"/>
      <c r="AH342" s="19"/>
      <c r="AI342" s="19"/>
      <c r="AJ342" s="19"/>
      <c r="AK342" s="37"/>
      <c r="AL342" s="48"/>
      <c r="AM342" s="51"/>
      <c r="AN342" s="19"/>
      <c r="AO342" s="20"/>
      <c r="AP342" s="94"/>
    </row>
    <row r="343" spans="1:42" ht="15" customHeight="1" thickTop="1">
      <c r="A343" s="12"/>
      <c r="B343" s="8"/>
      <c r="C343" s="9"/>
      <c r="D343" s="9" t="str">
        <f t="shared" si="366"/>
        <v/>
      </c>
      <c r="E343" s="9"/>
      <c r="F343" s="9" t="str">
        <f t="shared" si="367"/>
        <v/>
      </c>
      <c r="G343" s="9"/>
      <c r="H343" s="9" t="str">
        <f t="shared" si="368"/>
        <v/>
      </c>
      <c r="I343" s="9"/>
      <c r="J343" s="9"/>
      <c r="K343" s="9"/>
      <c r="L343" s="9" t="str">
        <f t="shared" si="360"/>
        <v/>
      </c>
      <c r="M343" s="10" t="str">
        <f t="shared" si="361"/>
        <v/>
      </c>
      <c r="N343" s="11"/>
      <c r="O343" s="2"/>
      <c r="P343" s="65" t="str">
        <f>IF($A310="","",$A310)</f>
        <v/>
      </c>
      <c r="Q343" s="44"/>
      <c r="R343" s="44" t="str">
        <f t="shared" ref="R343:R354" si="369">IF(Q343="","",Q343-Q339)</f>
        <v/>
      </c>
      <c r="S343" s="44"/>
      <c r="T343" s="23" t="str">
        <f t="shared" ref="T343:T354" si="370">IF(S343="","",S343-S339)</f>
        <v/>
      </c>
      <c r="U343" s="44"/>
      <c r="V343" s="44" t="str">
        <f t="shared" ref="V343:V354" si="371">IF(U343="","",U339+W339-U343)</f>
        <v/>
      </c>
      <c r="W343" s="44"/>
      <c r="X343" s="61" t="str">
        <f t="shared" ref="X343:X354" si="372">IF(Q343="","",X339)</f>
        <v/>
      </c>
      <c r="Y343" s="62" t="str">
        <f t="shared" ref="Y343:Y354" si="373">IF(R343="","",Y339)</f>
        <v/>
      </c>
      <c r="Z343" s="23" t="str">
        <f t="shared" ref="Z343:Z354" si="374">IF(U343="","",V343*Y343)</f>
        <v/>
      </c>
      <c r="AA343" s="24" t="str">
        <f t="shared" ref="AA343:AA354" si="375">IF(V343="","",Z343/(R343*100))</f>
        <v/>
      </c>
      <c r="AB343" s="11"/>
      <c r="AD343" s="65" t="str">
        <f>IF($A310="","",$A310)</f>
        <v/>
      </c>
      <c r="AE343" s="44"/>
      <c r="AF343" s="44" t="str">
        <f t="shared" ref="AF343:AF354" si="376">IF(AE343="","",AE343-AE339)</f>
        <v/>
      </c>
      <c r="AG343" s="44"/>
      <c r="AH343" s="23" t="str">
        <f t="shared" ref="AH343:AH354" si="377">IF(AG343="","",AG343-AG339)</f>
        <v/>
      </c>
      <c r="AI343" s="44"/>
      <c r="AJ343" s="44" t="str">
        <f t="shared" ref="AJ343:AJ354" si="378">IF(AI343="","",AI339+AK339-AI343)</f>
        <v/>
      </c>
      <c r="AK343" s="44"/>
      <c r="AL343" s="61" t="str">
        <f t="shared" ref="AL343:AL354" si="379">IF(AE343="","",AL339)</f>
        <v/>
      </c>
      <c r="AM343" s="62" t="str">
        <f t="shared" ref="AM343:AM354" si="380">IF(AF343="","",AM339)</f>
        <v/>
      </c>
      <c r="AN343" s="23" t="str">
        <f t="shared" ref="AN343:AN354" si="381">IF(AI343="","",AJ343*AM343)</f>
        <v/>
      </c>
      <c r="AO343" s="24" t="str">
        <f t="shared" ref="AO343:AO354" si="382">IF(AJ343="","",AN343/(AF343*100))</f>
        <v/>
      </c>
      <c r="AP343" s="11"/>
    </row>
    <row r="344" spans="1:42" ht="15" customHeight="1">
      <c r="A344" s="12"/>
      <c r="B344" s="8"/>
      <c r="C344" s="9"/>
      <c r="D344" s="9" t="str">
        <f t="shared" si="366"/>
        <v/>
      </c>
      <c r="E344" s="9"/>
      <c r="F344" s="9" t="str">
        <f t="shared" si="367"/>
        <v/>
      </c>
      <c r="G344" s="9"/>
      <c r="H344" s="9" t="str">
        <f t="shared" si="368"/>
        <v/>
      </c>
      <c r="I344" s="9"/>
      <c r="J344" s="9"/>
      <c r="K344" s="9"/>
      <c r="L344" s="9" t="str">
        <f t="shared" si="360"/>
        <v/>
      </c>
      <c r="M344" s="10" t="str">
        <f t="shared" si="361"/>
        <v/>
      </c>
      <c r="N344" s="11"/>
      <c r="O344" s="2"/>
      <c r="P344" s="12"/>
      <c r="Q344" s="9"/>
      <c r="R344" s="9" t="str">
        <f t="shared" si="369"/>
        <v/>
      </c>
      <c r="S344" s="9"/>
      <c r="T344" s="9" t="str">
        <f t="shared" si="370"/>
        <v/>
      </c>
      <c r="U344" s="9"/>
      <c r="V344" s="9" t="str">
        <f t="shared" si="371"/>
        <v/>
      </c>
      <c r="W344" s="9"/>
      <c r="X344" s="47" t="str">
        <f t="shared" si="372"/>
        <v/>
      </c>
      <c r="Y344" s="45" t="str">
        <f t="shared" si="373"/>
        <v/>
      </c>
      <c r="Z344" s="9" t="str">
        <f t="shared" si="374"/>
        <v/>
      </c>
      <c r="AA344" s="10" t="str">
        <f t="shared" si="375"/>
        <v/>
      </c>
      <c r="AB344" s="11"/>
      <c r="AD344" s="12"/>
      <c r="AE344" s="9"/>
      <c r="AF344" s="9" t="str">
        <f t="shared" si="376"/>
        <v/>
      </c>
      <c r="AG344" s="9"/>
      <c r="AH344" s="9" t="str">
        <f t="shared" si="377"/>
        <v/>
      </c>
      <c r="AI344" s="9"/>
      <c r="AJ344" s="9" t="str">
        <f t="shared" si="378"/>
        <v/>
      </c>
      <c r="AK344" s="9"/>
      <c r="AL344" s="47" t="str">
        <f t="shared" si="379"/>
        <v/>
      </c>
      <c r="AM344" s="45" t="str">
        <f t="shared" si="380"/>
        <v/>
      </c>
      <c r="AN344" s="9" t="str">
        <f t="shared" si="381"/>
        <v/>
      </c>
      <c r="AO344" s="10" t="str">
        <f t="shared" si="382"/>
        <v/>
      </c>
      <c r="AP344" s="11"/>
    </row>
    <row r="345" spans="1:42" ht="15" customHeight="1">
      <c r="A345" s="12"/>
      <c r="B345" s="8"/>
      <c r="C345" s="9"/>
      <c r="D345" s="9" t="str">
        <f t="shared" si="366"/>
        <v/>
      </c>
      <c r="E345" s="9"/>
      <c r="F345" s="9" t="str">
        <f t="shared" si="367"/>
        <v/>
      </c>
      <c r="G345" s="9"/>
      <c r="H345" s="9" t="str">
        <f t="shared" si="368"/>
        <v/>
      </c>
      <c r="I345" s="9"/>
      <c r="J345" s="9"/>
      <c r="K345" s="9"/>
      <c r="L345" s="9" t="str">
        <f t="shared" si="360"/>
        <v/>
      </c>
      <c r="M345" s="10" t="str">
        <f t="shared" si="361"/>
        <v/>
      </c>
      <c r="N345" s="11"/>
      <c r="O345" s="2"/>
      <c r="P345" s="12"/>
      <c r="Q345" s="9"/>
      <c r="R345" s="9" t="str">
        <f t="shared" si="369"/>
        <v/>
      </c>
      <c r="S345" s="9"/>
      <c r="T345" s="9" t="str">
        <f t="shared" si="370"/>
        <v/>
      </c>
      <c r="U345" s="9"/>
      <c r="V345" s="9" t="str">
        <f t="shared" si="371"/>
        <v/>
      </c>
      <c r="W345" s="9"/>
      <c r="X345" s="47" t="str">
        <f t="shared" si="372"/>
        <v/>
      </c>
      <c r="Y345" s="9" t="str">
        <f t="shared" si="373"/>
        <v/>
      </c>
      <c r="Z345" s="9" t="str">
        <f t="shared" si="374"/>
        <v/>
      </c>
      <c r="AA345" s="10" t="str">
        <f t="shared" si="375"/>
        <v/>
      </c>
      <c r="AB345" s="11"/>
      <c r="AD345" s="12"/>
      <c r="AE345" s="9"/>
      <c r="AF345" s="9" t="str">
        <f t="shared" si="376"/>
        <v/>
      </c>
      <c r="AG345" s="9"/>
      <c r="AH345" s="9" t="str">
        <f t="shared" si="377"/>
        <v/>
      </c>
      <c r="AI345" s="9"/>
      <c r="AJ345" s="9" t="str">
        <f t="shared" si="378"/>
        <v/>
      </c>
      <c r="AK345" s="9"/>
      <c r="AL345" s="47" t="str">
        <f t="shared" si="379"/>
        <v/>
      </c>
      <c r="AM345" s="9" t="str">
        <f t="shared" si="380"/>
        <v/>
      </c>
      <c r="AN345" s="9" t="str">
        <f t="shared" si="381"/>
        <v/>
      </c>
      <c r="AO345" s="10" t="str">
        <f t="shared" si="382"/>
        <v/>
      </c>
      <c r="AP345" s="11"/>
    </row>
    <row r="346" spans="1:42" ht="15" customHeight="1" thickBot="1">
      <c r="A346" s="12"/>
      <c r="B346" s="8"/>
      <c r="C346" s="9"/>
      <c r="D346" s="9" t="str">
        <f t="shared" si="366"/>
        <v/>
      </c>
      <c r="E346" s="9"/>
      <c r="F346" s="9" t="str">
        <f t="shared" si="367"/>
        <v/>
      </c>
      <c r="G346" s="9"/>
      <c r="H346" s="9" t="str">
        <f t="shared" si="368"/>
        <v/>
      </c>
      <c r="I346" s="9"/>
      <c r="J346" s="9"/>
      <c r="K346" s="9"/>
      <c r="L346" s="9" t="str">
        <f t="shared" si="360"/>
        <v/>
      </c>
      <c r="M346" s="10" t="str">
        <f t="shared" si="361"/>
        <v/>
      </c>
      <c r="N346" s="11"/>
      <c r="O346" s="2"/>
      <c r="P346" s="18"/>
      <c r="Q346" s="19"/>
      <c r="R346" s="19" t="str">
        <f t="shared" si="369"/>
        <v/>
      </c>
      <c r="S346" s="19"/>
      <c r="T346" s="19" t="str">
        <f t="shared" si="370"/>
        <v/>
      </c>
      <c r="U346" s="19"/>
      <c r="V346" s="19" t="str">
        <f t="shared" si="371"/>
        <v/>
      </c>
      <c r="W346" s="19"/>
      <c r="X346" s="48" t="str">
        <f t="shared" si="372"/>
        <v/>
      </c>
      <c r="Y346" s="51" t="str">
        <f t="shared" si="373"/>
        <v/>
      </c>
      <c r="Z346" s="19" t="str">
        <f t="shared" si="374"/>
        <v/>
      </c>
      <c r="AA346" s="20" t="str">
        <f t="shared" si="375"/>
        <v/>
      </c>
      <c r="AB346" s="11"/>
      <c r="AD346" s="18"/>
      <c r="AE346" s="19"/>
      <c r="AF346" s="19" t="str">
        <f t="shared" si="376"/>
        <v/>
      </c>
      <c r="AG346" s="19"/>
      <c r="AH346" s="19" t="str">
        <f t="shared" si="377"/>
        <v/>
      </c>
      <c r="AI346" s="19"/>
      <c r="AJ346" s="19" t="str">
        <f t="shared" si="378"/>
        <v/>
      </c>
      <c r="AK346" s="19"/>
      <c r="AL346" s="48" t="str">
        <f t="shared" si="379"/>
        <v/>
      </c>
      <c r="AM346" s="51" t="str">
        <f t="shared" si="380"/>
        <v/>
      </c>
      <c r="AN346" s="19" t="str">
        <f t="shared" si="381"/>
        <v/>
      </c>
      <c r="AO346" s="20" t="str">
        <f t="shared" si="382"/>
        <v/>
      </c>
      <c r="AP346" s="11"/>
    </row>
    <row r="347" spans="1:42" ht="15" customHeight="1" thickTop="1">
      <c r="A347" s="12"/>
      <c r="B347" s="8"/>
      <c r="C347" s="9"/>
      <c r="D347" s="9" t="str">
        <f t="shared" si="366"/>
        <v/>
      </c>
      <c r="E347" s="9"/>
      <c r="F347" s="9" t="str">
        <f t="shared" si="367"/>
        <v/>
      </c>
      <c r="G347" s="9"/>
      <c r="H347" s="9" t="str">
        <f t="shared" si="368"/>
        <v/>
      </c>
      <c r="I347" s="9"/>
      <c r="J347" s="9"/>
      <c r="K347" s="9"/>
      <c r="L347" s="9" t="str">
        <f t="shared" si="360"/>
        <v/>
      </c>
      <c r="M347" s="10" t="str">
        <f t="shared" si="361"/>
        <v/>
      </c>
      <c r="N347" s="11"/>
      <c r="O347" s="2"/>
      <c r="P347" s="65" t="str">
        <f>IF($A311="","",$A311)</f>
        <v/>
      </c>
      <c r="Q347" s="44"/>
      <c r="R347" s="44" t="str">
        <f t="shared" si="369"/>
        <v/>
      </c>
      <c r="S347" s="44"/>
      <c r="T347" s="23" t="str">
        <f t="shared" si="370"/>
        <v/>
      </c>
      <c r="U347" s="44"/>
      <c r="V347" s="44" t="str">
        <f t="shared" si="371"/>
        <v/>
      </c>
      <c r="W347" s="44"/>
      <c r="X347" s="61" t="str">
        <f t="shared" si="372"/>
        <v/>
      </c>
      <c r="Y347" s="62" t="str">
        <f t="shared" si="373"/>
        <v/>
      </c>
      <c r="Z347" s="23" t="str">
        <f t="shared" si="374"/>
        <v/>
      </c>
      <c r="AA347" s="24" t="str">
        <f t="shared" si="375"/>
        <v/>
      </c>
      <c r="AB347" s="11"/>
      <c r="AD347" s="65" t="str">
        <f>IF($A311="","",$A311)</f>
        <v/>
      </c>
      <c r="AE347" s="44"/>
      <c r="AF347" s="44" t="str">
        <f t="shared" si="376"/>
        <v/>
      </c>
      <c r="AG347" s="44"/>
      <c r="AH347" s="23" t="str">
        <f t="shared" si="377"/>
        <v/>
      </c>
      <c r="AI347" s="44"/>
      <c r="AJ347" s="44" t="str">
        <f t="shared" si="378"/>
        <v/>
      </c>
      <c r="AK347" s="44"/>
      <c r="AL347" s="61" t="str">
        <f t="shared" si="379"/>
        <v/>
      </c>
      <c r="AM347" s="62" t="str">
        <f t="shared" si="380"/>
        <v/>
      </c>
      <c r="AN347" s="23" t="str">
        <f t="shared" si="381"/>
        <v/>
      </c>
      <c r="AO347" s="24" t="str">
        <f t="shared" si="382"/>
        <v/>
      </c>
      <c r="AP347" s="11"/>
    </row>
    <row r="348" spans="1:42" ht="15" customHeight="1">
      <c r="A348" s="12"/>
      <c r="B348" s="8"/>
      <c r="C348" s="9"/>
      <c r="D348" s="9" t="str">
        <f t="shared" si="366"/>
        <v/>
      </c>
      <c r="E348" s="9"/>
      <c r="F348" s="9" t="str">
        <f t="shared" si="367"/>
        <v/>
      </c>
      <c r="G348" s="9"/>
      <c r="H348" s="9" t="str">
        <f t="shared" si="368"/>
        <v/>
      </c>
      <c r="I348" s="9"/>
      <c r="J348" s="9"/>
      <c r="K348" s="9"/>
      <c r="L348" s="9" t="str">
        <f t="shared" si="360"/>
        <v/>
      </c>
      <c r="M348" s="10" t="str">
        <f t="shared" si="361"/>
        <v/>
      </c>
      <c r="N348" s="11"/>
      <c r="O348" s="2"/>
      <c r="P348" s="12"/>
      <c r="Q348" s="9"/>
      <c r="R348" s="9" t="str">
        <f t="shared" si="369"/>
        <v/>
      </c>
      <c r="S348" s="9"/>
      <c r="T348" s="9" t="str">
        <f t="shared" si="370"/>
        <v/>
      </c>
      <c r="U348" s="9"/>
      <c r="V348" s="9" t="str">
        <f t="shared" si="371"/>
        <v/>
      </c>
      <c r="W348" s="9"/>
      <c r="X348" s="47" t="str">
        <f t="shared" si="372"/>
        <v/>
      </c>
      <c r="Y348" s="45" t="str">
        <f t="shared" si="373"/>
        <v/>
      </c>
      <c r="Z348" s="9" t="str">
        <f t="shared" si="374"/>
        <v/>
      </c>
      <c r="AA348" s="10" t="str">
        <f t="shared" si="375"/>
        <v/>
      </c>
      <c r="AB348" s="11"/>
      <c r="AD348" s="12"/>
      <c r="AE348" s="9"/>
      <c r="AF348" s="9" t="str">
        <f t="shared" si="376"/>
        <v/>
      </c>
      <c r="AG348" s="9"/>
      <c r="AH348" s="9" t="str">
        <f t="shared" si="377"/>
        <v/>
      </c>
      <c r="AI348" s="9"/>
      <c r="AJ348" s="9" t="str">
        <f t="shared" si="378"/>
        <v/>
      </c>
      <c r="AK348" s="9"/>
      <c r="AL348" s="47" t="str">
        <f t="shared" si="379"/>
        <v/>
      </c>
      <c r="AM348" s="45" t="str">
        <f t="shared" si="380"/>
        <v/>
      </c>
      <c r="AN348" s="9" t="str">
        <f t="shared" si="381"/>
        <v/>
      </c>
      <c r="AO348" s="10" t="str">
        <f t="shared" si="382"/>
        <v/>
      </c>
      <c r="AP348" s="11"/>
    </row>
    <row r="349" spans="1:42" ht="15" customHeight="1">
      <c r="A349" s="12"/>
      <c r="B349" s="8"/>
      <c r="C349" s="9"/>
      <c r="D349" s="9" t="str">
        <f t="shared" si="366"/>
        <v/>
      </c>
      <c r="E349" s="9"/>
      <c r="F349" s="9" t="str">
        <f t="shared" si="367"/>
        <v/>
      </c>
      <c r="G349" s="9"/>
      <c r="H349" s="9" t="str">
        <f t="shared" si="368"/>
        <v/>
      </c>
      <c r="I349" s="9"/>
      <c r="J349" s="9"/>
      <c r="K349" s="9"/>
      <c r="L349" s="9" t="str">
        <f t="shared" si="360"/>
        <v/>
      </c>
      <c r="M349" s="10" t="str">
        <f t="shared" si="361"/>
        <v/>
      </c>
      <c r="N349" s="11"/>
      <c r="O349" s="2"/>
      <c r="P349" s="12"/>
      <c r="Q349" s="9"/>
      <c r="R349" s="9" t="str">
        <f t="shared" si="369"/>
        <v/>
      </c>
      <c r="S349" s="9"/>
      <c r="T349" s="9" t="str">
        <f t="shared" si="370"/>
        <v/>
      </c>
      <c r="U349" s="9"/>
      <c r="V349" s="9" t="str">
        <f t="shared" si="371"/>
        <v/>
      </c>
      <c r="W349" s="9"/>
      <c r="X349" s="47" t="str">
        <f t="shared" si="372"/>
        <v/>
      </c>
      <c r="Y349" s="9" t="str">
        <f t="shared" si="373"/>
        <v/>
      </c>
      <c r="Z349" s="9" t="str">
        <f t="shared" si="374"/>
        <v/>
      </c>
      <c r="AA349" s="10" t="str">
        <f t="shared" si="375"/>
        <v/>
      </c>
      <c r="AB349" s="11"/>
      <c r="AD349" s="12"/>
      <c r="AE349" s="9"/>
      <c r="AF349" s="9" t="str">
        <f t="shared" si="376"/>
        <v/>
      </c>
      <c r="AG349" s="9"/>
      <c r="AH349" s="9" t="str">
        <f t="shared" si="377"/>
        <v/>
      </c>
      <c r="AI349" s="9"/>
      <c r="AJ349" s="9" t="str">
        <f t="shared" si="378"/>
        <v/>
      </c>
      <c r="AK349" s="9"/>
      <c r="AL349" s="47" t="str">
        <f t="shared" si="379"/>
        <v/>
      </c>
      <c r="AM349" s="9" t="str">
        <f t="shared" si="380"/>
        <v/>
      </c>
      <c r="AN349" s="9" t="str">
        <f t="shared" si="381"/>
        <v/>
      </c>
      <c r="AO349" s="10" t="str">
        <f t="shared" si="382"/>
        <v/>
      </c>
      <c r="AP349" s="11"/>
    </row>
    <row r="350" spans="1:42" ht="15" customHeight="1" thickBot="1">
      <c r="A350" s="12"/>
      <c r="B350" s="8"/>
      <c r="C350" s="9"/>
      <c r="D350" s="9" t="str">
        <f t="shared" si="366"/>
        <v/>
      </c>
      <c r="E350" s="9"/>
      <c r="F350" s="9" t="str">
        <f t="shared" si="367"/>
        <v/>
      </c>
      <c r="G350" s="9"/>
      <c r="H350" s="9" t="str">
        <f t="shared" si="368"/>
        <v/>
      </c>
      <c r="I350" s="9"/>
      <c r="J350" s="9"/>
      <c r="K350" s="9"/>
      <c r="L350" s="9" t="str">
        <f t="shared" si="360"/>
        <v/>
      </c>
      <c r="M350" s="10" t="str">
        <f t="shared" si="361"/>
        <v/>
      </c>
      <c r="N350" s="11"/>
      <c r="O350" s="2"/>
      <c r="P350" s="18"/>
      <c r="Q350" s="19"/>
      <c r="R350" s="19" t="str">
        <f t="shared" si="369"/>
        <v/>
      </c>
      <c r="S350" s="19"/>
      <c r="T350" s="19" t="str">
        <f t="shared" si="370"/>
        <v/>
      </c>
      <c r="U350" s="19"/>
      <c r="V350" s="19" t="str">
        <f t="shared" si="371"/>
        <v/>
      </c>
      <c r="W350" s="19"/>
      <c r="X350" s="48" t="str">
        <f t="shared" si="372"/>
        <v/>
      </c>
      <c r="Y350" s="51" t="str">
        <f t="shared" si="373"/>
        <v/>
      </c>
      <c r="Z350" s="19" t="str">
        <f t="shared" si="374"/>
        <v/>
      </c>
      <c r="AA350" s="20" t="str">
        <f t="shared" si="375"/>
        <v/>
      </c>
      <c r="AB350" s="11"/>
      <c r="AD350" s="18"/>
      <c r="AE350" s="19"/>
      <c r="AF350" s="19" t="str">
        <f t="shared" si="376"/>
        <v/>
      </c>
      <c r="AG350" s="19"/>
      <c r="AH350" s="19" t="str">
        <f t="shared" si="377"/>
        <v/>
      </c>
      <c r="AI350" s="19"/>
      <c r="AJ350" s="19" t="str">
        <f t="shared" si="378"/>
        <v/>
      </c>
      <c r="AK350" s="19"/>
      <c r="AL350" s="48" t="str">
        <f t="shared" si="379"/>
        <v/>
      </c>
      <c r="AM350" s="51" t="str">
        <f t="shared" si="380"/>
        <v/>
      </c>
      <c r="AN350" s="19" t="str">
        <f t="shared" si="381"/>
        <v/>
      </c>
      <c r="AO350" s="20" t="str">
        <f t="shared" si="382"/>
        <v/>
      </c>
      <c r="AP350" s="11"/>
    </row>
    <row r="351" spans="1:42" ht="15" customHeight="1" thickTop="1">
      <c r="A351" s="12"/>
      <c r="B351" s="8"/>
      <c r="C351" s="9"/>
      <c r="D351" s="9" t="str">
        <f t="shared" si="366"/>
        <v/>
      </c>
      <c r="E351" s="9"/>
      <c r="F351" s="9" t="str">
        <f t="shared" si="367"/>
        <v/>
      </c>
      <c r="G351" s="9"/>
      <c r="H351" s="9" t="str">
        <f t="shared" si="368"/>
        <v/>
      </c>
      <c r="I351" s="9"/>
      <c r="J351" s="9"/>
      <c r="K351" s="9"/>
      <c r="L351" s="9" t="str">
        <f t="shared" si="360"/>
        <v/>
      </c>
      <c r="M351" s="10" t="str">
        <f t="shared" si="361"/>
        <v/>
      </c>
      <c r="N351" s="11"/>
      <c r="O351" s="2"/>
      <c r="P351" s="65" t="str">
        <f>IF($A312="","",$A312)</f>
        <v/>
      </c>
      <c r="Q351" s="44"/>
      <c r="R351" s="44" t="str">
        <f t="shared" si="369"/>
        <v/>
      </c>
      <c r="S351" s="44"/>
      <c r="T351" s="44" t="str">
        <f t="shared" si="370"/>
        <v/>
      </c>
      <c r="U351" s="44"/>
      <c r="V351" s="44" t="str">
        <f t="shared" si="371"/>
        <v/>
      </c>
      <c r="W351" s="44"/>
      <c r="X351" s="64" t="str">
        <f t="shared" si="372"/>
        <v/>
      </c>
      <c r="Y351" s="44" t="str">
        <f t="shared" si="373"/>
        <v/>
      </c>
      <c r="Z351" s="44" t="str">
        <f t="shared" si="374"/>
        <v/>
      </c>
      <c r="AA351" s="44" t="str">
        <f t="shared" si="375"/>
        <v/>
      </c>
      <c r="AB351" s="11"/>
      <c r="AD351" s="65" t="str">
        <f>IF($A312="","",$A312)</f>
        <v/>
      </c>
      <c r="AE351" s="44"/>
      <c r="AF351" s="44" t="str">
        <f t="shared" si="376"/>
        <v/>
      </c>
      <c r="AG351" s="44"/>
      <c r="AH351" s="44" t="str">
        <f t="shared" si="377"/>
        <v/>
      </c>
      <c r="AI351" s="44"/>
      <c r="AJ351" s="44" t="str">
        <f t="shared" si="378"/>
        <v/>
      </c>
      <c r="AK351" s="44"/>
      <c r="AL351" s="61" t="str">
        <f t="shared" si="379"/>
        <v/>
      </c>
      <c r="AM351" s="44" t="str">
        <f t="shared" si="380"/>
        <v/>
      </c>
      <c r="AN351" s="23" t="str">
        <f t="shared" si="381"/>
        <v/>
      </c>
      <c r="AO351" s="24" t="str">
        <f t="shared" si="382"/>
        <v/>
      </c>
      <c r="AP351" s="11"/>
    </row>
    <row r="352" spans="1:42" ht="15" customHeight="1">
      <c r="A352" s="12"/>
      <c r="B352" s="8"/>
      <c r="C352" s="9"/>
      <c r="D352" s="9"/>
      <c r="E352" s="9"/>
      <c r="F352" s="9" t="str">
        <f t="shared" si="367"/>
        <v/>
      </c>
      <c r="G352" s="9"/>
      <c r="H352" s="9" t="str">
        <f t="shared" si="368"/>
        <v/>
      </c>
      <c r="I352" s="9"/>
      <c r="J352" s="9"/>
      <c r="K352" s="9"/>
      <c r="L352" s="9" t="str">
        <f t="shared" si="360"/>
        <v/>
      </c>
      <c r="M352" s="10" t="str">
        <f t="shared" si="361"/>
        <v/>
      </c>
      <c r="N352" s="11"/>
      <c r="O352" s="2"/>
      <c r="P352" s="65"/>
      <c r="Q352" s="44"/>
      <c r="R352" s="44" t="str">
        <f t="shared" si="369"/>
        <v/>
      </c>
      <c r="S352" s="44"/>
      <c r="T352" s="44" t="str">
        <f t="shared" si="370"/>
        <v/>
      </c>
      <c r="U352" s="44"/>
      <c r="V352" s="44" t="str">
        <f t="shared" si="371"/>
        <v/>
      </c>
      <c r="W352" s="44"/>
      <c r="X352" s="64" t="str">
        <f t="shared" si="372"/>
        <v/>
      </c>
      <c r="Y352" s="44" t="str">
        <f t="shared" si="373"/>
        <v/>
      </c>
      <c r="Z352" s="44" t="str">
        <f t="shared" si="374"/>
        <v/>
      </c>
      <c r="AA352" s="44" t="str">
        <f t="shared" si="375"/>
        <v/>
      </c>
      <c r="AB352" s="11"/>
      <c r="AD352" s="65"/>
      <c r="AE352" s="44"/>
      <c r="AF352" s="44" t="str">
        <f t="shared" si="376"/>
        <v/>
      </c>
      <c r="AG352" s="44"/>
      <c r="AH352" s="44" t="str">
        <f t="shared" si="377"/>
        <v/>
      </c>
      <c r="AI352" s="44"/>
      <c r="AJ352" s="44" t="str">
        <f t="shared" si="378"/>
        <v/>
      </c>
      <c r="AK352" s="44"/>
      <c r="AL352" s="61" t="str">
        <f t="shared" si="379"/>
        <v/>
      </c>
      <c r="AM352" s="44" t="str">
        <f t="shared" si="380"/>
        <v/>
      </c>
      <c r="AN352" s="9" t="str">
        <f t="shared" si="381"/>
        <v/>
      </c>
      <c r="AO352" s="10" t="str">
        <f t="shared" si="382"/>
        <v/>
      </c>
      <c r="AP352" s="11"/>
    </row>
    <row r="353" spans="1:42" ht="15" customHeight="1">
      <c r="A353" s="12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  <c r="N353" s="11"/>
      <c r="O353" s="2"/>
      <c r="P353" s="89"/>
      <c r="Q353" s="52"/>
      <c r="R353" s="52" t="str">
        <f t="shared" si="369"/>
        <v/>
      </c>
      <c r="S353" s="52"/>
      <c r="T353" s="52" t="str">
        <f t="shared" si="370"/>
        <v/>
      </c>
      <c r="U353" s="52"/>
      <c r="V353" s="52" t="str">
        <f t="shared" si="371"/>
        <v/>
      </c>
      <c r="W353" s="52"/>
      <c r="X353" s="90" t="str">
        <f t="shared" si="372"/>
        <v/>
      </c>
      <c r="Y353" s="52" t="str">
        <f t="shared" si="373"/>
        <v/>
      </c>
      <c r="Z353" s="52" t="str">
        <f t="shared" si="374"/>
        <v/>
      </c>
      <c r="AA353" s="52" t="str">
        <f t="shared" si="375"/>
        <v/>
      </c>
      <c r="AB353" s="31"/>
      <c r="AD353" s="89"/>
      <c r="AE353" s="52"/>
      <c r="AF353" s="52" t="str">
        <f t="shared" si="376"/>
        <v/>
      </c>
      <c r="AG353" s="52"/>
      <c r="AH353" s="52" t="str">
        <f t="shared" si="377"/>
        <v/>
      </c>
      <c r="AI353" s="52"/>
      <c r="AJ353" s="52" t="str">
        <f t="shared" si="378"/>
        <v/>
      </c>
      <c r="AK353" s="52"/>
      <c r="AL353" s="92" t="str">
        <f t="shared" si="379"/>
        <v/>
      </c>
      <c r="AM353" s="52" t="str">
        <f t="shared" si="380"/>
        <v/>
      </c>
      <c r="AN353" s="9" t="str">
        <f t="shared" si="381"/>
        <v/>
      </c>
      <c r="AO353" s="10" t="str">
        <f t="shared" si="382"/>
        <v/>
      </c>
      <c r="AP353" s="31"/>
    </row>
    <row r="354" spans="1:42" ht="15" customHeight="1" thickBot="1">
      <c r="A354" s="12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0"/>
      <c r="N354" s="11"/>
      <c r="O354" s="2"/>
      <c r="P354" s="85"/>
      <c r="Q354" s="50"/>
      <c r="R354" s="50" t="str">
        <f t="shared" si="369"/>
        <v/>
      </c>
      <c r="S354" s="50"/>
      <c r="T354" s="50" t="str">
        <f t="shared" si="370"/>
        <v/>
      </c>
      <c r="U354" s="50"/>
      <c r="V354" s="50" t="str">
        <f t="shared" si="371"/>
        <v/>
      </c>
      <c r="W354" s="50"/>
      <c r="X354" s="86" t="str">
        <f t="shared" si="372"/>
        <v/>
      </c>
      <c r="Y354" s="50" t="str">
        <f t="shared" si="373"/>
        <v/>
      </c>
      <c r="Z354" s="50" t="str">
        <f t="shared" si="374"/>
        <v/>
      </c>
      <c r="AA354" s="50" t="str">
        <f t="shared" si="375"/>
        <v/>
      </c>
      <c r="AB354" s="87"/>
      <c r="AD354" s="85"/>
      <c r="AE354" s="50"/>
      <c r="AF354" s="50" t="str">
        <f t="shared" si="376"/>
        <v/>
      </c>
      <c r="AG354" s="50"/>
      <c r="AH354" s="50" t="str">
        <f t="shared" si="377"/>
        <v/>
      </c>
      <c r="AI354" s="50"/>
      <c r="AJ354" s="50" t="str">
        <f t="shared" si="378"/>
        <v/>
      </c>
      <c r="AK354" s="50"/>
      <c r="AL354" s="91" t="str">
        <f t="shared" si="379"/>
        <v/>
      </c>
      <c r="AM354" s="50" t="str">
        <f t="shared" si="380"/>
        <v/>
      </c>
      <c r="AN354" s="19" t="str">
        <f t="shared" si="381"/>
        <v/>
      </c>
      <c r="AO354" s="20" t="str">
        <f t="shared" si="382"/>
        <v/>
      </c>
      <c r="AP354" s="87"/>
    </row>
    <row r="355" spans="1:42" ht="15" customHeight="1" thickTop="1">
      <c r="A355" s="4">
        <v>31</v>
      </c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/>
      <c r="N355" s="11"/>
      <c r="O355" s="2"/>
      <c r="P355" s="65"/>
      <c r="Q355" s="84" t="s">
        <v>17</v>
      </c>
      <c r="R355" s="44">
        <f>SUM(R299:R351)*100</f>
        <v>327300</v>
      </c>
      <c r="S355" s="44"/>
      <c r="T355" s="44"/>
      <c r="U355" s="84"/>
      <c r="V355" s="44"/>
      <c r="W355" s="44"/>
      <c r="X355" s="195" t="s">
        <v>19</v>
      </c>
      <c r="Y355" s="195"/>
      <c r="Z355" s="44">
        <f>SUM(Z299:Z351)</f>
        <v>63600</v>
      </c>
      <c r="AA355" s="44"/>
      <c r="AB355" s="69"/>
      <c r="AD355" s="65"/>
      <c r="AE355" s="84" t="s">
        <v>17</v>
      </c>
      <c r="AF355" s="44">
        <f>SUM(AF299:AF351)*100</f>
        <v>369000</v>
      </c>
      <c r="AG355" s="44"/>
      <c r="AH355" s="44"/>
      <c r="AI355" s="84"/>
      <c r="AJ355" s="44"/>
      <c r="AK355" s="44"/>
      <c r="AL355" s="195" t="s">
        <v>19</v>
      </c>
      <c r="AM355" s="195"/>
      <c r="AN355" s="44">
        <f>SUM(AN299:AN351)</f>
        <v>115125</v>
      </c>
      <c r="AO355" s="44"/>
      <c r="AP355" s="69"/>
    </row>
    <row r="356" spans="1:42" ht="15" customHeight="1">
      <c r="A356" s="96">
        <f>DATEDIF(A382,A307,"d")</f>
        <v>31</v>
      </c>
      <c r="B356" s="8">
        <f>SUM(B299:B355)</f>
        <v>8645</v>
      </c>
      <c r="C356" s="5" t="s">
        <v>17</v>
      </c>
      <c r="D356" s="9">
        <f>SUM(D299:D352)*100</f>
        <v>168200</v>
      </c>
      <c r="E356" s="9"/>
      <c r="F356" s="9"/>
      <c r="G356" s="5"/>
      <c r="H356" s="9"/>
      <c r="I356" s="9"/>
      <c r="J356" s="9"/>
      <c r="K356" s="9"/>
      <c r="L356" s="9"/>
      <c r="M356" s="9"/>
      <c r="N356" s="11"/>
      <c r="O356" s="2"/>
      <c r="P356" s="25"/>
      <c r="Q356" s="5" t="s">
        <v>20</v>
      </c>
      <c r="R356" s="9">
        <f>R355/$A356</f>
        <v>10558.064516129032</v>
      </c>
      <c r="S356" s="9">
        <f>R356*A355</f>
        <v>327300</v>
      </c>
      <c r="T356" s="9"/>
      <c r="U356" s="5"/>
      <c r="V356" s="9"/>
      <c r="W356" s="9"/>
      <c r="X356" s="178" t="s">
        <v>21</v>
      </c>
      <c r="Y356" s="178"/>
      <c r="Z356" s="9"/>
      <c r="AA356" s="28">
        <f>Z355/R355</f>
        <v>0.19431714023831348</v>
      </c>
      <c r="AB356" s="11"/>
      <c r="AD356" s="40"/>
      <c r="AE356" s="5" t="s">
        <v>20</v>
      </c>
      <c r="AF356" s="9">
        <f>AF355/$A356</f>
        <v>11903.225806451614</v>
      </c>
      <c r="AG356" s="9">
        <f>AF356*A355</f>
        <v>369000</v>
      </c>
      <c r="AH356" s="9"/>
      <c r="AI356" s="5"/>
      <c r="AJ356" s="9"/>
      <c r="AK356" s="9"/>
      <c r="AL356" s="178" t="s">
        <v>21</v>
      </c>
      <c r="AM356" s="178"/>
      <c r="AN356" s="9"/>
      <c r="AO356" s="28">
        <f>AN355/AF355</f>
        <v>0.31199186991869921</v>
      </c>
      <c r="AP356" s="11"/>
    </row>
    <row r="357" spans="1:42" ht="15" customHeight="1">
      <c r="A357" s="97"/>
      <c r="B357" s="8">
        <f>B356/A356</f>
        <v>278.87096774193549</v>
      </c>
      <c r="C357" s="5" t="s">
        <v>20</v>
      </c>
      <c r="D357" s="9">
        <f>D356/A356</f>
        <v>5425.8064516129034</v>
      </c>
      <c r="E357" s="9">
        <f>D357*A355</f>
        <v>168200</v>
      </c>
      <c r="F357" s="9"/>
      <c r="G357" s="5"/>
      <c r="H357" s="9"/>
      <c r="I357" s="9"/>
      <c r="J357" s="9"/>
      <c r="K357" s="9"/>
      <c r="L357" s="9"/>
      <c r="M357" s="9"/>
      <c r="N357" s="11"/>
      <c r="O357" s="2"/>
      <c r="P357" s="12"/>
      <c r="Q357" s="58" t="s">
        <v>23</v>
      </c>
      <c r="R357" s="9">
        <f>R355*0.6</f>
        <v>196380</v>
      </c>
      <c r="S357" s="9"/>
      <c r="T357" s="9"/>
      <c r="U357" s="5"/>
      <c r="V357" s="9"/>
      <c r="W357" s="9"/>
      <c r="X357" s="178" t="s">
        <v>24</v>
      </c>
      <c r="Y357" s="178"/>
      <c r="Z357" s="9">
        <f>R357-Z355</f>
        <v>132780</v>
      </c>
      <c r="AA357" s="28">
        <f>Z357/R355</f>
        <v>0.4056828597616865</v>
      </c>
      <c r="AB357" s="11"/>
      <c r="AD357" s="12"/>
      <c r="AE357" s="58" t="s">
        <v>23</v>
      </c>
      <c r="AF357" s="9">
        <f>AF355*0.6</f>
        <v>221400</v>
      </c>
      <c r="AG357" s="9"/>
      <c r="AH357" s="9"/>
      <c r="AI357" s="5"/>
      <c r="AJ357" s="9"/>
      <c r="AK357" s="9"/>
      <c r="AL357" s="178" t="s">
        <v>24</v>
      </c>
      <c r="AM357" s="178"/>
      <c r="AN357" s="9">
        <f>AF357-AN355</f>
        <v>106275</v>
      </c>
      <c r="AO357" s="28">
        <f>AN357/AF355</f>
        <v>0.28800813008130083</v>
      </c>
      <c r="AP357" s="11"/>
    </row>
    <row r="358" spans="1:42" ht="15" customHeight="1">
      <c r="A358" s="12"/>
      <c r="B358" s="8">
        <f>B357*30</f>
        <v>8366.1290322580644</v>
      </c>
      <c r="C358" s="5" t="s">
        <v>23</v>
      </c>
      <c r="D358" s="9">
        <f>D356*0.6</f>
        <v>100920</v>
      </c>
      <c r="E358" s="9"/>
      <c r="F358" s="9"/>
      <c r="G358" s="180" t="s">
        <v>27</v>
      </c>
      <c r="H358" s="180"/>
      <c r="I358" s="9">
        <f>(G307+I307)*K307</f>
        <v>33250</v>
      </c>
      <c r="J358" s="9"/>
      <c r="K358" s="9"/>
      <c r="L358" s="9"/>
      <c r="M358" s="9"/>
      <c r="N358" s="11"/>
      <c r="O358" s="2"/>
      <c r="P358" s="65"/>
      <c r="Q358" s="5" t="s">
        <v>25</v>
      </c>
      <c r="R358" s="9">
        <f>R429</f>
        <v>445700</v>
      </c>
      <c r="S358" s="9"/>
      <c r="T358" s="9"/>
      <c r="U358" s="5"/>
      <c r="V358" s="9"/>
      <c r="W358" s="17"/>
      <c r="X358" s="182" t="s">
        <v>27</v>
      </c>
      <c r="Y358" s="182"/>
      <c r="Z358" s="44">
        <f>(U331+W331)*Y331+(U332+W332)*Y332+(U333+W333)*Y333+(U334+W334)*Y334</f>
        <v>42298</v>
      </c>
      <c r="AA358" s="10"/>
      <c r="AB358" s="11"/>
      <c r="AD358" s="65"/>
      <c r="AE358" s="5" t="s">
        <v>25</v>
      </c>
      <c r="AF358" s="9">
        <f>AF429</f>
        <v>431200</v>
      </c>
      <c r="AG358" s="9"/>
      <c r="AH358" s="9"/>
      <c r="AI358" s="5"/>
      <c r="AJ358" s="9"/>
      <c r="AK358" s="17"/>
      <c r="AL358" s="182" t="s">
        <v>27</v>
      </c>
      <c r="AM358" s="182"/>
      <c r="AN358" s="44">
        <f>(AI331+AK331)*AM331+(AI332+AK332)*AM332+(AI333+AK333)*AM333+(AI334+AK334)*AM334</f>
        <v>52700</v>
      </c>
      <c r="AO358" s="10"/>
      <c r="AP358" s="11"/>
    </row>
    <row r="359" spans="1:42" ht="15" customHeight="1">
      <c r="A359" s="12"/>
      <c r="B359" s="8"/>
      <c r="C359" s="5" t="s">
        <v>25</v>
      </c>
      <c r="D359" s="9">
        <f>D430</f>
        <v>197700</v>
      </c>
      <c r="E359" s="9"/>
      <c r="F359" s="9"/>
      <c r="G359" s="5" t="s">
        <v>22</v>
      </c>
      <c r="H359" s="9">
        <f>SUM(L299:L352)</f>
        <v>57490</v>
      </c>
      <c r="I359" s="28">
        <f>H359/D356</f>
        <v>0.34179548156956002</v>
      </c>
      <c r="J359" s="28"/>
      <c r="K359" s="9"/>
      <c r="L359" s="9"/>
      <c r="M359" s="9"/>
      <c r="N359" s="11"/>
      <c r="O359" s="2"/>
      <c r="P359" s="65"/>
      <c r="Q359" s="5"/>
      <c r="R359" s="9"/>
      <c r="S359" s="9"/>
      <c r="T359" s="9"/>
      <c r="U359" s="5"/>
      <c r="V359" s="9"/>
      <c r="W359" s="17"/>
      <c r="X359" s="100"/>
      <c r="Y359" s="103"/>
      <c r="Z359" s="62"/>
      <c r="AA359" s="10"/>
      <c r="AB359" s="11"/>
      <c r="AD359" s="65"/>
      <c r="AE359" s="5"/>
      <c r="AF359" s="9"/>
      <c r="AG359" s="9"/>
      <c r="AH359" s="9"/>
      <c r="AI359" s="5"/>
      <c r="AJ359" s="9"/>
      <c r="AK359" s="17"/>
      <c r="AL359" s="100"/>
      <c r="AM359" s="103"/>
      <c r="AN359" s="62"/>
      <c r="AO359" s="10"/>
      <c r="AP359" s="11"/>
    </row>
    <row r="360" spans="1:42" ht="15" customHeight="1">
      <c r="A360" s="12"/>
      <c r="B360" s="8"/>
      <c r="C360" s="58"/>
      <c r="D360" s="9"/>
      <c r="E360" s="9"/>
      <c r="F360" s="9"/>
      <c r="G360" s="30" t="s">
        <v>24</v>
      </c>
      <c r="H360" s="26">
        <f>D358-H359</f>
        <v>43430</v>
      </c>
      <c r="I360" s="28">
        <f>H360/D356</f>
        <v>0.25820451843043996</v>
      </c>
      <c r="J360" s="28"/>
      <c r="K360" s="9"/>
      <c r="L360" s="9"/>
      <c r="M360" s="9"/>
      <c r="N360" s="11"/>
      <c r="O360" s="2"/>
      <c r="P360" s="65"/>
      <c r="Q360" s="5"/>
      <c r="R360" s="9"/>
      <c r="S360" s="26"/>
      <c r="T360" s="9"/>
      <c r="U360" s="5"/>
      <c r="V360" s="9"/>
      <c r="W360" s="17"/>
      <c r="X360" s="100"/>
      <c r="Y360" s="103"/>
      <c r="Z360" s="62"/>
      <c r="AA360" s="10"/>
      <c r="AB360" s="11"/>
      <c r="AD360" s="65"/>
      <c r="AE360" s="5"/>
      <c r="AF360" s="9"/>
      <c r="AG360" s="26"/>
      <c r="AH360" s="9"/>
      <c r="AI360" s="5"/>
      <c r="AJ360" s="9"/>
      <c r="AK360" s="17"/>
      <c r="AL360" s="100"/>
      <c r="AM360" s="103"/>
      <c r="AN360" s="62"/>
      <c r="AO360" s="10"/>
      <c r="AP360" s="11"/>
    </row>
    <row r="361" spans="1:42" ht="15" customHeight="1">
      <c r="A361" s="33"/>
      <c r="B361" s="32"/>
      <c r="C361" s="58"/>
      <c r="D361" s="9"/>
      <c r="E361" s="9"/>
      <c r="F361" s="9"/>
      <c r="G361" s="104"/>
      <c r="H361" s="106"/>
      <c r="I361" s="28"/>
      <c r="J361" s="28"/>
      <c r="K361" s="9"/>
      <c r="L361" s="9"/>
      <c r="M361" s="9"/>
      <c r="N361" s="11"/>
      <c r="O361" s="2"/>
      <c r="P361" s="65"/>
      <c r="Q361" s="5"/>
      <c r="R361" s="17"/>
      <c r="S361" s="111"/>
      <c r="T361" s="45"/>
      <c r="U361" s="5"/>
      <c r="V361" s="9"/>
      <c r="W361" s="17"/>
      <c r="X361" s="100"/>
      <c r="Y361" s="103"/>
      <c r="Z361" s="62"/>
      <c r="AA361" s="10"/>
      <c r="AB361" s="11"/>
      <c r="AD361" s="65"/>
      <c r="AE361" s="5"/>
      <c r="AF361" s="17"/>
      <c r="AG361" s="111"/>
      <c r="AH361" s="45"/>
      <c r="AI361" s="5"/>
      <c r="AJ361" s="9"/>
      <c r="AK361" s="17"/>
      <c r="AL361" s="100"/>
      <c r="AM361" s="103"/>
      <c r="AN361" s="62"/>
      <c r="AO361" s="10"/>
      <c r="AP361" s="11"/>
    </row>
    <row r="362" spans="1:42" ht="15" customHeight="1">
      <c r="A362" s="98"/>
      <c r="B362" s="99"/>
      <c r="C362" s="5"/>
      <c r="D362" s="9"/>
      <c r="E362" s="9"/>
      <c r="F362" s="9"/>
      <c r="G362" s="27"/>
      <c r="H362" s="17"/>
      <c r="I362" s="28"/>
      <c r="J362" s="28"/>
      <c r="K362" s="10"/>
      <c r="L362" s="10"/>
      <c r="M362" s="10"/>
      <c r="N362" s="11"/>
      <c r="O362" s="2"/>
      <c r="P362" s="12"/>
      <c r="Q362" s="9"/>
      <c r="R362" s="9"/>
      <c r="T362" s="9"/>
      <c r="U362" s="5"/>
      <c r="V362" s="9"/>
      <c r="W362" s="9"/>
      <c r="X362" s="41"/>
      <c r="Y362" s="67"/>
      <c r="Z362" s="10"/>
      <c r="AA362" s="10"/>
      <c r="AB362" s="11"/>
      <c r="AD362" s="12"/>
      <c r="AE362" s="9"/>
      <c r="AF362" s="9"/>
      <c r="AH362" s="9"/>
      <c r="AI362" s="5"/>
      <c r="AJ362" s="9"/>
      <c r="AK362" s="9"/>
      <c r="AL362" s="54"/>
      <c r="AM362" s="67"/>
      <c r="AN362" s="10"/>
      <c r="AO362" s="10"/>
      <c r="AP362" s="11"/>
    </row>
    <row r="363" spans="1:42" ht="15" customHeight="1">
      <c r="A363" s="191" t="s">
        <v>43</v>
      </c>
      <c r="B363" s="191"/>
      <c r="C363" s="192" t="s">
        <v>46</v>
      </c>
      <c r="D363" s="192"/>
      <c r="E363" s="192" t="s">
        <v>47</v>
      </c>
      <c r="F363" s="192"/>
      <c r="G363" s="102"/>
      <c r="H363" s="93"/>
      <c r="I363" s="101"/>
      <c r="J363" s="101"/>
      <c r="K363" s="10"/>
      <c r="L363" s="10"/>
      <c r="M363" s="10"/>
      <c r="N363" s="11"/>
      <c r="O363" s="2"/>
      <c r="P363" s="79"/>
      <c r="Q363" s="45"/>
      <c r="R363" s="9"/>
      <c r="S363" s="5"/>
      <c r="T363" s="9"/>
      <c r="U363" s="5"/>
      <c r="V363" s="9"/>
      <c r="W363" s="9"/>
      <c r="X363" s="41"/>
      <c r="Y363" s="67"/>
      <c r="Z363" s="10"/>
      <c r="AA363" s="10"/>
      <c r="AB363" s="11"/>
      <c r="AD363" s="79"/>
      <c r="AE363" s="45"/>
      <c r="AF363" s="9"/>
      <c r="AG363" s="5"/>
      <c r="AH363" s="9"/>
      <c r="AI363" s="5"/>
      <c r="AJ363" s="9"/>
      <c r="AK363" s="9"/>
      <c r="AL363" s="54"/>
      <c r="AM363" s="67"/>
      <c r="AN363" s="10"/>
      <c r="AO363" s="10"/>
      <c r="AP363" s="11"/>
    </row>
    <row r="364" spans="1:42">
      <c r="A364" s="193">
        <f>E357+S356+AG356</f>
        <v>864500</v>
      </c>
      <c r="B364" s="193"/>
      <c r="C364" s="194">
        <f>H359+Z355+AN355</f>
        <v>236215</v>
      </c>
      <c r="D364" s="194"/>
      <c r="E364" s="194">
        <f>I358+Z358+AN358</f>
        <v>128248</v>
      </c>
      <c r="F364" s="194"/>
      <c r="G364" s="84"/>
      <c r="H364" s="44"/>
      <c r="I364" s="28"/>
      <c r="J364" s="28"/>
      <c r="K364" s="10"/>
      <c r="L364" s="10"/>
      <c r="M364" s="10"/>
      <c r="N364" s="11"/>
      <c r="O364" s="2"/>
      <c r="P364" s="165" t="s">
        <v>26</v>
      </c>
      <c r="Q364" s="165"/>
      <c r="R364" s="29">
        <f>SUM(R299,R303,R307,R311,R315,R319,R324,R327,R331,R335,R339,R343,R347)*100</f>
        <v>70100</v>
      </c>
      <c r="S364" s="45"/>
      <c r="T364" s="9"/>
      <c r="U364" s="5">
        <f>R364/V364</f>
        <v>3186.3636363636365</v>
      </c>
      <c r="V364" s="29">
        <f>SUM(V299,V303,V307,V311,V315,V319,V324,V327,V331,V335,V339,V343,V347)</f>
        <v>22</v>
      </c>
      <c r="W364" s="9"/>
      <c r="X364" s="64" t="str">
        <f t="shared" ref="X364:Y367" si="383">X299</f>
        <v>キティ豹柄キーケース</v>
      </c>
      <c r="Y364" s="62">
        <f t="shared" si="383"/>
        <v>996</v>
      </c>
      <c r="Z364" s="29">
        <f>SUM(Z299,Z303,Z307,Z311,Z315,Z319,Z324,Z327,Z331,Z335,Z339,Z343,Z347)</f>
        <v>21912</v>
      </c>
      <c r="AA364" s="28">
        <f>Z364/R364</f>
        <v>0.3125820256776034</v>
      </c>
      <c r="AB364" s="11"/>
      <c r="AC364" s="16"/>
      <c r="AD364" s="165" t="s">
        <v>26</v>
      </c>
      <c r="AE364" s="165"/>
      <c r="AF364" s="29">
        <f>SUM(AF299,AF303,AF307,AF311,AF315,AF319,AF323,AF327,AF331,AF335,AF339,AF343,AF347)*100</f>
        <v>80500</v>
      </c>
      <c r="AG364" s="45"/>
      <c r="AH364" s="9"/>
      <c r="AI364" s="5">
        <f>AF364/AJ364</f>
        <v>8944.4444444444453</v>
      </c>
      <c r="AJ364" s="29">
        <f>SUM(AJ299,AJ303,AJ307,AJ311,AJ315,AJ319,AJ324,AJ327,AJ331,AJ335,AJ339,AJ343,AJ347)</f>
        <v>9</v>
      </c>
      <c r="AK364" s="9"/>
      <c r="AL364" s="61" t="str">
        <f t="shared" ref="AL364:AM367" si="384">AL299</f>
        <v>ゲーム機柄イヤホン</v>
      </c>
      <c r="AM364" s="62">
        <f t="shared" si="384"/>
        <v>1100</v>
      </c>
      <c r="AN364" s="29">
        <f>SUM(AN299,AN303,AN307,AN311,AN315,AN319,AN324,AN327,AN331,AN335,AN339,AN343,AN347)</f>
        <v>9850</v>
      </c>
      <c r="AO364" s="28">
        <f>AN364/AF364</f>
        <v>0.12236024844720497</v>
      </c>
      <c r="AP364" s="11"/>
    </row>
    <row r="365" spans="1:42">
      <c r="A365" s="190">
        <v>250000</v>
      </c>
      <c r="B365" s="190"/>
      <c r="C365" s="45"/>
      <c r="D365" s="105">
        <f>C364/A364</f>
        <v>0.27323886639676115</v>
      </c>
      <c r="E365" s="9"/>
      <c r="F365" s="9"/>
      <c r="G365" s="5"/>
      <c r="H365" s="9"/>
      <c r="I365" s="9"/>
      <c r="J365" s="9"/>
      <c r="K365" s="9"/>
      <c r="L365" s="9"/>
      <c r="M365" s="9"/>
      <c r="N365" s="11"/>
      <c r="O365" s="2"/>
      <c r="P365" s="165" t="s">
        <v>26</v>
      </c>
      <c r="Q365" s="165"/>
      <c r="R365" s="29">
        <f>SUM(R300,R304,R308,R312,R316,R320,R323,R328,R332,R336,R340,R344,R348)*100</f>
        <v>57100</v>
      </c>
      <c r="S365" s="45"/>
      <c r="T365" s="9"/>
      <c r="U365" s="5">
        <f>R365/V365</f>
        <v>3806.6666666666665</v>
      </c>
      <c r="V365" s="29">
        <f>SUM(V300,V304,V308,V312,V316,V320,V323,V328,V332,V336,V340,V344,V348)</f>
        <v>15</v>
      </c>
      <c r="W365" s="9"/>
      <c r="X365" s="64" t="str">
        <f t="shared" si="383"/>
        <v>サンリオケープポーチ</v>
      </c>
      <c r="Y365" s="62">
        <f t="shared" si="383"/>
        <v>0</v>
      </c>
      <c r="Z365" s="29">
        <f>SUM(Z300,Z304,Z308,Z312,Z316,Z320,Z323,Z328,Z332,Z336,Z340,Z344,Z348)</f>
        <v>2988</v>
      </c>
      <c r="AA365" s="28">
        <f>Z365/R365</f>
        <v>5.2329246935201398E-2</v>
      </c>
      <c r="AB365" s="11"/>
      <c r="AC365" s="1"/>
      <c r="AD365" s="165" t="s">
        <v>26</v>
      </c>
      <c r="AE365" s="165"/>
      <c r="AF365" s="29">
        <f>SUM(AF300,AF304,AF308,AF312,AF316,AF320,AF324,AF328,AF332,AF336,AF340,AF344,AF348)*100</f>
        <v>79900</v>
      </c>
      <c r="AG365" s="45"/>
      <c r="AH365" s="9"/>
      <c r="AI365" s="5">
        <f>AF365/AJ365</f>
        <v>13316.666666666666</v>
      </c>
      <c r="AJ365" s="29">
        <f>SUM(AJ300,AJ304,AJ308,AJ312,AJ316,AJ320,AJ323,AJ328,AJ332,AJ336,AJ340,AJ344,AJ348)</f>
        <v>6</v>
      </c>
      <c r="AK365" s="9"/>
      <c r="AL365" s="61" t="str">
        <f t="shared" si="384"/>
        <v>液晶ミニカメラ</v>
      </c>
      <c r="AM365" s="62">
        <f t="shared" si="384"/>
        <v>1075</v>
      </c>
      <c r="AN365" s="29">
        <f>SUM(AN300,AN304,AN308,AN312,AN316,AN320,AN323,AN328,AN332,AN336,AN340,AN344,AN348)</f>
        <v>6475</v>
      </c>
      <c r="AO365" s="28">
        <f>AN365/AF365</f>
        <v>8.1038798498122649E-2</v>
      </c>
      <c r="AP365" s="11"/>
    </row>
    <row r="366" spans="1:42">
      <c r="A366" s="95"/>
      <c r="B366" s="95"/>
      <c r="C366" s="45"/>
      <c r="D366" s="9"/>
      <c r="E366" s="9"/>
      <c r="F366" s="9"/>
      <c r="G366" s="5"/>
      <c r="H366" s="9"/>
      <c r="I366" s="9"/>
      <c r="J366" s="9"/>
      <c r="K366" s="9"/>
      <c r="L366" s="9"/>
      <c r="M366" s="9"/>
      <c r="N366" s="11"/>
      <c r="O366" s="2"/>
      <c r="P366" s="165" t="s">
        <v>26</v>
      </c>
      <c r="Q366" s="165"/>
      <c r="R366" s="29">
        <f>SUM(R301,R305,R309,R313,R317,R321,R325,R329,R333,R337,R341,R345,R349)*100</f>
        <v>141000</v>
      </c>
      <c r="S366" s="45"/>
      <c r="T366" s="9"/>
      <c r="U366" s="5">
        <f>R366/V366</f>
        <v>5875</v>
      </c>
      <c r="V366" s="29">
        <f>SUM(V301,V305,V309,V314,V317,V321,V325,V329,V333,V337,V341,V345,V349)</f>
        <v>24</v>
      </c>
      <c r="W366" s="9"/>
      <c r="X366" s="64" t="str">
        <f t="shared" si="383"/>
        <v>キティボアバンスクリップ</v>
      </c>
      <c r="Y366" s="62">
        <f t="shared" si="383"/>
        <v>1100</v>
      </c>
      <c r="Z366" s="29">
        <f>SUM(Z301,Z305,Z309,Z314,Z317,Z321,Z325,Z329,Z333,Z337,Z341,Z345,Z349)</f>
        <v>26400</v>
      </c>
      <c r="AA366" s="28">
        <f>Z366/R366</f>
        <v>0.18723404255319148</v>
      </c>
      <c r="AB366" s="11"/>
      <c r="AC366" s="1"/>
      <c r="AD366" s="165" t="s">
        <v>26</v>
      </c>
      <c r="AE366" s="165"/>
      <c r="AF366" s="29">
        <f>SUM(AF301,AF305,AF309,AF313,AF317,AF321,AF325,AF329,AF333,AF337,AF341,AF345,AF349)*100</f>
        <v>122300</v>
      </c>
      <c r="AG366" s="45"/>
      <c r="AH366" s="9"/>
      <c r="AI366" s="5">
        <f>AF366/AJ366</f>
        <v>1491.4634146341464</v>
      </c>
      <c r="AJ366" s="29">
        <f>SUM(AJ301,AJ305,AJ309,AJ314,AJ317,AJ321,AJ325,AJ329,AJ333,AJ337,AJ341,AJ345,AJ349)</f>
        <v>82</v>
      </c>
      <c r="AK366" s="9"/>
      <c r="AL366" s="61" t="str">
        <f t="shared" si="384"/>
        <v>ゲームアーク</v>
      </c>
      <c r="AM366" s="62">
        <f t="shared" si="384"/>
        <v>1100</v>
      </c>
      <c r="AN366" s="29">
        <f>SUM(AN301,AN305,AN309,AN314,AN317,AN321,AN325,AN329,AN333,AN337,AN341,AN345,AN349)</f>
        <v>85700</v>
      </c>
      <c r="AO366" s="28">
        <f>AN366/AF366</f>
        <v>0.70073589533932956</v>
      </c>
      <c r="AP366" s="11"/>
    </row>
    <row r="367" spans="1:42">
      <c r="A367" s="95"/>
      <c r="B367" s="95"/>
      <c r="C367" s="45"/>
      <c r="D367" s="9"/>
      <c r="E367" s="9"/>
      <c r="F367" s="9"/>
      <c r="G367" s="5"/>
      <c r="H367" s="9"/>
      <c r="I367" s="9"/>
      <c r="J367" s="9"/>
      <c r="K367" s="9"/>
      <c r="L367" s="9"/>
      <c r="M367" s="9"/>
      <c r="N367" s="11"/>
      <c r="O367" s="2"/>
      <c r="P367" s="165" t="s">
        <v>26</v>
      </c>
      <c r="Q367" s="165"/>
      <c r="R367" s="29">
        <f>SUM(R302,R306,R310,R314,R318,R322,R326,R330,R334,R338,R342,R346,R350)*100</f>
        <v>59100</v>
      </c>
      <c r="S367" s="45"/>
      <c r="T367" s="9"/>
      <c r="U367" s="5">
        <f>R367/V367</f>
        <v>4221.4285714285716</v>
      </c>
      <c r="V367" s="29">
        <f>SUM(V302,V306,V310,V313,V318,V322,V326,V330,V334,V338,V342,V346,V350)</f>
        <v>14</v>
      </c>
      <c r="W367" s="9"/>
      <c r="X367" s="64" t="str">
        <f t="shared" si="383"/>
        <v>ラブブキーホルダー</v>
      </c>
      <c r="Y367" s="62">
        <f t="shared" si="383"/>
        <v>400</v>
      </c>
      <c r="Z367" s="29">
        <f>SUM(Z302,Z306,Z310,Z313,Z318,Z322,Z326,Z330,Z334,Z338,Z342,Z346,Z350)</f>
        <v>12300</v>
      </c>
      <c r="AA367" s="28">
        <f>Z367/R367</f>
        <v>0.20812182741116753</v>
      </c>
      <c r="AB367" s="11"/>
      <c r="AC367" s="1"/>
      <c r="AD367" s="165" t="s">
        <v>26</v>
      </c>
      <c r="AE367" s="165"/>
      <c r="AF367" s="29">
        <f>SUM(AF302,AF306,AF310,AF314,AF318,AF322,AF326,AF330,AF334,AF338,AF342,AF346,AF350)*100</f>
        <v>86300</v>
      </c>
      <c r="AG367" s="45"/>
      <c r="AH367" s="9"/>
      <c r="AI367" s="5">
        <f>AF367/AJ367</f>
        <v>1659.6153846153845</v>
      </c>
      <c r="AJ367" s="29">
        <f>SUM(AJ302,AJ306,AJ310,AJ313,AJ318,AJ322,AJ326,AJ330,AJ334,AJ338,AJ342,AJ346,AJ350)</f>
        <v>52</v>
      </c>
      <c r="AK367" s="9"/>
      <c r="AL367" s="61" t="str">
        <f t="shared" si="384"/>
        <v>AIモンスターラバー</v>
      </c>
      <c r="AM367" s="62">
        <f t="shared" si="384"/>
        <v>200</v>
      </c>
      <c r="AN367" s="29">
        <f>SUM(AN302,AN306,AN310,AN313,AN318,AN322,AN326,AN330,AN334,AN338,AN342,AN346,AN350)</f>
        <v>13100</v>
      </c>
      <c r="AO367" s="28">
        <f>AN367/AF367</f>
        <v>0.15179606025492468</v>
      </c>
      <c r="AP367" s="11"/>
    </row>
    <row r="368" spans="1:42">
      <c r="A368" s="95"/>
      <c r="B368" s="95"/>
      <c r="C368" s="45"/>
      <c r="D368" s="9"/>
      <c r="E368" s="9"/>
      <c r="F368" s="9"/>
      <c r="G368" s="5"/>
      <c r="H368" s="9"/>
      <c r="I368" s="9"/>
      <c r="J368" s="9"/>
      <c r="K368" s="9"/>
      <c r="L368" s="9"/>
      <c r="M368" s="9"/>
      <c r="N368" s="11"/>
      <c r="O368" s="2"/>
      <c r="P368" s="12"/>
      <c r="Q368" s="5" t="s">
        <v>17</v>
      </c>
      <c r="R368" s="9">
        <f>SUM(R364:R367)</f>
        <v>327300</v>
      </c>
      <c r="S368" s="45"/>
      <c r="T368" s="9"/>
      <c r="U368" s="9"/>
      <c r="V368" s="9">
        <f>SUM(V364:V367)</f>
        <v>75</v>
      </c>
      <c r="W368" s="9"/>
      <c r="X368" s="163" t="s">
        <v>28</v>
      </c>
      <c r="Y368" s="163"/>
      <c r="Z368" s="44">
        <f>SUM(Z364:Z367)</f>
        <v>63600</v>
      </c>
      <c r="AA368" s="68">
        <f>Z368/R368</f>
        <v>0.19431714023831348</v>
      </c>
      <c r="AB368" s="69"/>
      <c r="AC368" s="1"/>
      <c r="AD368" s="12"/>
      <c r="AE368" s="5" t="s">
        <v>17</v>
      </c>
      <c r="AF368" s="9">
        <f>SUM(AF364:AF367)</f>
        <v>369000</v>
      </c>
      <c r="AG368" s="45"/>
      <c r="AH368" s="9"/>
      <c r="AI368" s="9"/>
      <c r="AJ368" s="9">
        <f>SUM(AJ364:AJ367)</f>
        <v>149</v>
      </c>
      <c r="AK368" s="9"/>
      <c r="AL368" s="163" t="s">
        <v>28</v>
      </c>
      <c r="AM368" s="163"/>
      <c r="AN368" s="44">
        <f>SUM(AN364:AN367)</f>
        <v>115125</v>
      </c>
      <c r="AO368" s="68">
        <f>AN368/AF368</f>
        <v>0.31199186991869921</v>
      </c>
      <c r="AP368" s="11"/>
    </row>
    <row r="369" spans="1:42">
      <c r="A369" s="14"/>
      <c r="B369" s="76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2"/>
      <c r="P369" s="33"/>
      <c r="Q369" s="2"/>
      <c r="R369" s="2"/>
      <c r="S369" s="2"/>
      <c r="T369" s="2"/>
      <c r="U369" s="2"/>
      <c r="V369" s="2"/>
      <c r="W369" s="2"/>
      <c r="X369" s="43"/>
      <c r="Y369" s="2"/>
      <c r="Z369" s="2"/>
      <c r="AA369" s="2"/>
      <c r="AB369" s="42"/>
      <c r="AC369" s="1"/>
      <c r="AD369" s="33"/>
      <c r="AE369" s="2"/>
      <c r="AF369" s="2"/>
      <c r="AG369" s="2"/>
      <c r="AH369" s="2"/>
      <c r="AI369" s="2"/>
      <c r="AJ369" s="2"/>
      <c r="AK369" s="2"/>
      <c r="AL369" s="55"/>
      <c r="AM369" s="2"/>
      <c r="AN369" s="2"/>
      <c r="AO369" s="2"/>
      <c r="AP369" s="42"/>
    </row>
    <row r="370" spans="1:42" ht="15" customHeight="1">
      <c r="A370" s="33"/>
      <c r="B370" s="3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4"/>
      <c r="O370" s="2"/>
      <c r="P370" s="33"/>
      <c r="Q370" s="2"/>
      <c r="R370" s="2"/>
      <c r="S370" s="2"/>
      <c r="T370" s="2"/>
      <c r="U370" s="2"/>
      <c r="V370" s="2"/>
      <c r="W370" s="2"/>
      <c r="X370" s="43"/>
      <c r="Y370" s="2"/>
      <c r="Z370" s="2"/>
      <c r="AA370" s="2"/>
      <c r="AB370" s="42"/>
      <c r="AC370" s="2"/>
      <c r="AD370" s="33"/>
      <c r="AE370" s="2"/>
      <c r="AF370" s="2"/>
      <c r="AG370" s="2"/>
      <c r="AH370" s="2"/>
      <c r="AI370" s="2"/>
      <c r="AJ370" s="2"/>
      <c r="AK370" s="2"/>
      <c r="AL370" s="55"/>
      <c r="AM370" s="2"/>
      <c r="AN370" s="2"/>
      <c r="AO370" s="2"/>
      <c r="AP370" s="42"/>
    </row>
    <row r="371" spans="1:42">
      <c r="A371" s="188" t="s">
        <v>40</v>
      </c>
      <c r="B371" s="188"/>
      <c r="C371" s="189" t="s">
        <v>41</v>
      </c>
      <c r="D371" s="189"/>
      <c r="E371" s="36"/>
      <c r="F371" s="36"/>
      <c r="G371" s="59"/>
      <c r="H371" s="59"/>
      <c r="I371" s="59"/>
      <c r="J371" s="59"/>
      <c r="K371" s="59"/>
      <c r="L371" s="59"/>
      <c r="M371" s="59"/>
      <c r="N371" s="60"/>
      <c r="O371" s="56"/>
      <c r="P371" s="185" t="s">
        <v>39</v>
      </c>
      <c r="Q371" s="185"/>
      <c r="R371" s="185"/>
      <c r="S371" s="184" t="s">
        <v>38</v>
      </c>
      <c r="T371" s="184"/>
      <c r="U371" s="71"/>
      <c r="V371" s="71"/>
      <c r="W371" s="71"/>
      <c r="X371" s="72"/>
      <c r="Y371" s="71"/>
      <c r="Z371" s="71"/>
      <c r="AA371" s="71"/>
      <c r="AB371" s="73"/>
      <c r="AC371" s="74"/>
      <c r="AD371" s="185" t="s">
        <v>39</v>
      </c>
      <c r="AE371" s="185"/>
      <c r="AF371" s="185"/>
      <c r="AG371" s="184" t="s">
        <v>37</v>
      </c>
      <c r="AH371" s="184"/>
      <c r="AI371" s="71"/>
      <c r="AJ371" s="71"/>
      <c r="AK371" s="71"/>
      <c r="AL371" s="75"/>
      <c r="AM371" s="71"/>
      <c r="AN371" s="71"/>
      <c r="AO371" s="71"/>
      <c r="AP371" s="73"/>
    </row>
    <row r="372" spans="1:42">
      <c r="A372" s="7" t="s">
        <v>0</v>
      </c>
      <c r="B372" s="112" t="s">
        <v>34</v>
      </c>
      <c r="C372" s="5" t="s">
        <v>1</v>
      </c>
      <c r="D372" s="5" t="s">
        <v>2</v>
      </c>
      <c r="E372" s="6" t="s">
        <v>3</v>
      </c>
      <c r="F372" s="5" t="s">
        <v>2</v>
      </c>
      <c r="G372" s="5" t="s">
        <v>4</v>
      </c>
      <c r="H372" s="5" t="s">
        <v>5</v>
      </c>
      <c r="I372" s="5" t="s">
        <v>6</v>
      </c>
      <c r="J372" s="5"/>
      <c r="K372" s="5" t="s">
        <v>7</v>
      </c>
      <c r="L372" s="5" t="s">
        <v>8</v>
      </c>
      <c r="M372" s="5" t="s">
        <v>9</v>
      </c>
      <c r="N372" s="5" t="s">
        <v>10</v>
      </c>
      <c r="O372" s="2"/>
      <c r="P372" s="7" t="s">
        <v>0</v>
      </c>
      <c r="Q372" s="5" t="s">
        <v>1</v>
      </c>
      <c r="R372" s="5" t="s">
        <v>2</v>
      </c>
      <c r="S372" s="6" t="s">
        <v>3</v>
      </c>
      <c r="T372" s="5" t="s">
        <v>2</v>
      </c>
      <c r="U372" s="5" t="s">
        <v>4</v>
      </c>
      <c r="V372" s="5" t="s">
        <v>5</v>
      </c>
      <c r="W372" s="5" t="s">
        <v>6</v>
      </c>
      <c r="X372" s="6" t="s">
        <v>11</v>
      </c>
      <c r="Y372" s="5" t="s">
        <v>7</v>
      </c>
      <c r="Z372" s="5" t="s">
        <v>5</v>
      </c>
      <c r="AA372" s="5" t="s">
        <v>12</v>
      </c>
      <c r="AB372" s="5" t="s">
        <v>10</v>
      </c>
      <c r="AC372" s="3"/>
      <c r="AD372" s="7" t="s">
        <v>0</v>
      </c>
      <c r="AE372" s="5" t="s">
        <v>1</v>
      </c>
      <c r="AF372" s="5" t="s">
        <v>2</v>
      </c>
      <c r="AG372" s="6" t="s">
        <v>3</v>
      </c>
      <c r="AH372" s="5" t="s">
        <v>2</v>
      </c>
      <c r="AI372" s="5" t="s">
        <v>4</v>
      </c>
      <c r="AJ372" s="5" t="s">
        <v>5</v>
      </c>
      <c r="AK372" s="5" t="s">
        <v>6</v>
      </c>
      <c r="AL372" s="46" t="s">
        <v>11</v>
      </c>
      <c r="AM372" s="5" t="s">
        <v>7</v>
      </c>
      <c r="AN372" s="5" t="s">
        <v>5</v>
      </c>
      <c r="AO372" s="5" t="s">
        <v>12</v>
      </c>
      <c r="AP372" s="5" t="s">
        <v>10</v>
      </c>
    </row>
    <row r="373" spans="1:42">
      <c r="A373" s="12">
        <v>46011</v>
      </c>
      <c r="B373" s="8">
        <v>574</v>
      </c>
      <c r="C373" s="13">
        <v>30807</v>
      </c>
      <c r="D373" s="9">
        <v>130</v>
      </c>
      <c r="E373" s="9">
        <v>977</v>
      </c>
      <c r="F373" s="9">
        <v>0</v>
      </c>
      <c r="G373" s="9">
        <v>8</v>
      </c>
      <c r="H373" s="9">
        <v>0</v>
      </c>
      <c r="I373" s="9">
        <v>2</v>
      </c>
      <c r="J373" s="44"/>
      <c r="K373" s="44">
        <v>715</v>
      </c>
      <c r="L373" s="9">
        <v>0</v>
      </c>
      <c r="M373" s="10">
        <v>0</v>
      </c>
      <c r="N373" s="70" t="s">
        <v>199</v>
      </c>
      <c r="O373" s="2"/>
      <c r="P373" s="12">
        <v>46011</v>
      </c>
      <c r="Q373" s="44">
        <v>10325</v>
      </c>
      <c r="R373" s="44">
        <v>60</v>
      </c>
      <c r="S373" s="44">
        <v>276</v>
      </c>
      <c r="T373" s="44">
        <v>2</v>
      </c>
      <c r="U373" s="44">
        <v>12</v>
      </c>
      <c r="V373" s="44">
        <v>2</v>
      </c>
      <c r="W373" s="44">
        <v>0</v>
      </c>
      <c r="X373" s="64" t="s">
        <v>154</v>
      </c>
      <c r="Y373" s="62">
        <v>996</v>
      </c>
      <c r="Z373" s="44">
        <v>1992</v>
      </c>
      <c r="AA373" s="63">
        <v>0.33200000000000002</v>
      </c>
      <c r="AB373" s="11"/>
      <c r="AC373" s="1"/>
      <c r="AD373" s="12">
        <v>46011</v>
      </c>
      <c r="AE373" s="44">
        <v>7656</v>
      </c>
      <c r="AF373" s="44">
        <v>30</v>
      </c>
      <c r="AG373" s="44">
        <v>224</v>
      </c>
      <c r="AH373" s="44">
        <v>1</v>
      </c>
      <c r="AI373" s="44">
        <v>18</v>
      </c>
      <c r="AJ373" s="44">
        <v>1</v>
      </c>
      <c r="AK373" s="44">
        <v>0</v>
      </c>
      <c r="AL373" s="61" t="s">
        <v>185</v>
      </c>
      <c r="AM373" s="62">
        <v>358</v>
      </c>
      <c r="AN373" s="44">
        <v>358</v>
      </c>
      <c r="AO373" s="63">
        <v>0.11933333333333333</v>
      </c>
      <c r="AP373" s="11"/>
    </row>
    <row r="374" spans="1:42">
      <c r="A374" s="12">
        <v>46014</v>
      </c>
      <c r="B374" s="8">
        <f>IF(A374="","",SUM(D374)+SUM(R377:R380)+SUM(AF377:AF380))</f>
        <v>861</v>
      </c>
      <c r="C374" s="13">
        <v>30959</v>
      </c>
      <c r="D374" s="9">
        <f t="shared" ref="D374:D382" si="385">IF(C374="","",C374-C373)</f>
        <v>152</v>
      </c>
      <c r="E374" s="9">
        <v>983</v>
      </c>
      <c r="F374" s="9">
        <f t="shared" ref="F374:F382" si="386">IF(E374="","",E374-E373)</f>
        <v>6</v>
      </c>
      <c r="G374" s="9">
        <v>4</v>
      </c>
      <c r="H374" s="9">
        <f t="shared" ref="H374:H382" si="387">IF(G374="","",G373+I373-G374)</f>
        <v>6</v>
      </c>
      <c r="I374" s="9">
        <v>4</v>
      </c>
      <c r="J374" s="44"/>
      <c r="K374" s="44">
        <f t="shared" ref="K374:K382" si="388">IF(C374="","",K373)</f>
        <v>715</v>
      </c>
      <c r="L374" s="9">
        <f t="shared" ref="L374:L382" si="389">IF(K374="","",H374*K374)</f>
        <v>4290</v>
      </c>
      <c r="M374" s="10">
        <f t="shared" ref="M374:M382" si="390">IF(L374="","",L374/(D374*100))</f>
        <v>0.28223684210526317</v>
      </c>
      <c r="N374" s="34" t="s">
        <v>200</v>
      </c>
      <c r="O374" s="2"/>
      <c r="P374" s="12"/>
      <c r="Q374" s="9">
        <v>10193</v>
      </c>
      <c r="R374" s="9">
        <v>63</v>
      </c>
      <c r="S374" s="9">
        <v>232</v>
      </c>
      <c r="T374" s="9">
        <v>0</v>
      </c>
      <c r="U374" s="9">
        <v>6</v>
      </c>
      <c r="V374" s="9">
        <v>0</v>
      </c>
      <c r="W374" s="9">
        <v>2</v>
      </c>
      <c r="X374" s="64" t="s">
        <v>195</v>
      </c>
      <c r="Y374" s="44">
        <v>660</v>
      </c>
      <c r="Z374" s="9">
        <v>0</v>
      </c>
      <c r="AA374" s="10">
        <v>0</v>
      </c>
      <c r="AB374" s="11" t="s">
        <v>197</v>
      </c>
      <c r="AC374" s="1"/>
      <c r="AD374" s="12"/>
      <c r="AE374" s="9">
        <v>10279</v>
      </c>
      <c r="AF374" s="9">
        <v>58</v>
      </c>
      <c r="AG374" s="9">
        <v>188</v>
      </c>
      <c r="AH374" s="9">
        <v>0</v>
      </c>
      <c r="AI374" s="9">
        <v>11</v>
      </c>
      <c r="AJ374" s="9">
        <v>0</v>
      </c>
      <c r="AK374" s="9">
        <v>0</v>
      </c>
      <c r="AL374" s="47" t="s">
        <v>155</v>
      </c>
      <c r="AM374" s="45">
        <v>1075</v>
      </c>
      <c r="AN374" s="9">
        <v>0</v>
      </c>
      <c r="AO374" s="10">
        <v>0</v>
      </c>
      <c r="AP374" s="11"/>
    </row>
    <row r="375" spans="1:42">
      <c r="A375" s="12">
        <v>46018</v>
      </c>
      <c r="B375" s="8">
        <f>IF(A375="","",SUM(D375)+SUM(R381:R384)+SUM(AF381:AF384))</f>
        <v>1330</v>
      </c>
      <c r="C375" s="13">
        <v>31199</v>
      </c>
      <c r="D375" s="9">
        <f t="shared" si="385"/>
        <v>240</v>
      </c>
      <c r="E375" s="9">
        <v>987</v>
      </c>
      <c r="F375" s="9">
        <f t="shared" si="386"/>
        <v>4</v>
      </c>
      <c r="G375" s="9">
        <v>2</v>
      </c>
      <c r="H375" s="9">
        <f t="shared" si="387"/>
        <v>6</v>
      </c>
      <c r="I375" s="9">
        <v>6</v>
      </c>
      <c r="J375" s="44"/>
      <c r="K375" s="44">
        <f t="shared" si="388"/>
        <v>715</v>
      </c>
      <c r="L375" s="9">
        <f t="shared" si="389"/>
        <v>4290</v>
      </c>
      <c r="M375" s="10">
        <f t="shared" si="390"/>
        <v>0.17874999999999999</v>
      </c>
      <c r="N375" s="34" t="s">
        <v>211</v>
      </c>
      <c r="O375" s="2"/>
      <c r="P375" s="12"/>
      <c r="Q375" s="9">
        <v>10747</v>
      </c>
      <c r="R375" s="81">
        <v>19</v>
      </c>
      <c r="S375" s="9">
        <v>394</v>
      </c>
      <c r="T375" s="9">
        <v>3</v>
      </c>
      <c r="U375" s="9">
        <v>23</v>
      </c>
      <c r="V375" s="9">
        <v>3</v>
      </c>
      <c r="W375" s="9">
        <v>3</v>
      </c>
      <c r="X375" s="15" t="s">
        <v>150</v>
      </c>
      <c r="Y375" s="45">
        <v>400</v>
      </c>
      <c r="Z375" s="9">
        <v>1200</v>
      </c>
      <c r="AA375" s="10">
        <v>0.63157894736842102</v>
      </c>
      <c r="AB375" s="11"/>
      <c r="AC375" s="1"/>
      <c r="AD375" s="12"/>
      <c r="AE375" s="9">
        <v>10570</v>
      </c>
      <c r="AF375" s="81">
        <v>14</v>
      </c>
      <c r="AG375" s="9">
        <v>420</v>
      </c>
      <c r="AH375" s="9">
        <v>0</v>
      </c>
      <c r="AI375" s="9">
        <v>10</v>
      </c>
      <c r="AJ375" s="9">
        <v>0</v>
      </c>
      <c r="AK375" s="9">
        <v>0</v>
      </c>
      <c r="AL375" s="47" t="s">
        <v>188</v>
      </c>
      <c r="AM375" s="45">
        <v>1100</v>
      </c>
      <c r="AN375" s="9">
        <v>0</v>
      </c>
      <c r="AO375" s="10">
        <v>0</v>
      </c>
      <c r="AP375" s="11" t="s">
        <v>198</v>
      </c>
    </row>
    <row r="376" spans="1:42" ht="15" customHeight="1" thickBot="1">
      <c r="A376" s="12">
        <v>46020</v>
      </c>
      <c r="B376" s="8">
        <f>IF(A376="","",SUM(D376)+SUM(R385:R388)+SUM(AF385:AF388))</f>
        <v>796</v>
      </c>
      <c r="C376" s="13">
        <v>31371</v>
      </c>
      <c r="D376" s="9">
        <f t="shared" si="385"/>
        <v>172</v>
      </c>
      <c r="E376" s="9">
        <v>993</v>
      </c>
      <c r="F376" s="9">
        <f t="shared" si="386"/>
        <v>6</v>
      </c>
      <c r="G376" s="9">
        <v>2</v>
      </c>
      <c r="H376" s="9">
        <f t="shared" si="387"/>
        <v>6</v>
      </c>
      <c r="I376" s="9">
        <v>8</v>
      </c>
      <c r="J376" s="44"/>
      <c r="K376" s="44">
        <f t="shared" si="388"/>
        <v>715</v>
      </c>
      <c r="L376" s="9">
        <f t="shared" si="389"/>
        <v>4290</v>
      </c>
      <c r="M376" s="10">
        <f t="shared" si="390"/>
        <v>0.24941860465116278</v>
      </c>
      <c r="N376" s="11" t="s">
        <v>210</v>
      </c>
      <c r="O376" s="2"/>
      <c r="P376" s="18"/>
      <c r="Q376" s="21">
        <v>12946</v>
      </c>
      <c r="R376" s="19">
        <v>174</v>
      </c>
      <c r="S376" s="19">
        <v>359</v>
      </c>
      <c r="T376" s="19">
        <v>0</v>
      </c>
      <c r="U376" s="19">
        <v>17</v>
      </c>
      <c r="V376" s="19">
        <v>0</v>
      </c>
      <c r="W376" s="19">
        <v>0</v>
      </c>
      <c r="X376" s="22" t="s">
        <v>149</v>
      </c>
      <c r="Y376" s="19">
        <v>400</v>
      </c>
      <c r="Z376" s="19">
        <v>0</v>
      </c>
      <c r="AA376" s="20">
        <v>0</v>
      </c>
      <c r="AB376" s="11"/>
      <c r="AC376" s="1"/>
      <c r="AD376" s="18"/>
      <c r="AE376" s="19">
        <v>13243</v>
      </c>
      <c r="AF376" s="19">
        <v>56</v>
      </c>
      <c r="AG376" s="19">
        <v>442</v>
      </c>
      <c r="AH376" s="19">
        <v>3</v>
      </c>
      <c r="AI376" s="19">
        <v>96</v>
      </c>
      <c r="AJ376" s="19">
        <v>4</v>
      </c>
      <c r="AK376" s="19">
        <v>0</v>
      </c>
      <c r="AL376" s="48" t="s">
        <v>95</v>
      </c>
      <c r="AM376" s="19">
        <v>200</v>
      </c>
      <c r="AN376" s="19">
        <v>800</v>
      </c>
      <c r="AO376" s="20">
        <v>0.14285714285714285</v>
      </c>
      <c r="AP376" s="11"/>
    </row>
    <row r="377" spans="1:42" ht="15" customHeight="1" thickTop="1">
      <c r="A377" s="12">
        <v>46022</v>
      </c>
      <c r="B377" s="8">
        <f>IF(A377="","",SUM(D377)+SUM(R389:R392)+SUM(AF389:AF392))</f>
        <v>960</v>
      </c>
      <c r="C377" s="13">
        <v>31559</v>
      </c>
      <c r="D377" s="9">
        <f t="shared" si="385"/>
        <v>188</v>
      </c>
      <c r="E377" s="9">
        <v>995</v>
      </c>
      <c r="F377" s="9">
        <f t="shared" si="386"/>
        <v>2</v>
      </c>
      <c r="G377" s="9">
        <v>8</v>
      </c>
      <c r="H377" s="9">
        <f t="shared" si="387"/>
        <v>2</v>
      </c>
      <c r="I377" s="9">
        <v>6</v>
      </c>
      <c r="J377" s="44"/>
      <c r="K377" s="44">
        <f t="shared" si="388"/>
        <v>715</v>
      </c>
      <c r="L377" s="9">
        <f t="shared" si="389"/>
        <v>1430</v>
      </c>
      <c r="M377" s="10">
        <f t="shared" si="390"/>
        <v>7.6063829787234041E-2</v>
      </c>
      <c r="N377" s="11"/>
      <c r="O377" s="2"/>
      <c r="P377" s="65">
        <f>IF($A374="","",$A374)</f>
        <v>46014</v>
      </c>
      <c r="Q377" s="44">
        <v>10362</v>
      </c>
      <c r="R377" s="113">
        <f t="shared" ref="R377:R412" si="391">IF(Q377="","",Q377-Q373)</f>
        <v>37</v>
      </c>
      <c r="S377" s="44">
        <v>276</v>
      </c>
      <c r="T377" s="23">
        <f t="shared" ref="T377:T412" si="392">IF(S377="","",S377-S373)</f>
        <v>0</v>
      </c>
      <c r="U377" s="44">
        <v>12</v>
      </c>
      <c r="V377" s="44">
        <f t="shared" ref="V377:V412" si="393">IF(U377="","",U373+W373-U377)</f>
        <v>0</v>
      </c>
      <c r="W377" s="66">
        <v>-1</v>
      </c>
      <c r="X377" s="61" t="str">
        <f t="shared" ref="X377:Y380" si="394">IF(Q377="","",X373)</f>
        <v>キティヒョウ柄マスコット</v>
      </c>
      <c r="Y377" s="62">
        <f t="shared" si="394"/>
        <v>996</v>
      </c>
      <c r="Z377" s="23">
        <f t="shared" ref="Z377:Z412" si="395">IF(U377="","",V377*Y377)</f>
        <v>0</v>
      </c>
      <c r="AA377" s="24">
        <f t="shared" ref="AA377:AA412" si="396">IF(V377="","",Z377/(R377*100))</f>
        <v>0</v>
      </c>
      <c r="AB377" s="34" t="s">
        <v>202</v>
      </c>
      <c r="AC377" s="1"/>
      <c r="AD377" s="65">
        <f>IF($A374="","",$A374)</f>
        <v>46014</v>
      </c>
      <c r="AE377" s="44">
        <v>7713</v>
      </c>
      <c r="AF377" s="44">
        <f t="shared" ref="AF377:AF412" si="397">IF(AE377="","",AE377-AE373)</f>
        <v>57</v>
      </c>
      <c r="AG377" s="44">
        <v>226</v>
      </c>
      <c r="AH377" s="23">
        <f t="shared" ref="AH377:AH412" si="398">IF(AG377="","",AG377-AG373)</f>
        <v>2</v>
      </c>
      <c r="AI377" s="44">
        <v>16</v>
      </c>
      <c r="AJ377" s="44">
        <f t="shared" ref="AJ377:AJ412" si="399">IF(AI377="","",AI373+AK373-AI377)</f>
        <v>2</v>
      </c>
      <c r="AK377" s="66">
        <v>-8</v>
      </c>
      <c r="AL377" s="61" t="str">
        <f t="shared" ref="AL377:AM380" si="400">IF(AE377="","",AL373)</f>
        <v>サンリオクリスマスキーケース</v>
      </c>
      <c r="AM377" s="62">
        <f t="shared" si="400"/>
        <v>358</v>
      </c>
      <c r="AN377" s="23">
        <f t="shared" ref="AN377:AN412" si="401">IF(AI377="","",AJ377*AM377)</f>
        <v>716</v>
      </c>
      <c r="AO377" s="24">
        <f t="shared" ref="AO377:AO412" si="402">IF(AJ377="","",AN377/(AF377*100))</f>
        <v>0.12561403508771929</v>
      </c>
      <c r="AP377" s="11" t="s">
        <v>203</v>
      </c>
    </row>
    <row r="378" spans="1:42">
      <c r="A378" s="12">
        <v>46024</v>
      </c>
      <c r="B378" s="8">
        <f>IF(A378="","",SUM(D378)+SUM(R393:R396)+SUM(AF393:AF396))</f>
        <v>1005</v>
      </c>
      <c r="C378" s="13">
        <v>31828</v>
      </c>
      <c r="D378" s="9">
        <f t="shared" si="385"/>
        <v>269</v>
      </c>
      <c r="E378" s="9">
        <v>1001</v>
      </c>
      <c r="F378" s="9">
        <f t="shared" si="386"/>
        <v>6</v>
      </c>
      <c r="G378" s="9">
        <v>4</v>
      </c>
      <c r="H378" s="9">
        <f t="shared" si="387"/>
        <v>10</v>
      </c>
      <c r="I378" s="9">
        <v>5</v>
      </c>
      <c r="J378" s="44"/>
      <c r="K378" s="44">
        <f t="shared" si="388"/>
        <v>715</v>
      </c>
      <c r="L378" s="9">
        <f t="shared" si="389"/>
        <v>7150</v>
      </c>
      <c r="M378" s="10">
        <f t="shared" si="390"/>
        <v>0.26579925650557623</v>
      </c>
      <c r="N378" s="11"/>
      <c r="O378" s="2"/>
      <c r="P378" s="12"/>
      <c r="Q378" s="9">
        <v>10258</v>
      </c>
      <c r="R378" s="44">
        <f t="shared" si="391"/>
        <v>65</v>
      </c>
      <c r="S378" s="9">
        <v>233</v>
      </c>
      <c r="T378" s="9">
        <f t="shared" si="392"/>
        <v>1</v>
      </c>
      <c r="U378" s="9">
        <v>7</v>
      </c>
      <c r="V378" s="9">
        <f t="shared" si="393"/>
        <v>1</v>
      </c>
      <c r="W378" s="13">
        <v>0</v>
      </c>
      <c r="X378" s="47" t="str">
        <f t="shared" si="394"/>
        <v>サンリオケープポーチ</v>
      </c>
      <c r="Y378" s="45">
        <f t="shared" si="394"/>
        <v>660</v>
      </c>
      <c r="Z378" s="9">
        <f t="shared" si="395"/>
        <v>660</v>
      </c>
      <c r="AA378" s="10">
        <f t="shared" si="396"/>
        <v>0.10153846153846154</v>
      </c>
      <c r="AB378" s="11"/>
      <c r="AC378" s="1"/>
      <c r="AD378" s="12"/>
      <c r="AE378" s="9">
        <v>10349</v>
      </c>
      <c r="AF378" s="44">
        <f t="shared" si="397"/>
        <v>70</v>
      </c>
      <c r="AG378" s="9">
        <v>189</v>
      </c>
      <c r="AH378" s="9">
        <f t="shared" si="398"/>
        <v>1</v>
      </c>
      <c r="AI378" s="9">
        <v>10</v>
      </c>
      <c r="AJ378" s="9">
        <f t="shared" si="399"/>
        <v>1</v>
      </c>
      <c r="AK378" s="13">
        <v>0</v>
      </c>
      <c r="AL378" s="47" t="str">
        <f t="shared" si="400"/>
        <v>液晶ミニカメラ</v>
      </c>
      <c r="AM378" s="45">
        <f t="shared" si="400"/>
        <v>1075</v>
      </c>
      <c r="AN378" s="9">
        <f t="shared" si="401"/>
        <v>1075</v>
      </c>
      <c r="AO378" s="10">
        <f t="shared" si="402"/>
        <v>0.15357142857142858</v>
      </c>
      <c r="AP378" s="11"/>
    </row>
    <row r="379" spans="1:42">
      <c r="A379" s="12">
        <v>46026</v>
      </c>
      <c r="B379" s="8">
        <f>IF(A379="","",SUM(D379)+SUM(R397:R400)+SUM(AF397:AF400))</f>
        <v>1270</v>
      </c>
      <c r="C379" s="13">
        <v>32086</v>
      </c>
      <c r="D379" s="9">
        <f t="shared" si="385"/>
        <v>258</v>
      </c>
      <c r="E379" s="9">
        <v>1008</v>
      </c>
      <c r="F379" s="9">
        <f t="shared" si="386"/>
        <v>7</v>
      </c>
      <c r="G379" s="9">
        <v>2</v>
      </c>
      <c r="H379" s="9">
        <f t="shared" si="387"/>
        <v>7</v>
      </c>
      <c r="I379" s="9">
        <v>11</v>
      </c>
      <c r="J379" s="44"/>
      <c r="K379" s="44">
        <f t="shared" si="388"/>
        <v>715</v>
      </c>
      <c r="L379" s="9">
        <f t="shared" si="389"/>
        <v>5005</v>
      </c>
      <c r="M379" s="10">
        <f t="shared" si="390"/>
        <v>0.19399224806201551</v>
      </c>
      <c r="N379" s="11"/>
      <c r="O379" s="2"/>
      <c r="P379" s="12"/>
      <c r="Q379" s="9">
        <v>10828</v>
      </c>
      <c r="R379" s="52">
        <f t="shared" si="391"/>
        <v>81</v>
      </c>
      <c r="S379" s="9">
        <v>399</v>
      </c>
      <c r="T379" s="9">
        <f t="shared" si="392"/>
        <v>5</v>
      </c>
      <c r="U379" s="26">
        <v>22</v>
      </c>
      <c r="V379" s="26">
        <f t="shared" si="393"/>
        <v>4</v>
      </c>
      <c r="W379" s="38">
        <v>8</v>
      </c>
      <c r="X379" s="47" t="str">
        <f t="shared" si="394"/>
        <v>ラブブマスコット</v>
      </c>
      <c r="Y379" s="9">
        <f t="shared" si="394"/>
        <v>400</v>
      </c>
      <c r="Z379" s="9">
        <f t="shared" si="395"/>
        <v>1600</v>
      </c>
      <c r="AA379" s="10">
        <f t="shared" si="396"/>
        <v>0.19753086419753085</v>
      </c>
      <c r="AB379" s="11"/>
      <c r="AC379" s="1"/>
      <c r="AD379" s="12"/>
      <c r="AE379" s="9">
        <v>10640</v>
      </c>
      <c r="AF379" s="52">
        <f t="shared" si="397"/>
        <v>70</v>
      </c>
      <c r="AG379" s="9">
        <v>425</v>
      </c>
      <c r="AH379" s="9">
        <f t="shared" si="398"/>
        <v>5</v>
      </c>
      <c r="AI379" s="26">
        <v>5</v>
      </c>
      <c r="AJ379" s="26">
        <f t="shared" si="399"/>
        <v>5</v>
      </c>
      <c r="AK379" s="38">
        <v>6</v>
      </c>
      <c r="AL379" s="47" t="str">
        <f t="shared" si="400"/>
        <v>サンリオ型押しケース</v>
      </c>
      <c r="AM379" s="9">
        <f t="shared" si="400"/>
        <v>1100</v>
      </c>
      <c r="AN379" s="9">
        <f t="shared" si="401"/>
        <v>5500</v>
      </c>
      <c r="AO379" s="10">
        <f t="shared" si="402"/>
        <v>0.7857142857142857</v>
      </c>
      <c r="AP379" s="11"/>
    </row>
    <row r="380" spans="1:42" ht="15" customHeight="1" thickBot="1">
      <c r="A380" s="127">
        <v>46031</v>
      </c>
      <c r="B380" s="8">
        <f>IF(A380="","",SUM(D380)+SUM(R401:R404)+SUM(AF401:AF404))</f>
        <v>1659</v>
      </c>
      <c r="C380" s="13">
        <v>32352</v>
      </c>
      <c r="D380" s="9">
        <f t="shared" si="385"/>
        <v>266</v>
      </c>
      <c r="E380" s="9">
        <v>1014</v>
      </c>
      <c r="F380" s="9">
        <f t="shared" si="386"/>
        <v>6</v>
      </c>
      <c r="G380" s="9">
        <v>6</v>
      </c>
      <c r="H380" s="9">
        <f t="shared" si="387"/>
        <v>7</v>
      </c>
      <c r="I380" s="9">
        <v>0</v>
      </c>
      <c r="J380" s="44"/>
      <c r="K380" s="44">
        <f t="shared" si="388"/>
        <v>715</v>
      </c>
      <c r="L380" s="9">
        <f t="shared" si="389"/>
        <v>5005</v>
      </c>
      <c r="M380" s="10">
        <f t="shared" si="390"/>
        <v>0.18815789473684211</v>
      </c>
      <c r="N380" s="11"/>
      <c r="O380" s="2"/>
      <c r="P380" s="80"/>
      <c r="Q380" s="21">
        <v>13165</v>
      </c>
      <c r="R380" s="50">
        <f t="shared" si="391"/>
        <v>219</v>
      </c>
      <c r="S380" s="51">
        <v>361</v>
      </c>
      <c r="T380" s="21">
        <f t="shared" si="392"/>
        <v>2</v>
      </c>
      <c r="U380" s="53">
        <v>15</v>
      </c>
      <c r="V380" s="53">
        <f t="shared" si="393"/>
        <v>2</v>
      </c>
      <c r="W380" s="37">
        <v>0</v>
      </c>
      <c r="X380" s="48" t="str">
        <f t="shared" si="394"/>
        <v>ラブブキーホルダー</v>
      </c>
      <c r="Y380" s="51">
        <f t="shared" si="394"/>
        <v>400</v>
      </c>
      <c r="Z380" s="19">
        <f t="shared" si="395"/>
        <v>800</v>
      </c>
      <c r="AA380" s="20">
        <f t="shared" si="396"/>
        <v>3.6529680365296802E-2</v>
      </c>
      <c r="AB380" s="11"/>
      <c r="AC380" s="1"/>
      <c r="AD380" s="80"/>
      <c r="AE380" s="21">
        <v>13353</v>
      </c>
      <c r="AF380" s="50">
        <f t="shared" si="397"/>
        <v>110</v>
      </c>
      <c r="AG380" s="51">
        <v>444</v>
      </c>
      <c r="AH380" s="21">
        <f t="shared" si="398"/>
        <v>2</v>
      </c>
      <c r="AI380" s="53">
        <v>90</v>
      </c>
      <c r="AJ380" s="53">
        <f t="shared" si="399"/>
        <v>6</v>
      </c>
      <c r="AK380" s="37">
        <v>0</v>
      </c>
      <c r="AL380" s="48" t="str">
        <f t="shared" si="400"/>
        <v>AIモンスターラバー</v>
      </c>
      <c r="AM380" s="51">
        <f t="shared" si="400"/>
        <v>200</v>
      </c>
      <c r="AN380" s="19">
        <f t="shared" si="401"/>
        <v>1200</v>
      </c>
      <c r="AO380" s="20">
        <f t="shared" si="402"/>
        <v>0.10909090909090909</v>
      </c>
      <c r="AP380" s="11" t="s">
        <v>201</v>
      </c>
    </row>
    <row r="381" spans="1:42" ht="15" customHeight="1" thickTop="1">
      <c r="A381" s="12">
        <v>46034</v>
      </c>
      <c r="B381" s="8">
        <f>IF(A381="","",SUM(D381)+SUM(R405:R408)+SUM(AF405:AF408))</f>
        <v>1254</v>
      </c>
      <c r="C381" s="13">
        <v>32551</v>
      </c>
      <c r="D381" s="9">
        <f t="shared" si="385"/>
        <v>199</v>
      </c>
      <c r="E381" s="9">
        <v>1018</v>
      </c>
      <c r="F381" s="9">
        <f t="shared" si="386"/>
        <v>4</v>
      </c>
      <c r="G381" s="9">
        <v>1</v>
      </c>
      <c r="H381" s="9">
        <f t="shared" si="387"/>
        <v>5</v>
      </c>
      <c r="I381" s="9">
        <v>10</v>
      </c>
      <c r="J381" s="44"/>
      <c r="K381" s="44">
        <f t="shared" si="388"/>
        <v>715</v>
      </c>
      <c r="L381" s="9">
        <f t="shared" si="389"/>
        <v>3575</v>
      </c>
      <c r="M381" s="10">
        <f t="shared" si="390"/>
        <v>0.17964824120603015</v>
      </c>
      <c r="N381" s="34"/>
      <c r="O381" s="2"/>
      <c r="P381" s="65">
        <f>IF($A375="","",$A375)</f>
        <v>46018</v>
      </c>
      <c r="Q381" s="44">
        <v>10661</v>
      </c>
      <c r="R381" s="44">
        <f t="shared" si="391"/>
        <v>299</v>
      </c>
      <c r="S381" s="44">
        <v>294</v>
      </c>
      <c r="T381" s="23">
        <f t="shared" si="392"/>
        <v>18</v>
      </c>
      <c r="U381" s="44">
        <v>10</v>
      </c>
      <c r="V381" s="44">
        <f t="shared" si="393"/>
        <v>1</v>
      </c>
      <c r="W381" s="66">
        <v>4</v>
      </c>
      <c r="X381" s="61" t="s">
        <v>205</v>
      </c>
      <c r="Y381" s="62">
        <f t="shared" ref="Y381:Y390" si="403">IF(R381="","",Y377)</f>
        <v>996</v>
      </c>
      <c r="Z381" s="23">
        <f t="shared" si="395"/>
        <v>996</v>
      </c>
      <c r="AA381" s="24">
        <f t="shared" si="396"/>
        <v>3.3311036789297657E-2</v>
      </c>
      <c r="AB381" s="11"/>
      <c r="AC381" s="1"/>
      <c r="AD381" s="65">
        <f>IF($A375="","",$A375)</f>
        <v>46018</v>
      </c>
      <c r="AE381" s="44">
        <v>7818</v>
      </c>
      <c r="AF381" s="44">
        <f t="shared" si="397"/>
        <v>105</v>
      </c>
      <c r="AG381" s="44">
        <v>229</v>
      </c>
      <c r="AH381" s="23">
        <f t="shared" si="398"/>
        <v>3</v>
      </c>
      <c r="AI381" s="44">
        <v>5</v>
      </c>
      <c r="AJ381" s="44">
        <f t="shared" si="399"/>
        <v>3</v>
      </c>
      <c r="AK381" s="66">
        <v>4</v>
      </c>
      <c r="AL381" s="61" t="s">
        <v>204</v>
      </c>
      <c r="AM381" s="62">
        <f t="shared" ref="AM381:AM388" si="404">IF(AF381="","",AM377)</f>
        <v>358</v>
      </c>
      <c r="AN381" s="23">
        <f t="shared" si="401"/>
        <v>1074</v>
      </c>
      <c r="AO381" s="24">
        <f t="shared" si="402"/>
        <v>0.10228571428571429</v>
      </c>
      <c r="AP381" s="11"/>
    </row>
    <row r="382" spans="1:42">
      <c r="A382" s="12">
        <v>46038</v>
      </c>
      <c r="B382" s="8">
        <f>IF(A382="","",SUM(D382)+SUM(R409:R412)+SUM(AF409:AF412))</f>
        <v>1007</v>
      </c>
      <c r="C382" s="13">
        <v>32654</v>
      </c>
      <c r="D382" s="9">
        <f t="shared" si="385"/>
        <v>103</v>
      </c>
      <c r="E382" s="9">
        <v>1020</v>
      </c>
      <c r="F382" s="9">
        <f t="shared" si="386"/>
        <v>2</v>
      </c>
      <c r="G382" s="9">
        <v>9</v>
      </c>
      <c r="H382" s="9">
        <f t="shared" si="387"/>
        <v>2</v>
      </c>
      <c r="I382" s="9">
        <v>1</v>
      </c>
      <c r="J382" s="44"/>
      <c r="K382" s="44">
        <f t="shared" si="388"/>
        <v>715</v>
      </c>
      <c r="L382" s="9">
        <f t="shared" si="389"/>
        <v>1430</v>
      </c>
      <c r="M382" s="10">
        <f t="shared" si="390"/>
        <v>0.13883495145631067</v>
      </c>
      <c r="N382" s="34"/>
      <c r="O382" s="2"/>
      <c r="P382" s="12"/>
      <c r="Q382" s="9">
        <v>10412</v>
      </c>
      <c r="R382" s="44">
        <f t="shared" si="391"/>
        <v>154</v>
      </c>
      <c r="S382" s="9">
        <v>235</v>
      </c>
      <c r="T382" s="9">
        <f t="shared" si="392"/>
        <v>2</v>
      </c>
      <c r="U382" s="9">
        <v>4</v>
      </c>
      <c r="V382" s="9">
        <f t="shared" si="393"/>
        <v>3</v>
      </c>
      <c r="W382" s="13">
        <v>4</v>
      </c>
      <c r="X382" s="132" t="str">
        <f t="shared" ref="X382:X390" si="405">IF(Q382="","",X378)</f>
        <v>サンリオケープポーチ</v>
      </c>
      <c r="Y382" s="45">
        <f t="shared" si="403"/>
        <v>660</v>
      </c>
      <c r="Z382" s="9">
        <f t="shared" si="395"/>
        <v>1980</v>
      </c>
      <c r="AA382" s="10">
        <f t="shared" si="396"/>
        <v>0.12857142857142856</v>
      </c>
      <c r="AB382" s="129" t="s">
        <v>206</v>
      </c>
      <c r="AC382" s="1"/>
      <c r="AD382" s="12"/>
      <c r="AE382" s="9">
        <v>10486</v>
      </c>
      <c r="AF382" s="44">
        <f t="shared" si="397"/>
        <v>137</v>
      </c>
      <c r="AG382" s="9">
        <v>191</v>
      </c>
      <c r="AH382" s="9">
        <f t="shared" si="398"/>
        <v>2</v>
      </c>
      <c r="AI382" s="9">
        <v>8</v>
      </c>
      <c r="AJ382" s="9">
        <f t="shared" si="399"/>
        <v>2</v>
      </c>
      <c r="AK382" s="13">
        <v>0</v>
      </c>
      <c r="AL382" s="47" t="str">
        <f t="shared" ref="AL382:AL388" si="406">IF(AE382="","",AL378)</f>
        <v>液晶ミニカメラ</v>
      </c>
      <c r="AM382" s="45">
        <f t="shared" si="404"/>
        <v>1075</v>
      </c>
      <c r="AN382" s="9">
        <f t="shared" si="401"/>
        <v>2150</v>
      </c>
      <c r="AO382" s="10">
        <f t="shared" si="402"/>
        <v>0.15693430656934307</v>
      </c>
      <c r="AP382" s="11"/>
    </row>
    <row r="383" spans="1:42">
      <c r="A383" s="12"/>
      <c r="B383" s="8"/>
      <c r="C383" s="13"/>
      <c r="D383" s="9"/>
      <c r="E383" s="9"/>
      <c r="F383" s="9"/>
      <c r="G383" s="9"/>
      <c r="H383" s="9"/>
      <c r="I383" s="9"/>
      <c r="J383" s="44"/>
      <c r="K383" s="44"/>
      <c r="L383" s="9"/>
      <c r="M383" s="10"/>
      <c r="N383" s="34"/>
      <c r="O383" s="2"/>
      <c r="P383" s="25"/>
      <c r="Q383" s="9">
        <v>10885</v>
      </c>
      <c r="R383" s="52">
        <f t="shared" si="391"/>
        <v>57</v>
      </c>
      <c r="S383" s="9">
        <v>411</v>
      </c>
      <c r="T383" s="9">
        <f t="shared" si="392"/>
        <v>12</v>
      </c>
      <c r="U383" s="9">
        <v>17</v>
      </c>
      <c r="V383" s="9">
        <f t="shared" si="393"/>
        <v>13</v>
      </c>
      <c r="W383" s="13">
        <v>10</v>
      </c>
      <c r="X383" s="132" t="str">
        <f t="shared" si="405"/>
        <v>ラブブマスコット</v>
      </c>
      <c r="Y383" s="9">
        <f t="shared" si="403"/>
        <v>400</v>
      </c>
      <c r="Z383" s="9">
        <f t="shared" si="395"/>
        <v>5200</v>
      </c>
      <c r="AA383" s="10">
        <f t="shared" si="396"/>
        <v>0.91228070175438591</v>
      </c>
      <c r="AB383" s="129" t="s">
        <v>207</v>
      </c>
      <c r="AD383" s="25"/>
      <c r="AE383" s="9">
        <v>10662</v>
      </c>
      <c r="AF383" s="114">
        <f t="shared" si="397"/>
        <v>22</v>
      </c>
      <c r="AG383" s="9">
        <v>428</v>
      </c>
      <c r="AH383" s="9">
        <f t="shared" si="398"/>
        <v>3</v>
      </c>
      <c r="AI383" s="9">
        <v>8</v>
      </c>
      <c r="AJ383" s="9">
        <f t="shared" si="399"/>
        <v>3</v>
      </c>
      <c r="AK383" s="13">
        <v>4</v>
      </c>
      <c r="AL383" s="47" t="str">
        <f t="shared" si="406"/>
        <v>サンリオ型押しケース</v>
      </c>
      <c r="AM383" s="9">
        <f t="shared" si="404"/>
        <v>1100</v>
      </c>
      <c r="AN383" s="9">
        <f t="shared" si="401"/>
        <v>3300</v>
      </c>
      <c r="AO383" s="10">
        <f t="shared" si="402"/>
        <v>1.5</v>
      </c>
      <c r="AP383" s="131" t="s">
        <v>208</v>
      </c>
    </row>
    <row r="384" spans="1:42" ht="15" customHeight="1" thickBot="1">
      <c r="A384" s="12"/>
      <c r="B384" s="8" t="str">
        <f>IF(A384="","",SUM(D384)+SUM(R417:R420)+SUM(AF417:AF420))</f>
        <v/>
      </c>
      <c r="C384" s="13"/>
      <c r="D384" s="9" t="str">
        <f>IF(C384="","",C384-C383)</f>
        <v/>
      </c>
      <c r="E384" s="9"/>
      <c r="F384" s="9" t="str">
        <f>IF(E384="","",E384-E383)</f>
        <v/>
      </c>
      <c r="G384" s="9"/>
      <c r="H384" s="9" t="str">
        <f>IF(G384="","",G383+I383-G384)</f>
        <v/>
      </c>
      <c r="I384" s="9"/>
      <c r="J384" s="44"/>
      <c r="K384" s="44" t="str">
        <f>IF(C384="","",K383)</f>
        <v/>
      </c>
      <c r="L384" s="9" t="str">
        <f>IF(K384="","",H384*K384)</f>
        <v/>
      </c>
      <c r="M384" s="10" t="str">
        <f>IF(L384="","",L384/(D384*100))</f>
        <v/>
      </c>
      <c r="N384" s="11"/>
      <c r="O384" s="2"/>
      <c r="P384" s="18"/>
      <c r="Q384" s="21">
        <v>13375</v>
      </c>
      <c r="R384" s="50">
        <f t="shared" si="391"/>
        <v>210</v>
      </c>
      <c r="S384" s="51">
        <v>362</v>
      </c>
      <c r="T384" s="19">
        <f t="shared" si="392"/>
        <v>1</v>
      </c>
      <c r="U384" s="19">
        <v>13</v>
      </c>
      <c r="V384" s="19">
        <f t="shared" si="393"/>
        <v>2</v>
      </c>
      <c r="W384" s="37">
        <v>3</v>
      </c>
      <c r="X384" s="48" t="str">
        <f t="shared" si="405"/>
        <v>ラブブキーホルダー</v>
      </c>
      <c r="Y384" s="51">
        <f t="shared" si="403"/>
        <v>400</v>
      </c>
      <c r="Z384" s="19">
        <f t="shared" si="395"/>
        <v>800</v>
      </c>
      <c r="AA384" s="20">
        <f t="shared" si="396"/>
        <v>3.8095238095238099E-2</v>
      </c>
      <c r="AB384" s="11"/>
      <c r="AD384" s="18"/>
      <c r="AE384" s="21">
        <v>13459</v>
      </c>
      <c r="AF384" s="50">
        <f t="shared" si="397"/>
        <v>106</v>
      </c>
      <c r="AG384" s="51">
        <v>448</v>
      </c>
      <c r="AH384" s="19">
        <f t="shared" si="398"/>
        <v>4</v>
      </c>
      <c r="AI384" s="19">
        <v>85</v>
      </c>
      <c r="AJ384" s="19">
        <f t="shared" si="399"/>
        <v>5</v>
      </c>
      <c r="AK384" s="37">
        <v>0</v>
      </c>
      <c r="AL384" s="48" t="str">
        <f t="shared" si="406"/>
        <v>AIモンスターラバー</v>
      </c>
      <c r="AM384" s="51">
        <f t="shared" si="404"/>
        <v>200</v>
      </c>
      <c r="AN384" s="19">
        <f t="shared" si="401"/>
        <v>1000</v>
      </c>
      <c r="AO384" s="20">
        <f t="shared" si="402"/>
        <v>9.4339622641509441E-2</v>
      </c>
      <c r="AP384" s="11"/>
    </row>
    <row r="385" spans="1:42" ht="15" customHeight="1" thickTop="1">
      <c r="A385" s="12"/>
      <c r="B385" s="8" t="str">
        <f>IF(A385="","",SUM(D385)+SUM(R418:R421)+SUM(AF418:AF421))</f>
        <v/>
      </c>
      <c r="C385" s="13"/>
      <c r="D385" s="9" t="str">
        <f>IF(C385="","",C385-C384)</f>
        <v/>
      </c>
      <c r="E385" s="9"/>
      <c r="F385" s="9" t="str">
        <f>IF(E385="","",E385-E384)</f>
        <v/>
      </c>
      <c r="G385" s="9"/>
      <c r="H385" s="9" t="str">
        <f>IF(G385="","",G384+I384-G385)</f>
        <v/>
      </c>
      <c r="I385" s="9"/>
      <c r="J385" s="44"/>
      <c r="K385" s="44" t="str">
        <f>IF(C385="","",K384)</f>
        <v/>
      </c>
      <c r="L385" s="9" t="str">
        <f>IF(K385="","",H385*K385)</f>
        <v/>
      </c>
      <c r="M385" s="10" t="str">
        <f>IF(L385="","",L385/(D385*100))</f>
        <v/>
      </c>
      <c r="N385" s="11"/>
      <c r="O385" s="2"/>
      <c r="P385" s="65">
        <f>IF($A376="","",$A376)</f>
        <v>46020</v>
      </c>
      <c r="Q385" s="44">
        <v>10743</v>
      </c>
      <c r="R385" s="44">
        <f t="shared" si="391"/>
        <v>82</v>
      </c>
      <c r="S385" s="44">
        <v>299</v>
      </c>
      <c r="T385" s="23">
        <f t="shared" si="392"/>
        <v>5</v>
      </c>
      <c r="U385" s="44">
        <v>11</v>
      </c>
      <c r="V385" s="44">
        <f t="shared" si="393"/>
        <v>3</v>
      </c>
      <c r="W385" s="66">
        <v>1</v>
      </c>
      <c r="X385" s="61" t="str">
        <f t="shared" si="405"/>
        <v>キティ豹柄キーケース</v>
      </c>
      <c r="Y385" s="62">
        <f t="shared" si="403"/>
        <v>996</v>
      </c>
      <c r="Z385" s="23">
        <f t="shared" si="395"/>
        <v>2988</v>
      </c>
      <c r="AA385" s="24">
        <f t="shared" si="396"/>
        <v>0.36439024390243901</v>
      </c>
      <c r="AB385" s="129" t="s">
        <v>215</v>
      </c>
      <c r="AC385" s="1"/>
      <c r="AD385" s="65">
        <f>IF($A376="","",$A376)</f>
        <v>46020</v>
      </c>
      <c r="AE385" s="44">
        <v>7888</v>
      </c>
      <c r="AF385" s="44">
        <f t="shared" si="397"/>
        <v>70</v>
      </c>
      <c r="AG385" s="44">
        <v>232</v>
      </c>
      <c r="AH385" s="23">
        <f t="shared" si="398"/>
        <v>3</v>
      </c>
      <c r="AI385" s="44">
        <v>6</v>
      </c>
      <c r="AJ385" s="44">
        <f t="shared" si="399"/>
        <v>3</v>
      </c>
      <c r="AK385" s="66">
        <v>16</v>
      </c>
      <c r="AL385" s="61" t="str">
        <f t="shared" si="406"/>
        <v>サンリオ豹柄フェイスポーチ</v>
      </c>
      <c r="AM385" s="62">
        <f t="shared" si="404"/>
        <v>358</v>
      </c>
      <c r="AN385" s="23">
        <f t="shared" si="401"/>
        <v>1074</v>
      </c>
      <c r="AO385" s="24">
        <f t="shared" si="402"/>
        <v>0.15342857142857144</v>
      </c>
      <c r="AP385" s="11" t="s">
        <v>213</v>
      </c>
    </row>
    <row r="386" spans="1:42">
      <c r="A386" s="12"/>
      <c r="B386" s="8"/>
      <c r="C386" s="13"/>
      <c r="D386" s="9" t="str">
        <f>IF(C386="","",C386-C385)</f>
        <v/>
      </c>
      <c r="E386" s="9"/>
      <c r="F386" s="9" t="str">
        <f>IF(E386="","",E386-E385)</f>
        <v/>
      </c>
      <c r="G386" s="9"/>
      <c r="H386" s="9" t="str">
        <f>IF(G386="","",G385+I385-G386)</f>
        <v/>
      </c>
      <c r="I386" s="9"/>
      <c r="J386" s="44"/>
      <c r="K386" s="44" t="str">
        <f>IF(C386="","",K385)</f>
        <v/>
      </c>
      <c r="L386" s="9" t="str">
        <f>IF(K386="","",H386*K386)</f>
        <v/>
      </c>
      <c r="M386" s="10" t="str">
        <f>IF(L386="","",L386/(D386*100))</f>
        <v/>
      </c>
      <c r="N386" s="11"/>
      <c r="O386" s="2"/>
      <c r="P386" s="12"/>
      <c r="Q386" s="9">
        <v>10432</v>
      </c>
      <c r="R386" s="113">
        <f t="shared" si="391"/>
        <v>20</v>
      </c>
      <c r="S386" s="9">
        <v>235</v>
      </c>
      <c r="T386" s="9">
        <f t="shared" si="392"/>
        <v>0</v>
      </c>
      <c r="U386" s="9">
        <v>7</v>
      </c>
      <c r="V386" s="9">
        <f t="shared" si="393"/>
        <v>1</v>
      </c>
      <c r="W386" s="13">
        <v>6</v>
      </c>
      <c r="X386" s="47" t="str">
        <f t="shared" si="405"/>
        <v>サンリオケープポーチ</v>
      </c>
      <c r="Y386" s="9">
        <f t="shared" si="403"/>
        <v>660</v>
      </c>
      <c r="Z386" s="9">
        <f t="shared" si="395"/>
        <v>660</v>
      </c>
      <c r="AA386" s="10">
        <f t="shared" si="396"/>
        <v>0.33</v>
      </c>
      <c r="AB386" s="11" t="s">
        <v>209</v>
      </c>
      <c r="AC386" s="1"/>
      <c r="AD386" s="12"/>
      <c r="AE386" s="9">
        <v>10625</v>
      </c>
      <c r="AF386" s="44">
        <f t="shared" si="397"/>
        <v>139</v>
      </c>
      <c r="AG386" s="9">
        <v>197</v>
      </c>
      <c r="AH386" s="9">
        <f t="shared" si="398"/>
        <v>6</v>
      </c>
      <c r="AI386" s="9">
        <v>3</v>
      </c>
      <c r="AJ386" s="9">
        <f t="shared" si="399"/>
        <v>5</v>
      </c>
      <c r="AK386" s="13">
        <v>0</v>
      </c>
      <c r="AL386" s="47" t="str">
        <f t="shared" si="406"/>
        <v>液晶ミニカメラ</v>
      </c>
      <c r="AM386" s="9">
        <f t="shared" si="404"/>
        <v>1075</v>
      </c>
      <c r="AN386" s="9">
        <f t="shared" si="401"/>
        <v>5375</v>
      </c>
      <c r="AO386" s="10">
        <f t="shared" si="402"/>
        <v>0.38669064748201437</v>
      </c>
      <c r="AP386" s="11" t="s">
        <v>214</v>
      </c>
    </row>
    <row r="387" spans="1:42">
      <c r="A387" s="12"/>
      <c r="B387" s="8"/>
      <c r="C387" s="13"/>
      <c r="D387" s="9"/>
      <c r="E387" s="9"/>
      <c r="F387" s="9"/>
      <c r="G387" s="9"/>
      <c r="H387" s="9"/>
      <c r="I387" s="9"/>
      <c r="J387" s="44"/>
      <c r="K387" s="44"/>
      <c r="L387" s="9"/>
      <c r="M387" s="10"/>
      <c r="N387" s="11"/>
      <c r="O387" s="2"/>
      <c r="P387" s="25"/>
      <c r="Q387" s="26">
        <v>10940</v>
      </c>
      <c r="R387" s="44">
        <f t="shared" si="391"/>
        <v>55</v>
      </c>
      <c r="S387" s="26">
        <v>414</v>
      </c>
      <c r="T387" s="9">
        <f t="shared" si="392"/>
        <v>3</v>
      </c>
      <c r="U387" s="26">
        <v>23</v>
      </c>
      <c r="V387" s="9">
        <f t="shared" si="393"/>
        <v>4</v>
      </c>
      <c r="W387" s="38">
        <v>-10</v>
      </c>
      <c r="X387" s="47" t="str">
        <f t="shared" si="405"/>
        <v>ラブブマスコット</v>
      </c>
      <c r="Y387" s="9">
        <f t="shared" si="403"/>
        <v>400</v>
      </c>
      <c r="Z387" s="9">
        <f t="shared" si="395"/>
        <v>1600</v>
      </c>
      <c r="AA387" s="10">
        <f t="shared" si="396"/>
        <v>0.29090909090909089</v>
      </c>
      <c r="AB387" s="11" t="s">
        <v>212</v>
      </c>
      <c r="AD387" s="25"/>
      <c r="AE387" s="26">
        <v>10743</v>
      </c>
      <c r="AF387" s="44">
        <f t="shared" si="397"/>
        <v>81</v>
      </c>
      <c r="AG387" s="26">
        <v>434</v>
      </c>
      <c r="AH387" s="9">
        <f t="shared" si="398"/>
        <v>6</v>
      </c>
      <c r="AI387" s="26">
        <v>6</v>
      </c>
      <c r="AJ387" s="9">
        <f t="shared" si="399"/>
        <v>6</v>
      </c>
      <c r="AK387" s="38">
        <v>6</v>
      </c>
      <c r="AL387" s="47" t="str">
        <f t="shared" si="406"/>
        <v>サンリオ型押しケース</v>
      </c>
      <c r="AM387" s="9">
        <f t="shared" si="404"/>
        <v>1100</v>
      </c>
      <c r="AN387" s="9">
        <f t="shared" si="401"/>
        <v>6600</v>
      </c>
      <c r="AO387" s="10">
        <f t="shared" si="402"/>
        <v>0.81481481481481477</v>
      </c>
      <c r="AP387" s="11" t="s">
        <v>179</v>
      </c>
    </row>
    <row r="388" spans="1:42" ht="15" customHeight="1" thickBot="1">
      <c r="A388" s="12"/>
      <c r="B388" s="8"/>
      <c r="C388" s="13"/>
      <c r="D388" s="9" t="str">
        <f>IF(C388="","",C388-C389)</f>
        <v/>
      </c>
      <c r="E388" s="9"/>
      <c r="F388" s="9" t="str">
        <f>IF(E388="","",E388-E389)</f>
        <v/>
      </c>
      <c r="G388" s="9"/>
      <c r="H388" s="9" t="str">
        <f>IF(G388="","",G389+I389-G388)</f>
        <v/>
      </c>
      <c r="I388" s="9"/>
      <c r="J388" s="44"/>
      <c r="K388" s="44" t="str">
        <f>IF(C388="","",K389)</f>
        <v/>
      </c>
      <c r="L388" s="9" t="str">
        <f t="shared" ref="L388:L426" si="407">IF(K388="","",H388*K388)</f>
        <v/>
      </c>
      <c r="M388" s="10" t="str">
        <f t="shared" ref="M388:M426" si="408">IF(L388="","",L388/(D388*100))</f>
        <v/>
      </c>
      <c r="N388" s="11"/>
      <c r="O388" s="2"/>
      <c r="P388" s="18"/>
      <c r="Q388" s="19">
        <v>13484</v>
      </c>
      <c r="R388" s="50">
        <f t="shared" si="391"/>
        <v>109</v>
      </c>
      <c r="S388" s="19">
        <v>363</v>
      </c>
      <c r="T388" s="19">
        <f t="shared" si="392"/>
        <v>1</v>
      </c>
      <c r="U388" s="19">
        <v>16</v>
      </c>
      <c r="V388" s="19">
        <f t="shared" si="393"/>
        <v>0</v>
      </c>
      <c r="W388" s="37">
        <v>0</v>
      </c>
      <c r="X388" s="48" t="str">
        <f t="shared" si="405"/>
        <v>ラブブキーホルダー</v>
      </c>
      <c r="Y388" s="51">
        <f t="shared" si="403"/>
        <v>400</v>
      </c>
      <c r="Z388" s="19">
        <f t="shared" si="395"/>
        <v>0</v>
      </c>
      <c r="AA388" s="20">
        <f t="shared" si="396"/>
        <v>0</v>
      </c>
      <c r="AB388" s="11"/>
      <c r="AD388" s="18"/>
      <c r="AE388" s="19">
        <v>13527</v>
      </c>
      <c r="AF388" s="50">
        <f t="shared" si="397"/>
        <v>68</v>
      </c>
      <c r="AG388" s="19">
        <v>448</v>
      </c>
      <c r="AH388" s="19">
        <f t="shared" si="398"/>
        <v>0</v>
      </c>
      <c r="AI388" s="19">
        <v>80</v>
      </c>
      <c r="AJ388" s="19">
        <f t="shared" si="399"/>
        <v>5</v>
      </c>
      <c r="AK388" s="37">
        <v>40</v>
      </c>
      <c r="AL388" s="48" t="str">
        <f t="shared" si="406"/>
        <v>AIモンスターラバー</v>
      </c>
      <c r="AM388" s="51">
        <f t="shared" si="404"/>
        <v>200</v>
      </c>
      <c r="AN388" s="19">
        <f t="shared" si="401"/>
        <v>1000</v>
      </c>
      <c r="AO388" s="20">
        <f t="shared" si="402"/>
        <v>0.14705882352941177</v>
      </c>
      <c r="AP388" s="11"/>
    </row>
    <row r="389" spans="1:42" ht="15" customHeight="1" thickTop="1">
      <c r="A389" s="12"/>
      <c r="B389" s="8"/>
      <c r="C389" s="13"/>
      <c r="D389" s="9" t="str">
        <f>IF(C389="","",C389-C386)</f>
        <v/>
      </c>
      <c r="E389" s="9"/>
      <c r="F389" s="9" t="str">
        <f>IF(E389="","",E389-E386)</f>
        <v/>
      </c>
      <c r="G389" s="9"/>
      <c r="H389" s="9" t="str">
        <f>IF(G389="","",G386+I386-G389)</f>
        <v/>
      </c>
      <c r="I389" s="9"/>
      <c r="J389" s="44"/>
      <c r="K389" s="44" t="str">
        <f>IF(C389="","",K386)</f>
        <v/>
      </c>
      <c r="L389" s="9" t="str">
        <f t="shared" si="407"/>
        <v/>
      </c>
      <c r="M389" s="10" t="str">
        <f t="shared" si="408"/>
        <v/>
      </c>
      <c r="N389" s="11"/>
      <c r="O389" s="2"/>
      <c r="P389" s="65">
        <f>IF($A377="","",$A377)</f>
        <v>46022</v>
      </c>
      <c r="Q389" s="44">
        <v>11026</v>
      </c>
      <c r="R389" s="44">
        <f t="shared" si="391"/>
        <v>283</v>
      </c>
      <c r="S389" s="44">
        <v>306</v>
      </c>
      <c r="T389" s="23">
        <f t="shared" si="392"/>
        <v>7</v>
      </c>
      <c r="U389" s="44">
        <v>10</v>
      </c>
      <c r="V389" s="44">
        <f t="shared" si="393"/>
        <v>2</v>
      </c>
      <c r="W389" s="66">
        <v>2</v>
      </c>
      <c r="X389" s="61" t="str">
        <f t="shared" si="405"/>
        <v>キティ豹柄キーケース</v>
      </c>
      <c r="Y389" s="62">
        <f t="shared" si="403"/>
        <v>996</v>
      </c>
      <c r="Z389" s="23">
        <f t="shared" si="395"/>
        <v>1992</v>
      </c>
      <c r="AA389" s="24">
        <f t="shared" si="396"/>
        <v>7.0388692579505294E-2</v>
      </c>
      <c r="AB389" s="11"/>
      <c r="AD389" s="65">
        <f>IF($A377="","",$A377)</f>
        <v>46022</v>
      </c>
      <c r="AE389" s="44">
        <v>7945</v>
      </c>
      <c r="AF389" s="44">
        <f t="shared" si="397"/>
        <v>57</v>
      </c>
      <c r="AG389" s="44">
        <v>232</v>
      </c>
      <c r="AH389" s="23">
        <f t="shared" si="398"/>
        <v>0</v>
      </c>
      <c r="AI389" s="44">
        <v>22</v>
      </c>
      <c r="AJ389" s="44">
        <f t="shared" si="399"/>
        <v>0</v>
      </c>
      <c r="AK389" s="66">
        <v>0</v>
      </c>
      <c r="AL389" s="61" t="s">
        <v>218</v>
      </c>
      <c r="AM389" s="62">
        <v>1100</v>
      </c>
      <c r="AN389" s="23">
        <f t="shared" si="401"/>
        <v>0</v>
      </c>
      <c r="AO389" s="24">
        <f t="shared" si="402"/>
        <v>0</v>
      </c>
      <c r="AP389" s="11" t="s">
        <v>217</v>
      </c>
    </row>
    <row r="390" spans="1:42">
      <c r="A390" s="12"/>
      <c r="B390" s="8"/>
      <c r="C390" s="13"/>
      <c r="D390" s="9" t="str">
        <f>IF(C390="","",C390-C388)</f>
        <v/>
      </c>
      <c r="E390" s="9"/>
      <c r="F390" s="9" t="str">
        <f>IF(E390="","",E390-E388)</f>
        <v/>
      </c>
      <c r="G390" s="9"/>
      <c r="H390" s="9" t="str">
        <f>IF(G390="","",G388+I388-G390)</f>
        <v/>
      </c>
      <c r="I390" s="9"/>
      <c r="J390" s="44"/>
      <c r="K390" s="44" t="str">
        <f>IF(C390="","",K388)</f>
        <v/>
      </c>
      <c r="L390" s="9" t="str">
        <f t="shared" si="407"/>
        <v/>
      </c>
      <c r="M390" s="10" t="str">
        <f t="shared" si="408"/>
        <v/>
      </c>
      <c r="N390" s="11"/>
      <c r="O390" s="2"/>
      <c r="P390" s="65"/>
      <c r="Q390" s="9">
        <v>10492</v>
      </c>
      <c r="R390" s="9">
        <f t="shared" si="391"/>
        <v>60</v>
      </c>
      <c r="S390" s="9">
        <v>236</v>
      </c>
      <c r="T390" s="9">
        <f t="shared" si="392"/>
        <v>1</v>
      </c>
      <c r="U390" s="9">
        <v>12</v>
      </c>
      <c r="V390" s="9">
        <f t="shared" si="393"/>
        <v>1</v>
      </c>
      <c r="W390" s="13">
        <v>0</v>
      </c>
      <c r="X390" s="47" t="str">
        <f t="shared" si="405"/>
        <v>サンリオケープポーチ</v>
      </c>
      <c r="Y390" s="45">
        <f t="shared" si="403"/>
        <v>660</v>
      </c>
      <c r="Z390" s="9">
        <f t="shared" si="395"/>
        <v>660</v>
      </c>
      <c r="AA390" s="10">
        <f t="shared" si="396"/>
        <v>0.11</v>
      </c>
      <c r="AB390" s="11" t="s">
        <v>219</v>
      </c>
      <c r="AD390" s="65"/>
      <c r="AE390" s="9">
        <v>10682</v>
      </c>
      <c r="AF390" s="9">
        <f t="shared" si="397"/>
        <v>57</v>
      </c>
      <c r="AG390" s="9">
        <v>199</v>
      </c>
      <c r="AH390" s="9">
        <f t="shared" si="398"/>
        <v>2</v>
      </c>
      <c r="AI390" s="9">
        <v>3</v>
      </c>
      <c r="AJ390" s="9">
        <f t="shared" si="399"/>
        <v>0</v>
      </c>
      <c r="AK390" s="13">
        <v>0</v>
      </c>
      <c r="AL390" s="47" t="str">
        <f t="shared" ref="AL390:AL402" si="409">IF(AE390="","",AL386)</f>
        <v>液晶ミニカメラ</v>
      </c>
      <c r="AM390" s="45">
        <f t="shared" ref="AM390:AM402" si="410">IF(AF390="","",AM386)</f>
        <v>1075</v>
      </c>
      <c r="AN390" s="9">
        <f t="shared" si="401"/>
        <v>0</v>
      </c>
      <c r="AO390" s="10">
        <f t="shared" si="402"/>
        <v>0</v>
      </c>
      <c r="AP390" s="11"/>
    </row>
    <row r="391" spans="1:42" ht="15" customHeight="1">
      <c r="A391" s="12"/>
      <c r="B391" s="8"/>
      <c r="C391" s="13"/>
      <c r="D391" s="9" t="str">
        <f t="shared" ref="D391:D396" si="411">IF(C391="","",C391-C390)</f>
        <v/>
      </c>
      <c r="E391" s="9"/>
      <c r="F391" s="9" t="str">
        <f t="shared" ref="F391:F396" si="412">IF(E391="","",E391-E390)</f>
        <v/>
      </c>
      <c r="G391" s="9"/>
      <c r="H391" s="9" t="str">
        <f t="shared" ref="H391:H396" si="413">IF(G391="","",G390+I390-G391)</f>
        <v/>
      </c>
      <c r="I391" s="9"/>
      <c r="J391" s="44"/>
      <c r="K391" s="44" t="str">
        <f t="shared" ref="K391:K396" si="414">IF(C391="","",K390)</f>
        <v/>
      </c>
      <c r="L391" s="9" t="str">
        <f t="shared" si="407"/>
        <v/>
      </c>
      <c r="M391" s="10" t="str">
        <f t="shared" si="408"/>
        <v/>
      </c>
      <c r="N391" s="11"/>
      <c r="O391" s="2"/>
      <c r="P391" s="65"/>
      <c r="Q391" s="26">
        <v>11032</v>
      </c>
      <c r="R391" s="9">
        <f t="shared" si="391"/>
        <v>92</v>
      </c>
      <c r="S391" s="26">
        <v>416</v>
      </c>
      <c r="T391" s="9">
        <f t="shared" si="392"/>
        <v>2</v>
      </c>
      <c r="U391" s="26">
        <v>11</v>
      </c>
      <c r="V391" s="9">
        <f t="shared" si="393"/>
        <v>2</v>
      </c>
      <c r="W391" s="38">
        <v>2</v>
      </c>
      <c r="X391" s="47" t="s">
        <v>220</v>
      </c>
      <c r="Y391" s="9">
        <v>1100</v>
      </c>
      <c r="Z391" s="9">
        <f t="shared" si="395"/>
        <v>2200</v>
      </c>
      <c r="AA391" s="10">
        <f t="shared" si="396"/>
        <v>0.2391304347826087</v>
      </c>
      <c r="AB391" s="11" t="s">
        <v>75</v>
      </c>
      <c r="AD391" s="65"/>
      <c r="AE391" s="26">
        <v>10839</v>
      </c>
      <c r="AF391" s="9">
        <f t="shared" si="397"/>
        <v>96</v>
      </c>
      <c r="AG391" s="26">
        <v>434</v>
      </c>
      <c r="AH391" s="9">
        <f t="shared" si="398"/>
        <v>0</v>
      </c>
      <c r="AI391" s="26">
        <v>12</v>
      </c>
      <c r="AJ391" s="9">
        <f t="shared" si="399"/>
        <v>0</v>
      </c>
      <c r="AK391" s="38">
        <v>0</v>
      </c>
      <c r="AL391" s="47" t="str">
        <f t="shared" si="409"/>
        <v>サンリオ型押しケース</v>
      </c>
      <c r="AM391" s="9">
        <f t="shared" si="410"/>
        <v>1100</v>
      </c>
      <c r="AN391" s="9">
        <f t="shared" si="401"/>
        <v>0</v>
      </c>
      <c r="AO391" s="10">
        <f t="shared" si="402"/>
        <v>0</v>
      </c>
      <c r="AP391" s="11" t="s">
        <v>216</v>
      </c>
    </row>
    <row r="392" spans="1:42" ht="15" customHeight="1" thickBot="1">
      <c r="A392" s="12"/>
      <c r="B392" s="8"/>
      <c r="C392" s="13"/>
      <c r="D392" s="9" t="str">
        <f t="shared" si="411"/>
        <v/>
      </c>
      <c r="E392" s="9"/>
      <c r="F392" s="9" t="str">
        <f t="shared" si="412"/>
        <v/>
      </c>
      <c r="G392" s="9"/>
      <c r="H392" s="9" t="str">
        <f t="shared" si="413"/>
        <v/>
      </c>
      <c r="I392" s="9"/>
      <c r="J392" s="44"/>
      <c r="K392" s="44" t="str">
        <f t="shared" si="414"/>
        <v/>
      </c>
      <c r="L392" s="9" t="str">
        <f t="shared" si="407"/>
        <v/>
      </c>
      <c r="M392" s="10" t="str">
        <f t="shared" si="408"/>
        <v/>
      </c>
      <c r="N392" s="11"/>
      <c r="O392" s="2"/>
      <c r="P392" s="18"/>
      <c r="Q392" s="19">
        <v>13533</v>
      </c>
      <c r="R392" s="19">
        <f t="shared" si="391"/>
        <v>49</v>
      </c>
      <c r="S392" s="19">
        <v>364</v>
      </c>
      <c r="T392" s="19">
        <f t="shared" si="392"/>
        <v>1</v>
      </c>
      <c r="U392" s="19">
        <v>15</v>
      </c>
      <c r="V392" s="19">
        <f t="shared" si="393"/>
        <v>1</v>
      </c>
      <c r="W392" s="37">
        <v>2</v>
      </c>
      <c r="X392" s="48" t="str">
        <f t="shared" ref="X392:X412" si="415">IF(Q392="","",X388)</f>
        <v>ラブブキーホルダー</v>
      </c>
      <c r="Y392" s="51">
        <f t="shared" ref="Y392:Y412" si="416">IF(R392="","",Y388)</f>
        <v>400</v>
      </c>
      <c r="Z392" s="19">
        <f t="shared" si="395"/>
        <v>400</v>
      </c>
      <c r="AA392" s="20">
        <f t="shared" si="396"/>
        <v>8.1632653061224483E-2</v>
      </c>
      <c r="AB392" s="11"/>
      <c r="AD392" s="18"/>
      <c r="AE392" s="19">
        <v>13605</v>
      </c>
      <c r="AF392" s="19">
        <f t="shared" si="397"/>
        <v>78</v>
      </c>
      <c r="AG392" s="19">
        <v>453</v>
      </c>
      <c r="AH392" s="19">
        <f t="shared" si="398"/>
        <v>5</v>
      </c>
      <c r="AI392" s="19">
        <v>110</v>
      </c>
      <c r="AJ392" s="19">
        <f t="shared" si="399"/>
        <v>10</v>
      </c>
      <c r="AK392" s="37">
        <v>20</v>
      </c>
      <c r="AL392" s="48" t="str">
        <f t="shared" si="409"/>
        <v>AIモンスターラバー</v>
      </c>
      <c r="AM392" s="51">
        <f t="shared" si="410"/>
        <v>200</v>
      </c>
      <c r="AN392" s="19">
        <f t="shared" si="401"/>
        <v>2000</v>
      </c>
      <c r="AO392" s="20">
        <f t="shared" si="402"/>
        <v>0.25641025641025639</v>
      </c>
      <c r="AP392" s="11"/>
    </row>
    <row r="393" spans="1:42" ht="15" customHeight="1" thickTop="1">
      <c r="A393" s="12"/>
      <c r="B393" s="8"/>
      <c r="C393" s="13"/>
      <c r="D393" s="9" t="str">
        <f t="shared" si="411"/>
        <v/>
      </c>
      <c r="E393" s="9"/>
      <c r="F393" s="9" t="str">
        <f t="shared" si="412"/>
        <v/>
      </c>
      <c r="G393" s="9"/>
      <c r="H393" s="9" t="str">
        <f t="shared" si="413"/>
        <v/>
      </c>
      <c r="I393" s="9"/>
      <c r="J393" s="44"/>
      <c r="K393" s="44" t="str">
        <f t="shared" si="414"/>
        <v/>
      </c>
      <c r="L393" s="9" t="str">
        <f t="shared" si="407"/>
        <v/>
      </c>
      <c r="M393" s="10" t="str">
        <f t="shared" si="408"/>
        <v/>
      </c>
      <c r="N393" s="11"/>
      <c r="O393" s="2"/>
      <c r="P393" s="65">
        <f>IF($A378="","",$A378)</f>
        <v>46024</v>
      </c>
      <c r="Q393" s="44">
        <v>11170</v>
      </c>
      <c r="R393" s="44">
        <f t="shared" si="391"/>
        <v>144</v>
      </c>
      <c r="S393" s="44">
        <v>310</v>
      </c>
      <c r="T393" s="23">
        <f t="shared" si="392"/>
        <v>4</v>
      </c>
      <c r="U393" s="44">
        <v>11</v>
      </c>
      <c r="V393" s="44">
        <f t="shared" si="393"/>
        <v>1</v>
      </c>
      <c r="W393" s="66">
        <v>0</v>
      </c>
      <c r="X393" s="61" t="str">
        <f t="shared" si="415"/>
        <v>キティ豹柄キーケース</v>
      </c>
      <c r="Y393" s="62">
        <f t="shared" si="416"/>
        <v>996</v>
      </c>
      <c r="Z393" s="23">
        <f t="shared" si="395"/>
        <v>996</v>
      </c>
      <c r="AA393" s="24">
        <f t="shared" si="396"/>
        <v>6.9166666666666668E-2</v>
      </c>
      <c r="AB393" s="11"/>
      <c r="AD393" s="65">
        <f>IF($A378="","",$A378)</f>
        <v>46024</v>
      </c>
      <c r="AE393" s="44">
        <v>8036</v>
      </c>
      <c r="AF393" s="44">
        <f t="shared" si="397"/>
        <v>91</v>
      </c>
      <c r="AG393" s="44">
        <v>234</v>
      </c>
      <c r="AH393" s="23">
        <f t="shared" si="398"/>
        <v>2</v>
      </c>
      <c r="AI393" s="44">
        <v>21</v>
      </c>
      <c r="AJ393" s="44">
        <f t="shared" si="399"/>
        <v>1</v>
      </c>
      <c r="AK393" s="66">
        <v>2</v>
      </c>
      <c r="AL393" s="61" t="str">
        <f t="shared" si="409"/>
        <v>ゲーム機柄イヤホン</v>
      </c>
      <c r="AM393" s="62">
        <f t="shared" si="410"/>
        <v>1100</v>
      </c>
      <c r="AN393" s="23">
        <f t="shared" si="401"/>
        <v>1100</v>
      </c>
      <c r="AO393" s="24">
        <f t="shared" si="402"/>
        <v>0.12087912087912088</v>
      </c>
      <c r="AP393" s="11"/>
    </row>
    <row r="394" spans="1:42" ht="15" customHeight="1">
      <c r="A394" s="12"/>
      <c r="B394" s="8"/>
      <c r="C394" s="13"/>
      <c r="D394" s="9" t="str">
        <f t="shared" si="411"/>
        <v/>
      </c>
      <c r="E394" s="9"/>
      <c r="F394" s="9" t="str">
        <f t="shared" si="412"/>
        <v/>
      </c>
      <c r="G394" s="9"/>
      <c r="H394" s="9" t="str">
        <f t="shared" si="413"/>
        <v/>
      </c>
      <c r="I394" s="9"/>
      <c r="J394" s="44"/>
      <c r="K394" s="44" t="str">
        <f t="shared" si="414"/>
        <v/>
      </c>
      <c r="L394" s="9" t="str">
        <f t="shared" si="407"/>
        <v/>
      </c>
      <c r="M394" s="10" t="str">
        <f t="shared" si="408"/>
        <v/>
      </c>
      <c r="N394" s="11"/>
      <c r="O394" s="2"/>
      <c r="P394" s="12"/>
      <c r="Q394" s="9">
        <v>10511</v>
      </c>
      <c r="R394" s="81">
        <f t="shared" si="391"/>
        <v>19</v>
      </c>
      <c r="S394" s="9">
        <v>237</v>
      </c>
      <c r="T394" s="9">
        <f t="shared" si="392"/>
        <v>1</v>
      </c>
      <c r="U394" s="9">
        <v>11</v>
      </c>
      <c r="V394" s="9">
        <f t="shared" si="393"/>
        <v>1</v>
      </c>
      <c r="W394" s="13">
        <v>-2</v>
      </c>
      <c r="X394" s="47" t="str">
        <f t="shared" si="415"/>
        <v>サンリオケープポーチ</v>
      </c>
      <c r="Y394" s="45">
        <f t="shared" si="416"/>
        <v>660</v>
      </c>
      <c r="Z394" s="9">
        <f t="shared" si="395"/>
        <v>660</v>
      </c>
      <c r="AA394" s="10">
        <f t="shared" si="396"/>
        <v>0.3473684210526316</v>
      </c>
      <c r="AB394" s="34" t="s">
        <v>221</v>
      </c>
      <c r="AD394" s="12"/>
      <c r="AE394" s="9">
        <v>10760</v>
      </c>
      <c r="AF394" s="9">
        <f t="shared" si="397"/>
        <v>78</v>
      </c>
      <c r="AG394" s="9">
        <v>200</v>
      </c>
      <c r="AH394" s="9">
        <f t="shared" si="398"/>
        <v>1</v>
      </c>
      <c r="AI394" s="9">
        <v>3</v>
      </c>
      <c r="AJ394" s="9">
        <f t="shared" si="399"/>
        <v>0</v>
      </c>
      <c r="AK394" s="13">
        <v>5</v>
      </c>
      <c r="AL394" s="47" t="str">
        <f t="shared" si="409"/>
        <v>液晶ミニカメラ</v>
      </c>
      <c r="AM394" s="45">
        <f t="shared" si="410"/>
        <v>1075</v>
      </c>
      <c r="AN394" s="9">
        <f t="shared" si="401"/>
        <v>0</v>
      </c>
      <c r="AO394" s="10">
        <f t="shared" si="402"/>
        <v>0</v>
      </c>
      <c r="AP394" s="11"/>
    </row>
    <row r="395" spans="1:42" ht="15" customHeight="1">
      <c r="A395" s="12"/>
      <c r="B395" s="8"/>
      <c r="C395" s="9"/>
      <c r="D395" s="9" t="str">
        <f t="shared" si="411"/>
        <v/>
      </c>
      <c r="E395" s="9"/>
      <c r="F395" s="9" t="str">
        <f t="shared" si="412"/>
        <v/>
      </c>
      <c r="G395" s="9"/>
      <c r="H395" s="9" t="str">
        <f t="shared" si="413"/>
        <v/>
      </c>
      <c r="I395" s="9"/>
      <c r="J395" s="44"/>
      <c r="K395" s="44" t="str">
        <f t="shared" si="414"/>
        <v/>
      </c>
      <c r="L395" s="9" t="str">
        <f t="shared" si="407"/>
        <v/>
      </c>
      <c r="M395" s="10" t="str">
        <f t="shared" si="408"/>
        <v/>
      </c>
      <c r="N395" s="11"/>
      <c r="O395" s="2"/>
      <c r="P395" s="12"/>
      <c r="Q395" s="26">
        <v>11120</v>
      </c>
      <c r="R395" s="9">
        <f t="shared" si="391"/>
        <v>88</v>
      </c>
      <c r="S395" s="26">
        <v>418</v>
      </c>
      <c r="T395" s="9">
        <f t="shared" si="392"/>
        <v>2</v>
      </c>
      <c r="U395" s="9">
        <v>9</v>
      </c>
      <c r="V395" s="9">
        <f t="shared" si="393"/>
        <v>4</v>
      </c>
      <c r="W395" s="13">
        <v>0</v>
      </c>
      <c r="X395" s="47" t="str">
        <f t="shared" si="415"/>
        <v>キティボアバンスクリップ</v>
      </c>
      <c r="Y395" s="9">
        <f t="shared" si="416"/>
        <v>1100</v>
      </c>
      <c r="Z395" s="9">
        <f t="shared" si="395"/>
        <v>4400</v>
      </c>
      <c r="AA395" s="10">
        <f t="shared" si="396"/>
        <v>0.5</v>
      </c>
      <c r="AB395" s="11" t="s">
        <v>222</v>
      </c>
      <c r="AD395" s="12"/>
      <c r="AE395" s="26">
        <v>10871</v>
      </c>
      <c r="AF395" s="9">
        <f t="shared" si="397"/>
        <v>32</v>
      </c>
      <c r="AG395" s="26">
        <v>435</v>
      </c>
      <c r="AH395" s="9">
        <f t="shared" si="398"/>
        <v>1</v>
      </c>
      <c r="AI395" s="9">
        <v>11</v>
      </c>
      <c r="AJ395" s="9">
        <f t="shared" si="399"/>
        <v>1</v>
      </c>
      <c r="AK395" s="13">
        <v>0</v>
      </c>
      <c r="AL395" s="47" t="str">
        <f t="shared" si="409"/>
        <v>サンリオ型押しケース</v>
      </c>
      <c r="AM395" s="9">
        <f t="shared" si="410"/>
        <v>1100</v>
      </c>
      <c r="AN395" s="9">
        <f t="shared" si="401"/>
        <v>1100</v>
      </c>
      <c r="AO395" s="10">
        <f t="shared" si="402"/>
        <v>0.34375</v>
      </c>
      <c r="AP395" s="131" t="s">
        <v>208</v>
      </c>
    </row>
    <row r="396" spans="1:42" ht="15" customHeight="1" thickBot="1">
      <c r="A396" s="12"/>
      <c r="B396" s="8"/>
      <c r="C396" s="9"/>
      <c r="D396" s="9" t="str">
        <f t="shared" si="411"/>
        <v/>
      </c>
      <c r="E396" s="9"/>
      <c r="F396" s="9" t="str">
        <f t="shared" si="412"/>
        <v/>
      </c>
      <c r="G396" s="9"/>
      <c r="H396" s="9" t="str">
        <f t="shared" si="413"/>
        <v/>
      </c>
      <c r="I396" s="9"/>
      <c r="J396" s="44"/>
      <c r="K396" s="44" t="str">
        <f t="shared" si="414"/>
        <v/>
      </c>
      <c r="L396" s="9" t="str">
        <f t="shared" si="407"/>
        <v/>
      </c>
      <c r="M396" s="10" t="str">
        <f t="shared" si="408"/>
        <v/>
      </c>
      <c r="N396" s="11"/>
      <c r="O396" s="2"/>
      <c r="P396" s="18"/>
      <c r="Q396" s="19">
        <v>13659</v>
      </c>
      <c r="R396" s="19">
        <f t="shared" si="391"/>
        <v>126</v>
      </c>
      <c r="S396" s="19">
        <v>366</v>
      </c>
      <c r="T396" s="19">
        <f t="shared" si="392"/>
        <v>2</v>
      </c>
      <c r="U396" s="19">
        <v>15</v>
      </c>
      <c r="V396" s="19">
        <f t="shared" si="393"/>
        <v>2</v>
      </c>
      <c r="W396" s="37">
        <v>0</v>
      </c>
      <c r="X396" s="48" t="str">
        <f t="shared" si="415"/>
        <v>ラブブキーホルダー</v>
      </c>
      <c r="Y396" s="51">
        <f t="shared" si="416"/>
        <v>400</v>
      </c>
      <c r="Z396" s="19">
        <f t="shared" si="395"/>
        <v>800</v>
      </c>
      <c r="AA396" s="20">
        <f t="shared" si="396"/>
        <v>6.3492063492063489E-2</v>
      </c>
      <c r="AB396" s="11" t="s">
        <v>222</v>
      </c>
      <c r="AD396" s="18"/>
      <c r="AE396" s="19">
        <v>13763</v>
      </c>
      <c r="AF396" s="19">
        <f t="shared" si="397"/>
        <v>158</v>
      </c>
      <c r="AG396" s="19">
        <v>458</v>
      </c>
      <c r="AH396" s="19">
        <f t="shared" si="398"/>
        <v>5</v>
      </c>
      <c r="AI396" s="19">
        <v>120</v>
      </c>
      <c r="AJ396" s="19">
        <f t="shared" si="399"/>
        <v>10</v>
      </c>
      <c r="AK396" s="37">
        <v>0</v>
      </c>
      <c r="AL396" s="48" t="str">
        <f t="shared" si="409"/>
        <v>AIモンスターラバー</v>
      </c>
      <c r="AM396" s="51">
        <f t="shared" si="410"/>
        <v>200</v>
      </c>
      <c r="AN396" s="19">
        <f t="shared" si="401"/>
        <v>2000</v>
      </c>
      <c r="AO396" s="20">
        <f t="shared" si="402"/>
        <v>0.12658227848101267</v>
      </c>
      <c r="AP396" s="11"/>
    </row>
    <row r="397" spans="1:42" ht="15" customHeight="1" thickTop="1">
      <c r="A397" s="12"/>
      <c r="B397" s="8"/>
      <c r="C397" s="9"/>
      <c r="D397" s="9" t="str">
        <f>IF(C397="","",C397-C398)</f>
        <v/>
      </c>
      <c r="E397" s="9"/>
      <c r="F397" s="9" t="str">
        <f>IF(E397="","",E397-E398)</f>
        <v/>
      </c>
      <c r="G397" s="9"/>
      <c r="H397" s="9" t="str">
        <f>IF(G397="","",G398+I398-G397)</f>
        <v/>
      </c>
      <c r="I397" s="9"/>
      <c r="J397" s="44"/>
      <c r="K397" s="44" t="str">
        <f>IF(C397="","",K398)</f>
        <v/>
      </c>
      <c r="L397" s="9" t="str">
        <f t="shared" si="407"/>
        <v/>
      </c>
      <c r="M397" s="10" t="str">
        <f t="shared" si="408"/>
        <v/>
      </c>
      <c r="N397" s="11"/>
      <c r="O397" s="2"/>
      <c r="P397" s="65">
        <f>IF($A379="","",$A379)</f>
        <v>46026</v>
      </c>
      <c r="Q397" s="9">
        <v>11206</v>
      </c>
      <c r="R397" s="113">
        <f t="shared" si="391"/>
        <v>36</v>
      </c>
      <c r="S397" s="9">
        <v>311</v>
      </c>
      <c r="T397" s="23">
        <f t="shared" si="392"/>
        <v>1</v>
      </c>
      <c r="U397" s="9">
        <v>10</v>
      </c>
      <c r="V397" s="44">
        <f t="shared" si="393"/>
        <v>1</v>
      </c>
      <c r="W397" s="66">
        <v>0</v>
      </c>
      <c r="X397" s="61" t="str">
        <f t="shared" si="415"/>
        <v>キティ豹柄キーケース</v>
      </c>
      <c r="Y397" s="62">
        <f t="shared" si="416"/>
        <v>996</v>
      </c>
      <c r="Z397" s="23">
        <f t="shared" si="395"/>
        <v>996</v>
      </c>
      <c r="AA397" s="24">
        <f t="shared" si="396"/>
        <v>0.27666666666666667</v>
      </c>
      <c r="AB397" s="11"/>
      <c r="AD397" s="65">
        <f>IF($A379="","",$A379)</f>
        <v>46026</v>
      </c>
      <c r="AE397" s="9">
        <v>8218</v>
      </c>
      <c r="AF397" s="44">
        <f t="shared" si="397"/>
        <v>182</v>
      </c>
      <c r="AG397" s="9">
        <v>234</v>
      </c>
      <c r="AH397" s="23">
        <f t="shared" si="398"/>
        <v>0</v>
      </c>
      <c r="AI397" s="9">
        <v>23</v>
      </c>
      <c r="AJ397" s="44">
        <f t="shared" si="399"/>
        <v>0</v>
      </c>
      <c r="AK397" s="66">
        <v>0</v>
      </c>
      <c r="AL397" s="61" t="str">
        <f t="shared" si="409"/>
        <v>ゲーム機柄イヤホン</v>
      </c>
      <c r="AM397" s="62">
        <f t="shared" si="410"/>
        <v>1100</v>
      </c>
      <c r="AN397" s="23">
        <f t="shared" si="401"/>
        <v>0</v>
      </c>
      <c r="AO397" s="24">
        <f t="shared" si="402"/>
        <v>0</v>
      </c>
      <c r="AP397" s="11"/>
    </row>
    <row r="398" spans="1:42" ht="15" customHeight="1">
      <c r="A398" s="12"/>
      <c r="B398" s="8"/>
      <c r="C398" s="9"/>
      <c r="D398" s="9" t="str">
        <f>IF(C398="","",C398-C396)</f>
        <v/>
      </c>
      <c r="E398" s="9"/>
      <c r="F398" s="9" t="str">
        <f>IF(E398="","",E398-E396)</f>
        <v/>
      </c>
      <c r="G398" s="9"/>
      <c r="H398" s="9" t="str">
        <f>IF(G398="","",G396+I396-G398)</f>
        <v/>
      </c>
      <c r="I398" s="9"/>
      <c r="J398" s="44"/>
      <c r="K398" s="44" t="str">
        <f>IF(C398="","",K396)</f>
        <v/>
      </c>
      <c r="L398" s="9" t="str">
        <f t="shared" si="407"/>
        <v/>
      </c>
      <c r="M398" s="10" t="str">
        <f t="shared" si="408"/>
        <v/>
      </c>
      <c r="N398" s="11"/>
      <c r="O398" s="2"/>
      <c r="P398" s="65"/>
      <c r="Q398" s="44">
        <v>10605</v>
      </c>
      <c r="R398" s="9">
        <f t="shared" si="391"/>
        <v>94</v>
      </c>
      <c r="S398" s="44">
        <v>238</v>
      </c>
      <c r="T398" s="9">
        <f t="shared" si="392"/>
        <v>1</v>
      </c>
      <c r="U398" s="9">
        <v>7</v>
      </c>
      <c r="V398" s="9">
        <f t="shared" si="393"/>
        <v>2</v>
      </c>
      <c r="W398" s="13">
        <v>0</v>
      </c>
      <c r="X398" s="47" t="str">
        <f t="shared" si="415"/>
        <v>サンリオケープポーチ</v>
      </c>
      <c r="Y398" s="45">
        <f t="shared" si="416"/>
        <v>660</v>
      </c>
      <c r="Z398" s="9">
        <f t="shared" si="395"/>
        <v>1320</v>
      </c>
      <c r="AA398" s="10">
        <f t="shared" si="396"/>
        <v>0.14042553191489363</v>
      </c>
      <c r="AB398" s="11"/>
      <c r="AD398" s="65"/>
      <c r="AE398" s="44">
        <v>10926</v>
      </c>
      <c r="AF398" s="9">
        <f t="shared" si="397"/>
        <v>166</v>
      </c>
      <c r="AG398" s="44">
        <v>201</v>
      </c>
      <c r="AH398" s="9">
        <f t="shared" si="398"/>
        <v>1</v>
      </c>
      <c r="AI398" s="9">
        <v>7</v>
      </c>
      <c r="AJ398" s="9">
        <f t="shared" si="399"/>
        <v>1</v>
      </c>
      <c r="AK398" s="13">
        <v>0</v>
      </c>
      <c r="AL398" s="47" t="str">
        <f t="shared" si="409"/>
        <v>液晶ミニカメラ</v>
      </c>
      <c r="AM398" s="45">
        <f t="shared" si="410"/>
        <v>1075</v>
      </c>
      <c r="AN398" s="9">
        <f t="shared" si="401"/>
        <v>1075</v>
      </c>
      <c r="AO398" s="10">
        <f t="shared" si="402"/>
        <v>6.4759036144578314E-2</v>
      </c>
      <c r="AP398" s="11"/>
    </row>
    <row r="399" spans="1:42" ht="15" customHeight="1">
      <c r="A399" s="12"/>
      <c r="B399" s="8"/>
      <c r="C399" s="9"/>
      <c r="D399" s="9" t="str">
        <f>IF(C399="","",C399-C397)</f>
        <v/>
      </c>
      <c r="E399" s="9"/>
      <c r="F399" s="9" t="str">
        <f>IF(E399="","",E399-E397)</f>
        <v/>
      </c>
      <c r="G399" s="9"/>
      <c r="H399" s="9" t="str">
        <f>IF(G399="","",G397+I397-G399)</f>
        <v/>
      </c>
      <c r="I399" s="9"/>
      <c r="J399" s="44"/>
      <c r="K399" s="44" t="str">
        <f>IF(C399="","",K397)</f>
        <v/>
      </c>
      <c r="L399" s="9" t="str">
        <f t="shared" si="407"/>
        <v/>
      </c>
      <c r="M399" s="10" t="str">
        <f t="shared" si="408"/>
        <v/>
      </c>
      <c r="N399" s="11"/>
      <c r="O399" s="2"/>
      <c r="P399" s="12"/>
      <c r="Q399" s="9">
        <v>11245</v>
      </c>
      <c r="R399" s="9">
        <f t="shared" si="391"/>
        <v>125</v>
      </c>
      <c r="S399" s="9">
        <v>420</v>
      </c>
      <c r="T399" s="9">
        <f t="shared" si="392"/>
        <v>2</v>
      </c>
      <c r="U399" s="9">
        <v>6</v>
      </c>
      <c r="V399" s="9">
        <f t="shared" si="393"/>
        <v>3</v>
      </c>
      <c r="W399" s="38">
        <v>0</v>
      </c>
      <c r="X399" s="47" t="str">
        <f t="shared" si="415"/>
        <v>キティボアバンスクリップ</v>
      </c>
      <c r="Y399" s="9">
        <f t="shared" si="416"/>
        <v>1100</v>
      </c>
      <c r="Z399" s="9">
        <f t="shared" si="395"/>
        <v>3300</v>
      </c>
      <c r="AA399" s="10">
        <f t="shared" si="396"/>
        <v>0.26400000000000001</v>
      </c>
      <c r="AB399" s="11" t="s">
        <v>224</v>
      </c>
      <c r="AD399" s="12"/>
      <c r="AE399" s="9">
        <v>10930</v>
      </c>
      <c r="AF399" s="81">
        <f t="shared" si="397"/>
        <v>59</v>
      </c>
      <c r="AG399" s="9">
        <v>438</v>
      </c>
      <c r="AH399" s="9">
        <f t="shared" si="398"/>
        <v>3</v>
      </c>
      <c r="AI399" s="9">
        <v>8</v>
      </c>
      <c r="AJ399" s="9">
        <f t="shared" si="399"/>
        <v>3</v>
      </c>
      <c r="AK399" s="38">
        <v>0</v>
      </c>
      <c r="AL399" s="47" t="str">
        <f t="shared" si="409"/>
        <v>サンリオ型押しケース</v>
      </c>
      <c r="AM399" s="9">
        <f t="shared" si="410"/>
        <v>1100</v>
      </c>
      <c r="AN399" s="9">
        <f t="shared" si="401"/>
        <v>3300</v>
      </c>
      <c r="AO399" s="10">
        <f t="shared" si="402"/>
        <v>0.55932203389830504</v>
      </c>
      <c r="AP399" s="11" t="s">
        <v>223</v>
      </c>
    </row>
    <row r="400" spans="1:42" ht="15" customHeight="1" thickBot="1">
      <c r="A400" s="12"/>
      <c r="B400" s="8"/>
      <c r="C400" s="9"/>
      <c r="D400" s="9" t="str">
        <f t="shared" ref="D400:D425" si="417">IF(C400="","",C400-C399)</f>
        <v/>
      </c>
      <c r="E400" s="9"/>
      <c r="F400" s="9" t="str">
        <f t="shared" ref="F400:F426" si="418">IF(E400="","",E400-E399)</f>
        <v/>
      </c>
      <c r="G400" s="9"/>
      <c r="H400" s="9" t="str">
        <f t="shared" ref="H400:H426" si="419">IF(G400="","",G399+I399-G400)</f>
        <v/>
      </c>
      <c r="I400" s="9"/>
      <c r="J400" s="44"/>
      <c r="K400" s="44" t="str">
        <f>IF(C400="","",K399)</f>
        <v/>
      </c>
      <c r="L400" s="9" t="str">
        <f t="shared" si="407"/>
        <v/>
      </c>
      <c r="M400" s="10" t="str">
        <f t="shared" si="408"/>
        <v/>
      </c>
      <c r="N400" s="11"/>
      <c r="O400" s="2"/>
      <c r="P400" s="18"/>
      <c r="Q400" s="19">
        <v>13826</v>
      </c>
      <c r="R400" s="19">
        <f t="shared" si="391"/>
        <v>167</v>
      </c>
      <c r="S400" s="19">
        <v>369</v>
      </c>
      <c r="T400" s="19">
        <f t="shared" si="392"/>
        <v>3</v>
      </c>
      <c r="U400" s="19">
        <v>12</v>
      </c>
      <c r="V400" s="19">
        <f t="shared" si="393"/>
        <v>3</v>
      </c>
      <c r="W400" s="37">
        <v>0</v>
      </c>
      <c r="X400" s="48" t="str">
        <f t="shared" si="415"/>
        <v>ラブブキーホルダー</v>
      </c>
      <c r="Y400" s="51">
        <f t="shared" si="416"/>
        <v>400</v>
      </c>
      <c r="Z400" s="19">
        <f t="shared" si="395"/>
        <v>1200</v>
      </c>
      <c r="AA400" s="20">
        <f t="shared" si="396"/>
        <v>7.1856287425149698E-2</v>
      </c>
      <c r="AB400" s="11"/>
      <c r="AD400" s="18"/>
      <c r="AE400" s="19">
        <v>13946</v>
      </c>
      <c r="AF400" s="19">
        <f t="shared" si="397"/>
        <v>183</v>
      </c>
      <c r="AG400" s="19">
        <v>468</v>
      </c>
      <c r="AH400" s="19">
        <f t="shared" si="398"/>
        <v>10</v>
      </c>
      <c r="AI400" s="19">
        <v>108</v>
      </c>
      <c r="AJ400" s="19">
        <f t="shared" si="399"/>
        <v>12</v>
      </c>
      <c r="AK400" s="37">
        <v>0</v>
      </c>
      <c r="AL400" s="48" t="str">
        <f t="shared" si="409"/>
        <v>AIモンスターラバー</v>
      </c>
      <c r="AM400" s="51">
        <f t="shared" si="410"/>
        <v>200</v>
      </c>
      <c r="AN400" s="19">
        <f t="shared" si="401"/>
        <v>2400</v>
      </c>
      <c r="AO400" s="20">
        <f t="shared" si="402"/>
        <v>0.13114754098360656</v>
      </c>
      <c r="AP400" s="11"/>
    </row>
    <row r="401" spans="1:42" ht="15" customHeight="1" thickTop="1">
      <c r="A401" s="12"/>
      <c r="B401" s="8"/>
      <c r="C401" s="9"/>
      <c r="D401" s="9" t="str">
        <f t="shared" si="417"/>
        <v/>
      </c>
      <c r="E401" s="9"/>
      <c r="F401" s="9" t="str">
        <f t="shared" si="418"/>
        <v/>
      </c>
      <c r="G401" s="9"/>
      <c r="H401" s="9" t="str">
        <f t="shared" si="419"/>
        <v/>
      </c>
      <c r="I401" s="9"/>
      <c r="J401" s="44"/>
      <c r="K401" s="44" t="str">
        <f>IF(C401="","",K400)</f>
        <v/>
      </c>
      <c r="L401" s="9" t="str">
        <f t="shared" si="407"/>
        <v/>
      </c>
      <c r="M401" s="10" t="str">
        <f t="shared" si="408"/>
        <v/>
      </c>
      <c r="N401" s="11"/>
      <c r="O401" s="2"/>
      <c r="P401" s="65">
        <f>IF($A380="","",$A380)</f>
        <v>46031</v>
      </c>
      <c r="Q401" s="9">
        <v>11363</v>
      </c>
      <c r="R401" s="44">
        <f t="shared" si="391"/>
        <v>157</v>
      </c>
      <c r="S401" s="9">
        <v>315</v>
      </c>
      <c r="T401" s="23">
        <f t="shared" si="392"/>
        <v>4</v>
      </c>
      <c r="U401" s="9">
        <v>6</v>
      </c>
      <c r="V401" s="44">
        <f t="shared" si="393"/>
        <v>4</v>
      </c>
      <c r="W401" s="66">
        <v>0</v>
      </c>
      <c r="X401" s="61" t="str">
        <f t="shared" si="415"/>
        <v>キティ豹柄キーケース</v>
      </c>
      <c r="Y401" s="62">
        <f t="shared" si="416"/>
        <v>996</v>
      </c>
      <c r="Z401" s="23">
        <f t="shared" si="395"/>
        <v>3984</v>
      </c>
      <c r="AA401" s="24">
        <f t="shared" si="396"/>
        <v>0.25375796178343951</v>
      </c>
      <c r="AB401" s="11"/>
      <c r="AD401" s="65">
        <f>IF($A380="","",$A380)</f>
        <v>46031</v>
      </c>
      <c r="AE401" s="9">
        <v>8382</v>
      </c>
      <c r="AF401" s="44">
        <f t="shared" si="397"/>
        <v>164</v>
      </c>
      <c r="AG401" s="9">
        <v>238</v>
      </c>
      <c r="AH401" s="23">
        <f t="shared" si="398"/>
        <v>4</v>
      </c>
      <c r="AI401" s="9">
        <v>20</v>
      </c>
      <c r="AJ401" s="44">
        <f t="shared" si="399"/>
        <v>3</v>
      </c>
      <c r="AK401" s="66">
        <v>0</v>
      </c>
      <c r="AL401" s="61" t="str">
        <f t="shared" si="409"/>
        <v>ゲーム機柄イヤホン</v>
      </c>
      <c r="AM401" s="62">
        <f t="shared" si="410"/>
        <v>1100</v>
      </c>
      <c r="AN401" s="23">
        <f t="shared" si="401"/>
        <v>3300</v>
      </c>
      <c r="AO401" s="24">
        <f t="shared" si="402"/>
        <v>0.20121951219512196</v>
      </c>
      <c r="AP401" s="11"/>
    </row>
    <row r="402" spans="1:42" ht="15" customHeight="1">
      <c r="A402" s="12"/>
      <c r="B402" s="8"/>
      <c r="C402" s="9"/>
      <c r="D402" s="9" t="str">
        <f t="shared" si="417"/>
        <v/>
      </c>
      <c r="E402" s="9"/>
      <c r="F402" s="9" t="str">
        <f t="shared" si="418"/>
        <v/>
      </c>
      <c r="G402" s="9"/>
      <c r="H402" s="9" t="str">
        <f t="shared" si="419"/>
        <v/>
      </c>
      <c r="I402" s="9"/>
      <c r="J402" s="44"/>
      <c r="K402" s="44" t="str">
        <f>IF(C402="","",K401)</f>
        <v/>
      </c>
      <c r="L402" s="9" t="str">
        <f t="shared" si="407"/>
        <v/>
      </c>
      <c r="M402" s="10" t="str">
        <f t="shared" si="408"/>
        <v/>
      </c>
      <c r="N402" s="11"/>
      <c r="O402" s="2"/>
      <c r="P402" s="12"/>
      <c r="Q402" s="44">
        <v>10661</v>
      </c>
      <c r="R402" s="81">
        <f t="shared" si="391"/>
        <v>56</v>
      </c>
      <c r="S402" s="44">
        <v>241</v>
      </c>
      <c r="T402" s="9">
        <f t="shared" si="392"/>
        <v>3</v>
      </c>
      <c r="U402" s="9">
        <v>3</v>
      </c>
      <c r="V402" s="9">
        <f t="shared" si="393"/>
        <v>4</v>
      </c>
      <c r="W402" s="13">
        <v>5</v>
      </c>
      <c r="X402" s="47" t="str">
        <f t="shared" si="415"/>
        <v>サンリオケープポーチ</v>
      </c>
      <c r="Y402" s="45">
        <f t="shared" si="416"/>
        <v>660</v>
      </c>
      <c r="Z402" s="9">
        <f t="shared" si="395"/>
        <v>2640</v>
      </c>
      <c r="AA402" s="10">
        <f t="shared" si="396"/>
        <v>0.47142857142857142</v>
      </c>
      <c r="AB402" s="11" t="s">
        <v>226</v>
      </c>
      <c r="AD402" s="12"/>
      <c r="AE402" s="44">
        <v>11226</v>
      </c>
      <c r="AF402" s="9">
        <f t="shared" si="397"/>
        <v>300</v>
      </c>
      <c r="AG402" s="44">
        <v>204</v>
      </c>
      <c r="AH402" s="9">
        <f t="shared" si="398"/>
        <v>3</v>
      </c>
      <c r="AI402" s="9">
        <v>14</v>
      </c>
      <c r="AJ402" s="9">
        <f t="shared" si="399"/>
        <v>-7</v>
      </c>
      <c r="AK402" s="13">
        <v>1</v>
      </c>
      <c r="AL402" s="47" t="str">
        <f t="shared" si="409"/>
        <v>液晶ミニカメラ</v>
      </c>
      <c r="AM402" s="45">
        <f t="shared" si="410"/>
        <v>1075</v>
      </c>
      <c r="AN402" s="9">
        <f t="shared" si="401"/>
        <v>-7525</v>
      </c>
      <c r="AO402" s="10">
        <f t="shared" si="402"/>
        <v>-0.25083333333333335</v>
      </c>
      <c r="AP402" s="11"/>
    </row>
    <row r="403" spans="1:42">
      <c r="A403" s="12"/>
      <c r="B403" s="8"/>
      <c r="C403" s="9"/>
      <c r="D403" s="9" t="str">
        <f t="shared" si="417"/>
        <v/>
      </c>
      <c r="E403" s="9"/>
      <c r="F403" s="9" t="str">
        <f t="shared" si="418"/>
        <v/>
      </c>
      <c r="G403" s="9"/>
      <c r="H403" s="9" t="str">
        <f t="shared" si="419"/>
        <v/>
      </c>
      <c r="I403" s="9"/>
      <c r="J403" s="9"/>
      <c r="K403" s="9"/>
      <c r="L403" s="9" t="str">
        <f t="shared" si="407"/>
        <v/>
      </c>
      <c r="M403" s="10" t="str">
        <f t="shared" si="408"/>
        <v/>
      </c>
      <c r="N403" s="11"/>
      <c r="O403" s="2"/>
      <c r="P403" s="12"/>
      <c r="Q403" s="9">
        <v>11394</v>
      </c>
      <c r="R403" s="9">
        <f t="shared" si="391"/>
        <v>149</v>
      </c>
      <c r="S403" s="9">
        <v>424</v>
      </c>
      <c r="T403" s="9">
        <f t="shared" si="392"/>
        <v>4</v>
      </c>
      <c r="U403" s="9">
        <v>1</v>
      </c>
      <c r="V403" s="9">
        <f t="shared" si="393"/>
        <v>5</v>
      </c>
      <c r="W403" s="38">
        <v>12</v>
      </c>
      <c r="X403" s="47" t="str">
        <f t="shared" si="415"/>
        <v>キティボアバンスクリップ</v>
      </c>
      <c r="Y403" s="9">
        <f t="shared" si="416"/>
        <v>1100</v>
      </c>
      <c r="Z403" s="9">
        <f t="shared" si="395"/>
        <v>5500</v>
      </c>
      <c r="AA403" s="10">
        <f t="shared" si="396"/>
        <v>0.36912751677852351</v>
      </c>
      <c r="AB403" s="11"/>
      <c r="AD403" s="12"/>
      <c r="AE403" s="9">
        <v>11120</v>
      </c>
      <c r="AF403" s="9">
        <f t="shared" si="397"/>
        <v>190</v>
      </c>
      <c r="AG403" s="9">
        <v>441</v>
      </c>
      <c r="AH403" s="9">
        <f t="shared" si="398"/>
        <v>3</v>
      </c>
      <c r="AI403" s="9">
        <v>11</v>
      </c>
      <c r="AJ403" s="9">
        <f t="shared" si="399"/>
        <v>-3</v>
      </c>
      <c r="AK403" s="38">
        <v>16</v>
      </c>
      <c r="AL403" s="47" t="s">
        <v>225</v>
      </c>
      <c r="AM403" s="9">
        <f t="shared" ref="AM403:AM412" si="420">IF(AF403="","",AM399)</f>
        <v>1100</v>
      </c>
      <c r="AN403" s="9">
        <f t="shared" si="401"/>
        <v>-3300</v>
      </c>
      <c r="AO403" s="10">
        <f t="shared" si="402"/>
        <v>-0.1736842105263158</v>
      </c>
      <c r="AP403" s="11"/>
    </row>
    <row r="404" spans="1:42" ht="15" customHeight="1" thickBot="1">
      <c r="A404" s="12"/>
      <c r="B404" s="8"/>
      <c r="C404" s="9"/>
      <c r="D404" s="9" t="str">
        <f t="shared" si="417"/>
        <v/>
      </c>
      <c r="E404" s="9"/>
      <c r="F404" s="9" t="str">
        <f t="shared" si="418"/>
        <v/>
      </c>
      <c r="G404" s="9"/>
      <c r="H404" s="9" t="str">
        <f t="shared" si="419"/>
        <v/>
      </c>
      <c r="I404" s="9"/>
      <c r="J404" s="9"/>
      <c r="K404" s="9"/>
      <c r="L404" s="9" t="str">
        <f t="shared" si="407"/>
        <v/>
      </c>
      <c r="M404" s="10" t="str">
        <f t="shared" si="408"/>
        <v/>
      </c>
      <c r="N404" s="11"/>
      <c r="O404" s="2"/>
      <c r="P404" s="18"/>
      <c r="Q404" s="19">
        <v>14036</v>
      </c>
      <c r="R404" s="19">
        <f t="shared" si="391"/>
        <v>210</v>
      </c>
      <c r="S404" s="19">
        <v>370</v>
      </c>
      <c r="T404" s="19">
        <f t="shared" si="392"/>
        <v>1</v>
      </c>
      <c r="U404" s="19">
        <v>11</v>
      </c>
      <c r="V404" s="19">
        <f t="shared" si="393"/>
        <v>1</v>
      </c>
      <c r="W404" s="37">
        <v>4</v>
      </c>
      <c r="X404" s="48" t="str">
        <f t="shared" si="415"/>
        <v>ラブブキーホルダー</v>
      </c>
      <c r="Y404" s="51">
        <f t="shared" si="416"/>
        <v>400</v>
      </c>
      <c r="Z404" s="19">
        <f t="shared" si="395"/>
        <v>400</v>
      </c>
      <c r="AA404" s="20">
        <f t="shared" si="396"/>
        <v>1.9047619047619049E-2</v>
      </c>
      <c r="AB404" s="11"/>
      <c r="AD404" s="18"/>
      <c r="AE404" s="19">
        <v>14113</v>
      </c>
      <c r="AF404" s="19">
        <f t="shared" si="397"/>
        <v>167</v>
      </c>
      <c r="AG404" s="19">
        <v>475</v>
      </c>
      <c r="AH404" s="19">
        <f t="shared" si="398"/>
        <v>7</v>
      </c>
      <c r="AI404" s="19">
        <v>100</v>
      </c>
      <c r="AJ404" s="19">
        <f t="shared" si="399"/>
        <v>8</v>
      </c>
      <c r="AK404" s="37">
        <v>3</v>
      </c>
      <c r="AL404" s="48" t="str">
        <f t="shared" ref="AL404:AL412" si="421">IF(AE404="","",AL400)</f>
        <v>AIモンスターラバー</v>
      </c>
      <c r="AM404" s="51">
        <f t="shared" si="420"/>
        <v>200</v>
      </c>
      <c r="AN404" s="19">
        <f t="shared" si="401"/>
        <v>1600</v>
      </c>
      <c r="AO404" s="20">
        <f t="shared" si="402"/>
        <v>9.580838323353294E-2</v>
      </c>
      <c r="AP404" s="11"/>
    </row>
    <row r="405" spans="1:42" ht="15" customHeight="1" thickTop="1">
      <c r="A405" s="12"/>
      <c r="B405" s="8"/>
      <c r="C405" s="9"/>
      <c r="D405" s="9" t="str">
        <f t="shared" si="417"/>
        <v/>
      </c>
      <c r="E405" s="9"/>
      <c r="F405" s="9" t="str">
        <f t="shared" si="418"/>
        <v/>
      </c>
      <c r="G405" s="9"/>
      <c r="H405" s="9" t="str">
        <f t="shared" si="419"/>
        <v/>
      </c>
      <c r="I405" s="9"/>
      <c r="J405" s="9"/>
      <c r="K405" s="9"/>
      <c r="L405" s="9" t="str">
        <f t="shared" si="407"/>
        <v/>
      </c>
      <c r="M405" s="10" t="str">
        <f t="shared" si="408"/>
        <v/>
      </c>
      <c r="N405" s="11"/>
      <c r="O405" s="2"/>
      <c r="P405" s="65">
        <f>IF($A381="","",$A381)</f>
        <v>46034</v>
      </c>
      <c r="Q405" s="9">
        <v>11457</v>
      </c>
      <c r="R405" s="44">
        <f t="shared" si="391"/>
        <v>94</v>
      </c>
      <c r="S405" s="9">
        <v>319</v>
      </c>
      <c r="T405" s="23">
        <f t="shared" si="392"/>
        <v>4</v>
      </c>
      <c r="U405" s="9">
        <v>3</v>
      </c>
      <c r="V405" s="44">
        <f t="shared" si="393"/>
        <v>3</v>
      </c>
      <c r="W405" s="133">
        <v>0</v>
      </c>
      <c r="X405" s="61" t="str">
        <f t="shared" si="415"/>
        <v>キティ豹柄キーケース</v>
      </c>
      <c r="Y405" s="62">
        <f t="shared" si="416"/>
        <v>996</v>
      </c>
      <c r="Z405" s="23">
        <f t="shared" si="395"/>
        <v>2988</v>
      </c>
      <c r="AA405" s="24">
        <f t="shared" si="396"/>
        <v>0.31787234042553192</v>
      </c>
      <c r="AB405" s="11"/>
      <c r="AD405" s="65">
        <f>IF($A381="","",$A381)</f>
        <v>46034</v>
      </c>
      <c r="AE405" s="9">
        <v>8477</v>
      </c>
      <c r="AF405" s="44">
        <f t="shared" si="397"/>
        <v>95</v>
      </c>
      <c r="AG405" s="9">
        <v>238</v>
      </c>
      <c r="AH405" s="23">
        <f t="shared" si="398"/>
        <v>0</v>
      </c>
      <c r="AI405" s="9">
        <v>20</v>
      </c>
      <c r="AJ405" s="44">
        <f t="shared" si="399"/>
        <v>0</v>
      </c>
      <c r="AK405" s="66">
        <v>0</v>
      </c>
      <c r="AL405" s="61" t="str">
        <f t="shared" si="421"/>
        <v>ゲーム機柄イヤホン</v>
      </c>
      <c r="AM405" s="62">
        <f t="shared" si="420"/>
        <v>1100</v>
      </c>
      <c r="AN405" s="23">
        <f t="shared" si="401"/>
        <v>0</v>
      </c>
      <c r="AO405" s="24">
        <f t="shared" si="402"/>
        <v>0</v>
      </c>
      <c r="AP405" s="11"/>
    </row>
    <row r="406" spans="1:42" ht="15" customHeight="1">
      <c r="A406" s="12"/>
      <c r="B406" s="8"/>
      <c r="C406" s="9"/>
      <c r="D406" s="9" t="str">
        <f t="shared" si="417"/>
        <v/>
      </c>
      <c r="E406" s="9"/>
      <c r="F406" s="9" t="str">
        <f t="shared" si="418"/>
        <v/>
      </c>
      <c r="G406" s="9"/>
      <c r="H406" s="9" t="str">
        <f t="shared" si="419"/>
        <v/>
      </c>
      <c r="I406" s="9"/>
      <c r="J406" s="9"/>
      <c r="K406" s="9"/>
      <c r="L406" s="9" t="str">
        <f t="shared" si="407"/>
        <v/>
      </c>
      <c r="M406" s="10" t="str">
        <f t="shared" si="408"/>
        <v/>
      </c>
      <c r="N406" s="11"/>
      <c r="O406" s="2"/>
      <c r="P406" s="12"/>
      <c r="Q406" s="44">
        <v>10751</v>
      </c>
      <c r="R406" s="9">
        <f t="shared" si="391"/>
        <v>90</v>
      </c>
      <c r="S406" s="44">
        <v>244</v>
      </c>
      <c r="T406" s="9">
        <f t="shared" si="392"/>
        <v>3</v>
      </c>
      <c r="U406" s="9">
        <v>5</v>
      </c>
      <c r="V406" s="9">
        <f t="shared" si="393"/>
        <v>3</v>
      </c>
      <c r="W406" s="13">
        <v>4</v>
      </c>
      <c r="X406" s="47" t="str">
        <f t="shared" si="415"/>
        <v>サンリオケープポーチ</v>
      </c>
      <c r="Y406" s="45">
        <f t="shared" si="416"/>
        <v>660</v>
      </c>
      <c r="Z406" s="9">
        <f t="shared" si="395"/>
        <v>1980</v>
      </c>
      <c r="AA406" s="10">
        <f t="shared" si="396"/>
        <v>0.22</v>
      </c>
      <c r="AB406" s="11"/>
      <c r="AD406" s="12"/>
      <c r="AE406" s="44">
        <v>11382</v>
      </c>
      <c r="AF406" s="9">
        <f t="shared" si="397"/>
        <v>156</v>
      </c>
      <c r="AG406" s="44">
        <v>204</v>
      </c>
      <c r="AH406" s="9">
        <f t="shared" si="398"/>
        <v>0</v>
      </c>
      <c r="AI406" s="9">
        <v>15</v>
      </c>
      <c r="AJ406" s="9">
        <f t="shared" si="399"/>
        <v>0</v>
      </c>
      <c r="AK406" s="13">
        <v>0</v>
      </c>
      <c r="AL406" s="47" t="str">
        <f t="shared" si="421"/>
        <v>液晶ミニカメラ</v>
      </c>
      <c r="AM406" s="45">
        <f t="shared" si="420"/>
        <v>1075</v>
      </c>
      <c r="AN406" s="9">
        <f t="shared" si="401"/>
        <v>0</v>
      </c>
      <c r="AO406" s="10">
        <f t="shared" si="402"/>
        <v>0</v>
      </c>
      <c r="AP406" s="11" t="s">
        <v>228</v>
      </c>
    </row>
    <row r="407" spans="1:42" ht="15" customHeight="1">
      <c r="A407" s="12"/>
      <c r="B407" s="8"/>
      <c r="C407" s="9"/>
      <c r="D407" s="9" t="str">
        <f t="shared" si="417"/>
        <v/>
      </c>
      <c r="E407" s="9"/>
      <c r="F407" s="9" t="str">
        <f t="shared" si="418"/>
        <v/>
      </c>
      <c r="G407" s="9"/>
      <c r="H407" s="9" t="str">
        <f t="shared" si="419"/>
        <v/>
      </c>
      <c r="I407" s="9"/>
      <c r="J407" s="9"/>
      <c r="K407" s="9"/>
      <c r="L407" s="9" t="str">
        <f t="shared" si="407"/>
        <v/>
      </c>
      <c r="M407" s="10" t="str">
        <f t="shared" si="408"/>
        <v/>
      </c>
      <c r="N407" s="11"/>
      <c r="O407" s="2"/>
      <c r="P407" s="12"/>
      <c r="Q407" s="9">
        <v>11576</v>
      </c>
      <c r="R407" s="9">
        <f t="shared" si="391"/>
        <v>182</v>
      </c>
      <c r="S407" s="9">
        <v>428</v>
      </c>
      <c r="T407" s="9">
        <f t="shared" si="392"/>
        <v>4</v>
      </c>
      <c r="U407" s="9">
        <v>9</v>
      </c>
      <c r="V407" s="9">
        <f t="shared" si="393"/>
        <v>4</v>
      </c>
      <c r="W407" s="38">
        <v>4</v>
      </c>
      <c r="X407" s="47" t="str">
        <f t="shared" si="415"/>
        <v>キティボアバンスクリップ</v>
      </c>
      <c r="Y407" s="9">
        <f t="shared" si="416"/>
        <v>1100</v>
      </c>
      <c r="Z407" s="9">
        <f t="shared" si="395"/>
        <v>4400</v>
      </c>
      <c r="AA407" s="10">
        <f t="shared" si="396"/>
        <v>0.24175824175824176</v>
      </c>
      <c r="AB407" s="11"/>
      <c r="AD407" s="12"/>
      <c r="AE407" s="9">
        <v>11347</v>
      </c>
      <c r="AF407" s="9">
        <f t="shared" si="397"/>
        <v>227</v>
      </c>
      <c r="AG407" s="9">
        <v>442</v>
      </c>
      <c r="AH407" s="9">
        <f t="shared" si="398"/>
        <v>1</v>
      </c>
      <c r="AI407" s="9">
        <v>26</v>
      </c>
      <c r="AJ407" s="9">
        <f t="shared" si="399"/>
        <v>1</v>
      </c>
      <c r="AK407" s="38">
        <v>8</v>
      </c>
      <c r="AL407" s="47" t="str">
        <f t="shared" si="421"/>
        <v>ゲームアーク</v>
      </c>
      <c r="AM407" s="9">
        <f t="shared" si="420"/>
        <v>1100</v>
      </c>
      <c r="AN407" s="9">
        <f t="shared" si="401"/>
        <v>1100</v>
      </c>
      <c r="AO407" s="10">
        <f t="shared" si="402"/>
        <v>4.8458149779735685E-2</v>
      </c>
      <c r="AP407" s="11"/>
    </row>
    <row r="408" spans="1:42" ht="15" customHeight="1" thickBot="1">
      <c r="A408" s="12"/>
      <c r="B408" s="8"/>
      <c r="C408" s="9"/>
      <c r="D408" s="9" t="str">
        <f t="shared" si="417"/>
        <v/>
      </c>
      <c r="E408" s="9"/>
      <c r="F408" s="9" t="str">
        <f t="shared" si="418"/>
        <v/>
      </c>
      <c r="G408" s="9"/>
      <c r="H408" s="9" t="str">
        <f t="shared" si="419"/>
        <v/>
      </c>
      <c r="I408" s="9"/>
      <c r="J408" s="9"/>
      <c r="K408" s="9"/>
      <c r="L408" s="9" t="str">
        <f t="shared" si="407"/>
        <v/>
      </c>
      <c r="M408" s="10" t="str">
        <f t="shared" si="408"/>
        <v/>
      </c>
      <c r="N408" s="11"/>
      <c r="O408" s="2"/>
      <c r="P408" s="18"/>
      <c r="Q408" s="19">
        <v>14169</v>
      </c>
      <c r="R408" s="19">
        <f t="shared" si="391"/>
        <v>133</v>
      </c>
      <c r="S408" s="19">
        <v>371</v>
      </c>
      <c r="T408" s="19">
        <f t="shared" si="392"/>
        <v>1</v>
      </c>
      <c r="U408" s="19">
        <v>13</v>
      </c>
      <c r="V408" s="19">
        <f t="shared" si="393"/>
        <v>2</v>
      </c>
      <c r="W408" s="37">
        <v>0</v>
      </c>
      <c r="X408" s="48" t="str">
        <f t="shared" si="415"/>
        <v>ラブブキーホルダー</v>
      </c>
      <c r="Y408" s="51">
        <f t="shared" si="416"/>
        <v>400</v>
      </c>
      <c r="Z408" s="19">
        <f t="shared" si="395"/>
        <v>800</v>
      </c>
      <c r="AA408" s="20">
        <f t="shared" si="396"/>
        <v>6.0150375939849621E-2</v>
      </c>
      <c r="AB408" s="11"/>
      <c r="AD408" s="18"/>
      <c r="AE408" s="19">
        <v>14191</v>
      </c>
      <c r="AF408" s="19">
        <f t="shared" si="397"/>
        <v>78</v>
      </c>
      <c r="AG408" s="19">
        <v>479</v>
      </c>
      <c r="AH408" s="19">
        <f t="shared" si="398"/>
        <v>4</v>
      </c>
      <c r="AI408" s="19">
        <v>98</v>
      </c>
      <c r="AJ408" s="19">
        <f t="shared" si="399"/>
        <v>5</v>
      </c>
      <c r="AK408" s="37">
        <v>2</v>
      </c>
      <c r="AL408" s="48" t="str">
        <f t="shared" si="421"/>
        <v>AIモンスターラバー</v>
      </c>
      <c r="AM408" s="51">
        <f t="shared" si="420"/>
        <v>200</v>
      </c>
      <c r="AN408" s="19">
        <f t="shared" si="401"/>
        <v>1000</v>
      </c>
      <c r="AO408" s="20">
        <f t="shared" si="402"/>
        <v>0.12820512820512819</v>
      </c>
      <c r="AP408" s="11" t="s">
        <v>227</v>
      </c>
    </row>
    <row r="409" spans="1:42" ht="15" customHeight="1" thickTop="1">
      <c r="A409" s="12"/>
      <c r="B409" s="8"/>
      <c r="C409" s="9"/>
      <c r="D409" s="9" t="str">
        <f t="shared" si="417"/>
        <v/>
      </c>
      <c r="E409" s="9"/>
      <c r="F409" s="9" t="str">
        <f t="shared" si="418"/>
        <v/>
      </c>
      <c r="G409" s="9"/>
      <c r="H409" s="9" t="str">
        <f t="shared" si="419"/>
        <v/>
      </c>
      <c r="I409" s="9"/>
      <c r="J409" s="9"/>
      <c r="K409" s="9"/>
      <c r="L409" s="9" t="str">
        <f t="shared" si="407"/>
        <v/>
      </c>
      <c r="M409" s="10" t="str">
        <f t="shared" si="408"/>
        <v/>
      </c>
      <c r="N409" s="11"/>
      <c r="O409" s="2"/>
      <c r="P409" s="65">
        <f>IF($A382="","",$A382)</f>
        <v>46038</v>
      </c>
      <c r="Q409" s="44">
        <v>11529</v>
      </c>
      <c r="R409" s="44">
        <f t="shared" si="391"/>
        <v>72</v>
      </c>
      <c r="S409" s="44">
        <v>324</v>
      </c>
      <c r="T409" s="23">
        <f t="shared" si="392"/>
        <v>5</v>
      </c>
      <c r="U409" s="44">
        <v>1</v>
      </c>
      <c r="V409" s="44">
        <f t="shared" si="393"/>
        <v>2</v>
      </c>
      <c r="W409" s="66">
        <v>4</v>
      </c>
      <c r="X409" s="61" t="str">
        <f t="shared" si="415"/>
        <v>キティ豹柄キーケース</v>
      </c>
      <c r="Y409" s="62">
        <f t="shared" si="416"/>
        <v>996</v>
      </c>
      <c r="Z409" s="23">
        <f t="shared" si="395"/>
        <v>1992</v>
      </c>
      <c r="AA409" s="24">
        <f t="shared" si="396"/>
        <v>0.27666666666666667</v>
      </c>
      <c r="AB409" s="11"/>
      <c r="AD409" s="65">
        <f>IF($A382="","",$A382)</f>
        <v>46038</v>
      </c>
      <c r="AE409" s="44">
        <v>8626</v>
      </c>
      <c r="AF409" s="44">
        <f t="shared" si="397"/>
        <v>149</v>
      </c>
      <c r="AG409" s="44">
        <v>239</v>
      </c>
      <c r="AH409" s="23">
        <f t="shared" si="398"/>
        <v>1</v>
      </c>
      <c r="AI409" s="44">
        <v>19</v>
      </c>
      <c r="AJ409" s="44">
        <f t="shared" si="399"/>
        <v>1</v>
      </c>
      <c r="AK409" s="66">
        <v>0</v>
      </c>
      <c r="AL409" s="61" t="str">
        <f t="shared" si="421"/>
        <v>ゲーム機柄イヤホン</v>
      </c>
      <c r="AM409" s="62">
        <f t="shared" si="420"/>
        <v>1100</v>
      </c>
      <c r="AN409" s="23">
        <f t="shared" si="401"/>
        <v>1100</v>
      </c>
      <c r="AO409" s="24">
        <f t="shared" si="402"/>
        <v>7.3825503355704702E-2</v>
      </c>
      <c r="AP409" s="11"/>
    </row>
    <row r="410" spans="1:42">
      <c r="A410" s="12"/>
      <c r="B410" s="8"/>
      <c r="C410" s="9"/>
      <c r="D410" s="9" t="str">
        <f t="shared" si="417"/>
        <v/>
      </c>
      <c r="E410" s="9"/>
      <c r="F410" s="9" t="str">
        <f t="shared" si="418"/>
        <v/>
      </c>
      <c r="G410" s="9"/>
      <c r="H410" s="9" t="str">
        <f t="shared" si="419"/>
        <v/>
      </c>
      <c r="I410" s="9"/>
      <c r="J410" s="9"/>
      <c r="K410" s="9"/>
      <c r="L410" s="9" t="str">
        <f t="shared" si="407"/>
        <v/>
      </c>
      <c r="M410" s="10" t="str">
        <f t="shared" si="408"/>
        <v/>
      </c>
      <c r="N410" s="11"/>
      <c r="O410" s="2"/>
      <c r="P410" s="12"/>
      <c r="Q410" s="9">
        <v>10889</v>
      </c>
      <c r="R410" s="44">
        <f t="shared" si="391"/>
        <v>138</v>
      </c>
      <c r="S410" s="9">
        <v>245</v>
      </c>
      <c r="T410" s="9">
        <f t="shared" si="392"/>
        <v>1</v>
      </c>
      <c r="U410" s="9">
        <v>7</v>
      </c>
      <c r="V410" s="9">
        <f t="shared" si="393"/>
        <v>2</v>
      </c>
      <c r="W410" s="13">
        <v>0</v>
      </c>
      <c r="X410" s="47" t="str">
        <f t="shared" si="415"/>
        <v>サンリオケープポーチ</v>
      </c>
      <c r="Y410" s="45">
        <f t="shared" si="416"/>
        <v>660</v>
      </c>
      <c r="Z410" s="9">
        <f t="shared" si="395"/>
        <v>1320</v>
      </c>
      <c r="AA410" s="10">
        <f t="shared" si="396"/>
        <v>9.5652173913043481E-2</v>
      </c>
      <c r="AB410" s="11"/>
      <c r="AD410" s="12"/>
      <c r="AE410" s="9">
        <v>11519</v>
      </c>
      <c r="AF410" s="44">
        <f t="shared" si="397"/>
        <v>137</v>
      </c>
      <c r="AG410" s="9">
        <v>207</v>
      </c>
      <c r="AH410" s="9">
        <f t="shared" si="398"/>
        <v>3</v>
      </c>
      <c r="AI410" s="9">
        <v>12</v>
      </c>
      <c r="AJ410" s="9">
        <f t="shared" si="399"/>
        <v>3</v>
      </c>
      <c r="AK410" s="13">
        <v>3</v>
      </c>
      <c r="AL410" s="47" t="str">
        <f t="shared" si="421"/>
        <v>液晶ミニカメラ</v>
      </c>
      <c r="AM410" s="45">
        <f t="shared" si="420"/>
        <v>1075</v>
      </c>
      <c r="AN410" s="9">
        <f t="shared" si="401"/>
        <v>3225</v>
      </c>
      <c r="AO410" s="10">
        <f t="shared" si="402"/>
        <v>0.23540145985401459</v>
      </c>
      <c r="AP410" s="11"/>
    </row>
    <row r="411" spans="1:42" ht="15" customHeight="1">
      <c r="A411" s="12"/>
      <c r="B411" s="8"/>
      <c r="C411" s="9"/>
      <c r="D411" s="9" t="str">
        <f t="shared" si="417"/>
        <v/>
      </c>
      <c r="E411" s="9"/>
      <c r="F411" s="9" t="str">
        <f t="shared" si="418"/>
        <v/>
      </c>
      <c r="G411" s="9"/>
      <c r="H411" s="9" t="str">
        <f t="shared" si="419"/>
        <v/>
      </c>
      <c r="I411" s="9"/>
      <c r="J411" s="9"/>
      <c r="K411" s="9"/>
      <c r="L411" s="9" t="str">
        <f t="shared" si="407"/>
        <v/>
      </c>
      <c r="M411" s="10" t="str">
        <f t="shared" si="408"/>
        <v/>
      </c>
      <c r="N411" s="11"/>
      <c r="O411" s="2"/>
      <c r="P411" s="12"/>
      <c r="Q411" s="9">
        <v>11668</v>
      </c>
      <c r="R411" s="52">
        <f t="shared" si="391"/>
        <v>92</v>
      </c>
      <c r="S411" s="9">
        <v>431</v>
      </c>
      <c r="T411" s="9">
        <f t="shared" si="392"/>
        <v>3</v>
      </c>
      <c r="U411" s="26">
        <v>9</v>
      </c>
      <c r="V411" s="26">
        <f t="shared" si="393"/>
        <v>4</v>
      </c>
      <c r="W411" s="38">
        <v>2</v>
      </c>
      <c r="X411" s="47" t="str">
        <f t="shared" si="415"/>
        <v>キティボアバンスクリップ</v>
      </c>
      <c r="Y411" s="9">
        <f t="shared" si="416"/>
        <v>1100</v>
      </c>
      <c r="Z411" s="9">
        <f t="shared" si="395"/>
        <v>4400</v>
      </c>
      <c r="AA411" s="10">
        <f t="shared" si="396"/>
        <v>0.47826086956521741</v>
      </c>
      <c r="AB411" s="11"/>
      <c r="AD411" s="12"/>
      <c r="AE411" s="9">
        <v>11495</v>
      </c>
      <c r="AF411" s="52">
        <f t="shared" si="397"/>
        <v>148</v>
      </c>
      <c r="AG411" s="9">
        <v>444</v>
      </c>
      <c r="AH411" s="9">
        <f t="shared" si="398"/>
        <v>2</v>
      </c>
      <c r="AI411" s="26">
        <v>32</v>
      </c>
      <c r="AJ411" s="26">
        <f t="shared" si="399"/>
        <v>2</v>
      </c>
      <c r="AK411" s="38">
        <v>3</v>
      </c>
      <c r="AL411" s="47" t="str">
        <f t="shared" si="421"/>
        <v>ゲームアーク</v>
      </c>
      <c r="AM411" s="9">
        <f t="shared" si="420"/>
        <v>1100</v>
      </c>
      <c r="AN411" s="9">
        <f t="shared" si="401"/>
        <v>2200</v>
      </c>
      <c r="AO411" s="10">
        <f t="shared" si="402"/>
        <v>0.14864864864864866</v>
      </c>
      <c r="AP411" s="11"/>
    </row>
    <row r="412" spans="1:42" ht="15" customHeight="1" thickBot="1">
      <c r="A412" s="12"/>
      <c r="B412" s="8"/>
      <c r="C412" s="9"/>
      <c r="D412" s="9" t="str">
        <f t="shared" si="417"/>
        <v/>
      </c>
      <c r="E412" s="9"/>
      <c r="F412" s="9" t="str">
        <f t="shared" si="418"/>
        <v/>
      </c>
      <c r="G412" s="9"/>
      <c r="H412" s="9" t="str">
        <f t="shared" si="419"/>
        <v/>
      </c>
      <c r="I412" s="9"/>
      <c r="J412" s="9"/>
      <c r="K412" s="9"/>
      <c r="L412" s="9" t="str">
        <f t="shared" si="407"/>
        <v/>
      </c>
      <c r="M412" s="10" t="str">
        <f t="shared" si="408"/>
        <v/>
      </c>
      <c r="N412" s="11"/>
      <c r="O412" s="2"/>
      <c r="P412" s="18"/>
      <c r="Q412" s="21">
        <v>14266</v>
      </c>
      <c r="R412" s="50">
        <f t="shared" si="391"/>
        <v>97</v>
      </c>
      <c r="S412" s="51">
        <v>371</v>
      </c>
      <c r="T412" s="21">
        <f t="shared" si="392"/>
        <v>0</v>
      </c>
      <c r="U412" s="53">
        <v>13</v>
      </c>
      <c r="V412" s="53">
        <f t="shared" si="393"/>
        <v>0</v>
      </c>
      <c r="W412" s="37">
        <v>0</v>
      </c>
      <c r="X412" s="48" t="str">
        <f t="shared" si="415"/>
        <v>ラブブキーホルダー</v>
      </c>
      <c r="Y412" s="51">
        <f t="shared" si="416"/>
        <v>400</v>
      </c>
      <c r="Z412" s="19">
        <f t="shared" si="395"/>
        <v>0</v>
      </c>
      <c r="AA412" s="20">
        <f t="shared" si="396"/>
        <v>0</v>
      </c>
      <c r="AB412" s="11"/>
      <c r="AD412" s="18"/>
      <c r="AE412" s="21">
        <v>14262</v>
      </c>
      <c r="AF412" s="50">
        <f t="shared" si="397"/>
        <v>71</v>
      </c>
      <c r="AG412" s="51">
        <v>481</v>
      </c>
      <c r="AH412" s="21">
        <f t="shared" si="398"/>
        <v>2</v>
      </c>
      <c r="AI412" s="53">
        <v>95</v>
      </c>
      <c r="AJ412" s="53">
        <f t="shared" si="399"/>
        <v>5</v>
      </c>
      <c r="AK412" s="37">
        <v>30</v>
      </c>
      <c r="AL412" s="48" t="str">
        <f t="shared" si="421"/>
        <v>AIモンスターラバー</v>
      </c>
      <c r="AM412" s="51">
        <f t="shared" si="420"/>
        <v>200</v>
      </c>
      <c r="AN412" s="19">
        <f t="shared" si="401"/>
        <v>1000</v>
      </c>
      <c r="AO412" s="20">
        <f t="shared" si="402"/>
        <v>0.14084507042253522</v>
      </c>
      <c r="AP412" s="11"/>
    </row>
    <row r="413" spans="1:42" ht="15" customHeight="1" thickTop="1">
      <c r="A413" s="12"/>
      <c r="B413" s="8"/>
      <c r="C413" s="9"/>
      <c r="D413" s="9" t="str">
        <f t="shared" si="417"/>
        <v/>
      </c>
      <c r="E413" s="9"/>
      <c r="F413" s="9" t="str">
        <f t="shared" si="418"/>
        <v/>
      </c>
      <c r="G413" s="9"/>
      <c r="H413" s="9" t="str">
        <f t="shared" si="419"/>
        <v/>
      </c>
      <c r="I413" s="9"/>
      <c r="J413" s="9"/>
      <c r="K413" s="9"/>
      <c r="L413" s="9" t="str">
        <f t="shared" si="407"/>
        <v/>
      </c>
      <c r="M413" s="10" t="str">
        <f t="shared" si="408"/>
        <v/>
      </c>
      <c r="N413" s="11"/>
      <c r="O413" s="2"/>
      <c r="P413" s="65"/>
      <c r="Q413" s="44"/>
      <c r="R413" s="44"/>
      <c r="S413" s="44"/>
      <c r="T413" s="23"/>
      <c r="U413" s="44"/>
      <c r="V413" s="44"/>
      <c r="W413" s="66"/>
      <c r="X413" s="61"/>
      <c r="Y413" s="62"/>
      <c r="Z413" s="23"/>
      <c r="AA413" s="24"/>
      <c r="AB413" s="11"/>
      <c r="AD413" s="65"/>
      <c r="AE413" s="44"/>
      <c r="AF413" s="44"/>
      <c r="AG413" s="44"/>
      <c r="AH413" s="23"/>
      <c r="AI413" s="44"/>
      <c r="AJ413" s="44"/>
      <c r="AK413" s="66"/>
      <c r="AL413" s="61"/>
      <c r="AM413" s="62"/>
      <c r="AN413" s="23"/>
      <c r="AO413" s="24"/>
      <c r="AP413" s="11"/>
    </row>
    <row r="414" spans="1:42" ht="15" customHeight="1">
      <c r="A414" s="12"/>
      <c r="B414" s="8"/>
      <c r="C414" s="9"/>
      <c r="D414" s="9" t="str">
        <f t="shared" si="417"/>
        <v/>
      </c>
      <c r="E414" s="9"/>
      <c r="F414" s="9" t="str">
        <f t="shared" si="418"/>
        <v/>
      </c>
      <c r="G414" s="9"/>
      <c r="H414" s="9" t="str">
        <f t="shared" si="419"/>
        <v/>
      </c>
      <c r="I414" s="9"/>
      <c r="J414" s="9"/>
      <c r="K414" s="9"/>
      <c r="L414" s="9" t="str">
        <f t="shared" si="407"/>
        <v/>
      </c>
      <c r="M414" s="10" t="str">
        <f t="shared" si="408"/>
        <v/>
      </c>
      <c r="N414" s="11"/>
      <c r="O414" s="2"/>
      <c r="P414" s="12"/>
      <c r="Q414" s="9"/>
      <c r="R414" s="44"/>
      <c r="S414" s="9"/>
      <c r="T414" s="9"/>
      <c r="U414" s="9"/>
      <c r="V414" s="9"/>
      <c r="W414" s="13"/>
      <c r="X414" s="47"/>
      <c r="Y414" s="45"/>
      <c r="Z414" s="9"/>
      <c r="AA414" s="10"/>
      <c r="AB414" s="11"/>
      <c r="AD414" s="12"/>
      <c r="AE414" s="9"/>
      <c r="AF414" s="44"/>
      <c r="AG414" s="9"/>
      <c r="AH414" s="9"/>
      <c r="AI414" s="9"/>
      <c r="AJ414" s="9"/>
      <c r="AK414" s="13"/>
      <c r="AL414" s="47"/>
      <c r="AM414" s="45"/>
      <c r="AN414" s="9"/>
      <c r="AO414" s="10"/>
      <c r="AP414" s="11"/>
    </row>
    <row r="415" spans="1:42" ht="15" customHeight="1">
      <c r="A415" s="12"/>
      <c r="B415" s="8"/>
      <c r="C415" s="9"/>
      <c r="D415" s="9" t="str">
        <f t="shared" si="417"/>
        <v/>
      </c>
      <c r="E415" s="9"/>
      <c r="F415" s="9" t="str">
        <f t="shared" si="418"/>
        <v/>
      </c>
      <c r="G415" s="9"/>
      <c r="H415" s="9" t="str">
        <f t="shared" si="419"/>
        <v/>
      </c>
      <c r="I415" s="9"/>
      <c r="J415" s="9"/>
      <c r="K415" s="9"/>
      <c r="L415" s="9" t="str">
        <f t="shared" si="407"/>
        <v/>
      </c>
      <c r="M415" s="10" t="str">
        <f t="shared" si="408"/>
        <v/>
      </c>
      <c r="N415" s="11"/>
      <c r="O415" s="2"/>
      <c r="P415" s="12"/>
      <c r="Q415" s="9"/>
      <c r="R415" s="52"/>
      <c r="S415" s="9"/>
      <c r="T415" s="9"/>
      <c r="U415" s="9"/>
      <c r="V415" s="9"/>
      <c r="W415" s="13"/>
      <c r="X415" s="47"/>
      <c r="Y415" s="9"/>
      <c r="Z415" s="9"/>
      <c r="AA415" s="10"/>
      <c r="AB415" s="11"/>
      <c r="AD415" s="12"/>
      <c r="AE415" s="9"/>
      <c r="AF415" s="52"/>
      <c r="AG415" s="9"/>
      <c r="AH415" s="9"/>
      <c r="AI415" s="9"/>
      <c r="AJ415" s="9"/>
      <c r="AK415" s="13"/>
      <c r="AL415" s="47"/>
      <c r="AM415" s="9"/>
      <c r="AN415" s="9"/>
      <c r="AO415" s="10"/>
      <c r="AP415" s="11"/>
    </row>
    <row r="416" spans="1:42" ht="15" customHeight="1" thickBot="1">
      <c r="A416" s="12"/>
      <c r="B416" s="8"/>
      <c r="C416" s="9"/>
      <c r="D416" s="9" t="str">
        <f t="shared" si="417"/>
        <v/>
      </c>
      <c r="E416" s="9"/>
      <c r="F416" s="9" t="str">
        <f t="shared" si="418"/>
        <v/>
      </c>
      <c r="G416" s="9"/>
      <c r="H416" s="9" t="str">
        <f t="shared" si="419"/>
        <v/>
      </c>
      <c r="I416" s="9"/>
      <c r="J416" s="9"/>
      <c r="K416" s="9"/>
      <c r="L416" s="9" t="str">
        <f t="shared" si="407"/>
        <v/>
      </c>
      <c r="M416" s="10" t="str">
        <f t="shared" si="408"/>
        <v/>
      </c>
      <c r="N416" s="11"/>
      <c r="O416" s="2"/>
      <c r="P416" s="18"/>
      <c r="Q416" s="21"/>
      <c r="R416" s="50"/>
      <c r="S416" s="51"/>
      <c r="T416" s="19"/>
      <c r="U416" s="19"/>
      <c r="V416" s="19"/>
      <c r="W416" s="37"/>
      <c r="X416" s="48"/>
      <c r="Y416" s="51"/>
      <c r="Z416" s="19"/>
      <c r="AA416" s="20"/>
      <c r="AB416" s="11"/>
      <c r="AD416" s="18"/>
      <c r="AE416" s="21"/>
      <c r="AF416" s="50"/>
      <c r="AG416" s="51"/>
      <c r="AH416" s="19"/>
      <c r="AI416" s="19"/>
      <c r="AJ416" s="19"/>
      <c r="AK416" s="37"/>
      <c r="AL416" s="48"/>
      <c r="AM416" s="51"/>
      <c r="AN416" s="19"/>
      <c r="AO416" s="20"/>
      <c r="AP416" s="11"/>
    </row>
    <row r="417" spans="1:42" ht="15" customHeight="1" thickTop="1">
      <c r="A417" s="12"/>
      <c r="B417" s="8"/>
      <c r="C417" s="9"/>
      <c r="D417" s="9" t="str">
        <f t="shared" si="417"/>
        <v/>
      </c>
      <c r="E417" s="9"/>
      <c r="F417" s="9" t="str">
        <f t="shared" si="418"/>
        <v/>
      </c>
      <c r="G417" s="9"/>
      <c r="H417" s="9" t="str">
        <f t="shared" si="419"/>
        <v/>
      </c>
      <c r="I417" s="9"/>
      <c r="J417" s="9"/>
      <c r="K417" s="9"/>
      <c r="L417" s="9" t="str">
        <f t="shared" si="407"/>
        <v/>
      </c>
      <c r="M417" s="10" t="str">
        <f t="shared" si="408"/>
        <v/>
      </c>
      <c r="N417" s="11"/>
      <c r="O417" s="2"/>
      <c r="P417" s="65" t="str">
        <f>IF($A384="","",$A384)</f>
        <v/>
      </c>
      <c r="Q417" s="44"/>
      <c r="R417" s="44" t="str">
        <f t="shared" ref="R417:R428" si="422">IF(Q417="","",Q417-Q413)</f>
        <v/>
      </c>
      <c r="S417" s="44"/>
      <c r="T417" s="23" t="str">
        <f t="shared" ref="T417:T428" si="423">IF(S417="","",S417-S413)</f>
        <v/>
      </c>
      <c r="U417" s="44"/>
      <c r="V417" s="44" t="str">
        <f t="shared" ref="V417:V428" si="424">IF(U417="","",U413+W413-U417)</f>
        <v/>
      </c>
      <c r="W417" s="44"/>
      <c r="X417" s="61" t="str">
        <f t="shared" ref="X417:X428" si="425">IF(Q417="","",X413)</f>
        <v/>
      </c>
      <c r="Y417" s="62" t="str">
        <f t="shared" ref="Y417:Y428" si="426">IF(R417="","",Y413)</f>
        <v/>
      </c>
      <c r="Z417" s="23" t="str">
        <f t="shared" ref="Z417:Z428" si="427">IF(U417="","",V417*Y417)</f>
        <v/>
      </c>
      <c r="AA417" s="24" t="str">
        <f t="shared" ref="AA417:AA428" si="428">IF(V417="","",Z417/(R417*100))</f>
        <v/>
      </c>
      <c r="AB417" s="11"/>
      <c r="AD417" s="65" t="str">
        <f>IF($A384="","",$A384)</f>
        <v/>
      </c>
      <c r="AE417" s="44"/>
      <c r="AF417" s="44" t="str">
        <f t="shared" ref="AF417:AF428" si="429">IF(AE417="","",AE417-AE413)</f>
        <v/>
      </c>
      <c r="AG417" s="44"/>
      <c r="AH417" s="23" t="str">
        <f t="shared" ref="AH417:AH428" si="430">IF(AG417="","",AG417-AG413)</f>
        <v/>
      </c>
      <c r="AI417" s="44"/>
      <c r="AJ417" s="44" t="str">
        <f t="shared" ref="AJ417:AJ428" si="431">IF(AI417="","",AI413+AK413-AI417)</f>
        <v/>
      </c>
      <c r="AK417" s="44"/>
      <c r="AL417" s="61" t="str">
        <f t="shared" ref="AL417:AL428" si="432">IF(AE417="","",AL413)</f>
        <v/>
      </c>
      <c r="AM417" s="62" t="str">
        <f t="shared" ref="AM417:AM428" si="433">IF(AF417="","",AM413)</f>
        <v/>
      </c>
      <c r="AN417" s="23" t="str">
        <f t="shared" ref="AN417:AN428" si="434">IF(AI417="","",AJ417*AM417)</f>
        <v/>
      </c>
      <c r="AO417" s="24" t="str">
        <f t="shared" ref="AO417:AO428" si="435">IF(AJ417="","",AN417/(AF417*100))</f>
        <v/>
      </c>
      <c r="AP417" s="11"/>
    </row>
    <row r="418" spans="1:42" ht="15" customHeight="1">
      <c r="A418" s="12"/>
      <c r="B418" s="8"/>
      <c r="C418" s="9"/>
      <c r="D418" s="9" t="str">
        <f t="shared" si="417"/>
        <v/>
      </c>
      <c r="E418" s="9"/>
      <c r="F418" s="9" t="str">
        <f t="shared" si="418"/>
        <v/>
      </c>
      <c r="G418" s="9"/>
      <c r="H418" s="9" t="str">
        <f t="shared" si="419"/>
        <v/>
      </c>
      <c r="I418" s="9"/>
      <c r="J418" s="9"/>
      <c r="K418" s="9"/>
      <c r="L418" s="9" t="str">
        <f t="shared" si="407"/>
        <v/>
      </c>
      <c r="M418" s="10" t="str">
        <f t="shared" si="408"/>
        <v/>
      </c>
      <c r="N418" s="11"/>
      <c r="O418" s="2"/>
      <c r="P418" s="12"/>
      <c r="Q418" s="9"/>
      <c r="R418" s="9" t="str">
        <f t="shared" si="422"/>
        <v/>
      </c>
      <c r="S418" s="9"/>
      <c r="T418" s="9" t="str">
        <f t="shared" si="423"/>
        <v/>
      </c>
      <c r="U418" s="9"/>
      <c r="V418" s="9" t="str">
        <f t="shared" si="424"/>
        <v/>
      </c>
      <c r="W418" s="9"/>
      <c r="X418" s="47" t="str">
        <f t="shared" si="425"/>
        <v/>
      </c>
      <c r="Y418" s="45" t="str">
        <f t="shared" si="426"/>
        <v/>
      </c>
      <c r="Z418" s="9" t="str">
        <f t="shared" si="427"/>
        <v/>
      </c>
      <c r="AA418" s="10" t="str">
        <f t="shared" si="428"/>
        <v/>
      </c>
      <c r="AB418" s="11"/>
      <c r="AD418" s="12"/>
      <c r="AE418" s="9"/>
      <c r="AF418" s="9" t="str">
        <f t="shared" si="429"/>
        <v/>
      </c>
      <c r="AG418" s="9"/>
      <c r="AH418" s="9" t="str">
        <f t="shared" si="430"/>
        <v/>
      </c>
      <c r="AI418" s="9"/>
      <c r="AJ418" s="9" t="str">
        <f t="shared" si="431"/>
        <v/>
      </c>
      <c r="AK418" s="9"/>
      <c r="AL418" s="47" t="str">
        <f t="shared" si="432"/>
        <v/>
      </c>
      <c r="AM418" s="45" t="str">
        <f t="shared" si="433"/>
        <v/>
      </c>
      <c r="AN418" s="9" t="str">
        <f t="shared" si="434"/>
        <v/>
      </c>
      <c r="AO418" s="10" t="str">
        <f t="shared" si="435"/>
        <v/>
      </c>
      <c r="AP418" s="11"/>
    </row>
    <row r="419" spans="1:42" ht="15" customHeight="1">
      <c r="A419" s="12"/>
      <c r="B419" s="8"/>
      <c r="C419" s="9"/>
      <c r="D419" s="9" t="str">
        <f t="shared" si="417"/>
        <v/>
      </c>
      <c r="E419" s="9"/>
      <c r="F419" s="9" t="str">
        <f t="shared" si="418"/>
        <v/>
      </c>
      <c r="G419" s="9"/>
      <c r="H419" s="9" t="str">
        <f t="shared" si="419"/>
        <v/>
      </c>
      <c r="I419" s="9"/>
      <c r="J419" s="9"/>
      <c r="K419" s="9"/>
      <c r="L419" s="9" t="str">
        <f t="shared" si="407"/>
        <v/>
      </c>
      <c r="M419" s="10" t="str">
        <f t="shared" si="408"/>
        <v/>
      </c>
      <c r="N419" s="11"/>
      <c r="O419" s="2"/>
      <c r="P419" s="12"/>
      <c r="Q419" s="9"/>
      <c r="R419" s="9" t="str">
        <f t="shared" si="422"/>
        <v/>
      </c>
      <c r="S419" s="9"/>
      <c r="T419" s="9" t="str">
        <f t="shared" si="423"/>
        <v/>
      </c>
      <c r="U419" s="9"/>
      <c r="V419" s="9" t="str">
        <f t="shared" si="424"/>
        <v/>
      </c>
      <c r="W419" s="9"/>
      <c r="X419" s="47" t="str">
        <f t="shared" si="425"/>
        <v/>
      </c>
      <c r="Y419" s="9" t="str">
        <f t="shared" si="426"/>
        <v/>
      </c>
      <c r="Z419" s="9" t="str">
        <f t="shared" si="427"/>
        <v/>
      </c>
      <c r="AA419" s="10" t="str">
        <f t="shared" si="428"/>
        <v/>
      </c>
      <c r="AB419" s="11"/>
      <c r="AD419" s="12"/>
      <c r="AE419" s="9"/>
      <c r="AF419" s="9" t="str">
        <f t="shared" si="429"/>
        <v/>
      </c>
      <c r="AG419" s="9"/>
      <c r="AH419" s="9" t="str">
        <f t="shared" si="430"/>
        <v/>
      </c>
      <c r="AI419" s="9"/>
      <c r="AJ419" s="9" t="str">
        <f t="shared" si="431"/>
        <v/>
      </c>
      <c r="AK419" s="9"/>
      <c r="AL419" s="47" t="str">
        <f t="shared" si="432"/>
        <v/>
      </c>
      <c r="AM419" s="9" t="str">
        <f t="shared" si="433"/>
        <v/>
      </c>
      <c r="AN419" s="9" t="str">
        <f t="shared" si="434"/>
        <v/>
      </c>
      <c r="AO419" s="10" t="str">
        <f t="shared" si="435"/>
        <v/>
      </c>
      <c r="AP419" s="11"/>
    </row>
    <row r="420" spans="1:42" ht="15" customHeight="1" thickBot="1">
      <c r="A420" s="12"/>
      <c r="B420" s="8"/>
      <c r="C420" s="9"/>
      <c r="D420" s="9" t="str">
        <f t="shared" si="417"/>
        <v/>
      </c>
      <c r="E420" s="9"/>
      <c r="F420" s="9" t="str">
        <f t="shared" si="418"/>
        <v/>
      </c>
      <c r="G420" s="9"/>
      <c r="H420" s="9" t="str">
        <f t="shared" si="419"/>
        <v/>
      </c>
      <c r="I420" s="9"/>
      <c r="J420" s="9"/>
      <c r="K420" s="9"/>
      <c r="L420" s="9" t="str">
        <f t="shared" si="407"/>
        <v/>
      </c>
      <c r="M420" s="10" t="str">
        <f t="shared" si="408"/>
        <v/>
      </c>
      <c r="N420" s="11"/>
      <c r="O420" s="2"/>
      <c r="P420" s="18"/>
      <c r="Q420" s="19"/>
      <c r="R420" s="19" t="str">
        <f t="shared" si="422"/>
        <v/>
      </c>
      <c r="S420" s="19"/>
      <c r="T420" s="19" t="str">
        <f t="shared" si="423"/>
        <v/>
      </c>
      <c r="U420" s="19"/>
      <c r="V420" s="19" t="str">
        <f t="shared" si="424"/>
        <v/>
      </c>
      <c r="W420" s="19"/>
      <c r="X420" s="48" t="str">
        <f t="shared" si="425"/>
        <v/>
      </c>
      <c r="Y420" s="51" t="str">
        <f t="shared" si="426"/>
        <v/>
      </c>
      <c r="Z420" s="19" t="str">
        <f t="shared" si="427"/>
        <v/>
      </c>
      <c r="AA420" s="20" t="str">
        <f t="shared" si="428"/>
        <v/>
      </c>
      <c r="AB420" s="11"/>
      <c r="AD420" s="18"/>
      <c r="AE420" s="19"/>
      <c r="AF420" s="19" t="str">
        <f t="shared" si="429"/>
        <v/>
      </c>
      <c r="AG420" s="19"/>
      <c r="AH420" s="19" t="str">
        <f t="shared" si="430"/>
        <v/>
      </c>
      <c r="AI420" s="19"/>
      <c r="AJ420" s="19" t="str">
        <f t="shared" si="431"/>
        <v/>
      </c>
      <c r="AK420" s="19"/>
      <c r="AL420" s="48" t="str">
        <f t="shared" si="432"/>
        <v/>
      </c>
      <c r="AM420" s="51" t="str">
        <f t="shared" si="433"/>
        <v/>
      </c>
      <c r="AN420" s="19" t="str">
        <f t="shared" si="434"/>
        <v/>
      </c>
      <c r="AO420" s="20" t="str">
        <f t="shared" si="435"/>
        <v/>
      </c>
      <c r="AP420" s="11"/>
    </row>
    <row r="421" spans="1:42" ht="15" customHeight="1" thickTop="1">
      <c r="A421" s="12"/>
      <c r="B421" s="8"/>
      <c r="C421" s="9"/>
      <c r="D421" s="9" t="str">
        <f t="shared" si="417"/>
        <v/>
      </c>
      <c r="E421" s="9"/>
      <c r="F421" s="9" t="str">
        <f t="shared" si="418"/>
        <v/>
      </c>
      <c r="G421" s="9"/>
      <c r="H421" s="9" t="str">
        <f t="shared" si="419"/>
        <v/>
      </c>
      <c r="I421" s="9"/>
      <c r="J421" s="9"/>
      <c r="K421" s="9"/>
      <c r="L421" s="9" t="str">
        <f t="shared" si="407"/>
        <v/>
      </c>
      <c r="M421" s="10" t="str">
        <f t="shared" si="408"/>
        <v/>
      </c>
      <c r="N421" s="11"/>
      <c r="O421" s="2"/>
      <c r="P421" s="65" t="str">
        <f>IF($A385="","",$A385)</f>
        <v/>
      </c>
      <c r="Q421" s="44"/>
      <c r="R421" s="44" t="str">
        <f t="shared" si="422"/>
        <v/>
      </c>
      <c r="S421" s="44"/>
      <c r="T421" s="23" t="str">
        <f t="shared" si="423"/>
        <v/>
      </c>
      <c r="U421" s="44"/>
      <c r="V421" s="44" t="str">
        <f t="shared" si="424"/>
        <v/>
      </c>
      <c r="W421" s="44"/>
      <c r="X421" s="61" t="str">
        <f t="shared" si="425"/>
        <v/>
      </c>
      <c r="Y421" s="62" t="str">
        <f t="shared" si="426"/>
        <v/>
      </c>
      <c r="Z421" s="23" t="str">
        <f t="shared" si="427"/>
        <v/>
      </c>
      <c r="AA421" s="24" t="str">
        <f t="shared" si="428"/>
        <v/>
      </c>
      <c r="AB421" s="11"/>
      <c r="AD421" s="65" t="str">
        <f>IF($A385="","",$A385)</f>
        <v/>
      </c>
      <c r="AE421" s="44"/>
      <c r="AF421" s="44" t="str">
        <f t="shared" si="429"/>
        <v/>
      </c>
      <c r="AG421" s="44"/>
      <c r="AH421" s="23" t="str">
        <f t="shared" si="430"/>
        <v/>
      </c>
      <c r="AI421" s="44"/>
      <c r="AJ421" s="44" t="str">
        <f t="shared" si="431"/>
        <v/>
      </c>
      <c r="AK421" s="44"/>
      <c r="AL421" s="61" t="str">
        <f t="shared" si="432"/>
        <v/>
      </c>
      <c r="AM421" s="62" t="str">
        <f t="shared" si="433"/>
        <v/>
      </c>
      <c r="AN421" s="23" t="str">
        <f t="shared" si="434"/>
        <v/>
      </c>
      <c r="AO421" s="24" t="str">
        <f t="shared" si="435"/>
        <v/>
      </c>
      <c r="AP421" s="11"/>
    </row>
    <row r="422" spans="1:42" ht="15" customHeight="1">
      <c r="A422" s="12"/>
      <c r="B422" s="8"/>
      <c r="C422" s="9"/>
      <c r="D422" s="9" t="str">
        <f t="shared" si="417"/>
        <v/>
      </c>
      <c r="E422" s="9"/>
      <c r="F422" s="9" t="str">
        <f t="shared" si="418"/>
        <v/>
      </c>
      <c r="G422" s="9"/>
      <c r="H422" s="9" t="str">
        <f t="shared" si="419"/>
        <v/>
      </c>
      <c r="I422" s="9"/>
      <c r="J422" s="9"/>
      <c r="K422" s="9"/>
      <c r="L422" s="9" t="str">
        <f t="shared" si="407"/>
        <v/>
      </c>
      <c r="M422" s="10" t="str">
        <f t="shared" si="408"/>
        <v/>
      </c>
      <c r="N422" s="11"/>
      <c r="O422" s="2"/>
      <c r="P422" s="12"/>
      <c r="Q422" s="9"/>
      <c r="R422" s="9" t="str">
        <f t="shared" si="422"/>
        <v/>
      </c>
      <c r="S422" s="9"/>
      <c r="T422" s="9" t="str">
        <f t="shared" si="423"/>
        <v/>
      </c>
      <c r="U422" s="9"/>
      <c r="V422" s="9" t="str">
        <f t="shared" si="424"/>
        <v/>
      </c>
      <c r="W422" s="9"/>
      <c r="X422" s="47" t="str">
        <f t="shared" si="425"/>
        <v/>
      </c>
      <c r="Y422" s="45" t="str">
        <f t="shared" si="426"/>
        <v/>
      </c>
      <c r="Z422" s="9" t="str">
        <f t="shared" si="427"/>
        <v/>
      </c>
      <c r="AA422" s="10" t="str">
        <f t="shared" si="428"/>
        <v/>
      </c>
      <c r="AB422" s="11"/>
      <c r="AD422" s="12"/>
      <c r="AE422" s="9"/>
      <c r="AF422" s="9" t="str">
        <f t="shared" si="429"/>
        <v/>
      </c>
      <c r="AG422" s="9"/>
      <c r="AH422" s="9" t="str">
        <f t="shared" si="430"/>
        <v/>
      </c>
      <c r="AI422" s="9"/>
      <c r="AJ422" s="9" t="str">
        <f t="shared" si="431"/>
        <v/>
      </c>
      <c r="AK422" s="9"/>
      <c r="AL422" s="47" t="str">
        <f t="shared" si="432"/>
        <v/>
      </c>
      <c r="AM422" s="45" t="str">
        <f t="shared" si="433"/>
        <v/>
      </c>
      <c r="AN422" s="9" t="str">
        <f t="shared" si="434"/>
        <v/>
      </c>
      <c r="AO422" s="10" t="str">
        <f t="shared" si="435"/>
        <v/>
      </c>
      <c r="AP422" s="11"/>
    </row>
    <row r="423" spans="1:42" ht="15" customHeight="1">
      <c r="A423" s="12"/>
      <c r="B423" s="8"/>
      <c r="C423" s="9"/>
      <c r="D423" s="9" t="str">
        <f t="shared" si="417"/>
        <v/>
      </c>
      <c r="E423" s="9"/>
      <c r="F423" s="9" t="str">
        <f t="shared" si="418"/>
        <v/>
      </c>
      <c r="G423" s="9"/>
      <c r="H423" s="9" t="str">
        <f t="shared" si="419"/>
        <v/>
      </c>
      <c r="I423" s="9"/>
      <c r="J423" s="9"/>
      <c r="K423" s="9"/>
      <c r="L423" s="9" t="str">
        <f t="shared" si="407"/>
        <v/>
      </c>
      <c r="M423" s="10" t="str">
        <f t="shared" si="408"/>
        <v/>
      </c>
      <c r="N423" s="11"/>
      <c r="O423" s="2"/>
      <c r="P423" s="12"/>
      <c r="Q423" s="9"/>
      <c r="R423" s="9" t="str">
        <f t="shared" si="422"/>
        <v/>
      </c>
      <c r="S423" s="9"/>
      <c r="T423" s="9" t="str">
        <f t="shared" si="423"/>
        <v/>
      </c>
      <c r="U423" s="9"/>
      <c r="V423" s="9" t="str">
        <f t="shared" si="424"/>
        <v/>
      </c>
      <c r="W423" s="9"/>
      <c r="X423" s="47" t="str">
        <f t="shared" si="425"/>
        <v/>
      </c>
      <c r="Y423" s="9" t="str">
        <f t="shared" si="426"/>
        <v/>
      </c>
      <c r="Z423" s="9" t="str">
        <f t="shared" si="427"/>
        <v/>
      </c>
      <c r="AA423" s="10" t="str">
        <f t="shared" si="428"/>
        <v/>
      </c>
      <c r="AB423" s="11"/>
      <c r="AD423" s="12"/>
      <c r="AE423" s="9"/>
      <c r="AF423" s="9" t="str">
        <f t="shared" si="429"/>
        <v/>
      </c>
      <c r="AG423" s="9"/>
      <c r="AH423" s="9" t="str">
        <f t="shared" si="430"/>
        <v/>
      </c>
      <c r="AI423" s="9"/>
      <c r="AJ423" s="9" t="str">
        <f t="shared" si="431"/>
        <v/>
      </c>
      <c r="AK423" s="9"/>
      <c r="AL423" s="47" t="str">
        <f t="shared" si="432"/>
        <v/>
      </c>
      <c r="AM423" s="9" t="str">
        <f t="shared" si="433"/>
        <v/>
      </c>
      <c r="AN423" s="9" t="str">
        <f t="shared" si="434"/>
        <v/>
      </c>
      <c r="AO423" s="10" t="str">
        <f t="shared" si="435"/>
        <v/>
      </c>
      <c r="AP423" s="11"/>
    </row>
    <row r="424" spans="1:42" ht="15" customHeight="1" thickBot="1">
      <c r="A424" s="12"/>
      <c r="B424" s="8"/>
      <c r="C424" s="9"/>
      <c r="D424" s="9" t="str">
        <f t="shared" si="417"/>
        <v/>
      </c>
      <c r="E424" s="9"/>
      <c r="F424" s="9" t="str">
        <f t="shared" si="418"/>
        <v/>
      </c>
      <c r="G424" s="9"/>
      <c r="H424" s="9" t="str">
        <f t="shared" si="419"/>
        <v/>
      </c>
      <c r="I424" s="9"/>
      <c r="J424" s="9"/>
      <c r="K424" s="9"/>
      <c r="L424" s="9" t="str">
        <f t="shared" si="407"/>
        <v/>
      </c>
      <c r="M424" s="10" t="str">
        <f t="shared" si="408"/>
        <v/>
      </c>
      <c r="N424" s="11"/>
      <c r="O424" s="2"/>
      <c r="P424" s="18"/>
      <c r="Q424" s="19"/>
      <c r="R424" s="19" t="str">
        <f t="shared" si="422"/>
        <v/>
      </c>
      <c r="S424" s="19"/>
      <c r="T424" s="19" t="str">
        <f t="shared" si="423"/>
        <v/>
      </c>
      <c r="U424" s="19"/>
      <c r="V424" s="19" t="str">
        <f t="shared" si="424"/>
        <v/>
      </c>
      <c r="W424" s="19"/>
      <c r="X424" s="48" t="str">
        <f t="shared" si="425"/>
        <v/>
      </c>
      <c r="Y424" s="51" t="str">
        <f t="shared" si="426"/>
        <v/>
      </c>
      <c r="Z424" s="19" t="str">
        <f t="shared" si="427"/>
        <v/>
      </c>
      <c r="AA424" s="20" t="str">
        <f t="shared" si="428"/>
        <v/>
      </c>
      <c r="AB424" s="11"/>
      <c r="AD424" s="18"/>
      <c r="AE424" s="19"/>
      <c r="AF424" s="19" t="str">
        <f t="shared" si="429"/>
        <v/>
      </c>
      <c r="AG424" s="19"/>
      <c r="AH424" s="19" t="str">
        <f t="shared" si="430"/>
        <v/>
      </c>
      <c r="AI424" s="19"/>
      <c r="AJ424" s="19" t="str">
        <f t="shared" si="431"/>
        <v/>
      </c>
      <c r="AK424" s="19"/>
      <c r="AL424" s="48" t="str">
        <f t="shared" si="432"/>
        <v/>
      </c>
      <c r="AM424" s="51" t="str">
        <f t="shared" si="433"/>
        <v/>
      </c>
      <c r="AN424" s="19" t="str">
        <f t="shared" si="434"/>
        <v/>
      </c>
      <c r="AO424" s="20" t="str">
        <f t="shared" si="435"/>
        <v/>
      </c>
      <c r="AP424" s="11"/>
    </row>
    <row r="425" spans="1:42" ht="15" customHeight="1" thickTop="1">
      <c r="A425" s="12"/>
      <c r="B425" s="8"/>
      <c r="C425" s="9"/>
      <c r="D425" s="9" t="str">
        <f t="shared" si="417"/>
        <v/>
      </c>
      <c r="E425" s="9"/>
      <c r="F425" s="9" t="str">
        <f t="shared" si="418"/>
        <v/>
      </c>
      <c r="G425" s="9"/>
      <c r="H425" s="9" t="str">
        <f t="shared" si="419"/>
        <v/>
      </c>
      <c r="I425" s="9"/>
      <c r="J425" s="9"/>
      <c r="K425" s="9"/>
      <c r="L425" s="9" t="str">
        <f t="shared" si="407"/>
        <v/>
      </c>
      <c r="M425" s="10" t="str">
        <f t="shared" si="408"/>
        <v/>
      </c>
      <c r="N425" s="11"/>
      <c r="O425" s="2"/>
      <c r="P425" s="65" t="str">
        <f>IF($A386="","",$A386)</f>
        <v/>
      </c>
      <c r="Q425" s="44"/>
      <c r="R425" s="44" t="str">
        <f t="shared" si="422"/>
        <v/>
      </c>
      <c r="S425" s="44"/>
      <c r="T425" s="44" t="str">
        <f t="shared" si="423"/>
        <v/>
      </c>
      <c r="U425" s="44"/>
      <c r="V425" s="44" t="str">
        <f t="shared" si="424"/>
        <v/>
      </c>
      <c r="W425" s="44"/>
      <c r="X425" s="64" t="str">
        <f t="shared" si="425"/>
        <v/>
      </c>
      <c r="Y425" s="44" t="str">
        <f t="shared" si="426"/>
        <v/>
      </c>
      <c r="Z425" s="44" t="str">
        <f t="shared" si="427"/>
        <v/>
      </c>
      <c r="AA425" s="44" t="str">
        <f t="shared" si="428"/>
        <v/>
      </c>
      <c r="AB425" s="11"/>
      <c r="AD425" s="65" t="str">
        <f>IF($A386="","",$A386)</f>
        <v/>
      </c>
      <c r="AE425" s="44"/>
      <c r="AF425" s="44" t="str">
        <f t="shared" si="429"/>
        <v/>
      </c>
      <c r="AG425" s="44"/>
      <c r="AH425" s="44" t="str">
        <f t="shared" si="430"/>
        <v/>
      </c>
      <c r="AI425" s="44"/>
      <c r="AJ425" s="44" t="str">
        <f t="shared" si="431"/>
        <v/>
      </c>
      <c r="AK425" s="44"/>
      <c r="AL425" s="61" t="str">
        <f t="shared" si="432"/>
        <v/>
      </c>
      <c r="AM425" s="44" t="str">
        <f t="shared" si="433"/>
        <v/>
      </c>
      <c r="AN425" s="23" t="str">
        <f t="shared" si="434"/>
        <v/>
      </c>
      <c r="AO425" s="24" t="str">
        <f t="shared" si="435"/>
        <v/>
      </c>
      <c r="AP425" s="11"/>
    </row>
    <row r="426" spans="1:42" ht="15" customHeight="1">
      <c r="A426" s="12"/>
      <c r="B426" s="8"/>
      <c r="C426" s="9"/>
      <c r="D426" s="9"/>
      <c r="E426" s="9"/>
      <c r="F426" s="9" t="str">
        <f t="shared" si="418"/>
        <v/>
      </c>
      <c r="G426" s="9"/>
      <c r="H426" s="9" t="str">
        <f t="shared" si="419"/>
        <v/>
      </c>
      <c r="I426" s="9"/>
      <c r="J426" s="9"/>
      <c r="K426" s="9"/>
      <c r="L426" s="9" t="str">
        <f t="shared" si="407"/>
        <v/>
      </c>
      <c r="M426" s="10" t="str">
        <f t="shared" si="408"/>
        <v/>
      </c>
      <c r="N426" s="11"/>
      <c r="O426" s="2"/>
      <c r="P426" s="65"/>
      <c r="Q426" s="44"/>
      <c r="R426" s="44" t="str">
        <f t="shared" si="422"/>
        <v/>
      </c>
      <c r="S426" s="44"/>
      <c r="T426" s="44" t="str">
        <f t="shared" si="423"/>
        <v/>
      </c>
      <c r="U426" s="44"/>
      <c r="V426" s="44" t="str">
        <f t="shared" si="424"/>
        <v/>
      </c>
      <c r="W426" s="44"/>
      <c r="X426" s="64" t="str">
        <f t="shared" si="425"/>
        <v/>
      </c>
      <c r="Y426" s="44" t="str">
        <f t="shared" si="426"/>
        <v/>
      </c>
      <c r="Z426" s="44" t="str">
        <f t="shared" si="427"/>
        <v/>
      </c>
      <c r="AA426" s="44" t="str">
        <f t="shared" si="428"/>
        <v/>
      </c>
      <c r="AB426" s="11"/>
      <c r="AD426" s="65"/>
      <c r="AE426" s="44"/>
      <c r="AF426" s="44" t="str">
        <f t="shared" si="429"/>
        <v/>
      </c>
      <c r="AG426" s="44"/>
      <c r="AH426" s="44" t="str">
        <f t="shared" si="430"/>
        <v/>
      </c>
      <c r="AI426" s="44"/>
      <c r="AJ426" s="44" t="str">
        <f t="shared" si="431"/>
        <v/>
      </c>
      <c r="AK426" s="44"/>
      <c r="AL426" s="61" t="str">
        <f t="shared" si="432"/>
        <v/>
      </c>
      <c r="AM426" s="44" t="str">
        <f t="shared" si="433"/>
        <v/>
      </c>
      <c r="AN426" s="9" t="str">
        <f t="shared" si="434"/>
        <v/>
      </c>
      <c r="AO426" s="10" t="str">
        <f t="shared" si="435"/>
        <v/>
      </c>
      <c r="AP426" s="11"/>
    </row>
    <row r="427" spans="1:42" ht="15" customHeight="1">
      <c r="A427" s="12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11"/>
      <c r="O427" s="2"/>
      <c r="P427" s="89"/>
      <c r="Q427" s="52"/>
      <c r="R427" s="52" t="str">
        <f t="shared" si="422"/>
        <v/>
      </c>
      <c r="S427" s="52"/>
      <c r="T427" s="52" t="str">
        <f t="shared" si="423"/>
        <v/>
      </c>
      <c r="U427" s="52"/>
      <c r="V427" s="52" t="str">
        <f t="shared" si="424"/>
        <v/>
      </c>
      <c r="W427" s="52"/>
      <c r="X427" s="90" t="str">
        <f t="shared" si="425"/>
        <v/>
      </c>
      <c r="Y427" s="52" t="str">
        <f t="shared" si="426"/>
        <v/>
      </c>
      <c r="Z427" s="52" t="str">
        <f t="shared" si="427"/>
        <v/>
      </c>
      <c r="AA427" s="52" t="str">
        <f t="shared" si="428"/>
        <v/>
      </c>
      <c r="AB427" s="31"/>
      <c r="AD427" s="89"/>
      <c r="AE427" s="52"/>
      <c r="AF427" s="52" t="str">
        <f t="shared" si="429"/>
        <v/>
      </c>
      <c r="AG427" s="52"/>
      <c r="AH427" s="52" t="str">
        <f t="shared" si="430"/>
        <v/>
      </c>
      <c r="AI427" s="52"/>
      <c r="AJ427" s="52" t="str">
        <f t="shared" si="431"/>
        <v/>
      </c>
      <c r="AK427" s="52"/>
      <c r="AL427" s="92" t="str">
        <f t="shared" si="432"/>
        <v/>
      </c>
      <c r="AM427" s="52" t="str">
        <f t="shared" si="433"/>
        <v/>
      </c>
      <c r="AN427" s="9" t="str">
        <f t="shared" si="434"/>
        <v/>
      </c>
      <c r="AO427" s="10" t="str">
        <f t="shared" si="435"/>
        <v/>
      </c>
      <c r="AP427" s="31"/>
    </row>
    <row r="428" spans="1:42" ht="15" customHeight="1" thickBot="1">
      <c r="A428" s="12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0"/>
      <c r="N428" s="11"/>
      <c r="O428" s="2"/>
      <c r="P428" s="85"/>
      <c r="Q428" s="50"/>
      <c r="R428" s="50" t="str">
        <f t="shared" si="422"/>
        <v/>
      </c>
      <c r="S428" s="50"/>
      <c r="T428" s="50" t="str">
        <f t="shared" si="423"/>
        <v/>
      </c>
      <c r="U428" s="50"/>
      <c r="V428" s="50" t="str">
        <f t="shared" si="424"/>
        <v/>
      </c>
      <c r="W428" s="50"/>
      <c r="X428" s="86" t="str">
        <f t="shared" si="425"/>
        <v/>
      </c>
      <c r="Y428" s="50" t="str">
        <f t="shared" si="426"/>
        <v/>
      </c>
      <c r="Z428" s="50" t="str">
        <f t="shared" si="427"/>
        <v/>
      </c>
      <c r="AA428" s="50" t="str">
        <f t="shared" si="428"/>
        <v/>
      </c>
      <c r="AB428" s="87"/>
      <c r="AD428" s="85"/>
      <c r="AE428" s="50"/>
      <c r="AF428" s="50" t="str">
        <f t="shared" si="429"/>
        <v/>
      </c>
      <c r="AG428" s="50"/>
      <c r="AH428" s="50" t="str">
        <f t="shared" si="430"/>
        <v/>
      </c>
      <c r="AI428" s="50"/>
      <c r="AJ428" s="50" t="str">
        <f t="shared" si="431"/>
        <v/>
      </c>
      <c r="AK428" s="50"/>
      <c r="AL428" s="91" t="str">
        <f t="shared" si="432"/>
        <v/>
      </c>
      <c r="AM428" s="50" t="str">
        <f t="shared" si="433"/>
        <v/>
      </c>
      <c r="AN428" s="19" t="str">
        <f t="shared" si="434"/>
        <v/>
      </c>
      <c r="AO428" s="20" t="str">
        <f t="shared" si="435"/>
        <v/>
      </c>
      <c r="AP428" s="87"/>
    </row>
    <row r="429" spans="1:42" ht="15" customHeight="1" thickTop="1">
      <c r="A429" s="4">
        <v>30</v>
      </c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  <c r="N429" s="11"/>
      <c r="O429" s="2"/>
      <c r="P429" s="65"/>
      <c r="Q429" s="84" t="s">
        <v>17</v>
      </c>
      <c r="R429" s="44">
        <f>SUM(R373:R425)*100</f>
        <v>445700</v>
      </c>
      <c r="S429" s="44"/>
      <c r="T429" s="44"/>
      <c r="U429" s="84"/>
      <c r="V429" s="44"/>
      <c r="W429" s="44"/>
      <c r="X429" s="195" t="s">
        <v>19</v>
      </c>
      <c r="Y429" s="195"/>
      <c r="Z429" s="44">
        <f>SUM(Z373:Z425)</f>
        <v>69804</v>
      </c>
      <c r="AA429" s="44"/>
      <c r="AB429" s="69"/>
      <c r="AD429" s="65"/>
      <c r="AE429" s="84" t="s">
        <v>17</v>
      </c>
      <c r="AF429" s="44">
        <f>SUM(AF373:AF425)*100</f>
        <v>431200</v>
      </c>
      <c r="AG429" s="44"/>
      <c r="AH429" s="44"/>
      <c r="AI429" s="84"/>
      <c r="AJ429" s="44"/>
      <c r="AK429" s="44"/>
      <c r="AL429" s="195" t="s">
        <v>19</v>
      </c>
      <c r="AM429" s="195"/>
      <c r="AN429" s="44">
        <f>SUM(AN373:AN425)</f>
        <v>47897</v>
      </c>
      <c r="AO429" s="44"/>
      <c r="AP429" s="69"/>
    </row>
    <row r="430" spans="1:42" ht="15" customHeight="1">
      <c r="A430" s="96">
        <f>DATEDIF(A458,A382,"d")</f>
        <v>30</v>
      </c>
      <c r="B430" s="8">
        <f>SUM(B373:B429)</f>
        <v>10716</v>
      </c>
      <c r="C430" s="5" t="s">
        <v>17</v>
      </c>
      <c r="D430" s="9">
        <f>SUM(D373:D426)*100</f>
        <v>197700</v>
      </c>
      <c r="E430" s="9"/>
      <c r="F430" s="9"/>
      <c r="G430" s="5"/>
      <c r="H430" s="9"/>
      <c r="I430" s="9"/>
      <c r="J430" s="9"/>
      <c r="K430" s="9"/>
      <c r="L430" s="9"/>
      <c r="M430" s="9"/>
      <c r="N430" s="11"/>
      <c r="O430" s="2"/>
      <c r="P430" s="25"/>
      <c r="Q430" s="5" t="s">
        <v>20</v>
      </c>
      <c r="R430" s="9">
        <f>R429/$A430</f>
        <v>14856.666666666666</v>
      </c>
      <c r="S430" s="9">
        <f>R430*A429</f>
        <v>445700</v>
      </c>
      <c r="T430" s="9"/>
      <c r="U430" s="5"/>
      <c r="V430" s="9"/>
      <c r="W430" s="9"/>
      <c r="X430" s="178" t="s">
        <v>21</v>
      </c>
      <c r="Y430" s="178"/>
      <c r="Z430" s="9"/>
      <c r="AA430" s="28">
        <f>Z429/R429</f>
        <v>0.15661655822301998</v>
      </c>
      <c r="AB430" s="11"/>
      <c r="AD430" s="40"/>
      <c r="AE430" s="5" t="s">
        <v>20</v>
      </c>
      <c r="AF430" s="9">
        <f>AF429/$A430</f>
        <v>14373.333333333334</v>
      </c>
      <c r="AG430" s="9">
        <f>AF430*A429</f>
        <v>431200</v>
      </c>
      <c r="AH430" s="9"/>
      <c r="AI430" s="5"/>
      <c r="AJ430" s="9"/>
      <c r="AK430" s="9"/>
      <c r="AL430" s="178" t="s">
        <v>21</v>
      </c>
      <c r="AM430" s="178"/>
      <c r="AN430" s="9"/>
      <c r="AO430" s="28">
        <f>AN429/AF429</f>
        <v>0.11107838589981447</v>
      </c>
      <c r="AP430" s="11"/>
    </row>
    <row r="431" spans="1:42" ht="15" customHeight="1">
      <c r="A431" s="97"/>
      <c r="B431" s="8">
        <f>B430/A430</f>
        <v>357.2</v>
      </c>
      <c r="C431" s="5" t="s">
        <v>20</v>
      </c>
      <c r="D431" s="9">
        <f>D430/A430</f>
        <v>6590</v>
      </c>
      <c r="E431" s="9">
        <f>D431*A429</f>
        <v>197700</v>
      </c>
      <c r="F431" s="9"/>
      <c r="G431" s="5"/>
      <c r="H431" s="9"/>
      <c r="I431" s="9"/>
      <c r="J431" s="9"/>
      <c r="K431" s="9"/>
      <c r="L431" s="9"/>
      <c r="M431" s="9"/>
      <c r="N431" s="11"/>
      <c r="O431" s="2"/>
      <c r="P431" s="12"/>
      <c r="Q431" s="58" t="s">
        <v>23</v>
      </c>
      <c r="R431" s="9">
        <f>R429*0.6</f>
        <v>267420</v>
      </c>
      <c r="S431" s="9"/>
      <c r="T431" s="9"/>
      <c r="U431" s="5"/>
      <c r="V431" s="9"/>
      <c r="W431" s="9"/>
      <c r="X431" s="178" t="s">
        <v>24</v>
      </c>
      <c r="Y431" s="178"/>
      <c r="Z431" s="9">
        <f>R431-Z429</f>
        <v>197616</v>
      </c>
      <c r="AA431" s="28">
        <f>Z431/R429</f>
        <v>0.44338344177698003</v>
      </c>
      <c r="AB431" s="11"/>
      <c r="AD431" s="12"/>
      <c r="AE431" s="58" t="s">
        <v>23</v>
      </c>
      <c r="AF431" s="9">
        <f>AF429*0.6</f>
        <v>258720</v>
      </c>
      <c r="AG431" s="9"/>
      <c r="AH431" s="9"/>
      <c r="AI431" s="5"/>
      <c r="AJ431" s="9"/>
      <c r="AK431" s="9"/>
      <c r="AL431" s="178" t="s">
        <v>24</v>
      </c>
      <c r="AM431" s="178"/>
      <c r="AN431" s="9">
        <f>AF431-AN429</f>
        <v>210823</v>
      </c>
      <c r="AO431" s="28">
        <f>AN431/AF429</f>
        <v>0.48892161410018553</v>
      </c>
      <c r="AP431" s="11"/>
    </row>
    <row r="432" spans="1:42" ht="15" customHeight="1">
      <c r="A432" s="12"/>
      <c r="B432" s="8">
        <f>B431*30</f>
        <v>10716</v>
      </c>
      <c r="C432" s="5" t="s">
        <v>23</v>
      </c>
      <c r="D432" s="9">
        <f>D430*0.6</f>
        <v>118620</v>
      </c>
      <c r="E432" s="9"/>
      <c r="F432" s="9"/>
      <c r="G432" s="180" t="s">
        <v>27</v>
      </c>
      <c r="H432" s="180"/>
      <c r="I432" s="9">
        <f>(G381+I381)*K381</f>
        <v>7865</v>
      </c>
      <c r="J432" s="9"/>
      <c r="K432" s="9"/>
      <c r="L432" s="9"/>
      <c r="M432" s="9"/>
      <c r="N432" s="11"/>
      <c r="O432" s="2"/>
      <c r="P432" s="65"/>
      <c r="Q432" s="5" t="s">
        <v>25</v>
      </c>
      <c r="R432" s="9">
        <f>R503</f>
        <v>334400</v>
      </c>
      <c r="S432" s="9"/>
      <c r="T432" s="9"/>
      <c r="U432" s="5"/>
      <c r="V432" s="9"/>
      <c r="W432" s="17"/>
      <c r="X432" s="182" t="s">
        <v>27</v>
      </c>
      <c r="Y432" s="182"/>
      <c r="Z432" s="44">
        <f>(U405+W405)*Y405+(U406+W406)*Y406+(U407+W407)*Y407+(U408+W408)*Y408</f>
        <v>28428</v>
      </c>
      <c r="AA432" s="10"/>
      <c r="AB432" s="11"/>
      <c r="AD432" s="65"/>
      <c r="AE432" s="5" t="s">
        <v>25</v>
      </c>
      <c r="AF432" s="9">
        <f>AF503</f>
        <v>325700</v>
      </c>
      <c r="AG432" s="9"/>
      <c r="AH432" s="9"/>
      <c r="AI432" s="5"/>
      <c r="AJ432" s="9"/>
      <c r="AK432" s="17"/>
      <c r="AL432" s="182" t="s">
        <v>27</v>
      </c>
      <c r="AM432" s="182"/>
      <c r="AN432" s="44">
        <f>(AI405+AK405)*AM405+(AI406+AK406)*AM406+(AI407+AK407)*AM407+(AI408+AK408)*AM408</f>
        <v>95525</v>
      </c>
      <c r="AO432" s="10"/>
      <c r="AP432" s="11"/>
    </row>
    <row r="433" spans="1:42" ht="15" customHeight="1">
      <c r="A433" s="12"/>
      <c r="B433" s="8"/>
      <c r="C433" s="5" t="s">
        <v>25</v>
      </c>
      <c r="D433" s="9">
        <f>D504</f>
        <v>178000</v>
      </c>
      <c r="E433" s="9"/>
      <c r="F433" s="9"/>
      <c r="G433" s="5" t="s">
        <v>22</v>
      </c>
      <c r="H433" s="9">
        <f>SUM(L373:L426)</f>
        <v>36465</v>
      </c>
      <c r="I433" s="28">
        <f>H433/D430</f>
        <v>0.18444613050075873</v>
      </c>
      <c r="J433" s="28"/>
      <c r="K433" s="9"/>
      <c r="L433" s="9"/>
      <c r="M433" s="9"/>
      <c r="N433" s="11"/>
      <c r="O433" s="2"/>
      <c r="P433" s="65"/>
      <c r="Q433" s="5"/>
      <c r="R433" s="9"/>
      <c r="S433" s="9"/>
      <c r="T433" s="9"/>
      <c r="U433" s="5"/>
      <c r="V433" s="9"/>
      <c r="W433" s="17"/>
      <c r="X433" s="100"/>
      <c r="Y433" s="103"/>
      <c r="Z433" s="62"/>
      <c r="AA433" s="10"/>
      <c r="AB433" s="11"/>
      <c r="AD433" s="65"/>
      <c r="AE433" s="5"/>
      <c r="AF433" s="9"/>
      <c r="AG433" s="9"/>
      <c r="AH433" s="9"/>
      <c r="AI433" s="5"/>
      <c r="AJ433" s="9"/>
      <c r="AK433" s="17"/>
      <c r="AL433" s="100"/>
      <c r="AM433" s="103"/>
      <c r="AN433" s="62"/>
      <c r="AO433" s="10"/>
      <c r="AP433" s="11"/>
    </row>
    <row r="434" spans="1:42" ht="15" customHeight="1">
      <c r="A434" s="12"/>
      <c r="B434" s="8"/>
      <c r="C434" s="58"/>
      <c r="D434" s="9"/>
      <c r="E434" s="9"/>
      <c r="F434" s="9"/>
      <c r="G434" s="30" t="s">
        <v>24</v>
      </c>
      <c r="H434" s="26">
        <f>D432-H433</f>
        <v>82155</v>
      </c>
      <c r="I434" s="28">
        <f>H434/D430</f>
        <v>0.41555386949924128</v>
      </c>
      <c r="J434" s="28"/>
      <c r="K434" s="9"/>
      <c r="L434" s="9"/>
      <c r="M434" s="9"/>
      <c r="N434" s="11"/>
      <c r="O434" s="2"/>
      <c r="P434" s="65"/>
      <c r="Q434" s="5"/>
      <c r="R434" s="9"/>
      <c r="S434" s="26"/>
      <c r="T434" s="9"/>
      <c r="U434" s="5"/>
      <c r="V434" s="9"/>
      <c r="W434" s="17"/>
      <c r="X434" s="100"/>
      <c r="Y434" s="103"/>
      <c r="Z434" s="62"/>
      <c r="AA434" s="10"/>
      <c r="AB434" s="11"/>
      <c r="AD434" s="65"/>
      <c r="AE434" s="5"/>
      <c r="AF434" s="9"/>
      <c r="AG434" s="26"/>
      <c r="AH434" s="9"/>
      <c r="AI434" s="5"/>
      <c r="AJ434" s="9"/>
      <c r="AK434" s="17"/>
      <c r="AL434" s="100"/>
      <c r="AM434" s="103"/>
      <c r="AN434" s="62"/>
      <c r="AO434" s="10"/>
      <c r="AP434" s="11"/>
    </row>
    <row r="435" spans="1:42" ht="15" customHeight="1">
      <c r="A435" s="33"/>
      <c r="B435" s="32"/>
      <c r="C435" s="58"/>
      <c r="D435" s="9"/>
      <c r="E435" s="9"/>
      <c r="F435" s="9"/>
      <c r="G435" s="104"/>
      <c r="H435" s="106"/>
      <c r="I435" s="28"/>
      <c r="J435" s="28"/>
      <c r="K435" s="9"/>
      <c r="L435" s="9"/>
      <c r="M435" s="9"/>
      <c r="N435" s="11"/>
      <c r="O435" s="2"/>
      <c r="P435" s="65"/>
      <c r="Q435" s="5"/>
      <c r="R435" s="17"/>
      <c r="S435" s="111"/>
      <c r="T435" s="45"/>
      <c r="U435" s="5"/>
      <c r="V435" s="9"/>
      <c r="W435" s="17"/>
      <c r="X435" s="100"/>
      <c r="Y435" s="103"/>
      <c r="Z435" s="62"/>
      <c r="AA435" s="10"/>
      <c r="AB435" s="11"/>
      <c r="AD435" s="65"/>
      <c r="AE435" s="5"/>
      <c r="AF435" s="17"/>
      <c r="AG435" s="111"/>
      <c r="AH435" s="45"/>
      <c r="AI435" s="5"/>
      <c r="AJ435" s="9"/>
      <c r="AK435" s="17"/>
      <c r="AL435" s="100"/>
      <c r="AM435" s="103"/>
      <c r="AN435" s="62"/>
      <c r="AO435" s="10"/>
      <c r="AP435" s="11"/>
    </row>
    <row r="436" spans="1:42" ht="15" customHeight="1">
      <c r="A436" s="98"/>
      <c r="B436" s="99"/>
      <c r="C436" s="5"/>
      <c r="D436" s="9"/>
      <c r="E436" s="9"/>
      <c r="F436" s="9"/>
      <c r="G436" s="27"/>
      <c r="H436" s="17"/>
      <c r="I436" s="28"/>
      <c r="J436" s="28"/>
      <c r="K436" s="10"/>
      <c r="L436" s="10"/>
      <c r="M436" s="10"/>
      <c r="N436" s="11"/>
      <c r="O436" s="2"/>
      <c r="P436" s="12"/>
      <c r="Q436" s="9"/>
      <c r="R436" s="9"/>
      <c r="T436" s="9"/>
      <c r="U436" s="5"/>
      <c r="V436" s="9"/>
      <c r="W436" s="9"/>
      <c r="X436" s="41"/>
      <c r="Y436" s="67"/>
      <c r="Z436" s="10"/>
      <c r="AA436" s="10"/>
      <c r="AB436" s="11"/>
      <c r="AD436" s="12"/>
      <c r="AE436" s="9"/>
      <c r="AF436" s="9"/>
      <c r="AH436" s="9"/>
      <c r="AI436" s="5"/>
      <c r="AJ436" s="9"/>
      <c r="AK436" s="9"/>
      <c r="AL436" s="54"/>
      <c r="AM436" s="67"/>
      <c r="AN436" s="10"/>
      <c r="AO436" s="10"/>
      <c r="AP436" s="11"/>
    </row>
    <row r="437" spans="1:42" ht="15" customHeight="1">
      <c r="A437" s="191" t="s">
        <v>43</v>
      </c>
      <c r="B437" s="191"/>
      <c r="C437" s="192" t="s">
        <v>46</v>
      </c>
      <c r="D437" s="192"/>
      <c r="E437" s="192" t="s">
        <v>47</v>
      </c>
      <c r="F437" s="192"/>
      <c r="G437" s="102"/>
      <c r="H437" s="93"/>
      <c r="I437" s="101"/>
      <c r="J437" s="101"/>
      <c r="K437" s="10"/>
      <c r="L437" s="10"/>
      <c r="M437" s="10"/>
      <c r="N437" s="11"/>
      <c r="O437" s="2"/>
      <c r="P437" s="79"/>
      <c r="Q437" s="45"/>
      <c r="R437" s="9"/>
      <c r="S437" s="5"/>
      <c r="T437" s="9"/>
      <c r="U437" s="5"/>
      <c r="V437" s="9"/>
      <c r="W437" s="9"/>
      <c r="X437" s="41"/>
      <c r="Y437" s="67"/>
      <c r="Z437" s="10"/>
      <c r="AA437" s="10"/>
      <c r="AB437" s="11"/>
      <c r="AD437" s="79"/>
      <c r="AE437" s="45"/>
      <c r="AF437" s="9"/>
      <c r="AG437" s="5"/>
      <c r="AH437" s="9"/>
      <c r="AI437" s="5"/>
      <c r="AJ437" s="9"/>
      <c r="AK437" s="9"/>
      <c r="AL437" s="54"/>
      <c r="AM437" s="67"/>
      <c r="AN437" s="10"/>
      <c r="AO437" s="10"/>
      <c r="AP437" s="11"/>
    </row>
    <row r="438" spans="1:42">
      <c r="A438" s="193">
        <f>E431+S430+AG430</f>
        <v>1074600</v>
      </c>
      <c r="B438" s="193"/>
      <c r="C438" s="194">
        <f>H433+Z429+AN429</f>
        <v>154166</v>
      </c>
      <c r="D438" s="194"/>
      <c r="E438" s="194">
        <f>I432+Z432+AN432</f>
        <v>131818</v>
      </c>
      <c r="F438" s="194"/>
      <c r="G438" s="84"/>
      <c r="H438" s="44"/>
      <c r="I438" s="28"/>
      <c r="J438" s="28"/>
      <c r="K438" s="10"/>
      <c r="L438" s="10"/>
      <c r="M438" s="10"/>
      <c r="N438" s="11"/>
      <c r="O438" s="2"/>
      <c r="P438" s="165" t="s">
        <v>26</v>
      </c>
      <c r="Q438" s="165"/>
      <c r="R438" s="29">
        <f>SUM(R373,R377,R381,R385,R389,R393,R398,R401,R405,R409,R413,R417,R421)*100</f>
        <v>132200</v>
      </c>
      <c r="S438" s="45"/>
      <c r="T438" s="9"/>
      <c r="U438" s="5">
        <f>R438/V438</f>
        <v>6610</v>
      </c>
      <c r="V438" s="29">
        <f>SUM(V373,V377,V381,V385,V389,V393,V398,V401,V405,V409,V413,V417,V421)</f>
        <v>20</v>
      </c>
      <c r="W438" s="9"/>
      <c r="X438" s="64" t="str">
        <f t="shared" ref="X438:Y441" si="436">X373</f>
        <v>キティヒョウ柄マスコット</v>
      </c>
      <c r="Y438" s="62">
        <f t="shared" si="436"/>
        <v>996</v>
      </c>
      <c r="Z438" s="29">
        <f>SUM(Z373,Z377,Z381,Z385,Z389,Z393,Z398,Z401,Z405,Z409,Z413,Z417,Z421)</f>
        <v>19248</v>
      </c>
      <c r="AA438" s="28">
        <f>Z438/R438</f>
        <v>0.14559757942511348</v>
      </c>
      <c r="AB438" s="11"/>
      <c r="AC438" s="16"/>
      <c r="AD438" s="165" t="s">
        <v>26</v>
      </c>
      <c r="AE438" s="165"/>
      <c r="AF438" s="29">
        <f>SUM(AF373,AF377,AF381,AF385,AF389,AF393,AF397,AF401,AF405,AF409,AF413,AF417,AF421)*100</f>
        <v>100000</v>
      </c>
      <c r="AG438" s="45"/>
      <c r="AH438" s="9"/>
      <c r="AI438" s="5">
        <f>AF438/AJ438</f>
        <v>6666.666666666667</v>
      </c>
      <c r="AJ438" s="29">
        <f>SUM(AJ373,AJ377,AJ381,AJ385,AJ389,AJ393,AJ398,AJ401,AJ405,AJ409,AJ413,AJ417,AJ421)</f>
        <v>15</v>
      </c>
      <c r="AK438" s="9"/>
      <c r="AL438" s="61" t="str">
        <f t="shared" ref="AL438:AM441" si="437">AL373</f>
        <v>サンリオクリスマスキーケース</v>
      </c>
      <c r="AM438" s="62">
        <f t="shared" si="437"/>
        <v>358</v>
      </c>
      <c r="AN438" s="29">
        <f>SUM(AN373,AN377,AN381,AN385,AN389,AN393,AN398,AN401,AN405,AN409,AN413,AN417,AN421)</f>
        <v>9797</v>
      </c>
      <c r="AO438" s="28">
        <f>AN438/AF438</f>
        <v>9.7970000000000002E-2</v>
      </c>
      <c r="AP438" s="11"/>
    </row>
    <row r="439" spans="1:42">
      <c r="A439" s="190">
        <v>452000</v>
      </c>
      <c r="B439" s="190"/>
      <c r="C439" s="45"/>
      <c r="D439" s="105">
        <f>C438/A438</f>
        <v>0.14346361436813698</v>
      </c>
      <c r="E439" s="9"/>
      <c r="F439" s="9"/>
      <c r="G439" s="5"/>
      <c r="H439" s="9"/>
      <c r="I439" s="9"/>
      <c r="J439" s="9"/>
      <c r="K439" s="9"/>
      <c r="L439" s="9"/>
      <c r="M439" s="9"/>
      <c r="N439" s="11"/>
      <c r="O439" s="2"/>
      <c r="P439" s="165" t="s">
        <v>26</v>
      </c>
      <c r="Q439" s="165"/>
      <c r="R439" s="29">
        <f>SUM(R374,R378,R382,R386,R390,R394,R397,R402,R406,R410,R414,R418,R422)*100</f>
        <v>70100</v>
      </c>
      <c r="S439" s="45"/>
      <c r="T439" s="9"/>
      <c r="U439" s="5">
        <f>R439/V439</f>
        <v>4123.5294117647063</v>
      </c>
      <c r="V439" s="29">
        <f>SUM(V374,V378,V382,V386,V390,V394,V397,V402,V406,V410,V414,V418,V422)</f>
        <v>17</v>
      </c>
      <c r="W439" s="9"/>
      <c r="X439" s="64" t="str">
        <f t="shared" si="436"/>
        <v>サンリオケープポーチ</v>
      </c>
      <c r="Y439" s="62">
        <f t="shared" si="436"/>
        <v>660</v>
      </c>
      <c r="Z439" s="29">
        <f>SUM(Z374,Z378,Z382,Z386,Z390,Z394,Z397,Z402,Z406,Z410,Z414,Z418,Z422)</f>
        <v>11556</v>
      </c>
      <c r="AA439" s="28">
        <f>Z439/R439</f>
        <v>0.16485021398002853</v>
      </c>
      <c r="AB439" s="11"/>
      <c r="AC439" s="1"/>
      <c r="AD439" s="165" t="s">
        <v>26</v>
      </c>
      <c r="AE439" s="165"/>
      <c r="AF439" s="29">
        <f>SUM(AF374,AF378,AF382,AF386,AF390,AF394,AF398,AF402,AF406,AF410,AF414,AF418,AF422)*100</f>
        <v>129800</v>
      </c>
      <c r="AG439" s="45"/>
      <c r="AH439" s="9"/>
      <c r="AI439" s="5">
        <f>AF439/AJ439</f>
        <v>32450</v>
      </c>
      <c r="AJ439" s="29">
        <f>SUM(AJ374,AJ378,AJ382,AJ386,AJ390,AJ394,AJ397,AJ402,AJ406,AJ410,AJ414,AJ418,AJ422)</f>
        <v>4</v>
      </c>
      <c r="AK439" s="9"/>
      <c r="AL439" s="61" t="str">
        <f t="shared" si="437"/>
        <v>液晶ミニカメラ</v>
      </c>
      <c r="AM439" s="62">
        <f t="shared" si="437"/>
        <v>1075</v>
      </c>
      <c r="AN439" s="29">
        <f>SUM(AN374,AN378,AN382,AN386,AN390,AN394,AN397,AN402,AN406,AN410,AN414,AN418,AN422)</f>
        <v>4300</v>
      </c>
      <c r="AO439" s="28">
        <f>AN439/AF439</f>
        <v>3.3127889060092452E-2</v>
      </c>
      <c r="AP439" s="11"/>
    </row>
    <row r="440" spans="1:42">
      <c r="A440" s="95"/>
      <c r="B440" s="95"/>
      <c r="C440" s="45"/>
      <c r="D440" s="9"/>
      <c r="E440" s="9"/>
      <c r="F440" s="9"/>
      <c r="G440" s="5"/>
      <c r="H440" s="9"/>
      <c r="I440" s="9"/>
      <c r="J440" s="9"/>
      <c r="K440" s="9"/>
      <c r="L440" s="9"/>
      <c r="M440" s="9"/>
      <c r="N440" s="11"/>
      <c r="O440" s="2"/>
      <c r="P440" s="165" t="s">
        <v>26</v>
      </c>
      <c r="Q440" s="165"/>
      <c r="R440" s="29">
        <f>SUM(R375,R379,R383,R387,R391,R395,R399,R403,R407,R411,R415,R419,R423)*100</f>
        <v>94000</v>
      </c>
      <c r="S440" s="45"/>
      <c r="T440" s="9"/>
      <c r="U440" s="5">
        <f>R440/V440</f>
        <v>2238.0952380952381</v>
      </c>
      <c r="V440" s="29">
        <f>SUM(V375,V379,V383,V388,V391,V395,V399,V403,V407,V411,V415,V419,V423)</f>
        <v>42</v>
      </c>
      <c r="W440" s="9"/>
      <c r="X440" s="64" t="str">
        <f t="shared" si="436"/>
        <v>ラブブマスコット</v>
      </c>
      <c r="Y440" s="62">
        <f t="shared" si="436"/>
        <v>400</v>
      </c>
      <c r="Z440" s="29">
        <f>SUM(Z375,Z379,Z383,Z388,Z391,Z395,Z399,Z403,Z407,Z411,Z415,Z419,Z423)</f>
        <v>32200</v>
      </c>
      <c r="AA440" s="28">
        <f>Z440/R440</f>
        <v>0.3425531914893617</v>
      </c>
      <c r="AB440" s="11"/>
      <c r="AC440" s="1"/>
      <c r="AD440" s="165" t="s">
        <v>26</v>
      </c>
      <c r="AE440" s="165"/>
      <c r="AF440" s="29">
        <f>SUM(AF375,AF379,AF383,AF387,AF391,AF395,AF399,AF403,AF407,AF411,AF415,AF419,AF423)*100</f>
        <v>93900</v>
      </c>
      <c r="AG440" s="45"/>
      <c r="AH440" s="9"/>
      <c r="AI440" s="5">
        <f>AF440/AJ440</f>
        <v>5523.5294117647063</v>
      </c>
      <c r="AJ440" s="29">
        <f>SUM(AJ375,AJ379,AJ383,AJ388,AJ391,AJ395,AJ399,AJ403,AJ407,AJ411,AJ415,AJ419,AJ423)</f>
        <v>17</v>
      </c>
      <c r="AK440" s="9"/>
      <c r="AL440" s="61" t="str">
        <f t="shared" si="437"/>
        <v>サンリオ型押しケース</v>
      </c>
      <c r="AM440" s="62">
        <f t="shared" si="437"/>
        <v>1100</v>
      </c>
      <c r="AN440" s="29">
        <f>SUM(AN375,AN379,AN383,AN388,AN391,AN395,AN399,AN403,AN407,AN411,AN415,AN419,AN423)</f>
        <v>14200</v>
      </c>
      <c r="AO440" s="28">
        <f>AN440/AF440</f>
        <v>0.15122470713525027</v>
      </c>
      <c r="AP440" s="11"/>
    </row>
    <row r="441" spans="1:42">
      <c r="A441" s="95"/>
      <c r="B441" s="95"/>
      <c r="C441" s="45"/>
      <c r="D441" s="9"/>
      <c r="E441" s="9"/>
      <c r="F441" s="9"/>
      <c r="G441" s="5"/>
      <c r="H441" s="9"/>
      <c r="I441" s="9"/>
      <c r="J441" s="9"/>
      <c r="K441" s="9"/>
      <c r="L441" s="9"/>
      <c r="M441" s="9"/>
      <c r="N441" s="11"/>
      <c r="O441" s="2"/>
      <c r="P441" s="165" t="s">
        <v>26</v>
      </c>
      <c r="Q441" s="165"/>
      <c r="R441" s="29">
        <f>SUM(R376,R380,R384,R388,R392,R396,R400,R404,R408,R412,R416,R420,R424)*100</f>
        <v>149400</v>
      </c>
      <c r="S441" s="45"/>
      <c r="T441" s="9"/>
      <c r="U441" s="5">
        <f>R441/V441</f>
        <v>8788.2352941176468</v>
      </c>
      <c r="V441" s="29">
        <f>SUM(V376,V380,V384,V387,V392,V396,V400,V404,V408,V412,V416,V420,V424)</f>
        <v>17</v>
      </c>
      <c r="W441" s="9"/>
      <c r="X441" s="64" t="str">
        <f t="shared" si="436"/>
        <v>ラブブキーホルダー</v>
      </c>
      <c r="Y441" s="62">
        <f t="shared" si="436"/>
        <v>400</v>
      </c>
      <c r="Z441" s="29">
        <f>SUM(Z376,Z380,Z384,Z387,Z392,Z396,Z400,Z404,Z408,Z412,Z416,Z420,Z424)</f>
        <v>6800</v>
      </c>
      <c r="AA441" s="28">
        <f>Z441/R441</f>
        <v>4.5515394912985271E-2</v>
      </c>
      <c r="AB441" s="11"/>
      <c r="AC441" s="1"/>
      <c r="AD441" s="165" t="s">
        <v>26</v>
      </c>
      <c r="AE441" s="165"/>
      <c r="AF441" s="29">
        <f>SUM(AF376,AF380,AF384,AF388,AF392,AF396,AF400,AF404,AF408,AF412,AF416,AF420,AF424)*100</f>
        <v>107500</v>
      </c>
      <c r="AG441" s="45"/>
      <c r="AH441" s="9"/>
      <c r="AI441" s="5">
        <f>AF441/AJ441</f>
        <v>1514.0845070422536</v>
      </c>
      <c r="AJ441" s="29">
        <f>SUM(AJ376,AJ380,AJ384,AJ387,AJ392,AJ396,AJ400,AJ404,AJ408,AJ412,AJ416,AJ420,AJ424)</f>
        <v>71</v>
      </c>
      <c r="AK441" s="9"/>
      <c r="AL441" s="61" t="str">
        <f t="shared" si="437"/>
        <v>AIモンスターラバー</v>
      </c>
      <c r="AM441" s="62">
        <f t="shared" si="437"/>
        <v>200</v>
      </c>
      <c r="AN441" s="29">
        <f>SUM(AN376,AN380,AN384,AN387,AN392,AN396,AN400,AN404,AN408,AN412,AN416,AN420,AN424)</f>
        <v>19600</v>
      </c>
      <c r="AO441" s="28">
        <f>AN441/AF441</f>
        <v>0.18232558139534882</v>
      </c>
      <c r="AP441" s="11"/>
    </row>
    <row r="442" spans="1:42">
      <c r="A442" s="95"/>
      <c r="B442" s="95"/>
      <c r="C442" s="45"/>
      <c r="D442" s="9"/>
      <c r="E442" s="9"/>
      <c r="F442" s="9"/>
      <c r="G442" s="5"/>
      <c r="H442" s="9"/>
      <c r="I442" s="9"/>
      <c r="J442" s="9"/>
      <c r="K442" s="9"/>
      <c r="L442" s="9"/>
      <c r="M442" s="9"/>
      <c r="N442" s="11"/>
      <c r="O442" s="2"/>
      <c r="P442" s="12"/>
      <c r="Q442" s="5" t="s">
        <v>17</v>
      </c>
      <c r="R442" s="9">
        <f>SUM(R438:R441)</f>
        <v>445700</v>
      </c>
      <c r="S442" s="45"/>
      <c r="T442" s="9"/>
      <c r="U442" s="9"/>
      <c r="V442" s="9">
        <f>SUM(V438:V441)</f>
        <v>96</v>
      </c>
      <c r="W442" s="9"/>
      <c r="X442" s="163" t="s">
        <v>28</v>
      </c>
      <c r="Y442" s="163"/>
      <c r="Z442" s="44">
        <f>SUM(Z438:Z441)</f>
        <v>69804</v>
      </c>
      <c r="AA442" s="68">
        <f>Z442/R442</f>
        <v>0.15661655822301998</v>
      </c>
      <c r="AB442" s="69"/>
      <c r="AC442" s="1"/>
      <c r="AD442" s="12"/>
      <c r="AE442" s="5" t="s">
        <v>17</v>
      </c>
      <c r="AF442" s="9">
        <f>SUM(AF438:AF441)</f>
        <v>431200</v>
      </c>
      <c r="AG442" s="45"/>
      <c r="AH442" s="9"/>
      <c r="AI442" s="9"/>
      <c r="AJ442" s="9">
        <f>SUM(AJ438:AJ441)</f>
        <v>107</v>
      </c>
      <c r="AK442" s="9"/>
      <c r="AL442" s="163" t="s">
        <v>28</v>
      </c>
      <c r="AM442" s="163"/>
      <c r="AN442" s="44">
        <f>SUM(AN438:AN441)</f>
        <v>47897</v>
      </c>
      <c r="AO442" s="68">
        <f>AN442/AF442</f>
        <v>0.11107838589981447</v>
      </c>
      <c r="AP442" s="11"/>
    </row>
    <row r="443" spans="1:42">
      <c r="A443" s="14"/>
      <c r="B443" s="76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2"/>
      <c r="P443" s="33"/>
      <c r="Q443" s="2"/>
      <c r="R443" s="2"/>
      <c r="S443" s="2"/>
      <c r="T443" s="2"/>
      <c r="U443" s="2"/>
      <c r="V443" s="2"/>
      <c r="W443" s="2"/>
      <c r="X443" s="43"/>
      <c r="Y443" s="2"/>
      <c r="Z443" s="2"/>
      <c r="AA443" s="2"/>
      <c r="AB443" s="42"/>
      <c r="AC443" s="1"/>
      <c r="AD443" s="33"/>
      <c r="AE443" s="2"/>
      <c r="AF443" s="2"/>
      <c r="AG443" s="2"/>
      <c r="AH443" s="2"/>
      <c r="AI443" s="2"/>
      <c r="AJ443" s="2"/>
      <c r="AK443" s="2"/>
      <c r="AL443" s="55"/>
      <c r="AM443" s="2"/>
      <c r="AN443" s="2"/>
      <c r="AO443" s="2"/>
      <c r="AP443" s="42"/>
    </row>
    <row r="444" spans="1:42" ht="15" customHeight="1">
      <c r="A444" s="33"/>
      <c r="B444" s="3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4"/>
      <c r="O444" s="2"/>
      <c r="P444" s="33"/>
      <c r="Q444" s="2"/>
      <c r="R444" s="2"/>
      <c r="S444" s="2"/>
      <c r="T444" s="2"/>
      <c r="U444" s="2"/>
      <c r="V444" s="2"/>
      <c r="W444" s="2"/>
      <c r="X444" s="43"/>
      <c r="Y444" s="2"/>
      <c r="Z444" s="2"/>
      <c r="AA444" s="2"/>
      <c r="AB444" s="42"/>
      <c r="AC444" s="2"/>
      <c r="AD444" s="33"/>
      <c r="AE444" s="2"/>
      <c r="AF444" s="2"/>
      <c r="AG444" s="2"/>
      <c r="AH444" s="2"/>
      <c r="AI444" s="2"/>
      <c r="AJ444" s="2"/>
      <c r="AK444" s="2"/>
      <c r="AL444" s="55"/>
      <c r="AM444" s="2"/>
      <c r="AN444" s="2"/>
      <c r="AO444" s="2"/>
      <c r="AP444" s="42"/>
    </row>
    <row r="445" spans="1:42">
      <c r="A445" s="188" t="s">
        <v>40</v>
      </c>
      <c r="B445" s="188"/>
      <c r="C445" s="189" t="s">
        <v>41</v>
      </c>
      <c r="D445" s="189"/>
      <c r="E445" s="36"/>
      <c r="F445" s="36"/>
      <c r="G445" s="59"/>
      <c r="H445" s="59"/>
      <c r="I445" s="59"/>
      <c r="J445" s="59"/>
      <c r="K445" s="59"/>
      <c r="L445" s="59"/>
      <c r="M445" s="59"/>
      <c r="N445" s="60"/>
      <c r="O445" s="56"/>
      <c r="P445" s="185" t="s">
        <v>39</v>
      </c>
      <c r="Q445" s="185"/>
      <c r="R445" s="185"/>
      <c r="S445" s="184" t="s">
        <v>38</v>
      </c>
      <c r="T445" s="184"/>
      <c r="U445" s="71"/>
      <c r="V445" s="71"/>
      <c r="W445" s="71"/>
      <c r="X445" s="72"/>
      <c r="Y445" s="71"/>
      <c r="Z445" s="71"/>
      <c r="AA445" s="71"/>
      <c r="AB445" s="73"/>
      <c r="AC445" s="74"/>
      <c r="AD445" s="185" t="s">
        <v>39</v>
      </c>
      <c r="AE445" s="185"/>
      <c r="AF445" s="185"/>
      <c r="AG445" s="184" t="s">
        <v>37</v>
      </c>
      <c r="AH445" s="184"/>
      <c r="AI445" s="71"/>
      <c r="AJ445" s="71"/>
      <c r="AK445" s="71"/>
      <c r="AL445" s="75"/>
      <c r="AM445" s="71"/>
      <c r="AN445" s="71"/>
      <c r="AO445" s="71"/>
      <c r="AP445" s="73"/>
    </row>
    <row r="446" spans="1:42">
      <c r="A446" s="7" t="s">
        <v>0</v>
      </c>
      <c r="B446" s="112" t="s">
        <v>34</v>
      </c>
      <c r="C446" s="5" t="s">
        <v>1</v>
      </c>
      <c r="D446" s="5" t="s">
        <v>2</v>
      </c>
      <c r="E446" s="6" t="s">
        <v>3</v>
      </c>
      <c r="F446" s="5" t="s">
        <v>2</v>
      </c>
      <c r="G446" s="5" t="s">
        <v>4</v>
      </c>
      <c r="H446" s="5" t="s">
        <v>5</v>
      </c>
      <c r="I446" s="5" t="s">
        <v>6</v>
      </c>
      <c r="J446" s="5"/>
      <c r="K446" s="5" t="s">
        <v>7</v>
      </c>
      <c r="L446" s="5" t="s">
        <v>8</v>
      </c>
      <c r="M446" s="5" t="s">
        <v>9</v>
      </c>
      <c r="N446" s="5" t="s">
        <v>10</v>
      </c>
      <c r="O446" s="2"/>
      <c r="P446" s="7" t="s">
        <v>0</v>
      </c>
      <c r="Q446" s="5" t="s">
        <v>1</v>
      </c>
      <c r="R446" s="5" t="s">
        <v>2</v>
      </c>
      <c r="S446" s="6" t="s">
        <v>3</v>
      </c>
      <c r="T446" s="5" t="s">
        <v>2</v>
      </c>
      <c r="U446" s="5" t="s">
        <v>4</v>
      </c>
      <c r="V446" s="5" t="s">
        <v>5</v>
      </c>
      <c r="W446" s="5" t="s">
        <v>6</v>
      </c>
      <c r="X446" s="6" t="s">
        <v>11</v>
      </c>
      <c r="Y446" s="5" t="s">
        <v>7</v>
      </c>
      <c r="Z446" s="5" t="s">
        <v>5</v>
      </c>
      <c r="AA446" s="5" t="s">
        <v>12</v>
      </c>
      <c r="AB446" s="5" t="s">
        <v>10</v>
      </c>
      <c r="AC446" s="3"/>
      <c r="AD446" s="7" t="s">
        <v>0</v>
      </c>
      <c r="AE446" s="5" t="s">
        <v>1</v>
      </c>
      <c r="AF446" s="5" t="s">
        <v>2</v>
      </c>
      <c r="AG446" s="6" t="s">
        <v>3</v>
      </c>
      <c r="AH446" s="5" t="s">
        <v>2</v>
      </c>
      <c r="AI446" s="5" t="s">
        <v>4</v>
      </c>
      <c r="AJ446" s="5" t="s">
        <v>5</v>
      </c>
      <c r="AK446" s="5" t="s">
        <v>6</v>
      </c>
      <c r="AL446" s="46" t="s">
        <v>11</v>
      </c>
      <c r="AM446" s="5" t="s">
        <v>7</v>
      </c>
      <c r="AN446" s="5" t="s">
        <v>5</v>
      </c>
      <c r="AO446" s="5" t="s">
        <v>12</v>
      </c>
      <c r="AP446" s="5" t="s">
        <v>10</v>
      </c>
    </row>
    <row r="447" spans="1:42">
      <c r="A447" s="12">
        <v>45975</v>
      </c>
      <c r="B447" s="8">
        <v>652</v>
      </c>
      <c r="C447" s="13">
        <v>29021</v>
      </c>
      <c r="D447" s="9">
        <v>124</v>
      </c>
      <c r="E447" s="9">
        <v>959</v>
      </c>
      <c r="F447" s="9">
        <v>1</v>
      </c>
      <c r="G447" s="9">
        <v>3</v>
      </c>
      <c r="H447" s="9">
        <v>1</v>
      </c>
      <c r="I447" s="9">
        <v>0</v>
      </c>
      <c r="J447" s="44"/>
      <c r="K447" s="44">
        <v>715</v>
      </c>
      <c r="L447" s="9">
        <v>715</v>
      </c>
      <c r="M447" s="10">
        <v>5.7661290322580647E-2</v>
      </c>
      <c r="N447" s="70"/>
      <c r="O447" s="2"/>
      <c r="P447" s="12">
        <v>45975</v>
      </c>
      <c r="Q447" s="44">
        <v>9446</v>
      </c>
      <c r="R447" s="44">
        <v>93</v>
      </c>
      <c r="S447" s="44">
        <v>262</v>
      </c>
      <c r="T447" s="44">
        <v>1</v>
      </c>
      <c r="U447" s="44">
        <v>15</v>
      </c>
      <c r="V447" s="44">
        <v>2</v>
      </c>
      <c r="W447" s="44">
        <v>0</v>
      </c>
      <c r="X447" s="64" t="s">
        <v>154</v>
      </c>
      <c r="Y447" s="62">
        <v>996</v>
      </c>
      <c r="Z447" s="44">
        <v>1992</v>
      </c>
      <c r="AA447" s="63">
        <v>0.21419354838709678</v>
      </c>
      <c r="AB447" s="11"/>
      <c r="AC447" s="1"/>
      <c r="AD447" s="12">
        <v>45975</v>
      </c>
      <c r="AE447" s="44">
        <v>6989</v>
      </c>
      <c r="AF447" s="44">
        <v>37</v>
      </c>
      <c r="AG447" s="44">
        <v>216</v>
      </c>
      <c r="AH447" s="44">
        <v>1</v>
      </c>
      <c r="AI447" s="44">
        <v>20</v>
      </c>
      <c r="AJ447" s="44">
        <v>1</v>
      </c>
      <c r="AK447" s="44">
        <v>0</v>
      </c>
      <c r="AL447" s="61" t="s">
        <v>178</v>
      </c>
      <c r="AM447" s="62">
        <v>358</v>
      </c>
      <c r="AN447" s="44">
        <v>358</v>
      </c>
      <c r="AO447" s="63">
        <v>9.6756756756756754E-2</v>
      </c>
      <c r="AP447" s="11"/>
    </row>
    <row r="448" spans="1:42">
      <c r="A448" s="12">
        <v>45978</v>
      </c>
      <c r="B448" s="8">
        <f>IF(A448="","",SUM(D448)+SUM(R451:R454)+SUM(AF451:AF454))</f>
        <v>766</v>
      </c>
      <c r="C448" s="13">
        <v>29165</v>
      </c>
      <c r="D448" s="9">
        <f t="shared" ref="D448:D458" si="438">IF(C448="","",C448-C447)</f>
        <v>144</v>
      </c>
      <c r="E448" s="9">
        <v>960</v>
      </c>
      <c r="F448" s="9">
        <f t="shared" ref="F448:F458" si="439">IF(E448="","",E448-E447)</f>
        <v>1</v>
      </c>
      <c r="G448" s="9">
        <v>2</v>
      </c>
      <c r="H448" s="9">
        <f t="shared" ref="H448:H458" si="440">IF(G448="","",G447+I447-G448)</f>
        <v>1</v>
      </c>
      <c r="I448" s="9">
        <v>4</v>
      </c>
      <c r="J448" s="44"/>
      <c r="K448" s="44">
        <f t="shared" ref="K448:K458" si="441">IF(C448="","",K447)</f>
        <v>715</v>
      </c>
      <c r="L448" s="9">
        <f t="shared" ref="L448:L458" si="442">IF(K448="","",H448*K448)</f>
        <v>715</v>
      </c>
      <c r="M448" s="10">
        <f t="shared" ref="M448:M458" si="443">IF(L448="","",L448/(D448*100))</f>
        <v>4.9652777777777775E-2</v>
      </c>
      <c r="N448" s="34"/>
      <c r="O448" s="2"/>
      <c r="P448" s="12"/>
      <c r="Q448" s="9">
        <v>9343</v>
      </c>
      <c r="R448" s="9">
        <v>69</v>
      </c>
      <c r="S448" s="9">
        <v>213</v>
      </c>
      <c r="T448" s="9">
        <v>1</v>
      </c>
      <c r="U448" s="9">
        <v>18</v>
      </c>
      <c r="V448" s="9">
        <v>0</v>
      </c>
      <c r="W448" s="9">
        <v>0</v>
      </c>
      <c r="X448" s="64" t="s">
        <v>172</v>
      </c>
      <c r="Y448" s="44">
        <v>880</v>
      </c>
      <c r="Z448" s="9">
        <v>0</v>
      </c>
      <c r="AA448" s="10">
        <v>0</v>
      </c>
      <c r="AB448" s="11"/>
      <c r="AC448" s="1"/>
      <c r="AD448" s="12"/>
      <c r="AE448" s="9">
        <v>9264</v>
      </c>
      <c r="AF448" s="9">
        <v>80</v>
      </c>
      <c r="AG448" s="9">
        <v>171</v>
      </c>
      <c r="AH448" s="9">
        <v>0</v>
      </c>
      <c r="AI448" s="9">
        <v>13</v>
      </c>
      <c r="AJ448" s="9">
        <v>0</v>
      </c>
      <c r="AK448" s="9">
        <v>0</v>
      </c>
      <c r="AL448" s="47" t="s">
        <v>155</v>
      </c>
      <c r="AM448" s="45">
        <v>1075</v>
      </c>
      <c r="AN448" s="9">
        <v>0</v>
      </c>
      <c r="AO448" s="10">
        <v>0</v>
      </c>
      <c r="AP448" s="11"/>
    </row>
    <row r="449" spans="1:42">
      <c r="A449" s="12">
        <v>45982</v>
      </c>
      <c r="B449" s="8">
        <f>IF(A449="","",SUM(D449)+SUM(R455:R458)+SUM(AF455:AF458))</f>
        <v>578</v>
      </c>
      <c r="C449" s="13">
        <v>29312</v>
      </c>
      <c r="D449" s="9">
        <f t="shared" si="438"/>
        <v>147</v>
      </c>
      <c r="E449" s="9">
        <v>960</v>
      </c>
      <c r="F449" s="9">
        <f t="shared" si="439"/>
        <v>0</v>
      </c>
      <c r="G449" s="9">
        <v>6</v>
      </c>
      <c r="H449" s="9">
        <f t="shared" si="440"/>
        <v>0</v>
      </c>
      <c r="I449" s="9">
        <v>2</v>
      </c>
      <c r="J449" s="44"/>
      <c r="K449" s="44">
        <f t="shared" si="441"/>
        <v>715</v>
      </c>
      <c r="L449" s="9">
        <f t="shared" si="442"/>
        <v>0</v>
      </c>
      <c r="M449" s="10">
        <f t="shared" si="443"/>
        <v>0</v>
      </c>
      <c r="N449" s="34" t="s">
        <v>182</v>
      </c>
      <c r="O449" s="2"/>
      <c r="P449" s="12"/>
      <c r="Q449" s="9">
        <v>10112</v>
      </c>
      <c r="R449" s="9">
        <v>38</v>
      </c>
      <c r="S449" s="9">
        <v>335</v>
      </c>
      <c r="T449" s="9">
        <v>0</v>
      </c>
      <c r="U449" s="9">
        <v>24</v>
      </c>
      <c r="V449" s="9">
        <v>0</v>
      </c>
      <c r="W449" s="9">
        <v>0</v>
      </c>
      <c r="X449" s="15" t="s">
        <v>150</v>
      </c>
      <c r="Y449" s="45">
        <v>400</v>
      </c>
      <c r="Z449" s="9">
        <v>0</v>
      </c>
      <c r="AA449" s="10">
        <v>0</v>
      </c>
      <c r="AB449" s="11" t="s">
        <v>136</v>
      </c>
      <c r="AC449" s="1"/>
      <c r="AD449" s="12"/>
      <c r="AE449" s="9">
        <v>10065</v>
      </c>
      <c r="AF449" s="9">
        <v>45</v>
      </c>
      <c r="AG449" s="9">
        <v>384</v>
      </c>
      <c r="AH449" s="9">
        <v>2</v>
      </c>
      <c r="AI449" s="9">
        <v>7</v>
      </c>
      <c r="AJ449" s="9">
        <v>2</v>
      </c>
      <c r="AK449" s="9">
        <v>0</v>
      </c>
      <c r="AL449" s="47" t="s">
        <v>116</v>
      </c>
      <c r="AM449" s="45">
        <v>286</v>
      </c>
      <c r="AN449" s="9">
        <v>572</v>
      </c>
      <c r="AO449" s="10">
        <v>0.12711111111111112</v>
      </c>
      <c r="AP449" s="11"/>
    </row>
    <row r="450" spans="1:42" ht="15" customHeight="1" thickBot="1">
      <c r="A450" s="12">
        <v>45984</v>
      </c>
      <c r="B450" s="8">
        <f>IF(A450="","",SUM(D450)+SUM(R459:R462)+SUM(AF459:AF462))</f>
        <v>553</v>
      </c>
      <c r="C450" s="13">
        <v>29503</v>
      </c>
      <c r="D450" s="9">
        <f t="shared" si="438"/>
        <v>191</v>
      </c>
      <c r="E450" s="9">
        <v>960</v>
      </c>
      <c r="F450" s="9">
        <f t="shared" si="439"/>
        <v>0</v>
      </c>
      <c r="G450" s="9">
        <v>7</v>
      </c>
      <c r="H450" s="9">
        <f t="shared" si="440"/>
        <v>1</v>
      </c>
      <c r="I450" s="9">
        <v>3</v>
      </c>
      <c r="J450" s="44"/>
      <c r="K450" s="44">
        <f t="shared" si="441"/>
        <v>715</v>
      </c>
      <c r="L450" s="9">
        <f t="shared" si="442"/>
        <v>715</v>
      </c>
      <c r="M450" s="10">
        <f t="shared" si="443"/>
        <v>3.743455497382199E-2</v>
      </c>
      <c r="N450" s="11" t="s">
        <v>183</v>
      </c>
      <c r="O450" s="2"/>
      <c r="P450" s="18"/>
      <c r="Q450" s="21">
        <v>11918</v>
      </c>
      <c r="R450" s="19">
        <v>68</v>
      </c>
      <c r="S450" s="19">
        <v>343</v>
      </c>
      <c r="T450" s="19">
        <v>0</v>
      </c>
      <c r="U450" s="19">
        <v>27</v>
      </c>
      <c r="V450" s="19">
        <v>0</v>
      </c>
      <c r="W450" s="19">
        <v>0</v>
      </c>
      <c r="X450" s="22" t="s">
        <v>149</v>
      </c>
      <c r="Y450" s="19">
        <v>400</v>
      </c>
      <c r="Z450" s="19">
        <v>0</v>
      </c>
      <c r="AA450" s="20">
        <v>0</v>
      </c>
      <c r="AB450" s="11"/>
      <c r="AC450" s="1"/>
      <c r="AD450" s="18"/>
      <c r="AE450" s="19">
        <v>12275</v>
      </c>
      <c r="AF450" s="19">
        <v>98</v>
      </c>
      <c r="AG450" s="19">
        <v>403</v>
      </c>
      <c r="AH450" s="19">
        <v>5</v>
      </c>
      <c r="AI450" s="19">
        <v>90</v>
      </c>
      <c r="AJ450" s="19">
        <v>6</v>
      </c>
      <c r="AK450" s="19">
        <v>0</v>
      </c>
      <c r="AL450" s="48" t="s">
        <v>95</v>
      </c>
      <c r="AM450" s="19">
        <v>200</v>
      </c>
      <c r="AN450" s="19">
        <v>1200</v>
      </c>
      <c r="AO450" s="20">
        <v>0.12244897959183673</v>
      </c>
      <c r="AP450" s="11"/>
    </row>
    <row r="451" spans="1:42" ht="15" customHeight="1" thickTop="1">
      <c r="A451" s="12">
        <v>45986</v>
      </c>
      <c r="B451" s="8">
        <f>IF(A451="","",SUM(D451)+SUM(R463:R466)+SUM(AF463:AF466))</f>
        <v>848</v>
      </c>
      <c r="C451" s="13">
        <v>29737</v>
      </c>
      <c r="D451" s="9">
        <f t="shared" si="438"/>
        <v>234</v>
      </c>
      <c r="E451" s="9">
        <v>964</v>
      </c>
      <c r="F451" s="9">
        <f t="shared" si="439"/>
        <v>4</v>
      </c>
      <c r="G451" s="9">
        <v>7</v>
      </c>
      <c r="H451" s="9">
        <f t="shared" si="440"/>
        <v>3</v>
      </c>
      <c r="I451" s="9">
        <v>0</v>
      </c>
      <c r="J451" s="44"/>
      <c r="K451" s="44">
        <f t="shared" si="441"/>
        <v>715</v>
      </c>
      <c r="L451" s="9">
        <f t="shared" si="442"/>
        <v>2145</v>
      </c>
      <c r="M451" s="10">
        <f t="shared" si="443"/>
        <v>9.166666666666666E-2</v>
      </c>
      <c r="N451" s="11"/>
      <c r="O451" s="2"/>
      <c r="P451" s="65">
        <f>IF($A448="","",$A448)</f>
        <v>45978</v>
      </c>
      <c r="Q451" s="44">
        <v>9531</v>
      </c>
      <c r="R451" s="44">
        <f t="shared" ref="R451:R494" si="444">IF(Q451="","",Q451-Q447)</f>
        <v>85</v>
      </c>
      <c r="S451" s="44">
        <v>264</v>
      </c>
      <c r="T451" s="23">
        <f t="shared" ref="T451:T494" si="445">IF(S451="","",S451-S447)</f>
        <v>2</v>
      </c>
      <c r="U451" s="44">
        <v>14</v>
      </c>
      <c r="V451" s="44">
        <f t="shared" ref="V451:V494" si="446">IF(U451="","",U447+W447-U451)</f>
        <v>1</v>
      </c>
      <c r="W451" s="66">
        <v>0</v>
      </c>
      <c r="X451" s="61" t="str">
        <f t="shared" ref="X451:X487" si="447">IF(Q451="","",X447)</f>
        <v>キティヒョウ柄マスコット</v>
      </c>
      <c r="Y451" s="62">
        <f t="shared" ref="Y451:Y487" si="448">IF(R451="","",Y447)</f>
        <v>996</v>
      </c>
      <c r="Z451" s="23">
        <f t="shared" ref="Z451:Z494" si="449">IF(U451="","",V451*Y451)</f>
        <v>996</v>
      </c>
      <c r="AA451" s="24">
        <f t="shared" ref="AA451:AA494" si="450">IF(V451="","",Z451/(R451*100))</f>
        <v>0.1171764705882353</v>
      </c>
      <c r="AB451" s="11"/>
      <c r="AC451" s="1"/>
      <c r="AD451" s="65">
        <f>IF($A448="","",$A448)</f>
        <v>45978</v>
      </c>
      <c r="AE451" s="44">
        <v>7021</v>
      </c>
      <c r="AF451" s="119">
        <f t="shared" ref="AF451:AF494" si="451">IF(AE451="","",AE451-AE447)</f>
        <v>32</v>
      </c>
      <c r="AG451" s="44">
        <v>216</v>
      </c>
      <c r="AH451" s="23">
        <f t="shared" ref="AH451:AH494" si="452">IF(AG451="","",AG451-AG447)</f>
        <v>0</v>
      </c>
      <c r="AI451" s="44">
        <v>20</v>
      </c>
      <c r="AJ451" s="44">
        <f t="shared" ref="AJ451:AJ494" si="453">IF(AI451="","",AI447+AK447-AI451)</f>
        <v>0</v>
      </c>
      <c r="AK451" s="66">
        <v>0</v>
      </c>
      <c r="AL451" s="61" t="str">
        <f t="shared" ref="AL451:AL462" si="454">IF(AE451="","",AL447)</f>
        <v>番長ボタン</v>
      </c>
      <c r="AM451" s="62">
        <f t="shared" ref="AM451:AM462" si="455">IF(AF451="","",AM447)</f>
        <v>358</v>
      </c>
      <c r="AN451" s="23">
        <f t="shared" ref="AN451:AN494" si="456">IF(AI451="","",AJ451*AM451)</f>
        <v>0</v>
      </c>
      <c r="AO451" s="24">
        <f t="shared" ref="AO451:AO494" si="457">IF(AJ451="","",AN451/(AF451*100))</f>
        <v>0</v>
      </c>
      <c r="AP451" s="11"/>
    </row>
    <row r="452" spans="1:42">
      <c r="A452" s="12">
        <v>45990</v>
      </c>
      <c r="B452" s="8">
        <f>IF(A452="","",SUM(D452)+SUM(R467:R470)+SUM(AF467:AF470))</f>
        <v>560</v>
      </c>
      <c r="C452" s="13">
        <v>29815</v>
      </c>
      <c r="D452" s="9">
        <f t="shared" si="438"/>
        <v>78</v>
      </c>
      <c r="E452" s="9">
        <v>965</v>
      </c>
      <c r="F452" s="9">
        <f t="shared" si="439"/>
        <v>1</v>
      </c>
      <c r="G452" s="9">
        <v>6</v>
      </c>
      <c r="H452" s="9">
        <f t="shared" si="440"/>
        <v>1</v>
      </c>
      <c r="I452" s="9">
        <v>3</v>
      </c>
      <c r="J452" s="44"/>
      <c r="K452" s="44">
        <f t="shared" si="441"/>
        <v>715</v>
      </c>
      <c r="L452" s="9">
        <f t="shared" si="442"/>
        <v>715</v>
      </c>
      <c r="M452" s="10">
        <f t="shared" si="443"/>
        <v>9.166666666666666E-2</v>
      </c>
      <c r="N452" s="11"/>
      <c r="O452" s="2"/>
      <c r="P452" s="12"/>
      <c r="Q452" s="9">
        <v>9455</v>
      </c>
      <c r="R452" s="44">
        <f t="shared" si="444"/>
        <v>112</v>
      </c>
      <c r="S452" s="9">
        <v>216</v>
      </c>
      <c r="T452" s="9">
        <f t="shared" si="445"/>
        <v>3</v>
      </c>
      <c r="U452" s="9">
        <v>16</v>
      </c>
      <c r="V452" s="9">
        <f t="shared" si="446"/>
        <v>2</v>
      </c>
      <c r="W452" s="13">
        <v>0</v>
      </c>
      <c r="X452" s="47" t="str">
        <f t="shared" si="447"/>
        <v>サンリオアニマルがま口</v>
      </c>
      <c r="Y452" s="45">
        <f t="shared" si="448"/>
        <v>880</v>
      </c>
      <c r="Z452" s="9">
        <f t="shared" si="449"/>
        <v>1760</v>
      </c>
      <c r="AA452" s="10">
        <f t="shared" si="450"/>
        <v>0.15714285714285714</v>
      </c>
      <c r="AB452" s="11"/>
      <c r="AC452" s="1"/>
      <c r="AD452" s="12"/>
      <c r="AE452" s="9">
        <v>9373</v>
      </c>
      <c r="AF452" s="119">
        <f t="shared" si="451"/>
        <v>109</v>
      </c>
      <c r="AG452" s="9">
        <v>172</v>
      </c>
      <c r="AH452" s="9">
        <f t="shared" si="452"/>
        <v>1</v>
      </c>
      <c r="AI452" s="9">
        <v>11</v>
      </c>
      <c r="AJ452" s="9">
        <f t="shared" si="453"/>
        <v>2</v>
      </c>
      <c r="AK452" s="13">
        <v>1</v>
      </c>
      <c r="AL452" s="47" t="str">
        <f t="shared" si="454"/>
        <v>液晶ミニカメラ</v>
      </c>
      <c r="AM452" s="45">
        <f t="shared" si="455"/>
        <v>1075</v>
      </c>
      <c r="AN452" s="9">
        <f t="shared" si="456"/>
        <v>2150</v>
      </c>
      <c r="AO452" s="10">
        <f t="shared" si="457"/>
        <v>0.19724770642201836</v>
      </c>
      <c r="AP452" s="11"/>
    </row>
    <row r="453" spans="1:42">
      <c r="A453" s="12">
        <v>45993</v>
      </c>
      <c r="B453" s="8">
        <f>IF(A453="","",SUM(D453)+SUM(R471:R474)+SUM(AF471:AF474))</f>
        <v>925</v>
      </c>
      <c r="C453" s="13">
        <v>29981</v>
      </c>
      <c r="D453" s="9">
        <f t="shared" si="438"/>
        <v>166</v>
      </c>
      <c r="E453" s="9">
        <v>968</v>
      </c>
      <c r="F453" s="9">
        <f t="shared" si="439"/>
        <v>3</v>
      </c>
      <c r="G453" s="9">
        <v>6</v>
      </c>
      <c r="H453" s="9">
        <f t="shared" si="440"/>
        <v>3</v>
      </c>
      <c r="I453" s="9">
        <v>2</v>
      </c>
      <c r="J453" s="44"/>
      <c r="K453" s="44">
        <f t="shared" si="441"/>
        <v>715</v>
      </c>
      <c r="L453" s="9">
        <f t="shared" si="442"/>
        <v>2145</v>
      </c>
      <c r="M453" s="10">
        <f t="shared" si="443"/>
        <v>0.12921686746987951</v>
      </c>
      <c r="N453" s="11"/>
      <c r="O453" s="2"/>
      <c r="P453" s="12"/>
      <c r="Q453" s="9">
        <v>10152</v>
      </c>
      <c r="R453" s="52">
        <f t="shared" si="444"/>
        <v>40</v>
      </c>
      <c r="S453" s="9">
        <v>339</v>
      </c>
      <c r="T453" s="9">
        <f t="shared" si="445"/>
        <v>4</v>
      </c>
      <c r="U453" s="26">
        <v>20</v>
      </c>
      <c r="V453" s="26">
        <f t="shared" si="446"/>
        <v>4</v>
      </c>
      <c r="W453" s="38">
        <v>3</v>
      </c>
      <c r="X453" s="47" t="str">
        <f t="shared" si="447"/>
        <v>ラブブマスコット</v>
      </c>
      <c r="Y453" s="9">
        <f t="shared" si="448"/>
        <v>400</v>
      </c>
      <c r="Z453" s="9">
        <f t="shared" si="449"/>
        <v>1600</v>
      </c>
      <c r="AA453" s="10">
        <f t="shared" si="450"/>
        <v>0.4</v>
      </c>
      <c r="AB453" s="11"/>
      <c r="AC453" s="1"/>
      <c r="AD453" s="12"/>
      <c r="AE453" s="9">
        <v>10140</v>
      </c>
      <c r="AF453" s="125">
        <f t="shared" si="451"/>
        <v>75</v>
      </c>
      <c r="AG453" s="9">
        <v>386</v>
      </c>
      <c r="AH453" s="9">
        <f t="shared" si="452"/>
        <v>2</v>
      </c>
      <c r="AI453" s="26">
        <v>5</v>
      </c>
      <c r="AJ453" s="26">
        <f t="shared" si="453"/>
        <v>2</v>
      </c>
      <c r="AK453" s="38">
        <v>1</v>
      </c>
      <c r="AL453" s="47" t="str">
        <f t="shared" si="454"/>
        <v>ＡＩマスコット</v>
      </c>
      <c r="AM453" s="9">
        <f t="shared" si="455"/>
        <v>286</v>
      </c>
      <c r="AN453" s="9">
        <f t="shared" si="456"/>
        <v>572</v>
      </c>
      <c r="AO453" s="10">
        <f t="shared" si="457"/>
        <v>7.6266666666666663E-2</v>
      </c>
      <c r="AP453" s="11"/>
    </row>
    <row r="454" spans="1:42" ht="15" customHeight="1" thickBot="1">
      <c r="A454" s="127">
        <v>45996</v>
      </c>
      <c r="B454" s="8">
        <f>IF(A454="","",SUM(D454)+SUM(R475:R478)+SUM(AF475:AF478))</f>
        <v>449</v>
      </c>
      <c r="C454" s="13">
        <v>30136</v>
      </c>
      <c r="D454" s="9">
        <f t="shared" si="438"/>
        <v>155</v>
      </c>
      <c r="E454" s="9">
        <v>970</v>
      </c>
      <c r="F454" s="9">
        <f t="shared" si="439"/>
        <v>2</v>
      </c>
      <c r="G454" s="9">
        <v>5</v>
      </c>
      <c r="H454" s="9">
        <f t="shared" si="440"/>
        <v>3</v>
      </c>
      <c r="I454" s="9">
        <v>4</v>
      </c>
      <c r="J454" s="44"/>
      <c r="K454" s="44">
        <f t="shared" si="441"/>
        <v>715</v>
      </c>
      <c r="L454" s="9">
        <f t="shared" si="442"/>
        <v>2145</v>
      </c>
      <c r="M454" s="10">
        <f t="shared" si="443"/>
        <v>0.13838709677419356</v>
      </c>
      <c r="N454" s="11"/>
      <c r="O454" s="2"/>
      <c r="P454" s="80"/>
      <c r="Q454" s="21">
        <v>11986</v>
      </c>
      <c r="R454" s="50">
        <f t="shared" si="444"/>
        <v>68</v>
      </c>
      <c r="S454" s="51">
        <v>344</v>
      </c>
      <c r="T454" s="21">
        <f t="shared" si="445"/>
        <v>1</v>
      </c>
      <c r="U454" s="53">
        <v>26</v>
      </c>
      <c r="V454" s="53">
        <f t="shared" si="446"/>
        <v>1</v>
      </c>
      <c r="W454" s="37">
        <v>0</v>
      </c>
      <c r="X454" s="48" t="str">
        <f t="shared" si="447"/>
        <v>ラブブキーホルダー</v>
      </c>
      <c r="Y454" s="51">
        <f t="shared" si="448"/>
        <v>400</v>
      </c>
      <c r="Z454" s="19">
        <f t="shared" si="449"/>
        <v>400</v>
      </c>
      <c r="AA454" s="20">
        <f t="shared" si="450"/>
        <v>5.8823529411764705E-2</v>
      </c>
      <c r="AB454" s="11"/>
      <c r="AC454" s="1"/>
      <c r="AD454" s="80"/>
      <c r="AE454" s="21">
        <v>12376</v>
      </c>
      <c r="AF454" s="124">
        <f t="shared" si="451"/>
        <v>101</v>
      </c>
      <c r="AG454" s="51">
        <v>407</v>
      </c>
      <c r="AH454" s="21">
        <f t="shared" si="452"/>
        <v>4</v>
      </c>
      <c r="AI454" s="53">
        <v>85</v>
      </c>
      <c r="AJ454" s="53">
        <f t="shared" si="453"/>
        <v>5</v>
      </c>
      <c r="AK454" s="37">
        <v>0</v>
      </c>
      <c r="AL454" s="48" t="str">
        <f t="shared" si="454"/>
        <v>AIモンスターラバー</v>
      </c>
      <c r="AM454" s="51">
        <f t="shared" si="455"/>
        <v>200</v>
      </c>
      <c r="AN454" s="19">
        <f t="shared" si="456"/>
        <v>1000</v>
      </c>
      <c r="AO454" s="20">
        <f t="shared" si="457"/>
        <v>9.9009900990099015E-2</v>
      </c>
      <c r="AP454" s="11"/>
    </row>
    <row r="455" spans="1:42" ht="15" customHeight="1" thickTop="1">
      <c r="A455" s="12">
        <v>45999</v>
      </c>
      <c r="B455" s="8">
        <f>IF(A455="","",SUM(D455)+SUM(R479:R482)+SUM(AF479:AF482))</f>
        <v>914</v>
      </c>
      <c r="C455" s="13">
        <v>30356</v>
      </c>
      <c r="D455" s="9">
        <f t="shared" si="438"/>
        <v>220</v>
      </c>
      <c r="E455" s="9">
        <v>972</v>
      </c>
      <c r="F455" s="9">
        <f t="shared" si="439"/>
        <v>2</v>
      </c>
      <c r="G455" s="9">
        <v>7</v>
      </c>
      <c r="H455" s="9">
        <f t="shared" si="440"/>
        <v>2</v>
      </c>
      <c r="I455" s="9">
        <v>2</v>
      </c>
      <c r="J455" s="44"/>
      <c r="K455" s="44">
        <f t="shared" si="441"/>
        <v>715</v>
      </c>
      <c r="L455" s="9">
        <f t="shared" si="442"/>
        <v>1430</v>
      </c>
      <c r="M455" s="10">
        <f t="shared" si="443"/>
        <v>6.5000000000000002E-2</v>
      </c>
      <c r="N455" s="34"/>
      <c r="O455" s="2"/>
      <c r="P455" s="65">
        <f>IF($A449="","",$A449)</f>
        <v>45982</v>
      </c>
      <c r="Q455" s="44">
        <v>9599</v>
      </c>
      <c r="R455" s="44">
        <f t="shared" si="444"/>
        <v>68</v>
      </c>
      <c r="S455" s="44">
        <v>264</v>
      </c>
      <c r="T455" s="23">
        <f t="shared" si="445"/>
        <v>0</v>
      </c>
      <c r="U455" s="44">
        <v>14</v>
      </c>
      <c r="V455" s="44">
        <f t="shared" si="446"/>
        <v>0</v>
      </c>
      <c r="W455" s="66">
        <v>0</v>
      </c>
      <c r="X455" s="61" t="str">
        <f t="shared" si="447"/>
        <v>キティヒョウ柄マスコット</v>
      </c>
      <c r="Y455" s="62">
        <f t="shared" si="448"/>
        <v>996</v>
      </c>
      <c r="Z455" s="23">
        <f t="shared" si="449"/>
        <v>0</v>
      </c>
      <c r="AA455" s="24">
        <f t="shared" si="450"/>
        <v>0</v>
      </c>
      <c r="AB455" s="11"/>
      <c r="AC455" s="1"/>
      <c r="AD455" s="65">
        <f>IF($A449="","",$A449)</f>
        <v>45982</v>
      </c>
      <c r="AE455" s="44">
        <v>7067</v>
      </c>
      <c r="AF455" s="119">
        <f t="shared" si="451"/>
        <v>46</v>
      </c>
      <c r="AG455" s="44">
        <v>217</v>
      </c>
      <c r="AH455" s="23">
        <f t="shared" si="452"/>
        <v>1</v>
      </c>
      <c r="AI455" s="44">
        <v>19</v>
      </c>
      <c r="AJ455" s="44">
        <f t="shared" si="453"/>
        <v>1</v>
      </c>
      <c r="AK455" s="66">
        <v>0</v>
      </c>
      <c r="AL455" s="61" t="str">
        <f t="shared" si="454"/>
        <v>番長ボタン</v>
      </c>
      <c r="AM455" s="62">
        <f t="shared" si="455"/>
        <v>358</v>
      </c>
      <c r="AN455" s="23">
        <f t="shared" si="456"/>
        <v>358</v>
      </c>
      <c r="AO455" s="24">
        <f t="shared" si="457"/>
        <v>7.7826086956521739E-2</v>
      </c>
      <c r="AP455" s="11"/>
    </row>
    <row r="456" spans="1:42">
      <c r="A456" s="12">
        <v>46003</v>
      </c>
      <c r="B456" s="8">
        <f>IF(A456="","",SUM(D456)+SUM(R483:R486)+SUM(AF483:AF486))</f>
        <v>858</v>
      </c>
      <c r="C456" s="13">
        <v>30517</v>
      </c>
      <c r="D456" s="9">
        <f t="shared" si="438"/>
        <v>161</v>
      </c>
      <c r="E456" s="9">
        <v>974</v>
      </c>
      <c r="F456" s="9">
        <f t="shared" si="439"/>
        <v>2</v>
      </c>
      <c r="G456" s="9">
        <v>7</v>
      </c>
      <c r="H456" s="9">
        <f t="shared" si="440"/>
        <v>2</v>
      </c>
      <c r="I456" s="9">
        <v>6</v>
      </c>
      <c r="J456" s="44"/>
      <c r="K456" s="44">
        <f t="shared" si="441"/>
        <v>715</v>
      </c>
      <c r="L456" s="9">
        <f t="shared" si="442"/>
        <v>1430</v>
      </c>
      <c r="M456" s="10">
        <f t="shared" si="443"/>
        <v>8.8819875776397522E-2</v>
      </c>
      <c r="N456" s="34"/>
      <c r="O456" s="2"/>
      <c r="P456" s="12"/>
      <c r="Q456" s="9">
        <v>9500</v>
      </c>
      <c r="R456" s="44">
        <f t="shared" si="444"/>
        <v>45</v>
      </c>
      <c r="S456" s="9">
        <v>217</v>
      </c>
      <c r="T456" s="9">
        <f t="shared" si="445"/>
        <v>1</v>
      </c>
      <c r="U456" s="9">
        <v>16</v>
      </c>
      <c r="V456" s="9">
        <f t="shared" si="446"/>
        <v>0</v>
      </c>
      <c r="W456" s="13">
        <v>5</v>
      </c>
      <c r="X456" s="47" t="str">
        <f t="shared" si="447"/>
        <v>サンリオアニマルがま口</v>
      </c>
      <c r="Y456" s="45">
        <f t="shared" si="448"/>
        <v>880</v>
      </c>
      <c r="Z456" s="9">
        <f t="shared" si="449"/>
        <v>0</v>
      </c>
      <c r="AA456" s="10">
        <f t="shared" si="450"/>
        <v>0</v>
      </c>
      <c r="AB456" s="11"/>
      <c r="AC456" s="1"/>
      <c r="AD456" s="12"/>
      <c r="AE456" s="9">
        <v>9410</v>
      </c>
      <c r="AF456" s="119">
        <f t="shared" si="451"/>
        <v>37</v>
      </c>
      <c r="AG456" s="9">
        <v>172</v>
      </c>
      <c r="AH456" s="9">
        <f t="shared" si="452"/>
        <v>0</v>
      </c>
      <c r="AI456" s="9">
        <v>12</v>
      </c>
      <c r="AJ456" s="9">
        <f t="shared" si="453"/>
        <v>0</v>
      </c>
      <c r="AK456" s="13">
        <v>3</v>
      </c>
      <c r="AL456" s="47" t="str">
        <f t="shared" si="454"/>
        <v>液晶ミニカメラ</v>
      </c>
      <c r="AM456" s="45">
        <f t="shared" si="455"/>
        <v>1075</v>
      </c>
      <c r="AN456" s="9">
        <f t="shared" si="456"/>
        <v>0</v>
      </c>
      <c r="AO456" s="10">
        <f t="shared" si="457"/>
        <v>0</v>
      </c>
      <c r="AP456" s="11"/>
    </row>
    <row r="457" spans="1:42">
      <c r="A457" s="12">
        <v>46006</v>
      </c>
      <c r="B457" s="8">
        <f>IF(A457="","",SUM(D457)+SUM(R487:R490)+SUM(AF487:AF490))</f>
        <v>825</v>
      </c>
      <c r="C457" s="13">
        <v>30649</v>
      </c>
      <c r="D457" s="9">
        <f t="shared" si="438"/>
        <v>132</v>
      </c>
      <c r="E457" s="9">
        <v>977</v>
      </c>
      <c r="F457" s="9">
        <f t="shared" si="439"/>
        <v>3</v>
      </c>
      <c r="G457" s="9">
        <v>8</v>
      </c>
      <c r="H457" s="9">
        <f t="shared" si="440"/>
        <v>5</v>
      </c>
      <c r="I457" s="9">
        <v>0</v>
      </c>
      <c r="J457" s="44"/>
      <c r="K457" s="44">
        <f t="shared" si="441"/>
        <v>715</v>
      </c>
      <c r="L457" s="9">
        <f t="shared" si="442"/>
        <v>3575</v>
      </c>
      <c r="M457" s="10">
        <f t="shared" si="443"/>
        <v>0.27083333333333331</v>
      </c>
      <c r="N457" s="34"/>
      <c r="O457" s="2"/>
      <c r="P457" s="25"/>
      <c r="Q457" s="9">
        <v>10224</v>
      </c>
      <c r="R457" s="52">
        <f t="shared" si="444"/>
        <v>72</v>
      </c>
      <c r="S457" s="9">
        <v>345</v>
      </c>
      <c r="T457" s="9">
        <f t="shared" si="445"/>
        <v>6</v>
      </c>
      <c r="U457" s="9">
        <v>17</v>
      </c>
      <c r="V457" s="9">
        <f t="shared" si="446"/>
        <v>6</v>
      </c>
      <c r="W457" s="13">
        <v>8</v>
      </c>
      <c r="X457" s="47" t="str">
        <f t="shared" si="447"/>
        <v>ラブブマスコット</v>
      </c>
      <c r="Y457" s="9">
        <f t="shared" si="448"/>
        <v>400</v>
      </c>
      <c r="Z457" s="9">
        <f t="shared" si="449"/>
        <v>2400</v>
      </c>
      <c r="AA457" s="10">
        <f t="shared" si="450"/>
        <v>0.33333333333333331</v>
      </c>
      <c r="AB457" s="11"/>
      <c r="AD457" s="25"/>
      <c r="AE457" s="9">
        <v>10177</v>
      </c>
      <c r="AF457" s="125">
        <f t="shared" si="451"/>
        <v>37</v>
      </c>
      <c r="AG457" s="9">
        <v>388</v>
      </c>
      <c r="AH457" s="9">
        <f t="shared" si="452"/>
        <v>2</v>
      </c>
      <c r="AI457" s="9">
        <v>5</v>
      </c>
      <c r="AJ457" s="9">
        <f t="shared" si="453"/>
        <v>1</v>
      </c>
      <c r="AK457" s="13">
        <v>4</v>
      </c>
      <c r="AL457" s="47" t="str">
        <f t="shared" si="454"/>
        <v>ＡＩマスコット</v>
      </c>
      <c r="AM457" s="9">
        <f t="shared" si="455"/>
        <v>286</v>
      </c>
      <c r="AN457" s="9">
        <f t="shared" si="456"/>
        <v>286</v>
      </c>
      <c r="AO457" s="10">
        <f t="shared" si="457"/>
        <v>7.7297297297297299E-2</v>
      </c>
      <c r="AP457" s="11"/>
    </row>
    <row r="458" spans="1:42" ht="15" customHeight="1" thickBot="1">
      <c r="A458" s="12">
        <v>46008</v>
      </c>
      <c r="B458" s="8">
        <f>IF(A458="","",SUM(D458)+SUM(R491:R494)+SUM(AF491:AF494))</f>
        <v>453</v>
      </c>
      <c r="C458" s="13">
        <v>30677</v>
      </c>
      <c r="D458" s="9">
        <f t="shared" si="438"/>
        <v>28</v>
      </c>
      <c r="E458" s="9">
        <v>977</v>
      </c>
      <c r="F458" s="9">
        <f t="shared" si="439"/>
        <v>0</v>
      </c>
      <c r="G458" s="9">
        <v>8</v>
      </c>
      <c r="H458" s="9">
        <f t="shared" si="440"/>
        <v>0</v>
      </c>
      <c r="I458" s="9"/>
      <c r="J458" s="44"/>
      <c r="K458" s="44">
        <f t="shared" si="441"/>
        <v>715</v>
      </c>
      <c r="L458" s="9">
        <f t="shared" si="442"/>
        <v>0</v>
      </c>
      <c r="M458" s="10">
        <f t="shared" si="443"/>
        <v>0</v>
      </c>
      <c r="N458" s="11"/>
      <c r="O458" s="2"/>
      <c r="P458" s="18"/>
      <c r="Q458" s="21">
        <v>12032</v>
      </c>
      <c r="R458" s="50">
        <f t="shared" si="444"/>
        <v>46</v>
      </c>
      <c r="S458" s="51">
        <v>345</v>
      </c>
      <c r="T458" s="19">
        <f t="shared" si="445"/>
        <v>1</v>
      </c>
      <c r="U458" s="19">
        <v>25</v>
      </c>
      <c r="V458" s="19">
        <f t="shared" si="446"/>
        <v>1</v>
      </c>
      <c r="W458" s="37">
        <v>0</v>
      </c>
      <c r="X458" s="48" t="str">
        <f t="shared" si="447"/>
        <v>ラブブキーホルダー</v>
      </c>
      <c r="Y458" s="51">
        <f t="shared" si="448"/>
        <v>400</v>
      </c>
      <c r="Z458" s="19">
        <f t="shared" si="449"/>
        <v>400</v>
      </c>
      <c r="AA458" s="20">
        <f t="shared" si="450"/>
        <v>8.6956521739130432E-2</v>
      </c>
      <c r="AB458" s="11"/>
      <c r="AD458" s="18"/>
      <c r="AE458" s="21">
        <v>12456</v>
      </c>
      <c r="AF458" s="124">
        <f t="shared" si="451"/>
        <v>80</v>
      </c>
      <c r="AG458" s="51">
        <v>409</v>
      </c>
      <c r="AH458" s="19">
        <f t="shared" si="452"/>
        <v>2</v>
      </c>
      <c r="AI458" s="19">
        <v>82</v>
      </c>
      <c r="AJ458" s="19">
        <f t="shared" si="453"/>
        <v>3</v>
      </c>
      <c r="AK458" s="37">
        <v>0</v>
      </c>
      <c r="AL458" s="48" t="str">
        <f t="shared" si="454"/>
        <v>AIモンスターラバー</v>
      </c>
      <c r="AM458" s="51">
        <f t="shared" si="455"/>
        <v>200</v>
      </c>
      <c r="AN458" s="19">
        <f t="shared" si="456"/>
        <v>600</v>
      </c>
      <c r="AO458" s="20">
        <f t="shared" si="457"/>
        <v>7.4999999999999997E-2</v>
      </c>
      <c r="AP458" s="11"/>
    </row>
    <row r="459" spans="1:42" ht="15" customHeight="1" thickTop="1">
      <c r="A459" s="12"/>
      <c r="B459" s="8"/>
      <c r="C459" s="13"/>
      <c r="D459" s="9"/>
      <c r="E459" s="9"/>
      <c r="F459" s="9"/>
      <c r="G459" s="9"/>
      <c r="H459" s="9"/>
      <c r="I459" s="9"/>
      <c r="J459" s="44"/>
      <c r="K459" s="44"/>
      <c r="L459" s="9"/>
      <c r="M459" s="10"/>
      <c r="N459" s="11"/>
      <c r="O459" s="2"/>
      <c r="P459" s="65">
        <f>IF($A450="","",$A450)</f>
        <v>45984</v>
      </c>
      <c r="Q459" s="44">
        <v>9642</v>
      </c>
      <c r="R459" s="44">
        <f t="shared" si="444"/>
        <v>43</v>
      </c>
      <c r="S459" s="44">
        <v>264</v>
      </c>
      <c r="T459" s="23">
        <f t="shared" si="445"/>
        <v>0</v>
      </c>
      <c r="U459" s="44">
        <v>14</v>
      </c>
      <c r="V459" s="44">
        <f t="shared" si="446"/>
        <v>0</v>
      </c>
      <c r="W459" s="66">
        <v>0</v>
      </c>
      <c r="X459" s="61" t="str">
        <f t="shared" si="447"/>
        <v>キティヒョウ柄マスコット</v>
      </c>
      <c r="Y459" s="62">
        <f t="shared" si="448"/>
        <v>996</v>
      </c>
      <c r="Z459" s="23">
        <f t="shared" si="449"/>
        <v>0</v>
      </c>
      <c r="AA459" s="24">
        <f t="shared" si="450"/>
        <v>0</v>
      </c>
      <c r="AB459" s="11"/>
      <c r="AC459" s="1"/>
      <c r="AD459" s="65">
        <f>IF($A450="","",$A450)</f>
        <v>45984</v>
      </c>
      <c r="AE459" s="44">
        <v>7090</v>
      </c>
      <c r="AF459" s="44">
        <f t="shared" si="451"/>
        <v>23</v>
      </c>
      <c r="AG459" s="44">
        <v>218</v>
      </c>
      <c r="AH459" s="23">
        <f t="shared" si="452"/>
        <v>1</v>
      </c>
      <c r="AI459" s="44">
        <v>19</v>
      </c>
      <c r="AJ459" s="44">
        <f t="shared" si="453"/>
        <v>0</v>
      </c>
      <c r="AK459" s="66">
        <v>-5</v>
      </c>
      <c r="AL459" s="61" t="str">
        <f t="shared" si="454"/>
        <v>番長ボタン</v>
      </c>
      <c r="AM459" s="62">
        <f t="shared" si="455"/>
        <v>358</v>
      </c>
      <c r="AN459" s="23">
        <f t="shared" si="456"/>
        <v>0</v>
      </c>
      <c r="AO459" s="24">
        <f t="shared" si="457"/>
        <v>0</v>
      </c>
      <c r="AP459" s="11" t="s">
        <v>184</v>
      </c>
    </row>
    <row r="460" spans="1:42">
      <c r="A460" s="12"/>
      <c r="B460" s="8"/>
      <c r="C460" s="13"/>
      <c r="D460" s="9" t="str">
        <f>IF(C460="","",C460-C459)</f>
        <v/>
      </c>
      <c r="E460" s="9"/>
      <c r="F460" s="9" t="str">
        <f>IF(E460="","",E460-E459)</f>
        <v/>
      </c>
      <c r="G460" s="9"/>
      <c r="H460" s="9" t="str">
        <f>IF(G460="","",G459+I459-G460)</f>
        <v/>
      </c>
      <c r="I460" s="9"/>
      <c r="J460" s="44"/>
      <c r="K460" s="44" t="str">
        <f>IF(C460="","",K459)</f>
        <v/>
      </c>
      <c r="L460" s="9" t="str">
        <f>IF(K460="","",H460*K460)</f>
        <v/>
      </c>
      <c r="M460" s="10" t="str">
        <f>IF(L460="","",L460/(D460*100))</f>
        <v/>
      </c>
      <c r="N460" s="11"/>
      <c r="O460" s="2"/>
      <c r="P460" s="12"/>
      <c r="Q460" s="9">
        <v>9548</v>
      </c>
      <c r="R460" s="44">
        <f t="shared" si="444"/>
        <v>48</v>
      </c>
      <c r="S460" s="9">
        <v>217</v>
      </c>
      <c r="T460" s="9">
        <f t="shared" si="445"/>
        <v>0</v>
      </c>
      <c r="U460" s="9">
        <v>20</v>
      </c>
      <c r="V460" s="9">
        <f t="shared" si="446"/>
        <v>1</v>
      </c>
      <c r="W460" s="13">
        <v>0</v>
      </c>
      <c r="X460" s="47" t="str">
        <f t="shared" si="447"/>
        <v>サンリオアニマルがま口</v>
      </c>
      <c r="Y460" s="9">
        <f t="shared" si="448"/>
        <v>880</v>
      </c>
      <c r="Z460" s="9">
        <f t="shared" si="449"/>
        <v>880</v>
      </c>
      <c r="AA460" s="10">
        <f t="shared" si="450"/>
        <v>0.18333333333333332</v>
      </c>
      <c r="AB460" s="11"/>
      <c r="AC460" s="1"/>
      <c r="AD460" s="12"/>
      <c r="AE460" s="9">
        <v>9474</v>
      </c>
      <c r="AF460" s="44">
        <f t="shared" si="451"/>
        <v>64</v>
      </c>
      <c r="AG460" s="9">
        <v>173</v>
      </c>
      <c r="AH460" s="9">
        <f t="shared" si="452"/>
        <v>1</v>
      </c>
      <c r="AI460" s="9">
        <v>14</v>
      </c>
      <c r="AJ460" s="9">
        <f t="shared" si="453"/>
        <v>1</v>
      </c>
      <c r="AK460" s="13">
        <v>0</v>
      </c>
      <c r="AL460" s="47" t="str">
        <f t="shared" si="454"/>
        <v>液晶ミニカメラ</v>
      </c>
      <c r="AM460" s="9">
        <f t="shared" si="455"/>
        <v>1075</v>
      </c>
      <c r="AN460" s="9">
        <f t="shared" si="456"/>
        <v>1075</v>
      </c>
      <c r="AO460" s="10">
        <f t="shared" si="457"/>
        <v>0.16796875</v>
      </c>
      <c r="AP460" s="11"/>
    </row>
    <row r="461" spans="1:42">
      <c r="A461" s="12"/>
      <c r="B461" s="8"/>
      <c r="C461" s="13"/>
      <c r="D461" s="9"/>
      <c r="E461" s="9"/>
      <c r="F461" s="9"/>
      <c r="G461" s="9"/>
      <c r="H461" s="9"/>
      <c r="I461" s="9"/>
      <c r="J461" s="44"/>
      <c r="K461" s="44"/>
      <c r="L461" s="9"/>
      <c r="M461" s="10"/>
      <c r="N461" s="11"/>
      <c r="O461" s="2"/>
      <c r="P461" s="25"/>
      <c r="Q461" s="26">
        <v>10261</v>
      </c>
      <c r="R461" s="44">
        <f t="shared" si="444"/>
        <v>37</v>
      </c>
      <c r="S461" s="26">
        <v>350</v>
      </c>
      <c r="T461" s="9">
        <f t="shared" si="445"/>
        <v>5</v>
      </c>
      <c r="U461" s="26">
        <v>19</v>
      </c>
      <c r="V461" s="9">
        <f t="shared" si="446"/>
        <v>6</v>
      </c>
      <c r="W461" s="38">
        <v>6</v>
      </c>
      <c r="X461" s="47" t="str">
        <f t="shared" si="447"/>
        <v>ラブブマスコット</v>
      </c>
      <c r="Y461" s="9">
        <f t="shared" si="448"/>
        <v>400</v>
      </c>
      <c r="Z461" s="9">
        <f t="shared" si="449"/>
        <v>2400</v>
      </c>
      <c r="AA461" s="10">
        <f t="shared" si="450"/>
        <v>0.64864864864864868</v>
      </c>
      <c r="AB461" s="11"/>
      <c r="AD461" s="25"/>
      <c r="AE461" s="26">
        <v>10245</v>
      </c>
      <c r="AF461" s="44">
        <f t="shared" si="451"/>
        <v>68</v>
      </c>
      <c r="AG461" s="26">
        <v>395</v>
      </c>
      <c r="AH461" s="9">
        <f t="shared" si="452"/>
        <v>7</v>
      </c>
      <c r="AI461" s="26">
        <v>4</v>
      </c>
      <c r="AJ461" s="9">
        <f t="shared" si="453"/>
        <v>5</v>
      </c>
      <c r="AK461" s="38">
        <v>6</v>
      </c>
      <c r="AL461" s="47" t="str">
        <f t="shared" si="454"/>
        <v>ＡＩマスコット</v>
      </c>
      <c r="AM461" s="9">
        <f t="shared" si="455"/>
        <v>286</v>
      </c>
      <c r="AN461" s="9">
        <f t="shared" si="456"/>
        <v>1430</v>
      </c>
      <c r="AO461" s="10">
        <f t="shared" si="457"/>
        <v>0.21029411764705883</v>
      </c>
      <c r="AP461" s="11"/>
    </row>
    <row r="462" spans="1:42" ht="15" customHeight="1" thickBot="1">
      <c r="A462" s="12"/>
      <c r="B462" s="8"/>
      <c r="C462" s="13"/>
      <c r="D462" s="9" t="str">
        <f>IF(C462="","",C462-C463)</f>
        <v/>
      </c>
      <c r="E462" s="9"/>
      <c r="F462" s="9" t="str">
        <f>IF(E462="","",E462-E463)</f>
        <v/>
      </c>
      <c r="G462" s="9"/>
      <c r="H462" s="9" t="str">
        <f>IF(G462="","",G463+I463-G462)</f>
        <v/>
      </c>
      <c r="I462" s="9"/>
      <c r="J462" s="44"/>
      <c r="K462" s="44" t="str">
        <f>IF(C462="","",K463)</f>
        <v/>
      </c>
      <c r="L462" s="9" t="str">
        <f t="shared" ref="L462:L500" si="458">IF(K462="","",H462*K462)</f>
        <v/>
      </c>
      <c r="M462" s="10" t="str">
        <f t="shared" ref="M462:M500" si="459">IF(L462="","",L462/(D462*100))</f>
        <v/>
      </c>
      <c r="N462" s="11"/>
      <c r="O462" s="2"/>
      <c r="P462" s="18"/>
      <c r="Q462" s="19">
        <v>12085</v>
      </c>
      <c r="R462" s="50">
        <f t="shared" si="444"/>
        <v>53</v>
      </c>
      <c r="S462" s="19">
        <v>345</v>
      </c>
      <c r="T462" s="19">
        <f t="shared" si="445"/>
        <v>0</v>
      </c>
      <c r="U462" s="19">
        <v>25</v>
      </c>
      <c r="V462" s="19">
        <f t="shared" si="446"/>
        <v>0</v>
      </c>
      <c r="W462" s="37">
        <v>0</v>
      </c>
      <c r="X462" s="48" t="str">
        <f t="shared" si="447"/>
        <v>ラブブキーホルダー</v>
      </c>
      <c r="Y462" s="51">
        <f t="shared" si="448"/>
        <v>400</v>
      </c>
      <c r="Z462" s="19">
        <f t="shared" si="449"/>
        <v>0</v>
      </c>
      <c r="AA462" s="20">
        <f t="shared" si="450"/>
        <v>0</v>
      </c>
      <c r="AB462" s="11"/>
      <c r="AD462" s="18"/>
      <c r="AE462" s="19">
        <v>12482</v>
      </c>
      <c r="AF462" s="50">
        <f t="shared" si="451"/>
        <v>26</v>
      </c>
      <c r="AG462" s="19">
        <v>410</v>
      </c>
      <c r="AH462" s="19">
        <f t="shared" si="452"/>
        <v>1</v>
      </c>
      <c r="AI462" s="19">
        <v>80</v>
      </c>
      <c r="AJ462" s="19">
        <f t="shared" si="453"/>
        <v>2</v>
      </c>
      <c r="AK462" s="37">
        <v>0</v>
      </c>
      <c r="AL462" s="48" t="str">
        <f t="shared" si="454"/>
        <v>AIモンスターラバー</v>
      </c>
      <c r="AM462" s="51">
        <f t="shared" si="455"/>
        <v>200</v>
      </c>
      <c r="AN462" s="19">
        <f t="shared" si="456"/>
        <v>400</v>
      </c>
      <c r="AO462" s="20">
        <f t="shared" si="457"/>
        <v>0.15384615384615385</v>
      </c>
      <c r="AP462" s="11"/>
    </row>
    <row r="463" spans="1:42" ht="15" customHeight="1" thickTop="1">
      <c r="A463" s="12"/>
      <c r="B463" s="8"/>
      <c r="C463" s="13"/>
      <c r="D463" s="9" t="str">
        <f>IF(C463="","",C463-C460)</f>
        <v/>
      </c>
      <c r="E463" s="9"/>
      <c r="F463" s="9" t="str">
        <f>IF(E463="","",E463-E460)</f>
        <v/>
      </c>
      <c r="G463" s="9"/>
      <c r="H463" s="9" t="str">
        <f>IF(G463="","",G460+I460-G463)</f>
        <v/>
      </c>
      <c r="I463" s="9"/>
      <c r="J463" s="44"/>
      <c r="K463" s="44" t="str">
        <f>IF(C463="","",K460)</f>
        <v/>
      </c>
      <c r="L463" s="9" t="str">
        <f t="shared" si="458"/>
        <v/>
      </c>
      <c r="M463" s="10" t="str">
        <f t="shared" si="459"/>
        <v/>
      </c>
      <c r="N463" s="11"/>
      <c r="O463" s="2"/>
      <c r="P463" s="65">
        <f>IF($A451="","",$A451)</f>
        <v>45986</v>
      </c>
      <c r="Q463" s="44">
        <v>9761</v>
      </c>
      <c r="R463" s="44">
        <f t="shared" si="444"/>
        <v>119</v>
      </c>
      <c r="S463" s="44">
        <v>266</v>
      </c>
      <c r="T463" s="23">
        <f t="shared" si="445"/>
        <v>2</v>
      </c>
      <c r="U463" s="44">
        <v>12</v>
      </c>
      <c r="V463" s="44">
        <f t="shared" si="446"/>
        <v>2</v>
      </c>
      <c r="W463" s="66">
        <v>0</v>
      </c>
      <c r="X463" s="61" t="str">
        <f t="shared" si="447"/>
        <v>キティヒョウ柄マスコット</v>
      </c>
      <c r="Y463" s="62">
        <f t="shared" si="448"/>
        <v>996</v>
      </c>
      <c r="Z463" s="23">
        <f t="shared" si="449"/>
        <v>1992</v>
      </c>
      <c r="AA463" s="24">
        <f t="shared" si="450"/>
        <v>0.16739495798319329</v>
      </c>
      <c r="AB463" s="11"/>
      <c r="AD463" s="65">
        <f>IF($A451="","",$A451)</f>
        <v>45986</v>
      </c>
      <c r="AE463" s="44">
        <v>7129</v>
      </c>
      <c r="AF463" s="113">
        <f t="shared" si="451"/>
        <v>39</v>
      </c>
      <c r="AG463" s="44">
        <v>218</v>
      </c>
      <c r="AH463" s="23">
        <f t="shared" si="452"/>
        <v>0</v>
      </c>
      <c r="AI463" s="44">
        <v>13</v>
      </c>
      <c r="AJ463" s="44">
        <f t="shared" si="453"/>
        <v>1</v>
      </c>
      <c r="AK463" s="66">
        <v>0</v>
      </c>
      <c r="AL463" s="61" t="s">
        <v>185</v>
      </c>
      <c r="AM463" s="62">
        <f t="shared" ref="AM463:AM476" si="460">IF(AF463="","",AM459)</f>
        <v>358</v>
      </c>
      <c r="AN463" s="23">
        <f t="shared" si="456"/>
        <v>358</v>
      </c>
      <c r="AO463" s="24">
        <f t="shared" si="457"/>
        <v>9.1794871794871793E-2</v>
      </c>
      <c r="AP463" s="11"/>
    </row>
    <row r="464" spans="1:42">
      <c r="A464" s="12"/>
      <c r="B464" s="8"/>
      <c r="C464" s="13"/>
      <c r="D464" s="9" t="str">
        <f>IF(C464="","",C464-C462)</f>
        <v/>
      </c>
      <c r="E464" s="9"/>
      <c r="F464" s="9" t="str">
        <f>IF(E464="","",E464-E462)</f>
        <v/>
      </c>
      <c r="G464" s="9"/>
      <c r="H464" s="9" t="str">
        <f>IF(G464="","",G462+I462-G464)</f>
        <v/>
      </c>
      <c r="I464" s="9"/>
      <c r="J464" s="44"/>
      <c r="K464" s="44" t="str">
        <f>IF(C464="","",K462)</f>
        <v/>
      </c>
      <c r="L464" s="9" t="str">
        <f t="shared" si="458"/>
        <v/>
      </c>
      <c r="M464" s="10" t="str">
        <f t="shared" si="459"/>
        <v/>
      </c>
      <c r="N464" s="11"/>
      <c r="O464" s="2"/>
      <c r="P464" s="65"/>
      <c r="Q464" s="9">
        <v>9590</v>
      </c>
      <c r="R464" s="81">
        <f t="shared" si="444"/>
        <v>42</v>
      </c>
      <c r="S464" s="9">
        <v>217</v>
      </c>
      <c r="T464" s="9">
        <f t="shared" si="445"/>
        <v>0</v>
      </c>
      <c r="U464" s="9">
        <v>20</v>
      </c>
      <c r="V464" s="9">
        <f t="shared" si="446"/>
        <v>0</v>
      </c>
      <c r="W464" s="13">
        <v>0</v>
      </c>
      <c r="X464" s="47" t="str">
        <f t="shared" si="447"/>
        <v>サンリオアニマルがま口</v>
      </c>
      <c r="Y464" s="45">
        <f t="shared" si="448"/>
        <v>880</v>
      </c>
      <c r="Z464" s="9">
        <f t="shared" si="449"/>
        <v>0</v>
      </c>
      <c r="AA464" s="10">
        <f t="shared" si="450"/>
        <v>0</v>
      </c>
      <c r="AB464" s="11"/>
      <c r="AD464" s="65"/>
      <c r="AE464" s="9">
        <v>9577</v>
      </c>
      <c r="AF464" s="9">
        <f t="shared" si="451"/>
        <v>103</v>
      </c>
      <c r="AG464" s="9">
        <v>176</v>
      </c>
      <c r="AH464" s="9">
        <f t="shared" si="452"/>
        <v>3</v>
      </c>
      <c r="AI464" s="9">
        <v>12</v>
      </c>
      <c r="AJ464" s="9">
        <f t="shared" si="453"/>
        <v>2</v>
      </c>
      <c r="AK464" s="13">
        <v>0</v>
      </c>
      <c r="AL464" s="47" t="str">
        <f t="shared" ref="AL464:AL476" si="461">IF(AE464="","",AL460)</f>
        <v>液晶ミニカメラ</v>
      </c>
      <c r="AM464" s="45">
        <f t="shared" si="460"/>
        <v>1075</v>
      </c>
      <c r="AN464" s="9">
        <f t="shared" si="456"/>
        <v>2150</v>
      </c>
      <c r="AO464" s="10">
        <f t="shared" si="457"/>
        <v>0.20873786407766989</v>
      </c>
      <c r="AP464" s="11" t="s">
        <v>6</v>
      </c>
    </row>
    <row r="465" spans="1:42" ht="15" customHeight="1">
      <c r="A465" s="12"/>
      <c r="B465" s="8"/>
      <c r="C465" s="13"/>
      <c r="D465" s="9" t="str">
        <f t="shared" ref="D465:D470" si="462">IF(C465="","",C465-C464)</f>
        <v/>
      </c>
      <c r="E465" s="9"/>
      <c r="F465" s="9" t="str">
        <f t="shared" ref="F465:F470" si="463">IF(E465="","",E465-E464)</f>
        <v/>
      </c>
      <c r="G465" s="9"/>
      <c r="H465" s="9" t="str">
        <f t="shared" ref="H465:H470" si="464">IF(G465="","",G464+I464-G465)</f>
        <v/>
      </c>
      <c r="I465" s="9"/>
      <c r="J465" s="44"/>
      <c r="K465" s="44" t="str">
        <f t="shared" ref="K465:K470" si="465">IF(C465="","",K464)</f>
        <v/>
      </c>
      <c r="L465" s="9" t="str">
        <f t="shared" si="458"/>
        <v/>
      </c>
      <c r="M465" s="10" t="str">
        <f t="shared" si="459"/>
        <v/>
      </c>
      <c r="N465" s="11"/>
      <c r="O465" s="2"/>
      <c r="P465" s="65"/>
      <c r="Q465" s="26">
        <v>10347</v>
      </c>
      <c r="R465" s="9">
        <f t="shared" si="444"/>
        <v>86</v>
      </c>
      <c r="S465" s="26">
        <v>357</v>
      </c>
      <c r="T465" s="9">
        <f t="shared" si="445"/>
        <v>7</v>
      </c>
      <c r="U465" s="26">
        <v>18</v>
      </c>
      <c r="V465" s="9">
        <f t="shared" si="446"/>
        <v>7</v>
      </c>
      <c r="W465" s="38">
        <v>0</v>
      </c>
      <c r="X465" s="47" t="str">
        <f t="shared" si="447"/>
        <v>ラブブマスコット</v>
      </c>
      <c r="Y465" s="9">
        <f t="shared" si="448"/>
        <v>400</v>
      </c>
      <c r="Z465" s="9">
        <f t="shared" si="449"/>
        <v>2800</v>
      </c>
      <c r="AA465" s="10">
        <f t="shared" si="450"/>
        <v>0.32558139534883723</v>
      </c>
      <c r="AB465" s="11" t="s">
        <v>6</v>
      </c>
      <c r="AD465" s="65"/>
      <c r="AE465" s="26">
        <v>10272</v>
      </c>
      <c r="AF465" s="81">
        <f t="shared" si="451"/>
        <v>27</v>
      </c>
      <c r="AG465" s="26">
        <v>400</v>
      </c>
      <c r="AH465" s="9">
        <f t="shared" si="452"/>
        <v>5</v>
      </c>
      <c r="AI465" s="26">
        <v>5</v>
      </c>
      <c r="AJ465" s="9">
        <f t="shared" si="453"/>
        <v>5</v>
      </c>
      <c r="AK465" s="38">
        <v>0</v>
      </c>
      <c r="AL465" s="47" t="str">
        <f t="shared" si="461"/>
        <v>ＡＩマスコット</v>
      </c>
      <c r="AM465" s="9">
        <f t="shared" si="460"/>
        <v>286</v>
      </c>
      <c r="AN465" s="9">
        <f t="shared" si="456"/>
        <v>1430</v>
      </c>
      <c r="AO465" s="10">
        <f t="shared" si="457"/>
        <v>0.52962962962962967</v>
      </c>
      <c r="AP465" s="11"/>
    </row>
    <row r="466" spans="1:42" ht="15" customHeight="1" thickBot="1">
      <c r="A466" s="12"/>
      <c r="B466" s="8"/>
      <c r="C466" s="13"/>
      <c r="D466" s="9" t="str">
        <f t="shared" si="462"/>
        <v/>
      </c>
      <c r="E466" s="9"/>
      <c r="F466" s="9" t="str">
        <f t="shared" si="463"/>
        <v/>
      </c>
      <c r="G466" s="9"/>
      <c r="H466" s="9" t="str">
        <f t="shared" si="464"/>
        <v/>
      </c>
      <c r="I466" s="9"/>
      <c r="J466" s="44"/>
      <c r="K466" s="44" t="str">
        <f t="shared" si="465"/>
        <v/>
      </c>
      <c r="L466" s="9" t="str">
        <f t="shared" si="458"/>
        <v/>
      </c>
      <c r="M466" s="10" t="str">
        <f t="shared" si="459"/>
        <v/>
      </c>
      <c r="N466" s="11"/>
      <c r="O466" s="2"/>
      <c r="P466" s="18"/>
      <c r="Q466" s="19">
        <v>12192</v>
      </c>
      <c r="R466" s="19">
        <f t="shared" si="444"/>
        <v>107</v>
      </c>
      <c r="S466" s="19">
        <v>348</v>
      </c>
      <c r="T466" s="19">
        <f t="shared" si="445"/>
        <v>3</v>
      </c>
      <c r="U466" s="19">
        <v>24</v>
      </c>
      <c r="V466" s="19">
        <f t="shared" si="446"/>
        <v>1</v>
      </c>
      <c r="W466" s="37">
        <v>0</v>
      </c>
      <c r="X466" s="48" t="str">
        <f t="shared" si="447"/>
        <v>ラブブキーホルダー</v>
      </c>
      <c r="Y466" s="51">
        <f t="shared" si="448"/>
        <v>400</v>
      </c>
      <c r="Z466" s="19">
        <f t="shared" si="449"/>
        <v>400</v>
      </c>
      <c r="AA466" s="20">
        <f t="shared" si="450"/>
        <v>3.7383177570093455E-2</v>
      </c>
      <c r="AB466" s="11"/>
      <c r="AD466" s="18"/>
      <c r="AE466" s="19">
        <v>12573</v>
      </c>
      <c r="AF466" s="19">
        <f t="shared" si="451"/>
        <v>91</v>
      </c>
      <c r="AG466" s="19">
        <v>412</v>
      </c>
      <c r="AH466" s="19">
        <f t="shared" si="452"/>
        <v>2</v>
      </c>
      <c r="AI466" s="19">
        <v>77</v>
      </c>
      <c r="AJ466" s="19">
        <f t="shared" si="453"/>
        <v>3</v>
      </c>
      <c r="AK466" s="37">
        <v>0</v>
      </c>
      <c r="AL466" s="48" t="str">
        <f t="shared" si="461"/>
        <v>AIモンスターラバー</v>
      </c>
      <c r="AM466" s="51">
        <f t="shared" si="460"/>
        <v>200</v>
      </c>
      <c r="AN466" s="19">
        <f t="shared" si="456"/>
        <v>600</v>
      </c>
      <c r="AO466" s="20">
        <f t="shared" si="457"/>
        <v>6.5934065934065936E-2</v>
      </c>
      <c r="AP466" s="11"/>
    </row>
    <row r="467" spans="1:42" ht="15" customHeight="1" thickTop="1">
      <c r="A467" s="12"/>
      <c r="B467" s="8"/>
      <c r="C467" s="13"/>
      <c r="D467" s="9" t="str">
        <f t="shared" si="462"/>
        <v/>
      </c>
      <c r="E467" s="9"/>
      <c r="F467" s="9" t="str">
        <f t="shared" si="463"/>
        <v/>
      </c>
      <c r="G467" s="9"/>
      <c r="H467" s="9" t="str">
        <f t="shared" si="464"/>
        <v/>
      </c>
      <c r="I467" s="9"/>
      <c r="J467" s="44"/>
      <c r="K467" s="44" t="str">
        <f t="shared" si="465"/>
        <v/>
      </c>
      <c r="L467" s="9" t="str">
        <f t="shared" si="458"/>
        <v/>
      </c>
      <c r="M467" s="10" t="str">
        <f t="shared" si="459"/>
        <v/>
      </c>
      <c r="N467" s="11"/>
      <c r="O467" s="2"/>
      <c r="P467" s="65">
        <f>IF($A452="","",$A452)</f>
        <v>45990</v>
      </c>
      <c r="Q467" s="44">
        <v>9794</v>
      </c>
      <c r="R467" s="113">
        <f t="shared" si="444"/>
        <v>33</v>
      </c>
      <c r="S467" s="44">
        <v>268</v>
      </c>
      <c r="T467" s="23">
        <f t="shared" si="445"/>
        <v>2</v>
      </c>
      <c r="U467" s="44">
        <v>10</v>
      </c>
      <c r="V467" s="44">
        <f t="shared" si="446"/>
        <v>2</v>
      </c>
      <c r="W467" s="66">
        <v>4</v>
      </c>
      <c r="X467" s="61" t="str">
        <f t="shared" si="447"/>
        <v>キティヒョウ柄マスコット</v>
      </c>
      <c r="Y467" s="62">
        <f t="shared" si="448"/>
        <v>996</v>
      </c>
      <c r="Z467" s="23">
        <f t="shared" si="449"/>
        <v>1992</v>
      </c>
      <c r="AA467" s="24">
        <f t="shared" si="450"/>
        <v>0.60363636363636364</v>
      </c>
      <c r="AB467" s="11"/>
      <c r="AD467" s="65">
        <f>IF($A452="","",$A452)</f>
        <v>45990</v>
      </c>
      <c r="AE467" s="44">
        <v>7176</v>
      </c>
      <c r="AF467" s="113">
        <f t="shared" si="451"/>
        <v>47</v>
      </c>
      <c r="AG467" s="44">
        <v>218</v>
      </c>
      <c r="AH467" s="23">
        <f t="shared" si="452"/>
        <v>0</v>
      </c>
      <c r="AI467" s="44">
        <v>13</v>
      </c>
      <c r="AJ467" s="44">
        <f t="shared" si="453"/>
        <v>0</v>
      </c>
      <c r="AK467" s="66">
        <v>1</v>
      </c>
      <c r="AL467" s="61" t="str">
        <f t="shared" si="461"/>
        <v>サンリオクリスマスキーケース</v>
      </c>
      <c r="AM467" s="62">
        <f t="shared" si="460"/>
        <v>358</v>
      </c>
      <c r="AN467" s="23">
        <f t="shared" si="456"/>
        <v>0</v>
      </c>
      <c r="AO467" s="24">
        <f t="shared" si="457"/>
        <v>0</v>
      </c>
      <c r="AP467" s="11"/>
    </row>
    <row r="468" spans="1:42" ht="15" customHeight="1">
      <c r="A468" s="12"/>
      <c r="B468" s="8"/>
      <c r="C468" s="13"/>
      <c r="D468" s="9" t="str">
        <f t="shared" si="462"/>
        <v/>
      </c>
      <c r="E468" s="9"/>
      <c r="F468" s="9" t="str">
        <f t="shared" si="463"/>
        <v/>
      </c>
      <c r="G468" s="9"/>
      <c r="H468" s="9" t="str">
        <f t="shared" si="464"/>
        <v/>
      </c>
      <c r="I468" s="9"/>
      <c r="J468" s="44"/>
      <c r="K468" s="44" t="str">
        <f t="shared" si="465"/>
        <v/>
      </c>
      <c r="L468" s="9" t="str">
        <f t="shared" si="458"/>
        <v/>
      </c>
      <c r="M468" s="10" t="str">
        <f t="shared" si="459"/>
        <v/>
      </c>
      <c r="N468" s="11"/>
      <c r="O468" s="2"/>
      <c r="P468" s="12"/>
      <c r="Q468" s="9">
        <v>9692</v>
      </c>
      <c r="R468" s="9">
        <f t="shared" si="444"/>
        <v>102</v>
      </c>
      <c r="S468" s="9">
        <v>220</v>
      </c>
      <c r="T468" s="9">
        <f t="shared" si="445"/>
        <v>3</v>
      </c>
      <c r="U468" s="9">
        <v>17</v>
      </c>
      <c r="V468" s="9">
        <f t="shared" si="446"/>
        <v>3</v>
      </c>
      <c r="W468" s="13">
        <v>2</v>
      </c>
      <c r="X468" s="47" t="str">
        <f t="shared" si="447"/>
        <v>サンリオアニマルがま口</v>
      </c>
      <c r="Y468" s="45">
        <f t="shared" si="448"/>
        <v>880</v>
      </c>
      <c r="Z468" s="9">
        <f t="shared" si="449"/>
        <v>2640</v>
      </c>
      <c r="AA468" s="10">
        <f t="shared" si="450"/>
        <v>0.25882352941176473</v>
      </c>
      <c r="AB468" s="11"/>
      <c r="AD468" s="12"/>
      <c r="AE468" s="9">
        <v>9676</v>
      </c>
      <c r="AF468" s="9">
        <f t="shared" si="451"/>
        <v>99</v>
      </c>
      <c r="AG468" s="9">
        <v>179</v>
      </c>
      <c r="AH468" s="9">
        <f t="shared" si="452"/>
        <v>3</v>
      </c>
      <c r="AI468" s="9">
        <v>9</v>
      </c>
      <c r="AJ468" s="9">
        <f t="shared" si="453"/>
        <v>3</v>
      </c>
      <c r="AK468" s="13">
        <v>0</v>
      </c>
      <c r="AL468" s="47" t="str">
        <f t="shared" si="461"/>
        <v>液晶ミニカメラ</v>
      </c>
      <c r="AM468" s="45">
        <f t="shared" si="460"/>
        <v>1075</v>
      </c>
      <c r="AN468" s="9">
        <f t="shared" si="456"/>
        <v>3225</v>
      </c>
      <c r="AO468" s="10">
        <f t="shared" si="457"/>
        <v>0.32575757575757575</v>
      </c>
      <c r="AP468" s="11"/>
    </row>
    <row r="469" spans="1:42" ht="15" customHeight="1">
      <c r="A469" s="12"/>
      <c r="B469" s="8"/>
      <c r="C469" s="9"/>
      <c r="D469" s="9" t="str">
        <f t="shared" si="462"/>
        <v/>
      </c>
      <c r="E469" s="9"/>
      <c r="F469" s="9" t="str">
        <f t="shared" si="463"/>
        <v/>
      </c>
      <c r="G469" s="9"/>
      <c r="H469" s="9" t="str">
        <f t="shared" si="464"/>
        <v/>
      </c>
      <c r="I469" s="9"/>
      <c r="J469" s="44"/>
      <c r="K469" s="44" t="str">
        <f t="shared" si="465"/>
        <v/>
      </c>
      <c r="L469" s="9" t="str">
        <f t="shared" si="458"/>
        <v/>
      </c>
      <c r="M469" s="10" t="str">
        <f t="shared" si="459"/>
        <v/>
      </c>
      <c r="N469" s="11"/>
      <c r="O469" s="2"/>
      <c r="P469" s="12"/>
      <c r="Q469" s="26">
        <v>10375</v>
      </c>
      <c r="R469" s="81">
        <f t="shared" si="444"/>
        <v>28</v>
      </c>
      <c r="S469" s="26">
        <v>364</v>
      </c>
      <c r="T469" s="9">
        <f t="shared" si="445"/>
        <v>7</v>
      </c>
      <c r="U469" s="9">
        <v>11</v>
      </c>
      <c r="V469" s="9">
        <f t="shared" si="446"/>
        <v>7</v>
      </c>
      <c r="W469" s="13">
        <v>7</v>
      </c>
      <c r="X469" s="47" t="str">
        <f t="shared" si="447"/>
        <v>ラブブマスコット</v>
      </c>
      <c r="Y469" s="9">
        <f t="shared" si="448"/>
        <v>400</v>
      </c>
      <c r="Z469" s="9">
        <f t="shared" si="449"/>
        <v>2800</v>
      </c>
      <c r="AA469" s="10">
        <f t="shared" si="450"/>
        <v>1</v>
      </c>
      <c r="AB469" s="11" t="s">
        <v>136</v>
      </c>
      <c r="AD469" s="12"/>
      <c r="AE469" s="26">
        <v>10295</v>
      </c>
      <c r="AF469" s="81">
        <f t="shared" si="451"/>
        <v>23</v>
      </c>
      <c r="AG469" s="26">
        <v>401</v>
      </c>
      <c r="AH469" s="9">
        <f t="shared" si="452"/>
        <v>1</v>
      </c>
      <c r="AI469" s="9">
        <v>3</v>
      </c>
      <c r="AJ469" s="9">
        <f t="shared" si="453"/>
        <v>2</v>
      </c>
      <c r="AK469" s="13">
        <v>6</v>
      </c>
      <c r="AL469" s="47" t="str">
        <f t="shared" si="461"/>
        <v>ＡＩマスコット</v>
      </c>
      <c r="AM469" s="9">
        <f t="shared" si="460"/>
        <v>286</v>
      </c>
      <c r="AN469" s="9">
        <f t="shared" si="456"/>
        <v>572</v>
      </c>
      <c r="AO469" s="10">
        <f t="shared" si="457"/>
        <v>0.24869565217391304</v>
      </c>
      <c r="AP469" s="11"/>
    </row>
    <row r="470" spans="1:42" ht="15" customHeight="1" thickBot="1">
      <c r="A470" s="12"/>
      <c r="B470" s="8"/>
      <c r="C470" s="9"/>
      <c r="D470" s="9" t="str">
        <f t="shared" si="462"/>
        <v/>
      </c>
      <c r="E470" s="9"/>
      <c r="F470" s="9" t="str">
        <f t="shared" si="463"/>
        <v/>
      </c>
      <c r="G470" s="9"/>
      <c r="H470" s="9" t="str">
        <f t="shared" si="464"/>
        <v/>
      </c>
      <c r="I470" s="9"/>
      <c r="J470" s="44"/>
      <c r="K470" s="44" t="str">
        <f t="shared" si="465"/>
        <v/>
      </c>
      <c r="L470" s="9" t="str">
        <f t="shared" si="458"/>
        <v/>
      </c>
      <c r="M470" s="10" t="str">
        <f t="shared" si="459"/>
        <v/>
      </c>
      <c r="N470" s="11"/>
      <c r="O470" s="2"/>
      <c r="P470" s="18"/>
      <c r="Q470" s="19">
        <v>12249</v>
      </c>
      <c r="R470" s="19">
        <f t="shared" si="444"/>
        <v>57</v>
      </c>
      <c r="S470" s="19">
        <v>348</v>
      </c>
      <c r="T470" s="19">
        <f t="shared" si="445"/>
        <v>0</v>
      </c>
      <c r="U470" s="19">
        <v>24</v>
      </c>
      <c r="V470" s="19">
        <f t="shared" si="446"/>
        <v>0</v>
      </c>
      <c r="W470" s="37">
        <v>0</v>
      </c>
      <c r="X470" s="48" t="str">
        <f t="shared" si="447"/>
        <v>ラブブキーホルダー</v>
      </c>
      <c r="Y470" s="51">
        <f t="shared" si="448"/>
        <v>400</v>
      </c>
      <c r="Z470" s="19">
        <f t="shared" si="449"/>
        <v>0</v>
      </c>
      <c r="AA470" s="20">
        <f t="shared" si="450"/>
        <v>0</v>
      </c>
      <c r="AB470" s="11"/>
      <c r="AD470" s="18"/>
      <c r="AE470" s="19">
        <v>12666</v>
      </c>
      <c r="AF470" s="19">
        <f t="shared" si="451"/>
        <v>93</v>
      </c>
      <c r="AG470" s="19">
        <v>416</v>
      </c>
      <c r="AH470" s="19">
        <f t="shared" si="452"/>
        <v>4</v>
      </c>
      <c r="AI470" s="19">
        <v>72</v>
      </c>
      <c r="AJ470" s="19">
        <f t="shared" si="453"/>
        <v>5</v>
      </c>
      <c r="AK470" s="37">
        <v>5</v>
      </c>
      <c r="AL470" s="48" t="str">
        <f t="shared" si="461"/>
        <v>AIモンスターラバー</v>
      </c>
      <c r="AM470" s="51">
        <f t="shared" si="460"/>
        <v>200</v>
      </c>
      <c r="AN470" s="19">
        <f t="shared" si="456"/>
        <v>1000</v>
      </c>
      <c r="AO470" s="20">
        <f t="shared" si="457"/>
        <v>0.10752688172043011</v>
      </c>
      <c r="AP470" s="11"/>
    </row>
    <row r="471" spans="1:42" ht="15" customHeight="1" thickTop="1">
      <c r="A471" s="12"/>
      <c r="B471" s="8"/>
      <c r="C471" s="9"/>
      <c r="D471" s="9" t="str">
        <f>IF(C471="","",C471-C472)</f>
        <v/>
      </c>
      <c r="E471" s="9"/>
      <c r="F471" s="9" t="str">
        <f>IF(E471="","",E471-E472)</f>
        <v/>
      </c>
      <c r="G471" s="9"/>
      <c r="H471" s="9" t="str">
        <f>IF(G471="","",G472+I472-G471)</f>
        <v/>
      </c>
      <c r="I471" s="9"/>
      <c r="J471" s="44"/>
      <c r="K471" s="44" t="str">
        <f>IF(C471="","",K472)</f>
        <v/>
      </c>
      <c r="L471" s="9" t="str">
        <f t="shared" si="458"/>
        <v/>
      </c>
      <c r="M471" s="10" t="str">
        <f t="shared" si="459"/>
        <v/>
      </c>
      <c r="N471" s="11"/>
      <c r="O471" s="2"/>
      <c r="P471" s="65">
        <f>IF($A453="","",$A453)</f>
        <v>45993</v>
      </c>
      <c r="Q471" s="9">
        <v>9866</v>
      </c>
      <c r="R471" s="44">
        <f t="shared" si="444"/>
        <v>72</v>
      </c>
      <c r="S471" s="9">
        <v>269</v>
      </c>
      <c r="T471" s="23">
        <f t="shared" si="445"/>
        <v>1</v>
      </c>
      <c r="U471" s="9">
        <v>13</v>
      </c>
      <c r="V471" s="44">
        <f t="shared" si="446"/>
        <v>1</v>
      </c>
      <c r="W471" s="66">
        <v>0</v>
      </c>
      <c r="X471" s="61" t="str">
        <f t="shared" si="447"/>
        <v>キティヒョウ柄マスコット</v>
      </c>
      <c r="Y471" s="62">
        <f t="shared" si="448"/>
        <v>996</v>
      </c>
      <c r="Z471" s="23">
        <f t="shared" si="449"/>
        <v>996</v>
      </c>
      <c r="AA471" s="24">
        <f t="shared" si="450"/>
        <v>0.13833333333333334</v>
      </c>
      <c r="AB471" s="11"/>
      <c r="AD471" s="65">
        <f>IF($A453="","",$A453)</f>
        <v>45993</v>
      </c>
      <c r="AE471" s="9">
        <v>7280</v>
      </c>
      <c r="AF471" s="44">
        <f t="shared" si="451"/>
        <v>104</v>
      </c>
      <c r="AG471" s="9">
        <v>219</v>
      </c>
      <c r="AH471" s="23">
        <f t="shared" si="452"/>
        <v>1</v>
      </c>
      <c r="AI471" s="9">
        <v>13</v>
      </c>
      <c r="AJ471" s="44">
        <f t="shared" si="453"/>
        <v>1</v>
      </c>
      <c r="AK471" s="13">
        <v>0</v>
      </c>
      <c r="AL471" s="61" t="str">
        <f t="shared" si="461"/>
        <v>サンリオクリスマスキーケース</v>
      </c>
      <c r="AM471" s="62">
        <f t="shared" si="460"/>
        <v>358</v>
      </c>
      <c r="AN471" s="23">
        <f t="shared" si="456"/>
        <v>358</v>
      </c>
      <c r="AO471" s="24">
        <f t="shared" si="457"/>
        <v>3.4423076923076924E-2</v>
      </c>
      <c r="AP471" s="11"/>
    </row>
    <row r="472" spans="1:42" ht="15" customHeight="1">
      <c r="A472" s="12"/>
      <c r="B472" s="8"/>
      <c r="C472" s="9"/>
      <c r="D472" s="9" t="str">
        <f>IF(C472="","",C472-C470)</f>
        <v/>
      </c>
      <c r="E472" s="9"/>
      <c r="F472" s="9" t="str">
        <f>IF(E472="","",E472-E470)</f>
        <v/>
      </c>
      <c r="G472" s="9"/>
      <c r="H472" s="9" t="str">
        <f>IF(G472="","",G470+I470-G472)</f>
        <v/>
      </c>
      <c r="I472" s="9"/>
      <c r="J472" s="44"/>
      <c r="K472" s="44" t="str">
        <f>IF(C472="","",K470)</f>
        <v/>
      </c>
      <c r="L472" s="9" t="str">
        <f t="shared" si="458"/>
        <v/>
      </c>
      <c r="M472" s="10" t="str">
        <f t="shared" si="459"/>
        <v/>
      </c>
      <c r="N472" s="11"/>
      <c r="O472" s="2"/>
      <c r="P472" s="65"/>
      <c r="Q472" s="44">
        <v>9856</v>
      </c>
      <c r="R472" s="9">
        <f t="shared" si="444"/>
        <v>164</v>
      </c>
      <c r="S472" s="44">
        <v>225</v>
      </c>
      <c r="T472" s="9">
        <f t="shared" si="445"/>
        <v>5</v>
      </c>
      <c r="U472" s="9">
        <v>14</v>
      </c>
      <c r="V472" s="9">
        <f t="shared" si="446"/>
        <v>5</v>
      </c>
      <c r="W472" s="13">
        <v>0</v>
      </c>
      <c r="X472" s="47" t="str">
        <f t="shared" si="447"/>
        <v>サンリオアニマルがま口</v>
      </c>
      <c r="Y472" s="45">
        <f t="shared" si="448"/>
        <v>880</v>
      </c>
      <c r="Z472" s="9">
        <f t="shared" si="449"/>
        <v>4400</v>
      </c>
      <c r="AA472" s="10">
        <f t="shared" si="450"/>
        <v>0.26829268292682928</v>
      </c>
      <c r="AB472" s="11"/>
      <c r="AD472" s="65"/>
      <c r="AE472" s="44">
        <v>9877</v>
      </c>
      <c r="AF472" s="9">
        <f t="shared" si="451"/>
        <v>201</v>
      </c>
      <c r="AG472" s="44">
        <v>181</v>
      </c>
      <c r="AH472" s="9">
        <f t="shared" si="452"/>
        <v>2</v>
      </c>
      <c r="AI472" s="9">
        <v>7</v>
      </c>
      <c r="AJ472" s="9">
        <f t="shared" si="453"/>
        <v>2</v>
      </c>
      <c r="AK472" s="13">
        <v>0</v>
      </c>
      <c r="AL472" s="47" t="str">
        <f t="shared" si="461"/>
        <v>液晶ミニカメラ</v>
      </c>
      <c r="AM472" s="45">
        <f t="shared" si="460"/>
        <v>1075</v>
      </c>
      <c r="AN472" s="9">
        <f t="shared" si="456"/>
        <v>2150</v>
      </c>
      <c r="AO472" s="10">
        <f t="shared" si="457"/>
        <v>0.10696517412935323</v>
      </c>
      <c r="AP472" s="11"/>
    </row>
    <row r="473" spans="1:42" ht="15" customHeight="1">
      <c r="A473" s="12"/>
      <c r="B473" s="8"/>
      <c r="C473" s="9"/>
      <c r="D473" s="9" t="str">
        <f>IF(C473="","",C473-C471)</f>
        <v/>
      </c>
      <c r="E473" s="9"/>
      <c r="F473" s="9" t="str">
        <f>IF(E473="","",E473-E471)</f>
        <v/>
      </c>
      <c r="G473" s="9"/>
      <c r="H473" s="9" t="str">
        <f>IF(G473="","",G471+I471-G473)</f>
        <v/>
      </c>
      <c r="I473" s="9"/>
      <c r="J473" s="44"/>
      <c r="K473" s="44" t="str">
        <f>IF(C473="","",K471)</f>
        <v/>
      </c>
      <c r="L473" s="9" t="str">
        <f t="shared" si="458"/>
        <v/>
      </c>
      <c r="M473" s="10" t="str">
        <f t="shared" si="459"/>
        <v/>
      </c>
      <c r="N473" s="11"/>
      <c r="O473" s="2"/>
      <c r="P473" s="12"/>
      <c r="Q473" s="9">
        <v>10403</v>
      </c>
      <c r="R473" s="81">
        <f t="shared" si="444"/>
        <v>28</v>
      </c>
      <c r="S473" s="9">
        <v>371</v>
      </c>
      <c r="T473" s="9">
        <f t="shared" si="445"/>
        <v>7</v>
      </c>
      <c r="U473" s="9">
        <v>11</v>
      </c>
      <c r="V473" s="9">
        <f t="shared" si="446"/>
        <v>7</v>
      </c>
      <c r="W473" s="38">
        <v>0</v>
      </c>
      <c r="X473" s="47" t="str">
        <f t="shared" si="447"/>
        <v>ラブブマスコット</v>
      </c>
      <c r="Y473" s="9">
        <f t="shared" si="448"/>
        <v>400</v>
      </c>
      <c r="Z473" s="9">
        <f t="shared" si="449"/>
        <v>2800</v>
      </c>
      <c r="AA473" s="10">
        <f t="shared" si="450"/>
        <v>1</v>
      </c>
      <c r="AB473" s="11" t="s">
        <v>186</v>
      </c>
      <c r="AD473" s="12"/>
      <c r="AE473" s="9">
        <v>10322</v>
      </c>
      <c r="AF473" s="81">
        <f t="shared" si="451"/>
        <v>27</v>
      </c>
      <c r="AG473" s="9">
        <v>401</v>
      </c>
      <c r="AH473" s="9">
        <f t="shared" si="452"/>
        <v>0</v>
      </c>
      <c r="AI473" s="9">
        <v>7</v>
      </c>
      <c r="AJ473" s="9">
        <f t="shared" si="453"/>
        <v>2</v>
      </c>
      <c r="AK473" s="13">
        <v>4</v>
      </c>
      <c r="AL473" s="47" t="str">
        <f t="shared" si="461"/>
        <v>ＡＩマスコット</v>
      </c>
      <c r="AM473" s="9">
        <f t="shared" si="460"/>
        <v>286</v>
      </c>
      <c r="AN473" s="9">
        <f t="shared" si="456"/>
        <v>572</v>
      </c>
      <c r="AO473" s="10">
        <f t="shared" si="457"/>
        <v>0.21185185185185185</v>
      </c>
      <c r="AP473" s="11" t="s">
        <v>187</v>
      </c>
    </row>
    <row r="474" spans="1:42" ht="15" customHeight="1" thickBot="1">
      <c r="A474" s="12"/>
      <c r="B474" s="8"/>
      <c r="C474" s="9"/>
      <c r="D474" s="9" t="str">
        <f t="shared" ref="D474:D499" si="466">IF(C474="","",C474-C473)</f>
        <v/>
      </c>
      <c r="E474" s="9"/>
      <c r="F474" s="9" t="str">
        <f t="shared" ref="F474:F500" si="467">IF(E474="","",E474-E473)</f>
        <v/>
      </c>
      <c r="G474" s="9"/>
      <c r="H474" s="9" t="str">
        <f t="shared" ref="H474:H500" si="468">IF(G474="","",G473+I473-G474)</f>
        <v/>
      </c>
      <c r="I474" s="9"/>
      <c r="J474" s="44"/>
      <c r="K474" s="44" t="str">
        <f>IF(C474="","",K473)</f>
        <v/>
      </c>
      <c r="L474" s="9" t="str">
        <f t="shared" si="458"/>
        <v/>
      </c>
      <c r="M474" s="10" t="str">
        <f t="shared" si="459"/>
        <v/>
      </c>
      <c r="N474" s="11"/>
      <c r="O474" s="2"/>
      <c r="P474" s="18"/>
      <c r="Q474" s="19">
        <v>12330</v>
      </c>
      <c r="R474" s="19">
        <f t="shared" si="444"/>
        <v>81</v>
      </c>
      <c r="S474" s="19">
        <v>349</v>
      </c>
      <c r="T474" s="19">
        <f t="shared" si="445"/>
        <v>1</v>
      </c>
      <c r="U474" s="19">
        <v>23</v>
      </c>
      <c r="V474" s="19">
        <f t="shared" si="446"/>
        <v>1</v>
      </c>
      <c r="W474" s="37">
        <v>0</v>
      </c>
      <c r="X474" s="48" t="str">
        <f t="shared" si="447"/>
        <v>ラブブキーホルダー</v>
      </c>
      <c r="Y474" s="51">
        <f t="shared" si="448"/>
        <v>400</v>
      </c>
      <c r="Z474" s="19">
        <f t="shared" si="449"/>
        <v>400</v>
      </c>
      <c r="AA474" s="20">
        <f t="shared" si="450"/>
        <v>4.9382716049382713E-2</v>
      </c>
      <c r="AB474" s="11"/>
      <c r="AD474" s="18"/>
      <c r="AE474" s="19">
        <v>12748</v>
      </c>
      <c r="AF474" s="19">
        <f t="shared" si="451"/>
        <v>82</v>
      </c>
      <c r="AG474" s="19">
        <v>419</v>
      </c>
      <c r="AH474" s="19">
        <f t="shared" si="452"/>
        <v>3</v>
      </c>
      <c r="AI474" s="19">
        <v>70</v>
      </c>
      <c r="AJ474" s="19">
        <f t="shared" si="453"/>
        <v>7</v>
      </c>
      <c r="AK474" s="37">
        <v>0</v>
      </c>
      <c r="AL474" s="48" t="str">
        <f t="shared" si="461"/>
        <v>AIモンスターラバー</v>
      </c>
      <c r="AM474" s="51">
        <f t="shared" si="460"/>
        <v>200</v>
      </c>
      <c r="AN474" s="19">
        <f t="shared" si="456"/>
        <v>1400</v>
      </c>
      <c r="AO474" s="20">
        <f t="shared" si="457"/>
        <v>0.17073170731707318</v>
      </c>
      <c r="AP474" s="11"/>
    </row>
    <row r="475" spans="1:42" ht="15" customHeight="1" thickTop="1">
      <c r="A475" s="12"/>
      <c r="B475" s="8"/>
      <c r="C475" s="9"/>
      <c r="D475" s="9" t="str">
        <f t="shared" si="466"/>
        <v/>
      </c>
      <c r="E475" s="9"/>
      <c r="F475" s="9" t="str">
        <f t="shared" si="467"/>
        <v/>
      </c>
      <c r="G475" s="9"/>
      <c r="H475" s="9" t="str">
        <f t="shared" si="468"/>
        <v/>
      </c>
      <c r="I475" s="9"/>
      <c r="J475" s="44"/>
      <c r="K475" s="44" t="str">
        <f>IF(C475="","",K474)</f>
        <v/>
      </c>
      <c r="L475" s="9" t="str">
        <f t="shared" si="458"/>
        <v/>
      </c>
      <c r="M475" s="10" t="str">
        <f t="shared" si="459"/>
        <v/>
      </c>
      <c r="N475" s="11"/>
      <c r="O475" s="2"/>
      <c r="P475" s="65">
        <f>IF($A454="","",$A454)</f>
        <v>45996</v>
      </c>
      <c r="Q475" s="9">
        <v>9910</v>
      </c>
      <c r="R475" s="44">
        <f t="shared" si="444"/>
        <v>44</v>
      </c>
      <c r="S475" s="9">
        <v>269</v>
      </c>
      <c r="T475" s="23">
        <f t="shared" si="445"/>
        <v>0</v>
      </c>
      <c r="U475" s="9">
        <v>12</v>
      </c>
      <c r="V475" s="44">
        <f t="shared" si="446"/>
        <v>1</v>
      </c>
      <c r="W475" s="66">
        <v>4</v>
      </c>
      <c r="X475" s="61" t="str">
        <f t="shared" si="447"/>
        <v>キティヒョウ柄マスコット</v>
      </c>
      <c r="Y475" s="62">
        <f t="shared" si="448"/>
        <v>996</v>
      </c>
      <c r="Z475" s="23">
        <f t="shared" si="449"/>
        <v>996</v>
      </c>
      <c r="AA475" s="24">
        <f t="shared" si="450"/>
        <v>0.22636363636363635</v>
      </c>
      <c r="AB475" s="11"/>
      <c r="AD475" s="65">
        <f>IF($A454="","",$A454)</f>
        <v>45996</v>
      </c>
      <c r="AE475" s="9">
        <v>7307</v>
      </c>
      <c r="AF475" s="113">
        <f t="shared" si="451"/>
        <v>27</v>
      </c>
      <c r="AG475" s="9">
        <v>220</v>
      </c>
      <c r="AH475" s="23">
        <f t="shared" si="452"/>
        <v>1</v>
      </c>
      <c r="AI475" s="9">
        <v>12</v>
      </c>
      <c r="AJ475" s="44">
        <f t="shared" si="453"/>
        <v>1</v>
      </c>
      <c r="AK475" s="66">
        <v>5</v>
      </c>
      <c r="AL475" s="61" t="str">
        <f t="shared" si="461"/>
        <v>サンリオクリスマスキーケース</v>
      </c>
      <c r="AM475" s="62">
        <f t="shared" si="460"/>
        <v>358</v>
      </c>
      <c r="AN475" s="23">
        <f t="shared" si="456"/>
        <v>358</v>
      </c>
      <c r="AO475" s="24">
        <f t="shared" si="457"/>
        <v>0.1325925925925926</v>
      </c>
      <c r="AP475" s="11"/>
    </row>
    <row r="476" spans="1:42" ht="15" customHeight="1">
      <c r="A476" s="12"/>
      <c r="B476" s="8"/>
      <c r="C476" s="9"/>
      <c r="D476" s="9" t="str">
        <f t="shared" si="466"/>
        <v/>
      </c>
      <c r="E476" s="9"/>
      <c r="F476" s="9" t="str">
        <f t="shared" si="467"/>
        <v/>
      </c>
      <c r="G476" s="9"/>
      <c r="H476" s="9" t="str">
        <f t="shared" si="468"/>
        <v/>
      </c>
      <c r="I476" s="9"/>
      <c r="J476" s="44"/>
      <c r="K476" s="44" t="str">
        <f>IF(C476="","",K475)</f>
        <v/>
      </c>
      <c r="L476" s="9" t="str">
        <f t="shared" si="458"/>
        <v/>
      </c>
      <c r="M476" s="10" t="str">
        <f t="shared" si="459"/>
        <v/>
      </c>
      <c r="N476" s="11"/>
      <c r="O476" s="2"/>
      <c r="P476" s="12"/>
      <c r="Q476" s="44">
        <v>9887</v>
      </c>
      <c r="R476" s="9">
        <f t="shared" si="444"/>
        <v>31</v>
      </c>
      <c r="S476" s="44">
        <v>227</v>
      </c>
      <c r="T476" s="9">
        <f t="shared" si="445"/>
        <v>2</v>
      </c>
      <c r="U476" s="9">
        <v>12</v>
      </c>
      <c r="V476" s="9">
        <f t="shared" si="446"/>
        <v>2</v>
      </c>
      <c r="W476" s="13">
        <v>6</v>
      </c>
      <c r="X476" s="47" t="str">
        <f t="shared" si="447"/>
        <v>サンリオアニマルがま口</v>
      </c>
      <c r="Y476" s="45">
        <f t="shared" si="448"/>
        <v>880</v>
      </c>
      <c r="Z476" s="9">
        <f t="shared" si="449"/>
        <v>1760</v>
      </c>
      <c r="AA476" s="10">
        <f t="shared" si="450"/>
        <v>0.56774193548387097</v>
      </c>
      <c r="AB476" s="11"/>
      <c r="AD476" s="12"/>
      <c r="AE476" s="44">
        <v>9942</v>
      </c>
      <c r="AF476" s="9">
        <f t="shared" si="451"/>
        <v>65</v>
      </c>
      <c r="AG476" s="44">
        <v>182</v>
      </c>
      <c r="AH476" s="9">
        <f t="shared" si="452"/>
        <v>1</v>
      </c>
      <c r="AI476" s="9">
        <v>6</v>
      </c>
      <c r="AJ476" s="9">
        <f t="shared" si="453"/>
        <v>1</v>
      </c>
      <c r="AK476" s="13">
        <v>0</v>
      </c>
      <c r="AL476" s="47" t="str">
        <f t="shared" si="461"/>
        <v>液晶ミニカメラ</v>
      </c>
      <c r="AM476" s="45">
        <f t="shared" si="460"/>
        <v>1075</v>
      </c>
      <c r="AN476" s="9">
        <f t="shared" si="456"/>
        <v>1075</v>
      </c>
      <c r="AO476" s="10">
        <f t="shared" si="457"/>
        <v>0.16538461538461538</v>
      </c>
      <c r="AP476" s="11"/>
    </row>
    <row r="477" spans="1:42">
      <c r="A477" s="12"/>
      <c r="B477" s="8"/>
      <c r="C477" s="9"/>
      <c r="D477" s="9" t="str">
        <f t="shared" si="466"/>
        <v/>
      </c>
      <c r="E477" s="9"/>
      <c r="F477" s="9" t="str">
        <f t="shared" si="467"/>
        <v/>
      </c>
      <c r="G477" s="9"/>
      <c r="H477" s="9" t="str">
        <f t="shared" si="468"/>
        <v/>
      </c>
      <c r="I477" s="9"/>
      <c r="J477" s="9"/>
      <c r="K477" s="9"/>
      <c r="L477" s="9" t="str">
        <f t="shared" si="458"/>
        <v/>
      </c>
      <c r="M477" s="10" t="str">
        <f t="shared" si="459"/>
        <v/>
      </c>
      <c r="N477" s="11"/>
      <c r="O477" s="2"/>
      <c r="P477" s="12"/>
      <c r="Q477" s="9">
        <v>10409</v>
      </c>
      <c r="R477" s="81">
        <f t="shared" si="444"/>
        <v>6</v>
      </c>
      <c r="S477" s="9">
        <v>372</v>
      </c>
      <c r="T477" s="9">
        <f t="shared" si="445"/>
        <v>1</v>
      </c>
      <c r="U477" s="9">
        <v>10</v>
      </c>
      <c r="V477" s="9">
        <f t="shared" si="446"/>
        <v>1</v>
      </c>
      <c r="W477" s="38">
        <v>22</v>
      </c>
      <c r="X477" s="47" t="str">
        <f t="shared" si="447"/>
        <v>ラブブマスコット</v>
      </c>
      <c r="Y477" s="9">
        <f t="shared" si="448"/>
        <v>400</v>
      </c>
      <c r="Z477" s="9">
        <f t="shared" si="449"/>
        <v>400</v>
      </c>
      <c r="AA477" s="10">
        <f t="shared" si="450"/>
        <v>0.66666666666666663</v>
      </c>
      <c r="AB477" s="11" t="s">
        <v>189</v>
      </c>
      <c r="AD477" s="12"/>
      <c r="AE477" s="9">
        <v>10357</v>
      </c>
      <c r="AF477" s="9">
        <f t="shared" si="451"/>
        <v>35</v>
      </c>
      <c r="AG477" s="9">
        <v>407</v>
      </c>
      <c r="AH477" s="9">
        <f t="shared" si="452"/>
        <v>6</v>
      </c>
      <c r="AI477" s="9">
        <v>5</v>
      </c>
      <c r="AJ477" s="9">
        <f t="shared" si="453"/>
        <v>6</v>
      </c>
      <c r="AK477" s="38">
        <v>8</v>
      </c>
      <c r="AL477" s="47" t="s">
        <v>188</v>
      </c>
      <c r="AM477" s="9">
        <v>1100</v>
      </c>
      <c r="AN477" s="9">
        <f t="shared" si="456"/>
        <v>6600</v>
      </c>
      <c r="AO477" s="10">
        <f t="shared" si="457"/>
        <v>1.8857142857142857</v>
      </c>
      <c r="AP477" s="11" t="s">
        <v>75</v>
      </c>
    </row>
    <row r="478" spans="1:42" ht="15" customHeight="1" thickBot="1">
      <c r="A478" s="12"/>
      <c r="B478" s="8"/>
      <c r="C478" s="9"/>
      <c r="D478" s="9" t="str">
        <f t="shared" si="466"/>
        <v/>
      </c>
      <c r="E478" s="9"/>
      <c r="F478" s="9" t="str">
        <f t="shared" si="467"/>
        <v/>
      </c>
      <c r="G478" s="9"/>
      <c r="H478" s="9" t="str">
        <f t="shared" si="468"/>
        <v/>
      </c>
      <c r="I478" s="9"/>
      <c r="J478" s="9"/>
      <c r="K478" s="9"/>
      <c r="L478" s="9" t="str">
        <f t="shared" si="458"/>
        <v/>
      </c>
      <c r="M478" s="10" t="str">
        <f t="shared" si="459"/>
        <v/>
      </c>
      <c r="N478" s="11"/>
      <c r="O478" s="2"/>
      <c r="P478" s="18"/>
      <c r="Q478" s="19">
        <v>12367</v>
      </c>
      <c r="R478" s="19">
        <f t="shared" si="444"/>
        <v>37</v>
      </c>
      <c r="S478" s="19">
        <v>350</v>
      </c>
      <c r="T478" s="19">
        <f t="shared" si="445"/>
        <v>1</v>
      </c>
      <c r="U478" s="19">
        <v>22</v>
      </c>
      <c r="V478" s="19">
        <f t="shared" si="446"/>
        <v>1</v>
      </c>
      <c r="W478" s="37">
        <v>0</v>
      </c>
      <c r="X478" s="48" t="str">
        <f t="shared" si="447"/>
        <v>ラブブキーホルダー</v>
      </c>
      <c r="Y478" s="51">
        <f t="shared" si="448"/>
        <v>400</v>
      </c>
      <c r="Z478" s="19">
        <f t="shared" si="449"/>
        <v>400</v>
      </c>
      <c r="AA478" s="20">
        <f t="shared" si="450"/>
        <v>0.10810810810810811</v>
      </c>
      <c r="AB478" s="11"/>
      <c r="AD478" s="18"/>
      <c r="AE478" s="19">
        <v>12797</v>
      </c>
      <c r="AF478" s="19">
        <f t="shared" si="451"/>
        <v>49</v>
      </c>
      <c r="AG478" s="19">
        <v>424</v>
      </c>
      <c r="AH478" s="19">
        <f t="shared" si="452"/>
        <v>5</v>
      </c>
      <c r="AI478" s="19">
        <v>60</v>
      </c>
      <c r="AJ478" s="19">
        <f t="shared" si="453"/>
        <v>10</v>
      </c>
      <c r="AK478" s="37">
        <v>30</v>
      </c>
      <c r="AL478" s="48" t="str">
        <f t="shared" ref="AL478:AL494" si="469">IF(AE478="","",AL474)</f>
        <v>AIモンスターラバー</v>
      </c>
      <c r="AM478" s="51">
        <f t="shared" ref="AM478:AM494" si="470">IF(AF478="","",AM474)</f>
        <v>200</v>
      </c>
      <c r="AN478" s="19">
        <f t="shared" si="456"/>
        <v>2000</v>
      </c>
      <c r="AO478" s="20">
        <f t="shared" si="457"/>
        <v>0.40816326530612246</v>
      </c>
      <c r="AP478" s="11"/>
    </row>
    <row r="479" spans="1:42" ht="15" customHeight="1" thickTop="1">
      <c r="A479" s="12"/>
      <c r="B479" s="8"/>
      <c r="C479" s="9"/>
      <c r="D479" s="9" t="str">
        <f t="shared" si="466"/>
        <v/>
      </c>
      <c r="E479" s="9"/>
      <c r="F479" s="9" t="str">
        <f t="shared" si="467"/>
        <v/>
      </c>
      <c r="G479" s="9"/>
      <c r="H479" s="9" t="str">
        <f t="shared" si="468"/>
        <v/>
      </c>
      <c r="I479" s="9"/>
      <c r="J479" s="9"/>
      <c r="K479" s="9"/>
      <c r="L479" s="9" t="str">
        <f t="shared" si="458"/>
        <v/>
      </c>
      <c r="M479" s="10" t="str">
        <f t="shared" si="459"/>
        <v/>
      </c>
      <c r="N479" s="11"/>
      <c r="O479" s="2"/>
      <c r="P479" s="65">
        <f>IF($A455="","",$A455)</f>
        <v>45999</v>
      </c>
      <c r="Q479" s="9">
        <v>10072</v>
      </c>
      <c r="R479" s="44">
        <f t="shared" si="444"/>
        <v>162</v>
      </c>
      <c r="S479" s="9">
        <v>271</v>
      </c>
      <c r="T479" s="23">
        <f t="shared" si="445"/>
        <v>2</v>
      </c>
      <c r="U479" s="9">
        <v>15</v>
      </c>
      <c r="V479" s="44">
        <f t="shared" si="446"/>
        <v>1</v>
      </c>
      <c r="W479" s="66">
        <v>0</v>
      </c>
      <c r="X479" s="61" t="str">
        <f t="shared" si="447"/>
        <v>キティヒョウ柄マスコット</v>
      </c>
      <c r="Y479" s="62">
        <f t="shared" si="448"/>
        <v>996</v>
      </c>
      <c r="Z479" s="23">
        <f t="shared" si="449"/>
        <v>996</v>
      </c>
      <c r="AA479" s="24">
        <f t="shared" si="450"/>
        <v>6.1481481481481484E-2</v>
      </c>
      <c r="AB479" s="11"/>
      <c r="AD479" s="65">
        <f>IF($A455="","",$A455)</f>
        <v>45999</v>
      </c>
      <c r="AE479" s="9">
        <v>7341</v>
      </c>
      <c r="AF479" s="113">
        <f t="shared" si="451"/>
        <v>34</v>
      </c>
      <c r="AG479" s="9">
        <v>220</v>
      </c>
      <c r="AH479" s="23">
        <f t="shared" si="452"/>
        <v>0</v>
      </c>
      <c r="AI479" s="9">
        <v>17</v>
      </c>
      <c r="AJ479" s="44">
        <f t="shared" si="453"/>
        <v>0</v>
      </c>
      <c r="AK479" s="66">
        <v>5</v>
      </c>
      <c r="AL479" s="61" t="str">
        <f t="shared" si="469"/>
        <v>サンリオクリスマスキーケース</v>
      </c>
      <c r="AM479" s="62">
        <f t="shared" si="470"/>
        <v>358</v>
      </c>
      <c r="AN479" s="23">
        <f t="shared" si="456"/>
        <v>0</v>
      </c>
      <c r="AO479" s="24">
        <f t="shared" si="457"/>
        <v>0</v>
      </c>
      <c r="AP479" s="11" t="s">
        <v>190</v>
      </c>
    </row>
    <row r="480" spans="1:42" ht="15" customHeight="1">
      <c r="A480" s="12"/>
      <c r="B480" s="8"/>
      <c r="C480" s="9"/>
      <c r="D480" s="9" t="str">
        <f t="shared" si="466"/>
        <v/>
      </c>
      <c r="E480" s="9"/>
      <c r="F480" s="9" t="str">
        <f t="shared" si="467"/>
        <v/>
      </c>
      <c r="G480" s="9"/>
      <c r="H480" s="9" t="str">
        <f t="shared" si="468"/>
        <v/>
      </c>
      <c r="I480" s="9"/>
      <c r="J480" s="9"/>
      <c r="K480" s="9"/>
      <c r="L480" s="9" t="str">
        <f t="shared" si="458"/>
        <v/>
      </c>
      <c r="M480" s="10" t="str">
        <f t="shared" si="459"/>
        <v/>
      </c>
      <c r="N480" s="11"/>
      <c r="O480" s="2"/>
      <c r="P480" s="12"/>
      <c r="Q480" s="44">
        <v>9955</v>
      </c>
      <c r="R480" s="9">
        <f t="shared" si="444"/>
        <v>68</v>
      </c>
      <c r="S480" s="44">
        <v>229</v>
      </c>
      <c r="T480" s="9">
        <f t="shared" si="445"/>
        <v>2</v>
      </c>
      <c r="U480" s="9">
        <v>16</v>
      </c>
      <c r="V480" s="9">
        <f t="shared" si="446"/>
        <v>2</v>
      </c>
      <c r="W480" s="13">
        <v>3</v>
      </c>
      <c r="X480" s="47" t="str">
        <f t="shared" si="447"/>
        <v>サンリオアニマルがま口</v>
      </c>
      <c r="Y480" s="45">
        <f t="shared" si="448"/>
        <v>880</v>
      </c>
      <c r="Z480" s="9">
        <f t="shared" si="449"/>
        <v>1760</v>
      </c>
      <c r="AA480" s="10">
        <f t="shared" si="450"/>
        <v>0.25882352941176473</v>
      </c>
      <c r="AB480" s="11"/>
      <c r="AD480" s="12"/>
      <c r="AE480" s="44">
        <v>10016</v>
      </c>
      <c r="AF480" s="9">
        <f t="shared" si="451"/>
        <v>74</v>
      </c>
      <c r="AG480" s="44">
        <v>184</v>
      </c>
      <c r="AH480" s="9">
        <f t="shared" si="452"/>
        <v>2</v>
      </c>
      <c r="AI480" s="9">
        <v>4</v>
      </c>
      <c r="AJ480" s="9">
        <f t="shared" si="453"/>
        <v>2</v>
      </c>
      <c r="AK480" s="128">
        <v>0</v>
      </c>
      <c r="AL480" s="47" t="str">
        <f t="shared" si="469"/>
        <v>液晶ミニカメラ</v>
      </c>
      <c r="AM480" s="45">
        <f t="shared" si="470"/>
        <v>1075</v>
      </c>
      <c r="AN480" s="9">
        <f t="shared" si="456"/>
        <v>2150</v>
      </c>
      <c r="AO480" s="10">
        <f t="shared" si="457"/>
        <v>0.29054054054054052</v>
      </c>
      <c r="AP480" s="11"/>
    </row>
    <row r="481" spans="1:42" ht="15" customHeight="1">
      <c r="A481" s="12"/>
      <c r="B481" s="8"/>
      <c r="C481" s="9"/>
      <c r="D481" s="9" t="str">
        <f t="shared" si="466"/>
        <v/>
      </c>
      <c r="E481" s="9"/>
      <c r="F481" s="9" t="str">
        <f t="shared" si="467"/>
        <v/>
      </c>
      <c r="G481" s="9"/>
      <c r="H481" s="9" t="str">
        <f t="shared" si="468"/>
        <v/>
      </c>
      <c r="I481" s="9"/>
      <c r="J481" s="9"/>
      <c r="K481" s="9"/>
      <c r="L481" s="9" t="str">
        <f t="shared" si="458"/>
        <v/>
      </c>
      <c r="M481" s="10" t="str">
        <f t="shared" si="459"/>
        <v/>
      </c>
      <c r="N481" s="11"/>
      <c r="O481" s="2"/>
      <c r="P481" s="12"/>
      <c r="Q481" s="9">
        <v>10512</v>
      </c>
      <c r="R481" s="9">
        <f t="shared" si="444"/>
        <v>103</v>
      </c>
      <c r="S481" s="9">
        <v>379</v>
      </c>
      <c r="T481" s="9">
        <f t="shared" si="445"/>
        <v>7</v>
      </c>
      <c r="U481" s="9">
        <v>26</v>
      </c>
      <c r="V481" s="9">
        <f t="shared" si="446"/>
        <v>6</v>
      </c>
      <c r="W481" s="38">
        <v>6</v>
      </c>
      <c r="X481" s="47" t="str">
        <f t="shared" si="447"/>
        <v>ラブブマスコット</v>
      </c>
      <c r="Y481" s="9">
        <f t="shared" si="448"/>
        <v>400</v>
      </c>
      <c r="Z481" s="9">
        <f t="shared" si="449"/>
        <v>2400</v>
      </c>
      <c r="AA481" s="10">
        <f t="shared" si="450"/>
        <v>0.23300970873786409</v>
      </c>
      <c r="AB481" s="11"/>
      <c r="AD481" s="12"/>
      <c r="AE481" s="9">
        <v>10375</v>
      </c>
      <c r="AF481" s="81">
        <f t="shared" si="451"/>
        <v>18</v>
      </c>
      <c r="AG481" s="9">
        <v>411</v>
      </c>
      <c r="AH481" s="9">
        <f t="shared" si="452"/>
        <v>4</v>
      </c>
      <c r="AI481" s="9">
        <v>9</v>
      </c>
      <c r="AJ481" s="9">
        <f t="shared" si="453"/>
        <v>4</v>
      </c>
      <c r="AK481" s="38">
        <v>0</v>
      </c>
      <c r="AL481" s="47" t="str">
        <f t="shared" si="469"/>
        <v>サンリオ型押しケース</v>
      </c>
      <c r="AM481" s="9">
        <f t="shared" si="470"/>
        <v>1100</v>
      </c>
      <c r="AN481" s="9">
        <f t="shared" si="456"/>
        <v>4400</v>
      </c>
      <c r="AO481" s="10">
        <f t="shared" si="457"/>
        <v>2.4444444444444446</v>
      </c>
      <c r="AP481" s="11" t="s">
        <v>191</v>
      </c>
    </row>
    <row r="482" spans="1:42" ht="15" customHeight="1" thickBot="1">
      <c r="A482" s="12"/>
      <c r="B482" s="8"/>
      <c r="C482" s="9"/>
      <c r="D482" s="9" t="str">
        <f t="shared" si="466"/>
        <v/>
      </c>
      <c r="E482" s="9"/>
      <c r="F482" s="9" t="str">
        <f t="shared" si="467"/>
        <v/>
      </c>
      <c r="G482" s="9"/>
      <c r="H482" s="9" t="str">
        <f t="shared" si="468"/>
        <v/>
      </c>
      <c r="I482" s="9"/>
      <c r="J482" s="9"/>
      <c r="K482" s="9"/>
      <c r="L482" s="9" t="str">
        <f t="shared" si="458"/>
        <v/>
      </c>
      <c r="M482" s="10" t="str">
        <f t="shared" si="459"/>
        <v/>
      </c>
      <c r="N482" s="11"/>
      <c r="O482" s="2"/>
      <c r="P482" s="18"/>
      <c r="Q482" s="19">
        <v>12480</v>
      </c>
      <c r="R482" s="19">
        <f t="shared" si="444"/>
        <v>113</v>
      </c>
      <c r="S482" s="19">
        <v>351</v>
      </c>
      <c r="T482" s="19">
        <f t="shared" si="445"/>
        <v>1</v>
      </c>
      <c r="U482" s="19">
        <v>21</v>
      </c>
      <c r="V482" s="19">
        <f t="shared" si="446"/>
        <v>1</v>
      </c>
      <c r="W482" s="37">
        <v>0</v>
      </c>
      <c r="X482" s="48" t="str">
        <f t="shared" si="447"/>
        <v>ラブブキーホルダー</v>
      </c>
      <c r="Y482" s="51">
        <f t="shared" si="448"/>
        <v>400</v>
      </c>
      <c r="Z482" s="19">
        <f t="shared" si="449"/>
        <v>400</v>
      </c>
      <c r="AA482" s="20">
        <f t="shared" si="450"/>
        <v>3.5398230088495575E-2</v>
      </c>
      <c r="AB482" s="11"/>
      <c r="AD482" s="18"/>
      <c r="AE482" s="19">
        <v>12919</v>
      </c>
      <c r="AF482" s="19">
        <f t="shared" si="451"/>
        <v>122</v>
      </c>
      <c r="AG482" s="19">
        <v>432</v>
      </c>
      <c r="AH482" s="19">
        <f t="shared" si="452"/>
        <v>8</v>
      </c>
      <c r="AI482" s="19">
        <v>90</v>
      </c>
      <c r="AJ482" s="19">
        <f t="shared" si="453"/>
        <v>0</v>
      </c>
      <c r="AK482" s="37">
        <v>0</v>
      </c>
      <c r="AL482" s="48" t="str">
        <f t="shared" si="469"/>
        <v>AIモンスターラバー</v>
      </c>
      <c r="AM482" s="51">
        <f t="shared" si="470"/>
        <v>200</v>
      </c>
      <c r="AN482" s="19">
        <f t="shared" si="456"/>
        <v>0</v>
      </c>
      <c r="AO482" s="20">
        <f t="shared" si="457"/>
        <v>0</v>
      </c>
      <c r="AP482" s="11"/>
    </row>
    <row r="483" spans="1:42" ht="15" customHeight="1" thickTop="1">
      <c r="A483" s="12"/>
      <c r="B483" s="8"/>
      <c r="C483" s="9"/>
      <c r="D483" s="9" t="str">
        <f t="shared" si="466"/>
        <v/>
      </c>
      <c r="E483" s="9"/>
      <c r="F483" s="9" t="str">
        <f t="shared" si="467"/>
        <v/>
      </c>
      <c r="G483" s="9"/>
      <c r="H483" s="9" t="str">
        <f t="shared" si="468"/>
        <v/>
      </c>
      <c r="I483" s="9"/>
      <c r="J483" s="9"/>
      <c r="K483" s="9"/>
      <c r="L483" s="9" t="str">
        <f t="shared" si="458"/>
        <v/>
      </c>
      <c r="M483" s="10" t="str">
        <f t="shared" si="459"/>
        <v/>
      </c>
      <c r="N483" s="11"/>
      <c r="O483" s="2"/>
      <c r="P483" s="65">
        <f>IF($A456="","",$A456)</f>
        <v>46003</v>
      </c>
      <c r="Q483" s="44">
        <v>10152</v>
      </c>
      <c r="R483" s="44">
        <f t="shared" si="444"/>
        <v>80</v>
      </c>
      <c r="S483" s="44">
        <v>273</v>
      </c>
      <c r="T483" s="23">
        <f t="shared" si="445"/>
        <v>2</v>
      </c>
      <c r="U483" s="44">
        <v>13</v>
      </c>
      <c r="V483" s="44">
        <f t="shared" si="446"/>
        <v>2</v>
      </c>
      <c r="W483" s="66">
        <v>2</v>
      </c>
      <c r="X483" s="61" t="str">
        <f t="shared" si="447"/>
        <v>キティヒョウ柄マスコット</v>
      </c>
      <c r="Y483" s="62">
        <f t="shared" si="448"/>
        <v>996</v>
      </c>
      <c r="Z483" s="23">
        <f t="shared" si="449"/>
        <v>1992</v>
      </c>
      <c r="AA483" s="24">
        <f t="shared" si="450"/>
        <v>0.249</v>
      </c>
      <c r="AB483" s="11"/>
      <c r="AD483" s="65">
        <f>IF($A456="","",$A456)</f>
        <v>46003</v>
      </c>
      <c r="AE483" s="44">
        <v>7469</v>
      </c>
      <c r="AF483" s="44">
        <f t="shared" si="451"/>
        <v>128</v>
      </c>
      <c r="AG483" s="44">
        <v>221</v>
      </c>
      <c r="AH483" s="23">
        <f t="shared" si="452"/>
        <v>1</v>
      </c>
      <c r="AI483" s="44">
        <v>20</v>
      </c>
      <c r="AJ483" s="44">
        <f t="shared" si="453"/>
        <v>2</v>
      </c>
      <c r="AK483" s="66">
        <v>1</v>
      </c>
      <c r="AL483" s="61" t="str">
        <f t="shared" si="469"/>
        <v>サンリオクリスマスキーケース</v>
      </c>
      <c r="AM483" s="62">
        <f t="shared" si="470"/>
        <v>358</v>
      </c>
      <c r="AN483" s="23">
        <f t="shared" si="456"/>
        <v>716</v>
      </c>
      <c r="AO483" s="24">
        <f t="shared" si="457"/>
        <v>5.5937500000000001E-2</v>
      </c>
      <c r="AP483" s="11"/>
    </row>
    <row r="484" spans="1:42">
      <c r="A484" s="12"/>
      <c r="B484" s="8"/>
      <c r="C484" s="9"/>
      <c r="D484" s="9" t="str">
        <f t="shared" si="466"/>
        <v/>
      </c>
      <c r="E484" s="9"/>
      <c r="F484" s="9" t="str">
        <f t="shared" si="467"/>
        <v/>
      </c>
      <c r="G484" s="9"/>
      <c r="H484" s="9" t="str">
        <f t="shared" si="468"/>
        <v/>
      </c>
      <c r="I484" s="9"/>
      <c r="J484" s="9"/>
      <c r="K484" s="9"/>
      <c r="L484" s="9" t="str">
        <f t="shared" si="458"/>
        <v/>
      </c>
      <c r="M484" s="10" t="str">
        <f t="shared" si="459"/>
        <v/>
      </c>
      <c r="N484" s="11"/>
      <c r="O484" s="2"/>
      <c r="P484" s="12"/>
      <c r="Q484" s="9">
        <v>10009</v>
      </c>
      <c r="R484" s="44">
        <f t="shared" si="444"/>
        <v>54</v>
      </c>
      <c r="S484" s="9">
        <v>230</v>
      </c>
      <c r="T484" s="9">
        <f t="shared" si="445"/>
        <v>1</v>
      </c>
      <c r="U484" s="9">
        <v>18</v>
      </c>
      <c r="V484" s="9">
        <f t="shared" si="446"/>
        <v>1</v>
      </c>
      <c r="W484" s="13">
        <v>-10</v>
      </c>
      <c r="X484" s="47" t="str">
        <f t="shared" si="447"/>
        <v>サンリオアニマルがま口</v>
      </c>
      <c r="Y484" s="45">
        <f t="shared" si="448"/>
        <v>880</v>
      </c>
      <c r="Z484" s="9">
        <f t="shared" si="449"/>
        <v>880</v>
      </c>
      <c r="AA484" s="10">
        <f t="shared" si="450"/>
        <v>0.16296296296296298</v>
      </c>
      <c r="AB484" s="11" t="s">
        <v>192</v>
      </c>
      <c r="AD484" s="12"/>
      <c r="AE484" s="9">
        <v>10074</v>
      </c>
      <c r="AF484" s="44">
        <f t="shared" si="451"/>
        <v>58</v>
      </c>
      <c r="AG484" s="9">
        <v>186</v>
      </c>
      <c r="AH484" s="9">
        <f t="shared" si="452"/>
        <v>2</v>
      </c>
      <c r="AI484" s="9">
        <v>2</v>
      </c>
      <c r="AJ484" s="9">
        <f t="shared" si="453"/>
        <v>2</v>
      </c>
      <c r="AK484" s="13">
        <v>11</v>
      </c>
      <c r="AL484" s="47" t="str">
        <f t="shared" si="469"/>
        <v>液晶ミニカメラ</v>
      </c>
      <c r="AM484" s="45">
        <f t="shared" si="470"/>
        <v>1075</v>
      </c>
      <c r="AN484" s="9">
        <f t="shared" si="456"/>
        <v>2150</v>
      </c>
      <c r="AO484" s="10">
        <f t="shared" si="457"/>
        <v>0.37068965517241381</v>
      </c>
      <c r="AP484" s="11"/>
    </row>
    <row r="485" spans="1:42" ht="15" customHeight="1">
      <c r="A485" s="12"/>
      <c r="B485" s="8"/>
      <c r="C485" s="9"/>
      <c r="D485" s="9" t="str">
        <f t="shared" si="466"/>
        <v/>
      </c>
      <c r="E485" s="9"/>
      <c r="F485" s="9" t="str">
        <f t="shared" si="467"/>
        <v/>
      </c>
      <c r="G485" s="9"/>
      <c r="H485" s="9" t="str">
        <f t="shared" si="468"/>
        <v/>
      </c>
      <c r="I485" s="9"/>
      <c r="J485" s="9"/>
      <c r="K485" s="9"/>
      <c r="L485" s="9" t="str">
        <f t="shared" si="458"/>
        <v/>
      </c>
      <c r="M485" s="10" t="str">
        <f t="shared" si="459"/>
        <v/>
      </c>
      <c r="N485" s="11"/>
      <c r="O485" s="2"/>
      <c r="P485" s="12"/>
      <c r="Q485" s="9">
        <v>10611</v>
      </c>
      <c r="R485" s="52">
        <f t="shared" si="444"/>
        <v>99</v>
      </c>
      <c r="S485" s="9">
        <v>382</v>
      </c>
      <c r="T485" s="9">
        <f t="shared" si="445"/>
        <v>3</v>
      </c>
      <c r="U485" s="26">
        <v>28</v>
      </c>
      <c r="V485" s="26">
        <f t="shared" si="446"/>
        <v>4</v>
      </c>
      <c r="W485" s="38">
        <v>0</v>
      </c>
      <c r="X485" s="47" t="str">
        <f t="shared" si="447"/>
        <v>ラブブマスコット</v>
      </c>
      <c r="Y485" s="9">
        <f t="shared" si="448"/>
        <v>400</v>
      </c>
      <c r="Z485" s="9">
        <f t="shared" si="449"/>
        <v>1600</v>
      </c>
      <c r="AA485" s="10">
        <f t="shared" si="450"/>
        <v>0.16161616161616163</v>
      </c>
      <c r="AB485" s="11"/>
      <c r="AD485" s="12"/>
      <c r="AE485" s="9">
        <v>10460</v>
      </c>
      <c r="AF485" s="52">
        <f t="shared" si="451"/>
        <v>85</v>
      </c>
      <c r="AG485" s="9">
        <v>414</v>
      </c>
      <c r="AH485" s="9">
        <f t="shared" si="452"/>
        <v>3</v>
      </c>
      <c r="AI485" s="26">
        <v>7</v>
      </c>
      <c r="AJ485" s="26">
        <f t="shared" si="453"/>
        <v>2</v>
      </c>
      <c r="AK485" s="38">
        <v>0</v>
      </c>
      <c r="AL485" s="47" t="str">
        <f t="shared" si="469"/>
        <v>サンリオ型押しケース</v>
      </c>
      <c r="AM485" s="9">
        <f t="shared" si="470"/>
        <v>1100</v>
      </c>
      <c r="AN485" s="9">
        <f t="shared" si="456"/>
        <v>2200</v>
      </c>
      <c r="AO485" s="10">
        <f t="shared" si="457"/>
        <v>0.25882352941176473</v>
      </c>
      <c r="AP485" s="11"/>
    </row>
    <row r="486" spans="1:42" ht="15" customHeight="1" thickBot="1">
      <c r="A486" s="12"/>
      <c r="B486" s="8"/>
      <c r="C486" s="9"/>
      <c r="D486" s="9" t="str">
        <f t="shared" si="466"/>
        <v/>
      </c>
      <c r="E486" s="9"/>
      <c r="F486" s="9" t="str">
        <f t="shared" si="467"/>
        <v/>
      </c>
      <c r="G486" s="9"/>
      <c r="H486" s="9" t="str">
        <f t="shared" si="468"/>
        <v/>
      </c>
      <c r="I486" s="9"/>
      <c r="J486" s="9"/>
      <c r="K486" s="9"/>
      <c r="L486" s="9" t="str">
        <f t="shared" si="458"/>
        <v/>
      </c>
      <c r="M486" s="10" t="str">
        <f t="shared" si="459"/>
        <v/>
      </c>
      <c r="N486" s="11"/>
      <c r="O486" s="2"/>
      <c r="P486" s="18"/>
      <c r="Q486" s="21">
        <v>12556</v>
      </c>
      <c r="R486" s="50">
        <f t="shared" si="444"/>
        <v>76</v>
      </c>
      <c r="S486" s="51">
        <v>354</v>
      </c>
      <c r="T486" s="21">
        <f t="shared" si="445"/>
        <v>3</v>
      </c>
      <c r="U486" s="53">
        <v>19</v>
      </c>
      <c r="V486" s="53">
        <f t="shared" si="446"/>
        <v>2</v>
      </c>
      <c r="W486" s="37">
        <v>0</v>
      </c>
      <c r="X486" s="48" t="str">
        <f t="shared" si="447"/>
        <v>ラブブキーホルダー</v>
      </c>
      <c r="Y486" s="51">
        <f t="shared" si="448"/>
        <v>400</v>
      </c>
      <c r="Z486" s="19">
        <f t="shared" si="449"/>
        <v>800</v>
      </c>
      <c r="AA486" s="20">
        <f t="shared" si="450"/>
        <v>0.10526315789473684</v>
      </c>
      <c r="AB486" s="11"/>
      <c r="AD486" s="18"/>
      <c r="AE486" s="21">
        <v>13036</v>
      </c>
      <c r="AF486" s="50">
        <f t="shared" si="451"/>
        <v>117</v>
      </c>
      <c r="AG486" s="51">
        <v>434</v>
      </c>
      <c r="AH486" s="21">
        <f t="shared" si="452"/>
        <v>2</v>
      </c>
      <c r="AI486" s="53">
        <v>86</v>
      </c>
      <c r="AJ486" s="53">
        <f t="shared" si="453"/>
        <v>4</v>
      </c>
      <c r="AK486" s="37">
        <v>20</v>
      </c>
      <c r="AL486" s="48" t="str">
        <f t="shared" si="469"/>
        <v>AIモンスターラバー</v>
      </c>
      <c r="AM486" s="51">
        <f t="shared" si="470"/>
        <v>200</v>
      </c>
      <c r="AN486" s="19">
        <f t="shared" si="456"/>
        <v>800</v>
      </c>
      <c r="AO486" s="20">
        <f t="shared" si="457"/>
        <v>6.8376068376068383E-2</v>
      </c>
      <c r="AP486" s="11"/>
    </row>
    <row r="487" spans="1:42" ht="15" customHeight="1" thickTop="1">
      <c r="A487" s="12"/>
      <c r="B487" s="8"/>
      <c r="C487" s="9"/>
      <c r="D487" s="9" t="str">
        <f t="shared" si="466"/>
        <v/>
      </c>
      <c r="E487" s="9"/>
      <c r="F487" s="9" t="str">
        <f t="shared" si="467"/>
        <v/>
      </c>
      <c r="G487" s="9"/>
      <c r="H487" s="9" t="str">
        <f t="shared" si="468"/>
        <v/>
      </c>
      <c r="I487" s="9"/>
      <c r="J487" s="9"/>
      <c r="K487" s="9"/>
      <c r="L487" s="9" t="str">
        <f t="shared" si="458"/>
        <v/>
      </c>
      <c r="M487" s="10" t="str">
        <f t="shared" si="459"/>
        <v/>
      </c>
      <c r="N487" s="11"/>
      <c r="O487" s="2"/>
      <c r="P487" s="65">
        <f>IF($A457="","",$A457)</f>
        <v>46006</v>
      </c>
      <c r="Q487" s="44">
        <v>10226</v>
      </c>
      <c r="R487" s="44">
        <f t="shared" si="444"/>
        <v>74</v>
      </c>
      <c r="S487" s="44">
        <v>274</v>
      </c>
      <c r="T487" s="23">
        <f t="shared" si="445"/>
        <v>1</v>
      </c>
      <c r="U487" s="44">
        <v>14</v>
      </c>
      <c r="V487" s="44">
        <f t="shared" si="446"/>
        <v>1</v>
      </c>
      <c r="W487" s="66">
        <v>0</v>
      </c>
      <c r="X487" s="61" t="str">
        <f t="shared" si="447"/>
        <v>キティヒョウ柄マスコット</v>
      </c>
      <c r="Y487" s="62">
        <f t="shared" si="448"/>
        <v>996</v>
      </c>
      <c r="Z487" s="23">
        <f t="shared" si="449"/>
        <v>996</v>
      </c>
      <c r="AA487" s="24">
        <f t="shared" si="450"/>
        <v>0.13459459459459461</v>
      </c>
      <c r="AB487" s="11"/>
      <c r="AD487" s="65">
        <f>IF($A457="","",$A457)</f>
        <v>46006</v>
      </c>
      <c r="AE487" s="44">
        <v>7594</v>
      </c>
      <c r="AF487" s="44">
        <f t="shared" si="451"/>
        <v>125</v>
      </c>
      <c r="AG487" s="44">
        <v>223</v>
      </c>
      <c r="AH487" s="23">
        <f t="shared" si="452"/>
        <v>2</v>
      </c>
      <c r="AI487" s="44">
        <v>20</v>
      </c>
      <c r="AJ487" s="44">
        <f t="shared" si="453"/>
        <v>1</v>
      </c>
      <c r="AK487" s="66">
        <v>0</v>
      </c>
      <c r="AL487" s="61" t="str">
        <f t="shared" si="469"/>
        <v>サンリオクリスマスキーケース</v>
      </c>
      <c r="AM487" s="62">
        <f t="shared" si="470"/>
        <v>358</v>
      </c>
      <c r="AN487" s="23">
        <f t="shared" si="456"/>
        <v>358</v>
      </c>
      <c r="AO487" s="24">
        <f t="shared" si="457"/>
        <v>2.8639999999999999E-2</v>
      </c>
      <c r="AP487" s="130"/>
    </row>
    <row r="488" spans="1:42" ht="15" customHeight="1">
      <c r="A488" s="12"/>
      <c r="B488" s="8"/>
      <c r="C488" s="9"/>
      <c r="D488" s="9" t="str">
        <f t="shared" si="466"/>
        <v/>
      </c>
      <c r="E488" s="9"/>
      <c r="F488" s="9" t="str">
        <f t="shared" si="467"/>
        <v/>
      </c>
      <c r="G488" s="9"/>
      <c r="H488" s="9" t="str">
        <f t="shared" si="468"/>
        <v/>
      </c>
      <c r="I488" s="9"/>
      <c r="J488" s="9"/>
      <c r="K488" s="9"/>
      <c r="L488" s="9" t="str">
        <f t="shared" si="458"/>
        <v/>
      </c>
      <c r="M488" s="10" t="str">
        <f t="shared" si="459"/>
        <v/>
      </c>
      <c r="N488" s="11"/>
      <c r="O488" s="2"/>
      <c r="P488" s="12"/>
      <c r="Q488" s="9">
        <v>10063</v>
      </c>
      <c r="R488" s="44">
        <f t="shared" si="444"/>
        <v>54</v>
      </c>
      <c r="S488" s="9">
        <v>231</v>
      </c>
      <c r="T488" s="9">
        <f t="shared" si="445"/>
        <v>1</v>
      </c>
      <c r="U488" s="9">
        <v>7</v>
      </c>
      <c r="V488" s="9">
        <f t="shared" si="446"/>
        <v>1</v>
      </c>
      <c r="W488" s="13">
        <v>0</v>
      </c>
      <c r="X488" s="47" t="s">
        <v>195</v>
      </c>
      <c r="Y488" s="45"/>
      <c r="Z488" s="9">
        <f t="shared" si="449"/>
        <v>0</v>
      </c>
      <c r="AA488" s="10">
        <f t="shared" si="450"/>
        <v>0</v>
      </c>
      <c r="AB488" s="11"/>
      <c r="AD488" s="12"/>
      <c r="AE488" s="9">
        <v>10137</v>
      </c>
      <c r="AF488" s="44">
        <f t="shared" si="451"/>
        <v>63</v>
      </c>
      <c r="AG488" s="9">
        <v>187</v>
      </c>
      <c r="AH488" s="9">
        <f t="shared" si="452"/>
        <v>1</v>
      </c>
      <c r="AI488" s="9">
        <v>12</v>
      </c>
      <c r="AJ488" s="9">
        <f t="shared" si="453"/>
        <v>1</v>
      </c>
      <c r="AK488" s="13">
        <v>0</v>
      </c>
      <c r="AL488" s="47" t="str">
        <f t="shared" si="469"/>
        <v>液晶ミニカメラ</v>
      </c>
      <c r="AM488" s="45">
        <f t="shared" si="470"/>
        <v>1075</v>
      </c>
      <c r="AN488" s="9">
        <f t="shared" si="456"/>
        <v>1075</v>
      </c>
      <c r="AO488" s="10">
        <f t="shared" si="457"/>
        <v>0.17063492063492064</v>
      </c>
      <c r="AP488" s="11"/>
    </row>
    <row r="489" spans="1:42" ht="15" customHeight="1">
      <c r="A489" s="12"/>
      <c r="B489" s="8"/>
      <c r="C489" s="9"/>
      <c r="D489" s="9" t="str">
        <f t="shared" si="466"/>
        <v/>
      </c>
      <c r="E489" s="9"/>
      <c r="F489" s="9" t="str">
        <f t="shared" si="467"/>
        <v/>
      </c>
      <c r="G489" s="9"/>
      <c r="H489" s="9" t="str">
        <f t="shared" si="468"/>
        <v/>
      </c>
      <c r="I489" s="9"/>
      <c r="J489" s="9"/>
      <c r="K489" s="9"/>
      <c r="L489" s="9" t="str">
        <f t="shared" si="458"/>
        <v/>
      </c>
      <c r="M489" s="10" t="str">
        <f t="shared" si="459"/>
        <v/>
      </c>
      <c r="N489" s="11"/>
      <c r="O489" s="2"/>
      <c r="P489" s="12"/>
      <c r="Q489" s="9">
        <v>10699</v>
      </c>
      <c r="R489" s="52">
        <f t="shared" si="444"/>
        <v>88</v>
      </c>
      <c r="S489" s="9">
        <v>390</v>
      </c>
      <c r="T489" s="9">
        <f t="shared" si="445"/>
        <v>8</v>
      </c>
      <c r="U489" s="9">
        <v>20</v>
      </c>
      <c r="V489" s="9">
        <f t="shared" si="446"/>
        <v>8</v>
      </c>
      <c r="W489" s="13">
        <v>0</v>
      </c>
      <c r="X489" s="47" t="str">
        <f t="shared" ref="X489:Y494" si="471">IF(Q489="","",X485)</f>
        <v>ラブブマスコット</v>
      </c>
      <c r="Y489" s="9">
        <f t="shared" si="471"/>
        <v>400</v>
      </c>
      <c r="Z489" s="9">
        <f t="shared" si="449"/>
        <v>3200</v>
      </c>
      <c r="AA489" s="10">
        <f t="shared" si="450"/>
        <v>0.36363636363636365</v>
      </c>
      <c r="AB489" s="11" t="s">
        <v>194</v>
      </c>
      <c r="AD489" s="12"/>
      <c r="AE489" s="9">
        <v>10539</v>
      </c>
      <c r="AF489" s="52">
        <f t="shared" si="451"/>
        <v>79</v>
      </c>
      <c r="AG489" s="9">
        <v>419</v>
      </c>
      <c r="AH489" s="9">
        <f t="shared" si="452"/>
        <v>5</v>
      </c>
      <c r="AI489" s="9">
        <v>2</v>
      </c>
      <c r="AJ489" s="9">
        <f t="shared" si="453"/>
        <v>5</v>
      </c>
      <c r="AK489" s="13">
        <v>0</v>
      </c>
      <c r="AL489" s="47" t="str">
        <f t="shared" si="469"/>
        <v>サンリオ型押しケース</v>
      </c>
      <c r="AM489" s="9">
        <f t="shared" si="470"/>
        <v>1100</v>
      </c>
      <c r="AN489" s="9">
        <f t="shared" si="456"/>
        <v>5500</v>
      </c>
      <c r="AO489" s="10">
        <f t="shared" si="457"/>
        <v>0.69620253164556967</v>
      </c>
      <c r="AP489" s="129" t="s">
        <v>6</v>
      </c>
    </row>
    <row r="490" spans="1:42" ht="15" customHeight="1" thickBot="1">
      <c r="A490" s="12"/>
      <c r="B490" s="8"/>
      <c r="C490" s="9"/>
      <c r="D490" s="9" t="str">
        <f t="shared" si="466"/>
        <v/>
      </c>
      <c r="E490" s="9"/>
      <c r="F490" s="9" t="str">
        <f t="shared" si="467"/>
        <v/>
      </c>
      <c r="G490" s="9"/>
      <c r="H490" s="9" t="str">
        <f t="shared" si="468"/>
        <v/>
      </c>
      <c r="I490" s="9"/>
      <c r="J490" s="9"/>
      <c r="K490" s="9"/>
      <c r="L490" s="9" t="str">
        <f t="shared" si="458"/>
        <v/>
      </c>
      <c r="M490" s="10" t="str">
        <f t="shared" si="459"/>
        <v/>
      </c>
      <c r="N490" s="11"/>
      <c r="O490" s="2"/>
      <c r="P490" s="18"/>
      <c r="Q490" s="21">
        <v>12651</v>
      </c>
      <c r="R490" s="50">
        <f t="shared" si="444"/>
        <v>95</v>
      </c>
      <c r="S490" s="51">
        <v>359</v>
      </c>
      <c r="T490" s="19">
        <f t="shared" si="445"/>
        <v>5</v>
      </c>
      <c r="U490" s="19">
        <v>15</v>
      </c>
      <c r="V490" s="19">
        <f t="shared" si="446"/>
        <v>4</v>
      </c>
      <c r="W490" s="37">
        <v>0</v>
      </c>
      <c r="X490" s="48" t="str">
        <f t="shared" si="471"/>
        <v>ラブブキーホルダー</v>
      </c>
      <c r="Y490" s="51">
        <f t="shared" si="471"/>
        <v>400</v>
      </c>
      <c r="Z490" s="19">
        <f t="shared" si="449"/>
        <v>1600</v>
      </c>
      <c r="AA490" s="20">
        <f t="shared" si="450"/>
        <v>0.16842105263157894</v>
      </c>
      <c r="AB490" s="11"/>
      <c r="AD490" s="18"/>
      <c r="AE490" s="21">
        <v>13151</v>
      </c>
      <c r="AF490" s="50">
        <f t="shared" si="451"/>
        <v>115</v>
      </c>
      <c r="AG490" s="51">
        <v>437</v>
      </c>
      <c r="AH490" s="19">
        <f t="shared" si="452"/>
        <v>3</v>
      </c>
      <c r="AI490" s="19">
        <v>102</v>
      </c>
      <c r="AJ490" s="19">
        <f t="shared" si="453"/>
        <v>4</v>
      </c>
      <c r="AK490" s="37">
        <v>0</v>
      </c>
      <c r="AL490" s="48" t="str">
        <f t="shared" si="469"/>
        <v>AIモンスターラバー</v>
      </c>
      <c r="AM490" s="51">
        <f t="shared" si="470"/>
        <v>200</v>
      </c>
      <c r="AN490" s="19">
        <f t="shared" si="456"/>
        <v>800</v>
      </c>
      <c r="AO490" s="20">
        <f t="shared" si="457"/>
        <v>6.9565217391304349E-2</v>
      </c>
      <c r="AP490" s="11" t="s">
        <v>193</v>
      </c>
    </row>
    <row r="491" spans="1:42" ht="15" customHeight="1" thickTop="1">
      <c r="A491" s="12"/>
      <c r="B491" s="8"/>
      <c r="C491" s="9"/>
      <c r="D491" s="9" t="str">
        <f t="shared" si="466"/>
        <v/>
      </c>
      <c r="E491" s="9"/>
      <c r="F491" s="9" t="str">
        <f t="shared" si="467"/>
        <v/>
      </c>
      <c r="G491" s="9"/>
      <c r="H491" s="9" t="str">
        <f t="shared" si="468"/>
        <v/>
      </c>
      <c r="I491" s="9"/>
      <c r="J491" s="9"/>
      <c r="K491" s="9"/>
      <c r="L491" s="9" t="str">
        <f t="shared" si="458"/>
        <v/>
      </c>
      <c r="M491" s="10" t="str">
        <f t="shared" si="459"/>
        <v/>
      </c>
      <c r="N491" s="11"/>
      <c r="O491" s="2"/>
      <c r="P491" s="65">
        <f>IF($A458="","",$A458)</f>
        <v>46008</v>
      </c>
      <c r="Q491" s="44">
        <v>10265</v>
      </c>
      <c r="R491" s="44">
        <f t="shared" si="444"/>
        <v>39</v>
      </c>
      <c r="S491" s="44">
        <v>274</v>
      </c>
      <c r="T491" s="23">
        <f t="shared" si="445"/>
        <v>0</v>
      </c>
      <c r="U491" s="44">
        <v>14</v>
      </c>
      <c r="V491" s="44">
        <f t="shared" si="446"/>
        <v>0</v>
      </c>
      <c r="W491" s="44">
        <v>0</v>
      </c>
      <c r="X491" s="61" t="str">
        <f t="shared" si="471"/>
        <v>キティヒョウ柄マスコット</v>
      </c>
      <c r="Y491" s="62">
        <f t="shared" si="471"/>
        <v>996</v>
      </c>
      <c r="Z491" s="23">
        <f t="shared" si="449"/>
        <v>0</v>
      </c>
      <c r="AA491" s="24">
        <f t="shared" si="450"/>
        <v>0</v>
      </c>
      <c r="AB491" s="11"/>
      <c r="AD491" s="65">
        <f>IF($A458="","",$A458)</f>
        <v>46008</v>
      </c>
      <c r="AE491" s="44">
        <v>7626</v>
      </c>
      <c r="AF491" s="119">
        <f t="shared" si="451"/>
        <v>32</v>
      </c>
      <c r="AG491" s="44">
        <v>223</v>
      </c>
      <c r="AH491" s="23">
        <f t="shared" si="452"/>
        <v>0</v>
      </c>
      <c r="AI491" s="44">
        <v>19</v>
      </c>
      <c r="AJ491" s="44">
        <f t="shared" si="453"/>
        <v>1</v>
      </c>
      <c r="AK491" s="44">
        <v>3</v>
      </c>
      <c r="AL491" s="61" t="str">
        <f t="shared" si="469"/>
        <v>サンリオクリスマスキーケース</v>
      </c>
      <c r="AM491" s="62">
        <f t="shared" si="470"/>
        <v>358</v>
      </c>
      <c r="AN491" s="23">
        <f t="shared" si="456"/>
        <v>358</v>
      </c>
      <c r="AO491" s="24">
        <f t="shared" si="457"/>
        <v>0.111875</v>
      </c>
      <c r="AP491" s="11" t="s">
        <v>213</v>
      </c>
    </row>
    <row r="492" spans="1:42" ht="15" customHeight="1">
      <c r="A492" s="12"/>
      <c r="B492" s="8"/>
      <c r="C492" s="9"/>
      <c r="D492" s="9" t="str">
        <f t="shared" si="466"/>
        <v/>
      </c>
      <c r="E492" s="9"/>
      <c r="F492" s="9" t="str">
        <f t="shared" si="467"/>
        <v/>
      </c>
      <c r="G492" s="9"/>
      <c r="H492" s="9" t="str">
        <f t="shared" si="468"/>
        <v/>
      </c>
      <c r="I492" s="9"/>
      <c r="J492" s="9"/>
      <c r="K492" s="9"/>
      <c r="L492" s="9" t="str">
        <f t="shared" si="458"/>
        <v/>
      </c>
      <c r="M492" s="10" t="str">
        <f t="shared" si="459"/>
        <v/>
      </c>
      <c r="N492" s="11"/>
      <c r="O492" s="2"/>
      <c r="P492" s="12"/>
      <c r="Q492" s="9">
        <v>10130</v>
      </c>
      <c r="R492" s="9">
        <f t="shared" si="444"/>
        <v>67</v>
      </c>
      <c r="S492" s="9">
        <v>232</v>
      </c>
      <c r="T492" s="9">
        <f t="shared" si="445"/>
        <v>1</v>
      </c>
      <c r="U492" s="9">
        <v>6</v>
      </c>
      <c r="V492" s="9">
        <f t="shared" si="446"/>
        <v>1</v>
      </c>
      <c r="W492" s="9"/>
      <c r="X492" s="47" t="str">
        <f t="shared" si="471"/>
        <v>サンリオケープポーチ</v>
      </c>
      <c r="Y492" s="45">
        <f t="shared" si="471"/>
        <v>0</v>
      </c>
      <c r="Z492" s="9">
        <f t="shared" si="449"/>
        <v>0</v>
      </c>
      <c r="AA492" s="10">
        <f t="shared" si="450"/>
        <v>0</v>
      </c>
      <c r="AB492" s="11"/>
      <c r="AD492" s="12"/>
      <c r="AE492" s="9">
        <v>10221</v>
      </c>
      <c r="AF492" s="120">
        <f t="shared" si="451"/>
        <v>84</v>
      </c>
      <c r="AG492" s="9">
        <v>188</v>
      </c>
      <c r="AH492" s="9">
        <f t="shared" si="452"/>
        <v>1</v>
      </c>
      <c r="AI492" s="9">
        <v>11</v>
      </c>
      <c r="AJ492" s="9">
        <f t="shared" si="453"/>
        <v>1</v>
      </c>
      <c r="AK492" s="9">
        <v>0</v>
      </c>
      <c r="AL492" s="47" t="str">
        <f t="shared" si="469"/>
        <v>液晶ミニカメラ</v>
      </c>
      <c r="AM492" s="45">
        <f t="shared" si="470"/>
        <v>1075</v>
      </c>
      <c r="AN492" s="9">
        <f t="shared" si="456"/>
        <v>1075</v>
      </c>
      <c r="AO492" s="10">
        <f t="shared" si="457"/>
        <v>0.12797619047619047</v>
      </c>
      <c r="AP492" s="11" t="s">
        <v>214</v>
      </c>
    </row>
    <row r="493" spans="1:42" ht="15" customHeight="1">
      <c r="A493" s="12"/>
      <c r="B493" s="8"/>
      <c r="C493" s="9"/>
      <c r="D493" s="9" t="str">
        <f t="shared" si="466"/>
        <v/>
      </c>
      <c r="E493" s="9"/>
      <c r="F493" s="9" t="str">
        <f t="shared" si="467"/>
        <v/>
      </c>
      <c r="G493" s="9"/>
      <c r="H493" s="9" t="str">
        <f t="shared" si="468"/>
        <v/>
      </c>
      <c r="I493" s="9"/>
      <c r="J493" s="9"/>
      <c r="K493" s="9"/>
      <c r="L493" s="9" t="str">
        <f t="shared" si="458"/>
        <v/>
      </c>
      <c r="M493" s="10" t="str">
        <f t="shared" si="459"/>
        <v/>
      </c>
      <c r="N493" s="11"/>
      <c r="O493" s="2"/>
      <c r="P493" s="12"/>
      <c r="Q493" s="9">
        <v>10728</v>
      </c>
      <c r="R493" s="9">
        <f t="shared" si="444"/>
        <v>29</v>
      </c>
      <c r="S493" s="9">
        <v>391</v>
      </c>
      <c r="T493" s="9">
        <f t="shared" si="445"/>
        <v>1</v>
      </c>
      <c r="U493" s="9">
        <v>20</v>
      </c>
      <c r="V493" s="9">
        <f t="shared" si="446"/>
        <v>0</v>
      </c>
      <c r="W493" s="9">
        <v>6</v>
      </c>
      <c r="X493" s="47" t="str">
        <f t="shared" si="471"/>
        <v>ラブブマスコット</v>
      </c>
      <c r="Y493" s="9">
        <f t="shared" si="471"/>
        <v>400</v>
      </c>
      <c r="Z493" s="9">
        <f t="shared" si="449"/>
        <v>0</v>
      </c>
      <c r="AA493" s="10">
        <f t="shared" si="450"/>
        <v>0</v>
      </c>
      <c r="AB493" s="11" t="s">
        <v>196</v>
      </c>
      <c r="AD493" s="12"/>
      <c r="AE493" s="9">
        <v>10556</v>
      </c>
      <c r="AF493" s="81">
        <f t="shared" si="451"/>
        <v>17</v>
      </c>
      <c r="AG493" s="9">
        <v>420</v>
      </c>
      <c r="AH493" s="9">
        <f t="shared" si="452"/>
        <v>1</v>
      </c>
      <c r="AI493" s="9">
        <v>1</v>
      </c>
      <c r="AJ493" s="9">
        <f t="shared" si="453"/>
        <v>1</v>
      </c>
      <c r="AK493" s="9">
        <v>9</v>
      </c>
      <c r="AL493" s="47" t="str">
        <f t="shared" si="469"/>
        <v>サンリオ型押しケース</v>
      </c>
      <c r="AM493" s="9">
        <f t="shared" si="470"/>
        <v>1100</v>
      </c>
      <c r="AN493" s="9">
        <f t="shared" si="456"/>
        <v>1100</v>
      </c>
      <c r="AO493" s="10">
        <f t="shared" si="457"/>
        <v>0.6470588235294118</v>
      </c>
      <c r="AP493" s="11"/>
    </row>
    <row r="494" spans="1:42" ht="15" customHeight="1" thickBot="1">
      <c r="A494" s="12"/>
      <c r="B494" s="8"/>
      <c r="C494" s="9"/>
      <c r="D494" s="9" t="str">
        <f t="shared" si="466"/>
        <v/>
      </c>
      <c r="E494" s="9"/>
      <c r="F494" s="9" t="str">
        <f t="shared" si="467"/>
        <v/>
      </c>
      <c r="G494" s="9"/>
      <c r="H494" s="9" t="str">
        <f t="shared" si="468"/>
        <v/>
      </c>
      <c r="I494" s="9"/>
      <c r="J494" s="9"/>
      <c r="K494" s="9"/>
      <c r="L494" s="9" t="str">
        <f t="shared" si="458"/>
        <v/>
      </c>
      <c r="M494" s="10" t="str">
        <f t="shared" si="459"/>
        <v/>
      </c>
      <c r="N494" s="11"/>
      <c r="O494" s="2"/>
      <c r="P494" s="18"/>
      <c r="Q494" s="19">
        <v>12772</v>
      </c>
      <c r="R494" s="19">
        <f t="shared" si="444"/>
        <v>121</v>
      </c>
      <c r="S494" s="19">
        <v>359</v>
      </c>
      <c r="T494" s="19">
        <f t="shared" si="445"/>
        <v>0</v>
      </c>
      <c r="U494" s="19">
        <v>15</v>
      </c>
      <c r="V494" s="19">
        <f t="shared" si="446"/>
        <v>0</v>
      </c>
      <c r="W494" s="19">
        <v>2</v>
      </c>
      <c r="X494" s="48" t="str">
        <f t="shared" si="471"/>
        <v>ラブブキーホルダー</v>
      </c>
      <c r="Y494" s="51">
        <f t="shared" si="471"/>
        <v>400</v>
      </c>
      <c r="Z494" s="19">
        <f t="shared" si="449"/>
        <v>0</v>
      </c>
      <c r="AA494" s="20">
        <f t="shared" si="450"/>
        <v>0</v>
      </c>
      <c r="AB494" s="11"/>
      <c r="AD494" s="18"/>
      <c r="AE494" s="19">
        <v>13187</v>
      </c>
      <c r="AF494" s="121">
        <f t="shared" si="451"/>
        <v>36</v>
      </c>
      <c r="AG494" s="19">
        <v>439</v>
      </c>
      <c r="AH494" s="19">
        <f t="shared" si="452"/>
        <v>2</v>
      </c>
      <c r="AI494" s="19">
        <v>100</v>
      </c>
      <c r="AJ494" s="19">
        <f t="shared" si="453"/>
        <v>2</v>
      </c>
      <c r="AK494" s="19">
        <v>0</v>
      </c>
      <c r="AL494" s="48" t="str">
        <f t="shared" si="469"/>
        <v>AIモンスターラバー</v>
      </c>
      <c r="AM494" s="51">
        <f t="shared" si="470"/>
        <v>200</v>
      </c>
      <c r="AN494" s="19">
        <f t="shared" si="456"/>
        <v>400</v>
      </c>
      <c r="AO494" s="20">
        <f t="shared" si="457"/>
        <v>0.1111111111111111</v>
      </c>
      <c r="AP494" s="11"/>
    </row>
    <row r="495" spans="1:42" ht="15" customHeight="1" thickTop="1">
      <c r="A495" s="12"/>
      <c r="B495" s="8"/>
      <c r="C495" s="9"/>
      <c r="D495" s="9" t="str">
        <f t="shared" si="466"/>
        <v/>
      </c>
      <c r="E495" s="9"/>
      <c r="F495" s="9" t="str">
        <f t="shared" si="467"/>
        <v/>
      </c>
      <c r="G495" s="9"/>
      <c r="H495" s="9" t="str">
        <f t="shared" si="468"/>
        <v/>
      </c>
      <c r="I495" s="9"/>
      <c r="J495" s="9"/>
      <c r="K495" s="9"/>
      <c r="L495" s="9" t="str">
        <f t="shared" si="458"/>
        <v/>
      </c>
      <c r="M495" s="10" t="str">
        <f t="shared" si="459"/>
        <v/>
      </c>
      <c r="N495" s="11"/>
      <c r="O495" s="2"/>
      <c r="P495" s="65"/>
      <c r="Q495" s="44"/>
      <c r="R495" s="44"/>
      <c r="S495" s="44"/>
      <c r="T495" s="23"/>
      <c r="U495" s="44"/>
      <c r="V495" s="44"/>
      <c r="W495" s="44"/>
      <c r="X495" s="61"/>
      <c r="Y495" s="62"/>
      <c r="Z495" s="23"/>
      <c r="AA495" s="24"/>
      <c r="AB495" s="11"/>
      <c r="AD495" s="65"/>
      <c r="AE495" s="44"/>
      <c r="AF495" s="119"/>
      <c r="AG495" s="44"/>
      <c r="AH495" s="23"/>
      <c r="AI495" s="44"/>
      <c r="AJ495" s="44"/>
      <c r="AK495" s="44"/>
      <c r="AL495" s="61"/>
      <c r="AM495" s="62"/>
      <c r="AN495" s="23"/>
      <c r="AO495" s="24"/>
      <c r="AP495" s="11"/>
    </row>
    <row r="496" spans="1:42" ht="15" customHeight="1">
      <c r="A496" s="12"/>
      <c r="B496" s="8"/>
      <c r="C496" s="9"/>
      <c r="D496" s="9" t="str">
        <f t="shared" si="466"/>
        <v/>
      </c>
      <c r="E496" s="9"/>
      <c r="F496" s="9" t="str">
        <f t="shared" si="467"/>
        <v/>
      </c>
      <c r="G496" s="9"/>
      <c r="H496" s="9" t="str">
        <f t="shared" si="468"/>
        <v/>
      </c>
      <c r="I496" s="9"/>
      <c r="J496" s="9"/>
      <c r="K496" s="9"/>
      <c r="L496" s="9" t="str">
        <f t="shared" si="458"/>
        <v/>
      </c>
      <c r="M496" s="10" t="str">
        <f t="shared" si="459"/>
        <v/>
      </c>
      <c r="N496" s="11"/>
      <c r="O496" s="2"/>
      <c r="P496" s="12"/>
      <c r="Q496" s="9"/>
      <c r="R496" s="9"/>
      <c r="S496" s="9"/>
      <c r="T496" s="9"/>
      <c r="U496" s="9"/>
      <c r="V496" s="9"/>
      <c r="W496" s="9"/>
      <c r="X496" s="47"/>
      <c r="Y496" s="45"/>
      <c r="Z496" s="9"/>
      <c r="AA496" s="10"/>
      <c r="AB496" s="11"/>
      <c r="AD496" s="12"/>
      <c r="AE496" s="9"/>
      <c r="AF496" s="120"/>
      <c r="AG496" s="9"/>
      <c r="AH496" s="9"/>
      <c r="AI496" s="9"/>
      <c r="AJ496" s="9"/>
      <c r="AK496" s="9"/>
      <c r="AL496" s="47"/>
      <c r="AM496" s="45"/>
      <c r="AN496" s="9"/>
      <c r="AO496" s="10"/>
      <c r="AP496" s="11"/>
    </row>
    <row r="497" spans="1:42" ht="15" customHeight="1">
      <c r="A497" s="12"/>
      <c r="B497" s="8"/>
      <c r="C497" s="9"/>
      <c r="D497" s="9" t="str">
        <f t="shared" si="466"/>
        <v/>
      </c>
      <c r="E497" s="9"/>
      <c r="F497" s="9" t="str">
        <f t="shared" si="467"/>
        <v/>
      </c>
      <c r="G497" s="9"/>
      <c r="H497" s="9" t="str">
        <f t="shared" si="468"/>
        <v/>
      </c>
      <c r="I497" s="9"/>
      <c r="J497" s="9"/>
      <c r="K497" s="9"/>
      <c r="L497" s="9" t="str">
        <f t="shared" si="458"/>
        <v/>
      </c>
      <c r="M497" s="10" t="str">
        <f t="shared" si="459"/>
        <v/>
      </c>
      <c r="N497" s="11"/>
      <c r="O497" s="2"/>
      <c r="P497" s="12"/>
      <c r="Q497" s="9"/>
      <c r="R497" s="81"/>
      <c r="S497" s="9"/>
      <c r="T497" s="9"/>
      <c r="U497" s="9"/>
      <c r="V497" s="9"/>
      <c r="W497" s="9"/>
      <c r="X497" s="47"/>
      <c r="Y497" s="9"/>
      <c r="Z497" s="9"/>
      <c r="AA497" s="10"/>
      <c r="AB497" s="11"/>
      <c r="AD497" s="12"/>
      <c r="AE497" s="9"/>
      <c r="AF497" s="81"/>
      <c r="AG497" s="9"/>
      <c r="AH497" s="9"/>
      <c r="AI497" s="9"/>
      <c r="AJ497" s="9"/>
      <c r="AK497" s="9"/>
      <c r="AL497" s="47"/>
      <c r="AM497" s="9"/>
      <c r="AN497" s="9"/>
      <c r="AO497" s="10"/>
      <c r="AP497" s="11"/>
    </row>
    <row r="498" spans="1:42" ht="15" customHeight="1" thickBot="1">
      <c r="A498" s="12"/>
      <c r="B498" s="8"/>
      <c r="C498" s="9"/>
      <c r="D498" s="9" t="str">
        <f t="shared" si="466"/>
        <v/>
      </c>
      <c r="E498" s="9"/>
      <c r="F498" s="9" t="str">
        <f t="shared" si="467"/>
        <v/>
      </c>
      <c r="G498" s="9"/>
      <c r="H498" s="9" t="str">
        <f t="shared" si="468"/>
        <v/>
      </c>
      <c r="I498" s="9"/>
      <c r="J498" s="9"/>
      <c r="K498" s="9"/>
      <c r="L498" s="9" t="str">
        <f t="shared" si="458"/>
        <v/>
      </c>
      <c r="M498" s="10" t="str">
        <f t="shared" si="459"/>
        <v/>
      </c>
      <c r="N498" s="11"/>
      <c r="O498" s="2"/>
      <c r="P498" s="18"/>
      <c r="Q498" s="19"/>
      <c r="R498" s="19"/>
      <c r="S498" s="19"/>
      <c r="T498" s="19"/>
      <c r="U498" s="19"/>
      <c r="V498" s="19"/>
      <c r="W498" s="19"/>
      <c r="X498" s="48"/>
      <c r="Y498" s="51"/>
      <c r="Z498" s="19"/>
      <c r="AA498" s="20"/>
      <c r="AB498" s="11"/>
      <c r="AD498" s="18"/>
      <c r="AE498" s="19"/>
      <c r="AF498" s="121"/>
      <c r="AG498" s="19"/>
      <c r="AH498" s="19"/>
      <c r="AI498" s="19"/>
      <c r="AJ498" s="19"/>
      <c r="AK498" s="19"/>
      <c r="AL498" s="48"/>
      <c r="AM498" s="51"/>
      <c r="AN498" s="19"/>
      <c r="AO498" s="20"/>
      <c r="AP498" s="11"/>
    </row>
    <row r="499" spans="1:42" ht="15" customHeight="1" thickTop="1">
      <c r="A499" s="12"/>
      <c r="B499" s="8"/>
      <c r="C499" s="9"/>
      <c r="D499" s="9" t="str">
        <f t="shared" si="466"/>
        <v/>
      </c>
      <c r="E499" s="9"/>
      <c r="F499" s="9" t="str">
        <f t="shared" si="467"/>
        <v/>
      </c>
      <c r="G499" s="9"/>
      <c r="H499" s="9" t="str">
        <f t="shared" si="468"/>
        <v/>
      </c>
      <c r="I499" s="9"/>
      <c r="J499" s="9"/>
      <c r="K499" s="9"/>
      <c r="L499" s="9" t="str">
        <f t="shared" si="458"/>
        <v/>
      </c>
      <c r="M499" s="10" t="str">
        <f t="shared" si="459"/>
        <v/>
      </c>
      <c r="N499" s="11"/>
      <c r="O499" s="2"/>
      <c r="P499" s="65" t="str">
        <f>IF($A460="","",$A460)</f>
        <v/>
      </c>
      <c r="Q499" s="44"/>
      <c r="R499" s="44" t="str">
        <f>IF(Q499="","",Q499-Q495)</f>
        <v/>
      </c>
      <c r="S499" s="44"/>
      <c r="T499" s="44" t="str">
        <f>IF(S499="","",S499-S495)</f>
        <v/>
      </c>
      <c r="U499" s="44"/>
      <c r="V499" s="44" t="str">
        <f>IF(U499="","",U495+W495-U499)</f>
        <v/>
      </c>
      <c r="W499" s="44"/>
      <c r="X499" s="64" t="str">
        <f t="shared" ref="X499:Y502" si="472">IF(Q499="","",X495)</f>
        <v/>
      </c>
      <c r="Y499" s="44" t="str">
        <f t="shared" si="472"/>
        <v/>
      </c>
      <c r="Z499" s="44" t="str">
        <f>IF(U499="","",V499*Y499)</f>
        <v/>
      </c>
      <c r="AA499" s="44" t="str">
        <f>IF(V499="","",Z499/(R499*100))</f>
        <v/>
      </c>
      <c r="AB499" s="11"/>
      <c r="AD499" s="65" t="str">
        <f>IF($A460="","",$A460)</f>
        <v/>
      </c>
      <c r="AE499" s="44"/>
      <c r="AF499" s="44" t="str">
        <f>IF(AE499="","",AE499-AE495)</f>
        <v/>
      </c>
      <c r="AG499" s="44"/>
      <c r="AH499" s="44" t="str">
        <f>IF(AG499="","",AG499-AG495)</f>
        <v/>
      </c>
      <c r="AI499" s="44"/>
      <c r="AJ499" s="44" t="str">
        <f>IF(AI499="","",AI495+AK495-AI499)</f>
        <v/>
      </c>
      <c r="AK499" s="44"/>
      <c r="AL499" s="61" t="str">
        <f t="shared" ref="AL499:AM502" si="473">IF(AE499="","",AL495)</f>
        <v/>
      </c>
      <c r="AM499" s="44" t="str">
        <f t="shared" si="473"/>
        <v/>
      </c>
      <c r="AN499" s="23" t="str">
        <f>IF(AI499="","",AJ499*AM499)</f>
        <v/>
      </c>
      <c r="AO499" s="24" t="str">
        <f>IF(AJ499="","",AN499/(AF499*100))</f>
        <v/>
      </c>
      <c r="AP499" s="11"/>
    </row>
    <row r="500" spans="1:42" ht="15" customHeight="1">
      <c r="A500" s="12"/>
      <c r="B500" s="8"/>
      <c r="C500" s="9"/>
      <c r="D500" s="9"/>
      <c r="E500" s="9"/>
      <c r="F500" s="9" t="str">
        <f t="shared" si="467"/>
        <v/>
      </c>
      <c r="G500" s="9"/>
      <c r="H500" s="9" t="str">
        <f t="shared" si="468"/>
        <v/>
      </c>
      <c r="I500" s="9"/>
      <c r="J500" s="9"/>
      <c r="K500" s="9"/>
      <c r="L500" s="9" t="str">
        <f t="shared" si="458"/>
        <v/>
      </c>
      <c r="M500" s="10" t="str">
        <f t="shared" si="459"/>
        <v/>
      </c>
      <c r="N500" s="11"/>
      <c r="O500" s="2"/>
      <c r="P500" s="65"/>
      <c r="Q500" s="44"/>
      <c r="R500" s="44" t="str">
        <f>IF(Q500="","",Q500-Q496)</f>
        <v/>
      </c>
      <c r="S500" s="44"/>
      <c r="T500" s="44" t="str">
        <f>IF(S500="","",S500-S496)</f>
        <v/>
      </c>
      <c r="U500" s="44"/>
      <c r="V500" s="44" t="str">
        <f>IF(U500="","",U496+W496-U500)</f>
        <v/>
      </c>
      <c r="W500" s="44"/>
      <c r="X500" s="64" t="str">
        <f t="shared" si="472"/>
        <v/>
      </c>
      <c r="Y500" s="44" t="str">
        <f t="shared" si="472"/>
        <v/>
      </c>
      <c r="Z500" s="44" t="str">
        <f>IF(U500="","",V500*Y500)</f>
        <v/>
      </c>
      <c r="AA500" s="44" t="str">
        <f>IF(V500="","",Z500/(R500*100))</f>
        <v/>
      </c>
      <c r="AB500" s="11"/>
      <c r="AD500" s="65"/>
      <c r="AE500" s="44"/>
      <c r="AF500" s="44" t="str">
        <f>IF(AE500="","",AE500-AE496)</f>
        <v/>
      </c>
      <c r="AG500" s="44"/>
      <c r="AH500" s="44" t="str">
        <f>IF(AG500="","",AG500-AG496)</f>
        <v/>
      </c>
      <c r="AI500" s="44"/>
      <c r="AJ500" s="44" t="str">
        <f>IF(AI500="","",AI496+AK496-AI500)</f>
        <v/>
      </c>
      <c r="AK500" s="44"/>
      <c r="AL500" s="61" t="str">
        <f t="shared" si="473"/>
        <v/>
      </c>
      <c r="AM500" s="44" t="str">
        <f t="shared" si="473"/>
        <v/>
      </c>
      <c r="AN500" s="9" t="str">
        <f>IF(AI500="","",AJ500*AM500)</f>
        <v/>
      </c>
      <c r="AO500" s="10" t="str">
        <f>IF(AJ500="","",AN500/(AF500*100))</f>
        <v/>
      </c>
      <c r="AP500" s="11"/>
    </row>
    <row r="501" spans="1:42" ht="15" customHeight="1">
      <c r="A501" s="12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0"/>
      <c r="N501" s="11"/>
      <c r="O501" s="2"/>
      <c r="P501" s="89"/>
      <c r="Q501" s="52"/>
      <c r="R501" s="52" t="str">
        <f>IF(Q501="","",Q501-Q497)</f>
        <v/>
      </c>
      <c r="S501" s="52"/>
      <c r="T501" s="52" t="str">
        <f>IF(S501="","",S501-S497)</f>
        <v/>
      </c>
      <c r="U501" s="52"/>
      <c r="V501" s="52" t="str">
        <f>IF(U501="","",U497+W497-U501)</f>
        <v/>
      </c>
      <c r="W501" s="52"/>
      <c r="X501" s="90" t="str">
        <f t="shared" si="472"/>
        <v/>
      </c>
      <c r="Y501" s="52" t="str">
        <f t="shared" si="472"/>
        <v/>
      </c>
      <c r="Z501" s="52" t="str">
        <f>IF(U501="","",V501*Y501)</f>
        <v/>
      </c>
      <c r="AA501" s="52" t="str">
        <f>IF(V501="","",Z501/(R501*100))</f>
        <v/>
      </c>
      <c r="AB501" s="31"/>
      <c r="AD501" s="89"/>
      <c r="AE501" s="52"/>
      <c r="AF501" s="52" t="str">
        <f>IF(AE501="","",AE501-AE497)</f>
        <v/>
      </c>
      <c r="AG501" s="52"/>
      <c r="AH501" s="52" t="str">
        <f>IF(AG501="","",AG501-AG497)</f>
        <v/>
      </c>
      <c r="AI501" s="52"/>
      <c r="AJ501" s="52" t="str">
        <f>IF(AI501="","",AI497+AK497-AI501)</f>
        <v/>
      </c>
      <c r="AK501" s="52"/>
      <c r="AL501" s="92" t="str">
        <f t="shared" si="473"/>
        <v/>
      </c>
      <c r="AM501" s="52" t="str">
        <f t="shared" si="473"/>
        <v/>
      </c>
      <c r="AN501" s="9" t="str">
        <f>IF(AI501="","",AJ501*AM501)</f>
        <v/>
      </c>
      <c r="AO501" s="10" t="str">
        <f>IF(AJ501="","",AN501/(AF501*100))</f>
        <v/>
      </c>
      <c r="AP501" s="31"/>
    </row>
    <row r="502" spans="1:42" ht="15" customHeight="1" thickBot="1">
      <c r="A502" s="12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11"/>
      <c r="O502" s="2"/>
      <c r="P502" s="85"/>
      <c r="Q502" s="50"/>
      <c r="R502" s="50" t="str">
        <f>IF(Q502="","",Q502-Q498)</f>
        <v/>
      </c>
      <c r="S502" s="50"/>
      <c r="T502" s="50" t="str">
        <f>IF(S502="","",S502-S498)</f>
        <v/>
      </c>
      <c r="U502" s="50"/>
      <c r="V502" s="50" t="str">
        <f>IF(U502="","",U498+W498-U502)</f>
        <v/>
      </c>
      <c r="W502" s="50"/>
      <c r="X502" s="86" t="str">
        <f t="shared" si="472"/>
        <v/>
      </c>
      <c r="Y502" s="50" t="str">
        <f t="shared" si="472"/>
        <v/>
      </c>
      <c r="Z502" s="50" t="str">
        <f>IF(U502="","",V502*Y502)</f>
        <v/>
      </c>
      <c r="AA502" s="50" t="str">
        <f>IF(V502="","",Z502/(R502*100))</f>
        <v/>
      </c>
      <c r="AB502" s="87"/>
      <c r="AD502" s="85"/>
      <c r="AE502" s="50"/>
      <c r="AF502" s="50" t="str">
        <f>IF(AE502="","",AE502-AE498)</f>
        <v/>
      </c>
      <c r="AG502" s="50"/>
      <c r="AH502" s="50" t="str">
        <f>IF(AG502="","",AG502-AG498)</f>
        <v/>
      </c>
      <c r="AI502" s="50"/>
      <c r="AJ502" s="50" t="str">
        <f>IF(AI502="","",AI498+AK498-AI502)</f>
        <v/>
      </c>
      <c r="AK502" s="50"/>
      <c r="AL502" s="91" t="str">
        <f t="shared" si="473"/>
        <v/>
      </c>
      <c r="AM502" s="50" t="str">
        <f t="shared" si="473"/>
        <v/>
      </c>
      <c r="AN502" s="19" t="str">
        <f>IF(AI502="","",AJ502*AM502)</f>
        <v/>
      </c>
      <c r="AO502" s="20" t="str">
        <f>IF(AJ502="","",AN502/(AF502*100))</f>
        <v/>
      </c>
      <c r="AP502" s="87"/>
    </row>
    <row r="503" spans="1:42" ht="15" customHeight="1" thickTop="1">
      <c r="A503" s="4">
        <v>37</v>
      </c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11"/>
      <c r="O503" s="2"/>
      <c r="P503" s="65"/>
      <c r="Q503" s="84" t="s">
        <v>17</v>
      </c>
      <c r="R503" s="44">
        <f>SUM(R447:R499)*100</f>
        <v>334400</v>
      </c>
      <c r="S503" s="44"/>
      <c r="T503" s="44"/>
      <c r="U503" s="84"/>
      <c r="V503" s="44"/>
      <c r="W503" s="44"/>
      <c r="X503" s="195" t="s">
        <v>19</v>
      </c>
      <c r="Y503" s="195"/>
      <c r="Z503" s="44">
        <f>SUM(Z447:Z499)</f>
        <v>54228</v>
      </c>
      <c r="AA503" s="44"/>
      <c r="AB503" s="69"/>
      <c r="AD503" s="65"/>
      <c r="AE503" s="84" t="s">
        <v>17</v>
      </c>
      <c r="AF503" s="44">
        <f>SUM(AF447:AF499)*100</f>
        <v>325700</v>
      </c>
      <c r="AG503" s="44"/>
      <c r="AH503" s="44"/>
      <c r="AI503" s="84"/>
      <c r="AJ503" s="44"/>
      <c r="AK503" s="44"/>
      <c r="AL503" s="195" t="s">
        <v>19</v>
      </c>
      <c r="AM503" s="195"/>
      <c r="AN503" s="44">
        <f>SUM(AN447:AN499)</f>
        <v>56931</v>
      </c>
      <c r="AO503" s="44"/>
      <c r="AP503" s="69"/>
    </row>
    <row r="504" spans="1:42" ht="15" customHeight="1">
      <c r="A504" s="96">
        <f>DATEDIF(A528,A458,"d")</f>
        <v>37</v>
      </c>
      <c r="B504" s="8">
        <f>SUM(B447:B503)</f>
        <v>8381</v>
      </c>
      <c r="C504" s="5" t="s">
        <v>17</v>
      </c>
      <c r="D504" s="9">
        <f>SUM(D447:D500)*100</f>
        <v>178000</v>
      </c>
      <c r="E504" s="9"/>
      <c r="F504" s="9"/>
      <c r="G504" s="5"/>
      <c r="H504" s="9"/>
      <c r="I504" s="9"/>
      <c r="J504" s="9"/>
      <c r="K504" s="9"/>
      <c r="L504" s="9"/>
      <c r="M504" s="9"/>
      <c r="N504" s="11"/>
      <c r="O504" s="2"/>
      <c r="P504" s="25"/>
      <c r="Q504" s="5" t="s">
        <v>20</v>
      </c>
      <c r="R504" s="9">
        <f>R503/$A504</f>
        <v>9037.8378378378384</v>
      </c>
      <c r="S504" s="9">
        <f>R504*A503</f>
        <v>334400</v>
      </c>
      <c r="T504" s="9"/>
      <c r="U504" s="5"/>
      <c r="V504" s="9"/>
      <c r="W504" s="9"/>
      <c r="X504" s="178" t="s">
        <v>21</v>
      </c>
      <c r="Y504" s="178"/>
      <c r="Z504" s="9"/>
      <c r="AA504" s="28">
        <f>Z503/R503</f>
        <v>0.16216507177033493</v>
      </c>
      <c r="AB504" s="11"/>
      <c r="AD504" s="40"/>
      <c r="AE504" s="5" t="s">
        <v>20</v>
      </c>
      <c r="AF504" s="9">
        <f>AF503/$A504</f>
        <v>8802.7027027027034</v>
      </c>
      <c r="AG504" s="9">
        <f>AF504*A503</f>
        <v>325700</v>
      </c>
      <c r="AH504" s="9"/>
      <c r="AI504" s="5"/>
      <c r="AJ504" s="9"/>
      <c r="AK504" s="9"/>
      <c r="AL504" s="178" t="s">
        <v>21</v>
      </c>
      <c r="AM504" s="178"/>
      <c r="AN504" s="9"/>
      <c r="AO504" s="28">
        <f>AN503/AF503</f>
        <v>0.17479582437826222</v>
      </c>
      <c r="AP504" s="11"/>
    </row>
    <row r="505" spans="1:42" ht="15" customHeight="1">
      <c r="A505" s="97"/>
      <c r="B505" s="8">
        <f>B504/A504</f>
        <v>226.51351351351352</v>
      </c>
      <c r="C505" s="5" t="s">
        <v>20</v>
      </c>
      <c r="D505" s="9">
        <f>D504/A504</f>
        <v>4810.8108108108108</v>
      </c>
      <c r="E505" s="9">
        <f>D505*A503</f>
        <v>178000</v>
      </c>
      <c r="F505" s="9"/>
      <c r="G505" s="5"/>
      <c r="H505" s="9"/>
      <c r="I505" s="9"/>
      <c r="J505" s="9"/>
      <c r="K505" s="9"/>
      <c r="L505" s="9"/>
      <c r="M505" s="9"/>
      <c r="N505" s="11"/>
      <c r="O505" s="2"/>
      <c r="P505" s="12"/>
      <c r="Q505" s="58" t="s">
        <v>23</v>
      </c>
      <c r="R505" s="9">
        <f>R503*0.6</f>
        <v>200640</v>
      </c>
      <c r="S505" s="9"/>
      <c r="T505" s="9"/>
      <c r="U505" s="5"/>
      <c r="V505" s="9"/>
      <c r="W505" s="9"/>
      <c r="X505" s="178" t="s">
        <v>24</v>
      </c>
      <c r="Y505" s="178"/>
      <c r="Z505" s="9">
        <f>R505-Z503</f>
        <v>146412</v>
      </c>
      <c r="AA505" s="28">
        <f>Z505/R503</f>
        <v>0.43783492822966508</v>
      </c>
      <c r="AB505" s="11"/>
      <c r="AD505" s="12"/>
      <c r="AE505" s="58" t="s">
        <v>23</v>
      </c>
      <c r="AF505" s="9">
        <f>AF503*0.6</f>
        <v>195420</v>
      </c>
      <c r="AG505" s="9"/>
      <c r="AH505" s="9"/>
      <c r="AI505" s="5"/>
      <c r="AJ505" s="9"/>
      <c r="AK505" s="9"/>
      <c r="AL505" s="178" t="s">
        <v>24</v>
      </c>
      <c r="AM505" s="178"/>
      <c r="AN505" s="9">
        <f>AF505-AN503</f>
        <v>138489</v>
      </c>
      <c r="AO505" s="28">
        <f>AN505/AF503</f>
        <v>0.42520417562173779</v>
      </c>
      <c r="AP505" s="11"/>
    </row>
    <row r="506" spans="1:42" ht="15" customHeight="1">
      <c r="A506" s="12"/>
      <c r="B506" s="8">
        <f>B505*30</f>
        <v>6795.4054054054059</v>
      </c>
      <c r="C506" s="5" t="s">
        <v>23</v>
      </c>
      <c r="D506" s="9">
        <f>D504*0.6</f>
        <v>106800</v>
      </c>
      <c r="E506" s="9"/>
      <c r="F506" s="9"/>
      <c r="G506" s="180" t="s">
        <v>27</v>
      </c>
      <c r="H506" s="180"/>
      <c r="I506" s="9">
        <f>(G455+I455)*K455</f>
        <v>6435</v>
      </c>
      <c r="J506" s="9"/>
      <c r="K506" s="9"/>
      <c r="L506" s="9"/>
      <c r="M506" s="9"/>
      <c r="N506" s="11"/>
      <c r="O506" s="2"/>
      <c r="P506" s="65"/>
      <c r="Q506" s="5" t="s">
        <v>25</v>
      </c>
      <c r="R506" s="9">
        <f>R577</f>
        <v>363900</v>
      </c>
      <c r="S506" s="9"/>
      <c r="T506" s="9"/>
      <c r="U506" s="5"/>
      <c r="V506" s="9"/>
      <c r="W506" s="17"/>
      <c r="X506" s="182" t="s">
        <v>27</v>
      </c>
      <c r="Y506" s="182"/>
      <c r="Z506" s="44">
        <f>(U479+W479)*Y479+(U480+W480)*Y480+(U481+W481)*Y481+(U482+W482)*Y482</f>
        <v>52860</v>
      </c>
      <c r="AA506" s="10"/>
      <c r="AB506" s="11"/>
      <c r="AD506" s="65"/>
      <c r="AE506" s="5" t="s">
        <v>25</v>
      </c>
      <c r="AF506" s="9">
        <f>AF577</f>
        <v>299400</v>
      </c>
      <c r="AG506" s="9"/>
      <c r="AH506" s="9"/>
      <c r="AI506" s="5"/>
      <c r="AJ506" s="9"/>
      <c r="AK506" s="17"/>
      <c r="AL506" s="182" t="s">
        <v>27</v>
      </c>
      <c r="AM506" s="182"/>
      <c r="AN506" s="44">
        <f>(AI479+AK479)*AM479+(AI480+AK480)*AM480+(AI481+AK481)*AM481+(AI482+AK482)*AM482</f>
        <v>40076</v>
      </c>
      <c r="AO506" s="10"/>
      <c r="AP506" s="11"/>
    </row>
    <row r="507" spans="1:42" ht="15" customHeight="1">
      <c r="A507" s="12"/>
      <c r="B507" s="8"/>
      <c r="C507" s="5" t="s">
        <v>25</v>
      </c>
      <c r="D507" s="9">
        <f>D578</f>
        <v>227300</v>
      </c>
      <c r="E507" s="9"/>
      <c r="F507" s="9"/>
      <c r="G507" s="5" t="s">
        <v>22</v>
      </c>
      <c r="H507" s="9">
        <f>SUM(L447:L500)</f>
        <v>15730</v>
      </c>
      <c r="I507" s="28">
        <f>H507/D504</f>
        <v>8.8370786516853927E-2</v>
      </c>
      <c r="J507" s="28"/>
      <c r="K507" s="9"/>
      <c r="L507" s="9"/>
      <c r="M507" s="9"/>
      <c r="N507" s="11"/>
      <c r="O507" s="2"/>
      <c r="P507" s="65"/>
      <c r="Q507" s="5"/>
      <c r="R507" s="9"/>
      <c r="S507" s="9"/>
      <c r="T507" s="9"/>
      <c r="U507" s="5"/>
      <c r="V507" s="9"/>
      <c r="W507" s="17"/>
      <c r="X507" s="100"/>
      <c r="Y507" s="103"/>
      <c r="Z507" s="62"/>
      <c r="AA507" s="10"/>
      <c r="AB507" s="11"/>
      <c r="AD507" s="65"/>
      <c r="AE507" s="5"/>
      <c r="AF507" s="9"/>
      <c r="AG507" s="9"/>
      <c r="AH507" s="9"/>
      <c r="AI507" s="5"/>
      <c r="AJ507" s="9"/>
      <c r="AK507" s="17"/>
      <c r="AL507" s="100"/>
      <c r="AM507" s="103"/>
      <c r="AN507" s="62"/>
      <c r="AO507" s="10"/>
      <c r="AP507" s="11"/>
    </row>
    <row r="508" spans="1:42" ht="15" customHeight="1">
      <c r="A508" s="12"/>
      <c r="B508" s="8"/>
      <c r="C508" s="58"/>
      <c r="D508" s="9"/>
      <c r="E508" s="9"/>
      <c r="F508" s="9"/>
      <c r="G508" s="30" t="s">
        <v>24</v>
      </c>
      <c r="H508" s="26">
        <f>D506-H507</f>
        <v>91070</v>
      </c>
      <c r="I508" s="28">
        <f>H508/D504</f>
        <v>0.51162921348314605</v>
      </c>
      <c r="J508" s="28"/>
      <c r="K508" s="9"/>
      <c r="L508" s="9"/>
      <c r="M508" s="9"/>
      <c r="N508" s="11"/>
      <c r="O508" s="2"/>
      <c r="P508" s="65"/>
      <c r="Q508" s="5"/>
      <c r="R508" s="9"/>
      <c r="S508" s="26"/>
      <c r="T508" s="9"/>
      <c r="U508" s="5"/>
      <c r="V508" s="9"/>
      <c r="W508" s="17"/>
      <c r="X508" s="100"/>
      <c r="Y508" s="103"/>
      <c r="Z508" s="62"/>
      <c r="AA508" s="10"/>
      <c r="AB508" s="11"/>
      <c r="AD508" s="65"/>
      <c r="AE508" s="5"/>
      <c r="AF508" s="9"/>
      <c r="AG508" s="26"/>
      <c r="AH508" s="9"/>
      <c r="AI508" s="5"/>
      <c r="AJ508" s="9"/>
      <c r="AK508" s="17"/>
      <c r="AL508" s="100"/>
      <c r="AM508" s="103"/>
      <c r="AN508" s="62"/>
      <c r="AO508" s="10"/>
      <c r="AP508" s="11"/>
    </row>
    <row r="509" spans="1:42" ht="15" customHeight="1">
      <c r="A509" s="33"/>
      <c r="B509" s="32"/>
      <c r="C509" s="58"/>
      <c r="D509" s="9"/>
      <c r="E509" s="9"/>
      <c r="F509" s="9"/>
      <c r="G509" s="104"/>
      <c r="H509" s="106"/>
      <c r="I509" s="28"/>
      <c r="J509" s="28"/>
      <c r="K509" s="9"/>
      <c r="L509" s="9"/>
      <c r="M509" s="9"/>
      <c r="N509" s="11"/>
      <c r="O509" s="2"/>
      <c r="P509" s="65"/>
      <c r="Q509" s="5"/>
      <c r="R509" s="17"/>
      <c r="S509" s="111"/>
      <c r="T509" s="45"/>
      <c r="U509" s="5"/>
      <c r="V509" s="9"/>
      <c r="W509" s="17"/>
      <c r="X509" s="100"/>
      <c r="Y509" s="103"/>
      <c r="Z509" s="62"/>
      <c r="AA509" s="10"/>
      <c r="AB509" s="11"/>
      <c r="AD509" s="65"/>
      <c r="AE509" s="5"/>
      <c r="AF509" s="17"/>
      <c r="AG509" s="111"/>
      <c r="AH509" s="45"/>
      <c r="AI509" s="5"/>
      <c r="AJ509" s="9"/>
      <c r="AK509" s="17"/>
      <c r="AL509" s="100"/>
      <c r="AM509" s="103"/>
      <c r="AN509" s="62"/>
      <c r="AO509" s="10"/>
      <c r="AP509" s="11"/>
    </row>
    <row r="510" spans="1:42" ht="15" customHeight="1">
      <c r="A510" s="98"/>
      <c r="B510" s="99"/>
      <c r="C510" s="5"/>
      <c r="D510" s="9"/>
      <c r="E510" s="9"/>
      <c r="F510" s="9"/>
      <c r="G510" s="27"/>
      <c r="H510" s="17"/>
      <c r="I510" s="28"/>
      <c r="J510" s="28"/>
      <c r="K510" s="10"/>
      <c r="L510" s="10"/>
      <c r="M510" s="10"/>
      <c r="N510" s="11"/>
      <c r="O510" s="2"/>
      <c r="P510" s="12"/>
      <c r="Q510" s="9"/>
      <c r="R510" s="9"/>
      <c r="T510" s="9"/>
      <c r="U510" s="5"/>
      <c r="V510" s="9"/>
      <c r="W510" s="9"/>
      <c r="X510" s="41"/>
      <c r="Y510" s="67"/>
      <c r="Z510" s="10"/>
      <c r="AA510" s="10"/>
      <c r="AB510" s="11"/>
      <c r="AD510" s="12"/>
      <c r="AE510" s="9"/>
      <c r="AF510" s="9"/>
      <c r="AH510" s="9"/>
      <c r="AI510" s="5"/>
      <c r="AJ510" s="9"/>
      <c r="AK510" s="9"/>
      <c r="AL510" s="54"/>
      <c r="AM510" s="67"/>
      <c r="AN510" s="10"/>
      <c r="AO510" s="10"/>
      <c r="AP510" s="11"/>
    </row>
    <row r="511" spans="1:42" ht="15" customHeight="1">
      <c r="A511" s="191" t="s">
        <v>43</v>
      </c>
      <c r="B511" s="191"/>
      <c r="C511" s="192" t="s">
        <v>46</v>
      </c>
      <c r="D511" s="192"/>
      <c r="E511" s="192" t="s">
        <v>47</v>
      </c>
      <c r="F511" s="192"/>
      <c r="G511" s="102"/>
      <c r="H511" s="93"/>
      <c r="I511" s="101"/>
      <c r="J511" s="101"/>
      <c r="K511" s="10"/>
      <c r="L511" s="10"/>
      <c r="M511" s="10"/>
      <c r="N511" s="11"/>
      <c r="O511" s="2"/>
      <c r="P511" s="79"/>
      <c r="Q511" s="45"/>
      <c r="R511" s="9"/>
      <c r="S511" s="5"/>
      <c r="T511" s="9"/>
      <c r="U511" s="5"/>
      <c r="V511" s="9"/>
      <c r="W511" s="9"/>
      <c r="X511" s="41"/>
      <c r="Y511" s="67"/>
      <c r="Z511" s="10"/>
      <c r="AA511" s="10"/>
      <c r="AB511" s="11"/>
      <c r="AD511" s="79"/>
      <c r="AE511" s="45"/>
      <c r="AF511" s="9"/>
      <c r="AG511" s="5"/>
      <c r="AH511" s="9"/>
      <c r="AI511" s="5"/>
      <c r="AJ511" s="9"/>
      <c r="AK511" s="9"/>
      <c r="AL511" s="54"/>
      <c r="AM511" s="67"/>
      <c r="AN511" s="10"/>
      <c r="AO511" s="10"/>
      <c r="AP511" s="11"/>
    </row>
    <row r="512" spans="1:42">
      <c r="A512" s="193">
        <f>E505+S504+AG504</f>
        <v>838100</v>
      </c>
      <c r="B512" s="193"/>
      <c r="C512" s="194">
        <f>H507+Z503+AN503</f>
        <v>126889</v>
      </c>
      <c r="D512" s="194"/>
      <c r="E512" s="194">
        <f>I506+Z506+AN506</f>
        <v>99371</v>
      </c>
      <c r="F512" s="194"/>
      <c r="G512" s="84"/>
      <c r="H512" s="44"/>
      <c r="I512" s="28"/>
      <c r="J512" s="28"/>
      <c r="K512" s="10"/>
      <c r="L512" s="10"/>
      <c r="M512" s="10"/>
      <c r="N512" s="11"/>
      <c r="O512" s="2"/>
      <c r="P512" s="165" t="s">
        <v>26</v>
      </c>
      <c r="Q512" s="165"/>
      <c r="R512" s="29">
        <f>SUM(R447,R451,R455,R459,R463,R467,R472,R475,R479,R483,R487,R491,R495)*100</f>
        <v>100400</v>
      </c>
      <c r="S512" s="45"/>
      <c r="T512" s="9"/>
      <c r="U512" s="5">
        <f>R512/V512</f>
        <v>5905.8823529411766</v>
      </c>
      <c r="V512" s="29">
        <f>SUM(V447,V451,V455,V459,V463,V467,V472,V475,V479,V483,V487,V491,V495)</f>
        <v>17</v>
      </c>
      <c r="W512" s="9"/>
      <c r="X512" s="64" t="str">
        <f t="shared" ref="X512:Y515" si="474">X447</f>
        <v>キティヒョウ柄マスコット</v>
      </c>
      <c r="Y512" s="62">
        <f t="shared" si="474"/>
        <v>996</v>
      </c>
      <c r="Z512" s="29">
        <f>SUM(Z447,Z451,Z455,Z459,Z463,Z467,Z472,Z475,Z479,Z483,Z487,Z491,Z495)</f>
        <v>16352</v>
      </c>
      <c r="AA512" s="28">
        <f>Z512/R512</f>
        <v>0.16286852589641435</v>
      </c>
      <c r="AB512" s="11"/>
      <c r="AC512" s="16"/>
      <c r="AD512" s="165" t="s">
        <v>26</v>
      </c>
      <c r="AE512" s="165"/>
      <c r="AF512" s="29">
        <f>SUM(AF447,AF451,AF455,AF459,AF463,AF467,AF471,AF475,AF479,AF483,AF487,AF491,AF495)*100</f>
        <v>67400</v>
      </c>
      <c r="AG512" s="45"/>
      <c r="AH512" s="9"/>
      <c r="AI512" s="5">
        <f>AF512/AJ512</f>
        <v>6740</v>
      </c>
      <c r="AJ512" s="29">
        <f>SUM(AJ447,AJ451,AJ455,AJ459,AJ463,AJ467,AJ472,AJ475,AJ479,AJ483,AJ487,AJ491,AJ495)</f>
        <v>10</v>
      </c>
      <c r="AK512" s="9"/>
      <c r="AL512" s="61" t="str">
        <f t="shared" ref="AL512:AM515" si="475">AL447</f>
        <v>番長ボタン</v>
      </c>
      <c r="AM512" s="62">
        <f t="shared" si="475"/>
        <v>358</v>
      </c>
      <c r="AN512" s="29">
        <f>SUM(AN447,AN451,AN455,AN459,AN463,AN467,AN472,AN475,AN479,AN483,AN487,AN491,AN495)</f>
        <v>5014</v>
      </c>
      <c r="AO512" s="28">
        <f>AN512/AF512</f>
        <v>7.439169139465876E-2</v>
      </c>
      <c r="AP512" s="11"/>
    </row>
    <row r="513" spans="1:42">
      <c r="A513" s="190">
        <v>228000</v>
      </c>
      <c r="B513" s="190"/>
      <c r="C513" s="45"/>
      <c r="D513" s="105">
        <f>C512/A512</f>
        <v>0.1514007874955256</v>
      </c>
      <c r="E513" s="9"/>
      <c r="F513" s="9"/>
      <c r="G513" s="5"/>
      <c r="H513" s="9"/>
      <c r="I513" s="9"/>
      <c r="J513" s="9"/>
      <c r="K513" s="9"/>
      <c r="L513" s="9"/>
      <c r="M513" s="9"/>
      <c r="N513" s="11"/>
      <c r="O513" s="2"/>
      <c r="P513" s="165" t="s">
        <v>26</v>
      </c>
      <c r="Q513" s="165"/>
      <c r="R513" s="29">
        <f>SUM(R448,R452,R456,R460,R464,R468,R471,R476,R480,R484,R488,R492,R496)*100</f>
        <v>76400</v>
      </c>
      <c r="S513" s="45"/>
      <c r="T513" s="9"/>
      <c r="U513" s="5">
        <f>R513/V513</f>
        <v>5457.1428571428569</v>
      </c>
      <c r="V513" s="29">
        <f>SUM(V448,V452,V456,V460,V464,V468,V471,V476,V480,V484,V488,V492,V496)</f>
        <v>14</v>
      </c>
      <c r="W513" s="9"/>
      <c r="X513" s="64" t="str">
        <f t="shared" si="474"/>
        <v>サンリオアニマルがま口</v>
      </c>
      <c r="Y513" s="62">
        <f t="shared" si="474"/>
        <v>880</v>
      </c>
      <c r="Z513" s="29">
        <f>SUM(Z448,Z452,Z456,Z460,Z464,Z468,Z471,Z476,Z480,Z484,Z488,Z492,Z496)</f>
        <v>10676</v>
      </c>
      <c r="AA513" s="28">
        <f>Z513/R513</f>
        <v>0.13973821989528795</v>
      </c>
      <c r="AB513" s="11"/>
      <c r="AC513" s="1"/>
      <c r="AD513" s="165" t="s">
        <v>26</v>
      </c>
      <c r="AE513" s="165"/>
      <c r="AF513" s="29">
        <f>SUM(AF448,AF452,AF456,AF460,AF464,AF468,AF472,AF476,AF480,AF484,AF488,AF492,AF496)*100</f>
        <v>103700</v>
      </c>
      <c r="AG513" s="45"/>
      <c r="AH513" s="9"/>
      <c r="AI513" s="5">
        <f>AF513/AJ513</f>
        <v>6481.25</v>
      </c>
      <c r="AJ513" s="29">
        <f>SUM(AJ448,AJ452,AJ456,AJ460,AJ464,AJ468,AJ471,AJ476,AJ480,AJ484,AJ488,AJ492,AJ496)</f>
        <v>16</v>
      </c>
      <c r="AK513" s="9"/>
      <c r="AL513" s="61" t="str">
        <f t="shared" si="475"/>
        <v>液晶ミニカメラ</v>
      </c>
      <c r="AM513" s="62">
        <f t="shared" si="475"/>
        <v>1075</v>
      </c>
      <c r="AN513" s="29">
        <f>SUM(AN448,AN452,AN456,AN460,AN464,AN468,AN471,AN476,AN480,AN484,AN488,AN492,AN496)</f>
        <v>16483</v>
      </c>
      <c r="AO513" s="28">
        <f>AN513/AF513</f>
        <v>0.15894889103182255</v>
      </c>
      <c r="AP513" s="11"/>
    </row>
    <row r="514" spans="1:42">
      <c r="A514" s="95"/>
      <c r="B514" s="95"/>
      <c r="C514" s="45"/>
      <c r="D514" s="9"/>
      <c r="E514" s="9"/>
      <c r="F514" s="9"/>
      <c r="G514" s="5"/>
      <c r="H514" s="9"/>
      <c r="I514" s="9"/>
      <c r="J514" s="9"/>
      <c r="K514" s="9"/>
      <c r="L514" s="9"/>
      <c r="M514" s="9"/>
      <c r="N514" s="11"/>
      <c r="O514" s="2"/>
      <c r="P514" s="165" t="s">
        <v>26</v>
      </c>
      <c r="Q514" s="165"/>
      <c r="R514" s="29">
        <f>SUM(R449,R453,R457,R461,R465,R469,R473,R477,R481,R485,R489,R493,R497)*100</f>
        <v>65400</v>
      </c>
      <c r="S514" s="45"/>
      <c r="T514" s="9"/>
      <c r="U514" s="5">
        <f>R514/V514</f>
        <v>1308</v>
      </c>
      <c r="V514" s="29">
        <f>SUM(V449,V453,V457,V462,V465,V469,V473,V477,V481,V485,V489,V493,V497)</f>
        <v>50</v>
      </c>
      <c r="W514" s="9"/>
      <c r="X514" s="64" t="str">
        <f t="shared" si="474"/>
        <v>ラブブマスコット</v>
      </c>
      <c r="Y514" s="62">
        <f t="shared" si="474"/>
        <v>400</v>
      </c>
      <c r="Z514" s="29">
        <f>SUM(Z449,Z453,Z457,Z462,Z465,Z469,Z473,Z477,Z481,Z485,Z489,Z493,Z497)</f>
        <v>20000</v>
      </c>
      <c r="AA514" s="28">
        <f>Z514/R514</f>
        <v>0.3058103975535168</v>
      </c>
      <c r="AB514" s="11"/>
      <c r="AC514" s="1"/>
      <c r="AD514" s="165" t="s">
        <v>26</v>
      </c>
      <c r="AE514" s="165"/>
      <c r="AF514" s="29">
        <f>SUM(AF449,AF453,AF457,AF461,AF465,AF469,AF473,AF477,AF481,AF485,AF489,AF493,AF497)*100</f>
        <v>53600</v>
      </c>
      <c r="AG514" s="45"/>
      <c r="AH514" s="9"/>
      <c r="AI514" s="5">
        <f>AF514/AJ514</f>
        <v>1576.4705882352941</v>
      </c>
      <c r="AJ514" s="29">
        <f>SUM(AJ449,AJ453,AJ457,AJ462,AJ465,AJ469,AJ473,AJ477,AJ481,AJ485,AJ489,AJ493,AJ497)</f>
        <v>34</v>
      </c>
      <c r="AK514" s="9"/>
      <c r="AL514" s="61" t="str">
        <f t="shared" si="475"/>
        <v>ＡＩマスコット</v>
      </c>
      <c r="AM514" s="62">
        <f t="shared" si="475"/>
        <v>286</v>
      </c>
      <c r="AN514" s="29">
        <f>SUM(AN449,AN453,AN457,AN462,AN465,AN469,AN473,AN477,AN481,AN485,AN489,AN493,AN497)</f>
        <v>24204</v>
      </c>
      <c r="AO514" s="28">
        <f>AN514/AF514</f>
        <v>0.45156716417910447</v>
      </c>
      <c r="AP514" s="11"/>
    </row>
    <row r="515" spans="1:42">
      <c r="A515" s="95"/>
      <c r="B515" s="95"/>
      <c r="C515" s="45"/>
      <c r="D515" s="9"/>
      <c r="E515" s="9"/>
      <c r="F515" s="9"/>
      <c r="G515" s="5"/>
      <c r="H515" s="9"/>
      <c r="I515" s="9"/>
      <c r="J515" s="9"/>
      <c r="K515" s="9"/>
      <c r="L515" s="9"/>
      <c r="M515" s="9"/>
      <c r="N515" s="11"/>
      <c r="O515" s="2"/>
      <c r="P515" s="165" t="s">
        <v>26</v>
      </c>
      <c r="Q515" s="165"/>
      <c r="R515" s="29">
        <f>SUM(R450,R454,R458,R462,R466,R470,R474,R478,R482,R486,R490,R494,R498)*100</f>
        <v>92200</v>
      </c>
      <c r="S515" s="45"/>
      <c r="T515" s="9"/>
      <c r="U515" s="5">
        <f>R515/V515</f>
        <v>5122.2222222222226</v>
      </c>
      <c r="V515" s="29">
        <f>SUM(V450,V454,V458,V461,V466,V470,V474,V478,V482,V486,V490,V494,V498)</f>
        <v>18</v>
      </c>
      <c r="W515" s="9"/>
      <c r="X515" s="64" t="str">
        <f t="shared" si="474"/>
        <v>ラブブキーホルダー</v>
      </c>
      <c r="Y515" s="62">
        <f t="shared" si="474"/>
        <v>400</v>
      </c>
      <c r="Z515" s="29">
        <f>SUM(Z450,Z454,Z458,Z461,Z466,Z470,Z474,Z478,Z482,Z486,Z490,Z494,Z498)</f>
        <v>7200</v>
      </c>
      <c r="AA515" s="28">
        <f>Z515/R515</f>
        <v>7.8091106290672452E-2</v>
      </c>
      <c r="AB515" s="11"/>
      <c r="AC515" s="1"/>
      <c r="AD515" s="165" t="s">
        <v>26</v>
      </c>
      <c r="AE515" s="165"/>
      <c r="AF515" s="29">
        <f>SUM(AF450,AF454,AF458,AF462,AF466,AF470,AF474,AF478,AF482,AF486,AF490,AF494,AF498)*100</f>
        <v>101000</v>
      </c>
      <c r="AG515" s="45"/>
      <c r="AH515" s="9"/>
      <c r="AI515" s="5">
        <f>AF515/AJ515</f>
        <v>1870.3703703703704</v>
      </c>
      <c r="AJ515" s="29">
        <f>SUM(AJ450,AJ454,AJ458,AJ461,AJ466,AJ470,AJ474,AJ478,AJ482,AJ486,AJ490,AJ494,AJ498)</f>
        <v>54</v>
      </c>
      <c r="AK515" s="9"/>
      <c r="AL515" s="61" t="str">
        <f t="shared" si="475"/>
        <v>AIモンスターラバー</v>
      </c>
      <c r="AM515" s="62">
        <f t="shared" si="475"/>
        <v>200</v>
      </c>
      <c r="AN515" s="29">
        <f>SUM(AN450,AN454,AN458,AN461,AN466,AN470,AN474,AN478,AN482,AN486,AN490,AN494,AN498)</f>
        <v>11230</v>
      </c>
      <c r="AO515" s="28">
        <f>AN515/AF515</f>
        <v>0.11118811881188119</v>
      </c>
      <c r="AP515" s="11"/>
    </row>
    <row r="516" spans="1:42">
      <c r="A516" s="95"/>
      <c r="B516" s="95"/>
      <c r="C516" s="45"/>
      <c r="D516" s="9"/>
      <c r="E516" s="9"/>
      <c r="F516" s="9"/>
      <c r="G516" s="5"/>
      <c r="H516" s="9"/>
      <c r="I516" s="9"/>
      <c r="J516" s="9"/>
      <c r="K516" s="9"/>
      <c r="L516" s="9"/>
      <c r="M516" s="9"/>
      <c r="N516" s="11"/>
      <c r="O516" s="2"/>
      <c r="P516" s="12"/>
      <c r="Q516" s="5" t="s">
        <v>17</v>
      </c>
      <c r="R516" s="9">
        <f>SUM(R512:R515)</f>
        <v>334400</v>
      </c>
      <c r="S516" s="45"/>
      <c r="T516" s="9"/>
      <c r="U516" s="9"/>
      <c r="V516" s="9">
        <f>SUM(V512:V515)</f>
        <v>99</v>
      </c>
      <c r="W516" s="9"/>
      <c r="X516" s="163" t="s">
        <v>28</v>
      </c>
      <c r="Y516" s="163"/>
      <c r="Z516" s="44">
        <f>SUM(Z512:Z515)</f>
        <v>54228</v>
      </c>
      <c r="AA516" s="68">
        <f>Z516/R516</f>
        <v>0.16216507177033493</v>
      </c>
      <c r="AB516" s="69"/>
      <c r="AC516" s="1"/>
      <c r="AD516" s="12"/>
      <c r="AE516" s="5" t="s">
        <v>17</v>
      </c>
      <c r="AF516" s="9">
        <f>SUM(AF512:AF515)</f>
        <v>325700</v>
      </c>
      <c r="AG516" s="45"/>
      <c r="AH516" s="9"/>
      <c r="AI516" s="9"/>
      <c r="AJ516" s="9">
        <f>SUM(AJ512:AJ515)</f>
        <v>114</v>
      </c>
      <c r="AK516" s="9"/>
      <c r="AL516" s="163" t="s">
        <v>28</v>
      </c>
      <c r="AM516" s="163"/>
      <c r="AN516" s="44">
        <f>SUM(AN512:AN515)</f>
        <v>56931</v>
      </c>
      <c r="AO516" s="68">
        <f>AN516/AF516</f>
        <v>0.17479582437826222</v>
      </c>
      <c r="AP516" s="11"/>
    </row>
    <row r="517" spans="1:42">
      <c r="A517" s="14"/>
      <c r="B517" s="76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2"/>
      <c r="P517" s="33"/>
      <c r="Q517" s="2"/>
      <c r="R517" s="2"/>
      <c r="S517" s="2"/>
      <c r="T517" s="2"/>
      <c r="U517" s="2"/>
      <c r="V517" s="2"/>
      <c r="W517" s="2"/>
      <c r="X517" s="43"/>
      <c r="Y517" s="2"/>
      <c r="Z517" s="2"/>
      <c r="AA517" s="2"/>
      <c r="AB517" s="42"/>
      <c r="AC517" s="1"/>
      <c r="AD517" s="33"/>
      <c r="AE517" s="2"/>
      <c r="AF517" s="2"/>
      <c r="AG517" s="2"/>
      <c r="AH517" s="2"/>
      <c r="AI517" s="2"/>
      <c r="AJ517" s="2"/>
      <c r="AK517" s="2"/>
      <c r="AL517" s="55"/>
      <c r="AM517" s="2"/>
      <c r="AN517" s="2"/>
      <c r="AO517" s="2"/>
      <c r="AP517" s="42"/>
    </row>
    <row r="518" spans="1:42" ht="15" customHeight="1">
      <c r="A518" s="33"/>
      <c r="B518" s="3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4"/>
      <c r="O518" s="2"/>
      <c r="P518" s="33"/>
      <c r="Q518" s="2"/>
      <c r="R518" s="2"/>
      <c r="S518" s="2"/>
      <c r="T518" s="2"/>
      <c r="U518" s="2"/>
      <c r="V518" s="2"/>
      <c r="W518" s="2"/>
      <c r="X518" s="43"/>
      <c r="Y518" s="2"/>
      <c r="Z518" s="2"/>
      <c r="AA518" s="2"/>
      <c r="AB518" s="42"/>
      <c r="AC518" s="2"/>
      <c r="AD518" s="33"/>
      <c r="AE518" s="2"/>
      <c r="AF518" s="2"/>
      <c r="AG518" s="2"/>
      <c r="AH518" s="2"/>
      <c r="AI518" s="2"/>
      <c r="AJ518" s="2"/>
      <c r="AK518" s="2"/>
      <c r="AL518" s="55"/>
      <c r="AM518" s="2"/>
      <c r="AN518" s="2"/>
      <c r="AO518" s="2"/>
      <c r="AP518" s="42"/>
    </row>
    <row r="519" spans="1:42">
      <c r="A519" s="188" t="s">
        <v>40</v>
      </c>
      <c r="B519" s="188"/>
      <c r="C519" s="189" t="s">
        <v>41</v>
      </c>
      <c r="D519" s="189"/>
      <c r="E519" s="36"/>
      <c r="F519" s="36"/>
      <c r="G519" s="59"/>
      <c r="H519" s="59"/>
      <c r="I519" s="59"/>
      <c r="J519" s="59"/>
      <c r="K519" s="59"/>
      <c r="L519" s="59"/>
      <c r="M519" s="59"/>
      <c r="N519" s="60"/>
      <c r="O519" s="56"/>
      <c r="P519" s="185" t="s">
        <v>39</v>
      </c>
      <c r="Q519" s="185"/>
      <c r="R519" s="185"/>
      <c r="S519" s="184" t="s">
        <v>38</v>
      </c>
      <c r="T519" s="184"/>
      <c r="U519" s="71"/>
      <c r="V519" s="71"/>
      <c r="W519" s="71"/>
      <c r="X519" s="72"/>
      <c r="Y519" s="71"/>
      <c r="Z519" s="71"/>
      <c r="AA519" s="71"/>
      <c r="AB519" s="73"/>
      <c r="AC519" s="74"/>
      <c r="AD519" s="185" t="s">
        <v>39</v>
      </c>
      <c r="AE519" s="185"/>
      <c r="AF519" s="185"/>
      <c r="AG519" s="184" t="s">
        <v>37</v>
      </c>
      <c r="AH519" s="184"/>
      <c r="AI519" s="71"/>
      <c r="AJ519" s="71"/>
      <c r="AK519" s="71"/>
      <c r="AL519" s="75"/>
      <c r="AM519" s="71"/>
      <c r="AN519" s="71"/>
      <c r="AO519" s="71"/>
      <c r="AP519" s="73"/>
    </row>
    <row r="520" spans="1:42">
      <c r="A520" s="7" t="s">
        <v>0</v>
      </c>
      <c r="B520" s="112" t="s">
        <v>34</v>
      </c>
      <c r="C520" s="5" t="s">
        <v>1</v>
      </c>
      <c r="D520" s="5" t="s">
        <v>2</v>
      </c>
      <c r="E520" s="6" t="s">
        <v>3</v>
      </c>
      <c r="F520" s="5" t="s">
        <v>2</v>
      </c>
      <c r="G520" s="5" t="s">
        <v>4</v>
      </c>
      <c r="H520" s="5" t="s">
        <v>5</v>
      </c>
      <c r="I520" s="5" t="s">
        <v>6</v>
      </c>
      <c r="J520" s="5"/>
      <c r="K520" s="5" t="s">
        <v>7</v>
      </c>
      <c r="L520" s="5" t="s">
        <v>8</v>
      </c>
      <c r="M520" s="5" t="s">
        <v>9</v>
      </c>
      <c r="N520" s="5" t="s">
        <v>10</v>
      </c>
      <c r="O520" s="2"/>
      <c r="P520" s="7" t="s">
        <v>0</v>
      </c>
      <c r="Q520" s="5" t="s">
        <v>1</v>
      </c>
      <c r="R520" s="5" t="s">
        <v>2</v>
      </c>
      <c r="S520" s="6" t="s">
        <v>3</v>
      </c>
      <c r="T520" s="5" t="s">
        <v>2</v>
      </c>
      <c r="U520" s="5" t="s">
        <v>4</v>
      </c>
      <c r="V520" s="5" t="s">
        <v>5</v>
      </c>
      <c r="W520" s="5" t="s">
        <v>6</v>
      </c>
      <c r="X520" s="6" t="s">
        <v>11</v>
      </c>
      <c r="Y520" s="5" t="s">
        <v>7</v>
      </c>
      <c r="Z520" s="5" t="s">
        <v>5</v>
      </c>
      <c r="AA520" s="5" t="s">
        <v>12</v>
      </c>
      <c r="AB520" s="5" t="s">
        <v>10</v>
      </c>
      <c r="AC520" s="3"/>
      <c r="AD520" s="7" t="s">
        <v>0</v>
      </c>
      <c r="AE520" s="5" t="s">
        <v>1</v>
      </c>
      <c r="AF520" s="5" t="s">
        <v>2</v>
      </c>
      <c r="AG520" s="6" t="s">
        <v>3</v>
      </c>
      <c r="AH520" s="5" t="s">
        <v>2</v>
      </c>
      <c r="AI520" s="5" t="s">
        <v>4</v>
      </c>
      <c r="AJ520" s="5" t="s">
        <v>5</v>
      </c>
      <c r="AK520" s="5" t="s">
        <v>6</v>
      </c>
      <c r="AL520" s="46" t="s">
        <v>11</v>
      </c>
      <c r="AM520" s="5" t="s">
        <v>7</v>
      </c>
      <c r="AN520" s="5" t="s">
        <v>5</v>
      </c>
      <c r="AO520" s="5" t="s">
        <v>12</v>
      </c>
      <c r="AP520" s="5" t="s">
        <v>10</v>
      </c>
    </row>
    <row r="521" spans="1:42">
      <c r="A521" s="12">
        <v>45947</v>
      </c>
      <c r="B521" s="8">
        <v>1019</v>
      </c>
      <c r="C521" s="13">
        <v>27070</v>
      </c>
      <c r="D521" s="9">
        <v>446</v>
      </c>
      <c r="E521" s="9">
        <v>923</v>
      </c>
      <c r="F521" s="9">
        <v>4</v>
      </c>
      <c r="G521" s="9">
        <v>9</v>
      </c>
      <c r="H521" s="9">
        <v>5</v>
      </c>
      <c r="I521" s="9">
        <v>5</v>
      </c>
      <c r="J521" s="44"/>
      <c r="K521" s="44">
        <v>715</v>
      </c>
      <c r="L521" s="9">
        <v>3575</v>
      </c>
      <c r="M521" s="10">
        <v>8.0156950672645735E-2</v>
      </c>
      <c r="N521" s="70" t="s">
        <v>167</v>
      </c>
      <c r="O521" s="2"/>
      <c r="P521" s="12">
        <v>45947</v>
      </c>
      <c r="Q521" s="44">
        <v>8297</v>
      </c>
      <c r="R521" s="44">
        <v>89</v>
      </c>
      <c r="S521" s="44">
        <v>248</v>
      </c>
      <c r="T521" s="44">
        <v>1</v>
      </c>
      <c r="U521" s="44">
        <v>11</v>
      </c>
      <c r="V521" s="44">
        <v>2</v>
      </c>
      <c r="W521" s="44">
        <v>2</v>
      </c>
      <c r="X521" s="64" t="s">
        <v>154</v>
      </c>
      <c r="Y521" s="62">
        <v>996</v>
      </c>
      <c r="Z521" s="44">
        <v>1992</v>
      </c>
      <c r="AA521" s="63">
        <v>0.22382022471910112</v>
      </c>
      <c r="AB521" s="11"/>
      <c r="AC521" s="1"/>
      <c r="AD521" s="12">
        <v>45947</v>
      </c>
      <c r="AE521" s="44">
        <v>6522</v>
      </c>
      <c r="AF521" s="44">
        <v>48</v>
      </c>
      <c r="AG521" s="44">
        <v>188</v>
      </c>
      <c r="AH521" s="44">
        <v>2</v>
      </c>
      <c r="AI521" s="44">
        <v>5</v>
      </c>
      <c r="AJ521" s="44">
        <v>2</v>
      </c>
      <c r="AK521" s="44">
        <v>1</v>
      </c>
      <c r="AL521" s="61" t="s">
        <v>93</v>
      </c>
      <c r="AM521" s="62">
        <v>0</v>
      </c>
      <c r="AN521" s="44">
        <v>0</v>
      </c>
      <c r="AO521" s="63">
        <v>0</v>
      </c>
      <c r="AP521" s="11" t="s">
        <v>166</v>
      </c>
    </row>
    <row r="522" spans="1:42">
      <c r="A522" s="12">
        <v>45950</v>
      </c>
      <c r="B522" s="8">
        <f>IF(A522="","",SUM(D522)+SUM(R525:R528)+SUM(AF525:AF528))</f>
        <v>1478</v>
      </c>
      <c r="C522" s="13">
        <v>27417</v>
      </c>
      <c r="D522" s="9">
        <f t="shared" ref="D522:D534" si="476">IF(C522="","",C522-C521)</f>
        <v>347</v>
      </c>
      <c r="E522" s="9">
        <v>934</v>
      </c>
      <c r="F522" s="9">
        <f t="shared" ref="F522:F534" si="477">IF(E522="","",E522-E521)</f>
        <v>11</v>
      </c>
      <c r="G522" s="9">
        <v>2</v>
      </c>
      <c r="H522" s="9">
        <f t="shared" ref="H522:H534" si="478">IF(G522="","",G521+I521-G522)</f>
        <v>12</v>
      </c>
      <c r="I522" s="9">
        <v>9</v>
      </c>
      <c r="J522" s="44"/>
      <c r="K522" s="44">
        <f t="shared" ref="K522:K534" si="479">IF(C522="","",K521)</f>
        <v>715</v>
      </c>
      <c r="L522" s="9">
        <f t="shared" ref="L522:L534" si="480">IF(K522="","",H522*K522)</f>
        <v>8580</v>
      </c>
      <c r="M522" s="10">
        <f t="shared" ref="M522:M534" si="481">IF(L522="","",L522/(D522*100))</f>
        <v>0.24726224783861672</v>
      </c>
      <c r="N522" s="11" t="s">
        <v>168</v>
      </c>
      <c r="O522" s="2"/>
      <c r="P522" s="12"/>
      <c r="Q522" s="9">
        <v>8682</v>
      </c>
      <c r="R522" s="9">
        <v>24</v>
      </c>
      <c r="S522" s="9">
        <v>196</v>
      </c>
      <c r="T522" s="9">
        <v>0</v>
      </c>
      <c r="U522" s="9">
        <v>7</v>
      </c>
      <c r="V522" s="9">
        <v>0</v>
      </c>
      <c r="W522" s="9">
        <v>2</v>
      </c>
      <c r="X522" s="64" t="s">
        <v>131</v>
      </c>
      <c r="Y522" s="44">
        <v>600</v>
      </c>
      <c r="Z522" s="9">
        <v>0</v>
      </c>
      <c r="AA522" s="10">
        <v>0</v>
      </c>
      <c r="AB522" s="11"/>
      <c r="AC522" s="1"/>
      <c r="AD522" s="12"/>
      <c r="AE522" s="9">
        <v>8568</v>
      </c>
      <c r="AF522" s="9">
        <v>38</v>
      </c>
      <c r="AG522" s="9">
        <v>156</v>
      </c>
      <c r="AH522" s="9">
        <v>1</v>
      </c>
      <c r="AI522" s="9">
        <v>14</v>
      </c>
      <c r="AJ522" s="9">
        <v>1</v>
      </c>
      <c r="AK522" s="9">
        <v>0</v>
      </c>
      <c r="AL522" s="47" t="s">
        <v>155</v>
      </c>
      <c r="AM522" s="45">
        <v>1075</v>
      </c>
      <c r="AN522" s="9">
        <v>1075</v>
      </c>
      <c r="AO522" s="10">
        <v>0.28289473684210525</v>
      </c>
      <c r="AP522" s="11"/>
    </row>
    <row r="523" spans="1:42">
      <c r="A523" s="12">
        <v>45954</v>
      </c>
      <c r="B523" s="8">
        <f>IF(A523="","",SUM(D523)+SUM(R529:R532)+SUM(AF529:AF532))</f>
        <v>942</v>
      </c>
      <c r="C523" s="13">
        <v>27738</v>
      </c>
      <c r="D523" s="9">
        <f t="shared" si="476"/>
        <v>321</v>
      </c>
      <c r="E523" s="9">
        <v>939</v>
      </c>
      <c r="F523" s="9">
        <f t="shared" si="477"/>
        <v>5</v>
      </c>
      <c r="G523" s="9">
        <v>4</v>
      </c>
      <c r="H523" s="9">
        <f t="shared" si="478"/>
        <v>7</v>
      </c>
      <c r="I523" s="9">
        <v>3</v>
      </c>
      <c r="J523" s="44"/>
      <c r="K523" s="44">
        <f t="shared" si="479"/>
        <v>715</v>
      </c>
      <c r="L523" s="9">
        <f t="shared" si="480"/>
        <v>5005</v>
      </c>
      <c r="M523" s="10">
        <f t="shared" si="481"/>
        <v>0.1559190031152648</v>
      </c>
      <c r="N523" s="11"/>
      <c r="O523" s="2"/>
      <c r="P523" s="12"/>
      <c r="Q523" s="9">
        <v>9344</v>
      </c>
      <c r="R523" s="9">
        <v>50</v>
      </c>
      <c r="S523" s="9">
        <v>326</v>
      </c>
      <c r="T523" s="9">
        <v>0</v>
      </c>
      <c r="U523" s="9">
        <v>19</v>
      </c>
      <c r="V523" s="9">
        <v>0</v>
      </c>
      <c r="W523" s="9">
        <v>3</v>
      </c>
      <c r="X523" s="15" t="s">
        <v>150</v>
      </c>
      <c r="Y523" s="45">
        <v>400</v>
      </c>
      <c r="Z523" s="9">
        <v>0</v>
      </c>
      <c r="AA523" s="10">
        <v>0</v>
      </c>
      <c r="AB523" s="11"/>
      <c r="AC523" s="1"/>
      <c r="AD523" s="12"/>
      <c r="AE523" s="9">
        <v>9443</v>
      </c>
      <c r="AF523" s="9">
        <v>109</v>
      </c>
      <c r="AG523" s="9">
        <v>373</v>
      </c>
      <c r="AH523" s="9">
        <v>4</v>
      </c>
      <c r="AI523" s="9">
        <v>7</v>
      </c>
      <c r="AJ523" s="9">
        <v>5</v>
      </c>
      <c r="AK523" s="9">
        <v>1</v>
      </c>
      <c r="AL523" s="47" t="s">
        <v>116</v>
      </c>
      <c r="AM523" s="45">
        <v>286</v>
      </c>
      <c r="AN523" s="9">
        <v>1430</v>
      </c>
      <c r="AO523" s="10">
        <v>0.13119266055045872</v>
      </c>
      <c r="AP523" s="11"/>
    </row>
    <row r="524" spans="1:42" ht="15" customHeight="1" thickBot="1">
      <c r="A524" s="12">
        <v>45957</v>
      </c>
      <c r="B524" s="8">
        <f>IF(A524="","",SUM(D524)+SUM(R533:R536)+SUM(AF533:AF536))</f>
        <v>1297</v>
      </c>
      <c r="C524" s="13">
        <v>27969</v>
      </c>
      <c r="D524" s="9">
        <f t="shared" si="476"/>
        <v>231</v>
      </c>
      <c r="E524" s="9">
        <v>943</v>
      </c>
      <c r="F524" s="9">
        <f t="shared" si="477"/>
        <v>4</v>
      </c>
      <c r="G524" s="9">
        <v>0</v>
      </c>
      <c r="H524" s="9">
        <f t="shared" si="478"/>
        <v>7</v>
      </c>
      <c r="I524" s="9">
        <v>10</v>
      </c>
      <c r="J524" s="44"/>
      <c r="K524" s="44">
        <f t="shared" si="479"/>
        <v>715</v>
      </c>
      <c r="L524" s="9">
        <f t="shared" si="480"/>
        <v>5005</v>
      </c>
      <c r="M524" s="10">
        <f t="shared" si="481"/>
        <v>0.21666666666666667</v>
      </c>
      <c r="N524" s="11" t="s">
        <v>171</v>
      </c>
      <c r="O524" s="2"/>
      <c r="P524" s="18"/>
      <c r="Q524" s="21">
        <v>10822</v>
      </c>
      <c r="R524" s="19">
        <v>70</v>
      </c>
      <c r="S524" s="19">
        <v>326</v>
      </c>
      <c r="T524" s="19">
        <v>3</v>
      </c>
      <c r="U524" s="19">
        <v>22</v>
      </c>
      <c r="V524" s="19">
        <v>4</v>
      </c>
      <c r="W524" s="19">
        <v>9</v>
      </c>
      <c r="X524" s="22" t="s">
        <v>149</v>
      </c>
      <c r="Y524" s="19">
        <v>400</v>
      </c>
      <c r="Z524" s="19">
        <v>1600</v>
      </c>
      <c r="AA524" s="20">
        <v>0.22857142857142856</v>
      </c>
      <c r="AB524" s="11"/>
      <c r="AC524" s="1"/>
      <c r="AD524" s="18"/>
      <c r="AE524" s="19">
        <v>11146</v>
      </c>
      <c r="AF524" s="19">
        <v>145</v>
      </c>
      <c r="AG524" s="19">
        <v>350</v>
      </c>
      <c r="AH524" s="19">
        <v>3</v>
      </c>
      <c r="AI524" s="19">
        <v>115</v>
      </c>
      <c r="AJ524" s="19">
        <v>5</v>
      </c>
      <c r="AK524" s="19">
        <v>0</v>
      </c>
      <c r="AL524" s="48" t="s">
        <v>95</v>
      </c>
      <c r="AM524" s="19">
        <v>200</v>
      </c>
      <c r="AN524" s="19">
        <v>1000</v>
      </c>
      <c r="AO524" s="20">
        <v>6.8965517241379309E-2</v>
      </c>
      <c r="AP524" s="11"/>
    </row>
    <row r="525" spans="1:42" ht="15" customHeight="1" thickTop="1">
      <c r="A525" s="12">
        <v>45961</v>
      </c>
      <c r="B525" s="8">
        <f>IF(A525="","",SUM(D525)+SUM(R537:R540)+SUM(AF537:AF540))</f>
        <v>1172</v>
      </c>
      <c r="C525" s="13">
        <v>28235</v>
      </c>
      <c r="D525" s="9">
        <f t="shared" si="476"/>
        <v>266</v>
      </c>
      <c r="E525" s="9">
        <v>950</v>
      </c>
      <c r="F525" s="9">
        <f t="shared" si="477"/>
        <v>7</v>
      </c>
      <c r="G525" s="9">
        <v>3</v>
      </c>
      <c r="H525" s="9">
        <f t="shared" si="478"/>
        <v>7</v>
      </c>
      <c r="I525" s="9">
        <v>7</v>
      </c>
      <c r="J525" s="44"/>
      <c r="K525" s="44">
        <f t="shared" si="479"/>
        <v>715</v>
      </c>
      <c r="L525" s="9">
        <f t="shared" si="480"/>
        <v>5005</v>
      </c>
      <c r="M525" s="10">
        <f t="shared" si="481"/>
        <v>0.18815789473684211</v>
      </c>
      <c r="N525" s="11" t="s">
        <v>174</v>
      </c>
      <c r="O525" s="2"/>
      <c r="P525" s="65">
        <f>IF($A522="","",$A522)</f>
        <v>45950</v>
      </c>
      <c r="Q525" s="44">
        <v>8580</v>
      </c>
      <c r="R525" s="44">
        <f t="shared" ref="R525:R552" si="482">IF(Q525="","",Q525-Q521)</f>
        <v>283</v>
      </c>
      <c r="S525" s="44">
        <v>252</v>
      </c>
      <c r="T525" s="23">
        <f t="shared" ref="T525:T552" si="483">IF(S525="","",S525-S521)</f>
        <v>4</v>
      </c>
      <c r="U525" s="44">
        <v>9</v>
      </c>
      <c r="V525" s="44">
        <f t="shared" ref="V525:V551" si="484">IF(U525="","",U521+W521-U525)</f>
        <v>4</v>
      </c>
      <c r="W525" s="44">
        <v>0</v>
      </c>
      <c r="X525" s="64" t="str">
        <f t="shared" ref="X525:X552" si="485">IF(Q525="","",X521)</f>
        <v>キティヒョウ柄マスコット</v>
      </c>
      <c r="Y525" s="62">
        <f t="shared" ref="Y525:Y552" si="486">IF(R525="","",Y521)</f>
        <v>996</v>
      </c>
      <c r="Z525" s="23">
        <f t="shared" ref="Z525:Z552" si="487">IF(U525="","",V525*Y525)</f>
        <v>3984</v>
      </c>
      <c r="AA525" s="24">
        <f t="shared" ref="AA525:AA552" si="488">IF(V525="","",Z525/(R525*100))</f>
        <v>0.14077738515901059</v>
      </c>
      <c r="AB525" s="11"/>
      <c r="AC525" s="1"/>
      <c r="AD525" s="65">
        <f>IF($A522="","",$A522)</f>
        <v>45950</v>
      </c>
      <c r="AE525" s="44">
        <v>6617</v>
      </c>
      <c r="AF525" s="119">
        <f t="shared" ref="AF525:AF552" si="489">IF(AE525="","",AE525-AE521)</f>
        <v>95</v>
      </c>
      <c r="AG525" s="44">
        <v>190</v>
      </c>
      <c r="AH525" s="23">
        <f t="shared" ref="AH525:AH552" si="490">IF(AG525="","",AG525-AG521)</f>
        <v>2</v>
      </c>
      <c r="AI525" s="44">
        <v>3</v>
      </c>
      <c r="AJ525" s="44">
        <f t="shared" ref="AJ525:AJ552" si="491">IF(AI525="","",AI521+AK521-AI525)</f>
        <v>3</v>
      </c>
      <c r="AK525" s="44">
        <v>0</v>
      </c>
      <c r="AL525" s="64" t="str">
        <f t="shared" ref="AL525:AL552" si="492">IF(AE525="","",AL521)</f>
        <v>キティフェイスポーチ</v>
      </c>
      <c r="AM525" s="62">
        <f t="shared" ref="AM525:AM552" si="493">IF(AF525="","",AM521)</f>
        <v>0</v>
      </c>
      <c r="AN525" s="23">
        <f t="shared" ref="AN525:AN552" si="494">IF(AI525="","",AJ525*AM525)</f>
        <v>0</v>
      </c>
      <c r="AO525" s="24">
        <f t="shared" ref="AO525:AO552" si="495">IF(AJ525="","",AN525/(AF525*100))</f>
        <v>0</v>
      </c>
      <c r="AP525" s="11"/>
    </row>
    <row r="526" spans="1:42">
      <c r="A526" s="12">
        <v>45964</v>
      </c>
      <c r="B526" s="8">
        <f>IF(A526="","",SUM(D526)+SUM(R541:R544)+SUM(AF541:AF544))</f>
        <v>867</v>
      </c>
      <c r="C526" s="13">
        <v>28475</v>
      </c>
      <c r="D526" s="9">
        <f t="shared" si="476"/>
        <v>240</v>
      </c>
      <c r="E526" s="9">
        <v>953</v>
      </c>
      <c r="F526" s="9">
        <f t="shared" si="477"/>
        <v>3</v>
      </c>
      <c r="G526" s="9">
        <v>4</v>
      </c>
      <c r="H526" s="9">
        <f t="shared" si="478"/>
        <v>6</v>
      </c>
      <c r="I526" s="9">
        <v>3</v>
      </c>
      <c r="J526" s="44"/>
      <c r="K526" s="44">
        <f t="shared" si="479"/>
        <v>715</v>
      </c>
      <c r="L526" s="9">
        <f t="shared" si="480"/>
        <v>4290</v>
      </c>
      <c r="M526" s="10">
        <f t="shared" si="481"/>
        <v>0.17874999999999999</v>
      </c>
      <c r="N526" s="11" t="s">
        <v>177</v>
      </c>
      <c r="O526" s="2"/>
      <c r="P526" s="12"/>
      <c r="Q526" s="9">
        <v>8736</v>
      </c>
      <c r="R526" s="9">
        <f t="shared" si="482"/>
        <v>54</v>
      </c>
      <c r="S526" s="9">
        <v>197</v>
      </c>
      <c r="T526" s="9">
        <f t="shared" si="483"/>
        <v>1</v>
      </c>
      <c r="U526" s="9">
        <v>7</v>
      </c>
      <c r="V526" s="9">
        <f t="shared" si="484"/>
        <v>2</v>
      </c>
      <c r="W526" s="9">
        <v>0</v>
      </c>
      <c r="X526" s="15" t="str">
        <f t="shared" si="485"/>
        <v>サンリオミニリュック</v>
      </c>
      <c r="Y526" s="45">
        <f t="shared" si="486"/>
        <v>600</v>
      </c>
      <c r="Z526" s="9">
        <f t="shared" si="487"/>
        <v>1200</v>
      </c>
      <c r="AA526" s="10">
        <f t="shared" si="488"/>
        <v>0.22222222222222221</v>
      </c>
      <c r="AB526" s="11"/>
      <c r="AC526" s="1"/>
      <c r="AD526" s="12"/>
      <c r="AE526" s="9">
        <v>8708</v>
      </c>
      <c r="AF526" s="120">
        <f t="shared" si="489"/>
        <v>140</v>
      </c>
      <c r="AG526" s="9">
        <v>158</v>
      </c>
      <c r="AH526" s="9">
        <f t="shared" si="490"/>
        <v>2</v>
      </c>
      <c r="AI526" s="9">
        <v>13</v>
      </c>
      <c r="AJ526" s="9">
        <f t="shared" si="491"/>
        <v>1</v>
      </c>
      <c r="AK526" s="9">
        <v>0</v>
      </c>
      <c r="AL526" s="15" t="str">
        <f t="shared" si="492"/>
        <v>液晶ミニカメラ</v>
      </c>
      <c r="AM526" s="45">
        <f t="shared" si="493"/>
        <v>1075</v>
      </c>
      <c r="AN526" s="9">
        <f t="shared" si="494"/>
        <v>1075</v>
      </c>
      <c r="AO526" s="10">
        <f t="shared" si="495"/>
        <v>7.678571428571429E-2</v>
      </c>
      <c r="AP526" s="11"/>
    </row>
    <row r="527" spans="1:42">
      <c r="A527" s="12">
        <v>45968</v>
      </c>
      <c r="B527" s="8">
        <f>IF(A527="","",SUM(D527)+SUM(R545:R548)+SUM(AF545:AF548))</f>
        <v>1183</v>
      </c>
      <c r="C527" s="13">
        <v>28754</v>
      </c>
      <c r="D527" s="9">
        <f t="shared" si="476"/>
        <v>279</v>
      </c>
      <c r="E527" s="9">
        <v>957</v>
      </c>
      <c r="F527" s="9">
        <f t="shared" si="477"/>
        <v>4</v>
      </c>
      <c r="G527" s="9">
        <v>3</v>
      </c>
      <c r="H527" s="9">
        <f t="shared" si="478"/>
        <v>4</v>
      </c>
      <c r="I527" s="9">
        <v>2</v>
      </c>
      <c r="J527" s="44"/>
      <c r="K527" s="44">
        <f t="shared" si="479"/>
        <v>715</v>
      </c>
      <c r="L527" s="9">
        <f t="shared" si="480"/>
        <v>2860</v>
      </c>
      <c r="M527" s="10">
        <f t="shared" si="481"/>
        <v>0.10250896057347671</v>
      </c>
      <c r="N527" s="11"/>
      <c r="O527" s="2"/>
      <c r="P527" s="12"/>
      <c r="Q527" s="9">
        <v>9510</v>
      </c>
      <c r="R527" s="9">
        <f t="shared" si="482"/>
        <v>166</v>
      </c>
      <c r="S527" s="9">
        <v>328</v>
      </c>
      <c r="T527" s="9">
        <f t="shared" si="483"/>
        <v>2</v>
      </c>
      <c r="U527" s="9">
        <v>19</v>
      </c>
      <c r="V527" s="9">
        <f t="shared" si="484"/>
        <v>3</v>
      </c>
      <c r="W527" s="9">
        <v>3</v>
      </c>
      <c r="X527" s="15" t="str">
        <f t="shared" si="485"/>
        <v>ラブブマスコット</v>
      </c>
      <c r="Y527" s="9">
        <f t="shared" si="486"/>
        <v>400</v>
      </c>
      <c r="Z527" s="9">
        <f t="shared" si="487"/>
        <v>1200</v>
      </c>
      <c r="AA527" s="10">
        <f t="shared" si="488"/>
        <v>7.2289156626506021E-2</v>
      </c>
      <c r="AB527" s="11"/>
      <c r="AC527" s="1"/>
      <c r="AD527" s="12"/>
      <c r="AE527" s="9">
        <v>9543</v>
      </c>
      <c r="AF527" s="120">
        <f t="shared" si="489"/>
        <v>100</v>
      </c>
      <c r="AG527" s="9">
        <v>375</v>
      </c>
      <c r="AH527" s="9">
        <f t="shared" si="490"/>
        <v>2</v>
      </c>
      <c r="AI527" s="9">
        <v>4</v>
      </c>
      <c r="AJ527" s="9">
        <f t="shared" si="491"/>
        <v>4</v>
      </c>
      <c r="AK527" s="9">
        <v>6</v>
      </c>
      <c r="AL527" s="15" t="str">
        <f t="shared" si="492"/>
        <v>ＡＩマスコット</v>
      </c>
      <c r="AM527" s="9">
        <f t="shared" si="493"/>
        <v>286</v>
      </c>
      <c r="AN527" s="9">
        <f t="shared" si="494"/>
        <v>1144</v>
      </c>
      <c r="AO527" s="10">
        <f t="shared" si="495"/>
        <v>0.1144</v>
      </c>
      <c r="AP527" s="11"/>
    </row>
    <row r="528" spans="1:42" ht="15" customHeight="1" thickBot="1">
      <c r="A528" s="126">
        <v>45971</v>
      </c>
      <c r="B528" s="8">
        <f>IF(A528="","",SUM(D528)+SUM(R549:R552)+SUM(AF549:AF552))</f>
        <v>948</v>
      </c>
      <c r="C528" s="13">
        <v>28897</v>
      </c>
      <c r="D528" s="9">
        <f t="shared" si="476"/>
        <v>143</v>
      </c>
      <c r="E528" s="9">
        <v>958</v>
      </c>
      <c r="F528" s="9">
        <f t="shared" si="477"/>
        <v>1</v>
      </c>
      <c r="G528" s="9">
        <v>4</v>
      </c>
      <c r="H528" s="9">
        <f t="shared" si="478"/>
        <v>1</v>
      </c>
      <c r="I528" s="9">
        <v>0</v>
      </c>
      <c r="J528" s="44"/>
      <c r="K528" s="44">
        <f t="shared" si="479"/>
        <v>715</v>
      </c>
      <c r="L528" s="9">
        <f t="shared" si="480"/>
        <v>715</v>
      </c>
      <c r="M528" s="10">
        <f t="shared" si="481"/>
        <v>0.05</v>
      </c>
      <c r="N528" s="11"/>
      <c r="O528" s="2"/>
      <c r="P528" s="80"/>
      <c r="Q528" s="19">
        <v>11001</v>
      </c>
      <c r="R528" s="19">
        <f t="shared" si="482"/>
        <v>179</v>
      </c>
      <c r="S528" s="19">
        <v>331</v>
      </c>
      <c r="T528" s="19">
        <f t="shared" si="483"/>
        <v>5</v>
      </c>
      <c r="U528" s="19">
        <v>26</v>
      </c>
      <c r="V528" s="19">
        <f t="shared" si="484"/>
        <v>5</v>
      </c>
      <c r="W528" s="19">
        <v>4</v>
      </c>
      <c r="X528" s="22" t="str">
        <f t="shared" si="485"/>
        <v>ラブブキーホルダー</v>
      </c>
      <c r="Y528" s="51">
        <f t="shared" si="486"/>
        <v>400</v>
      </c>
      <c r="Z528" s="19">
        <f t="shared" si="487"/>
        <v>2000</v>
      </c>
      <c r="AA528" s="20">
        <f t="shared" si="488"/>
        <v>0.11173184357541899</v>
      </c>
      <c r="AB528" s="11"/>
      <c r="AC528" s="1"/>
      <c r="AD528" s="80"/>
      <c r="AE528" s="19">
        <v>11260</v>
      </c>
      <c r="AF528" s="121">
        <f t="shared" si="489"/>
        <v>114</v>
      </c>
      <c r="AG528" s="19">
        <v>352</v>
      </c>
      <c r="AH528" s="19">
        <f t="shared" si="490"/>
        <v>2</v>
      </c>
      <c r="AI528" s="19">
        <v>100</v>
      </c>
      <c r="AJ528" s="19">
        <f t="shared" si="491"/>
        <v>15</v>
      </c>
      <c r="AK528" s="19">
        <v>13</v>
      </c>
      <c r="AL528" s="22" t="str">
        <f t="shared" si="492"/>
        <v>AIモンスターラバー</v>
      </c>
      <c r="AM528" s="51">
        <f t="shared" si="493"/>
        <v>200</v>
      </c>
      <c r="AN528" s="19">
        <f t="shared" si="494"/>
        <v>3000</v>
      </c>
      <c r="AO528" s="20">
        <f t="shared" si="495"/>
        <v>0.26315789473684209</v>
      </c>
      <c r="AP528" s="11"/>
    </row>
    <row r="529" spans="1:42" ht="15" customHeight="1" thickTop="1">
      <c r="A529" s="12"/>
      <c r="B529" s="8"/>
      <c r="C529" s="13"/>
      <c r="D529" s="9"/>
      <c r="E529" s="9"/>
      <c r="F529" s="9"/>
      <c r="G529" s="9"/>
      <c r="H529" s="9"/>
      <c r="I529" s="9"/>
      <c r="J529" s="44"/>
      <c r="K529" s="44"/>
      <c r="L529" s="9"/>
      <c r="M529" s="10"/>
      <c r="N529" s="34"/>
      <c r="O529" s="2"/>
      <c r="P529" s="65">
        <f>IF($A523="","",$A523)</f>
        <v>45954</v>
      </c>
      <c r="Q529" s="44">
        <v>8656</v>
      </c>
      <c r="R529" s="44">
        <f t="shared" si="482"/>
        <v>76</v>
      </c>
      <c r="S529" s="44">
        <v>252</v>
      </c>
      <c r="T529" s="23">
        <f t="shared" si="483"/>
        <v>0</v>
      </c>
      <c r="U529" s="44">
        <v>8</v>
      </c>
      <c r="V529" s="44">
        <f t="shared" si="484"/>
        <v>1</v>
      </c>
      <c r="W529" s="66">
        <v>0</v>
      </c>
      <c r="X529" s="61" t="str">
        <f t="shared" si="485"/>
        <v>キティヒョウ柄マスコット</v>
      </c>
      <c r="Y529" s="62">
        <f t="shared" si="486"/>
        <v>996</v>
      </c>
      <c r="Z529" s="23">
        <f t="shared" si="487"/>
        <v>996</v>
      </c>
      <c r="AA529" s="24">
        <f t="shared" si="488"/>
        <v>0.13105263157894737</v>
      </c>
      <c r="AB529" s="11"/>
      <c r="AC529" s="1"/>
      <c r="AD529" s="65">
        <f>IF($A523="","",$A523)</f>
        <v>45954</v>
      </c>
      <c r="AE529" s="44">
        <v>6624</v>
      </c>
      <c r="AF529" s="113">
        <f t="shared" si="489"/>
        <v>7</v>
      </c>
      <c r="AG529" s="44">
        <v>192</v>
      </c>
      <c r="AH529" s="23">
        <f t="shared" si="490"/>
        <v>2</v>
      </c>
      <c r="AI529" s="44">
        <v>1</v>
      </c>
      <c r="AJ529" s="44">
        <f t="shared" si="491"/>
        <v>2</v>
      </c>
      <c r="AK529" s="66">
        <v>7</v>
      </c>
      <c r="AL529" s="61" t="str">
        <f t="shared" si="492"/>
        <v>キティフェイスポーチ</v>
      </c>
      <c r="AM529" s="62">
        <f t="shared" si="493"/>
        <v>0</v>
      </c>
      <c r="AN529" s="23">
        <f t="shared" si="494"/>
        <v>0</v>
      </c>
      <c r="AO529" s="24">
        <f t="shared" si="495"/>
        <v>0</v>
      </c>
      <c r="AP529" s="11" t="s">
        <v>169</v>
      </c>
    </row>
    <row r="530" spans="1:42">
      <c r="A530" s="12"/>
      <c r="B530" s="8"/>
      <c r="C530" s="13"/>
      <c r="D530" s="9"/>
      <c r="E530" s="9"/>
      <c r="F530" s="9"/>
      <c r="G530" s="9"/>
      <c r="H530" s="9"/>
      <c r="I530" s="9"/>
      <c r="J530" s="44"/>
      <c r="K530" s="44"/>
      <c r="L530" s="9"/>
      <c r="M530" s="10"/>
      <c r="N530" s="34"/>
      <c r="O530" s="2"/>
      <c r="P530" s="12"/>
      <c r="Q530" s="9">
        <v>8819</v>
      </c>
      <c r="R530" s="44">
        <f t="shared" si="482"/>
        <v>83</v>
      </c>
      <c r="S530" s="9">
        <v>198</v>
      </c>
      <c r="T530" s="9">
        <f t="shared" si="483"/>
        <v>1</v>
      </c>
      <c r="U530" s="9">
        <v>5</v>
      </c>
      <c r="V530" s="9">
        <f t="shared" si="484"/>
        <v>2</v>
      </c>
      <c r="W530" s="13">
        <v>5</v>
      </c>
      <c r="X530" s="47" t="str">
        <f t="shared" si="485"/>
        <v>サンリオミニリュック</v>
      </c>
      <c r="Y530" s="45">
        <f t="shared" si="486"/>
        <v>600</v>
      </c>
      <c r="Z530" s="9">
        <f t="shared" si="487"/>
        <v>1200</v>
      </c>
      <c r="AA530" s="10">
        <f t="shared" si="488"/>
        <v>0.14457831325301204</v>
      </c>
      <c r="AB530" s="11" t="s">
        <v>170</v>
      </c>
      <c r="AC530" s="1"/>
      <c r="AD530" s="12"/>
      <c r="AE530" s="9">
        <v>8769</v>
      </c>
      <c r="AF530" s="119">
        <f t="shared" si="489"/>
        <v>61</v>
      </c>
      <c r="AG530" s="9">
        <v>159</v>
      </c>
      <c r="AH530" s="9">
        <f t="shared" si="490"/>
        <v>1</v>
      </c>
      <c r="AI530" s="9">
        <v>12</v>
      </c>
      <c r="AJ530" s="9">
        <f t="shared" si="491"/>
        <v>1</v>
      </c>
      <c r="AK530" s="13">
        <v>0</v>
      </c>
      <c r="AL530" s="47" t="str">
        <f t="shared" si="492"/>
        <v>液晶ミニカメラ</v>
      </c>
      <c r="AM530" s="45">
        <f t="shared" si="493"/>
        <v>1075</v>
      </c>
      <c r="AN530" s="9">
        <f t="shared" si="494"/>
        <v>1075</v>
      </c>
      <c r="AO530" s="10">
        <f t="shared" si="495"/>
        <v>0.17622950819672131</v>
      </c>
      <c r="AP530" s="11"/>
    </row>
    <row r="531" spans="1:42">
      <c r="A531" s="12"/>
      <c r="B531" s="8"/>
      <c r="C531" s="13"/>
      <c r="D531" s="9"/>
      <c r="E531" s="9"/>
      <c r="F531" s="9"/>
      <c r="G531" s="9"/>
      <c r="H531" s="9"/>
      <c r="I531" s="9"/>
      <c r="J531" s="44"/>
      <c r="K531" s="44"/>
      <c r="L531" s="9"/>
      <c r="M531" s="10"/>
      <c r="N531" s="34"/>
      <c r="O531" s="2"/>
      <c r="P531" s="25"/>
      <c r="Q531" s="26">
        <v>9603</v>
      </c>
      <c r="R531" s="44">
        <f t="shared" si="482"/>
        <v>93</v>
      </c>
      <c r="S531" s="26">
        <v>328</v>
      </c>
      <c r="T531" s="9">
        <f t="shared" si="483"/>
        <v>0</v>
      </c>
      <c r="U531" s="26">
        <v>21</v>
      </c>
      <c r="V531" s="9">
        <f t="shared" si="484"/>
        <v>1</v>
      </c>
      <c r="W531" s="38">
        <v>0</v>
      </c>
      <c r="X531" s="47" t="str">
        <f t="shared" si="485"/>
        <v>ラブブマスコット</v>
      </c>
      <c r="Y531" s="9">
        <f t="shared" si="486"/>
        <v>400</v>
      </c>
      <c r="Z531" s="9">
        <f t="shared" si="487"/>
        <v>400</v>
      </c>
      <c r="AA531" s="10">
        <f t="shared" si="488"/>
        <v>4.3010752688172046E-2</v>
      </c>
      <c r="AB531" s="11"/>
      <c r="AD531" s="25"/>
      <c r="AE531" s="26">
        <v>9600</v>
      </c>
      <c r="AF531" s="119">
        <f t="shared" si="489"/>
        <v>57</v>
      </c>
      <c r="AG531" s="26">
        <v>377</v>
      </c>
      <c r="AH531" s="9">
        <f t="shared" si="490"/>
        <v>2</v>
      </c>
      <c r="AI531" s="26">
        <v>7</v>
      </c>
      <c r="AJ531" s="9">
        <f t="shared" si="491"/>
        <v>3</v>
      </c>
      <c r="AK531" s="38">
        <v>0</v>
      </c>
      <c r="AL531" s="47" t="str">
        <f t="shared" si="492"/>
        <v>ＡＩマスコット</v>
      </c>
      <c r="AM531" s="9">
        <f t="shared" si="493"/>
        <v>286</v>
      </c>
      <c r="AN531" s="9">
        <f t="shared" si="494"/>
        <v>858</v>
      </c>
      <c r="AO531" s="10">
        <f t="shared" si="495"/>
        <v>0.15052631578947367</v>
      </c>
      <c r="AP531" s="11"/>
    </row>
    <row r="532" spans="1:42" ht="15" customHeight="1" thickBot="1">
      <c r="A532" s="12"/>
      <c r="B532" s="8" t="str">
        <f>IF(A532="","",SUM(D532)+SUM(R565:R568)+SUM(AF565:AF568))</f>
        <v/>
      </c>
      <c r="C532" s="13"/>
      <c r="D532" s="9" t="str">
        <f t="shared" si="476"/>
        <v/>
      </c>
      <c r="E532" s="9"/>
      <c r="F532" s="9" t="str">
        <f t="shared" si="477"/>
        <v/>
      </c>
      <c r="G532" s="9"/>
      <c r="H532" s="9" t="str">
        <f t="shared" si="478"/>
        <v/>
      </c>
      <c r="I532" s="9"/>
      <c r="J532" s="44"/>
      <c r="K532" s="44" t="str">
        <f t="shared" si="479"/>
        <v/>
      </c>
      <c r="L532" s="9" t="str">
        <f t="shared" si="480"/>
        <v/>
      </c>
      <c r="M532" s="10" t="str">
        <f t="shared" si="481"/>
        <v/>
      </c>
      <c r="N532" s="11"/>
      <c r="O532" s="2"/>
      <c r="P532" s="18"/>
      <c r="Q532" s="19">
        <v>11102</v>
      </c>
      <c r="R532" s="50">
        <f t="shared" si="482"/>
        <v>101</v>
      </c>
      <c r="S532" s="19">
        <v>331</v>
      </c>
      <c r="T532" s="19">
        <f t="shared" si="483"/>
        <v>0</v>
      </c>
      <c r="U532" s="19">
        <v>29</v>
      </c>
      <c r="V532" s="19">
        <f t="shared" si="484"/>
        <v>1</v>
      </c>
      <c r="W532" s="37">
        <v>0</v>
      </c>
      <c r="X532" s="48" t="str">
        <f t="shared" si="485"/>
        <v>ラブブキーホルダー</v>
      </c>
      <c r="Y532" s="51">
        <f t="shared" si="486"/>
        <v>400</v>
      </c>
      <c r="Z532" s="19">
        <f t="shared" si="487"/>
        <v>400</v>
      </c>
      <c r="AA532" s="20">
        <f t="shared" si="488"/>
        <v>3.9603960396039604E-2</v>
      </c>
      <c r="AB532" s="11"/>
      <c r="AD532" s="18"/>
      <c r="AE532" s="19">
        <v>11403</v>
      </c>
      <c r="AF532" s="124">
        <f t="shared" si="489"/>
        <v>143</v>
      </c>
      <c r="AG532" s="19">
        <v>356</v>
      </c>
      <c r="AH532" s="19">
        <f t="shared" si="490"/>
        <v>4</v>
      </c>
      <c r="AI532" s="19">
        <v>100</v>
      </c>
      <c r="AJ532" s="19">
        <f t="shared" si="491"/>
        <v>13</v>
      </c>
      <c r="AK532" s="37">
        <v>30</v>
      </c>
      <c r="AL532" s="48" t="str">
        <f t="shared" si="492"/>
        <v>AIモンスターラバー</v>
      </c>
      <c r="AM532" s="51">
        <f t="shared" si="493"/>
        <v>200</v>
      </c>
      <c r="AN532" s="19">
        <f t="shared" si="494"/>
        <v>2600</v>
      </c>
      <c r="AO532" s="20">
        <f t="shared" si="495"/>
        <v>0.18181818181818182</v>
      </c>
      <c r="AP532" s="11"/>
    </row>
    <row r="533" spans="1:42" ht="15" customHeight="1" thickTop="1">
      <c r="A533" s="12"/>
      <c r="B533" s="8" t="str">
        <f>IF(A533="","",SUM(D533)+SUM(R566:R569)+SUM(AF566:AF569))</f>
        <v/>
      </c>
      <c r="C533" s="13"/>
      <c r="D533" s="9" t="str">
        <f t="shared" si="476"/>
        <v/>
      </c>
      <c r="E533" s="9"/>
      <c r="F533" s="9" t="str">
        <f t="shared" si="477"/>
        <v/>
      </c>
      <c r="G533" s="9"/>
      <c r="H533" s="9" t="str">
        <f t="shared" si="478"/>
        <v/>
      </c>
      <c r="I533" s="9"/>
      <c r="J533" s="44"/>
      <c r="K533" s="44" t="str">
        <f t="shared" si="479"/>
        <v/>
      </c>
      <c r="L533" s="9" t="str">
        <f>IF(K533="","",H533*K533)</f>
        <v/>
      </c>
      <c r="M533" s="10" t="str">
        <f t="shared" si="481"/>
        <v/>
      </c>
      <c r="N533" s="11"/>
      <c r="O533" s="2"/>
      <c r="P533" s="65">
        <f>IF($A524="","",$A524)</f>
        <v>45957</v>
      </c>
      <c r="Q533" s="44">
        <v>8819</v>
      </c>
      <c r="R533" s="44">
        <f t="shared" si="482"/>
        <v>163</v>
      </c>
      <c r="S533" s="44">
        <v>254</v>
      </c>
      <c r="T533" s="23">
        <f t="shared" si="483"/>
        <v>2</v>
      </c>
      <c r="U533" s="44">
        <v>7</v>
      </c>
      <c r="V533" s="44">
        <f t="shared" si="484"/>
        <v>1</v>
      </c>
      <c r="W533" s="66">
        <v>5</v>
      </c>
      <c r="X533" s="61" t="str">
        <f t="shared" si="485"/>
        <v>キティヒョウ柄マスコット</v>
      </c>
      <c r="Y533" s="62">
        <f t="shared" si="486"/>
        <v>996</v>
      </c>
      <c r="Z533" s="23">
        <f t="shared" si="487"/>
        <v>996</v>
      </c>
      <c r="AA533" s="24">
        <f t="shared" si="488"/>
        <v>6.110429447852761E-2</v>
      </c>
      <c r="AB533" s="11"/>
      <c r="AC533" s="1"/>
      <c r="AD533" s="65">
        <f>IF($A524="","",$A524)</f>
        <v>45957</v>
      </c>
      <c r="AE533" s="44">
        <v>6648</v>
      </c>
      <c r="AF533" s="113">
        <f t="shared" si="489"/>
        <v>24</v>
      </c>
      <c r="AG533" s="44">
        <v>192</v>
      </c>
      <c r="AH533" s="23">
        <f t="shared" si="490"/>
        <v>0</v>
      </c>
      <c r="AI533" s="44">
        <v>8</v>
      </c>
      <c r="AJ533" s="44">
        <f t="shared" si="491"/>
        <v>0</v>
      </c>
      <c r="AK533" s="66">
        <v>0</v>
      </c>
      <c r="AL533" s="61" t="s">
        <v>44</v>
      </c>
      <c r="AM533" s="62">
        <v>1100</v>
      </c>
      <c r="AN533" s="23">
        <f t="shared" si="494"/>
        <v>0</v>
      </c>
      <c r="AO533" s="24">
        <f t="shared" si="495"/>
        <v>0</v>
      </c>
      <c r="AP533" s="11" t="s">
        <v>173</v>
      </c>
    </row>
    <row r="534" spans="1:42">
      <c r="A534" s="12"/>
      <c r="B534" s="8"/>
      <c r="C534" s="13"/>
      <c r="D534" s="9" t="str">
        <f t="shared" si="476"/>
        <v/>
      </c>
      <c r="E534" s="9"/>
      <c r="F534" s="9" t="str">
        <f t="shared" si="477"/>
        <v/>
      </c>
      <c r="G534" s="9"/>
      <c r="H534" s="9" t="str">
        <f t="shared" si="478"/>
        <v/>
      </c>
      <c r="I534" s="9"/>
      <c r="J534" s="44"/>
      <c r="K534" s="44" t="str">
        <f t="shared" si="479"/>
        <v/>
      </c>
      <c r="L534" s="9" t="str">
        <f t="shared" si="480"/>
        <v/>
      </c>
      <c r="M534" s="10" t="str">
        <f t="shared" si="481"/>
        <v/>
      </c>
      <c r="N534" s="11"/>
      <c r="O534" s="2"/>
      <c r="P534" s="12"/>
      <c r="Q534" s="9">
        <v>8962</v>
      </c>
      <c r="R534" s="44">
        <f t="shared" si="482"/>
        <v>143</v>
      </c>
      <c r="S534" s="9">
        <v>201</v>
      </c>
      <c r="T534" s="9">
        <f t="shared" si="483"/>
        <v>3</v>
      </c>
      <c r="U534" s="9">
        <v>7</v>
      </c>
      <c r="V534" s="9">
        <f t="shared" si="484"/>
        <v>3</v>
      </c>
      <c r="W534" s="13">
        <v>6</v>
      </c>
      <c r="X534" s="47" t="s">
        <v>172</v>
      </c>
      <c r="Y534" s="45">
        <v>880</v>
      </c>
      <c r="Z534" s="9">
        <f t="shared" si="487"/>
        <v>2640</v>
      </c>
      <c r="AA534" s="10">
        <f t="shared" si="488"/>
        <v>0.18461538461538463</v>
      </c>
      <c r="AB534" s="11"/>
      <c r="AC534" s="1"/>
      <c r="AD534" s="12"/>
      <c r="AE534" s="9">
        <v>8865</v>
      </c>
      <c r="AF534" s="119">
        <f t="shared" si="489"/>
        <v>96</v>
      </c>
      <c r="AG534" s="9">
        <v>162</v>
      </c>
      <c r="AH534" s="9">
        <f t="shared" si="490"/>
        <v>3</v>
      </c>
      <c r="AI534" s="9">
        <v>9</v>
      </c>
      <c r="AJ534" s="9">
        <f t="shared" si="491"/>
        <v>3</v>
      </c>
      <c r="AK534" s="13">
        <v>3</v>
      </c>
      <c r="AL534" s="47" t="str">
        <f t="shared" si="492"/>
        <v>液晶ミニカメラ</v>
      </c>
      <c r="AM534" s="45">
        <f t="shared" si="493"/>
        <v>1075</v>
      </c>
      <c r="AN534" s="9">
        <f t="shared" si="494"/>
        <v>3225</v>
      </c>
      <c r="AO534" s="10">
        <f t="shared" si="495"/>
        <v>0.3359375</v>
      </c>
      <c r="AP534" s="11"/>
    </row>
    <row r="535" spans="1:42">
      <c r="A535" s="12"/>
      <c r="B535" s="8"/>
      <c r="C535" s="13"/>
      <c r="D535" s="9"/>
      <c r="E535" s="9"/>
      <c r="F535" s="9"/>
      <c r="G535" s="9"/>
      <c r="H535" s="9"/>
      <c r="I535" s="9"/>
      <c r="J535" s="44"/>
      <c r="K535" s="44"/>
      <c r="L535" s="9"/>
      <c r="M535" s="10"/>
      <c r="N535" s="11"/>
      <c r="O535" s="2"/>
      <c r="P535" s="25"/>
      <c r="Q535" s="26">
        <v>9727</v>
      </c>
      <c r="R535" s="44">
        <f t="shared" si="482"/>
        <v>124</v>
      </c>
      <c r="S535" s="26">
        <v>330</v>
      </c>
      <c r="T535" s="9">
        <f t="shared" si="483"/>
        <v>2</v>
      </c>
      <c r="U535" s="26">
        <v>19</v>
      </c>
      <c r="V535" s="9">
        <f t="shared" si="484"/>
        <v>2</v>
      </c>
      <c r="W535" s="38">
        <v>4</v>
      </c>
      <c r="X535" s="47" t="str">
        <f t="shared" si="485"/>
        <v>ラブブマスコット</v>
      </c>
      <c r="Y535" s="9">
        <f t="shared" si="486"/>
        <v>400</v>
      </c>
      <c r="Z535" s="9">
        <f t="shared" si="487"/>
        <v>800</v>
      </c>
      <c r="AA535" s="10">
        <f t="shared" si="488"/>
        <v>6.4516129032258063E-2</v>
      </c>
      <c r="AB535" s="11"/>
      <c r="AD535" s="25"/>
      <c r="AE535" s="26">
        <v>9683</v>
      </c>
      <c r="AF535" s="119">
        <f t="shared" si="489"/>
        <v>83</v>
      </c>
      <c r="AG535" s="26">
        <v>378</v>
      </c>
      <c r="AH535" s="9">
        <f t="shared" si="490"/>
        <v>1</v>
      </c>
      <c r="AI535" s="26">
        <v>5</v>
      </c>
      <c r="AJ535" s="9">
        <f t="shared" si="491"/>
        <v>2</v>
      </c>
      <c r="AK535" s="38">
        <v>3</v>
      </c>
      <c r="AL535" s="47" t="str">
        <f t="shared" si="492"/>
        <v>ＡＩマスコット</v>
      </c>
      <c r="AM535" s="9">
        <f t="shared" si="493"/>
        <v>286</v>
      </c>
      <c r="AN535" s="9">
        <f t="shared" si="494"/>
        <v>572</v>
      </c>
      <c r="AO535" s="10">
        <f t="shared" si="495"/>
        <v>6.8915662650602408E-2</v>
      </c>
      <c r="AP535" s="11"/>
    </row>
    <row r="536" spans="1:42" ht="15" customHeight="1" thickBot="1">
      <c r="A536" s="12"/>
      <c r="B536" s="8"/>
      <c r="C536" s="13"/>
      <c r="D536" s="9" t="str">
        <f>IF(C536="","",C536-C537)</f>
        <v/>
      </c>
      <c r="E536" s="9"/>
      <c r="F536" s="9" t="str">
        <f>IF(E536="","",E536-E537)</f>
        <v/>
      </c>
      <c r="G536" s="9"/>
      <c r="H536" s="9" t="str">
        <f>IF(G536="","",G537+I537-G536)</f>
        <v/>
      </c>
      <c r="I536" s="9"/>
      <c r="J536" s="44"/>
      <c r="K536" s="44" t="str">
        <f>IF(C536="","",K537)</f>
        <v/>
      </c>
      <c r="L536" s="9" t="str">
        <f t="shared" ref="L536:L574" si="496">IF(K536="","",H536*K536)</f>
        <v/>
      </c>
      <c r="M536" s="10" t="str">
        <f t="shared" ref="M536:M574" si="497">IF(L536="","",L536/(D536*100))</f>
        <v/>
      </c>
      <c r="N536" s="11"/>
      <c r="O536" s="2"/>
      <c r="P536" s="18"/>
      <c r="Q536" s="19">
        <v>11318</v>
      </c>
      <c r="R536" s="50">
        <f t="shared" si="482"/>
        <v>216</v>
      </c>
      <c r="S536" s="19">
        <v>335</v>
      </c>
      <c r="T536" s="19">
        <f t="shared" si="483"/>
        <v>4</v>
      </c>
      <c r="U536" s="19">
        <v>24</v>
      </c>
      <c r="V536" s="19">
        <f t="shared" si="484"/>
        <v>5</v>
      </c>
      <c r="W536" s="37">
        <v>1</v>
      </c>
      <c r="X536" s="48" t="str">
        <f t="shared" si="485"/>
        <v>ラブブキーホルダー</v>
      </c>
      <c r="Y536" s="51">
        <f t="shared" si="486"/>
        <v>400</v>
      </c>
      <c r="Z536" s="19">
        <f t="shared" si="487"/>
        <v>2000</v>
      </c>
      <c r="AA536" s="20">
        <f t="shared" si="488"/>
        <v>9.2592592592592587E-2</v>
      </c>
      <c r="AB536" s="11"/>
      <c r="AD536" s="18"/>
      <c r="AE536" s="19">
        <v>11620</v>
      </c>
      <c r="AF536" s="124">
        <f t="shared" si="489"/>
        <v>217</v>
      </c>
      <c r="AG536" s="19">
        <v>365</v>
      </c>
      <c r="AH536" s="19">
        <f t="shared" si="490"/>
        <v>9</v>
      </c>
      <c r="AI536" s="19">
        <v>110</v>
      </c>
      <c r="AJ536" s="19">
        <f t="shared" si="491"/>
        <v>20</v>
      </c>
      <c r="AK536" s="37">
        <v>0</v>
      </c>
      <c r="AL536" s="48" t="str">
        <f t="shared" si="492"/>
        <v>AIモンスターラバー</v>
      </c>
      <c r="AM536" s="51">
        <f t="shared" si="493"/>
        <v>200</v>
      </c>
      <c r="AN536" s="19">
        <f t="shared" si="494"/>
        <v>4000</v>
      </c>
      <c r="AO536" s="20">
        <f t="shared" si="495"/>
        <v>0.18433179723502305</v>
      </c>
      <c r="AP536" s="11"/>
    </row>
    <row r="537" spans="1:42" ht="15" customHeight="1" thickTop="1">
      <c r="A537" s="12"/>
      <c r="B537" s="8"/>
      <c r="C537" s="13"/>
      <c r="D537" s="9" t="str">
        <f>IF(C537="","",C537-C534)</f>
        <v/>
      </c>
      <c r="E537" s="9"/>
      <c r="F537" s="9" t="str">
        <f>IF(E537="","",E537-E534)</f>
        <v/>
      </c>
      <c r="G537" s="9"/>
      <c r="H537" s="9" t="str">
        <f>IF(G537="","",G534+I534-G537)</f>
        <v/>
      </c>
      <c r="I537" s="9"/>
      <c r="J537" s="44"/>
      <c r="K537" s="44" t="str">
        <f>IF(C537="","",K534)</f>
        <v/>
      </c>
      <c r="L537" s="9" t="str">
        <f t="shared" si="496"/>
        <v/>
      </c>
      <c r="M537" s="10" t="str">
        <f t="shared" si="497"/>
        <v/>
      </c>
      <c r="N537" s="11"/>
      <c r="O537" s="2"/>
      <c r="P537" s="65">
        <f>IF($A525="","",$A525)</f>
        <v>45961</v>
      </c>
      <c r="Q537" s="44">
        <v>8990</v>
      </c>
      <c r="R537" s="44">
        <f t="shared" si="482"/>
        <v>171</v>
      </c>
      <c r="S537" s="44">
        <v>256</v>
      </c>
      <c r="T537" s="23">
        <f t="shared" si="483"/>
        <v>2</v>
      </c>
      <c r="U537" s="44">
        <v>10</v>
      </c>
      <c r="V537" s="44">
        <f t="shared" si="484"/>
        <v>2</v>
      </c>
      <c r="W537" s="66">
        <v>2</v>
      </c>
      <c r="X537" s="61" t="str">
        <f t="shared" si="485"/>
        <v>キティヒョウ柄マスコット</v>
      </c>
      <c r="Y537" s="62">
        <f t="shared" si="486"/>
        <v>996</v>
      </c>
      <c r="Z537" s="23">
        <f t="shared" si="487"/>
        <v>1992</v>
      </c>
      <c r="AA537" s="24">
        <f t="shared" si="488"/>
        <v>0.11649122807017544</v>
      </c>
      <c r="AB537" s="11"/>
      <c r="AD537" s="65">
        <f>IF($A525="","",$A525)</f>
        <v>45961</v>
      </c>
      <c r="AE537" s="44">
        <v>6670</v>
      </c>
      <c r="AF537" s="119">
        <f t="shared" si="489"/>
        <v>22</v>
      </c>
      <c r="AG537" s="44">
        <v>197</v>
      </c>
      <c r="AH537" s="23">
        <f t="shared" si="490"/>
        <v>5</v>
      </c>
      <c r="AI537" s="44">
        <v>4</v>
      </c>
      <c r="AJ537" s="44">
        <f t="shared" si="491"/>
        <v>4</v>
      </c>
      <c r="AK537" s="66">
        <v>4</v>
      </c>
      <c r="AL537" s="61" t="str">
        <f t="shared" si="492"/>
        <v>ジャグラーサウンドボタン</v>
      </c>
      <c r="AM537" s="62">
        <f t="shared" si="493"/>
        <v>1100</v>
      </c>
      <c r="AN537" s="23">
        <f t="shared" si="494"/>
        <v>4400</v>
      </c>
      <c r="AO537" s="24">
        <f t="shared" si="495"/>
        <v>2</v>
      </c>
      <c r="AP537" s="11" t="s">
        <v>175</v>
      </c>
    </row>
    <row r="538" spans="1:42">
      <c r="A538" s="12"/>
      <c r="B538" s="8"/>
      <c r="C538" s="13"/>
      <c r="D538" s="9" t="str">
        <f>IF(C538="","",C538-C536)</f>
        <v/>
      </c>
      <c r="E538" s="9"/>
      <c r="F538" s="9" t="str">
        <f>IF(E538="","",E538-E536)</f>
        <v/>
      </c>
      <c r="G538" s="9"/>
      <c r="H538" s="9" t="str">
        <f>IF(G538="","",G536+I536-G538)</f>
        <v/>
      </c>
      <c r="I538" s="9"/>
      <c r="J538" s="44"/>
      <c r="K538" s="44" t="str">
        <f>IF(C538="","",K536)</f>
        <v/>
      </c>
      <c r="L538" s="9" t="str">
        <f t="shared" si="496"/>
        <v/>
      </c>
      <c r="M538" s="10" t="str">
        <f t="shared" si="497"/>
        <v/>
      </c>
      <c r="N538" s="11"/>
      <c r="O538" s="2"/>
      <c r="P538" s="65"/>
      <c r="Q538" s="9">
        <v>9066</v>
      </c>
      <c r="R538" s="9">
        <f t="shared" si="482"/>
        <v>104</v>
      </c>
      <c r="S538" s="9">
        <v>204</v>
      </c>
      <c r="T538" s="9">
        <f t="shared" si="483"/>
        <v>3</v>
      </c>
      <c r="U538" s="9">
        <v>10</v>
      </c>
      <c r="V538" s="9">
        <f t="shared" si="484"/>
        <v>3</v>
      </c>
      <c r="W538" s="13">
        <v>2</v>
      </c>
      <c r="X538" s="47" t="str">
        <f t="shared" si="485"/>
        <v>サンリオアニマルがま口</v>
      </c>
      <c r="Y538" s="45">
        <f t="shared" si="486"/>
        <v>880</v>
      </c>
      <c r="Z538" s="9">
        <f t="shared" si="487"/>
        <v>2640</v>
      </c>
      <c r="AA538" s="10">
        <f t="shared" si="488"/>
        <v>0.25384615384615383</v>
      </c>
      <c r="AB538" s="11"/>
      <c r="AD538" s="65"/>
      <c r="AE538" s="9">
        <v>8947</v>
      </c>
      <c r="AF538" s="120">
        <f t="shared" si="489"/>
        <v>82</v>
      </c>
      <c r="AG538" s="9">
        <v>165</v>
      </c>
      <c r="AH538" s="9">
        <f t="shared" si="490"/>
        <v>3</v>
      </c>
      <c r="AI538" s="9">
        <v>9</v>
      </c>
      <c r="AJ538" s="9">
        <f t="shared" si="491"/>
        <v>3</v>
      </c>
      <c r="AK538" s="13">
        <v>0</v>
      </c>
      <c r="AL538" s="47" t="str">
        <f t="shared" si="492"/>
        <v>液晶ミニカメラ</v>
      </c>
      <c r="AM538" s="45">
        <f t="shared" si="493"/>
        <v>1075</v>
      </c>
      <c r="AN538" s="9">
        <f t="shared" si="494"/>
        <v>3225</v>
      </c>
      <c r="AO538" s="10">
        <f t="shared" si="495"/>
        <v>0.39329268292682928</v>
      </c>
      <c r="AP538" s="11"/>
    </row>
    <row r="539" spans="1:42" ht="15" customHeight="1">
      <c r="A539" s="12"/>
      <c r="B539" s="8"/>
      <c r="C539" s="13"/>
      <c r="D539" s="9" t="str">
        <f t="shared" ref="D539:D544" si="498">IF(C539="","",C539-C538)</f>
        <v/>
      </c>
      <c r="E539" s="9"/>
      <c r="F539" s="9" t="str">
        <f t="shared" ref="F539:F544" si="499">IF(E539="","",E539-E538)</f>
        <v/>
      </c>
      <c r="G539" s="9"/>
      <c r="H539" s="9" t="str">
        <f t="shared" ref="H539:H544" si="500">IF(G539="","",G538+I538-G539)</f>
        <v/>
      </c>
      <c r="I539" s="9"/>
      <c r="J539" s="44"/>
      <c r="K539" s="44" t="str">
        <f t="shared" ref="K539:K544" si="501">IF(C539="","",K538)</f>
        <v/>
      </c>
      <c r="L539" s="9" t="str">
        <f t="shared" si="496"/>
        <v/>
      </c>
      <c r="M539" s="10" t="str">
        <f t="shared" si="497"/>
        <v/>
      </c>
      <c r="N539" s="11"/>
      <c r="O539" s="2"/>
      <c r="P539" s="65"/>
      <c r="Q539" s="26">
        <v>9830</v>
      </c>
      <c r="R539" s="9">
        <f t="shared" si="482"/>
        <v>103</v>
      </c>
      <c r="S539" s="26">
        <v>332</v>
      </c>
      <c r="T539" s="9">
        <f t="shared" si="483"/>
        <v>2</v>
      </c>
      <c r="U539" s="26">
        <v>21</v>
      </c>
      <c r="V539" s="9">
        <f t="shared" si="484"/>
        <v>2</v>
      </c>
      <c r="W539" s="38">
        <v>2</v>
      </c>
      <c r="X539" s="47" t="str">
        <f t="shared" si="485"/>
        <v>ラブブマスコット</v>
      </c>
      <c r="Y539" s="9">
        <f t="shared" si="486"/>
        <v>400</v>
      </c>
      <c r="Z539" s="9">
        <f t="shared" si="487"/>
        <v>800</v>
      </c>
      <c r="AA539" s="10">
        <f t="shared" si="488"/>
        <v>7.7669902912621352E-2</v>
      </c>
      <c r="AB539" s="11"/>
      <c r="AD539" s="65"/>
      <c r="AE539" s="26">
        <v>9794</v>
      </c>
      <c r="AF539" s="120">
        <f t="shared" si="489"/>
        <v>111</v>
      </c>
      <c r="AG539" s="26">
        <v>379</v>
      </c>
      <c r="AH539" s="9">
        <f t="shared" si="490"/>
        <v>1</v>
      </c>
      <c r="AI539" s="26">
        <v>8</v>
      </c>
      <c r="AJ539" s="9">
        <f t="shared" si="491"/>
        <v>0</v>
      </c>
      <c r="AK539" s="38">
        <v>1</v>
      </c>
      <c r="AL539" s="47" t="str">
        <f t="shared" si="492"/>
        <v>ＡＩマスコット</v>
      </c>
      <c r="AM539" s="9">
        <f t="shared" si="493"/>
        <v>286</v>
      </c>
      <c r="AN539" s="9">
        <f t="shared" si="494"/>
        <v>0</v>
      </c>
      <c r="AO539" s="10">
        <f t="shared" si="495"/>
        <v>0</v>
      </c>
      <c r="AP539" s="11"/>
    </row>
    <row r="540" spans="1:42" ht="15" customHeight="1" thickBot="1">
      <c r="A540" s="12"/>
      <c r="B540" s="8"/>
      <c r="C540" s="13"/>
      <c r="D540" s="9" t="str">
        <f t="shared" si="498"/>
        <v/>
      </c>
      <c r="E540" s="9"/>
      <c r="F540" s="9" t="str">
        <f t="shared" si="499"/>
        <v/>
      </c>
      <c r="G540" s="9"/>
      <c r="H540" s="9" t="str">
        <f t="shared" si="500"/>
        <v/>
      </c>
      <c r="I540" s="9"/>
      <c r="J540" s="44"/>
      <c r="K540" s="44" t="str">
        <f t="shared" si="501"/>
        <v/>
      </c>
      <c r="L540" s="9" t="str">
        <f t="shared" si="496"/>
        <v/>
      </c>
      <c r="M540" s="10" t="str">
        <f t="shared" si="497"/>
        <v/>
      </c>
      <c r="N540" s="11"/>
      <c r="O540" s="2"/>
      <c r="P540" s="18"/>
      <c r="Q540" s="19">
        <v>11484</v>
      </c>
      <c r="R540" s="19">
        <f t="shared" si="482"/>
        <v>166</v>
      </c>
      <c r="S540" s="19">
        <v>337</v>
      </c>
      <c r="T540" s="19">
        <f t="shared" si="483"/>
        <v>2</v>
      </c>
      <c r="U540" s="19">
        <v>24</v>
      </c>
      <c r="V540" s="19">
        <f t="shared" si="484"/>
        <v>1</v>
      </c>
      <c r="W540" s="37">
        <v>0</v>
      </c>
      <c r="X540" s="48" t="str">
        <f t="shared" si="485"/>
        <v>ラブブキーホルダー</v>
      </c>
      <c r="Y540" s="51">
        <f t="shared" si="486"/>
        <v>400</v>
      </c>
      <c r="Z540" s="19">
        <f t="shared" si="487"/>
        <v>400</v>
      </c>
      <c r="AA540" s="20">
        <f t="shared" si="488"/>
        <v>2.4096385542168676E-2</v>
      </c>
      <c r="AB540" s="11"/>
      <c r="AD540" s="18"/>
      <c r="AE540" s="19">
        <v>11767</v>
      </c>
      <c r="AF540" s="121">
        <f t="shared" si="489"/>
        <v>147</v>
      </c>
      <c r="AG540" s="19">
        <v>369</v>
      </c>
      <c r="AH540" s="19">
        <f t="shared" si="490"/>
        <v>4</v>
      </c>
      <c r="AI540" s="19">
        <v>100</v>
      </c>
      <c r="AJ540" s="19">
        <f t="shared" si="491"/>
        <v>10</v>
      </c>
      <c r="AK540" s="37">
        <v>0</v>
      </c>
      <c r="AL540" s="48" t="str">
        <f t="shared" si="492"/>
        <v>AIモンスターラバー</v>
      </c>
      <c r="AM540" s="51">
        <f t="shared" si="493"/>
        <v>200</v>
      </c>
      <c r="AN540" s="19">
        <f t="shared" si="494"/>
        <v>2000</v>
      </c>
      <c r="AO540" s="20">
        <f t="shared" si="495"/>
        <v>0.1360544217687075</v>
      </c>
      <c r="AP540" s="11"/>
    </row>
    <row r="541" spans="1:42" ht="15" customHeight="1" thickTop="1">
      <c r="A541" s="12"/>
      <c r="B541" s="8"/>
      <c r="C541" s="13"/>
      <c r="D541" s="9" t="str">
        <f t="shared" si="498"/>
        <v/>
      </c>
      <c r="E541" s="9"/>
      <c r="F541" s="9" t="str">
        <f t="shared" si="499"/>
        <v/>
      </c>
      <c r="G541" s="9"/>
      <c r="H541" s="9" t="str">
        <f t="shared" si="500"/>
        <v/>
      </c>
      <c r="I541" s="9"/>
      <c r="J541" s="44"/>
      <c r="K541" s="44" t="str">
        <f t="shared" si="501"/>
        <v/>
      </c>
      <c r="L541" s="9" t="str">
        <f t="shared" si="496"/>
        <v/>
      </c>
      <c r="M541" s="10" t="str">
        <f t="shared" si="497"/>
        <v/>
      </c>
      <c r="N541" s="11"/>
      <c r="O541" s="2"/>
      <c r="P541" s="65">
        <f>IF($A526="","",$A526)</f>
        <v>45964</v>
      </c>
      <c r="Q541" s="44">
        <v>9064</v>
      </c>
      <c r="R541" s="44">
        <f t="shared" si="482"/>
        <v>74</v>
      </c>
      <c r="S541" s="44">
        <v>258</v>
      </c>
      <c r="T541" s="23">
        <f t="shared" si="483"/>
        <v>2</v>
      </c>
      <c r="U541" s="44">
        <v>10</v>
      </c>
      <c r="V541" s="44">
        <f t="shared" si="484"/>
        <v>2</v>
      </c>
      <c r="W541" s="66">
        <v>8</v>
      </c>
      <c r="X541" s="61" t="str">
        <f t="shared" si="485"/>
        <v>キティヒョウ柄マスコット</v>
      </c>
      <c r="Y541" s="62">
        <f t="shared" si="486"/>
        <v>996</v>
      </c>
      <c r="Z541" s="23">
        <f t="shared" si="487"/>
        <v>1992</v>
      </c>
      <c r="AA541" s="24">
        <f t="shared" si="488"/>
        <v>0.26918918918918922</v>
      </c>
      <c r="AB541" s="11"/>
      <c r="AD541" s="65">
        <f>IF($A526="","",$A526)</f>
        <v>45964</v>
      </c>
      <c r="AE541" s="44">
        <v>6694</v>
      </c>
      <c r="AF541" s="119">
        <f t="shared" si="489"/>
        <v>24</v>
      </c>
      <c r="AG541" s="44">
        <v>197</v>
      </c>
      <c r="AH541" s="23">
        <f t="shared" si="490"/>
        <v>0</v>
      </c>
      <c r="AI541" s="44">
        <v>8</v>
      </c>
      <c r="AJ541" s="44">
        <f t="shared" si="491"/>
        <v>0</v>
      </c>
      <c r="AK541" s="66">
        <v>16</v>
      </c>
      <c r="AL541" s="61" t="str">
        <f t="shared" si="492"/>
        <v>ジャグラーサウンドボタン</v>
      </c>
      <c r="AM541" s="62">
        <f t="shared" si="493"/>
        <v>1100</v>
      </c>
      <c r="AN541" s="23">
        <f t="shared" si="494"/>
        <v>0</v>
      </c>
      <c r="AO541" s="24">
        <f t="shared" si="495"/>
        <v>0</v>
      </c>
      <c r="AP541" s="11" t="s">
        <v>176</v>
      </c>
    </row>
    <row r="542" spans="1:42" ht="15" customHeight="1">
      <c r="A542" s="12"/>
      <c r="B542" s="8"/>
      <c r="C542" s="13"/>
      <c r="D542" s="9" t="str">
        <f t="shared" si="498"/>
        <v/>
      </c>
      <c r="E542" s="9"/>
      <c r="F542" s="9" t="str">
        <f t="shared" si="499"/>
        <v/>
      </c>
      <c r="G542" s="9"/>
      <c r="H542" s="9" t="str">
        <f t="shared" si="500"/>
        <v/>
      </c>
      <c r="I542" s="9"/>
      <c r="J542" s="44"/>
      <c r="K542" s="44" t="str">
        <f t="shared" si="501"/>
        <v/>
      </c>
      <c r="L542" s="9" t="str">
        <f t="shared" si="496"/>
        <v/>
      </c>
      <c r="M542" s="10" t="str">
        <f t="shared" si="497"/>
        <v/>
      </c>
      <c r="N542" s="11"/>
      <c r="O542" s="2"/>
      <c r="P542" s="12"/>
      <c r="Q542" s="9">
        <v>9121</v>
      </c>
      <c r="R542" s="9">
        <f t="shared" si="482"/>
        <v>55</v>
      </c>
      <c r="S542" s="9">
        <v>206</v>
      </c>
      <c r="T542" s="9">
        <f t="shared" si="483"/>
        <v>2</v>
      </c>
      <c r="U542" s="9">
        <v>10</v>
      </c>
      <c r="V542" s="9">
        <f t="shared" si="484"/>
        <v>2</v>
      </c>
      <c r="W542" s="13">
        <v>6</v>
      </c>
      <c r="X542" s="47" t="str">
        <f t="shared" si="485"/>
        <v>サンリオアニマルがま口</v>
      </c>
      <c r="Y542" s="45">
        <f t="shared" si="486"/>
        <v>880</v>
      </c>
      <c r="Z542" s="9">
        <f t="shared" si="487"/>
        <v>1760</v>
      </c>
      <c r="AA542" s="10">
        <f t="shared" si="488"/>
        <v>0.32</v>
      </c>
      <c r="AB542" s="11"/>
      <c r="AD542" s="12"/>
      <c r="AE542" s="9">
        <v>9026</v>
      </c>
      <c r="AF542" s="120">
        <f t="shared" si="489"/>
        <v>79</v>
      </c>
      <c r="AG542" s="9">
        <v>166</v>
      </c>
      <c r="AH542" s="9">
        <f t="shared" si="490"/>
        <v>1</v>
      </c>
      <c r="AI542" s="9">
        <v>8</v>
      </c>
      <c r="AJ542" s="9">
        <f t="shared" si="491"/>
        <v>1</v>
      </c>
      <c r="AK542" s="13">
        <v>5</v>
      </c>
      <c r="AL542" s="47" t="str">
        <f t="shared" si="492"/>
        <v>液晶ミニカメラ</v>
      </c>
      <c r="AM542" s="45">
        <f t="shared" si="493"/>
        <v>1075</v>
      </c>
      <c r="AN542" s="9">
        <f t="shared" si="494"/>
        <v>1075</v>
      </c>
      <c r="AO542" s="10">
        <f t="shared" si="495"/>
        <v>0.13607594936708861</v>
      </c>
      <c r="AP542" s="11"/>
    </row>
    <row r="543" spans="1:42" ht="15" customHeight="1">
      <c r="A543" s="12"/>
      <c r="B543" s="8"/>
      <c r="C543" s="9"/>
      <c r="D543" s="9" t="str">
        <f t="shared" si="498"/>
        <v/>
      </c>
      <c r="E543" s="9"/>
      <c r="F543" s="9" t="str">
        <f t="shared" si="499"/>
        <v/>
      </c>
      <c r="G543" s="9"/>
      <c r="H543" s="9" t="str">
        <f t="shared" si="500"/>
        <v/>
      </c>
      <c r="I543" s="9"/>
      <c r="J543" s="44"/>
      <c r="K543" s="44" t="str">
        <f t="shared" si="501"/>
        <v/>
      </c>
      <c r="L543" s="9" t="str">
        <f t="shared" si="496"/>
        <v/>
      </c>
      <c r="M543" s="10" t="str">
        <f t="shared" si="497"/>
        <v/>
      </c>
      <c r="N543" s="11"/>
      <c r="O543" s="2"/>
      <c r="P543" s="12"/>
      <c r="Q543" s="26">
        <v>9921</v>
      </c>
      <c r="R543" s="9">
        <f t="shared" si="482"/>
        <v>91</v>
      </c>
      <c r="S543" s="26">
        <v>333</v>
      </c>
      <c r="T543" s="9">
        <f t="shared" si="483"/>
        <v>1</v>
      </c>
      <c r="U543" s="9">
        <v>22</v>
      </c>
      <c r="V543" s="9">
        <f t="shared" si="484"/>
        <v>1</v>
      </c>
      <c r="W543" s="13">
        <v>2</v>
      </c>
      <c r="X543" s="47" t="str">
        <f t="shared" si="485"/>
        <v>ラブブマスコット</v>
      </c>
      <c r="Y543" s="9">
        <f t="shared" si="486"/>
        <v>400</v>
      </c>
      <c r="Z543" s="9">
        <f t="shared" si="487"/>
        <v>400</v>
      </c>
      <c r="AA543" s="10">
        <f t="shared" si="488"/>
        <v>4.3956043956043959E-2</v>
      </c>
      <c r="AB543" s="11"/>
      <c r="AD543" s="12"/>
      <c r="AE543" s="26">
        <v>9905</v>
      </c>
      <c r="AF543" s="120">
        <f t="shared" si="489"/>
        <v>111</v>
      </c>
      <c r="AG543" s="26">
        <v>380</v>
      </c>
      <c r="AH543" s="9">
        <f t="shared" si="490"/>
        <v>1</v>
      </c>
      <c r="AI543" s="9">
        <v>7</v>
      </c>
      <c r="AJ543" s="9">
        <f t="shared" si="491"/>
        <v>2</v>
      </c>
      <c r="AK543" s="13">
        <v>0</v>
      </c>
      <c r="AL543" s="47" t="str">
        <f t="shared" si="492"/>
        <v>ＡＩマスコット</v>
      </c>
      <c r="AM543" s="9">
        <f t="shared" si="493"/>
        <v>286</v>
      </c>
      <c r="AN543" s="9">
        <f t="shared" si="494"/>
        <v>572</v>
      </c>
      <c r="AO543" s="10">
        <f t="shared" si="495"/>
        <v>5.1531531531531533E-2</v>
      </c>
      <c r="AP543" s="11"/>
    </row>
    <row r="544" spans="1:42" ht="15" customHeight="1" thickBot="1">
      <c r="A544" s="12"/>
      <c r="B544" s="8"/>
      <c r="C544" s="9"/>
      <c r="D544" s="9" t="str">
        <f t="shared" si="498"/>
        <v/>
      </c>
      <c r="E544" s="9"/>
      <c r="F544" s="9" t="str">
        <f t="shared" si="499"/>
        <v/>
      </c>
      <c r="G544" s="9"/>
      <c r="H544" s="9" t="str">
        <f t="shared" si="500"/>
        <v/>
      </c>
      <c r="I544" s="9"/>
      <c r="J544" s="44"/>
      <c r="K544" s="44" t="str">
        <f t="shared" si="501"/>
        <v/>
      </c>
      <c r="L544" s="9" t="str">
        <f t="shared" si="496"/>
        <v/>
      </c>
      <c r="M544" s="10" t="str">
        <f t="shared" si="497"/>
        <v/>
      </c>
      <c r="N544" s="11"/>
      <c r="O544" s="2"/>
      <c r="P544" s="18"/>
      <c r="Q544" s="19">
        <v>11602</v>
      </c>
      <c r="R544" s="19">
        <f t="shared" si="482"/>
        <v>118</v>
      </c>
      <c r="S544" s="19">
        <v>338</v>
      </c>
      <c r="T544" s="19">
        <f t="shared" si="483"/>
        <v>1</v>
      </c>
      <c r="U544" s="19">
        <v>23</v>
      </c>
      <c r="V544" s="19">
        <f t="shared" si="484"/>
        <v>1</v>
      </c>
      <c r="W544" s="37">
        <v>4</v>
      </c>
      <c r="X544" s="48" t="str">
        <f t="shared" si="485"/>
        <v>ラブブキーホルダー</v>
      </c>
      <c r="Y544" s="51">
        <f t="shared" si="486"/>
        <v>400</v>
      </c>
      <c r="Z544" s="19">
        <f t="shared" si="487"/>
        <v>400</v>
      </c>
      <c r="AA544" s="20">
        <f t="shared" si="488"/>
        <v>3.3898305084745763E-2</v>
      </c>
      <c r="AB544" s="11"/>
      <c r="AD544" s="18"/>
      <c r="AE544" s="19">
        <v>11842</v>
      </c>
      <c r="AF544" s="121">
        <f t="shared" si="489"/>
        <v>75</v>
      </c>
      <c r="AG544" s="19">
        <v>373</v>
      </c>
      <c r="AH544" s="19">
        <f t="shared" si="490"/>
        <v>4</v>
      </c>
      <c r="AI544" s="19">
        <v>90</v>
      </c>
      <c r="AJ544" s="19">
        <f t="shared" si="491"/>
        <v>10</v>
      </c>
      <c r="AK544" s="37">
        <v>16</v>
      </c>
      <c r="AL544" s="48" t="str">
        <f t="shared" si="492"/>
        <v>AIモンスターラバー</v>
      </c>
      <c r="AM544" s="51">
        <f t="shared" si="493"/>
        <v>200</v>
      </c>
      <c r="AN544" s="19">
        <f t="shared" si="494"/>
        <v>2000</v>
      </c>
      <c r="AO544" s="20">
        <f t="shared" si="495"/>
        <v>0.26666666666666666</v>
      </c>
      <c r="AP544" s="11"/>
    </row>
    <row r="545" spans="1:42" ht="15" customHeight="1" thickTop="1">
      <c r="A545" s="12"/>
      <c r="B545" s="8"/>
      <c r="C545" s="9"/>
      <c r="D545" s="9" t="str">
        <f>IF(C545="","",C545-C546)</f>
        <v/>
      </c>
      <c r="E545" s="9"/>
      <c r="F545" s="9" t="str">
        <f>IF(E545="","",E545-E546)</f>
        <v/>
      </c>
      <c r="G545" s="9"/>
      <c r="H545" s="9" t="str">
        <f>IF(G545="","",G546+I546-G545)</f>
        <v/>
      </c>
      <c r="I545" s="9"/>
      <c r="J545" s="44"/>
      <c r="K545" s="44" t="str">
        <f>IF(C545="","",K546)</f>
        <v/>
      </c>
      <c r="L545" s="9" t="str">
        <f t="shared" si="496"/>
        <v/>
      </c>
      <c r="M545" s="10" t="str">
        <f t="shared" si="497"/>
        <v/>
      </c>
      <c r="N545" s="11"/>
      <c r="O545" s="2"/>
      <c r="P545" s="65">
        <f>IF($A527="","",$A527)</f>
        <v>45968</v>
      </c>
      <c r="Q545" s="9">
        <v>9191</v>
      </c>
      <c r="R545" s="44">
        <f t="shared" si="482"/>
        <v>127</v>
      </c>
      <c r="S545" s="9">
        <v>259</v>
      </c>
      <c r="T545" s="23">
        <f t="shared" si="483"/>
        <v>1</v>
      </c>
      <c r="U545" s="9">
        <v>17</v>
      </c>
      <c r="V545" s="44">
        <f t="shared" si="484"/>
        <v>1</v>
      </c>
      <c r="W545" s="13">
        <v>2</v>
      </c>
      <c r="X545" s="61" t="str">
        <f t="shared" si="485"/>
        <v>キティヒョウ柄マスコット</v>
      </c>
      <c r="Y545" s="62">
        <f t="shared" si="486"/>
        <v>996</v>
      </c>
      <c r="Z545" s="23">
        <f t="shared" si="487"/>
        <v>996</v>
      </c>
      <c r="AA545" s="24">
        <f t="shared" si="488"/>
        <v>7.8425196850393702E-2</v>
      </c>
      <c r="AB545" s="11"/>
      <c r="AD545" s="65">
        <f>IF($A527="","",$A527)</f>
        <v>45968</v>
      </c>
      <c r="AE545" s="9">
        <v>6838</v>
      </c>
      <c r="AF545" s="119">
        <f t="shared" si="489"/>
        <v>144</v>
      </c>
      <c r="AG545" s="9">
        <v>210</v>
      </c>
      <c r="AH545" s="23">
        <f t="shared" si="490"/>
        <v>13</v>
      </c>
      <c r="AI545" s="9">
        <v>18</v>
      </c>
      <c r="AJ545" s="44">
        <f t="shared" si="491"/>
        <v>6</v>
      </c>
      <c r="AK545" s="13">
        <v>5</v>
      </c>
      <c r="AL545" s="61" t="s">
        <v>178</v>
      </c>
      <c r="AM545" s="62">
        <v>358</v>
      </c>
      <c r="AN545" s="23">
        <f t="shared" si="494"/>
        <v>2148</v>
      </c>
      <c r="AO545" s="24">
        <f t="shared" si="495"/>
        <v>0.14916666666666667</v>
      </c>
      <c r="AP545" s="11" t="s">
        <v>179</v>
      </c>
    </row>
    <row r="546" spans="1:42" ht="15" customHeight="1">
      <c r="A546" s="12"/>
      <c r="B546" s="8"/>
      <c r="C546" s="9"/>
      <c r="D546" s="9" t="str">
        <f>IF(C546="","",C546-C544)</f>
        <v/>
      </c>
      <c r="E546" s="9"/>
      <c r="F546" s="9" t="str">
        <f>IF(E546="","",E546-E544)</f>
        <v/>
      </c>
      <c r="G546" s="9"/>
      <c r="H546" s="9" t="str">
        <f>IF(G546="","",G544+I544-G546)</f>
        <v/>
      </c>
      <c r="I546" s="9"/>
      <c r="J546" s="44"/>
      <c r="K546" s="44" t="str">
        <f>IF(C546="","",K544)</f>
        <v/>
      </c>
      <c r="L546" s="9" t="str">
        <f t="shared" si="496"/>
        <v/>
      </c>
      <c r="M546" s="10" t="str">
        <f t="shared" si="497"/>
        <v/>
      </c>
      <c r="N546" s="11"/>
      <c r="O546" s="2"/>
      <c r="P546" s="65"/>
      <c r="Q546" s="44">
        <v>9193</v>
      </c>
      <c r="R546" s="9">
        <f t="shared" si="482"/>
        <v>72</v>
      </c>
      <c r="S546" s="44">
        <v>211</v>
      </c>
      <c r="T546" s="9">
        <f t="shared" si="483"/>
        <v>5</v>
      </c>
      <c r="U546" s="9">
        <v>11</v>
      </c>
      <c r="V546" s="9">
        <f t="shared" si="484"/>
        <v>5</v>
      </c>
      <c r="W546" s="13">
        <v>8</v>
      </c>
      <c r="X546" s="47" t="str">
        <f t="shared" si="485"/>
        <v>サンリオアニマルがま口</v>
      </c>
      <c r="Y546" s="45">
        <f t="shared" si="486"/>
        <v>880</v>
      </c>
      <c r="Z546" s="9">
        <f t="shared" si="487"/>
        <v>4400</v>
      </c>
      <c r="AA546" s="10">
        <f t="shared" si="488"/>
        <v>0.61111111111111116</v>
      </c>
      <c r="AB546" s="11" t="s">
        <v>75</v>
      </c>
      <c r="AD546" s="65"/>
      <c r="AE546" s="44">
        <v>9112</v>
      </c>
      <c r="AF546" s="120">
        <f t="shared" si="489"/>
        <v>86</v>
      </c>
      <c r="AG546" s="44">
        <v>169</v>
      </c>
      <c r="AH546" s="9">
        <f t="shared" si="490"/>
        <v>3</v>
      </c>
      <c r="AI546" s="9">
        <v>10</v>
      </c>
      <c r="AJ546" s="9">
        <f t="shared" si="491"/>
        <v>3</v>
      </c>
      <c r="AK546" s="13">
        <v>0</v>
      </c>
      <c r="AL546" s="47" t="str">
        <f t="shared" si="492"/>
        <v>液晶ミニカメラ</v>
      </c>
      <c r="AM546" s="45">
        <f t="shared" si="493"/>
        <v>1075</v>
      </c>
      <c r="AN546" s="9">
        <f t="shared" si="494"/>
        <v>3225</v>
      </c>
      <c r="AO546" s="10">
        <f t="shared" si="495"/>
        <v>0.375</v>
      </c>
      <c r="AP546" s="11"/>
    </row>
    <row r="547" spans="1:42" ht="15" customHeight="1">
      <c r="A547" s="12"/>
      <c r="B547" s="8"/>
      <c r="C547" s="9"/>
      <c r="D547" s="9" t="str">
        <f>IF(C547="","",C547-C545)</f>
        <v/>
      </c>
      <c r="E547" s="9"/>
      <c r="F547" s="9" t="str">
        <f>IF(E547="","",E547-E545)</f>
        <v/>
      </c>
      <c r="G547" s="9"/>
      <c r="H547" s="9" t="str">
        <f>IF(G547="","",G545+I545-G547)</f>
        <v/>
      </c>
      <c r="I547" s="9"/>
      <c r="J547" s="44"/>
      <c r="K547" s="44" t="str">
        <f>IF(C547="","",K545)</f>
        <v/>
      </c>
      <c r="L547" s="9" t="str">
        <f t="shared" si="496"/>
        <v/>
      </c>
      <c r="M547" s="10" t="str">
        <f t="shared" si="497"/>
        <v/>
      </c>
      <c r="N547" s="11"/>
      <c r="O547" s="2"/>
      <c r="P547" s="12"/>
      <c r="Q547" s="9">
        <v>10011</v>
      </c>
      <c r="R547" s="9">
        <f t="shared" si="482"/>
        <v>90</v>
      </c>
      <c r="S547" s="9">
        <v>335</v>
      </c>
      <c r="T547" s="9">
        <f t="shared" si="483"/>
        <v>2</v>
      </c>
      <c r="U547" s="9">
        <v>22</v>
      </c>
      <c r="V547" s="9">
        <f t="shared" si="484"/>
        <v>2</v>
      </c>
      <c r="W547" s="13">
        <v>2</v>
      </c>
      <c r="X547" s="47" t="str">
        <f t="shared" si="485"/>
        <v>ラブブマスコット</v>
      </c>
      <c r="Y547" s="9">
        <f t="shared" si="486"/>
        <v>400</v>
      </c>
      <c r="Z547" s="9">
        <f t="shared" si="487"/>
        <v>800</v>
      </c>
      <c r="AA547" s="10">
        <f t="shared" si="488"/>
        <v>8.8888888888888892E-2</v>
      </c>
      <c r="AB547" s="11"/>
      <c r="AD547" s="12"/>
      <c r="AE547" s="9">
        <v>9973</v>
      </c>
      <c r="AF547" s="120">
        <f t="shared" si="489"/>
        <v>68</v>
      </c>
      <c r="AG547" s="9">
        <v>380</v>
      </c>
      <c r="AH547" s="9">
        <f t="shared" si="490"/>
        <v>0</v>
      </c>
      <c r="AI547" s="9">
        <v>6</v>
      </c>
      <c r="AJ547" s="9">
        <f t="shared" si="491"/>
        <v>1</v>
      </c>
      <c r="AK547" s="13">
        <v>3</v>
      </c>
      <c r="AL547" s="47" t="str">
        <f t="shared" si="492"/>
        <v>ＡＩマスコット</v>
      </c>
      <c r="AM547" s="9">
        <f t="shared" si="493"/>
        <v>286</v>
      </c>
      <c r="AN547" s="9">
        <f t="shared" si="494"/>
        <v>286</v>
      </c>
      <c r="AO547" s="10">
        <f t="shared" si="495"/>
        <v>4.2058823529411767E-2</v>
      </c>
      <c r="AP547" s="11" t="s">
        <v>180</v>
      </c>
    </row>
    <row r="548" spans="1:42" ht="15" customHeight="1" thickBot="1">
      <c r="A548" s="12"/>
      <c r="B548" s="8"/>
      <c r="C548" s="9"/>
      <c r="D548" s="9" t="str">
        <f t="shared" ref="D548:D573" si="502">IF(C548="","",C548-C547)</f>
        <v/>
      </c>
      <c r="E548" s="9"/>
      <c r="F548" s="9" t="str">
        <f t="shared" ref="F548:F574" si="503">IF(E548="","",E548-E547)</f>
        <v/>
      </c>
      <c r="G548" s="9"/>
      <c r="H548" s="9" t="str">
        <f t="shared" ref="H548:H574" si="504">IF(G548="","",G547+I547-G548)</f>
        <v/>
      </c>
      <c r="I548" s="9"/>
      <c r="J548" s="44"/>
      <c r="K548" s="44" t="str">
        <f>IF(C548="","",K547)</f>
        <v/>
      </c>
      <c r="L548" s="9" t="str">
        <f t="shared" si="496"/>
        <v/>
      </c>
      <c r="M548" s="10" t="str">
        <f t="shared" si="497"/>
        <v/>
      </c>
      <c r="N548" s="11"/>
      <c r="O548" s="2"/>
      <c r="P548" s="18"/>
      <c r="Q548" s="19">
        <v>11721</v>
      </c>
      <c r="R548" s="19">
        <f t="shared" si="482"/>
        <v>119</v>
      </c>
      <c r="S548" s="19">
        <v>342</v>
      </c>
      <c r="T548" s="19">
        <f t="shared" si="483"/>
        <v>4</v>
      </c>
      <c r="U548" s="19">
        <v>22</v>
      </c>
      <c r="V548" s="19">
        <f t="shared" si="484"/>
        <v>5</v>
      </c>
      <c r="W548" s="37">
        <v>6</v>
      </c>
      <c r="X548" s="48" t="str">
        <f t="shared" si="485"/>
        <v>ラブブキーホルダー</v>
      </c>
      <c r="Y548" s="51">
        <f t="shared" si="486"/>
        <v>400</v>
      </c>
      <c r="Z548" s="19">
        <f t="shared" si="487"/>
        <v>2000</v>
      </c>
      <c r="AA548" s="20">
        <f t="shared" si="488"/>
        <v>0.16806722689075632</v>
      </c>
      <c r="AB548" s="11"/>
      <c r="AD548" s="18"/>
      <c r="AE548" s="19">
        <v>12040</v>
      </c>
      <c r="AF548" s="121">
        <f t="shared" si="489"/>
        <v>198</v>
      </c>
      <c r="AG548" s="19">
        <v>389</v>
      </c>
      <c r="AH548" s="19">
        <f t="shared" si="490"/>
        <v>16</v>
      </c>
      <c r="AI548" s="19">
        <v>88</v>
      </c>
      <c r="AJ548" s="19">
        <f t="shared" si="491"/>
        <v>18</v>
      </c>
      <c r="AK548" s="37">
        <v>17</v>
      </c>
      <c r="AL548" s="48" t="str">
        <f t="shared" si="492"/>
        <v>AIモンスターラバー</v>
      </c>
      <c r="AM548" s="51">
        <f t="shared" si="493"/>
        <v>200</v>
      </c>
      <c r="AN548" s="19">
        <f t="shared" si="494"/>
        <v>3600</v>
      </c>
      <c r="AO548" s="20">
        <f t="shared" si="495"/>
        <v>0.18181818181818182</v>
      </c>
      <c r="AP548" s="11"/>
    </row>
    <row r="549" spans="1:42" ht="15" customHeight="1" thickTop="1">
      <c r="A549" s="12"/>
      <c r="B549" s="8"/>
      <c r="C549" s="9"/>
      <c r="D549" s="9" t="str">
        <f t="shared" si="502"/>
        <v/>
      </c>
      <c r="E549" s="9"/>
      <c r="F549" s="9" t="str">
        <f t="shared" si="503"/>
        <v/>
      </c>
      <c r="G549" s="9"/>
      <c r="H549" s="9" t="str">
        <f t="shared" si="504"/>
        <v/>
      </c>
      <c r="I549" s="9"/>
      <c r="J549" s="44"/>
      <c r="K549" s="44" t="str">
        <f>IF(C549="","",K548)</f>
        <v/>
      </c>
      <c r="L549" s="9" t="str">
        <f t="shared" si="496"/>
        <v/>
      </c>
      <c r="M549" s="10" t="str">
        <f t="shared" si="497"/>
        <v/>
      </c>
      <c r="N549" s="11"/>
      <c r="O549" s="2"/>
      <c r="P549" s="65">
        <f>IF($A528="","",$A528)</f>
        <v>45971</v>
      </c>
      <c r="Q549" s="9">
        <v>9353</v>
      </c>
      <c r="R549" s="44">
        <f t="shared" si="482"/>
        <v>162</v>
      </c>
      <c r="S549" s="9">
        <v>261</v>
      </c>
      <c r="T549" s="23">
        <f t="shared" si="483"/>
        <v>2</v>
      </c>
      <c r="U549" s="9">
        <v>17</v>
      </c>
      <c r="V549" s="44">
        <f t="shared" si="484"/>
        <v>2</v>
      </c>
      <c r="W549" s="66">
        <v>0</v>
      </c>
      <c r="X549" s="61" t="str">
        <f t="shared" si="485"/>
        <v>キティヒョウ柄マスコット</v>
      </c>
      <c r="Y549" s="62">
        <f t="shared" si="486"/>
        <v>996</v>
      </c>
      <c r="Z549" s="23">
        <f t="shared" si="487"/>
        <v>1992</v>
      </c>
      <c r="AA549" s="24">
        <f t="shared" si="488"/>
        <v>0.12296296296296297</v>
      </c>
      <c r="AB549" s="11"/>
      <c r="AD549" s="65">
        <f>IF($A528="","",$A528)</f>
        <v>45971</v>
      </c>
      <c r="AE549" s="9">
        <v>6952</v>
      </c>
      <c r="AF549" s="119">
        <f t="shared" si="489"/>
        <v>114</v>
      </c>
      <c r="AG549" s="9">
        <v>215</v>
      </c>
      <c r="AH549" s="23">
        <f t="shared" si="490"/>
        <v>5</v>
      </c>
      <c r="AI549" s="9">
        <v>18</v>
      </c>
      <c r="AJ549" s="44">
        <f t="shared" si="491"/>
        <v>5</v>
      </c>
      <c r="AK549" s="66">
        <v>3</v>
      </c>
      <c r="AL549" s="61" t="str">
        <f t="shared" si="492"/>
        <v>番長ボタン</v>
      </c>
      <c r="AM549" s="62">
        <f t="shared" si="493"/>
        <v>358</v>
      </c>
      <c r="AN549" s="23">
        <f t="shared" si="494"/>
        <v>1790</v>
      </c>
      <c r="AO549" s="24">
        <f t="shared" si="495"/>
        <v>0.15701754385964911</v>
      </c>
      <c r="AP549" s="11" t="s">
        <v>181</v>
      </c>
    </row>
    <row r="550" spans="1:42" ht="15" customHeight="1">
      <c r="A550" s="12"/>
      <c r="B550" s="8"/>
      <c r="C550" s="9"/>
      <c r="D550" s="9" t="str">
        <f t="shared" si="502"/>
        <v/>
      </c>
      <c r="E550" s="9"/>
      <c r="F550" s="9" t="str">
        <f t="shared" si="503"/>
        <v/>
      </c>
      <c r="G550" s="9"/>
      <c r="H550" s="9" t="str">
        <f t="shared" si="504"/>
        <v/>
      </c>
      <c r="I550" s="9"/>
      <c r="J550" s="44"/>
      <c r="K550" s="44" t="str">
        <f>IF(C550="","",K549)</f>
        <v/>
      </c>
      <c r="L550" s="9" t="str">
        <f t="shared" si="496"/>
        <v/>
      </c>
      <c r="M550" s="10" t="str">
        <f t="shared" si="497"/>
        <v/>
      </c>
      <c r="N550" s="11"/>
      <c r="O550" s="2"/>
      <c r="P550" s="12"/>
      <c r="Q550" s="44">
        <v>9274</v>
      </c>
      <c r="R550" s="9">
        <f t="shared" si="482"/>
        <v>81</v>
      </c>
      <c r="S550" s="44">
        <v>212</v>
      </c>
      <c r="T550" s="9">
        <f t="shared" si="483"/>
        <v>1</v>
      </c>
      <c r="U550" s="9">
        <v>18</v>
      </c>
      <c r="V550" s="9">
        <f t="shared" si="484"/>
        <v>1</v>
      </c>
      <c r="W550" s="13">
        <v>0</v>
      </c>
      <c r="X550" s="47" t="str">
        <f t="shared" si="485"/>
        <v>サンリオアニマルがま口</v>
      </c>
      <c r="Y550" s="45">
        <f t="shared" si="486"/>
        <v>880</v>
      </c>
      <c r="Z550" s="9">
        <f t="shared" si="487"/>
        <v>880</v>
      </c>
      <c r="AA550" s="10">
        <f t="shared" si="488"/>
        <v>0.10864197530864197</v>
      </c>
      <c r="AB550" s="11"/>
      <c r="AD550" s="12"/>
      <c r="AE550" s="44">
        <v>9184</v>
      </c>
      <c r="AF550" s="120">
        <f t="shared" si="489"/>
        <v>72</v>
      </c>
      <c r="AG550" s="44">
        <v>171</v>
      </c>
      <c r="AH550" s="9">
        <f t="shared" si="490"/>
        <v>2</v>
      </c>
      <c r="AI550" s="9">
        <v>8</v>
      </c>
      <c r="AJ550" s="9">
        <f t="shared" si="491"/>
        <v>2</v>
      </c>
      <c r="AK550" s="13">
        <v>5</v>
      </c>
      <c r="AL550" s="47" t="str">
        <f t="shared" si="492"/>
        <v>液晶ミニカメラ</v>
      </c>
      <c r="AM550" s="45">
        <f t="shared" si="493"/>
        <v>1075</v>
      </c>
      <c r="AN550" s="9">
        <f t="shared" si="494"/>
        <v>2150</v>
      </c>
      <c r="AO550" s="10">
        <f t="shared" si="495"/>
        <v>0.2986111111111111</v>
      </c>
      <c r="AP550" s="11"/>
    </row>
    <row r="551" spans="1:42">
      <c r="A551" s="12"/>
      <c r="B551" s="8"/>
      <c r="C551" s="9"/>
      <c r="D551" s="9" t="str">
        <f t="shared" si="502"/>
        <v/>
      </c>
      <c r="E551" s="9"/>
      <c r="F551" s="9" t="str">
        <f t="shared" si="503"/>
        <v/>
      </c>
      <c r="G551" s="9"/>
      <c r="H551" s="9" t="str">
        <f t="shared" si="504"/>
        <v/>
      </c>
      <c r="I551" s="9"/>
      <c r="J551" s="9"/>
      <c r="K551" s="9"/>
      <c r="L551" s="9" t="str">
        <f t="shared" si="496"/>
        <v/>
      </c>
      <c r="M551" s="10" t="str">
        <f t="shared" si="497"/>
        <v/>
      </c>
      <c r="N551" s="11"/>
      <c r="O551" s="2"/>
      <c r="P551" s="12"/>
      <c r="Q551" s="9">
        <v>10074</v>
      </c>
      <c r="R551" s="81">
        <f t="shared" si="482"/>
        <v>63</v>
      </c>
      <c r="S551" s="9">
        <v>335</v>
      </c>
      <c r="T551" s="9">
        <f t="shared" si="483"/>
        <v>0</v>
      </c>
      <c r="U551" s="9">
        <v>24</v>
      </c>
      <c r="V551" s="9">
        <f t="shared" si="484"/>
        <v>0</v>
      </c>
      <c r="W551" s="38">
        <v>0</v>
      </c>
      <c r="X551" s="47" t="str">
        <f t="shared" si="485"/>
        <v>ラブブマスコット</v>
      </c>
      <c r="Y551" s="9">
        <f t="shared" si="486"/>
        <v>400</v>
      </c>
      <c r="Z551" s="9">
        <f t="shared" si="487"/>
        <v>0</v>
      </c>
      <c r="AA551" s="10">
        <f t="shared" si="488"/>
        <v>0</v>
      </c>
      <c r="AB551" s="11"/>
      <c r="AD551" s="12"/>
      <c r="AE551" s="9">
        <v>10020</v>
      </c>
      <c r="AF551" s="81">
        <f t="shared" si="489"/>
        <v>47</v>
      </c>
      <c r="AG551" s="9">
        <v>382</v>
      </c>
      <c r="AH551" s="9">
        <f t="shared" si="490"/>
        <v>2</v>
      </c>
      <c r="AI551" s="9">
        <v>7</v>
      </c>
      <c r="AJ551" s="9">
        <f t="shared" si="491"/>
        <v>2</v>
      </c>
      <c r="AK551" s="38">
        <v>2</v>
      </c>
      <c r="AL551" s="47" t="str">
        <f t="shared" si="492"/>
        <v>ＡＩマスコット</v>
      </c>
      <c r="AM551" s="9">
        <f t="shared" si="493"/>
        <v>286</v>
      </c>
      <c r="AN551" s="9">
        <f t="shared" si="494"/>
        <v>572</v>
      </c>
      <c r="AO551" s="10">
        <f t="shared" si="495"/>
        <v>0.12170212765957447</v>
      </c>
      <c r="AP551" s="11"/>
    </row>
    <row r="552" spans="1:42" ht="15" customHeight="1" thickBot="1">
      <c r="A552" s="12"/>
      <c r="B552" s="8"/>
      <c r="C552" s="9"/>
      <c r="D552" s="9" t="str">
        <f t="shared" si="502"/>
        <v/>
      </c>
      <c r="E552" s="9"/>
      <c r="F552" s="9" t="str">
        <f t="shared" si="503"/>
        <v/>
      </c>
      <c r="G552" s="9"/>
      <c r="H552" s="9" t="str">
        <f t="shared" si="504"/>
        <v/>
      </c>
      <c r="I552" s="9"/>
      <c r="J552" s="9"/>
      <c r="K552" s="9"/>
      <c r="L552" s="9" t="str">
        <f t="shared" si="496"/>
        <v/>
      </c>
      <c r="M552" s="10" t="str">
        <f t="shared" si="497"/>
        <v/>
      </c>
      <c r="N552" s="11"/>
      <c r="O552" s="2"/>
      <c r="P552" s="18"/>
      <c r="Q552" s="19">
        <v>11850</v>
      </c>
      <c r="R552" s="19">
        <f t="shared" si="482"/>
        <v>129</v>
      </c>
      <c r="S552" s="19">
        <v>343</v>
      </c>
      <c r="T552" s="19">
        <f t="shared" si="483"/>
        <v>1</v>
      </c>
      <c r="U552" s="19">
        <v>27</v>
      </c>
      <c r="V552" s="19">
        <f>IF(U552="","",U548+W548-U552)</f>
        <v>1</v>
      </c>
      <c r="W552" s="37">
        <v>0</v>
      </c>
      <c r="X552" s="48" t="str">
        <f t="shared" si="485"/>
        <v>ラブブキーホルダー</v>
      </c>
      <c r="Y552" s="51">
        <f t="shared" si="486"/>
        <v>400</v>
      </c>
      <c r="Z552" s="19">
        <f t="shared" si="487"/>
        <v>400</v>
      </c>
      <c r="AA552" s="20">
        <f t="shared" si="488"/>
        <v>3.1007751937984496E-2</v>
      </c>
      <c r="AB552" s="11"/>
      <c r="AD552" s="18"/>
      <c r="AE552" s="19">
        <v>12177</v>
      </c>
      <c r="AF552" s="121">
        <f t="shared" si="489"/>
        <v>137</v>
      </c>
      <c r="AG552" s="19">
        <v>398</v>
      </c>
      <c r="AH552" s="19">
        <f t="shared" si="490"/>
        <v>9</v>
      </c>
      <c r="AI552" s="19">
        <v>96</v>
      </c>
      <c r="AJ552" s="19">
        <f t="shared" si="491"/>
        <v>9</v>
      </c>
      <c r="AK552" s="37">
        <v>0</v>
      </c>
      <c r="AL552" s="48" t="str">
        <f t="shared" si="492"/>
        <v>AIモンスターラバー</v>
      </c>
      <c r="AM552" s="51">
        <f t="shared" si="493"/>
        <v>200</v>
      </c>
      <c r="AN552" s="19">
        <f t="shared" si="494"/>
        <v>1800</v>
      </c>
      <c r="AO552" s="20">
        <f t="shared" si="495"/>
        <v>0.13138686131386862</v>
      </c>
      <c r="AP552" s="11"/>
    </row>
    <row r="553" spans="1:42" ht="15" customHeight="1" thickTop="1">
      <c r="A553" s="12"/>
      <c r="B553" s="8"/>
      <c r="C553" s="9"/>
      <c r="D553" s="9" t="str">
        <f t="shared" si="502"/>
        <v/>
      </c>
      <c r="E553" s="9"/>
      <c r="F553" s="9" t="str">
        <f t="shared" si="503"/>
        <v/>
      </c>
      <c r="G553" s="9"/>
      <c r="H553" s="9" t="str">
        <f t="shared" si="504"/>
        <v/>
      </c>
      <c r="I553" s="9"/>
      <c r="J553" s="9"/>
      <c r="K553" s="9"/>
      <c r="L553" s="9" t="str">
        <f t="shared" si="496"/>
        <v/>
      </c>
      <c r="M553" s="10" t="str">
        <f t="shared" si="497"/>
        <v/>
      </c>
      <c r="N553" s="11"/>
      <c r="O553" s="2"/>
      <c r="P553" s="65" t="str">
        <f>IF($A529="","",$A529)</f>
        <v/>
      </c>
      <c r="Q553" s="9"/>
      <c r="R553" s="44"/>
      <c r="S553" s="9"/>
      <c r="T553" s="23"/>
      <c r="U553" s="9"/>
      <c r="V553" s="44"/>
      <c r="W553" s="66"/>
      <c r="X553" s="61"/>
      <c r="Y553" s="62"/>
      <c r="Z553" s="23"/>
      <c r="AA553" s="24"/>
      <c r="AB553" s="11"/>
      <c r="AD553" s="65"/>
      <c r="AE553" s="9"/>
      <c r="AF553" s="113"/>
      <c r="AG553" s="9"/>
      <c r="AH553" s="23"/>
      <c r="AI553" s="9"/>
      <c r="AJ553" s="44"/>
      <c r="AK553" s="66"/>
      <c r="AL553" s="61"/>
      <c r="AM553" s="62"/>
      <c r="AN553" s="23"/>
      <c r="AO553" s="24"/>
      <c r="AP553" s="11"/>
    </row>
    <row r="554" spans="1:42" ht="15" customHeight="1">
      <c r="A554" s="12"/>
      <c r="B554" s="8"/>
      <c r="C554" s="9"/>
      <c r="D554" s="9" t="str">
        <f t="shared" si="502"/>
        <v/>
      </c>
      <c r="E554" s="9"/>
      <c r="F554" s="9" t="str">
        <f t="shared" si="503"/>
        <v/>
      </c>
      <c r="G554" s="9"/>
      <c r="H554" s="9" t="str">
        <f t="shared" si="504"/>
        <v/>
      </c>
      <c r="I554" s="9"/>
      <c r="J554" s="9"/>
      <c r="K554" s="9"/>
      <c r="L554" s="9" t="str">
        <f t="shared" si="496"/>
        <v/>
      </c>
      <c r="M554" s="10" t="str">
        <f t="shared" si="497"/>
        <v/>
      </c>
      <c r="N554" s="11"/>
      <c r="O554" s="2"/>
      <c r="P554" s="12"/>
      <c r="Q554" s="44"/>
      <c r="R554" s="9"/>
      <c r="S554" s="44"/>
      <c r="T554" s="9"/>
      <c r="U554" s="9"/>
      <c r="V554" s="9"/>
      <c r="W554" s="13"/>
      <c r="X554" s="47"/>
      <c r="Y554" s="45"/>
      <c r="Z554" s="9"/>
      <c r="AA554" s="10"/>
      <c r="AB554" s="11"/>
      <c r="AD554" s="12"/>
      <c r="AE554" s="44"/>
      <c r="AF554" s="120"/>
      <c r="AG554" s="44"/>
      <c r="AH554" s="9"/>
      <c r="AI554" s="9"/>
      <c r="AJ554" s="9"/>
      <c r="AK554" s="13"/>
      <c r="AL554" s="47"/>
      <c r="AM554" s="45"/>
      <c r="AN554" s="9"/>
      <c r="AO554" s="10"/>
      <c r="AP554" s="11"/>
    </row>
    <row r="555" spans="1:42" ht="15" customHeight="1">
      <c r="A555" s="12"/>
      <c r="B555" s="8"/>
      <c r="C555" s="9"/>
      <c r="D555" s="9" t="str">
        <f t="shared" si="502"/>
        <v/>
      </c>
      <c r="E555" s="9"/>
      <c r="F555" s="9" t="str">
        <f t="shared" si="503"/>
        <v/>
      </c>
      <c r="G555" s="9"/>
      <c r="H555" s="9" t="str">
        <f t="shared" si="504"/>
        <v/>
      </c>
      <c r="I555" s="9"/>
      <c r="J555" s="9"/>
      <c r="K555" s="9"/>
      <c r="L555" s="9" t="str">
        <f t="shared" si="496"/>
        <v/>
      </c>
      <c r="M555" s="10" t="str">
        <f t="shared" si="497"/>
        <v/>
      </c>
      <c r="N555" s="11"/>
      <c r="O555" s="2"/>
      <c r="P555" s="12"/>
      <c r="Q555" s="9"/>
      <c r="R555" s="81"/>
      <c r="S555" s="9"/>
      <c r="T555" s="9"/>
      <c r="U555" s="9"/>
      <c r="V555" s="9"/>
      <c r="W555" s="38"/>
      <c r="X555" s="47"/>
      <c r="Y555" s="9"/>
      <c r="Z555" s="9"/>
      <c r="AA555" s="10"/>
      <c r="AB555" s="11"/>
      <c r="AD555" s="12"/>
      <c r="AE555" s="9"/>
      <c r="AF555" s="81"/>
      <c r="AG555" s="9"/>
      <c r="AH555" s="9"/>
      <c r="AI555" s="9"/>
      <c r="AJ555" s="9"/>
      <c r="AK555" s="38"/>
      <c r="AL555" s="47"/>
      <c r="AM555" s="9"/>
      <c r="AN555" s="9"/>
      <c r="AO555" s="10"/>
      <c r="AP555" s="11"/>
    </row>
    <row r="556" spans="1:42" ht="15" customHeight="1" thickBot="1">
      <c r="A556" s="12"/>
      <c r="B556" s="8"/>
      <c r="C556" s="9"/>
      <c r="D556" s="9" t="str">
        <f t="shared" si="502"/>
        <v/>
      </c>
      <c r="E556" s="9"/>
      <c r="F556" s="9" t="str">
        <f t="shared" si="503"/>
        <v/>
      </c>
      <c r="G556" s="9"/>
      <c r="H556" s="9" t="str">
        <f t="shared" si="504"/>
        <v/>
      </c>
      <c r="I556" s="9"/>
      <c r="J556" s="9"/>
      <c r="K556" s="9"/>
      <c r="L556" s="9" t="str">
        <f t="shared" si="496"/>
        <v/>
      </c>
      <c r="M556" s="10" t="str">
        <f t="shared" si="497"/>
        <v/>
      </c>
      <c r="N556" s="11"/>
      <c r="O556" s="2"/>
      <c r="P556" s="18"/>
      <c r="Q556" s="19"/>
      <c r="R556" s="19"/>
      <c r="S556" s="19"/>
      <c r="T556" s="19"/>
      <c r="U556" s="19"/>
      <c r="V556" s="19"/>
      <c r="W556" s="37"/>
      <c r="X556" s="48"/>
      <c r="Y556" s="51"/>
      <c r="Z556" s="19"/>
      <c r="AA556" s="20"/>
      <c r="AB556" s="11"/>
      <c r="AD556" s="18"/>
      <c r="AE556" s="19"/>
      <c r="AF556" s="121"/>
      <c r="AG556" s="19"/>
      <c r="AH556" s="19"/>
      <c r="AI556" s="19"/>
      <c r="AJ556" s="19"/>
      <c r="AK556" s="37"/>
      <c r="AL556" s="48"/>
      <c r="AM556" s="51"/>
      <c r="AN556" s="19"/>
      <c r="AO556" s="20"/>
      <c r="AP556" s="11"/>
    </row>
    <row r="557" spans="1:42" ht="15" customHeight="1" thickTop="1">
      <c r="A557" s="12"/>
      <c r="B557" s="8"/>
      <c r="C557" s="9"/>
      <c r="D557" s="9" t="str">
        <f t="shared" si="502"/>
        <v/>
      </c>
      <c r="E557" s="9"/>
      <c r="F557" s="9" t="str">
        <f t="shared" si="503"/>
        <v/>
      </c>
      <c r="G557" s="9"/>
      <c r="H557" s="9" t="str">
        <f t="shared" si="504"/>
        <v/>
      </c>
      <c r="I557" s="9"/>
      <c r="J557" s="9"/>
      <c r="K557" s="9"/>
      <c r="L557" s="9" t="str">
        <f t="shared" si="496"/>
        <v/>
      </c>
      <c r="M557" s="10" t="str">
        <f t="shared" si="497"/>
        <v/>
      </c>
      <c r="N557" s="11"/>
      <c r="O557" s="2"/>
      <c r="P557" s="65" t="str">
        <f>IF($A530="","",$A530)</f>
        <v/>
      </c>
      <c r="Q557" s="44"/>
      <c r="R557" s="44"/>
      <c r="S557" s="44"/>
      <c r="T557" s="23"/>
      <c r="U557" s="44"/>
      <c r="V557" s="44"/>
      <c r="W557" s="66"/>
      <c r="X557" s="61"/>
      <c r="Y557" s="62"/>
      <c r="Z557" s="23"/>
      <c r="AA557" s="24"/>
      <c r="AB557" s="11"/>
      <c r="AD557" s="65"/>
      <c r="AE557" s="44"/>
      <c r="AF557" s="119"/>
      <c r="AG557" s="44"/>
      <c r="AH557" s="23"/>
      <c r="AI557" s="44"/>
      <c r="AJ557" s="44"/>
      <c r="AK557" s="66"/>
      <c r="AL557" s="61"/>
      <c r="AM557" s="62"/>
      <c r="AN557" s="23"/>
      <c r="AO557" s="24"/>
      <c r="AP557" s="11"/>
    </row>
    <row r="558" spans="1:42">
      <c r="A558" s="12"/>
      <c r="B558" s="8"/>
      <c r="C558" s="9"/>
      <c r="D558" s="9" t="str">
        <f t="shared" si="502"/>
        <v/>
      </c>
      <c r="E558" s="9"/>
      <c r="F558" s="9" t="str">
        <f t="shared" si="503"/>
        <v/>
      </c>
      <c r="G558" s="9"/>
      <c r="H558" s="9" t="str">
        <f t="shared" si="504"/>
        <v/>
      </c>
      <c r="I558" s="9"/>
      <c r="J558" s="9"/>
      <c r="K558" s="9"/>
      <c r="L558" s="9" t="str">
        <f t="shared" si="496"/>
        <v/>
      </c>
      <c r="M558" s="10" t="str">
        <f t="shared" si="497"/>
        <v/>
      </c>
      <c r="N558" s="11"/>
      <c r="O558" s="2"/>
      <c r="P558" s="12"/>
      <c r="Q558" s="9"/>
      <c r="R558" s="44"/>
      <c r="S558" s="9"/>
      <c r="T558" s="9"/>
      <c r="U558" s="9"/>
      <c r="V558" s="9"/>
      <c r="W558" s="13"/>
      <c r="X558" s="47"/>
      <c r="Y558" s="45"/>
      <c r="Z558" s="9"/>
      <c r="AA558" s="10"/>
      <c r="AB558" s="11"/>
      <c r="AD558" s="12"/>
      <c r="AE558" s="9"/>
      <c r="AF558" s="119"/>
      <c r="AG558" s="9"/>
      <c r="AH558" s="9"/>
      <c r="AI558" s="9"/>
      <c r="AJ558" s="9"/>
      <c r="AK558" s="13"/>
      <c r="AL558" s="47"/>
      <c r="AM558" s="45"/>
      <c r="AN558" s="9"/>
      <c r="AO558" s="10"/>
      <c r="AP558" s="11"/>
    </row>
    <row r="559" spans="1:42" ht="15" customHeight="1">
      <c r="A559" s="12"/>
      <c r="B559" s="8"/>
      <c r="C559" s="9"/>
      <c r="D559" s="9" t="str">
        <f t="shared" si="502"/>
        <v/>
      </c>
      <c r="E559" s="9"/>
      <c r="F559" s="9" t="str">
        <f t="shared" si="503"/>
        <v/>
      </c>
      <c r="G559" s="9"/>
      <c r="H559" s="9" t="str">
        <f t="shared" si="504"/>
        <v/>
      </c>
      <c r="I559" s="9"/>
      <c r="J559" s="9"/>
      <c r="K559" s="9"/>
      <c r="L559" s="9" t="str">
        <f t="shared" si="496"/>
        <v/>
      </c>
      <c r="M559" s="10" t="str">
        <f t="shared" si="497"/>
        <v/>
      </c>
      <c r="N559" s="11"/>
      <c r="O559" s="2"/>
      <c r="P559" s="12"/>
      <c r="Q559" s="9"/>
      <c r="R559" s="52"/>
      <c r="S559" s="9"/>
      <c r="T559" s="9"/>
      <c r="U559" s="26"/>
      <c r="V559" s="26"/>
      <c r="W559" s="38"/>
      <c r="X559" s="47"/>
      <c r="Y559" s="9"/>
      <c r="Z559" s="9"/>
      <c r="AA559" s="10"/>
      <c r="AB559" s="11"/>
      <c r="AD559" s="12"/>
      <c r="AE559" s="9"/>
      <c r="AF559" s="125"/>
      <c r="AG559" s="9"/>
      <c r="AH559" s="9"/>
      <c r="AI559" s="26"/>
      <c r="AJ559" s="26"/>
      <c r="AK559" s="38"/>
      <c r="AL559" s="47"/>
      <c r="AM559" s="9"/>
      <c r="AN559" s="9"/>
      <c r="AO559" s="10"/>
      <c r="AP559" s="11"/>
    </row>
    <row r="560" spans="1:42" ht="15" customHeight="1" thickBot="1">
      <c r="A560" s="12"/>
      <c r="B560" s="8"/>
      <c r="C560" s="9"/>
      <c r="D560" s="9" t="str">
        <f t="shared" si="502"/>
        <v/>
      </c>
      <c r="E560" s="9"/>
      <c r="F560" s="9" t="str">
        <f t="shared" si="503"/>
        <v/>
      </c>
      <c r="G560" s="9"/>
      <c r="H560" s="9" t="str">
        <f t="shared" si="504"/>
        <v/>
      </c>
      <c r="I560" s="9"/>
      <c r="J560" s="9"/>
      <c r="K560" s="9"/>
      <c r="L560" s="9" t="str">
        <f t="shared" si="496"/>
        <v/>
      </c>
      <c r="M560" s="10" t="str">
        <f t="shared" si="497"/>
        <v/>
      </c>
      <c r="N560" s="11"/>
      <c r="O560" s="2"/>
      <c r="P560" s="18"/>
      <c r="Q560" s="21"/>
      <c r="R560" s="50"/>
      <c r="S560" s="51"/>
      <c r="T560" s="21"/>
      <c r="U560" s="53"/>
      <c r="V560" s="53"/>
      <c r="W560" s="37"/>
      <c r="X560" s="48"/>
      <c r="Y560" s="51"/>
      <c r="Z560" s="19"/>
      <c r="AA560" s="20"/>
      <c r="AB560" s="11"/>
      <c r="AD560" s="18"/>
      <c r="AE560" s="21"/>
      <c r="AF560" s="124"/>
      <c r="AG560" s="51"/>
      <c r="AH560" s="21"/>
      <c r="AI560" s="53"/>
      <c r="AJ560" s="53"/>
      <c r="AK560" s="37"/>
      <c r="AL560" s="48"/>
      <c r="AM560" s="51"/>
      <c r="AN560" s="19"/>
      <c r="AO560" s="20"/>
      <c r="AP560" s="11"/>
    </row>
    <row r="561" spans="1:42" ht="15" customHeight="1" thickTop="1">
      <c r="A561" s="12"/>
      <c r="B561" s="8"/>
      <c r="C561" s="9"/>
      <c r="D561" s="9" t="str">
        <f t="shared" si="502"/>
        <v/>
      </c>
      <c r="E561" s="9"/>
      <c r="F561" s="9" t="str">
        <f t="shared" si="503"/>
        <v/>
      </c>
      <c r="G561" s="9"/>
      <c r="H561" s="9" t="str">
        <f t="shared" si="504"/>
        <v/>
      </c>
      <c r="I561" s="9"/>
      <c r="J561" s="9"/>
      <c r="K561" s="9"/>
      <c r="L561" s="9" t="str">
        <f t="shared" si="496"/>
        <v/>
      </c>
      <c r="M561" s="10" t="str">
        <f t="shared" si="497"/>
        <v/>
      </c>
      <c r="N561" s="11"/>
      <c r="O561" s="2"/>
      <c r="P561" s="65" t="str">
        <f>IF($A531="","",$A531)</f>
        <v/>
      </c>
      <c r="Q561" s="44"/>
      <c r="R561" s="44"/>
      <c r="S561" s="44"/>
      <c r="T561" s="23"/>
      <c r="U561" s="44"/>
      <c r="V561" s="44"/>
      <c r="W561" s="66"/>
      <c r="X561" s="61"/>
      <c r="Y561" s="62"/>
      <c r="Z561" s="23"/>
      <c r="AA561" s="24"/>
      <c r="AB561" s="11"/>
      <c r="AD561" s="65"/>
      <c r="AE561" s="44"/>
      <c r="AF561" s="119"/>
      <c r="AG561" s="44"/>
      <c r="AH561" s="23"/>
      <c r="AI561" s="44"/>
      <c r="AJ561" s="44"/>
      <c r="AK561" s="66"/>
      <c r="AL561" s="61"/>
      <c r="AM561" s="62"/>
      <c r="AN561" s="23"/>
      <c r="AO561" s="24"/>
      <c r="AP561" s="11"/>
    </row>
    <row r="562" spans="1:42" ht="15" customHeight="1">
      <c r="A562" s="12"/>
      <c r="B562" s="8"/>
      <c r="C562" s="9"/>
      <c r="D562" s="9" t="str">
        <f t="shared" si="502"/>
        <v/>
      </c>
      <c r="E562" s="9"/>
      <c r="F562" s="9" t="str">
        <f t="shared" si="503"/>
        <v/>
      </c>
      <c r="G562" s="9"/>
      <c r="H562" s="9" t="str">
        <f t="shared" si="504"/>
        <v/>
      </c>
      <c r="I562" s="9"/>
      <c r="J562" s="9"/>
      <c r="K562" s="9"/>
      <c r="L562" s="9" t="str">
        <f t="shared" si="496"/>
        <v/>
      </c>
      <c r="M562" s="10" t="str">
        <f t="shared" si="497"/>
        <v/>
      </c>
      <c r="N562" s="11"/>
      <c r="O562" s="2"/>
      <c r="P562" s="12"/>
      <c r="Q562" s="9"/>
      <c r="R562" s="44"/>
      <c r="S562" s="9"/>
      <c r="T562" s="9"/>
      <c r="U562" s="9"/>
      <c r="V562" s="9"/>
      <c r="W562" s="13"/>
      <c r="X562" s="47"/>
      <c r="Y562" s="45"/>
      <c r="Z562" s="9"/>
      <c r="AA562" s="10"/>
      <c r="AB562" s="11"/>
      <c r="AD562" s="12"/>
      <c r="AE562" s="9"/>
      <c r="AF562" s="119"/>
      <c r="AG562" s="9"/>
      <c r="AH562" s="9"/>
      <c r="AI562" s="9"/>
      <c r="AJ562" s="9"/>
      <c r="AK562" s="13"/>
      <c r="AL562" s="47"/>
      <c r="AM562" s="45"/>
      <c r="AN562" s="9"/>
      <c r="AO562" s="10"/>
      <c r="AP562" s="11"/>
    </row>
    <row r="563" spans="1:42" ht="15" customHeight="1">
      <c r="A563" s="12"/>
      <c r="B563" s="8"/>
      <c r="C563" s="9"/>
      <c r="D563" s="9" t="str">
        <f t="shared" si="502"/>
        <v/>
      </c>
      <c r="E563" s="9"/>
      <c r="F563" s="9" t="str">
        <f t="shared" si="503"/>
        <v/>
      </c>
      <c r="G563" s="9"/>
      <c r="H563" s="9" t="str">
        <f t="shared" si="504"/>
        <v/>
      </c>
      <c r="I563" s="9"/>
      <c r="J563" s="9"/>
      <c r="K563" s="9"/>
      <c r="L563" s="9" t="str">
        <f t="shared" si="496"/>
        <v/>
      </c>
      <c r="M563" s="10" t="str">
        <f t="shared" si="497"/>
        <v/>
      </c>
      <c r="N563" s="11"/>
      <c r="O563" s="2"/>
      <c r="P563" s="12"/>
      <c r="Q563" s="9"/>
      <c r="R563" s="52"/>
      <c r="S563" s="9"/>
      <c r="T563" s="9"/>
      <c r="U563" s="9"/>
      <c r="V563" s="9"/>
      <c r="W563" s="13"/>
      <c r="X563" s="47"/>
      <c r="Y563" s="9"/>
      <c r="Z563" s="9"/>
      <c r="AA563" s="10"/>
      <c r="AB563" s="11"/>
      <c r="AD563" s="12"/>
      <c r="AE563" s="9"/>
      <c r="AF563" s="125"/>
      <c r="AG563" s="9"/>
      <c r="AH563" s="9"/>
      <c r="AI563" s="9"/>
      <c r="AJ563" s="9"/>
      <c r="AK563" s="13"/>
      <c r="AL563" s="47"/>
      <c r="AM563" s="9"/>
      <c r="AN563" s="9"/>
      <c r="AO563" s="10"/>
      <c r="AP563" s="11"/>
    </row>
    <row r="564" spans="1:42" ht="15" customHeight="1" thickBot="1">
      <c r="A564" s="12"/>
      <c r="B564" s="8"/>
      <c r="C564" s="9"/>
      <c r="D564" s="9" t="str">
        <f t="shared" si="502"/>
        <v/>
      </c>
      <c r="E564" s="9"/>
      <c r="F564" s="9" t="str">
        <f t="shared" si="503"/>
        <v/>
      </c>
      <c r="G564" s="9"/>
      <c r="H564" s="9" t="str">
        <f t="shared" si="504"/>
        <v/>
      </c>
      <c r="I564" s="9"/>
      <c r="J564" s="9"/>
      <c r="K564" s="9"/>
      <c r="L564" s="9" t="str">
        <f t="shared" si="496"/>
        <v/>
      </c>
      <c r="M564" s="10" t="str">
        <f t="shared" si="497"/>
        <v/>
      </c>
      <c r="N564" s="11"/>
      <c r="O564" s="2"/>
      <c r="P564" s="18"/>
      <c r="Q564" s="21"/>
      <c r="R564" s="50"/>
      <c r="S564" s="51"/>
      <c r="T564" s="19"/>
      <c r="U564" s="19"/>
      <c r="V564" s="19"/>
      <c r="W564" s="37"/>
      <c r="X564" s="48"/>
      <c r="Y564" s="51"/>
      <c r="Z564" s="19"/>
      <c r="AA564" s="20"/>
      <c r="AB564" s="11"/>
      <c r="AD564" s="18"/>
      <c r="AE564" s="21"/>
      <c r="AF564" s="124"/>
      <c r="AG564" s="51"/>
      <c r="AH564" s="19"/>
      <c r="AI564" s="19"/>
      <c r="AJ564" s="19"/>
      <c r="AK564" s="37"/>
      <c r="AL564" s="48"/>
      <c r="AM564" s="51"/>
      <c r="AN564" s="19"/>
      <c r="AO564" s="20"/>
      <c r="AP564" s="11"/>
    </row>
    <row r="565" spans="1:42" ht="15" customHeight="1" thickTop="1">
      <c r="A565" s="12"/>
      <c r="B565" s="8"/>
      <c r="C565" s="9"/>
      <c r="D565" s="9" t="str">
        <f t="shared" si="502"/>
        <v/>
      </c>
      <c r="E565" s="9"/>
      <c r="F565" s="9" t="str">
        <f t="shared" si="503"/>
        <v/>
      </c>
      <c r="G565" s="9"/>
      <c r="H565" s="9" t="str">
        <f t="shared" si="504"/>
        <v/>
      </c>
      <c r="I565" s="9"/>
      <c r="J565" s="9"/>
      <c r="K565" s="9"/>
      <c r="L565" s="9" t="str">
        <f t="shared" si="496"/>
        <v/>
      </c>
      <c r="M565" s="10" t="str">
        <f t="shared" si="497"/>
        <v/>
      </c>
      <c r="N565" s="11"/>
      <c r="O565" s="2"/>
      <c r="P565" s="65" t="str">
        <f>IF($A532="","",$A532)</f>
        <v/>
      </c>
      <c r="Q565" s="44"/>
      <c r="R565" s="44" t="str">
        <f t="shared" ref="R565:R576" si="505">IF(Q565="","",Q565-Q561)</f>
        <v/>
      </c>
      <c r="S565" s="44"/>
      <c r="T565" s="23" t="str">
        <f t="shared" ref="T565:T576" si="506">IF(S565="","",S565-S561)</f>
        <v/>
      </c>
      <c r="U565" s="44"/>
      <c r="V565" s="44" t="str">
        <f t="shared" ref="V565:V576" si="507">IF(U565="","",U561+W561-U565)</f>
        <v/>
      </c>
      <c r="W565" s="44"/>
      <c r="X565" s="61" t="str">
        <f t="shared" ref="X565:X576" si="508">IF(Q565="","",X561)</f>
        <v/>
      </c>
      <c r="Y565" s="62" t="str">
        <f t="shared" ref="Y565:Y576" si="509">IF(R565="","",Y561)</f>
        <v/>
      </c>
      <c r="Z565" s="23" t="str">
        <f t="shared" ref="Z565:Z576" si="510">IF(U565="","",V565*Y565)</f>
        <v/>
      </c>
      <c r="AA565" s="24" t="str">
        <f t="shared" ref="AA565:AA576" si="511">IF(V565="","",Z565/(R565*100))</f>
        <v/>
      </c>
      <c r="AB565" s="11"/>
      <c r="AD565" s="65" t="str">
        <f>IF($A532="","",$A532)</f>
        <v/>
      </c>
      <c r="AE565" s="44"/>
      <c r="AF565" s="119" t="str">
        <f t="shared" ref="AF565:AF576" si="512">IF(AE565="","",AE565-AE561)</f>
        <v/>
      </c>
      <c r="AG565" s="44"/>
      <c r="AH565" s="23" t="str">
        <f t="shared" ref="AH565:AH576" si="513">IF(AG565="","",AG565-AG561)</f>
        <v/>
      </c>
      <c r="AI565" s="44"/>
      <c r="AJ565" s="44" t="str">
        <f t="shared" ref="AJ565:AJ576" si="514">IF(AI565="","",AI561+AK561-AI565)</f>
        <v/>
      </c>
      <c r="AK565" s="44"/>
      <c r="AL565" s="61" t="str">
        <f t="shared" ref="AL565:AL576" si="515">IF(AE565="","",AL561)</f>
        <v/>
      </c>
      <c r="AM565" s="62" t="str">
        <f t="shared" ref="AM565:AM576" si="516">IF(AF565="","",AM561)</f>
        <v/>
      </c>
      <c r="AN565" s="23" t="str">
        <f t="shared" ref="AN565:AN576" si="517">IF(AI565="","",AJ565*AM565)</f>
        <v/>
      </c>
      <c r="AO565" s="24" t="str">
        <f t="shared" ref="AO565:AO576" si="518">IF(AJ565="","",AN565/(AF565*100))</f>
        <v/>
      </c>
      <c r="AP565" s="11"/>
    </row>
    <row r="566" spans="1:42" ht="15" customHeight="1">
      <c r="A566" s="12"/>
      <c r="B566" s="8"/>
      <c r="C566" s="9"/>
      <c r="D566" s="9" t="str">
        <f t="shared" si="502"/>
        <v/>
      </c>
      <c r="E566" s="9"/>
      <c r="F566" s="9" t="str">
        <f t="shared" si="503"/>
        <v/>
      </c>
      <c r="G566" s="9"/>
      <c r="H566" s="9" t="str">
        <f t="shared" si="504"/>
        <v/>
      </c>
      <c r="I566" s="9"/>
      <c r="J566" s="9"/>
      <c r="K566" s="9"/>
      <c r="L566" s="9" t="str">
        <f t="shared" si="496"/>
        <v/>
      </c>
      <c r="M566" s="10" t="str">
        <f t="shared" si="497"/>
        <v/>
      </c>
      <c r="N566" s="11"/>
      <c r="O566" s="2"/>
      <c r="P566" s="12"/>
      <c r="Q566" s="9"/>
      <c r="R566" s="9" t="str">
        <f t="shared" si="505"/>
        <v/>
      </c>
      <c r="S566" s="9"/>
      <c r="T566" s="9" t="str">
        <f t="shared" si="506"/>
        <v/>
      </c>
      <c r="U566" s="9"/>
      <c r="V566" s="9" t="str">
        <f t="shared" si="507"/>
        <v/>
      </c>
      <c r="W566" s="9"/>
      <c r="X566" s="47" t="str">
        <f t="shared" si="508"/>
        <v/>
      </c>
      <c r="Y566" s="45" t="str">
        <f t="shared" si="509"/>
        <v/>
      </c>
      <c r="Z566" s="9" t="str">
        <f t="shared" si="510"/>
        <v/>
      </c>
      <c r="AA566" s="10" t="str">
        <f t="shared" si="511"/>
        <v/>
      </c>
      <c r="AB566" s="11"/>
      <c r="AD566" s="12"/>
      <c r="AE566" s="9"/>
      <c r="AF566" s="120" t="str">
        <f t="shared" si="512"/>
        <v/>
      </c>
      <c r="AG566" s="9"/>
      <c r="AH566" s="9" t="str">
        <f t="shared" si="513"/>
        <v/>
      </c>
      <c r="AI566" s="9"/>
      <c r="AJ566" s="9" t="str">
        <f t="shared" si="514"/>
        <v/>
      </c>
      <c r="AK566" s="9"/>
      <c r="AL566" s="47" t="str">
        <f t="shared" si="515"/>
        <v/>
      </c>
      <c r="AM566" s="45" t="str">
        <f t="shared" si="516"/>
        <v/>
      </c>
      <c r="AN566" s="9" t="str">
        <f t="shared" si="517"/>
        <v/>
      </c>
      <c r="AO566" s="10" t="str">
        <f t="shared" si="518"/>
        <v/>
      </c>
      <c r="AP566" s="11"/>
    </row>
    <row r="567" spans="1:42" ht="15" customHeight="1">
      <c r="A567" s="12"/>
      <c r="B567" s="8"/>
      <c r="C567" s="9"/>
      <c r="D567" s="9" t="str">
        <f t="shared" si="502"/>
        <v/>
      </c>
      <c r="E567" s="9"/>
      <c r="F567" s="9" t="str">
        <f t="shared" si="503"/>
        <v/>
      </c>
      <c r="G567" s="9"/>
      <c r="H567" s="9" t="str">
        <f t="shared" si="504"/>
        <v/>
      </c>
      <c r="I567" s="9"/>
      <c r="J567" s="9"/>
      <c r="K567" s="9"/>
      <c r="L567" s="9" t="str">
        <f t="shared" si="496"/>
        <v/>
      </c>
      <c r="M567" s="10" t="str">
        <f t="shared" si="497"/>
        <v/>
      </c>
      <c r="N567" s="11"/>
      <c r="O567" s="2"/>
      <c r="P567" s="12"/>
      <c r="Q567" s="9"/>
      <c r="R567" s="9" t="str">
        <f t="shared" si="505"/>
        <v/>
      </c>
      <c r="S567" s="9"/>
      <c r="T567" s="9" t="str">
        <f t="shared" si="506"/>
        <v/>
      </c>
      <c r="U567" s="9"/>
      <c r="V567" s="9" t="str">
        <f t="shared" si="507"/>
        <v/>
      </c>
      <c r="W567" s="9"/>
      <c r="X567" s="47" t="str">
        <f t="shared" si="508"/>
        <v/>
      </c>
      <c r="Y567" s="9" t="str">
        <f t="shared" si="509"/>
        <v/>
      </c>
      <c r="Z567" s="9" t="str">
        <f t="shared" si="510"/>
        <v/>
      </c>
      <c r="AA567" s="10" t="str">
        <f t="shared" si="511"/>
        <v/>
      </c>
      <c r="AB567" s="11"/>
      <c r="AD567" s="12"/>
      <c r="AE567" s="9"/>
      <c r="AF567" s="120" t="str">
        <f t="shared" si="512"/>
        <v/>
      </c>
      <c r="AG567" s="9"/>
      <c r="AH567" s="9" t="str">
        <f t="shared" si="513"/>
        <v/>
      </c>
      <c r="AI567" s="9"/>
      <c r="AJ567" s="9" t="str">
        <f t="shared" si="514"/>
        <v/>
      </c>
      <c r="AK567" s="9"/>
      <c r="AL567" s="47" t="str">
        <f t="shared" si="515"/>
        <v/>
      </c>
      <c r="AM567" s="9" t="str">
        <f t="shared" si="516"/>
        <v/>
      </c>
      <c r="AN567" s="9" t="str">
        <f t="shared" si="517"/>
        <v/>
      </c>
      <c r="AO567" s="10" t="str">
        <f t="shared" si="518"/>
        <v/>
      </c>
      <c r="AP567" s="11"/>
    </row>
    <row r="568" spans="1:42" ht="15" customHeight="1" thickBot="1">
      <c r="A568" s="12"/>
      <c r="B568" s="8"/>
      <c r="C568" s="9"/>
      <c r="D568" s="9" t="str">
        <f t="shared" si="502"/>
        <v/>
      </c>
      <c r="E568" s="9"/>
      <c r="F568" s="9" t="str">
        <f t="shared" si="503"/>
        <v/>
      </c>
      <c r="G568" s="9"/>
      <c r="H568" s="9" t="str">
        <f t="shared" si="504"/>
        <v/>
      </c>
      <c r="I568" s="9"/>
      <c r="J568" s="9"/>
      <c r="K568" s="9"/>
      <c r="L568" s="9" t="str">
        <f t="shared" si="496"/>
        <v/>
      </c>
      <c r="M568" s="10" t="str">
        <f t="shared" si="497"/>
        <v/>
      </c>
      <c r="N568" s="11"/>
      <c r="O568" s="2"/>
      <c r="P568" s="18"/>
      <c r="Q568" s="19"/>
      <c r="R568" s="19" t="str">
        <f t="shared" si="505"/>
        <v/>
      </c>
      <c r="S568" s="19"/>
      <c r="T568" s="19" t="str">
        <f t="shared" si="506"/>
        <v/>
      </c>
      <c r="U568" s="19"/>
      <c r="V568" s="19" t="str">
        <f t="shared" si="507"/>
        <v/>
      </c>
      <c r="W568" s="19"/>
      <c r="X568" s="48" t="str">
        <f t="shared" si="508"/>
        <v/>
      </c>
      <c r="Y568" s="51" t="str">
        <f t="shared" si="509"/>
        <v/>
      </c>
      <c r="Z568" s="19" t="str">
        <f t="shared" si="510"/>
        <v/>
      </c>
      <c r="AA568" s="20" t="str">
        <f t="shared" si="511"/>
        <v/>
      </c>
      <c r="AB568" s="11"/>
      <c r="AD568" s="18"/>
      <c r="AE568" s="19"/>
      <c r="AF568" s="121" t="str">
        <f t="shared" si="512"/>
        <v/>
      </c>
      <c r="AG568" s="19"/>
      <c r="AH568" s="19" t="str">
        <f t="shared" si="513"/>
        <v/>
      </c>
      <c r="AI568" s="19"/>
      <c r="AJ568" s="19" t="str">
        <f t="shared" si="514"/>
        <v/>
      </c>
      <c r="AK568" s="19"/>
      <c r="AL568" s="48" t="str">
        <f t="shared" si="515"/>
        <v/>
      </c>
      <c r="AM568" s="51" t="str">
        <f t="shared" si="516"/>
        <v/>
      </c>
      <c r="AN568" s="19" t="str">
        <f t="shared" si="517"/>
        <v/>
      </c>
      <c r="AO568" s="20" t="str">
        <f t="shared" si="518"/>
        <v/>
      </c>
      <c r="AP568" s="11"/>
    </row>
    <row r="569" spans="1:42" ht="15" customHeight="1" thickTop="1">
      <c r="A569" s="12"/>
      <c r="B569" s="8"/>
      <c r="C569" s="9"/>
      <c r="D569" s="9" t="str">
        <f t="shared" si="502"/>
        <v/>
      </c>
      <c r="E569" s="9"/>
      <c r="F569" s="9" t="str">
        <f t="shared" si="503"/>
        <v/>
      </c>
      <c r="G569" s="9"/>
      <c r="H569" s="9" t="str">
        <f t="shared" si="504"/>
        <v/>
      </c>
      <c r="I569" s="9"/>
      <c r="J569" s="9"/>
      <c r="K569" s="9"/>
      <c r="L569" s="9" t="str">
        <f t="shared" si="496"/>
        <v/>
      </c>
      <c r="M569" s="10" t="str">
        <f t="shared" si="497"/>
        <v/>
      </c>
      <c r="N569" s="11"/>
      <c r="O569" s="2"/>
      <c r="P569" s="65" t="str">
        <f>IF($A533="","",$A533)</f>
        <v/>
      </c>
      <c r="Q569" s="44"/>
      <c r="R569" s="44" t="str">
        <f t="shared" si="505"/>
        <v/>
      </c>
      <c r="S569" s="44"/>
      <c r="T569" s="23" t="str">
        <f t="shared" si="506"/>
        <v/>
      </c>
      <c r="U569" s="44"/>
      <c r="V569" s="44" t="str">
        <f t="shared" si="507"/>
        <v/>
      </c>
      <c r="W569" s="44"/>
      <c r="X569" s="61" t="str">
        <f t="shared" si="508"/>
        <v/>
      </c>
      <c r="Y569" s="62" t="str">
        <f t="shared" si="509"/>
        <v/>
      </c>
      <c r="Z569" s="23" t="str">
        <f t="shared" si="510"/>
        <v/>
      </c>
      <c r="AA569" s="24" t="str">
        <f t="shared" si="511"/>
        <v/>
      </c>
      <c r="AB569" s="11"/>
      <c r="AD569" s="65" t="str">
        <f>IF($A533="","",$A533)</f>
        <v/>
      </c>
      <c r="AE569" s="44"/>
      <c r="AF569" s="119" t="str">
        <f t="shared" si="512"/>
        <v/>
      </c>
      <c r="AG569" s="44"/>
      <c r="AH569" s="23" t="str">
        <f t="shared" si="513"/>
        <v/>
      </c>
      <c r="AI569" s="44"/>
      <c r="AJ569" s="44" t="str">
        <f t="shared" si="514"/>
        <v/>
      </c>
      <c r="AK569" s="44"/>
      <c r="AL569" s="61" t="str">
        <f t="shared" si="515"/>
        <v/>
      </c>
      <c r="AM569" s="62" t="str">
        <f t="shared" si="516"/>
        <v/>
      </c>
      <c r="AN569" s="23" t="str">
        <f t="shared" si="517"/>
        <v/>
      </c>
      <c r="AO569" s="24" t="str">
        <f t="shared" si="518"/>
        <v/>
      </c>
      <c r="AP569" s="11"/>
    </row>
    <row r="570" spans="1:42" ht="15" customHeight="1">
      <c r="A570" s="12"/>
      <c r="B570" s="8"/>
      <c r="C570" s="9"/>
      <c r="D570" s="9" t="str">
        <f t="shared" si="502"/>
        <v/>
      </c>
      <c r="E570" s="9"/>
      <c r="F570" s="9" t="str">
        <f t="shared" si="503"/>
        <v/>
      </c>
      <c r="G570" s="9"/>
      <c r="H570" s="9" t="str">
        <f t="shared" si="504"/>
        <v/>
      </c>
      <c r="I570" s="9"/>
      <c r="J570" s="9"/>
      <c r="K570" s="9"/>
      <c r="L570" s="9" t="str">
        <f t="shared" si="496"/>
        <v/>
      </c>
      <c r="M570" s="10" t="str">
        <f t="shared" si="497"/>
        <v/>
      </c>
      <c r="N570" s="11"/>
      <c r="O570" s="2"/>
      <c r="P570" s="12"/>
      <c r="Q570" s="9"/>
      <c r="R570" s="9" t="str">
        <f t="shared" si="505"/>
        <v/>
      </c>
      <c r="S570" s="9"/>
      <c r="T570" s="9" t="str">
        <f t="shared" si="506"/>
        <v/>
      </c>
      <c r="U570" s="9"/>
      <c r="V570" s="9" t="str">
        <f t="shared" si="507"/>
        <v/>
      </c>
      <c r="W570" s="9"/>
      <c r="X570" s="47" t="str">
        <f t="shared" si="508"/>
        <v/>
      </c>
      <c r="Y570" s="45" t="str">
        <f t="shared" si="509"/>
        <v/>
      </c>
      <c r="Z570" s="9" t="str">
        <f t="shared" si="510"/>
        <v/>
      </c>
      <c r="AA570" s="10" t="str">
        <f t="shared" si="511"/>
        <v/>
      </c>
      <c r="AB570" s="11"/>
      <c r="AD570" s="12"/>
      <c r="AE570" s="9"/>
      <c r="AF570" s="120" t="str">
        <f t="shared" si="512"/>
        <v/>
      </c>
      <c r="AG570" s="9"/>
      <c r="AH570" s="9" t="str">
        <f t="shared" si="513"/>
        <v/>
      </c>
      <c r="AI570" s="9"/>
      <c r="AJ570" s="9" t="str">
        <f t="shared" si="514"/>
        <v/>
      </c>
      <c r="AK570" s="9"/>
      <c r="AL570" s="47" t="str">
        <f t="shared" si="515"/>
        <v/>
      </c>
      <c r="AM570" s="45" t="str">
        <f t="shared" si="516"/>
        <v/>
      </c>
      <c r="AN570" s="9" t="str">
        <f t="shared" si="517"/>
        <v/>
      </c>
      <c r="AO570" s="10" t="str">
        <f t="shared" si="518"/>
        <v/>
      </c>
      <c r="AP570" s="11"/>
    </row>
    <row r="571" spans="1:42" ht="15" customHeight="1">
      <c r="A571" s="12"/>
      <c r="B571" s="8"/>
      <c r="C571" s="9"/>
      <c r="D571" s="9" t="str">
        <f t="shared" si="502"/>
        <v/>
      </c>
      <c r="E571" s="9"/>
      <c r="F571" s="9" t="str">
        <f t="shared" si="503"/>
        <v/>
      </c>
      <c r="G571" s="9"/>
      <c r="H571" s="9" t="str">
        <f t="shared" si="504"/>
        <v/>
      </c>
      <c r="I571" s="9"/>
      <c r="J571" s="9"/>
      <c r="K571" s="9"/>
      <c r="L571" s="9" t="str">
        <f t="shared" si="496"/>
        <v/>
      </c>
      <c r="M571" s="10" t="str">
        <f t="shared" si="497"/>
        <v/>
      </c>
      <c r="N571" s="11"/>
      <c r="O571" s="2"/>
      <c r="P571" s="12"/>
      <c r="Q571" s="9"/>
      <c r="R571" s="9" t="str">
        <f t="shared" si="505"/>
        <v/>
      </c>
      <c r="S571" s="9"/>
      <c r="T571" s="9" t="str">
        <f t="shared" si="506"/>
        <v/>
      </c>
      <c r="U571" s="9"/>
      <c r="V571" s="9" t="str">
        <f t="shared" si="507"/>
        <v/>
      </c>
      <c r="W571" s="9"/>
      <c r="X571" s="47" t="str">
        <f t="shared" si="508"/>
        <v/>
      </c>
      <c r="Y571" s="9" t="str">
        <f t="shared" si="509"/>
        <v/>
      </c>
      <c r="Z571" s="9" t="str">
        <f t="shared" si="510"/>
        <v/>
      </c>
      <c r="AA571" s="10" t="str">
        <f t="shared" si="511"/>
        <v/>
      </c>
      <c r="AB571" s="11"/>
      <c r="AD571" s="12"/>
      <c r="AE571" s="9"/>
      <c r="AF571" s="120" t="str">
        <f t="shared" si="512"/>
        <v/>
      </c>
      <c r="AG571" s="9"/>
      <c r="AH571" s="9" t="str">
        <f t="shared" si="513"/>
        <v/>
      </c>
      <c r="AI571" s="9"/>
      <c r="AJ571" s="9" t="str">
        <f t="shared" si="514"/>
        <v/>
      </c>
      <c r="AK571" s="9"/>
      <c r="AL571" s="47" t="str">
        <f t="shared" si="515"/>
        <v/>
      </c>
      <c r="AM571" s="9" t="str">
        <f t="shared" si="516"/>
        <v/>
      </c>
      <c r="AN571" s="9" t="str">
        <f t="shared" si="517"/>
        <v/>
      </c>
      <c r="AO571" s="10" t="str">
        <f t="shared" si="518"/>
        <v/>
      </c>
      <c r="AP571" s="11"/>
    </row>
    <row r="572" spans="1:42" ht="15" customHeight="1" thickBot="1">
      <c r="A572" s="12"/>
      <c r="B572" s="8"/>
      <c r="C572" s="9"/>
      <c r="D572" s="9" t="str">
        <f t="shared" si="502"/>
        <v/>
      </c>
      <c r="E572" s="9"/>
      <c r="F572" s="9" t="str">
        <f t="shared" si="503"/>
        <v/>
      </c>
      <c r="G572" s="9"/>
      <c r="H572" s="9" t="str">
        <f t="shared" si="504"/>
        <v/>
      </c>
      <c r="I572" s="9"/>
      <c r="J572" s="9"/>
      <c r="K572" s="9"/>
      <c r="L572" s="9" t="str">
        <f t="shared" si="496"/>
        <v/>
      </c>
      <c r="M572" s="10" t="str">
        <f t="shared" si="497"/>
        <v/>
      </c>
      <c r="N572" s="11"/>
      <c r="O572" s="2"/>
      <c r="P572" s="18"/>
      <c r="Q572" s="19"/>
      <c r="R572" s="19" t="str">
        <f t="shared" si="505"/>
        <v/>
      </c>
      <c r="S572" s="19"/>
      <c r="T572" s="19" t="str">
        <f t="shared" si="506"/>
        <v/>
      </c>
      <c r="U572" s="19"/>
      <c r="V572" s="19" t="str">
        <f t="shared" si="507"/>
        <v/>
      </c>
      <c r="W572" s="19"/>
      <c r="X572" s="48" t="str">
        <f t="shared" si="508"/>
        <v/>
      </c>
      <c r="Y572" s="51" t="str">
        <f t="shared" si="509"/>
        <v/>
      </c>
      <c r="Z572" s="19" t="str">
        <f t="shared" si="510"/>
        <v/>
      </c>
      <c r="AA572" s="20" t="str">
        <f t="shared" si="511"/>
        <v/>
      </c>
      <c r="AB572" s="11"/>
      <c r="AD572" s="18"/>
      <c r="AE572" s="19"/>
      <c r="AF572" s="121" t="str">
        <f t="shared" si="512"/>
        <v/>
      </c>
      <c r="AG572" s="19"/>
      <c r="AH572" s="19" t="str">
        <f t="shared" si="513"/>
        <v/>
      </c>
      <c r="AI572" s="19"/>
      <c r="AJ572" s="19" t="str">
        <f t="shared" si="514"/>
        <v/>
      </c>
      <c r="AK572" s="19"/>
      <c r="AL572" s="48" t="str">
        <f t="shared" si="515"/>
        <v/>
      </c>
      <c r="AM572" s="51" t="str">
        <f t="shared" si="516"/>
        <v/>
      </c>
      <c r="AN572" s="19" t="str">
        <f t="shared" si="517"/>
        <v/>
      </c>
      <c r="AO572" s="20" t="str">
        <f t="shared" si="518"/>
        <v/>
      </c>
      <c r="AP572" s="11"/>
    </row>
    <row r="573" spans="1:42" ht="15" customHeight="1" thickTop="1">
      <c r="A573" s="12"/>
      <c r="B573" s="8"/>
      <c r="C573" s="9"/>
      <c r="D573" s="9" t="str">
        <f t="shared" si="502"/>
        <v/>
      </c>
      <c r="E573" s="9"/>
      <c r="F573" s="9" t="str">
        <f t="shared" si="503"/>
        <v/>
      </c>
      <c r="G573" s="9"/>
      <c r="H573" s="9" t="str">
        <f t="shared" si="504"/>
        <v/>
      </c>
      <c r="I573" s="9"/>
      <c r="J573" s="9"/>
      <c r="K573" s="9"/>
      <c r="L573" s="9" t="str">
        <f t="shared" si="496"/>
        <v/>
      </c>
      <c r="M573" s="10" t="str">
        <f t="shared" si="497"/>
        <v/>
      </c>
      <c r="N573" s="11"/>
      <c r="O573" s="2"/>
      <c r="P573" s="65" t="str">
        <f>IF($A534="","",$A534)</f>
        <v/>
      </c>
      <c r="Q573" s="44"/>
      <c r="R573" s="44" t="str">
        <f t="shared" si="505"/>
        <v/>
      </c>
      <c r="S573" s="44"/>
      <c r="T573" s="44" t="str">
        <f t="shared" si="506"/>
        <v/>
      </c>
      <c r="U573" s="44"/>
      <c r="V573" s="44" t="str">
        <f t="shared" si="507"/>
        <v/>
      </c>
      <c r="W573" s="44"/>
      <c r="X573" s="64" t="str">
        <f t="shared" si="508"/>
        <v/>
      </c>
      <c r="Y573" s="44" t="str">
        <f t="shared" si="509"/>
        <v/>
      </c>
      <c r="Z573" s="44" t="str">
        <f t="shared" si="510"/>
        <v/>
      </c>
      <c r="AA573" s="44" t="str">
        <f t="shared" si="511"/>
        <v/>
      </c>
      <c r="AB573" s="11"/>
      <c r="AD573" s="65" t="str">
        <f>IF($A534="","",$A534)</f>
        <v/>
      </c>
      <c r="AE573" s="44"/>
      <c r="AF573" s="44" t="str">
        <f t="shared" si="512"/>
        <v/>
      </c>
      <c r="AG573" s="44"/>
      <c r="AH573" s="44" t="str">
        <f t="shared" si="513"/>
        <v/>
      </c>
      <c r="AI573" s="44"/>
      <c r="AJ573" s="44" t="str">
        <f t="shared" si="514"/>
        <v/>
      </c>
      <c r="AK573" s="44"/>
      <c r="AL573" s="61" t="str">
        <f t="shared" si="515"/>
        <v/>
      </c>
      <c r="AM573" s="44" t="str">
        <f t="shared" si="516"/>
        <v/>
      </c>
      <c r="AN573" s="23" t="str">
        <f t="shared" si="517"/>
        <v/>
      </c>
      <c r="AO573" s="24" t="str">
        <f t="shared" si="518"/>
        <v/>
      </c>
      <c r="AP573" s="11"/>
    </row>
    <row r="574" spans="1:42" ht="15" customHeight="1">
      <c r="A574" s="12"/>
      <c r="B574" s="8"/>
      <c r="C574" s="9"/>
      <c r="D574" s="9"/>
      <c r="E574" s="9"/>
      <c r="F574" s="9" t="str">
        <f t="shared" si="503"/>
        <v/>
      </c>
      <c r="G574" s="9"/>
      <c r="H574" s="9" t="str">
        <f t="shared" si="504"/>
        <v/>
      </c>
      <c r="I574" s="9"/>
      <c r="J574" s="9"/>
      <c r="K574" s="9"/>
      <c r="L574" s="9" t="str">
        <f t="shared" si="496"/>
        <v/>
      </c>
      <c r="M574" s="10" t="str">
        <f t="shared" si="497"/>
        <v/>
      </c>
      <c r="N574" s="11"/>
      <c r="O574" s="2"/>
      <c r="P574" s="65"/>
      <c r="Q574" s="44"/>
      <c r="R574" s="44" t="str">
        <f t="shared" si="505"/>
        <v/>
      </c>
      <c r="S574" s="44"/>
      <c r="T574" s="44" t="str">
        <f t="shared" si="506"/>
        <v/>
      </c>
      <c r="U574" s="44"/>
      <c r="V574" s="44" t="str">
        <f t="shared" si="507"/>
        <v/>
      </c>
      <c r="W574" s="44"/>
      <c r="X574" s="64" t="str">
        <f t="shared" si="508"/>
        <v/>
      </c>
      <c r="Y574" s="44" t="str">
        <f t="shared" si="509"/>
        <v/>
      </c>
      <c r="Z574" s="44" t="str">
        <f t="shared" si="510"/>
        <v/>
      </c>
      <c r="AA574" s="44" t="str">
        <f t="shared" si="511"/>
        <v/>
      </c>
      <c r="AB574" s="11"/>
      <c r="AD574" s="65"/>
      <c r="AE574" s="44"/>
      <c r="AF574" s="44" t="str">
        <f t="shared" si="512"/>
        <v/>
      </c>
      <c r="AG574" s="44"/>
      <c r="AH574" s="44" t="str">
        <f t="shared" si="513"/>
        <v/>
      </c>
      <c r="AI574" s="44"/>
      <c r="AJ574" s="44" t="str">
        <f t="shared" si="514"/>
        <v/>
      </c>
      <c r="AK574" s="44"/>
      <c r="AL574" s="61" t="str">
        <f t="shared" si="515"/>
        <v/>
      </c>
      <c r="AM574" s="44" t="str">
        <f t="shared" si="516"/>
        <v/>
      </c>
      <c r="AN574" s="9" t="str">
        <f t="shared" si="517"/>
        <v/>
      </c>
      <c r="AO574" s="10" t="str">
        <f t="shared" si="518"/>
        <v/>
      </c>
      <c r="AP574" s="11"/>
    </row>
    <row r="575" spans="1:42" ht="15" customHeight="1">
      <c r="A575" s="12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0"/>
      <c r="N575" s="11"/>
      <c r="O575" s="2"/>
      <c r="P575" s="89"/>
      <c r="Q575" s="52"/>
      <c r="R575" s="52" t="str">
        <f t="shared" si="505"/>
        <v/>
      </c>
      <c r="S575" s="52"/>
      <c r="T575" s="52" t="str">
        <f t="shared" si="506"/>
        <v/>
      </c>
      <c r="U575" s="52"/>
      <c r="V575" s="52" t="str">
        <f t="shared" si="507"/>
        <v/>
      </c>
      <c r="W575" s="52"/>
      <c r="X575" s="90" t="str">
        <f t="shared" si="508"/>
        <v/>
      </c>
      <c r="Y575" s="52" t="str">
        <f t="shared" si="509"/>
        <v/>
      </c>
      <c r="Z575" s="52" t="str">
        <f t="shared" si="510"/>
        <v/>
      </c>
      <c r="AA575" s="52" t="str">
        <f t="shared" si="511"/>
        <v/>
      </c>
      <c r="AB575" s="31"/>
      <c r="AD575" s="89"/>
      <c r="AE575" s="52"/>
      <c r="AF575" s="52" t="str">
        <f t="shared" si="512"/>
        <v/>
      </c>
      <c r="AG575" s="52"/>
      <c r="AH575" s="52" t="str">
        <f t="shared" si="513"/>
        <v/>
      </c>
      <c r="AI575" s="52"/>
      <c r="AJ575" s="52" t="str">
        <f t="shared" si="514"/>
        <v/>
      </c>
      <c r="AK575" s="52"/>
      <c r="AL575" s="92" t="str">
        <f t="shared" si="515"/>
        <v/>
      </c>
      <c r="AM575" s="52" t="str">
        <f t="shared" si="516"/>
        <v/>
      </c>
      <c r="AN575" s="9" t="str">
        <f t="shared" si="517"/>
        <v/>
      </c>
      <c r="AO575" s="10" t="str">
        <f t="shared" si="518"/>
        <v/>
      </c>
      <c r="AP575" s="31"/>
    </row>
    <row r="576" spans="1:42" ht="15" customHeight="1" thickBot="1">
      <c r="A576" s="12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0"/>
      <c r="N576" s="11"/>
      <c r="O576" s="2"/>
      <c r="P576" s="85"/>
      <c r="Q576" s="50"/>
      <c r="R576" s="50" t="str">
        <f t="shared" si="505"/>
        <v/>
      </c>
      <c r="S576" s="50"/>
      <c r="T576" s="50" t="str">
        <f t="shared" si="506"/>
        <v/>
      </c>
      <c r="U576" s="50"/>
      <c r="V576" s="50" t="str">
        <f t="shared" si="507"/>
        <v/>
      </c>
      <c r="W576" s="50"/>
      <c r="X576" s="86" t="str">
        <f t="shared" si="508"/>
        <v/>
      </c>
      <c r="Y576" s="50" t="str">
        <f t="shared" si="509"/>
        <v/>
      </c>
      <c r="Z576" s="50" t="str">
        <f t="shared" si="510"/>
        <v/>
      </c>
      <c r="AA576" s="50" t="str">
        <f t="shared" si="511"/>
        <v/>
      </c>
      <c r="AB576" s="87"/>
      <c r="AD576" s="85"/>
      <c r="AE576" s="50"/>
      <c r="AF576" s="50" t="str">
        <f t="shared" si="512"/>
        <v/>
      </c>
      <c r="AG576" s="50"/>
      <c r="AH576" s="50" t="str">
        <f t="shared" si="513"/>
        <v/>
      </c>
      <c r="AI576" s="50"/>
      <c r="AJ576" s="50" t="str">
        <f t="shared" si="514"/>
        <v/>
      </c>
      <c r="AK576" s="50"/>
      <c r="AL576" s="91" t="str">
        <f t="shared" si="515"/>
        <v/>
      </c>
      <c r="AM576" s="50" t="str">
        <f t="shared" si="516"/>
        <v/>
      </c>
      <c r="AN576" s="19" t="str">
        <f t="shared" si="517"/>
        <v/>
      </c>
      <c r="AO576" s="20" t="str">
        <f t="shared" si="518"/>
        <v/>
      </c>
      <c r="AP576" s="87"/>
    </row>
    <row r="577" spans="1:42" ht="15" customHeight="1" thickTop="1">
      <c r="A577" s="4">
        <v>27</v>
      </c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0"/>
      <c r="N577" s="11"/>
      <c r="O577" s="2"/>
      <c r="P577" s="65"/>
      <c r="Q577" s="84" t="s">
        <v>17</v>
      </c>
      <c r="R577" s="44">
        <f>SUM(R521:R573)*100</f>
        <v>363900</v>
      </c>
      <c r="S577" s="44"/>
      <c r="T577" s="44"/>
      <c r="U577" s="84"/>
      <c r="V577" s="44"/>
      <c r="W577" s="44"/>
      <c r="X577" s="195" t="s">
        <v>19</v>
      </c>
      <c r="Y577" s="195"/>
      <c r="Z577" s="44">
        <f>SUM(Z521:Z573)</f>
        <v>43260</v>
      </c>
      <c r="AA577" s="44"/>
      <c r="AB577" s="69"/>
      <c r="AD577" s="65"/>
      <c r="AE577" s="84" t="s">
        <v>17</v>
      </c>
      <c r="AF577" s="44">
        <f>SUM(AF521:AF573)*100</f>
        <v>299400</v>
      </c>
      <c r="AG577" s="44"/>
      <c r="AH577" s="44"/>
      <c r="AI577" s="84"/>
      <c r="AJ577" s="44"/>
      <c r="AK577" s="44"/>
      <c r="AL577" s="195" t="s">
        <v>19</v>
      </c>
      <c r="AM577" s="195"/>
      <c r="AN577" s="44">
        <f>SUM(AN521:AN573)</f>
        <v>49897</v>
      </c>
      <c r="AO577" s="44"/>
      <c r="AP577" s="69"/>
    </row>
    <row r="578" spans="1:42" ht="15" customHeight="1">
      <c r="A578" s="96">
        <f>DATEDIF(A$603,A$528,"d")</f>
        <v>27</v>
      </c>
      <c r="B578" s="8">
        <f>SUM(B521:B577)</f>
        <v>8906</v>
      </c>
      <c r="C578" s="5" t="s">
        <v>17</v>
      </c>
      <c r="D578" s="9">
        <f>SUM(D521:D574)*100</f>
        <v>227300</v>
      </c>
      <c r="E578" s="9"/>
      <c r="F578" s="9"/>
      <c r="G578" s="5"/>
      <c r="H578" s="9"/>
      <c r="I578" s="9"/>
      <c r="J578" s="9"/>
      <c r="K578" s="9"/>
      <c r="L578" s="9"/>
      <c r="M578" s="9"/>
      <c r="N578" s="11"/>
      <c r="O578" s="2"/>
      <c r="P578" s="25"/>
      <c r="Q578" s="5" t="s">
        <v>20</v>
      </c>
      <c r="R578" s="9">
        <f>R577/$A578</f>
        <v>13477.777777777777</v>
      </c>
      <c r="S578" s="9">
        <f>R578*A577</f>
        <v>363900</v>
      </c>
      <c r="T578" s="9"/>
      <c r="U578" s="5"/>
      <c r="V578" s="9"/>
      <c r="W578" s="9"/>
      <c r="X578" s="178" t="s">
        <v>21</v>
      </c>
      <c r="Y578" s="178"/>
      <c r="Z578" s="9"/>
      <c r="AA578" s="28">
        <f>Z577/R577</f>
        <v>0.118878812860676</v>
      </c>
      <c r="AB578" s="11"/>
      <c r="AD578" s="40"/>
      <c r="AE578" s="5" t="s">
        <v>20</v>
      </c>
      <c r="AF578" s="9">
        <f>AF577/$A578</f>
        <v>11088.888888888889</v>
      </c>
      <c r="AG578" s="9">
        <f>AF578*A577</f>
        <v>299400</v>
      </c>
      <c r="AH578" s="9"/>
      <c r="AI578" s="5"/>
      <c r="AJ578" s="9"/>
      <c r="AK578" s="9"/>
      <c r="AL578" s="178" t="s">
        <v>21</v>
      </c>
      <c r="AM578" s="178"/>
      <c r="AN578" s="9"/>
      <c r="AO578" s="28">
        <f>AN577/AF577</f>
        <v>0.1666566466265865</v>
      </c>
      <c r="AP578" s="11"/>
    </row>
    <row r="579" spans="1:42" ht="15" customHeight="1">
      <c r="A579" s="97"/>
      <c r="B579" s="8">
        <f>B578/A578</f>
        <v>329.85185185185185</v>
      </c>
      <c r="C579" s="5" t="s">
        <v>20</v>
      </c>
      <c r="D579" s="9">
        <f>D578/A578</f>
        <v>8418.5185185185182</v>
      </c>
      <c r="E579" s="9">
        <f>D579*A577</f>
        <v>227300</v>
      </c>
      <c r="F579" s="9"/>
      <c r="G579" s="5"/>
      <c r="H579" s="9"/>
      <c r="I579" s="9"/>
      <c r="J579" s="9"/>
      <c r="K579" s="9"/>
      <c r="L579" s="9"/>
      <c r="M579" s="9"/>
      <c r="N579" s="11"/>
      <c r="O579" s="2"/>
      <c r="P579" s="12"/>
      <c r="Q579" s="58" t="s">
        <v>23</v>
      </c>
      <c r="R579" s="9">
        <f>R577*0.6</f>
        <v>218340</v>
      </c>
      <c r="S579" s="9"/>
      <c r="T579" s="9"/>
      <c r="U579" s="5"/>
      <c r="V579" s="9"/>
      <c r="W579" s="9"/>
      <c r="X579" s="178" t="s">
        <v>24</v>
      </c>
      <c r="Y579" s="178"/>
      <c r="Z579" s="9">
        <f>R579-Z577</f>
        <v>175080</v>
      </c>
      <c r="AA579" s="28">
        <f>Z579/R577</f>
        <v>0.481121187139324</v>
      </c>
      <c r="AB579" s="11"/>
      <c r="AD579" s="12"/>
      <c r="AE579" s="58" t="s">
        <v>23</v>
      </c>
      <c r="AF579" s="9">
        <f>AF577*0.6</f>
        <v>179640</v>
      </c>
      <c r="AG579" s="9"/>
      <c r="AH579" s="9"/>
      <c r="AI579" s="5"/>
      <c r="AJ579" s="9"/>
      <c r="AK579" s="9"/>
      <c r="AL579" s="178" t="s">
        <v>24</v>
      </c>
      <c r="AM579" s="178"/>
      <c r="AN579" s="9">
        <f>AF579-AN577</f>
        <v>129743</v>
      </c>
      <c r="AO579" s="28">
        <f>AN579/AF577</f>
        <v>0.43334335337341351</v>
      </c>
      <c r="AP579" s="11"/>
    </row>
    <row r="580" spans="1:42" ht="15" customHeight="1">
      <c r="A580" s="12"/>
      <c r="B580" s="8">
        <f>B579*30</f>
        <v>9895.5555555555547</v>
      </c>
      <c r="C580" s="5" t="s">
        <v>23</v>
      </c>
      <c r="D580" s="9">
        <f>D578*0.6</f>
        <v>136380</v>
      </c>
      <c r="E580" s="9"/>
      <c r="F580" s="9"/>
      <c r="G580" s="180" t="s">
        <v>27</v>
      </c>
      <c r="H580" s="180"/>
      <c r="I580" s="9">
        <f>(G529+I529)*K529</f>
        <v>0</v>
      </c>
      <c r="J580" s="9"/>
      <c r="K580" s="9"/>
      <c r="L580" s="9"/>
      <c r="M580" s="9"/>
      <c r="N580" s="11"/>
      <c r="O580" s="2"/>
      <c r="P580" s="65"/>
      <c r="Q580" s="5" t="s">
        <v>25</v>
      </c>
      <c r="R580" s="9">
        <f>R651</f>
        <v>515500</v>
      </c>
      <c r="S580" s="9"/>
      <c r="T580" s="9"/>
      <c r="U580" s="5"/>
      <c r="V580" s="9"/>
      <c r="W580" s="17"/>
      <c r="X580" s="182" t="s">
        <v>27</v>
      </c>
      <c r="Y580" s="182"/>
      <c r="Z580" s="44">
        <f>(U553+W553)*Y553+(U554+W554)*Y554+(U555+W555)*Y555+(U556+W556)*Y556</f>
        <v>0</v>
      </c>
      <c r="AA580" s="10"/>
      <c r="AB580" s="11"/>
      <c r="AD580" s="65"/>
      <c r="AE580" s="5" t="s">
        <v>25</v>
      </c>
      <c r="AF580" s="9">
        <f>AF651</f>
        <v>425900</v>
      </c>
      <c r="AG580" s="9"/>
      <c r="AH580" s="9"/>
      <c r="AI580" s="5"/>
      <c r="AJ580" s="9"/>
      <c r="AK580" s="17"/>
      <c r="AL580" s="182" t="s">
        <v>27</v>
      </c>
      <c r="AM580" s="182"/>
      <c r="AN580" s="44">
        <f>(AI553+AK553)*AM553+(AI554+AK554)*AM554+(AI555+AK555)*AM555+(AI556+AK556)*AM556</f>
        <v>0</v>
      </c>
      <c r="AO580" s="10"/>
      <c r="AP580" s="11"/>
    </row>
    <row r="581" spans="1:42" ht="15" customHeight="1">
      <c r="A581" s="12"/>
      <c r="B581" s="8"/>
      <c r="C581" s="5" t="s">
        <v>25</v>
      </c>
      <c r="D581" s="9">
        <f>D652</f>
        <v>160100</v>
      </c>
      <c r="E581" s="9"/>
      <c r="F581" s="9"/>
      <c r="G581" s="5" t="s">
        <v>22</v>
      </c>
      <c r="H581" s="9">
        <f>SUM(L521:L574)</f>
        <v>35035</v>
      </c>
      <c r="I581" s="28">
        <f>H581/D578</f>
        <v>0.15413550373955126</v>
      </c>
      <c r="J581" s="28"/>
      <c r="K581" s="9"/>
      <c r="L581" s="9"/>
      <c r="M581" s="9"/>
      <c r="N581" s="11"/>
      <c r="O581" s="2"/>
      <c r="P581" s="65"/>
      <c r="Q581" s="5"/>
      <c r="R581" s="9"/>
      <c r="S581" s="9"/>
      <c r="T581" s="9"/>
      <c r="U581" s="5"/>
      <c r="V581" s="9"/>
      <c r="W581" s="17"/>
      <c r="X581" s="100"/>
      <c r="Y581" s="103"/>
      <c r="Z581" s="62"/>
      <c r="AA581" s="10"/>
      <c r="AB581" s="11"/>
      <c r="AD581" s="65"/>
      <c r="AE581" s="5"/>
      <c r="AF581" s="9"/>
      <c r="AG581" s="9"/>
      <c r="AH581" s="9"/>
      <c r="AI581" s="5"/>
      <c r="AJ581" s="9"/>
      <c r="AK581" s="17"/>
      <c r="AL581" s="100"/>
      <c r="AM581" s="103"/>
      <c r="AN581" s="62"/>
      <c r="AO581" s="10"/>
      <c r="AP581" s="11"/>
    </row>
    <row r="582" spans="1:42" ht="15" customHeight="1">
      <c r="A582" s="12"/>
      <c r="B582" s="8"/>
      <c r="C582" s="58"/>
      <c r="D582" s="9"/>
      <c r="E582" s="9"/>
      <c r="F582" s="9"/>
      <c r="G582" s="30" t="s">
        <v>24</v>
      </c>
      <c r="H582" s="26">
        <f>D580-H581</f>
        <v>101345</v>
      </c>
      <c r="I582" s="28">
        <f>H582/D578</f>
        <v>0.44586449626044877</v>
      </c>
      <c r="J582" s="28"/>
      <c r="K582" s="9"/>
      <c r="L582" s="9"/>
      <c r="M582" s="9"/>
      <c r="N582" s="11"/>
      <c r="O582" s="2"/>
      <c r="P582" s="65"/>
      <c r="Q582" s="5"/>
      <c r="R582" s="9"/>
      <c r="S582" s="26"/>
      <c r="T582" s="9"/>
      <c r="U582" s="5"/>
      <c r="V582" s="9"/>
      <c r="W582" s="17"/>
      <c r="X582" s="100"/>
      <c r="Y582" s="103"/>
      <c r="Z582" s="62"/>
      <c r="AA582" s="10"/>
      <c r="AB582" s="11"/>
      <c r="AD582" s="65"/>
      <c r="AE582" s="5"/>
      <c r="AF582" s="9"/>
      <c r="AG582" s="26"/>
      <c r="AH582" s="9"/>
      <c r="AI582" s="5"/>
      <c r="AJ582" s="9"/>
      <c r="AK582" s="17"/>
      <c r="AL582" s="100"/>
      <c r="AM582" s="103"/>
      <c r="AN582" s="62"/>
      <c r="AO582" s="10"/>
      <c r="AP582" s="11"/>
    </row>
    <row r="583" spans="1:42" ht="15" customHeight="1">
      <c r="A583" s="33"/>
      <c r="B583" s="32"/>
      <c r="C583" s="58"/>
      <c r="D583" s="9"/>
      <c r="E583" s="9"/>
      <c r="F583" s="9"/>
      <c r="G583" s="104"/>
      <c r="H583" s="106"/>
      <c r="I583" s="28"/>
      <c r="J583" s="28"/>
      <c r="K583" s="9"/>
      <c r="L583" s="9"/>
      <c r="M583" s="9"/>
      <c r="N583" s="11"/>
      <c r="O583" s="2"/>
      <c r="P583" s="65"/>
      <c r="Q583" s="5"/>
      <c r="R583" s="17"/>
      <c r="S583" s="111"/>
      <c r="T583" s="45"/>
      <c r="U583" s="5"/>
      <c r="V583" s="9"/>
      <c r="W583" s="17"/>
      <c r="X583" s="100"/>
      <c r="Y583" s="103"/>
      <c r="Z583" s="62"/>
      <c r="AA583" s="10"/>
      <c r="AB583" s="11"/>
      <c r="AD583" s="65"/>
      <c r="AE583" s="5"/>
      <c r="AF583" s="17"/>
      <c r="AG583" s="111"/>
      <c r="AH583" s="45"/>
      <c r="AI583" s="5"/>
      <c r="AJ583" s="9"/>
      <c r="AK583" s="17"/>
      <c r="AL583" s="100"/>
      <c r="AM583" s="103"/>
      <c r="AN583" s="62"/>
      <c r="AO583" s="10"/>
      <c r="AP583" s="11"/>
    </row>
    <row r="584" spans="1:42" ht="15" customHeight="1">
      <c r="A584" s="98"/>
      <c r="B584" s="99"/>
      <c r="C584" s="5"/>
      <c r="D584" s="9"/>
      <c r="E584" s="9"/>
      <c r="F584" s="9"/>
      <c r="G584" s="27"/>
      <c r="H584" s="17"/>
      <c r="I584" s="28"/>
      <c r="J584" s="28"/>
      <c r="K584" s="10"/>
      <c r="L584" s="10"/>
      <c r="M584" s="10"/>
      <c r="N584" s="11"/>
      <c r="O584" s="2"/>
      <c r="P584" s="12"/>
      <c r="Q584" s="9"/>
      <c r="R584" s="9"/>
      <c r="T584" s="9"/>
      <c r="U584" s="5"/>
      <c r="V584" s="9"/>
      <c r="W584" s="9"/>
      <c r="X584" s="41"/>
      <c r="Y584" s="67"/>
      <c r="Z584" s="10"/>
      <c r="AA584" s="10"/>
      <c r="AB584" s="11"/>
      <c r="AD584" s="12"/>
      <c r="AE584" s="9"/>
      <c r="AF584" s="9"/>
      <c r="AH584" s="9"/>
      <c r="AI584" s="5"/>
      <c r="AJ584" s="9"/>
      <c r="AK584" s="9"/>
      <c r="AL584" s="54"/>
      <c r="AM584" s="67"/>
      <c r="AN584" s="10"/>
      <c r="AO584" s="10"/>
      <c r="AP584" s="11"/>
    </row>
    <row r="585" spans="1:42" ht="15" customHeight="1">
      <c r="A585" s="191" t="s">
        <v>43</v>
      </c>
      <c r="B585" s="191"/>
      <c r="C585" s="192" t="s">
        <v>46</v>
      </c>
      <c r="D585" s="192"/>
      <c r="E585" s="192" t="s">
        <v>47</v>
      </c>
      <c r="F585" s="192"/>
      <c r="G585" s="102"/>
      <c r="H585" s="93"/>
      <c r="I585" s="101"/>
      <c r="J585" s="101"/>
      <c r="K585" s="10"/>
      <c r="L585" s="10"/>
      <c r="M585" s="10"/>
      <c r="N585" s="11"/>
      <c r="O585" s="2"/>
      <c r="P585" s="79"/>
      <c r="Q585" s="45"/>
      <c r="R585" s="9"/>
      <c r="S585" s="5"/>
      <c r="T585" s="9"/>
      <c r="U585" s="5"/>
      <c r="V585" s="9"/>
      <c r="W585" s="9"/>
      <c r="X585" s="41"/>
      <c r="Y585" s="67"/>
      <c r="Z585" s="10"/>
      <c r="AA585" s="10"/>
      <c r="AB585" s="11"/>
      <c r="AD585" s="79"/>
      <c r="AE585" s="45"/>
      <c r="AF585" s="9"/>
      <c r="AG585" s="5"/>
      <c r="AH585" s="9"/>
      <c r="AI585" s="5"/>
      <c r="AJ585" s="9"/>
      <c r="AK585" s="9"/>
      <c r="AL585" s="54"/>
      <c r="AM585" s="67"/>
      <c r="AN585" s="10"/>
      <c r="AO585" s="10"/>
      <c r="AP585" s="11"/>
    </row>
    <row r="586" spans="1:42">
      <c r="A586" s="193">
        <f>E579+S578+AG578</f>
        <v>890600</v>
      </c>
      <c r="B586" s="193"/>
      <c r="C586" s="194">
        <f>H581+Z577+AN577</f>
        <v>128192</v>
      </c>
      <c r="D586" s="194"/>
      <c r="E586" s="194">
        <f>I580+Z580+AN580</f>
        <v>0</v>
      </c>
      <c r="F586" s="194"/>
      <c r="G586" s="84"/>
      <c r="H586" s="44"/>
      <c r="I586" s="28"/>
      <c r="J586" s="28"/>
      <c r="K586" s="10"/>
      <c r="L586" s="10"/>
      <c r="M586" s="10"/>
      <c r="N586" s="11"/>
      <c r="O586" s="2"/>
      <c r="P586" s="165" t="s">
        <v>26</v>
      </c>
      <c r="Q586" s="165"/>
      <c r="R586" s="29">
        <f>SUM(R521,R525,R529,R533,R537,R541,R546,R549,R553,R557,R561,R565,R569)*100</f>
        <v>109000</v>
      </c>
      <c r="S586" s="45"/>
      <c r="T586" s="9"/>
      <c r="U586" s="5">
        <f>R586/V586</f>
        <v>5736.8421052631575</v>
      </c>
      <c r="V586" s="29">
        <f>SUM(V521,V525,V529,V533,V537,V541,V546,V549,V553,V557,V561,V565,V569)</f>
        <v>19</v>
      </c>
      <c r="W586" s="9"/>
      <c r="X586" s="64" t="str">
        <f t="shared" ref="X586:Y589" si="519">X521</f>
        <v>キティヒョウ柄マスコット</v>
      </c>
      <c r="Y586" s="62">
        <f t="shared" si="519"/>
        <v>996</v>
      </c>
      <c r="Z586" s="29">
        <f>SUM(Z521,Z525,Z529,Z533,Z537,Z541,Z546,Z549,Z553,Z557,Z561,Z565,Z569)</f>
        <v>18344</v>
      </c>
      <c r="AA586" s="28">
        <f>Z586/R586</f>
        <v>0.16829357798165137</v>
      </c>
      <c r="AB586" s="11"/>
      <c r="AC586" s="16"/>
      <c r="AD586" s="165" t="s">
        <v>26</v>
      </c>
      <c r="AE586" s="165"/>
      <c r="AF586" s="29">
        <f>SUM(AF521,AF525,AF529,AF533,AF537,AF541,AF545,AF549,AF553,AF557,AF561,AF565,AF569)*100</f>
        <v>47800</v>
      </c>
      <c r="AG586" s="45"/>
      <c r="AH586" s="9"/>
      <c r="AI586" s="5">
        <f>AF586/AJ586</f>
        <v>2515.7894736842104</v>
      </c>
      <c r="AJ586" s="29">
        <f>SUM(AJ521,AJ525,AJ529,AJ533,AJ537,AJ541,AJ546,AJ549,AJ553,AJ557,AJ561,AJ565,AJ569)</f>
        <v>19</v>
      </c>
      <c r="AK586" s="9"/>
      <c r="AL586" s="61" t="str">
        <f t="shared" ref="AL586:AM589" si="520">AL521</f>
        <v>キティフェイスポーチ</v>
      </c>
      <c r="AM586" s="62">
        <f t="shared" si="520"/>
        <v>0</v>
      </c>
      <c r="AN586" s="29">
        <f>SUM(AN521,AN525,AN529,AN533,AN537,AN541,AN546,AN549,AN553,AN557,AN561,AN565,AN569)</f>
        <v>9415</v>
      </c>
      <c r="AO586" s="28">
        <f>AN586/AF586</f>
        <v>0.19696652719665272</v>
      </c>
      <c r="AP586" s="11"/>
    </row>
    <row r="587" spans="1:42">
      <c r="A587" s="190">
        <v>208000</v>
      </c>
      <c r="B587" s="190"/>
      <c r="C587" s="45"/>
      <c r="D587" s="105">
        <f>C586/A586</f>
        <v>0.14393891758365146</v>
      </c>
      <c r="E587" s="9"/>
      <c r="F587" s="9"/>
      <c r="G587" s="5"/>
      <c r="H587" s="9"/>
      <c r="I587" s="9"/>
      <c r="J587" s="9"/>
      <c r="K587" s="9"/>
      <c r="L587" s="9"/>
      <c r="M587" s="9"/>
      <c r="N587" s="11"/>
      <c r="O587" s="2"/>
      <c r="P587" s="165" t="s">
        <v>26</v>
      </c>
      <c r="Q587" s="165"/>
      <c r="R587" s="29">
        <f>SUM(R522,R526,R530,R534,R538,R542,R545,R550,R554,R558,R562,R566,R570)*100</f>
        <v>67100</v>
      </c>
      <c r="S587" s="45"/>
      <c r="T587" s="9"/>
      <c r="U587" s="5">
        <f>R587/V587</f>
        <v>4792.8571428571431</v>
      </c>
      <c r="V587" s="29">
        <f>SUM(V522,V526,V530,V534,V538,V542,V545,V550,V554,V558,V562,V566,V570)</f>
        <v>14</v>
      </c>
      <c r="W587" s="9"/>
      <c r="X587" s="64" t="str">
        <f t="shared" si="519"/>
        <v>サンリオミニリュック</v>
      </c>
      <c r="Y587" s="62">
        <f t="shared" si="519"/>
        <v>600</v>
      </c>
      <c r="Z587" s="29">
        <f>SUM(Z522,Z526,Z530,Z534,Z538,Z542,Z545,Z550,Z554,Z558,Z562,Z566,Z570)</f>
        <v>11316</v>
      </c>
      <c r="AA587" s="28">
        <f>Z587/R587</f>
        <v>0.16864381520119226</v>
      </c>
      <c r="AB587" s="11"/>
      <c r="AC587" s="1"/>
      <c r="AD587" s="165" t="s">
        <v>26</v>
      </c>
      <c r="AE587" s="165"/>
      <c r="AF587" s="29">
        <f>SUM(AF522,AF526,AF530,AF534,AF538,AF542,AF546,AF550,AF554,AF558,AF562,AF566,AF570)*100</f>
        <v>65400</v>
      </c>
      <c r="AG587" s="45"/>
      <c r="AH587" s="9"/>
      <c r="AI587" s="5">
        <f>AF587/AJ587</f>
        <v>3633.3333333333335</v>
      </c>
      <c r="AJ587" s="29">
        <f>SUM(AJ522,AJ526,AJ530,AJ534,AJ538,AJ542,AJ545,AJ550,AJ554,AJ558,AJ562,AJ566,AJ570)</f>
        <v>18</v>
      </c>
      <c r="AK587" s="9"/>
      <c r="AL587" s="61" t="str">
        <f t="shared" si="520"/>
        <v>液晶ミニカメラ</v>
      </c>
      <c r="AM587" s="62">
        <f t="shared" si="520"/>
        <v>1075</v>
      </c>
      <c r="AN587" s="29">
        <f>SUM(AN522,AN526,AN530,AN534,AN538,AN542,AN545,AN550,AN554,AN558,AN562,AN566,AN570)</f>
        <v>15048</v>
      </c>
      <c r="AO587" s="28">
        <f>AN587/AF587</f>
        <v>0.23009174311926606</v>
      </c>
      <c r="AP587" s="11"/>
    </row>
    <row r="588" spans="1:42">
      <c r="A588" s="95"/>
      <c r="B588" s="95"/>
      <c r="C588" s="45"/>
      <c r="D588" s="9"/>
      <c r="E588" s="9"/>
      <c r="F588" s="9"/>
      <c r="G588" s="5"/>
      <c r="H588" s="9"/>
      <c r="I588" s="9"/>
      <c r="J588" s="9"/>
      <c r="K588" s="9"/>
      <c r="L588" s="9"/>
      <c r="M588" s="9"/>
      <c r="N588" s="11"/>
      <c r="O588" s="2"/>
      <c r="P588" s="165" t="s">
        <v>26</v>
      </c>
      <c r="Q588" s="165"/>
      <c r="R588" s="29">
        <f>SUM(R523,R527,R531,R535,R539,R543,R547,R551,R555,R559,R563,R567,R571)*100</f>
        <v>78000</v>
      </c>
      <c r="S588" s="45"/>
      <c r="T588" s="9"/>
      <c r="U588" s="5">
        <f>R588/V588</f>
        <v>5571.4285714285716</v>
      </c>
      <c r="V588" s="29">
        <f>SUM(V523,V527,V531,V536,V539,V543,V547,V551,V555,V559,V563,V567,V571)</f>
        <v>14</v>
      </c>
      <c r="W588" s="9"/>
      <c r="X588" s="64" t="str">
        <f t="shared" si="519"/>
        <v>ラブブマスコット</v>
      </c>
      <c r="Y588" s="62">
        <f t="shared" si="519"/>
        <v>400</v>
      </c>
      <c r="Z588" s="29">
        <f>SUM(Z523,Z527,Z531,Z536,Z539,Z543,Z547,Z551,Z555,Z559,Z563,Z567,Z571)</f>
        <v>5600</v>
      </c>
      <c r="AA588" s="28">
        <f>Z588/R588</f>
        <v>7.179487179487179E-2</v>
      </c>
      <c r="AB588" s="11"/>
      <c r="AC588" s="1"/>
      <c r="AD588" s="165" t="s">
        <v>26</v>
      </c>
      <c r="AE588" s="165"/>
      <c r="AF588" s="29">
        <f>SUM(AF523,AF527,AF531,AF535,AF539,AF543,AF547,AF551,AF555,AF559,AF563,AF567,AF571)*100</f>
        <v>68600</v>
      </c>
      <c r="AG588" s="45"/>
      <c r="AH588" s="9"/>
      <c r="AI588" s="5">
        <f>AF588/AJ588</f>
        <v>1854.0540540540539</v>
      </c>
      <c r="AJ588" s="29">
        <f>SUM(AJ523,AJ527,AJ531,AJ536,AJ539,AJ543,AJ547,AJ551,AJ555,AJ559,AJ563,AJ567,AJ571)</f>
        <v>37</v>
      </c>
      <c r="AK588" s="9"/>
      <c r="AL588" s="61" t="str">
        <f t="shared" si="520"/>
        <v>ＡＩマスコット</v>
      </c>
      <c r="AM588" s="62">
        <f t="shared" si="520"/>
        <v>286</v>
      </c>
      <c r="AN588" s="29">
        <f>SUM(AN523,AN527,AN531,AN536,AN539,AN543,AN547,AN551,AN555,AN559,AN563,AN567,AN571)</f>
        <v>8862</v>
      </c>
      <c r="AO588" s="28">
        <f>AN588/AF588</f>
        <v>0.12918367346938775</v>
      </c>
      <c r="AP588" s="11"/>
    </row>
    <row r="589" spans="1:42">
      <c r="A589" s="95"/>
      <c r="B589" s="95"/>
      <c r="C589" s="45"/>
      <c r="D589" s="9"/>
      <c r="E589" s="9"/>
      <c r="F589" s="9"/>
      <c r="G589" s="5"/>
      <c r="H589" s="9"/>
      <c r="I589" s="9"/>
      <c r="J589" s="9"/>
      <c r="K589" s="9"/>
      <c r="L589" s="9"/>
      <c r="M589" s="9"/>
      <c r="N589" s="11"/>
      <c r="O589" s="2"/>
      <c r="P589" s="165" t="s">
        <v>26</v>
      </c>
      <c r="Q589" s="165"/>
      <c r="R589" s="29">
        <f>SUM(R524,R528,R532,R536,R540,R544,R548,R552,R556,R560,R564,R568,R572)*100</f>
        <v>109800</v>
      </c>
      <c r="S589" s="45"/>
      <c r="T589" s="9"/>
      <c r="U589" s="5">
        <f>R589/V589</f>
        <v>5490</v>
      </c>
      <c r="V589" s="29">
        <f>SUM(V524,V528,V532,V535,V540,V544,V548,V552,V556,V560,V564,V568,V572)</f>
        <v>20</v>
      </c>
      <c r="W589" s="9"/>
      <c r="X589" s="64" t="str">
        <f t="shared" si="519"/>
        <v>ラブブキーホルダー</v>
      </c>
      <c r="Y589" s="62">
        <f t="shared" si="519"/>
        <v>400</v>
      </c>
      <c r="Z589" s="29">
        <f>SUM(Z524,Z528,Z532,Z535,Z540,Z544,Z548,Z552,Z556,Z560,Z564,Z568,Z572)</f>
        <v>8000</v>
      </c>
      <c r="AA589" s="28">
        <f>Z589/R589</f>
        <v>7.2859744990892539E-2</v>
      </c>
      <c r="AB589" s="11"/>
      <c r="AC589" s="1"/>
      <c r="AD589" s="165" t="s">
        <v>26</v>
      </c>
      <c r="AE589" s="165"/>
      <c r="AF589" s="29">
        <f>SUM(AF524,AF528,AF532,AF536,AF540,AF544,AF548,AF552,AF556,AF560,AF564,AF568,AF572)*100</f>
        <v>117600</v>
      </c>
      <c r="AG589" s="45"/>
      <c r="AH589" s="9"/>
      <c r="AI589" s="5">
        <f>AF589/AJ589</f>
        <v>1434.1463414634147</v>
      </c>
      <c r="AJ589" s="29">
        <f>SUM(AJ524,AJ528,AJ532,AJ535,AJ540,AJ544,AJ548,AJ552,AJ556,AJ560,AJ564,AJ568,AJ572)</f>
        <v>82</v>
      </c>
      <c r="AK589" s="9"/>
      <c r="AL589" s="61" t="str">
        <f t="shared" si="520"/>
        <v>AIモンスターラバー</v>
      </c>
      <c r="AM589" s="62">
        <f t="shared" si="520"/>
        <v>200</v>
      </c>
      <c r="AN589" s="29">
        <f>SUM(AN524,AN528,AN532,AN535,AN540,AN544,AN548,AN552,AN556,AN560,AN564,AN568,AN572)</f>
        <v>16572</v>
      </c>
      <c r="AO589" s="28">
        <f>AN589/AF589</f>
        <v>0.14091836734693877</v>
      </c>
      <c r="AP589" s="11"/>
    </row>
    <row r="590" spans="1:42">
      <c r="A590" s="95"/>
      <c r="B590" s="95"/>
      <c r="C590" s="45"/>
      <c r="D590" s="9"/>
      <c r="E590" s="9"/>
      <c r="F590" s="9"/>
      <c r="G590" s="5"/>
      <c r="H590" s="9"/>
      <c r="I590" s="9"/>
      <c r="J590" s="9"/>
      <c r="K590" s="9"/>
      <c r="L590" s="9"/>
      <c r="M590" s="9"/>
      <c r="N590" s="11"/>
      <c r="O590" s="2"/>
      <c r="P590" s="12"/>
      <c r="Q590" s="5" t="s">
        <v>17</v>
      </c>
      <c r="R590" s="9">
        <f>SUM(R586:R589)</f>
        <v>363900</v>
      </c>
      <c r="S590" s="45"/>
      <c r="T590" s="9"/>
      <c r="U590" s="9"/>
      <c r="V590" s="9">
        <f>SUM(V586:V589)</f>
        <v>67</v>
      </c>
      <c r="W590" s="9"/>
      <c r="X590" s="163" t="s">
        <v>28</v>
      </c>
      <c r="Y590" s="163"/>
      <c r="Z590" s="44">
        <f>SUM(Z586:Z589)</f>
        <v>43260</v>
      </c>
      <c r="AA590" s="68">
        <f>Z590/R590</f>
        <v>0.118878812860676</v>
      </c>
      <c r="AB590" s="69"/>
      <c r="AC590" s="1"/>
      <c r="AD590" s="12"/>
      <c r="AE590" s="5" t="s">
        <v>17</v>
      </c>
      <c r="AF590" s="9">
        <f>SUM(AF586:AF589)</f>
        <v>299400</v>
      </c>
      <c r="AG590" s="45"/>
      <c r="AH590" s="9"/>
      <c r="AI590" s="9"/>
      <c r="AJ590" s="9">
        <f>SUM(AJ586:AJ589)</f>
        <v>156</v>
      </c>
      <c r="AK590" s="9"/>
      <c r="AL590" s="163" t="s">
        <v>28</v>
      </c>
      <c r="AM590" s="163"/>
      <c r="AN590" s="44">
        <f>SUM(AN586:AN589)</f>
        <v>49897</v>
      </c>
      <c r="AO590" s="68">
        <f>AN590/AF590</f>
        <v>0.1666566466265865</v>
      </c>
      <c r="AP590" s="11"/>
    </row>
    <row r="591" spans="1:42">
      <c r="A591" s="14"/>
      <c r="B591" s="76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2"/>
      <c r="P591" s="33"/>
      <c r="Q591" s="2"/>
      <c r="R591" s="2"/>
      <c r="S591" s="2"/>
      <c r="T591" s="2"/>
      <c r="U591" s="2"/>
      <c r="V591" s="2"/>
      <c r="W591" s="2"/>
      <c r="X591" s="43"/>
      <c r="Y591" s="2"/>
      <c r="Z591" s="2"/>
      <c r="AA591" s="2"/>
      <c r="AB591" s="42"/>
      <c r="AC591" s="1"/>
      <c r="AD591" s="33"/>
      <c r="AE591" s="2"/>
      <c r="AF591" s="2"/>
      <c r="AG591" s="2"/>
      <c r="AH591" s="2"/>
      <c r="AI591" s="2"/>
      <c r="AJ591" s="2"/>
      <c r="AK591" s="2"/>
      <c r="AL591" s="55"/>
      <c r="AM591" s="2"/>
      <c r="AN591" s="2"/>
      <c r="AO591" s="2"/>
      <c r="AP591" s="42"/>
    </row>
    <row r="592" spans="1:42" ht="15" customHeight="1">
      <c r="A592" s="33"/>
      <c r="B592" s="3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4"/>
      <c r="O592" s="2"/>
      <c r="P592" s="33"/>
      <c r="Q592" s="2"/>
      <c r="R592" s="2"/>
      <c r="S592" s="2"/>
      <c r="T592" s="2"/>
      <c r="U592" s="2"/>
      <c r="V592" s="2"/>
      <c r="W592" s="2"/>
      <c r="X592" s="43"/>
      <c r="Y592" s="2"/>
      <c r="Z592" s="2"/>
      <c r="AA592" s="2"/>
      <c r="AB592" s="42"/>
      <c r="AC592" s="2"/>
      <c r="AD592" s="33"/>
      <c r="AE592" s="2"/>
      <c r="AF592" s="2"/>
      <c r="AG592" s="2"/>
      <c r="AH592" s="2"/>
      <c r="AI592" s="2"/>
      <c r="AJ592" s="2"/>
      <c r="AK592" s="2"/>
      <c r="AL592" s="55"/>
      <c r="AM592" s="2"/>
      <c r="AN592" s="2"/>
      <c r="AO592" s="2"/>
      <c r="AP592" s="42"/>
    </row>
    <row r="593" spans="1:42">
      <c r="A593" s="188" t="s">
        <v>40</v>
      </c>
      <c r="B593" s="188"/>
      <c r="C593" s="189" t="s">
        <v>41</v>
      </c>
      <c r="D593" s="189"/>
      <c r="E593" s="36"/>
      <c r="F593" s="36"/>
      <c r="G593" s="59"/>
      <c r="H593" s="59"/>
      <c r="I593" s="59"/>
      <c r="J593" s="59"/>
      <c r="K593" s="59"/>
      <c r="L593" s="59"/>
      <c r="M593" s="59"/>
      <c r="N593" s="60"/>
      <c r="O593" s="56"/>
      <c r="P593" s="185" t="s">
        <v>39</v>
      </c>
      <c r="Q593" s="185"/>
      <c r="R593" s="185"/>
      <c r="S593" s="184" t="s">
        <v>38</v>
      </c>
      <c r="T593" s="184"/>
      <c r="U593" s="71"/>
      <c r="V593" s="71"/>
      <c r="W593" s="71"/>
      <c r="X593" s="72"/>
      <c r="Y593" s="71"/>
      <c r="Z593" s="71"/>
      <c r="AA593" s="71"/>
      <c r="AB593" s="73"/>
      <c r="AC593" s="74"/>
      <c r="AD593" s="185" t="s">
        <v>39</v>
      </c>
      <c r="AE593" s="185"/>
      <c r="AF593" s="185"/>
      <c r="AG593" s="184" t="s">
        <v>37</v>
      </c>
      <c r="AH593" s="184"/>
      <c r="AI593" s="71"/>
      <c r="AJ593" s="71"/>
      <c r="AK593" s="71"/>
      <c r="AL593" s="75"/>
      <c r="AM593" s="71"/>
      <c r="AN593" s="71"/>
      <c r="AO593" s="71"/>
      <c r="AP593" s="73"/>
    </row>
    <row r="594" spans="1:42">
      <c r="A594" s="7" t="s">
        <v>0</v>
      </c>
      <c r="B594" s="112" t="s">
        <v>34</v>
      </c>
      <c r="C594" s="5" t="s">
        <v>1</v>
      </c>
      <c r="D594" s="5" t="s">
        <v>2</v>
      </c>
      <c r="E594" s="6" t="s">
        <v>3</v>
      </c>
      <c r="F594" s="5" t="s">
        <v>2</v>
      </c>
      <c r="G594" s="5" t="s">
        <v>4</v>
      </c>
      <c r="H594" s="5" t="s">
        <v>5</v>
      </c>
      <c r="I594" s="5" t="s">
        <v>6</v>
      </c>
      <c r="J594" s="5"/>
      <c r="K594" s="5" t="s">
        <v>7</v>
      </c>
      <c r="L594" s="5" t="s">
        <v>8</v>
      </c>
      <c r="M594" s="5" t="s">
        <v>9</v>
      </c>
      <c r="N594" s="5" t="s">
        <v>10</v>
      </c>
      <c r="O594" s="2"/>
      <c r="P594" s="7" t="s">
        <v>0</v>
      </c>
      <c r="Q594" s="5" t="s">
        <v>1</v>
      </c>
      <c r="R594" s="5" t="s">
        <v>2</v>
      </c>
      <c r="S594" s="6" t="s">
        <v>3</v>
      </c>
      <c r="T594" s="5" t="s">
        <v>2</v>
      </c>
      <c r="U594" s="5" t="s">
        <v>4</v>
      </c>
      <c r="V594" s="5" t="s">
        <v>5</v>
      </c>
      <c r="W594" s="5" t="s">
        <v>6</v>
      </c>
      <c r="X594" s="6" t="s">
        <v>11</v>
      </c>
      <c r="Y594" s="5" t="s">
        <v>7</v>
      </c>
      <c r="Z594" s="5" t="s">
        <v>5</v>
      </c>
      <c r="AA594" s="5" t="s">
        <v>12</v>
      </c>
      <c r="AB594" s="5" t="s">
        <v>10</v>
      </c>
      <c r="AC594" s="3"/>
      <c r="AD594" s="7" t="s">
        <v>0</v>
      </c>
      <c r="AE594" s="5" t="s">
        <v>1</v>
      </c>
      <c r="AF594" s="5" t="s">
        <v>2</v>
      </c>
      <c r="AG594" s="6" t="s">
        <v>3</v>
      </c>
      <c r="AH594" s="5" t="s">
        <v>2</v>
      </c>
      <c r="AI594" s="5" t="s">
        <v>4</v>
      </c>
      <c r="AJ594" s="5" t="s">
        <v>5</v>
      </c>
      <c r="AK594" s="5" t="s">
        <v>6</v>
      </c>
      <c r="AL594" s="46" t="s">
        <v>11</v>
      </c>
      <c r="AM594" s="5" t="s">
        <v>7</v>
      </c>
      <c r="AN594" s="5" t="s">
        <v>5</v>
      </c>
      <c r="AO594" s="5" t="s">
        <v>12</v>
      </c>
      <c r="AP594" s="5" t="s">
        <v>10</v>
      </c>
    </row>
    <row r="595" spans="1:42">
      <c r="A595" s="12">
        <v>45916</v>
      </c>
      <c r="B595" s="8">
        <v>1586</v>
      </c>
      <c r="C595" s="13">
        <v>25304</v>
      </c>
      <c r="D595" s="9">
        <v>281</v>
      </c>
      <c r="E595" s="9">
        <v>893</v>
      </c>
      <c r="F595" s="9">
        <v>6</v>
      </c>
      <c r="G595" s="9">
        <v>34</v>
      </c>
      <c r="H595" s="9">
        <v>7</v>
      </c>
      <c r="I595" s="9"/>
      <c r="J595" s="44"/>
      <c r="K595" s="44">
        <v>880</v>
      </c>
      <c r="L595" s="9">
        <v>6160</v>
      </c>
      <c r="M595" s="10">
        <v>0.21921708185053382</v>
      </c>
      <c r="N595" s="70" t="s">
        <v>129</v>
      </c>
      <c r="O595" s="2"/>
      <c r="P595" s="12">
        <v>45916</v>
      </c>
      <c r="Q595" s="44">
        <v>7225</v>
      </c>
      <c r="R595" s="44">
        <v>34</v>
      </c>
      <c r="S595" s="44">
        <v>224</v>
      </c>
      <c r="T595" s="44">
        <v>4</v>
      </c>
      <c r="U595" s="44">
        <v>11</v>
      </c>
      <c r="V595" s="44">
        <v>4</v>
      </c>
      <c r="W595" s="44"/>
      <c r="X595" s="64" t="s">
        <v>123</v>
      </c>
      <c r="Y595" s="62">
        <v>660</v>
      </c>
      <c r="Z595" s="44">
        <v>2640</v>
      </c>
      <c r="AA595" s="63">
        <v>0.77647058823529413</v>
      </c>
      <c r="AB595" s="11"/>
      <c r="AC595" s="1"/>
      <c r="AD595" s="12">
        <v>45916</v>
      </c>
      <c r="AE595" s="44">
        <v>5985</v>
      </c>
      <c r="AF595" s="44">
        <v>67</v>
      </c>
      <c r="AG595" s="44">
        <v>172</v>
      </c>
      <c r="AH595" s="44">
        <v>0</v>
      </c>
      <c r="AI595" s="44">
        <v>16</v>
      </c>
      <c r="AJ595" s="44">
        <v>0</v>
      </c>
      <c r="AK595" s="44"/>
      <c r="AL595" s="61" t="s">
        <v>145</v>
      </c>
      <c r="AM595" s="62">
        <v>605</v>
      </c>
      <c r="AN595" s="44">
        <v>0</v>
      </c>
      <c r="AO595" s="63">
        <v>0</v>
      </c>
      <c r="AP595" s="11"/>
    </row>
    <row r="596" spans="1:42">
      <c r="A596" s="12">
        <v>45919</v>
      </c>
      <c r="B596" s="8">
        <f>IF(A596="","",SUM(D596)+SUM(R599:R602)+SUM(AF599:AF602))</f>
        <v>760</v>
      </c>
      <c r="C596" s="13">
        <v>25447</v>
      </c>
      <c r="D596" s="9">
        <f t="shared" ref="D596:D608" si="521">IF(C596="","",C596-C595)</f>
        <v>143</v>
      </c>
      <c r="E596" s="9">
        <v>893</v>
      </c>
      <c r="F596" s="9">
        <f t="shared" ref="F596:F608" si="522">IF(E596="","",E596-E595)</f>
        <v>0</v>
      </c>
      <c r="G596" s="9">
        <v>34</v>
      </c>
      <c r="H596" s="9">
        <f t="shared" ref="H596:H608" si="523">IF(G596="","",G595+I595-G596)</f>
        <v>0</v>
      </c>
      <c r="I596" s="9">
        <v>4</v>
      </c>
      <c r="J596" s="44"/>
      <c r="K596" s="44">
        <f t="shared" ref="K596:K608" si="524">IF(C596="","",K595)</f>
        <v>880</v>
      </c>
      <c r="L596" s="9">
        <f t="shared" ref="L596:L608" si="525">IF(K596="","",H596*K596)</f>
        <v>0</v>
      </c>
      <c r="M596" s="10">
        <f t="shared" ref="M596:M608" si="526">IF(L596="","",L596/(D596*100))</f>
        <v>0</v>
      </c>
      <c r="N596" s="11"/>
      <c r="O596" s="2"/>
      <c r="P596" s="12"/>
      <c r="Q596" s="9">
        <v>7962</v>
      </c>
      <c r="R596" s="9">
        <v>92</v>
      </c>
      <c r="S596" s="9">
        <v>176</v>
      </c>
      <c r="T596" s="9">
        <v>3</v>
      </c>
      <c r="U596" s="9">
        <v>8</v>
      </c>
      <c r="V596" s="9">
        <v>3</v>
      </c>
      <c r="W596" s="9"/>
      <c r="X596" s="64" t="s">
        <v>131</v>
      </c>
      <c r="Y596" s="44">
        <v>600</v>
      </c>
      <c r="Z596" s="9">
        <v>1800</v>
      </c>
      <c r="AA596" s="10">
        <v>0.19565217391304349</v>
      </c>
      <c r="AB596" s="11"/>
      <c r="AC596" s="1"/>
      <c r="AD596" s="12"/>
      <c r="AE596" s="9">
        <v>7819</v>
      </c>
      <c r="AF596" s="9">
        <v>111</v>
      </c>
      <c r="AG596" s="9">
        <v>134</v>
      </c>
      <c r="AH596" s="9">
        <v>2</v>
      </c>
      <c r="AI596" s="9">
        <v>11</v>
      </c>
      <c r="AJ596" s="9">
        <v>4</v>
      </c>
      <c r="AK596" s="9"/>
      <c r="AL596" s="47" t="s">
        <v>54</v>
      </c>
      <c r="AM596" s="45">
        <v>800</v>
      </c>
      <c r="AN596" s="9">
        <v>3200</v>
      </c>
      <c r="AO596" s="10">
        <v>0.28828828828828829</v>
      </c>
      <c r="AP596" s="11"/>
    </row>
    <row r="597" spans="1:42">
      <c r="A597" s="12">
        <v>45922</v>
      </c>
      <c r="B597" s="8">
        <f>IF(A597="","",SUM(D597)+SUM(R603:R606)+SUM(AF603:AF606))</f>
        <v>1180</v>
      </c>
      <c r="C597" s="13">
        <v>25670</v>
      </c>
      <c r="D597" s="9">
        <f t="shared" si="521"/>
        <v>223</v>
      </c>
      <c r="E597" s="9">
        <v>897</v>
      </c>
      <c r="F597" s="9">
        <f t="shared" si="522"/>
        <v>4</v>
      </c>
      <c r="G597" s="9">
        <v>34</v>
      </c>
      <c r="H597" s="9">
        <f t="shared" si="523"/>
        <v>4</v>
      </c>
      <c r="I597" s="9">
        <v>2</v>
      </c>
      <c r="J597" s="44"/>
      <c r="K597" s="44">
        <f t="shared" si="524"/>
        <v>880</v>
      </c>
      <c r="L597" s="9">
        <f t="shared" si="525"/>
        <v>3520</v>
      </c>
      <c r="M597" s="10">
        <f t="shared" si="526"/>
        <v>0.15784753363228698</v>
      </c>
      <c r="N597" s="11"/>
      <c r="O597" s="2"/>
      <c r="P597" s="12"/>
      <c r="Q597" s="9">
        <v>7645</v>
      </c>
      <c r="R597" s="9">
        <v>224</v>
      </c>
      <c r="S597" s="9">
        <v>313</v>
      </c>
      <c r="T597" s="9">
        <v>5</v>
      </c>
      <c r="U597" s="9">
        <v>6</v>
      </c>
      <c r="V597" s="9">
        <v>6</v>
      </c>
      <c r="W597" s="9"/>
      <c r="X597" s="15" t="s">
        <v>150</v>
      </c>
      <c r="Y597" s="45">
        <v>400</v>
      </c>
      <c r="Z597" s="9">
        <v>3600</v>
      </c>
      <c r="AA597" s="10">
        <v>0.16071428571428573</v>
      </c>
      <c r="AB597" s="11"/>
      <c r="AC597" s="1"/>
      <c r="AD597" s="12"/>
      <c r="AE597" s="9">
        <v>8280</v>
      </c>
      <c r="AF597" s="9">
        <v>255</v>
      </c>
      <c r="AG597" s="9">
        <v>349</v>
      </c>
      <c r="AH597" s="9">
        <v>4</v>
      </c>
      <c r="AI597" s="9">
        <v>7</v>
      </c>
      <c r="AJ597" s="9">
        <v>4</v>
      </c>
      <c r="AK597" s="9"/>
      <c r="AL597" s="47" t="s">
        <v>116</v>
      </c>
      <c r="AM597" s="45">
        <v>286</v>
      </c>
      <c r="AN597" s="9">
        <v>1144</v>
      </c>
      <c r="AO597" s="10">
        <v>4.4862745098039218E-2</v>
      </c>
      <c r="AP597" s="11"/>
    </row>
    <row r="598" spans="1:42" ht="15" customHeight="1" thickBot="1">
      <c r="A598" s="12">
        <v>45927</v>
      </c>
      <c r="B598" s="8">
        <f>IF(A598="","",SUM(D598)+SUM(R607:R610)+SUM(AF607:AF610))</f>
        <v>1499</v>
      </c>
      <c r="C598" s="13">
        <v>26009</v>
      </c>
      <c r="D598" s="9">
        <f t="shared" si="521"/>
        <v>339</v>
      </c>
      <c r="E598" s="9">
        <v>901</v>
      </c>
      <c r="F598" s="9">
        <f t="shared" si="522"/>
        <v>4</v>
      </c>
      <c r="G598" s="9">
        <v>29</v>
      </c>
      <c r="H598" s="9">
        <f t="shared" si="523"/>
        <v>7</v>
      </c>
      <c r="I598" s="9">
        <v>5</v>
      </c>
      <c r="J598" s="44"/>
      <c r="K598" s="44">
        <f t="shared" si="524"/>
        <v>880</v>
      </c>
      <c r="L598" s="9">
        <f t="shared" si="525"/>
        <v>6160</v>
      </c>
      <c r="M598" s="10">
        <f t="shared" si="526"/>
        <v>0.18171091445427728</v>
      </c>
      <c r="N598" s="11"/>
      <c r="O598" s="2"/>
      <c r="P598" s="18"/>
      <c r="Q598" s="21">
        <v>9507</v>
      </c>
      <c r="R598" s="19">
        <v>232</v>
      </c>
      <c r="S598" s="19">
        <v>295</v>
      </c>
      <c r="T598" s="19">
        <v>9</v>
      </c>
      <c r="U598" s="19">
        <v>41</v>
      </c>
      <c r="V598" s="19">
        <v>9</v>
      </c>
      <c r="W598" s="19"/>
      <c r="X598" s="22" t="s">
        <v>149</v>
      </c>
      <c r="Y598" s="19">
        <v>400</v>
      </c>
      <c r="Z598" s="19">
        <v>4500</v>
      </c>
      <c r="AA598" s="20">
        <v>0.19396551724137931</v>
      </c>
      <c r="AB598" s="11"/>
      <c r="AC598" s="1"/>
      <c r="AD598" s="18"/>
      <c r="AE598" s="19">
        <v>9719</v>
      </c>
      <c r="AF598" s="19">
        <v>290</v>
      </c>
      <c r="AG598" s="19">
        <v>308</v>
      </c>
      <c r="AH598" s="19">
        <v>8</v>
      </c>
      <c r="AI598" s="19">
        <v>87</v>
      </c>
      <c r="AJ598" s="19">
        <v>8</v>
      </c>
      <c r="AK598" s="19"/>
      <c r="AL598" s="48" t="s">
        <v>95</v>
      </c>
      <c r="AM598" s="19">
        <v>200</v>
      </c>
      <c r="AN598" s="19">
        <v>1600</v>
      </c>
      <c r="AO598" s="20">
        <v>5.5172413793103448E-2</v>
      </c>
      <c r="AP598" s="11"/>
    </row>
    <row r="599" spans="1:42" ht="15" customHeight="1" thickTop="1">
      <c r="A599" s="12">
        <v>45929</v>
      </c>
      <c r="B599" s="8">
        <f>IF(A599="","",SUM(D599)+SUM(R611:R614)+SUM(AF611:AF614))</f>
        <v>1286</v>
      </c>
      <c r="C599" s="13">
        <v>26128</v>
      </c>
      <c r="D599" s="9">
        <f t="shared" si="521"/>
        <v>119</v>
      </c>
      <c r="E599" s="9">
        <v>902</v>
      </c>
      <c r="F599" s="9">
        <f t="shared" si="522"/>
        <v>1</v>
      </c>
      <c r="G599" s="9">
        <v>31</v>
      </c>
      <c r="H599" s="9">
        <f t="shared" si="523"/>
        <v>3</v>
      </c>
      <c r="I599" s="9">
        <v>6</v>
      </c>
      <c r="J599" s="44"/>
      <c r="K599" s="44">
        <f t="shared" si="524"/>
        <v>880</v>
      </c>
      <c r="L599" s="9">
        <f t="shared" si="525"/>
        <v>2640</v>
      </c>
      <c r="M599" s="10">
        <f t="shared" si="526"/>
        <v>0.22184873949579831</v>
      </c>
      <c r="N599" s="11" t="s">
        <v>158</v>
      </c>
      <c r="O599" s="2"/>
      <c r="P599" s="65">
        <f>IF($A596="","",$A596)</f>
        <v>45919</v>
      </c>
      <c r="Q599" s="44">
        <v>7247</v>
      </c>
      <c r="R599" s="113">
        <f t="shared" ref="R599:R630" si="527">IF(Q599="","",Q599-Q595)</f>
        <v>22</v>
      </c>
      <c r="S599" s="44">
        <v>225</v>
      </c>
      <c r="T599" s="23">
        <f t="shared" ref="T599:T630" si="528">IF(S599="","",S599-S595)</f>
        <v>1</v>
      </c>
      <c r="U599" s="44">
        <v>10</v>
      </c>
      <c r="V599" s="44">
        <f t="shared" ref="V599:V630" si="529">IF(U599="","",U595+W595-U599)</f>
        <v>1</v>
      </c>
      <c r="W599" s="44">
        <v>0</v>
      </c>
      <c r="X599" s="64" t="str">
        <f t="shared" ref="X599:Y606" si="530">IF(Q599="","",X595)</f>
        <v>サンリオでかぱっちん</v>
      </c>
      <c r="Y599" s="62">
        <f t="shared" si="530"/>
        <v>660</v>
      </c>
      <c r="Z599" s="23">
        <f t="shared" ref="Z599:Z630" si="531">IF(U599="","",V599*Y599)</f>
        <v>660</v>
      </c>
      <c r="AA599" s="24">
        <f t="shared" ref="AA599:AA630" si="532">IF(V599="","",Z599/(R599*100))</f>
        <v>0.3</v>
      </c>
      <c r="AB599" s="11"/>
      <c r="AC599" s="1"/>
      <c r="AD599" s="65">
        <f>IF($A596="","",$A596)</f>
        <v>45919</v>
      </c>
      <c r="AE599" s="44">
        <v>6027</v>
      </c>
      <c r="AF599" s="113">
        <f t="shared" ref="AF599:AF630" si="533">IF(AE599="","",AE599-AE595)</f>
        <v>42</v>
      </c>
      <c r="AG599" s="44">
        <v>172</v>
      </c>
      <c r="AH599" s="23">
        <f t="shared" ref="AH599:AH630" si="534">IF(AG599="","",AG599-AG595)</f>
        <v>0</v>
      </c>
      <c r="AI599" s="44">
        <v>16</v>
      </c>
      <c r="AJ599" s="44">
        <f t="shared" ref="AJ599:AJ630" si="535">IF(AI599="","",AI595+AK595-AI599)</f>
        <v>0</v>
      </c>
      <c r="AK599" s="44">
        <v>0</v>
      </c>
      <c r="AL599" s="61" t="str">
        <f t="shared" ref="AL599:AL630" si="536">IF(AE599="","",AL595)</f>
        <v>モンチッチキーケース</v>
      </c>
      <c r="AM599" s="62">
        <f t="shared" ref="AM599:AM630" si="537">IF(AF599="","",AM595)</f>
        <v>605</v>
      </c>
      <c r="AN599" s="23">
        <f t="shared" ref="AN599:AN630" si="538">IF(AI599="","",AJ599*AM599)</f>
        <v>0</v>
      </c>
      <c r="AO599" s="24">
        <f t="shared" ref="AO599:AO630" si="539">IF(AJ599="","",AN599/(AF599*100))</f>
        <v>0</v>
      </c>
      <c r="AP599" s="11"/>
    </row>
    <row r="600" spans="1:42">
      <c r="A600" s="12">
        <v>45934</v>
      </c>
      <c r="B600" s="8">
        <f>IF(A600="","",SUM(D600)+SUM(R615:R618)+SUM(AF615:AF618))</f>
        <v>1293</v>
      </c>
      <c r="C600" s="13">
        <v>26290</v>
      </c>
      <c r="D600" s="9">
        <f t="shared" si="521"/>
        <v>162</v>
      </c>
      <c r="E600" s="9">
        <v>907</v>
      </c>
      <c r="F600" s="9">
        <f t="shared" si="522"/>
        <v>5</v>
      </c>
      <c r="G600" s="9">
        <v>32</v>
      </c>
      <c r="H600" s="9">
        <f t="shared" si="523"/>
        <v>5</v>
      </c>
      <c r="I600" s="9">
        <v>12</v>
      </c>
      <c r="J600" s="44"/>
      <c r="K600" s="44">
        <f t="shared" si="524"/>
        <v>880</v>
      </c>
      <c r="L600" s="9">
        <f t="shared" si="525"/>
        <v>4400</v>
      </c>
      <c r="M600" s="10">
        <f t="shared" si="526"/>
        <v>0.27160493827160492</v>
      </c>
      <c r="N600" s="11"/>
      <c r="O600" s="2"/>
      <c r="P600" s="12"/>
      <c r="Q600" s="9">
        <v>8038</v>
      </c>
      <c r="R600" s="9">
        <f t="shared" si="527"/>
        <v>76</v>
      </c>
      <c r="S600" s="9">
        <v>178</v>
      </c>
      <c r="T600" s="9">
        <f t="shared" si="528"/>
        <v>2</v>
      </c>
      <c r="U600" s="9">
        <v>5</v>
      </c>
      <c r="V600" s="9">
        <f t="shared" si="529"/>
        <v>3</v>
      </c>
      <c r="W600" s="9">
        <v>3</v>
      </c>
      <c r="X600" s="15" t="str">
        <f t="shared" si="530"/>
        <v>サンリオミニリュック</v>
      </c>
      <c r="Y600" s="45">
        <f t="shared" si="530"/>
        <v>600</v>
      </c>
      <c r="Z600" s="9">
        <f t="shared" si="531"/>
        <v>1800</v>
      </c>
      <c r="AA600" s="10">
        <f t="shared" si="532"/>
        <v>0.23684210526315788</v>
      </c>
      <c r="AB600" s="11"/>
      <c r="AC600" s="1"/>
      <c r="AD600" s="12"/>
      <c r="AE600" s="9">
        <v>7852</v>
      </c>
      <c r="AF600" s="81">
        <f t="shared" si="533"/>
        <v>33</v>
      </c>
      <c r="AG600" s="9">
        <v>135</v>
      </c>
      <c r="AH600" s="9">
        <f t="shared" si="534"/>
        <v>1</v>
      </c>
      <c r="AI600" s="9">
        <v>10</v>
      </c>
      <c r="AJ600" s="39">
        <f t="shared" si="535"/>
        <v>1</v>
      </c>
      <c r="AK600" s="9">
        <v>0</v>
      </c>
      <c r="AL600" s="47" t="str">
        <f t="shared" si="536"/>
        <v>デジタルミニカメラ</v>
      </c>
      <c r="AM600" s="45">
        <f t="shared" si="537"/>
        <v>800</v>
      </c>
      <c r="AN600" s="9">
        <f t="shared" si="538"/>
        <v>800</v>
      </c>
      <c r="AO600" s="10">
        <f t="shared" si="539"/>
        <v>0.24242424242424243</v>
      </c>
      <c r="AP600" s="11"/>
    </row>
    <row r="601" spans="1:42">
      <c r="A601" s="12">
        <v>45937</v>
      </c>
      <c r="B601" s="8">
        <f>IF(A601="","",SUM(D601)+SUM(R619:R622)+SUM(AF619:AF622))</f>
        <v>1135</v>
      </c>
      <c r="C601" s="13">
        <v>26466</v>
      </c>
      <c r="D601" s="9">
        <f t="shared" si="521"/>
        <v>176</v>
      </c>
      <c r="E601" s="9">
        <v>911</v>
      </c>
      <c r="F601" s="9">
        <f t="shared" si="522"/>
        <v>4</v>
      </c>
      <c r="G601" s="9">
        <v>36</v>
      </c>
      <c r="H601" s="9">
        <f t="shared" si="523"/>
        <v>8</v>
      </c>
      <c r="I601" s="9">
        <v>0</v>
      </c>
      <c r="J601" s="44"/>
      <c r="K601" s="44">
        <f t="shared" si="524"/>
        <v>880</v>
      </c>
      <c r="L601" s="9">
        <f t="shared" si="525"/>
        <v>7040</v>
      </c>
      <c r="M601" s="10">
        <f t="shared" si="526"/>
        <v>0.4</v>
      </c>
      <c r="N601" s="11"/>
      <c r="O601" s="2"/>
      <c r="P601" s="12"/>
      <c r="Q601" s="9">
        <v>7855</v>
      </c>
      <c r="R601" s="9">
        <f t="shared" si="527"/>
        <v>210</v>
      </c>
      <c r="S601" s="9">
        <v>316</v>
      </c>
      <c r="T601" s="9">
        <f t="shared" si="528"/>
        <v>3</v>
      </c>
      <c r="U601" s="9">
        <v>3</v>
      </c>
      <c r="V601" s="9">
        <f t="shared" si="529"/>
        <v>3</v>
      </c>
      <c r="W601" s="9">
        <v>5</v>
      </c>
      <c r="X601" s="15" t="str">
        <f t="shared" si="530"/>
        <v>ラブブマスコット</v>
      </c>
      <c r="Y601" s="9">
        <f t="shared" si="530"/>
        <v>400</v>
      </c>
      <c r="Z601" s="9">
        <f t="shared" si="531"/>
        <v>1200</v>
      </c>
      <c r="AA601" s="10">
        <f t="shared" si="532"/>
        <v>5.7142857142857141E-2</v>
      </c>
      <c r="AB601" s="11"/>
      <c r="AC601" s="1"/>
      <c r="AD601" s="12"/>
      <c r="AE601" s="9">
        <v>8313</v>
      </c>
      <c r="AF601" s="81">
        <f t="shared" si="533"/>
        <v>33</v>
      </c>
      <c r="AG601" s="9">
        <v>350</v>
      </c>
      <c r="AH601" s="9">
        <f t="shared" si="534"/>
        <v>1</v>
      </c>
      <c r="AI601" s="9">
        <v>6</v>
      </c>
      <c r="AJ601" s="9">
        <f t="shared" si="535"/>
        <v>1</v>
      </c>
      <c r="AK601" s="9">
        <v>3</v>
      </c>
      <c r="AL601" s="47" t="str">
        <f t="shared" si="536"/>
        <v>ＡＩマスコット</v>
      </c>
      <c r="AM601" s="9">
        <f t="shared" si="537"/>
        <v>286</v>
      </c>
      <c r="AN601" s="9">
        <f t="shared" si="538"/>
        <v>286</v>
      </c>
      <c r="AO601" s="10">
        <f t="shared" si="539"/>
        <v>8.666666666666667E-2</v>
      </c>
      <c r="AP601" s="11"/>
    </row>
    <row r="602" spans="1:42" ht="15" customHeight="1" thickBot="1">
      <c r="A602" s="12">
        <v>45940</v>
      </c>
      <c r="B602" s="8">
        <f>IF(A602="","",SUM(D602)+SUM(R623:R626)+SUM(AF623:AF626))</f>
        <v>583</v>
      </c>
      <c r="C602" s="13">
        <v>26513</v>
      </c>
      <c r="D602" s="9">
        <f t="shared" si="521"/>
        <v>47</v>
      </c>
      <c r="E602" s="9">
        <v>912</v>
      </c>
      <c r="F602" s="9">
        <f t="shared" si="522"/>
        <v>1</v>
      </c>
      <c r="G602" s="9">
        <v>35</v>
      </c>
      <c r="H602" s="9">
        <f t="shared" si="523"/>
        <v>1</v>
      </c>
      <c r="I602" s="9">
        <v>-21</v>
      </c>
      <c r="J602" s="44"/>
      <c r="K602" s="44">
        <f t="shared" si="524"/>
        <v>880</v>
      </c>
      <c r="L602" s="9">
        <f t="shared" si="525"/>
        <v>880</v>
      </c>
      <c r="M602" s="10">
        <f t="shared" si="526"/>
        <v>0.18723404255319148</v>
      </c>
      <c r="N602" s="11" t="s">
        <v>164</v>
      </c>
      <c r="O602" s="2"/>
      <c r="P602" s="80"/>
      <c r="Q602" s="19">
        <v>9591</v>
      </c>
      <c r="R602" s="19">
        <f t="shared" si="527"/>
        <v>84</v>
      </c>
      <c r="S602" s="19">
        <v>298</v>
      </c>
      <c r="T602" s="19">
        <f t="shared" si="528"/>
        <v>3</v>
      </c>
      <c r="U602" s="19">
        <v>34</v>
      </c>
      <c r="V602" s="19">
        <f t="shared" si="529"/>
        <v>7</v>
      </c>
      <c r="W602" s="19">
        <v>1</v>
      </c>
      <c r="X602" s="22" t="str">
        <f t="shared" si="530"/>
        <v>ラブブキーホルダー</v>
      </c>
      <c r="Y602" s="51">
        <f t="shared" si="530"/>
        <v>400</v>
      </c>
      <c r="Z602" s="19">
        <f t="shared" si="531"/>
        <v>2800</v>
      </c>
      <c r="AA602" s="20">
        <f t="shared" si="532"/>
        <v>0.33333333333333331</v>
      </c>
      <c r="AB602" s="11"/>
      <c r="AC602" s="1"/>
      <c r="AD602" s="80"/>
      <c r="AE602" s="19">
        <v>9836</v>
      </c>
      <c r="AF602" s="19">
        <f t="shared" si="533"/>
        <v>117</v>
      </c>
      <c r="AG602" s="19">
        <v>312</v>
      </c>
      <c r="AH602" s="19">
        <f t="shared" si="534"/>
        <v>4</v>
      </c>
      <c r="AI602" s="19">
        <v>83</v>
      </c>
      <c r="AJ602" s="19">
        <f t="shared" si="535"/>
        <v>4</v>
      </c>
      <c r="AK602" s="19">
        <v>15</v>
      </c>
      <c r="AL602" s="48" t="str">
        <f t="shared" si="536"/>
        <v>AIモンスターラバー</v>
      </c>
      <c r="AM602" s="51">
        <f t="shared" si="537"/>
        <v>200</v>
      </c>
      <c r="AN602" s="19">
        <f t="shared" si="538"/>
        <v>800</v>
      </c>
      <c r="AO602" s="20">
        <f t="shared" si="539"/>
        <v>6.8376068376068383E-2</v>
      </c>
      <c r="AP602" s="11"/>
    </row>
    <row r="603" spans="1:42" ht="15" customHeight="1" thickTop="1">
      <c r="A603" s="12">
        <v>45944</v>
      </c>
      <c r="B603" s="8">
        <f>IF(A603="","",SUM(D603)+SUM(R627:R630)+SUM(AF627:AF630))</f>
        <v>1693</v>
      </c>
      <c r="C603" s="13">
        <v>26624</v>
      </c>
      <c r="D603" s="9">
        <f t="shared" si="521"/>
        <v>111</v>
      </c>
      <c r="E603" s="9">
        <v>919</v>
      </c>
      <c r="F603" s="9">
        <f t="shared" si="522"/>
        <v>7</v>
      </c>
      <c r="G603" s="9">
        <v>8</v>
      </c>
      <c r="H603" s="9">
        <f t="shared" si="523"/>
        <v>6</v>
      </c>
      <c r="I603" s="9">
        <v>6</v>
      </c>
      <c r="J603" s="44"/>
      <c r="K603" s="44">
        <v>715</v>
      </c>
      <c r="L603" s="9">
        <f t="shared" si="525"/>
        <v>4290</v>
      </c>
      <c r="M603" s="10">
        <f t="shared" si="526"/>
        <v>0.38648648648648648</v>
      </c>
      <c r="N603" s="34" t="s">
        <v>165</v>
      </c>
      <c r="O603" s="2"/>
      <c r="P603" s="65">
        <f>IF($A597="","",$A597)</f>
        <v>45922</v>
      </c>
      <c r="Q603" s="44">
        <v>7279</v>
      </c>
      <c r="R603" s="44">
        <f t="shared" si="527"/>
        <v>32</v>
      </c>
      <c r="S603" s="44">
        <v>226</v>
      </c>
      <c r="T603" s="23">
        <f t="shared" si="528"/>
        <v>1</v>
      </c>
      <c r="U603" s="44">
        <v>8</v>
      </c>
      <c r="V603" s="44">
        <f t="shared" si="529"/>
        <v>2</v>
      </c>
      <c r="W603" s="66">
        <v>10</v>
      </c>
      <c r="X603" s="61" t="str">
        <f t="shared" si="530"/>
        <v>サンリオでかぱっちん</v>
      </c>
      <c r="Y603" s="62">
        <f t="shared" si="530"/>
        <v>660</v>
      </c>
      <c r="Z603" s="23">
        <f t="shared" si="531"/>
        <v>1320</v>
      </c>
      <c r="AA603" s="24">
        <f t="shared" si="532"/>
        <v>0.41249999999999998</v>
      </c>
      <c r="AB603" s="11" t="s">
        <v>153</v>
      </c>
      <c r="AC603" s="1"/>
      <c r="AD603" s="65">
        <f>IF($A597="","",$A597)</f>
        <v>45922</v>
      </c>
      <c r="AE603" s="44">
        <v>6130</v>
      </c>
      <c r="AF603" s="44">
        <f t="shared" si="533"/>
        <v>103</v>
      </c>
      <c r="AG603" s="44">
        <v>174</v>
      </c>
      <c r="AH603" s="23">
        <f t="shared" si="534"/>
        <v>2</v>
      </c>
      <c r="AI603" s="44">
        <v>15</v>
      </c>
      <c r="AJ603" s="44">
        <f t="shared" si="535"/>
        <v>1</v>
      </c>
      <c r="AK603" s="66">
        <v>0</v>
      </c>
      <c r="AL603" s="61" t="str">
        <f t="shared" si="536"/>
        <v>モンチッチキーケース</v>
      </c>
      <c r="AM603" s="62">
        <f t="shared" si="537"/>
        <v>605</v>
      </c>
      <c r="AN603" s="23">
        <f t="shared" si="538"/>
        <v>605</v>
      </c>
      <c r="AO603" s="24">
        <f t="shared" si="539"/>
        <v>5.8737864077669906E-2</v>
      </c>
      <c r="AP603" s="11"/>
    </row>
    <row r="604" spans="1:42">
      <c r="A604" s="12"/>
      <c r="B604" s="8"/>
      <c r="C604" s="13"/>
      <c r="D604" s="9"/>
      <c r="E604" s="9"/>
      <c r="F604" s="9"/>
      <c r="G604" s="9"/>
      <c r="H604" s="9"/>
      <c r="I604" s="9"/>
      <c r="J604" s="44"/>
      <c r="K604" s="44"/>
      <c r="L604" s="9"/>
      <c r="M604" s="10"/>
      <c r="N604" s="34"/>
      <c r="O604" s="2"/>
      <c r="P604" s="12"/>
      <c r="Q604" s="9">
        <v>8178</v>
      </c>
      <c r="R604" s="44">
        <f t="shared" si="527"/>
        <v>140</v>
      </c>
      <c r="S604" s="9">
        <v>183</v>
      </c>
      <c r="T604" s="9">
        <f t="shared" si="528"/>
        <v>5</v>
      </c>
      <c r="U604" s="9">
        <v>3</v>
      </c>
      <c r="V604" s="9">
        <f t="shared" si="529"/>
        <v>5</v>
      </c>
      <c r="W604" s="13">
        <v>0</v>
      </c>
      <c r="X604" s="47" t="str">
        <f t="shared" si="530"/>
        <v>サンリオミニリュック</v>
      </c>
      <c r="Y604" s="45">
        <f t="shared" si="530"/>
        <v>600</v>
      </c>
      <c r="Z604" s="9">
        <f t="shared" si="531"/>
        <v>3000</v>
      </c>
      <c r="AA604" s="10">
        <f t="shared" si="532"/>
        <v>0.21428571428571427</v>
      </c>
      <c r="AB604" s="11"/>
      <c r="AC604" s="1"/>
      <c r="AD604" s="12"/>
      <c r="AE604" s="9">
        <v>7903</v>
      </c>
      <c r="AF604" s="44">
        <f t="shared" si="533"/>
        <v>51</v>
      </c>
      <c r="AG604" s="9">
        <v>136</v>
      </c>
      <c r="AH604" s="9">
        <f t="shared" si="534"/>
        <v>1</v>
      </c>
      <c r="AI604" s="9">
        <v>8</v>
      </c>
      <c r="AJ604" s="9">
        <f t="shared" si="535"/>
        <v>2</v>
      </c>
      <c r="AK604" s="13">
        <v>0</v>
      </c>
      <c r="AL604" s="47" t="str">
        <f t="shared" si="536"/>
        <v>デジタルミニカメラ</v>
      </c>
      <c r="AM604" s="45">
        <f t="shared" si="537"/>
        <v>800</v>
      </c>
      <c r="AN604" s="9">
        <f t="shared" si="538"/>
        <v>1600</v>
      </c>
      <c r="AO604" s="10">
        <f t="shared" si="539"/>
        <v>0.31372549019607843</v>
      </c>
      <c r="AP604" s="11" t="s">
        <v>152</v>
      </c>
    </row>
    <row r="605" spans="1:42">
      <c r="A605" s="12"/>
      <c r="B605" s="8"/>
      <c r="C605" s="13"/>
      <c r="D605" s="9"/>
      <c r="E605" s="9"/>
      <c r="F605" s="9"/>
      <c r="G605" s="9"/>
      <c r="H605" s="9"/>
      <c r="I605" s="9"/>
      <c r="J605" s="44"/>
      <c r="K605" s="44"/>
      <c r="L605" s="9"/>
      <c r="M605" s="10"/>
      <c r="N605" s="34"/>
      <c r="O605" s="2"/>
      <c r="P605" s="25"/>
      <c r="Q605" s="26">
        <v>8090</v>
      </c>
      <c r="R605" s="44">
        <f t="shared" si="527"/>
        <v>235</v>
      </c>
      <c r="S605" s="26">
        <v>317</v>
      </c>
      <c r="T605" s="9">
        <f t="shared" si="528"/>
        <v>1</v>
      </c>
      <c r="U605" s="26">
        <v>7</v>
      </c>
      <c r="V605" s="9">
        <f t="shared" si="529"/>
        <v>1</v>
      </c>
      <c r="W605" s="38">
        <v>9</v>
      </c>
      <c r="X605" s="47" t="str">
        <f t="shared" si="530"/>
        <v>ラブブマスコット</v>
      </c>
      <c r="Y605" s="9">
        <f t="shared" si="530"/>
        <v>400</v>
      </c>
      <c r="Z605" s="9">
        <f t="shared" si="531"/>
        <v>400</v>
      </c>
      <c r="AA605" s="10">
        <f t="shared" si="532"/>
        <v>1.7021276595744681E-2</v>
      </c>
      <c r="AB605" s="11" t="s">
        <v>151</v>
      </c>
      <c r="AD605" s="25"/>
      <c r="AE605" s="26">
        <v>8389</v>
      </c>
      <c r="AF605" s="44">
        <f t="shared" si="533"/>
        <v>76</v>
      </c>
      <c r="AG605" s="26">
        <v>354</v>
      </c>
      <c r="AH605" s="9">
        <f t="shared" si="534"/>
        <v>4</v>
      </c>
      <c r="AI605" s="26">
        <v>5</v>
      </c>
      <c r="AJ605" s="9">
        <f t="shared" si="535"/>
        <v>4</v>
      </c>
      <c r="AK605" s="38">
        <v>5</v>
      </c>
      <c r="AL605" s="47" t="str">
        <f t="shared" si="536"/>
        <v>ＡＩマスコット</v>
      </c>
      <c r="AM605" s="9">
        <f t="shared" si="537"/>
        <v>286</v>
      </c>
      <c r="AN605" s="9">
        <f t="shared" si="538"/>
        <v>1144</v>
      </c>
      <c r="AO605" s="10">
        <f t="shared" si="539"/>
        <v>0.15052631578947367</v>
      </c>
      <c r="AP605" s="11" t="s">
        <v>88</v>
      </c>
    </row>
    <row r="606" spans="1:42" ht="15" customHeight="1" thickBot="1">
      <c r="A606" s="12"/>
      <c r="B606" s="8" t="str">
        <f>IF(A606="","",SUM(D606)+SUM(R639:R642)+SUM(AF639:AF642))</f>
        <v/>
      </c>
      <c r="C606" s="13"/>
      <c r="D606" s="9" t="str">
        <f t="shared" si="521"/>
        <v/>
      </c>
      <c r="E606" s="9"/>
      <c r="F606" s="9" t="str">
        <f t="shared" si="522"/>
        <v/>
      </c>
      <c r="G606" s="9"/>
      <c r="H606" s="9" t="str">
        <f t="shared" si="523"/>
        <v/>
      </c>
      <c r="I606" s="9"/>
      <c r="J606" s="44"/>
      <c r="K606" s="44" t="str">
        <f t="shared" si="524"/>
        <v/>
      </c>
      <c r="L606" s="9" t="str">
        <f t="shared" si="525"/>
        <v/>
      </c>
      <c r="M606" s="10" t="str">
        <f t="shared" si="526"/>
        <v/>
      </c>
      <c r="N606" s="11"/>
      <c r="O606" s="2"/>
      <c r="P606" s="18"/>
      <c r="Q606" s="19">
        <v>9770</v>
      </c>
      <c r="R606" s="50">
        <f t="shared" si="527"/>
        <v>179</v>
      </c>
      <c r="S606" s="19">
        <v>301</v>
      </c>
      <c r="T606" s="19">
        <f t="shared" si="528"/>
        <v>3</v>
      </c>
      <c r="U606" s="19">
        <v>30</v>
      </c>
      <c r="V606" s="19">
        <f t="shared" si="529"/>
        <v>5</v>
      </c>
      <c r="W606" s="37">
        <v>0</v>
      </c>
      <c r="X606" s="48" t="str">
        <f t="shared" si="530"/>
        <v>ラブブキーホルダー</v>
      </c>
      <c r="Y606" s="51">
        <f t="shared" si="530"/>
        <v>400</v>
      </c>
      <c r="Z606" s="19">
        <f t="shared" si="531"/>
        <v>2000</v>
      </c>
      <c r="AA606" s="20">
        <f t="shared" si="532"/>
        <v>0.11173184357541899</v>
      </c>
      <c r="AB606" s="11"/>
      <c r="AD606" s="18"/>
      <c r="AE606" s="19">
        <v>9977</v>
      </c>
      <c r="AF606" s="50">
        <f t="shared" si="533"/>
        <v>141</v>
      </c>
      <c r="AG606" s="19">
        <v>316</v>
      </c>
      <c r="AH606" s="19">
        <f t="shared" si="534"/>
        <v>4</v>
      </c>
      <c r="AI606" s="19">
        <v>90</v>
      </c>
      <c r="AJ606" s="19">
        <f t="shared" si="535"/>
        <v>8</v>
      </c>
      <c r="AK606" s="37">
        <v>20</v>
      </c>
      <c r="AL606" s="48" t="str">
        <f t="shared" si="536"/>
        <v>AIモンスターラバー</v>
      </c>
      <c r="AM606" s="51">
        <f t="shared" si="537"/>
        <v>200</v>
      </c>
      <c r="AN606" s="19">
        <f t="shared" si="538"/>
        <v>1600</v>
      </c>
      <c r="AO606" s="20">
        <f t="shared" si="539"/>
        <v>0.11347517730496454</v>
      </c>
      <c r="AP606" s="11"/>
    </row>
    <row r="607" spans="1:42" ht="15.75" thickTop="1">
      <c r="A607" s="12"/>
      <c r="B607" s="8" t="str">
        <f>IF(A607="","",SUM(D607)+SUM(R640:R643)+SUM(AF640:AF643))</f>
        <v/>
      </c>
      <c r="C607" s="13"/>
      <c r="D607" s="9" t="str">
        <f t="shared" si="521"/>
        <v/>
      </c>
      <c r="E607" s="9"/>
      <c r="F607" s="9" t="str">
        <f t="shared" si="522"/>
        <v/>
      </c>
      <c r="G607" s="9"/>
      <c r="H607" s="9" t="str">
        <f t="shared" si="523"/>
        <v/>
      </c>
      <c r="I607" s="9"/>
      <c r="J607" s="44"/>
      <c r="K607" s="44" t="str">
        <f t="shared" si="524"/>
        <v/>
      </c>
      <c r="L607" s="9" t="str">
        <f t="shared" si="525"/>
        <v/>
      </c>
      <c r="M607" s="10" t="str">
        <f t="shared" si="526"/>
        <v/>
      </c>
      <c r="N607" s="11"/>
      <c r="O607" s="2"/>
      <c r="P607" s="65">
        <f>IF($A598="","",$A598)</f>
        <v>45927</v>
      </c>
      <c r="Q607" s="44">
        <v>7508</v>
      </c>
      <c r="R607" s="44">
        <f t="shared" si="527"/>
        <v>229</v>
      </c>
      <c r="S607" s="44">
        <v>233</v>
      </c>
      <c r="T607" s="23">
        <f t="shared" si="528"/>
        <v>7</v>
      </c>
      <c r="U607" s="44">
        <v>11</v>
      </c>
      <c r="V607" s="44">
        <f t="shared" si="529"/>
        <v>7</v>
      </c>
      <c r="W607" s="66">
        <v>2</v>
      </c>
      <c r="X607" s="61" t="s">
        <v>154</v>
      </c>
      <c r="Y607" s="62">
        <v>996</v>
      </c>
      <c r="Z607" s="23">
        <f t="shared" si="531"/>
        <v>6972</v>
      </c>
      <c r="AA607" s="24">
        <f t="shared" si="532"/>
        <v>0.30445414847161573</v>
      </c>
      <c r="AB607" s="11" t="s">
        <v>156</v>
      </c>
      <c r="AC607" s="1"/>
      <c r="AD607" s="65">
        <f>IF($A598="","",$A598)</f>
        <v>45927</v>
      </c>
      <c r="AE607" s="44">
        <v>6224</v>
      </c>
      <c r="AF607" s="44">
        <f t="shared" si="533"/>
        <v>94</v>
      </c>
      <c r="AG607" s="44">
        <v>175</v>
      </c>
      <c r="AH607" s="23">
        <f t="shared" si="534"/>
        <v>1</v>
      </c>
      <c r="AI607" s="44">
        <v>13</v>
      </c>
      <c r="AJ607" s="44">
        <f t="shared" si="535"/>
        <v>2</v>
      </c>
      <c r="AK607" s="66">
        <v>0</v>
      </c>
      <c r="AL607" s="61" t="str">
        <f t="shared" si="536"/>
        <v>モンチッチキーケース</v>
      </c>
      <c r="AM607" s="62">
        <f t="shared" si="537"/>
        <v>605</v>
      </c>
      <c r="AN607" s="23">
        <f t="shared" si="538"/>
        <v>1210</v>
      </c>
      <c r="AO607" s="24">
        <f t="shared" si="539"/>
        <v>0.12872340425531914</v>
      </c>
      <c r="AP607" s="11"/>
    </row>
    <row r="608" spans="1:42">
      <c r="A608" s="12"/>
      <c r="B608" s="8"/>
      <c r="C608" s="13"/>
      <c r="D608" s="9" t="str">
        <f t="shared" si="521"/>
        <v/>
      </c>
      <c r="E608" s="9"/>
      <c r="F608" s="9" t="str">
        <f t="shared" si="522"/>
        <v/>
      </c>
      <c r="G608" s="9"/>
      <c r="H608" s="9" t="str">
        <f t="shared" si="523"/>
        <v/>
      </c>
      <c r="I608" s="9"/>
      <c r="J608" s="44"/>
      <c r="K608" s="44" t="str">
        <f t="shared" si="524"/>
        <v/>
      </c>
      <c r="L608" s="9" t="str">
        <f t="shared" si="525"/>
        <v/>
      </c>
      <c r="M608" s="10" t="str">
        <f t="shared" si="526"/>
        <v/>
      </c>
      <c r="N608" s="11"/>
      <c r="O608" s="2"/>
      <c r="P608" s="12"/>
      <c r="Q608" s="9">
        <v>8253</v>
      </c>
      <c r="R608" s="44">
        <f t="shared" si="527"/>
        <v>75</v>
      </c>
      <c r="S608" s="9">
        <v>185</v>
      </c>
      <c r="T608" s="9">
        <f t="shared" si="528"/>
        <v>2</v>
      </c>
      <c r="U608" s="9">
        <v>1</v>
      </c>
      <c r="V608" s="9">
        <f t="shared" si="529"/>
        <v>2</v>
      </c>
      <c r="W608" s="13">
        <v>3</v>
      </c>
      <c r="X608" s="47" t="str">
        <f t="shared" ref="X608:X650" si="540">IF(Q608="","",X604)</f>
        <v>サンリオミニリュック</v>
      </c>
      <c r="Y608" s="45">
        <f t="shared" ref="Y608:Y650" si="541">IF(R608="","",Y604)</f>
        <v>600</v>
      </c>
      <c r="Z608" s="9">
        <f t="shared" si="531"/>
        <v>1200</v>
      </c>
      <c r="AA608" s="10">
        <f t="shared" si="532"/>
        <v>0.16</v>
      </c>
      <c r="AB608" s="11"/>
      <c r="AC608" s="1"/>
      <c r="AD608" s="12"/>
      <c r="AE608" s="9">
        <v>7992</v>
      </c>
      <c r="AF608" s="44">
        <f t="shared" si="533"/>
        <v>89</v>
      </c>
      <c r="AG608" s="9">
        <v>140</v>
      </c>
      <c r="AH608" s="9">
        <f t="shared" si="534"/>
        <v>4</v>
      </c>
      <c r="AI608" s="9">
        <v>4</v>
      </c>
      <c r="AJ608" s="9">
        <f t="shared" si="535"/>
        <v>4</v>
      </c>
      <c r="AK608" s="13">
        <v>3</v>
      </c>
      <c r="AL608" s="47" t="s">
        <v>155</v>
      </c>
      <c r="AM608" s="45">
        <v>1075</v>
      </c>
      <c r="AN608" s="9">
        <f t="shared" si="538"/>
        <v>4300</v>
      </c>
      <c r="AO608" s="10">
        <f t="shared" si="539"/>
        <v>0.48314606741573035</v>
      </c>
      <c r="AP608" s="11"/>
    </row>
    <row r="609" spans="1:42">
      <c r="A609" s="12"/>
      <c r="B609" s="8"/>
      <c r="C609" s="13"/>
      <c r="D609" s="9"/>
      <c r="E609" s="9"/>
      <c r="F609" s="9"/>
      <c r="G609" s="9"/>
      <c r="H609" s="9"/>
      <c r="I609" s="9"/>
      <c r="J609" s="44"/>
      <c r="K609" s="44"/>
      <c r="L609" s="9"/>
      <c r="M609" s="10"/>
      <c r="N609" s="11"/>
      <c r="O609" s="2"/>
      <c r="P609" s="25"/>
      <c r="Q609" s="26">
        <v>8271</v>
      </c>
      <c r="R609" s="44">
        <f t="shared" si="527"/>
        <v>181</v>
      </c>
      <c r="S609" s="26">
        <v>320</v>
      </c>
      <c r="T609" s="9">
        <f t="shared" si="528"/>
        <v>3</v>
      </c>
      <c r="U609" s="26">
        <v>13</v>
      </c>
      <c r="V609" s="9">
        <f t="shared" si="529"/>
        <v>3</v>
      </c>
      <c r="W609" s="38">
        <v>2</v>
      </c>
      <c r="X609" s="47" t="str">
        <f t="shared" si="540"/>
        <v>ラブブマスコット</v>
      </c>
      <c r="Y609" s="9">
        <f t="shared" si="541"/>
        <v>400</v>
      </c>
      <c r="Z609" s="9">
        <f t="shared" si="531"/>
        <v>1200</v>
      </c>
      <c r="AA609" s="10">
        <f t="shared" si="532"/>
        <v>6.6298342541436461E-2</v>
      </c>
      <c r="AB609" s="11"/>
      <c r="AD609" s="25"/>
      <c r="AE609" s="26">
        <v>8532</v>
      </c>
      <c r="AF609" s="44">
        <f t="shared" si="533"/>
        <v>143</v>
      </c>
      <c r="AG609" s="26">
        <v>356</v>
      </c>
      <c r="AH609" s="9">
        <f t="shared" si="534"/>
        <v>2</v>
      </c>
      <c r="AI609" s="26">
        <v>7</v>
      </c>
      <c r="AJ609" s="9">
        <f t="shared" si="535"/>
        <v>3</v>
      </c>
      <c r="AK609" s="38">
        <v>2</v>
      </c>
      <c r="AL609" s="47" t="str">
        <f t="shared" si="536"/>
        <v>ＡＩマスコット</v>
      </c>
      <c r="AM609" s="9">
        <f t="shared" si="537"/>
        <v>286</v>
      </c>
      <c r="AN609" s="9">
        <f t="shared" si="538"/>
        <v>858</v>
      </c>
      <c r="AO609" s="10">
        <f t="shared" si="539"/>
        <v>0.06</v>
      </c>
      <c r="AP609" s="11"/>
    </row>
    <row r="610" spans="1:42" ht="15" customHeight="1" thickBot="1">
      <c r="A610" s="12"/>
      <c r="B610" s="8"/>
      <c r="C610" s="13"/>
      <c r="D610" s="9" t="str">
        <f>IF(C610="","",C610-C611)</f>
        <v/>
      </c>
      <c r="E610" s="9"/>
      <c r="F610" s="9" t="str">
        <f>IF(E610="","",E610-E611)</f>
        <v/>
      </c>
      <c r="G610" s="9"/>
      <c r="H610" s="9" t="str">
        <f>IF(G610="","",G611+I611-G610)</f>
        <v/>
      </c>
      <c r="I610" s="9"/>
      <c r="J610" s="44"/>
      <c r="K610" s="44" t="str">
        <f>IF(C610="","",K611)</f>
        <v/>
      </c>
      <c r="L610" s="9" t="str">
        <f t="shared" ref="L610:L648" si="542">IF(K610="","",H610*K610)</f>
        <v/>
      </c>
      <c r="M610" s="10" t="str">
        <f t="shared" ref="M610:M648" si="543">IF(L610="","",L610/(D610*100))</f>
        <v/>
      </c>
      <c r="N610" s="11"/>
      <c r="O610" s="2"/>
      <c r="P610" s="18"/>
      <c r="Q610" s="19">
        <v>9912</v>
      </c>
      <c r="R610" s="50">
        <f t="shared" si="527"/>
        <v>142</v>
      </c>
      <c r="S610" s="19">
        <v>306</v>
      </c>
      <c r="T610" s="19">
        <f t="shared" si="528"/>
        <v>5</v>
      </c>
      <c r="U610" s="19">
        <v>27</v>
      </c>
      <c r="V610" s="19">
        <f t="shared" si="529"/>
        <v>3</v>
      </c>
      <c r="W610" s="37"/>
      <c r="X610" s="48" t="str">
        <f t="shared" si="540"/>
        <v>ラブブキーホルダー</v>
      </c>
      <c r="Y610" s="51">
        <f t="shared" si="541"/>
        <v>400</v>
      </c>
      <c r="Z610" s="19">
        <f t="shared" si="531"/>
        <v>1200</v>
      </c>
      <c r="AA610" s="20">
        <f t="shared" si="532"/>
        <v>8.4507042253521125E-2</v>
      </c>
      <c r="AB610" s="11" t="s">
        <v>157</v>
      </c>
      <c r="AD610" s="18"/>
      <c r="AE610" s="19">
        <v>10184</v>
      </c>
      <c r="AF610" s="50">
        <f t="shared" si="533"/>
        <v>207</v>
      </c>
      <c r="AG610" s="19">
        <v>319</v>
      </c>
      <c r="AH610" s="19">
        <f t="shared" si="534"/>
        <v>3</v>
      </c>
      <c r="AI610" s="19">
        <v>95</v>
      </c>
      <c r="AJ610" s="19">
        <f t="shared" si="535"/>
        <v>15</v>
      </c>
      <c r="AK610" s="37">
        <v>16</v>
      </c>
      <c r="AL610" s="48" t="str">
        <f t="shared" si="536"/>
        <v>AIモンスターラバー</v>
      </c>
      <c r="AM610" s="51">
        <f t="shared" si="537"/>
        <v>200</v>
      </c>
      <c r="AN610" s="19">
        <f t="shared" si="538"/>
        <v>3000</v>
      </c>
      <c r="AO610" s="20">
        <f t="shared" si="539"/>
        <v>0.14492753623188406</v>
      </c>
      <c r="AP610" s="11"/>
    </row>
    <row r="611" spans="1:42" ht="15" customHeight="1" thickTop="1">
      <c r="A611" s="12"/>
      <c r="B611" s="8"/>
      <c r="C611" s="13"/>
      <c r="D611" s="9" t="str">
        <f>IF(C611="","",C611-C608)</f>
        <v/>
      </c>
      <c r="E611" s="9"/>
      <c r="F611" s="9" t="str">
        <f>IF(E611="","",E611-E608)</f>
        <v/>
      </c>
      <c r="G611" s="9"/>
      <c r="H611" s="9" t="str">
        <f>IF(G611="","",G608+I608-G611)</f>
        <v/>
      </c>
      <c r="I611" s="9"/>
      <c r="J611" s="44"/>
      <c r="K611" s="44" t="str">
        <f>IF(C611="","",K608)</f>
        <v/>
      </c>
      <c r="L611" s="9" t="str">
        <f t="shared" si="542"/>
        <v/>
      </c>
      <c r="M611" s="10" t="str">
        <f t="shared" si="543"/>
        <v/>
      </c>
      <c r="N611" s="11"/>
      <c r="O611" s="2"/>
      <c r="P611" s="65">
        <f>IF($A599="","",$A599)</f>
        <v>45929</v>
      </c>
      <c r="Q611" s="44">
        <v>7624</v>
      </c>
      <c r="R611" s="44">
        <f t="shared" si="527"/>
        <v>116</v>
      </c>
      <c r="S611" s="44">
        <v>238</v>
      </c>
      <c r="T611" s="23">
        <f t="shared" si="528"/>
        <v>5</v>
      </c>
      <c r="U611" s="44">
        <v>7</v>
      </c>
      <c r="V611" s="44">
        <f t="shared" si="529"/>
        <v>6</v>
      </c>
      <c r="W611" s="66">
        <v>3</v>
      </c>
      <c r="X611" s="61" t="str">
        <f t="shared" si="540"/>
        <v>キティヒョウ柄マスコット</v>
      </c>
      <c r="Y611" s="62">
        <f t="shared" si="541"/>
        <v>996</v>
      </c>
      <c r="Z611" s="23">
        <f t="shared" si="531"/>
        <v>5976</v>
      </c>
      <c r="AA611" s="115">
        <f t="shared" si="532"/>
        <v>0.51517241379310341</v>
      </c>
      <c r="AB611" s="11" t="s">
        <v>159</v>
      </c>
      <c r="AD611" s="65">
        <f>IF($A599="","",$A599)</f>
        <v>45929</v>
      </c>
      <c r="AE611" s="44">
        <v>6261</v>
      </c>
      <c r="AF611" s="113">
        <f t="shared" si="533"/>
        <v>37</v>
      </c>
      <c r="AG611" s="44">
        <v>179</v>
      </c>
      <c r="AH611" s="23">
        <f t="shared" si="534"/>
        <v>4</v>
      </c>
      <c r="AI611" s="44">
        <v>9</v>
      </c>
      <c r="AJ611" s="44">
        <f t="shared" si="535"/>
        <v>4</v>
      </c>
      <c r="AK611" s="66">
        <v>4</v>
      </c>
      <c r="AL611" s="61" t="str">
        <f t="shared" si="536"/>
        <v>モンチッチキーケース</v>
      </c>
      <c r="AM611" s="62">
        <f t="shared" si="537"/>
        <v>605</v>
      </c>
      <c r="AN611" s="23">
        <f t="shared" si="538"/>
        <v>2420</v>
      </c>
      <c r="AO611" s="115">
        <f t="shared" si="539"/>
        <v>0.65405405405405403</v>
      </c>
      <c r="AP611" s="11" t="s">
        <v>110</v>
      </c>
    </row>
    <row r="612" spans="1:42">
      <c r="A612" s="12"/>
      <c r="B612" s="8"/>
      <c r="C612" s="13"/>
      <c r="D612" s="9" t="str">
        <f>IF(C612="","",C612-C610)</f>
        <v/>
      </c>
      <c r="E612" s="9"/>
      <c r="F612" s="9" t="str">
        <f>IF(E612="","",E612-E610)</f>
        <v/>
      </c>
      <c r="G612" s="9"/>
      <c r="H612" s="9" t="str">
        <f>IF(G612="","",G610+I610-G612)</f>
        <v/>
      </c>
      <c r="I612" s="9"/>
      <c r="J612" s="44"/>
      <c r="K612" s="44" t="str">
        <f>IF(C612="","",K610)</f>
        <v/>
      </c>
      <c r="L612" s="9" t="str">
        <f t="shared" si="542"/>
        <v/>
      </c>
      <c r="M612" s="10" t="str">
        <f t="shared" si="543"/>
        <v/>
      </c>
      <c r="N612" s="11"/>
      <c r="O612" s="2"/>
      <c r="P612" s="65"/>
      <c r="Q612" s="9">
        <v>8300</v>
      </c>
      <c r="R612" s="81">
        <f t="shared" si="527"/>
        <v>47</v>
      </c>
      <c r="S612" s="9">
        <v>186</v>
      </c>
      <c r="T612" s="9">
        <f t="shared" si="528"/>
        <v>1</v>
      </c>
      <c r="U612" s="9">
        <v>3</v>
      </c>
      <c r="V612" s="9">
        <f t="shared" si="529"/>
        <v>1</v>
      </c>
      <c r="W612" s="13">
        <v>4</v>
      </c>
      <c r="X612" s="47" t="str">
        <f t="shared" si="540"/>
        <v>サンリオミニリュック</v>
      </c>
      <c r="Y612" s="45">
        <f t="shared" si="541"/>
        <v>600</v>
      </c>
      <c r="Z612" s="9">
        <f t="shared" si="531"/>
        <v>600</v>
      </c>
      <c r="AA612" s="10">
        <f t="shared" si="532"/>
        <v>0.1276595744680851</v>
      </c>
      <c r="AB612" s="11" t="s">
        <v>137</v>
      </c>
      <c r="AD612" s="65"/>
      <c r="AE612" s="9">
        <v>8107</v>
      </c>
      <c r="AF612" s="9">
        <f t="shared" si="533"/>
        <v>115</v>
      </c>
      <c r="AG612" s="9">
        <v>143</v>
      </c>
      <c r="AH612" s="9">
        <f t="shared" si="534"/>
        <v>3</v>
      </c>
      <c r="AI612" s="83">
        <v>3</v>
      </c>
      <c r="AJ612" s="9">
        <f t="shared" si="535"/>
        <v>4</v>
      </c>
      <c r="AK612" s="13">
        <v>0</v>
      </c>
      <c r="AL612" s="47" t="str">
        <f t="shared" si="536"/>
        <v>液晶ミニカメラ</v>
      </c>
      <c r="AM612" s="45">
        <f t="shared" si="537"/>
        <v>1075</v>
      </c>
      <c r="AN612" s="9">
        <f t="shared" si="538"/>
        <v>4300</v>
      </c>
      <c r="AO612" s="10">
        <f t="shared" si="539"/>
        <v>0.37391304347826088</v>
      </c>
      <c r="AP612" s="11"/>
    </row>
    <row r="613" spans="1:42" ht="15" customHeight="1">
      <c r="A613" s="12"/>
      <c r="B613" s="8"/>
      <c r="C613" s="13"/>
      <c r="D613" s="9" t="str">
        <f t="shared" ref="D613:D618" si="544">IF(C613="","",C613-C612)</f>
        <v/>
      </c>
      <c r="E613" s="9"/>
      <c r="F613" s="9" t="str">
        <f t="shared" ref="F613:F618" si="545">IF(E613="","",E613-E612)</f>
        <v/>
      </c>
      <c r="G613" s="9"/>
      <c r="H613" s="9" t="str">
        <f t="shared" ref="H613:H618" si="546">IF(G613="","",G612+I612-G613)</f>
        <v/>
      </c>
      <c r="I613" s="9"/>
      <c r="J613" s="44"/>
      <c r="K613" s="44" t="str">
        <f t="shared" ref="K613:K618" si="547">IF(C613="","",K612)</f>
        <v/>
      </c>
      <c r="L613" s="9" t="str">
        <f t="shared" si="542"/>
        <v/>
      </c>
      <c r="M613" s="10" t="str">
        <f t="shared" si="543"/>
        <v/>
      </c>
      <c r="N613" s="11"/>
      <c r="O613" s="2"/>
      <c r="P613" s="65"/>
      <c r="Q613" s="26">
        <v>8592</v>
      </c>
      <c r="R613" s="9">
        <f t="shared" si="527"/>
        <v>321</v>
      </c>
      <c r="S613" s="26">
        <v>321</v>
      </c>
      <c r="T613" s="9">
        <f t="shared" si="528"/>
        <v>1</v>
      </c>
      <c r="U613" s="26">
        <v>14</v>
      </c>
      <c r="V613" s="9">
        <f t="shared" si="529"/>
        <v>1</v>
      </c>
      <c r="W613" s="38">
        <v>1</v>
      </c>
      <c r="X613" s="47" t="str">
        <f t="shared" si="540"/>
        <v>ラブブマスコット</v>
      </c>
      <c r="Y613" s="9">
        <f t="shared" si="541"/>
        <v>400</v>
      </c>
      <c r="Z613" s="9">
        <f t="shared" si="531"/>
        <v>400</v>
      </c>
      <c r="AA613" s="10">
        <f t="shared" si="532"/>
        <v>1.2461059190031152E-2</v>
      </c>
      <c r="AB613" s="11"/>
      <c r="AD613" s="65"/>
      <c r="AE613" s="26">
        <v>8783</v>
      </c>
      <c r="AF613" s="9">
        <f t="shared" si="533"/>
        <v>251</v>
      </c>
      <c r="AG613" s="26">
        <v>361</v>
      </c>
      <c r="AH613" s="9">
        <f t="shared" si="534"/>
        <v>5</v>
      </c>
      <c r="AI613" s="26">
        <v>4</v>
      </c>
      <c r="AJ613" s="9">
        <f t="shared" si="535"/>
        <v>5</v>
      </c>
      <c r="AK613" s="38">
        <v>4</v>
      </c>
      <c r="AL613" s="47" t="str">
        <f t="shared" si="536"/>
        <v>ＡＩマスコット</v>
      </c>
      <c r="AM613" s="9">
        <f t="shared" si="537"/>
        <v>286</v>
      </c>
      <c r="AN613" s="9">
        <f t="shared" si="538"/>
        <v>1430</v>
      </c>
      <c r="AO613" s="10">
        <f t="shared" si="539"/>
        <v>5.6972111553784857E-2</v>
      </c>
      <c r="AP613" s="11"/>
    </row>
    <row r="614" spans="1:42" ht="15" customHeight="1" thickBot="1">
      <c r="A614" s="12"/>
      <c r="B614" s="8"/>
      <c r="C614" s="13"/>
      <c r="D614" s="9" t="str">
        <f t="shared" si="544"/>
        <v/>
      </c>
      <c r="E614" s="9"/>
      <c r="F614" s="9" t="str">
        <f t="shared" si="545"/>
        <v/>
      </c>
      <c r="G614" s="9"/>
      <c r="H614" s="9" t="str">
        <f t="shared" si="546"/>
        <v/>
      </c>
      <c r="I614" s="9"/>
      <c r="J614" s="44"/>
      <c r="K614" s="44" t="str">
        <f t="shared" si="547"/>
        <v/>
      </c>
      <c r="L614" s="9" t="str">
        <f t="shared" si="542"/>
        <v/>
      </c>
      <c r="M614" s="10" t="str">
        <f t="shared" si="543"/>
        <v/>
      </c>
      <c r="N614" s="11"/>
      <c r="O614" s="2"/>
      <c r="P614" s="18"/>
      <c r="Q614" s="19">
        <v>10042</v>
      </c>
      <c r="R614" s="19">
        <f t="shared" si="527"/>
        <v>130</v>
      </c>
      <c r="S614" s="19">
        <v>306</v>
      </c>
      <c r="T614" s="19">
        <f t="shared" si="528"/>
        <v>0</v>
      </c>
      <c r="U614" s="19">
        <v>26</v>
      </c>
      <c r="V614" s="19">
        <f t="shared" si="529"/>
        <v>1</v>
      </c>
      <c r="W614" s="37">
        <v>3</v>
      </c>
      <c r="X614" s="48" t="str">
        <f t="shared" si="540"/>
        <v>ラブブキーホルダー</v>
      </c>
      <c r="Y614" s="51">
        <f t="shared" si="541"/>
        <v>400</v>
      </c>
      <c r="Z614" s="19">
        <f t="shared" si="531"/>
        <v>400</v>
      </c>
      <c r="AA614" s="20">
        <f t="shared" si="532"/>
        <v>3.0769230769230771E-2</v>
      </c>
      <c r="AB614" s="11"/>
      <c r="AD614" s="18"/>
      <c r="AE614" s="19">
        <v>10334</v>
      </c>
      <c r="AF614" s="19">
        <f t="shared" si="533"/>
        <v>150</v>
      </c>
      <c r="AG614" s="19">
        <v>325</v>
      </c>
      <c r="AH614" s="19">
        <f t="shared" si="534"/>
        <v>6</v>
      </c>
      <c r="AI614" s="19">
        <v>105</v>
      </c>
      <c r="AJ614" s="19">
        <f t="shared" si="535"/>
        <v>6</v>
      </c>
      <c r="AK614" s="37">
        <v>5</v>
      </c>
      <c r="AL614" s="48" t="str">
        <f t="shared" si="536"/>
        <v>AIモンスターラバー</v>
      </c>
      <c r="AM614" s="51">
        <f t="shared" si="537"/>
        <v>200</v>
      </c>
      <c r="AN614" s="19">
        <f t="shared" si="538"/>
        <v>1200</v>
      </c>
      <c r="AO614" s="20">
        <f t="shared" si="539"/>
        <v>0.08</v>
      </c>
      <c r="AP614" s="11"/>
    </row>
    <row r="615" spans="1:42" ht="15" customHeight="1" thickTop="1">
      <c r="A615" s="12"/>
      <c r="B615" s="8"/>
      <c r="C615" s="13"/>
      <c r="D615" s="9" t="str">
        <f t="shared" si="544"/>
        <v/>
      </c>
      <c r="E615" s="9"/>
      <c r="F615" s="9" t="str">
        <f t="shared" si="545"/>
        <v/>
      </c>
      <c r="G615" s="9"/>
      <c r="H615" s="9" t="str">
        <f t="shared" si="546"/>
        <v/>
      </c>
      <c r="I615" s="9"/>
      <c r="J615" s="44"/>
      <c r="K615" s="44" t="str">
        <f t="shared" si="547"/>
        <v/>
      </c>
      <c r="L615" s="9" t="str">
        <f t="shared" si="542"/>
        <v/>
      </c>
      <c r="M615" s="10" t="str">
        <f t="shared" si="543"/>
        <v/>
      </c>
      <c r="N615" s="11"/>
      <c r="O615" s="2"/>
      <c r="P615" s="65">
        <f>IF($A600="","",$A600)</f>
        <v>45934</v>
      </c>
      <c r="Q615" s="44">
        <v>7801</v>
      </c>
      <c r="R615" s="44">
        <f t="shared" si="527"/>
        <v>177</v>
      </c>
      <c r="S615" s="44">
        <v>240</v>
      </c>
      <c r="T615" s="23">
        <f t="shared" si="528"/>
        <v>2</v>
      </c>
      <c r="U615" s="44">
        <v>8</v>
      </c>
      <c r="V615" s="44">
        <f t="shared" si="529"/>
        <v>2</v>
      </c>
      <c r="W615" s="66">
        <v>6</v>
      </c>
      <c r="X615" s="61" t="str">
        <f t="shared" si="540"/>
        <v>キティヒョウ柄マスコット</v>
      </c>
      <c r="Y615" s="62">
        <f t="shared" si="541"/>
        <v>996</v>
      </c>
      <c r="Z615" s="23">
        <f t="shared" si="531"/>
        <v>1992</v>
      </c>
      <c r="AA615" s="24">
        <f t="shared" si="532"/>
        <v>0.11254237288135593</v>
      </c>
      <c r="AB615" s="11"/>
      <c r="AD615" s="65">
        <f>IF($A600="","",$A600)</f>
        <v>45934</v>
      </c>
      <c r="AE615" s="44">
        <v>6312</v>
      </c>
      <c r="AF615" s="113">
        <f t="shared" si="533"/>
        <v>51</v>
      </c>
      <c r="AG615" s="44">
        <v>181</v>
      </c>
      <c r="AH615" s="23">
        <f t="shared" si="534"/>
        <v>2</v>
      </c>
      <c r="AI615" s="44">
        <v>12</v>
      </c>
      <c r="AJ615" s="44">
        <f t="shared" si="535"/>
        <v>1</v>
      </c>
      <c r="AK615" s="66">
        <v>0</v>
      </c>
      <c r="AL615" s="61" t="str">
        <f t="shared" si="536"/>
        <v>モンチッチキーケース</v>
      </c>
      <c r="AM615" s="62">
        <f t="shared" si="537"/>
        <v>605</v>
      </c>
      <c r="AN615" s="23">
        <f t="shared" si="538"/>
        <v>605</v>
      </c>
      <c r="AO615" s="24">
        <f t="shared" si="539"/>
        <v>0.11862745098039215</v>
      </c>
      <c r="AP615" s="11" t="s">
        <v>161</v>
      </c>
    </row>
    <row r="616" spans="1:42" ht="15" customHeight="1">
      <c r="A616" s="12"/>
      <c r="B616" s="8"/>
      <c r="C616" s="13"/>
      <c r="D616" s="9" t="str">
        <f t="shared" si="544"/>
        <v/>
      </c>
      <c r="E616" s="9"/>
      <c r="F616" s="9" t="str">
        <f t="shared" si="545"/>
        <v/>
      </c>
      <c r="G616" s="9"/>
      <c r="H616" s="9" t="str">
        <f t="shared" si="546"/>
        <v/>
      </c>
      <c r="I616" s="9"/>
      <c r="J616" s="44"/>
      <c r="K616" s="44" t="str">
        <f t="shared" si="547"/>
        <v/>
      </c>
      <c r="L616" s="9" t="str">
        <f t="shared" si="542"/>
        <v/>
      </c>
      <c r="M616" s="10" t="str">
        <f t="shared" si="543"/>
        <v/>
      </c>
      <c r="N616" s="11"/>
      <c r="O616" s="2"/>
      <c r="P616" s="12"/>
      <c r="Q616" s="9">
        <v>8415</v>
      </c>
      <c r="R616" s="9">
        <f t="shared" si="527"/>
        <v>115</v>
      </c>
      <c r="S616" s="9">
        <v>190</v>
      </c>
      <c r="T616" s="9">
        <f t="shared" si="528"/>
        <v>4</v>
      </c>
      <c r="U616" s="9">
        <v>3</v>
      </c>
      <c r="V616" s="9">
        <f t="shared" si="529"/>
        <v>4</v>
      </c>
      <c r="W616" s="13">
        <v>8</v>
      </c>
      <c r="X616" s="47" t="str">
        <f t="shared" si="540"/>
        <v>サンリオミニリュック</v>
      </c>
      <c r="Y616" s="45">
        <f t="shared" si="541"/>
        <v>600</v>
      </c>
      <c r="Z616" s="9">
        <f t="shared" si="531"/>
        <v>2400</v>
      </c>
      <c r="AA616" s="10">
        <f t="shared" si="532"/>
        <v>0.20869565217391303</v>
      </c>
      <c r="AB616" s="11"/>
      <c r="AD616" s="12"/>
      <c r="AE616" s="9">
        <v>8151</v>
      </c>
      <c r="AF616" s="81">
        <f t="shared" si="533"/>
        <v>44</v>
      </c>
      <c r="AG616" s="9">
        <v>145</v>
      </c>
      <c r="AH616" s="9">
        <f t="shared" si="534"/>
        <v>2</v>
      </c>
      <c r="AI616" s="9">
        <v>0</v>
      </c>
      <c r="AJ616" s="9">
        <f t="shared" si="535"/>
        <v>3</v>
      </c>
      <c r="AK616" s="13">
        <v>12</v>
      </c>
      <c r="AL616" s="47" t="str">
        <f t="shared" si="536"/>
        <v>液晶ミニカメラ</v>
      </c>
      <c r="AM616" s="45">
        <f t="shared" si="537"/>
        <v>1075</v>
      </c>
      <c r="AN616" s="9">
        <f t="shared" si="538"/>
        <v>3225</v>
      </c>
      <c r="AO616" s="10">
        <f t="shared" si="539"/>
        <v>0.73295454545454541</v>
      </c>
      <c r="AP616" s="11" t="s">
        <v>160</v>
      </c>
    </row>
    <row r="617" spans="1:42" ht="15" customHeight="1">
      <c r="A617" s="12"/>
      <c r="B617" s="8"/>
      <c r="C617" s="9"/>
      <c r="D617" s="9" t="str">
        <f t="shared" si="544"/>
        <v/>
      </c>
      <c r="E617" s="9"/>
      <c r="F617" s="9" t="str">
        <f t="shared" si="545"/>
        <v/>
      </c>
      <c r="G617" s="9"/>
      <c r="H617" s="9" t="str">
        <f t="shared" si="546"/>
        <v/>
      </c>
      <c r="I617" s="9"/>
      <c r="J617" s="44"/>
      <c r="K617" s="44" t="str">
        <f t="shared" si="547"/>
        <v/>
      </c>
      <c r="L617" s="9" t="str">
        <f t="shared" si="542"/>
        <v/>
      </c>
      <c r="M617" s="10" t="str">
        <f t="shared" si="543"/>
        <v/>
      </c>
      <c r="N617" s="11"/>
      <c r="O617" s="2"/>
      <c r="P617" s="12"/>
      <c r="Q617" s="26">
        <v>8849</v>
      </c>
      <c r="R617" s="9">
        <f t="shared" si="527"/>
        <v>257</v>
      </c>
      <c r="S617" s="26">
        <v>322</v>
      </c>
      <c r="T617" s="9">
        <f t="shared" si="528"/>
        <v>1</v>
      </c>
      <c r="U617" s="9">
        <v>14</v>
      </c>
      <c r="V617" s="9">
        <f t="shared" si="529"/>
        <v>1</v>
      </c>
      <c r="W617" s="13">
        <v>0</v>
      </c>
      <c r="X617" s="47" t="str">
        <f t="shared" si="540"/>
        <v>ラブブマスコット</v>
      </c>
      <c r="Y617" s="9">
        <f t="shared" si="541"/>
        <v>400</v>
      </c>
      <c r="Z617" s="9">
        <f t="shared" si="531"/>
        <v>400</v>
      </c>
      <c r="AA617" s="10">
        <f t="shared" si="532"/>
        <v>1.556420233463035E-2</v>
      </c>
      <c r="AB617" s="11"/>
      <c r="AD617" s="12"/>
      <c r="AE617" s="26">
        <v>8931</v>
      </c>
      <c r="AF617" s="9">
        <f t="shared" si="533"/>
        <v>148</v>
      </c>
      <c r="AG617" s="26">
        <v>362</v>
      </c>
      <c r="AH617" s="9">
        <f t="shared" si="534"/>
        <v>1</v>
      </c>
      <c r="AI617" s="9">
        <v>7</v>
      </c>
      <c r="AJ617" s="9">
        <f t="shared" si="535"/>
        <v>1</v>
      </c>
      <c r="AK617" s="13">
        <v>6</v>
      </c>
      <c r="AL617" s="47" t="str">
        <f t="shared" si="536"/>
        <v>ＡＩマスコット</v>
      </c>
      <c r="AM617" s="9">
        <f t="shared" si="537"/>
        <v>286</v>
      </c>
      <c r="AN617" s="9">
        <f t="shared" si="538"/>
        <v>286</v>
      </c>
      <c r="AO617" s="10">
        <f t="shared" si="539"/>
        <v>1.9324324324324325E-2</v>
      </c>
      <c r="AP617" s="11"/>
    </row>
    <row r="618" spans="1:42" ht="15" customHeight="1" thickBot="1">
      <c r="A618" s="12"/>
      <c r="B618" s="8"/>
      <c r="C618" s="9"/>
      <c r="D618" s="9" t="str">
        <f t="shared" si="544"/>
        <v/>
      </c>
      <c r="E618" s="9"/>
      <c r="F618" s="9" t="str">
        <f t="shared" si="545"/>
        <v/>
      </c>
      <c r="G618" s="9"/>
      <c r="H618" s="9" t="str">
        <f t="shared" si="546"/>
        <v/>
      </c>
      <c r="I618" s="9"/>
      <c r="J618" s="44"/>
      <c r="K618" s="44" t="str">
        <f t="shared" si="547"/>
        <v/>
      </c>
      <c r="L618" s="9" t="str">
        <f t="shared" si="542"/>
        <v/>
      </c>
      <c r="M618" s="10" t="str">
        <f t="shared" si="543"/>
        <v/>
      </c>
      <c r="N618" s="11"/>
      <c r="O618" s="2"/>
      <c r="P618" s="18"/>
      <c r="Q618" s="19">
        <v>10150</v>
      </c>
      <c r="R618" s="19">
        <f t="shared" si="527"/>
        <v>108</v>
      </c>
      <c r="S618" s="19">
        <v>309</v>
      </c>
      <c r="T618" s="19">
        <f t="shared" si="528"/>
        <v>3</v>
      </c>
      <c r="U618" s="19">
        <v>26</v>
      </c>
      <c r="V618" s="19">
        <f t="shared" si="529"/>
        <v>3</v>
      </c>
      <c r="W618" s="37">
        <v>6</v>
      </c>
      <c r="X618" s="48" t="str">
        <f t="shared" si="540"/>
        <v>ラブブキーホルダー</v>
      </c>
      <c r="Y618" s="51">
        <f t="shared" si="541"/>
        <v>400</v>
      </c>
      <c r="Z618" s="19">
        <f t="shared" si="531"/>
        <v>1200</v>
      </c>
      <c r="AA618" s="20">
        <f t="shared" si="532"/>
        <v>0.1111111111111111</v>
      </c>
      <c r="AB618" s="11"/>
      <c r="AD618" s="18"/>
      <c r="AE618" s="19">
        <v>10565</v>
      </c>
      <c r="AF618" s="19">
        <f t="shared" si="533"/>
        <v>231</v>
      </c>
      <c r="AG618" s="19">
        <v>332</v>
      </c>
      <c r="AH618" s="19">
        <f t="shared" si="534"/>
        <v>7</v>
      </c>
      <c r="AI618" s="19">
        <v>100</v>
      </c>
      <c r="AJ618" s="19">
        <f t="shared" si="535"/>
        <v>10</v>
      </c>
      <c r="AK618" s="37">
        <v>30</v>
      </c>
      <c r="AL618" s="48" t="str">
        <f t="shared" si="536"/>
        <v>AIモンスターラバー</v>
      </c>
      <c r="AM618" s="51">
        <f t="shared" si="537"/>
        <v>200</v>
      </c>
      <c r="AN618" s="19">
        <f t="shared" si="538"/>
        <v>2000</v>
      </c>
      <c r="AO618" s="20">
        <f t="shared" si="539"/>
        <v>8.6580086580086577E-2</v>
      </c>
      <c r="AP618" s="11"/>
    </row>
    <row r="619" spans="1:42" ht="15" customHeight="1" thickTop="1">
      <c r="A619" s="12"/>
      <c r="B619" s="8"/>
      <c r="C619" s="9"/>
      <c r="D619" s="9" t="str">
        <f>IF(C619="","",C619-C620)</f>
        <v/>
      </c>
      <c r="E619" s="9"/>
      <c r="F619" s="9" t="str">
        <f>IF(E619="","",E619-E620)</f>
        <v/>
      </c>
      <c r="G619" s="9"/>
      <c r="H619" s="9" t="str">
        <f>IF(G619="","",G620+I620-G619)</f>
        <v/>
      </c>
      <c r="I619" s="9"/>
      <c r="J619" s="44"/>
      <c r="K619" s="44" t="str">
        <f>IF(C619="","",K620)</f>
        <v/>
      </c>
      <c r="L619" s="9" t="str">
        <f t="shared" si="542"/>
        <v/>
      </c>
      <c r="M619" s="10" t="str">
        <f t="shared" si="543"/>
        <v/>
      </c>
      <c r="N619" s="11"/>
      <c r="O619" s="2"/>
      <c r="P619" s="65">
        <f>IF($A601="","",$A601)</f>
        <v>45937</v>
      </c>
      <c r="Q619" s="9">
        <v>7950</v>
      </c>
      <c r="R619" s="44">
        <f t="shared" si="527"/>
        <v>149</v>
      </c>
      <c r="S619" s="9">
        <v>242</v>
      </c>
      <c r="T619" s="23">
        <f t="shared" si="528"/>
        <v>2</v>
      </c>
      <c r="U619" s="9">
        <v>12</v>
      </c>
      <c r="V619" s="44">
        <f t="shared" si="529"/>
        <v>2</v>
      </c>
      <c r="W619" s="13">
        <v>1</v>
      </c>
      <c r="X619" s="61" t="str">
        <f t="shared" si="540"/>
        <v>キティヒョウ柄マスコット</v>
      </c>
      <c r="Y619" s="62">
        <f t="shared" si="541"/>
        <v>996</v>
      </c>
      <c r="Z619" s="23">
        <f t="shared" si="531"/>
        <v>1992</v>
      </c>
      <c r="AA619" s="24">
        <f t="shared" si="532"/>
        <v>0.13369127516778523</v>
      </c>
      <c r="AB619" s="11"/>
      <c r="AD619" s="65">
        <f>IF($A601="","",$A601)</f>
        <v>45937</v>
      </c>
      <c r="AE619" s="9">
        <v>6342</v>
      </c>
      <c r="AF619" s="113">
        <f t="shared" si="533"/>
        <v>30</v>
      </c>
      <c r="AG619" s="9">
        <v>182</v>
      </c>
      <c r="AH619" s="23">
        <f t="shared" si="534"/>
        <v>1</v>
      </c>
      <c r="AI619" s="9">
        <v>11</v>
      </c>
      <c r="AJ619" s="44">
        <f t="shared" si="535"/>
        <v>1</v>
      </c>
      <c r="AK619" s="13">
        <v>0</v>
      </c>
      <c r="AL619" s="61" t="str">
        <f t="shared" si="536"/>
        <v>モンチッチキーケース</v>
      </c>
      <c r="AM619" s="62">
        <f t="shared" si="537"/>
        <v>605</v>
      </c>
      <c r="AN619" s="23">
        <f t="shared" si="538"/>
        <v>605</v>
      </c>
      <c r="AO619" s="24">
        <f t="shared" si="539"/>
        <v>0.20166666666666666</v>
      </c>
      <c r="AP619" s="11"/>
    </row>
    <row r="620" spans="1:42" ht="15" customHeight="1">
      <c r="A620" s="12"/>
      <c r="B620" s="8"/>
      <c r="C620" s="9"/>
      <c r="D620" s="9" t="str">
        <f>IF(C620="","",C620-C618)</f>
        <v/>
      </c>
      <c r="E620" s="9"/>
      <c r="F620" s="9" t="str">
        <f>IF(E620="","",E620-E618)</f>
        <v/>
      </c>
      <c r="G620" s="9"/>
      <c r="H620" s="9" t="str">
        <f>IF(G620="","",G618+I618-G620)</f>
        <v/>
      </c>
      <c r="I620" s="9"/>
      <c r="J620" s="44"/>
      <c r="K620" s="44" t="str">
        <f>IF(C620="","",K618)</f>
        <v/>
      </c>
      <c r="L620" s="9" t="str">
        <f t="shared" si="542"/>
        <v/>
      </c>
      <c r="M620" s="10" t="str">
        <f t="shared" si="543"/>
        <v/>
      </c>
      <c r="N620" s="11"/>
      <c r="O620" s="2"/>
      <c r="P620" s="65"/>
      <c r="Q620" s="44">
        <v>8511</v>
      </c>
      <c r="R620" s="9">
        <f t="shared" si="527"/>
        <v>96</v>
      </c>
      <c r="S620" s="44">
        <v>192</v>
      </c>
      <c r="T620" s="9">
        <f t="shared" si="528"/>
        <v>2</v>
      </c>
      <c r="U620" s="9">
        <v>9</v>
      </c>
      <c r="V620" s="9">
        <f t="shared" si="529"/>
        <v>2</v>
      </c>
      <c r="W620" s="13">
        <v>0</v>
      </c>
      <c r="X620" s="47" t="str">
        <f t="shared" si="540"/>
        <v>サンリオミニリュック</v>
      </c>
      <c r="Y620" s="45">
        <f t="shared" si="541"/>
        <v>600</v>
      </c>
      <c r="Z620" s="9">
        <f t="shared" si="531"/>
        <v>1200</v>
      </c>
      <c r="AA620" s="10">
        <f t="shared" si="532"/>
        <v>0.125</v>
      </c>
      <c r="AB620" s="11"/>
      <c r="AD620" s="65"/>
      <c r="AE620" s="44">
        <v>8253</v>
      </c>
      <c r="AF620" s="9">
        <f t="shared" si="533"/>
        <v>102</v>
      </c>
      <c r="AG620" s="44">
        <v>147</v>
      </c>
      <c r="AH620" s="9">
        <f t="shared" si="534"/>
        <v>2</v>
      </c>
      <c r="AI620" s="9">
        <v>10</v>
      </c>
      <c r="AJ620" s="9">
        <f t="shared" si="535"/>
        <v>2</v>
      </c>
      <c r="AK620" s="13">
        <v>0</v>
      </c>
      <c r="AL620" s="47" t="str">
        <f t="shared" si="536"/>
        <v>液晶ミニカメラ</v>
      </c>
      <c r="AM620" s="45">
        <f t="shared" si="537"/>
        <v>1075</v>
      </c>
      <c r="AN620" s="9">
        <f t="shared" si="538"/>
        <v>2150</v>
      </c>
      <c r="AO620" s="10">
        <f t="shared" si="539"/>
        <v>0.2107843137254902</v>
      </c>
      <c r="AP620" s="11"/>
    </row>
    <row r="621" spans="1:42" ht="15" customHeight="1">
      <c r="A621" s="12"/>
      <c r="B621" s="8"/>
      <c r="C621" s="9"/>
      <c r="D621" s="9" t="str">
        <f>IF(C621="","",C621-C619)</f>
        <v/>
      </c>
      <c r="E621" s="9"/>
      <c r="F621" s="9" t="str">
        <f>IF(E621="","",E621-E619)</f>
        <v/>
      </c>
      <c r="G621" s="9"/>
      <c r="H621" s="9" t="str">
        <f>IF(G621="","",G619+I619-G621)</f>
        <v/>
      </c>
      <c r="I621" s="9"/>
      <c r="J621" s="44"/>
      <c r="K621" s="44" t="str">
        <f>IF(C621="","",K619)</f>
        <v/>
      </c>
      <c r="L621" s="9" t="str">
        <f t="shared" si="542"/>
        <v/>
      </c>
      <c r="M621" s="10" t="str">
        <f t="shared" si="543"/>
        <v/>
      </c>
      <c r="N621" s="11"/>
      <c r="O621" s="2"/>
      <c r="P621" s="12"/>
      <c r="Q621" s="9">
        <v>8992</v>
      </c>
      <c r="R621" s="9">
        <f t="shared" si="527"/>
        <v>143</v>
      </c>
      <c r="S621" s="9">
        <v>323</v>
      </c>
      <c r="T621" s="9">
        <f t="shared" si="528"/>
        <v>1</v>
      </c>
      <c r="U621" s="9">
        <v>13</v>
      </c>
      <c r="V621" s="9">
        <f t="shared" si="529"/>
        <v>1</v>
      </c>
      <c r="W621" s="13">
        <v>4</v>
      </c>
      <c r="X621" s="47" t="str">
        <f t="shared" si="540"/>
        <v>ラブブマスコット</v>
      </c>
      <c r="Y621" s="9">
        <f t="shared" si="541"/>
        <v>400</v>
      </c>
      <c r="Z621" s="9">
        <f t="shared" si="531"/>
        <v>400</v>
      </c>
      <c r="AA621" s="10">
        <f t="shared" si="532"/>
        <v>2.7972027972027972E-2</v>
      </c>
      <c r="AB621" s="11"/>
      <c r="AD621" s="12"/>
      <c r="AE621" s="9">
        <v>9076</v>
      </c>
      <c r="AF621" s="9">
        <f t="shared" si="533"/>
        <v>145</v>
      </c>
      <c r="AG621" s="9">
        <v>365</v>
      </c>
      <c r="AH621" s="9">
        <f t="shared" si="534"/>
        <v>3</v>
      </c>
      <c r="AI621" s="9">
        <v>9</v>
      </c>
      <c r="AJ621" s="9">
        <f t="shared" si="535"/>
        <v>4</v>
      </c>
      <c r="AK621" s="13">
        <v>2</v>
      </c>
      <c r="AL621" s="47" t="str">
        <f t="shared" si="536"/>
        <v>ＡＩマスコット</v>
      </c>
      <c r="AM621" s="9">
        <f t="shared" si="537"/>
        <v>286</v>
      </c>
      <c r="AN621" s="9">
        <f t="shared" si="538"/>
        <v>1144</v>
      </c>
      <c r="AO621" s="10">
        <f t="shared" si="539"/>
        <v>7.8896551724137925E-2</v>
      </c>
      <c r="AP621" s="11"/>
    </row>
    <row r="622" spans="1:42" ht="15" customHeight="1" thickBot="1">
      <c r="A622" s="12"/>
      <c r="B622" s="8"/>
      <c r="C622" s="9"/>
      <c r="D622" s="9" t="str">
        <f t="shared" ref="D622:D647" si="548">IF(C622="","",C622-C621)</f>
        <v/>
      </c>
      <c r="E622" s="9"/>
      <c r="F622" s="9" t="str">
        <f t="shared" ref="F622:F648" si="549">IF(E622="","",E622-E621)</f>
        <v/>
      </c>
      <c r="G622" s="9"/>
      <c r="H622" s="9" t="str">
        <f t="shared" ref="H622:H648" si="550">IF(G622="","",G621+I621-G622)</f>
        <v/>
      </c>
      <c r="I622" s="9"/>
      <c r="J622" s="44"/>
      <c r="K622" s="44" t="str">
        <f>IF(C622="","",K621)</f>
        <v/>
      </c>
      <c r="L622" s="9" t="str">
        <f t="shared" si="542"/>
        <v/>
      </c>
      <c r="M622" s="10" t="str">
        <f t="shared" si="543"/>
        <v/>
      </c>
      <c r="N622" s="11"/>
      <c r="O622" s="2"/>
      <c r="P622" s="18"/>
      <c r="Q622" s="19">
        <v>10325</v>
      </c>
      <c r="R622" s="19">
        <f t="shared" si="527"/>
        <v>175</v>
      </c>
      <c r="S622" s="19">
        <v>312</v>
      </c>
      <c r="T622" s="19">
        <f t="shared" si="528"/>
        <v>3</v>
      </c>
      <c r="U622" s="19">
        <v>28</v>
      </c>
      <c r="V622" s="19">
        <f t="shared" si="529"/>
        <v>4</v>
      </c>
      <c r="W622" s="37">
        <v>6</v>
      </c>
      <c r="X622" s="48" t="str">
        <f t="shared" si="540"/>
        <v>ラブブキーホルダー</v>
      </c>
      <c r="Y622" s="51">
        <f t="shared" si="541"/>
        <v>400</v>
      </c>
      <c r="Z622" s="19">
        <f t="shared" si="531"/>
        <v>1600</v>
      </c>
      <c r="AA622" s="20">
        <f t="shared" si="532"/>
        <v>9.1428571428571428E-2</v>
      </c>
      <c r="AB622" s="11"/>
      <c r="AD622" s="18"/>
      <c r="AE622" s="19">
        <v>10684</v>
      </c>
      <c r="AF622" s="19">
        <f t="shared" si="533"/>
        <v>119</v>
      </c>
      <c r="AG622" s="19">
        <v>337</v>
      </c>
      <c r="AH622" s="19">
        <f t="shared" si="534"/>
        <v>5</v>
      </c>
      <c r="AI622" s="19">
        <v>120</v>
      </c>
      <c r="AJ622" s="19">
        <f t="shared" si="535"/>
        <v>10</v>
      </c>
      <c r="AK622" s="37">
        <v>2</v>
      </c>
      <c r="AL622" s="48" t="str">
        <f t="shared" si="536"/>
        <v>AIモンスターラバー</v>
      </c>
      <c r="AM622" s="51">
        <f t="shared" si="537"/>
        <v>200</v>
      </c>
      <c r="AN622" s="19">
        <f t="shared" si="538"/>
        <v>2000</v>
      </c>
      <c r="AO622" s="20">
        <f t="shared" si="539"/>
        <v>0.16806722689075632</v>
      </c>
      <c r="AP622" s="11"/>
    </row>
    <row r="623" spans="1:42" ht="15" customHeight="1" thickTop="1">
      <c r="A623" s="12"/>
      <c r="B623" s="8"/>
      <c r="C623" s="9"/>
      <c r="D623" s="9" t="str">
        <f t="shared" si="548"/>
        <v/>
      </c>
      <c r="E623" s="9"/>
      <c r="F623" s="9" t="str">
        <f t="shared" si="549"/>
        <v/>
      </c>
      <c r="G623" s="9"/>
      <c r="H623" s="9" t="str">
        <f t="shared" si="550"/>
        <v/>
      </c>
      <c r="I623" s="9"/>
      <c r="J623" s="44"/>
      <c r="K623" s="44" t="str">
        <f>IF(C623="","",K622)</f>
        <v/>
      </c>
      <c r="L623" s="9" t="str">
        <f t="shared" si="542"/>
        <v/>
      </c>
      <c r="M623" s="10" t="str">
        <f t="shared" si="543"/>
        <v/>
      </c>
      <c r="N623" s="11"/>
      <c r="O623" s="2"/>
      <c r="P623" s="65">
        <f>IF($A602="","",$A602)</f>
        <v>45940</v>
      </c>
      <c r="Q623" s="9">
        <v>8045</v>
      </c>
      <c r="R623" s="44">
        <f t="shared" si="527"/>
        <v>95</v>
      </c>
      <c r="S623" s="9">
        <v>245</v>
      </c>
      <c r="T623" s="23">
        <f t="shared" si="528"/>
        <v>3</v>
      </c>
      <c r="U623" s="9">
        <v>10</v>
      </c>
      <c r="V623" s="44">
        <f t="shared" si="529"/>
        <v>3</v>
      </c>
      <c r="W623" s="66">
        <v>4</v>
      </c>
      <c r="X623" s="61" t="str">
        <f t="shared" si="540"/>
        <v>キティヒョウ柄マスコット</v>
      </c>
      <c r="Y623" s="62">
        <f t="shared" si="541"/>
        <v>996</v>
      </c>
      <c r="Z623" s="23">
        <f t="shared" si="531"/>
        <v>2988</v>
      </c>
      <c r="AA623" s="24">
        <f t="shared" si="532"/>
        <v>0.31452631578947371</v>
      </c>
      <c r="AB623" s="11"/>
      <c r="AD623" s="65">
        <f>IF($A602="","",$A602)</f>
        <v>45940</v>
      </c>
      <c r="AE623" s="9">
        <v>6356</v>
      </c>
      <c r="AF623" s="44">
        <f t="shared" si="533"/>
        <v>14</v>
      </c>
      <c r="AG623" s="9">
        <v>182</v>
      </c>
      <c r="AH623" s="23">
        <f t="shared" si="534"/>
        <v>0</v>
      </c>
      <c r="AI623" s="9">
        <v>11</v>
      </c>
      <c r="AJ623" s="44">
        <f t="shared" si="535"/>
        <v>0</v>
      </c>
      <c r="AK623" s="66">
        <v>-1</v>
      </c>
      <c r="AL623" s="61" t="str">
        <f t="shared" si="536"/>
        <v>モンチッチキーケース</v>
      </c>
      <c r="AM623" s="62">
        <f t="shared" si="537"/>
        <v>605</v>
      </c>
      <c r="AN623" s="23">
        <f t="shared" si="538"/>
        <v>0</v>
      </c>
      <c r="AO623" s="24">
        <f t="shared" si="539"/>
        <v>0</v>
      </c>
      <c r="AP623" s="11" t="s">
        <v>163</v>
      </c>
    </row>
    <row r="624" spans="1:42" ht="15" customHeight="1">
      <c r="A624" s="12"/>
      <c r="B624" s="8"/>
      <c r="C624" s="9"/>
      <c r="D624" s="9" t="str">
        <f t="shared" si="548"/>
        <v/>
      </c>
      <c r="E624" s="9"/>
      <c r="F624" s="9" t="str">
        <f t="shared" si="549"/>
        <v/>
      </c>
      <c r="G624" s="9"/>
      <c r="H624" s="9" t="str">
        <f t="shared" si="550"/>
        <v/>
      </c>
      <c r="I624" s="9"/>
      <c r="J624" s="44"/>
      <c r="K624" s="44" t="str">
        <f>IF(C624="","",K623)</f>
        <v/>
      </c>
      <c r="L624" s="9" t="str">
        <f t="shared" si="542"/>
        <v/>
      </c>
      <c r="M624" s="10" t="str">
        <f t="shared" si="543"/>
        <v/>
      </c>
      <c r="N624" s="11"/>
      <c r="O624" s="2"/>
      <c r="P624" s="12"/>
      <c r="Q624" s="44">
        <v>8572</v>
      </c>
      <c r="R624" s="9">
        <f t="shared" si="527"/>
        <v>61</v>
      </c>
      <c r="S624" s="44">
        <v>192</v>
      </c>
      <c r="T624" s="9">
        <f t="shared" si="528"/>
        <v>0</v>
      </c>
      <c r="U624" s="9">
        <v>9</v>
      </c>
      <c r="V624" s="9">
        <f t="shared" si="529"/>
        <v>0</v>
      </c>
      <c r="W624" s="13">
        <v>2</v>
      </c>
      <c r="X624" s="47" t="str">
        <f t="shared" si="540"/>
        <v>サンリオミニリュック</v>
      </c>
      <c r="Y624" s="45">
        <f t="shared" si="541"/>
        <v>600</v>
      </c>
      <c r="Z624" s="9">
        <f t="shared" si="531"/>
        <v>0</v>
      </c>
      <c r="AA624" s="10">
        <f t="shared" si="532"/>
        <v>0</v>
      </c>
      <c r="AB624" s="11"/>
      <c r="AD624" s="12"/>
      <c r="AE624" s="44">
        <v>8318</v>
      </c>
      <c r="AF624" s="9">
        <f t="shared" si="533"/>
        <v>65</v>
      </c>
      <c r="AG624" s="44">
        <v>150</v>
      </c>
      <c r="AH624" s="9">
        <f t="shared" si="534"/>
        <v>3</v>
      </c>
      <c r="AI624" s="9">
        <v>7</v>
      </c>
      <c r="AJ624" s="9">
        <f t="shared" si="535"/>
        <v>3</v>
      </c>
      <c r="AK624" s="13">
        <v>10</v>
      </c>
      <c r="AL624" s="47" t="str">
        <f t="shared" si="536"/>
        <v>液晶ミニカメラ</v>
      </c>
      <c r="AM624" s="45">
        <f t="shared" si="537"/>
        <v>1075</v>
      </c>
      <c r="AN624" s="9">
        <f t="shared" si="538"/>
        <v>3225</v>
      </c>
      <c r="AO624" s="10">
        <f t="shared" si="539"/>
        <v>0.49615384615384617</v>
      </c>
      <c r="AP624" s="11"/>
    </row>
    <row r="625" spans="1:42" ht="15" customHeight="1">
      <c r="A625" s="12"/>
      <c r="B625" s="8"/>
      <c r="C625" s="9"/>
      <c r="D625" s="9" t="str">
        <f t="shared" si="548"/>
        <v/>
      </c>
      <c r="E625" s="9"/>
      <c r="F625" s="9" t="str">
        <f t="shared" si="549"/>
        <v/>
      </c>
      <c r="G625" s="9"/>
      <c r="H625" s="9" t="str">
        <f t="shared" si="550"/>
        <v/>
      </c>
      <c r="I625" s="9"/>
      <c r="J625" s="9"/>
      <c r="K625" s="9"/>
      <c r="L625" s="9" t="str">
        <f t="shared" si="542"/>
        <v/>
      </c>
      <c r="M625" s="10" t="str">
        <f t="shared" si="543"/>
        <v/>
      </c>
      <c r="N625" s="11"/>
      <c r="O625" s="2"/>
      <c r="P625" s="12"/>
      <c r="Q625" s="9">
        <v>9070</v>
      </c>
      <c r="R625" s="9">
        <f t="shared" si="527"/>
        <v>78</v>
      </c>
      <c r="S625" s="9">
        <v>323</v>
      </c>
      <c r="T625" s="9">
        <f t="shared" si="528"/>
        <v>0</v>
      </c>
      <c r="U625" s="9">
        <v>17</v>
      </c>
      <c r="V625" s="9">
        <f t="shared" si="529"/>
        <v>0</v>
      </c>
      <c r="W625" s="38">
        <v>5</v>
      </c>
      <c r="X625" s="47" t="str">
        <f t="shared" si="540"/>
        <v>ラブブマスコット</v>
      </c>
      <c r="Y625" s="9">
        <f t="shared" si="541"/>
        <v>400</v>
      </c>
      <c r="Z625" s="9">
        <f t="shared" si="531"/>
        <v>0</v>
      </c>
      <c r="AA625" s="10">
        <f t="shared" si="532"/>
        <v>0</v>
      </c>
      <c r="AB625" s="11" t="s">
        <v>162</v>
      </c>
      <c r="AD625" s="12"/>
      <c r="AE625" s="9">
        <v>9161</v>
      </c>
      <c r="AF625" s="9">
        <f t="shared" si="533"/>
        <v>85</v>
      </c>
      <c r="AG625" s="9">
        <v>366</v>
      </c>
      <c r="AH625" s="9">
        <f t="shared" si="534"/>
        <v>1</v>
      </c>
      <c r="AI625" s="9">
        <v>10</v>
      </c>
      <c r="AJ625" s="9">
        <f t="shared" si="535"/>
        <v>1</v>
      </c>
      <c r="AK625" s="38">
        <v>0</v>
      </c>
      <c r="AL625" s="47" t="str">
        <f t="shared" si="536"/>
        <v>ＡＩマスコット</v>
      </c>
      <c r="AM625" s="9">
        <f t="shared" si="537"/>
        <v>286</v>
      </c>
      <c r="AN625" s="9">
        <f t="shared" si="538"/>
        <v>286</v>
      </c>
      <c r="AO625" s="10">
        <f t="shared" si="539"/>
        <v>3.3647058823529412E-2</v>
      </c>
      <c r="AP625" s="11"/>
    </row>
    <row r="626" spans="1:42" ht="15" customHeight="1" thickBot="1">
      <c r="A626" s="12"/>
      <c r="B626" s="8"/>
      <c r="C626" s="9"/>
      <c r="D626" s="9" t="str">
        <f t="shared" si="548"/>
        <v/>
      </c>
      <c r="E626" s="9"/>
      <c r="F626" s="9" t="str">
        <f t="shared" si="549"/>
        <v/>
      </c>
      <c r="G626" s="9"/>
      <c r="H626" s="9" t="str">
        <f t="shared" si="550"/>
        <v/>
      </c>
      <c r="I626" s="9"/>
      <c r="J626" s="9"/>
      <c r="K626" s="9"/>
      <c r="L626" s="9" t="str">
        <f t="shared" si="542"/>
        <v/>
      </c>
      <c r="M626" s="10" t="str">
        <f t="shared" si="543"/>
        <v/>
      </c>
      <c r="N626" s="11"/>
      <c r="O626" s="2"/>
      <c r="P626" s="18"/>
      <c r="Q626" s="19">
        <v>10408</v>
      </c>
      <c r="R626" s="19">
        <f t="shared" si="527"/>
        <v>83</v>
      </c>
      <c r="S626" s="19">
        <v>314</v>
      </c>
      <c r="T626" s="19">
        <f t="shared" si="528"/>
        <v>2</v>
      </c>
      <c r="U626" s="19">
        <v>32</v>
      </c>
      <c r="V626" s="19">
        <f t="shared" si="529"/>
        <v>2</v>
      </c>
      <c r="W626" s="37">
        <v>6</v>
      </c>
      <c r="X626" s="48" t="str">
        <f t="shared" si="540"/>
        <v>ラブブキーホルダー</v>
      </c>
      <c r="Y626" s="51">
        <f t="shared" si="541"/>
        <v>400</v>
      </c>
      <c r="Z626" s="19">
        <f t="shared" si="531"/>
        <v>800</v>
      </c>
      <c r="AA626" s="20">
        <f t="shared" si="532"/>
        <v>9.6385542168674704E-2</v>
      </c>
      <c r="AB626" s="11"/>
      <c r="AD626" s="18"/>
      <c r="AE626" s="19">
        <v>10739</v>
      </c>
      <c r="AF626" s="19">
        <f t="shared" si="533"/>
        <v>55</v>
      </c>
      <c r="AG626" s="19">
        <v>340</v>
      </c>
      <c r="AH626" s="19">
        <f t="shared" si="534"/>
        <v>3</v>
      </c>
      <c r="AI626" s="19">
        <v>112</v>
      </c>
      <c r="AJ626" s="19">
        <f t="shared" si="535"/>
        <v>10</v>
      </c>
      <c r="AK626" s="37">
        <v>0</v>
      </c>
      <c r="AL626" s="48" t="str">
        <f t="shared" si="536"/>
        <v>AIモンスターラバー</v>
      </c>
      <c r="AM626" s="51">
        <f t="shared" si="537"/>
        <v>200</v>
      </c>
      <c r="AN626" s="19">
        <f t="shared" si="538"/>
        <v>2000</v>
      </c>
      <c r="AO626" s="20">
        <f t="shared" si="539"/>
        <v>0.36363636363636365</v>
      </c>
      <c r="AP626" s="11"/>
    </row>
    <row r="627" spans="1:42" ht="15" customHeight="1" thickTop="1">
      <c r="A627" s="12"/>
      <c r="B627" s="8"/>
      <c r="C627" s="9"/>
      <c r="D627" s="9" t="str">
        <f t="shared" si="548"/>
        <v/>
      </c>
      <c r="E627" s="9"/>
      <c r="F627" s="9" t="str">
        <f t="shared" si="549"/>
        <v/>
      </c>
      <c r="G627" s="9"/>
      <c r="H627" s="9" t="str">
        <f t="shared" si="550"/>
        <v/>
      </c>
      <c r="I627" s="9"/>
      <c r="J627" s="9"/>
      <c r="K627" s="9"/>
      <c r="L627" s="9" t="str">
        <f t="shared" si="542"/>
        <v/>
      </c>
      <c r="M627" s="10" t="str">
        <f t="shared" si="543"/>
        <v/>
      </c>
      <c r="N627" s="11"/>
      <c r="O627" s="2"/>
      <c r="P627" s="65">
        <f>IF($A603="","",$A603)</f>
        <v>45944</v>
      </c>
      <c r="Q627" s="9">
        <v>8208</v>
      </c>
      <c r="R627" s="44">
        <f t="shared" si="527"/>
        <v>163</v>
      </c>
      <c r="S627" s="9">
        <v>247</v>
      </c>
      <c r="T627" s="23">
        <f t="shared" si="528"/>
        <v>2</v>
      </c>
      <c r="U627" s="9">
        <v>11</v>
      </c>
      <c r="V627" s="44">
        <f t="shared" si="529"/>
        <v>3</v>
      </c>
      <c r="W627" s="66">
        <v>2</v>
      </c>
      <c r="X627" s="61" t="str">
        <f t="shared" si="540"/>
        <v>キティヒョウ柄マスコット</v>
      </c>
      <c r="Y627" s="62">
        <f t="shared" si="541"/>
        <v>996</v>
      </c>
      <c r="Z627" s="23">
        <f t="shared" si="531"/>
        <v>2988</v>
      </c>
      <c r="AA627" s="24">
        <f t="shared" si="532"/>
        <v>0.18331288343558283</v>
      </c>
      <c r="AB627" s="11"/>
      <c r="AD627" s="65">
        <f>IF($A603="","",$A603)</f>
        <v>45944</v>
      </c>
      <c r="AE627" s="9">
        <v>6474</v>
      </c>
      <c r="AF627" s="44">
        <f t="shared" si="533"/>
        <v>118</v>
      </c>
      <c r="AG627" s="9">
        <v>186</v>
      </c>
      <c r="AH627" s="23">
        <f t="shared" si="534"/>
        <v>4</v>
      </c>
      <c r="AI627" s="9">
        <v>6</v>
      </c>
      <c r="AJ627" s="44">
        <f t="shared" si="535"/>
        <v>4</v>
      </c>
      <c r="AK627" s="66">
        <v>1</v>
      </c>
      <c r="AL627" s="61" t="s">
        <v>93</v>
      </c>
      <c r="AM627" s="62"/>
      <c r="AN627" s="23">
        <f t="shared" si="538"/>
        <v>0</v>
      </c>
      <c r="AO627" s="24">
        <f t="shared" si="539"/>
        <v>0</v>
      </c>
      <c r="AP627" s="11"/>
    </row>
    <row r="628" spans="1:42" ht="15" customHeight="1">
      <c r="A628" s="12"/>
      <c r="B628" s="8"/>
      <c r="C628" s="9"/>
      <c r="D628" s="9" t="str">
        <f t="shared" si="548"/>
        <v/>
      </c>
      <c r="E628" s="9"/>
      <c r="F628" s="9" t="str">
        <f t="shared" si="549"/>
        <v/>
      </c>
      <c r="G628" s="9"/>
      <c r="H628" s="9" t="str">
        <f t="shared" si="550"/>
        <v/>
      </c>
      <c r="I628" s="9"/>
      <c r="J628" s="9"/>
      <c r="K628" s="9"/>
      <c r="L628" s="9" t="str">
        <f t="shared" si="542"/>
        <v/>
      </c>
      <c r="M628" s="10" t="str">
        <f t="shared" si="543"/>
        <v/>
      </c>
      <c r="N628" s="11"/>
      <c r="O628" s="2"/>
      <c r="P628" s="12"/>
      <c r="Q628" s="44">
        <v>8658</v>
      </c>
      <c r="R628" s="9">
        <f t="shared" si="527"/>
        <v>86</v>
      </c>
      <c r="S628" s="44">
        <v>196</v>
      </c>
      <c r="T628" s="9">
        <f t="shared" si="528"/>
        <v>4</v>
      </c>
      <c r="U628" s="9">
        <v>7</v>
      </c>
      <c r="V628" s="9">
        <f t="shared" si="529"/>
        <v>4</v>
      </c>
      <c r="W628" s="13">
        <v>0</v>
      </c>
      <c r="X628" s="47" t="str">
        <f t="shared" si="540"/>
        <v>サンリオミニリュック</v>
      </c>
      <c r="Y628" s="45">
        <f t="shared" si="541"/>
        <v>600</v>
      </c>
      <c r="Z628" s="9">
        <f t="shared" si="531"/>
        <v>2400</v>
      </c>
      <c r="AA628" s="10">
        <f t="shared" si="532"/>
        <v>0.27906976744186046</v>
      </c>
      <c r="AB628" s="11"/>
      <c r="AD628" s="12"/>
      <c r="AE628" s="44">
        <v>8530</v>
      </c>
      <c r="AF628" s="9">
        <f t="shared" si="533"/>
        <v>212</v>
      </c>
      <c r="AG628" s="44">
        <v>155</v>
      </c>
      <c r="AH628" s="9">
        <f t="shared" si="534"/>
        <v>5</v>
      </c>
      <c r="AI628" s="9">
        <v>13</v>
      </c>
      <c r="AJ628" s="9">
        <f t="shared" si="535"/>
        <v>4</v>
      </c>
      <c r="AK628" s="13">
        <v>2</v>
      </c>
      <c r="AL628" s="47" t="str">
        <f t="shared" si="536"/>
        <v>液晶ミニカメラ</v>
      </c>
      <c r="AM628" s="45">
        <f t="shared" si="537"/>
        <v>1075</v>
      </c>
      <c r="AN628" s="9">
        <f t="shared" si="538"/>
        <v>4300</v>
      </c>
      <c r="AO628" s="10">
        <f t="shared" si="539"/>
        <v>0.20283018867924529</v>
      </c>
      <c r="AP628" s="11"/>
    </row>
    <row r="629" spans="1:42" ht="15" customHeight="1">
      <c r="A629" s="12"/>
      <c r="B629" s="8"/>
      <c r="C629" s="9"/>
      <c r="D629" s="9" t="str">
        <f t="shared" si="548"/>
        <v/>
      </c>
      <c r="E629" s="9"/>
      <c r="F629" s="9" t="str">
        <f t="shared" si="549"/>
        <v/>
      </c>
      <c r="G629" s="9"/>
      <c r="H629" s="9" t="str">
        <f t="shared" si="550"/>
        <v/>
      </c>
      <c r="I629" s="9"/>
      <c r="J629" s="9"/>
      <c r="K629" s="9"/>
      <c r="L629" s="9" t="str">
        <f t="shared" si="542"/>
        <v/>
      </c>
      <c r="M629" s="10" t="str">
        <f t="shared" si="543"/>
        <v/>
      </c>
      <c r="N629" s="11"/>
      <c r="O629" s="2"/>
      <c r="P629" s="12"/>
      <c r="Q629" s="9">
        <v>9294</v>
      </c>
      <c r="R629" s="9">
        <f t="shared" si="527"/>
        <v>224</v>
      </c>
      <c r="S629" s="9">
        <v>326</v>
      </c>
      <c r="T629" s="9">
        <f t="shared" si="528"/>
        <v>3</v>
      </c>
      <c r="U629" s="9">
        <v>19</v>
      </c>
      <c r="V629" s="9">
        <f t="shared" si="529"/>
        <v>3</v>
      </c>
      <c r="W629" s="38">
        <v>0</v>
      </c>
      <c r="X629" s="47" t="str">
        <f t="shared" si="540"/>
        <v>ラブブマスコット</v>
      </c>
      <c r="Y629" s="9">
        <f t="shared" si="541"/>
        <v>400</v>
      </c>
      <c r="Z629" s="9">
        <f t="shared" si="531"/>
        <v>1200</v>
      </c>
      <c r="AA629" s="10">
        <f t="shared" si="532"/>
        <v>5.3571428571428568E-2</v>
      </c>
      <c r="AB629" s="11"/>
      <c r="AD629" s="12"/>
      <c r="AE629" s="9">
        <v>9334</v>
      </c>
      <c r="AF629" s="9">
        <f t="shared" si="533"/>
        <v>173</v>
      </c>
      <c r="AG629" s="9">
        <v>369</v>
      </c>
      <c r="AH629" s="9">
        <f t="shared" si="534"/>
        <v>3</v>
      </c>
      <c r="AI629" s="9">
        <v>6</v>
      </c>
      <c r="AJ629" s="9">
        <f t="shared" si="535"/>
        <v>4</v>
      </c>
      <c r="AK629" s="38">
        <v>6</v>
      </c>
      <c r="AL629" s="47" t="str">
        <f t="shared" si="536"/>
        <v>ＡＩマスコット</v>
      </c>
      <c r="AM629" s="9">
        <f t="shared" si="537"/>
        <v>286</v>
      </c>
      <c r="AN629" s="9">
        <f t="shared" si="538"/>
        <v>1144</v>
      </c>
      <c r="AO629" s="10">
        <f t="shared" si="539"/>
        <v>6.6127167630057798E-2</v>
      </c>
      <c r="AP629" s="11"/>
    </row>
    <row r="630" spans="1:42" ht="15" customHeight="1" thickBot="1">
      <c r="A630" s="12"/>
      <c r="B630" s="8"/>
      <c r="C630" s="9"/>
      <c r="D630" s="9" t="str">
        <f t="shared" si="548"/>
        <v/>
      </c>
      <c r="E630" s="9"/>
      <c r="F630" s="9" t="str">
        <f t="shared" si="549"/>
        <v/>
      </c>
      <c r="G630" s="9"/>
      <c r="H630" s="9" t="str">
        <f t="shared" si="550"/>
        <v/>
      </c>
      <c r="I630" s="9"/>
      <c r="J630" s="9"/>
      <c r="K630" s="9"/>
      <c r="L630" s="9" t="str">
        <f t="shared" si="542"/>
        <v/>
      </c>
      <c r="M630" s="10" t="str">
        <f t="shared" si="543"/>
        <v/>
      </c>
      <c r="N630" s="11"/>
      <c r="O630" s="2"/>
      <c r="P630" s="18"/>
      <c r="Q630" s="19">
        <v>10752</v>
      </c>
      <c r="R630" s="19">
        <f t="shared" si="527"/>
        <v>344</v>
      </c>
      <c r="S630" s="19">
        <v>323</v>
      </c>
      <c r="T630" s="19">
        <f t="shared" si="528"/>
        <v>9</v>
      </c>
      <c r="U630" s="19">
        <v>26</v>
      </c>
      <c r="V630" s="19">
        <f t="shared" si="529"/>
        <v>12</v>
      </c>
      <c r="W630" s="37">
        <v>0</v>
      </c>
      <c r="X630" s="48" t="str">
        <f t="shared" si="540"/>
        <v>ラブブキーホルダー</v>
      </c>
      <c r="Y630" s="51">
        <f t="shared" si="541"/>
        <v>400</v>
      </c>
      <c r="Z630" s="19">
        <f t="shared" si="531"/>
        <v>4800</v>
      </c>
      <c r="AA630" s="20">
        <f t="shared" si="532"/>
        <v>0.13953488372093023</v>
      </c>
      <c r="AB630" s="11"/>
      <c r="AD630" s="18"/>
      <c r="AE630" s="19">
        <v>11001</v>
      </c>
      <c r="AF630" s="19">
        <f t="shared" si="533"/>
        <v>262</v>
      </c>
      <c r="AG630" s="19">
        <v>347</v>
      </c>
      <c r="AH630" s="19">
        <f t="shared" si="534"/>
        <v>7</v>
      </c>
      <c r="AI630" s="19">
        <v>100</v>
      </c>
      <c r="AJ630" s="19">
        <f t="shared" si="535"/>
        <v>12</v>
      </c>
      <c r="AK630" s="37">
        <v>20</v>
      </c>
      <c r="AL630" s="48" t="str">
        <f t="shared" si="536"/>
        <v>AIモンスターラバー</v>
      </c>
      <c r="AM630" s="51">
        <f t="shared" si="537"/>
        <v>200</v>
      </c>
      <c r="AN630" s="19">
        <f t="shared" si="538"/>
        <v>2400</v>
      </c>
      <c r="AO630" s="20">
        <f t="shared" si="539"/>
        <v>9.1603053435114504E-2</v>
      </c>
      <c r="AP630" s="11"/>
    </row>
    <row r="631" spans="1:42" ht="15" customHeight="1" thickTop="1">
      <c r="A631" s="12"/>
      <c r="B631" s="8"/>
      <c r="C631" s="9"/>
      <c r="D631" s="9" t="str">
        <f t="shared" si="548"/>
        <v/>
      </c>
      <c r="E631" s="9"/>
      <c r="F631" s="9" t="str">
        <f t="shared" si="549"/>
        <v/>
      </c>
      <c r="G631" s="9"/>
      <c r="H631" s="9" t="str">
        <f t="shared" si="550"/>
        <v/>
      </c>
      <c r="I631" s="9"/>
      <c r="J631" s="9"/>
      <c r="K631" s="9"/>
      <c r="L631" s="9" t="str">
        <f t="shared" si="542"/>
        <v/>
      </c>
      <c r="M631" s="10" t="str">
        <f t="shared" si="543"/>
        <v/>
      </c>
      <c r="N631" s="11"/>
      <c r="O631" s="2"/>
      <c r="P631" s="65"/>
      <c r="Q631" s="44"/>
      <c r="R631" s="44"/>
      <c r="S631" s="44"/>
      <c r="T631" s="23"/>
      <c r="U631" s="44"/>
      <c r="V631" s="44"/>
      <c r="W631" s="66"/>
      <c r="X631" s="61"/>
      <c r="Y631" s="62"/>
      <c r="Z631" s="23"/>
      <c r="AA631" s="24"/>
      <c r="AB631" s="11"/>
      <c r="AD631" s="65"/>
      <c r="AE631" s="44"/>
      <c r="AF631" s="44"/>
      <c r="AG631" s="44"/>
      <c r="AH631" s="23"/>
      <c r="AI631" s="44"/>
      <c r="AJ631" s="44"/>
      <c r="AK631" s="66"/>
      <c r="AL631" s="61"/>
      <c r="AM631" s="62"/>
      <c r="AN631" s="23"/>
      <c r="AO631" s="24"/>
      <c r="AP631" s="11"/>
    </row>
    <row r="632" spans="1:42">
      <c r="A632" s="12"/>
      <c r="B632" s="8"/>
      <c r="C632" s="9"/>
      <c r="D632" s="9" t="str">
        <f t="shared" si="548"/>
        <v/>
      </c>
      <c r="E632" s="9"/>
      <c r="F632" s="9" t="str">
        <f t="shared" si="549"/>
        <v/>
      </c>
      <c r="G632" s="9"/>
      <c r="H632" s="9" t="str">
        <f t="shared" si="550"/>
        <v/>
      </c>
      <c r="I632" s="9"/>
      <c r="J632" s="9"/>
      <c r="K632" s="9"/>
      <c r="L632" s="9" t="str">
        <f t="shared" si="542"/>
        <v/>
      </c>
      <c r="M632" s="10" t="str">
        <f t="shared" si="543"/>
        <v/>
      </c>
      <c r="N632" s="11"/>
      <c r="O632" s="2"/>
      <c r="P632" s="12"/>
      <c r="Q632" s="9"/>
      <c r="R632" s="113"/>
      <c r="S632" s="9"/>
      <c r="T632" s="9"/>
      <c r="U632" s="9"/>
      <c r="V632" s="9"/>
      <c r="W632" s="13"/>
      <c r="X632" s="47"/>
      <c r="Y632" s="45"/>
      <c r="Z632" s="9"/>
      <c r="AA632" s="10"/>
      <c r="AB632" s="11"/>
      <c r="AD632" s="12"/>
      <c r="AE632" s="9"/>
      <c r="AF632" s="113"/>
      <c r="AG632" s="9"/>
      <c r="AH632" s="9"/>
      <c r="AI632" s="9"/>
      <c r="AJ632" s="9"/>
      <c r="AK632" s="13"/>
      <c r="AL632" s="47"/>
      <c r="AM632" s="45"/>
      <c r="AN632" s="9"/>
      <c r="AO632" s="10"/>
      <c r="AP632" s="11"/>
    </row>
    <row r="633" spans="1:42" ht="15" customHeight="1">
      <c r="A633" s="12"/>
      <c r="B633" s="8"/>
      <c r="C633" s="9"/>
      <c r="D633" s="9" t="str">
        <f t="shared" si="548"/>
        <v/>
      </c>
      <c r="E633" s="9"/>
      <c r="F633" s="9" t="str">
        <f t="shared" si="549"/>
        <v/>
      </c>
      <c r="G633" s="9"/>
      <c r="H633" s="9" t="str">
        <f t="shared" si="550"/>
        <v/>
      </c>
      <c r="I633" s="9"/>
      <c r="J633" s="9"/>
      <c r="K633" s="9"/>
      <c r="L633" s="9" t="str">
        <f t="shared" si="542"/>
        <v/>
      </c>
      <c r="M633" s="10" t="str">
        <f t="shared" si="543"/>
        <v/>
      </c>
      <c r="N633" s="11"/>
      <c r="O633" s="2"/>
      <c r="P633" s="12"/>
      <c r="Q633" s="9"/>
      <c r="R633" s="52"/>
      <c r="S633" s="9"/>
      <c r="T633" s="9"/>
      <c r="U633" s="26"/>
      <c r="V633" s="26"/>
      <c r="W633" s="38"/>
      <c r="X633" s="47"/>
      <c r="Y633" s="9"/>
      <c r="Z633" s="9"/>
      <c r="AA633" s="10"/>
      <c r="AB633" s="11"/>
      <c r="AD633" s="12"/>
      <c r="AE633" s="9"/>
      <c r="AF633" s="52"/>
      <c r="AG633" s="9"/>
      <c r="AH633" s="9"/>
      <c r="AI633" s="26"/>
      <c r="AJ633" s="26"/>
      <c r="AK633" s="38"/>
      <c r="AL633" s="47"/>
      <c r="AM633" s="9"/>
      <c r="AN633" s="9"/>
      <c r="AO633" s="10"/>
      <c r="AP633" s="11"/>
    </row>
    <row r="634" spans="1:42" ht="15" customHeight="1" thickBot="1">
      <c r="A634" s="12"/>
      <c r="B634" s="8"/>
      <c r="C634" s="9"/>
      <c r="D634" s="9" t="str">
        <f t="shared" si="548"/>
        <v/>
      </c>
      <c r="E634" s="9"/>
      <c r="F634" s="9" t="str">
        <f t="shared" si="549"/>
        <v/>
      </c>
      <c r="G634" s="9"/>
      <c r="H634" s="9" t="str">
        <f t="shared" si="550"/>
        <v/>
      </c>
      <c r="I634" s="9"/>
      <c r="J634" s="9"/>
      <c r="K634" s="9"/>
      <c r="L634" s="9" t="str">
        <f t="shared" si="542"/>
        <v/>
      </c>
      <c r="M634" s="10" t="str">
        <f t="shared" si="543"/>
        <v/>
      </c>
      <c r="N634" s="11"/>
      <c r="O634" s="2"/>
      <c r="P634" s="18"/>
      <c r="Q634" s="21"/>
      <c r="R634" s="50"/>
      <c r="S634" s="51"/>
      <c r="T634" s="21"/>
      <c r="U634" s="53"/>
      <c r="V634" s="53"/>
      <c r="W634" s="37"/>
      <c r="X634" s="48"/>
      <c r="Y634" s="51"/>
      <c r="Z634" s="19"/>
      <c r="AA634" s="20"/>
      <c r="AB634" s="11"/>
      <c r="AD634" s="18"/>
      <c r="AE634" s="21"/>
      <c r="AF634" s="50"/>
      <c r="AG634" s="51"/>
      <c r="AH634" s="21"/>
      <c r="AI634" s="53"/>
      <c r="AJ634" s="53"/>
      <c r="AK634" s="37"/>
      <c r="AL634" s="48"/>
      <c r="AM634" s="51"/>
      <c r="AN634" s="19"/>
      <c r="AO634" s="20"/>
      <c r="AP634" s="11"/>
    </row>
    <row r="635" spans="1:42" ht="15" customHeight="1" thickTop="1">
      <c r="A635" s="12"/>
      <c r="B635" s="8"/>
      <c r="C635" s="9"/>
      <c r="D635" s="9" t="str">
        <f t="shared" si="548"/>
        <v/>
      </c>
      <c r="E635" s="9"/>
      <c r="F635" s="9" t="str">
        <f t="shared" si="549"/>
        <v/>
      </c>
      <c r="G635" s="9"/>
      <c r="H635" s="9" t="str">
        <f t="shared" si="550"/>
        <v/>
      </c>
      <c r="I635" s="9"/>
      <c r="J635" s="9"/>
      <c r="K635" s="9"/>
      <c r="L635" s="9" t="str">
        <f t="shared" si="542"/>
        <v/>
      </c>
      <c r="M635" s="10" t="str">
        <f t="shared" si="543"/>
        <v/>
      </c>
      <c r="N635" s="11"/>
      <c r="O635" s="2"/>
      <c r="P635" s="65" t="str">
        <f>IF($A605="","",$A605)</f>
        <v/>
      </c>
      <c r="Q635" s="44"/>
      <c r="R635" s="44" t="str">
        <f t="shared" ref="R635:R650" si="551">IF(Q635="","",Q635-Q631)</f>
        <v/>
      </c>
      <c r="S635" s="44"/>
      <c r="T635" s="23" t="str">
        <f t="shared" ref="T635:T650" si="552">IF(S635="","",S635-S631)</f>
        <v/>
      </c>
      <c r="U635" s="44"/>
      <c r="V635" s="44" t="str">
        <f t="shared" ref="V635:V650" si="553">IF(U635="","",U631+W631-U635)</f>
        <v/>
      </c>
      <c r="W635" s="66"/>
      <c r="X635" s="61" t="str">
        <f t="shared" si="540"/>
        <v/>
      </c>
      <c r="Y635" s="62" t="str">
        <f t="shared" si="541"/>
        <v/>
      </c>
      <c r="Z635" s="23" t="str">
        <f t="shared" ref="Z635:Z650" si="554">IF(U635="","",V635*Y635)</f>
        <v/>
      </c>
      <c r="AA635" s="24" t="str">
        <f t="shared" ref="AA635:AA650" si="555">IF(V635="","",Z635/(R635*100))</f>
        <v/>
      </c>
      <c r="AB635" s="11"/>
      <c r="AD635" s="65" t="str">
        <f>IF($A605="","",$A605)</f>
        <v/>
      </c>
      <c r="AE635" s="44"/>
      <c r="AF635" s="44" t="str">
        <f t="shared" ref="AF635:AF650" si="556">IF(AE635="","",AE635-AE631)</f>
        <v/>
      </c>
      <c r="AG635" s="44"/>
      <c r="AH635" s="23" t="str">
        <f t="shared" ref="AH635:AH650" si="557">IF(AG635="","",AG635-AG631)</f>
        <v/>
      </c>
      <c r="AI635" s="44"/>
      <c r="AJ635" s="44" t="str">
        <f t="shared" ref="AJ635:AJ650" si="558">IF(AI635="","",AI631+AK631-AI635)</f>
        <v/>
      </c>
      <c r="AK635" s="66"/>
      <c r="AL635" s="61" t="str">
        <f t="shared" ref="AL635:AL650" si="559">IF(AE635="","",AL631)</f>
        <v/>
      </c>
      <c r="AM635" s="62" t="str">
        <f t="shared" ref="AM635:AM650" si="560">IF(AF635="","",AM631)</f>
        <v/>
      </c>
      <c r="AN635" s="23" t="str">
        <f t="shared" ref="AN635:AN650" si="561">IF(AI635="","",AJ635*AM635)</f>
        <v/>
      </c>
      <c r="AO635" s="24" t="str">
        <f t="shared" ref="AO635:AO650" si="562">IF(AJ635="","",AN635/(AF635*100))</f>
        <v/>
      </c>
      <c r="AP635" s="11"/>
    </row>
    <row r="636" spans="1:42" ht="15" customHeight="1">
      <c r="A636" s="12"/>
      <c r="B636" s="8"/>
      <c r="C636" s="9"/>
      <c r="D636" s="9" t="str">
        <f t="shared" si="548"/>
        <v/>
      </c>
      <c r="E636" s="9"/>
      <c r="F636" s="9" t="str">
        <f t="shared" si="549"/>
        <v/>
      </c>
      <c r="G636" s="9"/>
      <c r="H636" s="9" t="str">
        <f t="shared" si="550"/>
        <v/>
      </c>
      <c r="I636" s="9"/>
      <c r="J636" s="9"/>
      <c r="K636" s="9"/>
      <c r="L636" s="9" t="str">
        <f t="shared" si="542"/>
        <v/>
      </c>
      <c r="M636" s="10" t="str">
        <f t="shared" si="543"/>
        <v/>
      </c>
      <c r="N636" s="11"/>
      <c r="O636" s="2"/>
      <c r="P636" s="12"/>
      <c r="Q636" s="9"/>
      <c r="R636" s="44" t="str">
        <f t="shared" si="551"/>
        <v/>
      </c>
      <c r="S636" s="9"/>
      <c r="T636" s="9" t="str">
        <f t="shared" si="552"/>
        <v/>
      </c>
      <c r="U636" s="9"/>
      <c r="V636" s="9" t="str">
        <f t="shared" si="553"/>
        <v/>
      </c>
      <c r="W636" s="13"/>
      <c r="X636" s="47" t="str">
        <f t="shared" si="540"/>
        <v/>
      </c>
      <c r="Y636" s="45" t="str">
        <f t="shared" si="541"/>
        <v/>
      </c>
      <c r="Z636" s="9" t="str">
        <f t="shared" si="554"/>
        <v/>
      </c>
      <c r="AA636" s="10" t="str">
        <f t="shared" si="555"/>
        <v/>
      </c>
      <c r="AB636" s="11"/>
      <c r="AD636" s="12"/>
      <c r="AE636" s="9"/>
      <c r="AF636" s="44" t="str">
        <f t="shared" si="556"/>
        <v/>
      </c>
      <c r="AG636" s="9"/>
      <c r="AH636" s="9" t="str">
        <f t="shared" si="557"/>
        <v/>
      </c>
      <c r="AI636" s="9"/>
      <c r="AJ636" s="9" t="str">
        <f t="shared" si="558"/>
        <v/>
      </c>
      <c r="AK636" s="13"/>
      <c r="AL636" s="47" t="str">
        <f t="shared" si="559"/>
        <v/>
      </c>
      <c r="AM636" s="45" t="str">
        <f t="shared" si="560"/>
        <v/>
      </c>
      <c r="AN636" s="9" t="str">
        <f t="shared" si="561"/>
        <v/>
      </c>
      <c r="AO636" s="10" t="str">
        <f t="shared" si="562"/>
        <v/>
      </c>
      <c r="AP636" s="11"/>
    </row>
    <row r="637" spans="1:42" ht="15" customHeight="1">
      <c r="A637" s="12"/>
      <c r="B637" s="8"/>
      <c r="C637" s="9"/>
      <c r="D637" s="9" t="str">
        <f t="shared" si="548"/>
        <v/>
      </c>
      <c r="E637" s="9"/>
      <c r="F637" s="9" t="str">
        <f t="shared" si="549"/>
        <v/>
      </c>
      <c r="G637" s="9"/>
      <c r="H637" s="9" t="str">
        <f t="shared" si="550"/>
        <v/>
      </c>
      <c r="I637" s="9"/>
      <c r="J637" s="9"/>
      <c r="K637" s="9"/>
      <c r="L637" s="9" t="str">
        <f t="shared" si="542"/>
        <v/>
      </c>
      <c r="M637" s="10" t="str">
        <f t="shared" si="543"/>
        <v/>
      </c>
      <c r="N637" s="11"/>
      <c r="O637" s="2"/>
      <c r="P637" s="12"/>
      <c r="Q637" s="9"/>
      <c r="R637" s="52" t="str">
        <f t="shared" si="551"/>
        <v/>
      </c>
      <c r="S637" s="9"/>
      <c r="T637" s="9" t="str">
        <f t="shared" si="552"/>
        <v/>
      </c>
      <c r="U637" s="9"/>
      <c r="V637" s="9" t="str">
        <f t="shared" si="553"/>
        <v/>
      </c>
      <c r="W637" s="13"/>
      <c r="X637" s="47" t="str">
        <f t="shared" si="540"/>
        <v/>
      </c>
      <c r="Y637" s="9" t="str">
        <f t="shared" si="541"/>
        <v/>
      </c>
      <c r="Z637" s="9" t="str">
        <f t="shared" si="554"/>
        <v/>
      </c>
      <c r="AA637" s="10" t="str">
        <f t="shared" si="555"/>
        <v/>
      </c>
      <c r="AB637" s="11"/>
      <c r="AD637" s="12"/>
      <c r="AE637" s="9"/>
      <c r="AF637" s="52" t="str">
        <f t="shared" si="556"/>
        <v/>
      </c>
      <c r="AG637" s="9"/>
      <c r="AH637" s="9" t="str">
        <f t="shared" si="557"/>
        <v/>
      </c>
      <c r="AI637" s="9"/>
      <c r="AJ637" s="9" t="str">
        <f t="shared" si="558"/>
        <v/>
      </c>
      <c r="AK637" s="13"/>
      <c r="AL637" s="47" t="str">
        <f t="shared" si="559"/>
        <v/>
      </c>
      <c r="AM637" s="9" t="str">
        <f t="shared" si="560"/>
        <v/>
      </c>
      <c r="AN637" s="9" t="str">
        <f t="shared" si="561"/>
        <v/>
      </c>
      <c r="AO637" s="10" t="str">
        <f t="shared" si="562"/>
        <v/>
      </c>
      <c r="AP637" s="11"/>
    </row>
    <row r="638" spans="1:42" ht="15" customHeight="1" thickBot="1">
      <c r="A638" s="12"/>
      <c r="B638" s="8"/>
      <c r="C638" s="9"/>
      <c r="D638" s="9" t="str">
        <f t="shared" si="548"/>
        <v/>
      </c>
      <c r="E638" s="9"/>
      <c r="F638" s="9" t="str">
        <f t="shared" si="549"/>
        <v/>
      </c>
      <c r="G638" s="9"/>
      <c r="H638" s="9" t="str">
        <f t="shared" si="550"/>
        <v/>
      </c>
      <c r="I638" s="9"/>
      <c r="J638" s="9"/>
      <c r="K638" s="9"/>
      <c r="L638" s="9" t="str">
        <f t="shared" si="542"/>
        <v/>
      </c>
      <c r="M638" s="10" t="str">
        <f t="shared" si="543"/>
        <v/>
      </c>
      <c r="N638" s="11"/>
      <c r="O638" s="2"/>
      <c r="P638" s="18"/>
      <c r="Q638" s="21"/>
      <c r="R638" s="50" t="str">
        <f t="shared" si="551"/>
        <v/>
      </c>
      <c r="S638" s="51"/>
      <c r="T638" s="19" t="str">
        <f t="shared" si="552"/>
        <v/>
      </c>
      <c r="U638" s="19"/>
      <c r="V638" s="19" t="str">
        <f t="shared" si="553"/>
        <v/>
      </c>
      <c r="W638" s="37"/>
      <c r="X638" s="48" t="str">
        <f t="shared" si="540"/>
        <v/>
      </c>
      <c r="Y638" s="51" t="str">
        <f t="shared" si="541"/>
        <v/>
      </c>
      <c r="Z638" s="19" t="str">
        <f t="shared" si="554"/>
        <v/>
      </c>
      <c r="AA638" s="20" t="str">
        <f t="shared" si="555"/>
        <v/>
      </c>
      <c r="AB638" s="11"/>
      <c r="AD638" s="18"/>
      <c r="AE638" s="21"/>
      <c r="AF638" s="50" t="str">
        <f t="shared" si="556"/>
        <v/>
      </c>
      <c r="AG638" s="51"/>
      <c r="AH638" s="19" t="str">
        <f t="shared" si="557"/>
        <v/>
      </c>
      <c r="AI638" s="19"/>
      <c r="AJ638" s="19" t="str">
        <f t="shared" si="558"/>
        <v/>
      </c>
      <c r="AK638" s="37"/>
      <c r="AL638" s="48" t="str">
        <f t="shared" si="559"/>
        <v/>
      </c>
      <c r="AM638" s="51" t="str">
        <f t="shared" si="560"/>
        <v/>
      </c>
      <c r="AN638" s="19" t="str">
        <f t="shared" si="561"/>
        <v/>
      </c>
      <c r="AO638" s="20" t="str">
        <f t="shared" si="562"/>
        <v/>
      </c>
      <c r="AP638" s="11"/>
    </row>
    <row r="639" spans="1:42" ht="15" customHeight="1" thickTop="1">
      <c r="A639" s="12"/>
      <c r="B639" s="8"/>
      <c r="C639" s="9"/>
      <c r="D639" s="9" t="str">
        <f t="shared" si="548"/>
        <v/>
      </c>
      <c r="E639" s="9"/>
      <c r="F639" s="9" t="str">
        <f t="shared" si="549"/>
        <v/>
      </c>
      <c r="G639" s="9"/>
      <c r="H639" s="9" t="str">
        <f t="shared" si="550"/>
        <v/>
      </c>
      <c r="I639" s="9"/>
      <c r="J639" s="9"/>
      <c r="K639" s="9"/>
      <c r="L639" s="9" t="str">
        <f t="shared" si="542"/>
        <v/>
      </c>
      <c r="M639" s="10" t="str">
        <f t="shared" si="543"/>
        <v/>
      </c>
      <c r="N639" s="11"/>
      <c r="O639" s="2"/>
      <c r="P639" s="65" t="str">
        <f>IF($A606="","",$A606)</f>
        <v/>
      </c>
      <c r="Q639" s="44"/>
      <c r="R639" s="44" t="str">
        <f t="shared" si="551"/>
        <v/>
      </c>
      <c r="S639" s="44"/>
      <c r="T639" s="23" t="str">
        <f t="shared" si="552"/>
        <v/>
      </c>
      <c r="U639" s="44"/>
      <c r="V639" s="44" t="str">
        <f t="shared" si="553"/>
        <v/>
      </c>
      <c r="W639" s="44"/>
      <c r="X639" s="61" t="str">
        <f t="shared" si="540"/>
        <v/>
      </c>
      <c r="Y639" s="62" t="str">
        <f t="shared" si="541"/>
        <v/>
      </c>
      <c r="Z639" s="23" t="str">
        <f t="shared" si="554"/>
        <v/>
      </c>
      <c r="AA639" s="24" t="str">
        <f t="shared" si="555"/>
        <v/>
      </c>
      <c r="AB639" s="11"/>
      <c r="AD639" s="65" t="str">
        <f>IF($A606="","",$A606)</f>
        <v/>
      </c>
      <c r="AE639" s="44"/>
      <c r="AF639" s="44" t="str">
        <f t="shared" si="556"/>
        <v/>
      </c>
      <c r="AG639" s="44"/>
      <c r="AH639" s="23" t="str">
        <f t="shared" si="557"/>
        <v/>
      </c>
      <c r="AI639" s="44"/>
      <c r="AJ639" s="44" t="str">
        <f t="shared" si="558"/>
        <v/>
      </c>
      <c r="AK639" s="44"/>
      <c r="AL639" s="61" t="str">
        <f t="shared" si="559"/>
        <v/>
      </c>
      <c r="AM639" s="62" t="str">
        <f t="shared" si="560"/>
        <v/>
      </c>
      <c r="AN639" s="23" t="str">
        <f t="shared" si="561"/>
        <v/>
      </c>
      <c r="AO639" s="24" t="str">
        <f t="shared" si="562"/>
        <v/>
      </c>
      <c r="AP639" s="11"/>
    </row>
    <row r="640" spans="1:42" ht="15" customHeight="1">
      <c r="A640" s="12"/>
      <c r="B640" s="8"/>
      <c r="C640" s="9"/>
      <c r="D640" s="9" t="str">
        <f t="shared" si="548"/>
        <v/>
      </c>
      <c r="E640" s="9"/>
      <c r="F640" s="9" t="str">
        <f t="shared" si="549"/>
        <v/>
      </c>
      <c r="G640" s="9"/>
      <c r="H640" s="9" t="str">
        <f t="shared" si="550"/>
        <v/>
      </c>
      <c r="I640" s="9"/>
      <c r="J640" s="9"/>
      <c r="K640" s="9"/>
      <c r="L640" s="9" t="str">
        <f t="shared" si="542"/>
        <v/>
      </c>
      <c r="M640" s="10" t="str">
        <f t="shared" si="543"/>
        <v/>
      </c>
      <c r="N640" s="11"/>
      <c r="O640" s="2"/>
      <c r="P640" s="12"/>
      <c r="Q640" s="9"/>
      <c r="R640" s="9" t="str">
        <f t="shared" si="551"/>
        <v/>
      </c>
      <c r="S640" s="9"/>
      <c r="T640" s="9" t="str">
        <f t="shared" si="552"/>
        <v/>
      </c>
      <c r="U640" s="9"/>
      <c r="V640" s="9" t="str">
        <f t="shared" si="553"/>
        <v/>
      </c>
      <c r="W640" s="9"/>
      <c r="X640" s="47" t="str">
        <f t="shared" si="540"/>
        <v/>
      </c>
      <c r="Y640" s="45" t="str">
        <f t="shared" si="541"/>
        <v/>
      </c>
      <c r="Z640" s="9" t="str">
        <f t="shared" si="554"/>
        <v/>
      </c>
      <c r="AA640" s="10" t="str">
        <f t="shared" si="555"/>
        <v/>
      </c>
      <c r="AB640" s="11"/>
      <c r="AD640" s="12"/>
      <c r="AE640" s="9"/>
      <c r="AF640" s="9" t="str">
        <f t="shared" si="556"/>
        <v/>
      </c>
      <c r="AG640" s="9"/>
      <c r="AH640" s="9" t="str">
        <f t="shared" si="557"/>
        <v/>
      </c>
      <c r="AI640" s="9"/>
      <c r="AJ640" s="9" t="str">
        <f t="shared" si="558"/>
        <v/>
      </c>
      <c r="AK640" s="9"/>
      <c r="AL640" s="47" t="str">
        <f t="shared" si="559"/>
        <v/>
      </c>
      <c r="AM640" s="45" t="str">
        <f t="shared" si="560"/>
        <v/>
      </c>
      <c r="AN640" s="9" t="str">
        <f t="shared" si="561"/>
        <v/>
      </c>
      <c r="AO640" s="10" t="str">
        <f t="shared" si="562"/>
        <v/>
      </c>
      <c r="AP640" s="11"/>
    </row>
    <row r="641" spans="1:42" ht="15" customHeight="1">
      <c r="A641" s="12"/>
      <c r="B641" s="8"/>
      <c r="C641" s="9"/>
      <c r="D641" s="9" t="str">
        <f t="shared" si="548"/>
        <v/>
      </c>
      <c r="E641" s="9"/>
      <c r="F641" s="9" t="str">
        <f t="shared" si="549"/>
        <v/>
      </c>
      <c r="G641" s="9"/>
      <c r="H641" s="9" t="str">
        <f t="shared" si="550"/>
        <v/>
      </c>
      <c r="I641" s="9"/>
      <c r="J641" s="9"/>
      <c r="K641" s="9"/>
      <c r="L641" s="9" t="str">
        <f t="shared" si="542"/>
        <v/>
      </c>
      <c r="M641" s="10" t="str">
        <f t="shared" si="543"/>
        <v/>
      </c>
      <c r="N641" s="11"/>
      <c r="O641" s="2"/>
      <c r="P641" s="12"/>
      <c r="Q641" s="9"/>
      <c r="R641" s="9" t="str">
        <f t="shared" si="551"/>
        <v/>
      </c>
      <c r="S641" s="9"/>
      <c r="T641" s="9" t="str">
        <f t="shared" si="552"/>
        <v/>
      </c>
      <c r="U641" s="9"/>
      <c r="V641" s="9" t="str">
        <f t="shared" si="553"/>
        <v/>
      </c>
      <c r="W641" s="9"/>
      <c r="X641" s="47" t="str">
        <f t="shared" si="540"/>
        <v/>
      </c>
      <c r="Y641" s="9" t="str">
        <f t="shared" si="541"/>
        <v/>
      </c>
      <c r="Z641" s="9" t="str">
        <f t="shared" si="554"/>
        <v/>
      </c>
      <c r="AA641" s="10" t="str">
        <f t="shared" si="555"/>
        <v/>
      </c>
      <c r="AB641" s="11"/>
      <c r="AD641" s="12"/>
      <c r="AE641" s="9"/>
      <c r="AF641" s="9" t="str">
        <f t="shared" si="556"/>
        <v/>
      </c>
      <c r="AG641" s="9"/>
      <c r="AH641" s="9" t="str">
        <f t="shared" si="557"/>
        <v/>
      </c>
      <c r="AI641" s="9"/>
      <c r="AJ641" s="9" t="str">
        <f t="shared" si="558"/>
        <v/>
      </c>
      <c r="AK641" s="9"/>
      <c r="AL641" s="47" t="str">
        <f t="shared" si="559"/>
        <v/>
      </c>
      <c r="AM641" s="9" t="str">
        <f t="shared" si="560"/>
        <v/>
      </c>
      <c r="AN641" s="9" t="str">
        <f t="shared" si="561"/>
        <v/>
      </c>
      <c r="AO641" s="10" t="str">
        <f t="shared" si="562"/>
        <v/>
      </c>
      <c r="AP641" s="11"/>
    </row>
    <row r="642" spans="1:42" ht="15" customHeight="1" thickBot="1">
      <c r="A642" s="12"/>
      <c r="B642" s="8"/>
      <c r="C642" s="9"/>
      <c r="D642" s="9" t="str">
        <f t="shared" si="548"/>
        <v/>
      </c>
      <c r="E642" s="9"/>
      <c r="F642" s="9" t="str">
        <f t="shared" si="549"/>
        <v/>
      </c>
      <c r="G642" s="9"/>
      <c r="H642" s="9" t="str">
        <f t="shared" si="550"/>
        <v/>
      </c>
      <c r="I642" s="9"/>
      <c r="J642" s="9"/>
      <c r="K642" s="9"/>
      <c r="L642" s="9" t="str">
        <f t="shared" si="542"/>
        <v/>
      </c>
      <c r="M642" s="10" t="str">
        <f t="shared" si="543"/>
        <v/>
      </c>
      <c r="N642" s="11"/>
      <c r="O642" s="2"/>
      <c r="P642" s="18"/>
      <c r="Q642" s="19"/>
      <c r="R642" s="19" t="str">
        <f t="shared" si="551"/>
        <v/>
      </c>
      <c r="S642" s="19"/>
      <c r="T642" s="19" t="str">
        <f t="shared" si="552"/>
        <v/>
      </c>
      <c r="U642" s="19"/>
      <c r="V642" s="19" t="str">
        <f t="shared" si="553"/>
        <v/>
      </c>
      <c r="W642" s="19"/>
      <c r="X642" s="48" t="str">
        <f t="shared" si="540"/>
        <v/>
      </c>
      <c r="Y642" s="51" t="str">
        <f t="shared" si="541"/>
        <v/>
      </c>
      <c r="Z642" s="19" t="str">
        <f t="shared" si="554"/>
        <v/>
      </c>
      <c r="AA642" s="20" t="str">
        <f t="shared" si="555"/>
        <v/>
      </c>
      <c r="AB642" s="11"/>
      <c r="AD642" s="18"/>
      <c r="AE642" s="19"/>
      <c r="AF642" s="19" t="str">
        <f t="shared" si="556"/>
        <v/>
      </c>
      <c r="AG642" s="19"/>
      <c r="AH642" s="19" t="str">
        <f t="shared" si="557"/>
        <v/>
      </c>
      <c r="AI642" s="19"/>
      <c r="AJ642" s="19" t="str">
        <f t="shared" si="558"/>
        <v/>
      </c>
      <c r="AK642" s="19"/>
      <c r="AL642" s="48" t="str">
        <f t="shared" si="559"/>
        <v/>
      </c>
      <c r="AM642" s="51" t="str">
        <f t="shared" si="560"/>
        <v/>
      </c>
      <c r="AN642" s="19" t="str">
        <f t="shared" si="561"/>
        <v/>
      </c>
      <c r="AO642" s="20" t="str">
        <f t="shared" si="562"/>
        <v/>
      </c>
      <c r="AP642" s="11"/>
    </row>
    <row r="643" spans="1:42" ht="15" customHeight="1" thickTop="1">
      <c r="A643" s="12"/>
      <c r="B643" s="8"/>
      <c r="C643" s="9"/>
      <c r="D643" s="9" t="str">
        <f t="shared" si="548"/>
        <v/>
      </c>
      <c r="E643" s="9"/>
      <c r="F643" s="9" t="str">
        <f t="shared" si="549"/>
        <v/>
      </c>
      <c r="G643" s="9"/>
      <c r="H643" s="9" t="str">
        <f t="shared" si="550"/>
        <v/>
      </c>
      <c r="I643" s="9"/>
      <c r="J643" s="9"/>
      <c r="K643" s="9"/>
      <c r="L643" s="9" t="str">
        <f t="shared" si="542"/>
        <v/>
      </c>
      <c r="M643" s="10" t="str">
        <f t="shared" si="543"/>
        <v/>
      </c>
      <c r="N643" s="11"/>
      <c r="O643" s="2"/>
      <c r="P643" s="65" t="str">
        <f>IF($A607="","",$A607)</f>
        <v/>
      </c>
      <c r="Q643" s="44"/>
      <c r="R643" s="44" t="str">
        <f t="shared" si="551"/>
        <v/>
      </c>
      <c r="S643" s="44"/>
      <c r="T643" s="23" t="str">
        <f t="shared" si="552"/>
        <v/>
      </c>
      <c r="U643" s="44"/>
      <c r="V643" s="44" t="str">
        <f t="shared" si="553"/>
        <v/>
      </c>
      <c r="W643" s="44"/>
      <c r="X643" s="61" t="str">
        <f t="shared" si="540"/>
        <v/>
      </c>
      <c r="Y643" s="62" t="str">
        <f t="shared" si="541"/>
        <v/>
      </c>
      <c r="Z643" s="23" t="str">
        <f t="shared" si="554"/>
        <v/>
      </c>
      <c r="AA643" s="24" t="str">
        <f t="shared" si="555"/>
        <v/>
      </c>
      <c r="AB643" s="11"/>
      <c r="AD643" s="65" t="str">
        <f>IF($A607="","",$A607)</f>
        <v/>
      </c>
      <c r="AE643" s="44"/>
      <c r="AF643" s="44" t="str">
        <f t="shared" si="556"/>
        <v/>
      </c>
      <c r="AG643" s="44"/>
      <c r="AH643" s="23" t="str">
        <f t="shared" si="557"/>
        <v/>
      </c>
      <c r="AI643" s="44"/>
      <c r="AJ643" s="44" t="str">
        <f t="shared" si="558"/>
        <v/>
      </c>
      <c r="AK643" s="44"/>
      <c r="AL643" s="61" t="str">
        <f t="shared" si="559"/>
        <v/>
      </c>
      <c r="AM643" s="62" t="str">
        <f t="shared" si="560"/>
        <v/>
      </c>
      <c r="AN643" s="23" t="str">
        <f t="shared" si="561"/>
        <v/>
      </c>
      <c r="AO643" s="24" t="str">
        <f t="shared" si="562"/>
        <v/>
      </c>
      <c r="AP643" s="11"/>
    </row>
    <row r="644" spans="1:42" ht="15" customHeight="1">
      <c r="A644" s="12"/>
      <c r="B644" s="8"/>
      <c r="C644" s="9"/>
      <c r="D644" s="9" t="str">
        <f t="shared" si="548"/>
        <v/>
      </c>
      <c r="E644" s="9"/>
      <c r="F644" s="9" t="str">
        <f t="shared" si="549"/>
        <v/>
      </c>
      <c r="G644" s="9"/>
      <c r="H644" s="9" t="str">
        <f t="shared" si="550"/>
        <v/>
      </c>
      <c r="I644" s="9"/>
      <c r="J644" s="9"/>
      <c r="K644" s="9"/>
      <c r="L644" s="9" t="str">
        <f t="shared" si="542"/>
        <v/>
      </c>
      <c r="M644" s="10" t="str">
        <f t="shared" si="543"/>
        <v/>
      </c>
      <c r="N644" s="11"/>
      <c r="O644" s="2"/>
      <c r="P644" s="12"/>
      <c r="Q644" s="9"/>
      <c r="R644" s="9" t="str">
        <f t="shared" si="551"/>
        <v/>
      </c>
      <c r="S644" s="9"/>
      <c r="T644" s="9" t="str">
        <f t="shared" si="552"/>
        <v/>
      </c>
      <c r="U644" s="9"/>
      <c r="V644" s="9" t="str">
        <f t="shared" si="553"/>
        <v/>
      </c>
      <c r="W644" s="9"/>
      <c r="X644" s="47" t="str">
        <f t="shared" si="540"/>
        <v/>
      </c>
      <c r="Y644" s="45" t="str">
        <f t="shared" si="541"/>
        <v/>
      </c>
      <c r="Z644" s="9" t="str">
        <f t="shared" si="554"/>
        <v/>
      </c>
      <c r="AA644" s="10" t="str">
        <f t="shared" si="555"/>
        <v/>
      </c>
      <c r="AB644" s="11"/>
      <c r="AD644" s="12"/>
      <c r="AE644" s="9"/>
      <c r="AF644" s="9" t="str">
        <f t="shared" si="556"/>
        <v/>
      </c>
      <c r="AG644" s="9"/>
      <c r="AH644" s="9" t="str">
        <f t="shared" si="557"/>
        <v/>
      </c>
      <c r="AI644" s="9"/>
      <c r="AJ644" s="9" t="str">
        <f t="shared" si="558"/>
        <v/>
      </c>
      <c r="AK644" s="9"/>
      <c r="AL644" s="47" t="str">
        <f t="shared" si="559"/>
        <v/>
      </c>
      <c r="AM644" s="45" t="str">
        <f t="shared" si="560"/>
        <v/>
      </c>
      <c r="AN644" s="9" t="str">
        <f t="shared" si="561"/>
        <v/>
      </c>
      <c r="AO644" s="10" t="str">
        <f t="shared" si="562"/>
        <v/>
      </c>
      <c r="AP644" s="11"/>
    </row>
    <row r="645" spans="1:42" ht="15" customHeight="1">
      <c r="A645" s="12"/>
      <c r="B645" s="8"/>
      <c r="C645" s="9"/>
      <c r="D645" s="9" t="str">
        <f t="shared" si="548"/>
        <v/>
      </c>
      <c r="E645" s="9"/>
      <c r="F645" s="9" t="str">
        <f t="shared" si="549"/>
        <v/>
      </c>
      <c r="G645" s="9"/>
      <c r="H645" s="9" t="str">
        <f t="shared" si="550"/>
        <v/>
      </c>
      <c r="I645" s="9"/>
      <c r="J645" s="9"/>
      <c r="K645" s="9"/>
      <c r="L645" s="9" t="str">
        <f t="shared" si="542"/>
        <v/>
      </c>
      <c r="M645" s="10" t="str">
        <f t="shared" si="543"/>
        <v/>
      </c>
      <c r="N645" s="11"/>
      <c r="O645" s="2"/>
      <c r="P645" s="12"/>
      <c r="Q645" s="9"/>
      <c r="R645" s="9" t="str">
        <f t="shared" si="551"/>
        <v/>
      </c>
      <c r="S645" s="9"/>
      <c r="T645" s="9" t="str">
        <f t="shared" si="552"/>
        <v/>
      </c>
      <c r="U645" s="9"/>
      <c r="V645" s="9" t="str">
        <f t="shared" si="553"/>
        <v/>
      </c>
      <c r="W645" s="9"/>
      <c r="X645" s="47" t="str">
        <f t="shared" si="540"/>
        <v/>
      </c>
      <c r="Y645" s="9" t="str">
        <f t="shared" si="541"/>
        <v/>
      </c>
      <c r="Z645" s="9" t="str">
        <f t="shared" si="554"/>
        <v/>
      </c>
      <c r="AA645" s="10" t="str">
        <f t="shared" si="555"/>
        <v/>
      </c>
      <c r="AB645" s="11"/>
      <c r="AD645" s="12"/>
      <c r="AE645" s="9"/>
      <c r="AF645" s="9" t="str">
        <f t="shared" si="556"/>
        <v/>
      </c>
      <c r="AG645" s="9"/>
      <c r="AH645" s="9" t="str">
        <f t="shared" si="557"/>
        <v/>
      </c>
      <c r="AI645" s="9"/>
      <c r="AJ645" s="9" t="str">
        <f t="shared" si="558"/>
        <v/>
      </c>
      <c r="AK645" s="9"/>
      <c r="AL645" s="47" t="str">
        <f t="shared" si="559"/>
        <v/>
      </c>
      <c r="AM645" s="9" t="str">
        <f t="shared" si="560"/>
        <v/>
      </c>
      <c r="AN645" s="9" t="str">
        <f t="shared" si="561"/>
        <v/>
      </c>
      <c r="AO645" s="10" t="str">
        <f t="shared" si="562"/>
        <v/>
      </c>
      <c r="AP645" s="11"/>
    </row>
    <row r="646" spans="1:42" ht="15" customHeight="1" thickBot="1">
      <c r="A646" s="12"/>
      <c r="B646" s="8"/>
      <c r="C646" s="9"/>
      <c r="D646" s="9" t="str">
        <f t="shared" si="548"/>
        <v/>
      </c>
      <c r="E646" s="9"/>
      <c r="F646" s="9" t="str">
        <f t="shared" si="549"/>
        <v/>
      </c>
      <c r="G646" s="9"/>
      <c r="H646" s="9" t="str">
        <f t="shared" si="550"/>
        <v/>
      </c>
      <c r="I646" s="9"/>
      <c r="J646" s="9"/>
      <c r="K646" s="9"/>
      <c r="L646" s="9" t="str">
        <f t="shared" si="542"/>
        <v/>
      </c>
      <c r="M646" s="10" t="str">
        <f t="shared" si="543"/>
        <v/>
      </c>
      <c r="N646" s="11"/>
      <c r="O646" s="2"/>
      <c r="P646" s="18"/>
      <c r="Q646" s="19"/>
      <c r="R646" s="19" t="str">
        <f t="shared" si="551"/>
        <v/>
      </c>
      <c r="S646" s="19"/>
      <c r="T646" s="19" t="str">
        <f t="shared" si="552"/>
        <v/>
      </c>
      <c r="U646" s="19"/>
      <c r="V646" s="19" t="str">
        <f t="shared" si="553"/>
        <v/>
      </c>
      <c r="W646" s="19"/>
      <c r="X646" s="48" t="str">
        <f t="shared" si="540"/>
        <v/>
      </c>
      <c r="Y646" s="51" t="str">
        <f t="shared" si="541"/>
        <v/>
      </c>
      <c r="Z646" s="19" t="str">
        <f t="shared" si="554"/>
        <v/>
      </c>
      <c r="AA646" s="20" t="str">
        <f t="shared" si="555"/>
        <v/>
      </c>
      <c r="AB646" s="11"/>
      <c r="AD646" s="18"/>
      <c r="AE646" s="19"/>
      <c r="AF646" s="19" t="str">
        <f t="shared" si="556"/>
        <v/>
      </c>
      <c r="AG646" s="19"/>
      <c r="AH646" s="19" t="str">
        <f t="shared" si="557"/>
        <v/>
      </c>
      <c r="AI646" s="19"/>
      <c r="AJ646" s="19" t="str">
        <f t="shared" si="558"/>
        <v/>
      </c>
      <c r="AK646" s="19"/>
      <c r="AL646" s="48" t="str">
        <f t="shared" si="559"/>
        <v/>
      </c>
      <c r="AM646" s="51" t="str">
        <f t="shared" si="560"/>
        <v/>
      </c>
      <c r="AN646" s="19" t="str">
        <f t="shared" si="561"/>
        <v/>
      </c>
      <c r="AO646" s="20" t="str">
        <f t="shared" si="562"/>
        <v/>
      </c>
      <c r="AP646" s="11"/>
    </row>
    <row r="647" spans="1:42" ht="15" customHeight="1" thickTop="1">
      <c r="A647" s="12"/>
      <c r="B647" s="8"/>
      <c r="C647" s="9"/>
      <c r="D647" s="9" t="str">
        <f t="shared" si="548"/>
        <v/>
      </c>
      <c r="E647" s="9"/>
      <c r="F647" s="9" t="str">
        <f t="shared" si="549"/>
        <v/>
      </c>
      <c r="G647" s="9"/>
      <c r="H647" s="9" t="str">
        <f t="shared" si="550"/>
        <v/>
      </c>
      <c r="I647" s="9"/>
      <c r="J647" s="9"/>
      <c r="K647" s="9"/>
      <c r="L647" s="9" t="str">
        <f t="shared" si="542"/>
        <v/>
      </c>
      <c r="M647" s="10" t="str">
        <f t="shared" si="543"/>
        <v/>
      </c>
      <c r="N647" s="11"/>
      <c r="O647" s="2"/>
      <c r="P647" s="65" t="str">
        <f>IF($A608="","",$A608)</f>
        <v/>
      </c>
      <c r="Q647" s="44"/>
      <c r="R647" s="44" t="str">
        <f t="shared" si="551"/>
        <v/>
      </c>
      <c r="S647" s="44"/>
      <c r="T647" s="44" t="str">
        <f t="shared" si="552"/>
        <v/>
      </c>
      <c r="U647" s="44"/>
      <c r="V647" s="44" t="str">
        <f t="shared" si="553"/>
        <v/>
      </c>
      <c r="W647" s="44"/>
      <c r="X647" s="64" t="str">
        <f t="shared" si="540"/>
        <v/>
      </c>
      <c r="Y647" s="44" t="str">
        <f t="shared" si="541"/>
        <v/>
      </c>
      <c r="Z647" s="44" t="str">
        <f t="shared" si="554"/>
        <v/>
      </c>
      <c r="AA647" s="44" t="str">
        <f t="shared" si="555"/>
        <v/>
      </c>
      <c r="AB647" s="11"/>
      <c r="AD647" s="65" t="str">
        <f>IF($A608="","",$A608)</f>
        <v/>
      </c>
      <c r="AE647" s="44"/>
      <c r="AF647" s="44" t="str">
        <f t="shared" si="556"/>
        <v/>
      </c>
      <c r="AG647" s="44"/>
      <c r="AH647" s="44" t="str">
        <f t="shared" si="557"/>
        <v/>
      </c>
      <c r="AI647" s="44"/>
      <c r="AJ647" s="44" t="str">
        <f t="shared" si="558"/>
        <v/>
      </c>
      <c r="AK647" s="44"/>
      <c r="AL647" s="61" t="str">
        <f t="shared" si="559"/>
        <v/>
      </c>
      <c r="AM647" s="44" t="str">
        <f t="shared" si="560"/>
        <v/>
      </c>
      <c r="AN647" s="23" t="str">
        <f t="shared" si="561"/>
        <v/>
      </c>
      <c r="AO647" s="24" t="str">
        <f t="shared" si="562"/>
        <v/>
      </c>
      <c r="AP647" s="11"/>
    </row>
    <row r="648" spans="1:42" ht="15" customHeight="1">
      <c r="A648" s="12"/>
      <c r="B648" s="8"/>
      <c r="C648" s="9"/>
      <c r="D648" s="9"/>
      <c r="E648" s="9"/>
      <c r="F648" s="9" t="str">
        <f t="shared" si="549"/>
        <v/>
      </c>
      <c r="G648" s="9"/>
      <c r="H648" s="9" t="str">
        <f t="shared" si="550"/>
        <v/>
      </c>
      <c r="I648" s="9"/>
      <c r="J648" s="9"/>
      <c r="K648" s="9"/>
      <c r="L648" s="9" t="str">
        <f t="shared" si="542"/>
        <v/>
      </c>
      <c r="M648" s="10" t="str">
        <f t="shared" si="543"/>
        <v/>
      </c>
      <c r="N648" s="11"/>
      <c r="O648" s="2"/>
      <c r="P648" s="65"/>
      <c r="Q648" s="44"/>
      <c r="R648" s="44" t="str">
        <f t="shared" si="551"/>
        <v/>
      </c>
      <c r="S648" s="44"/>
      <c r="T648" s="44" t="str">
        <f t="shared" si="552"/>
        <v/>
      </c>
      <c r="U648" s="44"/>
      <c r="V648" s="44" t="str">
        <f t="shared" si="553"/>
        <v/>
      </c>
      <c r="W648" s="44"/>
      <c r="X648" s="64" t="str">
        <f t="shared" si="540"/>
        <v/>
      </c>
      <c r="Y648" s="44" t="str">
        <f t="shared" si="541"/>
        <v/>
      </c>
      <c r="Z648" s="44" t="str">
        <f t="shared" si="554"/>
        <v/>
      </c>
      <c r="AA648" s="44" t="str">
        <f t="shared" si="555"/>
        <v/>
      </c>
      <c r="AB648" s="11"/>
      <c r="AD648" s="65"/>
      <c r="AE648" s="44"/>
      <c r="AF648" s="44" t="str">
        <f t="shared" si="556"/>
        <v/>
      </c>
      <c r="AG648" s="44"/>
      <c r="AH648" s="44" t="str">
        <f t="shared" si="557"/>
        <v/>
      </c>
      <c r="AI648" s="44"/>
      <c r="AJ648" s="44" t="str">
        <f t="shared" si="558"/>
        <v/>
      </c>
      <c r="AK648" s="44"/>
      <c r="AL648" s="61" t="str">
        <f t="shared" si="559"/>
        <v/>
      </c>
      <c r="AM648" s="44" t="str">
        <f t="shared" si="560"/>
        <v/>
      </c>
      <c r="AN648" s="9" t="str">
        <f t="shared" si="561"/>
        <v/>
      </c>
      <c r="AO648" s="10" t="str">
        <f t="shared" si="562"/>
        <v/>
      </c>
      <c r="AP648" s="11"/>
    </row>
    <row r="649" spans="1:42" ht="15" customHeight="1">
      <c r="A649" s="12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11"/>
      <c r="O649" s="2"/>
      <c r="P649" s="89"/>
      <c r="Q649" s="52"/>
      <c r="R649" s="52" t="str">
        <f t="shared" si="551"/>
        <v/>
      </c>
      <c r="S649" s="52"/>
      <c r="T649" s="52" t="str">
        <f t="shared" si="552"/>
        <v/>
      </c>
      <c r="U649" s="52"/>
      <c r="V649" s="52" t="str">
        <f t="shared" si="553"/>
        <v/>
      </c>
      <c r="W649" s="52"/>
      <c r="X649" s="90" t="str">
        <f t="shared" si="540"/>
        <v/>
      </c>
      <c r="Y649" s="52" t="str">
        <f t="shared" si="541"/>
        <v/>
      </c>
      <c r="Z649" s="52" t="str">
        <f t="shared" si="554"/>
        <v/>
      </c>
      <c r="AA649" s="52" t="str">
        <f t="shared" si="555"/>
        <v/>
      </c>
      <c r="AB649" s="31"/>
      <c r="AD649" s="89"/>
      <c r="AE649" s="52"/>
      <c r="AF649" s="52" t="str">
        <f t="shared" si="556"/>
        <v/>
      </c>
      <c r="AG649" s="52"/>
      <c r="AH649" s="52" t="str">
        <f t="shared" si="557"/>
        <v/>
      </c>
      <c r="AI649" s="52"/>
      <c r="AJ649" s="52" t="str">
        <f t="shared" si="558"/>
        <v/>
      </c>
      <c r="AK649" s="52"/>
      <c r="AL649" s="92" t="str">
        <f t="shared" si="559"/>
        <v/>
      </c>
      <c r="AM649" s="52" t="str">
        <f t="shared" si="560"/>
        <v/>
      </c>
      <c r="AN649" s="9" t="str">
        <f t="shared" si="561"/>
        <v/>
      </c>
      <c r="AO649" s="10" t="str">
        <f t="shared" si="562"/>
        <v/>
      </c>
      <c r="AP649" s="31"/>
    </row>
    <row r="650" spans="1:42" ht="15" customHeight="1" thickBot="1">
      <c r="A650" s="12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  <c r="N650" s="11"/>
      <c r="O650" s="2"/>
      <c r="P650" s="85"/>
      <c r="Q650" s="50"/>
      <c r="R650" s="50" t="str">
        <f t="shared" si="551"/>
        <v/>
      </c>
      <c r="S650" s="50"/>
      <c r="T650" s="50" t="str">
        <f t="shared" si="552"/>
        <v/>
      </c>
      <c r="U650" s="50"/>
      <c r="V650" s="50" t="str">
        <f t="shared" si="553"/>
        <v/>
      </c>
      <c r="W650" s="50"/>
      <c r="X650" s="86" t="str">
        <f t="shared" si="540"/>
        <v/>
      </c>
      <c r="Y650" s="50" t="str">
        <f t="shared" si="541"/>
        <v/>
      </c>
      <c r="Z650" s="50" t="str">
        <f t="shared" si="554"/>
        <v/>
      </c>
      <c r="AA650" s="50" t="str">
        <f t="shared" si="555"/>
        <v/>
      </c>
      <c r="AB650" s="87"/>
      <c r="AD650" s="85"/>
      <c r="AE650" s="50"/>
      <c r="AF650" s="50" t="str">
        <f t="shared" si="556"/>
        <v/>
      </c>
      <c r="AG650" s="50"/>
      <c r="AH650" s="50" t="str">
        <f t="shared" si="557"/>
        <v/>
      </c>
      <c r="AI650" s="50"/>
      <c r="AJ650" s="50" t="str">
        <f t="shared" si="558"/>
        <v/>
      </c>
      <c r="AK650" s="50"/>
      <c r="AL650" s="91" t="str">
        <f t="shared" si="559"/>
        <v/>
      </c>
      <c r="AM650" s="50" t="str">
        <f t="shared" si="560"/>
        <v/>
      </c>
      <c r="AN650" s="19" t="str">
        <f t="shared" si="561"/>
        <v/>
      </c>
      <c r="AO650" s="20" t="str">
        <f t="shared" si="562"/>
        <v/>
      </c>
      <c r="AP650" s="87"/>
    </row>
    <row r="651" spans="1:42" ht="15" customHeight="1" thickTop="1">
      <c r="A651" s="4">
        <v>32</v>
      </c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0"/>
      <c r="N651" s="11"/>
      <c r="O651" s="2"/>
      <c r="P651" s="65"/>
      <c r="Q651" s="84" t="s">
        <v>17</v>
      </c>
      <c r="R651" s="44">
        <f>SUM(R595:R647)*100</f>
        <v>515500</v>
      </c>
      <c r="S651" s="44"/>
      <c r="T651" s="44"/>
      <c r="U651" s="84"/>
      <c r="V651" s="44"/>
      <c r="W651" s="44"/>
      <c r="X651" s="195" t="s">
        <v>19</v>
      </c>
      <c r="Y651" s="195"/>
      <c r="Z651" s="44">
        <f>SUM(Z595:Z647)</f>
        <v>70028</v>
      </c>
      <c r="AA651" s="44"/>
      <c r="AB651" s="69"/>
      <c r="AD651" s="65"/>
      <c r="AE651" s="84" t="s">
        <v>17</v>
      </c>
      <c r="AF651" s="44">
        <f>SUM(AF595:AF647)*100</f>
        <v>425900</v>
      </c>
      <c r="AG651" s="44"/>
      <c r="AH651" s="44"/>
      <c r="AI651" s="84"/>
      <c r="AJ651" s="44"/>
      <c r="AK651" s="44"/>
      <c r="AL651" s="195" t="s">
        <v>19</v>
      </c>
      <c r="AM651" s="195"/>
      <c r="AN651" s="44">
        <f>SUM(AN595:AN647)</f>
        <v>56867</v>
      </c>
      <c r="AO651" s="44"/>
      <c r="AP651" s="69"/>
    </row>
    <row r="652" spans="1:42" ht="15" customHeight="1">
      <c r="A652" s="96">
        <f>DATEDIF(A$679,A$603,"d")</f>
        <v>32</v>
      </c>
      <c r="B652" s="8">
        <f>SUM(B595:B651)</f>
        <v>11015</v>
      </c>
      <c r="C652" s="5" t="s">
        <v>17</v>
      </c>
      <c r="D652" s="9">
        <f>SUM(D595:D648)*100</f>
        <v>160100</v>
      </c>
      <c r="E652" s="9"/>
      <c r="F652" s="9"/>
      <c r="G652" s="5"/>
      <c r="H652" s="9"/>
      <c r="I652" s="9"/>
      <c r="J652" s="9"/>
      <c r="K652" s="9"/>
      <c r="L652" s="9"/>
      <c r="M652" s="9"/>
      <c r="N652" s="11"/>
      <c r="O652" s="2"/>
      <c r="P652" s="25"/>
      <c r="Q652" s="5" t="s">
        <v>20</v>
      </c>
      <c r="R652" s="9">
        <f>R651/$A652</f>
        <v>16109.375</v>
      </c>
      <c r="S652" s="9">
        <f>R652*A651</f>
        <v>515500</v>
      </c>
      <c r="T652" s="9"/>
      <c r="U652" s="5"/>
      <c r="V652" s="9"/>
      <c r="W652" s="9"/>
      <c r="X652" s="178" t="s">
        <v>21</v>
      </c>
      <c r="Y652" s="178"/>
      <c r="Z652" s="9"/>
      <c r="AA652" s="28">
        <f>Z651/R651</f>
        <v>0.13584481086323957</v>
      </c>
      <c r="AB652" s="11"/>
      <c r="AD652" s="40"/>
      <c r="AE652" s="5" t="s">
        <v>20</v>
      </c>
      <c r="AF652" s="9">
        <f>AF651/$A652</f>
        <v>13309.375</v>
      </c>
      <c r="AG652" s="9">
        <f>AF652*A651</f>
        <v>425900</v>
      </c>
      <c r="AH652" s="9"/>
      <c r="AI652" s="5"/>
      <c r="AJ652" s="9"/>
      <c r="AK652" s="9"/>
      <c r="AL652" s="178" t="s">
        <v>21</v>
      </c>
      <c r="AM652" s="178"/>
      <c r="AN652" s="9"/>
      <c r="AO652" s="28">
        <f>AN651/AF651</f>
        <v>0.13352195351021368</v>
      </c>
      <c r="AP652" s="11"/>
    </row>
    <row r="653" spans="1:42" ht="15" customHeight="1">
      <c r="A653" s="97"/>
      <c r="B653" s="8">
        <f>B652/A652</f>
        <v>344.21875</v>
      </c>
      <c r="C653" s="5" t="s">
        <v>20</v>
      </c>
      <c r="D653" s="9">
        <f>D652/A652</f>
        <v>5003.125</v>
      </c>
      <c r="E653" s="9">
        <f>D653*A651</f>
        <v>160100</v>
      </c>
      <c r="F653" s="9"/>
      <c r="G653" s="5"/>
      <c r="H653" s="9"/>
      <c r="I653" s="9"/>
      <c r="J653" s="9"/>
      <c r="K653" s="9"/>
      <c r="L653" s="9"/>
      <c r="M653" s="9"/>
      <c r="N653" s="11"/>
      <c r="O653" s="2"/>
      <c r="P653" s="12"/>
      <c r="Q653" s="58" t="s">
        <v>23</v>
      </c>
      <c r="R653" s="9">
        <f>R651*0.6</f>
        <v>309300</v>
      </c>
      <c r="S653" s="9"/>
      <c r="T653" s="9"/>
      <c r="U653" s="5"/>
      <c r="V653" s="9"/>
      <c r="W653" s="9"/>
      <c r="X653" s="178" t="s">
        <v>24</v>
      </c>
      <c r="Y653" s="178"/>
      <c r="Z653" s="9">
        <f>R653-Z651</f>
        <v>239272</v>
      </c>
      <c r="AA653" s="28">
        <f>Z653/R651</f>
        <v>0.4641551891367604</v>
      </c>
      <c r="AB653" s="11"/>
      <c r="AD653" s="12"/>
      <c r="AE653" s="58" t="s">
        <v>23</v>
      </c>
      <c r="AF653" s="9">
        <f>AF651*0.6</f>
        <v>255540</v>
      </c>
      <c r="AG653" s="9"/>
      <c r="AH653" s="9"/>
      <c r="AI653" s="5"/>
      <c r="AJ653" s="9"/>
      <c r="AK653" s="9"/>
      <c r="AL653" s="178" t="s">
        <v>24</v>
      </c>
      <c r="AM653" s="178"/>
      <c r="AN653" s="9">
        <f>AF653-AN651</f>
        <v>198673</v>
      </c>
      <c r="AO653" s="28">
        <f>AN653/AF651</f>
        <v>0.46647804648978636</v>
      </c>
      <c r="AP653" s="11"/>
    </row>
    <row r="654" spans="1:42" ht="15" customHeight="1">
      <c r="A654" s="12"/>
      <c r="B654" s="8">
        <f>B653*30</f>
        <v>10326.5625</v>
      </c>
      <c r="C654" s="5" t="s">
        <v>23</v>
      </c>
      <c r="D654" s="9">
        <f>D652*0.6</f>
        <v>96060</v>
      </c>
      <c r="E654" s="9"/>
      <c r="F654" s="9"/>
      <c r="G654" s="180" t="s">
        <v>27</v>
      </c>
      <c r="H654" s="180"/>
      <c r="I654" s="9">
        <f>(G603+I603)*K603</f>
        <v>10010</v>
      </c>
      <c r="J654" s="9"/>
      <c r="K654" s="9"/>
      <c r="L654" s="9"/>
      <c r="M654" s="9"/>
      <c r="N654" s="11"/>
      <c r="O654" s="2"/>
      <c r="P654" s="65"/>
      <c r="Q654" s="5" t="s">
        <v>25</v>
      </c>
      <c r="R654" s="9">
        <f>R725</f>
        <v>344500</v>
      </c>
      <c r="S654" s="9"/>
      <c r="T654" s="9"/>
      <c r="U654" s="5"/>
      <c r="V654" s="9"/>
      <c r="W654" s="17"/>
      <c r="X654" s="182" t="s">
        <v>27</v>
      </c>
      <c r="Y654" s="182"/>
      <c r="Z654" s="44">
        <f>(U627+W627)*Y627+(U628+W628)*Y628+(U629+W629)*Y629+(U630+W630)*Y630</f>
        <v>35148</v>
      </c>
      <c r="AA654" s="10"/>
      <c r="AB654" s="11"/>
      <c r="AD654" s="65"/>
      <c r="AE654" s="5" t="s">
        <v>25</v>
      </c>
      <c r="AF654" s="9">
        <f>AF725</f>
        <v>506600</v>
      </c>
      <c r="AG654" s="9"/>
      <c r="AH654" s="9"/>
      <c r="AI654" s="5"/>
      <c r="AJ654" s="9"/>
      <c r="AK654" s="17"/>
      <c r="AL654" s="182" t="s">
        <v>27</v>
      </c>
      <c r="AM654" s="182"/>
      <c r="AN654" s="44">
        <f>(AI627+AK627)*AM627+(AI628+AK628)*AM628+(AI629+AK629)*AM629+(AI630+AK630)*AM630</f>
        <v>43557</v>
      </c>
      <c r="AO654" s="10"/>
      <c r="AP654" s="11"/>
    </row>
    <row r="655" spans="1:42" ht="15" customHeight="1">
      <c r="A655" s="12"/>
      <c r="B655" s="8"/>
      <c r="C655" s="5" t="s">
        <v>25</v>
      </c>
      <c r="D655" s="9">
        <f>D726</f>
        <v>231000</v>
      </c>
      <c r="E655" s="9"/>
      <c r="F655" s="9"/>
      <c r="G655" s="5" t="s">
        <v>22</v>
      </c>
      <c r="H655" s="9">
        <f>SUM(L595:L648)</f>
        <v>35090</v>
      </c>
      <c r="I655" s="28">
        <f>H655/D652</f>
        <v>0.21917551530293566</v>
      </c>
      <c r="J655" s="28"/>
      <c r="K655" s="9"/>
      <c r="L655" s="9"/>
      <c r="M655" s="9"/>
      <c r="N655" s="11"/>
      <c r="O655" s="2"/>
      <c r="P655" s="65"/>
      <c r="Q655" s="5"/>
      <c r="R655" s="9"/>
      <c r="S655" s="9"/>
      <c r="T655" s="9"/>
      <c r="U655" s="5"/>
      <c r="V655" s="9"/>
      <c r="W655" s="17"/>
      <c r="X655" s="100"/>
      <c r="Y655" s="103"/>
      <c r="Z655" s="62"/>
      <c r="AA655" s="10"/>
      <c r="AB655" s="11"/>
      <c r="AD655" s="65"/>
      <c r="AE655" s="5"/>
      <c r="AF655" s="9"/>
      <c r="AG655" s="9"/>
      <c r="AH655" s="9"/>
      <c r="AI655" s="5"/>
      <c r="AJ655" s="9"/>
      <c r="AK655" s="17"/>
      <c r="AL655" s="100"/>
      <c r="AM655" s="103"/>
      <c r="AN655" s="62"/>
      <c r="AO655" s="10"/>
      <c r="AP655" s="11"/>
    </row>
    <row r="656" spans="1:42" ht="15" customHeight="1">
      <c r="A656" s="12"/>
      <c r="B656" s="8"/>
      <c r="C656" s="58"/>
      <c r="D656" s="9"/>
      <c r="E656" s="9"/>
      <c r="F656" s="9"/>
      <c r="G656" s="30" t="s">
        <v>24</v>
      </c>
      <c r="H656" s="26">
        <f>D654-H655</f>
        <v>60970</v>
      </c>
      <c r="I656" s="28">
        <f>H656/D652</f>
        <v>0.38082448469706431</v>
      </c>
      <c r="J656" s="28"/>
      <c r="K656" s="9"/>
      <c r="L656" s="9"/>
      <c r="M656" s="9"/>
      <c r="N656" s="11"/>
      <c r="O656" s="2"/>
      <c r="P656" s="65"/>
      <c r="Q656" s="5"/>
      <c r="R656" s="9"/>
      <c r="S656" s="26"/>
      <c r="T656" s="9"/>
      <c r="U656" s="5"/>
      <c r="V656" s="9"/>
      <c r="W656" s="17"/>
      <c r="X656" s="100"/>
      <c r="Y656" s="103"/>
      <c r="Z656" s="62"/>
      <c r="AA656" s="10"/>
      <c r="AB656" s="11"/>
      <c r="AD656" s="65"/>
      <c r="AE656" s="5"/>
      <c r="AF656" s="9"/>
      <c r="AG656" s="26"/>
      <c r="AH656" s="9"/>
      <c r="AI656" s="5"/>
      <c r="AJ656" s="9"/>
      <c r="AK656" s="17"/>
      <c r="AL656" s="100"/>
      <c r="AM656" s="103"/>
      <c r="AN656" s="62"/>
      <c r="AO656" s="10"/>
      <c r="AP656" s="11"/>
    </row>
    <row r="657" spans="1:42" ht="15" customHeight="1">
      <c r="A657" s="33"/>
      <c r="B657" s="32"/>
      <c r="C657" s="58"/>
      <c r="D657" s="9"/>
      <c r="E657" s="9"/>
      <c r="F657" s="9"/>
      <c r="G657" s="104"/>
      <c r="H657" s="106"/>
      <c r="I657" s="28"/>
      <c r="J657" s="28"/>
      <c r="K657" s="9"/>
      <c r="L657" s="9"/>
      <c r="M657" s="9"/>
      <c r="N657" s="11"/>
      <c r="O657" s="2"/>
      <c r="P657" s="65"/>
      <c r="Q657" s="5"/>
      <c r="R657" s="17"/>
      <c r="S657" s="111"/>
      <c r="T657" s="45"/>
      <c r="U657" s="5"/>
      <c r="V657" s="9"/>
      <c r="W657" s="17"/>
      <c r="X657" s="100"/>
      <c r="Y657" s="103"/>
      <c r="Z657" s="62"/>
      <c r="AA657" s="10"/>
      <c r="AB657" s="11"/>
      <c r="AD657" s="65"/>
      <c r="AE657" s="5"/>
      <c r="AF657" s="17"/>
      <c r="AG657" s="111"/>
      <c r="AH657" s="45"/>
      <c r="AI657" s="5"/>
      <c r="AJ657" s="9"/>
      <c r="AK657" s="17"/>
      <c r="AL657" s="100"/>
      <c r="AM657" s="103"/>
      <c r="AN657" s="62"/>
      <c r="AO657" s="10"/>
      <c r="AP657" s="11"/>
    </row>
    <row r="658" spans="1:42" ht="15" customHeight="1">
      <c r="A658" s="98"/>
      <c r="B658" s="99"/>
      <c r="C658" s="5"/>
      <c r="D658" s="9"/>
      <c r="E658" s="9"/>
      <c r="F658" s="9"/>
      <c r="G658" s="27"/>
      <c r="H658" s="17"/>
      <c r="I658" s="28"/>
      <c r="J658" s="28"/>
      <c r="K658" s="10"/>
      <c r="L658" s="10"/>
      <c r="M658" s="10"/>
      <c r="N658" s="11"/>
      <c r="O658" s="2"/>
      <c r="P658" s="12"/>
      <c r="Q658" s="9"/>
      <c r="R658" s="9"/>
      <c r="T658" s="9"/>
      <c r="U658" s="5"/>
      <c r="V658" s="9"/>
      <c r="W658" s="9"/>
      <c r="X658" s="41"/>
      <c r="Y658" s="67"/>
      <c r="Z658" s="10"/>
      <c r="AA658" s="10"/>
      <c r="AB658" s="11"/>
      <c r="AD658" s="12"/>
      <c r="AE658" s="9"/>
      <c r="AF658" s="9"/>
      <c r="AH658" s="9"/>
      <c r="AI658" s="5"/>
      <c r="AJ658" s="9"/>
      <c r="AK658" s="9"/>
      <c r="AL658" s="54"/>
      <c r="AM658" s="67"/>
      <c r="AN658" s="10"/>
      <c r="AO658" s="10"/>
      <c r="AP658" s="11"/>
    </row>
    <row r="659" spans="1:42" ht="15" customHeight="1">
      <c r="A659" s="191" t="s">
        <v>43</v>
      </c>
      <c r="B659" s="191"/>
      <c r="C659" s="192" t="s">
        <v>46</v>
      </c>
      <c r="D659" s="192"/>
      <c r="E659" s="192" t="s">
        <v>47</v>
      </c>
      <c r="F659" s="192"/>
      <c r="G659" s="102"/>
      <c r="H659" s="93"/>
      <c r="I659" s="101"/>
      <c r="J659" s="101"/>
      <c r="K659" s="10"/>
      <c r="L659" s="10"/>
      <c r="M659" s="10"/>
      <c r="N659" s="11"/>
      <c r="O659" s="2"/>
      <c r="P659" s="79"/>
      <c r="Q659" s="45"/>
      <c r="R659" s="9"/>
      <c r="S659" s="5"/>
      <c r="T659" s="9"/>
      <c r="U659" s="5"/>
      <c r="V659" s="9"/>
      <c r="W659" s="9"/>
      <c r="X659" s="41"/>
      <c r="Y659" s="67"/>
      <c r="Z659" s="10"/>
      <c r="AA659" s="10"/>
      <c r="AB659" s="11"/>
      <c r="AD659" s="79"/>
      <c r="AE659" s="45"/>
      <c r="AF659" s="9"/>
      <c r="AG659" s="5"/>
      <c r="AH659" s="9"/>
      <c r="AI659" s="5"/>
      <c r="AJ659" s="9"/>
      <c r="AK659" s="9"/>
      <c r="AL659" s="54"/>
      <c r="AM659" s="67"/>
      <c r="AN659" s="10"/>
      <c r="AO659" s="10"/>
      <c r="AP659" s="11"/>
    </row>
    <row r="660" spans="1:42">
      <c r="A660" s="193">
        <f>E653+S652+AG652</f>
        <v>1101500</v>
      </c>
      <c r="B660" s="193"/>
      <c r="C660" s="194">
        <f>H655+Z651+AN651</f>
        <v>161985</v>
      </c>
      <c r="D660" s="194"/>
      <c r="E660" s="194">
        <f>I654+Z654+AN654</f>
        <v>88715</v>
      </c>
      <c r="F660" s="194"/>
      <c r="G660" s="84"/>
      <c r="H660" s="44"/>
      <c r="I660" s="28"/>
      <c r="J660" s="28"/>
      <c r="K660" s="10"/>
      <c r="L660" s="10"/>
      <c r="M660" s="10"/>
      <c r="N660" s="11"/>
      <c r="O660" s="2"/>
      <c r="P660" s="165" t="s">
        <v>26</v>
      </c>
      <c r="Q660" s="165"/>
      <c r="R660" s="29">
        <f>SUM(R595,R599,R603,R607,R611,R615,R620,R623,R627,R631,R635,R639,R643)*100</f>
        <v>96400</v>
      </c>
      <c r="S660" s="45"/>
      <c r="T660" s="9"/>
      <c r="U660" s="5">
        <f>R660/V660</f>
        <v>3213.3333333333335</v>
      </c>
      <c r="V660" s="29">
        <f>SUM(V595,V599,V603,V607,V611,V615,V620,V623,V627,V631,V635,V639,V643)</f>
        <v>30</v>
      </c>
      <c r="W660" s="9"/>
      <c r="X660" s="64" t="str">
        <f t="shared" ref="X660:Y663" si="563">X595</f>
        <v>サンリオでかぱっちん</v>
      </c>
      <c r="Y660" s="62">
        <f t="shared" si="563"/>
        <v>660</v>
      </c>
      <c r="Z660" s="29">
        <f>SUM(Z595,Z599,Z603,Z607,Z611,Z615,Z620,Z623,Z627,Z631,Z635,Z639,Z643)</f>
        <v>26736</v>
      </c>
      <c r="AA660" s="28">
        <f>Z660/R660</f>
        <v>0.27734439834024899</v>
      </c>
      <c r="AB660" s="11"/>
      <c r="AC660" s="16"/>
      <c r="AD660" s="165" t="s">
        <v>26</v>
      </c>
      <c r="AE660" s="165"/>
      <c r="AF660" s="29">
        <f>SUM(AF595,AF599,AF603,AF607,AF611,AF615,AF619,AF623,AF627,AF631,AF635,AF639,AF643)*100</f>
        <v>55600</v>
      </c>
      <c r="AG660" s="45"/>
      <c r="AH660" s="9"/>
      <c r="AI660" s="5">
        <f>AF660/AJ660</f>
        <v>3971.4285714285716</v>
      </c>
      <c r="AJ660" s="29">
        <f>SUM(AJ595,AJ599,AJ603,AJ607,AJ611,AJ615,AJ620,AJ623,AJ627,AJ631,AJ635,AJ639,AJ643)</f>
        <v>14</v>
      </c>
      <c r="AK660" s="9"/>
      <c r="AL660" s="61" t="str">
        <f t="shared" ref="AL660:AM663" si="564">AL595</f>
        <v>モンチッチキーケース</v>
      </c>
      <c r="AM660" s="62">
        <f t="shared" si="564"/>
        <v>605</v>
      </c>
      <c r="AN660" s="29">
        <f>SUM(AN595,AN599,AN603,AN607,AN611,AN615,AN620,AN623,AN627,AN631,AN635,AN639,AN643)</f>
        <v>6990</v>
      </c>
      <c r="AO660" s="28">
        <f>AN660/AF660</f>
        <v>0.12571942446043166</v>
      </c>
      <c r="AP660" s="11"/>
    </row>
    <row r="661" spans="1:42">
      <c r="A661" s="196">
        <v>306000</v>
      </c>
      <c r="B661" s="197"/>
      <c r="C661" s="45"/>
      <c r="D661" s="105">
        <f>C660/A660</f>
        <v>0.14705855651384475</v>
      </c>
      <c r="E661" s="9"/>
      <c r="F661" s="9"/>
      <c r="G661" s="5"/>
      <c r="H661" s="9"/>
      <c r="I661" s="9"/>
      <c r="J661" s="9"/>
      <c r="K661" s="9"/>
      <c r="L661" s="9"/>
      <c r="M661" s="9"/>
      <c r="N661" s="11"/>
      <c r="O661" s="2"/>
      <c r="P661" s="165" t="s">
        <v>26</v>
      </c>
      <c r="Q661" s="165"/>
      <c r="R661" s="29">
        <f>SUM(R596,R600,R604,R608,R612,R616,R619,R624,R628,R632,R636,R640,R644)*100</f>
        <v>84100</v>
      </c>
      <c r="S661" s="45"/>
      <c r="T661" s="9"/>
      <c r="U661" s="5">
        <f>R661/V661</f>
        <v>3504.1666666666665</v>
      </c>
      <c r="V661" s="29">
        <f>SUM(V596,V600,V604,V608,V612,V616,V619,V624,V628,V632,V636,V640,V644)</f>
        <v>24</v>
      </c>
      <c r="W661" s="9"/>
      <c r="X661" s="64" t="str">
        <f t="shared" si="563"/>
        <v>サンリオミニリュック</v>
      </c>
      <c r="Y661" s="62">
        <f t="shared" si="563"/>
        <v>600</v>
      </c>
      <c r="Z661" s="29">
        <f>SUM(Z596,Z600,Z604,Z608,Z612,Z616,Z619,Z624,Z628,Z632,Z636,Z640,Z644)</f>
        <v>15192</v>
      </c>
      <c r="AA661" s="28">
        <f>Z661/R661</f>
        <v>0.18064209274673007</v>
      </c>
      <c r="AB661" s="11"/>
      <c r="AC661" s="1"/>
      <c r="AD661" s="165" t="s">
        <v>26</v>
      </c>
      <c r="AE661" s="165"/>
      <c r="AF661" s="29">
        <f>SUM(AF596,AF600,AF604,AF608,AF612,AF616,AF620,AF624,AF628,AF632,AF636,AF640,AF644)*100</f>
        <v>82200</v>
      </c>
      <c r="AG661" s="45"/>
      <c r="AH661" s="9"/>
      <c r="AI661" s="5">
        <f>AF661/AJ661</f>
        <v>3161.5384615384614</v>
      </c>
      <c r="AJ661" s="29">
        <f>SUM(AJ596,AJ600,AJ604,AJ608,AJ612,AJ616,AJ619,AJ624,AJ628,AJ632,AJ636,AJ640,AJ644)</f>
        <v>26</v>
      </c>
      <c r="AK661" s="9"/>
      <c r="AL661" s="61" t="str">
        <f t="shared" si="564"/>
        <v>デジタルミニカメラ</v>
      </c>
      <c r="AM661" s="62">
        <f t="shared" si="564"/>
        <v>800</v>
      </c>
      <c r="AN661" s="29">
        <f>SUM(AN596,AN600,AN604,AN608,AN612,AN616,AN619,AN624,AN628,AN632,AN636,AN640,AN644)</f>
        <v>25555</v>
      </c>
      <c r="AO661" s="28">
        <f>AN661/AF661</f>
        <v>0.31088807785888078</v>
      </c>
      <c r="AP661" s="11"/>
    </row>
    <row r="662" spans="1:42">
      <c r="A662" s="95"/>
      <c r="B662" s="95"/>
      <c r="C662" s="45"/>
      <c r="D662" s="9"/>
      <c r="E662" s="9"/>
      <c r="F662" s="9"/>
      <c r="G662" s="5"/>
      <c r="H662" s="9"/>
      <c r="I662" s="9"/>
      <c r="J662" s="9"/>
      <c r="K662" s="9"/>
      <c r="L662" s="9"/>
      <c r="M662" s="9"/>
      <c r="N662" s="11"/>
      <c r="O662" s="2"/>
      <c r="P662" s="165" t="s">
        <v>26</v>
      </c>
      <c r="Q662" s="165"/>
      <c r="R662" s="29">
        <f>SUM(R597,R601,R605,R609,R613,R617,R621,R625,R629,R633,R637,R641,R645)*100</f>
        <v>187300</v>
      </c>
      <c r="S662" s="45"/>
      <c r="T662" s="9"/>
      <c r="U662" s="5">
        <f>R662/V662</f>
        <v>9857.894736842105</v>
      </c>
      <c r="V662" s="29">
        <f>SUM(V597,V601,V605,V610,V613,V617,V621,V625,V629,V633,V637,V641,V645)</f>
        <v>19</v>
      </c>
      <c r="W662" s="9"/>
      <c r="X662" s="64" t="str">
        <f t="shared" si="563"/>
        <v>ラブブマスコット</v>
      </c>
      <c r="Y662" s="62">
        <f t="shared" si="563"/>
        <v>400</v>
      </c>
      <c r="Z662" s="29">
        <f>SUM(Z597,Z601,Z605,Z610,Z613,Z617,Z621,Z625,Z629,Z633,Z637,Z641,Z645)</f>
        <v>8800</v>
      </c>
      <c r="AA662" s="28">
        <f>Z662/R662</f>
        <v>4.6983449012279764E-2</v>
      </c>
      <c r="AB662" s="11"/>
      <c r="AC662" s="1"/>
      <c r="AD662" s="165" t="s">
        <v>26</v>
      </c>
      <c r="AE662" s="165"/>
      <c r="AF662" s="29">
        <f>SUM(AF597,AF601,AF605,AF609,AF613,AF617,AF621,AF625,AF629,AF633,AF637,AF641,AF645)*100</f>
        <v>130900</v>
      </c>
      <c r="AG662" s="45"/>
      <c r="AH662" s="9"/>
      <c r="AI662" s="5">
        <f>AF662/AJ662</f>
        <v>3356.4102564102564</v>
      </c>
      <c r="AJ662" s="29">
        <f>SUM(AJ597,AJ601,AJ605,AJ610,AJ613,AJ617,AJ621,AJ625,AJ629,AJ633,AJ637,AJ641,AJ645)</f>
        <v>39</v>
      </c>
      <c r="AK662" s="9"/>
      <c r="AL662" s="61" t="str">
        <f t="shared" si="564"/>
        <v>ＡＩマスコット</v>
      </c>
      <c r="AM662" s="62">
        <f t="shared" si="564"/>
        <v>286</v>
      </c>
      <c r="AN662" s="29">
        <f>SUM(AN597,AN601,AN605,AN610,AN613,AN617,AN621,AN625,AN629,AN633,AN637,AN641,AN645)</f>
        <v>9864</v>
      </c>
      <c r="AO662" s="28">
        <f>AN662/AF662</f>
        <v>7.5355233002291827E-2</v>
      </c>
      <c r="AP662" s="11"/>
    </row>
    <row r="663" spans="1:42">
      <c r="A663" s="95"/>
      <c r="B663" s="95"/>
      <c r="C663" s="45"/>
      <c r="D663" s="9"/>
      <c r="E663" s="9"/>
      <c r="F663" s="9"/>
      <c r="G663" s="5"/>
      <c r="H663" s="9"/>
      <c r="I663" s="9"/>
      <c r="J663" s="9"/>
      <c r="K663" s="9"/>
      <c r="L663" s="9"/>
      <c r="M663" s="9"/>
      <c r="N663" s="11"/>
      <c r="O663" s="2"/>
      <c r="P663" s="165" t="s">
        <v>26</v>
      </c>
      <c r="Q663" s="165"/>
      <c r="R663" s="29">
        <f>SUM(R598,R602,R606,R610,R614,R618,R622,R626,R630,R634,R638,R642,R646)*100</f>
        <v>147700</v>
      </c>
      <c r="S663" s="45"/>
      <c r="T663" s="9"/>
      <c r="U663" s="5">
        <f>R663/V663</f>
        <v>3210.8695652173915</v>
      </c>
      <c r="V663" s="29">
        <f>SUM(V598,V602,V606,V609,V614,V618,V622,V626,V630,V634,V638,V642,V646)</f>
        <v>46</v>
      </c>
      <c r="W663" s="9"/>
      <c r="X663" s="64" t="str">
        <f t="shared" si="563"/>
        <v>ラブブキーホルダー</v>
      </c>
      <c r="Y663" s="62">
        <f t="shared" si="563"/>
        <v>400</v>
      </c>
      <c r="Z663" s="29">
        <f>SUM(Z598,Z602,Z606,Z609,Z614,Z618,Z622,Z626,Z630,Z634,Z638,Z642,Z646)</f>
        <v>19300</v>
      </c>
      <c r="AA663" s="28">
        <f>Z663/R663</f>
        <v>0.13067027758970887</v>
      </c>
      <c r="AB663" s="11"/>
      <c r="AC663" s="1"/>
      <c r="AD663" s="165" t="s">
        <v>26</v>
      </c>
      <c r="AE663" s="165"/>
      <c r="AF663" s="29">
        <f>SUM(AF598,AF602,AF606,AF610,AF614,AF618,AF622,AF626,AF630,AF634,AF638,AF642,AF646)*100</f>
        <v>157200</v>
      </c>
      <c r="AG663" s="45"/>
      <c r="AH663" s="9"/>
      <c r="AI663" s="5">
        <f>AF663/AJ663</f>
        <v>2214.0845070422533</v>
      </c>
      <c r="AJ663" s="29">
        <f>SUM(AJ598,AJ602,AJ606,AJ609,AJ614,AJ618,AJ622,AJ626,AJ630,AJ634,AJ638,AJ642,AJ646)</f>
        <v>71</v>
      </c>
      <c r="AK663" s="9"/>
      <c r="AL663" s="61" t="str">
        <f t="shared" si="564"/>
        <v>AIモンスターラバー</v>
      </c>
      <c r="AM663" s="62">
        <f t="shared" si="564"/>
        <v>200</v>
      </c>
      <c r="AN663" s="29">
        <f>SUM(AN598,AN602,AN606,AN609,AN614,AN618,AN622,AN626,AN630,AN634,AN638,AN642,AN646)</f>
        <v>14458</v>
      </c>
      <c r="AO663" s="28">
        <f>AN663/AF663</f>
        <v>9.1972010178117042E-2</v>
      </c>
      <c r="AP663" s="11"/>
    </row>
    <row r="664" spans="1:42">
      <c r="A664" s="95"/>
      <c r="B664" s="95"/>
      <c r="C664" s="45"/>
      <c r="D664" s="9"/>
      <c r="E664" s="9"/>
      <c r="F664" s="9"/>
      <c r="G664" s="5"/>
      <c r="H664" s="9"/>
      <c r="I664" s="9"/>
      <c r="J664" s="9"/>
      <c r="K664" s="9"/>
      <c r="L664" s="9"/>
      <c r="M664" s="9"/>
      <c r="N664" s="11"/>
      <c r="O664" s="2"/>
      <c r="P664" s="12"/>
      <c r="Q664" s="5" t="s">
        <v>17</v>
      </c>
      <c r="R664" s="9">
        <f>SUM(R660:R663)</f>
        <v>515500</v>
      </c>
      <c r="S664" s="45"/>
      <c r="T664" s="9"/>
      <c r="U664" s="9"/>
      <c r="V664" s="9">
        <f>SUM(V660:V663)</f>
        <v>119</v>
      </c>
      <c r="W664" s="9"/>
      <c r="X664" s="163" t="s">
        <v>28</v>
      </c>
      <c r="Y664" s="163"/>
      <c r="Z664" s="44">
        <f>SUM(Z660:Z663)</f>
        <v>70028</v>
      </c>
      <c r="AA664" s="68">
        <f>Z664/R664</f>
        <v>0.13584481086323957</v>
      </c>
      <c r="AB664" s="69"/>
      <c r="AC664" s="1"/>
      <c r="AD664" s="12"/>
      <c r="AE664" s="5" t="s">
        <v>17</v>
      </c>
      <c r="AF664" s="9">
        <f>SUM(AF660:AF663)</f>
        <v>425900</v>
      </c>
      <c r="AG664" s="45"/>
      <c r="AH664" s="9"/>
      <c r="AI664" s="9"/>
      <c r="AJ664" s="9">
        <f>SUM(AJ660:AJ663)</f>
        <v>150</v>
      </c>
      <c r="AK664" s="9"/>
      <c r="AL664" s="163" t="s">
        <v>28</v>
      </c>
      <c r="AM664" s="163"/>
      <c r="AN664" s="44">
        <f>SUM(AN660:AN663)</f>
        <v>56867</v>
      </c>
      <c r="AO664" s="68">
        <f>AN664/AF664</f>
        <v>0.13352195351021368</v>
      </c>
      <c r="AP664" s="11"/>
    </row>
    <row r="665" spans="1:42">
      <c r="A665" s="14"/>
      <c r="B665" s="76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2"/>
      <c r="P665" s="33"/>
      <c r="Q665" s="2"/>
      <c r="R665" s="2"/>
      <c r="S665" s="2"/>
      <c r="T665" s="2"/>
      <c r="U665" s="2"/>
      <c r="V665" s="2"/>
      <c r="W665" s="2"/>
      <c r="X665" s="43"/>
      <c r="Y665" s="2"/>
      <c r="Z665" s="2"/>
      <c r="AA665" s="2"/>
      <c r="AB665" s="42"/>
      <c r="AC665" s="1"/>
      <c r="AD665" s="33"/>
      <c r="AE665" s="2"/>
      <c r="AF665" s="2"/>
      <c r="AG665" s="2"/>
      <c r="AH665" s="2"/>
      <c r="AI665" s="2"/>
      <c r="AJ665" s="2"/>
      <c r="AK665" s="2"/>
      <c r="AL665" s="55"/>
      <c r="AM665" s="2"/>
      <c r="AN665" s="2"/>
      <c r="AO665" s="2"/>
      <c r="AP665" s="42"/>
    </row>
    <row r="666" spans="1:42" ht="15" customHeight="1">
      <c r="A666" s="33"/>
      <c r="B666" s="3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4"/>
      <c r="O666" s="2"/>
      <c r="P666" s="33"/>
      <c r="Q666" s="2"/>
      <c r="R666" s="2"/>
      <c r="S666" s="2"/>
      <c r="T666" s="2"/>
      <c r="U666" s="2"/>
      <c r="V666" s="2"/>
      <c r="W666" s="2"/>
      <c r="X666" s="43"/>
      <c r="Y666" s="2"/>
      <c r="Z666" s="2"/>
      <c r="AA666" s="2"/>
      <c r="AB666" s="42"/>
      <c r="AC666" s="2"/>
      <c r="AD666" s="33"/>
      <c r="AE666" s="2"/>
      <c r="AF666" s="2"/>
      <c r="AG666" s="2"/>
      <c r="AH666" s="2"/>
      <c r="AI666" s="2"/>
      <c r="AJ666" s="2"/>
      <c r="AK666" s="2"/>
      <c r="AL666" s="55"/>
      <c r="AM666" s="2"/>
      <c r="AN666" s="2"/>
      <c r="AO666" s="2"/>
      <c r="AP666" s="42"/>
    </row>
    <row r="667" spans="1:42">
      <c r="A667" s="188" t="s">
        <v>40</v>
      </c>
      <c r="B667" s="188"/>
      <c r="C667" s="189" t="s">
        <v>41</v>
      </c>
      <c r="D667" s="189"/>
      <c r="E667" s="36"/>
      <c r="F667" s="36"/>
      <c r="G667" s="59"/>
      <c r="H667" s="59"/>
      <c r="I667" s="59"/>
      <c r="J667" s="59"/>
      <c r="K667" s="59"/>
      <c r="L667" s="59"/>
      <c r="M667" s="59"/>
      <c r="N667" s="60"/>
      <c r="O667" s="56"/>
      <c r="P667" s="185" t="s">
        <v>39</v>
      </c>
      <c r="Q667" s="185"/>
      <c r="R667" s="185"/>
      <c r="S667" s="184" t="s">
        <v>38</v>
      </c>
      <c r="T667" s="184"/>
      <c r="U667" s="71"/>
      <c r="V667" s="71"/>
      <c r="W667" s="71"/>
      <c r="X667" s="72"/>
      <c r="Y667" s="71"/>
      <c r="Z667" s="71"/>
      <c r="AA667" s="71"/>
      <c r="AB667" s="73"/>
      <c r="AC667" s="74"/>
      <c r="AD667" s="185" t="s">
        <v>39</v>
      </c>
      <c r="AE667" s="185"/>
      <c r="AF667" s="185"/>
      <c r="AG667" s="184" t="s">
        <v>37</v>
      </c>
      <c r="AH667" s="184"/>
      <c r="AI667" s="71"/>
      <c r="AJ667" s="71"/>
      <c r="AK667" s="71"/>
      <c r="AL667" s="75"/>
      <c r="AM667" s="71"/>
      <c r="AN667" s="71"/>
      <c r="AO667" s="71"/>
      <c r="AP667" s="73"/>
    </row>
    <row r="668" spans="1:42">
      <c r="A668" s="7" t="s">
        <v>0</v>
      </c>
      <c r="B668" s="112" t="s">
        <v>34</v>
      </c>
      <c r="C668" s="5" t="s">
        <v>1</v>
      </c>
      <c r="D668" s="5" t="s">
        <v>2</v>
      </c>
      <c r="E668" s="6" t="s">
        <v>3</v>
      </c>
      <c r="F668" s="5" t="s">
        <v>2</v>
      </c>
      <c r="G668" s="5" t="s">
        <v>4</v>
      </c>
      <c r="H668" s="5" t="s">
        <v>5</v>
      </c>
      <c r="I668" s="5" t="s">
        <v>6</v>
      </c>
      <c r="J668" s="5"/>
      <c r="K668" s="5" t="s">
        <v>7</v>
      </c>
      <c r="L668" s="5" t="s">
        <v>8</v>
      </c>
      <c r="M668" s="5" t="s">
        <v>9</v>
      </c>
      <c r="N668" s="5" t="s">
        <v>10</v>
      </c>
      <c r="O668" s="2"/>
      <c r="P668" s="7" t="s">
        <v>0</v>
      </c>
      <c r="Q668" s="5" t="s">
        <v>1</v>
      </c>
      <c r="R668" s="5" t="s">
        <v>2</v>
      </c>
      <c r="S668" s="6" t="s">
        <v>3</v>
      </c>
      <c r="T668" s="5" t="s">
        <v>2</v>
      </c>
      <c r="U668" s="5" t="s">
        <v>4</v>
      </c>
      <c r="V668" s="5" t="s">
        <v>5</v>
      </c>
      <c r="W668" s="5" t="s">
        <v>6</v>
      </c>
      <c r="X668" s="6" t="s">
        <v>11</v>
      </c>
      <c r="Y668" s="5" t="s">
        <v>7</v>
      </c>
      <c r="Z668" s="5" t="s">
        <v>5</v>
      </c>
      <c r="AA668" s="5" t="s">
        <v>12</v>
      </c>
      <c r="AB668" s="5" t="s">
        <v>10</v>
      </c>
      <c r="AC668" s="3"/>
      <c r="AD668" s="7" t="s">
        <v>0</v>
      </c>
      <c r="AE668" s="5" t="s">
        <v>1</v>
      </c>
      <c r="AF668" s="5" t="s">
        <v>2</v>
      </c>
      <c r="AG668" s="6" t="s">
        <v>3</v>
      </c>
      <c r="AH668" s="5" t="s">
        <v>2</v>
      </c>
      <c r="AI668" s="5" t="s">
        <v>4</v>
      </c>
      <c r="AJ668" s="5" t="s">
        <v>5</v>
      </c>
      <c r="AK668" s="5" t="s">
        <v>6</v>
      </c>
      <c r="AL668" s="46" t="s">
        <v>11</v>
      </c>
      <c r="AM668" s="5" t="s">
        <v>7</v>
      </c>
      <c r="AN668" s="5" t="s">
        <v>5</v>
      </c>
      <c r="AO668" s="5" t="s">
        <v>12</v>
      </c>
      <c r="AP668" s="5" t="s">
        <v>10</v>
      </c>
    </row>
    <row r="669" spans="1:42">
      <c r="A669" s="12">
        <v>45882</v>
      </c>
      <c r="B669" s="8">
        <v>1433</v>
      </c>
      <c r="C669" s="13">
        <v>22997</v>
      </c>
      <c r="D669" s="9">
        <v>284</v>
      </c>
      <c r="E669" s="9">
        <v>842</v>
      </c>
      <c r="F669" s="9">
        <v>7</v>
      </c>
      <c r="G669" s="9">
        <v>28</v>
      </c>
      <c r="H669" s="9">
        <v>8</v>
      </c>
      <c r="I669" s="9">
        <v>10</v>
      </c>
      <c r="J669" s="44"/>
      <c r="K669" s="44">
        <v>880</v>
      </c>
      <c r="L669" s="9">
        <v>7040</v>
      </c>
      <c r="M669" s="10">
        <v>0.24788732394366197</v>
      </c>
      <c r="N669" s="70" t="s">
        <v>124</v>
      </c>
      <c r="O669" s="2"/>
      <c r="P669" s="12">
        <v>45882</v>
      </c>
      <c r="Q669" s="44">
        <v>6544</v>
      </c>
      <c r="R669" s="44">
        <v>149</v>
      </c>
      <c r="S669" s="44">
        <v>191</v>
      </c>
      <c r="T669" s="44">
        <v>7</v>
      </c>
      <c r="U669" s="44">
        <v>62</v>
      </c>
      <c r="V669" s="44">
        <v>8</v>
      </c>
      <c r="W669" s="44">
        <v>0</v>
      </c>
      <c r="X669" s="64" t="s">
        <v>92</v>
      </c>
      <c r="Y669" s="62">
        <v>600</v>
      </c>
      <c r="Z669" s="44">
        <v>4800</v>
      </c>
      <c r="AA669" s="63">
        <v>0.32214765100671139</v>
      </c>
      <c r="AB669" s="11"/>
      <c r="AC669" s="1"/>
      <c r="AD669" s="12">
        <v>45882</v>
      </c>
      <c r="AE669" s="44">
        <v>5369</v>
      </c>
      <c r="AF669" s="44">
        <v>82</v>
      </c>
      <c r="AG669" s="44">
        <v>154</v>
      </c>
      <c r="AH669" s="44">
        <v>2</v>
      </c>
      <c r="AI669" s="44">
        <v>6</v>
      </c>
      <c r="AJ669" s="44">
        <v>2</v>
      </c>
      <c r="AK669" s="44">
        <v>12</v>
      </c>
      <c r="AL669" s="61" t="s">
        <v>103</v>
      </c>
      <c r="AM669" s="62">
        <v>1045</v>
      </c>
      <c r="AN669" s="44">
        <v>2090</v>
      </c>
      <c r="AO669" s="63">
        <v>0.25487804878048781</v>
      </c>
      <c r="AP669" s="11" t="s">
        <v>122</v>
      </c>
    </row>
    <row r="670" spans="1:42">
      <c r="A670" s="12">
        <v>45884</v>
      </c>
      <c r="B670" s="8">
        <f>IF(A670="","",SUM(D670)+SUM(R673:R676)+SUM(AF673:AF676))</f>
        <v>955</v>
      </c>
      <c r="C670" s="13">
        <v>23305</v>
      </c>
      <c r="D670" s="9">
        <f t="shared" ref="D670:D679" si="565">IF(C670="","",C670-C669)</f>
        <v>308</v>
      </c>
      <c r="E670" s="9">
        <v>847</v>
      </c>
      <c r="F670" s="9">
        <f t="shared" ref="F670:F679" si="566">IF(E670="","",E670-E669)</f>
        <v>5</v>
      </c>
      <c r="G670" s="9">
        <v>33</v>
      </c>
      <c r="H670" s="9">
        <f t="shared" ref="H670:H679" si="567">IF(G670="","",G669+I669-G670)</f>
        <v>5</v>
      </c>
      <c r="I670" s="9">
        <v>10</v>
      </c>
      <c r="J670" s="44"/>
      <c r="K670" s="44">
        <f t="shared" ref="K670:K679" si="568">IF(C670="","",K669)</f>
        <v>880</v>
      </c>
      <c r="L670" s="9">
        <f t="shared" ref="L670:L679" si="569">IF(K670="","",H670*K670)</f>
        <v>4400</v>
      </c>
      <c r="M670" s="10">
        <f t="shared" ref="M670:M679" si="570">IF(L670="","",L670/(D670*100))</f>
        <v>0.14285714285714285</v>
      </c>
      <c r="N670" s="34"/>
      <c r="O670" s="2"/>
      <c r="P670" s="12"/>
      <c r="Q670" s="9">
        <v>7053</v>
      </c>
      <c r="R670" s="9">
        <v>183</v>
      </c>
      <c r="S670" s="9">
        <v>152</v>
      </c>
      <c r="T670" s="9">
        <v>4</v>
      </c>
      <c r="U670" s="9">
        <v>6</v>
      </c>
      <c r="V670" s="9">
        <v>3</v>
      </c>
      <c r="W670" s="9">
        <v>2</v>
      </c>
      <c r="X670" s="64" t="s">
        <v>93</v>
      </c>
      <c r="Y670" s="44">
        <v>957</v>
      </c>
      <c r="Z670" s="9">
        <v>2871</v>
      </c>
      <c r="AA670" s="10">
        <v>0.15688524590163935</v>
      </c>
      <c r="AB670" s="11"/>
      <c r="AC670" s="1"/>
      <c r="AD670" s="12"/>
      <c r="AE670" s="9">
        <v>7046</v>
      </c>
      <c r="AF670" s="9">
        <v>76</v>
      </c>
      <c r="AG670" s="9">
        <v>120</v>
      </c>
      <c r="AH670" s="9">
        <v>0</v>
      </c>
      <c r="AI670" s="9">
        <v>19</v>
      </c>
      <c r="AJ670" s="9">
        <v>0</v>
      </c>
      <c r="AK670" s="9">
        <v>0</v>
      </c>
      <c r="AL670" s="47" t="s">
        <v>54</v>
      </c>
      <c r="AM670" s="45">
        <v>800</v>
      </c>
      <c r="AN670" s="9">
        <v>0</v>
      </c>
      <c r="AO670" s="10">
        <v>0</v>
      </c>
      <c r="AP670" s="11" t="s">
        <v>121</v>
      </c>
    </row>
    <row r="671" spans="1:42">
      <c r="A671" s="12">
        <v>45887</v>
      </c>
      <c r="B671" s="8">
        <f>IF(A671="","",SUM(D671)+SUM(R677:R680)+SUM(AF677:AF680))</f>
        <v>1086</v>
      </c>
      <c r="C671" s="13">
        <v>23506</v>
      </c>
      <c r="D671" s="9">
        <f t="shared" si="565"/>
        <v>201</v>
      </c>
      <c r="E671" s="9">
        <v>851</v>
      </c>
      <c r="F671" s="9">
        <f t="shared" si="566"/>
        <v>4</v>
      </c>
      <c r="G671" s="9">
        <v>38</v>
      </c>
      <c r="H671" s="9">
        <f t="shared" si="567"/>
        <v>5</v>
      </c>
      <c r="I671" s="120">
        <v>6</v>
      </c>
      <c r="J671" s="119"/>
      <c r="K671" s="44">
        <f t="shared" si="568"/>
        <v>880</v>
      </c>
      <c r="L671" s="9">
        <f t="shared" si="569"/>
        <v>4400</v>
      </c>
      <c r="M671" s="10">
        <f t="shared" si="570"/>
        <v>0.21890547263681592</v>
      </c>
      <c r="N671" s="11"/>
      <c r="O671" s="2"/>
      <c r="P671" s="12"/>
      <c r="Q671" s="9">
        <v>6845</v>
      </c>
      <c r="R671" s="9">
        <v>84</v>
      </c>
      <c r="S671" s="9">
        <v>298</v>
      </c>
      <c r="T671" s="9">
        <v>1</v>
      </c>
      <c r="U671" s="9">
        <v>17</v>
      </c>
      <c r="V671" s="9">
        <v>1</v>
      </c>
      <c r="W671" s="9">
        <v>2</v>
      </c>
      <c r="X671" s="15" t="s">
        <v>65</v>
      </c>
      <c r="Y671" s="45">
        <v>726</v>
      </c>
      <c r="Z671" s="9">
        <v>726</v>
      </c>
      <c r="AA671" s="10">
        <v>8.6428571428571424E-2</v>
      </c>
      <c r="AB671" s="11"/>
      <c r="AC671" s="1"/>
      <c r="AD671" s="12"/>
      <c r="AE671" s="9">
        <v>6526</v>
      </c>
      <c r="AF671" s="9">
        <v>233</v>
      </c>
      <c r="AG671" s="9">
        <v>300</v>
      </c>
      <c r="AH671" s="9">
        <v>12</v>
      </c>
      <c r="AI671" s="9">
        <v>7</v>
      </c>
      <c r="AJ671" s="9">
        <v>13</v>
      </c>
      <c r="AK671" s="9">
        <v>15</v>
      </c>
      <c r="AL671" s="47" t="s">
        <v>116</v>
      </c>
      <c r="AM671" s="45">
        <v>286</v>
      </c>
      <c r="AN671" s="9">
        <v>3718</v>
      </c>
      <c r="AO671" s="10">
        <v>0.15957081545064378</v>
      </c>
      <c r="AP671" s="11"/>
    </row>
    <row r="672" spans="1:42" ht="15" customHeight="1" thickBot="1">
      <c r="A672" s="12">
        <v>45891</v>
      </c>
      <c r="B672" s="8">
        <f>IF(A672="","",SUM(D672)+SUM(R681:R684)+SUM(AF681:AF684))</f>
        <v>1337</v>
      </c>
      <c r="C672" s="13">
        <v>23964</v>
      </c>
      <c r="D672" s="9">
        <f t="shared" si="565"/>
        <v>458</v>
      </c>
      <c r="E672" s="9">
        <v>860</v>
      </c>
      <c r="F672" s="9">
        <f t="shared" si="566"/>
        <v>9</v>
      </c>
      <c r="G672" s="9">
        <v>35</v>
      </c>
      <c r="H672" s="9">
        <f t="shared" si="567"/>
        <v>9</v>
      </c>
      <c r="I672" s="9">
        <v>8</v>
      </c>
      <c r="J672" s="44"/>
      <c r="K672" s="44">
        <f t="shared" si="568"/>
        <v>880</v>
      </c>
      <c r="L672" s="9">
        <f t="shared" si="569"/>
        <v>7920</v>
      </c>
      <c r="M672" s="10">
        <f t="shared" si="570"/>
        <v>0.17292576419213973</v>
      </c>
      <c r="N672" s="11"/>
      <c r="O672" s="2"/>
      <c r="P672" s="18"/>
      <c r="Q672" s="21">
        <v>8380</v>
      </c>
      <c r="R672" s="19">
        <v>94</v>
      </c>
      <c r="S672" s="19">
        <v>276</v>
      </c>
      <c r="T672" s="19">
        <v>3</v>
      </c>
      <c r="U672" s="19">
        <v>8</v>
      </c>
      <c r="V672" s="19">
        <v>1</v>
      </c>
      <c r="W672" s="19">
        <v>2</v>
      </c>
      <c r="X672" s="22" t="s">
        <v>69</v>
      </c>
      <c r="Y672" s="19">
        <v>1100</v>
      </c>
      <c r="Z672" s="19">
        <v>1100</v>
      </c>
      <c r="AA672" s="20">
        <v>0.11702127659574468</v>
      </c>
      <c r="AB672" s="11"/>
      <c r="AC672" s="1"/>
      <c r="AD672" s="18"/>
      <c r="AE672" s="19">
        <v>7712</v>
      </c>
      <c r="AF672" s="19">
        <v>248</v>
      </c>
      <c r="AG672" s="19">
        <v>237</v>
      </c>
      <c r="AH672" s="19">
        <v>9</v>
      </c>
      <c r="AI672" s="19">
        <v>118</v>
      </c>
      <c r="AJ672" s="19">
        <v>12</v>
      </c>
      <c r="AK672" s="19">
        <v>0</v>
      </c>
      <c r="AL672" s="48" t="s">
        <v>95</v>
      </c>
      <c r="AM672" s="19">
        <v>200</v>
      </c>
      <c r="AN672" s="19">
        <v>2400</v>
      </c>
      <c r="AO672" s="20">
        <v>9.6774193548387094E-2</v>
      </c>
      <c r="AP672" s="11"/>
    </row>
    <row r="673" spans="1:42" ht="15" customHeight="1" thickTop="1">
      <c r="A673" s="12">
        <v>45894</v>
      </c>
      <c r="B673" s="8">
        <f>IF(A673="","",SUM(D673)+SUM(R685:R688)+SUM(AF685:AF688))</f>
        <v>1407</v>
      </c>
      <c r="C673" s="13">
        <v>24220</v>
      </c>
      <c r="D673" s="9">
        <f t="shared" si="565"/>
        <v>256</v>
      </c>
      <c r="E673" s="9">
        <v>866</v>
      </c>
      <c r="F673" s="9">
        <f t="shared" si="566"/>
        <v>6</v>
      </c>
      <c r="G673" s="9">
        <v>37</v>
      </c>
      <c r="H673" s="9">
        <f t="shared" si="567"/>
        <v>6</v>
      </c>
      <c r="I673" s="9">
        <v>0</v>
      </c>
      <c r="J673" s="44"/>
      <c r="K673" s="44">
        <f t="shared" si="568"/>
        <v>880</v>
      </c>
      <c r="L673" s="9">
        <f t="shared" si="569"/>
        <v>5280</v>
      </c>
      <c r="M673" s="10">
        <f t="shared" si="570"/>
        <v>0.20624999999999999</v>
      </c>
      <c r="N673" s="11"/>
      <c r="O673" s="2"/>
      <c r="P673" s="78">
        <f>IF($A670="","",$A670)</f>
        <v>45884</v>
      </c>
      <c r="Q673" s="44">
        <v>6604</v>
      </c>
      <c r="R673" s="44">
        <f t="shared" ref="R673:R704" si="571">IF(Q673="","",Q673-Q669)</f>
        <v>60</v>
      </c>
      <c r="S673" s="44">
        <v>195</v>
      </c>
      <c r="T673" s="23">
        <f t="shared" ref="T673:T704" si="572">IF(S673="","",S673-S669)</f>
        <v>4</v>
      </c>
      <c r="U673" s="44">
        <v>58</v>
      </c>
      <c r="V673" s="44">
        <f t="shared" ref="V673:V704" si="573">IF(U673="","",U669+W669-U673)</f>
        <v>4</v>
      </c>
      <c r="W673" s="66">
        <v>2</v>
      </c>
      <c r="X673" s="61" t="str">
        <f t="shared" ref="X673:X704" si="574">IF(Q673="","",X669)</f>
        <v>キティサンダルキーホルダー</v>
      </c>
      <c r="Y673" s="62">
        <f t="shared" ref="Y673:Y704" si="575">IF(R673="","",Y669)</f>
        <v>600</v>
      </c>
      <c r="Z673" s="23">
        <f t="shared" ref="Z673:Z704" si="576">IF(U673="","",V673*Y673)</f>
        <v>2400</v>
      </c>
      <c r="AA673" s="24">
        <f t="shared" ref="AA673:AA704" si="577">IF(V673="","",Z673/(R673*100))</f>
        <v>0.4</v>
      </c>
      <c r="AB673" s="11"/>
      <c r="AC673" s="1"/>
      <c r="AD673" s="78">
        <f>IF($A670="","",$A670)</f>
        <v>45884</v>
      </c>
      <c r="AE673" s="44">
        <v>5412</v>
      </c>
      <c r="AF673" s="44">
        <f t="shared" ref="AF673:AF704" si="578">IF(AE673="","",AE673-AE669)</f>
        <v>43</v>
      </c>
      <c r="AG673" s="44">
        <v>159</v>
      </c>
      <c r="AH673" s="23">
        <f t="shared" ref="AH673:AH704" si="579">IF(AG673="","",AG673-AG669)</f>
        <v>5</v>
      </c>
      <c r="AI673" s="44">
        <v>14</v>
      </c>
      <c r="AJ673" s="44">
        <f t="shared" ref="AJ673:AJ704" si="580">IF(AI673="","",AI669+AK669-AI673)</f>
        <v>4</v>
      </c>
      <c r="AK673" s="66">
        <v>4</v>
      </c>
      <c r="AL673" s="61" t="s">
        <v>125</v>
      </c>
      <c r="AM673" s="62">
        <v>660</v>
      </c>
      <c r="AN673" s="23">
        <f t="shared" ref="AN673:AN704" si="581">IF(AI673="","",AJ673*AM673)</f>
        <v>2640</v>
      </c>
      <c r="AO673" s="24">
        <f t="shared" ref="AO673:AO704" si="582">IF(AJ673="","",AN673/(AF673*100))</f>
        <v>0.61395348837209307</v>
      </c>
      <c r="AP673" s="11"/>
    </row>
    <row r="674" spans="1:42">
      <c r="A674" s="12">
        <v>45898</v>
      </c>
      <c r="B674" s="8">
        <f>IF(A674="","",SUM(D674)+SUM(R689:R692)+SUM(AF689:AF692))</f>
        <v>1037</v>
      </c>
      <c r="C674" s="13">
        <v>24373</v>
      </c>
      <c r="D674" s="9">
        <f t="shared" si="565"/>
        <v>153</v>
      </c>
      <c r="E674" s="9">
        <v>871</v>
      </c>
      <c r="F674" s="9">
        <f t="shared" si="566"/>
        <v>5</v>
      </c>
      <c r="G674" s="9">
        <v>30</v>
      </c>
      <c r="H674" s="9">
        <f t="shared" si="567"/>
        <v>7</v>
      </c>
      <c r="I674" s="9">
        <v>6</v>
      </c>
      <c r="J674" s="44"/>
      <c r="K674" s="44">
        <f t="shared" si="568"/>
        <v>880</v>
      </c>
      <c r="L674" s="9">
        <f t="shared" si="569"/>
        <v>6160</v>
      </c>
      <c r="M674" s="10">
        <f t="shared" si="570"/>
        <v>0.40261437908496733</v>
      </c>
      <c r="N674" s="11"/>
      <c r="O674" s="2"/>
      <c r="P674" s="79"/>
      <c r="Q674" s="9">
        <v>7116</v>
      </c>
      <c r="R674" s="44">
        <f t="shared" si="571"/>
        <v>63</v>
      </c>
      <c r="S674" s="9">
        <v>153</v>
      </c>
      <c r="T674" s="9">
        <f t="shared" si="572"/>
        <v>1</v>
      </c>
      <c r="U674" s="9">
        <v>7</v>
      </c>
      <c r="V674" s="9">
        <f t="shared" si="573"/>
        <v>1</v>
      </c>
      <c r="W674" s="13">
        <v>2</v>
      </c>
      <c r="X674" s="47" t="str">
        <f t="shared" si="574"/>
        <v>キティフェイスポーチ</v>
      </c>
      <c r="Y674" s="45">
        <f t="shared" si="575"/>
        <v>957</v>
      </c>
      <c r="Z674" s="9">
        <f t="shared" si="576"/>
        <v>957</v>
      </c>
      <c r="AA674" s="10">
        <f t="shared" si="577"/>
        <v>0.1519047619047619</v>
      </c>
      <c r="AB674" s="11"/>
      <c r="AC674" s="1"/>
      <c r="AD674" s="79"/>
      <c r="AE674" s="9">
        <v>7119</v>
      </c>
      <c r="AF674" s="44">
        <f t="shared" si="578"/>
        <v>73</v>
      </c>
      <c r="AG674" s="9">
        <v>121</v>
      </c>
      <c r="AH674" s="9">
        <f t="shared" si="579"/>
        <v>1</v>
      </c>
      <c r="AI674" s="9">
        <v>18</v>
      </c>
      <c r="AJ674" s="9">
        <f t="shared" si="580"/>
        <v>1</v>
      </c>
      <c r="AK674" s="13">
        <v>1</v>
      </c>
      <c r="AL674" s="47" t="str">
        <f t="shared" ref="AL674:AL705" si="583">IF(AE674="","",AL670)</f>
        <v>デジタルミニカメラ</v>
      </c>
      <c r="AM674" s="45">
        <f t="shared" ref="AM674:AM705" si="584">IF(AF674="","",AM670)</f>
        <v>800</v>
      </c>
      <c r="AN674" s="9">
        <f t="shared" si="581"/>
        <v>800</v>
      </c>
      <c r="AO674" s="10">
        <f t="shared" si="582"/>
        <v>0.1095890410958904</v>
      </c>
      <c r="AP674" s="11"/>
    </row>
    <row r="675" spans="1:42">
      <c r="A675" s="12">
        <v>45902</v>
      </c>
      <c r="B675" s="8">
        <f>IF(A675="","",SUM(D675)+SUM(R693:R696)+SUM(AF693:AF696))</f>
        <v>1148</v>
      </c>
      <c r="C675" s="13">
        <v>24558</v>
      </c>
      <c r="D675" s="9">
        <f t="shared" si="565"/>
        <v>185</v>
      </c>
      <c r="E675" s="9">
        <v>876</v>
      </c>
      <c r="F675" s="9">
        <f t="shared" si="566"/>
        <v>5</v>
      </c>
      <c r="G675" s="9">
        <v>30</v>
      </c>
      <c r="H675" s="9">
        <f t="shared" si="567"/>
        <v>6</v>
      </c>
      <c r="I675" s="9">
        <v>8</v>
      </c>
      <c r="J675" s="44"/>
      <c r="K675" s="44">
        <f t="shared" si="568"/>
        <v>880</v>
      </c>
      <c r="L675" s="9">
        <f t="shared" si="569"/>
        <v>5280</v>
      </c>
      <c r="M675" s="10">
        <f t="shared" si="570"/>
        <v>0.28540540540540543</v>
      </c>
      <c r="N675" s="11"/>
      <c r="O675" s="2"/>
      <c r="P675" s="79"/>
      <c r="Q675" s="9">
        <v>6913</v>
      </c>
      <c r="R675" s="52">
        <f t="shared" si="571"/>
        <v>68</v>
      </c>
      <c r="S675" s="9">
        <v>299</v>
      </c>
      <c r="T675" s="9">
        <f t="shared" si="572"/>
        <v>1</v>
      </c>
      <c r="U675" s="9">
        <v>18</v>
      </c>
      <c r="V675" s="9">
        <f t="shared" si="573"/>
        <v>1</v>
      </c>
      <c r="W675" s="13">
        <v>0</v>
      </c>
      <c r="X675" s="47" t="str">
        <f t="shared" si="574"/>
        <v>ギャルキティキーケース</v>
      </c>
      <c r="Y675" s="9">
        <f t="shared" si="575"/>
        <v>726</v>
      </c>
      <c r="Z675" s="9">
        <f t="shared" si="576"/>
        <v>726</v>
      </c>
      <c r="AA675" s="10">
        <f t="shared" si="577"/>
        <v>0.10676470588235294</v>
      </c>
      <c r="AB675" s="11"/>
      <c r="AC675" s="1"/>
      <c r="AD675" s="79"/>
      <c r="AE675" s="9">
        <v>6612</v>
      </c>
      <c r="AF675" s="52">
        <f t="shared" si="578"/>
        <v>86</v>
      </c>
      <c r="AG675" s="9">
        <v>304</v>
      </c>
      <c r="AH675" s="9">
        <f t="shared" si="579"/>
        <v>4</v>
      </c>
      <c r="AI675" s="9">
        <v>16</v>
      </c>
      <c r="AJ675" s="9">
        <f t="shared" si="580"/>
        <v>6</v>
      </c>
      <c r="AK675" s="13">
        <v>5</v>
      </c>
      <c r="AL675" s="47" t="str">
        <f t="shared" si="583"/>
        <v>ＡＩマスコット</v>
      </c>
      <c r="AM675" s="9">
        <f t="shared" si="584"/>
        <v>286</v>
      </c>
      <c r="AN675" s="9">
        <f t="shared" si="581"/>
        <v>1716</v>
      </c>
      <c r="AO675" s="10">
        <f t="shared" si="582"/>
        <v>0.19953488372093023</v>
      </c>
      <c r="AP675" s="11"/>
    </row>
    <row r="676" spans="1:42" ht="15" customHeight="1" thickBot="1">
      <c r="A676" s="12">
        <v>45905</v>
      </c>
      <c r="B676" s="8">
        <f>IF(A676="","",SUM(D676)+SUM(R697:R700)+SUM(AF697:AF700))</f>
        <v>521</v>
      </c>
      <c r="C676" s="13">
        <v>24646</v>
      </c>
      <c r="D676" s="9">
        <f t="shared" si="565"/>
        <v>88</v>
      </c>
      <c r="E676" s="9">
        <v>878</v>
      </c>
      <c r="F676" s="9">
        <f t="shared" si="566"/>
        <v>2</v>
      </c>
      <c r="G676" s="9">
        <v>35</v>
      </c>
      <c r="H676" s="9">
        <f t="shared" si="567"/>
        <v>3</v>
      </c>
      <c r="I676" s="9">
        <v>1</v>
      </c>
      <c r="J676" s="44"/>
      <c r="K676" s="44">
        <f t="shared" si="568"/>
        <v>880</v>
      </c>
      <c r="L676" s="9">
        <f t="shared" si="569"/>
        <v>2640</v>
      </c>
      <c r="M676" s="10">
        <f t="shared" si="570"/>
        <v>0.3</v>
      </c>
      <c r="N676" s="11"/>
      <c r="O676" s="2"/>
      <c r="P676" s="80"/>
      <c r="Q676" s="21">
        <v>8516</v>
      </c>
      <c r="R676" s="50">
        <f t="shared" si="571"/>
        <v>136</v>
      </c>
      <c r="S676" s="51">
        <v>277</v>
      </c>
      <c r="T676" s="19">
        <f t="shared" si="572"/>
        <v>1</v>
      </c>
      <c r="U676" s="19">
        <v>10</v>
      </c>
      <c r="V676" s="19">
        <f t="shared" si="573"/>
        <v>0</v>
      </c>
      <c r="W676" s="37">
        <v>1</v>
      </c>
      <c r="X676" s="48" t="str">
        <f t="shared" si="574"/>
        <v>サンリオファン</v>
      </c>
      <c r="Y676" s="51">
        <f t="shared" si="575"/>
        <v>1100</v>
      </c>
      <c r="Z676" s="19">
        <f t="shared" si="576"/>
        <v>0</v>
      </c>
      <c r="AA676" s="20">
        <f t="shared" si="577"/>
        <v>0</v>
      </c>
      <c r="AB676" s="11"/>
      <c r="AC676" s="1"/>
      <c r="AD676" s="80"/>
      <c r="AE676" s="21">
        <v>7830</v>
      </c>
      <c r="AF676" s="50">
        <f t="shared" si="578"/>
        <v>118</v>
      </c>
      <c r="AG676" s="51">
        <v>243</v>
      </c>
      <c r="AH676" s="19">
        <f t="shared" si="579"/>
        <v>6</v>
      </c>
      <c r="AI676" s="19">
        <v>105</v>
      </c>
      <c r="AJ676" s="19">
        <f t="shared" si="580"/>
        <v>13</v>
      </c>
      <c r="AK676" s="37">
        <v>5</v>
      </c>
      <c r="AL676" s="48" t="str">
        <f t="shared" si="583"/>
        <v>AIモンスターラバー</v>
      </c>
      <c r="AM676" s="51">
        <f t="shared" si="584"/>
        <v>200</v>
      </c>
      <c r="AN676" s="19">
        <f t="shared" si="581"/>
        <v>2600</v>
      </c>
      <c r="AO676" s="20">
        <f t="shared" si="582"/>
        <v>0.22033898305084745</v>
      </c>
      <c r="AP676" s="11"/>
    </row>
    <row r="677" spans="1:42" ht="15.75" thickTop="1">
      <c r="A677" s="12">
        <v>45908</v>
      </c>
      <c r="B677" s="8">
        <f>IF(A677="","",SUM(D677)+SUM(R701:R704)+SUM(AF701:AF704))</f>
        <v>1031</v>
      </c>
      <c r="C677" s="13">
        <v>24840</v>
      </c>
      <c r="D677" s="9">
        <f t="shared" si="565"/>
        <v>194</v>
      </c>
      <c r="E677" s="9">
        <v>880</v>
      </c>
      <c r="F677" s="9">
        <f t="shared" si="566"/>
        <v>2</v>
      </c>
      <c r="G677" s="9">
        <v>34</v>
      </c>
      <c r="H677" s="9">
        <f t="shared" si="567"/>
        <v>2</v>
      </c>
      <c r="I677" s="9">
        <v>0</v>
      </c>
      <c r="J677" s="44"/>
      <c r="K677" s="44">
        <f t="shared" si="568"/>
        <v>880</v>
      </c>
      <c r="L677" s="9">
        <f t="shared" si="569"/>
        <v>1760</v>
      </c>
      <c r="M677" s="10">
        <f t="shared" si="570"/>
        <v>9.0721649484536079E-2</v>
      </c>
      <c r="N677" s="34"/>
      <c r="O677" s="2"/>
      <c r="P677" s="65">
        <f>IF($A671="","",$A671)</f>
        <v>45887</v>
      </c>
      <c r="Q677" s="44">
        <v>6677</v>
      </c>
      <c r="R677" s="44">
        <f t="shared" si="571"/>
        <v>73</v>
      </c>
      <c r="S677" s="44">
        <v>197</v>
      </c>
      <c r="T677" s="23">
        <f t="shared" si="572"/>
        <v>2</v>
      </c>
      <c r="U677" s="44">
        <v>60</v>
      </c>
      <c r="V677" s="44">
        <f t="shared" si="573"/>
        <v>0</v>
      </c>
      <c r="W677" s="44">
        <v>10</v>
      </c>
      <c r="X677" s="15" t="str">
        <f t="shared" si="574"/>
        <v>キティサンダルキーホルダー</v>
      </c>
      <c r="Y677" s="45">
        <f t="shared" si="575"/>
        <v>600</v>
      </c>
      <c r="Z677" s="23">
        <f t="shared" si="576"/>
        <v>0</v>
      </c>
      <c r="AA677" s="24">
        <f t="shared" si="577"/>
        <v>0</v>
      </c>
      <c r="AB677" s="11"/>
      <c r="AC677" s="1"/>
      <c r="AD677" s="65">
        <f>IF($A671="","",$A671)</f>
        <v>45887</v>
      </c>
      <c r="AE677" s="44">
        <v>5483</v>
      </c>
      <c r="AF677" s="44">
        <f t="shared" si="578"/>
        <v>71</v>
      </c>
      <c r="AG677" s="44">
        <v>161</v>
      </c>
      <c r="AH677" s="23">
        <f t="shared" si="579"/>
        <v>2</v>
      </c>
      <c r="AI677" s="44">
        <v>16</v>
      </c>
      <c r="AJ677" s="44">
        <f t="shared" si="580"/>
        <v>2</v>
      </c>
      <c r="AK677" s="44">
        <v>0</v>
      </c>
      <c r="AL677" s="15" t="str">
        <f t="shared" si="583"/>
        <v>サンリオパッチン</v>
      </c>
      <c r="AM677" s="45">
        <f t="shared" si="584"/>
        <v>660</v>
      </c>
      <c r="AN677" s="23">
        <f t="shared" si="581"/>
        <v>1320</v>
      </c>
      <c r="AO677" s="24">
        <f t="shared" si="582"/>
        <v>0.18591549295774648</v>
      </c>
      <c r="AP677" s="11"/>
    </row>
    <row r="678" spans="1:42">
      <c r="A678" s="12">
        <v>45910</v>
      </c>
      <c r="B678" s="8">
        <f>IF(A678="","",SUM(D678)+SUM(R705:R708)+SUM(AF705:AF708))</f>
        <v>396</v>
      </c>
      <c r="C678" s="13">
        <v>24927</v>
      </c>
      <c r="D678" s="9">
        <f t="shared" si="565"/>
        <v>87</v>
      </c>
      <c r="E678" s="9">
        <v>881</v>
      </c>
      <c r="F678" s="9">
        <f t="shared" si="566"/>
        <v>1</v>
      </c>
      <c r="G678" s="9">
        <v>33</v>
      </c>
      <c r="H678" s="9">
        <f t="shared" si="567"/>
        <v>1</v>
      </c>
      <c r="I678" s="9">
        <v>3</v>
      </c>
      <c r="J678" s="44"/>
      <c r="K678" s="44">
        <f t="shared" si="568"/>
        <v>880</v>
      </c>
      <c r="L678" s="9">
        <f t="shared" si="569"/>
        <v>880</v>
      </c>
      <c r="M678" s="10">
        <f t="shared" si="570"/>
        <v>0.10114942528735632</v>
      </c>
      <c r="N678" s="34"/>
      <c r="O678" s="2"/>
      <c r="P678" s="12"/>
      <c r="Q678" s="9">
        <v>7185</v>
      </c>
      <c r="R678" s="9">
        <f t="shared" si="571"/>
        <v>69</v>
      </c>
      <c r="S678" s="9">
        <v>154</v>
      </c>
      <c r="T678" s="9">
        <f t="shared" si="572"/>
        <v>1</v>
      </c>
      <c r="U678" s="9">
        <v>8</v>
      </c>
      <c r="V678" s="9">
        <f t="shared" si="573"/>
        <v>1</v>
      </c>
      <c r="W678" s="9">
        <v>1</v>
      </c>
      <c r="X678" s="15" t="str">
        <f t="shared" si="574"/>
        <v>キティフェイスポーチ</v>
      </c>
      <c r="Y678" s="45">
        <f t="shared" si="575"/>
        <v>957</v>
      </c>
      <c r="Z678" s="9">
        <f t="shared" si="576"/>
        <v>957</v>
      </c>
      <c r="AA678" s="10">
        <f t="shared" si="577"/>
        <v>0.13869565217391305</v>
      </c>
      <c r="AB678" s="11"/>
      <c r="AC678" s="1"/>
      <c r="AD678" s="12"/>
      <c r="AE678" s="9">
        <v>7201</v>
      </c>
      <c r="AF678" s="9">
        <f t="shared" si="578"/>
        <v>82</v>
      </c>
      <c r="AG678" s="9">
        <v>123</v>
      </c>
      <c r="AH678" s="9">
        <f t="shared" si="579"/>
        <v>2</v>
      </c>
      <c r="AI678" s="9">
        <v>16</v>
      </c>
      <c r="AJ678" s="9">
        <f t="shared" si="580"/>
        <v>3</v>
      </c>
      <c r="AK678" s="9">
        <v>0</v>
      </c>
      <c r="AL678" s="15" t="str">
        <f t="shared" si="583"/>
        <v>デジタルミニカメラ</v>
      </c>
      <c r="AM678" s="45">
        <f t="shared" si="584"/>
        <v>800</v>
      </c>
      <c r="AN678" s="9">
        <f t="shared" si="581"/>
        <v>2400</v>
      </c>
      <c r="AO678" s="10">
        <f t="shared" si="582"/>
        <v>0.29268292682926828</v>
      </c>
      <c r="AP678" s="11"/>
    </row>
    <row r="679" spans="1:42">
      <c r="A679" s="12">
        <v>45912</v>
      </c>
      <c r="B679" s="8">
        <f>IF(A679="","",SUM(D679)+SUM(R709:R712)+SUM(AF709:AF712))</f>
        <v>470</v>
      </c>
      <c r="C679" s="13">
        <v>25023</v>
      </c>
      <c r="D679" s="9">
        <f t="shared" si="565"/>
        <v>96</v>
      </c>
      <c r="E679" s="9">
        <v>887</v>
      </c>
      <c r="F679" s="9">
        <f t="shared" si="566"/>
        <v>6</v>
      </c>
      <c r="G679" s="9">
        <v>29</v>
      </c>
      <c r="H679" s="9">
        <f t="shared" si="567"/>
        <v>7</v>
      </c>
      <c r="I679" s="9">
        <v>12</v>
      </c>
      <c r="J679" s="44"/>
      <c r="K679" s="44">
        <f t="shared" si="568"/>
        <v>880</v>
      </c>
      <c r="L679" s="9">
        <f t="shared" si="569"/>
        <v>6160</v>
      </c>
      <c r="M679" s="10">
        <f t="shared" si="570"/>
        <v>0.64166666666666672</v>
      </c>
      <c r="N679" s="34" t="s">
        <v>144</v>
      </c>
      <c r="O679" s="2"/>
      <c r="P679" s="12"/>
      <c r="Q679" s="9">
        <v>6974</v>
      </c>
      <c r="R679" s="9">
        <f t="shared" si="571"/>
        <v>61</v>
      </c>
      <c r="S679" s="9">
        <v>301</v>
      </c>
      <c r="T679" s="9">
        <f t="shared" si="572"/>
        <v>2</v>
      </c>
      <c r="U679" s="9">
        <v>16</v>
      </c>
      <c r="V679" s="9">
        <f t="shared" si="573"/>
        <v>2</v>
      </c>
      <c r="W679" s="9">
        <v>0</v>
      </c>
      <c r="X679" s="15" t="str">
        <f t="shared" si="574"/>
        <v>ギャルキティキーケース</v>
      </c>
      <c r="Y679" s="45">
        <f t="shared" si="575"/>
        <v>726</v>
      </c>
      <c r="Z679" s="9">
        <f t="shared" si="576"/>
        <v>1452</v>
      </c>
      <c r="AA679" s="10">
        <f t="shared" si="577"/>
        <v>0.2380327868852459</v>
      </c>
      <c r="AB679" s="11"/>
      <c r="AC679" s="1"/>
      <c r="AD679" s="12"/>
      <c r="AE679" s="9">
        <v>6876</v>
      </c>
      <c r="AF679" s="9">
        <f t="shared" si="578"/>
        <v>264</v>
      </c>
      <c r="AG679" s="9">
        <v>311</v>
      </c>
      <c r="AH679" s="9">
        <f t="shared" si="579"/>
        <v>7</v>
      </c>
      <c r="AI679" s="9">
        <v>13</v>
      </c>
      <c r="AJ679" s="9">
        <f t="shared" si="580"/>
        <v>8</v>
      </c>
      <c r="AK679" s="120">
        <v>4</v>
      </c>
      <c r="AL679" s="15" t="str">
        <f t="shared" si="583"/>
        <v>ＡＩマスコット</v>
      </c>
      <c r="AM679" s="45">
        <f t="shared" si="584"/>
        <v>286</v>
      </c>
      <c r="AN679" s="9">
        <f t="shared" si="581"/>
        <v>2288</v>
      </c>
      <c r="AO679" s="10">
        <f t="shared" si="582"/>
        <v>8.666666666666667E-2</v>
      </c>
      <c r="AP679" s="11"/>
    </row>
    <row r="680" spans="1:42" ht="15" customHeight="1" thickBot="1">
      <c r="A680" s="12"/>
      <c r="B680" s="8"/>
      <c r="C680" s="13"/>
      <c r="D680" s="9"/>
      <c r="E680" s="9"/>
      <c r="F680" s="9"/>
      <c r="G680" s="9"/>
      <c r="H680" s="9"/>
      <c r="I680" s="9"/>
      <c r="J680" s="44"/>
      <c r="K680" s="44"/>
      <c r="L680" s="9"/>
      <c r="M680" s="10"/>
      <c r="N680" s="11"/>
      <c r="O680" s="2"/>
      <c r="P680" s="80"/>
      <c r="Q680" s="19">
        <v>8610</v>
      </c>
      <c r="R680" s="19">
        <f t="shared" si="571"/>
        <v>94</v>
      </c>
      <c r="S680" s="19">
        <v>278</v>
      </c>
      <c r="T680" s="19">
        <f t="shared" si="572"/>
        <v>1</v>
      </c>
      <c r="U680" s="19">
        <v>11</v>
      </c>
      <c r="V680" s="19">
        <f t="shared" si="573"/>
        <v>0</v>
      </c>
      <c r="W680" s="19">
        <v>1</v>
      </c>
      <c r="X680" s="22" t="str">
        <f t="shared" si="574"/>
        <v>サンリオファン</v>
      </c>
      <c r="Y680" s="51">
        <f t="shared" si="575"/>
        <v>1100</v>
      </c>
      <c r="Z680" s="19">
        <f t="shared" si="576"/>
        <v>0</v>
      </c>
      <c r="AA680" s="20">
        <f t="shared" si="577"/>
        <v>0</v>
      </c>
      <c r="AB680" s="11"/>
      <c r="AC680" s="1"/>
      <c r="AD680" s="80"/>
      <c r="AE680" s="19">
        <v>8001</v>
      </c>
      <c r="AF680" s="19">
        <f t="shared" si="578"/>
        <v>171</v>
      </c>
      <c r="AG680" s="19">
        <v>251</v>
      </c>
      <c r="AH680" s="19">
        <f t="shared" si="579"/>
        <v>8</v>
      </c>
      <c r="AI680" s="19">
        <v>93</v>
      </c>
      <c r="AJ680" s="19">
        <f t="shared" si="580"/>
        <v>17</v>
      </c>
      <c r="AK680" s="121">
        <v>24</v>
      </c>
      <c r="AL680" s="22" t="str">
        <f t="shared" si="583"/>
        <v>AIモンスターラバー</v>
      </c>
      <c r="AM680" s="51">
        <f t="shared" si="584"/>
        <v>200</v>
      </c>
      <c r="AN680" s="19">
        <f t="shared" si="581"/>
        <v>3400</v>
      </c>
      <c r="AO680" s="20">
        <f t="shared" si="582"/>
        <v>0.19883040935672514</v>
      </c>
      <c r="AP680" s="11"/>
    </row>
    <row r="681" spans="1:42" ht="15" customHeight="1" thickTop="1">
      <c r="A681" s="12"/>
      <c r="B681" s="8"/>
      <c r="C681" s="13"/>
      <c r="D681" s="9"/>
      <c r="E681" s="9"/>
      <c r="F681" s="9"/>
      <c r="G681" s="9"/>
      <c r="H681" s="9"/>
      <c r="I681" s="9"/>
      <c r="J681" s="44"/>
      <c r="K681" s="44"/>
      <c r="L681" s="9"/>
      <c r="M681" s="10"/>
      <c r="N681" s="11"/>
      <c r="O681" s="2"/>
      <c r="P681" s="65">
        <f>IF($A672="","",$A672)</f>
        <v>45891</v>
      </c>
      <c r="Q681" s="44">
        <v>6750</v>
      </c>
      <c r="R681" s="44">
        <f t="shared" si="571"/>
        <v>73</v>
      </c>
      <c r="S681" s="44">
        <v>201</v>
      </c>
      <c r="T681" s="23">
        <f t="shared" si="572"/>
        <v>4</v>
      </c>
      <c r="U681" s="44">
        <v>65</v>
      </c>
      <c r="V681" s="44">
        <f t="shared" si="573"/>
        <v>5</v>
      </c>
      <c r="W681" s="66">
        <v>0</v>
      </c>
      <c r="X681" s="61" t="str">
        <f t="shared" si="574"/>
        <v>キティサンダルキーホルダー</v>
      </c>
      <c r="Y681" s="62">
        <f t="shared" si="575"/>
        <v>600</v>
      </c>
      <c r="Z681" s="23">
        <f t="shared" si="576"/>
        <v>3000</v>
      </c>
      <c r="AA681" s="24">
        <f t="shared" si="577"/>
        <v>0.41095890410958902</v>
      </c>
      <c r="AB681" s="11"/>
      <c r="AC681" s="1"/>
      <c r="AD681" s="65">
        <f>IF($A672="","",$A672)</f>
        <v>45891</v>
      </c>
      <c r="AE681" s="44">
        <v>5577</v>
      </c>
      <c r="AF681" s="44">
        <f t="shared" si="578"/>
        <v>94</v>
      </c>
      <c r="AG681" s="44">
        <v>162</v>
      </c>
      <c r="AH681" s="23">
        <f t="shared" si="579"/>
        <v>1</v>
      </c>
      <c r="AI681" s="44">
        <v>15</v>
      </c>
      <c r="AJ681" s="44">
        <f t="shared" si="580"/>
        <v>1</v>
      </c>
      <c r="AK681" s="66">
        <v>11</v>
      </c>
      <c r="AL681" s="61" t="str">
        <f t="shared" si="583"/>
        <v>サンリオパッチン</v>
      </c>
      <c r="AM681" s="62">
        <f t="shared" si="584"/>
        <v>660</v>
      </c>
      <c r="AN681" s="23">
        <f t="shared" si="581"/>
        <v>660</v>
      </c>
      <c r="AO681" s="24">
        <f t="shared" si="582"/>
        <v>7.0212765957446813E-2</v>
      </c>
      <c r="AP681" s="11" t="s">
        <v>128</v>
      </c>
    </row>
    <row r="682" spans="1:42">
      <c r="A682" s="12"/>
      <c r="B682" s="8"/>
      <c r="C682" s="13"/>
      <c r="D682" s="9"/>
      <c r="E682" s="9"/>
      <c r="F682" s="9"/>
      <c r="G682" s="9"/>
      <c r="H682" s="9"/>
      <c r="I682" s="9"/>
      <c r="J682" s="44"/>
      <c r="K682" s="44"/>
      <c r="L682" s="9"/>
      <c r="M682" s="10"/>
      <c r="N682" s="11"/>
      <c r="O682" s="2"/>
      <c r="P682" s="12"/>
      <c r="Q682" s="9">
        <v>7293</v>
      </c>
      <c r="R682" s="44">
        <f t="shared" si="571"/>
        <v>108</v>
      </c>
      <c r="S682" s="9">
        <v>155</v>
      </c>
      <c r="T682" s="9">
        <f t="shared" si="572"/>
        <v>1</v>
      </c>
      <c r="U682" s="9">
        <v>8</v>
      </c>
      <c r="V682" s="9">
        <f t="shared" si="573"/>
        <v>1</v>
      </c>
      <c r="W682" s="13">
        <v>0</v>
      </c>
      <c r="X682" s="47" t="str">
        <f t="shared" si="574"/>
        <v>キティフェイスポーチ</v>
      </c>
      <c r="Y682" s="45">
        <f t="shared" si="575"/>
        <v>957</v>
      </c>
      <c r="Z682" s="9">
        <f t="shared" si="576"/>
        <v>957</v>
      </c>
      <c r="AA682" s="10">
        <f t="shared" si="577"/>
        <v>8.8611111111111113E-2</v>
      </c>
      <c r="AB682" s="11"/>
      <c r="AC682" s="1"/>
      <c r="AD682" s="12"/>
      <c r="AE682" s="9">
        <v>7298</v>
      </c>
      <c r="AF682" s="44">
        <f t="shared" si="578"/>
        <v>97</v>
      </c>
      <c r="AG682" s="9">
        <v>124</v>
      </c>
      <c r="AH682" s="9">
        <f t="shared" si="579"/>
        <v>1</v>
      </c>
      <c r="AI682" s="9">
        <v>15</v>
      </c>
      <c r="AJ682" s="9">
        <f t="shared" si="580"/>
        <v>1</v>
      </c>
      <c r="AK682" s="13">
        <v>0</v>
      </c>
      <c r="AL682" s="47" t="str">
        <f t="shared" si="583"/>
        <v>デジタルミニカメラ</v>
      </c>
      <c r="AM682" s="45">
        <f t="shared" si="584"/>
        <v>800</v>
      </c>
      <c r="AN682" s="9">
        <f t="shared" si="581"/>
        <v>800</v>
      </c>
      <c r="AO682" s="10">
        <f t="shared" si="582"/>
        <v>8.247422680412371E-2</v>
      </c>
      <c r="AP682" s="11"/>
    </row>
    <row r="683" spans="1:42">
      <c r="A683" s="12"/>
      <c r="B683" s="8"/>
      <c r="C683" s="13"/>
      <c r="D683" s="9"/>
      <c r="E683" s="9"/>
      <c r="F683" s="9"/>
      <c r="G683" s="9"/>
      <c r="H683" s="9"/>
      <c r="I683" s="9"/>
      <c r="J683" s="44"/>
      <c r="K683" s="44"/>
      <c r="L683" s="9"/>
      <c r="M683" s="10"/>
      <c r="N683" s="11"/>
      <c r="O683" s="2"/>
      <c r="P683" s="25"/>
      <c r="Q683" s="26">
        <v>7047</v>
      </c>
      <c r="R683" s="44">
        <f t="shared" si="571"/>
        <v>73</v>
      </c>
      <c r="S683" s="26">
        <v>303</v>
      </c>
      <c r="T683" s="9">
        <f t="shared" si="572"/>
        <v>2</v>
      </c>
      <c r="U683" s="26">
        <v>14</v>
      </c>
      <c r="V683" s="9">
        <f t="shared" si="573"/>
        <v>2</v>
      </c>
      <c r="W683" s="38">
        <v>6</v>
      </c>
      <c r="X683" s="47" t="str">
        <f t="shared" si="574"/>
        <v>ギャルキティキーケース</v>
      </c>
      <c r="Y683" s="9">
        <f t="shared" si="575"/>
        <v>726</v>
      </c>
      <c r="Z683" s="9">
        <f t="shared" si="576"/>
        <v>1452</v>
      </c>
      <c r="AA683" s="10">
        <f t="shared" si="577"/>
        <v>0.19890410958904109</v>
      </c>
      <c r="AB683" s="11"/>
      <c r="AD683" s="25"/>
      <c r="AE683" s="26">
        <v>7035</v>
      </c>
      <c r="AF683" s="44">
        <f t="shared" si="578"/>
        <v>159</v>
      </c>
      <c r="AG683" s="26">
        <v>317</v>
      </c>
      <c r="AH683" s="9">
        <f t="shared" si="579"/>
        <v>6</v>
      </c>
      <c r="AI683" s="26">
        <v>11</v>
      </c>
      <c r="AJ683" s="9">
        <f t="shared" si="580"/>
        <v>6</v>
      </c>
      <c r="AK683" s="122">
        <v>0</v>
      </c>
      <c r="AL683" s="47" t="str">
        <f t="shared" si="583"/>
        <v>ＡＩマスコット</v>
      </c>
      <c r="AM683" s="9">
        <f t="shared" si="584"/>
        <v>286</v>
      </c>
      <c r="AN683" s="9">
        <f t="shared" si="581"/>
        <v>1716</v>
      </c>
      <c r="AO683" s="10">
        <f t="shared" si="582"/>
        <v>0.1079245283018868</v>
      </c>
      <c r="AP683" s="11"/>
    </row>
    <row r="684" spans="1:42" ht="15" customHeight="1" thickBot="1">
      <c r="A684" s="12"/>
      <c r="B684" s="8"/>
      <c r="C684" s="13"/>
      <c r="D684" s="9" t="str">
        <f>IF(C684="","",C684-C685)</f>
        <v/>
      </c>
      <c r="E684" s="9"/>
      <c r="F684" s="9" t="str">
        <f>IF(E684="","",E684-E685)</f>
        <v/>
      </c>
      <c r="G684" s="9"/>
      <c r="H684" s="9" t="str">
        <f>IF(G684="","",G685+I685-G684)</f>
        <v/>
      </c>
      <c r="I684" s="9"/>
      <c r="J684" s="44"/>
      <c r="K684" s="44" t="str">
        <f>IF(C684="","",K685)</f>
        <v/>
      </c>
      <c r="L684" s="9" t="str">
        <f t="shared" ref="L684:L722" si="585">IF(K684="","",H684*K684)</f>
        <v/>
      </c>
      <c r="M684" s="10" t="str">
        <f t="shared" ref="M684:M722" si="586">IF(L684="","",L684/(D684*100))</f>
        <v/>
      </c>
      <c r="N684" s="11"/>
      <c r="O684" s="2"/>
      <c r="P684" s="18"/>
      <c r="Q684" s="19">
        <v>8723</v>
      </c>
      <c r="R684" s="50">
        <f t="shared" si="571"/>
        <v>113</v>
      </c>
      <c r="S684" s="19">
        <v>279</v>
      </c>
      <c r="T684" s="19">
        <f t="shared" si="572"/>
        <v>1</v>
      </c>
      <c r="U684" s="19">
        <v>11</v>
      </c>
      <c r="V684" s="19">
        <f t="shared" si="573"/>
        <v>1</v>
      </c>
      <c r="W684" s="37">
        <v>0</v>
      </c>
      <c r="X684" s="48" t="str">
        <f t="shared" si="574"/>
        <v>サンリオファン</v>
      </c>
      <c r="Y684" s="51">
        <f t="shared" si="575"/>
        <v>1100</v>
      </c>
      <c r="Z684" s="19">
        <f t="shared" si="576"/>
        <v>1100</v>
      </c>
      <c r="AA684" s="20">
        <f t="shared" si="577"/>
        <v>9.7345132743362831E-2</v>
      </c>
      <c r="AB684" s="11"/>
      <c r="AD684" s="18"/>
      <c r="AE684" s="19">
        <v>8163</v>
      </c>
      <c r="AF684" s="50">
        <f t="shared" si="578"/>
        <v>162</v>
      </c>
      <c r="AG684" s="19">
        <v>256</v>
      </c>
      <c r="AH684" s="19">
        <f t="shared" si="579"/>
        <v>5</v>
      </c>
      <c r="AI684" s="19">
        <v>98</v>
      </c>
      <c r="AJ684" s="19">
        <f t="shared" si="580"/>
        <v>19</v>
      </c>
      <c r="AK684" s="37">
        <v>7</v>
      </c>
      <c r="AL684" s="48" t="str">
        <f t="shared" si="583"/>
        <v>AIモンスターラバー</v>
      </c>
      <c r="AM684" s="51">
        <f t="shared" si="584"/>
        <v>200</v>
      </c>
      <c r="AN684" s="19">
        <f t="shared" si="581"/>
        <v>3800</v>
      </c>
      <c r="AO684" s="20">
        <f t="shared" si="582"/>
        <v>0.23456790123456789</v>
      </c>
      <c r="AP684" s="11"/>
    </row>
    <row r="685" spans="1:42" ht="15" customHeight="1" thickTop="1">
      <c r="A685" s="12"/>
      <c r="B685" s="8"/>
      <c r="C685" s="13"/>
      <c r="D685" s="9" t="str">
        <f>IF(C685="","",C685-C682)</f>
        <v/>
      </c>
      <c r="E685" s="9"/>
      <c r="F685" s="9" t="str">
        <f>IF(E685="","",E685-E682)</f>
        <v/>
      </c>
      <c r="G685" s="9"/>
      <c r="H685" s="9" t="str">
        <f>IF(G685="","",G682+I682-G685)</f>
        <v/>
      </c>
      <c r="I685" s="9"/>
      <c r="J685" s="44"/>
      <c r="K685" s="44" t="str">
        <f>IF(C685="","",K682)</f>
        <v/>
      </c>
      <c r="L685" s="9" t="str">
        <f t="shared" si="585"/>
        <v/>
      </c>
      <c r="M685" s="10" t="str">
        <f t="shared" si="586"/>
        <v/>
      </c>
      <c r="N685" s="11"/>
      <c r="O685" s="2"/>
      <c r="P685" s="65">
        <f>IF($A673="","",$A673)</f>
        <v>45894</v>
      </c>
      <c r="Q685" s="44">
        <v>6845</v>
      </c>
      <c r="R685" s="44">
        <f t="shared" si="571"/>
        <v>95</v>
      </c>
      <c r="S685" s="44">
        <v>207</v>
      </c>
      <c r="T685" s="23">
        <f t="shared" si="572"/>
        <v>6</v>
      </c>
      <c r="U685" s="44">
        <v>60</v>
      </c>
      <c r="V685" s="44">
        <f t="shared" si="573"/>
        <v>5</v>
      </c>
      <c r="W685" s="66">
        <v>0</v>
      </c>
      <c r="X685" s="61" t="str">
        <f t="shared" si="574"/>
        <v>キティサンダルキーホルダー</v>
      </c>
      <c r="Y685" s="62">
        <f t="shared" si="575"/>
        <v>600</v>
      </c>
      <c r="Z685" s="23">
        <f t="shared" si="576"/>
        <v>3000</v>
      </c>
      <c r="AA685" s="24">
        <f t="shared" si="577"/>
        <v>0.31578947368421051</v>
      </c>
      <c r="AB685" s="11"/>
      <c r="AD685" s="65">
        <f>IF($A673="","",$A673)</f>
        <v>45894</v>
      </c>
      <c r="AE685" s="44">
        <v>5731</v>
      </c>
      <c r="AF685" s="44">
        <f t="shared" si="578"/>
        <v>154</v>
      </c>
      <c r="AG685" s="44">
        <v>168</v>
      </c>
      <c r="AH685" s="23">
        <f t="shared" si="579"/>
        <v>6</v>
      </c>
      <c r="AI685" s="44">
        <v>20</v>
      </c>
      <c r="AJ685" s="44">
        <f t="shared" si="580"/>
        <v>6</v>
      </c>
      <c r="AK685" s="66">
        <v>0</v>
      </c>
      <c r="AL685" s="61" t="str">
        <f t="shared" si="583"/>
        <v>サンリオパッチン</v>
      </c>
      <c r="AM685" s="62">
        <f t="shared" si="584"/>
        <v>660</v>
      </c>
      <c r="AN685" s="23">
        <f t="shared" si="581"/>
        <v>3960</v>
      </c>
      <c r="AO685" s="24">
        <f t="shared" si="582"/>
        <v>0.25714285714285712</v>
      </c>
      <c r="AP685" s="11"/>
    </row>
    <row r="686" spans="1:42">
      <c r="A686" s="12"/>
      <c r="B686" s="8"/>
      <c r="C686" s="13"/>
      <c r="D686" s="9" t="str">
        <f>IF(C686="","",C686-C684)</f>
        <v/>
      </c>
      <c r="E686" s="9"/>
      <c r="F686" s="9" t="str">
        <f>IF(E686="","",E686-E684)</f>
        <v/>
      </c>
      <c r="G686" s="9"/>
      <c r="H686" s="9" t="str">
        <f>IF(G686="","",G684+I684-G686)</f>
        <v/>
      </c>
      <c r="I686" s="9"/>
      <c r="J686" s="44"/>
      <c r="K686" s="44" t="str">
        <f>IF(C686="","",K684)</f>
        <v/>
      </c>
      <c r="L686" s="9" t="str">
        <f t="shared" si="585"/>
        <v/>
      </c>
      <c r="M686" s="10" t="str">
        <f t="shared" si="586"/>
        <v/>
      </c>
      <c r="N686" s="11"/>
      <c r="O686" s="2"/>
      <c r="P686" s="65"/>
      <c r="Q686" s="9">
        <v>7426</v>
      </c>
      <c r="R686" s="9">
        <f t="shared" si="571"/>
        <v>133</v>
      </c>
      <c r="S686" s="9">
        <v>158</v>
      </c>
      <c r="T686" s="9">
        <f t="shared" si="572"/>
        <v>3</v>
      </c>
      <c r="U686" s="9">
        <v>5</v>
      </c>
      <c r="V686" s="9">
        <f t="shared" si="573"/>
        <v>3</v>
      </c>
      <c r="W686" s="13">
        <v>7</v>
      </c>
      <c r="X686" s="47" t="str">
        <f t="shared" si="574"/>
        <v>キティフェイスポーチ</v>
      </c>
      <c r="Y686" s="45">
        <f t="shared" si="575"/>
        <v>957</v>
      </c>
      <c r="Z686" s="9">
        <f t="shared" si="576"/>
        <v>2871</v>
      </c>
      <c r="AA686" s="10">
        <f t="shared" si="577"/>
        <v>0.21586466165413534</v>
      </c>
      <c r="AB686" s="11" t="s">
        <v>127</v>
      </c>
      <c r="AD686" s="65"/>
      <c r="AE686" s="9">
        <v>7378</v>
      </c>
      <c r="AF686" s="9">
        <f t="shared" si="578"/>
        <v>80</v>
      </c>
      <c r="AG686" s="9">
        <v>125</v>
      </c>
      <c r="AH686" s="9">
        <f t="shared" si="579"/>
        <v>1</v>
      </c>
      <c r="AI686" s="9">
        <v>14</v>
      </c>
      <c r="AJ686" s="9">
        <f t="shared" si="580"/>
        <v>1</v>
      </c>
      <c r="AK686" s="13">
        <v>0</v>
      </c>
      <c r="AL686" s="47" t="str">
        <f t="shared" si="583"/>
        <v>デジタルミニカメラ</v>
      </c>
      <c r="AM686" s="45">
        <f t="shared" si="584"/>
        <v>800</v>
      </c>
      <c r="AN686" s="9">
        <f t="shared" si="581"/>
        <v>800</v>
      </c>
      <c r="AO686" s="10">
        <f t="shared" si="582"/>
        <v>0.1</v>
      </c>
      <c r="AP686" s="11"/>
    </row>
    <row r="687" spans="1:42" ht="15" customHeight="1">
      <c r="A687" s="12"/>
      <c r="B687" s="8"/>
      <c r="C687" s="13"/>
      <c r="D687" s="9" t="str">
        <f t="shared" ref="D687:D692" si="587">IF(C687="","",C687-C686)</f>
        <v/>
      </c>
      <c r="E687" s="9"/>
      <c r="F687" s="9" t="str">
        <f t="shared" ref="F687:F692" si="588">IF(E687="","",E687-E686)</f>
        <v/>
      </c>
      <c r="G687" s="9"/>
      <c r="H687" s="9" t="str">
        <f t="shared" ref="H687:H692" si="589">IF(G687="","",G686+I686-G687)</f>
        <v/>
      </c>
      <c r="I687" s="9"/>
      <c r="J687" s="44"/>
      <c r="K687" s="44" t="str">
        <f t="shared" ref="K687:K692" si="590">IF(C687="","",K686)</f>
        <v/>
      </c>
      <c r="L687" s="9" t="str">
        <f t="shared" si="585"/>
        <v/>
      </c>
      <c r="M687" s="10" t="str">
        <f t="shared" si="586"/>
        <v/>
      </c>
      <c r="N687" s="11"/>
      <c r="O687" s="2"/>
      <c r="P687" s="65"/>
      <c r="Q687" s="26">
        <v>7196</v>
      </c>
      <c r="R687" s="9">
        <f t="shared" si="571"/>
        <v>149</v>
      </c>
      <c r="S687" s="26">
        <v>305</v>
      </c>
      <c r="T687" s="9">
        <f t="shared" si="572"/>
        <v>2</v>
      </c>
      <c r="U687" s="26">
        <v>18</v>
      </c>
      <c r="V687" s="9">
        <f t="shared" si="573"/>
        <v>2</v>
      </c>
      <c r="W687" s="38">
        <v>0</v>
      </c>
      <c r="X687" s="47" t="str">
        <f t="shared" si="574"/>
        <v>ギャルキティキーケース</v>
      </c>
      <c r="Y687" s="9">
        <f t="shared" si="575"/>
        <v>726</v>
      </c>
      <c r="Z687" s="9">
        <f t="shared" si="576"/>
        <v>1452</v>
      </c>
      <c r="AA687" s="10">
        <f t="shared" si="577"/>
        <v>9.7449664429530194E-2</v>
      </c>
      <c r="AB687" s="11"/>
      <c r="AD687" s="65"/>
      <c r="AE687" s="26">
        <v>7230</v>
      </c>
      <c r="AF687" s="9">
        <f t="shared" si="578"/>
        <v>195</v>
      </c>
      <c r="AG687" s="26">
        <v>322</v>
      </c>
      <c r="AH687" s="9">
        <f t="shared" si="579"/>
        <v>5</v>
      </c>
      <c r="AI687" s="26">
        <v>11</v>
      </c>
      <c r="AJ687" s="9">
        <f t="shared" si="580"/>
        <v>0</v>
      </c>
      <c r="AK687" s="38">
        <v>0</v>
      </c>
      <c r="AL687" s="47" t="str">
        <f t="shared" si="583"/>
        <v>ＡＩマスコット</v>
      </c>
      <c r="AM687" s="9">
        <f t="shared" si="584"/>
        <v>286</v>
      </c>
      <c r="AN687" s="9">
        <f t="shared" si="581"/>
        <v>0</v>
      </c>
      <c r="AO687" s="10">
        <f t="shared" si="582"/>
        <v>0</v>
      </c>
      <c r="AP687" s="11"/>
    </row>
    <row r="688" spans="1:42" ht="15" customHeight="1" thickBot="1">
      <c r="A688" s="12"/>
      <c r="B688" s="8"/>
      <c r="C688" s="13"/>
      <c r="D688" s="9" t="str">
        <f t="shared" si="587"/>
        <v/>
      </c>
      <c r="E688" s="9"/>
      <c r="F688" s="9" t="str">
        <f t="shared" si="588"/>
        <v/>
      </c>
      <c r="G688" s="9"/>
      <c r="H688" s="9" t="str">
        <f t="shared" si="589"/>
        <v/>
      </c>
      <c r="I688" s="9"/>
      <c r="J688" s="44"/>
      <c r="K688" s="44" t="str">
        <f t="shared" si="590"/>
        <v/>
      </c>
      <c r="L688" s="9" t="str">
        <f t="shared" si="585"/>
        <v/>
      </c>
      <c r="M688" s="10" t="str">
        <f t="shared" si="586"/>
        <v/>
      </c>
      <c r="N688" s="11"/>
      <c r="O688" s="2"/>
      <c r="P688" s="18"/>
      <c r="Q688" s="19">
        <v>8866</v>
      </c>
      <c r="R688" s="19">
        <f t="shared" si="571"/>
        <v>143</v>
      </c>
      <c r="S688" s="19">
        <v>284</v>
      </c>
      <c r="T688" s="19">
        <f t="shared" si="572"/>
        <v>5</v>
      </c>
      <c r="U688" s="19">
        <v>6</v>
      </c>
      <c r="V688" s="19">
        <f t="shared" si="573"/>
        <v>5</v>
      </c>
      <c r="W688" s="37">
        <v>2</v>
      </c>
      <c r="X688" s="48" t="str">
        <f t="shared" si="574"/>
        <v>サンリオファン</v>
      </c>
      <c r="Y688" s="51">
        <f t="shared" si="575"/>
        <v>1100</v>
      </c>
      <c r="Z688" s="19">
        <f t="shared" si="576"/>
        <v>5500</v>
      </c>
      <c r="AA688" s="20">
        <f t="shared" si="577"/>
        <v>0.38461538461538464</v>
      </c>
      <c r="AB688" s="11" t="s">
        <v>130</v>
      </c>
      <c r="AD688" s="18"/>
      <c r="AE688" s="19">
        <v>8365</v>
      </c>
      <c r="AF688" s="19">
        <f t="shared" si="578"/>
        <v>202</v>
      </c>
      <c r="AG688" s="19">
        <v>264</v>
      </c>
      <c r="AH688" s="19">
        <f t="shared" si="579"/>
        <v>8</v>
      </c>
      <c r="AI688" s="19">
        <v>88</v>
      </c>
      <c r="AJ688" s="19">
        <f t="shared" si="580"/>
        <v>17</v>
      </c>
      <c r="AK688" s="37">
        <v>10</v>
      </c>
      <c r="AL688" s="48" t="str">
        <f t="shared" si="583"/>
        <v>AIモンスターラバー</v>
      </c>
      <c r="AM688" s="51">
        <f t="shared" si="584"/>
        <v>200</v>
      </c>
      <c r="AN688" s="19">
        <f t="shared" si="581"/>
        <v>3400</v>
      </c>
      <c r="AO688" s="20">
        <f t="shared" si="582"/>
        <v>0.16831683168316833</v>
      </c>
      <c r="AP688" s="11"/>
    </row>
    <row r="689" spans="1:42" ht="15" customHeight="1" thickTop="1">
      <c r="A689" s="12"/>
      <c r="B689" s="8"/>
      <c r="C689" s="13"/>
      <c r="D689" s="9" t="str">
        <f t="shared" si="587"/>
        <v/>
      </c>
      <c r="E689" s="9"/>
      <c r="F689" s="9" t="str">
        <f t="shared" si="588"/>
        <v/>
      </c>
      <c r="G689" s="9"/>
      <c r="H689" s="9" t="str">
        <f t="shared" si="589"/>
        <v/>
      </c>
      <c r="I689" s="9"/>
      <c r="J689" s="44"/>
      <c r="K689" s="44" t="str">
        <f t="shared" si="590"/>
        <v/>
      </c>
      <c r="L689" s="9" t="str">
        <f t="shared" si="585"/>
        <v/>
      </c>
      <c r="M689" s="10" t="str">
        <f t="shared" si="586"/>
        <v/>
      </c>
      <c r="N689" s="11"/>
      <c r="O689" s="2"/>
      <c r="P689" s="65">
        <f>IF($A674="","",$A674)</f>
        <v>45898</v>
      </c>
      <c r="Q689" s="44">
        <v>6913</v>
      </c>
      <c r="R689" s="44">
        <f t="shared" si="571"/>
        <v>68</v>
      </c>
      <c r="S689" s="44">
        <v>209</v>
      </c>
      <c r="T689" s="23">
        <f t="shared" si="572"/>
        <v>2</v>
      </c>
      <c r="U689" s="44">
        <v>58</v>
      </c>
      <c r="V689" s="44">
        <f t="shared" si="573"/>
        <v>2</v>
      </c>
      <c r="W689" s="66">
        <v>0</v>
      </c>
      <c r="X689" s="61" t="str">
        <f t="shared" si="574"/>
        <v>キティサンダルキーホルダー</v>
      </c>
      <c r="Y689" s="62">
        <f t="shared" si="575"/>
        <v>600</v>
      </c>
      <c r="Z689" s="23">
        <f t="shared" si="576"/>
        <v>1200</v>
      </c>
      <c r="AA689" s="24">
        <f t="shared" si="577"/>
        <v>0.17647058823529413</v>
      </c>
      <c r="AB689" s="11"/>
      <c r="AD689" s="65">
        <f>IF($A674="","",$A674)</f>
        <v>45898</v>
      </c>
      <c r="AE689" s="44">
        <v>5768</v>
      </c>
      <c r="AF689" s="44">
        <f t="shared" si="578"/>
        <v>37</v>
      </c>
      <c r="AG689" s="44">
        <v>168</v>
      </c>
      <c r="AH689" s="23">
        <f t="shared" si="579"/>
        <v>0</v>
      </c>
      <c r="AI689" s="44">
        <v>19</v>
      </c>
      <c r="AJ689" s="44">
        <f t="shared" si="580"/>
        <v>1</v>
      </c>
      <c r="AK689" s="66">
        <v>0</v>
      </c>
      <c r="AL689" s="61" t="str">
        <f t="shared" si="583"/>
        <v>サンリオパッチン</v>
      </c>
      <c r="AM689" s="62">
        <f t="shared" si="584"/>
        <v>660</v>
      </c>
      <c r="AN689" s="23">
        <f t="shared" si="581"/>
        <v>660</v>
      </c>
      <c r="AO689" s="24">
        <f t="shared" si="582"/>
        <v>0.17837837837837839</v>
      </c>
      <c r="AP689" s="11"/>
    </row>
    <row r="690" spans="1:42" ht="15" customHeight="1">
      <c r="A690" s="12"/>
      <c r="B690" s="8"/>
      <c r="C690" s="13"/>
      <c r="D690" s="9" t="str">
        <f t="shared" si="587"/>
        <v/>
      </c>
      <c r="E690" s="9"/>
      <c r="F690" s="9" t="str">
        <f t="shared" si="588"/>
        <v/>
      </c>
      <c r="G690" s="9"/>
      <c r="H690" s="9" t="str">
        <f t="shared" si="589"/>
        <v/>
      </c>
      <c r="I690" s="9"/>
      <c r="J690" s="44"/>
      <c r="K690" s="44" t="str">
        <f t="shared" si="590"/>
        <v/>
      </c>
      <c r="L690" s="9" t="str">
        <f t="shared" si="585"/>
        <v/>
      </c>
      <c r="M690" s="10" t="str">
        <f t="shared" si="586"/>
        <v/>
      </c>
      <c r="N690" s="11"/>
      <c r="O690" s="2"/>
      <c r="P690" s="12"/>
      <c r="Q690" s="9">
        <v>7540</v>
      </c>
      <c r="R690" s="9">
        <f t="shared" si="571"/>
        <v>114</v>
      </c>
      <c r="S690" s="9">
        <v>161</v>
      </c>
      <c r="T690" s="9">
        <f t="shared" si="572"/>
        <v>3</v>
      </c>
      <c r="U690" s="9">
        <v>9</v>
      </c>
      <c r="V690" s="9">
        <f t="shared" si="573"/>
        <v>3</v>
      </c>
      <c r="W690" s="13">
        <v>2</v>
      </c>
      <c r="X690" s="47" t="s">
        <v>131</v>
      </c>
      <c r="Y690" s="45">
        <v>600</v>
      </c>
      <c r="Z690" s="9">
        <f t="shared" si="576"/>
        <v>1800</v>
      </c>
      <c r="AA690" s="10">
        <f t="shared" si="577"/>
        <v>0.15789473684210525</v>
      </c>
      <c r="AB690" s="11"/>
      <c r="AD690" s="12"/>
      <c r="AE690" s="9">
        <v>7460</v>
      </c>
      <c r="AF690" s="9">
        <f t="shared" si="578"/>
        <v>82</v>
      </c>
      <c r="AG690" s="9">
        <v>127</v>
      </c>
      <c r="AH690" s="9">
        <f t="shared" si="579"/>
        <v>2</v>
      </c>
      <c r="AI690" s="9">
        <v>12</v>
      </c>
      <c r="AJ690" s="9">
        <f t="shared" si="580"/>
        <v>2</v>
      </c>
      <c r="AK690" s="13">
        <v>0</v>
      </c>
      <c r="AL690" s="47" t="str">
        <f t="shared" si="583"/>
        <v>デジタルミニカメラ</v>
      </c>
      <c r="AM690" s="45">
        <f t="shared" si="584"/>
        <v>800</v>
      </c>
      <c r="AN690" s="9">
        <f t="shared" si="581"/>
        <v>1600</v>
      </c>
      <c r="AO690" s="10">
        <f t="shared" si="582"/>
        <v>0.1951219512195122</v>
      </c>
      <c r="AP690" s="11"/>
    </row>
    <row r="691" spans="1:42" ht="15" customHeight="1">
      <c r="A691" s="12"/>
      <c r="B691" s="8"/>
      <c r="C691" s="9"/>
      <c r="D691" s="9" t="str">
        <f t="shared" si="587"/>
        <v/>
      </c>
      <c r="E691" s="9"/>
      <c r="F691" s="9" t="str">
        <f t="shared" si="588"/>
        <v/>
      </c>
      <c r="G691" s="9"/>
      <c r="H691" s="9" t="str">
        <f t="shared" si="589"/>
        <v/>
      </c>
      <c r="I691" s="9"/>
      <c r="J691" s="44"/>
      <c r="K691" s="44" t="str">
        <f t="shared" si="590"/>
        <v/>
      </c>
      <c r="L691" s="9" t="str">
        <f t="shared" si="585"/>
        <v/>
      </c>
      <c r="M691" s="10" t="str">
        <f t="shared" si="586"/>
        <v/>
      </c>
      <c r="N691" s="11"/>
      <c r="O691" s="2"/>
      <c r="P691" s="12"/>
      <c r="Q691" s="26">
        <v>7206</v>
      </c>
      <c r="R691" s="9">
        <f t="shared" si="571"/>
        <v>10</v>
      </c>
      <c r="S691" s="26">
        <v>306</v>
      </c>
      <c r="T691" s="9">
        <f t="shared" si="572"/>
        <v>1</v>
      </c>
      <c r="U691" s="9">
        <v>18</v>
      </c>
      <c r="V691" s="9">
        <f t="shared" si="573"/>
        <v>0</v>
      </c>
      <c r="W691" s="13">
        <v>0</v>
      </c>
      <c r="X691" s="110" t="str">
        <f t="shared" si="574"/>
        <v>ギャルキティキーケース</v>
      </c>
      <c r="Y691" s="9">
        <f t="shared" si="575"/>
        <v>726</v>
      </c>
      <c r="Z691" s="9">
        <f t="shared" si="576"/>
        <v>0</v>
      </c>
      <c r="AA691" s="10">
        <f t="shared" si="577"/>
        <v>0</v>
      </c>
      <c r="AB691" s="11"/>
      <c r="AD691" s="12"/>
      <c r="AE691" s="26">
        <v>7474</v>
      </c>
      <c r="AF691" s="9">
        <f t="shared" si="578"/>
        <v>244</v>
      </c>
      <c r="AG691" s="26">
        <v>328</v>
      </c>
      <c r="AH691" s="9">
        <f t="shared" si="579"/>
        <v>6</v>
      </c>
      <c r="AI691" s="9">
        <v>5</v>
      </c>
      <c r="AJ691" s="9">
        <f t="shared" si="580"/>
        <v>6</v>
      </c>
      <c r="AK691" s="13">
        <v>10</v>
      </c>
      <c r="AL691" s="47" t="str">
        <f t="shared" si="583"/>
        <v>ＡＩマスコット</v>
      </c>
      <c r="AM691" s="9">
        <f t="shared" si="584"/>
        <v>286</v>
      </c>
      <c r="AN691" s="9">
        <f t="shared" si="581"/>
        <v>1716</v>
      </c>
      <c r="AO691" s="10">
        <f t="shared" si="582"/>
        <v>7.0327868852459022E-2</v>
      </c>
      <c r="AP691" s="11"/>
    </row>
    <row r="692" spans="1:42" ht="15" customHeight="1" thickBot="1">
      <c r="A692" s="12"/>
      <c r="B692" s="8"/>
      <c r="C692" s="9"/>
      <c r="D692" s="9" t="str">
        <f t="shared" si="587"/>
        <v/>
      </c>
      <c r="E692" s="9"/>
      <c r="F692" s="9" t="str">
        <f t="shared" si="588"/>
        <v/>
      </c>
      <c r="G692" s="9"/>
      <c r="H692" s="9" t="str">
        <f t="shared" si="589"/>
        <v/>
      </c>
      <c r="I692" s="9"/>
      <c r="J692" s="44"/>
      <c r="K692" s="44" t="str">
        <f t="shared" si="590"/>
        <v/>
      </c>
      <c r="L692" s="9" t="str">
        <f t="shared" si="585"/>
        <v/>
      </c>
      <c r="M692" s="10" t="str">
        <f t="shared" si="586"/>
        <v/>
      </c>
      <c r="N692" s="11"/>
      <c r="O692" s="2"/>
      <c r="P692" s="18"/>
      <c r="Q692" s="19">
        <v>8982</v>
      </c>
      <c r="R692" s="19">
        <f t="shared" si="571"/>
        <v>116</v>
      </c>
      <c r="S692" s="19">
        <v>284</v>
      </c>
      <c r="T692" s="19">
        <f t="shared" si="572"/>
        <v>0</v>
      </c>
      <c r="U692" s="19">
        <v>8</v>
      </c>
      <c r="V692" s="19">
        <f t="shared" si="573"/>
        <v>0</v>
      </c>
      <c r="W692" s="37">
        <v>0</v>
      </c>
      <c r="X692" s="48" t="str">
        <f t="shared" si="574"/>
        <v>サンリオファン</v>
      </c>
      <c r="Y692" s="51">
        <f t="shared" si="575"/>
        <v>1100</v>
      </c>
      <c r="Z692" s="19">
        <f t="shared" si="576"/>
        <v>0</v>
      </c>
      <c r="AA692" s="20">
        <f t="shared" si="577"/>
        <v>0</v>
      </c>
      <c r="AB692" s="11"/>
      <c r="AD692" s="18"/>
      <c r="AE692" s="19">
        <v>8578</v>
      </c>
      <c r="AF692" s="19">
        <f t="shared" si="578"/>
        <v>213</v>
      </c>
      <c r="AG692" s="19">
        <v>276</v>
      </c>
      <c r="AH692" s="19">
        <f t="shared" si="579"/>
        <v>12</v>
      </c>
      <c r="AI692" s="19">
        <v>83</v>
      </c>
      <c r="AJ692" s="19">
        <f t="shared" si="580"/>
        <v>15</v>
      </c>
      <c r="AK692" s="37">
        <v>14</v>
      </c>
      <c r="AL692" s="48" t="str">
        <f t="shared" si="583"/>
        <v>AIモンスターラバー</v>
      </c>
      <c r="AM692" s="51">
        <f t="shared" si="584"/>
        <v>200</v>
      </c>
      <c r="AN692" s="19">
        <f t="shared" si="581"/>
        <v>3000</v>
      </c>
      <c r="AO692" s="20">
        <f t="shared" si="582"/>
        <v>0.14084507042253522</v>
      </c>
      <c r="AP692" s="11"/>
    </row>
    <row r="693" spans="1:42" ht="15" customHeight="1" thickTop="1">
      <c r="A693" s="12"/>
      <c r="B693" s="8"/>
      <c r="C693" s="9"/>
      <c r="D693" s="9" t="str">
        <f>IF(C693="","",C693-C694)</f>
        <v/>
      </c>
      <c r="E693" s="9"/>
      <c r="F693" s="9" t="str">
        <f>IF(E693="","",E693-E694)</f>
        <v/>
      </c>
      <c r="G693" s="9"/>
      <c r="H693" s="9" t="str">
        <f>IF(G693="","",G694+I694-G693)</f>
        <v/>
      </c>
      <c r="I693" s="9"/>
      <c r="J693" s="44"/>
      <c r="K693" s="44" t="str">
        <f>IF(C693="","",K694)</f>
        <v/>
      </c>
      <c r="L693" s="9" t="str">
        <f t="shared" si="585"/>
        <v/>
      </c>
      <c r="M693" s="10" t="str">
        <f t="shared" si="586"/>
        <v/>
      </c>
      <c r="N693" s="11"/>
      <c r="O693" s="2"/>
      <c r="P693" s="65">
        <f>IF($A675="","",$A675)</f>
        <v>45902</v>
      </c>
      <c r="Q693" s="9">
        <v>7007</v>
      </c>
      <c r="R693" s="44">
        <f t="shared" si="571"/>
        <v>94</v>
      </c>
      <c r="S693" s="9">
        <v>211</v>
      </c>
      <c r="T693" s="23">
        <f t="shared" si="572"/>
        <v>2</v>
      </c>
      <c r="U693" s="9">
        <v>55</v>
      </c>
      <c r="V693" s="44">
        <f t="shared" si="573"/>
        <v>3</v>
      </c>
      <c r="W693" s="13">
        <v>0</v>
      </c>
      <c r="X693" s="61" t="str">
        <f t="shared" si="574"/>
        <v>キティサンダルキーホルダー</v>
      </c>
      <c r="Y693" s="62">
        <f t="shared" si="575"/>
        <v>600</v>
      </c>
      <c r="Z693" s="23">
        <f t="shared" si="576"/>
        <v>1800</v>
      </c>
      <c r="AA693" s="24">
        <f t="shared" si="577"/>
        <v>0.19148936170212766</v>
      </c>
      <c r="AB693" s="11"/>
      <c r="AD693" s="65">
        <f>IF($A675="","",$A675)</f>
        <v>45902</v>
      </c>
      <c r="AE693" s="9">
        <v>5812</v>
      </c>
      <c r="AF693" s="44">
        <f t="shared" si="578"/>
        <v>44</v>
      </c>
      <c r="AG693" s="9">
        <v>170</v>
      </c>
      <c r="AH693" s="23">
        <f t="shared" si="579"/>
        <v>2</v>
      </c>
      <c r="AI693" s="9">
        <v>19</v>
      </c>
      <c r="AJ693" s="44">
        <f t="shared" si="580"/>
        <v>0</v>
      </c>
      <c r="AK693" s="13">
        <v>-13</v>
      </c>
      <c r="AL693" s="61" t="str">
        <f t="shared" si="583"/>
        <v>サンリオパッチン</v>
      </c>
      <c r="AM693" s="62">
        <f t="shared" si="584"/>
        <v>660</v>
      </c>
      <c r="AN693" s="23">
        <f t="shared" si="581"/>
        <v>0</v>
      </c>
      <c r="AO693" s="24">
        <f t="shared" si="582"/>
        <v>0</v>
      </c>
      <c r="AP693" s="123" t="s">
        <v>133</v>
      </c>
    </row>
    <row r="694" spans="1:42" ht="15" customHeight="1">
      <c r="A694" s="12"/>
      <c r="B694" s="8"/>
      <c r="C694" s="9"/>
      <c r="D694" s="9" t="str">
        <f>IF(C694="","",C694-C692)</f>
        <v/>
      </c>
      <c r="E694" s="9"/>
      <c r="F694" s="9" t="str">
        <f>IF(E694="","",E694-E692)</f>
        <v/>
      </c>
      <c r="G694" s="9"/>
      <c r="H694" s="9" t="str">
        <f>IF(G694="","",G692+I692-G694)</f>
        <v/>
      </c>
      <c r="I694" s="9"/>
      <c r="J694" s="44"/>
      <c r="K694" s="44" t="str">
        <f>IF(C694="","",K692)</f>
        <v/>
      </c>
      <c r="L694" s="9" t="str">
        <f t="shared" si="585"/>
        <v/>
      </c>
      <c r="M694" s="10" t="str">
        <f t="shared" si="586"/>
        <v/>
      </c>
      <c r="N694" s="11"/>
      <c r="O694" s="2"/>
      <c r="P694" s="65"/>
      <c r="Q694" s="44">
        <v>7666</v>
      </c>
      <c r="R694" s="9">
        <f t="shared" si="571"/>
        <v>126</v>
      </c>
      <c r="S694" s="44">
        <v>166</v>
      </c>
      <c r="T694" s="9">
        <f t="shared" si="572"/>
        <v>5</v>
      </c>
      <c r="U694" s="9">
        <v>6</v>
      </c>
      <c r="V694" s="9">
        <f t="shared" si="573"/>
        <v>5</v>
      </c>
      <c r="W694" s="13">
        <v>5</v>
      </c>
      <c r="X694" s="47" t="str">
        <f t="shared" si="574"/>
        <v>サンリオミニリュック</v>
      </c>
      <c r="Y694" s="45">
        <f t="shared" si="575"/>
        <v>600</v>
      </c>
      <c r="Z694" s="9">
        <f t="shared" si="576"/>
        <v>3000</v>
      </c>
      <c r="AA694" s="10">
        <f t="shared" si="577"/>
        <v>0.23809523809523808</v>
      </c>
      <c r="AB694" s="11"/>
      <c r="AD694" s="65"/>
      <c r="AE694" s="44">
        <v>7538</v>
      </c>
      <c r="AF694" s="9">
        <f t="shared" si="578"/>
        <v>78</v>
      </c>
      <c r="AG694" s="44">
        <v>128</v>
      </c>
      <c r="AH694" s="9">
        <f t="shared" si="579"/>
        <v>1</v>
      </c>
      <c r="AI694" s="9">
        <v>11</v>
      </c>
      <c r="AJ694" s="9">
        <f t="shared" si="580"/>
        <v>1</v>
      </c>
      <c r="AK694" s="13">
        <v>2</v>
      </c>
      <c r="AL694" s="47" t="str">
        <f t="shared" si="583"/>
        <v>デジタルミニカメラ</v>
      </c>
      <c r="AM694" s="45">
        <f t="shared" si="584"/>
        <v>800</v>
      </c>
      <c r="AN694" s="9">
        <f t="shared" si="581"/>
        <v>800</v>
      </c>
      <c r="AO694" s="10">
        <f t="shared" si="582"/>
        <v>0.10256410256410256</v>
      </c>
      <c r="AP694" s="11"/>
    </row>
    <row r="695" spans="1:42" ht="15" customHeight="1">
      <c r="A695" s="12"/>
      <c r="B695" s="8"/>
      <c r="C695" s="9"/>
      <c r="D695" s="9" t="str">
        <f>IF(C695="","",C695-C693)</f>
        <v/>
      </c>
      <c r="E695" s="9"/>
      <c r="F695" s="9" t="str">
        <f>IF(E695="","",E695-E693)</f>
        <v/>
      </c>
      <c r="G695" s="9"/>
      <c r="H695" s="9" t="str">
        <f>IF(G695="","",G693+I693-G695)</f>
        <v/>
      </c>
      <c r="I695" s="9"/>
      <c r="J695" s="44"/>
      <c r="K695" s="44" t="str">
        <f>IF(C695="","",K693)</f>
        <v/>
      </c>
      <c r="L695" s="9" t="str">
        <f t="shared" si="585"/>
        <v/>
      </c>
      <c r="M695" s="10" t="str">
        <f t="shared" si="586"/>
        <v/>
      </c>
      <c r="N695" s="11"/>
      <c r="O695" s="2"/>
      <c r="P695" s="12"/>
      <c r="Q695" s="9">
        <v>7255</v>
      </c>
      <c r="R695" s="9">
        <f t="shared" si="571"/>
        <v>49</v>
      </c>
      <c r="S695" s="9">
        <v>307</v>
      </c>
      <c r="T695" s="9">
        <f t="shared" si="572"/>
        <v>1</v>
      </c>
      <c r="U695" s="9">
        <v>16</v>
      </c>
      <c r="V695" s="9">
        <f t="shared" si="573"/>
        <v>2</v>
      </c>
      <c r="W695" s="13">
        <v>-8</v>
      </c>
      <c r="X695" s="47" t="str">
        <f t="shared" si="574"/>
        <v>ギャルキティキーケース</v>
      </c>
      <c r="Y695" s="9">
        <f t="shared" si="575"/>
        <v>726</v>
      </c>
      <c r="Z695" s="9">
        <f t="shared" si="576"/>
        <v>1452</v>
      </c>
      <c r="AA695" s="10">
        <f t="shared" si="577"/>
        <v>0.2963265306122449</v>
      </c>
      <c r="AB695" s="11" t="s">
        <v>132</v>
      </c>
      <c r="AD695" s="12"/>
      <c r="AE695" s="9">
        <v>7651</v>
      </c>
      <c r="AF695" s="9">
        <f t="shared" si="578"/>
        <v>177</v>
      </c>
      <c r="AG695" s="9">
        <v>335</v>
      </c>
      <c r="AH695" s="9">
        <f t="shared" si="579"/>
        <v>7</v>
      </c>
      <c r="AI695" s="9">
        <v>8</v>
      </c>
      <c r="AJ695" s="9">
        <f t="shared" si="580"/>
        <v>7</v>
      </c>
      <c r="AK695" s="13">
        <v>3</v>
      </c>
      <c r="AL695" s="47" t="str">
        <f t="shared" si="583"/>
        <v>ＡＩマスコット</v>
      </c>
      <c r="AM695" s="9">
        <f t="shared" si="584"/>
        <v>286</v>
      </c>
      <c r="AN695" s="9">
        <f t="shared" si="581"/>
        <v>2002</v>
      </c>
      <c r="AO695" s="10">
        <f t="shared" si="582"/>
        <v>0.11310734463276836</v>
      </c>
      <c r="AP695" s="11"/>
    </row>
    <row r="696" spans="1:42" ht="15" customHeight="1" thickBot="1">
      <c r="A696" s="12"/>
      <c r="B696" s="8"/>
      <c r="C696" s="9"/>
      <c r="D696" s="9" t="str">
        <f t="shared" ref="D696:D721" si="591">IF(C696="","",C696-C695)</f>
        <v/>
      </c>
      <c r="E696" s="9"/>
      <c r="F696" s="9" t="str">
        <f t="shared" ref="F696:F722" si="592">IF(E696="","",E696-E695)</f>
        <v/>
      </c>
      <c r="G696" s="9"/>
      <c r="H696" s="9" t="str">
        <f t="shared" ref="H696:H722" si="593">IF(G696="","",G695+I695-G696)</f>
        <v/>
      </c>
      <c r="I696" s="9"/>
      <c r="J696" s="44"/>
      <c r="K696" s="44" t="str">
        <f>IF(C696="","",K695)</f>
        <v/>
      </c>
      <c r="L696" s="9" t="str">
        <f t="shared" si="585"/>
        <v/>
      </c>
      <c r="M696" s="10" t="str">
        <f t="shared" si="586"/>
        <v/>
      </c>
      <c r="N696" s="11"/>
      <c r="O696" s="2"/>
      <c r="P696" s="18"/>
      <c r="Q696" s="19">
        <v>9078</v>
      </c>
      <c r="R696" s="19">
        <f t="shared" si="571"/>
        <v>96</v>
      </c>
      <c r="S696" s="19">
        <v>284</v>
      </c>
      <c r="T696" s="19">
        <f t="shared" si="572"/>
        <v>0</v>
      </c>
      <c r="U696" s="19">
        <v>8</v>
      </c>
      <c r="V696" s="19">
        <f t="shared" si="573"/>
        <v>0</v>
      </c>
      <c r="W696" s="37">
        <v>0</v>
      </c>
      <c r="X696" s="48" t="str">
        <f t="shared" si="574"/>
        <v>サンリオファン</v>
      </c>
      <c r="Y696" s="51">
        <f t="shared" si="575"/>
        <v>1100</v>
      </c>
      <c r="Z696" s="19">
        <f t="shared" si="576"/>
        <v>0</v>
      </c>
      <c r="AA696" s="20">
        <f t="shared" si="577"/>
        <v>0</v>
      </c>
      <c r="AB696" s="11"/>
      <c r="AD696" s="18"/>
      <c r="AE696" s="19">
        <v>8877</v>
      </c>
      <c r="AF696" s="19">
        <f t="shared" si="578"/>
        <v>299</v>
      </c>
      <c r="AG696" s="19">
        <v>283</v>
      </c>
      <c r="AH696" s="19">
        <f t="shared" si="579"/>
        <v>7</v>
      </c>
      <c r="AI696" s="19">
        <v>90</v>
      </c>
      <c r="AJ696" s="19">
        <f t="shared" si="580"/>
        <v>7</v>
      </c>
      <c r="AK696" s="37">
        <v>18</v>
      </c>
      <c r="AL696" s="48" t="str">
        <f t="shared" si="583"/>
        <v>AIモンスターラバー</v>
      </c>
      <c r="AM696" s="51">
        <f t="shared" si="584"/>
        <v>200</v>
      </c>
      <c r="AN696" s="19">
        <f t="shared" si="581"/>
        <v>1400</v>
      </c>
      <c r="AO696" s="20">
        <f t="shared" si="582"/>
        <v>4.6822742474916385E-2</v>
      </c>
      <c r="AP696" s="11"/>
    </row>
    <row r="697" spans="1:42" ht="15" customHeight="1" thickTop="1">
      <c r="A697" s="12"/>
      <c r="B697" s="8"/>
      <c r="C697" s="9"/>
      <c r="D697" s="9" t="str">
        <f t="shared" si="591"/>
        <v/>
      </c>
      <c r="E697" s="9"/>
      <c r="F697" s="9" t="str">
        <f t="shared" si="592"/>
        <v/>
      </c>
      <c r="G697" s="9"/>
      <c r="H697" s="9" t="str">
        <f t="shared" si="593"/>
        <v/>
      </c>
      <c r="I697" s="9"/>
      <c r="J697" s="44"/>
      <c r="K697" s="44" t="str">
        <f>IF(C697="","",K696)</f>
        <v/>
      </c>
      <c r="L697" s="9" t="str">
        <f t="shared" si="585"/>
        <v/>
      </c>
      <c r="M697" s="10" t="str">
        <f t="shared" si="586"/>
        <v/>
      </c>
      <c r="N697" s="11"/>
      <c r="O697" s="2"/>
      <c r="P697" s="65">
        <f>IF($A676="","",$A676)</f>
        <v>45905</v>
      </c>
      <c r="Q697" s="9">
        <v>7067</v>
      </c>
      <c r="R697" s="44">
        <f t="shared" si="571"/>
        <v>60</v>
      </c>
      <c r="S697" s="9">
        <v>216</v>
      </c>
      <c r="T697" s="23">
        <f t="shared" si="572"/>
        <v>5</v>
      </c>
      <c r="U697" s="9">
        <v>50</v>
      </c>
      <c r="V697" s="44">
        <f t="shared" si="573"/>
        <v>5</v>
      </c>
      <c r="W697" s="66">
        <v>12</v>
      </c>
      <c r="X697" s="61" t="str">
        <f t="shared" si="574"/>
        <v>キティサンダルキーホルダー</v>
      </c>
      <c r="Y697" s="62">
        <f t="shared" si="575"/>
        <v>600</v>
      </c>
      <c r="Z697" s="23">
        <f t="shared" si="576"/>
        <v>3000</v>
      </c>
      <c r="AA697" s="24">
        <f t="shared" si="577"/>
        <v>0.5</v>
      </c>
      <c r="AB697" s="11" t="s">
        <v>134</v>
      </c>
      <c r="AD697" s="65">
        <f>IF($A676="","",$A676)</f>
        <v>45905</v>
      </c>
      <c r="AE697" s="9">
        <v>5839</v>
      </c>
      <c r="AF697" s="44">
        <f t="shared" si="578"/>
        <v>27</v>
      </c>
      <c r="AG697" s="9">
        <v>170</v>
      </c>
      <c r="AH697" s="23">
        <f t="shared" si="579"/>
        <v>0</v>
      </c>
      <c r="AI697" s="9">
        <v>6</v>
      </c>
      <c r="AJ697" s="44">
        <f t="shared" si="580"/>
        <v>0</v>
      </c>
      <c r="AK697" s="66">
        <v>0</v>
      </c>
      <c r="AL697" s="61" t="s">
        <v>102</v>
      </c>
      <c r="AM697" s="62">
        <v>1050</v>
      </c>
      <c r="AN697" s="23">
        <f t="shared" si="581"/>
        <v>0</v>
      </c>
      <c r="AO697" s="24">
        <f t="shared" si="582"/>
        <v>0</v>
      </c>
      <c r="AP697" s="11"/>
    </row>
    <row r="698" spans="1:42" ht="15" customHeight="1">
      <c r="A698" s="12"/>
      <c r="B698" s="8"/>
      <c r="C698" s="9"/>
      <c r="D698" s="9" t="str">
        <f t="shared" si="591"/>
        <v/>
      </c>
      <c r="E698" s="9"/>
      <c r="F698" s="9" t="str">
        <f t="shared" si="592"/>
        <v/>
      </c>
      <c r="G698" s="9"/>
      <c r="H698" s="9" t="str">
        <f t="shared" si="593"/>
        <v/>
      </c>
      <c r="I698" s="9"/>
      <c r="J698" s="44"/>
      <c r="K698" s="44" t="str">
        <f>IF(C698="","",K697)</f>
        <v/>
      </c>
      <c r="L698" s="9" t="str">
        <f t="shared" si="585"/>
        <v/>
      </c>
      <c r="M698" s="10" t="str">
        <f t="shared" si="586"/>
        <v/>
      </c>
      <c r="N698" s="11"/>
      <c r="O698" s="2"/>
      <c r="P698" s="12"/>
      <c r="Q698" s="44">
        <v>7680</v>
      </c>
      <c r="R698" s="9">
        <f t="shared" si="571"/>
        <v>14</v>
      </c>
      <c r="S698" s="44">
        <v>167</v>
      </c>
      <c r="T698" s="9">
        <f t="shared" si="572"/>
        <v>1</v>
      </c>
      <c r="U698" s="9">
        <v>10</v>
      </c>
      <c r="V698" s="9">
        <f t="shared" si="573"/>
        <v>1</v>
      </c>
      <c r="W698" s="13">
        <v>2</v>
      </c>
      <c r="X698" s="47" t="str">
        <f t="shared" si="574"/>
        <v>サンリオミニリュック</v>
      </c>
      <c r="Y698" s="45">
        <f t="shared" si="575"/>
        <v>600</v>
      </c>
      <c r="Z698" s="9">
        <f t="shared" si="576"/>
        <v>600</v>
      </c>
      <c r="AA698" s="10">
        <f t="shared" si="577"/>
        <v>0.42857142857142855</v>
      </c>
      <c r="AB698" s="11" t="s">
        <v>135</v>
      </c>
      <c r="AD698" s="12"/>
      <c r="AE698" s="44">
        <v>7572</v>
      </c>
      <c r="AF698" s="9">
        <f t="shared" si="578"/>
        <v>34</v>
      </c>
      <c r="AG698" s="44">
        <v>129</v>
      </c>
      <c r="AH698" s="9">
        <f t="shared" si="579"/>
        <v>1</v>
      </c>
      <c r="AI698" s="9">
        <v>12</v>
      </c>
      <c r="AJ698" s="9">
        <f t="shared" si="580"/>
        <v>1</v>
      </c>
      <c r="AK698" s="13">
        <v>0</v>
      </c>
      <c r="AL698" s="47" t="str">
        <f t="shared" si="583"/>
        <v>デジタルミニカメラ</v>
      </c>
      <c r="AM698" s="45">
        <f t="shared" si="584"/>
        <v>800</v>
      </c>
      <c r="AN698" s="9">
        <f t="shared" si="581"/>
        <v>800</v>
      </c>
      <c r="AO698" s="10">
        <f t="shared" si="582"/>
        <v>0.23529411764705882</v>
      </c>
      <c r="AP698" s="11"/>
    </row>
    <row r="699" spans="1:42" ht="15" customHeight="1">
      <c r="A699" s="12"/>
      <c r="B699" s="8"/>
      <c r="C699" s="9"/>
      <c r="D699" s="9" t="str">
        <f t="shared" si="591"/>
        <v/>
      </c>
      <c r="E699" s="9"/>
      <c r="F699" s="9" t="str">
        <f t="shared" si="592"/>
        <v/>
      </c>
      <c r="G699" s="9"/>
      <c r="H699" s="9" t="str">
        <f t="shared" si="593"/>
        <v/>
      </c>
      <c r="I699" s="9"/>
      <c r="J699" s="9"/>
      <c r="K699" s="9"/>
      <c r="L699" s="9" t="str">
        <f t="shared" si="585"/>
        <v/>
      </c>
      <c r="M699" s="10" t="str">
        <f t="shared" si="586"/>
        <v/>
      </c>
      <c r="N699" s="11"/>
      <c r="O699" s="2"/>
      <c r="P699" s="12"/>
      <c r="Q699" s="9">
        <v>7300</v>
      </c>
      <c r="R699" s="9">
        <f t="shared" si="571"/>
        <v>45</v>
      </c>
      <c r="S699" s="9">
        <v>307</v>
      </c>
      <c r="T699" s="9">
        <f t="shared" si="572"/>
        <v>0</v>
      </c>
      <c r="U699" s="9">
        <v>7</v>
      </c>
      <c r="V699" s="9">
        <f t="shared" si="573"/>
        <v>1</v>
      </c>
      <c r="W699" s="38">
        <v>2</v>
      </c>
      <c r="X699" s="47" t="s">
        <v>126</v>
      </c>
      <c r="Y699" s="9">
        <v>957</v>
      </c>
      <c r="Z699" s="9">
        <f t="shared" si="576"/>
        <v>957</v>
      </c>
      <c r="AA699" s="10">
        <f t="shared" si="577"/>
        <v>0.21266666666666667</v>
      </c>
      <c r="AB699" s="11"/>
      <c r="AD699" s="12"/>
      <c r="AE699" s="9">
        <v>7739</v>
      </c>
      <c r="AF699" s="9">
        <f t="shared" si="578"/>
        <v>88</v>
      </c>
      <c r="AG699" s="9">
        <v>338</v>
      </c>
      <c r="AH699" s="9">
        <f t="shared" si="579"/>
        <v>3</v>
      </c>
      <c r="AI699" s="9">
        <v>6</v>
      </c>
      <c r="AJ699" s="9">
        <f t="shared" si="580"/>
        <v>5</v>
      </c>
      <c r="AK699" s="38">
        <v>2</v>
      </c>
      <c r="AL699" s="47" t="str">
        <f t="shared" si="583"/>
        <v>ＡＩマスコット</v>
      </c>
      <c r="AM699" s="9">
        <f t="shared" si="584"/>
        <v>286</v>
      </c>
      <c r="AN699" s="9">
        <f t="shared" si="581"/>
        <v>1430</v>
      </c>
      <c r="AO699" s="10">
        <f t="shared" si="582"/>
        <v>0.16250000000000001</v>
      </c>
      <c r="AP699" s="11"/>
    </row>
    <row r="700" spans="1:42" ht="15" customHeight="1" thickBot="1">
      <c r="A700" s="12"/>
      <c r="B700" s="8"/>
      <c r="C700" s="9"/>
      <c r="D700" s="9" t="str">
        <f t="shared" si="591"/>
        <v/>
      </c>
      <c r="E700" s="9"/>
      <c r="F700" s="9" t="str">
        <f t="shared" si="592"/>
        <v/>
      </c>
      <c r="G700" s="9"/>
      <c r="H700" s="9" t="str">
        <f t="shared" si="593"/>
        <v/>
      </c>
      <c r="I700" s="9"/>
      <c r="J700" s="9"/>
      <c r="K700" s="9"/>
      <c r="L700" s="9" t="str">
        <f t="shared" si="585"/>
        <v/>
      </c>
      <c r="M700" s="10" t="str">
        <f t="shared" si="586"/>
        <v/>
      </c>
      <c r="N700" s="11"/>
      <c r="O700" s="2"/>
      <c r="P700" s="18"/>
      <c r="Q700" s="19">
        <v>9128</v>
      </c>
      <c r="R700" s="19">
        <f t="shared" si="571"/>
        <v>50</v>
      </c>
      <c r="S700" s="19">
        <v>284</v>
      </c>
      <c r="T700" s="19">
        <f t="shared" si="572"/>
        <v>0</v>
      </c>
      <c r="U700" s="19">
        <v>8</v>
      </c>
      <c r="V700" s="19">
        <f t="shared" si="573"/>
        <v>0</v>
      </c>
      <c r="W700" s="37">
        <v>0</v>
      </c>
      <c r="X700" s="48" t="str">
        <f t="shared" si="574"/>
        <v>サンリオファン</v>
      </c>
      <c r="Y700" s="51">
        <f t="shared" si="575"/>
        <v>1100</v>
      </c>
      <c r="Z700" s="19">
        <f t="shared" si="576"/>
        <v>0</v>
      </c>
      <c r="AA700" s="20">
        <f t="shared" si="577"/>
        <v>0</v>
      </c>
      <c r="AB700" s="11"/>
      <c r="AD700" s="18"/>
      <c r="AE700" s="19">
        <v>8992</v>
      </c>
      <c r="AF700" s="19">
        <f t="shared" si="578"/>
        <v>115</v>
      </c>
      <c r="AG700" s="19">
        <v>289</v>
      </c>
      <c r="AH700" s="19">
        <f t="shared" si="579"/>
        <v>6</v>
      </c>
      <c r="AI700" s="19">
        <v>98</v>
      </c>
      <c r="AJ700" s="19">
        <f t="shared" si="580"/>
        <v>10</v>
      </c>
      <c r="AK700" s="37">
        <v>0</v>
      </c>
      <c r="AL700" s="48" t="str">
        <f t="shared" si="583"/>
        <v>AIモンスターラバー</v>
      </c>
      <c r="AM700" s="51">
        <f t="shared" si="584"/>
        <v>200</v>
      </c>
      <c r="AN700" s="19">
        <f t="shared" si="581"/>
        <v>2000</v>
      </c>
      <c r="AO700" s="20">
        <f t="shared" si="582"/>
        <v>0.17391304347826086</v>
      </c>
      <c r="AP700" s="11"/>
    </row>
    <row r="701" spans="1:42" ht="15" customHeight="1" thickTop="1">
      <c r="A701" s="12"/>
      <c r="B701" s="8"/>
      <c r="C701" s="9"/>
      <c r="D701" s="9" t="str">
        <f t="shared" si="591"/>
        <v/>
      </c>
      <c r="E701" s="9"/>
      <c r="F701" s="9" t="str">
        <f t="shared" si="592"/>
        <v/>
      </c>
      <c r="G701" s="9"/>
      <c r="H701" s="9" t="str">
        <f t="shared" si="593"/>
        <v/>
      </c>
      <c r="I701" s="9"/>
      <c r="J701" s="9"/>
      <c r="K701" s="9"/>
      <c r="L701" s="9" t="str">
        <f t="shared" si="585"/>
        <v/>
      </c>
      <c r="M701" s="10" t="str">
        <f t="shared" si="586"/>
        <v/>
      </c>
      <c r="N701" s="11"/>
      <c r="O701" s="2"/>
      <c r="P701" s="65">
        <f>IF($A677="","",$A677)</f>
        <v>45908</v>
      </c>
      <c r="Q701" s="9">
        <v>7133</v>
      </c>
      <c r="R701" s="44">
        <f t="shared" si="571"/>
        <v>66</v>
      </c>
      <c r="S701" s="9">
        <v>219</v>
      </c>
      <c r="T701" s="23">
        <f t="shared" si="572"/>
        <v>3</v>
      </c>
      <c r="U701" s="9">
        <v>58</v>
      </c>
      <c r="V701" s="44">
        <f t="shared" si="573"/>
        <v>4</v>
      </c>
      <c r="W701" s="66">
        <v>0</v>
      </c>
      <c r="X701" s="61" t="str">
        <f t="shared" si="574"/>
        <v>キティサンダルキーホルダー</v>
      </c>
      <c r="Y701" s="62">
        <f t="shared" si="575"/>
        <v>600</v>
      </c>
      <c r="Z701" s="23">
        <f t="shared" si="576"/>
        <v>2400</v>
      </c>
      <c r="AA701" s="24">
        <f t="shared" si="577"/>
        <v>0.36363636363636365</v>
      </c>
      <c r="AB701" s="11"/>
      <c r="AD701" s="65">
        <f>IF($A677="","",$A677)</f>
        <v>45908</v>
      </c>
      <c r="AE701" s="9">
        <v>5863</v>
      </c>
      <c r="AF701" s="113">
        <f t="shared" si="578"/>
        <v>24</v>
      </c>
      <c r="AG701" s="9">
        <v>170</v>
      </c>
      <c r="AH701" s="23">
        <f t="shared" si="579"/>
        <v>0</v>
      </c>
      <c r="AI701" s="9">
        <v>6</v>
      </c>
      <c r="AJ701" s="44">
        <f t="shared" si="580"/>
        <v>0</v>
      </c>
      <c r="AK701" s="66">
        <v>0</v>
      </c>
      <c r="AL701" s="118" t="str">
        <f t="shared" si="583"/>
        <v>ジョージファン</v>
      </c>
      <c r="AM701" s="62">
        <f t="shared" si="584"/>
        <v>1050</v>
      </c>
      <c r="AN701" s="23">
        <f t="shared" si="581"/>
        <v>0</v>
      </c>
      <c r="AO701" s="24">
        <f t="shared" si="582"/>
        <v>0</v>
      </c>
      <c r="AP701" s="11" t="s">
        <v>140</v>
      </c>
    </row>
    <row r="702" spans="1:42" ht="15" customHeight="1">
      <c r="A702" s="12"/>
      <c r="B702" s="8"/>
      <c r="C702" s="9"/>
      <c r="D702" s="9" t="str">
        <f t="shared" si="591"/>
        <v/>
      </c>
      <c r="E702" s="9"/>
      <c r="F702" s="9" t="str">
        <f t="shared" si="592"/>
        <v/>
      </c>
      <c r="G702" s="9"/>
      <c r="H702" s="9" t="str">
        <f t="shared" si="593"/>
        <v/>
      </c>
      <c r="I702" s="9"/>
      <c r="J702" s="9"/>
      <c r="K702" s="9"/>
      <c r="L702" s="9" t="str">
        <f t="shared" si="585"/>
        <v/>
      </c>
      <c r="M702" s="10" t="str">
        <f t="shared" si="586"/>
        <v/>
      </c>
      <c r="N702" s="11"/>
      <c r="O702" s="2"/>
      <c r="P702" s="12"/>
      <c r="Q702" s="44">
        <v>7785</v>
      </c>
      <c r="R702" s="9">
        <f t="shared" si="571"/>
        <v>105</v>
      </c>
      <c r="S702" s="44">
        <v>171</v>
      </c>
      <c r="T702" s="9">
        <f t="shared" si="572"/>
        <v>4</v>
      </c>
      <c r="U702" s="9">
        <v>7</v>
      </c>
      <c r="V702" s="9">
        <f t="shared" si="573"/>
        <v>5</v>
      </c>
      <c r="W702" s="13">
        <v>0</v>
      </c>
      <c r="X702" s="47" t="str">
        <f t="shared" si="574"/>
        <v>サンリオミニリュック</v>
      </c>
      <c r="Y702" s="45">
        <f t="shared" si="575"/>
        <v>600</v>
      </c>
      <c r="Z702" s="9">
        <f t="shared" si="576"/>
        <v>3000</v>
      </c>
      <c r="AA702" s="10">
        <f t="shared" si="577"/>
        <v>0.2857142857142857</v>
      </c>
      <c r="AB702" s="11" t="s">
        <v>137</v>
      </c>
      <c r="AD702" s="12"/>
      <c r="AE702" s="44">
        <v>7636</v>
      </c>
      <c r="AF702" s="9">
        <f t="shared" si="578"/>
        <v>64</v>
      </c>
      <c r="AG702" s="44">
        <v>130</v>
      </c>
      <c r="AH702" s="9">
        <f t="shared" si="579"/>
        <v>1</v>
      </c>
      <c r="AI702" s="9">
        <v>11</v>
      </c>
      <c r="AJ702" s="9">
        <f t="shared" si="580"/>
        <v>1</v>
      </c>
      <c r="AK702" s="13">
        <v>2</v>
      </c>
      <c r="AL702" s="47" t="str">
        <f t="shared" si="583"/>
        <v>デジタルミニカメラ</v>
      </c>
      <c r="AM702" s="45">
        <f t="shared" si="584"/>
        <v>800</v>
      </c>
      <c r="AN702" s="9">
        <f t="shared" si="581"/>
        <v>800</v>
      </c>
      <c r="AO702" s="10">
        <f t="shared" si="582"/>
        <v>0.125</v>
      </c>
      <c r="AP702" s="11"/>
    </row>
    <row r="703" spans="1:42" ht="15" customHeight="1">
      <c r="A703" s="12"/>
      <c r="B703" s="8"/>
      <c r="C703" s="9"/>
      <c r="D703" s="9" t="str">
        <f t="shared" si="591"/>
        <v/>
      </c>
      <c r="E703" s="9"/>
      <c r="F703" s="9" t="str">
        <f t="shared" si="592"/>
        <v/>
      </c>
      <c r="G703" s="9"/>
      <c r="H703" s="9" t="str">
        <f t="shared" si="593"/>
        <v/>
      </c>
      <c r="I703" s="9"/>
      <c r="J703" s="9"/>
      <c r="K703" s="9"/>
      <c r="L703" s="9" t="str">
        <f t="shared" si="585"/>
        <v/>
      </c>
      <c r="M703" s="10" t="str">
        <f t="shared" si="586"/>
        <v/>
      </c>
      <c r="N703" s="11"/>
      <c r="O703" s="2"/>
      <c r="P703" s="12"/>
      <c r="Q703" s="9">
        <v>7350</v>
      </c>
      <c r="R703" s="81">
        <f t="shared" si="571"/>
        <v>50</v>
      </c>
      <c r="S703" s="9">
        <v>308</v>
      </c>
      <c r="T703" s="9">
        <f t="shared" si="572"/>
        <v>1</v>
      </c>
      <c r="U703" s="9">
        <v>8</v>
      </c>
      <c r="V703" s="9">
        <f t="shared" si="573"/>
        <v>1</v>
      </c>
      <c r="W703" s="38">
        <v>0</v>
      </c>
      <c r="X703" s="110" t="str">
        <f t="shared" si="574"/>
        <v>サンリオフェイスポーチ</v>
      </c>
      <c r="Y703" s="9">
        <f t="shared" si="575"/>
        <v>957</v>
      </c>
      <c r="Z703" s="9">
        <f t="shared" si="576"/>
        <v>957</v>
      </c>
      <c r="AA703" s="10">
        <f t="shared" si="577"/>
        <v>0.19139999999999999</v>
      </c>
      <c r="AB703" s="11"/>
      <c r="AD703" s="12"/>
      <c r="AE703" s="9">
        <v>7914</v>
      </c>
      <c r="AF703" s="9">
        <f t="shared" si="578"/>
        <v>175</v>
      </c>
      <c r="AG703" s="9">
        <v>342</v>
      </c>
      <c r="AH703" s="9">
        <f t="shared" si="579"/>
        <v>4</v>
      </c>
      <c r="AI703" s="9">
        <v>4</v>
      </c>
      <c r="AJ703" s="9">
        <f t="shared" si="580"/>
        <v>4</v>
      </c>
      <c r="AK703" s="13">
        <v>7</v>
      </c>
      <c r="AL703" s="47" t="str">
        <f t="shared" si="583"/>
        <v>ＡＩマスコット</v>
      </c>
      <c r="AM703" s="9">
        <f t="shared" si="584"/>
        <v>286</v>
      </c>
      <c r="AN703" s="9">
        <f t="shared" si="581"/>
        <v>1144</v>
      </c>
      <c r="AO703" s="10">
        <f t="shared" si="582"/>
        <v>6.5371428571428566E-2</v>
      </c>
      <c r="AP703" s="11" t="s">
        <v>139</v>
      </c>
    </row>
    <row r="704" spans="1:42" ht="15" customHeight="1" thickBot="1">
      <c r="A704" s="12"/>
      <c r="B704" s="8"/>
      <c r="C704" s="9"/>
      <c r="D704" s="9" t="str">
        <f t="shared" si="591"/>
        <v/>
      </c>
      <c r="E704" s="9"/>
      <c r="F704" s="9" t="str">
        <f t="shared" si="592"/>
        <v/>
      </c>
      <c r="G704" s="9"/>
      <c r="H704" s="9" t="str">
        <f t="shared" si="593"/>
        <v/>
      </c>
      <c r="I704" s="9"/>
      <c r="J704" s="9"/>
      <c r="K704" s="9"/>
      <c r="L704" s="9" t="str">
        <f t="shared" si="585"/>
        <v/>
      </c>
      <c r="M704" s="10" t="str">
        <f t="shared" si="586"/>
        <v/>
      </c>
      <c r="N704" s="11"/>
      <c r="O704" s="2"/>
      <c r="P704" s="18"/>
      <c r="Q704" s="19">
        <v>9206</v>
      </c>
      <c r="R704" s="19">
        <f t="shared" si="571"/>
        <v>78</v>
      </c>
      <c r="S704" s="19">
        <v>286</v>
      </c>
      <c r="T704" s="19">
        <f t="shared" si="572"/>
        <v>2</v>
      </c>
      <c r="U704" s="19">
        <v>6</v>
      </c>
      <c r="V704" s="19">
        <f t="shared" si="573"/>
        <v>2</v>
      </c>
      <c r="W704" s="37">
        <v>0</v>
      </c>
      <c r="X704" s="48" t="str">
        <f t="shared" si="574"/>
        <v>サンリオファン</v>
      </c>
      <c r="Y704" s="51">
        <f t="shared" si="575"/>
        <v>1100</v>
      </c>
      <c r="Z704" s="19">
        <f t="shared" si="576"/>
        <v>2200</v>
      </c>
      <c r="AA704" s="20">
        <f t="shared" si="577"/>
        <v>0.28205128205128205</v>
      </c>
      <c r="AB704" s="11"/>
      <c r="AD704" s="18"/>
      <c r="AE704" s="19">
        <v>9267</v>
      </c>
      <c r="AF704" s="19">
        <f t="shared" si="578"/>
        <v>275</v>
      </c>
      <c r="AG704" s="19">
        <v>296</v>
      </c>
      <c r="AH704" s="19">
        <f t="shared" si="579"/>
        <v>7</v>
      </c>
      <c r="AI704" s="19">
        <v>90</v>
      </c>
      <c r="AJ704" s="19">
        <f t="shared" si="580"/>
        <v>8</v>
      </c>
      <c r="AK704" s="37">
        <v>0</v>
      </c>
      <c r="AL704" s="48" t="str">
        <f t="shared" si="583"/>
        <v>AIモンスターラバー</v>
      </c>
      <c r="AM704" s="51">
        <f t="shared" si="584"/>
        <v>200</v>
      </c>
      <c r="AN704" s="19">
        <f t="shared" si="581"/>
        <v>1600</v>
      </c>
      <c r="AO704" s="20">
        <f t="shared" si="582"/>
        <v>5.8181818181818182E-2</v>
      </c>
      <c r="AP704" s="11" t="s">
        <v>138</v>
      </c>
    </row>
    <row r="705" spans="1:42" ht="15" customHeight="1" thickTop="1">
      <c r="A705" s="12"/>
      <c r="B705" s="8"/>
      <c r="C705" s="9"/>
      <c r="D705" s="9" t="str">
        <f t="shared" si="591"/>
        <v/>
      </c>
      <c r="E705" s="9"/>
      <c r="F705" s="9" t="str">
        <f t="shared" si="592"/>
        <v/>
      </c>
      <c r="G705" s="9"/>
      <c r="H705" s="9" t="str">
        <f t="shared" si="593"/>
        <v/>
      </c>
      <c r="I705" s="9"/>
      <c r="J705" s="9"/>
      <c r="K705" s="9"/>
      <c r="L705" s="9" t="str">
        <f t="shared" si="585"/>
        <v/>
      </c>
      <c r="M705" s="10" t="str">
        <f t="shared" si="586"/>
        <v/>
      </c>
      <c r="N705" s="11"/>
      <c r="O705" s="2"/>
      <c r="P705" s="65">
        <f>IF($A678="","",$A678)</f>
        <v>45910</v>
      </c>
      <c r="Q705" s="44">
        <v>7152</v>
      </c>
      <c r="R705" s="113">
        <f t="shared" ref="R705:R724" si="594">IF(Q705="","",Q705-Q701)</f>
        <v>19</v>
      </c>
      <c r="S705" s="44">
        <v>220</v>
      </c>
      <c r="T705" s="23">
        <f t="shared" ref="T705:T724" si="595">IF(S705="","",S705-S701)</f>
        <v>1</v>
      </c>
      <c r="U705" s="44">
        <v>58</v>
      </c>
      <c r="V705" s="44">
        <f t="shared" ref="V705:V724" si="596">IF(U705="","",U701+W701-U705)</f>
        <v>0</v>
      </c>
      <c r="W705" s="66">
        <v>0</v>
      </c>
      <c r="X705" s="118" t="str">
        <f t="shared" ref="X705:X724" si="597">IF(Q705="","",X701)</f>
        <v>キティサンダルキーホルダー</v>
      </c>
      <c r="Y705" s="62">
        <f t="shared" ref="Y705:Y724" si="598">IF(R705="","",Y701)</f>
        <v>600</v>
      </c>
      <c r="Z705" s="23">
        <f t="shared" ref="Z705:Z724" si="599">IF(U705="","",V705*Y705)</f>
        <v>0</v>
      </c>
      <c r="AA705" s="24">
        <f t="shared" ref="AA705:AA724" si="600">IF(V705="","",Z705/(R705*100))</f>
        <v>0</v>
      </c>
      <c r="AB705" s="11" t="s">
        <v>141</v>
      </c>
      <c r="AD705" s="65">
        <f>IF($A678="","",$A678)</f>
        <v>45910</v>
      </c>
      <c r="AE705" s="44">
        <v>5875</v>
      </c>
      <c r="AF705" s="44">
        <f t="shared" ref="AF705:AF724" si="601">IF(AE705="","",AE705-AE701)</f>
        <v>12</v>
      </c>
      <c r="AG705" s="44">
        <v>170</v>
      </c>
      <c r="AH705" s="23">
        <f t="shared" ref="AH705:AH724" si="602">IF(AG705="","",AG705-AG701)</f>
        <v>0</v>
      </c>
      <c r="AI705" s="44">
        <v>6</v>
      </c>
      <c r="AJ705" s="44">
        <f t="shared" ref="AJ705:AJ724" si="603">IF(AI705="","",AI701+AK701-AI705)</f>
        <v>0</v>
      </c>
      <c r="AK705" s="66">
        <v>6</v>
      </c>
      <c r="AL705" s="61" t="str">
        <f t="shared" si="583"/>
        <v>ジョージファン</v>
      </c>
      <c r="AM705" s="62">
        <f t="shared" si="584"/>
        <v>1050</v>
      </c>
      <c r="AN705" s="23">
        <f t="shared" ref="AN705:AN724" si="604">IF(AI705="","",AJ705*AM705)</f>
        <v>0</v>
      </c>
      <c r="AO705" s="24">
        <f t="shared" ref="AO705:AO724" si="605">IF(AJ705="","",AN705/(AF705*100))</f>
        <v>0</v>
      </c>
      <c r="AP705" s="11" t="s">
        <v>143</v>
      </c>
    </row>
    <row r="706" spans="1:42">
      <c r="A706" s="12"/>
      <c r="B706" s="8"/>
      <c r="C706" s="9"/>
      <c r="D706" s="9" t="str">
        <f t="shared" si="591"/>
        <v/>
      </c>
      <c r="E706" s="9"/>
      <c r="F706" s="9" t="str">
        <f t="shared" si="592"/>
        <v/>
      </c>
      <c r="G706" s="9"/>
      <c r="H706" s="9" t="str">
        <f t="shared" si="593"/>
        <v/>
      </c>
      <c r="I706" s="9"/>
      <c r="J706" s="9"/>
      <c r="K706" s="9"/>
      <c r="L706" s="9" t="str">
        <f t="shared" si="585"/>
        <v/>
      </c>
      <c r="M706" s="10" t="str">
        <f t="shared" si="586"/>
        <v/>
      </c>
      <c r="N706" s="11"/>
      <c r="O706" s="2"/>
      <c r="P706" s="12"/>
      <c r="Q706" s="9">
        <v>7828</v>
      </c>
      <c r="R706" s="44">
        <f t="shared" si="594"/>
        <v>43</v>
      </c>
      <c r="S706" s="9">
        <v>172</v>
      </c>
      <c r="T706" s="9">
        <f t="shared" si="595"/>
        <v>1</v>
      </c>
      <c r="U706" s="9">
        <v>7</v>
      </c>
      <c r="V706" s="9">
        <f t="shared" si="596"/>
        <v>0</v>
      </c>
      <c r="W706" s="13">
        <v>4</v>
      </c>
      <c r="X706" s="47" t="str">
        <f t="shared" si="597"/>
        <v>サンリオミニリュック</v>
      </c>
      <c r="Y706" s="45">
        <f t="shared" si="598"/>
        <v>600</v>
      </c>
      <c r="Z706" s="9">
        <f t="shared" si="599"/>
        <v>0</v>
      </c>
      <c r="AA706" s="10">
        <f t="shared" si="600"/>
        <v>0</v>
      </c>
      <c r="AB706" s="11"/>
      <c r="AD706" s="12"/>
      <c r="AE706" s="9">
        <v>7686</v>
      </c>
      <c r="AF706" s="44">
        <f t="shared" si="601"/>
        <v>50</v>
      </c>
      <c r="AG706" s="9">
        <v>130</v>
      </c>
      <c r="AH706" s="9">
        <f t="shared" si="602"/>
        <v>0</v>
      </c>
      <c r="AI706" s="9">
        <v>13</v>
      </c>
      <c r="AJ706" s="9">
        <f t="shared" si="603"/>
        <v>0</v>
      </c>
      <c r="AK706" s="13">
        <v>0</v>
      </c>
      <c r="AL706" s="47" t="str">
        <f t="shared" ref="AL706:AL724" si="606">IF(AE706="","",AL702)</f>
        <v>デジタルミニカメラ</v>
      </c>
      <c r="AM706" s="45">
        <f t="shared" ref="AM706:AM724" si="607">IF(AF706="","",AM702)</f>
        <v>800</v>
      </c>
      <c r="AN706" s="9">
        <f t="shared" si="604"/>
        <v>0</v>
      </c>
      <c r="AO706" s="10">
        <f t="shared" si="605"/>
        <v>0</v>
      </c>
      <c r="AP706" s="11" t="s">
        <v>142</v>
      </c>
    </row>
    <row r="707" spans="1:42" ht="15" customHeight="1">
      <c r="A707" s="12"/>
      <c r="B707" s="8"/>
      <c r="C707" s="9"/>
      <c r="D707" s="9" t="str">
        <f t="shared" si="591"/>
        <v/>
      </c>
      <c r="E707" s="9"/>
      <c r="F707" s="9" t="str">
        <f t="shared" si="592"/>
        <v/>
      </c>
      <c r="G707" s="9"/>
      <c r="H707" s="9" t="str">
        <f t="shared" si="593"/>
        <v/>
      </c>
      <c r="I707" s="9"/>
      <c r="J707" s="9"/>
      <c r="K707" s="9"/>
      <c r="L707" s="9" t="str">
        <f t="shared" si="585"/>
        <v/>
      </c>
      <c r="M707" s="10" t="str">
        <f t="shared" si="586"/>
        <v/>
      </c>
      <c r="N707" s="11"/>
      <c r="O707" s="2"/>
      <c r="P707" s="12"/>
      <c r="Q707" s="9">
        <v>7363</v>
      </c>
      <c r="R707" s="114">
        <f t="shared" si="594"/>
        <v>13</v>
      </c>
      <c r="S707" s="9">
        <v>308</v>
      </c>
      <c r="T707" s="9">
        <f t="shared" si="595"/>
        <v>0</v>
      </c>
      <c r="U707" s="26">
        <v>8</v>
      </c>
      <c r="V707" s="26">
        <f t="shared" si="596"/>
        <v>0</v>
      </c>
      <c r="W707" s="38">
        <v>0</v>
      </c>
      <c r="X707" s="110" t="str">
        <f t="shared" si="597"/>
        <v>サンリオフェイスポーチ</v>
      </c>
      <c r="Y707" s="9">
        <f t="shared" si="598"/>
        <v>957</v>
      </c>
      <c r="Z707" s="9">
        <f t="shared" si="599"/>
        <v>0</v>
      </c>
      <c r="AA707" s="10">
        <f t="shared" si="600"/>
        <v>0</v>
      </c>
      <c r="AB707" s="11"/>
      <c r="AD707" s="12"/>
      <c r="AE707" s="9">
        <v>7971</v>
      </c>
      <c r="AF707" s="52">
        <f t="shared" si="601"/>
        <v>57</v>
      </c>
      <c r="AG707" s="9">
        <v>344</v>
      </c>
      <c r="AH707" s="9">
        <f t="shared" si="602"/>
        <v>2</v>
      </c>
      <c r="AI707" s="26">
        <v>9</v>
      </c>
      <c r="AJ707" s="26">
        <f t="shared" si="603"/>
        <v>2</v>
      </c>
      <c r="AK707" s="13">
        <v>3</v>
      </c>
      <c r="AL707" s="47" t="str">
        <f t="shared" si="606"/>
        <v>ＡＩマスコット</v>
      </c>
      <c r="AM707" s="9">
        <f t="shared" si="607"/>
        <v>286</v>
      </c>
      <c r="AN707" s="9">
        <f t="shared" si="604"/>
        <v>572</v>
      </c>
      <c r="AO707" s="10">
        <f t="shared" si="605"/>
        <v>0.10035087719298245</v>
      </c>
      <c r="AP707" s="11"/>
    </row>
    <row r="708" spans="1:42" ht="15" customHeight="1" thickBot="1">
      <c r="A708" s="12"/>
      <c r="B708" s="8"/>
      <c r="C708" s="9"/>
      <c r="D708" s="9" t="str">
        <f t="shared" si="591"/>
        <v/>
      </c>
      <c r="E708" s="9"/>
      <c r="F708" s="9" t="str">
        <f t="shared" si="592"/>
        <v/>
      </c>
      <c r="G708" s="9"/>
      <c r="H708" s="9" t="str">
        <f t="shared" si="593"/>
        <v/>
      </c>
      <c r="I708" s="9"/>
      <c r="J708" s="9"/>
      <c r="K708" s="9"/>
      <c r="L708" s="9" t="str">
        <f t="shared" si="585"/>
        <v/>
      </c>
      <c r="M708" s="10" t="str">
        <f t="shared" si="586"/>
        <v/>
      </c>
      <c r="N708" s="11"/>
      <c r="O708" s="2"/>
      <c r="P708" s="18"/>
      <c r="Q708" s="21">
        <v>9239</v>
      </c>
      <c r="R708" s="50">
        <f t="shared" si="594"/>
        <v>33</v>
      </c>
      <c r="S708" s="51">
        <v>286</v>
      </c>
      <c r="T708" s="21">
        <f t="shared" si="595"/>
        <v>0</v>
      </c>
      <c r="U708" s="53">
        <v>6</v>
      </c>
      <c r="V708" s="53">
        <f t="shared" si="596"/>
        <v>0</v>
      </c>
      <c r="W708" s="37">
        <v>2</v>
      </c>
      <c r="X708" s="48" t="str">
        <f t="shared" si="597"/>
        <v>サンリオファン</v>
      </c>
      <c r="Y708" s="51">
        <f t="shared" si="598"/>
        <v>1100</v>
      </c>
      <c r="Z708" s="19">
        <f t="shared" si="599"/>
        <v>0</v>
      </c>
      <c r="AA708" s="20">
        <f t="shared" si="600"/>
        <v>0</v>
      </c>
      <c r="AB708" s="11"/>
      <c r="AD708" s="18"/>
      <c r="AE708" s="21">
        <v>9349</v>
      </c>
      <c r="AF708" s="50">
        <f t="shared" si="601"/>
        <v>82</v>
      </c>
      <c r="AG708" s="51">
        <v>299</v>
      </c>
      <c r="AH708" s="21">
        <f t="shared" si="602"/>
        <v>3</v>
      </c>
      <c r="AI708" s="53">
        <v>86</v>
      </c>
      <c r="AJ708" s="53">
        <f t="shared" si="603"/>
        <v>4</v>
      </c>
      <c r="AK708" s="107">
        <v>10</v>
      </c>
      <c r="AL708" s="48" t="str">
        <f t="shared" si="606"/>
        <v>AIモンスターラバー</v>
      </c>
      <c r="AM708" s="51">
        <f t="shared" si="607"/>
        <v>200</v>
      </c>
      <c r="AN708" s="19">
        <f t="shared" si="604"/>
        <v>800</v>
      </c>
      <c r="AO708" s="20">
        <f t="shared" si="605"/>
        <v>9.7560975609756101E-2</v>
      </c>
      <c r="AP708" s="11"/>
    </row>
    <row r="709" spans="1:42" ht="15" customHeight="1" thickTop="1">
      <c r="A709" s="12"/>
      <c r="B709" s="8"/>
      <c r="C709" s="9"/>
      <c r="D709" s="9" t="str">
        <f t="shared" si="591"/>
        <v/>
      </c>
      <c r="E709" s="9"/>
      <c r="F709" s="9" t="str">
        <f t="shared" si="592"/>
        <v/>
      </c>
      <c r="G709" s="9"/>
      <c r="H709" s="9" t="str">
        <f t="shared" si="593"/>
        <v/>
      </c>
      <c r="I709" s="9"/>
      <c r="J709" s="9"/>
      <c r="K709" s="9"/>
      <c r="L709" s="9" t="str">
        <f t="shared" si="585"/>
        <v/>
      </c>
      <c r="M709" s="10" t="str">
        <f t="shared" si="586"/>
        <v/>
      </c>
      <c r="N709" s="11"/>
      <c r="O709" s="2"/>
      <c r="P709" s="65">
        <f>IF($A679="","",$A679)</f>
        <v>45912</v>
      </c>
      <c r="Q709" s="44">
        <v>7191</v>
      </c>
      <c r="R709" s="44">
        <f t="shared" si="594"/>
        <v>39</v>
      </c>
      <c r="S709" s="44">
        <v>220</v>
      </c>
      <c r="T709" s="23">
        <f t="shared" si="595"/>
        <v>0</v>
      </c>
      <c r="U709" s="44">
        <v>58</v>
      </c>
      <c r="V709" s="44">
        <f t="shared" si="596"/>
        <v>0</v>
      </c>
      <c r="W709" s="66">
        <v>-43</v>
      </c>
      <c r="X709" s="61" t="str">
        <f t="shared" si="597"/>
        <v>キティサンダルキーホルダー</v>
      </c>
      <c r="Y709" s="62">
        <f t="shared" si="598"/>
        <v>600</v>
      </c>
      <c r="Z709" s="23">
        <f t="shared" si="599"/>
        <v>0</v>
      </c>
      <c r="AA709" s="24">
        <f t="shared" si="600"/>
        <v>0</v>
      </c>
      <c r="AB709" s="11" t="s">
        <v>147</v>
      </c>
      <c r="AD709" s="65">
        <f>IF($A679="","",$A679)</f>
        <v>45912</v>
      </c>
      <c r="AE709" s="44">
        <v>5918</v>
      </c>
      <c r="AF709" s="44">
        <f t="shared" si="601"/>
        <v>43</v>
      </c>
      <c r="AG709" s="44">
        <v>172</v>
      </c>
      <c r="AH709" s="23">
        <f t="shared" si="602"/>
        <v>2</v>
      </c>
      <c r="AI709" s="44">
        <v>10</v>
      </c>
      <c r="AJ709" s="44">
        <f t="shared" si="603"/>
        <v>2</v>
      </c>
      <c r="AK709" s="66">
        <v>6</v>
      </c>
      <c r="AL709" s="61" t="s">
        <v>145</v>
      </c>
      <c r="AM709" s="62">
        <v>605</v>
      </c>
      <c r="AN709" s="23">
        <f t="shared" si="604"/>
        <v>1210</v>
      </c>
      <c r="AO709" s="24">
        <f t="shared" si="605"/>
        <v>0.28139534883720929</v>
      </c>
      <c r="AP709" s="11"/>
    </row>
    <row r="710" spans="1:42" ht="15" customHeight="1">
      <c r="A710" s="12"/>
      <c r="B710" s="8"/>
      <c r="C710" s="9"/>
      <c r="D710" s="9" t="str">
        <f t="shared" si="591"/>
        <v/>
      </c>
      <c r="E710" s="9"/>
      <c r="F710" s="9" t="str">
        <f t="shared" si="592"/>
        <v/>
      </c>
      <c r="G710" s="9"/>
      <c r="H710" s="9" t="str">
        <f t="shared" si="593"/>
        <v/>
      </c>
      <c r="I710" s="9"/>
      <c r="J710" s="9"/>
      <c r="K710" s="9"/>
      <c r="L710" s="9" t="str">
        <f t="shared" si="585"/>
        <v/>
      </c>
      <c r="M710" s="10" t="str">
        <f t="shared" si="586"/>
        <v/>
      </c>
      <c r="N710" s="11"/>
      <c r="O710" s="2"/>
      <c r="P710" s="12"/>
      <c r="Q710" s="9">
        <v>7870</v>
      </c>
      <c r="R710" s="44">
        <f t="shared" si="594"/>
        <v>42</v>
      </c>
      <c r="S710" s="9">
        <v>173</v>
      </c>
      <c r="T710" s="9">
        <f t="shared" si="595"/>
        <v>1</v>
      </c>
      <c r="U710" s="9">
        <v>9</v>
      </c>
      <c r="V710" s="9">
        <f t="shared" si="596"/>
        <v>2</v>
      </c>
      <c r="W710" s="13">
        <v>2</v>
      </c>
      <c r="X710" s="47" t="str">
        <f t="shared" si="597"/>
        <v>サンリオミニリュック</v>
      </c>
      <c r="Y710" s="45">
        <f t="shared" si="598"/>
        <v>600</v>
      </c>
      <c r="Z710" s="9">
        <f t="shared" si="599"/>
        <v>1200</v>
      </c>
      <c r="AA710" s="10">
        <f t="shared" si="600"/>
        <v>0.2857142857142857</v>
      </c>
      <c r="AB710" s="11"/>
      <c r="AD710" s="12"/>
      <c r="AE710" s="9">
        <v>7708</v>
      </c>
      <c r="AF710" s="44">
        <f t="shared" si="601"/>
        <v>22</v>
      </c>
      <c r="AG710" s="9">
        <v>132</v>
      </c>
      <c r="AH710" s="9">
        <f t="shared" si="602"/>
        <v>2</v>
      </c>
      <c r="AI710" s="9">
        <v>11</v>
      </c>
      <c r="AJ710" s="9">
        <f t="shared" si="603"/>
        <v>2</v>
      </c>
      <c r="AK710" s="13">
        <v>4</v>
      </c>
      <c r="AL710" s="47" t="str">
        <f t="shared" si="606"/>
        <v>デジタルミニカメラ</v>
      </c>
      <c r="AM710" s="45">
        <f t="shared" si="607"/>
        <v>800</v>
      </c>
      <c r="AN710" s="9">
        <f t="shared" si="604"/>
        <v>1600</v>
      </c>
      <c r="AO710" s="10">
        <f t="shared" si="605"/>
        <v>0.72727272727272729</v>
      </c>
      <c r="AP710" s="11"/>
    </row>
    <row r="711" spans="1:42" ht="15" customHeight="1">
      <c r="A711" s="12"/>
      <c r="B711" s="8"/>
      <c r="C711" s="9"/>
      <c r="D711" s="9" t="str">
        <f t="shared" si="591"/>
        <v/>
      </c>
      <c r="E711" s="9"/>
      <c r="F711" s="9" t="str">
        <f t="shared" si="592"/>
        <v/>
      </c>
      <c r="G711" s="9"/>
      <c r="H711" s="9" t="str">
        <f t="shared" si="593"/>
        <v/>
      </c>
      <c r="I711" s="9"/>
      <c r="J711" s="9"/>
      <c r="K711" s="9"/>
      <c r="L711" s="9" t="str">
        <f t="shared" si="585"/>
        <v/>
      </c>
      <c r="M711" s="10" t="str">
        <f t="shared" si="586"/>
        <v/>
      </c>
      <c r="N711" s="11"/>
      <c r="O711" s="2"/>
      <c r="P711" s="12"/>
      <c r="Q711" s="9">
        <v>7421</v>
      </c>
      <c r="R711" s="52">
        <f t="shared" si="594"/>
        <v>58</v>
      </c>
      <c r="S711" s="9">
        <v>308</v>
      </c>
      <c r="T711" s="9">
        <f t="shared" si="595"/>
        <v>0</v>
      </c>
      <c r="U711" s="9">
        <v>8</v>
      </c>
      <c r="V711" s="9">
        <f t="shared" si="596"/>
        <v>0</v>
      </c>
      <c r="W711" s="13">
        <v>4</v>
      </c>
      <c r="X711" s="47" t="str">
        <f t="shared" si="597"/>
        <v>サンリオフェイスポーチ</v>
      </c>
      <c r="Y711" s="9">
        <f t="shared" si="598"/>
        <v>957</v>
      </c>
      <c r="Z711" s="9">
        <f t="shared" si="599"/>
        <v>0</v>
      </c>
      <c r="AA711" s="10">
        <f t="shared" si="600"/>
        <v>0</v>
      </c>
      <c r="AB711" s="11" t="s">
        <v>146</v>
      </c>
      <c r="AD711" s="12"/>
      <c r="AE711" s="9">
        <v>8025</v>
      </c>
      <c r="AF711" s="52">
        <f t="shared" si="601"/>
        <v>54</v>
      </c>
      <c r="AG711" s="9">
        <v>345</v>
      </c>
      <c r="AH711" s="9">
        <f t="shared" si="602"/>
        <v>1</v>
      </c>
      <c r="AI711" s="9">
        <v>11</v>
      </c>
      <c r="AJ711" s="9">
        <f t="shared" si="603"/>
        <v>1</v>
      </c>
      <c r="AK711" s="13">
        <v>0</v>
      </c>
      <c r="AL711" s="47" t="str">
        <f t="shared" si="606"/>
        <v>ＡＩマスコット</v>
      </c>
      <c r="AM711" s="9">
        <f t="shared" si="607"/>
        <v>286</v>
      </c>
      <c r="AN711" s="9">
        <f t="shared" si="604"/>
        <v>286</v>
      </c>
      <c r="AO711" s="10">
        <f t="shared" si="605"/>
        <v>5.2962962962962962E-2</v>
      </c>
      <c r="AP711" s="11"/>
    </row>
    <row r="712" spans="1:42" ht="15" customHeight="1" thickBot="1">
      <c r="A712" s="12"/>
      <c r="B712" s="8"/>
      <c r="C712" s="9"/>
      <c r="D712" s="9" t="str">
        <f t="shared" si="591"/>
        <v/>
      </c>
      <c r="E712" s="9"/>
      <c r="F712" s="9" t="str">
        <f t="shared" si="592"/>
        <v/>
      </c>
      <c r="G712" s="9"/>
      <c r="H712" s="9" t="str">
        <f t="shared" si="593"/>
        <v/>
      </c>
      <c r="I712" s="9"/>
      <c r="J712" s="9"/>
      <c r="K712" s="9"/>
      <c r="L712" s="9" t="str">
        <f t="shared" si="585"/>
        <v/>
      </c>
      <c r="M712" s="10" t="str">
        <f t="shared" si="586"/>
        <v/>
      </c>
      <c r="N712" s="11"/>
      <c r="O712" s="2"/>
      <c r="P712" s="18"/>
      <c r="Q712" s="21">
        <v>9275</v>
      </c>
      <c r="R712" s="50">
        <f t="shared" si="594"/>
        <v>36</v>
      </c>
      <c r="S712" s="51">
        <v>286</v>
      </c>
      <c r="T712" s="19">
        <f t="shared" si="595"/>
        <v>0</v>
      </c>
      <c r="U712" s="19">
        <v>8</v>
      </c>
      <c r="V712" s="19">
        <f t="shared" si="596"/>
        <v>0</v>
      </c>
      <c r="W712" s="37">
        <v>42</v>
      </c>
      <c r="X712" s="48" t="str">
        <f t="shared" si="597"/>
        <v>サンリオファン</v>
      </c>
      <c r="Y712" s="51">
        <f t="shared" si="598"/>
        <v>1100</v>
      </c>
      <c r="Z712" s="19">
        <f t="shared" si="599"/>
        <v>0</v>
      </c>
      <c r="AA712" s="20">
        <f t="shared" si="600"/>
        <v>0</v>
      </c>
      <c r="AB712" s="11" t="s">
        <v>148</v>
      </c>
      <c r="AD712" s="18"/>
      <c r="AE712" s="21">
        <v>9429</v>
      </c>
      <c r="AF712" s="50">
        <f t="shared" si="601"/>
        <v>80</v>
      </c>
      <c r="AG712" s="51">
        <v>300</v>
      </c>
      <c r="AH712" s="19">
        <f t="shared" si="602"/>
        <v>1</v>
      </c>
      <c r="AI712" s="19">
        <v>95</v>
      </c>
      <c r="AJ712" s="19">
        <f t="shared" si="603"/>
        <v>1</v>
      </c>
      <c r="AK712" s="37">
        <v>0</v>
      </c>
      <c r="AL712" s="48" t="str">
        <f t="shared" si="606"/>
        <v>AIモンスターラバー</v>
      </c>
      <c r="AM712" s="51">
        <f t="shared" si="607"/>
        <v>200</v>
      </c>
      <c r="AN712" s="19">
        <f t="shared" si="604"/>
        <v>200</v>
      </c>
      <c r="AO712" s="20">
        <f t="shared" si="605"/>
        <v>2.5000000000000001E-2</v>
      </c>
      <c r="AP712" s="11"/>
    </row>
    <row r="713" spans="1:42" ht="15" customHeight="1" thickTop="1">
      <c r="A713" s="12"/>
      <c r="B713" s="8"/>
      <c r="C713" s="9"/>
      <c r="D713" s="9" t="str">
        <f t="shared" si="591"/>
        <v/>
      </c>
      <c r="E713" s="9"/>
      <c r="F713" s="9" t="str">
        <f t="shared" si="592"/>
        <v/>
      </c>
      <c r="G713" s="9"/>
      <c r="H713" s="9" t="str">
        <f t="shared" si="593"/>
        <v/>
      </c>
      <c r="I713" s="9"/>
      <c r="J713" s="9"/>
      <c r="K713" s="9"/>
      <c r="L713" s="9" t="str">
        <f t="shared" si="585"/>
        <v/>
      </c>
      <c r="M713" s="10" t="str">
        <f t="shared" si="586"/>
        <v/>
      </c>
      <c r="N713" s="11"/>
      <c r="O713" s="2"/>
      <c r="P713" s="65"/>
      <c r="Q713" s="44"/>
      <c r="R713" s="44" t="str">
        <f>IF(Q713="","",Q713-Q709)</f>
        <v/>
      </c>
      <c r="S713" s="44"/>
      <c r="T713" s="23"/>
      <c r="U713" s="44"/>
      <c r="V713" s="44"/>
      <c r="W713" s="44"/>
      <c r="X713" s="15"/>
      <c r="Y713" s="45"/>
      <c r="Z713" s="23"/>
      <c r="AA713" s="24"/>
      <c r="AB713" s="11"/>
      <c r="AD713" s="65"/>
      <c r="AE713" s="44"/>
      <c r="AF713" s="113"/>
      <c r="AG713" s="44"/>
      <c r="AH713" s="23"/>
      <c r="AI713" s="44"/>
      <c r="AJ713" s="44"/>
      <c r="AK713" s="44"/>
      <c r="AL713" s="15"/>
      <c r="AM713" s="45"/>
      <c r="AN713" s="23"/>
      <c r="AO713" s="24"/>
      <c r="AP713" s="11"/>
    </row>
    <row r="714" spans="1:42" ht="15" customHeight="1">
      <c r="A714" s="12"/>
      <c r="B714" s="8"/>
      <c r="C714" s="9"/>
      <c r="D714" s="9" t="str">
        <f t="shared" si="591"/>
        <v/>
      </c>
      <c r="E714" s="9"/>
      <c r="F714" s="9" t="str">
        <f t="shared" si="592"/>
        <v/>
      </c>
      <c r="G714" s="9"/>
      <c r="H714" s="9" t="str">
        <f t="shared" si="593"/>
        <v/>
      </c>
      <c r="I714" s="9"/>
      <c r="J714" s="9"/>
      <c r="K714" s="9"/>
      <c r="L714" s="9" t="str">
        <f t="shared" si="585"/>
        <v/>
      </c>
      <c r="M714" s="10" t="str">
        <f t="shared" si="586"/>
        <v/>
      </c>
      <c r="N714" s="11"/>
      <c r="O714" s="2"/>
      <c r="P714" s="12"/>
      <c r="Q714" s="9"/>
      <c r="R714" s="44" t="str">
        <f>IF(Q714="","",Q714-Q710)</f>
        <v/>
      </c>
      <c r="S714" s="9"/>
      <c r="T714" s="9"/>
      <c r="U714" s="9"/>
      <c r="V714" s="9"/>
      <c r="W714" s="9"/>
      <c r="X714" s="15"/>
      <c r="Y714" s="45"/>
      <c r="Z714" s="9"/>
      <c r="AA714" s="10"/>
      <c r="AB714" s="11"/>
      <c r="AD714" s="12"/>
      <c r="AE714" s="9"/>
      <c r="AF714" s="9"/>
      <c r="AG714" s="9"/>
      <c r="AH714" s="9"/>
      <c r="AI714" s="9"/>
      <c r="AJ714" s="9"/>
      <c r="AK714" s="9"/>
      <c r="AL714" s="15"/>
      <c r="AM714" s="45"/>
      <c r="AN714" s="9"/>
      <c r="AO714" s="10"/>
      <c r="AP714" s="11"/>
    </row>
    <row r="715" spans="1:42" ht="15" customHeight="1">
      <c r="A715" s="12"/>
      <c r="B715" s="8"/>
      <c r="C715" s="9"/>
      <c r="D715" s="9" t="str">
        <f t="shared" si="591"/>
        <v/>
      </c>
      <c r="E715" s="9"/>
      <c r="F715" s="9" t="str">
        <f t="shared" si="592"/>
        <v/>
      </c>
      <c r="G715" s="9"/>
      <c r="H715" s="9" t="str">
        <f t="shared" si="593"/>
        <v/>
      </c>
      <c r="I715" s="9"/>
      <c r="J715" s="9"/>
      <c r="K715" s="9"/>
      <c r="L715" s="9" t="str">
        <f t="shared" si="585"/>
        <v/>
      </c>
      <c r="M715" s="10" t="str">
        <f t="shared" si="586"/>
        <v/>
      </c>
      <c r="N715" s="11"/>
      <c r="O715" s="2"/>
      <c r="P715" s="12"/>
      <c r="Q715" s="9"/>
      <c r="R715" s="52" t="str">
        <f>IF(Q715="","",Q715-Q711)</f>
        <v/>
      </c>
      <c r="S715" s="9"/>
      <c r="T715" s="9"/>
      <c r="U715" s="9"/>
      <c r="V715" s="9"/>
      <c r="W715" s="81"/>
      <c r="X715" s="15"/>
      <c r="Y715" s="45"/>
      <c r="Z715" s="9"/>
      <c r="AA715" s="10"/>
      <c r="AB715" s="11"/>
      <c r="AD715" s="12"/>
      <c r="AE715" s="9"/>
      <c r="AF715" s="9"/>
      <c r="AG715" s="9"/>
      <c r="AH715" s="9"/>
      <c r="AI715" s="9"/>
      <c r="AJ715" s="9"/>
      <c r="AK715" s="81"/>
      <c r="AL715" s="15"/>
      <c r="AM715" s="45"/>
      <c r="AN715" s="9"/>
      <c r="AO715" s="10"/>
      <c r="AP715" s="11"/>
    </row>
    <row r="716" spans="1:42" ht="15" customHeight="1" thickBot="1">
      <c r="A716" s="12"/>
      <c r="B716" s="8"/>
      <c r="C716" s="9"/>
      <c r="D716" s="9" t="str">
        <f t="shared" si="591"/>
        <v/>
      </c>
      <c r="E716" s="9"/>
      <c r="F716" s="9" t="str">
        <f t="shared" si="592"/>
        <v/>
      </c>
      <c r="G716" s="9"/>
      <c r="H716" s="9" t="str">
        <f t="shared" si="593"/>
        <v/>
      </c>
      <c r="I716" s="9"/>
      <c r="J716" s="9"/>
      <c r="K716" s="9"/>
      <c r="L716" s="9" t="str">
        <f t="shared" si="585"/>
        <v/>
      </c>
      <c r="M716" s="10" t="str">
        <f t="shared" si="586"/>
        <v/>
      </c>
      <c r="N716" s="11"/>
      <c r="O716" s="2"/>
      <c r="P716" s="18"/>
      <c r="Q716" s="19"/>
      <c r="R716" s="50" t="str">
        <f>IF(Q716="","",Q716-Q712)</f>
        <v/>
      </c>
      <c r="S716" s="19"/>
      <c r="T716" s="19"/>
      <c r="U716" s="19"/>
      <c r="V716" s="19"/>
      <c r="W716" s="19"/>
      <c r="X716" s="22"/>
      <c r="Y716" s="51"/>
      <c r="Z716" s="19"/>
      <c r="AA716" s="20"/>
      <c r="AB716" s="11"/>
      <c r="AD716" s="18"/>
      <c r="AE716" s="19"/>
      <c r="AF716" s="19"/>
      <c r="AG716" s="19"/>
      <c r="AH716" s="19"/>
      <c r="AI716" s="19"/>
      <c r="AJ716" s="19"/>
      <c r="AK716" s="19"/>
      <c r="AL716" s="22"/>
      <c r="AM716" s="51"/>
      <c r="AN716" s="19"/>
      <c r="AO716" s="20"/>
      <c r="AP716" s="11"/>
    </row>
    <row r="717" spans="1:42" ht="15" customHeight="1" thickTop="1">
      <c r="A717" s="12"/>
      <c r="B717" s="8"/>
      <c r="C717" s="9"/>
      <c r="D717" s="9" t="str">
        <f t="shared" si="591"/>
        <v/>
      </c>
      <c r="E717" s="9"/>
      <c r="F717" s="9" t="str">
        <f t="shared" si="592"/>
        <v/>
      </c>
      <c r="G717" s="9"/>
      <c r="H717" s="9" t="str">
        <f t="shared" si="593"/>
        <v/>
      </c>
      <c r="I717" s="9"/>
      <c r="J717" s="9"/>
      <c r="K717" s="9"/>
      <c r="L717" s="9" t="str">
        <f t="shared" si="585"/>
        <v/>
      </c>
      <c r="M717" s="10" t="str">
        <f t="shared" si="586"/>
        <v/>
      </c>
      <c r="N717" s="11"/>
      <c r="O717" s="2"/>
      <c r="P717" s="65"/>
      <c r="Q717" s="44"/>
      <c r="R717" s="44"/>
      <c r="S717" s="44"/>
      <c r="T717" s="23"/>
      <c r="U717" s="44"/>
      <c r="V717" s="44"/>
      <c r="W717" s="44"/>
      <c r="X717" s="64"/>
      <c r="Y717" s="62"/>
      <c r="Z717" s="23"/>
      <c r="AA717" s="24"/>
      <c r="AB717" s="11"/>
      <c r="AD717" s="65"/>
      <c r="AE717" s="44"/>
      <c r="AF717" s="44"/>
      <c r="AG717" s="44"/>
      <c r="AH717" s="23"/>
      <c r="AI717" s="44"/>
      <c r="AJ717" s="44"/>
      <c r="AK717" s="44"/>
      <c r="AL717" s="61"/>
      <c r="AM717" s="62"/>
      <c r="AN717" s="23"/>
      <c r="AO717" s="24"/>
      <c r="AP717" s="11"/>
    </row>
    <row r="718" spans="1:42" ht="15" customHeight="1">
      <c r="A718" s="12"/>
      <c r="B718" s="8"/>
      <c r="C718" s="9"/>
      <c r="D718" s="9" t="str">
        <f t="shared" si="591"/>
        <v/>
      </c>
      <c r="E718" s="9"/>
      <c r="F718" s="9" t="str">
        <f t="shared" si="592"/>
        <v/>
      </c>
      <c r="G718" s="9"/>
      <c r="H718" s="9" t="str">
        <f t="shared" si="593"/>
        <v/>
      </c>
      <c r="I718" s="9"/>
      <c r="J718" s="9"/>
      <c r="K718" s="9"/>
      <c r="L718" s="9" t="str">
        <f t="shared" si="585"/>
        <v/>
      </c>
      <c r="M718" s="10" t="str">
        <f t="shared" si="586"/>
        <v/>
      </c>
      <c r="N718" s="11"/>
      <c r="O718" s="2"/>
      <c r="P718" s="12"/>
      <c r="Q718" s="9"/>
      <c r="R718" s="9"/>
      <c r="S718" s="9"/>
      <c r="T718" s="9"/>
      <c r="U718" s="9"/>
      <c r="V718" s="9"/>
      <c r="W718" s="9"/>
      <c r="X718" s="15"/>
      <c r="Y718" s="45"/>
      <c r="Z718" s="9"/>
      <c r="AA718" s="10"/>
      <c r="AB718" s="11"/>
      <c r="AD718" s="12"/>
      <c r="AE718" s="9"/>
      <c r="AF718" s="9"/>
      <c r="AG718" s="9"/>
      <c r="AH718" s="9"/>
      <c r="AI718" s="9"/>
      <c r="AJ718" s="39"/>
      <c r="AK718" s="9"/>
      <c r="AL718" s="47"/>
      <c r="AM718" s="45"/>
      <c r="AN718" s="9"/>
      <c r="AO718" s="10"/>
      <c r="AP718" s="11"/>
    </row>
    <row r="719" spans="1:42" ht="15" customHeight="1">
      <c r="A719" s="12"/>
      <c r="B719" s="8"/>
      <c r="C719" s="9"/>
      <c r="D719" s="9" t="str">
        <f t="shared" si="591"/>
        <v/>
      </c>
      <c r="E719" s="9"/>
      <c r="F719" s="9" t="str">
        <f t="shared" si="592"/>
        <v/>
      </c>
      <c r="G719" s="9"/>
      <c r="H719" s="9" t="str">
        <f t="shared" si="593"/>
        <v/>
      </c>
      <c r="I719" s="9"/>
      <c r="J719" s="9"/>
      <c r="K719" s="9"/>
      <c r="L719" s="9" t="str">
        <f t="shared" si="585"/>
        <v/>
      </c>
      <c r="M719" s="10" t="str">
        <f t="shared" si="586"/>
        <v/>
      </c>
      <c r="N719" s="11"/>
      <c r="O719" s="2"/>
      <c r="P719" s="12"/>
      <c r="Q719" s="9"/>
      <c r="R719" s="9"/>
      <c r="S719" s="9"/>
      <c r="T719" s="9"/>
      <c r="U719" s="9"/>
      <c r="V719" s="9"/>
      <c r="W719" s="9"/>
      <c r="X719" s="15"/>
      <c r="Y719" s="9"/>
      <c r="Z719" s="9"/>
      <c r="AA719" s="10"/>
      <c r="AB719" s="11"/>
      <c r="AD719" s="12"/>
      <c r="AE719" s="9"/>
      <c r="AF719" s="9"/>
      <c r="AG719" s="9"/>
      <c r="AH719" s="9"/>
      <c r="AI719" s="9"/>
      <c r="AJ719" s="9"/>
      <c r="AK719" s="9"/>
      <c r="AL719" s="47"/>
      <c r="AM719" s="9"/>
      <c r="AN719" s="9"/>
      <c r="AO719" s="10"/>
      <c r="AP719" s="11"/>
    </row>
    <row r="720" spans="1:42" ht="15" customHeight="1" thickBot="1">
      <c r="A720" s="12"/>
      <c r="B720" s="8"/>
      <c r="C720" s="9"/>
      <c r="D720" s="9" t="str">
        <f t="shared" si="591"/>
        <v/>
      </c>
      <c r="E720" s="9"/>
      <c r="F720" s="9" t="str">
        <f t="shared" si="592"/>
        <v/>
      </c>
      <c r="G720" s="9"/>
      <c r="H720" s="9" t="str">
        <f t="shared" si="593"/>
        <v/>
      </c>
      <c r="I720" s="9"/>
      <c r="J720" s="9"/>
      <c r="K720" s="9"/>
      <c r="L720" s="9" t="str">
        <f t="shared" si="585"/>
        <v/>
      </c>
      <c r="M720" s="10" t="str">
        <f t="shared" si="586"/>
        <v/>
      </c>
      <c r="N720" s="11"/>
      <c r="O720" s="2"/>
      <c r="P720" s="18"/>
      <c r="Q720" s="19"/>
      <c r="R720" s="19"/>
      <c r="S720" s="19"/>
      <c r="T720" s="19"/>
      <c r="U720" s="19"/>
      <c r="V720" s="19"/>
      <c r="W720" s="19"/>
      <c r="X720" s="22"/>
      <c r="Y720" s="51"/>
      <c r="Z720" s="19"/>
      <c r="AA720" s="20"/>
      <c r="AB720" s="11"/>
      <c r="AD720" s="18"/>
      <c r="AE720" s="19"/>
      <c r="AF720" s="19"/>
      <c r="AG720" s="19"/>
      <c r="AH720" s="19"/>
      <c r="AI720" s="19"/>
      <c r="AJ720" s="19"/>
      <c r="AK720" s="19"/>
      <c r="AL720" s="48"/>
      <c r="AM720" s="51"/>
      <c r="AN720" s="19"/>
      <c r="AO720" s="20"/>
      <c r="AP720" s="11"/>
    </row>
    <row r="721" spans="1:42" ht="15" customHeight="1" thickTop="1">
      <c r="A721" s="12"/>
      <c r="B721" s="8"/>
      <c r="C721" s="9"/>
      <c r="D721" s="9" t="str">
        <f t="shared" si="591"/>
        <v/>
      </c>
      <c r="E721" s="9"/>
      <c r="F721" s="9" t="str">
        <f t="shared" si="592"/>
        <v/>
      </c>
      <c r="G721" s="9"/>
      <c r="H721" s="9" t="str">
        <f t="shared" si="593"/>
        <v/>
      </c>
      <c r="I721" s="9"/>
      <c r="J721" s="9"/>
      <c r="K721" s="9"/>
      <c r="L721" s="9" t="str">
        <f t="shared" si="585"/>
        <v/>
      </c>
      <c r="M721" s="10" t="str">
        <f t="shared" si="586"/>
        <v/>
      </c>
      <c r="N721" s="11"/>
      <c r="O721" s="2"/>
      <c r="P721" s="65"/>
      <c r="Q721" s="44"/>
      <c r="R721" s="44"/>
      <c r="S721" s="44"/>
      <c r="T721" s="44"/>
      <c r="U721" s="44"/>
      <c r="V721" s="44"/>
      <c r="W721" s="44"/>
      <c r="X721" s="64"/>
      <c r="Y721" s="44"/>
      <c r="Z721" s="44"/>
      <c r="AA721" s="44"/>
      <c r="AB721" s="11"/>
      <c r="AD721" s="65"/>
      <c r="AE721" s="44"/>
      <c r="AF721" s="44"/>
      <c r="AG721" s="44"/>
      <c r="AH721" s="44"/>
      <c r="AI721" s="44"/>
      <c r="AJ721" s="44"/>
      <c r="AK721" s="44"/>
      <c r="AL721" s="61"/>
      <c r="AM721" s="44"/>
      <c r="AN721" s="23"/>
      <c r="AO721" s="24"/>
      <c r="AP721" s="11"/>
    </row>
    <row r="722" spans="1:42" ht="15" customHeight="1">
      <c r="A722" s="12"/>
      <c r="B722" s="8"/>
      <c r="C722" s="9"/>
      <c r="D722" s="9"/>
      <c r="E722" s="9"/>
      <c r="F722" s="9" t="str">
        <f t="shared" si="592"/>
        <v/>
      </c>
      <c r="G722" s="9"/>
      <c r="H722" s="9" t="str">
        <f t="shared" si="593"/>
        <v/>
      </c>
      <c r="I722" s="9"/>
      <c r="J722" s="9"/>
      <c r="K722" s="9"/>
      <c r="L722" s="9" t="str">
        <f t="shared" si="585"/>
        <v/>
      </c>
      <c r="M722" s="10" t="str">
        <f t="shared" si="586"/>
        <v/>
      </c>
      <c r="N722" s="11"/>
      <c r="O722" s="2"/>
      <c r="P722" s="65"/>
      <c r="Q722" s="44"/>
      <c r="R722" s="44" t="str">
        <f t="shared" si="594"/>
        <v/>
      </c>
      <c r="S722" s="44"/>
      <c r="T722" s="44" t="str">
        <f t="shared" si="595"/>
        <v/>
      </c>
      <c r="U722" s="44"/>
      <c r="V722" s="44" t="str">
        <f t="shared" si="596"/>
        <v/>
      </c>
      <c r="W722" s="44"/>
      <c r="X722" s="64" t="str">
        <f t="shared" si="597"/>
        <v/>
      </c>
      <c r="Y722" s="44" t="str">
        <f t="shared" si="598"/>
        <v/>
      </c>
      <c r="Z722" s="44" t="str">
        <f t="shared" si="599"/>
        <v/>
      </c>
      <c r="AA722" s="44" t="str">
        <f t="shared" si="600"/>
        <v/>
      </c>
      <c r="AB722" s="11"/>
      <c r="AD722" s="65"/>
      <c r="AE722" s="44"/>
      <c r="AF722" s="44" t="str">
        <f t="shared" si="601"/>
        <v/>
      </c>
      <c r="AG722" s="44"/>
      <c r="AH722" s="44" t="str">
        <f t="shared" si="602"/>
        <v/>
      </c>
      <c r="AI722" s="44"/>
      <c r="AJ722" s="44" t="str">
        <f t="shared" si="603"/>
        <v/>
      </c>
      <c r="AK722" s="44"/>
      <c r="AL722" s="61" t="str">
        <f t="shared" si="606"/>
        <v/>
      </c>
      <c r="AM722" s="44" t="str">
        <f t="shared" si="607"/>
        <v/>
      </c>
      <c r="AN722" s="9" t="str">
        <f t="shared" si="604"/>
        <v/>
      </c>
      <c r="AO722" s="10" t="str">
        <f t="shared" si="605"/>
        <v/>
      </c>
      <c r="AP722" s="11"/>
    </row>
    <row r="723" spans="1:42" ht="15" customHeight="1">
      <c r="A723" s="12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0"/>
      <c r="N723" s="11"/>
      <c r="O723" s="2"/>
      <c r="P723" s="89"/>
      <c r="Q723" s="52"/>
      <c r="R723" s="52" t="str">
        <f t="shared" si="594"/>
        <v/>
      </c>
      <c r="S723" s="52"/>
      <c r="T723" s="52" t="str">
        <f t="shared" si="595"/>
        <v/>
      </c>
      <c r="U723" s="52"/>
      <c r="V723" s="52" t="str">
        <f t="shared" si="596"/>
        <v/>
      </c>
      <c r="W723" s="52"/>
      <c r="X723" s="90" t="str">
        <f t="shared" si="597"/>
        <v/>
      </c>
      <c r="Y723" s="52" t="str">
        <f t="shared" si="598"/>
        <v/>
      </c>
      <c r="Z723" s="52" t="str">
        <f t="shared" si="599"/>
        <v/>
      </c>
      <c r="AA723" s="52" t="str">
        <f t="shared" si="600"/>
        <v/>
      </c>
      <c r="AB723" s="31"/>
      <c r="AD723" s="89"/>
      <c r="AE723" s="52"/>
      <c r="AF723" s="52" t="str">
        <f t="shared" si="601"/>
        <v/>
      </c>
      <c r="AG723" s="52"/>
      <c r="AH723" s="52" t="str">
        <f t="shared" si="602"/>
        <v/>
      </c>
      <c r="AI723" s="52"/>
      <c r="AJ723" s="52" t="str">
        <f t="shared" si="603"/>
        <v/>
      </c>
      <c r="AK723" s="52"/>
      <c r="AL723" s="92" t="str">
        <f t="shared" si="606"/>
        <v/>
      </c>
      <c r="AM723" s="52" t="str">
        <f t="shared" si="607"/>
        <v/>
      </c>
      <c r="AN723" s="9" t="str">
        <f t="shared" si="604"/>
        <v/>
      </c>
      <c r="AO723" s="10" t="str">
        <f t="shared" si="605"/>
        <v/>
      </c>
      <c r="AP723" s="31"/>
    </row>
    <row r="724" spans="1:42" ht="15" customHeight="1" thickBot="1">
      <c r="A724" s="12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0"/>
      <c r="N724" s="11"/>
      <c r="O724" s="2"/>
      <c r="P724" s="85"/>
      <c r="Q724" s="50"/>
      <c r="R724" s="50" t="str">
        <f t="shared" si="594"/>
        <v/>
      </c>
      <c r="S724" s="50"/>
      <c r="T724" s="50" t="str">
        <f t="shared" si="595"/>
        <v/>
      </c>
      <c r="U724" s="50"/>
      <c r="V724" s="50" t="str">
        <f t="shared" si="596"/>
        <v/>
      </c>
      <c r="W724" s="50"/>
      <c r="X724" s="86" t="str">
        <f t="shared" si="597"/>
        <v/>
      </c>
      <c r="Y724" s="50" t="str">
        <f t="shared" si="598"/>
        <v/>
      </c>
      <c r="Z724" s="50" t="str">
        <f t="shared" si="599"/>
        <v/>
      </c>
      <c r="AA724" s="50" t="str">
        <f t="shared" si="600"/>
        <v/>
      </c>
      <c r="AB724" s="87"/>
      <c r="AD724" s="85"/>
      <c r="AE724" s="50"/>
      <c r="AF724" s="50" t="str">
        <f t="shared" si="601"/>
        <v/>
      </c>
      <c r="AG724" s="50"/>
      <c r="AH724" s="50" t="str">
        <f t="shared" si="602"/>
        <v/>
      </c>
      <c r="AI724" s="50"/>
      <c r="AJ724" s="50" t="str">
        <f t="shared" si="603"/>
        <v/>
      </c>
      <c r="AK724" s="50"/>
      <c r="AL724" s="91" t="str">
        <f t="shared" si="606"/>
        <v/>
      </c>
      <c r="AM724" s="50" t="str">
        <f t="shared" si="607"/>
        <v/>
      </c>
      <c r="AN724" s="19" t="str">
        <f t="shared" si="604"/>
        <v/>
      </c>
      <c r="AO724" s="20" t="str">
        <f t="shared" si="605"/>
        <v/>
      </c>
      <c r="AP724" s="87"/>
    </row>
    <row r="725" spans="1:42" ht="15" customHeight="1" thickTop="1">
      <c r="A725" s="4">
        <v>32</v>
      </c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0"/>
      <c r="N725" s="11"/>
      <c r="O725" s="2"/>
      <c r="P725" s="65"/>
      <c r="Q725" s="84" t="s">
        <v>17</v>
      </c>
      <c r="R725" s="44">
        <f>SUM(R669:R721)*100</f>
        <v>344500</v>
      </c>
      <c r="S725" s="44"/>
      <c r="T725" s="44"/>
      <c r="U725" s="84"/>
      <c r="V725" s="44"/>
      <c r="W725" s="44"/>
      <c r="X725" s="195" t="s">
        <v>19</v>
      </c>
      <c r="Y725" s="195"/>
      <c r="Z725" s="44">
        <f>SUM(Z669:Z721)</f>
        <v>58887</v>
      </c>
      <c r="AA725" s="44"/>
      <c r="AB725" s="69"/>
      <c r="AD725" s="65"/>
      <c r="AE725" s="84" t="s">
        <v>17</v>
      </c>
      <c r="AF725" s="44">
        <f>SUM(AF669:AF721)*100</f>
        <v>506600</v>
      </c>
      <c r="AG725" s="44"/>
      <c r="AH725" s="44"/>
      <c r="AI725" s="84"/>
      <c r="AJ725" s="44"/>
      <c r="AK725" s="44"/>
      <c r="AL725" s="195" t="s">
        <v>19</v>
      </c>
      <c r="AM725" s="195"/>
      <c r="AN725" s="44">
        <f>SUM(AN669:AN721)</f>
        <v>64128</v>
      </c>
      <c r="AO725" s="44"/>
      <c r="AP725" s="69"/>
    </row>
    <row r="726" spans="1:42" ht="15" customHeight="1">
      <c r="A726" s="96">
        <f>DATEDIF(A$750,A$679,"d")</f>
        <v>32</v>
      </c>
      <c r="B726" s="8">
        <f>SUM(B669:B725)</f>
        <v>10821</v>
      </c>
      <c r="C726" s="5" t="s">
        <v>17</v>
      </c>
      <c r="D726" s="9">
        <f>SUM(D669:D722)*100</f>
        <v>231000</v>
      </c>
      <c r="E726" s="9"/>
      <c r="F726" s="9"/>
      <c r="G726" s="5"/>
      <c r="H726" s="9"/>
      <c r="I726" s="9"/>
      <c r="J726" s="9"/>
      <c r="K726" s="9"/>
      <c r="L726" s="9"/>
      <c r="M726" s="9"/>
      <c r="N726" s="11"/>
      <c r="O726" s="2"/>
      <c r="P726" s="25"/>
      <c r="Q726" s="5" t="s">
        <v>20</v>
      </c>
      <c r="R726" s="9">
        <f>R725/$A726</f>
        <v>10765.625</v>
      </c>
      <c r="S726" s="9">
        <f>R726*A725</f>
        <v>344500</v>
      </c>
      <c r="T726" s="9"/>
      <c r="U726" s="5"/>
      <c r="V726" s="9"/>
      <c r="W726" s="9"/>
      <c r="X726" s="178" t="s">
        <v>21</v>
      </c>
      <c r="Y726" s="178"/>
      <c r="Z726" s="9"/>
      <c r="AA726" s="28">
        <f>Z725/R725</f>
        <v>0.17093468795355587</v>
      </c>
      <c r="AB726" s="11"/>
      <c r="AD726" s="40"/>
      <c r="AE726" s="5" t="s">
        <v>20</v>
      </c>
      <c r="AF726" s="9">
        <f>AF725/$A726</f>
        <v>15831.25</v>
      </c>
      <c r="AG726" s="9">
        <f>AF726*A725</f>
        <v>506600</v>
      </c>
      <c r="AH726" s="9"/>
      <c r="AI726" s="5"/>
      <c r="AJ726" s="9"/>
      <c r="AK726" s="9"/>
      <c r="AL726" s="178" t="s">
        <v>21</v>
      </c>
      <c r="AM726" s="178"/>
      <c r="AN726" s="9"/>
      <c r="AO726" s="28">
        <f>AN725/AF725</f>
        <v>0.12658507698381366</v>
      </c>
      <c r="AP726" s="11"/>
    </row>
    <row r="727" spans="1:42" ht="15" customHeight="1">
      <c r="A727" s="97"/>
      <c r="B727" s="8">
        <f>B726/A726</f>
        <v>338.15625</v>
      </c>
      <c r="C727" s="5" t="s">
        <v>20</v>
      </c>
      <c r="D727" s="9">
        <f>D726/A726</f>
        <v>7218.75</v>
      </c>
      <c r="E727" s="9">
        <f>D727*A725</f>
        <v>231000</v>
      </c>
      <c r="F727" s="9"/>
      <c r="G727" s="5"/>
      <c r="H727" s="9"/>
      <c r="I727" s="9"/>
      <c r="J727" s="9"/>
      <c r="K727" s="9"/>
      <c r="L727" s="9"/>
      <c r="M727" s="9"/>
      <c r="N727" s="11"/>
      <c r="O727" s="2"/>
      <c r="P727" s="12"/>
      <c r="Q727" s="58" t="s">
        <v>23</v>
      </c>
      <c r="R727" s="9">
        <f>R725*0.6</f>
        <v>206700</v>
      </c>
      <c r="S727" s="9"/>
      <c r="T727" s="9"/>
      <c r="U727" s="5"/>
      <c r="V727" s="9"/>
      <c r="W727" s="9"/>
      <c r="X727" s="178" t="s">
        <v>24</v>
      </c>
      <c r="Y727" s="178"/>
      <c r="Z727" s="9">
        <f>R727-Z725</f>
        <v>147813</v>
      </c>
      <c r="AA727" s="28">
        <f>Z727/R725</f>
        <v>0.4290653120464441</v>
      </c>
      <c r="AB727" s="11"/>
      <c r="AD727" s="12"/>
      <c r="AE727" s="58" t="s">
        <v>23</v>
      </c>
      <c r="AF727" s="9">
        <f>AF725*0.6</f>
        <v>303960</v>
      </c>
      <c r="AG727" s="9"/>
      <c r="AH727" s="9"/>
      <c r="AI727" s="5"/>
      <c r="AJ727" s="9"/>
      <c r="AK727" s="9"/>
      <c r="AL727" s="178" t="s">
        <v>24</v>
      </c>
      <c r="AM727" s="178"/>
      <c r="AN727" s="9">
        <f>AF727-AN725</f>
        <v>239832</v>
      </c>
      <c r="AO727" s="28">
        <f>AN727/AF725</f>
        <v>0.47341492301618632</v>
      </c>
      <c r="AP727" s="11"/>
    </row>
    <row r="728" spans="1:42" ht="15" customHeight="1">
      <c r="A728" s="12"/>
      <c r="B728" s="8">
        <f>B727*30</f>
        <v>10144.6875</v>
      </c>
      <c r="C728" s="5" t="s">
        <v>23</v>
      </c>
      <c r="D728" s="9">
        <f>D726*0.6</f>
        <v>138600</v>
      </c>
      <c r="E728" s="9"/>
      <c r="F728" s="9"/>
      <c r="G728" s="180" t="s">
        <v>27</v>
      </c>
      <c r="H728" s="180"/>
      <c r="I728" s="9">
        <f>(G679+I679)*K679</f>
        <v>36080</v>
      </c>
      <c r="J728" s="9"/>
      <c r="K728" s="9"/>
      <c r="L728" s="9"/>
      <c r="M728" s="9"/>
      <c r="N728" s="11"/>
      <c r="O728" s="2"/>
      <c r="P728" s="65"/>
      <c r="Q728" s="5" t="s">
        <v>25</v>
      </c>
      <c r="R728" s="9">
        <f>R799</f>
        <v>473000</v>
      </c>
      <c r="S728" s="9"/>
      <c r="T728" s="9"/>
      <c r="U728" s="5"/>
      <c r="V728" s="9"/>
      <c r="W728" s="17"/>
      <c r="X728" s="182" t="s">
        <v>27</v>
      </c>
      <c r="Y728" s="182"/>
      <c r="Z728" s="44">
        <f>(U709+W709)*Y709+(U710+W710)*Y710+(U711+W711)*Y711+(U712+W712)*Y712</f>
        <v>82084</v>
      </c>
      <c r="AA728" s="10"/>
      <c r="AB728" s="11"/>
      <c r="AD728" s="65"/>
      <c r="AE728" s="5" t="s">
        <v>25</v>
      </c>
      <c r="AF728" s="9">
        <f>AF799</f>
        <v>449200</v>
      </c>
      <c r="AG728" s="9"/>
      <c r="AH728" s="9"/>
      <c r="AI728" s="5"/>
      <c r="AJ728" s="9"/>
      <c r="AK728" s="17"/>
      <c r="AL728" s="182" t="s">
        <v>27</v>
      </c>
      <c r="AM728" s="182"/>
      <c r="AN728" s="44">
        <f>(AI709+AK709)*AM709+(AI710+AK710)*AM710+(AI711+AK711)*AM711+(AI712+AK712)*AM712</f>
        <v>43826</v>
      </c>
      <c r="AO728" s="10"/>
      <c r="AP728" s="11"/>
    </row>
    <row r="729" spans="1:42" ht="15" customHeight="1">
      <c r="A729" s="12"/>
      <c r="B729" s="8"/>
      <c r="C729" s="5" t="s">
        <v>25</v>
      </c>
      <c r="D729" s="9">
        <f>D800</f>
        <v>159100</v>
      </c>
      <c r="E729" s="9"/>
      <c r="F729" s="9"/>
      <c r="G729" s="5" t="s">
        <v>22</v>
      </c>
      <c r="H729" s="9">
        <f>SUM(L669:L722)</f>
        <v>51920</v>
      </c>
      <c r="I729" s="28">
        <f>H729/D726</f>
        <v>0.22476190476190477</v>
      </c>
      <c r="J729" s="28"/>
      <c r="K729" s="9"/>
      <c r="L729" s="9"/>
      <c r="M729" s="9"/>
      <c r="N729" s="11"/>
      <c r="O729" s="2"/>
      <c r="P729" s="65"/>
      <c r="Q729" s="5"/>
      <c r="R729" s="9"/>
      <c r="S729" s="9"/>
      <c r="T729" s="9"/>
      <c r="U729" s="5"/>
      <c r="V729" s="9"/>
      <c r="W729" s="17"/>
      <c r="X729" s="100"/>
      <c r="Y729" s="103"/>
      <c r="Z729" s="62"/>
      <c r="AA729" s="10"/>
      <c r="AB729" s="11"/>
      <c r="AD729" s="65"/>
      <c r="AE729" s="5"/>
      <c r="AF729" s="9"/>
      <c r="AG729" s="9"/>
      <c r="AH729" s="9"/>
      <c r="AI729" s="5"/>
      <c r="AJ729" s="9"/>
      <c r="AK729" s="17"/>
      <c r="AL729" s="100"/>
      <c r="AM729" s="103"/>
      <c r="AN729" s="62"/>
      <c r="AO729" s="10"/>
      <c r="AP729" s="11"/>
    </row>
    <row r="730" spans="1:42" ht="15" customHeight="1">
      <c r="A730" s="12"/>
      <c r="B730" s="8"/>
      <c r="C730" s="58"/>
      <c r="D730" s="9"/>
      <c r="E730" s="9"/>
      <c r="F730" s="9"/>
      <c r="G730" s="30" t="s">
        <v>24</v>
      </c>
      <c r="H730" s="26">
        <f>D728-H729</f>
        <v>86680</v>
      </c>
      <c r="I730" s="28">
        <f>H730/D726</f>
        <v>0.37523809523809526</v>
      </c>
      <c r="J730" s="28"/>
      <c r="K730" s="9"/>
      <c r="L730" s="9"/>
      <c r="M730" s="9"/>
      <c r="N730" s="11"/>
      <c r="O730" s="2"/>
      <c r="P730" s="65"/>
      <c r="Q730" s="5"/>
      <c r="R730" s="9"/>
      <c r="S730" s="26"/>
      <c r="T730" s="9"/>
      <c r="U730" s="5"/>
      <c r="V730" s="9"/>
      <c r="W730" s="17"/>
      <c r="X730" s="100"/>
      <c r="Y730" s="103"/>
      <c r="Z730" s="62"/>
      <c r="AA730" s="10"/>
      <c r="AB730" s="11"/>
      <c r="AD730" s="65"/>
      <c r="AE730" s="5"/>
      <c r="AF730" s="9"/>
      <c r="AG730" s="26"/>
      <c r="AH730" s="9"/>
      <c r="AI730" s="5"/>
      <c r="AJ730" s="9"/>
      <c r="AK730" s="17"/>
      <c r="AL730" s="100"/>
      <c r="AM730" s="103"/>
      <c r="AN730" s="62"/>
      <c r="AO730" s="10"/>
      <c r="AP730" s="11"/>
    </row>
    <row r="731" spans="1:42" ht="15" customHeight="1">
      <c r="A731" s="33"/>
      <c r="B731" s="32"/>
      <c r="C731" s="58"/>
      <c r="D731" s="9"/>
      <c r="E731" s="9"/>
      <c r="F731" s="9"/>
      <c r="G731" s="104"/>
      <c r="H731" s="106"/>
      <c r="I731" s="28"/>
      <c r="J731" s="28"/>
      <c r="K731" s="9"/>
      <c r="L731" s="9"/>
      <c r="M731" s="9"/>
      <c r="N731" s="11"/>
      <c r="O731" s="2"/>
      <c r="P731" s="65"/>
      <c r="Q731" s="5"/>
      <c r="R731" s="17"/>
      <c r="S731" s="111"/>
      <c r="T731" s="45"/>
      <c r="U731" s="5"/>
      <c r="V731" s="9"/>
      <c r="W731" s="17"/>
      <c r="X731" s="100"/>
      <c r="Y731" s="103"/>
      <c r="Z731" s="62"/>
      <c r="AA731" s="10"/>
      <c r="AB731" s="11"/>
      <c r="AD731" s="65"/>
      <c r="AE731" s="5"/>
      <c r="AF731" s="17"/>
      <c r="AG731" s="111"/>
      <c r="AH731" s="45"/>
      <c r="AI731" s="5"/>
      <c r="AJ731" s="9"/>
      <c r="AK731" s="17"/>
      <c r="AL731" s="100"/>
      <c r="AM731" s="103"/>
      <c r="AN731" s="62"/>
      <c r="AO731" s="10"/>
      <c r="AP731" s="11"/>
    </row>
    <row r="732" spans="1:42" ht="15" customHeight="1">
      <c r="A732" s="98"/>
      <c r="B732" s="99"/>
      <c r="C732" s="5"/>
      <c r="D732" s="9"/>
      <c r="E732" s="9"/>
      <c r="F732" s="9"/>
      <c r="G732" s="27"/>
      <c r="H732" s="17"/>
      <c r="I732" s="28"/>
      <c r="J732" s="28"/>
      <c r="K732" s="10"/>
      <c r="L732" s="10"/>
      <c r="M732" s="10"/>
      <c r="N732" s="11"/>
      <c r="O732" s="2"/>
      <c r="P732" s="12"/>
      <c r="Q732" s="9"/>
      <c r="R732" s="9"/>
      <c r="T732" s="9"/>
      <c r="U732" s="5"/>
      <c r="V732" s="9"/>
      <c r="W732" s="9"/>
      <c r="X732" s="41"/>
      <c r="Y732" s="67"/>
      <c r="Z732" s="10"/>
      <c r="AA732" s="10"/>
      <c r="AB732" s="11"/>
      <c r="AD732" s="12"/>
      <c r="AE732" s="9"/>
      <c r="AF732" s="9"/>
      <c r="AH732" s="9"/>
      <c r="AI732" s="5"/>
      <c r="AJ732" s="9"/>
      <c r="AK732" s="9"/>
      <c r="AL732" s="54"/>
      <c r="AM732" s="67"/>
      <c r="AN732" s="10"/>
      <c r="AO732" s="10"/>
      <c r="AP732" s="11"/>
    </row>
    <row r="733" spans="1:42" ht="15" customHeight="1">
      <c r="A733" s="191" t="s">
        <v>43</v>
      </c>
      <c r="B733" s="191"/>
      <c r="C733" s="192" t="s">
        <v>46</v>
      </c>
      <c r="D733" s="192"/>
      <c r="E733" s="192" t="s">
        <v>47</v>
      </c>
      <c r="F733" s="192"/>
      <c r="G733" s="102"/>
      <c r="H733" s="93"/>
      <c r="I733" s="101"/>
      <c r="J733" s="101"/>
      <c r="K733" s="10"/>
      <c r="L733" s="10"/>
      <c r="M733" s="10"/>
      <c r="N733" s="11"/>
      <c r="O733" s="2"/>
      <c r="P733" s="79"/>
      <c r="Q733" s="45"/>
      <c r="R733" s="9"/>
      <c r="S733" s="5"/>
      <c r="T733" s="9"/>
      <c r="U733" s="5"/>
      <c r="V733" s="9"/>
      <c r="W733" s="9"/>
      <c r="X733" s="41"/>
      <c r="Y733" s="67"/>
      <c r="Z733" s="10"/>
      <c r="AA733" s="10"/>
      <c r="AB733" s="11"/>
      <c r="AD733" s="79"/>
      <c r="AE733" s="45"/>
      <c r="AF733" s="9"/>
      <c r="AG733" s="5"/>
      <c r="AH733" s="9"/>
      <c r="AI733" s="5"/>
      <c r="AJ733" s="9"/>
      <c r="AK733" s="9"/>
      <c r="AL733" s="54"/>
      <c r="AM733" s="67"/>
      <c r="AN733" s="10"/>
      <c r="AO733" s="10"/>
      <c r="AP733" s="11"/>
    </row>
    <row r="734" spans="1:42">
      <c r="A734" s="193">
        <f>E727+S726+AG726</f>
        <v>1082100</v>
      </c>
      <c r="B734" s="193"/>
      <c r="C734" s="194">
        <f>H729+Z725+AN725</f>
        <v>174935</v>
      </c>
      <c r="D734" s="194"/>
      <c r="E734" s="194">
        <f>I728+Z728+AN728</f>
        <v>161990</v>
      </c>
      <c r="F734" s="194"/>
      <c r="G734" s="84"/>
      <c r="H734" s="44"/>
      <c r="I734" s="28"/>
      <c r="J734" s="28"/>
      <c r="K734" s="10"/>
      <c r="L734" s="10"/>
      <c r="M734" s="10"/>
      <c r="N734" s="11"/>
      <c r="O734" s="2"/>
      <c r="P734" s="165" t="s">
        <v>26</v>
      </c>
      <c r="Q734" s="165"/>
      <c r="R734" s="29">
        <f>SUM(R669,R673,R677,R681,R685,R689,R694,R697,R701,R705,R709,R713,R717)*100</f>
        <v>82800</v>
      </c>
      <c r="S734" s="45"/>
      <c r="T734" s="9"/>
      <c r="U734" s="5">
        <f>R734/V734</f>
        <v>2178.9473684210525</v>
      </c>
      <c r="V734" s="29">
        <f>SUM(V669,V673,V677,V681,V685,V689,V694,V697,V701,V705,V709,V713,V717)</f>
        <v>38</v>
      </c>
      <c r="W734" s="9"/>
      <c r="X734" s="64" t="str">
        <f t="shared" ref="X734:Y737" si="608">X669</f>
        <v>キティサンダルキーホルダー</v>
      </c>
      <c r="Y734" s="62">
        <f t="shared" si="608"/>
        <v>600</v>
      </c>
      <c r="Z734" s="29">
        <f>SUM(Z669,Z673,Z677,Z681,Z685,Z689,Z694,Z697,Z701,Z705,Z709,Z713,Z717)</f>
        <v>22800</v>
      </c>
      <c r="AA734" s="28">
        <f>Z734/R734</f>
        <v>0.27536231884057971</v>
      </c>
      <c r="AB734" s="11"/>
      <c r="AC734" s="16"/>
      <c r="AD734" s="165" t="s">
        <v>26</v>
      </c>
      <c r="AE734" s="165"/>
      <c r="AF734" s="29">
        <f>SUM(AF669,AF673,AF677,AF681,AF685,AF689,AF693,AF697,AF701,AF705,AF709,AF713,AF717)*100</f>
        <v>63100</v>
      </c>
      <c r="AG734" s="45"/>
      <c r="AH734" s="9"/>
      <c r="AI734" s="5">
        <f>AF734/AJ734</f>
        <v>3321.0526315789475</v>
      </c>
      <c r="AJ734" s="29">
        <f>SUM(AJ669,AJ673,AJ677,AJ681,AJ685,AJ689,AJ694,AJ697,AJ701,AJ705,AJ709,AJ713,AJ717)</f>
        <v>19</v>
      </c>
      <c r="AK734" s="9"/>
      <c r="AL734" s="61" t="str">
        <f t="shared" ref="AL734:AM737" si="609">AL669</f>
        <v>こびとづかんキーケース</v>
      </c>
      <c r="AM734" s="62">
        <f t="shared" si="609"/>
        <v>1045</v>
      </c>
      <c r="AN734" s="29">
        <f>SUM(AN669,AN673,AN677,AN681,AN685,AN689,AN694,AN697,AN701,AN705,AN709,AN713,AN717)</f>
        <v>13340</v>
      </c>
      <c r="AO734" s="28">
        <f>AN734/AF734</f>
        <v>0.21141045958795562</v>
      </c>
      <c r="AP734" s="11"/>
    </row>
    <row r="735" spans="1:42">
      <c r="A735" s="95"/>
      <c r="B735" s="95"/>
      <c r="C735" s="45"/>
      <c r="D735" s="105">
        <f>C734/A734</f>
        <v>0.16166250808612884</v>
      </c>
      <c r="E735" s="9"/>
      <c r="F735" s="9"/>
      <c r="G735" s="5"/>
      <c r="H735" s="9"/>
      <c r="I735" s="9"/>
      <c r="J735" s="9"/>
      <c r="K735" s="9"/>
      <c r="L735" s="9"/>
      <c r="M735" s="9"/>
      <c r="N735" s="11"/>
      <c r="O735" s="2"/>
      <c r="P735" s="165" t="s">
        <v>26</v>
      </c>
      <c r="Q735" s="165"/>
      <c r="R735" s="29">
        <f>SUM(R670,R674,R678,R682,R686,R690,R693,R698,R702,R706,R710,R714,R718)*100</f>
        <v>96800</v>
      </c>
      <c r="S735" s="45"/>
      <c r="T735" s="9"/>
      <c r="U735" s="5">
        <f>R735/V735</f>
        <v>4208.695652173913</v>
      </c>
      <c r="V735" s="29">
        <f>SUM(V670,V674,V678,V682,V686,V690,V693,V698,V702,V706,V710,V714,V718)</f>
        <v>23</v>
      </c>
      <c r="W735" s="9"/>
      <c r="X735" s="64" t="str">
        <f t="shared" si="608"/>
        <v>キティフェイスポーチ</v>
      </c>
      <c r="Y735" s="62">
        <f t="shared" si="608"/>
        <v>957</v>
      </c>
      <c r="Z735" s="29">
        <f>SUM(Z670,Z674,Z678,Z682,Z686,Z690,Z693,Z698,Z702,Z706,Z710,Z714,Z718)</f>
        <v>17013</v>
      </c>
      <c r="AA735" s="28">
        <f>Z735/R735</f>
        <v>0.17575413223140496</v>
      </c>
      <c r="AB735" s="11"/>
      <c r="AC735" s="1"/>
      <c r="AD735" s="165" t="s">
        <v>26</v>
      </c>
      <c r="AE735" s="165"/>
      <c r="AF735" s="29">
        <f>SUM(AF670,AF674,AF678,AF682,AF686,AF690,AF694,AF698,AF702,AF706,AF710,AF714,AF718)*100</f>
        <v>73800</v>
      </c>
      <c r="AG735" s="45"/>
      <c r="AH735" s="9"/>
      <c r="AI735" s="5">
        <f>AF735/AJ735</f>
        <v>6150</v>
      </c>
      <c r="AJ735" s="29">
        <f>SUM(AJ670,AJ674,AJ678,AJ682,AJ686,AJ690,AJ693,AJ698,AJ702,AJ706,AJ710,AJ714,AJ718)</f>
        <v>12</v>
      </c>
      <c r="AK735" s="9"/>
      <c r="AL735" s="61" t="str">
        <f t="shared" si="609"/>
        <v>デジタルミニカメラ</v>
      </c>
      <c r="AM735" s="62">
        <f t="shared" si="609"/>
        <v>800</v>
      </c>
      <c r="AN735" s="29">
        <f>SUM(AN670,AN674,AN678,AN682,AN686,AN690,AN693,AN698,AN702,AN706,AN710,AN714,AN718)</f>
        <v>9600</v>
      </c>
      <c r="AO735" s="28">
        <f>AN735/AF735</f>
        <v>0.13008130081300814</v>
      </c>
      <c r="AP735" s="11"/>
    </row>
    <row r="736" spans="1:42">
      <c r="A736" s="95"/>
      <c r="B736" s="95"/>
      <c r="C736" s="45"/>
      <c r="D736" s="9"/>
      <c r="E736" s="9"/>
      <c r="F736" s="9"/>
      <c r="G736" s="5"/>
      <c r="H736" s="9"/>
      <c r="I736" s="9"/>
      <c r="J736" s="9"/>
      <c r="K736" s="9"/>
      <c r="L736" s="9"/>
      <c r="M736" s="9"/>
      <c r="N736" s="11"/>
      <c r="O736" s="2"/>
      <c r="P736" s="165" t="s">
        <v>26</v>
      </c>
      <c r="Q736" s="165"/>
      <c r="R736" s="29">
        <f>SUM(R671,R675,R679,R683,R687,R691,R695,R699,R703,R707,R711,R715,R719)*100</f>
        <v>66000</v>
      </c>
      <c r="S736" s="45"/>
      <c r="T736" s="9"/>
      <c r="U736" s="5">
        <f>R736/V736</f>
        <v>6000</v>
      </c>
      <c r="V736" s="29">
        <f>SUM(V671,V675,V679,V684,V687,V691,V695,V699,V703,V707,V711,V715,V719)</f>
        <v>11</v>
      </c>
      <c r="W736" s="9"/>
      <c r="X736" s="64" t="str">
        <f t="shared" si="608"/>
        <v>ギャルキティキーケース</v>
      </c>
      <c r="Y736" s="62">
        <f t="shared" si="608"/>
        <v>726</v>
      </c>
      <c r="Z736" s="29">
        <f>SUM(Z671,Z675,Z679,Z684,Z687,Z691,Z695,Z699,Z703,Z707,Z711,Z715,Z719)</f>
        <v>8822</v>
      </c>
      <c r="AA736" s="28">
        <f>Z736/R736</f>
        <v>0.13366666666666666</v>
      </c>
      <c r="AB736" s="11"/>
      <c r="AC736" s="1"/>
      <c r="AD736" s="165" t="s">
        <v>26</v>
      </c>
      <c r="AE736" s="165"/>
      <c r="AF736" s="29">
        <f>SUM(AF671,AF675,AF679,AF683,AF687,AF691,AF695,AF699,AF703,AF707,AF711,AF715,AF719)*100</f>
        <v>173200</v>
      </c>
      <c r="AG736" s="45"/>
      <c r="AH736" s="9"/>
      <c r="AI736" s="5">
        <f>AF736/AJ736</f>
        <v>2439.4366197183099</v>
      </c>
      <c r="AJ736" s="29">
        <f>SUM(AJ671,AJ675,AJ679,AJ684,AJ687,AJ691,AJ695,AJ699,AJ703,AJ707,AJ711,AJ715,AJ719)</f>
        <v>71</v>
      </c>
      <c r="AK736" s="9"/>
      <c r="AL736" s="61" t="str">
        <f t="shared" si="609"/>
        <v>ＡＩマスコット</v>
      </c>
      <c r="AM736" s="62">
        <f t="shared" si="609"/>
        <v>286</v>
      </c>
      <c r="AN736" s="29">
        <f>SUM(AN671,AN675,AN679,AN684,AN687,AN691,AN695,AN699,AN703,AN707,AN711,AN715,AN719)</f>
        <v>18672</v>
      </c>
      <c r="AO736" s="28">
        <f>AN736/AF736</f>
        <v>0.10780600461893765</v>
      </c>
      <c r="AP736" s="11"/>
    </row>
    <row r="737" spans="1:42">
      <c r="A737" s="95"/>
      <c r="B737" s="95"/>
      <c r="C737" s="45"/>
      <c r="D737" s="9"/>
      <c r="E737" s="9"/>
      <c r="F737" s="9"/>
      <c r="G737" s="5"/>
      <c r="H737" s="9"/>
      <c r="I737" s="9"/>
      <c r="J737" s="9"/>
      <c r="K737" s="9"/>
      <c r="L737" s="9"/>
      <c r="M737" s="9"/>
      <c r="N737" s="11"/>
      <c r="O737" s="2"/>
      <c r="P737" s="165" t="s">
        <v>26</v>
      </c>
      <c r="Q737" s="165"/>
      <c r="R737" s="29">
        <f>SUM(R672,R676,R680,R684,R688,R692,R696,R700,R704,R708,R712,R716,R720)*100</f>
        <v>98900</v>
      </c>
      <c r="S737" s="45"/>
      <c r="T737" s="9"/>
      <c r="U737" s="5">
        <f>R737/V737</f>
        <v>9890</v>
      </c>
      <c r="V737" s="29">
        <f>SUM(V672,V676,V680,V683,V688,V692,V696,V700,V704,V708,V712,V716,V720)</f>
        <v>10</v>
      </c>
      <c r="W737" s="9"/>
      <c r="X737" s="64" t="str">
        <f t="shared" si="608"/>
        <v>サンリオファン</v>
      </c>
      <c r="Y737" s="62">
        <f t="shared" si="608"/>
        <v>1100</v>
      </c>
      <c r="Z737" s="29">
        <f>SUM(Z672,Z676,Z680,Z683,Z688,Z692,Z696,Z700,Z704,Z708,Z712,Z716,Z720)</f>
        <v>10252</v>
      </c>
      <c r="AA737" s="28">
        <f>Z737/R737</f>
        <v>0.10366026289180991</v>
      </c>
      <c r="AB737" s="11"/>
      <c r="AC737" s="1"/>
      <c r="AD737" s="165" t="s">
        <v>26</v>
      </c>
      <c r="AE737" s="165"/>
      <c r="AF737" s="29">
        <f>SUM(AF672,AF676,AF680,AF684,AF688,AF692,AF696,AF700,AF704,AF708,AF712,AF716,AF720)*100</f>
        <v>196500</v>
      </c>
      <c r="AG737" s="45"/>
      <c r="AH737" s="9"/>
      <c r="AI737" s="5">
        <f>AF737/AJ737</f>
        <v>1786.3636363636363</v>
      </c>
      <c r="AJ737" s="29">
        <f>SUM(AJ672,AJ676,AJ680,AJ683,AJ688,AJ692,AJ696,AJ700,AJ704,AJ708,AJ712,AJ716,AJ720)</f>
        <v>110</v>
      </c>
      <c r="AK737" s="9"/>
      <c r="AL737" s="61" t="str">
        <f t="shared" si="609"/>
        <v>AIモンスターラバー</v>
      </c>
      <c r="AM737" s="62">
        <f t="shared" si="609"/>
        <v>200</v>
      </c>
      <c r="AN737" s="29">
        <f>SUM(AN672,AN676,AN680,AN683,AN688,AN692,AN696,AN700,AN704,AN708,AN712,AN716,AN720)</f>
        <v>22516</v>
      </c>
      <c r="AO737" s="28">
        <f>AN737/AF737</f>
        <v>0.1145852417302799</v>
      </c>
      <c r="AP737" s="11"/>
    </row>
    <row r="738" spans="1:42">
      <c r="A738" s="95"/>
      <c r="B738" s="95"/>
      <c r="C738" s="45"/>
      <c r="D738" s="9"/>
      <c r="E738" s="9"/>
      <c r="F738" s="9"/>
      <c r="G738" s="5"/>
      <c r="H738" s="9"/>
      <c r="I738" s="9"/>
      <c r="J738" s="9"/>
      <c r="K738" s="9"/>
      <c r="L738" s="9"/>
      <c r="M738" s="9"/>
      <c r="N738" s="11"/>
      <c r="O738" s="2"/>
      <c r="P738" s="12"/>
      <c r="Q738" s="5" t="s">
        <v>17</v>
      </c>
      <c r="R738" s="9">
        <f>SUM(R734:R737)</f>
        <v>344500</v>
      </c>
      <c r="S738" s="45"/>
      <c r="T738" s="9"/>
      <c r="U738" s="9"/>
      <c r="V738" s="9">
        <f>SUM(V734:V737)</f>
        <v>82</v>
      </c>
      <c r="W738" s="9"/>
      <c r="X738" s="163" t="s">
        <v>28</v>
      </c>
      <c r="Y738" s="163"/>
      <c r="Z738" s="44">
        <f>SUM(Z734:Z737)</f>
        <v>58887</v>
      </c>
      <c r="AA738" s="68">
        <f>Z738/R738</f>
        <v>0.17093468795355587</v>
      </c>
      <c r="AB738" s="69"/>
      <c r="AC738" s="1"/>
      <c r="AD738" s="12"/>
      <c r="AE738" s="5" t="s">
        <v>17</v>
      </c>
      <c r="AF738" s="9">
        <f>SUM(AF734:AF737)</f>
        <v>506600</v>
      </c>
      <c r="AG738" s="45"/>
      <c r="AH738" s="9"/>
      <c r="AI738" s="9"/>
      <c r="AJ738" s="9">
        <f>SUM(AJ734:AJ737)</f>
        <v>212</v>
      </c>
      <c r="AK738" s="9"/>
      <c r="AL738" s="163" t="s">
        <v>28</v>
      </c>
      <c r="AM738" s="163"/>
      <c r="AN738" s="44">
        <f>SUM(AN734:AN737)</f>
        <v>64128</v>
      </c>
      <c r="AO738" s="68">
        <f>AN738/AF738</f>
        <v>0.12658507698381366</v>
      </c>
      <c r="AP738" s="11"/>
    </row>
    <row r="739" spans="1:42">
      <c r="A739" s="14"/>
      <c r="B739" s="76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2"/>
      <c r="P739" s="33"/>
      <c r="Q739" s="2"/>
      <c r="R739" s="2"/>
      <c r="S739" s="2"/>
      <c r="T739" s="2"/>
      <c r="U739" s="2"/>
      <c r="V739" s="2"/>
      <c r="W739" s="2"/>
      <c r="X739" s="43"/>
      <c r="Y739" s="2"/>
      <c r="Z739" s="2"/>
      <c r="AA739" s="2"/>
      <c r="AB739" s="42"/>
      <c r="AC739" s="1"/>
      <c r="AD739" s="33"/>
      <c r="AE739" s="2"/>
      <c r="AF739" s="2"/>
      <c r="AG739" s="2"/>
      <c r="AH739" s="2"/>
      <c r="AI739" s="2"/>
      <c r="AJ739" s="2"/>
      <c r="AK739" s="2"/>
      <c r="AL739" s="55"/>
      <c r="AM739" s="2"/>
      <c r="AN739" s="2"/>
      <c r="AO739" s="2"/>
      <c r="AP739" s="42"/>
    </row>
    <row r="740" spans="1:42" ht="15" customHeight="1">
      <c r="A740" s="33"/>
      <c r="B740" s="3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4"/>
      <c r="O740" s="2"/>
      <c r="P740" s="33"/>
      <c r="Q740" s="2"/>
      <c r="R740" s="2"/>
      <c r="S740" s="2"/>
      <c r="T740" s="2"/>
      <c r="U740" s="2"/>
      <c r="V740" s="2"/>
      <c r="W740" s="2"/>
      <c r="X740" s="43"/>
      <c r="Y740" s="2"/>
      <c r="Z740" s="2"/>
      <c r="AA740" s="2"/>
      <c r="AB740" s="42"/>
      <c r="AC740" s="2"/>
      <c r="AD740" s="33"/>
      <c r="AE740" s="2"/>
      <c r="AF740" s="2"/>
      <c r="AG740" s="2"/>
      <c r="AH740" s="2"/>
      <c r="AI740" s="2"/>
      <c r="AJ740" s="2"/>
      <c r="AK740" s="2"/>
      <c r="AL740" s="55"/>
      <c r="AM740" s="2"/>
      <c r="AN740" s="2"/>
      <c r="AO740" s="2"/>
      <c r="AP740" s="42"/>
    </row>
    <row r="741" spans="1:42">
      <c r="A741" s="188" t="s">
        <v>40</v>
      </c>
      <c r="B741" s="188"/>
      <c r="C741" s="189" t="s">
        <v>41</v>
      </c>
      <c r="D741" s="189"/>
      <c r="E741" s="36"/>
      <c r="F741" s="36"/>
      <c r="G741" s="59"/>
      <c r="H741" s="59"/>
      <c r="I741" s="59"/>
      <c r="J741" s="59"/>
      <c r="K741" s="59"/>
      <c r="L741" s="59"/>
      <c r="M741" s="59"/>
      <c r="N741" s="60"/>
      <c r="O741" s="56"/>
      <c r="P741" s="185" t="s">
        <v>39</v>
      </c>
      <c r="Q741" s="185"/>
      <c r="R741" s="185"/>
      <c r="S741" s="184" t="s">
        <v>38</v>
      </c>
      <c r="T741" s="184"/>
      <c r="U741" s="71"/>
      <c r="V741" s="71"/>
      <c r="W741" s="71"/>
      <c r="X741" s="72"/>
      <c r="Y741" s="71"/>
      <c r="Z741" s="71"/>
      <c r="AA741" s="71"/>
      <c r="AB741" s="73"/>
      <c r="AC741" s="74"/>
      <c r="AD741" s="185" t="s">
        <v>39</v>
      </c>
      <c r="AE741" s="185"/>
      <c r="AF741" s="185"/>
      <c r="AG741" s="184" t="s">
        <v>37</v>
      </c>
      <c r="AH741" s="184"/>
      <c r="AI741" s="71"/>
      <c r="AJ741" s="71"/>
      <c r="AK741" s="71"/>
      <c r="AL741" s="75"/>
      <c r="AM741" s="71"/>
      <c r="AN741" s="71"/>
      <c r="AO741" s="71"/>
      <c r="AP741" s="73"/>
    </row>
    <row r="742" spans="1:42">
      <c r="A742" s="7" t="s">
        <v>0</v>
      </c>
      <c r="B742" s="112" t="s">
        <v>34</v>
      </c>
      <c r="C742" s="5" t="s">
        <v>1</v>
      </c>
      <c r="D742" s="5" t="s">
        <v>2</v>
      </c>
      <c r="E742" s="6" t="s">
        <v>3</v>
      </c>
      <c r="F742" s="5" t="s">
        <v>2</v>
      </c>
      <c r="G742" s="5" t="s">
        <v>4</v>
      </c>
      <c r="H742" s="5" t="s">
        <v>5</v>
      </c>
      <c r="I742" s="5" t="s">
        <v>6</v>
      </c>
      <c r="J742" s="5"/>
      <c r="K742" s="5" t="s">
        <v>7</v>
      </c>
      <c r="L742" s="5" t="s">
        <v>8</v>
      </c>
      <c r="M742" s="5" t="s">
        <v>9</v>
      </c>
      <c r="N742" s="5" t="s">
        <v>10</v>
      </c>
      <c r="O742" s="2"/>
      <c r="P742" s="7" t="s">
        <v>0</v>
      </c>
      <c r="Q742" s="5" t="s">
        <v>1</v>
      </c>
      <c r="R742" s="5" t="s">
        <v>2</v>
      </c>
      <c r="S742" s="6" t="s">
        <v>3</v>
      </c>
      <c r="T742" s="5" t="s">
        <v>2</v>
      </c>
      <c r="U742" s="5" t="s">
        <v>4</v>
      </c>
      <c r="V742" s="5" t="s">
        <v>5</v>
      </c>
      <c r="W742" s="5" t="s">
        <v>6</v>
      </c>
      <c r="X742" s="6" t="s">
        <v>11</v>
      </c>
      <c r="Y742" s="5" t="s">
        <v>7</v>
      </c>
      <c r="Z742" s="5" t="s">
        <v>5</v>
      </c>
      <c r="AA742" s="5" t="s">
        <v>12</v>
      </c>
      <c r="AB742" s="5" t="s">
        <v>10</v>
      </c>
      <c r="AC742" s="3"/>
      <c r="AD742" s="7" t="s">
        <v>0</v>
      </c>
      <c r="AE742" s="5" t="s">
        <v>1</v>
      </c>
      <c r="AF742" s="5" t="s">
        <v>2</v>
      </c>
      <c r="AG742" s="6" t="s">
        <v>3</v>
      </c>
      <c r="AH742" s="5" t="s">
        <v>2</v>
      </c>
      <c r="AI742" s="5" t="s">
        <v>4</v>
      </c>
      <c r="AJ742" s="5" t="s">
        <v>5</v>
      </c>
      <c r="AK742" s="5" t="s">
        <v>6</v>
      </c>
      <c r="AL742" s="46" t="s">
        <v>11</v>
      </c>
      <c r="AM742" s="5" t="s">
        <v>7</v>
      </c>
      <c r="AN742" s="5" t="s">
        <v>5</v>
      </c>
      <c r="AO742" s="5" t="s">
        <v>12</v>
      </c>
      <c r="AP742" s="5" t="s">
        <v>10</v>
      </c>
    </row>
    <row r="743" spans="1:42">
      <c r="A743" s="12">
        <v>45856</v>
      </c>
      <c r="B743" s="8">
        <v>932</v>
      </c>
      <c r="C743" s="13">
        <v>21179</v>
      </c>
      <c r="D743" s="9">
        <v>57</v>
      </c>
      <c r="E743" s="9">
        <v>804</v>
      </c>
      <c r="F743" s="9">
        <v>3</v>
      </c>
      <c r="G743" s="9">
        <v>24</v>
      </c>
      <c r="H743" s="9">
        <v>6</v>
      </c>
      <c r="I743" s="9">
        <v>6</v>
      </c>
      <c r="J743" s="44"/>
      <c r="K743" s="44">
        <v>385</v>
      </c>
      <c r="L743" s="9">
        <v>2310</v>
      </c>
      <c r="M743" s="10">
        <v>0.40526315789473683</v>
      </c>
      <c r="N743" s="70"/>
      <c r="O743" s="2"/>
      <c r="P743" s="12">
        <v>45856</v>
      </c>
      <c r="Q743" s="44">
        <v>5424</v>
      </c>
      <c r="R743" s="44">
        <v>137</v>
      </c>
      <c r="S743" s="44">
        <v>146</v>
      </c>
      <c r="T743" s="44">
        <v>14</v>
      </c>
      <c r="U743" s="44">
        <v>35</v>
      </c>
      <c r="V743" s="44">
        <v>15</v>
      </c>
      <c r="W743" s="44">
        <v>0</v>
      </c>
      <c r="X743" s="64" t="s">
        <v>92</v>
      </c>
      <c r="Y743" s="62">
        <v>600</v>
      </c>
      <c r="Z743" s="44">
        <v>9000</v>
      </c>
      <c r="AA743" s="63">
        <v>0.65693430656934304</v>
      </c>
      <c r="AB743" s="11" t="s">
        <v>35</v>
      </c>
      <c r="AC743" s="1"/>
      <c r="AD743" s="12">
        <v>45856</v>
      </c>
      <c r="AE743" s="44">
        <v>4658</v>
      </c>
      <c r="AF743" s="44">
        <v>67</v>
      </c>
      <c r="AG743" s="44">
        <v>134</v>
      </c>
      <c r="AH743" s="44">
        <v>4</v>
      </c>
      <c r="AI743" s="44">
        <v>1</v>
      </c>
      <c r="AJ743" s="44">
        <v>5</v>
      </c>
      <c r="AK743" s="44">
        <v>9</v>
      </c>
      <c r="AL743" s="61" t="s">
        <v>102</v>
      </c>
      <c r="AM743" s="62">
        <v>1045</v>
      </c>
      <c r="AN743" s="44">
        <v>5225</v>
      </c>
      <c r="AO743" s="63">
        <v>0.77985074626865669</v>
      </c>
      <c r="AP743" s="11"/>
    </row>
    <row r="744" spans="1:42">
      <c r="A744" s="12">
        <v>45859</v>
      </c>
      <c r="B744" s="8">
        <f>IF(A744="","",SUM(D744)+SUM(R747:R750)+SUM(AF747:AF750))</f>
        <v>1223</v>
      </c>
      <c r="C744" s="13">
        <v>21443</v>
      </c>
      <c r="D744" s="9">
        <f t="shared" ref="D744:D756" si="610">IF(C744="","",C744-C743)</f>
        <v>264</v>
      </c>
      <c r="E744" s="9">
        <v>815</v>
      </c>
      <c r="F744" s="9">
        <f t="shared" ref="F744:F756" si="611">IF(E744="","",E744-E743)</f>
        <v>11</v>
      </c>
      <c r="G744" s="9">
        <v>18</v>
      </c>
      <c r="H744" s="9">
        <f t="shared" ref="H744:H756" si="612">IF(G744="","",G743+I743-G744)</f>
        <v>12</v>
      </c>
      <c r="I744" s="9">
        <v>0</v>
      </c>
      <c r="J744" s="44"/>
      <c r="K744" s="44">
        <f t="shared" ref="K744:K756" si="613">IF(C744="","",K743)</f>
        <v>385</v>
      </c>
      <c r="L744" s="9">
        <f t="shared" ref="L744:L756" si="614">IF(K744="","",H744*K744)</f>
        <v>4620</v>
      </c>
      <c r="M744" s="10">
        <f t="shared" ref="M744:M756" si="615">IF(L744="","",L744/(D744*100))</f>
        <v>0.17499999999999999</v>
      </c>
      <c r="N744" s="34"/>
      <c r="O744" s="2"/>
      <c r="P744" s="12"/>
      <c r="Q744" s="9">
        <v>5874</v>
      </c>
      <c r="R744" s="9">
        <v>127</v>
      </c>
      <c r="S744" s="9">
        <v>136</v>
      </c>
      <c r="T744" s="9">
        <v>3</v>
      </c>
      <c r="U744" s="9">
        <v>8</v>
      </c>
      <c r="V744" s="9">
        <v>3</v>
      </c>
      <c r="W744" s="9">
        <v>2</v>
      </c>
      <c r="X744" s="64" t="s">
        <v>93</v>
      </c>
      <c r="Y744" s="44">
        <v>957</v>
      </c>
      <c r="Z744" s="9">
        <v>2871</v>
      </c>
      <c r="AA744" s="10">
        <v>0.22606299212598424</v>
      </c>
      <c r="AB744" s="11"/>
      <c r="AC744" s="1"/>
      <c r="AD744" s="12"/>
      <c r="AE744" s="9">
        <v>6174</v>
      </c>
      <c r="AF744" s="9">
        <v>58</v>
      </c>
      <c r="AG744" s="9">
        <v>114</v>
      </c>
      <c r="AH744" s="9">
        <v>1</v>
      </c>
      <c r="AI744" s="9">
        <v>13</v>
      </c>
      <c r="AJ744" s="9">
        <v>1</v>
      </c>
      <c r="AK744" s="9">
        <v>0</v>
      </c>
      <c r="AL744" s="47" t="s">
        <v>42</v>
      </c>
      <c r="AM744" s="45">
        <v>748</v>
      </c>
      <c r="AN744" s="9">
        <v>748</v>
      </c>
      <c r="AO744" s="10">
        <v>0.12896551724137931</v>
      </c>
      <c r="AP744" s="11"/>
    </row>
    <row r="745" spans="1:42">
      <c r="A745" s="12">
        <v>45863</v>
      </c>
      <c r="B745" s="8">
        <f>IF(A745="","",SUM(D745)+SUM(R751:R754)+SUM(AF751:AF754))</f>
        <v>1008</v>
      </c>
      <c r="C745" s="13">
        <v>21552</v>
      </c>
      <c r="D745" s="9">
        <f t="shared" si="610"/>
        <v>109</v>
      </c>
      <c r="E745" s="9">
        <v>818</v>
      </c>
      <c r="F745" s="9">
        <f t="shared" si="611"/>
        <v>3</v>
      </c>
      <c r="G745" s="9">
        <v>14</v>
      </c>
      <c r="H745" s="9">
        <f t="shared" si="612"/>
        <v>4</v>
      </c>
      <c r="I745" s="9">
        <v>15</v>
      </c>
      <c r="J745" s="44"/>
      <c r="K745" s="44">
        <f t="shared" si="613"/>
        <v>385</v>
      </c>
      <c r="L745" s="9">
        <f t="shared" si="614"/>
        <v>1540</v>
      </c>
      <c r="M745" s="10">
        <f t="shared" si="615"/>
        <v>0.14128440366972478</v>
      </c>
      <c r="N745" s="11"/>
      <c r="O745" s="2"/>
      <c r="P745" s="12"/>
      <c r="Q745" s="9">
        <v>5881</v>
      </c>
      <c r="R745" s="9">
        <v>124</v>
      </c>
      <c r="S745" s="9">
        <v>281</v>
      </c>
      <c r="T745" s="9">
        <v>4</v>
      </c>
      <c r="U745" s="9">
        <v>16</v>
      </c>
      <c r="V745" s="9">
        <v>3</v>
      </c>
      <c r="W745" s="9">
        <v>2</v>
      </c>
      <c r="X745" s="15" t="s">
        <v>65</v>
      </c>
      <c r="Y745" s="45">
        <v>726</v>
      </c>
      <c r="Z745" s="9">
        <v>2178</v>
      </c>
      <c r="AA745" s="10">
        <v>0.17564516129032259</v>
      </c>
      <c r="AB745" s="11"/>
      <c r="AC745" s="1"/>
      <c r="AD745" s="12"/>
      <c r="AE745" s="9">
        <v>5510</v>
      </c>
      <c r="AF745" s="9">
        <v>44</v>
      </c>
      <c r="AG745" s="9">
        <v>257</v>
      </c>
      <c r="AH745" s="9">
        <v>6</v>
      </c>
      <c r="AI745" s="9">
        <v>129</v>
      </c>
      <c r="AJ745" s="9">
        <v>24</v>
      </c>
      <c r="AK745" s="9">
        <v>0</v>
      </c>
      <c r="AL745" s="47" t="s">
        <v>59</v>
      </c>
      <c r="AM745" s="45">
        <v>187</v>
      </c>
      <c r="AN745" s="9">
        <v>4488</v>
      </c>
      <c r="AO745" s="10">
        <v>1.02</v>
      </c>
      <c r="AP745" s="11" t="s">
        <v>107</v>
      </c>
    </row>
    <row r="746" spans="1:42" ht="15" customHeight="1" thickBot="1">
      <c r="A746" s="12">
        <v>45866</v>
      </c>
      <c r="B746" s="8">
        <f>IF(A746="","",SUM(D746)+SUM(R755:R758)+SUM(AF755:AF758))</f>
        <v>1354</v>
      </c>
      <c r="C746" s="13">
        <v>21635</v>
      </c>
      <c r="D746" s="9">
        <f t="shared" si="610"/>
        <v>83</v>
      </c>
      <c r="E746" s="9">
        <v>822</v>
      </c>
      <c r="F746" s="9">
        <f t="shared" si="611"/>
        <v>4</v>
      </c>
      <c r="G746" s="9">
        <v>26</v>
      </c>
      <c r="H746" s="9">
        <f t="shared" si="612"/>
        <v>3</v>
      </c>
      <c r="I746" s="9">
        <v>13</v>
      </c>
      <c r="J746" s="44"/>
      <c r="K746" s="44">
        <f t="shared" si="613"/>
        <v>385</v>
      </c>
      <c r="L746" s="9">
        <f t="shared" si="614"/>
        <v>1155</v>
      </c>
      <c r="M746" s="10">
        <f t="shared" si="615"/>
        <v>0.13915662650602409</v>
      </c>
      <c r="N746" s="34" t="s">
        <v>112</v>
      </c>
      <c r="O746" s="2"/>
      <c r="P746" s="18"/>
      <c r="Q746" s="21">
        <v>6960</v>
      </c>
      <c r="R746" s="19">
        <v>169</v>
      </c>
      <c r="S746" s="19">
        <v>230</v>
      </c>
      <c r="T746" s="19">
        <v>8</v>
      </c>
      <c r="U746" s="19">
        <v>8</v>
      </c>
      <c r="V746" s="19">
        <v>1</v>
      </c>
      <c r="W746" s="19">
        <v>2</v>
      </c>
      <c r="X746" s="22" t="s">
        <v>69</v>
      </c>
      <c r="Y746" s="19">
        <v>1100</v>
      </c>
      <c r="Z746" s="19">
        <v>1100</v>
      </c>
      <c r="AA746" s="20">
        <v>6.5088757396449703E-2</v>
      </c>
      <c r="AB746" s="11"/>
      <c r="AC746" s="1"/>
      <c r="AD746" s="18"/>
      <c r="AE746" s="19">
        <v>5498</v>
      </c>
      <c r="AF746" s="19">
        <v>149</v>
      </c>
      <c r="AG746" s="19">
        <v>171</v>
      </c>
      <c r="AH746" s="19">
        <v>1</v>
      </c>
      <c r="AI746" s="19">
        <v>32</v>
      </c>
      <c r="AJ746" s="19">
        <v>1</v>
      </c>
      <c r="AK746" s="19">
        <v>0</v>
      </c>
      <c r="AL746" s="48" t="s">
        <v>95</v>
      </c>
      <c r="AM746" s="19">
        <v>200</v>
      </c>
      <c r="AN746" s="19">
        <v>200</v>
      </c>
      <c r="AO746" s="20">
        <v>1.3422818791946308E-2</v>
      </c>
      <c r="AP746" s="11" t="s">
        <v>109</v>
      </c>
    </row>
    <row r="747" spans="1:42" ht="15" customHeight="1" thickTop="1">
      <c r="A747" s="12">
        <v>45869</v>
      </c>
      <c r="B747" s="8">
        <f>IF(A747="","",SUM(D747)+SUM(R759:R762)+SUM(AF759:AF762))</f>
        <v>1191</v>
      </c>
      <c r="C747" s="13">
        <v>21819</v>
      </c>
      <c r="D747" s="9">
        <f t="shared" si="610"/>
        <v>184</v>
      </c>
      <c r="E747" s="9">
        <v>825</v>
      </c>
      <c r="F747" s="9">
        <f t="shared" si="611"/>
        <v>3</v>
      </c>
      <c r="G747" s="9">
        <v>29</v>
      </c>
      <c r="H747" s="9">
        <f t="shared" si="612"/>
        <v>10</v>
      </c>
      <c r="I747" s="9">
        <v>0</v>
      </c>
      <c r="J747" s="44"/>
      <c r="K747" s="44">
        <v>880</v>
      </c>
      <c r="L747" s="9">
        <f t="shared" si="614"/>
        <v>8800</v>
      </c>
      <c r="M747" s="10">
        <f t="shared" si="615"/>
        <v>0.47826086956521741</v>
      </c>
      <c r="N747" s="34"/>
      <c r="O747" s="2"/>
      <c r="P747" s="78">
        <f>IF($A744="","",$A744)</f>
        <v>45859</v>
      </c>
      <c r="Q747" s="44">
        <v>5544</v>
      </c>
      <c r="R747" s="44">
        <f t="shared" ref="R747:R774" si="616">IF(Q747="","",Q747-Q743)</f>
        <v>120</v>
      </c>
      <c r="S747" s="44">
        <v>149</v>
      </c>
      <c r="T747" s="23">
        <f t="shared" ref="T747:T774" si="617">IF(S747="","",S747-S743)</f>
        <v>3</v>
      </c>
      <c r="U747" s="44">
        <v>32</v>
      </c>
      <c r="V747" s="44">
        <f t="shared" ref="V747:V774" si="618">IF(U747="","",U743+W743-U747)</f>
        <v>3</v>
      </c>
      <c r="W747" s="66">
        <v>30</v>
      </c>
      <c r="X747" s="61" t="str">
        <f t="shared" ref="X747:X774" si="619">IF(Q747="","",X743)</f>
        <v>キティサンダルキーホルダー</v>
      </c>
      <c r="Y747" s="62">
        <f t="shared" ref="Y747:Y774" si="620">IF(R747="","",Y743)</f>
        <v>600</v>
      </c>
      <c r="Z747" s="23">
        <f t="shared" ref="Z747:Z774" si="621">IF(U747="","",V747*Y747)</f>
        <v>1800</v>
      </c>
      <c r="AA747" s="24">
        <f t="shared" ref="AA747:AA774" si="622">IF(V747="","",Z747/(R747*100))</f>
        <v>0.15</v>
      </c>
      <c r="AB747" s="11"/>
      <c r="AC747" s="1"/>
      <c r="AD747" s="78">
        <f>IF($A744="","",$A744)</f>
        <v>45859</v>
      </c>
      <c r="AE747" s="44">
        <v>4743</v>
      </c>
      <c r="AF747" s="44">
        <f t="shared" ref="AF747:AF774" si="623">IF(AE747="","",AE747-AE743)</f>
        <v>85</v>
      </c>
      <c r="AG747" s="44">
        <v>136</v>
      </c>
      <c r="AH747" s="23">
        <f t="shared" ref="AH747:AH774" si="624">IF(AG747="","",AG747-AG743)</f>
        <v>2</v>
      </c>
      <c r="AI747" s="44">
        <v>8</v>
      </c>
      <c r="AJ747" s="44">
        <f t="shared" ref="AJ747:AJ774" si="625">IF(AI747="","",AI743+AK743-AI747)</f>
        <v>2</v>
      </c>
      <c r="AK747" s="66">
        <v>0</v>
      </c>
      <c r="AL747" s="15" t="s">
        <v>103</v>
      </c>
      <c r="AM747" s="45">
        <f t="shared" ref="AM747:AM755" si="626">IF(AF747="","",AM743)</f>
        <v>1045</v>
      </c>
      <c r="AN747" s="23">
        <f t="shared" ref="AN747:AN774" si="627">IF(AI747="","",AJ747*AM747)</f>
        <v>2090</v>
      </c>
      <c r="AO747" s="24">
        <f t="shared" ref="AO747:AO774" si="628">IF(AJ747="","",AN747/(AF747*100))</f>
        <v>0.24588235294117647</v>
      </c>
      <c r="AP747" s="11"/>
    </row>
    <row r="748" spans="1:42">
      <c r="A748" s="12">
        <v>45874</v>
      </c>
      <c r="B748" s="8">
        <f>IF(A748="","",SUM(D748)+SUM(R763:R766)+SUM(AF763:AF766))</f>
        <v>2266</v>
      </c>
      <c r="C748" s="13">
        <v>22231</v>
      </c>
      <c r="D748" s="9">
        <f t="shared" si="610"/>
        <v>412</v>
      </c>
      <c r="E748" s="9">
        <v>829</v>
      </c>
      <c r="F748" s="9">
        <f t="shared" si="611"/>
        <v>4</v>
      </c>
      <c r="G748" s="9">
        <v>21</v>
      </c>
      <c r="H748" s="9">
        <f t="shared" si="612"/>
        <v>8</v>
      </c>
      <c r="I748" s="9">
        <v>2</v>
      </c>
      <c r="J748" s="44"/>
      <c r="K748" s="44">
        <f t="shared" si="613"/>
        <v>880</v>
      </c>
      <c r="L748" s="9">
        <f t="shared" si="614"/>
        <v>7040</v>
      </c>
      <c r="M748" s="10">
        <f t="shared" si="615"/>
        <v>0.17087378640776699</v>
      </c>
      <c r="N748" s="34"/>
      <c r="O748" s="2"/>
      <c r="P748" s="79"/>
      <c r="Q748" s="9">
        <v>6005</v>
      </c>
      <c r="R748" s="44">
        <f t="shared" si="616"/>
        <v>131</v>
      </c>
      <c r="S748" s="9">
        <v>137</v>
      </c>
      <c r="T748" s="9">
        <f t="shared" si="617"/>
        <v>1</v>
      </c>
      <c r="U748" s="9">
        <v>10</v>
      </c>
      <c r="V748" s="9">
        <f t="shared" si="618"/>
        <v>0</v>
      </c>
      <c r="W748" s="13">
        <v>0</v>
      </c>
      <c r="X748" s="47" t="str">
        <f t="shared" si="619"/>
        <v>キティフェイスポーチ</v>
      </c>
      <c r="Y748" s="45">
        <f t="shared" si="620"/>
        <v>957</v>
      </c>
      <c r="Z748" s="9">
        <f t="shared" si="621"/>
        <v>0</v>
      </c>
      <c r="AA748" s="10">
        <f t="shared" si="622"/>
        <v>0</v>
      </c>
      <c r="AB748" s="11"/>
      <c r="AC748" s="1"/>
      <c r="AD748" s="79"/>
      <c r="AE748" s="9">
        <v>6245</v>
      </c>
      <c r="AF748" s="44">
        <f t="shared" si="623"/>
        <v>71</v>
      </c>
      <c r="AG748" s="9">
        <v>116</v>
      </c>
      <c r="AH748" s="9">
        <f t="shared" si="624"/>
        <v>2</v>
      </c>
      <c r="AI748" s="9">
        <v>12</v>
      </c>
      <c r="AJ748" s="9">
        <f t="shared" si="625"/>
        <v>1</v>
      </c>
      <c r="AK748" s="13">
        <v>0</v>
      </c>
      <c r="AL748" s="15" t="str">
        <f t="shared" ref="AL748:AL755" si="629">IF(AE748="","",AL744)</f>
        <v>ジャグラーボタン</v>
      </c>
      <c r="AM748" s="45">
        <f t="shared" si="626"/>
        <v>748</v>
      </c>
      <c r="AN748" s="9">
        <f t="shared" si="627"/>
        <v>748</v>
      </c>
      <c r="AO748" s="10">
        <f t="shared" si="628"/>
        <v>0.10535211267605633</v>
      </c>
      <c r="AP748" s="11"/>
    </row>
    <row r="749" spans="1:42">
      <c r="A749" s="12">
        <v>45877</v>
      </c>
      <c r="B749" s="8">
        <f>IF(A749="","",SUM(D749)+SUM(R767:R770)+SUM(AF767:AF770))</f>
        <v>1460</v>
      </c>
      <c r="C749" s="13">
        <v>22506</v>
      </c>
      <c r="D749" s="9">
        <f t="shared" si="610"/>
        <v>275</v>
      </c>
      <c r="E749" s="9">
        <v>831</v>
      </c>
      <c r="F749" s="9">
        <f t="shared" si="611"/>
        <v>2</v>
      </c>
      <c r="G749" s="9">
        <v>20</v>
      </c>
      <c r="H749" s="9">
        <f t="shared" si="612"/>
        <v>3</v>
      </c>
      <c r="I749" s="9">
        <v>6</v>
      </c>
      <c r="J749" s="44"/>
      <c r="K749" s="44">
        <f t="shared" si="613"/>
        <v>880</v>
      </c>
      <c r="L749" s="9">
        <f t="shared" si="614"/>
        <v>2640</v>
      </c>
      <c r="M749" s="10">
        <f t="shared" si="615"/>
        <v>9.6000000000000002E-2</v>
      </c>
      <c r="N749" s="34"/>
      <c r="O749" s="2"/>
      <c r="P749" s="79"/>
      <c r="Q749" s="9">
        <v>6020</v>
      </c>
      <c r="R749" s="52">
        <f t="shared" si="616"/>
        <v>139</v>
      </c>
      <c r="S749" s="9">
        <v>283</v>
      </c>
      <c r="T749" s="9">
        <f t="shared" si="617"/>
        <v>2</v>
      </c>
      <c r="U749" s="9">
        <v>17</v>
      </c>
      <c r="V749" s="9">
        <f t="shared" si="618"/>
        <v>1</v>
      </c>
      <c r="W749" s="13">
        <v>0</v>
      </c>
      <c r="X749" s="47" t="str">
        <f t="shared" si="619"/>
        <v>ギャルキティキーケース</v>
      </c>
      <c r="Y749" s="9">
        <f t="shared" si="620"/>
        <v>726</v>
      </c>
      <c r="Z749" s="9">
        <f t="shared" si="621"/>
        <v>726</v>
      </c>
      <c r="AA749" s="10">
        <f t="shared" si="622"/>
        <v>5.2230215827338132E-2</v>
      </c>
      <c r="AB749" s="11"/>
      <c r="AC749" s="1"/>
      <c r="AD749" s="79"/>
      <c r="AE749" s="9">
        <v>5513</v>
      </c>
      <c r="AF749" s="52">
        <f t="shared" si="623"/>
        <v>3</v>
      </c>
      <c r="AG749" s="9">
        <v>257</v>
      </c>
      <c r="AH749" s="9">
        <f t="shared" si="624"/>
        <v>0</v>
      </c>
      <c r="AI749" s="9">
        <v>129</v>
      </c>
      <c r="AJ749" s="9">
        <f t="shared" si="625"/>
        <v>0</v>
      </c>
      <c r="AK749" s="13">
        <v>11</v>
      </c>
      <c r="AL749" s="15" t="str">
        <f t="shared" si="629"/>
        <v>SPGラバー</v>
      </c>
      <c r="AM749" s="45">
        <f t="shared" si="626"/>
        <v>187</v>
      </c>
      <c r="AN749" s="9">
        <f t="shared" si="627"/>
        <v>0</v>
      </c>
      <c r="AO749" s="10">
        <f t="shared" si="628"/>
        <v>0</v>
      </c>
      <c r="AP749" s="94" t="s">
        <v>108</v>
      </c>
    </row>
    <row r="750" spans="1:42" ht="15" customHeight="1" thickBot="1">
      <c r="A750" s="12">
        <v>45880</v>
      </c>
      <c r="B750" s="8">
        <f>IF(A750="","",SUM(D750)+SUM(R771:R774)+SUM(AF771:AF774))</f>
        <v>1379</v>
      </c>
      <c r="C750" s="13">
        <v>22713</v>
      </c>
      <c r="D750" s="9">
        <f t="shared" si="610"/>
        <v>207</v>
      </c>
      <c r="E750" s="9">
        <v>835</v>
      </c>
      <c r="F750" s="9">
        <f t="shared" si="611"/>
        <v>4</v>
      </c>
      <c r="G750" s="9">
        <v>22</v>
      </c>
      <c r="H750" s="9">
        <f t="shared" si="612"/>
        <v>4</v>
      </c>
      <c r="I750" s="9">
        <v>14</v>
      </c>
      <c r="J750" s="44"/>
      <c r="K750" s="44">
        <f t="shared" si="613"/>
        <v>880</v>
      </c>
      <c r="L750" s="9">
        <f t="shared" si="614"/>
        <v>3520</v>
      </c>
      <c r="M750" s="10">
        <f t="shared" si="615"/>
        <v>0.17004830917874397</v>
      </c>
      <c r="N750" s="34" t="s">
        <v>120</v>
      </c>
      <c r="O750" s="2"/>
      <c r="P750" s="80"/>
      <c r="Q750" s="21">
        <v>7215</v>
      </c>
      <c r="R750" s="50">
        <f t="shared" si="616"/>
        <v>255</v>
      </c>
      <c r="S750" s="51">
        <v>236</v>
      </c>
      <c r="T750" s="19">
        <f t="shared" si="617"/>
        <v>6</v>
      </c>
      <c r="U750" s="19">
        <v>9</v>
      </c>
      <c r="V750" s="19">
        <f t="shared" si="618"/>
        <v>1</v>
      </c>
      <c r="W750" s="37">
        <v>2</v>
      </c>
      <c r="X750" s="48" t="str">
        <f t="shared" si="619"/>
        <v>サンリオファン</v>
      </c>
      <c r="Y750" s="51">
        <f t="shared" si="620"/>
        <v>1100</v>
      </c>
      <c r="Z750" s="19">
        <f t="shared" si="621"/>
        <v>1100</v>
      </c>
      <c r="AA750" s="20">
        <f t="shared" si="622"/>
        <v>4.3137254901960784E-2</v>
      </c>
      <c r="AB750" s="11"/>
      <c r="AC750" s="1"/>
      <c r="AD750" s="80"/>
      <c r="AE750" s="21">
        <v>5653</v>
      </c>
      <c r="AF750" s="50">
        <f t="shared" si="623"/>
        <v>155</v>
      </c>
      <c r="AG750" s="51">
        <v>173</v>
      </c>
      <c r="AH750" s="19">
        <f t="shared" si="624"/>
        <v>2</v>
      </c>
      <c r="AI750" s="19">
        <v>30</v>
      </c>
      <c r="AJ750" s="19">
        <f t="shared" si="625"/>
        <v>2</v>
      </c>
      <c r="AK750" s="37">
        <v>0</v>
      </c>
      <c r="AL750" s="22" t="str">
        <f t="shared" si="629"/>
        <v>AIモンスターラバー</v>
      </c>
      <c r="AM750" s="51">
        <f t="shared" si="626"/>
        <v>200</v>
      </c>
      <c r="AN750" s="19">
        <f t="shared" si="627"/>
        <v>400</v>
      </c>
      <c r="AO750" s="20">
        <f t="shared" si="628"/>
        <v>2.5806451612903226E-2</v>
      </c>
      <c r="AP750" s="11"/>
    </row>
    <row r="751" spans="1:42" ht="15" customHeight="1" thickTop="1">
      <c r="A751" s="12"/>
      <c r="B751" s="8"/>
      <c r="C751" s="13"/>
      <c r="D751" s="9"/>
      <c r="E751" s="9"/>
      <c r="F751" s="9"/>
      <c r="G751" s="9"/>
      <c r="H751" s="9"/>
      <c r="I751" s="9"/>
      <c r="J751" s="44"/>
      <c r="K751" s="44"/>
      <c r="L751" s="9"/>
      <c r="M751" s="10"/>
      <c r="N751" s="34"/>
      <c r="O751" s="2"/>
      <c r="P751" s="65">
        <f>IF($A745="","",$A745)</f>
        <v>45863</v>
      </c>
      <c r="Q751" s="44">
        <v>5642</v>
      </c>
      <c r="R751" s="44">
        <f t="shared" si="616"/>
        <v>98</v>
      </c>
      <c r="S751" s="44">
        <v>154</v>
      </c>
      <c r="T751" s="23">
        <f t="shared" si="617"/>
        <v>5</v>
      </c>
      <c r="U751" s="44">
        <v>56</v>
      </c>
      <c r="V751" s="44">
        <f t="shared" si="618"/>
        <v>6</v>
      </c>
      <c r="W751" s="44">
        <v>26</v>
      </c>
      <c r="X751" s="15" t="str">
        <f t="shared" si="619"/>
        <v>キティサンダルキーホルダー</v>
      </c>
      <c r="Y751" s="45">
        <f t="shared" si="620"/>
        <v>600</v>
      </c>
      <c r="Z751" s="23">
        <f t="shared" si="621"/>
        <v>3600</v>
      </c>
      <c r="AA751" s="24">
        <f t="shared" si="622"/>
        <v>0.36734693877551022</v>
      </c>
      <c r="AB751" s="11"/>
      <c r="AC751" s="1"/>
      <c r="AD751" s="65">
        <f>IF($A745="","",$A745)</f>
        <v>45863</v>
      </c>
      <c r="AE751" s="44">
        <v>4825</v>
      </c>
      <c r="AF751" s="44">
        <f t="shared" si="623"/>
        <v>82</v>
      </c>
      <c r="AG751" s="44">
        <v>139</v>
      </c>
      <c r="AH751" s="23">
        <f t="shared" si="624"/>
        <v>3</v>
      </c>
      <c r="AI751" s="44">
        <v>4</v>
      </c>
      <c r="AJ751" s="44">
        <f t="shared" si="625"/>
        <v>4</v>
      </c>
      <c r="AK751" s="44">
        <v>8</v>
      </c>
      <c r="AL751" s="61" t="str">
        <f t="shared" si="629"/>
        <v>こびとづかんキーケース</v>
      </c>
      <c r="AM751" s="62">
        <f t="shared" si="626"/>
        <v>1045</v>
      </c>
      <c r="AN751" s="23">
        <f t="shared" si="627"/>
        <v>4180</v>
      </c>
      <c r="AO751" s="24">
        <f t="shared" si="628"/>
        <v>0.50975609756097562</v>
      </c>
      <c r="AP751" s="11"/>
    </row>
    <row r="752" spans="1:42">
      <c r="A752" s="12"/>
      <c r="B752" s="8" t="str">
        <f>IF(A752="","",SUM(D752)+SUM(R779:R782)+SUM(AF779:AF782))</f>
        <v/>
      </c>
      <c r="C752" s="13"/>
      <c r="D752" s="9" t="str">
        <f t="shared" si="610"/>
        <v/>
      </c>
      <c r="E752" s="9"/>
      <c r="F752" s="9" t="str">
        <f t="shared" si="611"/>
        <v/>
      </c>
      <c r="G752" s="9"/>
      <c r="H752" s="9" t="str">
        <f t="shared" si="612"/>
        <v/>
      </c>
      <c r="I752" s="9"/>
      <c r="J752" s="44"/>
      <c r="K752" s="44" t="str">
        <f t="shared" si="613"/>
        <v/>
      </c>
      <c r="L752" s="9" t="str">
        <f t="shared" si="614"/>
        <v/>
      </c>
      <c r="M752" s="10" t="str">
        <f t="shared" si="615"/>
        <v/>
      </c>
      <c r="N752" s="34"/>
      <c r="O752" s="2"/>
      <c r="P752" s="12"/>
      <c r="Q752" s="9">
        <v>6228</v>
      </c>
      <c r="R752" s="9">
        <f t="shared" si="616"/>
        <v>223</v>
      </c>
      <c r="S752" s="9">
        <v>140</v>
      </c>
      <c r="T752" s="9">
        <f t="shared" si="617"/>
        <v>3</v>
      </c>
      <c r="U752" s="9">
        <v>6</v>
      </c>
      <c r="V752" s="9">
        <f t="shared" si="618"/>
        <v>4</v>
      </c>
      <c r="W752" s="9">
        <v>2</v>
      </c>
      <c r="X752" s="15" t="str">
        <f t="shared" si="619"/>
        <v>キティフェイスポーチ</v>
      </c>
      <c r="Y752" s="45">
        <f t="shared" si="620"/>
        <v>957</v>
      </c>
      <c r="Z752" s="9">
        <f t="shared" si="621"/>
        <v>3828</v>
      </c>
      <c r="AA752" s="10">
        <f t="shared" si="622"/>
        <v>0.17165919282511211</v>
      </c>
      <c r="AB752" s="11"/>
      <c r="AC752" s="1"/>
      <c r="AD752" s="12"/>
      <c r="AE752" s="9">
        <v>6276</v>
      </c>
      <c r="AF752" s="9">
        <f t="shared" si="623"/>
        <v>31</v>
      </c>
      <c r="AG752" s="9">
        <v>116</v>
      </c>
      <c r="AH752" s="9">
        <f t="shared" si="624"/>
        <v>0</v>
      </c>
      <c r="AI752" s="9">
        <v>12</v>
      </c>
      <c r="AJ752" s="9">
        <f t="shared" si="625"/>
        <v>0</v>
      </c>
      <c r="AK752" s="9">
        <v>4</v>
      </c>
      <c r="AL752" s="47" t="str">
        <f t="shared" si="629"/>
        <v>ジャグラーボタン</v>
      </c>
      <c r="AM752" s="45">
        <f t="shared" si="626"/>
        <v>748</v>
      </c>
      <c r="AN752" s="9">
        <f t="shared" si="627"/>
        <v>0</v>
      </c>
      <c r="AO752" s="10">
        <f t="shared" si="628"/>
        <v>0</v>
      </c>
      <c r="AP752" s="117" t="s">
        <v>111</v>
      </c>
    </row>
    <row r="753" spans="1:42">
      <c r="A753" s="12"/>
      <c r="B753" s="8" t="str">
        <f>IF(A753="","",SUM(D753)+SUM(R783:R786)+SUM(AF783:AF786))</f>
        <v/>
      </c>
      <c r="C753" s="13"/>
      <c r="D753" s="9" t="str">
        <f t="shared" si="610"/>
        <v/>
      </c>
      <c r="E753" s="9"/>
      <c r="F753" s="9" t="str">
        <f t="shared" si="611"/>
        <v/>
      </c>
      <c r="G753" s="9"/>
      <c r="H753" s="9" t="str">
        <f t="shared" si="612"/>
        <v/>
      </c>
      <c r="I753" s="9"/>
      <c r="J753" s="44"/>
      <c r="K753" s="44" t="str">
        <f t="shared" si="613"/>
        <v/>
      </c>
      <c r="L753" s="9" t="str">
        <f t="shared" si="614"/>
        <v/>
      </c>
      <c r="M753" s="10" t="str">
        <f t="shared" si="615"/>
        <v/>
      </c>
      <c r="N753" s="34"/>
      <c r="O753" s="2"/>
      <c r="P753" s="12"/>
      <c r="Q753" s="9">
        <v>6104</v>
      </c>
      <c r="R753" s="9">
        <f t="shared" si="616"/>
        <v>84</v>
      </c>
      <c r="S753" s="9">
        <v>284</v>
      </c>
      <c r="T753" s="9">
        <f t="shared" si="617"/>
        <v>1</v>
      </c>
      <c r="U753" s="9">
        <v>16</v>
      </c>
      <c r="V753" s="9">
        <f t="shared" si="618"/>
        <v>1</v>
      </c>
      <c r="W753" s="9">
        <v>0</v>
      </c>
      <c r="X753" s="15" t="str">
        <f t="shared" si="619"/>
        <v>ギャルキティキーケース</v>
      </c>
      <c r="Y753" s="45">
        <f t="shared" si="620"/>
        <v>726</v>
      </c>
      <c r="Z753" s="9">
        <f t="shared" si="621"/>
        <v>726</v>
      </c>
      <c r="AA753" s="10">
        <f t="shared" si="622"/>
        <v>8.6428571428571424E-2</v>
      </c>
      <c r="AB753" s="11"/>
      <c r="AC753" s="1"/>
      <c r="AD753" s="12"/>
      <c r="AE753" s="9">
        <v>5581</v>
      </c>
      <c r="AF753" s="81">
        <f t="shared" si="623"/>
        <v>68</v>
      </c>
      <c r="AG753" s="9">
        <v>261</v>
      </c>
      <c r="AH753" s="9">
        <f t="shared" si="624"/>
        <v>4</v>
      </c>
      <c r="AI753" s="9">
        <v>130</v>
      </c>
      <c r="AJ753" s="9">
        <f t="shared" si="625"/>
        <v>10</v>
      </c>
      <c r="AK753" s="9">
        <v>0</v>
      </c>
      <c r="AL753" s="47" t="str">
        <f t="shared" si="629"/>
        <v>SPGラバー</v>
      </c>
      <c r="AM753" s="9">
        <f t="shared" si="626"/>
        <v>187</v>
      </c>
      <c r="AN753" s="9">
        <f t="shared" si="627"/>
        <v>1870</v>
      </c>
      <c r="AO753" s="10">
        <f t="shared" si="628"/>
        <v>0.27500000000000002</v>
      </c>
      <c r="AP753" s="11"/>
    </row>
    <row r="754" spans="1:42" ht="15" customHeight="1" thickBot="1">
      <c r="A754" s="12"/>
      <c r="B754" s="8" t="str">
        <f>IF(A754="","",SUM(D754)+SUM(R787:R790)+SUM(AF787:AF790))</f>
        <v/>
      </c>
      <c r="C754" s="13"/>
      <c r="D754" s="9" t="str">
        <f t="shared" si="610"/>
        <v/>
      </c>
      <c r="E754" s="9"/>
      <c r="F754" s="9" t="str">
        <f t="shared" si="611"/>
        <v/>
      </c>
      <c r="G754" s="9"/>
      <c r="H754" s="9" t="str">
        <f t="shared" si="612"/>
        <v/>
      </c>
      <c r="I754" s="9"/>
      <c r="J754" s="44"/>
      <c r="K754" s="44" t="str">
        <f t="shared" si="613"/>
        <v/>
      </c>
      <c r="L754" s="9" t="str">
        <f t="shared" si="614"/>
        <v/>
      </c>
      <c r="M754" s="10" t="str">
        <f t="shared" si="615"/>
        <v/>
      </c>
      <c r="N754" s="11"/>
      <c r="O754" s="2"/>
      <c r="P754" s="80"/>
      <c r="Q754" s="19">
        <v>7389</v>
      </c>
      <c r="R754" s="19">
        <f t="shared" si="616"/>
        <v>174</v>
      </c>
      <c r="S754" s="19">
        <v>244</v>
      </c>
      <c r="T754" s="19">
        <f t="shared" si="617"/>
        <v>8</v>
      </c>
      <c r="U754" s="19">
        <v>10</v>
      </c>
      <c r="V754" s="19">
        <f t="shared" si="618"/>
        <v>1</v>
      </c>
      <c r="W754" s="19">
        <v>0</v>
      </c>
      <c r="X754" s="22" t="str">
        <f t="shared" si="619"/>
        <v>サンリオファン</v>
      </c>
      <c r="Y754" s="51">
        <f t="shared" si="620"/>
        <v>1100</v>
      </c>
      <c r="Z754" s="19">
        <f t="shared" si="621"/>
        <v>1100</v>
      </c>
      <c r="AA754" s="20">
        <f t="shared" si="622"/>
        <v>6.3218390804597707E-2</v>
      </c>
      <c r="AB754" s="11"/>
      <c r="AC754" s="1"/>
      <c r="AD754" s="80"/>
      <c r="AE754" s="19">
        <v>5792</v>
      </c>
      <c r="AF754" s="19">
        <f t="shared" si="623"/>
        <v>139</v>
      </c>
      <c r="AG754" s="19">
        <v>173</v>
      </c>
      <c r="AH754" s="19">
        <f t="shared" si="624"/>
        <v>0</v>
      </c>
      <c r="AI754" s="19">
        <v>30</v>
      </c>
      <c r="AJ754" s="19">
        <f t="shared" si="625"/>
        <v>0</v>
      </c>
      <c r="AK754" s="19">
        <v>60</v>
      </c>
      <c r="AL754" s="48" t="str">
        <f t="shared" si="629"/>
        <v>AIモンスターラバー</v>
      </c>
      <c r="AM754" s="51">
        <f t="shared" si="626"/>
        <v>200</v>
      </c>
      <c r="AN754" s="19">
        <f t="shared" si="627"/>
        <v>0</v>
      </c>
      <c r="AO754" s="20">
        <f t="shared" si="628"/>
        <v>0</v>
      </c>
      <c r="AP754" s="11"/>
    </row>
    <row r="755" spans="1:42" ht="15" customHeight="1" thickTop="1">
      <c r="A755" s="12"/>
      <c r="B755" s="8"/>
      <c r="C755" s="13"/>
      <c r="D755" s="9" t="str">
        <f t="shared" si="610"/>
        <v/>
      </c>
      <c r="E755" s="9"/>
      <c r="F755" s="9" t="str">
        <f t="shared" si="611"/>
        <v/>
      </c>
      <c r="G755" s="9"/>
      <c r="H755" s="9" t="str">
        <f t="shared" si="612"/>
        <v/>
      </c>
      <c r="I755" s="9"/>
      <c r="J755" s="44"/>
      <c r="K755" s="44" t="str">
        <f t="shared" si="613"/>
        <v/>
      </c>
      <c r="L755" s="9" t="str">
        <f t="shared" si="614"/>
        <v/>
      </c>
      <c r="M755" s="10" t="str">
        <f t="shared" si="615"/>
        <v/>
      </c>
      <c r="N755" s="11"/>
      <c r="O755" s="2"/>
      <c r="P755" s="65">
        <f>IF($A746="","",$A746)</f>
        <v>45866</v>
      </c>
      <c r="Q755" s="44">
        <v>5806</v>
      </c>
      <c r="R755" s="44">
        <f t="shared" si="616"/>
        <v>164</v>
      </c>
      <c r="S755" s="44">
        <v>158</v>
      </c>
      <c r="T755" s="23">
        <f t="shared" si="617"/>
        <v>4</v>
      </c>
      <c r="U755" s="44">
        <v>79</v>
      </c>
      <c r="V755" s="44">
        <f t="shared" si="618"/>
        <v>3</v>
      </c>
      <c r="W755" s="66">
        <v>0</v>
      </c>
      <c r="X755" s="61" t="str">
        <f t="shared" si="619"/>
        <v>キティサンダルキーホルダー</v>
      </c>
      <c r="Y755" s="62">
        <f t="shared" si="620"/>
        <v>600</v>
      </c>
      <c r="Z755" s="23">
        <f t="shared" si="621"/>
        <v>1800</v>
      </c>
      <c r="AA755" s="24">
        <f t="shared" si="622"/>
        <v>0.10975609756097561</v>
      </c>
      <c r="AB755" s="11"/>
      <c r="AC755" s="1"/>
      <c r="AD755" s="65">
        <f>IF($A746="","",$A746)</f>
        <v>45866</v>
      </c>
      <c r="AE755" s="44">
        <v>4894</v>
      </c>
      <c r="AF755" s="44">
        <f t="shared" si="623"/>
        <v>69</v>
      </c>
      <c r="AG755" s="44">
        <v>140</v>
      </c>
      <c r="AH755" s="23">
        <f t="shared" si="624"/>
        <v>1</v>
      </c>
      <c r="AI755" s="44">
        <v>10</v>
      </c>
      <c r="AJ755" s="44">
        <f t="shared" si="625"/>
        <v>2</v>
      </c>
      <c r="AK755" s="66">
        <v>2</v>
      </c>
      <c r="AL755" s="61" t="str">
        <f t="shared" si="629"/>
        <v>こびとづかんキーケース</v>
      </c>
      <c r="AM755" s="62">
        <f t="shared" si="626"/>
        <v>1045</v>
      </c>
      <c r="AN755" s="23">
        <f t="shared" si="627"/>
        <v>2090</v>
      </c>
      <c r="AO755" s="24">
        <f t="shared" si="628"/>
        <v>0.30289855072463767</v>
      </c>
      <c r="AP755" s="11"/>
    </row>
    <row r="756" spans="1:42">
      <c r="A756" s="12"/>
      <c r="B756" s="8"/>
      <c r="C756" s="13"/>
      <c r="D756" s="9" t="str">
        <f t="shared" si="610"/>
        <v/>
      </c>
      <c r="E756" s="9"/>
      <c r="F756" s="9" t="str">
        <f t="shared" si="611"/>
        <v/>
      </c>
      <c r="G756" s="9"/>
      <c r="H756" s="9" t="str">
        <f t="shared" si="612"/>
        <v/>
      </c>
      <c r="I756" s="9"/>
      <c r="J756" s="44"/>
      <c r="K756" s="44" t="str">
        <f t="shared" si="613"/>
        <v/>
      </c>
      <c r="L756" s="9" t="str">
        <f t="shared" si="614"/>
        <v/>
      </c>
      <c r="M756" s="10" t="str">
        <f t="shared" si="615"/>
        <v/>
      </c>
      <c r="N756" s="11"/>
      <c r="O756" s="2"/>
      <c r="P756" s="12"/>
      <c r="Q756" s="9">
        <v>6403</v>
      </c>
      <c r="R756" s="44">
        <f t="shared" si="616"/>
        <v>175</v>
      </c>
      <c r="S756" s="9">
        <v>141</v>
      </c>
      <c r="T756" s="9">
        <f t="shared" si="617"/>
        <v>1</v>
      </c>
      <c r="U756" s="9">
        <v>7</v>
      </c>
      <c r="V756" s="9">
        <f t="shared" si="618"/>
        <v>1</v>
      </c>
      <c r="W756" s="13">
        <v>3</v>
      </c>
      <c r="X756" s="47" t="str">
        <f t="shared" si="619"/>
        <v>キティフェイスポーチ</v>
      </c>
      <c r="Y756" s="45">
        <f t="shared" si="620"/>
        <v>957</v>
      </c>
      <c r="Z756" s="9">
        <f t="shared" si="621"/>
        <v>957</v>
      </c>
      <c r="AA756" s="10">
        <f t="shared" si="622"/>
        <v>5.4685714285714289E-2</v>
      </c>
      <c r="AB756" s="11"/>
      <c r="AC756" s="1"/>
      <c r="AD756" s="12"/>
      <c r="AE756" s="9">
        <v>6475</v>
      </c>
      <c r="AF756" s="44">
        <f t="shared" si="623"/>
        <v>199</v>
      </c>
      <c r="AG756" s="9">
        <v>117</v>
      </c>
      <c r="AH756" s="9">
        <f t="shared" si="624"/>
        <v>1</v>
      </c>
      <c r="AI756" s="9">
        <v>14</v>
      </c>
      <c r="AJ756" s="9">
        <f t="shared" si="625"/>
        <v>2</v>
      </c>
      <c r="AK756" s="13">
        <v>2</v>
      </c>
      <c r="AL756" s="47" t="s">
        <v>54</v>
      </c>
      <c r="AM756" s="45">
        <v>800</v>
      </c>
      <c r="AN756" s="9">
        <f t="shared" si="627"/>
        <v>1600</v>
      </c>
      <c r="AO756" s="10">
        <f t="shared" si="628"/>
        <v>8.0402010050251257E-2</v>
      </c>
      <c r="AP756" s="11"/>
    </row>
    <row r="757" spans="1:42">
      <c r="A757" s="12"/>
      <c r="B757" s="8"/>
      <c r="C757" s="13"/>
      <c r="D757" s="9"/>
      <c r="E757" s="9"/>
      <c r="F757" s="9"/>
      <c r="G757" s="9"/>
      <c r="H757" s="9"/>
      <c r="I757" s="9"/>
      <c r="J757" s="44"/>
      <c r="K757" s="44"/>
      <c r="L757" s="9"/>
      <c r="M757" s="10"/>
      <c r="N757" s="11"/>
      <c r="O757" s="2"/>
      <c r="P757" s="25"/>
      <c r="Q757" s="26">
        <v>6211</v>
      </c>
      <c r="R757" s="44">
        <f t="shared" si="616"/>
        <v>107</v>
      </c>
      <c r="S757" s="26">
        <v>287</v>
      </c>
      <c r="T757" s="9">
        <f t="shared" si="617"/>
        <v>3</v>
      </c>
      <c r="U757" s="26">
        <v>14</v>
      </c>
      <c r="V757" s="9">
        <f t="shared" si="618"/>
        <v>2</v>
      </c>
      <c r="W757" s="38">
        <v>6</v>
      </c>
      <c r="X757" s="47" t="str">
        <f t="shared" si="619"/>
        <v>ギャルキティキーケース</v>
      </c>
      <c r="Y757" s="9">
        <f t="shared" si="620"/>
        <v>726</v>
      </c>
      <c r="Z757" s="9">
        <f t="shared" si="621"/>
        <v>1452</v>
      </c>
      <c r="AA757" s="10">
        <f t="shared" si="622"/>
        <v>0.13570093457943924</v>
      </c>
      <c r="AB757" s="11"/>
      <c r="AD757" s="25"/>
      <c r="AE757" s="26">
        <v>5640</v>
      </c>
      <c r="AF757" s="113">
        <f t="shared" si="623"/>
        <v>59</v>
      </c>
      <c r="AG757" s="26">
        <v>265</v>
      </c>
      <c r="AH757" s="9">
        <f t="shared" si="624"/>
        <v>4</v>
      </c>
      <c r="AI757" s="26">
        <v>124</v>
      </c>
      <c r="AJ757" s="9">
        <f t="shared" si="625"/>
        <v>6</v>
      </c>
      <c r="AK757" s="38">
        <v>0</v>
      </c>
      <c r="AL757" s="47" t="str">
        <f t="shared" ref="AL757:AL798" si="630">IF(AE757="","",AL753)</f>
        <v>SPGラバー</v>
      </c>
      <c r="AM757" s="9">
        <f t="shared" ref="AM757:AM798" si="631">IF(AF757="","",AM753)</f>
        <v>187</v>
      </c>
      <c r="AN757" s="9">
        <f t="shared" si="627"/>
        <v>1122</v>
      </c>
      <c r="AO757" s="10">
        <f t="shared" si="628"/>
        <v>0.19016949152542373</v>
      </c>
      <c r="AP757" s="11" t="s">
        <v>113</v>
      </c>
    </row>
    <row r="758" spans="1:42" ht="15.75" thickBot="1">
      <c r="A758" s="12"/>
      <c r="B758" s="8"/>
      <c r="C758" s="13"/>
      <c r="D758" s="9" t="str">
        <f>IF(C758="","",C758-C759)</f>
        <v/>
      </c>
      <c r="E758" s="9"/>
      <c r="F758" s="9" t="str">
        <f>IF(E758="","",E758-E759)</f>
        <v/>
      </c>
      <c r="G758" s="9"/>
      <c r="H758" s="9" t="str">
        <f>IF(G758="","",G759+I759-G758)</f>
        <v/>
      </c>
      <c r="I758" s="9"/>
      <c r="J758" s="44"/>
      <c r="K758" s="44" t="str">
        <f>IF(C758="","",K759)</f>
        <v/>
      </c>
      <c r="L758" s="9" t="str">
        <f t="shared" ref="L758:L796" si="632">IF(K758="","",H758*K758)</f>
        <v/>
      </c>
      <c r="M758" s="10" t="str">
        <f t="shared" ref="M758:M796" si="633">IF(L758="","",L758/(D758*100))</f>
        <v/>
      </c>
      <c r="N758" s="11"/>
      <c r="O758" s="2"/>
      <c r="P758" s="18"/>
      <c r="Q758" s="19">
        <v>7634</v>
      </c>
      <c r="R758" s="50">
        <f t="shared" si="616"/>
        <v>245</v>
      </c>
      <c r="S758" s="19">
        <v>250</v>
      </c>
      <c r="T758" s="19">
        <f t="shared" si="617"/>
        <v>6</v>
      </c>
      <c r="U758" s="19">
        <v>6</v>
      </c>
      <c r="V758" s="19">
        <f t="shared" si="618"/>
        <v>4</v>
      </c>
      <c r="W758" s="37">
        <v>4</v>
      </c>
      <c r="X758" s="48" t="str">
        <f t="shared" si="619"/>
        <v>サンリオファン</v>
      </c>
      <c r="Y758" s="51">
        <f t="shared" si="620"/>
        <v>1100</v>
      </c>
      <c r="Z758" s="19">
        <f t="shared" si="621"/>
        <v>4400</v>
      </c>
      <c r="AA758" s="20">
        <f t="shared" si="622"/>
        <v>0.17959183673469387</v>
      </c>
      <c r="AB758" s="11"/>
      <c r="AD758" s="18"/>
      <c r="AE758" s="19">
        <v>6045</v>
      </c>
      <c r="AF758" s="50">
        <f t="shared" si="623"/>
        <v>253</v>
      </c>
      <c r="AG758" s="19">
        <v>179</v>
      </c>
      <c r="AH758" s="19">
        <f t="shared" si="624"/>
        <v>6</v>
      </c>
      <c r="AI758" s="19">
        <v>81</v>
      </c>
      <c r="AJ758" s="19">
        <f t="shared" si="625"/>
        <v>9</v>
      </c>
      <c r="AK758" s="37">
        <v>4</v>
      </c>
      <c r="AL758" s="48" t="str">
        <f t="shared" si="630"/>
        <v>AIモンスターラバー</v>
      </c>
      <c r="AM758" s="51">
        <f t="shared" si="631"/>
        <v>200</v>
      </c>
      <c r="AN758" s="19">
        <f t="shared" si="627"/>
        <v>1800</v>
      </c>
      <c r="AO758" s="20">
        <f t="shared" si="628"/>
        <v>7.1146245059288543E-2</v>
      </c>
      <c r="AP758" s="11"/>
    </row>
    <row r="759" spans="1:42" ht="15" customHeight="1" thickTop="1">
      <c r="A759" s="12"/>
      <c r="B759" s="8"/>
      <c r="C759" s="13"/>
      <c r="D759" s="9" t="str">
        <f>IF(C759="","",C759-C756)</f>
        <v/>
      </c>
      <c r="E759" s="9"/>
      <c r="F759" s="9" t="str">
        <f>IF(E759="","",E759-E756)</f>
        <v/>
      </c>
      <c r="G759" s="9"/>
      <c r="H759" s="9" t="str">
        <f>IF(G759="","",G756+I756-G759)</f>
        <v/>
      </c>
      <c r="I759" s="9"/>
      <c r="J759" s="44"/>
      <c r="K759" s="44" t="str">
        <f>IF(C759="","",K756)</f>
        <v/>
      </c>
      <c r="L759" s="9" t="str">
        <f t="shared" si="632"/>
        <v/>
      </c>
      <c r="M759" s="10" t="str">
        <f t="shared" si="633"/>
        <v/>
      </c>
      <c r="N759" s="11"/>
      <c r="O759" s="2"/>
      <c r="P759" s="65">
        <f>IF($A747="","",$A747)</f>
        <v>45869</v>
      </c>
      <c r="Q759" s="44">
        <v>5899</v>
      </c>
      <c r="R759" s="44">
        <f t="shared" si="616"/>
        <v>93</v>
      </c>
      <c r="S759" s="44">
        <v>161</v>
      </c>
      <c r="T759" s="23">
        <f t="shared" si="617"/>
        <v>3</v>
      </c>
      <c r="U759" s="44">
        <v>69</v>
      </c>
      <c r="V759" s="44">
        <f t="shared" si="618"/>
        <v>10</v>
      </c>
      <c r="W759" s="66">
        <v>0</v>
      </c>
      <c r="X759" s="61" t="str">
        <f t="shared" si="619"/>
        <v>キティサンダルキーホルダー</v>
      </c>
      <c r="Y759" s="62">
        <f t="shared" si="620"/>
        <v>600</v>
      </c>
      <c r="Z759" s="23">
        <f t="shared" si="621"/>
        <v>6000</v>
      </c>
      <c r="AA759" s="24">
        <f t="shared" si="622"/>
        <v>0.64516129032258063</v>
      </c>
      <c r="AB759" s="11"/>
      <c r="AD759" s="65">
        <f>IF($A747="","",$A747)</f>
        <v>45869</v>
      </c>
      <c r="AE759" s="44">
        <v>4992</v>
      </c>
      <c r="AF759" s="44">
        <f t="shared" si="623"/>
        <v>98</v>
      </c>
      <c r="AG759" s="44">
        <v>142</v>
      </c>
      <c r="AH759" s="23">
        <f t="shared" si="624"/>
        <v>2</v>
      </c>
      <c r="AI759" s="44">
        <v>10</v>
      </c>
      <c r="AJ759" s="44">
        <f t="shared" si="625"/>
        <v>2</v>
      </c>
      <c r="AK759" s="66">
        <v>1</v>
      </c>
      <c r="AL759" s="61" t="str">
        <f t="shared" si="630"/>
        <v>こびとづかんキーケース</v>
      </c>
      <c r="AM759" s="62">
        <f t="shared" si="631"/>
        <v>1045</v>
      </c>
      <c r="AN759" s="23">
        <f t="shared" si="627"/>
        <v>2090</v>
      </c>
      <c r="AO759" s="24">
        <f t="shared" si="628"/>
        <v>0.21326530612244898</v>
      </c>
      <c r="AP759" s="11"/>
    </row>
    <row r="760" spans="1:42">
      <c r="A760" s="12"/>
      <c r="B760" s="8"/>
      <c r="C760" s="13"/>
      <c r="D760" s="9" t="str">
        <f>IF(C760="","",C760-C758)</f>
        <v/>
      </c>
      <c r="E760" s="9"/>
      <c r="F760" s="9" t="str">
        <f>IF(E760="","",E760-E758)</f>
        <v/>
      </c>
      <c r="G760" s="9"/>
      <c r="H760" s="9" t="str">
        <f>IF(G760="","",G758+I758-G760)</f>
        <v/>
      </c>
      <c r="I760" s="9"/>
      <c r="J760" s="44"/>
      <c r="K760" s="44" t="str">
        <f>IF(C760="","",K758)</f>
        <v/>
      </c>
      <c r="L760" s="9" t="str">
        <f t="shared" si="632"/>
        <v/>
      </c>
      <c r="M760" s="10" t="str">
        <f t="shared" si="633"/>
        <v/>
      </c>
      <c r="N760" s="11"/>
      <c r="O760" s="2"/>
      <c r="P760" s="65"/>
      <c r="Q760" s="9">
        <v>6484</v>
      </c>
      <c r="R760" s="9">
        <f t="shared" si="616"/>
        <v>81</v>
      </c>
      <c r="S760" s="9">
        <v>141</v>
      </c>
      <c r="T760" s="9">
        <f t="shared" si="617"/>
        <v>0</v>
      </c>
      <c r="U760" s="9">
        <v>10</v>
      </c>
      <c r="V760" s="9">
        <f t="shared" si="618"/>
        <v>0</v>
      </c>
      <c r="W760" s="13">
        <v>0</v>
      </c>
      <c r="X760" s="47" t="str">
        <f t="shared" si="619"/>
        <v>キティフェイスポーチ</v>
      </c>
      <c r="Y760" s="45">
        <f t="shared" si="620"/>
        <v>957</v>
      </c>
      <c r="Z760" s="9">
        <f t="shared" si="621"/>
        <v>0</v>
      </c>
      <c r="AA760" s="10">
        <f t="shared" si="622"/>
        <v>0</v>
      </c>
      <c r="AB760" s="11" t="s">
        <v>114</v>
      </c>
      <c r="AD760" s="65"/>
      <c r="AE760" s="9">
        <v>6586</v>
      </c>
      <c r="AF760" s="9">
        <f t="shared" si="623"/>
        <v>111</v>
      </c>
      <c r="AG760" s="9">
        <v>118</v>
      </c>
      <c r="AH760" s="9">
        <f t="shared" si="624"/>
        <v>1</v>
      </c>
      <c r="AI760" s="9">
        <v>16</v>
      </c>
      <c r="AJ760" s="9">
        <f t="shared" si="625"/>
        <v>0</v>
      </c>
      <c r="AK760" s="13">
        <v>0</v>
      </c>
      <c r="AL760" s="47" t="str">
        <f t="shared" si="630"/>
        <v>デジタルミニカメラ</v>
      </c>
      <c r="AM760" s="45">
        <f t="shared" si="631"/>
        <v>800</v>
      </c>
      <c r="AN760" s="9">
        <f t="shared" si="627"/>
        <v>0</v>
      </c>
      <c r="AO760" s="10">
        <f t="shared" si="628"/>
        <v>0</v>
      </c>
      <c r="AP760" s="11"/>
    </row>
    <row r="761" spans="1:42" ht="15" customHeight="1">
      <c r="A761" s="12"/>
      <c r="B761" s="8"/>
      <c r="C761" s="13"/>
      <c r="D761" s="9" t="str">
        <f t="shared" ref="D761:D766" si="634">IF(C761="","",C761-C760)</f>
        <v/>
      </c>
      <c r="E761" s="9"/>
      <c r="F761" s="9" t="str">
        <f t="shared" ref="F761:F766" si="635">IF(E761="","",E761-E760)</f>
        <v/>
      </c>
      <c r="G761" s="9"/>
      <c r="H761" s="9" t="str">
        <f t="shared" ref="H761:H766" si="636">IF(G761="","",G760+I760-G761)</f>
        <v/>
      </c>
      <c r="I761" s="9"/>
      <c r="J761" s="44"/>
      <c r="K761" s="44" t="str">
        <f t="shared" ref="K761:K766" si="637">IF(C761="","",K760)</f>
        <v/>
      </c>
      <c r="L761" s="9" t="str">
        <f t="shared" si="632"/>
        <v/>
      </c>
      <c r="M761" s="10" t="str">
        <f t="shared" si="633"/>
        <v/>
      </c>
      <c r="N761" s="11"/>
      <c r="O761" s="2"/>
      <c r="P761" s="65"/>
      <c r="Q761" s="26">
        <v>6360</v>
      </c>
      <c r="R761" s="9">
        <f t="shared" si="616"/>
        <v>149</v>
      </c>
      <c r="S761" s="26">
        <v>290</v>
      </c>
      <c r="T761" s="9">
        <f t="shared" si="617"/>
        <v>3</v>
      </c>
      <c r="U761" s="26">
        <v>17</v>
      </c>
      <c r="V761" s="9">
        <f t="shared" si="618"/>
        <v>3</v>
      </c>
      <c r="W761" s="38">
        <v>0</v>
      </c>
      <c r="X761" s="47" t="str">
        <f t="shared" si="619"/>
        <v>ギャルキティキーケース</v>
      </c>
      <c r="Y761" s="9">
        <f t="shared" si="620"/>
        <v>726</v>
      </c>
      <c r="Z761" s="9">
        <f t="shared" si="621"/>
        <v>2178</v>
      </c>
      <c r="AA761" s="10">
        <f t="shared" si="622"/>
        <v>0.1461744966442953</v>
      </c>
      <c r="AB761" s="11"/>
      <c r="AD761" s="65"/>
      <c r="AE761" s="26">
        <v>5728</v>
      </c>
      <c r="AF761" s="9">
        <f t="shared" si="623"/>
        <v>88</v>
      </c>
      <c r="AG761" s="26">
        <v>268</v>
      </c>
      <c r="AH761" s="9">
        <f t="shared" si="624"/>
        <v>3</v>
      </c>
      <c r="AI761" s="26">
        <v>115</v>
      </c>
      <c r="AJ761" s="9">
        <f t="shared" si="625"/>
        <v>9</v>
      </c>
      <c r="AK761" s="38">
        <v>0</v>
      </c>
      <c r="AL761" s="47" t="str">
        <f t="shared" si="630"/>
        <v>SPGラバー</v>
      </c>
      <c r="AM761" s="9">
        <f t="shared" si="631"/>
        <v>187</v>
      </c>
      <c r="AN761" s="9">
        <f t="shared" si="627"/>
        <v>1683</v>
      </c>
      <c r="AO761" s="10">
        <f t="shared" si="628"/>
        <v>0.19125</v>
      </c>
      <c r="AP761" s="11"/>
    </row>
    <row r="762" spans="1:42" ht="15" customHeight="1" thickBot="1">
      <c r="A762" s="12"/>
      <c r="B762" s="8"/>
      <c r="C762" s="13"/>
      <c r="D762" s="9" t="str">
        <f t="shared" si="634"/>
        <v/>
      </c>
      <c r="E762" s="9"/>
      <c r="F762" s="9" t="str">
        <f t="shared" si="635"/>
        <v/>
      </c>
      <c r="G762" s="9"/>
      <c r="H762" s="9" t="str">
        <f t="shared" si="636"/>
        <v/>
      </c>
      <c r="I762" s="9"/>
      <c r="J762" s="44"/>
      <c r="K762" s="44" t="str">
        <f t="shared" si="637"/>
        <v/>
      </c>
      <c r="L762" s="9" t="str">
        <f t="shared" si="632"/>
        <v/>
      </c>
      <c r="M762" s="10" t="str">
        <f t="shared" si="633"/>
        <v/>
      </c>
      <c r="N762" s="11"/>
      <c r="O762" s="2"/>
      <c r="P762" s="18"/>
      <c r="Q762" s="19">
        <v>7749</v>
      </c>
      <c r="R762" s="19">
        <f t="shared" si="616"/>
        <v>115</v>
      </c>
      <c r="S762" s="19">
        <v>253</v>
      </c>
      <c r="T762" s="19">
        <f t="shared" si="617"/>
        <v>3</v>
      </c>
      <c r="U762" s="19">
        <v>9</v>
      </c>
      <c r="V762" s="19">
        <f t="shared" si="618"/>
        <v>1</v>
      </c>
      <c r="W762" s="37">
        <v>0</v>
      </c>
      <c r="X762" s="48" t="str">
        <f t="shared" si="619"/>
        <v>サンリオファン</v>
      </c>
      <c r="Y762" s="51">
        <f t="shared" si="620"/>
        <v>1100</v>
      </c>
      <c r="Z762" s="19">
        <f t="shared" si="621"/>
        <v>1100</v>
      </c>
      <c r="AA762" s="20">
        <f t="shared" si="622"/>
        <v>9.5652173913043481E-2</v>
      </c>
      <c r="AB762" s="11"/>
      <c r="AD762" s="18"/>
      <c r="AE762" s="19">
        <v>6317</v>
      </c>
      <c r="AF762" s="19">
        <f t="shared" si="623"/>
        <v>272</v>
      </c>
      <c r="AG762" s="19">
        <v>187</v>
      </c>
      <c r="AH762" s="19">
        <f t="shared" si="624"/>
        <v>8</v>
      </c>
      <c r="AI762" s="19">
        <v>61</v>
      </c>
      <c r="AJ762" s="19">
        <f t="shared" si="625"/>
        <v>24</v>
      </c>
      <c r="AK762" s="37">
        <v>15</v>
      </c>
      <c r="AL762" s="48" t="str">
        <f t="shared" si="630"/>
        <v>AIモンスターラバー</v>
      </c>
      <c r="AM762" s="51">
        <f t="shared" si="631"/>
        <v>200</v>
      </c>
      <c r="AN762" s="19">
        <f t="shared" si="627"/>
        <v>4800</v>
      </c>
      <c r="AO762" s="20">
        <f t="shared" si="628"/>
        <v>0.17647058823529413</v>
      </c>
      <c r="AP762" s="11"/>
    </row>
    <row r="763" spans="1:42" ht="15" customHeight="1" thickTop="1">
      <c r="A763" s="12"/>
      <c r="B763" s="8"/>
      <c r="C763" s="13"/>
      <c r="D763" s="9" t="str">
        <f t="shared" si="634"/>
        <v/>
      </c>
      <c r="E763" s="9"/>
      <c r="F763" s="9" t="str">
        <f t="shared" si="635"/>
        <v/>
      </c>
      <c r="G763" s="9"/>
      <c r="H763" s="9" t="str">
        <f t="shared" si="636"/>
        <v/>
      </c>
      <c r="I763" s="9"/>
      <c r="J763" s="44"/>
      <c r="K763" s="44" t="str">
        <f t="shared" si="637"/>
        <v/>
      </c>
      <c r="L763" s="9" t="str">
        <f t="shared" si="632"/>
        <v/>
      </c>
      <c r="M763" s="10" t="str">
        <f t="shared" si="633"/>
        <v/>
      </c>
      <c r="N763" s="11"/>
      <c r="O763" s="2"/>
      <c r="P763" s="65">
        <f>IF($A748="","",$A748)</f>
        <v>45874</v>
      </c>
      <c r="Q763" s="44">
        <v>6120</v>
      </c>
      <c r="R763" s="44">
        <f t="shared" si="616"/>
        <v>221</v>
      </c>
      <c r="S763" s="44">
        <v>171</v>
      </c>
      <c r="T763" s="23">
        <f t="shared" si="617"/>
        <v>10</v>
      </c>
      <c r="U763" s="44">
        <v>58</v>
      </c>
      <c r="V763" s="44">
        <f t="shared" si="618"/>
        <v>11</v>
      </c>
      <c r="W763" s="66">
        <v>30</v>
      </c>
      <c r="X763" s="61" t="str">
        <f t="shared" si="619"/>
        <v>キティサンダルキーホルダー</v>
      </c>
      <c r="Y763" s="62">
        <f t="shared" si="620"/>
        <v>600</v>
      </c>
      <c r="Z763" s="23">
        <f t="shared" si="621"/>
        <v>6600</v>
      </c>
      <c r="AA763" s="24">
        <f t="shared" si="622"/>
        <v>0.29864253393665158</v>
      </c>
      <c r="AB763" s="11"/>
      <c r="AD763" s="65">
        <f>IF($A748="","",$A748)</f>
        <v>45874</v>
      </c>
      <c r="AE763" s="44">
        <v>5137</v>
      </c>
      <c r="AF763" s="44">
        <f t="shared" si="623"/>
        <v>145</v>
      </c>
      <c r="AG763" s="44">
        <v>147</v>
      </c>
      <c r="AH763" s="23">
        <f t="shared" si="624"/>
        <v>5</v>
      </c>
      <c r="AI763" s="44">
        <v>7</v>
      </c>
      <c r="AJ763" s="44">
        <f t="shared" si="625"/>
        <v>4</v>
      </c>
      <c r="AK763" s="66"/>
      <c r="AL763" s="61" t="str">
        <f t="shared" si="630"/>
        <v>こびとづかんキーケース</v>
      </c>
      <c r="AM763" s="62">
        <f t="shared" si="631"/>
        <v>1045</v>
      </c>
      <c r="AN763" s="23">
        <f t="shared" si="627"/>
        <v>4180</v>
      </c>
      <c r="AO763" s="24">
        <f t="shared" si="628"/>
        <v>0.28827586206896549</v>
      </c>
      <c r="AP763" s="11"/>
    </row>
    <row r="764" spans="1:42" ht="15" customHeight="1">
      <c r="A764" s="12"/>
      <c r="B764" s="8"/>
      <c r="C764" s="13"/>
      <c r="D764" s="9" t="str">
        <f t="shared" si="634"/>
        <v/>
      </c>
      <c r="E764" s="9"/>
      <c r="F764" s="9" t="str">
        <f t="shared" si="635"/>
        <v/>
      </c>
      <c r="G764" s="9"/>
      <c r="H764" s="9" t="str">
        <f t="shared" si="636"/>
        <v/>
      </c>
      <c r="I764" s="9"/>
      <c r="J764" s="44"/>
      <c r="K764" s="44" t="str">
        <f t="shared" si="637"/>
        <v/>
      </c>
      <c r="L764" s="9" t="str">
        <f t="shared" si="632"/>
        <v/>
      </c>
      <c r="M764" s="10" t="str">
        <f t="shared" si="633"/>
        <v/>
      </c>
      <c r="N764" s="11"/>
      <c r="O764" s="2"/>
      <c r="P764" s="12"/>
      <c r="Q764" s="9">
        <v>6611</v>
      </c>
      <c r="R764" s="9">
        <f t="shared" si="616"/>
        <v>127</v>
      </c>
      <c r="S764" s="9">
        <v>144</v>
      </c>
      <c r="T764" s="9">
        <f t="shared" si="617"/>
        <v>3</v>
      </c>
      <c r="U764" s="9">
        <v>7</v>
      </c>
      <c r="V764" s="9">
        <f t="shared" si="618"/>
        <v>3</v>
      </c>
      <c r="W764" s="13">
        <v>2</v>
      </c>
      <c r="X764" s="47" t="str">
        <f t="shared" si="619"/>
        <v>キティフェイスポーチ</v>
      </c>
      <c r="Y764" s="45">
        <f t="shared" si="620"/>
        <v>957</v>
      </c>
      <c r="Z764" s="9">
        <f t="shared" si="621"/>
        <v>2871</v>
      </c>
      <c r="AA764" s="10">
        <f t="shared" si="622"/>
        <v>0.22606299212598424</v>
      </c>
      <c r="AB764" s="11"/>
      <c r="AD764" s="12"/>
      <c r="AE764" s="9">
        <v>6757</v>
      </c>
      <c r="AF764" s="9">
        <f t="shared" si="623"/>
        <v>171</v>
      </c>
      <c r="AG764" s="9">
        <v>119</v>
      </c>
      <c r="AH764" s="9">
        <f t="shared" si="624"/>
        <v>1</v>
      </c>
      <c r="AI764" s="9">
        <v>15</v>
      </c>
      <c r="AJ764" s="9">
        <f t="shared" si="625"/>
        <v>1</v>
      </c>
      <c r="AK764" s="13">
        <v>2</v>
      </c>
      <c r="AL764" s="47" t="str">
        <f t="shared" si="630"/>
        <v>デジタルミニカメラ</v>
      </c>
      <c r="AM764" s="45">
        <f t="shared" si="631"/>
        <v>800</v>
      </c>
      <c r="AN764" s="9">
        <f t="shared" si="627"/>
        <v>800</v>
      </c>
      <c r="AO764" s="10">
        <f t="shared" si="628"/>
        <v>4.6783625730994149E-2</v>
      </c>
      <c r="AP764" s="11"/>
    </row>
    <row r="765" spans="1:42" ht="15" customHeight="1">
      <c r="A765" s="12"/>
      <c r="B765" s="8"/>
      <c r="C765" s="9"/>
      <c r="D765" s="9" t="str">
        <f t="shared" si="634"/>
        <v/>
      </c>
      <c r="E765" s="9"/>
      <c r="F765" s="9" t="str">
        <f t="shared" si="635"/>
        <v/>
      </c>
      <c r="G765" s="9"/>
      <c r="H765" s="9" t="str">
        <f t="shared" si="636"/>
        <v/>
      </c>
      <c r="I765" s="9"/>
      <c r="J765" s="44"/>
      <c r="K765" s="44" t="str">
        <f t="shared" si="637"/>
        <v/>
      </c>
      <c r="L765" s="9" t="str">
        <f t="shared" si="632"/>
        <v/>
      </c>
      <c r="M765" s="10" t="str">
        <f t="shared" si="633"/>
        <v/>
      </c>
      <c r="N765" s="11"/>
      <c r="O765" s="2"/>
      <c r="P765" s="12"/>
      <c r="Q765" s="26">
        <v>6524</v>
      </c>
      <c r="R765" s="9">
        <f t="shared" si="616"/>
        <v>164</v>
      </c>
      <c r="S765" s="26">
        <v>293</v>
      </c>
      <c r="T765" s="9">
        <f t="shared" si="617"/>
        <v>3</v>
      </c>
      <c r="U765" s="9">
        <v>16</v>
      </c>
      <c r="V765" s="9">
        <f t="shared" si="618"/>
        <v>1</v>
      </c>
      <c r="W765" s="13">
        <v>2</v>
      </c>
      <c r="X765" s="47" t="str">
        <f t="shared" si="619"/>
        <v>ギャルキティキーケース</v>
      </c>
      <c r="Y765" s="9">
        <f t="shared" si="620"/>
        <v>726</v>
      </c>
      <c r="Z765" s="9">
        <f t="shared" si="621"/>
        <v>726</v>
      </c>
      <c r="AA765" s="10">
        <f t="shared" si="622"/>
        <v>4.4268292682926827E-2</v>
      </c>
      <c r="AB765" s="11"/>
      <c r="AD765" s="12"/>
      <c r="AE765" s="26">
        <v>5872</v>
      </c>
      <c r="AF765" s="9">
        <f t="shared" si="623"/>
        <v>144</v>
      </c>
      <c r="AG765" s="26">
        <v>271</v>
      </c>
      <c r="AH765" s="9">
        <f t="shared" si="624"/>
        <v>3</v>
      </c>
      <c r="AI765" s="9">
        <v>110</v>
      </c>
      <c r="AJ765" s="9">
        <f t="shared" si="625"/>
        <v>5</v>
      </c>
      <c r="AK765" s="13">
        <v>-90</v>
      </c>
      <c r="AL765" s="47" t="str">
        <f t="shared" si="630"/>
        <v>SPGラバー</v>
      </c>
      <c r="AM765" s="9">
        <f t="shared" si="631"/>
        <v>187</v>
      </c>
      <c r="AN765" s="9">
        <f t="shared" si="627"/>
        <v>935</v>
      </c>
      <c r="AO765" s="10">
        <f t="shared" si="628"/>
        <v>6.4930555555555561E-2</v>
      </c>
      <c r="AP765" s="11" t="s">
        <v>115</v>
      </c>
    </row>
    <row r="766" spans="1:42" ht="15" customHeight="1" thickBot="1">
      <c r="A766" s="12"/>
      <c r="B766" s="8"/>
      <c r="C766" s="9"/>
      <c r="D766" s="9" t="str">
        <f t="shared" si="634"/>
        <v/>
      </c>
      <c r="E766" s="9"/>
      <c r="F766" s="9" t="str">
        <f t="shared" si="635"/>
        <v/>
      </c>
      <c r="G766" s="9"/>
      <c r="H766" s="9" t="str">
        <f t="shared" si="636"/>
        <v/>
      </c>
      <c r="I766" s="9"/>
      <c r="J766" s="44"/>
      <c r="K766" s="44" t="str">
        <f t="shared" si="637"/>
        <v/>
      </c>
      <c r="L766" s="9" t="str">
        <f t="shared" si="632"/>
        <v/>
      </c>
      <c r="M766" s="10" t="str">
        <f t="shared" si="633"/>
        <v/>
      </c>
      <c r="N766" s="11"/>
      <c r="O766" s="2"/>
      <c r="P766" s="18"/>
      <c r="Q766" s="19">
        <v>8048</v>
      </c>
      <c r="R766" s="19">
        <f t="shared" si="616"/>
        <v>299</v>
      </c>
      <c r="S766" s="19">
        <v>261</v>
      </c>
      <c r="T766" s="19">
        <f t="shared" si="617"/>
        <v>8</v>
      </c>
      <c r="U766" s="19">
        <v>6</v>
      </c>
      <c r="V766" s="19">
        <f t="shared" si="618"/>
        <v>3</v>
      </c>
      <c r="W766" s="37">
        <v>0</v>
      </c>
      <c r="X766" s="48" t="str">
        <f t="shared" si="619"/>
        <v>サンリオファン</v>
      </c>
      <c r="Y766" s="51">
        <f t="shared" si="620"/>
        <v>1100</v>
      </c>
      <c r="Z766" s="19">
        <f t="shared" si="621"/>
        <v>3300</v>
      </c>
      <c r="AA766" s="20">
        <f t="shared" si="622"/>
        <v>0.11036789297658862</v>
      </c>
      <c r="AB766" s="11"/>
      <c r="AD766" s="18"/>
      <c r="AE766" s="19">
        <v>6900</v>
      </c>
      <c r="AF766" s="19">
        <f t="shared" si="623"/>
        <v>583</v>
      </c>
      <c r="AG766" s="19">
        <v>201</v>
      </c>
      <c r="AH766" s="19">
        <f t="shared" si="624"/>
        <v>14</v>
      </c>
      <c r="AI766" s="19">
        <v>60</v>
      </c>
      <c r="AJ766" s="19">
        <f t="shared" si="625"/>
        <v>16</v>
      </c>
      <c r="AK766" s="37">
        <v>80</v>
      </c>
      <c r="AL766" s="48" t="str">
        <f t="shared" si="630"/>
        <v>AIモンスターラバー</v>
      </c>
      <c r="AM766" s="51">
        <f t="shared" si="631"/>
        <v>200</v>
      </c>
      <c r="AN766" s="19">
        <f t="shared" si="627"/>
        <v>3200</v>
      </c>
      <c r="AO766" s="20">
        <f t="shared" si="628"/>
        <v>5.4888507718696397E-2</v>
      </c>
      <c r="AP766" s="11"/>
    </row>
    <row r="767" spans="1:42" ht="15" customHeight="1" thickTop="1">
      <c r="A767" s="12"/>
      <c r="B767" s="8"/>
      <c r="C767" s="9"/>
      <c r="D767" s="9" t="str">
        <f>IF(C767="","",C767-C768)</f>
        <v/>
      </c>
      <c r="E767" s="9"/>
      <c r="F767" s="9" t="str">
        <f>IF(E767="","",E767-E768)</f>
        <v/>
      </c>
      <c r="G767" s="9"/>
      <c r="H767" s="9" t="str">
        <f>IF(G767="","",G768+I768-G767)</f>
        <v/>
      </c>
      <c r="I767" s="9"/>
      <c r="J767" s="44"/>
      <c r="K767" s="44" t="str">
        <f>IF(C767="","",K768)</f>
        <v/>
      </c>
      <c r="L767" s="9" t="str">
        <f t="shared" si="632"/>
        <v/>
      </c>
      <c r="M767" s="10" t="str">
        <f t="shared" si="633"/>
        <v/>
      </c>
      <c r="N767" s="11"/>
      <c r="O767" s="2"/>
      <c r="P767" s="65">
        <f>IF($A749="","",$A749)</f>
        <v>45877</v>
      </c>
      <c r="Q767" s="9">
        <v>6288</v>
      </c>
      <c r="R767" s="44">
        <f t="shared" si="616"/>
        <v>168</v>
      </c>
      <c r="S767" s="9">
        <v>180</v>
      </c>
      <c r="T767" s="23">
        <f t="shared" si="617"/>
        <v>9</v>
      </c>
      <c r="U767" s="9">
        <v>75</v>
      </c>
      <c r="V767" s="44">
        <f t="shared" si="618"/>
        <v>13</v>
      </c>
      <c r="W767" s="13">
        <v>0</v>
      </c>
      <c r="X767" s="61" t="str">
        <f t="shared" si="619"/>
        <v>キティサンダルキーホルダー</v>
      </c>
      <c r="Y767" s="62">
        <f t="shared" si="620"/>
        <v>600</v>
      </c>
      <c r="Z767" s="23">
        <f t="shared" si="621"/>
        <v>7800</v>
      </c>
      <c r="AA767" s="24">
        <f t="shared" si="622"/>
        <v>0.4642857142857143</v>
      </c>
      <c r="AB767" s="11"/>
      <c r="AD767" s="65">
        <f>IF($A749="","",$A749)</f>
        <v>45877</v>
      </c>
      <c r="AE767" s="9">
        <v>5202</v>
      </c>
      <c r="AF767" s="44">
        <f t="shared" si="623"/>
        <v>65</v>
      </c>
      <c r="AG767" s="9">
        <v>149</v>
      </c>
      <c r="AH767" s="23">
        <f t="shared" si="624"/>
        <v>2</v>
      </c>
      <c r="AI767" s="9">
        <v>5</v>
      </c>
      <c r="AJ767" s="44">
        <f t="shared" si="625"/>
        <v>2</v>
      </c>
      <c r="AK767" s="13">
        <v>4</v>
      </c>
      <c r="AL767" s="61" t="str">
        <f t="shared" si="630"/>
        <v>こびとづかんキーケース</v>
      </c>
      <c r="AM767" s="62">
        <f t="shared" si="631"/>
        <v>1045</v>
      </c>
      <c r="AN767" s="23">
        <f t="shared" si="627"/>
        <v>2090</v>
      </c>
      <c r="AO767" s="24">
        <f t="shared" si="628"/>
        <v>0.32153846153846155</v>
      </c>
      <c r="AP767" s="11"/>
    </row>
    <row r="768" spans="1:42" ht="15" customHeight="1">
      <c r="A768" s="12"/>
      <c r="B768" s="8"/>
      <c r="C768" s="9"/>
      <c r="D768" s="9" t="str">
        <f>IF(C768="","",C768-C766)</f>
        <v/>
      </c>
      <c r="E768" s="9"/>
      <c r="F768" s="9" t="str">
        <f>IF(E768="","",E768-E766)</f>
        <v/>
      </c>
      <c r="G768" s="9"/>
      <c r="H768" s="9" t="str">
        <f>IF(G768="","",G766+I766-G768)</f>
        <v/>
      </c>
      <c r="I768" s="9"/>
      <c r="J768" s="44"/>
      <c r="K768" s="44" t="str">
        <f>IF(C768="","",K766)</f>
        <v/>
      </c>
      <c r="L768" s="9" t="str">
        <f t="shared" si="632"/>
        <v/>
      </c>
      <c r="M768" s="10" t="str">
        <f t="shared" si="633"/>
        <v/>
      </c>
      <c r="N768" s="11"/>
      <c r="O768" s="2"/>
      <c r="P768" s="65"/>
      <c r="Q768" s="44">
        <v>6684</v>
      </c>
      <c r="R768" s="9">
        <f t="shared" si="616"/>
        <v>73</v>
      </c>
      <c r="S768" s="44">
        <v>145</v>
      </c>
      <c r="T768" s="9">
        <f t="shared" si="617"/>
        <v>1</v>
      </c>
      <c r="U768" s="9">
        <v>7</v>
      </c>
      <c r="V768" s="9">
        <f t="shared" si="618"/>
        <v>2</v>
      </c>
      <c r="W768" s="13">
        <v>1</v>
      </c>
      <c r="X768" s="47" t="str">
        <f t="shared" si="619"/>
        <v>キティフェイスポーチ</v>
      </c>
      <c r="Y768" s="45">
        <f t="shared" si="620"/>
        <v>957</v>
      </c>
      <c r="Z768" s="9">
        <f t="shared" si="621"/>
        <v>1914</v>
      </c>
      <c r="AA768" s="10">
        <f t="shared" si="622"/>
        <v>0.2621917808219178</v>
      </c>
      <c r="AB768" s="11"/>
      <c r="AD768" s="65"/>
      <c r="AE768" s="44">
        <v>6897</v>
      </c>
      <c r="AF768" s="9">
        <f t="shared" si="623"/>
        <v>140</v>
      </c>
      <c r="AG768" s="44">
        <v>119</v>
      </c>
      <c r="AH768" s="9">
        <f t="shared" si="624"/>
        <v>0</v>
      </c>
      <c r="AI768" s="9">
        <v>17</v>
      </c>
      <c r="AJ768" s="9">
        <f t="shared" si="625"/>
        <v>0</v>
      </c>
      <c r="AK768" s="13">
        <v>0</v>
      </c>
      <c r="AL768" s="47" t="str">
        <f t="shared" si="630"/>
        <v>デジタルミニカメラ</v>
      </c>
      <c r="AM768" s="45">
        <f t="shared" si="631"/>
        <v>800</v>
      </c>
      <c r="AN768" s="9">
        <f t="shared" si="627"/>
        <v>0</v>
      </c>
      <c r="AO768" s="10">
        <f t="shared" si="628"/>
        <v>0</v>
      </c>
      <c r="AP768" s="11"/>
    </row>
    <row r="769" spans="1:42" ht="15" customHeight="1">
      <c r="A769" s="12"/>
      <c r="B769" s="8"/>
      <c r="C769" s="9"/>
      <c r="D769" s="9" t="str">
        <f>IF(C769="","",C769-C767)</f>
        <v/>
      </c>
      <c r="E769" s="9"/>
      <c r="F769" s="9" t="str">
        <f>IF(E769="","",E769-E767)</f>
        <v/>
      </c>
      <c r="G769" s="9"/>
      <c r="H769" s="9" t="str">
        <f>IF(G769="","",G767+I767-G769)</f>
        <v/>
      </c>
      <c r="I769" s="9"/>
      <c r="J769" s="44"/>
      <c r="K769" s="44" t="str">
        <f>IF(C769="","",K767)</f>
        <v/>
      </c>
      <c r="L769" s="9" t="str">
        <f t="shared" si="632"/>
        <v/>
      </c>
      <c r="M769" s="10" t="str">
        <f t="shared" si="633"/>
        <v/>
      </c>
      <c r="N769" s="11"/>
      <c r="O769" s="2"/>
      <c r="P769" s="12"/>
      <c r="Q769" s="9">
        <v>6655</v>
      </c>
      <c r="R769" s="9">
        <f t="shared" si="616"/>
        <v>131</v>
      </c>
      <c r="S769" s="9">
        <v>295</v>
      </c>
      <c r="T769" s="9">
        <f t="shared" si="617"/>
        <v>2</v>
      </c>
      <c r="U769" s="9">
        <v>19</v>
      </c>
      <c r="V769" s="9">
        <f t="shared" si="618"/>
        <v>-1</v>
      </c>
      <c r="W769" s="13">
        <v>0</v>
      </c>
      <c r="X769" s="47" t="str">
        <f t="shared" si="619"/>
        <v>ギャルキティキーケース</v>
      </c>
      <c r="Y769" s="9">
        <f t="shared" si="620"/>
        <v>726</v>
      </c>
      <c r="Z769" s="9">
        <f t="shared" si="621"/>
        <v>-726</v>
      </c>
      <c r="AA769" s="10">
        <f t="shared" si="622"/>
        <v>-5.5419847328244273E-2</v>
      </c>
      <c r="AB769" s="11"/>
      <c r="AD769" s="12"/>
      <c r="AE769" s="9">
        <v>5954</v>
      </c>
      <c r="AF769" s="9">
        <f t="shared" si="623"/>
        <v>82</v>
      </c>
      <c r="AG769" s="9">
        <v>279</v>
      </c>
      <c r="AH769" s="9">
        <f t="shared" si="624"/>
        <v>8</v>
      </c>
      <c r="AI769" s="9">
        <v>11</v>
      </c>
      <c r="AJ769" s="9">
        <f t="shared" si="625"/>
        <v>9</v>
      </c>
      <c r="AK769" s="13">
        <v>8</v>
      </c>
      <c r="AL769" s="47" t="s">
        <v>116</v>
      </c>
      <c r="AM769" s="9">
        <v>286</v>
      </c>
      <c r="AN769" s="9">
        <f t="shared" si="627"/>
        <v>2574</v>
      </c>
      <c r="AO769" s="10">
        <f t="shared" si="628"/>
        <v>0.31390243902439025</v>
      </c>
      <c r="AP769" s="11" t="s">
        <v>117</v>
      </c>
    </row>
    <row r="770" spans="1:42" ht="15" customHeight="1" thickBot="1">
      <c r="A770" s="12"/>
      <c r="B770" s="8"/>
      <c r="C770" s="9"/>
      <c r="D770" s="9" t="str">
        <f t="shared" ref="D770:D795" si="638">IF(C770="","",C770-C769)</f>
        <v/>
      </c>
      <c r="E770" s="9"/>
      <c r="F770" s="9" t="str">
        <f t="shared" ref="F770:F796" si="639">IF(E770="","",E770-E769)</f>
        <v/>
      </c>
      <c r="G770" s="9"/>
      <c r="H770" s="9" t="str">
        <f t="shared" ref="H770:H796" si="640">IF(G770="","",G769+I769-G770)</f>
        <v/>
      </c>
      <c r="I770" s="9"/>
      <c r="J770" s="44"/>
      <c r="K770" s="44" t="str">
        <f>IF(C770="","",K769)</f>
        <v/>
      </c>
      <c r="L770" s="9" t="str">
        <f t="shared" si="632"/>
        <v/>
      </c>
      <c r="M770" s="10" t="str">
        <f t="shared" si="633"/>
        <v/>
      </c>
      <c r="N770" s="11"/>
      <c r="O770" s="2"/>
      <c r="P770" s="18"/>
      <c r="Q770" s="19">
        <v>8178</v>
      </c>
      <c r="R770" s="19">
        <f t="shared" si="616"/>
        <v>130</v>
      </c>
      <c r="S770" s="19">
        <v>264</v>
      </c>
      <c r="T770" s="19">
        <f t="shared" si="617"/>
        <v>3</v>
      </c>
      <c r="U770" s="19">
        <v>6</v>
      </c>
      <c r="V770" s="19">
        <f t="shared" si="618"/>
        <v>0</v>
      </c>
      <c r="W770" s="37">
        <v>2</v>
      </c>
      <c r="X770" s="48" t="str">
        <f t="shared" si="619"/>
        <v>サンリオファン</v>
      </c>
      <c r="Y770" s="51">
        <f t="shared" si="620"/>
        <v>1100</v>
      </c>
      <c r="Z770" s="19">
        <f t="shared" si="621"/>
        <v>0</v>
      </c>
      <c r="AA770" s="20">
        <f t="shared" si="622"/>
        <v>0</v>
      </c>
      <c r="AB770" s="11"/>
      <c r="AD770" s="18"/>
      <c r="AE770" s="19">
        <v>7296</v>
      </c>
      <c r="AF770" s="19">
        <f t="shared" si="623"/>
        <v>396</v>
      </c>
      <c r="AG770" s="19">
        <v>223</v>
      </c>
      <c r="AH770" s="19">
        <f t="shared" si="624"/>
        <v>22</v>
      </c>
      <c r="AI770" s="19">
        <v>110</v>
      </c>
      <c r="AJ770" s="19">
        <f t="shared" si="625"/>
        <v>30</v>
      </c>
      <c r="AK770" s="37">
        <v>0</v>
      </c>
      <c r="AL770" s="48" t="str">
        <f t="shared" si="630"/>
        <v>AIモンスターラバー</v>
      </c>
      <c r="AM770" s="51">
        <f t="shared" si="631"/>
        <v>200</v>
      </c>
      <c r="AN770" s="19">
        <f t="shared" si="627"/>
        <v>6000</v>
      </c>
      <c r="AO770" s="20">
        <f t="shared" si="628"/>
        <v>0.15151515151515152</v>
      </c>
      <c r="AP770" s="11"/>
    </row>
    <row r="771" spans="1:42" ht="15" customHeight="1" thickTop="1">
      <c r="A771" s="12"/>
      <c r="B771" s="8"/>
      <c r="C771" s="9"/>
      <c r="D771" s="9" t="str">
        <f t="shared" si="638"/>
        <v/>
      </c>
      <c r="E771" s="9"/>
      <c r="F771" s="9" t="str">
        <f t="shared" si="639"/>
        <v/>
      </c>
      <c r="G771" s="9"/>
      <c r="H771" s="9" t="str">
        <f t="shared" si="640"/>
        <v/>
      </c>
      <c r="I771" s="9"/>
      <c r="J771" s="44"/>
      <c r="K771" s="44" t="str">
        <f>IF(C771="","",K770)</f>
        <v/>
      </c>
      <c r="L771" s="9" t="str">
        <f t="shared" si="632"/>
        <v/>
      </c>
      <c r="M771" s="10" t="str">
        <f t="shared" si="633"/>
        <v/>
      </c>
      <c r="N771" s="11"/>
      <c r="O771" s="2"/>
      <c r="P771" s="65">
        <f>IF($A750="","",$A750)</f>
        <v>45880</v>
      </c>
      <c r="Q771" s="9">
        <v>6395</v>
      </c>
      <c r="R771" s="44">
        <f t="shared" si="616"/>
        <v>107</v>
      </c>
      <c r="S771" s="9">
        <v>184</v>
      </c>
      <c r="T771" s="23">
        <f t="shared" si="617"/>
        <v>4</v>
      </c>
      <c r="U771" s="9">
        <v>70</v>
      </c>
      <c r="V771" s="44">
        <f t="shared" si="618"/>
        <v>5</v>
      </c>
      <c r="W771" s="66">
        <v>0</v>
      </c>
      <c r="X771" s="61" t="str">
        <f t="shared" si="619"/>
        <v>キティサンダルキーホルダー</v>
      </c>
      <c r="Y771" s="62">
        <f t="shared" si="620"/>
        <v>600</v>
      </c>
      <c r="Z771" s="23">
        <f t="shared" si="621"/>
        <v>3000</v>
      </c>
      <c r="AA771" s="24">
        <f t="shared" si="622"/>
        <v>0.28037383177570091</v>
      </c>
      <c r="AB771" s="11"/>
      <c r="AD771" s="65">
        <f>IF($A750="","",$A750)</f>
        <v>45880</v>
      </c>
      <c r="AE771" s="9">
        <v>5287</v>
      </c>
      <c r="AF771" s="44">
        <f t="shared" si="623"/>
        <v>85</v>
      </c>
      <c r="AG771" s="9">
        <v>152</v>
      </c>
      <c r="AH771" s="23">
        <f t="shared" si="624"/>
        <v>3</v>
      </c>
      <c r="AI771" s="9">
        <v>6</v>
      </c>
      <c r="AJ771" s="44">
        <f t="shared" si="625"/>
        <v>3</v>
      </c>
      <c r="AK771" s="66">
        <v>2</v>
      </c>
      <c r="AL771" s="61" t="str">
        <f t="shared" si="630"/>
        <v>こびとづかんキーケース</v>
      </c>
      <c r="AM771" s="62">
        <f t="shared" si="631"/>
        <v>1045</v>
      </c>
      <c r="AN771" s="23">
        <f t="shared" si="627"/>
        <v>3135</v>
      </c>
      <c r="AO771" s="24">
        <f t="shared" si="628"/>
        <v>0.36882352941176472</v>
      </c>
      <c r="AP771" s="11" t="s">
        <v>118</v>
      </c>
    </row>
    <row r="772" spans="1:42" ht="15" customHeight="1">
      <c r="A772" s="12"/>
      <c r="B772" s="8"/>
      <c r="C772" s="9"/>
      <c r="D772" s="9" t="str">
        <f t="shared" si="638"/>
        <v/>
      </c>
      <c r="E772" s="9"/>
      <c r="F772" s="9" t="str">
        <f t="shared" si="639"/>
        <v/>
      </c>
      <c r="G772" s="9"/>
      <c r="H772" s="9" t="str">
        <f t="shared" si="640"/>
        <v/>
      </c>
      <c r="I772" s="9"/>
      <c r="J772" s="44"/>
      <c r="K772" s="44" t="str">
        <f>IF(C772="","",K771)</f>
        <v/>
      </c>
      <c r="L772" s="9" t="str">
        <f t="shared" si="632"/>
        <v/>
      </c>
      <c r="M772" s="10" t="str">
        <f t="shared" si="633"/>
        <v/>
      </c>
      <c r="N772" s="11"/>
      <c r="O772" s="2"/>
      <c r="P772" s="12"/>
      <c r="Q772" s="44">
        <v>6870</v>
      </c>
      <c r="R772" s="9">
        <f t="shared" si="616"/>
        <v>186</v>
      </c>
      <c r="S772" s="44">
        <v>148</v>
      </c>
      <c r="T772" s="9">
        <f t="shared" si="617"/>
        <v>3</v>
      </c>
      <c r="U772" s="9">
        <v>6</v>
      </c>
      <c r="V772" s="9">
        <f t="shared" si="618"/>
        <v>2</v>
      </c>
      <c r="W772" s="13">
        <v>3</v>
      </c>
      <c r="X772" s="47" t="str">
        <f t="shared" si="619"/>
        <v>キティフェイスポーチ</v>
      </c>
      <c r="Y772" s="45">
        <f t="shared" si="620"/>
        <v>957</v>
      </c>
      <c r="Z772" s="9">
        <f t="shared" si="621"/>
        <v>1914</v>
      </c>
      <c r="AA772" s="10">
        <f t="shared" si="622"/>
        <v>0.10290322580645161</v>
      </c>
      <c r="AB772" s="11" t="s">
        <v>118</v>
      </c>
      <c r="AD772" s="12"/>
      <c r="AE772" s="44">
        <v>6970</v>
      </c>
      <c r="AF772" s="9">
        <f t="shared" si="623"/>
        <v>73</v>
      </c>
      <c r="AG772" s="44">
        <v>120</v>
      </c>
      <c r="AH772" s="9">
        <f t="shared" si="624"/>
        <v>1</v>
      </c>
      <c r="AI772" s="9">
        <v>16</v>
      </c>
      <c r="AJ772" s="9">
        <f t="shared" si="625"/>
        <v>1</v>
      </c>
      <c r="AK772" s="13">
        <v>3</v>
      </c>
      <c r="AL772" s="47" t="str">
        <f t="shared" si="630"/>
        <v>デジタルミニカメラ</v>
      </c>
      <c r="AM772" s="45">
        <f t="shared" si="631"/>
        <v>800</v>
      </c>
      <c r="AN772" s="9">
        <f t="shared" si="627"/>
        <v>800</v>
      </c>
      <c r="AO772" s="10">
        <f t="shared" si="628"/>
        <v>0.1095890410958904</v>
      </c>
      <c r="AP772" s="11"/>
    </row>
    <row r="773" spans="1:42" ht="15" customHeight="1">
      <c r="A773" s="12"/>
      <c r="B773" s="8"/>
      <c r="C773" s="9"/>
      <c r="D773" s="9" t="str">
        <f t="shared" si="638"/>
        <v/>
      </c>
      <c r="E773" s="9"/>
      <c r="F773" s="9" t="str">
        <f t="shared" si="639"/>
        <v/>
      </c>
      <c r="G773" s="9"/>
      <c r="H773" s="9" t="str">
        <f t="shared" si="640"/>
        <v/>
      </c>
      <c r="I773" s="9"/>
      <c r="J773" s="9"/>
      <c r="K773" s="9"/>
      <c r="L773" s="9" t="str">
        <f t="shared" si="632"/>
        <v/>
      </c>
      <c r="M773" s="10" t="str">
        <f t="shared" si="633"/>
        <v/>
      </c>
      <c r="N773" s="11"/>
      <c r="O773" s="2"/>
      <c r="P773" s="12"/>
      <c r="Q773" s="9">
        <v>6761</v>
      </c>
      <c r="R773" s="9">
        <f t="shared" si="616"/>
        <v>106</v>
      </c>
      <c r="S773" s="9">
        <v>297</v>
      </c>
      <c r="T773" s="9">
        <f t="shared" si="617"/>
        <v>2</v>
      </c>
      <c r="U773" s="9">
        <v>16</v>
      </c>
      <c r="V773" s="9">
        <f t="shared" si="618"/>
        <v>3</v>
      </c>
      <c r="W773" s="38">
        <v>2</v>
      </c>
      <c r="X773" s="47" t="str">
        <f t="shared" si="619"/>
        <v>ギャルキティキーケース</v>
      </c>
      <c r="Y773" s="9">
        <f t="shared" si="620"/>
        <v>726</v>
      </c>
      <c r="Z773" s="9">
        <f t="shared" si="621"/>
        <v>2178</v>
      </c>
      <c r="AA773" s="10">
        <f t="shared" si="622"/>
        <v>0.20547169811320753</v>
      </c>
      <c r="AB773" s="11" t="s">
        <v>119</v>
      </c>
      <c r="AD773" s="12"/>
      <c r="AE773" s="9">
        <v>6293</v>
      </c>
      <c r="AF773" s="9">
        <f t="shared" si="623"/>
        <v>339</v>
      </c>
      <c r="AG773" s="9">
        <v>288</v>
      </c>
      <c r="AH773" s="9">
        <f t="shared" si="624"/>
        <v>9</v>
      </c>
      <c r="AI773" s="9">
        <v>10</v>
      </c>
      <c r="AJ773" s="9">
        <f t="shared" si="625"/>
        <v>9</v>
      </c>
      <c r="AK773" s="38">
        <v>10</v>
      </c>
      <c r="AL773" s="47" t="str">
        <f t="shared" si="630"/>
        <v>ＡＩマスコット</v>
      </c>
      <c r="AM773" s="9">
        <f t="shared" si="631"/>
        <v>286</v>
      </c>
      <c r="AN773" s="9">
        <f t="shared" si="627"/>
        <v>2574</v>
      </c>
      <c r="AO773" s="10">
        <f t="shared" si="628"/>
        <v>7.5929203539823006E-2</v>
      </c>
      <c r="AP773" s="11" t="s">
        <v>118</v>
      </c>
    </row>
    <row r="774" spans="1:42" ht="15" customHeight="1" thickBot="1">
      <c r="A774" s="12"/>
      <c r="B774" s="8"/>
      <c r="C774" s="9"/>
      <c r="D774" s="9" t="str">
        <f t="shared" si="638"/>
        <v/>
      </c>
      <c r="E774" s="9"/>
      <c r="F774" s="9" t="str">
        <f t="shared" si="639"/>
        <v/>
      </c>
      <c r="G774" s="9"/>
      <c r="H774" s="9" t="str">
        <f t="shared" si="640"/>
        <v/>
      </c>
      <c r="I774" s="9"/>
      <c r="J774" s="9"/>
      <c r="K774" s="9"/>
      <c r="L774" s="9" t="str">
        <f t="shared" si="632"/>
        <v/>
      </c>
      <c r="M774" s="10" t="str">
        <f t="shared" si="633"/>
        <v/>
      </c>
      <c r="N774" s="11"/>
      <c r="O774" s="2"/>
      <c r="P774" s="18"/>
      <c r="Q774" s="19">
        <v>8286</v>
      </c>
      <c r="R774" s="19">
        <f t="shared" si="616"/>
        <v>108</v>
      </c>
      <c r="S774" s="19">
        <v>273</v>
      </c>
      <c r="T774" s="19">
        <f t="shared" si="617"/>
        <v>9</v>
      </c>
      <c r="U774" s="19">
        <v>7</v>
      </c>
      <c r="V774" s="19">
        <f t="shared" si="618"/>
        <v>1</v>
      </c>
      <c r="W774" s="37">
        <v>2</v>
      </c>
      <c r="X774" s="48" t="str">
        <f t="shared" si="619"/>
        <v>サンリオファン</v>
      </c>
      <c r="Y774" s="51">
        <f t="shared" si="620"/>
        <v>1100</v>
      </c>
      <c r="Z774" s="19">
        <f t="shared" si="621"/>
        <v>1100</v>
      </c>
      <c r="AA774" s="20">
        <f t="shared" si="622"/>
        <v>0.10185185185185185</v>
      </c>
      <c r="AB774" s="11"/>
      <c r="AD774" s="18"/>
      <c r="AE774" s="19">
        <v>7464</v>
      </c>
      <c r="AF774" s="19">
        <f t="shared" si="623"/>
        <v>168</v>
      </c>
      <c r="AG774" s="19">
        <v>228</v>
      </c>
      <c r="AH774" s="19">
        <f t="shared" si="624"/>
        <v>5</v>
      </c>
      <c r="AI774" s="19">
        <v>100</v>
      </c>
      <c r="AJ774" s="19">
        <f t="shared" si="625"/>
        <v>10</v>
      </c>
      <c r="AK774" s="37">
        <v>30</v>
      </c>
      <c r="AL774" s="48" t="str">
        <f t="shared" si="630"/>
        <v>AIモンスターラバー</v>
      </c>
      <c r="AM774" s="51">
        <f t="shared" si="631"/>
        <v>200</v>
      </c>
      <c r="AN774" s="19">
        <f t="shared" si="627"/>
        <v>2000</v>
      </c>
      <c r="AO774" s="20">
        <f t="shared" si="628"/>
        <v>0.11904761904761904</v>
      </c>
      <c r="AP774" s="11"/>
    </row>
    <row r="775" spans="1:42" ht="15" customHeight="1" thickTop="1">
      <c r="A775" s="12"/>
      <c r="B775" s="8"/>
      <c r="C775" s="9"/>
      <c r="D775" s="9" t="str">
        <f t="shared" si="638"/>
        <v/>
      </c>
      <c r="E775" s="9"/>
      <c r="F775" s="9" t="str">
        <f t="shared" si="639"/>
        <v/>
      </c>
      <c r="G775" s="9"/>
      <c r="H775" s="9" t="str">
        <f t="shared" si="640"/>
        <v/>
      </c>
      <c r="I775" s="9"/>
      <c r="J775" s="9"/>
      <c r="K775" s="9"/>
      <c r="L775" s="9" t="str">
        <f t="shared" si="632"/>
        <v/>
      </c>
      <c r="M775" s="10" t="str">
        <f t="shared" si="633"/>
        <v/>
      </c>
      <c r="N775" s="11"/>
      <c r="O775" s="2"/>
      <c r="P775" s="65" t="str">
        <f>IF($A751="","",$A751)</f>
        <v/>
      </c>
      <c r="Q775" s="9"/>
      <c r="R775" s="44"/>
      <c r="S775" s="9"/>
      <c r="T775" s="23"/>
      <c r="U775" s="9"/>
      <c r="V775" s="44"/>
      <c r="W775" s="66"/>
      <c r="X775" s="61"/>
      <c r="Y775" s="62"/>
      <c r="Z775" s="23"/>
      <c r="AA775" s="24"/>
      <c r="AB775" s="11"/>
      <c r="AD775" s="65"/>
      <c r="AE775" s="9"/>
      <c r="AF775" s="44"/>
      <c r="AG775" s="9"/>
      <c r="AH775" s="23"/>
      <c r="AI775" s="9"/>
      <c r="AJ775" s="44"/>
      <c r="AK775" s="66"/>
      <c r="AL775" s="61"/>
      <c r="AM775" s="62"/>
      <c r="AN775" s="23"/>
      <c r="AO775" s="24"/>
      <c r="AP775" s="11"/>
    </row>
    <row r="776" spans="1:42" ht="15" customHeight="1">
      <c r="A776" s="12"/>
      <c r="B776" s="8"/>
      <c r="C776" s="9"/>
      <c r="D776" s="9" t="str">
        <f t="shared" si="638"/>
        <v/>
      </c>
      <c r="E776" s="9"/>
      <c r="F776" s="9" t="str">
        <f t="shared" si="639"/>
        <v/>
      </c>
      <c r="G776" s="9"/>
      <c r="H776" s="9" t="str">
        <f t="shared" si="640"/>
        <v/>
      </c>
      <c r="I776" s="9"/>
      <c r="J776" s="9"/>
      <c r="K776" s="9"/>
      <c r="L776" s="9" t="str">
        <f t="shared" si="632"/>
        <v/>
      </c>
      <c r="M776" s="10" t="str">
        <f t="shared" si="633"/>
        <v/>
      </c>
      <c r="N776" s="11"/>
      <c r="O776" s="2"/>
      <c r="P776" s="12"/>
      <c r="Q776" s="44"/>
      <c r="R776" s="9"/>
      <c r="S776" s="44"/>
      <c r="T776" s="9"/>
      <c r="U776" s="9"/>
      <c r="V776" s="9"/>
      <c r="W776" s="13"/>
      <c r="X776" s="47"/>
      <c r="Y776" s="45"/>
      <c r="Z776" s="9"/>
      <c r="AA776" s="10"/>
      <c r="AB776" s="11"/>
      <c r="AD776" s="12"/>
      <c r="AE776" s="44"/>
      <c r="AF776" s="9"/>
      <c r="AG776" s="44"/>
      <c r="AH776" s="9"/>
      <c r="AI776" s="9"/>
      <c r="AJ776" s="9"/>
      <c r="AK776" s="13"/>
      <c r="AL776" s="110"/>
      <c r="AM776" s="45"/>
      <c r="AN776" s="9"/>
      <c r="AO776" s="10"/>
      <c r="AP776" s="11"/>
    </row>
    <row r="777" spans="1:42" ht="15" customHeight="1">
      <c r="A777" s="12"/>
      <c r="B777" s="8"/>
      <c r="C777" s="9"/>
      <c r="D777" s="9" t="str">
        <f t="shared" si="638"/>
        <v/>
      </c>
      <c r="E777" s="9"/>
      <c r="F777" s="9" t="str">
        <f t="shared" si="639"/>
        <v/>
      </c>
      <c r="G777" s="9"/>
      <c r="H777" s="9" t="str">
        <f t="shared" si="640"/>
        <v/>
      </c>
      <c r="I777" s="9"/>
      <c r="J777" s="9"/>
      <c r="K777" s="9"/>
      <c r="L777" s="9" t="str">
        <f t="shared" si="632"/>
        <v/>
      </c>
      <c r="M777" s="10" t="str">
        <f t="shared" si="633"/>
        <v/>
      </c>
      <c r="N777" s="11"/>
      <c r="O777" s="2"/>
      <c r="P777" s="12"/>
      <c r="Q777" s="9"/>
      <c r="R777" s="9"/>
      <c r="S777" s="9"/>
      <c r="T777" s="9"/>
      <c r="U777" s="9"/>
      <c r="V777" s="9"/>
      <c r="W777" s="13"/>
      <c r="X777" s="47"/>
      <c r="Y777" s="9"/>
      <c r="Z777" s="9"/>
      <c r="AA777" s="10"/>
      <c r="AB777" s="11"/>
      <c r="AD777" s="12"/>
      <c r="AE777" s="9"/>
      <c r="AF777" s="9"/>
      <c r="AG777" s="9"/>
      <c r="AH777" s="9"/>
      <c r="AI777" s="9"/>
      <c r="AJ777" s="9"/>
      <c r="AK777" s="13"/>
      <c r="AL777" s="47"/>
      <c r="AM777" s="9"/>
      <c r="AN777" s="9"/>
      <c r="AO777" s="10"/>
      <c r="AP777" s="11"/>
    </row>
    <row r="778" spans="1:42" ht="15" customHeight="1" thickBot="1">
      <c r="A778" s="12"/>
      <c r="B778" s="8"/>
      <c r="C778" s="9"/>
      <c r="D778" s="9" t="str">
        <f t="shared" si="638"/>
        <v/>
      </c>
      <c r="E778" s="9"/>
      <c r="F778" s="9" t="str">
        <f t="shared" si="639"/>
        <v/>
      </c>
      <c r="G778" s="9"/>
      <c r="H778" s="9" t="str">
        <f t="shared" si="640"/>
        <v/>
      </c>
      <c r="I778" s="9"/>
      <c r="J778" s="9"/>
      <c r="K778" s="9"/>
      <c r="L778" s="9" t="str">
        <f t="shared" si="632"/>
        <v/>
      </c>
      <c r="M778" s="10" t="str">
        <f t="shared" si="633"/>
        <v/>
      </c>
      <c r="N778" s="11"/>
      <c r="O778" s="2"/>
      <c r="P778" s="18"/>
      <c r="Q778" s="19"/>
      <c r="R778" s="19"/>
      <c r="S778" s="19"/>
      <c r="T778" s="19"/>
      <c r="U778" s="19"/>
      <c r="V778" s="19"/>
      <c r="W778" s="37"/>
      <c r="X778" s="48"/>
      <c r="Y778" s="51"/>
      <c r="Z778" s="19"/>
      <c r="AA778" s="20"/>
      <c r="AB778" s="11"/>
      <c r="AD778" s="18"/>
      <c r="AE778" s="19"/>
      <c r="AF778" s="19"/>
      <c r="AG778" s="19"/>
      <c r="AH778" s="19"/>
      <c r="AI778" s="19"/>
      <c r="AJ778" s="19"/>
      <c r="AK778" s="37"/>
      <c r="AL778" s="48"/>
      <c r="AM778" s="51"/>
      <c r="AN778" s="19"/>
      <c r="AO778" s="20"/>
      <c r="AP778" s="11"/>
    </row>
    <row r="779" spans="1:42" ht="15" customHeight="1" thickTop="1">
      <c r="A779" s="12"/>
      <c r="B779" s="8"/>
      <c r="C779" s="9"/>
      <c r="D779" s="9" t="str">
        <f t="shared" si="638"/>
        <v/>
      </c>
      <c r="E779" s="9"/>
      <c r="F779" s="9" t="str">
        <f t="shared" si="639"/>
        <v/>
      </c>
      <c r="G779" s="9"/>
      <c r="H779" s="9" t="str">
        <f t="shared" si="640"/>
        <v/>
      </c>
      <c r="I779" s="9"/>
      <c r="J779" s="9"/>
      <c r="K779" s="9"/>
      <c r="L779" s="9" t="str">
        <f t="shared" si="632"/>
        <v/>
      </c>
      <c r="M779" s="10" t="str">
        <f t="shared" si="633"/>
        <v/>
      </c>
      <c r="N779" s="11"/>
      <c r="O779" s="2"/>
      <c r="P779" s="65" t="str">
        <f>IF($A752="","",$A752)</f>
        <v/>
      </c>
      <c r="Q779" s="44"/>
      <c r="R779" s="44"/>
      <c r="S779" s="44"/>
      <c r="T779" s="23"/>
      <c r="U779" s="44"/>
      <c r="V779" s="44"/>
      <c r="W779" s="66"/>
      <c r="X779" s="61"/>
      <c r="Y779" s="62"/>
      <c r="Z779" s="23"/>
      <c r="AA779" s="24"/>
      <c r="AB779" s="11"/>
      <c r="AD779" s="65"/>
      <c r="AE779" s="44"/>
      <c r="AF779" s="44"/>
      <c r="AG779" s="44"/>
      <c r="AH779" s="23"/>
      <c r="AI779" s="44"/>
      <c r="AJ779" s="44"/>
      <c r="AK779" s="66"/>
      <c r="AL779" s="61"/>
      <c r="AM779" s="62"/>
      <c r="AN779" s="23"/>
      <c r="AO779" s="24"/>
      <c r="AP779" s="11"/>
    </row>
    <row r="780" spans="1:42">
      <c r="A780" s="12"/>
      <c r="B780" s="8"/>
      <c r="C780" s="9"/>
      <c r="D780" s="9" t="str">
        <f t="shared" si="638"/>
        <v/>
      </c>
      <c r="E780" s="9"/>
      <c r="F780" s="9" t="str">
        <f t="shared" si="639"/>
        <v/>
      </c>
      <c r="G780" s="9"/>
      <c r="H780" s="9" t="str">
        <f t="shared" si="640"/>
        <v/>
      </c>
      <c r="I780" s="9"/>
      <c r="J780" s="9"/>
      <c r="K780" s="9"/>
      <c r="L780" s="9" t="str">
        <f t="shared" si="632"/>
        <v/>
      </c>
      <c r="M780" s="10" t="str">
        <f t="shared" si="633"/>
        <v/>
      </c>
      <c r="N780" s="11"/>
      <c r="O780" s="2"/>
      <c r="P780" s="12"/>
      <c r="Q780" s="9"/>
      <c r="R780" s="44" t="str">
        <f t="shared" ref="R780:R798" si="641">IF(Q780="","",Q780-Q776)</f>
        <v/>
      </c>
      <c r="S780" s="9"/>
      <c r="T780" s="9" t="str">
        <f t="shared" ref="T780:T798" si="642">IF(S780="","",S780-S776)</f>
        <v/>
      </c>
      <c r="U780" s="9"/>
      <c r="V780" s="9" t="str">
        <f t="shared" ref="V780:V798" si="643">IF(U780="","",U776+W776-U780)</f>
        <v/>
      </c>
      <c r="W780" s="13"/>
      <c r="X780" s="47" t="str">
        <f t="shared" ref="X780:X798" si="644">IF(Q780="","",X776)</f>
        <v/>
      </c>
      <c r="Y780" s="45" t="str">
        <f t="shared" ref="Y780:Y798" si="645">IF(R780="","",Y776)</f>
        <v/>
      </c>
      <c r="Z780" s="9" t="str">
        <f t="shared" ref="Z780:Z798" si="646">IF(U780="","",V780*Y780)</f>
        <v/>
      </c>
      <c r="AA780" s="10" t="str">
        <f t="shared" ref="AA780:AA798" si="647">IF(V780="","",Z780/(R780*100))</f>
        <v/>
      </c>
      <c r="AB780" s="11"/>
      <c r="AD780" s="12"/>
      <c r="AE780" s="9"/>
      <c r="AF780" s="44" t="str">
        <f t="shared" ref="AF780:AF798" si="648">IF(AE780="","",AE780-AE776)</f>
        <v/>
      </c>
      <c r="AG780" s="9"/>
      <c r="AH780" s="9" t="str">
        <f t="shared" ref="AH780:AH798" si="649">IF(AG780="","",AG780-AG776)</f>
        <v/>
      </c>
      <c r="AI780" s="9"/>
      <c r="AJ780" s="9" t="str">
        <f t="shared" ref="AJ780:AJ798" si="650">IF(AI780="","",AI776+AK776-AI780)</f>
        <v/>
      </c>
      <c r="AK780" s="13"/>
      <c r="AL780" s="47" t="str">
        <f t="shared" si="630"/>
        <v/>
      </c>
      <c r="AM780" s="45" t="str">
        <f t="shared" si="631"/>
        <v/>
      </c>
      <c r="AN780" s="9" t="str">
        <f t="shared" ref="AN780:AN798" si="651">IF(AI780="","",AJ780*AM780)</f>
        <v/>
      </c>
      <c r="AO780" s="10" t="str">
        <f t="shared" ref="AO780:AO798" si="652">IF(AJ780="","",AN780/(AF780*100))</f>
        <v/>
      </c>
      <c r="AP780" s="11"/>
    </row>
    <row r="781" spans="1:42" ht="15" customHeight="1">
      <c r="A781" s="12"/>
      <c r="B781" s="8"/>
      <c r="C781" s="9"/>
      <c r="D781" s="9" t="str">
        <f t="shared" si="638"/>
        <v/>
      </c>
      <c r="E781" s="9"/>
      <c r="F781" s="9" t="str">
        <f t="shared" si="639"/>
        <v/>
      </c>
      <c r="G781" s="9"/>
      <c r="H781" s="9" t="str">
        <f t="shared" si="640"/>
        <v/>
      </c>
      <c r="I781" s="9"/>
      <c r="J781" s="9"/>
      <c r="K781" s="9"/>
      <c r="L781" s="9" t="str">
        <f t="shared" si="632"/>
        <v/>
      </c>
      <c r="M781" s="10" t="str">
        <f t="shared" si="633"/>
        <v/>
      </c>
      <c r="N781" s="11"/>
      <c r="O781" s="2"/>
      <c r="P781" s="12"/>
      <c r="Q781" s="9"/>
      <c r="R781" s="52" t="str">
        <f t="shared" si="641"/>
        <v/>
      </c>
      <c r="S781" s="9"/>
      <c r="T781" s="9" t="str">
        <f t="shared" si="642"/>
        <v/>
      </c>
      <c r="U781" s="26"/>
      <c r="V781" s="26" t="str">
        <f t="shared" si="643"/>
        <v/>
      </c>
      <c r="W781" s="13"/>
      <c r="X781" s="47" t="str">
        <f t="shared" si="644"/>
        <v/>
      </c>
      <c r="Y781" s="9" t="str">
        <f t="shared" si="645"/>
        <v/>
      </c>
      <c r="Z781" s="9" t="str">
        <f t="shared" si="646"/>
        <v/>
      </c>
      <c r="AA781" s="10" t="str">
        <f t="shared" si="647"/>
        <v/>
      </c>
      <c r="AB781" s="11"/>
      <c r="AD781" s="12"/>
      <c r="AE781" s="9"/>
      <c r="AF781" s="52" t="str">
        <f t="shared" si="648"/>
        <v/>
      </c>
      <c r="AG781" s="9"/>
      <c r="AH781" s="9" t="str">
        <f t="shared" si="649"/>
        <v/>
      </c>
      <c r="AI781" s="26"/>
      <c r="AJ781" s="26" t="str">
        <f t="shared" si="650"/>
        <v/>
      </c>
      <c r="AK781" s="13"/>
      <c r="AL781" s="47" t="str">
        <f t="shared" si="630"/>
        <v/>
      </c>
      <c r="AM781" s="9" t="str">
        <f t="shared" si="631"/>
        <v/>
      </c>
      <c r="AN781" s="9" t="str">
        <f t="shared" si="651"/>
        <v/>
      </c>
      <c r="AO781" s="10" t="str">
        <f t="shared" si="652"/>
        <v/>
      </c>
      <c r="AP781" s="11"/>
    </row>
    <row r="782" spans="1:42" ht="15" customHeight="1" thickBot="1">
      <c r="A782" s="12"/>
      <c r="B782" s="8"/>
      <c r="C782" s="9"/>
      <c r="D782" s="9" t="str">
        <f t="shared" si="638"/>
        <v/>
      </c>
      <c r="E782" s="9"/>
      <c r="F782" s="9" t="str">
        <f t="shared" si="639"/>
        <v/>
      </c>
      <c r="G782" s="9"/>
      <c r="H782" s="9" t="str">
        <f t="shared" si="640"/>
        <v/>
      </c>
      <c r="I782" s="9"/>
      <c r="J782" s="9"/>
      <c r="K782" s="9"/>
      <c r="L782" s="9" t="str">
        <f t="shared" si="632"/>
        <v/>
      </c>
      <c r="M782" s="10" t="str">
        <f t="shared" si="633"/>
        <v/>
      </c>
      <c r="N782" s="11"/>
      <c r="O782" s="2"/>
      <c r="P782" s="18"/>
      <c r="Q782" s="21"/>
      <c r="R782" s="50" t="str">
        <f t="shared" si="641"/>
        <v/>
      </c>
      <c r="S782" s="51"/>
      <c r="T782" s="21" t="str">
        <f t="shared" si="642"/>
        <v/>
      </c>
      <c r="U782" s="53"/>
      <c r="V782" s="53" t="str">
        <f t="shared" si="643"/>
        <v/>
      </c>
      <c r="W782" s="107"/>
      <c r="X782" s="48" t="str">
        <f t="shared" si="644"/>
        <v/>
      </c>
      <c r="Y782" s="51" t="str">
        <f t="shared" si="645"/>
        <v/>
      </c>
      <c r="Z782" s="19" t="str">
        <f t="shared" si="646"/>
        <v/>
      </c>
      <c r="AA782" s="20" t="str">
        <f t="shared" si="647"/>
        <v/>
      </c>
      <c r="AB782" s="11"/>
      <c r="AD782" s="18"/>
      <c r="AE782" s="21"/>
      <c r="AF782" s="50" t="str">
        <f t="shared" si="648"/>
        <v/>
      </c>
      <c r="AG782" s="51"/>
      <c r="AH782" s="21" t="str">
        <f t="shared" si="649"/>
        <v/>
      </c>
      <c r="AI782" s="53"/>
      <c r="AJ782" s="53" t="str">
        <f t="shared" si="650"/>
        <v/>
      </c>
      <c r="AK782" s="107"/>
      <c r="AL782" s="48" t="str">
        <f t="shared" si="630"/>
        <v/>
      </c>
      <c r="AM782" s="51" t="str">
        <f t="shared" si="631"/>
        <v/>
      </c>
      <c r="AN782" s="19" t="str">
        <f t="shared" si="651"/>
        <v/>
      </c>
      <c r="AO782" s="20" t="str">
        <f t="shared" si="652"/>
        <v/>
      </c>
      <c r="AP782" s="11"/>
    </row>
    <row r="783" spans="1:42" ht="15" customHeight="1" thickTop="1">
      <c r="A783" s="12"/>
      <c r="B783" s="8"/>
      <c r="C783" s="9"/>
      <c r="D783" s="9" t="str">
        <f t="shared" si="638"/>
        <v/>
      </c>
      <c r="E783" s="9"/>
      <c r="F783" s="9" t="str">
        <f t="shared" si="639"/>
        <v/>
      </c>
      <c r="G783" s="9"/>
      <c r="H783" s="9" t="str">
        <f t="shared" si="640"/>
        <v/>
      </c>
      <c r="I783" s="9"/>
      <c r="J783" s="9"/>
      <c r="K783" s="9"/>
      <c r="L783" s="9" t="str">
        <f t="shared" si="632"/>
        <v/>
      </c>
      <c r="M783" s="10" t="str">
        <f t="shared" si="633"/>
        <v/>
      </c>
      <c r="N783" s="11"/>
      <c r="O783" s="2"/>
      <c r="P783" s="65" t="str">
        <f>IF($A753="","",$A753)</f>
        <v/>
      </c>
      <c r="Q783" s="44"/>
      <c r="R783" s="44" t="str">
        <f t="shared" si="641"/>
        <v/>
      </c>
      <c r="S783" s="44"/>
      <c r="T783" s="23" t="str">
        <f t="shared" si="642"/>
        <v/>
      </c>
      <c r="U783" s="44"/>
      <c r="V783" s="44" t="str">
        <f t="shared" si="643"/>
        <v/>
      </c>
      <c r="W783" s="66"/>
      <c r="X783" s="61" t="str">
        <f t="shared" si="644"/>
        <v/>
      </c>
      <c r="Y783" s="62" t="str">
        <f t="shared" si="645"/>
        <v/>
      </c>
      <c r="Z783" s="23" t="str">
        <f t="shared" si="646"/>
        <v/>
      </c>
      <c r="AA783" s="24" t="str">
        <f t="shared" si="647"/>
        <v/>
      </c>
      <c r="AB783" s="11"/>
      <c r="AD783" s="65" t="str">
        <f>IF($A753="","",$A753)</f>
        <v/>
      </c>
      <c r="AE783" s="44"/>
      <c r="AF783" s="44" t="str">
        <f t="shared" si="648"/>
        <v/>
      </c>
      <c r="AG783" s="44"/>
      <c r="AH783" s="23" t="str">
        <f t="shared" si="649"/>
        <v/>
      </c>
      <c r="AI783" s="44"/>
      <c r="AJ783" s="44" t="str">
        <f t="shared" si="650"/>
        <v/>
      </c>
      <c r="AK783" s="66"/>
      <c r="AL783" s="61" t="str">
        <f t="shared" si="630"/>
        <v/>
      </c>
      <c r="AM783" s="62" t="str">
        <f t="shared" si="631"/>
        <v/>
      </c>
      <c r="AN783" s="23" t="str">
        <f t="shared" si="651"/>
        <v/>
      </c>
      <c r="AO783" s="24" t="str">
        <f t="shared" si="652"/>
        <v/>
      </c>
      <c r="AP783" s="11"/>
    </row>
    <row r="784" spans="1:42" ht="15" customHeight="1">
      <c r="A784" s="12"/>
      <c r="B784" s="8"/>
      <c r="C784" s="9"/>
      <c r="D784" s="9" t="str">
        <f t="shared" si="638"/>
        <v/>
      </c>
      <c r="E784" s="9"/>
      <c r="F784" s="9" t="str">
        <f t="shared" si="639"/>
        <v/>
      </c>
      <c r="G784" s="9"/>
      <c r="H784" s="9" t="str">
        <f t="shared" si="640"/>
        <v/>
      </c>
      <c r="I784" s="9"/>
      <c r="J784" s="9"/>
      <c r="K784" s="9"/>
      <c r="L784" s="9" t="str">
        <f t="shared" si="632"/>
        <v/>
      </c>
      <c r="M784" s="10" t="str">
        <f t="shared" si="633"/>
        <v/>
      </c>
      <c r="N784" s="11"/>
      <c r="O784" s="2"/>
      <c r="P784" s="12"/>
      <c r="Q784" s="9"/>
      <c r="R784" s="44" t="str">
        <f t="shared" si="641"/>
        <v/>
      </c>
      <c r="S784" s="9"/>
      <c r="T784" s="9" t="str">
        <f t="shared" si="642"/>
        <v/>
      </c>
      <c r="U784" s="9"/>
      <c r="V784" s="9" t="str">
        <f t="shared" si="643"/>
        <v/>
      </c>
      <c r="W784" s="13"/>
      <c r="X784" s="47" t="str">
        <f t="shared" si="644"/>
        <v/>
      </c>
      <c r="Y784" s="45" t="str">
        <f t="shared" si="645"/>
        <v/>
      </c>
      <c r="Z784" s="9" t="str">
        <f t="shared" si="646"/>
        <v/>
      </c>
      <c r="AA784" s="10" t="str">
        <f t="shared" si="647"/>
        <v/>
      </c>
      <c r="AB784" s="11"/>
      <c r="AD784" s="12"/>
      <c r="AE784" s="9"/>
      <c r="AF784" s="44" t="str">
        <f t="shared" si="648"/>
        <v/>
      </c>
      <c r="AG784" s="9"/>
      <c r="AH784" s="9" t="str">
        <f t="shared" si="649"/>
        <v/>
      </c>
      <c r="AI784" s="9"/>
      <c r="AJ784" s="9" t="str">
        <f t="shared" si="650"/>
        <v/>
      </c>
      <c r="AK784" s="13"/>
      <c r="AL784" s="47" t="str">
        <f t="shared" si="630"/>
        <v/>
      </c>
      <c r="AM784" s="45" t="str">
        <f t="shared" si="631"/>
        <v/>
      </c>
      <c r="AN784" s="9" t="str">
        <f t="shared" si="651"/>
        <v/>
      </c>
      <c r="AO784" s="10" t="str">
        <f t="shared" si="652"/>
        <v/>
      </c>
      <c r="AP784" s="11"/>
    </row>
    <row r="785" spans="1:42" ht="15" customHeight="1">
      <c r="A785" s="12"/>
      <c r="B785" s="8"/>
      <c r="C785" s="9"/>
      <c r="D785" s="9" t="str">
        <f t="shared" si="638"/>
        <v/>
      </c>
      <c r="E785" s="9"/>
      <c r="F785" s="9" t="str">
        <f t="shared" si="639"/>
        <v/>
      </c>
      <c r="G785" s="9"/>
      <c r="H785" s="9" t="str">
        <f t="shared" si="640"/>
        <v/>
      </c>
      <c r="I785" s="9"/>
      <c r="J785" s="9"/>
      <c r="K785" s="9"/>
      <c r="L785" s="9" t="str">
        <f t="shared" si="632"/>
        <v/>
      </c>
      <c r="M785" s="10" t="str">
        <f t="shared" si="633"/>
        <v/>
      </c>
      <c r="N785" s="11"/>
      <c r="O785" s="2"/>
      <c r="P785" s="12"/>
      <c r="Q785" s="9"/>
      <c r="R785" s="52" t="str">
        <f t="shared" si="641"/>
        <v/>
      </c>
      <c r="S785" s="9"/>
      <c r="T785" s="9" t="str">
        <f t="shared" si="642"/>
        <v/>
      </c>
      <c r="U785" s="9"/>
      <c r="V785" s="9" t="str">
        <f t="shared" si="643"/>
        <v/>
      </c>
      <c r="W785" s="13"/>
      <c r="X785" s="47" t="str">
        <f t="shared" si="644"/>
        <v/>
      </c>
      <c r="Y785" s="9" t="str">
        <f t="shared" si="645"/>
        <v/>
      </c>
      <c r="Z785" s="9" t="str">
        <f t="shared" si="646"/>
        <v/>
      </c>
      <c r="AA785" s="10" t="str">
        <f t="shared" si="647"/>
        <v/>
      </c>
      <c r="AB785" s="11"/>
      <c r="AD785" s="12"/>
      <c r="AE785" s="9"/>
      <c r="AF785" s="52" t="str">
        <f t="shared" si="648"/>
        <v/>
      </c>
      <c r="AG785" s="9"/>
      <c r="AH785" s="9" t="str">
        <f t="shared" si="649"/>
        <v/>
      </c>
      <c r="AI785" s="9"/>
      <c r="AJ785" s="9" t="str">
        <f t="shared" si="650"/>
        <v/>
      </c>
      <c r="AK785" s="13"/>
      <c r="AL785" s="47" t="str">
        <f t="shared" si="630"/>
        <v/>
      </c>
      <c r="AM785" s="9" t="str">
        <f t="shared" si="631"/>
        <v/>
      </c>
      <c r="AN785" s="9" t="str">
        <f t="shared" si="651"/>
        <v/>
      </c>
      <c r="AO785" s="10" t="str">
        <f t="shared" si="652"/>
        <v/>
      </c>
      <c r="AP785" s="11"/>
    </row>
    <row r="786" spans="1:42" ht="15" customHeight="1" thickBot="1">
      <c r="A786" s="12"/>
      <c r="B786" s="8"/>
      <c r="C786" s="9"/>
      <c r="D786" s="9" t="str">
        <f t="shared" si="638"/>
        <v/>
      </c>
      <c r="E786" s="9"/>
      <c r="F786" s="9" t="str">
        <f t="shared" si="639"/>
        <v/>
      </c>
      <c r="G786" s="9"/>
      <c r="H786" s="9" t="str">
        <f t="shared" si="640"/>
        <v/>
      </c>
      <c r="I786" s="9"/>
      <c r="J786" s="9"/>
      <c r="K786" s="9"/>
      <c r="L786" s="9" t="str">
        <f t="shared" si="632"/>
        <v/>
      </c>
      <c r="M786" s="10" t="str">
        <f t="shared" si="633"/>
        <v/>
      </c>
      <c r="N786" s="11"/>
      <c r="O786" s="2"/>
      <c r="P786" s="18"/>
      <c r="Q786" s="21"/>
      <c r="R786" s="50" t="str">
        <f t="shared" si="641"/>
        <v/>
      </c>
      <c r="S786" s="51"/>
      <c r="T786" s="19" t="str">
        <f t="shared" si="642"/>
        <v/>
      </c>
      <c r="U786" s="19"/>
      <c r="V786" s="19" t="str">
        <f t="shared" si="643"/>
        <v/>
      </c>
      <c r="W786" s="37"/>
      <c r="X786" s="48" t="str">
        <f t="shared" si="644"/>
        <v/>
      </c>
      <c r="Y786" s="51" t="str">
        <f t="shared" si="645"/>
        <v/>
      </c>
      <c r="Z786" s="19" t="str">
        <f t="shared" si="646"/>
        <v/>
      </c>
      <c r="AA786" s="20" t="str">
        <f t="shared" si="647"/>
        <v/>
      </c>
      <c r="AB786" s="11"/>
      <c r="AD786" s="18"/>
      <c r="AE786" s="21"/>
      <c r="AF786" s="50" t="str">
        <f t="shared" si="648"/>
        <v/>
      </c>
      <c r="AG786" s="51"/>
      <c r="AH786" s="19" t="str">
        <f t="shared" si="649"/>
        <v/>
      </c>
      <c r="AI786" s="19"/>
      <c r="AJ786" s="19" t="str">
        <f t="shared" si="650"/>
        <v/>
      </c>
      <c r="AK786" s="37"/>
      <c r="AL786" s="48" t="str">
        <f t="shared" si="630"/>
        <v/>
      </c>
      <c r="AM786" s="51" t="str">
        <f t="shared" si="631"/>
        <v/>
      </c>
      <c r="AN786" s="19" t="str">
        <f t="shared" si="651"/>
        <v/>
      </c>
      <c r="AO786" s="20" t="str">
        <f t="shared" si="652"/>
        <v/>
      </c>
      <c r="AP786" s="11"/>
    </row>
    <row r="787" spans="1:42" ht="15" customHeight="1" thickTop="1">
      <c r="A787" s="12"/>
      <c r="B787" s="8"/>
      <c r="C787" s="9"/>
      <c r="D787" s="9" t="str">
        <f t="shared" si="638"/>
        <v/>
      </c>
      <c r="E787" s="9"/>
      <c r="F787" s="9" t="str">
        <f t="shared" si="639"/>
        <v/>
      </c>
      <c r="G787" s="9"/>
      <c r="H787" s="9" t="str">
        <f t="shared" si="640"/>
        <v/>
      </c>
      <c r="I787" s="9"/>
      <c r="J787" s="9"/>
      <c r="K787" s="9"/>
      <c r="L787" s="9" t="str">
        <f t="shared" si="632"/>
        <v/>
      </c>
      <c r="M787" s="10" t="str">
        <f t="shared" si="633"/>
        <v/>
      </c>
      <c r="N787" s="11"/>
      <c r="O787" s="2"/>
      <c r="P787" s="65" t="str">
        <f>IF($A754="","",$A754)</f>
        <v/>
      </c>
      <c r="Q787" s="44"/>
      <c r="R787" s="44" t="str">
        <f t="shared" si="641"/>
        <v/>
      </c>
      <c r="S787" s="44"/>
      <c r="T787" s="23" t="str">
        <f t="shared" si="642"/>
        <v/>
      </c>
      <c r="U787" s="44"/>
      <c r="V787" s="44" t="str">
        <f t="shared" si="643"/>
        <v/>
      </c>
      <c r="W787" s="44"/>
      <c r="X787" s="15" t="str">
        <f t="shared" si="644"/>
        <v/>
      </c>
      <c r="Y787" s="45" t="str">
        <f t="shared" si="645"/>
        <v/>
      </c>
      <c r="Z787" s="23" t="str">
        <f t="shared" si="646"/>
        <v/>
      </c>
      <c r="AA787" s="24" t="str">
        <f t="shared" si="647"/>
        <v/>
      </c>
      <c r="AB787" s="11"/>
      <c r="AD787" s="65" t="str">
        <f>IF($A754="","",$A754)</f>
        <v/>
      </c>
      <c r="AE787" s="44"/>
      <c r="AF787" s="44" t="str">
        <f t="shared" si="648"/>
        <v/>
      </c>
      <c r="AG787" s="44"/>
      <c r="AH787" s="23" t="str">
        <f t="shared" si="649"/>
        <v/>
      </c>
      <c r="AI787" s="44"/>
      <c r="AJ787" s="44" t="str">
        <f t="shared" si="650"/>
        <v/>
      </c>
      <c r="AK787" s="44"/>
      <c r="AL787" s="15" t="str">
        <f t="shared" si="630"/>
        <v/>
      </c>
      <c r="AM787" s="45" t="str">
        <f t="shared" si="631"/>
        <v/>
      </c>
      <c r="AN787" s="23" t="str">
        <f t="shared" si="651"/>
        <v/>
      </c>
      <c r="AO787" s="24" t="str">
        <f t="shared" si="652"/>
        <v/>
      </c>
      <c r="AP787" s="11"/>
    </row>
    <row r="788" spans="1:42" ht="15" customHeight="1">
      <c r="A788" s="12"/>
      <c r="B788" s="8"/>
      <c r="C788" s="9"/>
      <c r="D788" s="9" t="str">
        <f t="shared" si="638"/>
        <v/>
      </c>
      <c r="E788" s="9"/>
      <c r="F788" s="9" t="str">
        <f t="shared" si="639"/>
        <v/>
      </c>
      <c r="G788" s="9"/>
      <c r="H788" s="9" t="str">
        <f t="shared" si="640"/>
        <v/>
      </c>
      <c r="I788" s="9"/>
      <c r="J788" s="9"/>
      <c r="K788" s="9"/>
      <c r="L788" s="9" t="str">
        <f t="shared" si="632"/>
        <v/>
      </c>
      <c r="M788" s="10" t="str">
        <f t="shared" si="633"/>
        <v/>
      </c>
      <c r="N788" s="11"/>
      <c r="O788" s="2"/>
      <c r="P788" s="12"/>
      <c r="Q788" s="9"/>
      <c r="R788" s="9" t="str">
        <f t="shared" si="641"/>
        <v/>
      </c>
      <c r="S788" s="9"/>
      <c r="T788" s="9" t="str">
        <f t="shared" si="642"/>
        <v/>
      </c>
      <c r="U788" s="9"/>
      <c r="V788" s="9" t="str">
        <f t="shared" si="643"/>
        <v/>
      </c>
      <c r="W788" s="9"/>
      <c r="X788" s="15" t="str">
        <f t="shared" si="644"/>
        <v/>
      </c>
      <c r="Y788" s="45" t="str">
        <f t="shared" si="645"/>
        <v/>
      </c>
      <c r="Z788" s="9" t="str">
        <f t="shared" si="646"/>
        <v/>
      </c>
      <c r="AA788" s="10" t="str">
        <f t="shared" si="647"/>
        <v/>
      </c>
      <c r="AB788" s="11"/>
      <c r="AD788" s="12"/>
      <c r="AE788" s="9"/>
      <c r="AF788" s="9" t="str">
        <f t="shared" si="648"/>
        <v/>
      </c>
      <c r="AG788" s="9"/>
      <c r="AH788" s="9" t="str">
        <f t="shared" si="649"/>
        <v/>
      </c>
      <c r="AI788" s="9"/>
      <c r="AJ788" s="9" t="str">
        <f t="shared" si="650"/>
        <v/>
      </c>
      <c r="AK788" s="9"/>
      <c r="AL788" s="15" t="str">
        <f t="shared" si="630"/>
        <v/>
      </c>
      <c r="AM788" s="45" t="str">
        <f t="shared" si="631"/>
        <v/>
      </c>
      <c r="AN788" s="9" t="str">
        <f t="shared" si="651"/>
        <v/>
      </c>
      <c r="AO788" s="10" t="str">
        <f t="shared" si="652"/>
        <v/>
      </c>
      <c r="AP788" s="11"/>
    </row>
    <row r="789" spans="1:42" ht="15" customHeight="1">
      <c r="A789" s="12"/>
      <c r="B789" s="8"/>
      <c r="C789" s="9"/>
      <c r="D789" s="9" t="str">
        <f t="shared" si="638"/>
        <v/>
      </c>
      <c r="E789" s="9"/>
      <c r="F789" s="9" t="str">
        <f t="shared" si="639"/>
        <v/>
      </c>
      <c r="G789" s="9"/>
      <c r="H789" s="9" t="str">
        <f t="shared" si="640"/>
        <v/>
      </c>
      <c r="I789" s="9"/>
      <c r="J789" s="9"/>
      <c r="K789" s="9"/>
      <c r="L789" s="9" t="str">
        <f t="shared" si="632"/>
        <v/>
      </c>
      <c r="M789" s="10" t="str">
        <f t="shared" si="633"/>
        <v/>
      </c>
      <c r="N789" s="11"/>
      <c r="O789" s="2"/>
      <c r="P789" s="12"/>
      <c r="Q789" s="9"/>
      <c r="R789" s="9" t="str">
        <f t="shared" si="641"/>
        <v/>
      </c>
      <c r="S789" s="9"/>
      <c r="T789" s="9" t="str">
        <f t="shared" si="642"/>
        <v/>
      </c>
      <c r="U789" s="9"/>
      <c r="V789" s="9" t="str">
        <f t="shared" si="643"/>
        <v/>
      </c>
      <c r="W789" s="9"/>
      <c r="X789" s="15" t="str">
        <f t="shared" si="644"/>
        <v/>
      </c>
      <c r="Y789" s="45" t="str">
        <f t="shared" si="645"/>
        <v/>
      </c>
      <c r="Z789" s="9" t="str">
        <f t="shared" si="646"/>
        <v/>
      </c>
      <c r="AA789" s="10" t="str">
        <f t="shared" si="647"/>
        <v/>
      </c>
      <c r="AB789" s="11"/>
      <c r="AD789" s="12"/>
      <c r="AE789" s="9"/>
      <c r="AF789" s="9" t="str">
        <f t="shared" si="648"/>
        <v/>
      </c>
      <c r="AG789" s="9"/>
      <c r="AH789" s="9" t="str">
        <f t="shared" si="649"/>
        <v/>
      </c>
      <c r="AI789" s="9"/>
      <c r="AJ789" s="9" t="str">
        <f t="shared" si="650"/>
        <v/>
      </c>
      <c r="AK789" s="9"/>
      <c r="AL789" s="15" t="str">
        <f t="shared" si="630"/>
        <v/>
      </c>
      <c r="AM789" s="45" t="str">
        <f t="shared" si="631"/>
        <v/>
      </c>
      <c r="AN789" s="9" t="str">
        <f t="shared" si="651"/>
        <v/>
      </c>
      <c r="AO789" s="10" t="str">
        <f t="shared" si="652"/>
        <v/>
      </c>
      <c r="AP789" s="11"/>
    </row>
    <row r="790" spans="1:42" ht="15" customHeight="1" thickBot="1">
      <c r="A790" s="12"/>
      <c r="B790" s="8"/>
      <c r="C790" s="9"/>
      <c r="D790" s="9" t="str">
        <f t="shared" si="638"/>
        <v/>
      </c>
      <c r="E790" s="9"/>
      <c r="F790" s="9" t="str">
        <f t="shared" si="639"/>
        <v/>
      </c>
      <c r="G790" s="9"/>
      <c r="H790" s="9" t="str">
        <f t="shared" si="640"/>
        <v/>
      </c>
      <c r="I790" s="9"/>
      <c r="J790" s="9"/>
      <c r="K790" s="9"/>
      <c r="L790" s="9" t="str">
        <f t="shared" si="632"/>
        <v/>
      </c>
      <c r="M790" s="10" t="str">
        <f t="shared" si="633"/>
        <v/>
      </c>
      <c r="N790" s="11"/>
      <c r="O790" s="2"/>
      <c r="P790" s="18"/>
      <c r="Q790" s="19"/>
      <c r="R790" s="19" t="str">
        <f t="shared" si="641"/>
        <v/>
      </c>
      <c r="S790" s="19"/>
      <c r="T790" s="19" t="str">
        <f t="shared" si="642"/>
        <v/>
      </c>
      <c r="U790" s="19"/>
      <c r="V790" s="19" t="str">
        <f t="shared" si="643"/>
        <v/>
      </c>
      <c r="W790" s="19"/>
      <c r="X790" s="22" t="str">
        <f t="shared" si="644"/>
        <v/>
      </c>
      <c r="Y790" s="51" t="str">
        <f t="shared" si="645"/>
        <v/>
      </c>
      <c r="Z790" s="19" t="str">
        <f t="shared" si="646"/>
        <v/>
      </c>
      <c r="AA790" s="20" t="str">
        <f t="shared" si="647"/>
        <v/>
      </c>
      <c r="AB790" s="11"/>
      <c r="AD790" s="18"/>
      <c r="AE790" s="19"/>
      <c r="AF790" s="19" t="str">
        <f t="shared" si="648"/>
        <v/>
      </c>
      <c r="AG790" s="19"/>
      <c r="AH790" s="19" t="str">
        <f t="shared" si="649"/>
        <v/>
      </c>
      <c r="AI790" s="19"/>
      <c r="AJ790" s="19" t="str">
        <f t="shared" si="650"/>
        <v/>
      </c>
      <c r="AK790" s="19"/>
      <c r="AL790" s="22" t="str">
        <f t="shared" si="630"/>
        <v/>
      </c>
      <c r="AM790" s="51" t="str">
        <f t="shared" si="631"/>
        <v/>
      </c>
      <c r="AN790" s="19" t="str">
        <f t="shared" si="651"/>
        <v/>
      </c>
      <c r="AO790" s="20" t="str">
        <f t="shared" si="652"/>
        <v/>
      </c>
      <c r="AP790" s="11"/>
    </row>
    <row r="791" spans="1:42" ht="15" customHeight="1" thickTop="1">
      <c r="A791" s="12"/>
      <c r="B791" s="8"/>
      <c r="C791" s="9"/>
      <c r="D791" s="9" t="str">
        <f t="shared" si="638"/>
        <v/>
      </c>
      <c r="E791" s="9"/>
      <c r="F791" s="9" t="str">
        <f t="shared" si="639"/>
        <v/>
      </c>
      <c r="G791" s="9"/>
      <c r="H791" s="9" t="str">
        <f t="shared" si="640"/>
        <v/>
      </c>
      <c r="I791" s="9"/>
      <c r="J791" s="9"/>
      <c r="K791" s="9"/>
      <c r="L791" s="9" t="str">
        <f t="shared" si="632"/>
        <v/>
      </c>
      <c r="M791" s="10" t="str">
        <f t="shared" si="633"/>
        <v/>
      </c>
      <c r="N791" s="11"/>
      <c r="O791" s="2"/>
      <c r="P791" s="65" t="str">
        <f>IF($A755="","",$A755)</f>
        <v/>
      </c>
      <c r="Q791" s="44"/>
      <c r="R791" s="44" t="str">
        <f t="shared" si="641"/>
        <v/>
      </c>
      <c r="S791" s="44"/>
      <c r="T791" s="23" t="str">
        <f t="shared" si="642"/>
        <v/>
      </c>
      <c r="U791" s="44"/>
      <c r="V791" s="44" t="str">
        <f t="shared" si="643"/>
        <v/>
      </c>
      <c r="W791" s="44"/>
      <c r="X791" s="64" t="str">
        <f t="shared" si="644"/>
        <v/>
      </c>
      <c r="Y791" s="62" t="str">
        <f t="shared" si="645"/>
        <v/>
      </c>
      <c r="Z791" s="23" t="str">
        <f t="shared" si="646"/>
        <v/>
      </c>
      <c r="AA791" s="24" t="str">
        <f t="shared" si="647"/>
        <v/>
      </c>
      <c r="AB791" s="11"/>
      <c r="AD791" s="65" t="str">
        <f>IF($A755="","",$A755)</f>
        <v/>
      </c>
      <c r="AE791" s="44"/>
      <c r="AF791" s="44" t="str">
        <f t="shared" si="648"/>
        <v/>
      </c>
      <c r="AG791" s="44"/>
      <c r="AH791" s="23" t="str">
        <f t="shared" si="649"/>
        <v/>
      </c>
      <c r="AI791" s="44"/>
      <c r="AJ791" s="44" t="str">
        <f t="shared" si="650"/>
        <v/>
      </c>
      <c r="AK791" s="44"/>
      <c r="AL791" s="61" t="str">
        <f t="shared" si="630"/>
        <v/>
      </c>
      <c r="AM791" s="62" t="str">
        <f t="shared" si="631"/>
        <v/>
      </c>
      <c r="AN791" s="23" t="str">
        <f t="shared" si="651"/>
        <v/>
      </c>
      <c r="AO791" s="24" t="str">
        <f t="shared" si="652"/>
        <v/>
      </c>
      <c r="AP791" s="11"/>
    </row>
    <row r="792" spans="1:42" ht="15" customHeight="1">
      <c r="A792" s="12"/>
      <c r="B792" s="8"/>
      <c r="C792" s="9"/>
      <c r="D792" s="9" t="str">
        <f t="shared" si="638"/>
        <v/>
      </c>
      <c r="E792" s="9"/>
      <c r="F792" s="9" t="str">
        <f t="shared" si="639"/>
        <v/>
      </c>
      <c r="G792" s="9"/>
      <c r="H792" s="9" t="str">
        <f t="shared" si="640"/>
        <v/>
      </c>
      <c r="I792" s="9"/>
      <c r="J792" s="9"/>
      <c r="K792" s="9"/>
      <c r="L792" s="9" t="str">
        <f t="shared" si="632"/>
        <v/>
      </c>
      <c r="M792" s="10" t="str">
        <f t="shared" si="633"/>
        <v/>
      </c>
      <c r="N792" s="11"/>
      <c r="O792" s="2"/>
      <c r="P792" s="12"/>
      <c r="Q792" s="9"/>
      <c r="R792" s="9" t="str">
        <f t="shared" si="641"/>
        <v/>
      </c>
      <c r="S792" s="9"/>
      <c r="T792" s="9" t="str">
        <f t="shared" si="642"/>
        <v/>
      </c>
      <c r="U792" s="9"/>
      <c r="V792" s="9" t="str">
        <f t="shared" si="643"/>
        <v/>
      </c>
      <c r="W792" s="9"/>
      <c r="X792" s="15" t="str">
        <f t="shared" si="644"/>
        <v/>
      </c>
      <c r="Y792" s="45" t="str">
        <f t="shared" si="645"/>
        <v/>
      </c>
      <c r="Z792" s="9" t="str">
        <f t="shared" si="646"/>
        <v/>
      </c>
      <c r="AA792" s="10" t="str">
        <f t="shared" si="647"/>
        <v/>
      </c>
      <c r="AB792" s="11"/>
      <c r="AD792" s="12"/>
      <c r="AE792" s="9"/>
      <c r="AF792" s="9" t="str">
        <f t="shared" si="648"/>
        <v/>
      </c>
      <c r="AG792" s="9"/>
      <c r="AH792" s="9" t="str">
        <f t="shared" si="649"/>
        <v/>
      </c>
      <c r="AI792" s="9"/>
      <c r="AJ792" s="39" t="str">
        <f t="shared" si="650"/>
        <v/>
      </c>
      <c r="AK792" s="9"/>
      <c r="AL792" s="47" t="str">
        <f t="shared" si="630"/>
        <v/>
      </c>
      <c r="AM792" s="45" t="str">
        <f t="shared" si="631"/>
        <v/>
      </c>
      <c r="AN792" s="9" t="str">
        <f t="shared" si="651"/>
        <v/>
      </c>
      <c r="AO792" s="10" t="str">
        <f t="shared" si="652"/>
        <v/>
      </c>
      <c r="AP792" s="11"/>
    </row>
    <row r="793" spans="1:42" ht="15" customHeight="1">
      <c r="A793" s="12"/>
      <c r="B793" s="8"/>
      <c r="C793" s="9"/>
      <c r="D793" s="9" t="str">
        <f t="shared" si="638"/>
        <v/>
      </c>
      <c r="E793" s="9"/>
      <c r="F793" s="9" t="str">
        <f t="shared" si="639"/>
        <v/>
      </c>
      <c r="G793" s="9"/>
      <c r="H793" s="9" t="str">
        <f t="shared" si="640"/>
        <v/>
      </c>
      <c r="I793" s="9"/>
      <c r="J793" s="9"/>
      <c r="K793" s="9"/>
      <c r="L793" s="9" t="str">
        <f t="shared" si="632"/>
        <v/>
      </c>
      <c r="M793" s="10" t="str">
        <f t="shared" si="633"/>
        <v/>
      </c>
      <c r="N793" s="11"/>
      <c r="O793" s="2"/>
      <c r="P793" s="12"/>
      <c r="Q793" s="9"/>
      <c r="R793" s="9" t="str">
        <f t="shared" si="641"/>
        <v/>
      </c>
      <c r="S793" s="9"/>
      <c r="T793" s="9" t="str">
        <f t="shared" si="642"/>
        <v/>
      </c>
      <c r="U793" s="9"/>
      <c r="V793" s="9" t="str">
        <f t="shared" si="643"/>
        <v/>
      </c>
      <c r="W793" s="9"/>
      <c r="X793" s="15" t="str">
        <f t="shared" si="644"/>
        <v/>
      </c>
      <c r="Y793" s="9" t="str">
        <f t="shared" si="645"/>
        <v/>
      </c>
      <c r="Z793" s="9" t="str">
        <f t="shared" si="646"/>
        <v/>
      </c>
      <c r="AA793" s="10" t="str">
        <f t="shared" si="647"/>
        <v/>
      </c>
      <c r="AB793" s="11"/>
      <c r="AD793" s="12"/>
      <c r="AE793" s="9"/>
      <c r="AF793" s="9" t="str">
        <f t="shared" si="648"/>
        <v/>
      </c>
      <c r="AG793" s="9"/>
      <c r="AH793" s="9" t="str">
        <f t="shared" si="649"/>
        <v/>
      </c>
      <c r="AI793" s="9"/>
      <c r="AJ793" s="9" t="str">
        <f t="shared" si="650"/>
        <v/>
      </c>
      <c r="AK793" s="9"/>
      <c r="AL793" s="47" t="str">
        <f t="shared" si="630"/>
        <v/>
      </c>
      <c r="AM793" s="9" t="str">
        <f t="shared" si="631"/>
        <v/>
      </c>
      <c r="AN793" s="9" t="str">
        <f t="shared" si="651"/>
        <v/>
      </c>
      <c r="AO793" s="10" t="str">
        <f t="shared" si="652"/>
        <v/>
      </c>
      <c r="AP793" s="11"/>
    </row>
    <row r="794" spans="1:42" ht="15" customHeight="1" thickBot="1">
      <c r="A794" s="12"/>
      <c r="B794" s="8"/>
      <c r="C794" s="9"/>
      <c r="D794" s="9" t="str">
        <f t="shared" si="638"/>
        <v/>
      </c>
      <c r="E794" s="9"/>
      <c r="F794" s="9" t="str">
        <f t="shared" si="639"/>
        <v/>
      </c>
      <c r="G794" s="9"/>
      <c r="H794" s="9" t="str">
        <f t="shared" si="640"/>
        <v/>
      </c>
      <c r="I794" s="9"/>
      <c r="J794" s="9"/>
      <c r="K794" s="9"/>
      <c r="L794" s="9" t="str">
        <f t="shared" si="632"/>
        <v/>
      </c>
      <c r="M794" s="10" t="str">
        <f t="shared" si="633"/>
        <v/>
      </c>
      <c r="N794" s="11"/>
      <c r="O794" s="2"/>
      <c r="P794" s="18"/>
      <c r="Q794" s="19"/>
      <c r="R794" s="19" t="str">
        <f t="shared" si="641"/>
        <v/>
      </c>
      <c r="S794" s="19"/>
      <c r="T794" s="19" t="str">
        <f t="shared" si="642"/>
        <v/>
      </c>
      <c r="U794" s="19"/>
      <c r="V794" s="19" t="str">
        <f t="shared" si="643"/>
        <v/>
      </c>
      <c r="W794" s="19"/>
      <c r="X794" s="22" t="str">
        <f t="shared" si="644"/>
        <v/>
      </c>
      <c r="Y794" s="51" t="str">
        <f t="shared" si="645"/>
        <v/>
      </c>
      <c r="Z794" s="19" t="str">
        <f t="shared" si="646"/>
        <v/>
      </c>
      <c r="AA794" s="20" t="str">
        <f t="shared" si="647"/>
        <v/>
      </c>
      <c r="AB794" s="11"/>
      <c r="AD794" s="18"/>
      <c r="AE794" s="19"/>
      <c r="AF794" s="19" t="str">
        <f t="shared" si="648"/>
        <v/>
      </c>
      <c r="AG794" s="19"/>
      <c r="AH794" s="19" t="str">
        <f t="shared" si="649"/>
        <v/>
      </c>
      <c r="AI794" s="19"/>
      <c r="AJ794" s="19" t="str">
        <f t="shared" si="650"/>
        <v/>
      </c>
      <c r="AK794" s="19"/>
      <c r="AL794" s="48" t="str">
        <f t="shared" si="630"/>
        <v/>
      </c>
      <c r="AM794" s="51" t="str">
        <f t="shared" si="631"/>
        <v/>
      </c>
      <c r="AN794" s="19" t="str">
        <f t="shared" si="651"/>
        <v/>
      </c>
      <c r="AO794" s="20" t="str">
        <f t="shared" si="652"/>
        <v/>
      </c>
      <c r="AP794" s="11"/>
    </row>
    <row r="795" spans="1:42" ht="15" customHeight="1" thickTop="1">
      <c r="A795" s="12"/>
      <c r="B795" s="8"/>
      <c r="C795" s="9"/>
      <c r="D795" s="9" t="str">
        <f t="shared" si="638"/>
        <v/>
      </c>
      <c r="E795" s="9"/>
      <c r="F795" s="9" t="str">
        <f t="shared" si="639"/>
        <v/>
      </c>
      <c r="G795" s="9"/>
      <c r="H795" s="9" t="str">
        <f t="shared" si="640"/>
        <v/>
      </c>
      <c r="I795" s="9"/>
      <c r="J795" s="9"/>
      <c r="K795" s="9"/>
      <c r="L795" s="9" t="str">
        <f t="shared" si="632"/>
        <v/>
      </c>
      <c r="M795" s="10" t="str">
        <f t="shared" si="633"/>
        <v/>
      </c>
      <c r="N795" s="11"/>
      <c r="O795" s="2"/>
      <c r="P795" s="65" t="str">
        <f>IF($A756="","",$A756)</f>
        <v/>
      </c>
      <c r="Q795" s="44"/>
      <c r="R795" s="44" t="str">
        <f t="shared" si="641"/>
        <v/>
      </c>
      <c r="S795" s="44"/>
      <c r="T795" s="44" t="str">
        <f t="shared" si="642"/>
        <v/>
      </c>
      <c r="U795" s="44"/>
      <c r="V795" s="44" t="str">
        <f t="shared" si="643"/>
        <v/>
      </c>
      <c r="W795" s="44"/>
      <c r="X795" s="64" t="str">
        <f t="shared" si="644"/>
        <v/>
      </c>
      <c r="Y795" s="44" t="str">
        <f t="shared" si="645"/>
        <v/>
      </c>
      <c r="Z795" s="44" t="str">
        <f t="shared" si="646"/>
        <v/>
      </c>
      <c r="AA795" s="44" t="str">
        <f t="shared" si="647"/>
        <v/>
      </c>
      <c r="AB795" s="11"/>
      <c r="AD795" s="65" t="str">
        <f>IF($A756="","",$A756)</f>
        <v/>
      </c>
      <c r="AE795" s="44"/>
      <c r="AF795" s="44" t="str">
        <f t="shared" si="648"/>
        <v/>
      </c>
      <c r="AG795" s="44"/>
      <c r="AH795" s="44" t="str">
        <f t="shared" si="649"/>
        <v/>
      </c>
      <c r="AI795" s="44"/>
      <c r="AJ795" s="44" t="str">
        <f t="shared" si="650"/>
        <v/>
      </c>
      <c r="AK795" s="44"/>
      <c r="AL795" s="61" t="str">
        <f t="shared" si="630"/>
        <v/>
      </c>
      <c r="AM795" s="44" t="str">
        <f t="shared" si="631"/>
        <v/>
      </c>
      <c r="AN795" s="23" t="str">
        <f t="shared" si="651"/>
        <v/>
      </c>
      <c r="AO795" s="24" t="str">
        <f t="shared" si="652"/>
        <v/>
      </c>
      <c r="AP795" s="11"/>
    </row>
    <row r="796" spans="1:42" ht="15" customHeight="1">
      <c r="A796" s="12"/>
      <c r="B796" s="8"/>
      <c r="C796" s="9"/>
      <c r="D796" s="9"/>
      <c r="E796" s="9"/>
      <c r="F796" s="9" t="str">
        <f t="shared" si="639"/>
        <v/>
      </c>
      <c r="G796" s="9"/>
      <c r="H796" s="9" t="str">
        <f t="shared" si="640"/>
        <v/>
      </c>
      <c r="I796" s="9"/>
      <c r="J796" s="9"/>
      <c r="K796" s="9"/>
      <c r="L796" s="9" t="str">
        <f t="shared" si="632"/>
        <v/>
      </c>
      <c r="M796" s="10" t="str">
        <f t="shared" si="633"/>
        <v/>
      </c>
      <c r="N796" s="11"/>
      <c r="O796" s="2"/>
      <c r="P796" s="65"/>
      <c r="Q796" s="44"/>
      <c r="R796" s="44" t="str">
        <f t="shared" si="641"/>
        <v/>
      </c>
      <c r="S796" s="44"/>
      <c r="T796" s="44" t="str">
        <f t="shared" si="642"/>
        <v/>
      </c>
      <c r="U796" s="44"/>
      <c r="V796" s="44" t="str">
        <f t="shared" si="643"/>
        <v/>
      </c>
      <c r="W796" s="44"/>
      <c r="X796" s="64" t="str">
        <f t="shared" si="644"/>
        <v/>
      </c>
      <c r="Y796" s="44" t="str">
        <f t="shared" si="645"/>
        <v/>
      </c>
      <c r="Z796" s="44" t="str">
        <f t="shared" si="646"/>
        <v/>
      </c>
      <c r="AA796" s="44" t="str">
        <f t="shared" si="647"/>
        <v/>
      </c>
      <c r="AB796" s="11"/>
      <c r="AD796" s="65"/>
      <c r="AE796" s="44"/>
      <c r="AF796" s="44" t="str">
        <f t="shared" si="648"/>
        <v/>
      </c>
      <c r="AG796" s="44"/>
      <c r="AH796" s="44" t="str">
        <f t="shared" si="649"/>
        <v/>
      </c>
      <c r="AI796" s="44"/>
      <c r="AJ796" s="44" t="str">
        <f t="shared" si="650"/>
        <v/>
      </c>
      <c r="AK796" s="44"/>
      <c r="AL796" s="61" t="str">
        <f t="shared" si="630"/>
        <v/>
      </c>
      <c r="AM796" s="44" t="str">
        <f t="shared" si="631"/>
        <v/>
      </c>
      <c r="AN796" s="9" t="str">
        <f t="shared" si="651"/>
        <v/>
      </c>
      <c r="AO796" s="10" t="str">
        <f t="shared" si="652"/>
        <v/>
      </c>
      <c r="AP796" s="11"/>
    </row>
    <row r="797" spans="1:42" ht="15" customHeight="1">
      <c r="A797" s="12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0"/>
      <c r="N797" s="11"/>
      <c r="O797" s="2"/>
      <c r="P797" s="89"/>
      <c r="Q797" s="52"/>
      <c r="R797" s="52" t="str">
        <f t="shared" si="641"/>
        <v/>
      </c>
      <c r="S797" s="52"/>
      <c r="T797" s="52" t="str">
        <f t="shared" si="642"/>
        <v/>
      </c>
      <c r="U797" s="52"/>
      <c r="V797" s="52" t="str">
        <f t="shared" si="643"/>
        <v/>
      </c>
      <c r="W797" s="52"/>
      <c r="X797" s="90" t="str">
        <f t="shared" si="644"/>
        <v/>
      </c>
      <c r="Y797" s="52" t="str">
        <f t="shared" si="645"/>
        <v/>
      </c>
      <c r="Z797" s="52" t="str">
        <f t="shared" si="646"/>
        <v/>
      </c>
      <c r="AA797" s="52" t="str">
        <f t="shared" si="647"/>
        <v/>
      </c>
      <c r="AB797" s="31"/>
      <c r="AD797" s="89"/>
      <c r="AE797" s="52"/>
      <c r="AF797" s="52" t="str">
        <f t="shared" si="648"/>
        <v/>
      </c>
      <c r="AG797" s="52"/>
      <c r="AH797" s="52" t="str">
        <f t="shared" si="649"/>
        <v/>
      </c>
      <c r="AI797" s="52"/>
      <c r="AJ797" s="52" t="str">
        <f t="shared" si="650"/>
        <v/>
      </c>
      <c r="AK797" s="52"/>
      <c r="AL797" s="92" t="str">
        <f t="shared" si="630"/>
        <v/>
      </c>
      <c r="AM797" s="52" t="str">
        <f t="shared" si="631"/>
        <v/>
      </c>
      <c r="AN797" s="9" t="str">
        <f t="shared" si="651"/>
        <v/>
      </c>
      <c r="AO797" s="10" t="str">
        <f t="shared" si="652"/>
        <v/>
      </c>
      <c r="AP797" s="31"/>
    </row>
    <row r="798" spans="1:42" ht="15" customHeight="1" thickBot="1">
      <c r="A798" s="12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0"/>
      <c r="N798" s="11"/>
      <c r="O798" s="2"/>
      <c r="P798" s="85"/>
      <c r="Q798" s="50"/>
      <c r="R798" s="50" t="str">
        <f t="shared" si="641"/>
        <v/>
      </c>
      <c r="S798" s="50"/>
      <c r="T798" s="50" t="str">
        <f t="shared" si="642"/>
        <v/>
      </c>
      <c r="U798" s="50"/>
      <c r="V798" s="50" t="str">
        <f t="shared" si="643"/>
        <v/>
      </c>
      <c r="W798" s="50"/>
      <c r="X798" s="86" t="str">
        <f t="shared" si="644"/>
        <v/>
      </c>
      <c r="Y798" s="50" t="str">
        <f t="shared" si="645"/>
        <v/>
      </c>
      <c r="Z798" s="50" t="str">
        <f t="shared" si="646"/>
        <v/>
      </c>
      <c r="AA798" s="50" t="str">
        <f t="shared" si="647"/>
        <v/>
      </c>
      <c r="AB798" s="87"/>
      <c r="AD798" s="85"/>
      <c r="AE798" s="50"/>
      <c r="AF798" s="50" t="str">
        <f t="shared" si="648"/>
        <v/>
      </c>
      <c r="AG798" s="50"/>
      <c r="AH798" s="50" t="str">
        <f t="shared" si="649"/>
        <v/>
      </c>
      <c r="AI798" s="50"/>
      <c r="AJ798" s="50" t="str">
        <f t="shared" si="650"/>
        <v/>
      </c>
      <c r="AK798" s="50"/>
      <c r="AL798" s="91" t="str">
        <f t="shared" si="630"/>
        <v/>
      </c>
      <c r="AM798" s="50" t="str">
        <f t="shared" si="631"/>
        <v/>
      </c>
      <c r="AN798" s="19" t="str">
        <f t="shared" si="651"/>
        <v/>
      </c>
      <c r="AO798" s="20" t="str">
        <f t="shared" si="652"/>
        <v/>
      </c>
      <c r="AP798" s="87"/>
    </row>
    <row r="799" spans="1:42" ht="15" customHeight="1" thickTop="1">
      <c r="A799" s="4">
        <v>28</v>
      </c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11"/>
      <c r="O799" s="2"/>
      <c r="P799" s="65"/>
      <c r="Q799" s="84" t="s">
        <v>17</v>
      </c>
      <c r="R799" s="44">
        <f>SUM(R743:R795)*100</f>
        <v>473000</v>
      </c>
      <c r="S799" s="44"/>
      <c r="T799" s="44"/>
      <c r="U799" s="84"/>
      <c r="V799" s="44"/>
      <c r="W799" s="44"/>
      <c r="X799" s="195" t="s">
        <v>19</v>
      </c>
      <c r="Y799" s="195"/>
      <c r="Z799" s="44">
        <f>SUM(Z743:Z795)</f>
        <v>76593</v>
      </c>
      <c r="AA799" s="44"/>
      <c r="AB799" s="69"/>
      <c r="AD799" s="65"/>
      <c r="AE799" s="84" t="s">
        <v>17</v>
      </c>
      <c r="AF799" s="44">
        <f>SUM(AF743:AF795)*100</f>
        <v>449200</v>
      </c>
      <c r="AG799" s="44"/>
      <c r="AH799" s="44"/>
      <c r="AI799" s="84"/>
      <c r="AJ799" s="44"/>
      <c r="AK799" s="44"/>
      <c r="AL799" s="195" t="s">
        <v>19</v>
      </c>
      <c r="AM799" s="195"/>
      <c r="AN799" s="44">
        <f>SUM(AN743:AN795)</f>
        <v>63422</v>
      </c>
      <c r="AO799" s="44"/>
      <c r="AP799" s="69"/>
    </row>
    <row r="800" spans="1:42" ht="15" customHeight="1">
      <c r="A800" s="96">
        <f>DATEDIF(A$825,A$750+L802,"d")</f>
        <v>28</v>
      </c>
      <c r="B800" s="8">
        <f>SUM(B743:B799)</f>
        <v>10813</v>
      </c>
      <c r="C800" s="5" t="s">
        <v>17</v>
      </c>
      <c r="D800" s="9">
        <f>SUM(D743:D796)*100</f>
        <v>159100</v>
      </c>
      <c r="E800" s="9"/>
      <c r="F800" s="9"/>
      <c r="G800" s="5"/>
      <c r="H800" s="9"/>
      <c r="I800" s="9"/>
      <c r="J800" s="9"/>
      <c r="K800" s="9"/>
      <c r="L800" s="9"/>
      <c r="M800" s="9"/>
      <c r="N800" s="11"/>
      <c r="O800" s="2"/>
      <c r="P800" s="25"/>
      <c r="Q800" s="5" t="s">
        <v>20</v>
      </c>
      <c r="R800" s="9">
        <f>R799/$A800</f>
        <v>16892.857142857141</v>
      </c>
      <c r="S800" s="9">
        <f>R800*A799</f>
        <v>472999.99999999994</v>
      </c>
      <c r="T800" s="9"/>
      <c r="U800" s="5"/>
      <c r="V800" s="9"/>
      <c r="W800" s="9"/>
      <c r="X800" s="178" t="s">
        <v>21</v>
      </c>
      <c r="Y800" s="178"/>
      <c r="Z800" s="9"/>
      <c r="AA800" s="28">
        <f>Z799/R799</f>
        <v>0.16193023255813954</v>
      </c>
      <c r="AB800" s="11"/>
      <c r="AD800" s="40"/>
      <c r="AE800" s="5" t="s">
        <v>20</v>
      </c>
      <c r="AF800" s="9">
        <f>AF799/$A800</f>
        <v>16042.857142857143</v>
      </c>
      <c r="AG800" s="9">
        <f>AF800*A799</f>
        <v>449200</v>
      </c>
      <c r="AH800" s="9"/>
      <c r="AI800" s="5"/>
      <c r="AJ800" s="9"/>
      <c r="AK800" s="9"/>
      <c r="AL800" s="178" t="s">
        <v>21</v>
      </c>
      <c r="AM800" s="178"/>
      <c r="AN800" s="9"/>
      <c r="AO800" s="28">
        <f>AN799/AF799</f>
        <v>0.1411887800534283</v>
      </c>
      <c r="AP800" s="11"/>
    </row>
    <row r="801" spans="1:42" ht="15" customHeight="1">
      <c r="A801" s="97"/>
      <c r="B801" s="8">
        <f>B800/A800</f>
        <v>386.17857142857144</v>
      </c>
      <c r="C801" s="5" t="s">
        <v>20</v>
      </c>
      <c r="D801" s="9">
        <f>D800/A800</f>
        <v>5682.1428571428569</v>
      </c>
      <c r="E801" s="9">
        <f>D801*A799</f>
        <v>159100</v>
      </c>
      <c r="F801" s="9"/>
      <c r="G801" s="5"/>
      <c r="H801" s="9"/>
      <c r="I801" s="9"/>
      <c r="J801" s="9"/>
      <c r="K801" s="9"/>
      <c r="L801" s="9"/>
      <c r="M801" s="9"/>
      <c r="N801" s="11"/>
      <c r="O801" s="2"/>
      <c r="P801" s="12"/>
      <c r="Q801" s="58" t="s">
        <v>23</v>
      </c>
      <c r="R801" s="9">
        <f>R799*0.6</f>
        <v>283800</v>
      </c>
      <c r="S801" s="9"/>
      <c r="T801" s="9"/>
      <c r="U801" s="5"/>
      <c r="V801" s="9"/>
      <c r="W801" s="9"/>
      <c r="X801" s="178" t="s">
        <v>24</v>
      </c>
      <c r="Y801" s="178"/>
      <c r="Z801" s="9">
        <f>R801-Z799</f>
        <v>207207</v>
      </c>
      <c r="AA801" s="28">
        <f>Z801/R799</f>
        <v>0.43806976744186049</v>
      </c>
      <c r="AB801" s="11"/>
      <c r="AD801" s="12"/>
      <c r="AE801" s="58" t="s">
        <v>23</v>
      </c>
      <c r="AF801" s="9">
        <f>AF799*0.6</f>
        <v>269520</v>
      </c>
      <c r="AG801" s="9"/>
      <c r="AH801" s="9"/>
      <c r="AI801" s="5"/>
      <c r="AJ801" s="9"/>
      <c r="AK801" s="9"/>
      <c r="AL801" s="178" t="s">
        <v>24</v>
      </c>
      <c r="AM801" s="178"/>
      <c r="AN801" s="9">
        <f>AF801-AN799</f>
        <v>206098</v>
      </c>
      <c r="AO801" s="28">
        <f>AN801/AF799</f>
        <v>0.4588112199465717</v>
      </c>
      <c r="AP801" s="11"/>
    </row>
    <row r="802" spans="1:42" ht="15" customHeight="1">
      <c r="A802" s="12"/>
      <c r="B802" s="8">
        <f>B801*30</f>
        <v>11585.357142857143</v>
      </c>
      <c r="C802" s="5" t="s">
        <v>23</v>
      </c>
      <c r="D802" s="9">
        <f>D800*0.6</f>
        <v>95460</v>
      </c>
      <c r="E802" s="9"/>
      <c r="F802" s="9"/>
      <c r="G802" s="180" t="s">
        <v>27</v>
      </c>
      <c r="H802" s="180"/>
      <c r="I802" s="9">
        <f>(G750+I750)*K750</f>
        <v>31680</v>
      </c>
      <c r="J802" s="9"/>
      <c r="K802" s="9"/>
      <c r="L802" s="9"/>
      <c r="M802" s="9"/>
      <c r="N802" s="11"/>
      <c r="O802" s="2"/>
      <c r="P802" s="65"/>
      <c r="Q802" s="5" t="s">
        <v>25</v>
      </c>
      <c r="R802" s="9">
        <f>R873</f>
        <v>456200</v>
      </c>
      <c r="S802" s="9"/>
      <c r="T802" s="9"/>
      <c r="U802" s="5"/>
      <c r="V802" s="9"/>
      <c r="W802" s="17"/>
      <c r="X802" s="182" t="s">
        <v>27</v>
      </c>
      <c r="Y802" s="182"/>
      <c r="Z802" s="44">
        <f>(U771+W771)*Y771+(U772+W772)*Y772+(U773+W773)*Y773+(U774+W774)*Y774</f>
        <v>73581</v>
      </c>
      <c r="AA802" s="10"/>
      <c r="AB802" s="11"/>
      <c r="AD802" s="65"/>
      <c r="AE802" s="5" t="s">
        <v>25</v>
      </c>
      <c r="AF802" s="9">
        <f>AF873</f>
        <v>352500</v>
      </c>
      <c r="AG802" s="9"/>
      <c r="AH802" s="9"/>
      <c r="AI802" s="5"/>
      <c r="AJ802" s="9"/>
      <c r="AK802" s="17"/>
      <c r="AL802" s="182" t="s">
        <v>27</v>
      </c>
      <c r="AM802" s="182"/>
      <c r="AN802" s="44">
        <f>(AI771+AK771)*AM771+(AI772+AK772)*AM772+(AI773+AK773)*AM773+(AI774+AK774)*AM774</f>
        <v>55280</v>
      </c>
      <c r="AO802" s="10"/>
      <c r="AP802" s="11"/>
    </row>
    <row r="803" spans="1:42" ht="15" customHeight="1">
      <c r="A803" s="12"/>
      <c r="B803" s="8"/>
      <c r="C803" s="5" t="s">
        <v>25</v>
      </c>
      <c r="D803" s="9">
        <f>D874</f>
        <v>93700</v>
      </c>
      <c r="E803" s="9"/>
      <c r="F803" s="9"/>
      <c r="G803" s="5" t="s">
        <v>22</v>
      </c>
      <c r="H803" s="9">
        <f>SUM(L743:L796)</f>
        <v>31625</v>
      </c>
      <c r="I803" s="28">
        <f>H803/D800</f>
        <v>0.19877435575109995</v>
      </c>
      <c r="J803" s="28"/>
      <c r="K803" s="9"/>
      <c r="L803" s="9"/>
      <c r="M803" s="9"/>
      <c r="N803" s="11"/>
      <c r="O803" s="2"/>
      <c r="P803" s="65"/>
      <c r="Q803" s="5"/>
      <c r="R803" s="9"/>
      <c r="S803" s="9"/>
      <c r="T803" s="9"/>
      <c r="U803" s="5"/>
      <c r="V803" s="9"/>
      <c r="W803" s="17"/>
      <c r="X803" s="100"/>
      <c r="Y803" s="103"/>
      <c r="Z803" s="62"/>
      <c r="AA803" s="10"/>
      <c r="AB803" s="11"/>
      <c r="AD803" s="65"/>
      <c r="AE803" s="5"/>
      <c r="AF803" s="9"/>
      <c r="AG803" s="9"/>
      <c r="AH803" s="9"/>
      <c r="AI803" s="5"/>
      <c r="AJ803" s="9"/>
      <c r="AK803" s="17"/>
      <c r="AL803" s="100"/>
      <c r="AM803" s="103"/>
      <c r="AN803" s="62"/>
      <c r="AO803" s="10"/>
      <c r="AP803" s="11"/>
    </row>
    <row r="804" spans="1:42" ht="15" customHeight="1">
      <c r="A804" s="12"/>
      <c r="B804" s="8"/>
      <c r="C804" s="58"/>
      <c r="D804" s="9"/>
      <c r="E804" s="9"/>
      <c r="F804" s="9"/>
      <c r="G804" s="30" t="s">
        <v>24</v>
      </c>
      <c r="H804" s="26">
        <f>D802-H803</f>
        <v>63835</v>
      </c>
      <c r="I804" s="28">
        <f>H804/D800</f>
        <v>0.40122564424890006</v>
      </c>
      <c r="J804" s="28"/>
      <c r="K804" s="9"/>
      <c r="L804" s="9"/>
      <c r="M804" s="9"/>
      <c r="N804" s="11"/>
      <c r="O804" s="2"/>
      <c r="P804" s="65"/>
      <c r="Q804" s="5"/>
      <c r="R804" s="9"/>
      <c r="S804" s="26"/>
      <c r="T804" s="9"/>
      <c r="U804" s="5"/>
      <c r="V804" s="9"/>
      <c r="W804" s="17"/>
      <c r="X804" s="100"/>
      <c r="Y804" s="103"/>
      <c r="Z804" s="62"/>
      <c r="AA804" s="10"/>
      <c r="AB804" s="11"/>
      <c r="AD804" s="65"/>
      <c r="AE804" s="5"/>
      <c r="AF804" s="9"/>
      <c r="AG804" s="26"/>
      <c r="AH804" s="9"/>
      <c r="AI804" s="5"/>
      <c r="AJ804" s="9"/>
      <c r="AK804" s="17"/>
      <c r="AL804" s="100"/>
      <c r="AM804" s="103"/>
      <c r="AN804" s="62"/>
      <c r="AO804" s="10"/>
      <c r="AP804" s="11"/>
    </row>
    <row r="805" spans="1:42" ht="15" customHeight="1">
      <c r="A805" s="33"/>
      <c r="B805" s="32"/>
      <c r="C805" s="58"/>
      <c r="D805" s="9"/>
      <c r="E805" s="9"/>
      <c r="F805" s="9"/>
      <c r="G805" s="104"/>
      <c r="H805" s="106"/>
      <c r="I805" s="28"/>
      <c r="J805" s="28"/>
      <c r="K805" s="9"/>
      <c r="L805" s="9"/>
      <c r="M805" s="9"/>
      <c r="N805" s="11"/>
      <c r="O805" s="2"/>
      <c r="P805" s="65"/>
      <c r="Q805" s="5"/>
      <c r="R805" s="17"/>
      <c r="S805" s="111"/>
      <c r="T805" s="45"/>
      <c r="U805" s="5"/>
      <c r="V805" s="9"/>
      <c r="W805" s="17"/>
      <c r="X805" s="100"/>
      <c r="Y805" s="103"/>
      <c r="Z805" s="62"/>
      <c r="AA805" s="10"/>
      <c r="AB805" s="11"/>
      <c r="AD805" s="65"/>
      <c r="AE805" s="5"/>
      <c r="AF805" s="17"/>
      <c r="AG805" s="111"/>
      <c r="AH805" s="45"/>
      <c r="AI805" s="5"/>
      <c r="AJ805" s="9"/>
      <c r="AK805" s="17"/>
      <c r="AL805" s="100"/>
      <c r="AM805" s="103"/>
      <c r="AN805" s="62"/>
      <c r="AO805" s="10"/>
      <c r="AP805" s="11"/>
    </row>
    <row r="806" spans="1:42" ht="15" customHeight="1">
      <c r="A806" s="98"/>
      <c r="B806" s="99"/>
      <c r="C806" s="5"/>
      <c r="D806" s="9"/>
      <c r="E806" s="9"/>
      <c r="F806" s="9"/>
      <c r="G806" s="27"/>
      <c r="H806" s="17"/>
      <c r="I806" s="28"/>
      <c r="J806" s="28"/>
      <c r="K806" s="10"/>
      <c r="L806" s="10"/>
      <c r="M806" s="10"/>
      <c r="N806" s="11"/>
      <c r="O806" s="2"/>
      <c r="P806" s="12"/>
      <c r="Q806" s="9"/>
      <c r="R806" s="9"/>
      <c r="T806" s="9"/>
      <c r="U806" s="5"/>
      <c r="V806" s="9"/>
      <c r="W806" s="9"/>
      <c r="X806" s="41"/>
      <c r="Y806" s="67"/>
      <c r="Z806" s="10"/>
      <c r="AA806" s="10"/>
      <c r="AB806" s="11"/>
      <c r="AD806" s="12"/>
      <c r="AE806" s="9"/>
      <c r="AF806" s="9"/>
      <c r="AG806" s="88"/>
      <c r="AH806" s="9"/>
      <c r="AI806" s="5"/>
      <c r="AJ806" s="9"/>
      <c r="AK806" s="9"/>
      <c r="AL806" s="54"/>
      <c r="AM806" s="67"/>
      <c r="AN806" s="10"/>
      <c r="AO806" s="10"/>
      <c r="AP806" s="11"/>
    </row>
    <row r="807" spans="1:42" ht="15" customHeight="1">
      <c r="A807" s="191" t="s">
        <v>43</v>
      </c>
      <c r="B807" s="191"/>
      <c r="C807" s="192" t="s">
        <v>46</v>
      </c>
      <c r="D807" s="192"/>
      <c r="E807" s="192" t="s">
        <v>47</v>
      </c>
      <c r="F807" s="192"/>
      <c r="G807" s="102"/>
      <c r="H807" s="93"/>
      <c r="I807" s="101"/>
      <c r="J807" s="101"/>
      <c r="K807" s="10"/>
      <c r="L807" s="10"/>
      <c r="M807" s="10"/>
      <c r="N807" s="11"/>
      <c r="O807" s="2"/>
      <c r="P807" s="79"/>
      <c r="Q807" s="45"/>
      <c r="R807" s="9"/>
      <c r="S807" s="5"/>
      <c r="T807" s="9"/>
      <c r="U807" s="5"/>
      <c r="V807" s="9"/>
      <c r="W807" s="9"/>
      <c r="X807" s="41"/>
      <c r="Y807" s="67"/>
      <c r="Z807" s="10"/>
      <c r="AA807" s="10"/>
      <c r="AB807" s="11"/>
      <c r="AD807" s="79"/>
      <c r="AE807" s="45"/>
      <c r="AF807" s="9"/>
      <c r="AG807" s="5"/>
      <c r="AH807" s="9"/>
      <c r="AI807" s="5"/>
      <c r="AJ807" s="9"/>
      <c r="AK807" s="9"/>
      <c r="AL807" s="54"/>
      <c r="AM807" s="67"/>
      <c r="AN807" s="10"/>
      <c r="AO807" s="10"/>
      <c r="AP807" s="11"/>
    </row>
    <row r="808" spans="1:42">
      <c r="A808" s="193">
        <f>E801+S800+AG800</f>
        <v>1081300</v>
      </c>
      <c r="B808" s="193"/>
      <c r="C808" s="194">
        <f>H803+Z799+AN799</f>
        <v>171640</v>
      </c>
      <c r="D808" s="194"/>
      <c r="E808" s="194">
        <f>I802+Z802+AN802</f>
        <v>160541</v>
      </c>
      <c r="F808" s="194"/>
      <c r="G808" s="84"/>
      <c r="H808" s="44"/>
      <c r="I808" s="28"/>
      <c r="J808" s="28"/>
      <c r="K808" s="10"/>
      <c r="L808" s="10"/>
      <c r="M808" s="10"/>
      <c r="N808" s="11"/>
      <c r="O808" s="2"/>
      <c r="P808" s="165" t="s">
        <v>26</v>
      </c>
      <c r="Q808" s="165"/>
      <c r="R808" s="29">
        <f>SUM(R743,R747,R751,R755,R759,R763,R768,R771,R775,R779,R783,R787,R791)*100</f>
        <v>101300</v>
      </c>
      <c r="S808" s="45"/>
      <c r="T808" s="9"/>
      <c r="U808" s="5">
        <f>R808/V808</f>
        <v>1841.8181818181818</v>
      </c>
      <c r="V808" s="29">
        <f>SUM(V743,V747,V751,V755,V759,V763,V768,V771,V775,V779,V783,V787,V791)</f>
        <v>55</v>
      </c>
      <c r="W808" s="9"/>
      <c r="X808" s="64" t="str">
        <f t="shared" ref="X808:Y811" si="653">X743</f>
        <v>キティサンダルキーホルダー</v>
      </c>
      <c r="Y808" s="62">
        <f t="shared" si="653"/>
        <v>600</v>
      </c>
      <c r="Z808" s="29">
        <f>SUM(Z743,Z747,Z751,Z755,Z759,Z763,Z768,Z771,Z775,Z779,Z783,Z787,Z791)</f>
        <v>33714</v>
      </c>
      <c r="AA808" s="28">
        <f>Z808/R808</f>
        <v>0.33281342546890424</v>
      </c>
      <c r="AB808" s="11"/>
      <c r="AC808" s="16"/>
      <c r="AD808" s="165" t="s">
        <v>26</v>
      </c>
      <c r="AE808" s="165"/>
      <c r="AF808" s="29">
        <f>SUM(AF743,AF747,AF751,AF755,AF759,AF763,AF767,AF771,AF775,AF779,AF783,AF787,AF791)*100</f>
        <v>69600</v>
      </c>
      <c r="AG808" s="45"/>
      <c r="AH808" s="9"/>
      <c r="AI808" s="5">
        <f>AF808/AJ808</f>
        <v>3163.6363636363635</v>
      </c>
      <c r="AJ808" s="29">
        <f>SUM(AJ743,AJ747,AJ751,AJ755,AJ759,AJ763,AJ768,AJ771,AJ775,AJ779,AJ783,AJ787,AJ791)</f>
        <v>22</v>
      </c>
      <c r="AK808" s="9"/>
      <c r="AL808" s="61" t="str">
        <f t="shared" ref="AL808:AM811" si="654">AL743</f>
        <v>ジョージファン</v>
      </c>
      <c r="AM808" s="62">
        <f t="shared" si="654"/>
        <v>1045</v>
      </c>
      <c r="AN808" s="29">
        <f>SUM(AN743,AN747,AN751,AN755,AN759,AN763,AN768,AN771,AN775,AN779,AN783,AN787,AN791)</f>
        <v>22990</v>
      </c>
      <c r="AO808" s="28">
        <f>AN808/AF808</f>
        <v>0.33031609195402301</v>
      </c>
      <c r="AP808" s="11"/>
    </row>
    <row r="809" spans="1:42">
      <c r="A809" s="95"/>
      <c r="B809" s="95"/>
      <c r="C809" s="45"/>
      <c r="D809" s="105">
        <f>C808/A808</f>
        <v>0.1587348561916212</v>
      </c>
      <c r="E809" s="9"/>
      <c r="F809" s="9"/>
      <c r="G809" s="5"/>
      <c r="H809" s="9"/>
      <c r="I809" s="9"/>
      <c r="J809" s="9"/>
      <c r="K809" s="9"/>
      <c r="L809" s="9"/>
      <c r="M809" s="9"/>
      <c r="N809" s="11"/>
      <c r="O809" s="2"/>
      <c r="P809" s="165" t="s">
        <v>26</v>
      </c>
      <c r="Q809" s="165"/>
      <c r="R809" s="29">
        <f>SUM(R744,R748,R752,R756,R760,R764,R767,R772,R776,R780,R784,R788,R792)*100</f>
        <v>121800</v>
      </c>
      <c r="S809" s="45"/>
      <c r="T809" s="9"/>
      <c r="U809" s="5">
        <f>R809/V809</f>
        <v>4684.6153846153848</v>
      </c>
      <c r="V809" s="29">
        <f>SUM(V744,V748,V752,V756,V760,V764,V767,V772,V776,V780,V784,V788,V792)</f>
        <v>26</v>
      </c>
      <c r="W809" s="9"/>
      <c r="X809" s="64" t="str">
        <f t="shared" si="653"/>
        <v>キティフェイスポーチ</v>
      </c>
      <c r="Y809" s="62">
        <f t="shared" si="653"/>
        <v>957</v>
      </c>
      <c r="Z809" s="29">
        <f>SUM(Z744,Z748,Z752,Z756,Z760,Z764,Z767,Z772,Z776,Z780,Z784,Z788,Z792)</f>
        <v>20241</v>
      </c>
      <c r="AA809" s="28">
        <f>Z809/R809</f>
        <v>0.16618226600985223</v>
      </c>
      <c r="AB809" s="11"/>
      <c r="AC809" s="1"/>
      <c r="AD809" s="165" t="s">
        <v>26</v>
      </c>
      <c r="AE809" s="165"/>
      <c r="AF809" s="29">
        <f>SUM(AF744,AF748,AF752,AF756,AF760,AF764,AF768,AF772,AF776,AF780,AF784,AF788,AF792)*100</f>
        <v>85400</v>
      </c>
      <c r="AG809" s="45"/>
      <c r="AH809" s="9"/>
      <c r="AI809" s="5">
        <f>AF809/AJ809</f>
        <v>10675</v>
      </c>
      <c r="AJ809" s="29">
        <f>SUM(AJ744,AJ748,AJ752,AJ756,AJ760,AJ764,AJ767,AJ772,AJ776,AJ780,AJ784,AJ788,AJ792)</f>
        <v>8</v>
      </c>
      <c r="AK809" s="9"/>
      <c r="AL809" s="61" t="str">
        <f t="shared" si="654"/>
        <v>ジャグラーボタン</v>
      </c>
      <c r="AM809" s="62">
        <f t="shared" si="654"/>
        <v>748</v>
      </c>
      <c r="AN809" s="29">
        <f>SUM(AN744,AN748,AN752,AN756,AN760,AN764,AN767,AN772,AN776,AN780,AN784,AN788,AN792)</f>
        <v>6786</v>
      </c>
      <c r="AO809" s="28">
        <f>AN809/AF809</f>
        <v>7.9461358313817329E-2</v>
      </c>
      <c r="AP809" s="11"/>
    </row>
    <row r="810" spans="1:42">
      <c r="A810" s="95"/>
      <c r="B810" s="95"/>
      <c r="C810" s="45"/>
      <c r="D810" s="9"/>
      <c r="E810" s="9"/>
      <c r="F810" s="9"/>
      <c r="G810" s="5"/>
      <c r="H810" s="9"/>
      <c r="I810" s="9"/>
      <c r="J810" s="9"/>
      <c r="K810" s="9"/>
      <c r="L810" s="9"/>
      <c r="M810" s="9"/>
      <c r="N810" s="11"/>
      <c r="O810" s="2"/>
      <c r="P810" s="165" t="s">
        <v>26</v>
      </c>
      <c r="Q810" s="165"/>
      <c r="R810" s="29">
        <f>SUM(R745,R749,R753,R757,R761,R765,R769,R773,R777,R781,R785,R789,R793)*100</f>
        <v>100400</v>
      </c>
      <c r="S810" s="45"/>
      <c r="T810" s="9"/>
      <c r="U810" s="5">
        <f>R810/V810</f>
        <v>6693.333333333333</v>
      </c>
      <c r="V810" s="29">
        <f>SUM(V745,V749,V753,V758,V761,V765,V769,V773,V777,V781,V785,V789,V793)</f>
        <v>15</v>
      </c>
      <c r="W810" s="9"/>
      <c r="X810" s="64" t="str">
        <f t="shared" si="653"/>
        <v>ギャルキティキーケース</v>
      </c>
      <c r="Y810" s="62">
        <f t="shared" si="653"/>
        <v>726</v>
      </c>
      <c r="Z810" s="29">
        <f>SUM(Z745,Z749,Z753,Z758,Z761,Z765,Z769,Z773,Z777,Z781,Z785,Z789,Z793)</f>
        <v>12386</v>
      </c>
      <c r="AA810" s="28">
        <f>Z810/R810</f>
        <v>0.12336653386454183</v>
      </c>
      <c r="AB810" s="11"/>
      <c r="AC810" s="1"/>
      <c r="AD810" s="165" t="s">
        <v>26</v>
      </c>
      <c r="AE810" s="165"/>
      <c r="AF810" s="29">
        <f>SUM(AF745,AF749,AF753,AF757,AF761,AF765,AF769,AF773,AF777,AF781,AF785,AF789,AF793)*100</f>
        <v>82700</v>
      </c>
      <c r="AG810" s="45"/>
      <c r="AH810" s="9"/>
      <c r="AI810" s="5">
        <f>AF810/AJ810</f>
        <v>1102.6666666666667</v>
      </c>
      <c r="AJ810" s="29">
        <f>SUM(AJ745,AJ749,AJ753,AJ758,AJ761,AJ765,AJ769,AJ773,AJ777,AJ781,AJ785,AJ789,AJ793)</f>
        <v>75</v>
      </c>
      <c r="AK810" s="9"/>
      <c r="AL810" s="61" t="str">
        <f t="shared" si="654"/>
        <v>SPGラバー</v>
      </c>
      <c r="AM810" s="62">
        <f t="shared" si="654"/>
        <v>187</v>
      </c>
      <c r="AN810" s="29">
        <f>SUM(AN745,AN749,AN753,AN758,AN761,AN765,AN769,AN773,AN777,AN781,AN785,AN789,AN793)</f>
        <v>15924</v>
      </c>
      <c r="AO810" s="28">
        <f>AN810/AF810</f>
        <v>0.19255139056831921</v>
      </c>
      <c r="AP810" s="11"/>
    </row>
    <row r="811" spans="1:42">
      <c r="A811" s="95"/>
      <c r="B811" s="95"/>
      <c r="C811" s="45"/>
      <c r="D811" s="9"/>
      <c r="E811" s="9"/>
      <c r="F811" s="9"/>
      <c r="G811" s="5"/>
      <c r="H811" s="9"/>
      <c r="I811" s="9"/>
      <c r="J811" s="9"/>
      <c r="K811" s="9"/>
      <c r="L811" s="9"/>
      <c r="M811" s="9"/>
      <c r="N811" s="11"/>
      <c r="O811" s="2"/>
      <c r="P811" s="165" t="s">
        <v>26</v>
      </c>
      <c r="Q811" s="165"/>
      <c r="R811" s="29">
        <f>SUM(R746,R750,R754,R758,R762,R766,R770,R774,R778,R782,R786,R790,R794)*100</f>
        <v>149500</v>
      </c>
      <c r="S811" s="45"/>
      <c r="T811" s="9"/>
      <c r="U811" s="5">
        <f>R811/V811</f>
        <v>14950</v>
      </c>
      <c r="V811" s="29">
        <f>SUM(V746,V750,V754,V757,V762,V766,V770,V774,V778,V782,V786,V790,V794)</f>
        <v>10</v>
      </c>
      <c r="W811" s="9"/>
      <c r="X811" s="64" t="str">
        <f t="shared" si="653"/>
        <v>サンリオファン</v>
      </c>
      <c r="Y811" s="62">
        <f t="shared" si="653"/>
        <v>1100</v>
      </c>
      <c r="Z811" s="29">
        <f>SUM(Z746,Z750,Z754,Z757,Z762,Z766,Z770,Z774,Z778,Z782,Z786,Z790,Z794)</f>
        <v>10252</v>
      </c>
      <c r="AA811" s="28">
        <f>Z811/R811</f>
        <v>6.8575250836120399E-2</v>
      </c>
      <c r="AB811" s="11"/>
      <c r="AC811" s="1"/>
      <c r="AD811" s="165" t="s">
        <v>26</v>
      </c>
      <c r="AE811" s="165"/>
      <c r="AF811" s="29">
        <f>SUM(AF746,AF750,AF754,AF758,AF762,AF766,AF770,AF774,AF778,AF782,AF786,AF790,AF794)*100</f>
        <v>211500</v>
      </c>
      <c r="AG811" s="45"/>
      <c r="AH811" s="9"/>
      <c r="AI811" s="5">
        <f>AF811/AJ811</f>
        <v>2376.4044943820227</v>
      </c>
      <c r="AJ811" s="29">
        <f>SUM(AJ746,AJ750,AJ754,AJ757,AJ762,AJ766,AJ770,AJ774,AJ778,AJ782,AJ786,AJ790,AJ794)</f>
        <v>89</v>
      </c>
      <c r="AK811" s="9"/>
      <c r="AL811" s="61" t="str">
        <f t="shared" si="654"/>
        <v>AIモンスターラバー</v>
      </c>
      <c r="AM811" s="62">
        <f t="shared" si="654"/>
        <v>200</v>
      </c>
      <c r="AN811" s="29">
        <f>SUM(AN746,AN750,AN754,AN757,AN762,AN766,AN770,AN774,AN778,AN782,AN786,AN790,AN794)</f>
        <v>17722</v>
      </c>
      <c r="AO811" s="28">
        <f>AN811/AF811</f>
        <v>8.3791962174940893E-2</v>
      </c>
      <c r="AP811" s="11"/>
    </row>
    <row r="812" spans="1:42">
      <c r="A812" s="95"/>
      <c r="B812" s="95"/>
      <c r="C812" s="45"/>
      <c r="D812" s="9"/>
      <c r="E812" s="9"/>
      <c r="F812" s="9"/>
      <c r="G812" s="5"/>
      <c r="H812" s="9"/>
      <c r="I812" s="9"/>
      <c r="J812" s="9"/>
      <c r="K812" s="9"/>
      <c r="L812" s="9"/>
      <c r="M812" s="9"/>
      <c r="N812" s="11"/>
      <c r="O812" s="2"/>
      <c r="P812" s="12"/>
      <c r="Q812" s="5" t="s">
        <v>17</v>
      </c>
      <c r="R812" s="9">
        <f>SUM(R808:R811)</f>
        <v>473000</v>
      </c>
      <c r="S812" s="45"/>
      <c r="T812" s="9"/>
      <c r="U812" s="9"/>
      <c r="V812" s="9">
        <f>SUM(V808:V811)</f>
        <v>106</v>
      </c>
      <c r="W812" s="9"/>
      <c r="X812" s="163" t="s">
        <v>28</v>
      </c>
      <c r="Y812" s="163"/>
      <c r="Z812" s="44">
        <f>SUM(Z808:Z811)</f>
        <v>76593</v>
      </c>
      <c r="AA812" s="68">
        <f>Z812/R812</f>
        <v>0.16193023255813954</v>
      </c>
      <c r="AB812" s="69"/>
      <c r="AC812" s="1"/>
      <c r="AD812" s="12"/>
      <c r="AE812" s="5" t="s">
        <v>17</v>
      </c>
      <c r="AF812" s="9">
        <f>SUM(AF808:AF811)</f>
        <v>449200</v>
      </c>
      <c r="AG812" s="45"/>
      <c r="AH812" s="9"/>
      <c r="AI812" s="9"/>
      <c r="AJ812" s="9">
        <f>SUM(AJ808:AJ811)</f>
        <v>194</v>
      </c>
      <c r="AK812" s="9"/>
      <c r="AL812" s="163" t="s">
        <v>28</v>
      </c>
      <c r="AM812" s="163"/>
      <c r="AN812" s="44">
        <f>SUM(AN808:AN811)</f>
        <v>63422</v>
      </c>
      <c r="AO812" s="68">
        <f>AN812/AF812</f>
        <v>0.1411887800534283</v>
      </c>
      <c r="AP812" s="11"/>
    </row>
    <row r="813" spans="1:42">
      <c r="A813" s="14"/>
      <c r="B813" s="76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2"/>
      <c r="P813" s="33"/>
      <c r="Q813" s="2"/>
      <c r="R813" s="2"/>
      <c r="S813" s="2"/>
      <c r="T813" s="2"/>
      <c r="U813" s="2"/>
      <c r="V813" s="2"/>
      <c r="W813" s="2"/>
      <c r="X813" s="43"/>
      <c r="Y813" s="2"/>
      <c r="Z813" s="2"/>
      <c r="AA813" s="2"/>
      <c r="AB813" s="42"/>
      <c r="AC813" s="1"/>
      <c r="AD813" s="33"/>
      <c r="AE813" s="2"/>
      <c r="AF813" s="2"/>
      <c r="AG813" s="2"/>
      <c r="AH813" s="2"/>
      <c r="AI813" s="2"/>
      <c r="AJ813" s="2"/>
      <c r="AK813" s="2"/>
      <c r="AL813" s="55"/>
      <c r="AM813" s="2"/>
      <c r="AN813" s="2"/>
      <c r="AO813" s="2"/>
      <c r="AP813" s="42"/>
    </row>
    <row r="814" spans="1:42" ht="15" customHeight="1">
      <c r="A814" s="33"/>
      <c r="B814" s="3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4"/>
      <c r="O814" s="2"/>
      <c r="P814" s="33"/>
      <c r="Q814" s="2"/>
      <c r="R814" s="2"/>
      <c r="S814" s="2"/>
      <c r="T814" s="2"/>
      <c r="U814" s="2"/>
      <c r="V814" s="2"/>
      <c r="W814" s="2"/>
      <c r="X814" s="43"/>
      <c r="Y814" s="2"/>
      <c r="Z814" s="2"/>
      <c r="AA814" s="2"/>
      <c r="AB814" s="42"/>
      <c r="AC814" s="2"/>
      <c r="AD814" s="33"/>
      <c r="AE814" s="2"/>
      <c r="AF814" s="2"/>
      <c r="AG814" s="2"/>
      <c r="AH814" s="2"/>
      <c r="AI814" s="2"/>
      <c r="AJ814" s="2"/>
      <c r="AK814" s="2"/>
      <c r="AL814" s="55"/>
      <c r="AM814" s="2"/>
      <c r="AN814" s="2"/>
      <c r="AO814" s="2"/>
      <c r="AP814" s="42"/>
    </row>
    <row r="815" spans="1:42">
      <c r="A815" s="188" t="s">
        <v>40</v>
      </c>
      <c r="B815" s="188"/>
      <c r="C815" s="189" t="s">
        <v>41</v>
      </c>
      <c r="D815" s="189"/>
      <c r="E815" s="36"/>
      <c r="F815" s="36"/>
      <c r="G815" s="59"/>
      <c r="H815" s="59"/>
      <c r="I815" s="59"/>
      <c r="J815" s="59"/>
      <c r="K815" s="59"/>
      <c r="L815" s="59"/>
      <c r="M815" s="59"/>
      <c r="N815" s="60"/>
      <c r="O815" s="56"/>
      <c r="P815" s="185" t="s">
        <v>39</v>
      </c>
      <c r="Q815" s="185"/>
      <c r="R815" s="185"/>
      <c r="S815" s="184" t="s">
        <v>38</v>
      </c>
      <c r="T815" s="184"/>
      <c r="U815" s="71"/>
      <c r="V815" s="71"/>
      <c r="W815" s="71"/>
      <c r="X815" s="72"/>
      <c r="Y815" s="71"/>
      <c r="Z815" s="71"/>
      <c r="AA815" s="71"/>
      <c r="AB815" s="73"/>
      <c r="AC815" s="74"/>
      <c r="AD815" s="185" t="s">
        <v>39</v>
      </c>
      <c r="AE815" s="185"/>
      <c r="AF815" s="185"/>
      <c r="AG815" s="184" t="s">
        <v>37</v>
      </c>
      <c r="AH815" s="184"/>
      <c r="AI815" s="71"/>
      <c r="AJ815" s="71"/>
      <c r="AK815" s="71"/>
      <c r="AL815" s="75"/>
      <c r="AM815" s="71"/>
      <c r="AN815" s="71"/>
      <c r="AO815" s="71"/>
      <c r="AP815" s="73"/>
    </row>
    <row r="816" spans="1:42">
      <c r="A816" s="7" t="s">
        <v>0</v>
      </c>
      <c r="B816" s="112" t="s">
        <v>34</v>
      </c>
      <c r="C816" s="5" t="s">
        <v>1</v>
      </c>
      <c r="D816" s="5" t="s">
        <v>2</v>
      </c>
      <c r="E816" s="6" t="s">
        <v>3</v>
      </c>
      <c r="F816" s="5" t="s">
        <v>2</v>
      </c>
      <c r="G816" s="5" t="s">
        <v>4</v>
      </c>
      <c r="H816" s="5" t="s">
        <v>5</v>
      </c>
      <c r="I816" s="5" t="s">
        <v>6</v>
      </c>
      <c r="J816" s="5"/>
      <c r="K816" s="5" t="s">
        <v>7</v>
      </c>
      <c r="L816" s="5" t="s">
        <v>8</v>
      </c>
      <c r="M816" s="5" t="s">
        <v>9</v>
      </c>
      <c r="N816" s="5" t="s">
        <v>10</v>
      </c>
      <c r="O816" s="2"/>
      <c r="P816" s="7" t="s">
        <v>0</v>
      </c>
      <c r="Q816" s="5" t="s">
        <v>1</v>
      </c>
      <c r="R816" s="5" t="s">
        <v>2</v>
      </c>
      <c r="S816" s="6" t="s">
        <v>3</v>
      </c>
      <c r="T816" s="5" t="s">
        <v>2</v>
      </c>
      <c r="U816" s="5" t="s">
        <v>4</v>
      </c>
      <c r="V816" s="5" t="s">
        <v>5</v>
      </c>
      <c r="W816" s="5" t="s">
        <v>6</v>
      </c>
      <c r="X816" s="6" t="s">
        <v>11</v>
      </c>
      <c r="Y816" s="5" t="s">
        <v>7</v>
      </c>
      <c r="Z816" s="5" t="s">
        <v>5</v>
      </c>
      <c r="AA816" s="5" t="s">
        <v>12</v>
      </c>
      <c r="AB816" s="5" t="s">
        <v>10</v>
      </c>
      <c r="AC816" s="3"/>
      <c r="AD816" s="7" t="s">
        <v>0</v>
      </c>
      <c r="AE816" s="5" t="s">
        <v>1</v>
      </c>
      <c r="AF816" s="5" t="s">
        <v>2</v>
      </c>
      <c r="AG816" s="6" t="s">
        <v>3</v>
      </c>
      <c r="AH816" s="5" t="s">
        <v>2</v>
      </c>
      <c r="AI816" s="5" t="s">
        <v>4</v>
      </c>
      <c r="AJ816" s="5" t="s">
        <v>5</v>
      </c>
      <c r="AK816" s="5" t="s">
        <v>6</v>
      </c>
      <c r="AL816" s="46" t="s">
        <v>11</v>
      </c>
      <c r="AM816" s="5" t="s">
        <v>7</v>
      </c>
      <c r="AN816" s="5" t="s">
        <v>5</v>
      </c>
      <c r="AO816" s="5" t="s">
        <v>12</v>
      </c>
      <c r="AP816" s="5" t="s">
        <v>10</v>
      </c>
    </row>
    <row r="817" spans="1:42">
      <c r="A817" s="12">
        <v>45824</v>
      </c>
      <c r="B817" s="8">
        <v>1093</v>
      </c>
      <c r="C817" s="13">
        <v>20325</v>
      </c>
      <c r="D817" s="9">
        <v>140</v>
      </c>
      <c r="E817" s="9">
        <v>746</v>
      </c>
      <c r="F817" s="9">
        <v>9</v>
      </c>
      <c r="G817" s="9">
        <v>29</v>
      </c>
      <c r="H817" s="9">
        <v>8</v>
      </c>
      <c r="I817" s="9">
        <v>10</v>
      </c>
      <c r="J817" s="44"/>
      <c r="K817" s="44">
        <v>385</v>
      </c>
      <c r="L817" s="9">
        <v>3080</v>
      </c>
      <c r="M817" s="10">
        <v>0.22</v>
      </c>
      <c r="N817" s="70" t="s">
        <v>77</v>
      </c>
      <c r="O817" s="2"/>
      <c r="P817" s="12">
        <v>45824</v>
      </c>
      <c r="Q817" s="44">
        <v>4525</v>
      </c>
      <c r="R817" s="44">
        <v>73</v>
      </c>
      <c r="S817" s="44">
        <v>97</v>
      </c>
      <c r="T817" s="44">
        <v>1</v>
      </c>
      <c r="U817" s="44">
        <v>5</v>
      </c>
      <c r="V817" s="44">
        <v>1</v>
      </c>
      <c r="W817" s="44">
        <v>0</v>
      </c>
      <c r="X817" s="64" t="s">
        <v>54</v>
      </c>
      <c r="Y817" s="62">
        <v>710</v>
      </c>
      <c r="Z817" s="44">
        <v>710</v>
      </c>
      <c r="AA817" s="63">
        <v>9.7260273972602743E-2</v>
      </c>
      <c r="AB817" s="11"/>
      <c r="AC817" s="1"/>
      <c r="AD817" s="12">
        <v>45824</v>
      </c>
      <c r="AE817" s="44">
        <v>4092</v>
      </c>
      <c r="AF817" s="44">
        <v>110</v>
      </c>
      <c r="AG817" s="44">
        <v>107</v>
      </c>
      <c r="AH817" s="44">
        <v>1</v>
      </c>
      <c r="AI817" s="44">
        <v>17</v>
      </c>
      <c r="AJ817" s="44">
        <v>1</v>
      </c>
      <c r="AK817" s="44">
        <v>0</v>
      </c>
      <c r="AL817" s="61" t="s">
        <v>31</v>
      </c>
      <c r="AM817" s="62">
        <v>1100</v>
      </c>
      <c r="AN817" s="44">
        <v>1100</v>
      </c>
      <c r="AO817" s="63">
        <v>0.1</v>
      </c>
      <c r="AP817" s="11"/>
    </row>
    <row r="818" spans="1:42">
      <c r="A818" s="12">
        <v>45828</v>
      </c>
      <c r="B818" s="8">
        <f>IF(A818="","",SUM(D818)+SUM(R821:R824)+SUM(AF821:AF824))</f>
        <v>792</v>
      </c>
      <c r="C818" s="13">
        <v>20416</v>
      </c>
      <c r="D818" s="9">
        <f t="shared" ref="D818:D830" si="655">IF(C818="","",C818-C817)</f>
        <v>91</v>
      </c>
      <c r="E818" s="9">
        <v>753</v>
      </c>
      <c r="F818" s="9">
        <f t="shared" ref="F818:F830" si="656">IF(E818="","",E818-E817)</f>
        <v>7</v>
      </c>
      <c r="G818" s="9">
        <v>32</v>
      </c>
      <c r="H818" s="9">
        <f t="shared" ref="H818:H830" si="657">IF(G818="","",G817+I817-G818)</f>
        <v>7</v>
      </c>
      <c r="I818" s="9">
        <v>14</v>
      </c>
      <c r="J818" s="44"/>
      <c r="K818" s="44">
        <f t="shared" ref="K818:K830" si="658">IF(C818="","",K817)</f>
        <v>385</v>
      </c>
      <c r="L818" s="9">
        <f t="shared" ref="L818:L830" si="659">IF(K818="","",H818*K818)</f>
        <v>2695</v>
      </c>
      <c r="M818" s="10">
        <f t="shared" ref="M818:M830" si="660">IF(L818="","",L818/(D818*100))</f>
        <v>0.29615384615384616</v>
      </c>
      <c r="N818" s="34"/>
      <c r="O818" s="2"/>
      <c r="P818" s="12"/>
      <c r="Q818" s="9">
        <v>4823</v>
      </c>
      <c r="R818" s="9">
        <v>93</v>
      </c>
      <c r="S818" s="9">
        <v>118</v>
      </c>
      <c r="T818" s="9">
        <v>2</v>
      </c>
      <c r="U818" s="9">
        <v>36</v>
      </c>
      <c r="V818" s="9">
        <v>0</v>
      </c>
      <c r="W818" s="9">
        <v>0</v>
      </c>
      <c r="X818" s="64" t="s">
        <v>13</v>
      </c>
      <c r="Y818" s="44">
        <v>1100</v>
      </c>
      <c r="Z818" s="9">
        <v>0</v>
      </c>
      <c r="AA818" s="10">
        <v>0</v>
      </c>
      <c r="AB818" s="11"/>
      <c r="AC818" s="1"/>
      <c r="AD818" s="12"/>
      <c r="AE818" s="9">
        <v>5428</v>
      </c>
      <c r="AF818" s="9">
        <v>132</v>
      </c>
      <c r="AG818" s="9">
        <v>106</v>
      </c>
      <c r="AH818" s="9">
        <v>1</v>
      </c>
      <c r="AI818" s="9">
        <v>9</v>
      </c>
      <c r="AJ818" s="9">
        <v>1</v>
      </c>
      <c r="AK818" s="9">
        <v>0</v>
      </c>
      <c r="AL818" s="47" t="s">
        <v>42</v>
      </c>
      <c r="AM818" s="45">
        <v>748</v>
      </c>
      <c r="AN818" s="9">
        <v>748</v>
      </c>
      <c r="AO818" s="10">
        <v>5.6666666666666664E-2</v>
      </c>
      <c r="AP818" s="11"/>
    </row>
    <row r="819" spans="1:42">
      <c r="A819" s="12">
        <v>45832</v>
      </c>
      <c r="B819" s="8">
        <f>IF(A819="","",SUM(D819)+SUM(R825:R828)+SUM(AF825:AF828))</f>
        <v>859</v>
      </c>
      <c r="C819" s="13">
        <v>20554</v>
      </c>
      <c r="D819" s="9">
        <f t="shared" si="655"/>
        <v>138</v>
      </c>
      <c r="E819" s="9">
        <v>765</v>
      </c>
      <c r="F819" s="9">
        <f t="shared" si="656"/>
        <v>12</v>
      </c>
      <c r="G819" s="9">
        <v>33</v>
      </c>
      <c r="H819" s="9">
        <f t="shared" si="657"/>
        <v>13</v>
      </c>
      <c r="I819" s="9">
        <v>0</v>
      </c>
      <c r="J819" s="44"/>
      <c r="K819" s="44">
        <f t="shared" si="658"/>
        <v>385</v>
      </c>
      <c r="L819" s="9">
        <f t="shared" si="659"/>
        <v>5005</v>
      </c>
      <c r="M819" s="10">
        <f t="shared" si="660"/>
        <v>0.36268115942028983</v>
      </c>
      <c r="N819" s="34"/>
      <c r="O819" s="2"/>
      <c r="P819" s="12"/>
      <c r="Q819" s="9">
        <v>5080</v>
      </c>
      <c r="R819" s="9">
        <v>68</v>
      </c>
      <c r="S819" s="9">
        <v>261</v>
      </c>
      <c r="T819" s="9">
        <v>3</v>
      </c>
      <c r="U819" s="9">
        <v>13</v>
      </c>
      <c r="V819" s="9">
        <v>5</v>
      </c>
      <c r="W819" s="9">
        <v>0</v>
      </c>
      <c r="X819" s="15" t="s">
        <v>65</v>
      </c>
      <c r="Y819" s="45">
        <v>726</v>
      </c>
      <c r="Z819" s="9">
        <v>3630</v>
      </c>
      <c r="AA819" s="10">
        <v>0.5338235294117647</v>
      </c>
      <c r="AB819" s="11" t="s">
        <v>45</v>
      </c>
      <c r="AC819" s="1"/>
      <c r="AD819" s="12"/>
      <c r="AE819" s="9">
        <v>4842</v>
      </c>
      <c r="AF819" s="9">
        <v>121</v>
      </c>
      <c r="AG819" s="9">
        <v>204</v>
      </c>
      <c r="AH819" s="9">
        <v>10</v>
      </c>
      <c r="AI819" s="9">
        <v>130</v>
      </c>
      <c r="AJ819" s="9">
        <v>15</v>
      </c>
      <c r="AK819" s="9">
        <v>19</v>
      </c>
      <c r="AL819" s="47" t="s">
        <v>59</v>
      </c>
      <c r="AM819" s="45">
        <v>187</v>
      </c>
      <c r="AN819" s="9">
        <v>2805</v>
      </c>
      <c r="AO819" s="10">
        <v>0.23181818181818181</v>
      </c>
      <c r="AP819" s="11"/>
    </row>
    <row r="820" spans="1:42" ht="15" customHeight="1" thickBot="1">
      <c r="A820" s="12">
        <v>45835</v>
      </c>
      <c r="B820" s="8">
        <f>IF(A820="","",SUM(D820)+SUM(R829:R832)+SUM(AF829:AF832))</f>
        <v>442</v>
      </c>
      <c r="C820" s="13">
        <v>20597</v>
      </c>
      <c r="D820" s="9">
        <f t="shared" si="655"/>
        <v>43</v>
      </c>
      <c r="E820" s="9">
        <v>769</v>
      </c>
      <c r="F820" s="9">
        <f t="shared" si="656"/>
        <v>4</v>
      </c>
      <c r="G820" s="9">
        <v>29</v>
      </c>
      <c r="H820" s="9">
        <f t="shared" si="657"/>
        <v>4</v>
      </c>
      <c r="I820" s="9">
        <v>0</v>
      </c>
      <c r="J820" s="44"/>
      <c r="K820" s="44">
        <f t="shared" si="658"/>
        <v>385</v>
      </c>
      <c r="L820" s="9">
        <f t="shared" si="659"/>
        <v>1540</v>
      </c>
      <c r="M820" s="10">
        <f t="shared" si="660"/>
        <v>0.35813953488372091</v>
      </c>
      <c r="N820" s="34"/>
      <c r="O820" s="2"/>
      <c r="P820" s="18"/>
      <c r="Q820" s="21">
        <v>5094</v>
      </c>
      <c r="R820" s="19">
        <v>268</v>
      </c>
      <c r="S820" s="19">
        <v>184</v>
      </c>
      <c r="T820" s="19">
        <v>11</v>
      </c>
      <c r="U820" s="19">
        <v>9</v>
      </c>
      <c r="V820" s="19">
        <v>2</v>
      </c>
      <c r="W820" s="19">
        <v>4</v>
      </c>
      <c r="X820" s="22" t="s">
        <v>69</v>
      </c>
      <c r="Y820" s="19">
        <v>1100</v>
      </c>
      <c r="Z820" s="19">
        <v>2200</v>
      </c>
      <c r="AA820" s="20">
        <v>8.2089552238805971E-2</v>
      </c>
      <c r="AB820" s="11"/>
      <c r="AC820" s="1"/>
      <c r="AD820" s="18"/>
      <c r="AE820" s="19">
        <v>4086</v>
      </c>
      <c r="AF820" s="19">
        <v>88</v>
      </c>
      <c r="AG820" s="19">
        <v>140</v>
      </c>
      <c r="AH820" s="19">
        <v>5</v>
      </c>
      <c r="AI820" s="19">
        <v>40</v>
      </c>
      <c r="AJ820" s="19">
        <v>5</v>
      </c>
      <c r="AK820" s="19">
        <v>0</v>
      </c>
      <c r="AL820" s="48" t="s">
        <v>71</v>
      </c>
      <c r="AM820" s="19">
        <v>165</v>
      </c>
      <c r="AN820" s="19">
        <v>825</v>
      </c>
      <c r="AO820" s="20">
        <v>9.375E-2</v>
      </c>
      <c r="AP820" s="11"/>
    </row>
    <row r="821" spans="1:42" ht="15" customHeight="1" thickTop="1">
      <c r="A821" s="12">
        <v>45838</v>
      </c>
      <c r="B821" s="8">
        <f>IF(A821="","",SUM(D821)+SUM(R833:R836)+SUM(AF833:AF836))</f>
        <v>1183</v>
      </c>
      <c r="C821" s="13">
        <v>20686</v>
      </c>
      <c r="D821" s="9">
        <f t="shared" si="655"/>
        <v>89</v>
      </c>
      <c r="E821" s="9">
        <v>772</v>
      </c>
      <c r="F821" s="9">
        <f t="shared" si="656"/>
        <v>3</v>
      </c>
      <c r="G821" s="9">
        <v>26</v>
      </c>
      <c r="H821" s="9">
        <f t="shared" si="657"/>
        <v>3</v>
      </c>
      <c r="I821" s="9">
        <v>10</v>
      </c>
      <c r="J821" s="44"/>
      <c r="K821" s="44">
        <f t="shared" si="658"/>
        <v>385</v>
      </c>
      <c r="L821" s="9">
        <f t="shared" si="659"/>
        <v>1155</v>
      </c>
      <c r="M821" s="10">
        <f t="shared" si="660"/>
        <v>0.12977528089887641</v>
      </c>
      <c r="N821" s="116" t="s">
        <v>96</v>
      </c>
      <c r="O821" s="2"/>
      <c r="P821" s="78">
        <f>IF($A818="","",$A818)</f>
        <v>45828</v>
      </c>
      <c r="Q821" s="44">
        <v>4572</v>
      </c>
      <c r="R821" s="44">
        <f t="shared" ref="R821:R852" si="661">IF(Q821="","",Q821-Q817)</f>
        <v>47</v>
      </c>
      <c r="S821" s="44">
        <v>98</v>
      </c>
      <c r="T821" s="23">
        <f t="shared" ref="T821:T852" si="662">IF(S821="","",S821-S817)</f>
        <v>1</v>
      </c>
      <c r="U821" s="44">
        <v>4</v>
      </c>
      <c r="V821" s="44">
        <f t="shared" ref="V821:V852" si="663">IF(U821="","",U817+W817-U821)</f>
        <v>1</v>
      </c>
      <c r="W821" s="66">
        <v>0</v>
      </c>
      <c r="X821" s="15" t="str">
        <f t="shared" ref="X821:X852" si="664">IF(Q821="","",X817)</f>
        <v>デジタルミニカメラ</v>
      </c>
      <c r="Y821" s="45">
        <f t="shared" ref="Y821:Y852" si="665">IF(R821="","",Y817)</f>
        <v>710</v>
      </c>
      <c r="Z821" s="23">
        <f t="shared" ref="Z821:Z852" si="666">IF(U821="","",V821*Y821)</f>
        <v>710</v>
      </c>
      <c r="AA821" s="24">
        <f t="shared" ref="AA821:AA852" si="667">IF(V821="","",Z821/(R821*100))</f>
        <v>0.15106382978723404</v>
      </c>
      <c r="AB821" s="11"/>
      <c r="AC821" s="1"/>
      <c r="AD821" s="78">
        <f>IF($A818="","",$A818)</f>
        <v>45828</v>
      </c>
      <c r="AE821" s="44">
        <v>4157</v>
      </c>
      <c r="AF821" s="44">
        <f t="shared" ref="AF821:AF852" si="668">IF(AE821="","",AE821-AE817)</f>
        <v>65</v>
      </c>
      <c r="AG821" s="44">
        <v>108</v>
      </c>
      <c r="AH821" s="23">
        <f t="shared" ref="AH821:AH852" si="669">IF(AG821="","",AG821-AG817)</f>
        <v>1</v>
      </c>
      <c r="AI821" s="44">
        <v>15</v>
      </c>
      <c r="AJ821" s="44">
        <f t="shared" ref="AJ821:AJ852" si="670">IF(AI821="","",AI817+AK817-AI821)</f>
        <v>2</v>
      </c>
      <c r="AK821" s="66">
        <v>2</v>
      </c>
      <c r="AL821" s="15" t="str">
        <f t="shared" ref="AL821:AL852" si="671">IF(AE821="","",AL817)</f>
        <v>ジャグラーイヤホン</v>
      </c>
      <c r="AM821" s="45">
        <f t="shared" ref="AM821:AM852" si="672">IF(AF821="","",AM817)</f>
        <v>1100</v>
      </c>
      <c r="AN821" s="23">
        <f t="shared" ref="AN821:AN852" si="673">IF(AI821="","",AJ821*AM821)</f>
        <v>2200</v>
      </c>
      <c r="AO821" s="24">
        <f t="shared" ref="AO821:AO852" si="674">IF(AJ821="","",AN821/(AF821*100))</f>
        <v>0.33846153846153848</v>
      </c>
      <c r="AP821" s="11"/>
    </row>
    <row r="822" spans="1:42">
      <c r="A822" s="12">
        <v>45842</v>
      </c>
      <c r="B822" s="8">
        <f>IF(A822="","",SUM(D822)+SUM(R837:R840)+SUM(AF837:AF840))</f>
        <v>709</v>
      </c>
      <c r="C822" s="13">
        <v>20736</v>
      </c>
      <c r="D822" s="9">
        <f t="shared" si="655"/>
        <v>50</v>
      </c>
      <c r="E822" s="9">
        <v>774</v>
      </c>
      <c r="F822" s="9">
        <f t="shared" si="656"/>
        <v>2</v>
      </c>
      <c r="G822" s="9">
        <v>33</v>
      </c>
      <c r="H822" s="9">
        <f t="shared" si="657"/>
        <v>3</v>
      </c>
      <c r="I822" s="9">
        <v>8</v>
      </c>
      <c r="J822" s="44"/>
      <c r="K822" s="44">
        <f t="shared" si="658"/>
        <v>385</v>
      </c>
      <c r="L822" s="9">
        <f t="shared" si="659"/>
        <v>1155</v>
      </c>
      <c r="M822" s="10">
        <f t="shared" si="660"/>
        <v>0.23100000000000001</v>
      </c>
      <c r="N822" s="34" t="s">
        <v>100</v>
      </c>
      <c r="O822" s="2"/>
      <c r="P822" s="79"/>
      <c r="Q822" s="9">
        <v>4856</v>
      </c>
      <c r="R822" s="44">
        <f t="shared" si="661"/>
        <v>33</v>
      </c>
      <c r="S822" s="9">
        <v>121</v>
      </c>
      <c r="T822" s="9">
        <f t="shared" si="662"/>
        <v>3</v>
      </c>
      <c r="U822" s="9">
        <v>32</v>
      </c>
      <c r="V822" s="9">
        <f t="shared" si="663"/>
        <v>4</v>
      </c>
      <c r="W822" s="13">
        <v>8</v>
      </c>
      <c r="X822" s="15" t="str">
        <f t="shared" si="664"/>
        <v>ミニ香水</v>
      </c>
      <c r="Y822" s="45">
        <f t="shared" si="665"/>
        <v>1100</v>
      </c>
      <c r="Z822" s="9">
        <f t="shared" si="666"/>
        <v>4400</v>
      </c>
      <c r="AA822" s="10">
        <f t="shared" si="667"/>
        <v>1.3333333333333333</v>
      </c>
      <c r="AB822" s="11" t="s">
        <v>35</v>
      </c>
      <c r="AC822" s="1"/>
      <c r="AD822" s="79"/>
      <c r="AE822" s="9">
        <v>5484</v>
      </c>
      <c r="AF822" s="44">
        <f t="shared" si="668"/>
        <v>56</v>
      </c>
      <c r="AG822" s="9">
        <v>107</v>
      </c>
      <c r="AH822" s="9">
        <f t="shared" si="669"/>
        <v>1</v>
      </c>
      <c r="AI822" s="9">
        <v>9</v>
      </c>
      <c r="AJ822" s="9">
        <f t="shared" si="670"/>
        <v>0</v>
      </c>
      <c r="AK822" s="13">
        <v>2</v>
      </c>
      <c r="AL822" s="15" t="str">
        <f t="shared" si="671"/>
        <v>ジャグラーボタン</v>
      </c>
      <c r="AM822" s="45">
        <f t="shared" si="672"/>
        <v>748</v>
      </c>
      <c r="AN822" s="9">
        <f t="shared" si="673"/>
        <v>0</v>
      </c>
      <c r="AO822" s="10">
        <f t="shared" si="674"/>
        <v>0</v>
      </c>
      <c r="AP822" s="11"/>
    </row>
    <row r="823" spans="1:42">
      <c r="A823" s="12">
        <v>45845</v>
      </c>
      <c r="B823" s="8">
        <f>IF(A823="","",SUM(D823)+SUM(R841:R844)+SUM(AF841:AF844))</f>
        <v>1461</v>
      </c>
      <c r="C823" s="13">
        <v>20898</v>
      </c>
      <c r="D823" s="9">
        <f t="shared" si="655"/>
        <v>162</v>
      </c>
      <c r="E823" s="9">
        <v>786</v>
      </c>
      <c r="F823" s="9">
        <f t="shared" si="656"/>
        <v>12</v>
      </c>
      <c r="G823" s="9">
        <v>29</v>
      </c>
      <c r="H823" s="9">
        <f t="shared" si="657"/>
        <v>12</v>
      </c>
      <c r="I823" s="9">
        <v>5</v>
      </c>
      <c r="J823" s="44"/>
      <c r="K823" s="44">
        <f t="shared" si="658"/>
        <v>385</v>
      </c>
      <c r="L823" s="9">
        <f t="shared" si="659"/>
        <v>4620</v>
      </c>
      <c r="M823" s="10">
        <f t="shared" si="660"/>
        <v>0.28518518518518521</v>
      </c>
      <c r="N823" s="34"/>
      <c r="O823" s="2"/>
      <c r="P823" s="79"/>
      <c r="Q823" s="9">
        <v>5196</v>
      </c>
      <c r="R823" s="52">
        <f t="shared" si="661"/>
        <v>116</v>
      </c>
      <c r="S823" s="9">
        <v>262</v>
      </c>
      <c r="T823" s="9">
        <f t="shared" si="662"/>
        <v>1</v>
      </c>
      <c r="U823" s="9">
        <v>12</v>
      </c>
      <c r="V823" s="9">
        <f t="shared" si="663"/>
        <v>1</v>
      </c>
      <c r="W823" s="13">
        <v>4</v>
      </c>
      <c r="X823" s="15" t="str">
        <f t="shared" si="664"/>
        <v>ギャルキティキーケース</v>
      </c>
      <c r="Y823" s="45">
        <f t="shared" si="665"/>
        <v>726</v>
      </c>
      <c r="Z823" s="9">
        <f t="shared" si="666"/>
        <v>726</v>
      </c>
      <c r="AA823" s="10">
        <f t="shared" si="667"/>
        <v>6.2586206896551727E-2</v>
      </c>
      <c r="AB823" s="11"/>
      <c r="AC823" s="1"/>
      <c r="AD823" s="79"/>
      <c r="AE823" s="9">
        <v>4910</v>
      </c>
      <c r="AF823" s="52">
        <f t="shared" si="668"/>
        <v>68</v>
      </c>
      <c r="AG823" s="9">
        <v>209</v>
      </c>
      <c r="AH823" s="9">
        <f t="shared" si="669"/>
        <v>5</v>
      </c>
      <c r="AI823" s="9">
        <v>124</v>
      </c>
      <c r="AJ823" s="9">
        <f t="shared" si="670"/>
        <v>25</v>
      </c>
      <c r="AK823" s="13">
        <v>6</v>
      </c>
      <c r="AL823" s="15" t="str">
        <f t="shared" si="671"/>
        <v>SPGラバー</v>
      </c>
      <c r="AM823" s="45">
        <f t="shared" si="672"/>
        <v>187</v>
      </c>
      <c r="AN823" s="9">
        <f t="shared" si="673"/>
        <v>4675</v>
      </c>
      <c r="AO823" s="10">
        <f t="shared" si="674"/>
        <v>0.6875</v>
      </c>
      <c r="AP823" s="11"/>
    </row>
    <row r="824" spans="1:42" ht="15" customHeight="1" thickBot="1">
      <c r="A824" s="12">
        <v>45850</v>
      </c>
      <c r="B824" s="8">
        <f>IF(A824="","",SUM(D824)+SUM(R845:R848)+SUM(AF845:AF848))</f>
        <v>1440</v>
      </c>
      <c r="C824" s="13">
        <v>21043</v>
      </c>
      <c r="D824" s="9">
        <f t="shared" si="655"/>
        <v>145</v>
      </c>
      <c r="E824" s="9">
        <v>797</v>
      </c>
      <c r="F824" s="9">
        <f t="shared" si="656"/>
        <v>11</v>
      </c>
      <c r="G824" s="9">
        <v>22</v>
      </c>
      <c r="H824" s="9">
        <f t="shared" si="657"/>
        <v>12</v>
      </c>
      <c r="I824" s="9">
        <v>14</v>
      </c>
      <c r="J824" s="44"/>
      <c r="K824" s="44">
        <f t="shared" si="658"/>
        <v>385</v>
      </c>
      <c r="L824" s="9">
        <f t="shared" si="659"/>
        <v>4620</v>
      </c>
      <c r="M824" s="10">
        <f t="shared" si="660"/>
        <v>0.31862068965517243</v>
      </c>
      <c r="N824" s="34"/>
      <c r="O824" s="2"/>
      <c r="P824" s="80"/>
      <c r="Q824" s="21">
        <v>5374</v>
      </c>
      <c r="R824" s="50">
        <f t="shared" si="661"/>
        <v>280</v>
      </c>
      <c r="S824" s="51">
        <v>188</v>
      </c>
      <c r="T824" s="19">
        <f t="shared" si="662"/>
        <v>4</v>
      </c>
      <c r="U824" s="19">
        <v>9</v>
      </c>
      <c r="V824" s="19">
        <f t="shared" si="663"/>
        <v>4</v>
      </c>
      <c r="W824" s="37">
        <v>0</v>
      </c>
      <c r="X824" s="22" t="str">
        <f t="shared" si="664"/>
        <v>サンリオファン</v>
      </c>
      <c r="Y824" s="51">
        <f t="shared" si="665"/>
        <v>1100</v>
      </c>
      <c r="Z824" s="19">
        <f t="shared" si="666"/>
        <v>4400</v>
      </c>
      <c r="AA824" s="20">
        <f t="shared" si="667"/>
        <v>0.15714285714285714</v>
      </c>
      <c r="AB824" s="11"/>
      <c r="AC824" s="1"/>
      <c r="AD824" s="80"/>
      <c r="AE824" s="21">
        <v>4122</v>
      </c>
      <c r="AF824" s="50">
        <f t="shared" si="668"/>
        <v>36</v>
      </c>
      <c r="AG824" s="51">
        <v>145</v>
      </c>
      <c r="AH824" s="19">
        <f t="shared" si="669"/>
        <v>5</v>
      </c>
      <c r="AI824" s="19">
        <v>40</v>
      </c>
      <c r="AJ824" s="19">
        <f t="shared" si="670"/>
        <v>0</v>
      </c>
      <c r="AK824" s="37">
        <v>10</v>
      </c>
      <c r="AL824" s="22" t="str">
        <f t="shared" si="671"/>
        <v>SPGマスコット</v>
      </c>
      <c r="AM824" s="51">
        <f t="shared" si="672"/>
        <v>165</v>
      </c>
      <c r="AN824" s="19">
        <f t="shared" si="673"/>
        <v>0</v>
      </c>
      <c r="AO824" s="20">
        <f t="shared" si="674"/>
        <v>0</v>
      </c>
      <c r="AP824" s="11"/>
    </row>
    <row r="825" spans="1:42" ht="15" customHeight="1" thickTop="1">
      <c r="A825" s="12">
        <v>45852</v>
      </c>
      <c r="B825" s="8">
        <f>IF(A825="","",SUM(D825)+SUM(R849:R852)+SUM(AF849:AF852))</f>
        <v>1045</v>
      </c>
      <c r="C825" s="13">
        <v>21122</v>
      </c>
      <c r="D825" s="9">
        <f t="shared" si="655"/>
        <v>79</v>
      </c>
      <c r="E825" s="9">
        <v>801</v>
      </c>
      <c r="F825" s="9">
        <f t="shared" si="656"/>
        <v>4</v>
      </c>
      <c r="G825" s="9">
        <v>30</v>
      </c>
      <c r="H825" s="9">
        <f t="shared" si="657"/>
        <v>6</v>
      </c>
      <c r="I825" s="9">
        <v>0</v>
      </c>
      <c r="J825" s="44"/>
      <c r="K825" s="44">
        <f t="shared" si="658"/>
        <v>385</v>
      </c>
      <c r="L825" s="9">
        <f t="shared" si="659"/>
        <v>2310</v>
      </c>
      <c r="M825" s="10">
        <f t="shared" si="660"/>
        <v>0.29240506329113924</v>
      </c>
      <c r="N825" s="34" t="s">
        <v>106</v>
      </c>
      <c r="O825" s="2"/>
      <c r="P825" s="65">
        <f>IF($A819="","",$A819)</f>
        <v>45832</v>
      </c>
      <c r="Q825" s="44">
        <v>4679</v>
      </c>
      <c r="R825" s="44">
        <f t="shared" si="661"/>
        <v>107</v>
      </c>
      <c r="S825" s="44">
        <v>101</v>
      </c>
      <c r="T825" s="23">
        <f t="shared" si="662"/>
        <v>3</v>
      </c>
      <c r="U825" s="44">
        <v>1</v>
      </c>
      <c r="V825" s="44">
        <f t="shared" si="663"/>
        <v>3</v>
      </c>
      <c r="W825" s="66">
        <v>5</v>
      </c>
      <c r="X825" s="61" t="str">
        <f t="shared" si="664"/>
        <v>デジタルミニカメラ</v>
      </c>
      <c r="Y825" s="62">
        <f t="shared" si="665"/>
        <v>710</v>
      </c>
      <c r="Z825" s="23">
        <f t="shared" si="666"/>
        <v>2130</v>
      </c>
      <c r="AA825" s="24">
        <f t="shared" si="667"/>
        <v>0.19906542056074766</v>
      </c>
      <c r="AB825" s="11" t="s">
        <v>91</v>
      </c>
      <c r="AC825" s="1"/>
      <c r="AD825" s="65">
        <f>IF($A819="","",$A819)</f>
        <v>45832</v>
      </c>
      <c r="AE825" s="44">
        <v>4198</v>
      </c>
      <c r="AF825" s="44">
        <f t="shared" si="668"/>
        <v>41</v>
      </c>
      <c r="AG825" s="44">
        <v>110</v>
      </c>
      <c r="AH825" s="23">
        <f t="shared" si="669"/>
        <v>2</v>
      </c>
      <c r="AI825" s="44">
        <v>16</v>
      </c>
      <c r="AJ825" s="44">
        <f t="shared" si="670"/>
        <v>1</v>
      </c>
      <c r="AK825" s="66">
        <v>0</v>
      </c>
      <c r="AL825" s="61" t="str">
        <f t="shared" si="671"/>
        <v>ジャグラーイヤホン</v>
      </c>
      <c r="AM825" s="62">
        <f t="shared" si="672"/>
        <v>1100</v>
      </c>
      <c r="AN825" s="23">
        <f t="shared" si="673"/>
        <v>1100</v>
      </c>
      <c r="AO825" s="24">
        <f t="shared" si="674"/>
        <v>0.26829268292682928</v>
      </c>
      <c r="AP825" s="11" t="s">
        <v>89</v>
      </c>
    </row>
    <row r="826" spans="1:42">
      <c r="A826" s="12"/>
      <c r="B826" s="8"/>
      <c r="C826" s="13"/>
      <c r="D826" s="9"/>
      <c r="E826" s="9"/>
      <c r="F826" s="9"/>
      <c r="G826" s="9"/>
      <c r="H826" s="9"/>
      <c r="I826" s="9"/>
      <c r="J826" s="44"/>
      <c r="K826" s="44"/>
      <c r="L826" s="9"/>
      <c r="M826" s="10"/>
      <c r="N826" s="34"/>
      <c r="O826" s="2"/>
      <c r="P826" s="12"/>
      <c r="Q826" s="44">
        <v>4909</v>
      </c>
      <c r="R826" s="9">
        <f t="shared" si="661"/>
        <v>53</v>
      </c>
      <c r="S826" s="9">
        <v>123</v>
      </c>
      <c r="T826" s="9">
        <f t="shared" si="662"/>
        <v>2</v>
      </c>
      <c r="U826" s="9">
        <v>38</v>
      </c>
      <c r="V826" s="9">
        <f t="shared" si="663"/>
        <v>2</v>
      </c>
      <c r="W826" s="13">
        <v>0</v>
      </c>
      <c r="X826" s="47" t="str">
        <f t="shared" si="664"/>
        <v>ミニ香水</v>
      </c>
      <c r="Y826" s="45">
        <f t="shared" si="665"/>
        <v>1100</v>
      </c>
      <c r="Z826" s="9">
        <f t="shared" si="666"/>
        <v>2200</v>
      </c>
      <c r="AA826" s="10">
        <f t="shared" si="667"/>
        <v>0.41509433962264153</v>
      </c>
      <c r="AB826" s="11"/>
      <c r="AC826" s="1"/>
      <c r="AD826" s="12"/>
      <c r="AE826" s="44">
        <v>5573</v>
      </c>
      <c r="AF826" s="9">
        <f t="shared" si="668"/>
        <v>89</v>
      </c>
      <c r="AG826" s="9">
        <v>107</v>
      </c>
      <c r="AH826" s="9">
        <f t="shared" si="669"/>
        <v>0</v>
      </c>
      <c r="AI826" s="9">
        <v>10</v>
      </c>
      <c r="AJ826" s="9">
        <f t="shared" si="670"/>
        <v>1</v>
      </c>
      <c r="AK826" s="13">
        <v>0</v>
      </c>
      <c r="AL826" s="47" t="str">
        <f t="shared" si="671"/>
        <v>ジャグラーボタン</v>
      </c>
      <c r="AM826" s="45">
        <f t="shared" si="672"/>
        <v>748</v>
      </c>
      <c r="AN826" s="9">
        <f t="shared" si="673"/>
        <v>748</v>
      </c>
      <c r="AO826" s="10">
        <f t="shared" si="674"/>
        <v>8.4044943820224718E-2</v>
      </c>
      <c r="AP826" s="11" t="s">
        <v>90</v>
      </c>
    </row>
    <row r="827" spans="1:42">
      <c r="A827" s="12"/>
      <c r="B827" s="8"/>
      <c r="C827" s="13"/>
      <c r="D827" s="9"/>
      <c r="E827" s="9"/>
      <c r="F827" s="9"/>
      <c r="G827" s="9"/>
      <c r="H827" s="9"/>
      <c r="I827" s="9"/>
      <c r="J827" s="44"/>
      <c r="K827" s="44"/>
      <c r="L827" s="9"/>
      <c r="M827" s="10"/>
      <c r="N827" s="34"/>
      <c r="O827" s="2"/>
      <c r="P827" s="12"/>
      <c r="Q827" s="52">
        <v>5307</v>
      </c>
      <c r="R827" s="9">
        <f t="shared" si="661"/>
        <v>111</v>
      </c>
      <c r="S827" s="9">
        <v>265</v>
      </c>
      <c r="T827" s="9">
        <f t="shared" si="662"/>
        <v>3</v>
      </c>
      <c r="U827" s="9">
        <v>14</v>
      </c>
      <c r="V827" s="9">
        <f t="shared" si="663"/>
        <v>2</v>
      </c>
      <c r="W827" s="13">
        <v>1</v>
      </c>
      <c r="X827" s="47" t="str">
        <f t="shared" si="664"/>
        <v>ギャルキティキーケース</v>
      </c>
      <c r="Y827" s="9">
        <f t="shared" si="665"/>
        <v>726</v>
      </c>
      <c r="Z827" s="9">
        <f t="shared" si="666"/>
        <v>1452</v>
      </c>
      <c r="AA827" s="10">
        <f t="shared" si="667"/>
        <v>0.13081081081081081</v>
      </c>
      <c r="AB827" s="11"/>
      <c r="AC827" s="1"/>
      <c r="AD827" s="12"/>
      <c r="AE827" s="52">
        <v>4997</v>
      </c>
      <c r="AF827" s="9">
        <f t="shared" si="668"/>
        <v>87</v>
      </c>
      <c r="AG827" s="9">
        <v>217</v>
      </c>
      <c r="AH827" s="9">
        <f t="shared" si="669"/>
        <v>8</v>
      </c>
      <c r="AI827" s="9">
        <v>120</v>
      </c>
      <c r="AJ827" s="9">
        <f t="shared" si="670"/>
        <v>10</v>
      </c>
      <c r="AK827" s="13">
        <v>4</v>
      </c>
      <c r="AL827" s="47" t="str">
        <f t="shared" si="671"/>
        <v>SPGラバー</v>
      </c>
      <c r="AM827" s="9">
        <f t="shared" si="672"/>
        <v>187</v>
      </c>
      <c r="AN827" s="9">
        <f t="shared" si="673"/>
        <v>1870</v>
      </c>
      <c r="AO827" s="10">
        <f t="shared" si="674"/>
        <v>0.21494252873563219</v>
      </c>
      <c r="AP827" s="11"/>
    </row>
    <row r="828" spans="1:42" ht="15" customHeight="1" thickBot="1">
      <c r="A828" s="12"/>
      <c r="B828" s="8"/>
      <c r="C828" s="13"/>
      <c r="D828" s="9"/>
      <c r="E828" s="9"/>
      <c r="F828" s="9"/>
      <c r="G828" s="9"/>
      <c r="H828" s="9"/>
      <c r="I828" s="9"/>
      <c r="J828" s="44"/>
      <c r="K828" s="44"/>
      <c r="L828" s="9"/>
      <c r="M828" s="10"/>
      <c r="N828" s="11"/>
      <c r="O828" s="2"/>
      <c r="P828" s="80"/>
      <c r="Q828" s="50">
        <v>5538</v>
      </c>
      <c r="R828" s="51">
        <f t="shared" si="661"/>
        <v>164</v>
      </c>
      <c r="S828" s="19">
        <v>195</v>
      </c>
      <c r="T828" s="19">
        <f t="shared" si="662"/>
        <v>7</v>
      </c>
      <c r="U828" s="19">
        <v>6</v>
      </c>
      <c r="V828" s="19">
        <f t="shared" si="663"/>
        <v>3</v>
      </c>
      <c r="W828" s="37">
        <v>4</v>
      </c>
      <c r="X828" s="48" t="str">
        <f t="shared" si="664"/>
        <v>サンリオファン</v>
      </c>
      <c r="Y828" s="51">
        <f t="shared" si="665"/>
        <v>1100</v>
      </c>
      <c r="Z828" s="19">
        <f t="shared" si="666"/>
        <v>3300</v>
      </c>
      <c r="AA828" s="20">
        <f t="shared" si="667"/>
        <v>0.20121951219512196</v>
      </c>
      <c r="AB828" s="11"/>
      <c r="AC828" s="1"/>
      <c r="AD828" s="80"/>
      <c r="AE828" s="50">
        <v>4191</v>
      </c>
      <c r="AF828" s="51">
        <f t="shared" si="668"/>
        <v>69</v>
      </c>
      <c r="AG828" s="19">
        <v>150</v>
      </c>
      <c r="AH828" s="19">
        <f t="shared" si="669"/>
        <v>5</v>
      </c>
      <c r="AI828" s="19">
        <v>45</v>
      </c>
      <c r="AJ828" s="19">
        <f t="shared" si="670"/>
        <v>5</v>
      </c>
      <c r="AK828" s="37">
        <v>10</v>
      </c>
      <c r="AL828" s="48" t="str">
        <f t="shared" si="671"/>
        <v>SPGマスコット</v>
      </c>
      <c r="AM828" s="51">
        <f t="shared" si="672"/>
        <v>165</v>
      </c>
      <c r="AN828" s="19">
        <f t="shared" si="673"/>
        <v>825</v>
      </c>
      <c r="AO828" s="20">
        <f t="shared" si="674"/>
        <v>0.11956521739130435</v>
      </c>
      <c r="AP828" s="11"/>
    </row>
    <row r="829" spans="1:42" ht="15" customHeight="1" thickTop="1">
      <c r="A829" s="12"/>
      <c r="B829" s="8"/>
      <c r="C829" s="13"/>
      <c r="D829" s="9" t="str">
        <f t="shared" si="655"/>
        <v/>
      </c>
      <c r="E829" s="9"/>
      <c r="F829" s="9" t="str">
        <f t="shared" si="656"/>
        <v/>
      </c>
      <c r="G829" s="9"/>
      <c r="H829" s="9" t="str">
        <f t="shared" si="657"/>
        <v/>
      </c>
      <c r="I829" s="9"/>
      <c r="J829" s="44"/>
      <c r="K829" s="44" t="str">
        <f t="shared" si="658"/>
        <v/>
      </c>
      <c r="L829" s="9" t="str">
        <f t="shared" si="659"/>
        <v/>
      </c>
      <c r="M829" s="10" t="str">
        <f t="shared" si="660"/>
        <v/>
      </c>
      <c r="N829" s="11"/>
      <c r="O829" s="2"/>
      <c r="P829" s="65">
        <f>IF($A820="","",$A820)</f>
        <v>45835</v>
      </c>
      <c r="Q829" s="44">
        <v>4747</v>
      </c>
      <c r="R829" s="44">
        <f t="shared" si="661"/>
        <v>68</v>
      </c>
      <c r="S829" s="44">
        <v>103</v>
      </c>
      <c r="T829" s="23">
        <f t="shared" si="662"/>
        <v>2</v>
      </c>
      <c r="U829" s="44">
        <v>4</v>
      </c>
      <c r="V829" s="44">
        <f t="shared" si="663"/>
        <v>2</v>
      </c>
      <c r="W829" s="66">
        <v>0</v>
      </c>
      <c r="X829" s="61" t="str">
        <f t="shared" si="664"/>
        <v>デジタルミニカメラ</v>
      </c>
      <c r="Y829" s="62">
        <f t="shared" si="665"/>
        <v>710</v>
      </c>
      <c r="Z829" s="23">
        <f t="shared" si="666"/>
        <v>1420</v>
      </c>
      <c r="AA829" s="24">
        <f t="shared" si="667"/>
        <v>0.20882352941176471</v>
      </c>
      <c r="AB829" s="11"/>
      <c r="AC829" s="1"/>
      <c r="AD829" s="65">
        <f>IF($A820="","",$A820)</f>
        <v>45835</v>
      </c>
      <c r="AE829" s="44">
        <v>4217</v>
      </c>
      <c r="AF829" s="44">
        <f t="shared" si="668"/>
        <v>19</v>
      </c>
      <c r="AG829" s="44">
        <v>110</v>
      </c>
      <c r="AH829" s="23">
        <f t="shared" si="669"/>
        <v>0</v>
      </c>
      <c r="AI829" s="44">
        <v>16</v>
      </c>
      <c r="AJ829" s="44">
        <f t="shared" si="670"/>
        <v>0</v>
      </c>
      <c r="AK829" s="66">
        <v>0</v>
      </c>
      <c r="AL829" s="61" t="str">
        <f t="shared" si="671"/>
        <v>ジャグラーイヤホン</v>
      </c>
      <c r="AM829" s="62">
        <f t="shared" si="672"/>
        <v>1100</v>
      </c>
      <c r="AN829" s="23">
        <f t="shared" si="673"/>
        <v>0</v>
      </c>
      <c r="AO829" s="24">
        <f t="shared" si="674"/>
        <v>0</v>
      </c>
      <c r="AP829" s="11" t="s">
        <v>105</v>
      </c>
    </row>
    <row r="830" spans="1:42">
      <c r="A830" s="12"/>
      <c r="B830" s="8"/>
      <c r="C830" s="13"/>
      <c r="D830" s="9" t="str">
        <f t="shared" si="655"/>
        <v/>
      </c>
      <c r="E830" s="9"/>
      <c r="F830" s="9" t="str">
        <f t="shared" si="656"/>
        <v/>
      </c>
      <c r="G830" s="9"/>
      <c r="H830" s="9" t="str">
        <f t="shared" si="657"/>
        <v/>
      </c>
      <c r="I830" s="9"/>
      <c r="J830" s="44"/>
      <c r="K830" s="44" t="str">
        <f t="shared" si="658"/>
        <v/>
      </c>
      <c r="L830" s="9" t="str">
        <f t="shared" si="659"/>
        <v/>
      </c>
      <c r="M830" s="10" t="str">
        <f t="shared" si="660"/>
        <v/>
      </c>
      <c r="N830" s="11"/>
      <c r="O830" s="2"/>
      <c r="P830" s="12"/>
      <c r="Q830" s="9">
        <v>4942</v>
      </c>
      <c r="R830" s="44">
        <f t="shared" si="661"/>
        <v>33</v>
      </c>
      <c r="S830" s="9">
        <v>124</v>
      </c>
      <c r="T830" s="9">
        <f t="shared" si="662"/>
        <v>1</v>
      </c>
      <c r="U830" s="9">
        <v>38</v>
      </c>
      <c r="V830" s="9">
        <f t="shared" si="663"/>
        <v>0</v>
      </c>
      <c r="W830" s="13">
        <v>-26</v>
      </c>
      <c r="X830" s="47" t="str">
        <f t="shared" si="664"/>
        <v>ミニ香水</v>
      </c>
      <c r="Y830" s="45">
        <f t="shared" si="665"/>
        <v>1100</v>
      </c>
      <c r="Z830" s="9">
        <f t="shared" si="666"/>
        <v>0</v>
      </c>
      <c r="AA830" s="10">
        <f t="shared" si="667"/>
        <v>0</v>
      </c>
      <c r="AB830" s="11" t="s">
        <v>94</v>
      </c>
      <c r="AC830" s="1"/>
      <c r="AD830" s="12"/>
      <c r="AE830" s="9">
        <v>5688</v>
      </c>
      <c r="AF830" s="44">
        <f t="shared" si="668"/>
        <v>115</v>
      </c>
      <c r="AG830" s="9">
        <v>109</v>
      </c>
      <c r="AH830" s="9">
        <f t="shared" si="669"/>
        <v>2</v>
      </c>
      <c r="AI830" s="9">
        <v>8</v>
      </c>
      <c r="AJ830" s="9">
        <f t="shared" si="670"/>
        <v>2</v>
      </c>
      <c r="AK830" s="13">
        <v>0</v>
      </c>
      <c r="AL830" s="47" t="str">
        <f t="shared" si="671"/>
        <v>ジャグラーボタン</v>
      </c>
      <c r="AM830" s="45">
        <f t="shared" si="672"/>
        <v>748</v>
      </c>
      <c r="AN830" s="9">
        <f t="shared" si="673"/>
        <v>1496</v>
      </c>
      <c r="AO830" s="10">
        <f t="shared" si="674"/>
        <v>0.13008695652173913</v>
      </c>
      <c r="AP830" s="11"/>
    </row>
    <row r="831" spans="1:42">
      <c r="A831" s="12"/>
      <c r="B831" s="8"/>
      <c r="C831" s="13"/>
      <c r="D831" s="9"/>
      <c r="E831" s="9"/>
      <c r="F831" s="9"/>
      <c r="G831" s="9"/>
      <c r="H831" s="9"/>
      <c r="I831" s="9"/>
      <c r="J831" s="44"/>
      <c r="K831" s="44"/>
      <c r="L831" s="9"/>
      <c r="M831" s="10"/>
      <c r="N831" s="11"/>
      <c r="O831" s="2"/>
      <c r="P831" s="25"/>
      <c r="Q831" s="26">
        <v>5381</v>
      </c>
      <c r="R831" s="44">
        <f t="shared" si="661"/>
        <v>74</v>
      </c>
      <c r="S831" s="26">
        <v>267</v>
      </c>
      <c r="T831" s="9">
        <f t="shared" si="662"/>
        <v>2</v>
      </c>
      <c r="U831" s="26">
        <v>13</v>
      </c>
      <c r="V831" s="9">
        <f t="shared" si="663"/>
        <v>2</v>
      </c>
      <c r="W831" s="38">
        <v>1</v>
      </c>
      <c r="X831" s="47" t="str">
        <f t="shared" si="664"/>
        <v>ギャルキティキーケース</v>
      </c>
      <c r="Y831" s="9">
        <f t="shared" si="665"/>
        <v>726</v>
      </c>
      <c r="Z831" s="9">
        <f t="shared" si="666"/>
        <v>1452</v>
      </c>
      <c r="AA831" s="10">
        <f t="shared" si="667"/>
        <v>0.19621621621621621</v>
      </c>
      <c r="AB831" s="11"/>
      <c r="AD831" s="25"/>
      <c r="AE831" s="26">
        <v>5039</v>
      </c>
      <c r="AF831" s="44">
        <f t="shared" si="668"/>
        <v>42</v>
      </c>
      <c r="AG831" s="26">
        <v>221</v>
      </c>
      <c r="AH831" s="9">
        <f t="shared" si="669"/>
        <v>4</v>
      </c>
      <c r="AI831" s="26">
        <v>120</v>
      </c>
      <c r="AJ831" s="9">
        <f t="shared" si="670"/>
        <v>4</v>
      </c>
      <c r="AK831" s="38">
        <v>0</v>
      </c>
      <c r="AL831" s="47" t="str">
        <f t="shared" si="671"/>
        <v>SPGラバー</v>
      </c>
      <c r="AM831" s="9">
        <f t="shared" si="672"/>
        <v>187</v>
      </c>
      <c r="AN831" s="9">
        <f t="shared" si="673"/>
        <v>748</v>
      </c>
      <c r="AO831" s="10">
        <f t="shared" si="674"/>
        <v>0.17809523809523808</v>
      </c>
      <c r="AP831" s="11"/>
    </row>
    <row r="832" spans="1:42" ht="15" customHeight="1" thickBot="1">
      <c r="A832" s="12"/>
      <c r="B832" s="8"/>
      <c r="C832" s="13"/>
      <c r="D832" s="9" t="str">
        <f>IF(C832="","",C832-C833)</f>
        <v/>
      </c>
      <c r="E832" s="9"/>
      <c r="F832" s="9" t="str">
        <f>IF(E832="","",E832-E833)</f>
        <v/>
      </c>
      <c r="G832" s="9"/>
      <c r="H832" s="9" t="str">
        <f>IF(G832="","",G833+I833-G832)</f>
        <v/>
      </c>
      <c r="I832" s="9"/>
      <c r="J832" s="44"/>
      <c r="K832" s="44" t="str">
        <f>IF(C832="","",K833)</f>
        <v/>
      </c>
      <c r="L832" s="9" t="str">
        <f t="shared" ref="L832:L870" si="675">IF(K832="","",H832*K832)</f>
        <v/>
      </c>
      <c r="M832" s="10" t="str">
        <f t="shared" ref="M832:M870" si="676">IF(L832="","",L832/(D832*100))</f>
        <v/>
      </c>
      <c r="N832" s="11"/>
      <c r="O832" s="2"/>
      <c r="P832" s="18"/>
      <c r="Q832" s="19">
        <v>5575</v>
      </c>
      <c r="R832" s="50">
        <f t="shared" si="661"/>
        <v>37</v>
      </c>
      <c r="S832" s="19">
        <v>197</v>
      </c>
      <c r="T832" s="19">
        <f t="shared" si="662"/>
        <v>2</v>
      </c>
      <c r="U832" s="19">
        <v>9</v>
      </c>
      <c r="V832" s="19">
        <f t="shared" si="663"/>
        <v>1</v>
      </c>
      <c r="W832" s="37">
        <v>0</v>
      </c>
      <c r="X832" s="48" t="str">
        <f t="shared" si="664"/>
        <v>サンリオファン</v>
      </c>
      <c r="Y832" s="51">
        <f t="shared" si="665"/>
        <v>1100</v>
      </c>
      <c r="Z832" s="19">
        <f t="shared" si="666"/>
        <v>1100</v>
      </c>
      <c r="AA832" s="20">
        <f t="shared" si="667"/>
        <v>0.29729729729729731</v>
      </c>
      <c r="AB832" s="11"/>
      <c r="AD832" s="18"/>
      <c r="AE832" s="19">
        <v>4202</v>
      </c>
      <c r="AF832" s="50">
        <f t="shared" si="668"/>
        <v>11</v>
      </c>
      <c r="AG832" s="19">
        <v>151</v>
      </c>
      <c r="AH832" s="19">
        <f t="shared" si="669"/>
        <v>1</v>
      </c>
      <c r="AI832" s="19">
        <v>54</v>
      </c>
      <c r="AJ832" s="19">
        <f t="shared" si="670"/>
        <v>1</v>
      </c>
      <c r="AK832" s="37">
        <v>2</v>
      </c>
      <c r="AL832" s="48" t="str">
        <f t="shared" si="671"/>
        <v>SPGマスコット</v>
      </c>
      <c r="AM832" s="51">
        <f t="shared" si="672"/>
        <v>165</v>
      </c>
      <c r="AN832" s="19">
        <f t="shared" si="673"/>
        <v>165</v>
      </c>
      <c r="AO832" s="20">
        <f t="shared" si="674"/>
        <v>0.15</v>
      </c>
      <c r="AP832" s="11" t="s">
        <v>104</v>
      </c>
    </row>
    <row r="833" spans="1:42" ht="15" customHeight="1" thickTop="1">
      <c r="A833" s="12"/>
      <c r="B833" s="8"/>
      <c r="C833" s="13"/>
      <c r="D833" s="9" t="str">
        <f>IF(C833="","",C833-C830)</f>
        <v/>
      </c>
      <c r="E833" s="9"/>
      <c r="F833" s="9" t="str">
        <f>IF(E833="","",E833-E830)</f>
        <v/>
      </c>
      <c r="G833" s="9"/>
      <c r="H833" s="9" t="str">
        <f>IF(G833="","",G830+I830-G833)</f>
        <v/>
      </c>
      <c r="I833" s="9"/>
      <c r="J833" s="44"/>
      <c r="K833" s="44" t="str">
        <f>IF(C833="","",K830)</f>
        <v/>
      </c>
      <c r="L833" s="9" t="str">
        <f t="shared" si="675"/>
        <v/>
      </c>
      <c r="M833" s="10" t="str">
        <f t="shared" si="676"/>
        <v/>
      </c>
      <c r="N833" s="11"/>
      <c r="O833" s="2"/>
      <c r="P833" s="65">
        <f>IF($A821="","",$A821)</f>
        <v>45838</v>
      </c>
      <c r="Q833" s="44">
        <v>4874</v>
      </c>
      <c r="R833" s="44">
        <f t="shared" si="661"/>
        <v>127</v>
      </c>
      <c r="S833" s="44">
        <v>106</v>
      </c>
      <c r="T833" s="23">
        <f t="shared" si="662"/>
        <v>3</v>
      </c>
      <c r="U833" s="44">
        <v>2</v>
      </c>
      <c r="V833" s="44">
        <f t="shared" si="663"/>
        <v>2</v>
      </c>
      <c r="W833" s="66">
        <v>0</v>
      </c>
      <c r="X833" s="61" t="str">
        <f t="shared" si="664"/>
        <v>デジタルミニカメラ</v>
      </c>
      <c r="Y833" s="62">
        <f t="shared" si="665"/>
        <v>710</v>
      </c>
      <c r="Z833" s="23">
        <f t="shared" si="666"/>
        <v>1420</v>
      </c>
      <c r="AA833" s="24">
        <f t="shared" si="667"/>
        <v>0.11181102362204724</v>
      </c>
      <c r="AB833" s="11"/>
      <c r="AD833" s="65">
        <f>IF($A821="","",$A821)</f>
        <v>45838</v>
      </c>
      <c r="AE833" s="44">
        <v>4246</v>
      </c>
      <c r="AF833" s="44">
        <f t="shared" si="668"/>
        <v>29</v>
      </c>
      <c r="AG833" s="44">
        <v>112</v>
      </c>
      <c r="AH833" s="23">
        <f t="shared" si="669"/>
        <v>2</v>
      </c>
      <c r="AI833" s="44">
        <v>14</v>
      </c>
      <c r="AJ833" s="44">
        <f t="shared" si="670"/>
        <v>2</v>
      </c>
      <c r="AK833" s="66">
        <v>0</v>
      </c>
      <c r="AL833" s="61" t="s">
        <v>97</v>
      </c>
      <c r="AM833" s="62">
        <v>550</v>
      </c>
      <c r="AN833" s="23">
        <f t="shared" si="673"/>
        <v>1100</v>
      </c>
      <c r="AO833" s="24">
        <f t="shared" si="674"/>
        <v>0.37931034482758619</v>
      </c>
      <c r="AP833" s="11"/>
    </row>
    <row r="834" spans="1:42">
      <c r="A834" s="12"/>
      <c r="B834" s="8"/>
      <c r="C834" s="13"/>
      <c r="D834" s="9" t="str">
        <f>IF(C834="","",C834-C832)</f>
        <v/>
      </c>
      <c r="E834" s="9"/>
      <c r="F834" s="9" t="str">
        <f>IF(E834="","",E834-E832)</f>
        <v/>
      </c>
      <c r="G834" s="9"/>
      <c r="H834" s="9" t="str">
        <f>IF(G834="","",G832+I832-G834)</f>
        <v/>
      </c>
      <c r="I834" s="9"/>
      <c r="J834" s="44"/>
      <c r="K834" s="44" t="str">
        <f>IF(C834="","",K832)</f>
        <v/>
      </c>
      <c r="L834" s="9" t="str">
        <f t="shared" si="675"/>
        <v/>
      </c>
      <c r="M834" s="10" t="str">
        <f t="shared" si="676"/>
        <v/>
      </c>
      <c r="N834" s="11"/>
      <c r="O834" s="2"/>
      <c r="P834" s="65"/>
      <c r="Q834" s="9">
        <v>5149</v>
      </c>
      <c r="R834" s="9">
        <f t="shared" si="661"/>
        <v>207</v>
      </c>
      <c r="S834" s="9">
        <v>127</v>
      </c>
      <c r="T834" s="9">
        <f t="shared" si="662"/>
        <v>3</v>
      </c>
      <c r="U834" s="9">
        <v>9</v>
      </c>
      <c r="V834" s="9">
        <f t="shared" si="663"/>
        <v>3</v>
      </c>
      <c r="W834" s="13">
        <v>0</v>
      </c>
      <c r="X834" s="47" t="s">
        <v>93</v>
      </c>
      <c r="Y834" s="45">
        <v>957</v>
      </c>
      <c r="Z834" s="9">
        <f t="shared" si="666"/>
        <v>2871</v>
      </c>
      <c r="AA834" s="10">
        <f t="shared" si="667"/>
        <v>0.13869565217391305</v>
      </c>
      <c r="AB834" s="11"/>
      <c r="AD834" s="65"/>
      <c r="AE834" s="9">
        <v>5741</v>
      </c>
      <c r="AF834" s="9">
        <f t="shared" si="668"/>
        <v>53</v>
      </c>
      <c r="AG834" s="9">
        <v>110</v>
      </c>
      <c r="AH834" s="9">
        <f t="shared" si="669"/>
        <v>1</v>
      </c>
      <c r="AI834" s="9">
        <v>7</v>
      </c>
      <c r="AJ834" s="9">
        <f t="shared" si="670"/>
        <v>1</v>
      </c>
      <c r="AK834" s="13">
        <v>0</v>
      </c>
      <c r="AL834" s="47" t="str">
        <f t="shared" si="671"/>
        <v>ジャグラーボタン</v>
      </c>
      <c r="AM834" s="45">
        <f t="shared" si="672"/>
        <v>748</v>
      </c>
      <c r="AN834" s="9">
        <f t="shared" si="673"/>
        <v>748</v>
      </c>
      <c r="AO834" s="10">
        <f t="shared" si="674"/>
        <v>0.14113207547169812</v>
      </c>
      <c r="AP834" s="11"/>
    </row>
    <row r="835" spans="1:42" ht="15" customHeight="1">
      <c r="A835" s="12"/>
      <c r="B835" s="8"/>
      <c r="C835" s="13"/>
      <c r="D835" s="9" t="str">
        <f t="shared" ref="D835:D840" si="677">IF(C835="","",C835-C834)</f>
        <v/>
      </c>
      <c r="E835" s="9"/>
      <c r="F835" s="9" t="str">
        <f t="shared" ref="F835:F840" si="678">IF(E835="","",E835-E834)</f>
        <v/>
      </c>
      <c r="G835" s="9"/>
      <c r="H835" s="9" t="str">
        <f t="shared" ref="H835:H840" si="679">IF(G835="","",G834+I834-G835)</f>
        <v/>
      </c>
      <c r="I835" s="9"/>
      <c r="J835" s="44"/>
      <c r="K835" s="44" t="str">
        <f t="shared" ref="K835:K840" si="680">IF(C835="","",K834)</f>
        <v/>
      </c>
      <c r="L835" s="9" t="str">
        <f t="shared" si="675"/>
        <v/>
      </c>
      <c r="M835" s="10" t="str">
        <f t="shared" si="676"/>
        <v/>
      </c>
      <c r="N835" s="11"/>
      <c r="O835" s="2"/>
      <c r="P835" s="65"/>
      <c r="Q835" s="26">
        <v>5485</v>
      </c>
      <c r="R835" s="9">
        <f t="shared" si="661"/>
        <v>104</v>
      </c>
      <c r="S835" s="26">
        <v>270</v>
      </c>
      <c r="T835" s="9">
        <f t="shared" si="662"/>
        <v>3</v>
      </c>
      <c r="U835" s="26">
        <v>12</v>
      </c>
      <c r="V835" s="9">
        <f t="shared" si="663"/>
        <v>2</v>
      </c>
      <c r="W835" s="38">
        <v>0</v>
      </c>
      <c r="X835" s="47" t="str">
        <f>IF(Q835="","",X831)</f>
        <v>ギャルキティキーケース</v>
      </c>
      <c r="Y835" s="9">
        <f t="shared" si="665"/>
        <v>726</v>
      </c>
      <c r="Z835" s="9">
        <f t="shared" si="666"/>
        <v>1452</v>
      </c>
      <c r="AA835" s="10">
        <f t="shared" si="667"/>
        <v>0.13961538461538461</v>
      </c>
      <c r="AB835" s="11"/>
      <c r="AD835" s="65"/>
      <c r="AE835" s="26">
        <v>5136</v>
      </c>
      <c r="AF835" s="9">
        <f t="shared" si="668"/>
        <v>97</v>
      </c>
      <c r="AG835" s="26">
        <v>226</v>
      </c>
      <c r="AH835" s="9">
        <f t="shared" si="669"/>
        <v>5</v>
      </c>
      <c r="AI835" s="26">
        <v>115</v>
      </c>
      <c r="AJ835" s="9">
        <f t="shared" si="670"/>
        <v>5</v>
      </c>
      <c r="AK835" s="38">
        <v>0</v>
      </c>
      <c r="AL835" s="47" t="str">
        <f t="shared" si="671"/>
        <v>SPGラバー</v>
      </c>
      <c r="AM835" s="9">
        <f t="shared" si="672"/>
        <v>187</v>
      </c>
      <c r="AN835" s="9">
        <f t="shared" si="673"/>
        <v>935</v>
      </c>
      <c r="AO835" s="10">
        <f t="shared" si="674"/>
        <v>9.6391752577319592E-2</v>
      </c>
      <c r="AP835" s="11"/>
    </row>
    <row r="836" spans="1:42" ht="15" customHeight="1" thickBot="1">
      <c r="A836" s="12"/>
      <c r="B836" s="8"/>
      <c r="C836" s="13"/>
      <c r="D836" s="9" t="str">
        <f t="shared" si="677"/>
        <v/>
      </c>
      <c r="E836" s="9"/>
      <c r="F836" s="9" t="str">
        <f t="shared" si="678"/>
        <v/>
      </c>
      <c r="G836" s="9"/>
      <c r="H836" s="9" t="str">
        <f t="shared" si="679"/>
        <v/>
      </c>
      <c r="I836" s="9"/>
      <c r="J836" s="44"/>
      <c r="K836" s="44" t="str">
        <f t="shared" si="680"/>
        <v/>
      </c>
      <c r="L836" s="9" t="str">
        <f t="shared" si="675"/>
        <v/>
      </c>
      <c r="M836" s="10" t="str">
        <f t="shared" si="676"/>
        <v/>
      </c>
      <c r="N836" s="11"/>
      <c r="O836" s="2"/>
      <c r="P836" s="18"/>
      <c r="Q836" s="19">
        <v>5763</v>
      </c>
      <c r="R836" s="19">
        <f t="shared" si="661"/>
        <v>188</v>
      </c>
      <c r="S836" s="19">
        <v>200</v>
      </c>
      <c r="T836" s="19">
        <f t="shared" si="662"/>
        <v>3</v>
      </c>
      <c r="U836" s="19">
        <v>9</v>
      </c>
      <c r="V836" s="19">
        <f t="shared" si="663"/>
        <v>0</v>
      </c>
      <c r="W836" s="37">
        <v>0</v>
      </c>
      <c r="X836" s="48" t="str">
        <f t="shared" si="664"/>
        <v>サンリオファン</v>
      </c>
      <c r="Y836" s="51">
        <f t="shared" si="665"/>
        <v>1100</v>
      </c>
      <c r="Z836" s="19">
        <f t="shared" si="666"/>
        <v>0</v>
      </c>
      <c r="AA836" s="20">
        <f t="shared" si="667"/>
        <v>0</v>
      </c>
      <c r="AB836" s="11"/>
      <c r="AD836" s="18"/>
      <c r="AE836" s="19">
        <v>4491</v>
      </c>
      <c r="AF836" s="19">
        <f t="shared" si="668"/>
        <v>289</v>
      </c>
      <c r="AG836" s="19">
        <v>157</v>
      </c>
      <c r="AH836" s="19">
        <f t="shared" si="669"/>
        <v>6</v>
      </c>
      <c r="AI836" s="19">
        <v>50</v>
      </c>
      <c r="AJ836" s="19">
        <f t="shared" si="670"/>
        <v>6</v>
      </c>
      <c r="AK836" s="37">
        <v>0</v>
      </c>
      <c r="AL836" s="48" t="s">
        <v>95</v>
      </c>
      <c r="AM836" s="51">
        <v>200</v>
      </c>
      <c r="AN836" s="19">
        <f t="shared" si="673"/>
        <v>1200</v>
      </c>
      <c r="AO836" s="20">
        <f t="shared" si="674"/>
        <v>4.1522491349480967E-2</v>
      </c>
      <c r="AP836" s="11"/>
    </row>
    <row r="837" spans="1:42" ht="15" customHeight="1" thickTop="1">
      <c r="A837" s="12"/>
      <c r="B837" s="8"/>
      <c r="C837" s="13"/>
      <c r="D837" s="9" t="str">
        <f t="shared" si="677"/>
        <v/>
      </c>
      <c r="E837" s="9"/>
      <c r="F837" s="9" t="str">
        <f t="shared" si="678"/>
        <v/>
      </c>
      <c r="G837" s="9"/>
      <c r="H837" s="9" t="str">
        <f t="shared" si="679"/>
        <v/>
      </c>
      <c r="I837" s="9"/>
      <c r="J837" s="44"/>
      <c r="K837" s="44" t="str">
        <f t="shared" si="680"/>
        <v/>
      </c>
      <c r="L837" s="9" t="str">
        <f t="shared" si="675"/>
        <v/>
      </c>
      <c r="M837" s="10" t="str">
        <f t="shared" si="676"/>
        <v/>
      </c>
      <c r="N837" s="11"/>
      <c r="O837" s="2"/>
      <c r="P837" s="65">
        <f>IF($A822="","",$A822)</f>
        <v>45842</v>
      </c>
      <c r="Q837" s="44">
        <v>4964</v>
      </c>
      <c r="R837" s="44">
        <f t="shared" si="661"/>
        <v>90</v>
      </c>
      <c r="S837" s="44">
        <v>110</v>
      </c>
      <c r="T837" s="23">
        <f t="shared" si="662"/>
        <v>4</v>
      </c>
      <c r="U837" s="44">
        <v>0</v>
      </c>
      <c r="V837" s="44">
        <f t="shared" si="663"/>
        <v>2</v>
      </c>
      <c r="W837" s="66">
        <v>74</v>
      </c>
      <c r="X837" s="61" t="str">
        <f t="shared" si="664"/>
        <v>デジタルミニカメラ</v>
      </c>
      <c r="Y837" s="62">
        <f t="shared" si="665"/>
        <v>710</v>
      </c>
      <c r="Z837" s="23">
        <f t="shared" si="666"/>
        <v>1420</v>
      </c>
      <c r="AA837" s="24">
        <f t="shared" si="667"/>
        <v>0.15777777777777777</v>
      </c>
      <c r="AB837" s="11" t="s">
        <v>99</v>
      </c>
      <c r="AD837" s="65">
        <f>IF($A822="","",$A822)</f>
        <v>45842</v>
      </c>
      <c r="AE837" s="44">
        <v>4278</v>
      </c>
      <c r="AF837" s="44">
        <f t="shared" si="668"/>
        <v>32</v>
      </c>
      <c r="AG837" s="44">
        <v>116</v>
      </c>
      <c r="AH837" s="23">
        <f t="shared" si="669"/>
        <v>4</v>
      </c>
      <c r="AI837" s="44">
        <v>10</v>
      </c>
      <c r="AJ837" s="44">
        <f t="shared" si="670"/>
        <v>4</v>
      </c>
      <c r="AK837" s="66">
        <v>2</v>
      </c>
      <c r="AL837" s="61" t="str">
        <f t="shared" si="671"/>
        <v>ジャグラーパネルKH</v>
      </c>
      <c r="AM837" s="62">
        <f t="shared" si="672"/>
        <v>550</v>
      </c>
      <c r="AN837" s="23">
        <f t="shared" si="673"/>
        <v>2200</v>
      </c>
      <c r="AO837" s="24">
        <f t="shared" si="674"/>
        <v>0.6875</v>
      </c>
      <c r="AP837" s="11" t="s">
        <v>98</v>
      </c>
    </row>
    <row r="838" spans="1:42" ht="15" customHeight="1">
      <c r="A838" s="12"/>
      <c r="B838" s="8"/>
      <c r="C838" s="13"/>
      <c r="D838" s="9" t="str">
        <f t="shared" si="677"/>
        <v/>
      </c>
      <c r="E838" s="9"/>
      <c r="F838" s="9" t="str">
        <f t="shared" si="678"/>
        <v/>
      </c>
      <c r="G838" s="9"/>
      <c r="H838" s="9" t="str">
        <f t="shared" si="679"/>
        <v/>
      </c>
      <c r="I838" s="9"/>
      <c r="J838" s="44"/>
      <c r="K838" s="44" t="str">
        <f t="shared" si="680"/>
        <v/>
      </c>
      <c r="L838" s="9" t="str">
        <f t="shared" si="675"/>
        <v/>
      </c>
      <c r="M838" s="10" t="str">
        <f t="shared" si="676"/>
        <v/>
      </c>
      <c r="N838" s="11"/>
      <c r="O838" s="2"/>
      <c r="P838" s="12"/>
      <c r="Q838" s="9">
        <v>5227</v>
      </c>
      <c r="R838" s="9">
        <f t="shared" si="661"/>
        <v>78</v>
      </c>
      <c r="S838" s="9">
        <v>128</v>
      </c>
      <c r="T838" s="9">
        <f t="shared" si="662"/>
        <v>1</v>
      </c>
      <c r="U838" s="9">
        <v>8</v>
      </c>
      <c r="V838" s="9">
        <f t="shared" si="663"/>
        <v>1</v>
      </c>
      <c r="W838" s="13">
        <v>1</v>
      </c>
      <c r="X838" s="47" t="str">
        <f t="shared" si="664"/>
        <v>キティフェイスポーチ</v>
      </c>
      <c r="Y838" s="45">
        <f t="shared" si="665"/>
        <v>957</v>
      </c>
      <c r="Z838" s="9">
        <f t="shared" si="666"/>
        <v>957</v>
      </c>
      <c r="AA838" s="10">
        <f t="shared" si="667"/>
        <v>0.1226923076923077</v>
      </c>
      <c r="AB838" s="11"/>
      <c r="AD838" s="12"/>
      <c r="AE838" s="9">
        <v>5889</v>
      </c>
      <c r="AF838" s="9">
        <f t="shared" si="668"/>
        <v>148</v>
      </c>
      <c r="AG838" s="9">
        <v>111</v>
      </c>
      <c r="AH838" s="9">
        <f t="shared" si="669"/>
        <v>1</v>
      </c>
      <c r="AI838" s="9">
        <v>6</v>
      </c>
      <c r="AJ838" s="9">
        <f t="shared" si="670"/>
        <v>1</v>
      </c>
      <c r="AK838" s="13">
        <v>0</v>
      </c>
      <c r="AL838" s="47" t="str">
        <f t="shared" si="671"/>
        <v>ジャグラーボタン</v>
      </c>
      <c r="AM838" s="45">
        <f t="shared" si="672"/>
        <v>748</v>
      </c>
      <c r="AN838" s="9">
        <f t="shared" si="673"/>
        <v>748</v>
      </c>
      <c r="AO838" s="10">
        <f t="shared" si="674"/>
        <v>5.0540540540540538E-2</v>
      </c>
      <c r="AP838" s="11"/>
    </row>
    <row r="839" spans="1:42" ht="15" customHeight="1">
      <c r="A839" s="12"/>
      <c r="B839" s="8"/>
      <c r="C839" s="9"/>
      <c r="D839" s="9" t="str">
        <f t="shared" si="677"/>
        <v/>
      </c>
      <c r="E839" s="9"/>
      <c r="F839" s="9" t="str">
        <f t="shared" si="678"/>
        <v/>
      </c>
      <c r="G839" s="9"/>
      <c r="H839" s="9" t="str">
        <f t="shared" si="679"/>
        <v/>
      </c>
      <c r="I839" s="9"/>
      <c r="J839" s="44"/>
      <c r="K839" s="44" t="str">
        <f t="shared" si="680"/>
        <v/>
      </c>
      <c r="L839" s="9" t="str">
        <f t="shared" si="675"/>
        <v/>
      </c>
      <c r="M839" s="10" t="str">
        <f t="shared" si="676"/>
        <v/>
      </c>
      <c r="N839" s="11"/>
      <c r="O839" s="2"/>
      <c r="P839" s="12"/>
      <c r="Q839" s="26">
        <v>5533</v>
      </c>
      <c r="R839" s="9">
        <f t="shared" si="661"/>
        <v>48</v>
      </c>
      <c r="S839" s="26">
        <v>271</v>
      </c>
      <c r="T839" s="9">
        <f t="shared" si="662"/>
        <v>1</v>
      </c>
      <c r="U839" s="9">
        <v>11</v>
      </c>
      <c r="V839" s="9">
        <f t="shared" si="663"/>
        <v>1</v>
      </c>
      <c r="W839" s="13">
        <v>8</v>
      </c>
      <c r="X839" s="47" t="str">
        <f t="shared" si="664"/>
        <v>ギャルキティキーケース</v>
      </c>
      <c r="Y839" s="9">
        <f t="shared" si="665"/>
        <v>726</v>
      </c>
      <c r="Z839" s="9">
        <f t="shared" si="666"/>
        <v>726</v>
      </c>
      <c r="AA839" s="10">
        <f t="shared" si="667"/>
        <v>0.15125</v>
      </c>
      <c r="AB839" s="11"/>
      <c r="AD839" s="12"/>
      <c r="AE839" s="26">
        <v>5198</v>
      </c>
      <c r="AF839" s="9">
        <f t="shared" si="668"/>
        <v>62</v>
      </c>
      <c r="AG839" s="26">
        <v>228</v>
      </c>
      <c r="AH839" s="9">
        <f t="shared" si="669"/>
        <v>2</v>
      </c>
      <c r="AI839" s="9">
        <v>112</v>
      </c>
      <c r="AJ839" s="9">
        <f t="shared" si="670"/>
        <v>3</v>
      </c>
      <c r="AK839" s="13">
        <v>0</v>
      </c>
      <c r="AL839" s="47" t="str">
        <f t="shared" si="671"/>
        <v>SPGラバー</v>
      </c>
      <c r="AM839" s="9">
        <f t="shared" si="672"/>
        <v>187</v>
      </c>
      <c r="AN839" s="9">
        <f t="shared" si="673"/>
        <v>561</v>
      </c>
      <c r="AO839" s="10">
        <f t="shared" si="674"/>
        <v>9.0483870967741936E-2</v>
      </c>
      <c r="AP839" s="11"/>
    </row>
    <row r="840" spans="1:42" ht="15" customHeight="1" thickBot="1">
      <c r="A840" s="12"/>
      <c r="B840" s="8"/>
      <c r="C840" s="9"/>
      <c r="D840" s="9" t="str">
        <f t="shared" si="677"/>
        <v/>
      </c>
      <c r="E840" s="9"/>
      <c r="F840" s="9" t="str">
        <f t="shared" si="678"/>
        <v/>
      </c>
      <c r="G840" s="9"/>
      <c r="H840" s="9" t="str">
        <f t="shared" si="679"/>
        <v/>
      </c>
      <c r="I840" s="9"/>
      <c r="J840" s="44"/>
      <c r="K840" s="44" t="str">
        <f t="shared" si="680"/>
        <v/>
      </c>
      <c r="L840" s="9" t="str">
        <f t="shared" si="675"/>
        <v/>
      </c>
      <c r="M840" s="10" t="str">
        <f t="shared" si="676"/>
        <v/>
      </c>
      <c r="N840" s="11"/>
      <c r="O840" s="2"/>
      <c r="P840" s="18"/>
      <c r="Q840" s="19">
        <v>5873</v>
      </c>
      <c r="R840" s="19">
        <f t="shared" si="661"/>
        <v>110</v>
      </c>
      <c r="S840" s="19">
        <v>205</v>
      </c>
      <c r="T840" s="19">
        <f t="shared" si="662"/>
        <v>5</v>
      </c>
      <c r="U840" s="19">
        <v>9</v>
      </c>
      <c r="V840" s="19">
        <f t="shared" si="663"/>
        <v>0</v>
      </c>
      <c r="W840" s="37">
        <v>2</v>
      </c>
      <c r="X840" s="48" t="str">
        <f t="shared" si="664"/>
        <v>サンリオファン</v>
      </c>
      <c r="Y840" s="51">
        <f t="shared" si="665"/>
        <v>1100</v>
      </c>
      <c r="Z840" s="19">
        <f t="shared" si="666"/>
        <v>0</v>
      </c>
      <c r="AA840" s="20">
        <f t="shared" si="667"/>
        <v>0</v>
      </c>
      <c r="AB840" s="11"/>
      <c r="AD840" s="18"/>
      <c r="AE840" s="19">
        <v>4582</v>
      </c>
      <c r="AF840" s="19">
        <f t="shared" si="668"/>
        <v>91</v>
      </c>
      <c r="AG840" s="19">
        <v>158</v>
      </c>
      <c r="AH840" s="19">
        <f t="shared" si="669"/>
        <v>1</v>
      </c>
      <c r="AI840" s="19">
        <v>49</v>
      </c>
      <c r="AJ840" s="19">
        <f t="shared" si="670"/>
        <v>1</v>
      </c>
      <c r="AK840" s="37">
        <v>0</v>
      </c>
      <c r="AL840" s="48" t="str">
        <f t="shared" si="671"/>
        <v>AIモンスターラバー</v>
      </c>
      <c r="AM840" s="51">
        <f t="shared" si="672"/>
        <v>200</v>
      </c>
      <c r="AN840" s="19">
        <f t="shared" si="673"/>
        <v>200</v>
      </c>
      <c r="AO840" s="20">
        <f t="shared" si="674"/>
        <v>2.197802197802198E-2</v>
      </c>
      <c r="AP840" s="11"/>
    </row>
    <row r="841" spans="1:42" ht="15" customHeight="1" thickTop="1">
      <c r="A841" s="12"/>
      <c r="B841" s="8"/>
      <c r="C841" s="9"/>
      <c r="D841" s="9" t="str">
        <f>IF(C841="","",C841-C842)</f>
        <v/>
      </c>
      <c r="E841" s="9"/>
      <c r="F841" s="9" t="str">
        <f>IF(E841="","",E841-E842)</f>
        <v/>
      </c>
      <c r="G841" s="9"/>
      <c r="H841" s="9" t="str">
        <f>IF(G841="","",G842+I842-G841)</f>
        <v/>
      </c>
      <c r="I841" s="9"/>
      <c r="J841" s="44"/>
      <c r="K841" s="44" t="str">
        <f>IF(C841="","",K842)</f>
        <v/>
      </c>
      <c r="L841" s="9" t="str">
        <f t="shared" si="675"/>
        <v/>
      </c>
      <c r="M841" s="10" t="str">
        <f t="shared" si="676"/>
        <v/>
      </c>
      <c r="N841" s="11"/>
      <c r="O841" s="2"/>
      <c r="P841" s="65">
        <f>IF($A823="","",$A823)</f>
        <v>45845</v>
      </c>
      <c r="Q841" s="9">
        <v>5041</v>
      </c>
      <c r="R841" s="44">
        <f t="shared" si="661"/>
        <v>77</v>
      </c>
      <c r="S841" s="9">
        <v>117</v>
      </c>
      <c r="T841" s="23">
        <f t="shared" si="662"/>
        <v>7</v>
      </c>
      <c r="U841" s="9">
        <v>66</v>
      </c>
      <c r="V841" s="44">
        <f t="shared" si="663"/>
        <v>8</v>
      </c>
      <c r="W841" s="13">
        <v>0</v>
      </c>
      <c r="X841" s="61" t="s">
        <v>92</v>
      </c>
      <c r="Y841" s="62">
        <v>600</v>
      </c>
      <c r="Z841" s="23">
        <f t="shared" si="666"/>
        <v>4800</v>
      </c>
      <c r="AA841" s="24">
        <f t="shared" si="667"/>
        <v>0.62337662337662336</v>
      </c>
      <c r="AB841" s="11" t="s">
        <v>85</v>
      </c>
      <c r="AD841" s="65">
        <f>IF($A823="","",$A823)</f>
        <v>45845</v>
      </c>
      <c r="AE841" s="9">
        <v>4339</v>
      </c>
      <c r="AF841" s="44">
        <f t="shared" si="668"/>
        <v>61</v>
      </c>
      <c r="AG841" s="9">
        <v>119</v>
      </c>
      <c r="AH841" s="23">
        <f t="shared" si="669"/>
        <v>3</v>
      </c>
      <c r="AI841" s="9">
        <v>10</v>
      </c>
      <c r="AJ841" s="44">
        <f t="shared" si="670"/>
        <v>2</v>
      </c>
      <c r="AK841" s="13">
        <v>-4</v>
      </c>
      <c r="AL841" s="61" t="str">
        <f t="shared" si="671"/>
        <v>ジャグラーパネルKH</v>
      </c>
      <c r="AM841" s="62">
        <f t="shared" si="672"/>
        <v>550</v>
      </c>
      <c r="AN841" s="23">
        <f t="shared" si="673"/>
        <v>1100</v>
      </c>
      <c r="AO841" s="24">
        <f t="shared" si="674"/>
        <v>0.18032786885245902</v>
      </c>
      <c r="AP841" s="11" t="s">
        <v>101</v>
      </c>
    </row>
    <row r="842" spans="1:42" ht="15" customHeight="1">
      <c r="A842" s="12"/>
      <c r="B842" s="8"/>
      <c r="C842" s="9"/>
      <c r="D842" s="9" t="str">
        <f>IF(C842="","",C842-C840)</f>
        <v/>
      </c>
      <c r="E842" s="9"/>
      <c r="F842" s="9" t="str">
        <f>IF(E842="","",E842-E840)</f>
        <v/>
      </c>
      <c r="G842" s="9"/>
      <c r="H842" s="9" t="str">
        <f>IF(G842="","",G840+I840-G842)</f>
        <v/>
      </c>
      <c r="I842" s="9"/>
      <c r="J842" s="44"/>
      <c r="K842" s="44" t="str">
        <f>IF(C842="","",K840)</f>
        <v/>
      </c>
      <c r="L842" s="9" t="str">
        <f t="shared" si="675"/>
        <v/>
      </c>
      <c r="M842" s="10" t="str">
        <f t="shared" si="676"/>
        <v/>
      </c>
      <c r="N842" s="11"/>
      <c r="O842" s="2"/>
      <c r="P842" s="65"/>
      <c r="Q842" s="44">
        <v>5299</v>
      </c>
      <c r="R842" s="9">
        <f t="shared" si="661"/>
        <v>72</v>
      </c>
      <c r="S842" s="44">
        <v>130</v>
      </c>
      <c r="T842" s="9">
        <f t="shared" si="662"/>
        <v>2</v>
      </c>
      <c r="U842" s="9">
        <v>7</v>
      </c>
      <c r="V842" s="9">
        <f t="shared" si="663"/>
        <v>2</v>
      </c>
      <c r="W842" s="13">
        <v>4</v>
      </c>
      <c r="X842" s="47" t="str">
        <f t="shared" si="664"/>
        <v>キティフェイスポーチ</v>
      </c>
      <c r="Y842" s="45">
        <f t="shared" si="665"/>
        <v>957</v>
      </c>
      <c r="Z842" s="9">
        <f t="shared" si="666"/>
        <v>1914</v>
      </c>
      <c r="AA842" s="10">
        <f t="shared" si="667"/>
        <v>0.26583333333333331</v>
      </c>
      <c r="AB842" s="11"/>
      <c r="AD842" s="65"/>
      <c r="AE842" s="44">
        <v>5935</v>
      </c>
      <c r="AF842" s="9">
        <f t="shared" si="668"/>
        <v>46</v>
      </c>
      <c r="AG842" s="44">
        <v>112</v>
      </c>
      <c r="AH842" s="9">
        <f t="shared" si="669"/>
        <v>1</v>
      </c>
      <c r="AI842" s="9">
        <v>5</v>
      </c>
      <c r="AJ842" s="9">
        <f t="shared" si="670"/>
        <v>1</v>
      </c>
      <c r="AK842" s="13">
        <v>7</v>
      </c>
      <c r="AL842" s="47" t="str">
        <f t="shared" si="671"/>
        <v>ジャグラーボタン</v>
      </c>
      <c r="AM842" s="45">
        <f t="shared" si="672"/>
        <v>748</v>
      </c>
      <c r="AN842" s="9">
        <f t="shared" si="673"/>
        <v>748</v>
      </c>
      <c r="AO842" s="10">
        <f t="shared" si="674"/>
        <v>0.16260869565217392</v>
      </c>
      <c r="AP842" s="11"/>
    </row>
    <row r="843" spans="1:42" ht="15" customHeight="1">
      <c r="A843" s="12"/>
      <c r="B843" s="8"/>
      <c r="C843" s="9"/>
      <c r="D843" s="9" t="str">
        <f>IF(C843="","",C843-C841)</f>
        <v/>
      </c>
      <c r="E843" s="9"/>
      <c r="F843" s="9" t="str">
        <f>IF(E843="","",E843-E841)</f>
        <v/>
      </c>
      <c r="G843" s="9"/>
      <c r="H843" s="9" t="str">
        <f>IF(G843="","",G841+I841-G843)</f>
        <v/>
      </c>
      <c r="I843" s="9"/>
      <c r="J843" s="44"/>
      <c r="K843" s="44" t="str">
        <f>IF(C843="","",K841)</f>
        <v/>
      </c>
      <c r="L843" s="9" t="str">
        <f t="shared" si="675"/>
        <v/>
      </c>
      <c r="M843" s="10" t="str">
        <f t="shared" si="676"/>
        <v/>
      </c>
      <c r="N843" s="11"/>
      <c r="O843" s="2"/>
      <c r="P843" s="12"/>
      <c r="Q843" s="9">
        <v>5635</v>
      </c>
      <c r="R843" s="9">
        <f t="shared" si="661"/>
        <v>102</v>
      </c>
      <c r="S843" s="9">
        <v>274</v>
      </c>
      <c r="T843" s="9">
        <f t="shared" si="662"/>
        <v>3</v>
      </c>
      <c r="U843" s="9">
        <v>16</v>
      </c>
      <c r="V843" s="9">
        <f t="shared" si="663"/>
        <v>3</v>
      </c>
      <c r="W843" s="13">
        <v>4</v>
      </c>
      <c r="X843" s="47" t="str">
        <f t="shared" si="664"/>
        <v>ギャルキティキーケース</v>
      </c>
      <c r="Y843" s="9">
        <f t="shared" si="665"/>
        <v>726</v>
      </c>
      <c r="Z843" s="9">
        <f t="shared" si="666"/>
        <v>2178</v>
      </c>
      <c r="AA843" s="10">
        <f t="shared" si="667"/>
        <v>0.21352941176470588</v>
      </c>
      <c r="AB843" s="11"/>
      <c r="AD843" s="12"/>
      <c r="AE843" s="9">
        <v>5322</v>
      </c>
      <c r="AF843" s="9">
        <f t="shared" si="668"/>
        <v>124</v>
      </c>
      <c r="AG843" s="9">
        <v>235</v>
      </c>
      <c r="AH843" s="9">
        <f t="shared" si="669"/>
        <v>7</v>
      </c>
      <c r="AI843" s="9">
        <v>103</v>
      </c>
      <c r="AJ843" s="9">
        <f t="shared" si="670"/>
        <v>9</v>
      </c>
      <c r="AK843" s="13">
        <v>70</v>
      </c>
      <c r="AL843" s="47" t="str">
        <f t="shared" si="671"/>
        <v>SPGラバー</v>
      </c>
      <c r="AM843" s="9">
        <f t="shared" si="672"/>
        <v>187</v>
      </c>
      <c r="AN843" s="9">
        <f t="shared" si="673"/>
        <v>1683</v>
      </c>
      <c r="AO843" s="10">
        <f t="shared" si="674"/>
        <v>0.13572580645161289</v>
      </c>
      <c r="AP843" s="11"/>
    </row>
    <row r="844" spans="1:42" ht="15" customHeight="1" thickBot="1">
      <c r="A844" s="12"/>
      <c r="B844" s="8"/>
      <c r="C844" s="9"/>
      <c r="D844" s="9" t="str">
        <f t="shared" ref="D844:D869" si="681">IF(C844="","",C844-C843)</f>
        <v/>
      </c>
      <c r="E844" s="9"/>
      <c r="F844" s="9" t="str">
        <f t="shared" ref="F844:F870" si="682">IF(E844="","",E844-E843)</f>
        <v/>
      </c>
      <c r="G844" s="9"/>
      <c r="H844" s="9" t="str">
        <f t="shared" ref="H844:H870" si="683">IF(G844="","",G843+I843-G844)</f>
        <v/>
      </c>
      <c r="I844" s="9"/>
      <c r="J844" s="44"/>
      <c r="K844" s="44" t="str">
        <f>IF(C844="","",K843)</f>
        <v/>
      </c>
      <c r="L844" s="9" t="str">
        <f t="shared" si="675"/>
        <v/>
      </c>
      <c r="M844" s="10" t="str">
        <f t="shared" si="676"/>
        <v/>
      </c>
      <c r="N844" s="11"/>
      <c r="O844" s="2"/>
      <c r="P844" s="18"/>
      <c r="Q844" s="19">
        <v>6344</v>
      </c>
      <c r="R844" s="19">
        <f t="shared" si="661"/>
        <v>471</v>
      </c>
      <c r="S844" s="19">
        <v>215</v>
      </c>
      <c r="T844" s="19">
        <f t="shared" si="662"/>
        <v>10</v>
      </c>
      <c r="U844" s="19">
        <v>7</v>
      </c>
      <c r="V844" s="19">
        <f t="shared" si="663"/>
        <v>4</v>
      </c>
      <c r="W844" s="37">
        <v>2</v>
      </c>
      <c r="X844" s="48" t="str">
        <f t="shared" si="664"/>
        <v>サンリオファン</v>
      </c>
      <c r="Y844" s="51">
        <f t="shared" si="665"/>
        <v>1100</v>
      </c>
      <c r="Z844" s="19">
        <f t="shared" si="666"/>
        <v>4400</v>
      </c>
      <c r="AA844" s="20">
        <f t="shared" si="667"/>
        <v>9.3418259023354558E-2</v>
      </c>
      <c r="AB844" s="11"/>
      <c r="AD844" s="18"/>
      <c r="AE844" s="19">
        <v>4928</v>
      </c>
      <c r="AF844" s="19">
        <f t="shared" si="668"/>
        <v>346</v>
      </c>
      <c r="AG844" s="19">
        <v>166</v>
      </c>
      <c r="AH844" s="19">
        <f t="shared" si="669"/>
        <v>8</v>
      </c>
      <c r="AI844" s="19">
        <v>35</v>
      </c>
      <c r="AJ844" s="19">
        <f t="shared" si="670"/>
        <v>14</v>
      </c>
      <c r="AK844" s="37">
        <v>2</v>
      </c>
      <c r="AL844" s="48" t="str">
        <f t="shared" si="671"/>
        <v>AIモンスターラバー</v>
      </c>
      <c r="AM844" s="51">
        <f t="shared" si="672"/>
        <v>200</v>
      </c>
      <c r="AN844" s="19">
        <f t="shared" si="673"/>
        <v>2800</v>
      </c>
      <c r="AO844" s="20">
        <f t="shared" si="674"/>
        <v>8.0924855491329481E-2</v>
      </c>
      <c r="AP844" s="11"/>
    </row>
    <row r="845" spans="1:42" ht="15" customHeight="1" thickTop="1">
      <c r="A845" s="12"/>
      <c r="B845" s="8"/>
      <c r="C845" s="9"/>
      <c r="D845" s="9" t="str">
        <f t="shared" si="681"/>
        <v/>
      </c>
      <c r="E845" s="9"/>
      <c r="F845" s="9" t="str">
        <f t="shared" si="682"/>
        <v/>
      </c>
      <c r="G845" s="9"/>
      <c r="H845" s="9" t="str">
        <f t="shared" si="683"/>
        <v/>
      </c>
      <c r="I845" s="9"/>
      <c r="J845" s="44"/>
      <c r="K845" s="44" t="str">
        <f>IF(C845="","",K844)</f>
        <v/>
      </c>
      <c r="L845" s="9" t="str">
        <f t="shared" si="675"/>
        <v/>
      </c>
      <c r="M845" s="10" t="str">
        <f t="shared" si="676"/>
        <v/>
      </c>
      <c r="N845" s="11"/>
      <c r="O845" s="2"/>
      <c r="P845" s="65">
        <f>IF($A824="","",$A824)</f>
        <v>45850</v>
      </c>
      <c r="Q845" s="9">
        <v>5227</v>
      </c>
      <c r="R845" s="44">
        <f t="shared" si="661"/>
        <v>186</v>
      </c>
      <c r="S845" s="9">
        <v>128</v>
      </c>
      <c r="T845" s="23">
        <f t="shared" si="662"/>
        <v>11</v>
      </c>
      <c r="U845" s="9">
        <v>55</v>
      </c>
      <c r="V845" s="44">
        <f t="shared" si="663"/>
        <v>11</v>
      </c>
      <c r="W845" s="66">
        <v>0</v>
      </c>
      <c r="X845" s="61" t="str">
        <f t="shared" si="664"/>
        <v>キティサンダルキーホルダー</v>
      </c>
      <c r="Y845" s="62">
        <f t="shared" si="665"/>
        <v>600</v>
      </c>
      <c r="Z845" s="23">
        <f t="shared" si="666"/>
        <v>6600</v>
      </c>
      <c r="AA845" s="24">
        <f t="shared" si="667"/>
        <v>0.35483870967741937</v>
      </c>
      <c r="AB845" s="11"/>
      <c r="AD845" s="65">
        <f>IF($A824="","",$A824)</f>
        <v>45850</v>
      </c>
      <c r="AE845" s="9">
        <v>4402</v>
      </c>
      <c r="AF845" s="44">
        <f t="shared" si="668"/>
        <v>63</v>
      </c>
      <c r="AG845" s="9">
        <v>125</v>
      </c>
      <c r="AH845" s="23">
        <f t="shared" si="669"/>
        <v>6</v>
      </c>
      <c r="AI845" s="9">
        <v>0</v>
      </c>
      <c r="AJ845" s="44">
        <f t="shared" si="670"/>
        <v>6</v>
      </c>
      <c r="AK845" s="66">
        <v>6</v>
      </c>
      <c r="AL845" s="61" t="s">
        <v>102</v>
      </c>
      <c r="AM845" s="62">
        <v>1045</v>
      </c>
      <c r="AN845" s="23">
        <f t="shared" si="673"/>
        <v>6270</v>
      </c>
      <c r="AO845" s="24">
        <f t="shared" si="674"/>
        <v>0.99523809523809526</v>
      </c>
      <c r="AP845" s="11" t="s">
        <v>87</v>
      </c>
    </row>
    <row r="846" spans="1:42" ht="15" customHeight="1">
      <c r="A846" s="12"/>
      <c r="B846" s="8"/>
      <c r="C846" s="9"/>
      <c r="D846" s="9" t="str">
        <f t="shared" si="681"/>
        <v/>
      </c>
      <c r="E846" s="9"/>
      <c r="F846" s="9" t="str">
        <f t="shared" si="682"/>
        <v/>
      </c>
      <c r="G846" s="9"/>
      <c r="H846" s="9" t="str">
        <f t="shared" si="683"/>
        <v/>
      </c>
      <c r="I846" s="9"/>
      <c r="J846" s="44"/>
      <c r="K846" s="44" t="str">
        <f>IF(C846="","",K845)</f>
        <v/>
      </c>
      <c r="L846" s="9" t="str">
        <f t="shared" si="675"/>
        <v/>
      </c>
      <c r="M846" s="10" t="str">
        <f t="shared" si="676"/>
        <v/>
      </c>
      <c r="N846" s="11"/>
      <c r="O846" s="2"/>
      <c r="P846" s="12"/>
      <c r="Q846" s="44">
        <v>5577</v>
      </c>
      <c r="R846" s="9">
        <f t="shared" si="661"/>
        <v>278</v>
      </c>
      <c r="S846" s="44">
        <v>131</v>
      </c>
      <c r="T846" s="9">
        <f t="shared" si="662"/>
        <v>1</v>
      </c>
      <c r="U846" s="9">
        <v>10</v>
      </c>
      <c r="V846" s="9">
        <f t="shared" si="663"/>
        <v>1</v>
      </c>
      <c r="W846" s="13">
        <v>2</v>
      </c>
      <c r="X846" s="47" t="str">
        <f t="shared" si="664"/>
        <v>キティフェイスポーチ</v>
      </c>
      <c r="Y846" s="45">
        <f t="shared" si="665"/>
        <v>957</v>
      </c>
      <c r="Z846" s="9">
        <f t="shared" si="666"/>
        <v>957</v>
      </c>
      <c r="AA846" s="10">
        <f t="shared" si="667"/>
        <v>3.4424460431654674E-2</v>
      </c>
      <c r="AB846" s="11"/>
      <c r="AD846" s="12"/>
      <c r="AE846" s="44">
        <v>6037</v>
      </c>
      <c r="AF846" s="9">
        <f t="shared" si="668"/>
        <v>102</v>
      </c>
      <c r="AG846" s="44">
        <v>113</v>
      </c>
      <c r="AH846" s="9">
        <f t="shared" si="669"/>
        <v>1</v>
      </c>
      <c r="AI846" s="9">
        <v>10</v>
      </c>
      <c r="AJ846" s="9">
        <f t="shared" si="670"/>
        <v>2</v>
      </c>
      <c r="AK846" s="13">
        <v>0</v>
      </c>
      <c r="AL846" s="47" t="str">
        <f t="shared" si="671"/>
        <v>ジャグラーボタン</v>
      </c>
      <c r="AM846" s="45">
        <f t="shared" si="672"/>
        <v>748</v>
      </c>
      <c r="AN846" s="9">
        <f t="shared" si="673"/>
        <v>1496</v>
      </c>
      <c r="AO846" s="10">
        <f t="shared" si="674"/>
        <v>0.14666666666666667</v>
      </c>
      <c r="AP846" s="11"/>
    </row>
    <row r="847" spans="1:42" ht="15" customHeight="1">
      <c r="A847" s="12"/>
      <c r="B847" s="8"/>
      <c r="C847" s="9"/>
      <c r="D847" s="9" t="str">
        <f t="shared" si="681"/>
        <v/>
      </c>
      <c r="E847" s="9"/>
      <c r="F847" s="9" t="str">
        <f t="shared" si="682"/>
        <v/>
      </c>
      <c r="G847" s="9"/>
      <c r="H847" s="9" t="str">
        <f t="shared" si="683"/>
        <v/>
      </c>
      <c r="I847" s="9"/>
      <c r="J847" s="9"/>
      <c r="K847" s="9"/>
      <c r="L847" s="9" t="str">
        <f t="shared" si="675"/>
        <v/>
      </c>
      <c r="M847" s="10" t="str">
        <f t="shared" si="676"/>
        <v/>
      </c>
      <c r="N847" s="11"/>
      <c r="O847" s="2"/>
      <c r="P847" s="12"/>
      <c r="Q847" s="9">
        <v>5696</v>
      </c>
      <c r="R847" s="9">
        <f t="shared" si="661"/>
        <v>61</v>
      </c>
      <c r="S847" s="9">
        <v>275</v>
      </c>
      <c r="T847" s="9">
        <f t="shared" si="662"/>
        <v>1</v>
      </c>
      <c r="U847" s="9">
        <v>19</v>
      </c>
      <c r="V847" s="9">
        <f t="shared" si="663"/>
        <v>1</v>
      </c>
      <c r="W847" s="38">
        <v>0</v>
      </c>
      <c r="X847" s="47" t="str">
        <f t="shared" si="664"/>
        <v>ギャルキティキーケース</v>
      </c>
      <c r="Y847" s="9">
        <f t="shared" si="665"/>
        <v>726</v>
      </c>
      <c r="Z847" s="9">
        <f t="shared" si="666"/>
        <v>726</v>
      </c>
      <c r="AA847" s="10">
        <f t="shared" si="667"/>
        <v>0.11901639344262295</v>
      </c>
      <c r="AB847" s="11"/>
      <c r="AD847" s="12"/>
      <c r="AE847" s="9">
        <v>5411</v>
      </c>
      <c r="AF847" s="9">
        <f t="shared" si="668"/>
        <v>89</v>
      </c>
      <c r="AG847" s="9">
        <v>245</v>
      </c>
      <c r="AH847" s="9">
        <f t="shared" si="669"/>
        <v>10</v>
      </c>
      <c r="AI847" s="9">
        <v>160</v>
      </c>
      <c r="AJ847" s="9">
        <f t="shared" si="670"/>
        <v>13</v>
      </c>
      <c r="AK847" s="38">
        <v>0</v>
      </c>
      <c r="AL847" s="47" t="str">
        <f t="shared" si="671"/>
        <v>SPGラバー</v>
      </c>
      <c r="AM847" s="9">
        <f t="shared" si="672"/>
        <v>187</v>
      </c>
      <c r="AN847" s="9">
        <f t="shared" si="673"/>
        <v>2431</v>
      </c>
      <c r="AO847" s="10">
        <f t="shared" si="674"/>
        <v>0.27314606741573033</v>
      </c>
      <c r="AP847" s="11"/>
    </row>
    <row r="848" spans="1:42" ht="15" customHeight="1" thickBot="1">
      <c r="A848" s="12"/>
      <c r="B848" s="8"/>
      <c r="C848" s="9"/>
      <c r="D848" s="9" t="str">
        <f t="shared" si="681"/>
        <v/>
      </c>
      <c r="E848" s="9"/>
      <c r="F848" s="9" t="str">
        <f t="shared" si="682"/>
        <v/>
      </c>
      <c r="G848" s="9"/>
      <c r="H848" s="9" t="str">
        <f t="shared" si="683"/>
        <v/>
      </c>
      <c r="I848" s="9"/>
      <c r="J848" s="9"/>
      <c r="K848" s="9"/>
      <c r="L848" s="9" t="str">
        <f t="shared" si="675"/>
        <v/>
      </c>
      <c r="M848" s="10" t="str">
        <f t="shared" si="676"/>
        <v/>
      </c>
      <c r="N848" s="11"/>
      <c r="O848" s="2"/>
      <c r="P848" s="18"/>
      <c r="Q848" s="19">
        <v>6603</v>
      </c>
      <c r="R848" s="19">
        <f t="shared" si="661"/>
        <v>259</v>
      </c>
      <c r="S848" s="19">
        <v>218</v>
      </c>
      <c r="T848" s="19">
        <f t="shared" si="662"/>
        <v>3</v>
      </c>
      <c r="U848" s="19">
        <v>8</v>
      </c>
      <c r="V848" s="19">
        <f t="shared" si="663"/>
        <v>1</v>
      </c>
      <c r="W848" s="37">
        <v>0</v>
      </c>
      <c r="X848" s="48" t="str">
        <f t="shared" si="664"/>
        <v>サンリオファン</v>
      </c>
      <c r="Y848" s="51">
        <f t="shared" si="665"/>
        <v>1100</v>
      </c>
      <c r="Z848" s="19">
        <f t="shared" si="666"/>
        <v>1100</v>
      </c>
      <c r="AA848" s="20">
        <f t="shared" si="667"/>
        <v>4.2471042471042469E-2</v>
      </c>
      <c r="AB848" s="11"/>
      <c r="AD848" s="18"/>
      <c r="AE848" s="19">
        <v>5185</v>
      </c>
      <c r="AF848" s="19">
        <f t="shared" si="668"/>
        <v>257</v>
      </c>
      <c r="AG848" s="19">
        <v>170</v>
      </c>
      <c r="AH848" s="19">
        <f t="shared" si="669"/>
        <v>4</v>
      </c>
      <c r="AI848" s="19">
        <v>33</v>
      </c>
      <c r="AJ848" s="19">
        <f t="shared" si="670"/>
        <v>4</v>
      </c>
      <c r="AK848" s="37">
        <v>0</v>
      </c>
      <c r="AL848" s="48" t="str">
        <f t="shared" si="671"/>
        <v>AIモンスターラバー</v>
      </c>
      <c r="AM848" s="51">
        <f t="shared" si="672"/>
        <v>200</v>
      </c>
      <c r="AN848" s="19">
        <f t="shared" si="673"/>
        <v>800</v>
      </c>
      <c r="AO848" s="20">
        <f t="shared" si="674"/>
        <v>3.1128404669260701E-2</v>
      </c>
      <c r="AP848" s="11"/>
    </row>
    <row r="849" spans="1:42" ht="15" customHeight="1" thickTop="1">
      <c r="A849" s="12"/>
      <c r="B849" s="8"/>
      <c r="C849" s="9"/>
      <c r="D849" s="9" t="str">
        <f t="shared" si="681"/>
        <v/>
      </c>
      <c r="E849" s="9"/>
      <c r="F849" s="9" t="str">
        <f t="shared" si="682"/>
        <v/>
      </c>
      <c r="G849" s="9"/>
      <c r="H849" s="9" t="str">
        <f t="shared" si="683"/>
        <v/>
      </c>
      <c r="I849" s="9"/>
      <c r="J849" s="9"/>
      <c r="K849" s="9"/>
      <c r="L849" s="9" t="str">
        <f t="shared" si="675"/>
        <v/>
      </c>
      <c r="M849" s="10" t="str">
        <f t="shared" si="676"/>
        <v/>
      </c>
      <c r="N849" s="11"/>
      <c r="O849" s="2"/>
      <c r="P849" s="65">
        <f>IF($A825="","",$A825)</f>
        <v>45852</v>
      </c>
      <c r="Q849" s="9">
        <v>5287</v>
      </c>
      <c r="R849" s="44">
        <f t="shared" si="661"/>
        <v>60</v>
      </c>
      <c r="S849" s="9">
        <v>132</v>
      </c>
      <c r="T849" s="23">
        <f t="shared" si="662"/>
        <v>4</v>
      </c>
      <c r="U849" s="9">
        <v>50</v>
      </c>
      <c r="V849" s="44">
        <f t="shared" si="663"/>
        <v>5</v>
      </c>
      <c r="W849" s="66">
        <v>0</v>
      </c>
      <c r="X849" s="61" t="str">
        <f t="shared" si="664"/>
        <v>キティサンダルキーホルダー</v>
      </c>
      <c r="Y849" s="62">
        <f t="shared" si="665"/>
        <v>600</v>
      </c>
      <c r="Z849" s="23">
        <f t="shared" si="666"/>
        <v>3000</v>
      </c>
      <c r="AA849" s="24">
        <f t="shared" si="667"/>
        <v>0.5</v>
      </c>
      <c r="AB849" s="11"/>
      <c r="AD849" s="65">
        <f>IF($A825="","",$A825)</f>
        <v>45852</v>
      </c>
      <c r="AE849" s="9">
        <v>4591</v>
      </c>
      <c r="AF849" s="44">
        <f t="shared" si="668"/>
        <v>189</v>
      </c>
      <c r="AG849" s="9">
        <v>130</v>
      </c>
      <c r="AH849" s="23">
        <f t="shared" si="669"/>
        <v>5</v>
      </c>
      <c r="AI849" s="9">
        <v>0</v>
      </c>
      <c r="AJ849" s="44">
        <f t="shared" si="670"/>
        <v>6</v>
      </c>
      <c r="AK849" s="66">
        <v>6</v>
      </c>
      <c r="AL849" s="61" t="str">
        <f t="shared" si="671"/>
        <v>ジョージファン</v>
      </c>
      <c r="AM849" s="62">
        <f t="shared" si="672"/>
        <v>1045</v>
      </c>
      <c r="AN849" s="23">
        <f t="shared" si="673"/>
        <v>6270</v>
      </c>
      <c r="AO849" s="24">
        <f t="shared" si="674"/>
        <v>0.33174603174603173</v>
      </c>
      <c r="AP849" s="11"/>
    </row>
    <row r="850" spans="1:42" ht="15" customHeight="1">
      <c r="A850" s="12"/>
      <c r="B850" s="8"/>
      <c r="C850" s="9"/>
      <c r="D850" s="9" t="str">
        <f t="shared" si="681"/>
        <v/>
      </c>
      <c r="E850" s="9"/>
      <c r="F850" s="9" t="str">
        <f t="shared" si="682"/>
        <v/>
      </c>
      <c r="G850" s="9"/>
      <c r="H850" s="9" t="str">
        <f t="shared" si="683"/>
        <v/>
      </c>
      <c r="I850" s="9"/>
      <c r="J850" s="9"/>
      <c r="K850" s="9"/>
      <c r="L850" s="9" t="str">
        <f t="shared" si="675"/>
        <v/>
      </c>
      <c r="M850" s="10" t="str">
        <f t="shared" si="676"/>
        <v/>
      </c>
      <c r="N850" s="11"/>
      <c r="O850" s="2"/>
      <c r="P850" s="12"/>
      <c r="Q850" s="44">
        <v>5747</v>
      </c>
      <c r="R850" s="9">
        <f t="shared" si="661"/>
        <v>170</v>
      </c>
      <c r="S850" s="44">
        <v>133</v>
      </c>
      <c r="T850" s="9">
        <f t="shared" si="662"/>
        <v>2</v>
      </c>
      <c r="U850" s="9">
        <v>10</v>
      </c>
      <c r="V850" s="9">
        <f t="shared" si="663"/>
        <v>2</v>
      </c>
      <c r="W850" s="13">
        <v>1</v>
      </c>
      <c r="X850" s="47" t="str">
        <f t="shared" si="664"/>
        <v>キティフェイスポーチ</v>
      </c>
      <c r="Y850" s="45">
        <f t="shared" si="665"/>
        <v>957</v>
      </c>
      <c r="Z850" s="9">
        <f t="shared" si="666"/>
        <v>1914</v>
      </c>
      <c r="AA850" s="10">
        <f t="shared" si="667"/>
        <v>0.11258823529411764</v>
      </c>
      <c r="AB850" s="11"/>
      <c r="AD850" s="12"/>
      <c r="AE850" s="44">
        <v>6116</v>
      </c>
      <c r="AF850" s="9">
        <f t="shared" si="668"/>
        <v>79</v>
      </c>
      <c r="AG850" s="44">
        <v>113</v>
      </c>
      <c r="AH850" s="9">
        <f t="shared" si="669"/>
        <v>0</v>
      </c>
      <c r="AI850" s="9">
        <v>10</v>
      </c>
      <c r="AJ850" s="9">
        <f t="shared" si="670"/>
        <v>0</v>
      </c>
      <c r="AK850" s="13">
        <v>4</v>
      </c>
      <c r="AL850" s="47" t="str">
        <f t="shared" si="671"/>
        <v>ジャグラーボタン</v>
      </c>
      <c r="AM850" s="45">
        <f t="shared" si="672"/>
        <v>748</v>
      </c>
      <c r="AN850" s="9">
        <f t="shared" si="673"/>
        <v>0</v>
      </c>
      <c r="AO850" s="10">
        <f t="shared" si="674"/>
        <v>0</v>
      </c>
      <c r="AP850" s="11"/>
    </row>
    <row r="851" spans="1:42" ht="15" customHeight="1">
      <c r="A851" s="12"/>
      <c r="B851" s="8"/>
      <c r="C851" s="9"/>
      <c r="D851" s="9" t="str">
        <f t="shared" si="681"/>
        <v/>
      </c>
      <c r="E851" s="9"/>
      <c r="F851" s="9" t="str">
        <f t="shared" si="682"/>
        <v/>
      </c>
      <c r="G851" s="9"/>
      <c r="H851" s="9" t="str">
        <f t="shared" si="683"/>
        <v/>
      </c>
      <c r="I851" s="9"/>
      <c r="J851" s="9"/>
      <c r="K851" s="9"/>
      <c r="L851" s="9" t="str">
        <f t="shared" si="675"/>
        <v/>
      </c>
      <c r="M851" s="10" t="str">
        <f t="shared" si="676"/>
        <v/>
      </c>
      <c r="N851" s="11"/>
      <c r="O851" s="2"/>
      <c r="P851" s="12"/>
      <c r="Q851" s="9">
        <v>5757</v>
      </c>
      <c r="R851" s="9">
        <f t="shared" si="661"/>
        <v>61</v>
      </c>
      <c r="S851" s="9">
        <v>277</v>
      </c>
      <c r="T851" s="9">
        <f t="shared" si="662"/>
        <v>2</v>
      </c>
      <c r="U851" s="9">
        <v>19</v>
      </c>
      <c r="V851" s="9">
        <f t="shared" si="663"/>
        <v>0</v>
      </c>
      <c r="W851" s="13">
        <v>0</v>
      </c>
      <c r="X851" s="47" t="str">
        <f t="shared" si="664"/>
        <v>ギャルキティキーケース</v>
      </c>
      <c r="Y851" s="9">
        <f t="shared" si="665"/>
        <v>726</v>
      </c>
      <c r="Z851" s="9">
        <f t="shared" si="666"/>
        <v>0</v>
      </c>
      <c r="AA851" s="10">
        <f t="shared" si="667"/>
        <v>0</v>
      </c>
      <c r="AB851" s="11"/>
      <c r="AD851" s="12"/>
      <c r="AE851" s="9">
        <v>5466</v>
      </c>
      <c r="AF851" s="9">
        <f t="shared" si="668"/>
        <v>55</v>
      </c>
      <c r="AG851" s="9">
        <v>251</v>
      </c>
      <c r="AH851" s="9">
        <f t="shared" si="669"/>
        <v>6</v>
      </c>
      <c r="AI851" s="9">
        <v>153</v>
      </c>
      <c r="AJ851" s="9">
        <f t="shared" si="670"/>
        <v>7</v>
      </c>
      <c r="AK851" s="13">
        <v>0</v>
      </c>
      <c r="AL851" s="47" t="str">
        <f t="shared" si="671"/>
        <v>SPGラバー</v>
      </c>
      <c r="AM851" s="9">
        <f t="shared" si="672"/>
        <v>187</v>
      </c>
      <c r="AN851" s="9">
        <f t="shared" si="673"/>
        <v>1309</v>
      </c>
      <c r="AO851" s="10">
        <f t="shared" si="674"/>
        <v>0.23799999999999999</v>
      </c>
      <c r="AP851" s="11"/>
    </row>
    <row r="852" spans="1:42" ht="15" customHeight="1" thickBot="1">
      <c r="A852" s="12"/>
      <c r="B852" s="8"/>
      <c r="C852" s="9"/>
      <c r="D852" s="9" t="str">
        <f t="shared" si="681"/>
        <v/>
      </c>
      <c r="E852" s="9"/>
      <c r="F852" s="9" t="str">
        <f t="shared" si="682"/>
        <v/>
      </c>
      <c r="G852" s="9"/>
      <c r="H852" s="9" t="str">
        <f t="shared" si="683"/>
        <v/>
      </c>
      <c r="I852" s="9"/>
      <c r="J852" s="9"/>
      <c r="K852" s="9"/>
      <c r="L852" s="9" t="str">
        <f t="shared" si="675"/>
        <v/>
      </c>
      <c r="M852" s="10" t="str">
        <f t="shared" si="676"/>
        <v/>
      </c>
      <c r="N852" s="11"/>
      <c r="O852" s="2"/>
      <c r="P852" s="18"/>
      <c r="Q852" s="19">
        <v>6791</v>
      </c>
      <c r="R852" s="19">
        <f t="shared" si="661"/>
        <v>188</v>
      </c>
      <c r="S852" s="19">
        <v>222</v>
      </c>
      <c r="T852" s="19">
        <f t="shared" si="662"/>
        <v>4</v>
      </c>
      <c r="U852" s="19">
        <v>6</v>
      </c>
      <c r="V852" s="19">
        <f t="shared" si="663"/>
        <v>2</v>
      </c>
      <c r="W852" s="37">
        <v>3</v>
      </c>
      <c r="X852" s="48" t="str">
        <f t="shared" si="664"/>
        <v>サンリオファン</v>
      </c>
      <c r="Y852" s="51">
        <f t="shared" si="665"/>
        <v>1100</v>
      </c>
      <c r="Z852" s="19">
        <f t="shared" si="666"/>
        <v>2200</v>
      </c>
      <c r="AA852" s="20">
        <f t="shared" si="667"/>
        <v>0.11702127659574468</v>
      </c>
      <c r="AB852" s="11"/>
      <c r="AD852" s="18"/>
      <c r="AE852" s="19">
        <v>5349</v>
      </c>
      <c r="AF852" s="19">
        <f t="shared" si="668"/>
        <v>164</v>
      </c>
      <c r="AG852" s="19">
        <v>170</v>
      </c>
      <c r="AH852" s="19">
        <f t="shared" si="669"/>
        <v>0</v>
      </c>
      <c r="AI852" s="19">
        <v>33</v>
      </c>
      <c r="AJ852" s="19">
        <f t="shared" si="670"/>
        <v>0</v>
      </c>
      <c r="AK852" s="37">
        <v>0</v>
      </c>
      <c r="AL852" s="48" t="str">
        <f t="shared" si="671"/>
        <v>AIモンスターラバー</v>
      </c>
      <c r="AM852" s="51">
        <f t="shared" si="672"/>
        <v>200</v>
      </c>
      <c r="AN852" s="19">
        <f t="shared" si="673"/>
        <v>0</v>
      </c>
      <c r="AO852" s="20">
        <f t="shared" si="674"/>
        <v>0</v>
      </c>
      <c r="AP852" s="11"/>
    </row>
    <row r="853" spans="1:42" ht="15" customHeight="1" thickTop="1">
      <c r="A853" s="12"/>
      <c r="B853" s="8"/>
      <c r="C853" s="9"/>
      <c r="D853" s="9" t="str">
        <f t="shared" si="681"/>
        <v/>
      </c>
      <c r="E853" s="9"/>
      <c r="F853" s="9" t="str">
        <f t="shared" si="682"/>
        <v/>
      </c>
      <c r="G853" s="9"/>
      <c r="H853" s="9" t="str">
        <f t="shared" si="683"/>
        <v/>
      </c>
      <c r="I853" s="9"/>
      <c r="J853" s="9"/>
      <c r="K853" s="9"/>
      <c r="L853" s="9" t="str">
        <f t="shared" si="675"/>
        <v/>
      </c>
      <c r="M853" s="10" t="str">
        <f t="shared" si="676"/>
        <v/>
      </c>
      <c r="N853" s="11"/>
      <c r="O853" s="2"/>
      <c r="P853" s="65" t="str">
        <f>IF($A826="","",$A826)</f>
        <v/>
      </c>
      <c r="Q853" s="44"/>
      <c r="R853" s="44"/>
      <c r="S853" s="44"/>
      <c r="T853" s="23"/>
      <c r="U853" s="44"/>
      <c r="V853" s="44"/>
      <c r="W853" s="66"/>
      <c r="X853" s="61"/>
      <c r="Y853" s="62"/>
      <c r="Z853" s="23"/>
      <c r="AA853" s="24"/>
      <c r="AB853" s="11"/>
      <c r="AD853" s="65"/>
      <c r="AE853" s="44"/>
      <c r="AF853" s="44"/>
      <c r="AG853" s="44"/>
      <c r="AH853" s="23"/>
      <c r="AI853" s="44"/>
      <c r="AJ853" s="44"/>
      <c r="AK853" s="66"/>
      <c r="AL853" s="61"/>
      <c r="AM853" s="62"/>
      <c r="AN853" s="23"/>
      <c r="AO853" s="24"/>
      <c r="AP853" s="11"/>
    </row>
    <row r="854" spans="1:42" ht="15" customHeight="1">
      <c r="A854" s="12"/>
      <c r="B854" s="8"/>
      <c r="C854" s="9"/>
      <c r="D854" s="9" t="str">
        <f t="shared" si="681"/>
        <v/>
      </c>
      <c r="E854" s="9"/>
      <c r="F854" s="9" t="str">
        <f t="shared" si="682"/>
        <v/>
      </c>
      <c r="G854" s="9"/>
      <c r="H854" s="9" t="str">
        <f t="shared" si="683"/>
        <v/>
      </c>
      <c r="I854" s="9"/>
      <c r="J854" s="9"/>
      <c r="K854" s="9"/>
      <c r="L854" s="9" t="str">
        <f t="shared" si="675"/>
        <v/>
      </c>
      <c r="M854" s="10" t="str">
        <f t="shared" si="676"/>
        <v/>
      </c>
      <c r="N854" s="11"/>
      <c r="O854" s="2"/>
      <c r="P854" s="12"/>
      <c r="Q854" s="9"/>
      <c r="R854" s="44"/>
      <c r="S854" s="9"/>
      <c r="T854" s="9"/>
      <c r="U854" s="9"/>
      <c r="V854" s="9"/>
      <c r="W854" s="13"/>
      <c r="X854" s="47"/>
      <c r="Y854" s="45"/>
      <c r="Z854" s="9"/>
      <c r="AA854" s="10"/>
      <c r="AB854" s="11"/>
      <c r="AD854" s="12"/>
      <c r="AE854" s="9"/>
      <c r="AF854" s="44"/>
      <c r="AG854" s="9"/>
      <c r="AH854" s="9"/>
      <c r="AI854" s="9"/>
      <c r="AJ854" s="9"/>
      <c r="AK854" s="13"/>
      <c r="AL854" s="47"/>
      <c r="AM854" s="45"/>
      <c r="AN854" s="9"/>
      <c r="AO854" s="10"/>
      <c r="AP854" s="11"/>
    </row>
    <row r="855" spans="1:42" ht="15" customHeight="1">
      <c r="A855" s="12"/>
      <c r="B855" s="8"/>
      <c r="C855" s="9"/>
      <c r="D855" s="9" t="str">
        <f t="shared" si="681"/>
        <v/>
      </c>
      <c r="E855" s="9"/>
      <c r="F855" s="9" t="str">
        <f t="shared" si="682"/>
        <v/>
      </c>
      <c r="G855" s="9"/>
      <c r="H855" s="9" t="str">
        <f t="shared" si="683"/>
        <v/>
      </c>
      <c r="I855" s="9"/>
      <c r="J855" s="9"/>
      <c r="K855" s="9"/>
      <c r="L855" s="9" t="str">
        <f t="shared" si="675"/>
        <v/>
      </c>
      <c r="M855" s="10" t="str">
        <f t="shared" si="676"/>
        <v/>
      </c>
      <c r="N855" s="11"/>
      <c r="O855" s="2"/>
      <c r="P855" s="12"/>
      <c r="Q855" s="9"/>
      <c r="R855" s="52"/>
      <c r="S855" s="9"/>
      <c r="T855" s="9"/>
      <c r="U855" s="26"/>
      <c r="V855" s="26"/>
      <c r="W855" s="13"/>
      <c r="X855" s="47"/>
      <c r="Y855" s="9"/>
      <c r="Z855" s="9"/>
      <c r="AA855" s="10"/>
      <c r="AB855" s="11"/>
      <c r="AD855" s="12"/>
      <c r="AE855" s="9"/>
      <c r="AF855" s="52"/>
      <c r="AG855" s="9"/>
      <c r="AH855" s="9"/>
      <c r="AI855" s="26"/>
      <c r="AJ855" s="26"/>
      <c r="AK855" s="13"/>
      <c r="AL855" s="47"/>
      <c r="AM855" s="9"/>
      <c r="AN855" s="9"/>
      <c r="AO855" s="10"/>
      <c r="AP855" s="11"/>
    </row>
    <row r="856" spans="1:42" ht="15" customHeight="1" thickBot="1">
      <c r="A856" s="12"/>
      <c r="B856" s="8"/>
      <c r="C856" s="9"/>
      <c r="D856" s="9" t="str">
        <f t="shared" si="681"/>
        <v/>
      </c>
      <c r="E856" s="9"/>
      <c r="F856" s="9" t="str">
        <f t="shared" si="682"/>
        <v/>
      </c>
      <c r="G856" s="9"/>
      <c r="H856" s="9" t="str">
        <f t="shared" si="683"/>
        <v/>
      </c>
      <c r="I856" s="9"/>
      <c r="J856" s="9"/>
      <c r="K856" s="9"/>
      <c r="L856" s="9" t="str">
        <f t="shared" si="675"/>
        <v/>
      </c>
      <c r="M856" s="10" t="str">
        <f t="shared" si="676"/>
        <v/>
      </c>
      <c r="N856" s="11"/>
      <c r="O856" s="2"/>
      <c r="P856" s="18"/>
      <c r="Q856" s="21"/>
      <c r="R856" s="50"/>
      <c r="S856" s="51"/>
      <c r="T856" s="21"/>
      <c r="U856" s="53"/>
      <c r="V856" s="53"/>
      <c r="W856" s="107"/>
      <c r="X856" s="48"/>
      <c r="Y856" s="51"/>
      <c r="Z856" s="19"/>
      <c r="AA856" s="20"/>
      <c r="AB856" s="11"/>
      <c r="AD856" s="18"/>
      <c r="AE856" s="21"/>
      <c r="AF856" s="50"/>
      <c r="AG856" s="51"/>
      <c r="AH856" s="21"/>
      <c r="AI856" s="53"/>
      <c r="AJ856" s="53"/>
      <c r="AK856" s="107"/>
      <c r="AL856" s="48"/>
      <c r="AM856" s="51"/>
      <c r="AN856" s="19"/>
      <c r="AO856" s="20"/>
      <c r="AP856" s="11"/>
    </row>
    <row r="857" spans="1:42" ht="15" customHeight="1" thickTop="1">
      <c r="A857" s="12"/>
      <c r="B857" s="8"/>
      <c r="C857" s="9"/>
      <c r="D857" s="9" t="str">
        <f t="shared" si="681"/>
        <v/>
      </c>
      <c r="E857" s="9"/>
      <c r="F857" s="9" t="str">
        <f t="shared" si="682"/>
        <v/>
      </c>
      <c r="G857" s="9"/>
      <c r="H857" s="9" t="str">
        <f t="shared" si="683"/>
        <v/>
      </c>
      <c r="I857" s="9"/>
      <c r="J857" s="9"/>
      <c r="K857" s="9"/>
      <c r="L857" s="9" t="str">
        <f t="shared" si="675"/>
        <v/>
      </c>
      <c r="M857" s="10" t="str">
        <f t="shared" si="676"/>
        <v/>
      </c>
      <c r="N857" s="11"/>
      <c r="O857" s="2"/>
      <c r="P857" s="65" t="str">
        <f>IF($A827="","",$A827)</f>
        <v/>
      </c>
      <c r="Q857" s="44"/>
      <c r="R857" s="44"/>
      <c r="S857" s="44"/>
      <c r="T857" s="23"/>
      <c r="U857" s="44"/>
      <c r="V857" s="44"/>
      <c r="W857" s="66"/>
      <c r="X857" s="61"/>
      <c r="Y857" s="62"/>
      <c r="Z857" s="23"/>
      <c r="AA857" s="24"/>
      <c r="AB857" s="11"/>
      <c r="AD857" s="65"/>
      <c r="AE857" s="44"/>
      <c r="AF857" s="44"/>
      <c r="AG857" s="44"/>
      <c r="AH857" s="23"/>
      <c r="AI857" s="44"/>
      <c r="AJ857" s="44"/>
      <c r="AK857" s="66"/>
      <c r="AL857" s="15"/>
      <c r="AM857" s="45"/>
      <c r="AN857" s="23"/>
      <c r="AO857" s="24"/>
      <c r="AP857" s="11"/>
    </row>
    <row r="858" spans="1:42" ht="15" customHeight="1">
      <c r="A858" s="12"/>
      <c r="B858" s="8"/>
      <c r="C858" s="9"/>
      <c r="D858" s="9" t="str">
        <f t="shared" si="681"/>
        <v/>
      </c>
      <c r="E858" s="9"/>
      <c r="F858" s="9" t="str">
        <f t="shared" si="682"/>
        <v/>
      </c>
      <c r="G858" s="9"/>
      <c r="H858" s="9" t="str">
        <f t="shared" si="683"/>
        <v/>
      </c>
      <c r="I858" s="9"/>
      <c r="J858" s="9"/>
      <c r="K858" s="9"/>
      <c r="L858" s="9" t="str">
        <f t="shared" si="675"/>
        <v/>
      </c>
      <c r="M858" s="10" t="str">
        <f t="shared" si="676"/>
        <v/>
      </c>
      <c r="N858" s="11"/>
      <c r="O858" s="2"/>
      <c r="P858" s="12"/>
      <c r="Q858" s="9"/>
      <c r="R858" s="44"/>
      <c r="S858" s="9"/>
      <c r="T858" s="9"/>
      <c r="U858" s="9"/>
      <c r="V858" s="9"/>
      <c r="W858" s="13"/>
      <c r="X858" s="47"/>
      <c r="Y858" s="45"/>
      <c r="Z858" s="9"/>
      <c r="AA858" s="10"/>
      <c r="AB858" s="11"/>
      <c r="AD858" s="12"/>
      <c r="AE858" s="9"/>
      <c r="AF858" s="44"/>
      <c r="AG858" s="9"/>
      <c r="AH858" s="9"/>
      <c r="AI858" s="9"/>
      <c r="AJ858" s="9"/>
      <c r="AK858" s="13"/>
      <c r="AL858" s="15"/>
      <c r="AM858" s="45"/>
      <c r="AN858" s="9"/>
      <c r="AO858" s="10"/>
      <c r="AP858" s="11"/>
    </row>
    <row r="859" spans="1:42" ht="15" customHeight="1">
      <c r="A859" s="12"/>
      <c r="B859" s="8"/>
      <c r="C859" s="9"/>
      <c r="D859" s="9" t="str">
        <f t="shared" si="681"/>
        <v/>
      </c>
      <c r="E859" s="9"/>
      <c r="F859" s="9" t="str">
        <f t="shared" si="682"/>
        <v/>
      </c>
      <c r="G859" s="9"/>
      <c r="H859" s="9" t="str">
        <f t="shared" si="683"/>
        <v/>
      </c>
      <c r="I859" s="9"/>
      <c r="J859" s="9"/>
      <c r="K859" s="9"/>
      <c r="L859" s="9" t="str">
        <f t="shared" si="675"/>
        <v/>
      </c>
      <c r="M859" s="10" t="str">
        <f t="shared" si="676"/>
        <v/>
      </c>
      <c r="N859" s="11"/>
      <c r="O859" s="2"/>
      <c r="P859" s="12"/>
      <c r="Q859" s="9"/>
      <c r="R859" s="52"/>
      <c r="S859" s="9"/>
      <c r="T859" s="9"/>
      <c r="U859" s="9"/>
      <c r="V859" s="9"/>
      <c r="W859" s="13"/>
      <c r="X859" s="47"/>
      <c r="Y859" s="9"/>
      <c r="Z859" s="9"/>
      <c r="AA859" s="10"/>
      <c r="AB859" s="11"/>
      <c r="AD859" s="12"/>
      <c r="AE859" s="9"/>
      <c r="AF859" s="52"/>
      <c r="AG859" s="9"/>
      <c r="AH859" s="9"/>
      <c r="AI859" s="9"/>
      <c r="AJ859" s="9"/>
      <c r="AK859" s="13"/>
      <c r="AL859" s="15"/>
      <c r="AM859" s="45"/>
      <c r="AN859" s="9"/>
      <c r="AO859" s="10"/>
      <c r="AP859" s="11"/>
    </row>
    <row r="860" spans="1:42" ht="15" customHeight="1" thickBot="1">
      <c r="A860" s="12"/>
      <c r="B860" s="8"/>
      <c r="C860" s="9"/>
      <c r="D860" s="9" t="str">
        <f t="shared" si="681"/>
        <v/>
      </c>
      <c r="E860" s="9"/>
      <c r="F860" s="9" t="str">
        <f t="shared" si="682"/>
        <v/>
      </c>
      <c r="G860" s="9"/>
      <c r="H860" s="9" t="str">
        <f t="shared" si="683"/>
        <v/>
      </c>
      <c r="I860" s="9"/>
      <c r="J860" s="9"/>
      <c r="K860" s="9"/>
      <c r="L860" s="9" t="str">
        <f t="shared" si="675"/>
        <v/>
      </c>
      <c r="M860" s="10" t="str">
        <f t="shared" si="676"/>
        <v/>
      </c>
      <c r="N860" s="11"/>
      <c r="O860" s="2"/>
      <c r="P860" s="18"/>
      <c r="Q860" s="21"/>
      <c r="R860" s="50"/>
      <c r="S860" s="51"/>
      <c r="T860" s="19"/>
      <c r="U860" s="19"/>
      <c r="V860" s="19"/>
      <c r="W860" s="37"/>
      <c r="X860" s="48"/>
      <c r="Y860" s="51"/>
      <c r="Z860" s="19"/>
      <c r="AA860" s="20"/>
      <c r="AB860" s="11"/>
      <c r="AD860" s="18"/>
      <c r="AE860" s="21"/>
      <c r="AF860" s="50"/>
      <c r="AG860" s="51"/>
      <c r="AH860" s="19"/>
      <c r="AI860" s="19"/>
      <c r="AJ860" s="19"/>
      <c r="AK860" s="37"/>
      <c r="AL860" s="22"/>
      <c r="AM860" s="51"/>
      <c r="AN860" s="19"/>
      <c r="AO860" s="20"/>
      <c r="AP860" s="11"/>
    </row>
    <row r="861" spans="1:42" ht="15" customHeight="1" thickTop="1">
      <c r="A861" s="12"/>
      <c r="B861" s="8"/>
      <c r="C861" s="9"/>
      <c r="D861" s="9" t="str">
        <f t="shared" si="681"/>
        <v/>
      </c>
      <c r="E861" s="9"/>
      <c r="F861" s="9" t="str">
        <f t="shared" si="682"/>
        <v/>
      </c>
      <c r="G861" s="9"/>
      <c r="H861" s="9" t="str">
        <f t="shared" si="683"/>
        <v/>
      </c>
      <c r="I861" s="9"/>
      <c r="J861" s="9"/>
      <c r="K861" s="9"/>
      <c r="L861" s="9" t="str">
        <f t="shared" si="675"/>
        <v/>
      </c>
      <c r="M861" s="10" t="str">
        <f t="shared" si="676"/>
        <v/>
      </c>
      <c r="N861" s="11"/>
      <c r="O861" s="2"/>
      <c r="P861" s="65" t="str">
        <f>IF($A828="","",$A828)</f>
        <v/>
      </c>
      <c r="Q861" s="44"/>
      <c r="R861" s="44"/>
      <c r="S861" s="44"/>
      <c r="T861" s="23"/>
      <c r="U861" s="44"/>
      <c r="V861" s="44"/>
      <c r="W861" s="44"/>
      <c r="X861" s="15"/>
      <c r="Y861" s="45"/>
      <c r="Z861" s="23"/>
      <c r="AA861" s="24"/>
      <c r="AB861" s="11"/>
      <c r="AD861" s="65"/>
      <c r="AE861" s="44"/>
      <c r="AF861" s="44"/>
      <c r="AG861" s="44"/>
      <c r="AH861" s="23"/>
      <c r="AI861" s="44"/>
      <c r="AJ861" s="44"/>
      <c r="AK861" s="44"/>
      <c r="AL861" s="61"/>
      <c r="AM861" s="62"/>
      <c r="AN861" s="23"/>
      <c r="AO861" s="24"/>
      <c r="AP861" s="11"/>
    </row>
    <row r="862" spans="1:42" ht="15" customHeight="1">
      <c r="A862" s="12"/>
      <c r="B862" s="8"/>
      <c r="C862" s="9"/>
      <c r="D862" s="9" t="str">
        <f t="shared" si="681"/>
        <v/>
      </c>
      <c r="E862" s="9"/>
      <c r="F862" s="9" t="str">
        <f t="shared" si="682"/>
        <v/>
      </c>
      <c r="G862" s="9"/>
      <c r="H862" s="9" t="str">
        <f t="shared" si="683"/>
        <v/>
      </c>
      <c r="I862" s="9"/>
      <c r="J862" s="9"/>
      <c r="K862" s="9"/>
      <c r="L862" s="9" t="str">
        <f t="shared" si="675"/>
        <v/>
      </c>
      <c r="M862" s="10" t="str">
        <f t="shared" si="676"/>
        <v/>
      </c>
      <c r="N862" s="11"/>
      <c r="O862" s="2"/>
      <c r="P862" s="12"/>
      <c r="Q862" s="9"/>
      <c r="R862" s="9"/>
      <c r="S862" s="9"/>
      <c r="T862" s="9"/>
      <c r="U862" s="9"/>
      <c r="V862" s="9"/>
      <c r="W862" s="9"/>
      <c r="X862" s="15"/>
      <c r="Y862" s="45"/>
      <c r="Z862" s="9"/>
      <c r="AA862" s="10"/>
      <c r="AB862" s="11"/>
      <c r="AD862" s="12"/>
      <c r="AE862" s="9"/>
      <c r="AF862" s="9"/>
      <c r="AG862" s="9"/>
      <c r="AH862" s="9"/>
      <c r="AI862" s="9"/>
      <c r="AJ862" s="9"/>
      <c r="AK862" s="9"/>
      <c r="AL862" s="47"/>
      <c r="AM862" s="45"/>
      <c r="AN862" s="9"/>
      <c r="AO862" s="10"/>
      <c r="AP862" s="11"/>
    </row>
    <row r="863" spans="1:42" ht="15" customHeight="1">
      <c r="A863" s="12"/>
      <c r="B863" s="8"/>
      <c r="C863" s="9"/>
      <c r="D863" s="9" t="str">
        <f t="shared" si="681"/>
        <v/>
      </c>
      <c r="E863" s="9"/>
      <c r="F863" s="9" t="str">
        <f t="shared" si="682"/>
        <v/>
      </c>
      <c r="G863" s="9"/>
      <c r="H863" s="9" t="str">
        <f t="shared" si="683"/>
        <v/>
      </c>
      <c r="I863" s="9"/>
      <c r="J863" s="9"/>
      <c r="K863" s="9"/>
      <c r="L863" s="9" t="str">
        <f t="shared" si="675"/>
        <v/>
      </c>
      <c r="M863" s="10" t="str">
        <f t="shared" si="676"/>
        <v/>
      </c>
      <c r="N863" s="11"/>
      <c r="O863" s="2"/>
      <c r="P863" s="12"/>
      <c r="Q863" s="9"/>
      <c r="R863" s="9"/>
      <c r="S863" s="9"/>
      <c r="T863" s="9"/>
      <c r="U863" s="9"/>
      <c r="V863" s="9"/>
      <c r="W863" s="9"/>
      <c r="X863" s="15"/>
      <c r="Y863" s="45"/>
      <c r="Z863" s="9"/>
      <c r="AA863" s="10"/>
      <c r="AB863" s="11"/>
      <c r="AD863" s="12"/>
      <c r="AE863" s="9"/>
      <c r="AF863" s="9"/>
      <c r="AG863" s="9"/>
      <c r="AH863" s="9"/>
      <c r="AI863" s="9"/>
      <c r="AJ863" s="9"/>
      <c r="AK863" s="9"/>
      <c r="AL863" s="47"/>
      <c r="AM863" s="9"/>
      <c r="AN863" s="9"/>
      <c r="AO863" s="10"/>
      <c r="AP863" s="11"/>
    </row>
    <row r="864" spans="1:42" ht="15" customHeight="1" thickBot="1">
      <c r="A864" s="12"/>
      <c r="B864" s="8"/>
      <c r="C864" s="9"/>
      <c r="D864" s="9" t="str">
        <f t="shared" si="681"/>
        <v/>
      </c>
      <c r="E864" s="9"/>
      <c r="F864" s="9" t="str">
        <f t="shared" si="682"/>
        <v/>
      </c>
      <c r="G864" s="9"/>
      <c r="H864" s="9" t="str">
        <f t="shared" si="683"/>
        <v/>
      </c>
      <c r="I864" s="9"/>
      <c r="J864" s="9"/>
      <c r="K864" s="9"/>
      <c r="L864" s="9" t="str">
        <f t="shared" si="675"/>
        <v/>
      </c>
      <c r="M864" s="10" t="str">
        <f t="shared" si="676"/>
        <v/>
      </c>
      <c r="N864" s="11"/>
      <c r="O864" s="2"/>
      <c r="P864" s="18"/>
      <c r="Q864" s="19"/>
      <c r="R864" s="19"/>
      <c r="S864" s="19"/>
      <c r="T864" s="19"/>
      <c r="U864" s="19"/>
      <c r="V864" s="19"/>
      <c r="W864" s="19"/>
      <c r="X864" s="22"/>
      <c r="Y864" s="51"/>
      <c r="Z864" s="19"/>
      <c r="AA864" s="20"/>
      <c r="AB864" s="11"/>
      <c r="AD864" s="18"/>
      <c r="AE864" s="19"/>
      <c r="AF864" s="19"/>
      <c r="AG864" s="19"/>
      <c r="AH864" s="19"/>
      <c r="AI864" s="19"/>
      <c r="AJ864" s="19"/>
      <c r="AK864" s="19"/>
      <c r="AL864" s="48"/>
      <c r="AM864" s="51"/>
      <c r="AN864" s="19"/>
      <c r="AO864" s="20"/>
      <c r="AP864" s="11"/>
    </row>
    <row r="865" spans="1:42" ht="15" customHeight="1" thickTop="1">
      <c r="A865" s="12"/>
      <c r="B865" s="8"/>
      <c r="C865" s="9"/>
      <c r="D865" s="9" t="str">
        <f t="shared" si="681"/>
        <v/>
      </c>
      <c r="E865" s="9"/>
      <c r="F865" s="9" t="str">
        <f t="shared" si="682"/>
        <v/>
      </c>
      <c r="G865" s="9"/>
      <c r="H865" s="9" t="str">
        <f t="shared" si="683"/>
        <v/>
      </c>
      <c r="I865" s="9"/>
      <c r="J865" s="9"/>
      <c r="K865" s="9"/>
      <c r="L865" s="9" t="str">
        <f t="shared" si="675"/>
        <v/>
      </c>
      <c r="M865" s="10" t="str">
        <f t="shared" si="676"/>
        <v/>
      </c>
      <c r="N865" s="11"/>
      <c r="O865" s="2"/>
      <c r="P865" s="65" t="str">
        <f>IF($A829="","",$A829)</f>
        <v/>
      </c>
      <c r="Q865" s="44"/>
      <c r="R865" s="44" t="str">
        <f t="shared" ref="R865:R872" si="684">IF(Q865="","",Q865-Q861)</f>
        <v/>
      </c>
      <c r="S865" s="44"/>
      <c r="T865" s="23" t="str">
        <f t="shared" ref="T865:T872" si="685">IF(S865="","",S865-S861)</f>
        <v/>
      </c>
      <c r="U865" s="44"/>
      <c r="V865" s="44" t="str">
        <f t="shared" ref="V865:V872" si="686">IF(U865="","",U861+W861-U865)</f>
        <v/>
      </c>
      <c r="W865" s="44"/>
      <c r="X865" s="64" t="str">
        <f t="shared" ref="X865:X872" si="687">IF(Q865="","",X861)</f>
        <v/>
      </c>
      <c r="Y865" s="62" t="str">
        <f t="shared" ref="Y865:Y872" si="688">IF(R865="","",Y861)</f>
        <v/>
      </c>
      <c r="Z865" s="23" t="str">
        <f t="shared" ref="Z865:Z872" si="689">IF(U865="","",V865*Y865)</f>
        <v/>
      </c>
      <c r="AA865" s="24" t="str">
        <f t="shared" ref="AA865:AA872" si="690">IF(V865="","",Z865/(R865*100))</f>
        <v/>
      </c>
      <c r="AB865" s="11"/>
      <c r="AD865" s="65" t="str">
        <f>IF($A829="","",$A829)</f>
        <v/>
      </c>
      <c r="AE865" s="44"/>
      <c r="AF865" s="44" t="str">
        <f t="shared" ref="AF865:AF872" si="691">IF(AE865="","",AE865-AE861)</f>
        <v/>
      </c>
      <c r="AG865" s="44"/>
      <c r="AH865" s="23" t="str">
        <f t="shared" ref="AH865:AH872" si="692">IF(AG865="","",AG865-AG861)</f>
        <v/>
      </c>
      <c r="AI865" s="44"/>
      <c r="AJ865" s="44" t="str">
        <f t="shared" ref="AJ865:AJ872" si="693">IF(AI865="","",AI861+AK861-AI865)</f>
        <v/>
      </c>
      <c r="AK865" s="44"/>
      <c r="AL865" s="61" t="str">
        <f t="shared" ref="AL865:AL872" si="694">IF(AE865="","",AL861)</f>
        <v/>
      </c>
      <c r="AM865" s="62" t="str">
        <f t="shared" ref="AM865:AM872" si="695">IF(AF865="","",AM861)</f>
        <v/>
      </c>
      <c r="AN865" s="23" t="str">
        <f t="shared" ref="AN865:AN872" si="696">IF(AI865="","",AJ865*AM865)</f>
        <v/>
      </c>
      <c r="AO865" s="24" t="str">
        <f t="shared" ref="AO865:AO872" si="697">IF(AJ865="","",AN865/(AF865*100))</f>
        <v/>
      </c>
      <c r="AP865" s="11"/>
    </row>
    <row r="866" spans="1:42" ht="15" customHeight="1">
      <c r="A866" s="12"/>
      <c r="B866" s="8"/>
      <c r="C866" s="9"/>
      <c r="D866" s="9" t="str">
        <f t="shared" si="681"/>
        <v/>
      </c>
      <c r="E866" s="9"/>
      <c r="F866" s="9" t="str">
        <f t="shared" si="682"/>
        <v/>
      </c>
      <c r="G866" s="9"/>
      <c r="H866" s="9" t="str">
        <f t="shared" si="683"/>
        <v/>
      </c>
      <c r="I866" s="9"/>
      <c r="J866" s="9"/>
      <c r="K866" s="9"/>
      <c r="L866" s="9" t="str">
        <f t="shared" si="675"/>
        <v/>
      </c>
      <c r="M866" s="10" t="str">
        <f t="shared" si="676"/>
        <v/>
      </c>
      <c r="N866" s="11"/>
      <c r="O866" s="2"/>
      <c r="P866" s="12"/>
      <c r="Q866" s="9"/>
      <c r="R866" s="9" t="str">
        <f t="shared" si="684"/>
        <v/>
      </c>
      <c r="S866" s="9"/>
      <c r="T866" s="9" t="str">
        <f t="shared" si="685"/>
        <v/>
      </c>
      <c r="U866" s="9"/>
      <c r="V866" s="9" t="str">
        <f t="shared" si="686"/>
        <v/>
      </c>
      <c r="W866" s="9"/>
      <c r="X866" s="15" t="str">
        <f t="shared" si="687"/>
        <v/>
      </c>
      <c r="Y866" s="45" t="str">
        <f t="shared" si="688"/>
        <v/>
      </c>
      <c r="Z866" s="9" t="str">
        <f t="shared" si="689"/>
        <v/>
      </c>
      <c r="AA866" s="10" t="str">
        <f t="shared" si="690"/>
        <v/>
      </c>
      <c r="AB866" s="11"/>
      <c r="AD866" s="12"/>
      <c r="AE866" s="9"/>
      <c r="AF866" s="9" t="str">
        <f t="shared" si="691"/>
        <v/>
      </c>
      <c r="AG866" s="9"/>
      <c r="AH866" s="9" t="str">
        <f t="shared" si="692"/>
        <v/>
      </c>
      <c r="AI866" s="9"/>
      <c r="AJ866" s="39" t="str">
        <f t="shared" si="693"/>
        <v/>
      </c>
      <c r="AK866" s="9"/>
      <c r="AL866" s="47" t="str">
        <f t="shared" si="694"/>
        <v/>
      </c>
      <c r="AM866" s="45" t="str">
        <f t="shared" si="695"/>
        <v/>
      </c>
      <c r="AN866" s="9" t="str">
        <f t="shared" si="696"/>
        <v/>
      </c>
      <c r="AO866" s="10" t="str">
        <f t="shared" si="697"/>
        <v/>
      </c>
      <c r="AP866" s="11"/>
    </row>
    <row r="867" spans="1:42" ht="15" customHeight="1">
      <c r="A867" s="12"/>
      <c r="B867" s="8"/>
      <c r="C867" s="9"/>
      <c r="D867" s="9" t="str">
        <f t="shared" si="681"/>
        <v/>
      </c>
      <c r="E867" s="9"/>
      <c r="F867" s="9" t="str">
        <f t="shared" si="682"/>
        <v/>
      </c>
      <c r="G867" s="9"/>
      <c r="H867" s="9" t="str">
        <f t="shared" si="683"/>
        <v/>
      </c>
      <c r="I867" s="9"/>
      <c r="J867" s="9"/>
      <c r="K867" s="9"/>
      <c r="L867" s="9" t="str">
        <f t="shared" si="675"/>
        <v/>
      </c>
      <c r="M867" s="10" t="str">
        <f t="shared" si="676"/>
        <v/>
      </c>
      <c r="N867" s="11"/>
      <c r="O867" s="2"/>
      <c r="P867" s="12"/>
      <c r="Q867" s="9"/>
      <c r="R867" s="9" t="str">
        <f t="shared" si="684"/>
        <v/>
      </c>
      <c r="S867" s="9"/>
      <c r="T867" s="9" t="str">
        <f t="shared" si="685"/>
        <v/>
      </c>
      <c r="U867" s="9"/>
      <c r="V867" s="9" t="str">
        <f t="shared" si="686"/>
        <v/>
      </c>
      <c r="W867" s="9"/>
      <c r="X867" s="15" t="str">
        <f t="shared" si="687"/>
        <v/>
      </c>
      <c r="Y867" s="9" t="str">
        <f t="shared" si="688"/>
        <v/>
      </c>
      <c r="Z867" s="9" t="str">
        <f t="shared" si="689"/>
        <v/>
      </c>
      <c r="AA867" s="10" t="str">
        <f t="shared" si="690"/>
        <v/>
      </c>
      <c r="AB867" s="11"/>
      <c r="AD867" s="12"/>
      <c r="AE867" s="9"/>
      <c r="AF867" s="9" t="str">
        <f t="shared" si="691"/>
        <v/>
      </c>
      <c r="AG867" s="9"/>
      <c r="AH867" s="9" t="str">
        <f t="shared" si="692"/>
        <v/>
      </c>
      <c r="AI867" s="9"/>
      <c r="AJ867" s="9" t="str">
        <f t="shared" si="693"/>
        <v/>
      </c>
      <c r="AK867" s="9"/>
      <c r="AL867" s="47" t="str">
        <f t="shared" si="694"/>
        <v/>
      </c>
      <c r="AM867" s="9" t="str">
        <f t="shared" si="695"/>
        <v/>
      </c>
      <c r="AN867" s="9" t="str">
        <f t="shared" si="696"/>
        <v/>
      </c>
      <c r="AO867" s="10" t="str">
        <f t="shared" si="697"/>
        <v/>
      </c>
      <c r="AP867" s="11"/>
    </row>
    <row r="868" spans="1:42" ht="15" customHeight="1" thickBot="1">
      <c r="A868" s="12"/>
      <c r="B868" s="8"/>
      <c r="C868" s="9"/>
      <c r="D868" s="9" t="str">
        <f t="shared" si="681"/>
        <v/>
      </c>
      <c r="E868" s="9"/>
      <c r="F868" s="9" t="str">
        <f t="shared" si="682"/>
        <v/>
      </c>
      <c r="G868" s="9"/>
      <c r="H868" s="9" t="str">
        <f t="shared" si="683"/>
        <v/>
      </c>
      <c r="I868" s="9"/>
      <c r="J868" s="9"/>
      <c r="K868" s="9"/>
      <c r="L868" s="9" t="str">
        <f t="shared" si="675"/>
        <v/>
      </c>
      <c r="M868" s="10" t="str">
        <f t="shared" si="676"/>
        <v/>
      </c>
      <c r="N868" s="11"/>
      <c r="O868" s="2"/>
      <c r="P868" s="18"/>
      <c r="Q868" s="19"/>
      <c r="R868" s="19" t="str">
        <f t="shared" si="684"/>
        <v/>
      </c>
      <c r="S868" s="19"/>
      <c r="T868" s="19" t="str">
        <f t="shared" si="685"/>
        <v/>
      </c>
      <c r="U868" s="19"/>
      <c r="V868" s="19" t="str">
        <f t="shared" si="686"/>
        <v/>
      </c>
      <c r="W868" s="19"/>
      <c r="X868" s="22" t="str">
        <f t="shared" si="687"/>
        <v/>
      </c>
      <c r="Y868" s="51" t="str">
        <f t="shared" si="688"/>
        <v/>
      </c>
      <c r="Z868" s="19" t="str">
        <f t="shared" si="689"/>
        <v/>
      </c>
      <c r="AA868" s="20" t="str">
        <f t="shared" si="690"/>
        <v/>
      </c>
      <c r="AB868" s="11"/>
      <c r="AD868" s="18"/>
      <c r="AE868" s="19"/>
      <c r="AF868" s="19" t="str">
        <f t="shared" si="691"/>
        <v/>
      </c>
      <c r="AG868" s="19"/>
      <c r="AH868" s="19" t="str">
        <f t="shared" si="692"/>
        <v/>
      </c>
      <c r="AI868" s="19"/>
      <c r="AJ868" s="19" t="str">
        <f t="shared" si="693"/>
        <v/>
      </c>
      <c r="AK868" s="19"/>
      <c r="AL868" s="48" t="str">
        <f t="shared" si="694"/>
        <v/>
      </c>
      <c r="AM868" s="51" t="str">
        <f t="shared" si="695"/>
        <v/>
      </c>
      <c r="AN868" s="19" t="str">
        <f t="shared" si="696"/>
        <v/>
      </c>
      <c r="AO868" s="20" t="str">
        <f t="shared" si="697"/>
        <v/>
      </c>
      <c r="AP868" s="11"/>
    </row>
    <row r="869" spans="1:42" ht="15" customHeight="1" thickTop="1">
      <c r="A869" s="12"/>
      <c r="B869" s="8"/>
      <c r="C869" s="9"/>
      <c r="D869" s="9" t="str">
        <f t="shared" si="681"/>
        <v/>
      </c>
      <c r="E869" s="9"/>
      <c r="F869" s="9" t="str">
        <f t="shared" si="682"/>
        <v/>
      </c>
      <c r="G869" s="9"/>
      <c r="H869" s="9" t="str">
        <f t="shared" si="683"/>
        <v/>
      </c>
      <c r="I869" s="9"/>
      <c r="J869" s="9"/>
      <c r="K869" s="9"/>
      <c r="L869" s="9" t="str">
        <f t="shared" si="675"/>
        <v/>
      </c>
      <c r="M869" s="10" t="str">
        <f t="shared" si="676"/>
        <v/>
      </c>
      <c r="N869" s="11"/>
      <c r="O869" s="2"/>
      <c r="P869" s="65" t="str">
        <f>IF($A830="","",$A830)</f>
        <v/>
      </c>
      <c r="Q869" s="44"/>
      <c r="R869" s="44" t="str">
        <f t="shared" si="684"/>
        <v/>
      </c>
      <c r="S869" s="44"/>
      <c r="T869" s="44" t="str">
        <f t="shared" si="685"/>
        <v/>
      </c>
      <c r="U869" s="44"/>
      <c r="V869" s="44" t="str">
        <f t="shared" si="686"/>
        <v/>
      </c>
      <c r="W869" s="44"/>
      <c r="X869" s="64" t="str">
        <f t="shared" si="687"/>
        <v/>
      </c>
      <c r="Y869" s="44" t="str">
        <f t="shared" si="688"/>
        <v/>
      </c>
      <c r="Z869" s="44" t="str">
        <f t="shared" si="689"/>
        <v/>
      </c>
      <c r="AA869" s="44" t="str">
        <f t="shared" si="690"/>
        <v/>
      </c>
      <c r="AB869" s="11"/>
      <c r="AD869" s="65" t="str">
        <f>IF($A830="","",$A830)</f>
        <v/>
      </c>
      <c r="AE869" s="44"/>
      <c r="AF869" s="44" t="str">
        <f t="shared" si="691"/>
        <v/>
      </c>
      <c r="AG869" s="44"/>
      <c r="AH869" s="44" t="str">
        <f t="shared" si="692"/>
        <v/>
      </c>
      <c r="AI869" s="44"/>
      <c r="AJ869" s="44" t="str">
        <f t="shared" si="693"/>
        <v/>
      </c>
      <c r="AK869" s="44"/>
      <c r="AL869" s="61" t="str">
        <f t="shared" si="694"/>
        <v/>
      </c>
      <c r="AM869" s="44" t="str">
        <f t="shared" si="695"/>
        <v/>
      </c>
      <c r="AN869" s="23" t="str">
        <f t="shared" si="696"/>
        <v/>
      </c>
      <c r="AO869" s="24" t="str">
        <f t="shared" si="697"/>
        <v/>
      </c>
      <c r="AP869" s="11"/>
    </row>
    <row r="870" spans="1:42" ht="15" customHeight="1">
      <c r="A870" s="12"/>
      <c r="B870" s="8"/>
      <c r="C870" s="9"/>
      <c r="D870" s="9"/>
      <c r="E870" s="9"/>
      <c r="F870" s="9" t="str">
        <f t="shared" si="682"/>
        <v/>
      </c>
      <c r="G870" s="9"/>
      <c r="H870" s="9" t="str">
        <f t="shared" si="683"/>
        <v/>
      </c>
      <c r="I870" s="9"/>
      <c r="J870" s="9"/>
      <c r="K870" s="9"/>
      <c r="L870" s="9" t="str">
        <f t="shared" si="675"/>
        <v/>
      </c>
      <c r="M870" s="10" t="str">
        <f t="shared" si="676"/>
        <v/>
      </c>
      <c r="N870" s="11"/>
      <c r="O870" s="2"/>
      <c r="P870" s="65"/>
      <c r="Q870" s="44"/>
      <c r="R870" s="44" t="str">
        <f t="shared" si="684"/>
        <v/>
      </c>
      <c r="S870" s="44"/>
      <c r="T870" s="44" t="str">
        <f t="shared" si="685"/>
        <v/>
      </c>
      <c r="U870" s="44"/>
      <c r="V870" s="44" t="str">
        <f t="shared" si="686"/>
        <v/>
      </c>
      <c r="W870" s="44"/>
      <c r="X870" s="64" t="str">
        <f t="shared" si="687"/>
        <v/>
      </c>
      <c r="Y870" s="44" t="str">
        <f t="shared" si="688"/>
        <v/>
      </c>
      <c r="Z870" s="44" t="str">
        <f t="shared" si="689"/>
        <v/>
      </c>
      <c r="AA870" s="44" t="str">
        <f t="shared" si="690"/>
        <v/>
      </c>
      <c r="AB870" s="11"/>
      <c r="AD870" s="65"/>
      <c r="AE870" s="44"/>
      <c r="AF870" s="44" t="str">
        <f t="shared" si="691"/>
        <v/>
      </c>
      <c r="AG870" s="44"/>
      <c r="AH870" s="44" t="str">
        <f t="shared" si="692"/>
        <v/>
      </c>
      <c r="AI870" s="44"/>
      <c r="AJ870" s="44" t="str">
        <f t="shared" si="693"/>
        <v/>
      </c>
      <c r="AK870" s="44"/>
      <c r="AL870" s="61" t="str">
        <f t="shared" si="694"/>
        <v/>
      </c>
      <c r="AM870" s="44" t="str">
        <f t="shared" si="695"/>
        <v/>
      </c>
      <c r="AN870" s="9" t="str">
        <f t="shared" si="696"/>
        <v/>
      </c>
      <c r="AO870" s="10" t="str">
        <f t="shared" si="697"/>
        <v/>
      </c>
      <c r="AP870" s="11"/>
    </row>
    <row r="871" spans="1:42" ht="15" customHeight="1">
      <c r="A871" s="12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0"/>
      <c r="N871" s="11"/>
      <c r="O871" s="2"/>
      <c r="P871" s="89"/>
      <c r="Q871" s="52"/>
      <c r="R871" s="52" t="str">
        <f t="shared" si="684"/>
        <v/>
      </c>
      <c r="S871" s="52"/>
      <c r="T871" s="52" t="str">
        <f t="shared" si="685"/>
        <v/>
      </c>
      <c r="U871" s="52"/>
      <c r="V871" s="52" t="str">
        <f t="shared" si="686"/>
        <v/>
      </c>
      <c r="W871" s="52"/>
      <c r="X871" s="90" t="str">
        <f t="shared" si="687"/>
        <v/>
      </c>
      <c r="Y871" s="52" t="str">
        <f t="shared" si="688"/>
        <v/>
      </c>
      <c r="Z871" s="52" t="str">
        <f t="shared" si="689"/>
        <v/>
      </c>
      <c r="AA871" s="52" t="str">
        <f t="shared" si="690"/>
        <v/>
      </c>
      <c r="AB871" s="31"/>
      <c r="AD871" s="89"/>
      <c r="AE871" s="52"/>
      <c r="AF871" s="52" t="str">
        <f t="shared" si="691"/>
        <v/>
      </c>
      <c r="AG871" s="52"/>
      <c r="AH871" s="52" t="str">
        <f t="shared" si="692"/>
        <v/>
      </c>
      <c r="AI871" s="52"/>
      <c r="AJ871" s="52" t="str">
        <f t="shared" si="693"/>
        <v/>
      </c>
      <c r="AK871" s="52"/>
      <c r="AL871" s="92" t="str">
        <f t="shared" si="694"/>
        <v/>
      </c>
      <c r="AM871" s="52" t="str">
        <f t="shared" si="695"/>
        <v/>
      </c>
      <c r="AN871" s="9" t="str">
        <f t="shared" si="696"/>
        <v/>
      </c>
      <c r="AO871" s="10" t="str">
        <f t="shared" si="697"/>
        <v/>
      </c>
      <c r="AP871" s="31"/>
    </row>
    <row r="872" spans="1:42" ht="15" customHeight="1" thickBot="1">
      <c r="A872" s="12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0"/>
      <c r="N872" s="11"/>
      <c r="O872" s="2"/>
      <c r="P872" s="85"/>
      <c r="Q872" s="50"/>
      <c r="R872" s="50" t="str">
        <f t="shared" si="684"/>
        <v/>
      </c>
      <c r="S872" s="50"/>
      <c r="T872" s="50" t="str">
        <f t="shared" si="685"/>
        <v/>
      </c>
      <c r="U872" s="50"/>
      <c r="V872" s="50" t="str">
        <f t="shared" si="686"/>
        <v/>
      </c>
      <c r="W872" s="50"/>
      <c r="X872" s="86" t="str">
        <f t="shared" si="687"/>
        <v/>
      </c>
      <c r="Y872" s="50" t="str">
        <f t="shared" si="688"/>
        <v/>
      </c>
      <c r="Z872" s="50" t="str">
        <f t="shared" si="689"/>
        <v/>
      </c>
      <c r="AA872" s="50" t="str">
        <f t="shared" si="690"/>
        <v/>
      </c>
      <c r="AB872" s="87"/>
      <c r="AD872" s="85"/>
      <c r="AE872" s="50"/>
      <c r="AF872" s="50" t="str">
        <f t="shared" si="691"/>
        <v/>
      </c>
      <c r="AG872" s="50"/>
      <c r="AH872" s="50" t="str">
        <f t="shared" si="692"/>
        <v/>
      </c>
      <c r="AI872" s="50"/>
      <c r="AJ872" s="50" t="str">
        <f t="shared" si="693"/>
        <v/>
      </c>
      <c r="AK872" s="50"/>
      <c r="AL872" s="91" t="str">
        <f t="shared" si="694"/>
        <v/>
      </c>
      <c r="AM872" s="50" t="str">
        <f t="shared" si="695"/>
        <v/>
      </c>
      <c r="AN872" s="19" t="str">
        <f t="shared" si="696"/>
        <v/>
      </c>
      <c r="AO872" s="20" t="str">
        <f t="shared" si="697"/>
        <v/>
      </c>
      <c r="AP872" s="87"/>
    </row>
    <row r="873" spans="1:42" ht="15" customHeight="1" thickTop="1">
      <c r="A873" s="4">
        <v>31</v>
      </c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0"/>
      <c r="N873" s="11"/>
      <c r="O873" s="2"/>
      <c r="P873" s="65"/>
      <c r="Q873" s="84" t="s">
        <v>17</v>
      </c>
      <c r="R873" s="44">
        <f>SUM(R817:R869)*100</f>
        <v>456200</v>
      </c>
      <c r="S873" s="44"/>
      <c r="T873" s="44"/>
      <c r="U873" s="84"/>
      <c r="V873" s="44"/>
      <c r="W873" s="44"/>
      <c r="X873" s="195" t="s">
        <v>19</v>
      </c>
      <c r="Y873" s="195"/>
      <c r="Z873" s="44">
        <f>SUM(Z817:Z869)</f>
        <v>68465</v>
      </c>
      <c r="AA873" s="44"/>
      <c r="AB873" s="69"/>
      <c r="AD873" s="65"/>
      <c r="AE873" s="84" t="s">
        <v>17</v>
      </c>
      <c r="AF873" s="44">
        <f>SUM(AF817:AF869)*100</f>
        <v>352500</v>
      </c>
      <c r="AG873" s="44"/>
      <c r="AH873" s="44"/>
      <c r="AI873" s="84"/>
      <c r="AJ873" s="44"/>
      <c r="AK873" s="44"/>
      <c r="AL873" s="195" t="s">
        <v>19</v>
      </c>
      <c r="AM873" s="195"/>
      <c r="AN873" s="44">
        <f>SUM(AN817:AN869)</f>
        <v>51904</v>
      </c>
      <c r="AO873" s="44"/>
      <c r="AP873" s="69"/>
    </row>
    <row r="874" spans="1:42" ht="15" customHeight="1">
      <c r="A874" s="96">
        <f>DATEDIF(A$899,A$825,"d")</f>
        <v>31</v>
      </c>
      <c r="B874" s="8">
        <f>SUM(B817:B873)</f>
        <v>9024</v>
      </c>
      <c r="C874" s="5" t="s">
        <v>17</v>
      </c>
      <c r="D874" s="9">
        <f>SUM(D817:D870)*100</f>
        <v>93700</v>
      </c>
      <c r="E874" s="9"/>
      <c r="F874" s="9"/>
      <c r="G874" s="5"/>
      <c r="H874" s="9"/>
      <c r="I874" s="9"/>
      <c r="J874" s="9"/>
      <c r="K874" s="9"/>
      <c r="L874" s="9"/>
      <c r="M874" s="9"/>
      <c r="N874" s="11"/>
      <c r="O874" s="2"/>
      <c r="P874" s="25"/>
      <c r="Q874" s="5" t="s">
        <v>20</v>
      </c>
      <c r="R874" s="9">
        <f>R873/$A874</f>
        <v>14716.129032258064</v>
      </c>
      <c r="S874" s="9">
        <f>R874*A873</f>
        <v>456200</v>
      </c>
      <c r="T874" s="9"/>
      <c r="U874" s="5"/>
      <c r="V874" s="9"/>
      <c r="W874" s="9"/>
      <c r="X874" s="178" t="s">
        <v>21</v>
      </c>
      <c r="Y874" s="178"/>
      <c r="Z874" s="9"/>
      <c r="AA874" s="28">
        <f>Z873/R873</f>
        <v>0.15007672073651906</v>
      </c>
      <c r="AB874" s="11"/>
      <c r="AD874" s="40"/>
      <c r="AE874" s="5" t="s">
        <v>20</v>
      </c>
      <c r="AF874" s="9">
        <f>AF873/$A874</f>
        <v>11370.967741935483</v>
      </c>
      <c r="AG874" s="9">
        <f>AF874*A873</f>
        <v>352500</v>
      </c>
      <c r="AH874" s="9"/>
      <c r="AI874" s="5"/>
      <c r="AJ874" s="9"/>
      <c r="AK874" s="9"/>
      <c r="AL874" s="178" t="s">
        <v>21</v>
      </c>
      <c r="AM874" s="178"/>
      <c r="AN874" s="9"/>
      <c r="AO874" s="28">
        <f>AN873/AF873</f>
        <v>0.14724539007092199</v>
      </c>
      <c r="AP874" s="11"/>
    </row>
    <row r="875" spans="1:42" ht="15" customHeight="1">
      <c r="A875" s="97"/>
      <c r="B875" s="8">
        <f>B874/A874</f>
        <v>291.09677419354841</v>
      </c>
      <c r="C875" s="5" t="s">
        <v>20</v>
      </c>
      <c r="D875" s="9">
        <f>D874/A874</f>
        <v>3022.5806451612902</v>
      </c>
      <c r="E875" s="9">
        <f>D875*A873</f>
        <v>93700</v>
      </c>
      <c r="F875" s="9"/>
      <c r="G875" s="5"/>
      <c r="H875" s="9"/>
      <c r="I875" s="9"/>
      <c r="J875" s="9"/>
      <c r="K875" s="9"/>
      <c r="L875" s="9"/>
      <c r="M875" s="9"/>
      <c r="N875" s="11"/>
      <c r="O875" s="2"/>
      <c r="P875" s="12"/>
      <c r="Q875" s="58" t="s">
        <v>23</v>
      </c>
      <c r="R875" s="9">
        <f>R873*0.6</f>
        <v>273720</v>
      </c>
      <c r="S875" s="9"/>
      <c r="T875" s="9"/>
      <c r="U875" s="5"/>
      <c r="V875" s="9"/>
      <c r="W875" s="9"/>
      <c r="X875" s="178" t="s">
        <v>24</v>
      </c>
      <c r="Y875" s="178"/>
      <c r="Z875" s="9">
        <f>R875-Z873</f>
        <v>205255</v>
      </c>
      <c r="AA875" s="28">
        <f>Z875/R873</f>
        <v>0.44992327926348091</v>
      </c>
      <c r="AB875" s="11"/>
      <c r="AD875" s="12"/>
      <c r="AE875" s="58" t="s">
        <v>23</v>
      </c>
      <c r="AF875" s="9">
        <f>AF873*0.6</f>
        <v>211500</v>
      </c>
      <c r="AG875" s="9"/>
      <c r="AH875" s="9"/>
      <c r="AI875" s="5"/>
      <c r="AJ875" s="9"/>
      <c r="AK875" s="9"/>
      <c r="AL875" s="178" t="s">
        <v>24</v>
      </c>
      <c r="AM875" s="178"/>
      <c r="AN875" s="9">
        <f>AF875-AN873</f>
        <v>159596</v>
      </c>
      <c r="AO875" s="28">
        <f>AN875/AF873</f>
        <v>0.45275460992907801</v>
      </c>
      <c r="AP875" s="11"/>
    </row>
    <row r="876" spans="1:42" ht="15" customHeight="1">
      <c r="A876" s="12"/>
      <c r="B876" s="8">
        <f>B875*30</f>
        <v>8732.9032258064526</v>
      </c>
      <c r="C876" s="5" t="s">
        <v>23</v>
      </c>
      <c r="D876" s="9">
        <f>D874*0.6</f>
        <v>56220</v>
      </c>
      <c r="E876" s="9"/>
      <c r="F876" s="9"/>
      <c r="G876" s="180" t="s">
        <v>27</v>
      </c>
      <c r="H876" s="180"/>
      <c r="I876" s="9">
        <f>(G825+I825)*K825</f>
        <v>11550</v>
      </c>
      <c r="J876" s="9"/>
      <c r="K876" s="9"/>
      <c r="L876" s="9"/>
      <c r="M876" s="9"/>
      <c r="N876" s="11"/>
      <c r="O876" s="2"/>
      <c r="P876" s="65"/>
      <c r="Q876" s="5" t="s">
        <v>25</v>
      </c>
      <c r="R876" s="9">
        <f>R947</f>
        <v>388400</v>
      </c>
      <c r="S876" s="9"/>
      <c r="T876" s="9"/>
      <c r="U876" s="5"/>
      <c r="V876" s="9"/>
      <c r="W876" s="17"/>
      <c r="X876" s="182" t="s">
        <v>27</v>
      </c>
      <c r="Y876" s="182"/>
      <c r="Z876" s="44">
        <f>(U849+W849)*Y849+(U850+W850)*Y850+(U851+W851)*Y851+(U852+W852)*Y852</f>
        <v>64221</v>
      </c>
      <c r="AA876" s="10"/>
      <c r="AB876" s="11"/>
      <c r="AD876" s="65"/>
      <c r="AE876" s="5" t="s">
        <v>25</v>
      </c>
      <c r="AF876" s="9">
        <f>AF947</f>
        <v>317200</v>
      </c>
      <c r="AG876" s="9"/>
      <c r="AH876" s="9"/>
      <c r="AI876" s="5"/>
      <c r="AJ876" s="9"/>
      <c r="AK876" s="17"/>
      <c r="AL876" s="182" t="s">
        <v>27</v>
      </c>
      <c r="AM876" s="182"/>
      <c r="AN876" s="44">
        <f>(AI849+AK849)*AM849+(AI850+AK850)*AM850+(AI851+AK851)*AM851+(AI852+AK852)*AM852</f>
        <v>51953</v>
      </c>
      <c r="AO876" s="10"/>
      <c r="AP876" s="11"/>
    </row>
    <row r="877" spans="1:42" ht="15" customHeight="1">
      <c r="A877" s="12"/>
      <c r="B877" s="8"/>
      <c r="C877" s="5" t="s">
        <v>25</v>
      </c>
      <c r="D877" s="9">
        <f>D948</f>
        <v>114000</v>
      </c>
      <c r="E877" s="9"/>
      <c r="F877" s="9"/>
      <c r="G877" s="5" t="s">
        <v>22</v>
      </c>
      <c r="H877" s="9">
        <f>SUM(L817:L870)</f>
        <v>26180</v>
      </c>
      <c r="I877" s="28">
        <f>H877/D874</f>
        <v>0.27940234791889007</v>
      </c>
      <c r="J877" s="28"/>
      <c r="K877" s="9"/>
      <c r="L877" s="9"/>
      <c r="M877" s="9"/>
      <c r="N877" s="11"/>
      <c r="O877" s="2"/>
      <c r="P877" s="65"/>
      <c r="Q877" s="5"/>
      <c r="R877" s="9"/>
      <c r="S877" s="9"/>
      <c r="T877" s="9"/>
      <c r="U877" s="5"/>
      <c r="V877" s="9"/>
      <c r="W877" s="17"/>
      <c r="X877" s="100"/>
      <c r="Y877" s="103"/>
      <c r="Z877" s="62"/>
      <c r="AA877" s="10"/>
      <c r="AB877" s="11"/>
      <c r="AD877" s="65"/>
      <c r="AE877" s="5"/>
      <c r="AF877" s="9"/>
      <c r="AG877" s="9"/>
      <c r="AH877" s="9"/>
      <c r="AI877" s="5"/>
      <c r="AJ877" s="9"/>
      <c r="AK877" s="17"/>
      <c r="AL877" s="100"/>
      <c r="AM877" s="103"/>
      <c r="AN877" s="62"/>
      <c r="AO877" s="10"/>
      <c r="AP877" s="11"/>
    </row>
    <row r="878" spans="1:42" ht="15" customHeight="1">
      <c r="A878" s="12"/>
      <c r="B878" s="8"/>
      <c r="C878" s="58"/>
      <c r="D878" s="9"/>
      <c r="E878" s="9"/>
      <c r="F878" s="9"/>
      <c r="G878" s="30" t="s">
        <v>24</v>
      </c>
      <c r="H878" s="26">
        <f>D876-H877</f>
        <v>30040</v>
      </c>
      <c r="I878" s="28">
        <f>H878/D874</f>
        <v>0.32059765208110991</v>
      </c>
      <c r="J878" s="28"/>
      <c r="K878" s="9"/>
      <c r="L878" s="9"/>
      <c r="M878" s="9"/>
      <c r="N878" s="11"/>
      <c r="O878" s="2"/>
      <c r="P878" s="65"/>
      <c r="Q878" s="5"/>
      <c r="R878" s="9"/>
      <c r="S878" s="26"/>
      <c r="T878" s="9"/>
      <c r="U878" s="5"/>
      <c r="V878" s="9"/>
      <c r="W878" s="17"/>
      <c r="X878" s="100"/>
      <c r="Y878" s="103"/>
      <c r="Z878" s="62"/>
      <c r="AA878" s="10"/>
      <c r="AB878" s="11"/>
      <c r="AD878" s="65"/>
      <c r="AE878" s="5"/>
      <c r="AF878" s="9"/>
      <c r="AG878" s="9"/>
      <c r="AH878" s="9"/>
      <c r="AI878" s="5"/>
      <c r="AJ878" s="9"/>
      <c r="AK878" s="17"/>
      <c r="AL878" s="100"/>
      <c r="AM878" s="103"/>
      <c r="AN878" s="62"/>
      <c r="AO878" s="10"/>
      <c r="AP878" s="11"/>
    </row>
    <row r="879" spans="1:42" ht="15" customHeight="1">
      <c r="A879" s="33"/>
      <c r="B879" s="32"/>
      <c r="C879" s="58"/>
      <c r="D879" s="9"/>
      <c r="E879" s="9"/>
      <c r="F879" s="9"/>
      <c r="G879" s="104"/>
      <c r="H879" s="106"/>
      <c r="I879" s="28"/>
      <c r="J879" s="28"/>
      <c r="K879" s="9"/>
      <c r="L879" s="9"/>
      <c r="M879" s="9"/>
      <c r="N879" s="11"/>
      <c r="O879" s="2"/>
      <c r="P879" s="65"/>
      <c r="Q879" s="5"/>
      <c r="R879" s="17"/>
      <c r="S879" s="111"/>
      <c r="T879" s="45"/>
      <c r="U879" s="5"/>
      <c r="V879" s="9"/>
      <c r="W879" s="17"/>
      <c r="X879" s="100"/>
      <c r="Y879" s="103"/>
      <c r="Z879" s="62"/>
      <c r="AA879" s="10"/>
      <c r="AB879" s="11"/>
      <c r="AD879" s="65"/>
      <c r="AE879" s="5"/>
      <c r="AF879" s="9"/>
      <c r="AG879" s="1"/>
      <c r="AH879" s="9"/>
      <c r="AI879" s="5"/>
      <c r="AJ879" s="9"/>
      <c r="AK879" s="17"/>
      <c r="AL879" s="100"/>
      <c r="AM879" s="103"/>
      <c r="AN879" s="62"/>
      <c r="AO879" s="10"/>
      <c r="AP879" s="11"/>
    </row>
    <row r="880" spans="1:42" ht="15" customHeight="1">
      <c r="A880" s="98"/>
      <c r="B880" s="99"/>
      <c r="C880" s="5"/>
      <c r="D880" s="9"/>
      <c r="E880" s="9"/>
      <c r="F880" s="9"/>
      <c r="G880" s="27"/>
      <c r="H880" s="17"/>
      <c r="I880" s="28"/>
      <c r="J880" s="28"/>
      <c r="K880" s="10"/>
      <c r="L880" s="10"/>
      <c r="M880" s="10"/>
      <c r="N880" s="11"/>
      <c r="O880" s="2"/>
      <c r="P880" s="12"/>
      <c r="Q880" s="9"/>
      <c r="R880" s="9"/>
      <c r="T880" s="9"/>
      <c r="U880" s="5"/>
      <c r="V880" s="9"/>
      <c r="W880" s="9"/>
      <c r="X880" s="41"/>
      <c r="Y880" s="67"/>
      <c r="Z880" s="10"/>
      <c r="AA880" s="10"/>
      <c r="AB880" s="11"/>
      <c r="AD880" s="12"/>
      <c r="AE880" s="9"/>
      <c r="AF880" s="9"/>
      <c r="AH880" s="9"/>
      <c r="AI880" s="5"/>
      <c r="AJ880" s="9"/>
      <c r="AK880" s="9"/>
      <c r="AL880" s="54"/>
      <c r="AM880" s="67"/>
      <c r="AN880" s="10"/>
      <c r="AO880" s="10"/>
      <c r="AP880" s="11"/>
    </row>
    <row r="881" spans="1:42" ht="15" customHeight="1">
      <c r="A881" s="198" t="s">
        <v>43</v>
      </c>
      <c r="B881" s="198"/>
      <c r="C881" s="192" t="s">
        <v>46</v>
      </c>
      <c r="D881" s="192"/>
      <c r="E881" s="192" t="s">
        <v>47</v>
      </c>
      <c r="F881" s="192"/>
      <c r="G881" s="102"/>
      <c r="H881" s="93"/>
      <c r="I881" s="101"/>
      <c r="J881" s="101"/>
      <c r="K881" s="10"/>
      <c r="L881" s="10"/>
      <c r="M881" s="10"/>
      <c r="N881" s="11"/>
      <c r="O881" s="2"/>
      <c r="P881" s="79"/>
      <c r="Q881" s="45"/>
      <c r="R881" s="9"/>
      <c r="S881" s="5"/>
      <c r="T881" s="9"/>
      <c r="U881" s="5"/>
      <c r="V881" s="9"/>
      <c r="W881" s="9"/>
      <c r="X881" s="41"/>
      <c r="Y881" s="67"/>
      <c r="Z881" s="10"/>
      <c r="AA881" s="10"/>
      <c r="AB881" s="11"/>
      <c r="AD881" s="79"/>
      <c r="AE881" s="45"/>
      <c r="AF881" s="9"/>
      <c r="AG881" s="5"/>
      <c r="AH881" s="9"/>
      <c r="AI881" s="5"/>
      <c r="AJ881" s="9"/>
      <c r="AK881" s="9"/>
      <c r="AL881" s="54"/>
      <c r="AM881" s="67"/>
      <c r="AN881" s="10"/>
      <c r="AO881" s="10"/>
      <c r="AP881" s="11"/>
    </row>
    <row r="882" spans="1:42">
      <c r="A882" s="199">
        <f>E875+S874+AG874</f>
        <v>902400</v>
      </c>
      <c r="B882" s="199"/>
      <c r="C882" s="194">
        <f>H877+Z873+AN873</f>
        <v>146549</v>
      </c>
      <c r="D882" s="194"/>
      <c r="E882" s="194">
        <f>I876+Z876+AN876</f>
        <v>127724</v>
      </c>
      <c r="F882" s="194"/>
      <c r="G882" s="84"/>
      <c r="H882" s="44"/>
      <c r="I882" s="28"/>
      <c r="J882" s="28"/>
      <c r="K882" s="10"/>
      <c r="L882" s="10"/>
      <c r="M882" s="10"/>
      <c r="N882" s="11"/>
      <c r="O882" s="2"/>
      <c r="P882" s="165" t="s">
        <v>26</v>
      </c>
      <c r="Q882" s="165"/>
      <c r="R882" s="29">
        <f>SUM(R817,R821,R825,R829,R833,R837,R842,R845,R849,R853,R857,R861,R865)*100</f>
        <v>83000</v>
      </c>
      <c r="S882" s="45"/>
      <c r="T882" s="9"/>
      <c r="U882" s="5">
        <f>R882/V882</f>
        <v>2862.0689655172414</v>
      </c>
      <c r="V882" s="29">
        <f>SUM(V817,V821,V825,V829,V833,V837,V842,V845,V849,V853,V857,V861,V865)</f>
        <v>29</v>
      </c>
      <c r="W882" s="9"/>
      <c r="X882" s="64" t="str">
        <f t="shared" ref="X882:Y885" si="698">X817</f>
        <v>デジタルミニカメラ</v>
      </c>
      <c r="Y882" s="62">
        <f t="shared" si="698"/>
        <v>710</v>
      </c>
      <c r="Z882" s="29">
        <f>SUM(Z817,Z821,Z825,Z829,Z833,Z837,Z842,Z845,Z849,Z853,Z857,Z861,Z865)</f>
        <v>19324</v>
      </c>
      <c r="AA882" s="28">
        <f>Z882/R882</f>
        <v>0.23281927710843373</v>
      </c>
      <c r="AB882" s="11"/>
      <c r="AC882" s="16"/>
      <c r="AD882" s="165" t="s">
        <v>26</v>
      </c>
      <c r="AE882" s="165"/>
      <c r="AF882" s="29">
        <f>SUM(AF817,AF821,AF825,AF829,AF833,AF837,AF841,AF845,AF849,AF853,AF857,AF861,AF865)*100</f>
        <v>60900</v>
      </c>
      <c r="AG882" s="45"/>
      <c r="AH882" s="9"/>
      <c r="AI882" s="5">
        <f>AF882/AJ882</f>
        <v>2647.8260869565215</v>
      </c>
      <c r="AJ882" s="29">
        <f>SUM(AJ817,AJ821,AJ825,AJ829,AJ833,AJ837,AJ842,AJ845,AJ849,AJ853,AJ857,AJ861,AJ865)</f>
        <v>23</v>
      </c>
      <c r="AK882" s="9"/>
      <c r="AL882" s="61" t="str">
        <f t="shared" ref="AL882:AM885" si="699">AL817</f>
        <v>ジャグラーイヤホン</v>
      </c>
      <c r="AM882" s="62">
        <f t="shared" si="699"/>
        <v>1100</v>
      </c>
      <c r="AN882" s="29">
        <f>SUM(AN817,AN821,AN825,AN829,AN833,AN837,AN842,AN845,AN849,AN853,AN857,AN861,AN865)</f>
        <v>20988</v>
      </c>
      <c r="AO882" s="28">
        <f>AN882/AF882</f>
        <v>0.34463054187192116</v>
      </c>
      <c r="AP882" s="11"/>
    </row>
    <row r="883" spans="1:42">
      <c r="A883" s="95"/>
      <c r="B883" s="95"/>
      <c r="C883" s="45"/>
      <c r="D883" s="105">
        <f>C882/A882</f>
        <v>0.16239915780141845</v>
      </c>
      <c r="E883" s="9"/>
      <c r="F883" s="9"/>
      <c r="G883" s="5"/>
      <c r="H883" s="9"/>
      <c r="I883" s="9"/>
      <c r="J883" s="9"/>
      <c r="K883" s="9"/>
      <c r="L883" s="9"/>
      <c r="M883" s="9"/>
      <c r="N883" s="11"/>
      <c r="O883" s="2"/>
      <c r="P883" s="165" t="s">
        <v>26</v>
      </c>
      <c r="Q883" s="165"/>
      <c r="R883" s="29">
        <f>SUM(R818,R822,R826,R830,R834,R838,R841,R846,R850,R854,R858,R862,R866)*100</f>
        <v>102200</v>
      </c>
      <c r="S883" s="45"/>
      <c r="T883" s="9"/>
      <c r="U883" s="5">
        <f>R883/V883</f>
        <v>4866.666666666667</v>
      </c>
      <c r="V883" s="29">
        <f>SUM(V818,V822,V826,V830,V834,V838,V841,V846,V850,V854,V858,V862,V866)</f>
        <v>21</v>
      </c>
      <c r="W883" s="9"/>
      <c r="X883" s="64" t="str">
        <f t="shared" si="698"/>
        <v>ミニ香水</v>
      </c>
      <c r="Y883" s="62">
        <f t="shared" si="698"/>
        <v>1100</v>
      </c>
      <c r="Z883" s="29">
        <f>SUM(Z818,Z822,Z826,Z830,Z834,Z838,Z841,Z846,Z850,Z854,Z858,Z862,Z866)</f>
        <v>18099</v>
      </c>
      <c r="AA883" s="28">
        <f>Z883/R883</f>
        <v>0.17709393346379648</v>
      </c>
      <c r="AB883" s="11"/>
      <c r="AC883" s="1"/>
      <c r="AD883" s="165" t="s">
        <v>26</v>
      </c>
      <c r="AE883" s="165"/>
      <c r="AF883" s="29">
        <f>SUM(AF818,AF822,AF826,AF830,AF834,AF838,AF842,AF846,AF850,AF854,AF858,AF862,AF866)*100</f>
        <v>82000</v>
      </c>
      <c r="AG883" s="45"/>
      <c r="AH883" s="9"/>
      <c r="AI883" s="5">
        <f>AF883/AJ883</f>
        <v>8200</v>
      </c>
      <c r="AJ883" s="29">
        <f>SUM(AJ818,AJ822,AJ826,AJ830,AJ834,AJ838,AJ841,AJ846,AJ850,AJ854,AJ858,AJ862,AJ866)</f>
        <v>10</v>
      </c>
      <c r="AK883" s="9"/>
      <c r="AL883" s="61" t="str">
        <f t="shared" si="699"/>
        <v>ジャグラーボタン</v>
      </c>
      <c r="AM883" s="62">
        <f t="shared" si="699"/>
        <v>748</v>
      </c>
      <c r="AN883" s="29">
        <f>SUM(AN818,AN822,AN826,AN830,AN834,AN838,AN841,AN846,AN850,AN854,AN858,AN862,AN866)</f>
        <v>7084</v>
      </c>
      <c r="AO883" s="28">
        <f>AN883/AF883</f>
        <v>8.6390243902439018E-2</v>
      </c>
      <c r="AP883" s="11"/>
    </row>
    <row r="884" spans="1:42">
      <c r="A884" s="95"/>
      <c r="B884" s="95"/>
      <c r="C884" s="45"/>
      <c r="D884" s="9"/>
      <c r="E884" s="9"/>
      <c r="F884" s="9"/>
      <c r="G884" s="5"/>
      <c r="H884" s="9"/>
      <c r="I884" s="9"/>
      <c r="J884" s="9"/>
      <c r="K884" s="9"/>
      <c r="L884" s="9"/>
      <c r="M884" s="9"/>
      <c r="N884" s="11"/>
      <c r="O884" s="2"/>
      <c r="P884" s="165" t="s">
        <v>26</v>
      </c>
      <c r="Q884" s="165"/>
      <c r="R884" s="29">
        <f>SUM(R819,R823,R827,R831,R835,R839,R843,R847,R851,R855,R859,R863,R867)*100</f>
        <v>74500</v>
      </c>
      <c r="S884" s="45"/>
      <c r="T884" s="9"/>
      <c r="U884" s="5">
        <f>R884/V884</f>
        <v>4656.25</v>
      </c>
      <c r="V884" s="29">
        <f>SUM(V819,V823,V827,V832,V835,V839,V843,V847,V851,V855,V859,V863,V867)</f>
        <v>16</v>
      </c>
      <c r="W884" s="9"/>
      <c r="X884" s="64" t="str">
        <f t="shared" si="698"/>
        <v>ギャルキティキーケース</v>
      </c>
      <c r="Y884" s="62">
        <f t="shared" si="698"/>
        <v>726</v>
      </c>
      <c r="Z884" s="29">
        <f>SUM(Z819,Z823,Z827,Z832,Z835,Z839,Z843,Z847,Z851,Z855,Z859,Z863,Z867)</f>
        <v>11990</v>
      </c>
      <c r="AA884" s="28">
        <f>Z884/R884</f>
        <v>0.16093959731543625</v>
      </c>
      <c r="AB884" s="11"/>
      <c r="AC884" s="1"/>
      <c r="AD884" s="165" t="s">
        <v>26</v>
      </c>
      <c r="AE884" s="165"/>
      <c r="AF884" s="29">
        <f>SUM(AF819,AF823,AF827,AF831,AF835,AF839,AF843,AF847,AF851,AF855,AF859,AF863,AF867)*100</f>
        <v>74500</v>
      </c>
      <c r="AG884" s="45"/>
      <c r="AH884" s="9"/>
      <c r="AI884" s="5">
        <f>AF884/AJ884</f>
        <v>846.59090909090912</v>
      </c>
      <c r="AJ884" s="29">
        <f>SUM(AJ819,AJ823,AJ827,AJ832,AJ835,AJ839,AJ843,AJ847,AJ851,AJ855,AJ859,AJ863,AJ867)</f>
        <v>88</v>
      </c>
      <c r="AK884" s="9"/>
      <c r="AL884" s="61" t="str">
        <f t="shared" si="699"/>
        <v>SPGラバー</v>
      </c>
      <c r="AM884" s="62">
        <f t="shared" si="699"/>
        <v>187</v>
      </c>
      <c r="AN884" s="29">
        <f>SUM(AN819,AN823,AN827,AN832,AN835,AN839,AN843,AN847,AN851,AN855,AN859,AN863,AN867)</f>
        <v>16434</v>
      </c>
      <c r="AO884" s="28">
        <f>AN884/AF884</f>
        <v>0.22059060402684563</v>
      </c>
      <c r="AP884" s="11"/>
    </row>
    <row r="885" spans="1:42">
      <c r="A885" s="95"/>
      <c r="B885" s="95"/>
      <c r="C885" s="45"/>
      <c r="D885" s="9"/>
      <c r="E885" s="9"/>
      <c r="F885" s="9"/>
      <c r="G885" s="5"/>
      <c r="H885" s="9"/>
      <c r="I885" s="9"/>
      <c r="J885" s="9"/>
      <c r="K885" s="9"/>
      <c r="L885" s="9"/>
      <c r="M885" s="9"/>
      <c r="N885" s="11"/>
      <c r="O885" s="2"/>
      <c r="P885" s="165" t="s">
        <v>26</v>
      </c>
      <c r="Q885" s="165"/>
      <c r="R885" s="29">
        <f>SUM(R820,R824,R828,R832,R836,R840,R844,R848,R852,R856,R860,R864,R868)*100</f>
        <v>196500</v>
      </c>
      <c r="S885" s="45"/>
      <c r="T885" s="9"/>
      <c r="U885" s="5">
        <f>R885/V885</f>
        <v>10916.666666666666</v>
      </c>
      <c r="V885" s="29">
        <f>SUM(V820,V824,V828,V831,V836,V840,V844,V848,V852,V856,V860,V864,V868)</f>
        <v>18</v>
      </c>
      <c r="W885" s="9"/>
      <c r="X885" s="64" t="str">
        <f t="shared" si="698"/>
        <v>サンリオファン</v>
      </c>
      <c r="Y885" s="62">
        <f t="shared" si="698"/>
        <v>1100</v>
      </c>
      <c r="Z885" s="29">
        <f>SUM(Z820,Z824,Z828,Z831,Z836,Z840,Z844,Z848,Z852,Z856,Z860,Z864,Z868)</f>
        <v>19052</v>
      </c>
      <c r="AA885" s="28">
        <f>Z885/R885</f>
        <v>9.6956743002544532E-2</v>
      </c>
      <c r="AB885" s="11"/>
      <c r="AC885" s="1"/>
      <c r="AD885" s="165" t="s">
        <v>26</v>
      </c>
      <c r="AE885" s="165"/>
      <c r="AF885" s="29">
        <f>SUM(AF820,AF824,AF828,AF832,AF836,AF840,AF844,AF848,AF852,AF856,AF860,AF864,AF868)*100</f>
        <v>135100</v>
      </c>
      <c r="AG885" s="45"/>
      <c r="AH885" s="9"/>
      <c r="AI885" s="5">
        <f>AF885/AJ885</f>
        <v>3464.102564102564</v>
      </c>
      <c r="AJ885" s="29">
        <f>SUM(AJ820,AJ824,AJ828,AJ831,AJ836,AJ840,AJ844,AJ848,AJ852,AJ856,AJ860,AJ864,AJ868)</f>
        <v>39</v>
      </c>
      <c r="AK885" s="9"/>
      <c r="AL885" s="61" t="str">
        <f t="shared" si="699"/>
        <v>SPGマスコット</v>
      </c>
      <c r="AM885" s="62">
        <f t="shared" si="699"/>
        <v>165</v>
      </c>
      <c r="AN885" s="29">
        <f>SUM(AN820,AN824,AN828,AN831,AN836,AN840,AN844,AN848,AN852,AN856,AN860,AN864,AN868)</f>
        <v>7398</v>
      </c>
      <c r="AO885" s="28">
        <f>AN885/AF885</f>
        <v>5.4759437453737972E-2</v>
      </c>
      <c r="AP885" s="11"/>
    </row>
    <row r="886" spans="1:42">
      <c r="A886" s="95"/>
      <c r="B886" s="95"/>
      <c r="C886" s="45"/>
      <c r="D886" s="9"/>
      <c r="E886" s="9"/>
      <c r="F886" s="9"/>
      <c r="G886" s="5"/>
      <c r="H886" s="9"/>
      <c r="I886" s="9"/>
      <c r="J886" s="9"/>
      <c r="K886" s="9"/>
      <c r="L886" s="9"/>
      <c r="M886" s="9"/>
      <c r="N886" s="11"/>
      <c r="O886" s="2"/>
      <c r="P886" s="12"/>
      <c r="Q886" s="5" t="s">
        <v>17</v>
      </c>
      <c r="R886" s="9">
        <f>SUM(R882:R885)</f>
        <v>456200</v>
      </c>
      <c r="S886" s="45"/>
      <c r="T886" s="9"/>
      <c r="U886" s="9"/>
      <c r="V886" s="9">
        <f>SUM(V882:V885)</f>
        <v>84</v>
      </c>
      <c r="W886" s="9"/>
      <c r="X886" s="163" t="s">
        <v>28</v>
      </c>
      <c r="Y886" s="163"/>
      <c r="Z886" s="44">
        <f>SUM(Z882:Z885)</f>
        <v>68465</v>
      </c>
      <c r="AA886" s="68">
        <f>Z886/R886</f>
        <v>0.15007672073651906</v>
      </c>
      <c r="AB886" s="69"/>
      <c r="AC886" s="1"/>
      <c r="AD886" s="12"/>
      <c r="AE886" s="5" t="s">
        <v>17</v>
      </c>
      <c r="AF886" s="9">
        <f>SUM(AF882:AF885)</f>
        <v>352500</v>
      </c>
      <c r="AG886" s="45"/>
      <c r="AH886" s="9"/>
      <c r="AI886" s="9"/>
      <c r="AJ886" s="9">
        <f>SUM(AJ882:AJ885)</f>
        <v>160</v>
      </c>
      <c r="AK886" s="9"/>
      <c r="AL886" s="163" t="s">
        <v>28</v>
      </c>
      <c r="AM886" s="163"/>
      <c r="AN886" s="44">
        <f>SUM(AN882:AN885)</f>
        <v>51904</v>
      </c>
      <c r="AO886" s="68">
        <f>AN886/AF886</f>
        <v>0.14724539007092199</v>
      </c>
      <c r="AP886" s="11"/>
    </row>
    <row r="887" spans="1:42">
      <c r="A887" s="14"/>
      <c r="B887" s="76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2"/>
      <c r="P887" s="33"/>
      <c r="Q887" s="2"/>
      <c r="R887" s="2"/>
      <c r="S887" s="2"/>
      <c r="T887" s="2"/>
      <c r="U887" s="2"/>
      <c r="V887" s="2"/>
      <c r="W887" s="2"/>
      <c r="X887" s="43"/>
      <c r="Y887" s="2"/>
      <c r="Z887" s="2"/>
      <c r="AA887" s="2"/>
      <c r="AB887" s="42"/>
      <c r="AC887" s="1"/>
      <c r="AD887" s="33"/>
      <c r="AE887" s="2"/>
      <c r="AF887" s="2"/>
      <c r="AG887" s="2"/>
      <c r="AH887" s="2"/>
      <c r="AI887" s="2"/>
      <c r="AJ887" s="2"/>
      <c r="AK887" s="2"/>
      <c r="AL887" s="55"/>
      <c r="AM887" s="2"/>
      <c r="AN887" s="2"/>
      <c r="AO887" s="2"/>
      <c r="AP887" s="42"/>
    </row>
    <row r="888" spans="1:42" ht="15" customHeight="1">
      <c r="A888" s="33"/>
      <c r="B888" s="3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4"/>
      <c r="O888" s="2"/>
      <c r="P888" s="33"/>
      <c r="Q888" s="2"/>
      <c r="R888" s="2"/>
      <c r="S888" s="2"/>
      <c r="T888" s="2"/>
      <c r="U888" s="2"/>
      <c r="V888" s="2"/>
      <c r="W888" s="2"/>
      <c r="X888" s="43"/>
      <c r="Y888" s="2"/>
      <c r="Z888" s="2"/>
      <c r="AA888" s="2"/>
      <c r="AB888" s="42"/>
      <c r="AC888" s="2"/>
      <c r="AD888" s="33"/>
      <c r="AE888" s="2"/>
      <c r="AF888" s="2"/>
      <c r="AG888" s="2"/>
      <c r="AH888" s="2"/>
      <c r="AI888" s="2"/>
      <c r="AJ888" s="2"/>
      <c r="AK888" s="2"/>
      <c r="AL888" s="55"/>
      <c r="AM888" s="2"/>
      <c r="AN888" s="2"/>
      <c r="AO888" s="2"/>
      <c r="AP888" s="42"/>
    </row>
    <row r="889" spans="1:42">
      <c r="A889" s="188" t="s">
        <v>40</v>
      </c>
      <c r="B889" s="188"/>
      <c r="C889" s="189" t="s">
        <v>41</v>
      </c>
      <c r="D889" s="189"/>
      <c r="E889" s="36"/>
      <c r="F889" s="36"/>
      <c r="G889" s="59"/>
      <c r="H889" s="59"/>
      <c r="I889" s="59"/>
      <c r="J889" s="59"/>
      <c r="K889" s="59"/>
      <c r="L889" s="59"/>
      <c r="M889" s="59"/>
      <c r="N889" s="60"/>
      <c r="O889" s="56"/>
      <c r="P889" s="185" t="s">
        <v>39</v>
      </c>
      <c r="Q889" s="185"/>
      <c r="R889" s="185"/>
      <c r="S889" s="184" t="s">
        <v>38</v>
      </c>
      <c r="T889" s="184"/>
      <c r="U889" s="71"/>
      <c r="V889" s="71"/>
      <c r="W889" s="71"/>
      <c r="X889" s="72"/>
      <c r="Y889" s="71"/>
      <c r="Z889" s="71"/>
      <c r="AA889" s="71"/>
      <c r="AB889" s="73"/>
      <c r="AC889" s="74"/>
      <c r="AD889" s="185" t="s">
        <v>39</v>
      </c>
      <c r="AE889" s="185"/>
      <c r="AF889" s="185"/>
      <c r="AG889" s="184" t="s">
        <v>37</v>
      </c>
      <c r="AH889" s="184"/>
      <c r="AI889" s="71"/>
      <c r="AJ889" s="71"/>
      <c r="AK889" s="71"/>
      <c r="AL889" s="75"/>
      <c r="AM889" s="71"/>
      <c r="AN889" s="71"/>
      <c r="AO889" s="71"/>
      <c r="AP889" s="73"/>
    </row>
    <row r="890" spans="1:42">
      <c r="A890" s="7" t="s">
        <v>0</v>
      </c>
      <c r="B890" s="109" t="s">
        <v>34</v>
      </c>
      <c r="C890" s="5" t="s">
        <v>1</v>
      </c>
      <c r="D890" s="5" t="s">
        <v>2</v>
      </c>
      <c r="E890" s="6" t="s">
        <v>3</v>
      </c>
      <c r="F890" s="5" t="s">
        <v>2</v>
      </c>
      <c r="G890" s="5" t="s">
        <v>4</v>
      </c>
      <c r="H890" s="5" t="s">
        <v>5</v>
      </c>
      <c r="I890" s="5" t="s">
        <v>6</v>
      </c>
      <c r="J890" s="5"/>
      <c r="K890" s="5" t="s">
        <v>7</v>
      </c>
      <c r="L890" s="5" t="s">
        <v>8</v>
      </c>
      <c r="M890" s="5" t="s">
        <v>9</v>
      </c>
      <c r="N890" s="5" t="s">
        <v>10</v>
      </c>
      <c r="O890" s="2"/>
      <c r="P890" s="7" t="s">
        <v>0</v>
      </c>
      <c r="Q890" s="5" t="s">
        <v>1</v>
      </c>
      <c r="R890" s="5" t="s">
        <v>2</v>
      </c>
      <c r="S890" s="6" t="s">
        <v>3</v>
      </c>
      <c r="T890" s="5" t="s">
        <v>2</v>
      </c>
      <c r="U890" s="5" t="s">
        <v>4</v>
      </c>
      <c r="V890" s="5" t="s">
        <v>5</v>
      </c>
      <c r="W890" s="5" t="s">
        <v>6</v>
      </c>
      <c r="X890" s="6" t="s">
        <v>11</v>
      </c>
      <c r="Y890" s="5" t="s">
        <v>7</v>
      </c>
      <c r="Z890" s="5" t="s">
        <v>5</v>
      </c>
      <c r="AA890" s="5" t="s">
        <v>12</v>
      </c>
      <c r="AB890" s="5" t="s">
        <v>10</v>
      </c>
      <c r="AC890" s="3"/>
      <c r="AD890" s="7" t="s">
        <v>0</v>
      </c>
      <c r="AE890" s="5" t="s">
        <v>1</v>
      </c>
      <c r="AF890" s="5" t="s">
        <v>2</v>
      </c>
      <c r="AG890" s="6" t="s">
        <v>3</v>
      </c>
      <c r="AH890" s="5" t="s">
        <v>2</v>
      </c>
      <c r="AI890" s="5" t="s">
        <v>4</v>
      </c>
      <c r="AJ890" s="5" t="s">
        <v>5</v>
      </c>
      <c r="AK890" s="5" t="s">
        <v>6</v>
      </c>
      <c r="AL890" s="46" t="s">
        <v>11</v>
      </c>
      <c r="AM890" s="5" t="s">
        <v>7</v>
      </c>
      <c r="AN890" s="5" t="s">
        <v>5</v>
      </c>
      <c r="AO890" s="5" t="s">
        <v>12</v>
      </c>
      <c r="AP890" s="5" t="s">
        <v>10</v>
      </c>
    </row>
    <row r="891" spans="1:42">
      <c r="A891" s="12">
        <v>45793</v>
      </c>
      <c r="B891" s="8">
        <v>755</v>
      </c>
      <c r="C891" s="13">
        <v>19144</v>
      </c>
      <c r="D891" s="9">
        <v>99</v>
      </c>
      <c r="E891" s="9">
        <v>683</v>
      </c>
      <c r="F891" s="9">
        <v>5</v>
      </c>
      <c r="G891" s="9">
        <v>35</v>
      </c>
      <c r="H891" s="9">
        <v>5</v>
      </c>
      <c r="I891" s="9">
        <v>2</v>
      </c>
      <c r="J891" s="44"/>
      <c r="K891" s="44">
        <v>385</v>
      </c>
      <c r="L891" s="9">
        <v>1925</v>
      </c>
      <c r="M891" s="10">
        <v>0.19444444444444445</v>
      </c>
      <c r="N891" s="70"/>
      <c r="O891" s="2"/>
      <c r="P891" s="12">
        <v>45793</v>
      </c>
      <c r="Q891" s="44">
        <v>3532</v>
      </c>
      <c r="R891" s="44">
        <v>57</v>
      </c>
      <c r="S891" s="44">
        <v>78</v>
      </c>
      <c r="T891" s="44">
        <v>1</v>
      </c>
      <c r="U891" s="44">
        <v>28</v>
      </c>
      <c r="V891" s="44">
        <v>1</v>
      </c>
      <c r="W891" s="44">
        <v>0</v>
      </c>
      <c r="X891" s="64" t="s">
        <v>50</v>
      </c>
      <c r="Y891" s="62">
        <v>770</v>
      </c>
      <c r="Z891" s="44">
        <v>770</v>
      </c>
      <c r="AA891" s="63">
        <v>0.13508771929824562</v>
      </c>
      <c r="AB891" s="11"/>
      <c r="AC891" s="1"/>
      <c r="AD891" s="12">
        <v>45793</v>
      </c>
      <c r="AE891" s="44">
        <v>3448</v>
      </c>
      <c r="AF891" s="44">
        <v>113</v>
      </c>
      <c r="AG891" s="44">
        <v>93</v>
      </c>
      <c r="AH891" s="44">
        <v>1</v>
      </c>
      <c r="AI891" s="44">
        <v>11</v>
      </c>
      <c r="AJ891" s="44">
        <v>1</v>
      </c>
      <c r="AK891" s="44">
        <v>0</v>
      </c>
      <c r="AL891" s="61" t="s">
        <v>57</v>
      </c>
      <c r="AM891" s="62">
        <v>710</v>
      </c>
      <c r="AN891" s="44">
        <v>710</v>
      </c>
      <c r="AO891" s="63">
        <v>6.2831858407079652E-2</v>
      </c>
      <c r="AP891" s="11"/>
    </row>
    <row r="892" spans="1:42">
      <c r="A892" s="12">
        <v>45796</v>
      </c>
      <c r="B892" s="8">
        <f>IF(A892="","",SUM(D892)+SUM(R895:R898)+SUM(AF895:AF898))</f>
        <v>1072</v>
      </c>
      <c r="C892" s="13">
        <v>19238</v>
      </c>
      <c r="D892" s="9">
        <f t="shared" ref="D892" si="700">IF(C892="","",C892-C891)</f>
        <v>94</v>
      </c>
      <c r="E892" s="9">
        <v>691</v>
      </c>
      <c r="F892" s="9">
        <f t="shared" ref="F892" si="701">IF(E892="","",E892-E891)</f>
        <v>8</v>
      </c>
      <c r="G892" s="9">
        <v>28</v>
      </c>
      <c r="H892" s="9">
        <f t="shared" ref="H892" si="702">IF(G892="","",G891+I891-G892)</f>
        <v>9</v>
      </c>
      <c r="I892" s="9">
        <v>5</v>
      </c>
      <c r="J892" s="44"/>
      <c r="K892" s="44">
        <f t="shared" ref="K892" si="703">IF(C892="","",K891)</f>
        <v>385</v>
      </c>
      <c r="L892" s="9">
        <f t="shared" ref="L892" si="704">IF(K892="","",H892*K892)</f>
        <v>3465</v>
      </c>
      <c r="M892" s="10">
        <f t="shared" ref="M892" si="705">IF(L892="","",L892/(D892*100))</f>
        <v>0.36861702127659574</v>
      </c>
      <c r="N892" s="34"/>
      <c r="O892" s="2"/>
      <c r="P892" s="12"/>
      <c r="Q892" s="9">
        <v>4352</v>
      </c>
      <c r="R892" s="9">
        <v>103</v>
      </c>
      <c r="S892" s="9">
        <v>108</v>
      </c>
      <c r="T892" s="9">
        <v>1</v>
      </c>
      <c r="U892" s="9">
        <v>7</v>
      </c>
      <c r="V892" s="9">
        <v>0</v>
      </c>
      <c r="W892" s="9">
        <v>6</v>
      </c>
      <c r="X892" s="64" t="s">
        <v>49</v>
      </c>
      <c r="Y892" s="44">
        <v>1100</v>
      </c>
      <c r="Z892" s="9">
        <v>0</v>
      </c>
      <c r="AA892" s="10">
        <v>0</v>
      </c>
      <c r="AB892" s="11"/>
      <c r="AC892" s="1"/>
      <c r="AD892" s="12"/>
      <c r="AE892" s="9">
        <v>4477</v>
      </c>
      <c r="AF892" s="9">
        <v>92</v>
      </c>
      <c r="AG892" s="9">
        <v>82</v>
      </c>
      <c r="AH892" s="9">
        <v>0</v>
      </c>
      <c r="AI892" s="9">
        <v>12</v>
      </c>
      <c r="AJ892" s="9">
        <v>0</v>
      </c>
      <c r="AK892" s="9">
        <v>0</v>
      </c>
      <c r="AL892" s="47" t="s">
        <v>42</v>
      </c>
      <c r="AM892" s="45">
        <v>748</v>
      </c>
      <c r="AN892" s="9">
        <v>0</v>
      </c>
      <c r="AO892" s="10">
        <v>0</v>
      </c>
      <c r="AP892" s="11"/>
    </row>
    <row r="893" spans="1:42">
      <c r="A893" s="12">
        <v>45800</v>
      </c>
      <c r="B893" s="8">
        <f>IF(A893="","",SUM(D893)+SUM(R899:R902)+SUM(AF899:AF902))</f>
        <v>738</v>
      </c>
      <c r="C893" s="13">
        <v>19335</v>
      </c>
      <c r="D893" s="9">
        <f t="shared" ref="D893:D904" si="706">IF(C893="","",C893-C892)</f>
        <v>97</v>
      </c>
      <c r="E893" s="9">
        <v>695</v>
      </c>
      <c r="F893" s="9">
        <f t="shared" ref="F893:F904" si="707">IF(E893="","",E893-E892)</f>
        <v>4</v>
      </c>
      <c r="G893" s="9">
        <v>30</v>
      </c>
      <c r="H893" s="9">
        <f t="shared" ref="H893:H904" si="708">IF(G893="","",G892+I892-G893)</f>
        <v>3</v>
      </c>
      <c r="I893" s="9">
        <v>8</v>
      </c>
      <c r="J893" s="44"/>
      <c r="K893" s="44">
        <f t="shared" ref="K893:K904" si="709">IF(C893="","",K892)</f>
        <v>385</v>
      </c>
      <c r="L893" s="9">
        <f t="shared" ref="L893:L904" si="710">IF(K893="","",H893*K893)</f>
        <v>1155</v>
      </c>
      <c r="M893" s="10">
        <f t="shared" ref="M893:M904" si="711">IF(L893="","",L893/(D893*100))</f>
        <v>0.1190721649484536</v>
      </c>
      <c r="N893" s="34"/>
      <c r="O893" s="2"/>
      <c r="P893" s="12"/>
      <c r="Q893" s="9">
        <v>4060</v>
      </c>
      <c r="R893" s="9">
        <v>62</v>
      </c>
      <c r="S893" s="9">
        <v>226</v>
      </c>
      <c r="T893" s="9">
        <v>1</v>
      </c>
      <c r="U893" s="9">
        <v>17</v>
      </c>
      <c r="V893" s="9">
        <v>1</v>
      </c>
      <c r="W893" s="9">
        <v>2</v>
      </c>
      <c r="X893" s="15" t="s">
        <v>65</v>
      </c>
      <c r="Y893" s="45">
        <v>726</v>
      </c>
      <c r="Z893" s="9">
        <v>726</v>
      </c>
      <c r="AA893" s="10">
        <v>0.11709677419354839</v>
      </c>
      <c r="AB893" s="11"/>
      <c r="AC893" s="1"/>
      <c r="AD893" s="12"/>
      <c r="AE893" s="9">
        <v>3675</v>
      </c>
      <c r="AF893" s="9">
        <v>45</v>
      </c>
      <c r="AG893" s="9">
        <v>122</v>
      </c>
      <c r="AH893" s="9">
        <v>3</v>
      </c>
      <c r="AI893" s="9">
        <v>138</v>
      </c>
      <c r="AJ893" s="9">
        <v>3</v>
      </c>
      <c r="AK893" s="9">
        <v>0</v>
      </c>
      <c r="AL893" s="47" t="s">
        <v>59</v>
      </c>
      <c r="AM893" s="45">
        <v>187</v>
      </c>
      <c r="AN893" s="9">
        <v>561</v>
      </c>
      <c r="AO893" s="10">
        <v>0.12466666666666666</v>
      </c>
      <c r="AP893" s="11"/>
    </row>
    <row r="894" spans="1:42" ht="15" customHeight="1" thickBot="1">
      <c r="A894" s="12">
        <v>45803</v>
      </c>
      <c r="B894" s="8">
        <f>IF(A894="","",SUM(D894)+SUM(R903:R906)+SUM(AF903:AF906))</f>
        <v>1167</v>
      </c>
      <c r="C894" s="13">
        <v>19518</v>
      </c>
      <c r="D894" s="9">
        <f t="shared" si="706"/>
        <v>183</v>
      </c>
      <c r="E894" s="9">
        <v>704</v>
      </c>
      <c r="F894" s="9">
        <f t="shared" si="707"/>
        <v>9</v>
      </c>
      <c r="G894" s="9">
        <v>28</v>
      </c>
      <c r="H894" s="9">
        <f t="shared" si="708"/>
        <v>10</v>
      </c>
      <c r="I894" s="9">
        <v>13</v>
      </c>
      <c r="J894" s="44"/>
      <c r="K894" s="44">
        <f t="shared" si="709"/>
        <v>385</v>
      </c>
      <c r="L894" s="9">
        <f t="shared" si="710"/>
        <v>3850</v>
      </c>
      <c r="M894" s="10">
        <f t="shared" si="711"/>
        <v>0.2103825136612022</v>
      </c>
      <c r="N894" s="34"/>
      <c r="O894" s="2"/>
      <c r="P894" s="18"/>
      <c r="Q894" s="21">
        <v>3559</v>
      </c>
      <c r="R894" s="19">
        <v>145</v>
      </c>
      <c r="S894" s="19">
        <v>140</v>
      </c>
      <c r="T894" s="19">
        <v>2</v>
      </c>
      <c r="U894" s="19">
        <v>6</v>
      </c>
      <c r="V894" s="19">
        <v>1</v>
      </c>
      <c r="W894" s="19">
        <v>4</v>
      </c>
      <c r="X894" s="22" t="s">
        <v>69</v>
      </c>
      <c r="Y894" s="19">
        <v>1100</v>
      </c>
      <c r="Z894" s="19">
        <v>1100</v>
      </c>
      <c r="AA894" s="20">
        <v>7.586206896551724E-2</v>
      </c>
      <c r="AB894" s="11"/>
      <c r="AC894" s="1"/>
      <c r="AD894" s="18"/>
      <c r="AE894" s="19">
        <v>3514</v>
      </c>
      <c r="AF894" s="19">
        <v>39</v>
      </c>
      <c r="AG894" s="19">
        <v>85</v>
      </c>
      <c r="AH894" s="19">
        <v>2</v>
      </c>
      <c r="AI894" s="19">
        <v>40</v>
      </c>
      <c r="AJ894" s="19">
        <v>6</v>
      </c>
      <c r="AK894" s="19">
        <v>16</v>
      </c>
      <c r="AL894" s="48" t="s">
        <v>71</v>
      </c>
      <c r="AM894" s="19">
        <v>165</v>
      </c>
      <c r="AN894" s="19">
        <v>990</v>
      </c>
      <c r="AO894" s="20">
        <v>0.25384615384615383</v>
      </c>
      <c r="AP894" s="11" t="s">
        <v>76</v>
      </c>
    </row>
    <row r="895" spans="1:42" ht="15" customHeight="1" thickTop="1">
      <c r="A895" s="12">
        <v>45807</v>
      </c>
      <c r="B895" s="8">
        <f>IF(A895="","",SUM(D895)+SUM(R907:R910)+SUM(AF907:AF910))</f>
        <v>642</v>
      </c>
      <c r="C895" s="13">
        <v>19628</v>
      </c>
      <c r="D895" s="9">
        <f t="shared" si="706"/>
        <v>110</v>
      </c>
      <c r="E895" s="9">
        <v>714</v>
      </c>
      <c r="F895" s="9">
        <f t="shared" si="707"/>
        <v>10</v>
      </c>
      <c r="G895" s="9">
        <v>29</v>
      </c>
      <c r="H895" s="9">
        <f t="shared" si="708"/>
        <v>12</v>
      </c>
      <c r="I895" s="9">
        <v>8</v>
      </c>
      <c r="J895" s="44"/>
      <c r="K895" s="44">
        <f t="shared" si="709"/>
        <v>385</v>
      </c>
      <c r="L895" s="9">
        <f t="shared" si="710"/>
        <v>4620</v>
      </c>
      <c r="M895" s="10">
        <f t="shared" si="711"/>
        <v>0.42</v>
      </c>
      <c r="N895" s="34" t="s">
        <v>82</v>
      </c>
      <c r="O895" s="2"/>
      <c r="P895" s="78">
        <f>IF($A892="","",$A892)</f>
        <v>45796</v>
      </c>
      <c r="Q895" s="44">
        <v>3609</v>
      </c>
      <c r="R895" s="44">
        <f t="shared" ref="R895:R898" si="712">IF(Q895="","",Q895-Q891)</f>
        <v>77</v>
      </c>
      <c r="S895" s="44">
        <v>80</v>
      </c>
      <c r="T895" s="23">
        <f t="shared" ref="T895:T898" si="713">IF(S895="","",S895-S891)</f>
        <v>2</v>
      </c>
      <c r="U895" s="44">
        <v>27</v>
      </c>
      <c r="V895" s="44">
        <f t="shared" ref="V895:V898" si="714">IF(U895="","",U891+W891-U895)</f>
        <v>1</v>
      </c>
      <c r="W895" s="66">
        <v>0</v>
      </c>
      <c r="X895" s="15" t="str">
        <f t="shared" ref="X895:X898" si="715">IF(Q895="","",X891)</f>
        <v>ゴールドイヤホン</v>
      </c>
      <c r="Y895" s="45">
        <f t="shared" ref="Y895:Y898" si="716">IF(R895="","",Y891)</f>
        <v>770</v>
      </c>
      <c r="Z895" s="23">
        <f t="shared" ref="Z895:Z898" si="717">IF(U895="","",V895*Y895)</f>
        <v>770</v>
      </c>
      <c r="AA895" s="24">
        <f t="shared" ref="AA895:AA898" si="718">IF(V895="","",Z895/(R895*100))</f>
        <v>0.1</v>
      </c>
      <c r="AB895" s="11"/>
      <c r="AC895" s="1"/>
      <c r="AD895" s="78">
        <f>IF($A892="","",$A892)</f>
        <v>45796</v>
      </c>
      <c r="AE895" s="44">
        <v>3543</v>
      </c>
      <c r="AF895" s="44">
        <f t="shared" ref="AF895:AF898" si="719">IF(AE895="","",AE895-AE891)</f>
        <v>95</v>
      </c>
      <c r="AG895" s="44">
        <v>96</v>
      </c>
      <c r="AH895" s="23">
        <f t="shared" ref="AH895:AH898" si="720">IF(AG895="","",AG895-AG891)</f>
        <v>3</v>
      </c>
      <c r="AI895" s="44">
        <v>8</v>
      </c>
      <c r="AJ895" s="44">
        <f t="shared" ref="AJ895:AJ898" si="721">IF(AI895="","",AI891+AK891-AI895)</f>
        <v>3</v>
      </c>
      <c r="AK895" s="66">
        <v>0</v>
      </c>
      <c r="AL895" s="15" t="str">
        <f t="shared" ref="AL895:AL910" si="722">IF(AE895="","",AL891)</f>
        <v>ミニカメラ</v>
      </c>
      <c r="AM895" s="45">
        <f t="shared" ref="AM895:AM910" si="723">IF(AF895="","",AM891)</f>
        <v>710</v>
      </c>
      <c r="AN895" s="23">
        <f t="shared" ref="AN895:AN910" si="724">IF(AI895="","",AJ895*AM895)</f>
        <v>2130</v>
      </c>
      <c r="AO895" s="24">
        <f t="shared" ref="AO895:AO910" si="725">IF(AJ895="","",AN895/(AF895*100))</f>
        <v>0.22421052631578947</v>
      </c>
      <c r="AP895" s="11"/>
    </row>
    <row r="896" spans="1:42">
      <c r="A896" s="12">
        <v>45810</v>
      </c>
      <c r="B896" s="8">
        <f>IF(A896="","",SUM(D896)+SUM(R911:R914)+SUM(AF911:AF914))</f>
        <v>1011</v>
      </c>
      <c r="C896" s="13">
        <v>19794</v>
      </c>
      <c r="D896" s="9">
        <f t="shared" si="706"/>
        <v>166</v>
      </c>
      <c r="E896" s="9">
        <v>721</v>
      </c>
      <c r="F896" s="9">
        <f t="shared" si="707"/>
        <v>7</v>
      </c>
      <c r="G896" s="9">
        <v>28</v>
      </c>
      <c r="H896" s="9">
        <f t="shared" si="708"/>
        <v>9</v>
      </c>
      <c r="I896" s="9">
        <v>8</v>
      </c>
      <c r="J896" s="44"/>
      <c r="K896" s="44">
        <f t="shared" si="709"/>
        <v>385</v>
      </c>
      <c r="L896" s="9">
        <f t="shared" si="710"/>
        <v>3465</v>
      </c>
      <c r="M896" s="10">
        <f t="shared" si="711"/>
        <v>0.20873493975903615</v>
      </c>
      <c r="N896" s="34"/>
      <c r="O896" s="2"/>
      <c r="P896" s="79"/>
      <c r="Q896" s="9">
        <v>4401</v>
      </c>
      <c r="R896" s="44">
        <f t="shared" si="712"/>
        <v>49</v>
      </c>
      <c r="S896" s="9">
        <v>108</v>
      </c>
      <c r="T896" s="9">
        <f t="shared" si="713"/>
        <v>0</v>
      </c>
      <c r="U896" s="9">
        <v>12</v>
      </c>
      <c r="V896" s="9">
        <f t="shared" si="714"/>
        <v>1</v>
      </c>
      <c r="W896" s="13">
        <v>0</v>
      </c>
      <c r="X896" s="15" t="str">
        <f t="shared" si="715"/>
        <v>じゃがりこイヤホン</v>
      </c>
      <c r="Y896" s="45">
        <f t="shared" si="716"/>
        <v>1100</v>
      </c>
      <c r="Z896" s="9">
        <f t="shared" si="717"/>
        <v>1100</v>
      </c>
      <c r="AA896" s="10">
        <f t="shared" si="718"/>
        <v>0.22448979591836735</v>
      </c>
      <c r="AB896" s="11"/>
      <c r="AC896" s="1"/>
      <c r="AD896" s="79"/>
      <c r="AE896" s="9">
        <v>4629</v>
      </c>
      <c r="AF896" s="44">
        <f t="shared" si="719"/>
        <v>152</v>
      </c>
      <c r="AG896" s="9">
        <v>82</v>
      </c>
      <c r="AH896" s="9">
        <f t="shared" si="720"/>
        <v>0</v>
      </c>
      <c r="AI896" s="9">
        <v>11</v>
      </c>
      <c r="AJ896" s="9">
        <f t="shared" si="721"/>
        <v>1</v>
      </c>
      <c r="AK896" s="13">
        <v>0</v>
      </c>
      <c r="AL896" s="15" t="str">
        <f t="shared" si="722"/>
        <v>ジャグラーボタン</v>
      </c>
      <c r="AM896" s="45">
        <f t="shared" si="723"/>
        <v>748</v>
      </c>
      <c r="AN896" s="9">
        <f t="shared" si="724"/>
        <v>748</v>
      </c>
      <c r="AO896" s="10">
        <f t="shared" si="725"/>
        <v>4.9210526315789475E-2</v>
      </c>
      <c r="AP896" s="11"/>
    </row>
    <row r="897" spans="1:42">
      <c r="A897" s="12">
        <v>45814</v>
      </c>
      <c r="B897" s="8">
        <f>IF(A897="","",SUM(D897)+SUM(R915:R918)+SUM(AF915:AF918))</f>
        <v>966</v>
      </c>
      <c r="C897" s="13">
        <v>19892</v>
      </c>
      <c r="D897" s="9">
        <f t="shared" si="706"/>
        <v>98</v>
      </c>
      <c r="E897" s="9">
        <v>727</v>
      </c>
      <c r="F897" s="9">
        <f t="shared" si="707"/>
        <v>6</v>
      </c>
      <c r="G897" s="9">
        <v>28</v>
      </c>
      <c r="H897" s="9">
        <f t="shared" si="708"/>
        <v>8</v>
      </c>
      <c r="I897" s="9">
        <v>0</v>
      </c>
      <c r="J897" s="44"/>
      <c r="K897" s="44">
        <f t="shared" si="709"/>
        <v>385</v>
      </c>
      <c r="L897" s="9">
        <f t="shared" si="710"/>
        <v>3080</v>
      </c>
      <c r="M897" s="10">
        <f t="shared" si="711"/>
        <v>0.31428571428571428</v>
      </c>
      <c r="N897" s="34"/>
      <c r="O897" s="2"/>
      <c r="P897" s="79"/>
      <c r="Q897" s="9">
        <v>4198</v>
      </c>
      <c r="R897" s="52">
        <f t="shared" si="712"/>
        <v>138</v>
      </c>
      <c r="S897" s="9">
        <v>233</v>
      </c>
      <c r="T897" s="9">
        <f t="shared" si="713"/>
        <v>7</v>
      </c>
      <c r="U897" s="9">
        <v>17</v>
      </c>
      <c r="V897" s="9">
        <f t="shared" si="714"/>
        <v>2</v>
      </c>
      <c r="W897" s="13">
        <v>2</v>
      </c>
      <c r="X897" s="15" t="str">
        <f t="shared" si="715"/>
        <v>ギャルキティキーケース</v>
      </c>
      <c r="Y897" s="45">
        <f t="shared" si="716"/>
        <v>726</v>
      </c>
      <c r="Z897" s="9">
        <f t="shared" si="717"/>
        <v>1452</v>
      </c>
      <c r="AA897" s="10">
        <f t="shared" si="718"/>
        <v>0.10521739130434783</v>
      </c>
      <c r="AB897" s="11"/>
      <c r="AC897" s="1"/>
      <c r="AD897" s="79"/>
      <c r="AE897" s="9">
        <v>3886</v>
      </c>
      <c r="AF897" s="52">
        <f t="shared" si="719"/>
        <v>211</v>
      </c>
      <c r="AG897" s="9">
        <v>136</v>
      </c>
      <c r="AH897" s="9">
        <f t="shared" si="720"/>
        <v>14</v>
      </c>
      <c r="AI897" s="9">
        <v>120</v>
      </c>
      <c r="AJ897" s="9">
        <f t="shared" si="721"/>
        <v>18</v>
      </c>
      <c r="AK897" s="13">
        <v>40</v>
      </c>
      <c r="AL897" s="15" t="str">
        <f t="shared" si="722"/>
        <v>SPGラバー</v>
      </c>
      <c r="AM897" s="45">
        <f t="shared" si="723"/>
        <v>187</v>
      </c>
      <c r="AN897" s="9">
        <f t="shared" si="724"/>
        <v>3366</v>
      </c>
      <c r="AO897" s="10">
        <f t="shared" si="725"/>
        <v>0.1595260663507109</v>
      </c>
      <c r="AP897" s="11"/>
    </row>
    <row r="898" spans="1:42" ht="15" customHeight="1" thickBot="1">
      <c r="A898" s="12">
        <v>45818</v>
      </c>
      <c r="B898" s="8">
        <f>IF(A898="","",SUM(D898)+SUM(R919:R922)+SUM(AF919:AF922))</f>
        <v>1089</v>
      </c>
      <c r="C898" s="13">
        <v>20061</v>
      </c>
      <c r="D898" s="9">
        <f t="shared" si="706"/>
        <v>169</v>
      </c>
      <c r="E898" s="9">
        <v>734</v>
      </c>
      <c r="F898" s="9">
        <f t="shared" si="707"/>
        <v>7</v>
      </c>
      <c r="G898" s="9">
        <v>19</v>
      </c>
      <c r="H898" s="9">
        <f t="shared" si="708"/>
        <v>9</v>
      </c>
      <c r="I898" s="9">
        <v>17</v>
      </c>
      <c r="J898" s="44"/>
      <c r="K898" s="44">
        <f t="shared" si="709"/>
        <v>385</v>
      </c>
      <c r="L898" s="9">
        <f t="shared" si="710"/>
        <v>3465</v>
      </c>
      <c r="M898" s="10">
        <f t="shared" si="711"/>
        <v>0.20502958579881655</v>
      </c>
      <c r="N898" s="34"/>
      <c r="O898" s="2"/>
      <c r="P898" s="80"/>
      <c r="Q898" s="21">
        <v>3750</v>
      </c>
      <c r="R898" s="50">
        <f t="shared" si="712"/>
        <v>191</v>
      </c>
      <c r="S898" s="51">
        <v>144</v>
      </c>
      <c r="T898" s="19">
        <f t="shared" si="713"/>
        <v>4</v>
      </c>
      <c r="U898" s="19">
        <v>6</v>
      </c>
      <c r="V898" s="19">
        <f t="shared" si="714"/>
        <v>4</v>
      </c>
      <c r="W898" s="37">
        <v>4</v>
      </c>
      <c r="X898" s="22" t="str">
        <f t="shared" si="715"/>
        <v>サンリオファン</v>
      </c>
      <c r="Y898" s="51">
        <f t="shared" si="716"/>
        <v>1100</v>
      </c>
      <c r="Z898" s="19">
        <f t="shared" si="717"/>
        <v>4400</v>
      </c>
      <c r="AA898" s="20">
        <f t="shared" si="718"/>
        <v>0.23036649214659685</v>
      </c>
      <c r="AB898" s="11"/>
      <c r="AC898" s="1"/>
      <c r="AD898" s="80"/>
      <c r="AE898" s="21">
        <v>3579</v>
      </c>
      <c r="AF898" s="50">
        <f t="shared" si="719"/>
        <v>65</v>
      </c>
      <c r="AG898" s="51">
        <v>94</v>
      </c>
      <c r="AH898" s="19">
        <f t="shared" si="720"/>
        <v>9</v>
      </c>
      <c r="AI898" s="19">
        <v>45</v>
      </c>
      <c r="AJ898" s="19">
        <f t="shared" si="721"/>
        <v>11</v>
      </c>
      <c r="AK898" s="37">
        <v>0</v>
      </c>
      <c r="AL898" s="22" t="str">
        <f t="shared" si="722"/>
        <v>SPGマスコット</v>
      </c>
      <c r="AM898" s="51">
        <f t="shared" si="723"/>
        <v>165</v>
      </c>
      <c r="AN898" s="19">
        <f t="shared" si="724"/>
        <v>1815</v>
      </c>
      <c r="AO898" s="20">
        <f t="shared" si="725"/>
        <v>0.27923076923076923</v>
      </c>
      <c r="AP898" s="11" t="s">
        <v>30</v>
      </c>
    </row>
    <row r="899" spans="1:42" ht="15.75" thickTop="1">
      <c r="A899" s="12">
        <v>45821</v>
      </c>
      <c r="B899" s="8">
        <f>IF(A899="","",SUM(D899)+SUM(R923:R926)+SUM(AF923:AF926))</f>
        <v>756</v>
      </c>
      <c r="C899" s="13">
        <v>20185</v>
      </c>
      <c r="D899" s="9">
        <f t="shared" si="706"/>
        <v>124</v>
      </c>
      <c r="E899" s="9">
        <v>737</v>
      </c>
      <c r="F899" s="9">
        <f t="shared" si="707"/>
        <v>3</v>
      </c>
      <c r="G899" s="9">
        <v>29</v>
      </c>
      <c r="H899" s="9">
        <f t="shared" si="708"/>
        <v>7</v>
      </c>
      <c r="I899" s="9">
        <v>8</v>
      </c>
      <c r="J899" s="44"/>
      <c r="K899" s="44">
        <f t="shared" si="709"/>
        <v>385</v>
      </c>
      <c r="L899" s="9">
        <f t="shared" si="710"/>
        <v>2695</v>
      </c>
      <c r="M899" s="10">
        <f t="shared" si="711"/>
        <v>0.21733870967741936</v>
      </c>
      <c r="N899" s="34"/>
      <c r="O899" s="2"/>
      <c r="P899" s="65">
        <f>IF($A893="","",$A893)</f>
        <v>45800</v>
      </c>
      <c r="Q899" s="44">
        <v>3660</v>
      </c>
      <c r="R899" s="44">
        <f t="shared" ref="R899:R946" si="726">IF(Q899="","",Q899-Q895)</f>
        <v>51</v>
      </c>
      <c r="S899" s="44">
        <v>81</v>
      </c>
      <c r="T899" s="23">
        <f t="shared" ref="T899:T946" si="727">IF(S899="","",S899-S895)</f>
        <v>1</v>
      </c>
      <c r="U899" s="44">
        <v>26</v>
      </c>
      <c r="V899" s="44">
        <f t="shared" ref="V899:V946" si="728">IF(U899="","",U895+W895-U899)</f>
        <v>1</v>
      </c>
      <c r="W899" s="66">
        <v>-20</v>
      </c>
      <c r="X899" s="61" t="str">
        <f t="shared" ref="X899:X906" si="729">IF(Q899="","",X895)</f>
        <v>ゴールドイヤホン</v>
      </c>
      <c r="Y899" s="62">
        <f t="shared" ref="Y899:Y906" si="730">IF(R899="","",Y895)</f>
        <v>770</v>
      </c>
      <c r="Z899" s="23">
        <f t="shared" ref="Z899:Z946" si="731">IF(U899="","",V899*Y899)</f>
        <v>770</v>
      </c>
      <c r="AA899" s="24">
        <f t="shared" ref="AA899:AA946" si="732">IF(V899="","",Z899/(R899*100))</f>
        <v>0.15098039215686274</v>
      </c>
      <c r="AB899" s="11" t="s">
        <v>78</v>
      </c>
      <c r="AC899" s="1"/>
      <c r="AD899" s="65">
        <f>IF($A893="","",$A893)</f>
        <v>45800</v>
      </c>
      <c r="AE899" s="44">
        <v>3601</v>
      </c>
      <c r="AF899" s="44">
        <f t="shared" ref="AF899:AF946" si="733">IF(AE899="","",AE899-AE895)</f>
        <v>58</v>
      </c>
      <c r="AG899" s="44">
        <v>98</v>
      </c>
      <c r="AH899" s="23">
        <f t="shared" ref="AH899:AH946" si="734">IF(AG899="","",AG899-AG895)</f>
        <v>2</v>
      </c>
      <c r="AI899" s="44">
        <v>6</v>
      </c>
      <c r="AJ899" s="44">
        <f t="shared" ref="AJ899:AJ946" si="735">IF(AI899="","",AI895+AK895-AI899)</f>
        <v>2</v>
      </c>
      <c r="AK899" s="66">
        <v>8</v>
      </c>
      <c r="AL899" s="61" t="str">
        <f t="shared" si="722"/>
        <v>ミニカメラ</v>
      </c>
      <c r="AM899" s="62">
        <f t="shared" si="723"/>
        <v>710</v>
      </c>
      <c r="AN899" s="23">
        <f t="shared" si="724"/>
        <v>1420</v>
      </c>
      <c r="AO899" s="24">
        <f t="shared" si="725"/>
        <v>0.24482758620689654</v>
      </c>
      <c r="AP899" s="11" t="s">
        <v>79</v>
      </c>
    </row>
    <row r="900" spans="1:42">
      <c r="A900" s="12"/>
      <c r="B900" s="8"/>
      <c r="C900" s="13"/>
      <c r="D900" s="9"/>
      <c r="E900" s="9"/>
      <c r="F900" s="9"/>
      <c r="G900" s="9"/>
      <c r="H900" s="9"/>
      <c r="I900" s="9"/>
      <c r="J900" s="44"/>
      <c r="K900" s="44"/>
      <c r="L900" s="9"/>
      <c r="M900" s="10"/>
      <c r="N900" s="34"/>
      <c r="O900" s="2"/>
      <c r="P900" s="12"/>
      <c r="Q900" s="44">
        <v>4477</v>
      </c>
      <c r="R900" s="9">
        <f t="shared" si="726"/>
        <v>76</v>
      </c>
      <c r="S900" s="9">
        <v>109</v>
      </c>
      <c r="T900" s="9">
        <f t="shared" si="727"/>
        <v>1</v>
      </c>
      <c r="U900" s="9">
        <v>11</v>
      </c>
      <c r="V900" s="9">
        <f t="shared" si="728"/>
        <v>1</v>
      </c>
      <c r="W900" s="13">
        <v>0</v>
      </c>
      <c r="X900" s="47" t="str">
        <f t="shared" si="729"/>
        <v>じゃがりこイヤホン</v>
      </c>
      <c r="Y900" s="45">
        <f t="shared" si="730"/>
        <v>1100</v>
      </c>
      <c r="Z900" s="9">
        <f t="shared" si="731"/>
        <v>1100</v>
      </c>
      <c r="AA900" s="10">
        <f t="shared" si="732"/>
        <v>0.14473684210526316</v>
      </c>
      <c r="AB900" s="11"/>
      <c r="AC900" s="1"/>
      <c r="AD900" s="12"/>
      <c r="AE900" s="44">
        <v>4726</v>
      </c>
      <c r="AF900" s="9">
        <f t="shared" si="733"/>
        <v>97</v>
      </c>
      <c r="AG900" s="9">
        <v>83</v>
      </c>
      <c r="AH900" s="9">
        <f t="shared" si="734"/>
        <v>1</v>
      </c>
      <c r="AI900" s="9">
        <v>10</v>
      </c>
      <c r="AJ900" s="9">
        <f t="shared" si="735"/>
        <v>1</v>
      </c>
      <c r="AK900" s="13">
        <v>0</v>
      </c>
      <c r="AL900" s="47" t="str">
        <f t="shared" si="722"/>
        <v>ジャグラーボタン</v>
      </c>
      <c r="AM900" s="45">
        <f t="shared" si="723"/>
        <v>748</v>
      </c>
      <c r="AN900" s="9">
        <f t="shared" si="724"/>
        <v>748</v>
      </c>
      <c r="AO900" s="10">
        <f t="shared" si="725"/>
        <v>7.7113402061855671E-2</v>
      </c>
      <c r="AP900" s="11"/>
    </row>
    <row r="901" spans="1:42">
      <c r="A901" s="12"/>
      <c r="B901" s="8" t="str">
        <f>IF(A901="","",SUM(D901)+SUM(R931:R934)+SUM(AF931:AF934))</f>
        <v/>
      </c>
      <c r="C901" s="13"/>
      <c r="D901" s="9" t="str">
        <f t="shared" si="706"/>
        <v/>
      </c>
      <c r="E901" s="9"/>
      <c r="F901" s="9" t="str">
        <f t="shared" si="707"/>
        <v/>
      </c>
      <c r="G901" s="9"/>
      <c r="H901" s="9" t="str">
        <f t="shared" si="708"/>
        <v/>
      </c>
      <c r="I901" s="9"/>
      <c r="J901" s="44"/>
      <c r="K901" s="44" t="str">
        <f t="shared" si="709"/>
        <v/>
      </c>
      <c r="L901" s="9" t="str">
        <f t="shared" si="710"/>
        <v/>
      </c>
      <c r="M901" s="10" t="str">
        <f t="shared" si="711"/>
        <v/>
      </c>
      <c r="N901" s="34"/>
      <c r="O901" s="2"/>
      <c r="P901" s="12"/>
      <c r="Q901" s="52">
        <v>4352</v>
      </c>
      <c r="R901" s="9">
        <f t="shared" si="726"/>
        <v>154</v>
      </c>
      <c r="S901" s="9">
        <v>237</v>
      </c>
      <c r="T901" s="9">
        <f t="shared" si="727"/>
        <v>4</v>
      </c>
      <c r="U901" s="9">
        <v>15</v>
      </c>
      <c r="V901" s="9">
        <f t="shared" si="728"/>
        <v>4</v>
      </c>
      <c r="W901" s="13">
        <v>2</v>
      </c>
      <c r="X901" s="47" t="str">
        <f t="shared" si="729"/>
        <v>ギャルキティキーケース</v>
      </c>
      <c r="Y901" s="9">
        <f t="shared" si="730"/>
        <v>726</v>
      </c>
      <c r="Z901" s="9">
        <f t="shared" si="731"/>
        <v>2904</v>
      </c>
      <c r="AA901" s="10">
        <f t="shared" si="732"/>
        <v>0.18857142857142858</v>
      </c>
      <c r="AB901" s="11"/>
      <c r="AC901" s="1"/>
      <c r="AD901" s="12"/>
      <c r="AE901" s="52">
        <v>3916</v>
      </c>
      <c r="AF901" s="9">
        <f t="shared" si="733"/>
        <v>30</v>
      </c>
      <c r="AG901" s="9">
        <v>141</v>
      </c>
      <c r="AH901" s="9">
        <f t="shared" si="734"/>
        <v>5</v>
      </c>
      <c r="AI901" s="9">
        <v>155</v>
      </c>
      <c r="AJ901" s="9">
        <f t="shared" si="735"/>
        <v>5</v>
      </c>
      <c r="AK901" s="13">
        <v>0</v>
      </c>
      <c r="AL901" s="47" t="str">
        <f t="shared" si="722"/>
        <v>SPGラバー</v>
      </c>
      <c r="AM901" s="9">
        <f t="shared" si="723"/>
        <v>187</v>
      </c>
      <c r="AN901" s="9">
        <f t="shared" si="724"/>
        <v>935</v>
      </c>
      <c r="AO901" s="10">
        <f t="shared" si="725"/>
        <v>0.31166666666666665</v>
      </c>
      <c r="AP901" s="11"/>
    </row>
    <row r="902" spans="1:42" ht="15" customHeight="1" thickBot="1">
      <c r="A902" s="12"/>
      <c r="B902" s="8"/>
      <c r="C902" s="13"/>
      <c r="D902" s="9" t="str">
        <f t="shared" si="706"/>
        <v/>
      </c>
      <c r="E902" s="9"/>
      <c r="F902" s="9" t="str">
        <f t="shared" si="707"/>
        <v/>
      </c>
      <c r="G902" s="9"/>
      <c r="H902" s="9" t="str">
        <f t="shared" si="708"/>
        <v/>
      </c>
      <c r="I902" s="9"/>
      <c r="J902" s="44"/>
      <c r="K902" s="44" t="str">
        <f t="shared" si="709"/>
        <v/>
      </c>
      <c r="L902" s="9" t="str">
        <f t="shared" si="710"/>
        <v/>
      </c>
      <c r="M902" s="10" t="str">
        <f t="shared" si="711"/>
        <v/>
      </c>
      <c r="N902" s="11"/>
      <c r="O902" s="2"/>
      <c r="P902" s="80"/>
      <c r="Q902" s="50">
        <v>3893</v>
      </c>
      <c r="R902" s="51">
        <f t="shared" si="726"/>
        <v>143</v>
      </c>
      <c r="S902" s="19">
        <v>144</v>
      </c>
      <c r="T902" s="19">
        <f t="shared" si="727"/>
        <v>0</v>
      </c>
      <c r="U902" s="19">
        <v>7</v>
      </c>
      <c r="V902" s="19">
        <f t="shared" si="728"/>
        <v>3</v>
      </c>
      <c r="W902" s="37">
        <v>0</v>
      </c>
      <c r="X902" s="48" t="str">
        <f t="shared" si="729"/>
        <v>サンリオファン</v>
      </c>
      <c r="Y902" s="51">
        <f t="shared" si="730"/>
        <v>1100</v>
      </c>
      <c r="Z902" s="19">
        <f t="shared" si="731"/>
        <v>3300</v>
      </c>
      <c r="AA902" s="20">
        <f t="shared" si="732"/>
        <v>0.23076923076923078</v>
      </c>
      <c r="AB902" s="11"/>
      <c r="AC902" s="1"/>
      <c r="AD902" s="80"/>
      <c r="AE902" s="50">
        <v>3611</v>
      </c>
      <c r="AF902" s="51">
        <f t="shared" si="733"/>
        <v>32</v>
      </c>
      <c r="AG902" s="19">
        <v>96</v>
      </c>
      <c r="AH902" s="19">
        <f t="shared" si="734"/>
        <v>2</v>
      </c>
      <c r="AI902" s="19">
        <v>43</v>
      </c>
      <c r="AJ902" s="19">
        <f t="shared" si="735"/>
        <v>2</v>
      </c>
      <c r="AK902" s="37">
        <v>0</v>
      </c>
      <c r="AL902" s="48" t="str">
        <f t="shared" si="722"/>
        <v>SPGマスコット</v>
      </c>
      <c r="AM902" s="51">
        <f t="shared" si="723"/>
        <v>165</v>
      </c>
      <c r="AN902" s="19">
        <f t="shared" si="724"/>
        <v>330</v>
      </c>
      <c r="AO902" s="20">
        <f t="shared" si="725"/>
        <v>0.10312499999999999</v>
      </c>
      <c r="AP902" s="11"/>
    </row>
    <row r="903" spans="1:42" ht="15" customHeight="1" thickTop="1">
      <c r="A903" s="12"/>
      <c r="B903" s="8"/>
      <c r="C903" s="13"/>
      <c r="D903" s="9" t="str">
        <f t="shared" si="706"/>
        <v/>
      </c>
      <c r="E903" s="9"/>
      <c r="F903" s="9" t="str">
        <f t="shared" si="707"/>
        <v/>
      </c>
      <c r="G903" s="9"/>
      <c r="H903" s="9" t="str">
        <f t="shared" si="708"/>
        <v/>
      </c>
      <c r="I903" s="9"/>
      <c r="J903" s="44"/>
      <c r="K903" s="44" t="str">
        <f t="shared" si="709"/>
        <v/>
      </c>
      <c r="L903" s="9" t="str">
        <f t="shared" si="710"/>
        <v/>
      </c>
      <c r="M903" s="10" t="str">
        <f t="shared" si="711"/>
        <v/>
      </c>
      <c r="N903" s="11"/>
      <c r="O903" s="2"/>
      <c r="P903" s="65">
        <f>IF($A894="","",$A894)</f>
        <v>45803</v>
      </c>
      <c r="Q903" s="44">
        <v>3852</v>
      </c>
      <c r="R903" s="44">
        <f t="shared" si="726"/>
        <v>192</v>
      </c>
      <c r="S903" s="44">
        <v>84</v>
      </c>
      <c r="T903" s="23">
        <f t="shared" si="727"/>
        <v>3</v>
      </c>
      <c r="U903" s="44">
        <v>3</v>
      </c>
      <c r="V903" s="44">
        <f t="shared" si="728"/>
        <v>3</v>
      </c>
      <c r="W903" s="66">
        <v>0</v>
      </c>
      <c r="X903" s="61" t="s">
        <v>54</v>
      </c>
      <c r="Y903" s="62">
        <v>710</v>
      </c>
      <c r="Z903" s="23">
        <f t="shared" si="731"/>
        <v>2130</v>
      </c>
      <c r="AA903" s="24">
        <f t="shared" si="732"/>
        <v>0.11093749999999999</v>
      </c>
      <c r="AB903" s="11"/>
      <c r="AC903" s="1"/>
      <c r="AD903" s="65">
        <f>IF($A894="","",$A894)</f>
        <v>45803</v>
      </c>
      <c r="AE903" s="44">
        <v>3716</v>
      </c>
      <c r="AF903" s="44">
        <f t="shared" si="733"/>
        <v>115</v>
      </c>
      <c r="AG903" s="44">
        <v>100</v>
      </c>
      <c r="AH903" s="23">
        <f t="shared" si="734"/>
        <v>2</v>
      </c>
      <c r="AI903" s="44">
        <v>12</v>
      </c>
      <c r="AJ903" s="44">
        <f t="shared" si="735"/>
        <v>2</v>
      </c>
      <c r="AK903" s="66">
        <v>4</v>
      </c>
      <c r="AL903" s="15" t="s">
        <v>31</v>
      </c>
      <c r="AM903" s="45">
        <v>1100</v>
      </c>
      <c r="AN903" s="23">
        <f t="shared" si="724"/>
        <v>2200</v>
      </c>
      <c r="AO903" s="24">
        <f t="shared" si="725"/>
        <v>0.19130434782608696</v>
      </c>
      <c r="AP903" s="11"/>
    </row>
    <row r="904" spans="1:42">
      <c r="A904" s="12"/>
      <c r="B904" s="8"/>
      <c r="C904" s="13"/>
      <c r="D904" s="9" t="str">
        <f t="shared" si="706"/>
        <v/>
      </c>
      <c r="E904" s="9"/>
      <c r="F904" s="9" t="str">
        <f t="shared" si="707"/>
        <v/>
      </c>
      <c r="G904" s="9"/>
      <c r="H904" s="9" t="str">
        <f t="shared" si="708"/>
        <v/>
      </c>
      <c r="I904" s="9"/>
      <c r="J904" s="44"/>
      <c r="K904" s="44" t="str">
        <f t="shared" si="709"/>
        <v/>
      </c>
      <c r="L904" s="9" t="str">
        <f t="shared" si="710"/>
        <v/>
      </c>
      <c r="M904" s="10" t="str">
        <f t="shared" si="711"/>
        <v/>
      </c>
      <c r="N904" s="11"/>
      <c r="O904" s="2"/>
      <c r="P904" s="12"/>
      <c r="Q904" s="9">
        <v>4528</v>
      </c>
      <c r="R904" s="44">
        <f t="shared" si="726"/>
        <v>51</v>
      </c>
      <c r="S904" s="9">
        <v>111</v>
      </c>
      <c r="T904" s="9">
        <f t="shared" si="727"/>
        <v>2</v>
      </c>
      <c r="U904" s="9">
        <v>9</v>
      </c>
      <c r="V904" s="9">
        <f t="shared" si="728"/>
        <v>2</v>
      </c>
      <c r="W904" s="13">
        <v>0</v>
      </c>
      <c r="X904" s="47" t="s">
        <v>81</v>
      </c>
      <c r="Y904" s="45">
        <f t="shared" si="730"/>
        <v>1100</v>
      </c>
      <c r="Z904" s="9">
        <f t="shared" si="731"/>
        <v>2200</v>
      </c>
      <c r="AA904" s="10">
        <f t="shared" si="732"/>
        <v>0.43137254901960786</v>
      </c>
      <c r="AB904" s="11" t="s">
        <v>80</v>
      </c>
      <c r="AC904" s="1"/>
      <c r="AD904" s="12"/>
      <c r="AE904" s="9">
        <v>4783</v>
      </c>
      <c r="AF904" s="44">
        <f t="shared" si="733"/>
        <v>57</v>
      </c>
      <c r="AG904" s="9">
        <v>84</v>
      </c>
      <c r="AH904" s="9">
        <f t="shared" si="734"/>
        <v>1</v>
      </c>
      <c r="AI904" s="9">
        <v>9</v>
      </c>
      <c r="AJ904" s="9">
        <f t="shared" si="735"/>
        <v>1</v>
      </c>
      <c r="AK904" s="13">
        <v>0</v>
      </c>
      <c r="AL904" s="15" t="str">
        <f t="shared" si="722"/>
        <v>ジャグラーボタン</v>
      </c>
      <c r="AM904" s="45">
        <f t="shared" si="723"/>
        <v>748</v>
      </c>
      <c r="AN904" s="9">
        <f t="shared" si="724"/>
        <v>748</v>
      </c>
      <c r="AO904" s="10">
        <f t="shared" si="725"/>
        <v>0.13122807017543861</v>
      </c>
      <c r="AP904" s="11"/>
    </row>
    <row r="905" spans="1:42">
      <c r="A905" s="12"/>
      <c r="B905" s="8"/>
      <c r="C905" s="13"/>
      <c r="D905" s="9"/>
      <c r="E905" s="9"/>
      <c r="F905" s="9"/>
      <c r="G905" s="9"/>
      <c r="H905" s="9"/>
      <c r="I905" s="9"/>
      <c r="J905" s="44"/>
      <c r="K905" s="44"/>
      <c r="L905" s="9"/>
      <c r="M905" s="10"/>
      <c r="N905" s="11"/>
      <c r="O905" s="2"/>
      <c r="P905" s="25"/>
      <c r="Q905" s="26">
        <v>4520</v>
      </c>
      <c r="R905" s="44">
        <f t="shared" si="726"/>
        <v>168</v>
      </c>
      <c r="S905" s="26">
        <v>241</v>
      </c>
      <c r="T905" s="9">
        <f t="shared" si="727"/>
        <v>4</v>
      </c>
      <c r="U905" s="26">
        <v>16</v>
      </c>
      <c r="V905" s="9">
        <f t="shared" si="728"/>
        <v>1</v>
      </c>
      <c r="W905" s="38">
        <v>0</v>
      </c>
      <c r="X905" s="47" t="str">
        <f t="shared" si="729"/>
        <v>ギャルキティキーケース</v>
      </c>
      <c r="Y905" s="9">
        <f t="shared" si="730"/>
        <v>726</v>
      </c>
      <c r="Z905" s="9">
        <f t="shared" si="731"/>
        <v>726</v>
      </c>
      <c r="AA905" s="10">
        <f t="shared" si="732"/>
        <v>4.3214285714285712E-2</v>
      </c>
      <c r="AB905" s="11"/>
      <c r="AD905" s="25"/>
      <c r="AE905" s="26">
        <v>4080</v>
      </c>
      <c r="AF905" s="44">
        <f t="shared" si="733"/>
        <v>164</v>
      </c>
      <c r="AG905" s="26">
        <v>149</v>
      </c>
      <c r="AH905" s="9">
        <f t="shared" si="734"/>
        <v>8</v>
      </c>
      <c r="AI905" s="26">
        <v>145</v>
      </c>
      <c r="AJ905" s="9">
        <f t="shared" si="735"/>
        <v>10</v>
      </c>
      <c r="AK905" s="38">
        <v>0</v>
      </c>
      <c r="AL905" s="15" t="str">
        <f t="shared" si="722"/>
        <v>SPGラバー</v>
      </c>
      <c r="AM905" s="45">
        <f t="shared" si="723"/>
        <v>187</v>
      </c>
      <c r="AN905" s="9">
        <f t="shared" si="724"/>
        <v>1870</v>
      </c>
      <c r="AO905" s="10">
        <f t="shared" si="725"/>
        <v>0.11402439024390244</v>
      </c>
      <c r="AP905" s="11"/>
    </row>
    <row r="906" spans="1:42" ht="15" customHeight="1" thickBot="1">
      <c r="A906" s="12"/>
      <c r="B906" s="8"/>
      <c r="C906" s="13"/>
      <c r="D906" s="9" t="str">
        <f>IF(C906="","",C906-C907)</f>
        <v/>
      </c>
      <c r="E906" s="9"/>
      <c r="F906" s="9" t="str">
        <f>IF(E906="","",E906-E907)</f>
        <v/>
      </c>
      <c r="G906" s="9"/>
      <c r="H906" s="9" t="str">
        <f>IF(G906="","",G907+I907-G906)</f>
        <v/>
      </c>
      <c r="I906" s="9"/>
      <c r="J906" s="44"/>
      <c r="K906" s="44" t="str">
        <f>IF(C906="","",K907)</f>
        <v/>
      </c>
      <c r="L906" s="9" t="str">
        <f t="shared" ref="L906:L944" si="736">IF(K906="","",H906*K906)</f>
        <v/>
      </c>
      <c r="M906" s="10" t="str">
        <f t="shared" ref="M906:M944" si="737">IF(L906="","",L906/(D906*100))</f>
        <v/>
      </c>
      <c r="N906" s="11"/>
      <c r="O906" s="2"/>
      <c r="P906" s="18"/>
      <c r="Q906" s="19">
        <v>4033</v>
      </c>
      <c r="R906" s="50">
        <f t="shared" si="726"/>
        <v>140</v>
      </c>
      <c r="S906" s="19">
        <v>148</v>
      </c>
      <c r="T906" s="19">
        <f t="shared" si="727"/>
        <v>4</v>
      </c>
      <c r="U906" s="19">
        <v>3</v>
      </c>
      <c r="V906" s="19">
        <f t="shared" si="728"/>
        <v>4</v>
      </c>
      <c r="W906" s="37">
        <v>0</v>
      </c>
      <c r="X906" s="48" t="str">
        <f t="shared" si="729"/>
        <v>サンリオファン</v>
      </c>
      <c r="Y906" s="51">
        <f t="shared" si="730"/>
        <v>1100</v>
      </c>
      <c r="Z906" s="19">
        <f t="shared" si="731"/>
        <v>4400</v>
      </c>
      <c r="AA906" s="20">
        <f t="shared" si="732"/>
        <v>0.31428571428571428</v>
      </c>
      <c r="AB906" s="11"/>
      <c r="AD906" s="18"/>
      <c r="AE906" s="19">
        <v>3708</v>
      </c>
      <c r="AF906" s="50">
        <f t="shared" si="733"/>
        <v>97</v>
      </c>
      <c r="AG906" s="19">
        <v>105</v>
      </c>
      <c r="AH906" s="19">
        <f t="shared" si="734"/>
        <v>9</v>
      </c>
      <c r="AI906" s="19">
        <v>34</v>
      </c>
      <c r="AJ906" s="19">
        <f t="shared" si="735"/>
        <v>9</v>
      </c>
      <c r="AK906" s="37">
        <v>0</v>
      </c>
      <c r="AL906" s="22" t="str">
        <f t="shared" si="722"/>
        <v>SPGマスコット</v>
      </c>
      <c r="AM906" s="51">
        <f t="shared" si="723"/>
        <v>165</v>
      </c>
      <c r="AN906" s="19">
        <f t="shared" si="724"/>
        <v>1485</v>
      </c>
      <c r="AO906" s="20">
        <f t="shared" si="725"/>
        <v>0.15309278350515465</v>
      </c>
      <c r="AP906" s="11"/>
    </row>
    <row r="907" spans="1:42" ht="15" customHeight="1" thickTop="1">
      <c r="A907" s="12"/>
      <c r="B907" s="8"/>
      <c r="C907" s="13"/>
      <c r="D907" s="9" t="str">
        <f>IF(C907="","",C907-C904)</f>
        <v/>
      </c>
      <c r="E907" s="9"/>
      <c r="F907" s="9" t="str">
        <f>IF(E907="","",E907-E904)</f>
        <v/>
      </c>
      <c r="G907" s="9"/>
      <c r="H907" s="9" t="str">
        <f>IF(G907="","",G904+I904-G907)</f>
        <v/>
      </c>
      <c r="I907" s="9"/>
      <c r="J907" s="44"/>
      <c r="K907" s="44" t="str">
        <f>IF(C907="","",K904)</f>
        <v/>
      </c>
      <c r="L907" s="9" t="str">
        <f t="shared" si="736"/>
        <v/>
      </c>
      <c r="M907" s="10" t="str">
        <f t="shared" si="737"/>
        <v/>
      </c>
      <c r="N907" s="11"/>
      <c r="O907" s="2"/>
      <c r="P907" s="65">
        <f>IF($A895="","",$A895)</f>
        <v>45807</v>
      </c>
      <c r="Q907" s="44">
        <v>3958</v>
      </c>
      <c r="R907" s="44">
        <f t="shared" si="726"/>
        <v>106</v>
      </c>
      <c r="S907" s="44">
        <v>85</v>
      </c>
      <c r="T907" s="23">
        <f t="shared" si="727"/>
        <v>1</v>
      </c>
      <c r="U907" s="44">
        <v>2</v>
      </c>
      <c r="V907" s="44">
        <f t="shared" si="728"/>
        <v>1</v>
      </c>
      <c r="W907" s="66">
        <v>0</v>
      </c>
      <c r="X907" s="61" t="str">
        <f t="shared" ref="X907:X914" si="738">IF(Q907="","",X903)</f>
        <v>デジタルミニカメラ</v>
      </c>
      <c r="Y907" s="62">
        <f t="shared" ref="Y907:Y914" si="739">IF(R907="","",Y903)</f>
        <v>710</v>
      </c>
      <c r="Z907" s="23">
        <f t="shared" ref="Z907:Z914" si="740">IF(U907="","",V907*Y907)</f>
        <v>710</v>
      </c>
      <c r="AA907" s="24">
        <f t="shared" ref="AA907:AA914" si="741">IF(V907="","",Z907/(R907*100))</f>
        <v>6.6981132075471697E-2</v>
      </c>
      <c r="AB907" s="11"/>
      <c r="AD907" s="65">
        <f>IF($A895="","",$A895)</f>
        <v>45807</v>
      </c>
      <c r="AE907" s="44">
        <v>3748</v>
      </c>
      <c r="AF907" s="44">
        <f t="shared" si="733"/>
        <v>32</v>
      </c>
      <c r="AG907" s="44">
        <v>101</v>
      </c>
      <c r="AH907" s="23">
        <f t="shared" si="734"/>
        <v>1</v>
      </c>
      <c r="AI907" s="44">
        <v>15</v>
      </c>
      <c r="AJ907" s="44">
        <f t="shared" si="735"/>
        <v>1</v>
      </c>
      <c r="AK907" s="66">
        <v>2</v>
      </c>
      <c r="AL907" s="15" t="str">
        <f t="shared" si="722"/>
        <v>ジャグラーイヤホン</v>
      </c>
      <c r="AM907" s="45">
        <f t="shared" si="723"/>
        <v>1100</v>
      </c>
      <c r="AN907" s="23">
        <f t="shared" si="724"/>
        <v>1100</v>
      </c>
      <c r="AO907" s="24">
        <f t="shared" si="725"/>
        <v>0.34375</v>
      </c>
      <c r="AP907" s="11"/>
    </row>
    <row r="908" spans="1:42">
      <c r="A908" s="12"/>
      <c r="B908" s="8"/>
      <c r="C908" s="13"/>
      <c r="D908" s="9" t="str">
        <f>IF(C908="","",C908-C906)</f>
        <v/>
      </c>
      <c r="E908" s="9"/>
      <c r="F908" s="9" t="str">
        <f>IF(E908="","",E908-E906)</f>
        <v/>
      </c>
      <c r="G908" s="9"/>
      <c r="H908" s="9" t="str">
        <f>IF(G908="","",G906+I906-G908)</f>
        <v/>
      </c>
      <c r="I908" s="9"/>
      <c r="J908" s="44"/>
      <c r="K908" s="44" t="str">
        <f>IF(C908="","",K906)</f>
        <v/>
      </c>
      <c r="L908" s="9" t="str">
        <f t="shared" si="736"/>
        <v/>
      </c>
      <c r="M908" s="10" t="str">
        <f t="shared" si="737"/>
        <v/>
      </c>
      <c r="N908" s="11"/>
      <c r="O908" s="2"/>
      <c r="P908" s="65"/>
      <c r="Q908" s="9">
        <v>4554</v>
      </c>
      <c r="R908" s="9">
        <f t="shared" si="726"/>
        <v>26</v>
      </c>
      <c r="S908" s="9">
        <v>111</v>
      </c>
      <c r="T908" s="9">
        <f t="shared" si="727"/>
        <v>0</v>
      </c>
      <c r="U908" s="9">
        <v>9</v>
      </c>
      <c r="V908" s="9">
        <f t="shared" si="728"/>
        <v>0</v>
      </c>
      <c r="W908" s="13">
        <v>0</v>
      </c>
      <c r="X908" s="47" t="str">
        <f t="shared" si="738"/>
        <v>パイの実イヤホン</v>
      </c>
      <c r="Y908" s="45">
        <f t="shared" si="739"/>
        <v>1100</v>
      </c>
      <c r="Z908" s="9">
        <f t="shared" si="740"/>
        <v>0</v>
      </c>
      <c r="AA908" s="10">
        <f t="shared" si="741"/>
        <v>0</v>
      </c>
      <c r="AB908" s="11" t="s">
        <v>14</v>
      </c>
      <c r="AD908" s="65"/>
      <c r="AE908" s="9">
        <v>4856</v>
      </c>
      <c r="AF908" s="9">
        <f t="shared" si="733"/>
        <v>73</v>
      </c>
      <c r="AG908" s="9">
        <v>84</v>
      </c>
      <c r="AH908" s="9">
        <f t="shared" si="734"/>
        <v>0</v>
      </c>
      <c r="AI908" s="9">
        <v>9</v>
      </c>
      <c r="AJ908" s="9">
        <f t="shared" si="735"/>
        <v>0</v>
      </c>
      <c r="AK908" s="13">
        <v>0</v>
      </c>
      <c r="AL908" s="15" t="str">
        <f t="shared" si="722"/>
        <v>ジャグラーボタン</v>
      </c>
      <c r="AM908" s="45">
        <f t="shared" si="723"/>
        <v>748</v>
      </c>
      <c r="AN908" s="9">
        <f t="shared" si="724"/>
        <v>0</v>
      </c>
      <c r="AO908" s="10">
        <f t="shared" si="725"/>
        <v>0</v>
      </c>
      <c r="AP908" s="11"/>
    </row>
    <row r="909" spans="1:42" ht="15" customHeight="1">
      <c r="A909" s="12"/>
      <c r="B909" s="8"/>
      <c r="C909" s="13"/>
      <c r="D909" s="9" t="str">
        <f t="shared" ref="D909:D914" si="742">IF(C909="","",C909-C908)</f>
        <v/>
      </c>
      <c r="E909" s="9"/>
      <c r="F909" s="9" t="str">
        <f t="shared" ref="F909:F914" si="743">IF(E909="","",E909-E908)</f>
        <v/>
      </c>
      <c r="G909" s="9"/>
      <c r="H909" s="9" t="str">
        <f t="shared" ref="H909:H914" si="744">IF(G909="","",G908+I908-G909)</f>
        <v/>
      </c>
      <c r="I909" s="9"/>
      <c r="J909" s="44"/>
      <c r="K909" s="44" t="str">
        <f t="shared" ref="K909:K914" si="745">IF(C909="","",K908)</f>
        <v/>
      </c>
      <c r="L909" s="9" t="str">
        <f t="shared" si="736"/>
        <v/>
      </c>
      <c r="M909" s="10" t="str">
        <f t="shared" si="737"/>
        <v/>
      </c>
      <c r="N909" s="11"/>
      <c r="O909" s="2"/>
      <c r="P909" s="65"/>
      <c r="Q909" s="26">
        <v>4641</v>
      </c>
      <c r="R909" s="9">
        <f t="shared" si="726"/>
        <v>121</v>
      </c>
      <c r="S909" s="26">
        <v>247</v>
      </c>
      <c r="T909" s="9">
        <f t="shared" si="727"/>
        <v>6</v>
      </c>
      <c r="U909" s="26">
        <v>11</v>
      </c>
      <c r="V909" s="9">
        <f t="shared" si="728"/>
        <v>5</v>
      </c>
      <c r="W909" s="38">
        <v>0</v>
      </c>
      <c r="X909" s="47" t="str">
        <f t="shared" si="738"/>
        <v>ギャルキティキーケース</v>
      </c>
      <c r="Y909" s="9">
        <f t="shared" si="739"/>
        <v>726</v>
      </c>
      <c r="Z909" s="9">
        <f t="shared" si="740"/>
        <v>3630</v>
      </c>
      <c r="AA909" s="10">
        <f t="shared" si="741"/>
        <v>0.3</v>
      </c>
      <c r="AB909" s="11"/>
      <c r="AD909" s="65"/>
      <c r="AE909" s="26">
        <v>4163</v>
      </c>
      <c r="AF909" s="9">
        <f t="shared" si="733"/>
        <v>83</v>
      </c>
      <c r="AG909" s="26">
        <v>154</v>
      </c>
      <c r="AH909" s="9">
        <f t="shared" si="734"/>
        <v>5</v>
      </c>
      <c r="AI909" s="26">
        <v>135</v>
      </c>
      <c r="AJ909" s="9">
        <f t="shared" si="735"/>
        <v>10</v>
      </c>
      <c r="AK909" s="38">
        <v>0</v>
      </c>
      <c r="AL909" s="15" t="str">
        <f t="shared" si="722"/>
        <v>SPGラバー</v>
      </c>
      <c r="AM909" s="45">
        <f t="shared" si="723"/>
        <v>187</v>
      </c>
      <c r="AN909" s="9">
        <f t="shared" si="724"/>
        <v>1870</v>
      </c>
      <c r="AO909" s="10">
        <f t="shared" si="725"/>
        <v>0.2253012048192771</v>
      </c>
      <c r="AP909" s="11"/>
    </row>
    <row r="910" spans="1:42" ht="15" customHeight="1" thickBot="1">
      <c r="A910" s="12"/>
      <c r="B910" s="8"/>
      <c r="C910" s="13"/>
      <c r="D910" s="9" t="str">
        <f t="shared" si="742"/>
        <v/>
      </c>
      <c r="E910" s="9"/>
      <c r="F910" s="9" t="str">
        <f t="shared" si="743"/>
        <v/>
      </c>
      <c r="G910" s="9"/>
      <c r="H910" s="9" t="str">
        <f t="shared" si="744"/>
        <v/>
      </c>
      <c r="I910" s="9"/>
      <c r="J910" s="44"/>
      <c r="K910" s="44" t="str">
        <f t="shared" si="745"/>
        <v/>
      </c>
      <c r="L910" s="9" t="str">
        <f t="shared" si="736"/>
        <v/>
      </c>
      <c r="M910" s="10" t="str">
        <f t="shared" si="737"/>
        <v/>
      </c>
      <c r="N910" s="11"/>
      <c r="O910" s="2"/>
      <c r="P910" s="18"/>
      <c r="Q910" s="19">
        <v>4067</v>
      </c>
      <c r="R910" s="19">
        <f t="shared" si="726"/>
        <v>34</v>
      </c>
      <c r="S910" s="19">
        <v>148</v>
      </c>
      <c r="T910" s="19">
        <f t="shared" si="727"/>
        <v>0</v>
      </c>
      <c r="U910" s="19">
        <v>0</v>
      </c>
      <c r="V910" s="19">
        <f t="shared" si="728"/>
        <v>3</v>
      </c>
      <c r="W910" s="37">
        <v>10</v>
      </c>
      <c r="X910" s="48" t="str">
        <f t="shared" si="738"/>
        <v>サンリオファン</v>
      </c>
      <c r="Y910" s="51">
        <f t="shared" si="739"/>
        <v>1100</v>
      </c>
      <c r="Z910" s="19">
        <f t="shared" si="740"/>
        <v>3300</v>
      </c>
      <c r="AA910" s="20">
        <f t="shared" si="741"/>
        <v>0.97058823529411764</v>
      </c>
      <c r="AB910" s="11" t="s">
        <v>83</v>
      </c>
      <c r="AD910" s="18"/>
      <c r="AE910" s="19">
        <v>3765</v>
      </c>
      <c r="AF910" s="19">
        <f t="shared" si="733"/>
        <v>57</v>
      </c>
      <c r="AG910" s="19">
        <v>111</v>
      </c>
      <c r="AH910" s="19">
        <f t="shared" si="734"/>
        <v>6</v>
      </c>
      <c r="AI910" s="19">
        <v>27</v>
      </c>
      <c r="AJ910" s="19">
        <f t="shared" si="735"/>
        <v>7</v>
      </c>
      <c r="AK910" s="37">
        <v>20</v>
      </c>
      <c r="AL910" s="22" t="str">
        <f t="shared" si="722"/>
        <v>SPGマスコット</v>
      </c>
      <c r="AM910" s="51">
        <f t="shared" si="723"/>
        <v>165</v>
      </c>
      <c r="AN910" s="19">
        <f t="shared" si="724"/>
        <v>1155</v>
      </c>
      <c r="AO910" s="20">
        <f t="shared" si="725"/>
        <v>0.20263157894736841</v>
      </c>
      <c r="AP910" s="11"/>
    </row>
    <row r="911" spans="1:42" ht="15" customHeight="1" thickTop="1">
      <c r="A911" s="12"/>
      <c r="B911" s="8"/>
      <c r="C911" s="13"/>
      <c r="D911" s="9" t="str">
        <f t="shared" si="742"/>
        <v/>
      </c>
      <c r="E911" s="9"/>
      <c r="F911" s="9" t="str">
        <f t="shared" si="743"/>
        <v/>
      </c>
      <c r="G911" s="9"/>
      <c r="H911" s="9" t="str">
        <f t="shared" si="744"/>
        <v/>
      </c>
      <c r="I911" s="9"/>
      <c r="J911" s="44"/>
      <c r="K911" s="44" t="str">
        <f t="shared" si="745"/>
        <v/>
      </c>
      <c r="L911" s="9" t="str">
        <f t="shared" si="736"/>
        <v/>
      </c>
      <c r="M911" s="10" t="str">
        <f t="shared" si="737"/>
        <v/>
      </c>
      <c r="N911" s="11"/>
      <c r="O911" s="2"/>
      <c r="P911" s="65">
        <f>IF($A896="","",$A896)</f>
        <v>45810</v>
      </c>
      <c r="Q911" s="44">
        <v>4102</v>
      </c>
      <c r="R911" s="44">
        <f t="shared" si="726"/>
        <v>144</v>
      </c>
      <c r="S911" s="44">
        <v>88</v>
      </c>
      <c r="T911" s="23">
        <f t="shared" si="727"/>
        <v>3</v>
      </c>
      <c r="U911" s="44">
        <v>1</v>
      </c>
      <c r="V911" s="44">
        <f t="shared" si="728"/>
        <v>1</v>
      </c>
      <c r="W911" s="66">
        <v>3</v>
      </c>
      <c r="X911" s="61" t="str">
        <f t="shared" si="738"/>
        <v>デジタルミニカメラ</v>
      </c>
      <c r="Y911" s="62">
        <f t="shared" si="739"/>
        <v>710</v>
      </c>
      <c r="Z911" s="23">
        <f t="shared" si="740"/>
        <v>710</v>
      </c>
      <c r="AA911" s="24">
        <f t="shared" si="741"/>
        <v>4.9305555555555554E-2</v>
      </c>
      <c r="AB911" s="11"/>
      <c r="AD911" s="65">
        <f>IF($A896="","",$A896)</f>
        <v>45810</v>
      </c>
      <c r="AE911" s="44">
        <v>3845</v>
      </c>
      <c r="AF911" s="44">
        <f t="shared" si="733"/>
        <v>97</v>
      </c>
      <c r="AG911" s="44">
        <v>103</v>
      </c>
      <c r="AH911" s="23">
        <f t="shared" si="734"/>
        <v>2</v>
      </c>
      <c r="AI911" s="44">
        <v>15</v>
      </c>
      <c r="AJ911" s="44">
        <f t="shared" si="735"/>
        <v>2</v>
      </c>
      <c r="AK911" s="66">
        <v>2</v>
      </c>
      <c r="AL911" s="61" t="str">
        <f t="shared" ref="AL911:AL926" si="746">IF(AE911="","",AL907)</f>
        <v>ジャグラーイヤホン</v>
      </c>
      <c r="AM911" s="62">
        <f t="shared" ref="AM911:AM926" si="747">IF(AF911="","",AM907)</f>
        <v>1100</v>
      </c>
      <c r="AN911" s="23">
        <f t="shared" ref="AN911:AN946" si="748">IF(AI911="","",AJ911*AM911)</f>
        <v>2200</v>
      </c>
      <c r="AO911" s="24">
        <f t="shared" ref="AO911:AO946" si="749">IF(AJ911="","",AN911/(AF911*100))</f>
        <v>0.22680412371134021</v>
      </c>
      <c r="AP911" s="11"/>
    </row>
    <row r="912" spans="1:42" ht="15" customHeight="1">
      <c r="A912" s="12"/>
      <c r="B912" s="8"/>
      <c r="C912" s="13"/>
      <c r="D912" s="9" t="str">
        <f t="shared" si="742"/>
        <v/>
      </c>
      <c r="E912" s="9"/>
      <c r="F912" s="9" t="str">
        <f t="shared" si="743"/>
        <v/>
      </c>
      <c r="G912" s="9"/>
      <c r="H912" s="9" t="str">
        <f t="shared" si="744"/>
        <v/>
      </c>
      <c r="I912" s="9"/>
      <c r="J912" s="44"/>
      <c r="K912" s="44" t="str">
        <f t="shared" si="745"/>
        <v/>
      </c>
      <c r="L912" s="9" t="str">
        <f t="shared" si="736"/>
        <v/>
      </c>
      <c r="M912" s="10" t="str">
        <f t="shared" si="737"/>
        <v/>
      </c>
      <c r="N912" s="11"/>
      <c r="O912" s="2"/>
      <c r="P912" s="12"/>
      <c r="Q912" s="9">
        <v>4600</v>
      </c>
      <c r="R912" s="9">
        <f t="shared" si="726"/>
        <v>46</v>
      </c>
      <c r="S912" s="9">
        <v>111</v>
      </c>
      <c r="T912" s="9">
        <f t="shared" si="727"/>
        <v>0</v>
      </c>
      <c r="U912" s="9">
        <v>9</v>
      </c>
      <c r="V912" s="9">
        <f t="shared" si="728"/>
        <v>0</v>
      </c>
      <c r="W912" s="13">
        <v>0</v>
      </c>
      <c r="X912" s="47" t="str">
        <f t="shared" si="738"/>
        <v>パイの実イヤホン</v>
      </c>
      <c r="Y912" s="45">
        <f t="shared" si="739"/>
        <v>1100</v>
      </c>
      <c r="Z912" s="9">
        <f t="shared" si="740"/>
        <v>0</v>
      </c>
      <c r="AA912" s="10">
        <f t="shared" si="741"/>
        <v>0</v>
      </c>
      <c r="AB912" s="11" t="s">
        <v>84</v>
      </c>
      <c r="AD912" s="12"/>
      <c r="AE912" s="9">
        <v>4972</v>
      </c>
      <c r="AF912" s="9">
        <f t="shared" si="733"/>
        <v>116</v>
      </c>
      <c r="AG912" s="9">
        <v>86</v>
      </c>
      <c r="AH912" s="9">
        <f t="shared" si="734"/>
        <v>2</v>
      </c>
      <c r="AI912" s="9">
        <v>8</v>
      </c>
      <c r="AJ912" s="9">
        <f t="shared" si="735"/>
        <v>1</v>
      </c>
      <c r="AK912" s="13">
        <v>0</v>
      </c>
      <c r="AL912" s="47" t="str">
        <f t="shared" si="746"/>
        <v>ジャグラーボタン</v>
      </c>
      <c r="AM912" s="45">
        <f t="shared" si="747"/>
        <v>748</v>
      </c>
      <c r="AN912" s="9">
        <f t="shared" si="748"/>
        <v>748</v>
      </c>
      <c r="AO912" s="10">
        <f t="shared" si="749"/>
        <v>6.4482758620689654E-2</v>
      </c>
      <c r="AP912" s="11"/>
    </row>
    <row r="913" spans="1:42" ht="15" customHeight="1">
      <c r="A913" s="12"/>
      <c r="B913" s="8"/>
      <c r="C913" s="9"/>
      <c r="D913" s="9" t="str">
        <f t="shared" si="742"/>
        <v/>
      </c>
      <c r="E913" s="9"/>
      <c r="F913" s="9" t="str">
        <f t="shared" si="743"/>
        <v/>
      </c>
      <c r="G913" s="9"/>
      <c r="H913" s="9" t="str">
        <f t="shared" si="744"/>
        <v/>
      </c>
      <c r="I913" s="9"/>
      <c r="J913" s="44"/>
      <c r="K913" s="44" t="str">
        <f t="shared" si="745"/>
        <v/>
      </c>
      <c r="L913" s="9" t="str">
        <f t="shared" si="736"/>
        <v/>
      </c>
      <c r="M913" s="10" t="str">
        <f t="shared" si="737"/>
        <v/>
      </c>
      <c r="N913" s="11"/>
      <c r="O913" s="2"/>
      <c r="P913" s="12"/>
      <c r="Q913" s="26">
        <v>4711</v>
      </c>
      <c r="R913" s="9">
        <f t="shared" si="726"/>
        <v>70</v>
      </c>
      <c r="S913" s="26">
        <v>250</v>
      </c>
      <c r="T913" s="9">
        <f t="shared" si="727"/>
        <v>3</v>
      </c>
      <c r="U913" s="9">
        <v>7</v>
      </c>
      <c r="V913" s="9">
        <f t="shared" si="728"/>
        <v>4</v>
      </c>
      <c r="W913" s="13">
        <v>4</v>
      </c>
      <c r="X913" s="47" t="str">
        <f t="shared" si="738"/>
        <v>ギャルキティキーケース</v>
      </c>
      <c r="Y913" s="9">
        <f t="shared" si="739"/>
        <v>726</v>
      </c>
      <c r="Z913" s="9">
        <f t="shared" si="740"/>
        <v>2904</v>
      </c>
      <c r="AA913" s="10">
        <f t="shared" si="741"/>
        <v>0.41485714285714287</v>
      </c>
      <c r="AB913" s="11"/>
      <c r="AD913" s="12"/>
      <c r="AE913" s="26">
        <v>4254</v>
      </c>
      <c r="AF913" s="9">
        <f t="shared" si="733"/>
        <v>91</v>
      </c>
      <c r="AG913" s="26">
        <v>166</v>
      </c>
      <c r="AH913" s="9">
        <f t="shared" si="734"/>
        <v>12</v>
      </c>
      <c r="AI913" s="9">
        <v>120</v>
      </c>
      <c r="AJ913" s="9">
        <f t="shared" si="735"/>
        <v>15</v>
      </c>
      <c r="AK913" s="13">
        <v>20</v>
      </c>
      <c r="AL913" s="47" t="str">
        <f t="shared" si="746"/>
        <v>SPGラバー</v>
      </c>
      <c r="AM913" s="9">
        <f t="shared" si="747"/>
        <v>187</v>
      </c>
      <c r="AN913" s="9">
        <f t="shared" si="748"/>
        <v>2805</v>
      </c>
      <c r="AO913" s="10">
        <f t="shared" si="749"/>
        <v>0.30824175824175826</v>
      </c>
      <c r="AP913" s="11"/>
    </row>
    <row r="914" spans="1:42" ht="15" customHeight="1" thickBot="1">
      <c r="A914" s="12"/>
      <c r="B914" s="8"/>
      <c r="C914" s="9"/>
      <c r="D914" s="9" t="str">
        <f t="shared" si="742"/>
        <v/>
      </c>
      <c r="E914" s="9"/>
      <c r="F914" s="9" t="str">
        <f t="shared" si="743"/>
        <v/>
      </c>
      <c r="G914" s="9"/>
      <c r="H914" s="9" t="str">
        <f t="shared" si="744"/>
        <v/>
      </c>
      <c r="I914" s="9"/>
      <c r="J914" s="44"/>
      <c r="K914" s="44" t="str">
        <f t="shared" si="745"/>
        <v/>
      </c>
      <c r="L914" s="9" t="str">
        <f t="shared" si="736"/>
        <v/>
      </c>
      <c r="M914" s="10" t="str">
        <f t="shared" si="737"/>
        <v/>
      </c>
      <c r="N914" s="11"/>
      <c r="O914" s="2"/>
      <c r="P914" s="18"/>
      <c r="Q914" s="19">
        <v>4285</v>
      </c>
      <c r="R914" s="19">
        <f t="shared" si="726"/>
        <v>218</v>
      </c>
      <c r="S914" s="19">
        <v>154</v>
      </c>
      <c r="T914" s="19">
        <f t="shared" si="727"/>
        <v>6</v>
      </c>
      <c r="U914" s="19">
        <v>8</v>
      </c>
      <c r="V914" s="19">
        <f t="shared" si="728"/>
        <v>2</v>
      </c>
      <c r="W914" s="37">
        <v>1</v>
      </c>
      <c r="X914" s="48" t="str">
        <f t="shared" si="738"/>
        <v>サンリオファン</v>
      </c>
      <c r="Y914" s="51">
        <f t="shared" si="739"/>
        <v>1100</v>
      </c>
      <c r="Z914" s="19">
        <f t="shared" si="740"/>
        <v>2200</v>
      </c>
      <c r="AA914" s="20">
        <f t="shared" si="741"/>
        <v>0.10091743119266056</v>
      </c>
      <c r="AB914" s="11"/>
      <c r="AD914" s="18"/>
      <c r="AE914" s="19">
        <v>3828</v>
      </c>
      <c r="AF914" s="19">
        <f t="shared" si="733"/>
        <v>63</v>
      </c>
      <c r="AG914" s="19">
        <v>117</v>
      </c>
      <c r="AH914" s="19">
        <f t="shared" si="734"/>
        <v>6</v>
      </c>
      <c r="AI914" s="19">
        <v>40</v>
      </c>
      <c r="AJ914" s="19">
        <f t="shared" si="735"/>
        <v>7</v>
      </c>
      <c r="AK914" s="37">
        <v>0</v>
      </c>
      <c r="AL914" s="48" t="str">
        <f t="shared" si="746"/>
        <v>SPGマスコット</v>
      </c>
      <c r="AM914" s="51">
        <f t="shared" si="747"/>
        <v>165</v>
      </c>
      <c r="AN914" s="19">
        <f t="shared" si="748"/>
        <v>1155</v>
      </c>
      <c r="AO914" s="20">
        <f t="shared" si="749"/>
        <v>0.18333333333333332</v>
      </c>
      <c r="AP914" s="11"/>
    </row>
    <row r="915" spans="1:42" ht="15" customHeight="1" thickTop="1">
      <c r="A915" s="12"/>
      <c r="B915" s="8"/>
      <c r="C915" s="9"/>
      <c r="D915" s="9" t="str">
        <f>IF(C915="","",C915-C916)</f>
        <v/>
      </c>
      <c r="E915" s="9"/>
      <c r="F915" s="9" t="str">
        <f>IF(E915="","",E915-E916)</f>
        <v/>
      </c>
      <c r="G915" s="9"/>
      <c r="H915" s="9" t="str">
        <f>IF(G915="","",G916+I916-G915)</f>
        <v/>
      </c>
      <c r="I915" s="9"/>
      <c r="J915" s="44"/>
      <c r="K915" s="44" t="str">
        <f>IF(C915="","",K916)</f>
        <v/>
      </c>
      <c r="L915" s="9" t="str">
        <f t="shared" si="736"/>
        <v/>
      </c>
      <c r="M915" s="10" t="str">
        <f t="shared" si="737"/>
        <v/>
      </c>
      <c r="N915" s="11"/>
      <c r="O915" s="2"/>
      <c r="P915" s="65">
        <f>IF($A897="","",$A897)</f>
        <v>45814</v>
      </c>
      <c r="Q915" s="9">
        <v>4322</v>
      </c>
      <c r="R915" s="44">
        <f t="shared" si="726"/>
        <v>220</v>
      </c>
      <c r="S915" s="9">
        <v>92</v>
      </c>
      <c r="T915" s="23">
        <f t="shared" si="727"/>
        <v>4</v>
      </c>
      <c r="U915" s="9">
        <v>2</v>
      </c>
      <c r="V915" s="44">
        <f t="shared" si="728"/>
        <v>2</v>
      </c>
      <c r="W915" s="13">
        <v>4</v>
      </c>
      <c r="X915" s="61" t="str">
        <f t="shared" ref="X915:X926" si="750">IF(Q915="","",X911)</f>
        <v>デジタルミニカメラ</v>
      </c>
      <c r="Y915" s="62">
        <f t="shared" ref="Y915:Y926" si="751">IF(R915="","",Y911)</f>
        <v>710</v>
      </c>
      <c r="Z915" s="23">
        <f t="shared" si="731"/>
        <v>1420</v>
      </c>
      <c r="AA915" s="24">
        <f t="shared" si="732"/>
        <v>6.4545454545454545E-2</v>
      </c>
      <c r="AB915" s="11"/>
      <c r="AD915" s="65">
        <f>IF($A897="","",$A897)</f>
        <v>45814</v>
      </c>
      <c r="AE915" s="9">
        <v>3887</v>
      </c>
      <c r="AF915" s="44">
        <f t="shared" si="733"/>
        <v>42</v>
      </c>
      <c r="AG915" s="9">
        <v>104</v>
      </c>
      <c r="AH915" s="23">
        <f t="shared" si="734"/>
        <v>1</v>
      </c>
      <c r="AI915" s="9">
        <v>16</v>
      </c>
      <c r="AJ915" s="44">
        <f t="shared" si="735"/>
        <v>1</v>
      </c>
      <c r="AK915" s="13">
        <v>3</v>
      </c>
      <c r="AL915" s="61" t="str">
        <f t="shared" si="746"/>
        <v>ジャグラーイヤホン</v>
      </c>
      <c r="AM915" s="62">
        <f t="shared" si="747"/>
        <v>1100</v>
      </c>
      <c r="AN915" s="23">
        <f t="shared" ref="AN915:AN926" si="752">IF(AI915="","",AJ915*AM915)</f>
        <v>1100</v>
      </c>
      <c r="AO915" s="24">
        <f t="shared" ref="AO915:AO926" si="753">IF(AJ915="","",AN915/(AF915*100))</f>
        <v>0.26190476190476192</v>
      </c>
      <c r="AP915" s="11"/>
    </row>
    <row r="916" spans="1:42" ht="15" customHeight="1">
      <c r="A916" s="12"/>
      <c r="B916" s="8"/>
      <c r="C916" s="9"/>
      <c r="D916" s="9" t="str">
        <f>IF(C916="","",C916-C914)</f>
        <v/>
      </c>
      <c r="E916" s="9"/>
      <c r="F916" s="9" t="str">
        <f>IF(E916="","",E916-E914)</f>
        <v/>
      </c>
      <c r="G916" s="9"/>
      <c r="H916" s="9" t="str">
        <f>IF(G916="","",G914+I914-G916)</f>
        <v/>
      </c>
      <c r="I916" s="9"/>
      <c r="J916" s="44"/>
      <c r="K916" s="44" t="str">
        <f>IF(C916="","",K914)</f>
        <v/>
      </c>
      <c r="L916" s="9" t="str">
        <f t="shared" si="736"/>
        <v/>
      </c>
      <c r="M916" s="10" t="str">
        <f t="shared" si="737"/>
        <v/>
      </c>
      <c r="N916" s="11"/>
      <c r="O916" s="2"/>
      <c r="P916" s="65"/>
      <c r="Q916" s="44">
        <v>4620</v>
      </c>
      <c r="R916" s="9">
        <f t="shared" si="726"/>
        <v>20</v>
      </c>
      <c r="S916" s="44">
        <v>111</v>
      </c>
      <c r="T916" s="9">
        <f t="shared" si="727"/>
        <v>0</v>
      </c>
      <c r="U916" s="9">
        <v>9</v>
      </c>
      <c r="V916" s="9">
        <f t="shared" si="728"/>
        <v>0</v>
      </c>
      <c r="W916" s="13">
        <v>0</v>
      </c>
      <c r="X916" s="47" t="str">
        <f t="shared" si="750"/>
        <v>パイの実イヤホン</v>
      </c>
      <c r="Y916" s="45">
        <f t="shared" si="751"/>
        <v>1100</v>
      </c>
      <c r="Z916" s="9">
        <f t="shared" si="731"/>
        <v>0</v>
      </c>
      <c r="AA916" s="10">
        <f t="shared" si="732"/>
        <v>0</v>
      </c>
      <c r="AB916" s="11" t="s">
        <v>29</v>
      </c>
      <c r="AD916" s="65"/>
      <c r="AE916" s="44">
        <v>5143</v>
      </c>
      <c r="AF916" s="9">
        <f t="shared" si="733"/>
        <v>171</v>
      </c>
      <c r="AG916" s="44">
        <v>92</v>
      </c>
      <c r="AH916" s="9">
        <f t="shared" si="734"/>
        <v>6</v>
      </c>
      <c r="AI916" s="9">
        <v>5</v>
      </c>
      <c r="AJ916" s="9">
        <f t="shared" si="735"/>
        <v>3</v>
      </c>
      <c r="AK916" s="13">
        <v>5</v>
      </c>
      <c r="AL916" s="47" t="str">
        <f t="shared" si="746"/>
        <v>ジャグラーボタン</v>
      </c>
      <c r="AM916" s="45">
        <f t="shared" si="747"/>
        <v>748</v>
      </c>
      <c r="AN916" s="9">
        <f t="shared" si="752"/>
        <v>2244</v>
      </c>
      <c r="AO916" s="10">
        <f t="shared" si="753"/>
        <v>0.13122807017543861</v>
      </c>
      <c r="AP916" s="11"/>
    </row>
    <row r="917" spans="1:42" ht="15" customHeight="1">
      <c r="A917" s="12"/>
      <c r="B917" s="8"/>
      <c r="C917" s="9"/>
      <c r="D917" s="9" t="str">
        <f>IF(C917="","",C917-C915)</f>
        <v/>
      </c>
      <c r="E917" s="9"/>
      <c r="F917" s="9" t="str">
        <f>IF(E917="","",E917-E915)</f>
        <v/>
      </c>
      <c r="G917" s="9"/>
      <c r="H917" s="9" t="str">
        <f>IF(G917="","",G915+I915-G917)</f>
        <v/>
      </c>
      <c r="I917" s="9"/>
      <c r="J917" s="44"/>
      <c r="K917" s="44" t="str">
        <f>IF(C917="","",K915)</f>
        <v/>
      </c>
      <c r="L917" s="9" t="str">
        <f t="shared" si="736"/>
        <v/>
      </c>
      <c r="M917" s="10" t="str">
        <f t="shared" si="737"/>
        <v/>
      </c>
      <c r="N917" s="11"/>
      <c r="O917" s="2"/>
      <c r="P917" s="12"/>
      <c r="Q917" s="9">
        <v>4815</v>
      </c>
      <c r="R917" s="9">
        <f t="shared" si="726"/>
        <v>104</v>
      </c>
      <c r="S917" s="9">
        <v>253</v>
      </c>
      <c r="T917" s="9">
        <f t="shared" si="727"/>
        <v>3</v>
      </c>
      <c r="U917" s="9">
        <v>10</v>
      </c>
      <c r="V917" s="9">
        <f t="shared" si="728"/>
        <v>1</v>
      </c>
      <c r="W917" s="13">
        <v>0</v>
      </c>
      <c r="X917" s="47" t="str">
        <f t="shared" si="750"/>
        <v>ギャルキティキーケース</v>
      </c>
      <c r="Y917" s="9">
        <f t="shared" si="751"/>
        <v>726</v>
      </c>
      <c r="Z917" s="9">
        <f t="shared" si="731"/>
        <v>726</v>
      </c>
      <c r="AA917" s="10">
        <f t="shared" si="732"/>
        <v>6.9807692307692307E-2</v>
      </c>
      <c r="AB917" s="11"/>
      <c r="AD917" s="12"/>
      <c r="AE917" s="9">
        <v>4372</v>
      </c>
      <c r="AF917" s="9">
        <f t="shared" si="733"/>
        <v>118</v>
      </c>
      <c r="AG917" s="9">
        <v>173</v>
      </c>
      <c r="AH917" s="9">
        <f t="shared" si="734"/>
        <v>7</v>
      </c>
      <c r="AI917" s="9">
        <v>121</v>
      </c>
      <c r="AJ917" s="9">
        <f t="shared" si="735"/>
        <v>19</v>
      </c>
      <c r="AK917" s="13">
        <v>0</v>
      </c>
      <c r="AL917" s="47" t="str">
        <f t="shared" si="746"/>
        <v>SPGラバー</v>
      </c>
      <c r="AM917" s="9">
        <f t="shared" si="747"/>
        <v>187</v>
      </c>
      <c r="AN917" s="9">
        <f t="shared" si="752"/>
        <v>3553</v>
      </c>
      <c r="AO917" s="10">
        <f t="shared" si="753"/>
        <v>0.30110169491525424</v>
      </c>
      <c r="AP917" s="11"/>
    </row>
    <row r="918" spans="1:42" ht="15" customHeight="1" thickBot="1">
      <c r="A918" s="12"/>
      <c r="B918" s="8"/>
      <c r="C918" s="9"/>
      <c r="D918" s="9" t="str">
        <f t="shared" ref="D918:D943" si="754">IF(C918="","",C918-C917)</f>
        <v/>
      </c>
      <c r="E918" s="9"/>
      <c r="F918" s="9" t="str">
        <f t="shared" ref="F918:F944" si="755">IF(E918="","",E918-E917)</f>
        <v/>
      </c>
      <c r="G918" s="9"/>
      <c r="H918" s="9" t="str">
        <f t="shared" ref="H918:H944" si="756">IF(G918="","",G917+I917-G918)</f>
        <v/>
      </c>
      <c r="I918" s="9"/>
      <c r="J918" s="44"/>
      <c r="K918" s="44" t="str">
        <f>IF(C918="","",K917)</f>
        <v/>
      </c>
      <c r="L918" s="9" t="str">
        <f t="shared" si="736"/>
        <v/>
      </c>
      <c r="M918" s="10" t="str">
        <f t="shared" si="737"/>
        <v/>
      </c>
      <c r="N918" s="11"/>
      <c r="O918" s="2"/>
      <c r="P918" s="18"/>
      <c r="Q918" s="19">
        <v>4443</v>
      </c>
      <c r="R918" s="19">
        <f t="shared" si="726"/>
        <v>158</v>
      </c>
      <c r="S918" s="19">
        <v>164</v>
      </c>
      <c r="T918" s="19">
        <f t="shared" si="727"/>
        <v>10</v>
      </c>
      <c r="U918" s="19">
        <v>6</v>
      </c>
      <c r="V918" s="19">
        <f t="shared" si="728"/>
        <v>3</v>
      </c>
      <c r="W918" s="37">
        <v>4</v>
      </c>
      <c r="X918" s="48" t="str">
        <f t="shared" si="750"/>
        <v>サンリオファン</v>
      </c>
      <c r="Y918" s="51">
        <f t="shared" si="751"/>
        <v>1100</v>
      </c>
      <c r="Z918" s="19">
        <f t="shared" si="731"/>
        <v>3300</v>
      </c>
      <c r="AA918" s="20">
        <f t="shared" si="732"/>
        <v>0.20886075949367089</v>
      </c>
      <c r="AB918" s="11"/>
      <c r="AD918" s="18"/>
      <c r="AE918" s="19">
        <v>3863</v>
      </c>
      <c r="AF918" s="19">
        <f t="shared" si="733"/>
        <v>35</v>
      </c>
      <c r="AG918" s="19">
        <v>121</v>
      </c>
      <c r="AH918" s="19">
        <f t="shared" si="734"/>
        <v>4</v>
      </c>
      <c r="AI918" s="19">
        <v>30</v>
      </c>
      <c r="AJ918" s="19">
        <f t="shared" si="735"/>
        <v>10</v>
      </c>
      <c r="AK918" s="37">
        <v>7</v>
      </c>
      <c r="AL918" s="48" t="str">
        <f t="shared" si="746"/>
        <v>SPGマスコット</v>
      </c>
      <c r="AM918" s="51">
        <f t="shared" si="747"/>
        <v>165</v>
      </c>
      <c r="AN918" s="19">
        <f t="shared" si="752"/>
        <v>1650</v>
      </c>
      <c r="AO918" s="20">
        <f t="shared" si="753"/>
        <v>0.47142857142857142</v>
      </c>
      <c r="AP918" s="11"/>
    </row>
    <row r="919" spans="1:42" ht="15" customHeight="1" thickTop="1">
      <c r="A919" s="12"/>
      <c r="B919" s="8"/>
      <c r="C919" s="9"/>
      <c r="D919" s="9" t="str">
        <f t="shared" si="754"/>
        <v/>
      </c>
      <c r="E919" s="9"/>
      <c r="F919" s="9" t="str">
        <f t="shared" si="755"/>
        <v/>
      </c>
      <c r="G919" s="9"/>
      <c r="H919" s="9" t="str">
        <f t="shared" si="756"/>
        <v/>
      </c>
      <c r="I919" s="9"/>
      <c r="J919" s="44"/>
      <c r="K919" s="44" t="str">
        <f>IF(C919="","",K918)</f>
        <v/>
      </c>
      <c r="L919" s="9" t="str">
        <f t="shared" si="736"/>
        <v/>
      </c>
      <c r="M919" s="10" t="str">
        <f t="shared" si="737"/>
        <v/>
      </c>
      <c r="N919" s="11"/>
      <c r="O919" s="2"/>
      <c r="P919" s="65">
        <f>IF($A898="","",$A898)</f>
        <v>45818</v>
      </c>
      <c r="Q919" s="9">
        <v>4425</v>
      </c>
      <c r="R919" s="44">
        <f t="shared" si="726"/>
        <v>103</v>
      </c>
      <c r="S919" s="9">
        <v>95</v>
      </c>
      <c r="T919" s="23">
        <f t="shared" si="727"/>
        <v>3</v>
      </c>
      <c r="U919" s="9">
        <v>2</v>
      </c>
      <c r="V919" s="44">
        <f t="shared" si="728"/>
        <v>4</v>
      </c>
      <c r="W919" s="66">
        <v>0</v>
      </c>
      <c r="X919" s="61" t="str">
        <f t="shared" si="750"/>
        <v>デジタルミニカメラ</v>
      </c>
      <c r="Y919" s="62">
        <f t="shared" si="751"/>
        <v>710</v>
      </c>
      <c r="Z919" s="23">
        <f t="shared" ref="Z919:Z934" si="757">IF(U919="","",V919*Y919)</f>
        <v>2840</v>
      </c>
      <c r="AA919" s="24">
        <f t="shared" ref="AA919:AA934" si="758">IF(V919="","",Z919/(R919*100))</f>
        <v>0.27572815533980582</v>
      </c>
      <c r="AB919" s="11"/>
      <c r="AD919" s="65">
        <f>IF($A898="","",$A898)</f>
        <v>45818</v>
      </c>
      <c r="AE919" s="9">
        <v>3950</v>
      </c>
      <c r="AF919" s="44">
        <f t="shared" si="733"/>
        <v>63</v>
      </c>
      <c r="AG919" s="9">
        <v>105</v>
      </c>
      <c r="AH919" s="23">
        <f t="shared" si="734"/>
        <v>1</v>
      </c>
      <c r="AI919" s="9">
        <v>18</v>
      </c>
      <c r="AJ919" s="44">
        <f t="shared" si="735"/>
        <v>1</v>
      </c>
      <c r="AK919" s="13">
        <v>4</v>
      </c>
      <c r="AL919" s="15" t="str">
        <f t="shared" si="746"/>
        <v>ジャグラーイヤホン</v>
      </c>
      <c r="AM919" s="45">
        <f t="shared" si="747"/>
        <v>1100</v>
      </c>
      <c r="AN919" s="23">
        <f t="shared" si="752"/>
        <v>1100</v>
      </c>
      <c r="AO919" s="24">
        <f t="shared" si="753"/>
        <v>0.17460317460317459</v>
      </c>
      <c r="AP919" s="11"/>
    </row>
    <row r="920" spans="1:42" ht="15" customHeight="1">
      <c r="A920" s="12"/>
      <c r="B920" s="8"/>
      <c r="C920" s="9"/>
      <c r="D920" s="9" t="str">
        <f t="shared" si="754"/>
        <v/>
      </c>
      <c r="E920" s="9"/>
      <c r="F920" s="9" t="str">
        <f t="shared" si="755"/>
        <v/>
      </c>
      <c r="G920" s="9"/>
      <c r="H920" s="9" t="str">
        <f t="shared" si="756"/>
        <v/>
      </c>
      <c r="I920" s="9"/>
      <c r="J920" s="44"/>
      <c r="K920" s="44" t="str">
        <f>IF(C920="","",K919)</f>
        <v/>
      </c>
      <c r="L920" s="9" t="str">
        <f t="shared" si="736"/>
        <v/>
      </c>
      <c r="M920" s="10" t="str">
        <f t="shared" si="737"/>
        <v/>
      </c>
      <c r="N920" s="11"/>
      <c r="O920" s="2"/>
      <c r="P920" s="12"/>
      <c r="Q920" s="44">
        <v>4699</v>
      </c>
      <c r="R920" s="9">
        <f t="shared" si="726"/>
        <v>79</v>
      </c>
      <c r="S920" s="44">
        <v>115</v>
      </c>
      <c r="T920" s="9">
        <f t="shared" si="727"/>
        <v>4</v>
      </c>
      <c r="U920" s="9">
        <v>5</v>
      </c>
      <c r="V920" s="9">
        <f t="shared" si="728"/>
        <v>4</v>
      </c>
      <c r="W920" s="13">
        <v>30</v>
      </c>
      <c r="X920" s="47" t="str">
        <f t="shared" si="750"/>
        <v>パイの実イヤホン</v>
      </c>
      <c r="Y920" s="45">
        <f t="shared" si="751"/>
        <v>1100</v>
      </c>
      <c r="Z920" s="9">
        <f t="shared" si="757"/>
        <v>4400</v>
      </c>
      <c r="AA920" s="10">
        <f t="shared" si="758"/>
        <v>0.55696202531645567</v>
      </c>
      <c r="AB920" s="11" t="s">
        <v>86</v>
      </c>
      <c r="AD920" s="12"/>
      <c r="AE920" s="44">
        <v>5241</v>
      </c>
      <c r="AF920" s="9">
        <f t="shared" si="733"/>
        <v>98</v>
      </c>
      <c r="AG920" s="44">
        <v>105</v>
      </c>
      <c r="AH920" s="9">
        <f t="shared" si="734"/>
        <v>13</v>
      </c>
      <c r="AI920" s="9">
        <v>10</v>
      </c>
      <c r="AJ920" s="9">
        <f t="shared" si="735"/>
        <v>0</v>
      </c>
      <c r="AK920" s="13">
        <v>0</v>
      </c>
      <c r="AL920" s="15" t="str">
        <f t="shared" si="746"/>
        <v>ジャグラーボタン</v>
      </c>
      <c r="AM920" s="45">
        <f t="shared" si="747"/>
        <v>748</v>
      </c>
      <c r="AN920" s="9">
        <f t="shared" si="752"/>
        <v>0</v>
      </c>
      <c r="AO920" s="10">
        <f t="shared" si="753"/>
        <v>0</v>
      </c>
      <c r="AP920" s="11"/>
    </row>
    <row r="921" spans="1:42" ht="15" customHeight="1">
      <c r="A921" s="12"/>
      <c r="B921" s="8"/>
      <c r="C921" s="9"/>
      <c r="D921" s="9" t="str">
        <f t="shared" si="754"/>
        <v/>
      </c>
      <c r="E921" s="9"/>
      <c r="F921" s="9" t="str">
        <f t="shared" si="755"/>
        <v/>
      </c>
      <c r="G921" s="9"/>
      <c r="H921" s="9" t="str">
        <f t="shared" si="756"/>
        <v/>
      </c>
      <c r="I921" s="9"/>
      <c r="J921" s="9"/>
      <c r="K921" s="9"/>
      <c r="L921" s="9" t="str">
        <f t="shared" si="736"/>
        <v/>
      </c>
      <c r="M921" s="10" t="str">
        <f t="shared" si="737"/>
        <v/>
      </c>
      <c r="N921" s="11"/>
      <c r="O921" s="2"/>
      <c r="P921" s="12"/>
      <c r="Q921" s="9">
        <v>4876</v>
      </c>
      <c r="R921" s="9">
        <f t="shared" si="726"/>
        <v>61</v>
      </c>
      <c r="S921" s="9">
        <v>256</v>
      </c>
      <c r="T921" s="9">
        <f t="shared" si="727"/>
        <v>3</v>
      </c>
      <c r="U921" s="9">
        <v>7</v>
      </c>
      <c r="V921" s="9">
        <f t="shared" si="728"/>
        <v>3</v>
      </c>
      <c r="W921" s="38">
        <v>10</v>
      </c>
      <c r="X921" s="47" t="str">
        <f t="shared" si="750"/>
        <v>ギャルキティキーケース</v>
      </c>
      <c r="Y921" s="9">
        <f t="shared" si="751"/>
        <v>726</v>
      </c>
      <c r="Z921" s="9">
        <f t="shared" si="757"/>
        <v>2178</v>
      </c>
      <c r="AA921" s="10">
        <f t="shared" si="758"/>
        <v>0.35704918032786886</v>
      </c>
      <c r="AB921" s="11"/>
      <c r="AD921" s="12"/>
      <c r="AE921" s="9">
        <v>4553</v>
      </c>
      <c r="AF921" s="9">
        <f t="shared" si="733"/>
        <v>181</v>
      </c>
      <c r="AG921" s="9">
        <v>185</v>
      </c>
      <c r="AH921" s="9">
        <f t="shared" si="734"/>
        <v>12</v>
      </c>
      <c r="AI921" s="9">
        <v>110</v>
      </c>
      <c r="AJ921" s="9">
        <f t="shared" si="735"/>
        <v>11</v>
      </c>
      <c r="AK921" s="13">
        <v>45</v>
      </c>
      <c r="AL921" s="15" t="str">
        <f t="shared" si="746"/>
        <v>SPGラバー</v>
      </c>
      <c r="AM921" s="45">
        <f t="shared" si="747"/>
        <v>187</v>
      </c>
      <c r="AN921" s="9">
        <f t="shared" si="752"/>
        <v>2057</v>
      </c>
      <c r="AO921" s="10">
        <f t="shared" si="753"/>
        <v>0.113646408839779</v>
      </c>
      <c r="AP921" s="11"/>
    </row>
    <row r="922" spans="1:42" ht="15" customHeight="1" thickBot="1">
      <c r="A922" s="12"/>
      <c r="B922" s="8"/>
      <c r="C922" s="9"/>
      <c r="D922" s="9" t="str">
        <f t="shared" si="754"/>
        <v/>
      </c>
      <c r="E922" s="9"/>
      <c r="F922" s="9" t="str">
        <f t="shared" si="755"/>
        <v/>
      </c>
      <c r="G922" s="9"/>
      <c r="H922" s="9" t="str">
        <f t="shared" si="756"/>
        <v/>
      </c>
      <c r="I922" s="9"/>
      <c r="J922" s="9"/>
      <c r="K922" s="9"/>
      <c r="L922" s="9" t="str">
        <f t="shared" si="736"/>
        <v/>
      </c>
      <c r="M922" s="10" t="str">
        <f t="shared" si="737"/>
        <v/>
      </c>
      <c r="N922" s="11"/>
      <c r="O922" s="2"/>
      <c r="P922" s="18"/>
      <c r="Q922" s="19">
        <v>4702</v>
      </c>
      <c r="R922" s="19">
        <f t="shared" si="726"/>
        <v>259</v>
      </c>
      <c r="S922" s="19">
        <v>170</v>
      </c>
      <c r="T922" s="19">
        <f t="shared" si="727"/>
        <v>6</v>
      </c>
      <c r="U922" s="19">
        <v>3</v>
      </c>
      <c r="V922" s="19">
        <f t="shared" si="728"/>
        <v>7</v>
      </c>
      <c r="W922" s="37">
        <v>6</v>
      </c>
      <c r="X922" s="48" t="str">
        <f t="shared" si="750"/>
        <v>サンリオファン</v>
      </c>
      <c r="Y922" s="51">
        <f t="shared" si="751"/>
        <v>1100</v>
      </c>
      <c r="Z922" s="19">
        <f t="shared" si="757"/>
        <v>7700</v>
      </c>
      <c r="AA922" s="20">
        <f t="shared" si="758"/>
        <v>0.29729729729729731</v>
      </c>
      <c r="AB922" s="11"/>
      <c r="AD922" s="18"/>
      <c r="AE922" s="19">
        <v>3939</v>
      </c>
      <c r="AF922" s="19">
        <f t="shared" si="733"/>
        <v>76</v>
      </c>
      <c r="AG922" s="19">
        <v>129</v>
      </c>
      <c r="AH922" s="19">
        <f t="shared" si="734"/>
        <v>8</v>
      </c>
      <c r="AI922" s="19">
        <v>30</v>
      </c>
      <c r="AJ922" s="19">
        <f t="shared" si="735"/>
        <v>7</v>
      </c>
      <c r="AK922" s="37">
        <v>30</v>
      </c>
      <c r="AL922" s="22" t="str">
        <f t="shared" si="746"/>
        <v>SPGマスコット</v>
      </c>
      <c r="AM922" s="51">
        <f t="shared" si="747"/>
        <v>165</v>
      </c>
      <c r="AN922" s="19">
        <f t="shared" si="752"/>
        <v>1155</v>
      </c>
      <c r="AO922" s="20">
        <f t="shared" si="753"/>
        <v>0.15197368421052632</v>
      </c>
      <c r="AP922" s="11"/>
    </row>
    <row r="923" spans="1:42" ht="15" customHeight="1" thickTop="1">
      <c r="A923" s="12"/>
      <c r="B923" s="8"/>
      <c r="C923" s="9"/>
      <c r="D923" s="9" t="str">
        <f t="shared" si="754"/>
        <v/>
      </c>
      <c r="E923" s="9"/>
      <c r="F923" s="9" t="str">
        <f t="shared" si="755"/>
        <v/>
      </c>
      <c r="G923" s="9"/>
      <c r="H923" s="9" t="str">
        <f t="shared" si="756"/>
        <v/>
      </c>
      <c r="I923" s="9"/>
      <c r="J923" s="9"/>
      <c r="K923" s="9"/>
      <c r="L923" s="9" t="str">
        <f t="shared" si="736"/>
        <v/>
      </c>
      <c r="M923" s="10" t="str">
        <f t="shared" si="737"/>
        <v/>
      </c>
      <c r="N923" s="11"/>
      <c r="O923" s="2"/>
      <c r="P923" s="65">
        <f>IF($A899="","",$A899)</f>
        <v>45821</v>
      </c>
      <c r="Q923" s="9">
        <v>4452</v>
      </c>
      <c r="R923" s="44">
        <f t="shared" si="726"/>
        <v>27</v>
      </c>
      <c r="S923" s="9">
        <v>96</v>
      </c>
      <c r="T923" s="23">
        <f t="shared" si="727"/>
        <v>1</v>
      </c>
      <c r="U923" s="9">
        <v>2</v>
      </c>
      <c r="V923" s="44">
        <f t="shared" si="728"/>
        <v>0</v>
      </c>
      <c r="W923" s="66">
        <v>4</v>
      </c>
      <c r="X923" s="61" t="str">
        <f t="shared" si="750"/>
        <v>デジタルミニカメラ</v>
      </c>
      <c r="Y923" s="62">
        <f t="shared" si="751"/>
        <v>710</v>
      </c>
      <c r="Z923" s="23">
        <f t="shared" si="757"/>
        <v>0</v>
      </c>
      <c r="AA923" s="24">
        <f t="shared" si="758"/>
        <v>0</v>
      </c>
      <c r="AB923" s="11"/>
      <c r="AD923" s="65">
        <f>IF($A899="","",$A899)</f>
        <v>45821</v>
      </c>
      <c r="AE923" s="9">
        <v>3982</v>
      </c>
      <c r="AF923" s="44">
        <f t="shared" si="733"/>
        <v>32</v>
      </c>
      <c r="AG923" s="9">
        <v>106</v>
      </c>
      <c r="AH923" s="23">
        <f t="shared" si="734"/>
        <v>1</v>
      </c>
      <c r="AI923" s="9">
        <v>21</v>
      </c>
      <c r="AJ923" s="44">
        <f t="shared" si="735"/>
        <v>1</v>
      </c>
      <c r="AK923" s="66">
        <v>-3</v>
      </c>
      <c r="AL923" s="15" t="str">
        <f t="shared" si="746"/>
        <v>ジャグラーイヤホン</v>
      </c>
      <c r="AM923" s="45">
        <f t="shared" si="747"/>
        <v>1100</v>
      </c>
      <c r="AN923" s="23">
        <f t="shared" si="752"/>
        <v>1100</v>
      </c>
      <c r="AO923" s="24">
        <f t="shared" si="753"/>
        <v>0.34375</v>
      </c>
      <c r="AP923" s="11"/>
    </row>
    <row r="924" spans="1:42" ht="15" customHeight="1">
      <c r="A924" s="12"/>
      <c r="B924" s="8"/>
      <c r="C924" s="9"/>
      <c r="D924" s="9" t="str">
        <f t="shared" si="754"/>
        <v/>
      </c>
      <c r="E924" s="9"/>
      <c r="F924" s="9" t="str">
        <f t="shared" si="755"/>
        <v/>
      </c>
      <c r="G924" s="9"/>
      <c r="H924" s="9" t="str">
        <f t="shared" si="756"/>
        <v/>
      </c>
      <c r="I924" s="9"/>
      <c r="J924" s="9"/>
      <c r="K924" s="9"/>
      <c r="L924" s="9" t="str">
        <f t="shared" si="736"/>
        <v/>
      </c>
      <c r="M924" s="10" t="str">
        <f t="shared" si="737"/>
        <v/>
      </c>
      <c r="N924" s="11"/>
      <c r="O924" s="2"/>
      <c r="P924" s="12"/>
      <c r="Q924" s="44">
        <v>4730</v>
      </c>
      <c r="R924" s="9">
        <f t="shared" si="726"/>
        <v>31</v>
      </c>
      <c r="S924" s="44">
        <v>116</v>
      </c>
      <c r="T924" s="9">
        <f t="shared" si="727"/>
        <v>1</v>
      </c>
      <c r="U924" s="9">
        <v>35</v>
      </c>
      <c r="V924" s="9">
        <f t="shared" si="728"/>
        <v>0</v>
      </c>
      <c r="W924" s="13">
        <v>1</v>
      </c>
      <c r="X924" s="47" t="s">
        <v>13</v>
      </c>
      <c r="Y924" s="45">
        <f t="shared" si="751"/>
        <v>1100</v>
      </c>
      <c r="Z924" s="9">
        <f t="shared" si="757"/>
        <v>0</v>
      </c>
      <c r="AA924" s="10">
        <f t="shared" si="758"/>
        <v>0</v>
      </c>
      <c r="AB924" s="11"/>
      <c r="AD924" s="12"/>
      <c r="AE924" s="44">
        <v>5296</v>
      </c>
      <c r="AF924" s="9">
        <f t="shared" si="733"/>
        <v>55</v>
      </c>
      <c r="AG924" s="44">
        <v>105</v>
      </c>
      <c r="AH924" s="9">
        <f t="shared" si="734"/>
        <v>0</v>
      </c>
      <c r="AI924" s="9">
        <v>10</v>
      </c>
      <c r="AJ924" s="9">
        <f t="shared" si="735"/>
        <v>0</v>
      </c>
      <c r="AK924" s="13">
        <v>0</v>
      </c>
      <c r="AL924" s="15" t="str">
        <f t="shared" si="746"/>
        <v>ジャグラーボタン</v>
      </c>
      <c r="AM924" s="45">
        <f t="shared" si="747"/>
        <v>748</v>
      </c>
      <c r="AN924" s="9">
        <f t="shared" si="752"/>
        <v>0</v>
      </c>
      <c r="AO924" s="10">
        <f t="shared" si="753"/>
        <v>0</v>
      </c>
      <c r="AP924" s="11"/>
    </row>
    <row r="925" spans="1:42" ht="15" customHeight="1">
      <c r="A925" s="12"/>
      <c r="B925" s="8"/>
      <c r="C925" s="9"/>
      <c r="D925" s="9" t="str">
        <f t="shared" si="754"/>
        <v/>
      </c>
      <c r="E925" s="9"/>
      <c r="F925" s="9" t="str">
        <f t="shared" si="755"/>
        <v/>
      </c>
      <c r="G925" s="9"/>
      <c r="H925" s="9" t="str">
        <f t="shared" si="756"/>
        <v/>
      </c>
      <c r="I925" s="9"/>
      <c r="J925" s="9"/>
      <c r="K925" s="9"/>
      <c r="L925" s="9" t="str">
        <f t="shared" si="736"/>
        <v/>
      </c>
      <c r="M925" s="10" t="str">
        <f t="shared" si="737"/>
        <v/>
      </c>
      <c r="N925" s="11"/>
      <c r="O925" s="2"/>
      <c r="P925" s="12"/>
      <c r="Q925" s="9">
        <v>5012</v>
      </c>
      <c r="R925" s="9">
        <f t="shared" si="726"/>
        <v>136</v>
      </c>
      <c r="S925" s="9">
        <v>258</v>
      </c>
      <c r="T925" s="9">
        <f t="shared" si="727"/>
        <v>2</v>
      </c>
      <c r="U925" s="9">
        <v>16</v>
      </c>
      <c r="V925" s="9">
        <f t="shared" si="728"/>
        <v>1</v>
      </c>
      <c r="W925" s="13">
        <v>2</v>
      </c>
      <c r="X925" s="47" t="str">
        <f t="shared" si="750"/>
        <v>ギャルキティキーケース</v>
      </c>
      <c r="Y925" s="9">
        <f t="shared" si="751"/>
        <v>726</v>
      </c>
      <c r="Z925" s="9">
        <f t="shared" si="757"/>
        <v>726</v>
      </c>
      <c r="AA925" s="10">
        <f t="shared" si="758"/>
        <v>5.3382352941176471E-2</v>
      </c>
      <c r="AB925" s="11"/>
      <c r="AD925" s="12"/>
      <c r="AE925" s="9">
        <v>4721</v>
      </c>
      <c r="AF925" s="9">
        <f t="shared" si="733"/>
        <v>168</v>
      </c>
      <c r="AG925" s="9">
        <v>194</v>
      </c>
      <c r="AH925" s="9">
        <f t="shared" si="734"/>
        <v>9</v>
      </c>
      <c r="AI925" s="9">
        <v>145</v>
      </c>
      <c r="AJ925" s="9">
        <f t="shared" si="735"/>
        <v>10</v>
      </c>
      <c r="AK925" s="13">
        <v>0</v>
      </c>
      <c r="AL925" s="15" t="str">
        <f t="shared" si="746"/>
        <v>SPGラバー</v>
      </c>
      <c r="AM925" s="45">
        <f t="shared" si="747"/>
        <v>187</v>
      </c>
      <c r="AN925" s="9">
        <f t="shared" si="752"/>
        <v>1870</v>
      </c>
      <c r="AO925" s="10">
        <f t="shared" si="753"/>
        <v>0.1113095238095238</v>
      </c>
      <c r="AP925" s="11"/>
    </row>
    <row r="926" spans="1:42" ht="15" customHeight="1" thickBot="1">
      <c r="A926" s="12"/>
      <c r="B926" s="8"/>
      <c r="C926" s="9"/>
      <c r="D926" s="9" t="str">
        <f t="shared" si="754"/>
        <v/>
      </c>
      <c r="E926" s="9"/>
      <c r="F926" s="9" t="str">
        <f t="shared" si="755"/>
        <v/>
      </c>
      <c r="G926" s="9"/>
      <c r="H926" s="9" t="str">
        <f t="shared" si="756"/>
        <v/>
      </c>
      <c r="I926" s="9"/>
      <c r="J926" s="9"/>
      <c r="K926" s="9"/>
      <c r="L926" s="9" t="str">
        <f t="shared" si="736"/>
        <v/>
      </c>
      <c r="M926" s="10" t="str">
        <f t="shared" si="737"/>
        <v/>
      </c>
      <c r="N926" s="11"/>
      <c r="O926" s="2"/>
      <c r="P926" s="18"/>
      <c r="Q926" s="19">
        <v>4826</v>
      </c>
      <c r="R926" s="19">
        <f t="shared" si="726"/>
        <v>124</v>
      </c>
      <c r="S926" s="19">
        <v>173</v>
      </c>
      <c r="T926" s="19">
        <f t="shared" si="727"/>
        <v>3</v>
      </c>
      <c r="U926" s="19">
        <v>7</v>
      </c>
      <c r="V926" s="19">
        <f t="shared" si="728"/>
        <v>2</v>
      </c>
      <c r="W926" s="37">
        <v>4</v>
      </c>
      <c r="X926" s="48" t="str">
        <f t="shared" si="750"/>
        <v>サンリオファン</v>
      </c>
      <c r="Y926" s="51">
        <f t="shared" si="751"/>
        <v>1100</v>
      </c>
      <c r="Z926" s="19">
        <f t="shared" si="757"/>
        <v>2200</v>
      </c>
      <c r="AA926" s="20">
        <f t="shared" si="758"/>
        <v>0.17741935483870969</v>
      </c>
      <c r="AB926" s="11"/>
      <c r="AD926" s="18"/>
      <c r="AE926" s="19">
        <v>3998</v>
      </c>
      <c r="AF926" s="19">
        <f t="shared" si="733"/>
        <v>59</v>
      </c>
      <c r="AG926" s="19">
        <v>135</v>
      </c>
      <c r="AH926" s="19">
        <f t="shared" si="734"/>
        <v>6</v>
      </c>
      <c r="AI926" s="19">
        <v>45</v>
      </c>
      <c r="AJ926" s="19">
        <f t="shared" si="735"/>
        <v>15</v>
      </c>
      <c r="AK926" s="37">
        <v>0</v>
      </c>
      <c r="AL926" s="22" t="str">
        <f t="shared" si="746"/>
        <v>SPGマスコット</v>
      </c>
      <c r="AM926" s="51">
        <f t="shared" si="747"/>
        <v>165</v>
      </c>
      <c r="AN926" s="19">
        <f t="shared" si="752"/>
        <v>2475</v>
      </c>
      <c r="AO926" s="20">
        <f t="shared" si="753"/>
        <v>0.41949152542372881</v>
      </c>
      <c r="AP926" s="11" t="s">
        <v>88</v>
      </c>
    </row>
    <row r="927" spans="1:42" ht="15" customHeight="1" thickTop="1">
      <c r="A927" s="12"/>
      <c r="B927" s="8"/>
      <c r="C927" s="9"/>
      <c r="D927" s="9" t="str">
        <f t="shared" si="754"/>
        <v/>
      </c>
      <c r="E927" s="9"/>
      <c r="F927" s="9" t="str">
        <f t="shared" si="755"/>
        <v/>
      </c>
      <c r="G927" s="9"/>
      <c r="H927" s="9" t="str">
        <f t="shared" si="756"/>
        <v/>
      </c>
      <c r="I927" s="9"/>
      <c r="J927" s="9"/>
      <c r="K927" s="9"/>
      <c r="L927" s="9" t="str">
        <f t="shared" si="736"/>
        <v/>
      </c>
      <c r="M927" s="10" t="str">
        <f t="shared" si="737"/>
        <v/>
      </c>
      <c r="N927" s="11"/>
      <c r="O927" s="2"/>
      <c r="P927" s="65"/>
      <c r="Q927" s="44"/>
      <c r="R927" s="44"/>
      <c r="S927" s="44"/>
      <c r="T927" s="23"/>
      <c r="U927" s="44"/>
      <c r="V927" s="44"/>
      <c r="W927" s="66"/>
      <c r="X927" s="61"/>
      <c r="Y927" s="62"/>
      <c r="Z927" s="23"/>
      <c r="AA927" s="24"/>
      <c r="AB927" s="11"/>
      <c r="AD927" s="65"/>
      <c r="AE927" s="44"/>
      <c r="AF927" s="44"/>
      <c r="AG927" s="44"/>
      <c r="AH927" s="23"/>
      <c r="AI927" s="44"/>
      <c r="AJ927" s="44"/>
      <c r="AK927" s="66"/>
      <c r="AL927" s="15"/>
      <c r="AM927" s="45"/>
      <c r="AN927" s="23"/>
      <c r="AO927" s="24"/>
      <c r="AP927" s="11"/>
    </row>
    <row r="928" spans="1:42" ht="15" customHeight="1">
      <c r="A928" s="12"/>
      <c r="B928" s="8"/>
      <c r="C928" s="9"/>
      <c r="D928" s="9" t="str">
        <f t="shared" si="754"/>
        <v/>
      </c>
      <c r="E928" s="9"/>
      <c r="F928" s="9" t="str">
        <f t="shared" si="755"/>
        <v/>
      </c>
      <c r="G928" s="9"/>
      <c r="H928" s="9" t="str">
        <f t="shared" si="756"/>
        <v/>
      </c>
      <c r="I928" s="9"/>
      <c r="J928" s="9"/>
      <c r="K928" s="9"/>
      <c r="L928" s="9" t="str">
        <f t="shared" si="736"/>
        <v/>
      </c>
      <c r="M928" s="10" t="str">
        <f t="shared" si="737"/>
        <v/>
      </c>
      <c r="N928" s="11"/>
      <c r="O928" s="2"/>
      <c r="P928" s="12"/>
      <c r="Q928" s="9"/>
      <c r="R928" s="44"/>
      <c r="S928" s="9"/>
      <c r="T928" s="9"/>
      <c r="U928" s="9"/>
      <c r="V928" s="9"/>
      <c r="W928" s="13"/>
      <c r="X928" s="47"/>
      <c r="Y928" s="45"/>
      <c r="Z928" s="9"/>
      <c r="AA928" s="10"/>
      <c r="AB928" s="11"/>
      <c r="AD928" s="12"/>
      <c r="AE928" s="9"/>
      <c r="AF928" s="44"/>
      <c r="AG928" s="9"/>
      <c r="AH928" s="9"/>
      <c r="AI928" s="9"/>
      <c r="AJ928" s="9"/>
      <c r="AK928" s="13"/>
      <c r="AL928" s="15"/>
      <c r="AM928" s="45"/>
      <c r="AN928" s="9"/>
      <c r="AO928" s="10"/>
      <c r="AP928" s="11"/>
    </row>
    <row r="929" spans="1:42" ht="15" customHeight="1">
      <c r="A929" s="12"/>
      <c r="B929" s="8"/>
      <c r="C929" s="9"/>
      <c r="D929" s="9" t="str">
        <f t="shared" si="754"/>
        <v/>
      </c>
      <c r="E929" s="9"/>
      <c r="F929" s="9" t="str">
        <f t="shared" si="755"/>
        <v/>
      </c>
      <c r="G929" s="9"/>
      <c r="H929" s="9" t="str">
        <f t="shared" si="756"/>
        <v/>
      </c>
      <c r="I929" s="9"/>
      <c r="J929" s="9"/>
      <c r="K929" s="9"/>
      <c r="L929" s="9" t="str">
        <f t="shared" si="736"/>
        <v/>
      </c>
      <c r="M929" s="10" t="str">
        <f t="shared" si="737"/>
        <v/>
      </c>
      <c r="N929" s="11"/>
      <c r="O929" s="2"/>
      <c r="P929" s="12"/>
      <c r="Q929" s="9"/>
      <c r="R929" s="52"/>
      <c r="S929" s="9"/>
      <c r="T929" s="9"/>
      <c r="U929" s="26"/>
      <c r="V929" s="26"/>
      <c r="W929" s="13"/>
      <c r="X929" s="47"/>
      <c r="Y929" s="9"/>
      <c r="Z929" s="9"/>
      <c r="AA929" s="10"/>
      <c r="AB929" s="11"/>
      <c r="AD929" s="12"/>
      <c r="AE929" s="9"/>
      <c r="AF929" s="52"/>
      <c r="AG929" s="9"/>
      <c r="AH929" s="9"/>
      <c r="AI929" s="26"/>
      <c r="AJ929" s="26"/>
      <c r="AK929" s="13"/>
      <c r="AL929" s="15"/>
      <c r="AM929" s="45"/>
      <c r="AN929" s="9"/>
      <c r="AO929" s="10"/>
      <c r="AP929" s="11"/>
    </row>
    <row r="930" spans="1:42" ht="15" customHeight="1" thickBot="1">
      <c r="A930" s="12"/>
      <c r="B930" s="8"/>
      <c r="C930" s="9"/>
      <c r="D930" s="9" t="str">
        <f t="shared" si="754"/>
        <v/>
      </c>
      <c r="E930" s="9"/>
      <c r="F930" s="9" t="str">
        <f t="shared" si="755"/>
        <v/>
      </c>
      <c r="G930" s="9"/>
      <c r="H930" s="9" t="str">
        <f t="shared" si="756"/>
        <v/>
      </c>
      <c r="I930" s="9"/>
      <c r="J930" s="9"/>
      <c r="K930" s="9"/>
      <c r="L930" s="9" t="str">
        <f t="shared" si="736"/>
        <v/>
      </c>
      <c r="M930" s="10" t="str">
        <f t="shared" si="737"/>
        <v/>
      </c>
      <c r="N930" s="11"/>
      <c r="O930" s="2"/>
      <c r="P930" s="18"/>
      <c r="Q930" s="21"/>
      <c r="R930" s="50"/>
      <c r="S930" s="51"/>
      <c r="T930" s="21"/>
      <c r="U930" s="53"/>
      <c r="V930" s="53"/>
      <c r="W930" s="107"/>
      <c r="X930" s="48"/>
      <c r="Y930" s="51"/>
      <c r="Z930" s="19"/>
      <c r="AA930" s="20"/>
      <c r="AB930" s="11"/>
      <c r="AD930" s="18"/>
      <c r="AE930" s="21"/>
      <c r="AF930" s="50"/>
      <c r="AG930" s="51"/>
      <c r="AH930" s="19"/>
      <c r="AI930" s="53"/>
      <c r="AJ930" s="53"/>
      <c r="AK930" s="37"/>
      <c r="AL930" s="22"/>
      <c r="AM930" s="51"/>
      <c r="AN930" s="19"/>
      <c r="AO930" s="20"/>
      <c r="AP930" s="11"/>
    </row>
    <row r="931" spans="1:42" ht="15" customHeight="1" thickTop="1">
      <c r="A931" s="12"/>
      <c r="B931" s="8"/>
      <c r="C931" s="9"/>
      <c r="D931" s="9" t="str">
        <f t="shared" si="754"/>
        <v/>
      </c>
      <c r="E931" s="9"/>
      <c r="F931" s="9" t="str">
        <f t="shared" si="755"/>
        <v/>
      </c>
      <c r="G931" s="9"/>
      <c r="H931" s="9" t="str">
        <f t="shared" si="756"/>
        <v/>
      </c>
      <c r="I931" s="9"/>
      <c r="J931" s="9"/>
      <c r="K931" s="9"/>
      <c r="L931" s="9" t="str">
        <f t="shared" si="736"/>
        <v/>
      </c>
      <c r="M931" s="10" t="str">
        <f t="shared" si="737"/>
        <v/>
      </c>
      <c r="N931" s="11"/>
      <c r="O931" s="2"/>
      <c r="P931" s="65" t="str">
        <f>IF($A901="","",$A901)</f>
        <v/>
      </c>
      <c r="Q931" s="44"/>
      <c r="R931" s="44" t="str">
        <f t="shared" si="726"/>
        <v/>
      </c>
      <c r="S931" s="44"/>
      <c r="T931" s="23" t="str">
        <f t="shared" si="727"/>
        <v/>
      </c>
      <c r="U931" s="44"/>
      <c r="V931" s="44" t="str">
        <f t="shared" si="728"/>
        <v/>
      </c>
      <c r="W931" s="66"/>
      <c r="X931" s="61" t="str">
        <f t="shared" ref="X931:X934" si="759">IF(Q931="","",X927)</f>
        <v/>
      </c>
      <c r="Y931" s="62" t="str">
        <f t="shared" ref="Y931:Y934" si="760">IF(R931="","",Y927)</f>
        <v/>
      </c>
      <c r="Z931" s="23" t="str">
        <f t="shared" si="757"/>
        <v/>
      </c>
      <c r="AA931" s="24" t="str">
        <f t="shared" si="758"/>
        <v/>
      </c>
      <c r="AB931" s="11"/>
      <c r="AD931" s="65" t="str">
        <f>IF($A901="","",$A901)</f>
        <v/>
      </c>
      <c r="AE931" s="44"/>
      <c r="AF931" s="44" t="str">
        <f t="shared" si="733"/>
        <v/>
      </c>
      <c r="AG931" s="44"/>
      <c r="AH931" s="23" t="str">
        <f t="shared" si="734"/>
        <v/>
      </c>
      <c r="AI931" s="44"/>
      <c r="AJ931" s="44" t="str">
        <f t="shared" si="735"/>
        <v/>
      </c>
      <c r="AK931" s="66"/>
      <c r="AL931" s="15" t="str">
        <f t="shared" ref="AL931:AL946" si="761">IF(AE931="","",AL927)</f>
        <v/>
      </c>
      <c r="AM931" s="45" t="str">
        <f t="shared" ref="AM931:AM946" si="762">IF(AF931="","",AM927)</f>
        <v/>
      </c>
      <c r="AN931" s="23" t="str">
        <f t="shared" si="748"/>
        <v/>
      </c>
      <c r="AO931" s="24" t="str">
        <f t="shared" si="749"/>
        <v/>
      </c>
      <c r="AP931" s="11"/>
    </row>
    <row r="932" spans="1:42" ht="15" customHeight="1">
      <c r="A932" s="12"/>
      <c r="B932" s="8"/>
      <c r="C932" s="9"/>
      <c r="D932" s="9" t="str">
        <f t="shared" si="754"/>
        <v/>
      </c>
      <c r="E932" s="9"/>
      <c r="F932" s="9" t="str">
        <f t="shared" si="755"/>
        <v/>
      </c>
      <c r="G932" s="9"/>
      <c r="H932" s="9" t="str">
        <f t="shared" si="756"/>
        <v/>
      </c>
      <c r="I932" s="9"/>
      <c r="J932" s="9"/>
      <c r="K932" s="9"/>
      <c r="L932" s="9" t="str">
        <f t="shared" si="736"/>
        <v/>
      </c>
      <c r="M932" s="10" t="str">
        <f t="shared" si="737"/>
        <v/>
      </c>
      <c r="N932" s="11"/>
      <c r="O932" s="2"/>
      <c r="P932" s="12"/>
      <c r="Q932" s="9"/>
      <c r="R932" s="44" t="str">
        <f t="shared" si="726"/>
        <v/>
      </c>
      <c r="S932" s="9"/>
      <c r="T932" s="9" t="str">
        <f t="shared" si="727"/>
        <v/>
      </c>
      <c r="U932" s="9"/>
      <c r="V932" s="9" t="str">
        <f t="shared" si="728"/>
        <v/>
      </c>
      <c r="W932" s="13"/>
      <c r="X932" s="47" t="str">
        <f t="shared" si="759"/>
        <v/>
      </c>
      <c r="Y932" s="45" t="str">
        <f t="shared" si="760"/>
        <v/>
      </c>
      <c r="Z932" s="9" t="str">
        <f t="shared" si="757"/>
        <v/>
      </c>
      <c r="AA932" s="10" t="str">
        <f t="shared" si="758"/>
        <v/>
      </c>
      <c r="AB932" s="11"/>
      <c r="AD932" s="12"/>
      <c r="AE932" s="9"/>
      <c r="AF932" s="44" t="str">
        <f t="shared" si="733"/>
        <v/>
      </c>
      <c r="AG932" s="9"/>
      <c r="AH932" s="9" t="str">
        <f t="shared" si="734"/>
        <v/>
      </c>
      <c r="AI932" s="9"/>
      <c r="AJ932" s="9" t="str">
        <f t="shared" si="735"/>
        <v/>
      </c>
      <c r="AK932" s="13"/>
      <c r="AL932" s="15" t="str">
        <f t="shared" si="761"/>
        <v/>
      </c>
      <c r="AM932" s="45" t="str">
        <f t="shared" si="762"/>
        <v/>
      </c>
      <c r="AN932" s="9" t="str">
        <f t="shared" si="748"/>
        <v/>
      </c>
      <c r="AO932" s="10" t="str">
        <f t="shared" si="749"/>
        <v/>
      </c>
      <c r="AP932" s="11"/>
    </row>
    <row r="933" spans="1:42" ht="15" customHeight="1">
      <c r="A933" s="12"/>
      <c r="B933" s="8"/>
      <c r="C933" s="9"/>
      <c r="D933" s="9" t="str">
        <f t="shared" si="754"/>
        <v/>
      </c>
      <c r="E933" s="9"/>
      <c r="F933" s="9" t="str">
        <f t="shared" si="755"/>
        <v/>
      </c>
      <c r="G933" s="9"/>
      <c r="H933" s="9" t="str">
        <f t="shared" si="756"/>
        <v/>
      </c>
      <c r="I933" s="9"/>
      <c r="J933" s="9"/>
      <c r="K933" s="9"/>
      <c r="L933" s="9" t="str">
        <f t="shared" si="736"/>
        <v/>
      </c>
      <c r="M933" s="10" t="str">
        <f t="shared" si="737"/>
        <v/>
      </c>
      <c r="N933" s="11"/>
      <c r="O933" s="2"/>
      <c r="P933" s="12"/>
      <c r="Q933" s="9"/>
      <c r="R933" s="52" t="str">
        <f t="shared" si="726"/>
        <v/>
      </c>
      <c r="S933" s="9"/>
      <c r="T933" s="9" t="str">
        <f t="shared" si="727"/>
        <v/>
      </c>
      <c r="U933" s="9"/>
      <c r="V933" s="9" t="str">
        <f t="shared" si="728"/>
        <v/>
      </c>
      <c r="W933" s="13"/>
      <c r="X933" s="47" t="str">
        <f t="shared" si="759"/>
        <v/>
      </c>
      <c r="Y933" s="9" t="str">
        <f t="shared" si="760"/>
        <v/>
      </c>
      <c r="Z933" s="9" t="str">
        <f t="shared" si="757"/>
        <v/>
      </c>
      <c r="AA933" s="10" t="str">
        <f t="shared" si="758"/>
        <v/>
      </c>
      <c r="AB933" s="11"/>
      <c r="AD933" s="12"/>
      <c r="AE933" s="9"/>
      <c r="AF933" s="52" t="str">
        <f t="shared" si="733"/>
        <v/>
      </c>
      <c r="AG933" s="9"/>
      <c r="AH933" s="9" t="str">
        <f t="shared" si="734"/>
        <v/>
      </c>
      <c r="AI933" s="9"/>
      <c r="AJ933" s="9" t="str">
        <f t="shared" si="735"/>
        <v/>
      </c>
      <c r="AK933" s="13"/>
      <c r="AL933" s="15" t="str">
        <f t="shared" si="761"/>
        <v/>
      </c>
      <c r="AM933" s="45" t="str">
        <f t="shared" si="762"/>
        <v/>
      </c>
      <c r="AN933" s="9" t="str">
        <f t="shared" si="748"/>
        <v/>
      </c>
      <c r="AO933" s="10" t="str">
        <f t="shared" si="749"/>
        <v/>
      </c>
      <c r="AP933" s="11"/>
    </row>
    <row r="934" spans="1:42" ht="15" customHeight="1" thickBot="1">
      <c r="A934" s="12"/>
      <c r="B934" s="8"/>
      <c r="C934" s="9"/>
      <c r="D934" s="9" t="str">
        <f t="shared" si="754"/>
        <v/>
      </c>
      <c r="E934" s="9"/>
      <c r="F934" s="9" t="str">
        <f t="shared" si="755"/>
        <v/>
      </c>
      <c r="G934" s="9"/>
      <c r="H934" s="9" t="str">
        <f t="shared" si="756"/>
        <v/>
      </c>
      <c r="I934" s="9"/>
      <c r="J934" s="9"/>
      <c r="K934" s="9"/>
      <c r="L934" s="9" t="str">
        <f t="shared" si="736"/>
        <v/>
      </c>
      <c r="M934" s="10" t="str">
        <f t="shared" si="737"/>
        <v/>
      </c>
      <c r="N934" s="11"/>
      <c r="O934" s="2"/>
      <c r="P934" s="18"/>
      <c r="Q934" s="21"/>
      <c r="R934" s="50" t="str">
        <f t="shared" si="726"/>
        <v/>
      </c>
      <c r="S934" s="51"/>
      <c r="T934" s="19" t="str">
        <f t="shared" si="727"/>
        <v/>
      </c>
      <c r="U934" s="19"/>
      <c r="V934" s="19" t="str">
        <f t="shared" si="728"/>
        <v/>
      </c>
      <c r="W934" s="37"/>
      <c r="X934" s="48" t="str">
        <f t="shared" si="759"/>
        <v/>
      </c>
      <c r="Y934" s="51" t="str">
        <f t="shared" si="760"/>
        <v/>
      </c>
      <c r="Z934" s="19" t="str">
        <f t="shared" si="757"/>
        <v/>
      </c>
      <c r="AA934" s="20" t="str">
        <f t="shared" si="758"/>
        <v/>
      </c>
      <c r="AB934" s="11"/>
      <c r="AD934" s="18"/>
      <c r="AE934" s="21"/>
      <c r="AF934" s="50" t="str">
        <f t="shared" si="733"/>
        <v/>
      </c>
      <c r="AG934" s="51"/>
      <c r="AH934" s="19" t="str">
        <f t="shared" si="734"/>
        <v/>
      </c>
      <c r="AI934" s="19"/>
      <c r="AJ934" s="19" t="str">
        <f t="shared" si="735"/>
        <v/>
      </c>
      <c r="AK934" s="37"/>
      <c r="AL934" s="22" t="str">
        <f t="shared" si="761"/>
        <v/>
      </c>
      <c r="AM934" s="51" t="str">
        <f t="shared" si="762"/>
        <v/>
      </c>
      <c r="AN934" s="19" t="str">
        <f t="shared" si="748"/>
        <v/>
      </c>
      <c r="AO934" s="20" t="str">
        <f t="shared" si="749"/>
        <v/>
      </c>
      <c r="AP934" s="11"/>
    </row>
    <row r="935" spans="1:42" ht="15" customHeight="1" thickTop="1">
      <c r="A935" s="12"/>
      <c r="B935" s="8"/>
      <c r="C935" s="9"/>
      <c r="D935" s="9" t="str">
        <f t="shared" si="754"/>
        <v/>
      </c>
      <c r="E935" s="9"/>
      <c r="F935" s="9" t="str">
        <f t="shared" si="755"/>
        <v/>
      </c>
      <c r="G935" s="9"/>
      <c r="H935" s="9" t="str">
        <f t="shared" si="756"/>
        <v/>
      </c>
      <c r="I935" s="9"/>
      <c r="J935" s="9"/>
      <c r="K935" s="9"/>
      <c r="L935" s="9" t="str">
        <f t="shared" si="736"/>
        <v/>
      </c>
      <c r="M935" s="10" t="str">
        <f t="shared" si="737"/>
        <v/>
      </c>
      <c r="N935" s="11"/>
      <c r="O935" s="2"/>
      <c r="P935" s="65" t="str">
        <f>IF($A902="","",$A902)</f>
        <v/>
      </c>
      <c r="Q935" s="44"/>
      <c r="R935" s="44" t="str">
        <f t="shared" si="726"/>
        <v/>
      </c>
      <c r="S935" s="44"/>
      <c r="T935" s="23" t="str">
        <f t="shared" si="727"/>
        <v/>
      </c>
      <c r="U935" s="44"/>
      <c r="V935" s="44" t="str">
        <f t="shared" si="728"/>
        <v/>
      </c>
      <c r="W935" s="44"/>
      <c r="X935" s="15" t="str">
        <f t="shared" ref="X935:X946" si="763">IF(Q935="","",X931)</f>
        <v/>
      </c>
      <c r="Y935" s="45" t="str">
        <f t="shared" ref="Y935:Y946" si="764">IF(R935="","",Y931)</f>
        <v/>
      </c>
      <c r="Z935" s="23" t="str">
        <f t="shared" si="731"/>
        <v/>
      </c>
      <c r="AA935" s="24" t="str">
        <f t="shared" si="732"/>
        <v/>
      </c>
      <c r="AB935" s="11"/>
      <c r="AD935" s="65" t="str">
        <f>IF($A902="","",$A902)</f>
        <v/>
      </c>
      <c r="AE935" s="44"/>
      <c r="AF935" s="44" t="str">
        <f t="shared" si="733"/>
        <v/>
      </c>
      <c r="AG935" s="44"/>
      <c r="AH935" s="23" t="str">
        <f t="shared" si="734"/>
        <v/>
      </c>
      <c r="AI935" s="44"/>
      <c r="AJ935" s="44" t="str">
        <f t="shared" si="735"/>
        <v/>
      </c>
      <c r="AK935" s="44"/>
      <c r="AL935" s="61" t="str">
        <f t="shared" si="761"/>
        <v/>
      </c>
      <c r="AM935" s="62" t="str">
        <f t="shared" si="762"/>
        <v/>
      </c>
      <c r="AN935" s="23" t="str">
        <f t="shared" si="748"/>
        <v/>
      </c>
      <c r="AO935" s="24" t="str">
        <f t="shared" si="749"/>
        <v/>
      </c>
      <c r="AP935" s="11"/>
    </row>
    <row r="936" spans="1:42" ht="15" customHeight="1">
      <c r="A936" s="12"/>
      <c r="B936" s="8"/>
      <c r="C936" s="9"/>
      <c r="D936" s="9" t="str">
        <f t="shared" si="754"/>
        <v/>
      </c>
      <c r="E936" s="9"/>
      <c r="F936" s="9" t="str">
        <f t="shared" si="755"/>
        <v/>
      </c>
      <c r="G936" s="9"/>
      <c r="H936" s="9" t="str">
        <f t="shared" si="756"/>
        <v/>
      </c>
      <c r="I936" s="9"/>
      <c r="J936" s="9"/>
      <c r="K936" s="9"/>
      <c r="L936" s="9" t="str">
        <f t="shared" si="736"/>
        <v/>
      </c>
      <c r="M936" s="10" t="str">
        <f t="shared" si="737"/>
        <v/>
      </c>
      <c r="N936" s="11"/>
      <c r="O936" s="2"/>
      <c r="P936" s="12"/>
      <c r="Q936" s="9"/>
      <c r="R936" s="9" t="str">
        <f t="shared" si="726"/>
        <v/>
      </c>
      <c r="S936" s="9"/>
      <c r="T936" s="9" t="str">
        <f t="shared" si="727"/>
        <v/>
      </c>
      <c r="U936" s="9"/>
      <c r="V936" s="9" t="str">
        <f t="shared" si="728"/>
        <v/>
      </c>
      <c r="W936" s="9"/>
      <c r="X936" s="15" t="str">
        <f t="shared" si="763"/>
        <v/>
      </c>
      <c r="Y936" s="45" t="str">
        <f t="shared" si="764"/>
        <v/>
      </c>
      <c r="Z936" s="9" t="str">
        <f t="shared" si="731"/>
        <v/>
      </c>
      <c r="AA936" s="10" t="str">
        <f t="shared" si="732"/>
        <v/>
      </c>
      <c r="AB936" s="11"/>
      <c r="AD936" s="12"/>
      <c r="AE936" s="9"/>
      <c r="AF936" s="9" t="str">
        <f t="shared" si="733"/>
        <v/>
      </c>
      <c r="AG936" s="9"/>
      <c r="AH936" s="9" t="str">
        <f t="shared" si="734"/>
        <v/>
      </c>
      <c r="AI936" s="9"/>
      <c r="AJ936" s="9" t="str">
        <f t="shared" si="735"/>
        <v/>
      </c>
      <c r="AK936" s="9"/>
      <c r="AL936" s="47" t="str">
        <f t="shared" si="761"/>
        <v/>
      </c>
      <c r="AM936" s="45" t="str">
        <f t="shared" si="762"/>
        <v/>
      </c>
      <c r="AN936" s="9" t="str">
        <f t="shared" si="748"/>
        <v/>
      </c>
      <c r="AO936" s="10" t="str">
        <f t="shared" si="749"/>
        <v/>
      </c>
      <c r="AP936" s="11"/>
    </row>
    <row r="937" spans="1:42" ht="15" customHeight="1">
      <c r="A937" s="12"/>
      <c r="B937" s="8"/>
      <c r="C937" s="9"/>
      <c r="D937" s="9" t="str">
        <f t="shared" si="754"/>
        <v/>
      </c>
      <c r="E937" s="9"/>
      <c r="F937" s="9" t="str">
        <f t="shared" si="755"/>
        <v/>
      </c>
      <c r="G937" s="9"/>
      <c r="H937" s="9" t="str">
        <f t="shared" si="756"/>
        <v/>
      </c>
      <c r="I937" s="9"/>
      <c r="J937" s="9"/>
      <c r="K937" s="9"/>
      <c r="L937" s="9" t="str">
        <f t="shared" si="736"/>
        <v/>
      </c>
      <c r="M937" s="10" t="str">
        <f t="shared" si="737"/>
        <v/>
      </c>
      <c r="N937" s="11"/>
      <c r="O937" s="2"/>
      <c r="P937" s="12"/>
      <c r="Q937" s="9"/>
      <c r="R937" s="9" t="str">
        <f t="shared" si="726"/>
        <v/>
      </c>
      <c r="S937" s="9"/>
      <c r="T937" s="9" t="str">
        <f t="shared" si="727"/>
        <v/>
      </c>
      <c r="U937" s="9"/>
      <c r="V937" s="9" t="str">
        <f t="shared" si="728"/>
        <v/>
      </c>
      <c r="W937" s="9"/>
      <c r="X937" s="15" t="str">
        <f t="shared" si="763"/>
        <v/>
      </c>
      <c r="Y937" s="45" t="str">
        <f t="shared" si="764"/>
        <v/>
      </c>
      <c r="Z937" s="9" t="str">
        <f t="shared" si="731"/>
        <v/>
      </c>
      <c r="AA937" s="10" t="str">
        <f t="shared" si="732"/>
        <v/>
      </c>
      <c r="AB937" s="11"/>
      <c r="AD937" s="12"/>
      <c r="AE937" s="9"/>
      <c r="AF937" s="9" t="str">
        <f t="shared" si="733"/>
        <v/>
      </c>
      <c r="AG937" s="9"/>
      <c r="AH937" s="9" t="str">
        <f t="shared" si="734"/>
        <v/>
      </c>
      <c r="AI937" s="9"/>
      <c r="AJ937" s="9" t="str">
        <f t="shared" si="735"/>
        <v/>
      </c>
      <c r="AK937" s="9"/>
      <c r="AL937" s="47" t="str">
        <f t="shared" si="761"/>
        <v/>
      </c>
      <c r="AM937" s="9" t="str">
        <f t="shared" si="762"/>
        <v/>
      </c>
      <c r="AN937" s="9" t="str">
        <f t="shared" si="748"/>
        <v/>
      </c>
      <c r="AO937" s="10" t="str">
        <f t="shared" si="749"/>
        <v/>
      </c>
      <c r="AP937" s="11"/>
    </row>
    <row r="938" spans="1:42" ht="15" customHeight="1" thickBot="1">
      <c r="A938" s="12"/>
      <c r="B938" s="8"/>
      <c r="C938" s="9"/>
      <c r="D938" s="9" t="str">
        <f t="shared" si="754"/>
        <v/>
      </c>
      <c r="E938" s="9"/>
      <c r="F938" s="9" t="str">
        <f t="shared" si="755"/>
        <v/>
      </c>
      <c r="G938" s="9"/>
      <c r="H938" s="9" t="str">
        <f t="shared" si="756"/>
        <v/>
      </c>
      <c r="I938" s="9"/>
      <c r="J938" s="9"/>
      <c r="K938" s="9"/>
      <c r="L938" s="9" t="str">
        <f t="shared" si="736"/>
        <v/>
      </c>
      <c r="M938" s="10" t="str">
        <f t="shared" si="737"/>
        <v/>
      </c>
      <c r="N938" s="11"/>
      <c r="O938" s="2"/>
      <c r="P938" s="18"/>
      <c r="Q938" s="19"/>
      <c r="R938" s="19" t="str">
        <f t="shared" si="726"/>
        <v/>
      </c>
      <c r="S938" s="19"/>
      <c r="T938" s="19" t="str">
        <f t="shared" si="727"/>
        <v/>
      </c>
      <c r="U938" s="19"/>
      <c r="V938" s="19" t="str">
        <f t="shared" si="728"/>
        <v/>
      </c>
      <c r="W938" s="19"/>
      <c r="X938" s="22" t="str">
        <f t="shared" si="763"/>
        <v/>
      </c>
      <c r="Y938" s="51" t="str">
        <f t="shared" si="764"/>
        <v/>
      </c>
      <c r="Z938" s="19" t="str">
        <f t="shared" si="731"/>
        <v/>
      </c>
      <c r="AA938" s="20" t="str">
        <f t="shared" si="732"/>
        <v/>
      </c>
      <c r="AB938" s="11"/>
      <c r="AD938" s="18"/>
      <c r="AE938" s="19"/>
      <c r="AF938" s="19" t="str">
        <f t="shared" si="733"/>
        <v/>
      </c>
      <c r="AG938" s="19"/>
      <c r="AH938" s="19" t="str">
        <f t="shared" si="734"/>
        <v/>
      </c>
      <c r="AI938" s="19"/>
      <c r="AJ938" s="19" t="str">
        <f t="shared" si="735"/>
        <v/>
      </c>
      <c r="AK938" s="19"/>
      <c r="AL938" s="48" t="str">
        <f t="shared" si="761"/>
        <v/>
      </c>
      <c r="AM938" s="51" t="str">
        <f t="shared" si="762"/>
        <v/>
      </c>
      <c r="AN938" s="19" t="str">
        <f t="shared" si="748"/>
        <v/>
      </c>
      <c r="AO938" s="20" t="str">
        <f t="shared" si="749"/>
        <v/>
      </c>
      <c r="AP938" s="11"/>
    </row>
    <row r="939" spans="1:42" ht="15" customHeight="1" thickTop="1">
      <c r="A939" s="12"/>
      <c r="B939" s="8"/>
      <c r="C939" s="9"/>
      <c r="D939" s="9" t="str">
        <f t="shared" si="754"/>
        <v/>
      </c>
      <c r="E939" s="9"/>
      <c r="F939" s="9" t="str">
        <f t="shared" si="755"/>
        <v/>
      </c>
      <c r="G939" s="9"/>
      <c r="H939" s="9" t="str">
        <f t="shared" si="756"/>
        <v/>
      </c>
      <c r="I939" s="9"/>
      <c r="J939" s="9"/>
      <c r="K939" s="9"/>
      <c r="L939" s="9" t="str">
        <f t="shared" si="736"/>
        <v/>
      </c>
      <c r="M939" s="10" t="str">
        <f t="shared" si="737"/>
        <v/>
      </c>
      <c r="N939" s="11"/>
      <c r="O939" s="2"/>
      <c r="P939" s="65" t="str">
        <f>IF($A903="","",$A903)</f>
        <v/>
      </c>
      <c r="Q939" s="44"/>
      <c r="R939" s="44" t="str">
        <f t="shared" si="726"/>
        <v/>
      </c>
      <c r="S939" s="44"/>
      <c r="T939" s="23" t="str">
        <f t="shared" si="727"/>
        <v/>
      </c>
      <c r="U939" s="44"/>
      <c r="V939" s="44" t="str">
        <f t="shared" si="728"/>
        <v/>
      </c>
      <c r="W939" s="44"/>
      <c r="X939" s="64" t="str">
        <f t="shared" si="763"/>
        <v/>
      </c>
      <c r="Y939" s="62" t="str">
        <f t="shared" si="764"/>
        <v/>
      </c>
      <c r="Z939" s="23" t="str">
        <f t="shared" si="731"/>
        <v/>
      </c>
      <c r="AA939" s="24" t="str">
        <f t="shared" si="732"/>
        <v/>
      </c>
      <c r="AB939" s="11"/>
      <c r="AD939" s="65" t="str">
        <f>IF($A903="","",$A903)</f>
        <v/>
      </c>
      <c r="AE939" s="44"/>
      <c r="AF939" s="44" t="str">
        <f t="shared" si="733"/>
        <v/>
      </c>
      <c r="AG939" s="44"/>
      <c r="AH939" s="23" t="str">
        <f t="shared" si="734"/>
        <v/>
      </c>
      <c r="AI939" s="44"/>
      <c r="AJ939" s="44" t="str">
        <f t="shared" si="735"/>
        <v/>
      </c>
      <c r="AK939" s="44"/>
      <c r="AL939" s="61" t="str">
        <f t="shared" si="761"/>
        <v/>
      </c>
      <c r="AM939" s="62" t="str">
        <f t="shared" si="762"/>
        <v/>
      </c>
      <c r="AN939" s="23" t="str">
        <f t="shared" si="748"/>
        <v/>
      </c>
      <c r="AO939" s="24" t="str">
        <f t="shared" si="749"/>
        <v/>
      </c>
      <c r="AP939" s="11"/>
    </row>
    <row r="940" spans="1:42" ht="15" customHeight="1">
      <c r="A940" s="12"/>
      <c r="B940" s="8"/>
      <c r="C940" s="9"/>
      <c r="D940" s="9" t="str">
        <f t="shared" si="754"/>
        <v/>
      </c>
      <c r="E940" s="9"/>
      <c r="F940" s="9" t="str">
        <f t="shared" si="755"/>
        <v/>
      </c>
      <c r="G940" s="9"/>
      <c r="H940" s="9" t="str">
        <f t="shared" si="756"/>
        <v/>
      </c>
      <c r="I940" s="9"/>
      <c r="J940" s="9"/>
      <c r="K940" s="9"/>
      <c r="L940" s="9" t="str">
        <f t="shared" si="736"/>
        <v/>
      </c>
      <c r="M940" s="10" t="str">
        <f t="shared" si="737"/>
        <v/>
      </c>
      <c r="N940" s="11"/>
      <c r="O940" s="2"/>
      <c r="P940" s="12"/>
      <c r="Q940" s="9"/>
      <c r="R940" s="9" t="str">
        <f t="shared" si="726"/>
        <v/>
      </c>
      <c r="S940" s="9"/>
      <c r="T940" s="9" t="str">
        <f t="shared" si="727"/>
        <v/>
      </c>
      <c r="U940" s="9"/>
      <c r="V940" s="9" t="str">
        <f t="shared" si="728"/>
        <v/>
      </c>
      <c r="W940" s="9"/>
      <c r="X940" s="15" t="str">
        <f t="shared" si="763"/>
        <v/>
      </c>
      <c r="Y940" s="45" t="str">
        <f t="shared" si="764"/>
        <v/>
      </c>
      <c r="Z940" s="9" t="str">
        <f t="shared" si="731"/>
        <v/>
      </c>
      <c r="AA940" s="10" t="str">
        <f t="shared" si="732"/>
        <v/>
      </c>
      <c r="AB940" s="11"/>
      <c r="AD940" s="12"/>
      <c r="AE940" s="9"/>
      <c r="AF940" s="9" t="str">
        <f t="shared" si="733"/>
        <v/>
      </c>
      <c r="AG940" s="9"/>
      <c r="AH940" s="9" t="str">
        <f t="shared" si="734"/>
        <v/>
      </c>
      <c r="AI940" s="9"/>
      <c r="AJ940" s="39" t="str">
        <f t="shared" si="735"/>
        <v/>
      </c>
      <c r="AK940" s="9"/>
      <c r="AL940" s="47" t="str">
        <f t="shared" si="761"/>
        <v/>
      </c>
      <c r="AM940" s="45" t="str">
        <f t="shared" si="762"/>
        <v/>
      </c>
      <c r="AN940" s="9" t="str">
        <f t="shared" si="748"/>
        <v/>
      </c>
      <c r="AO940" s="10" t="str">
        <f t="shared" si="749"/>
        <v/>
      </c>
      <c r="AP940" s="11"/>
    </row>
    <row r="941" spans="1:42" ht="15" customHeight="1">
      <c r="A941" s="12"/>
      <c r="B941" s="8"/>
      <c r="C941" s="9"/>
      <c r="D941" s="9" t="str">
        <f t="shared" si="754"/>
        <v/>
      </c>
      <c r="E941" s="9"/>
      <c r="F941" s="9" t="str">
        <f t="shared" si="755"/>
        <v/>
      </c>
      <c r="G941" s="9"/>
      <c r="H941" s="9" t="str">
        <f t="shared" si="756"/>
        <v/>
      </c>
      <c r="I941" s="9"/>
      <c r="J941" s="9"/>
      <c r="K941" s="9"/>
      <c r="L941" s="9" t="str">
        <f t="shared" si="736"/>
        <v/>
      </c>
      <c r="M941" s="10" t="str">
        <f t="shared" si="737"/>
        <v/>
      </c>
      <c r="N941" s="11"/>
      <c r="O941" s="2"/>
      <c r="P941" s="12"/>
      <c r="Q941" s="9"/>
      <c r="R941" s="9" t="str">
        <f t="shared" si="726"/>
        <v/>
      </c>
      <c r="S941" s="9"/>
      <c r="T941" s="9" t="str">
        <f t="shared" si="727"/>
        <v/>
      </c>
      <c r="U941" s="9"/>
      <c r="V941" s="9" t="str">
        <f t="shared" si="728"/>
        <v/>
      </c>
      <c r="W941" s="9"/>
      <c r="X941" s="15" t="str">
        <f t="shared" si="763"/>
        <v/>
      </c>
      <c r="Y941" s="9" t="str">
        <f t="shared" si="764"/>
        <v/>
      </c>
      <c r="Z941" s="9" t="str">
        <f t="shared" si="731"/>
        <v/>
      </c>
      <c r="AA941" s="10" t="str">
        <f t="shared" si="732"/>
        <v/>
      </c>
      <c r="AB941" s="11"/>
      <c r="AD941" s="12"/>
      <c r="AE941" s="9"/>
      <c r="AF941" s="9" t="str">
        <f t="shared" si="733"/>
        <v/>
      </c>
      <c r="AG941" s="9"/>
      <c r="AH941" s="9" t="str">
        <f t="shared" si="734"/>
        <v/>
      </c>
      <c r="AI941" s="9"/>
      <c r="AJ941" s="9" t="str">
        <f t="shared" si="735"/>
        <v/>
      </c>
      <c r="AK941" s="9"/>
      <c r="AL941" s="47" t="str">
        <f t="shared" si="761"/>
        <v/>
      </c>
      <c r="AM941" s="9" t="str">
        <f t="shared" si="762"/>
        <v/>
      </c>
      <c r="AN941" s="9" t="str">
        <f t="shared" si="748"/>
        <v/>
      </c>
      <c r="AO941" s="10" t="str">
        <f t="shared" si="749"/>
        <v/>
      </c>
      <c r="AP941" s="11"/>
    </row>
    <row r="942" spans="1:42" ht="15" customHeight="1" thickBot="1">
      <c r="A942" s="12"/>
      <c r="B942" s="8"/>
      <c r="C942" s="9"/>
      <c r="D942" s="9" t="str">
        <f t="shared" si="754"/>
        <v/>
      </c>
      <c r="E942" s="9"/>
      <c r="F942" s="9" t="str">
        <f t="shared" si="755"/>
        <v/>
      </c>
      <c r="G942" s="9"/>
      <c r="H942" s="9" t="str">
        <f t="shared" si="756"/>
        <v/>
      </c>
      <c r="I942" s="9"/>
      <c r="J942" s="9"/>
      <c r="K942" s="9"/>
      <c r="L942" s="9" t="str">
        <f t="shared" si="736"/>
        <v/>
      </c>
      <c r="M942" s="10" t="str">
        <f t="shared" si="737"/>
        <v/>
      </c>
      <c r="N942" s="11"/>
      <c r="O942" s="2"/>
      <c r="P942" s="18"/>
      <c r="Q942" s="19"/>
      <c r="R942" s="19" t="str">
        <f t="shared" si="726"/>
        <v/>
      </c>
      <c r="S942" s="19"/>
      <c r="T942" s="19" t="str">
        <f t="shared" si="727"/>
        <v/>
      </c>
      <c r="U942" s="19"/>
      <c r="V942" s="19" t="str">
        <f t="shared" si="728"/>
        <v/>
      </c>
      <c r="W942" s="19"/>
      <c r="X942" s="22" t="str">
        <f t="shared" si="763"/>
        <v/>
      </c>
      <c r="Y942" s="51" t="str">
        <f t="shared" si="764"/>
        <v/>
      </c>
      <c r="Z942" s="19" t="str">
        <f t="shared" si="731"/>
        <v/>
      </c>
      <c r="AA942" s="20" t="str">
        <f t="shared" si="732"/>
        <v/>
      </c>
      <c r="AB942" s="11"/>
      <c r="AD942" s="18"/>
      <c r="AE942" s="19"/>
      <c r="AF942" s="19" t="str">
        <f t="shared" si="733"/>
        <v/>
      </c>
      <c r="AG942" s="19"/>
      <c r="AH942" s="19" t="str">
        <f t="shared" si="734"/>
        <v/>
      </c>
      <c r="AI942" s="19"/>
      <c r="AJ942" s="19" t="str">
        <f t="shared" si="735"/>
        <v/>
      </c>
      <c r="AK942" s="19"/>
      <c r="AL942" s="48" t="str">
        <f t="shared" si="761"/>
        <v/>
      </c>
      <c r="AM942" s="51" t="str">
        <f t="shared" si="762"/>
        <v/>
      </c>
      <c r="AN942" s="19" t="str">
        <f t="shared" si="748"/>
        <v/>
      </c>
      <c r="AO942" s="20" t="str">
        <f t="shared" si="749"/>
        <v/>
      </c>
      <c r="AP942" s="11"/>
    </row>
    <row r="943" spans="1:42" ht="15" customHeight="1" thickTop="1">
      <c r="A943" s="12"/>
      <c r="B943" s="8"/>
      <c r="C943" s="9"/>
      <c r="D943" s="9" t="str">
        <f t="shared" si="754"/>
        <v/>
      </c>
      <c r="E943" s="9"/>
      <c r="F943" s="9" t="str">
        <f t="shared" si="755"/>
        <v/>
      </c>
      <c r="G943" s="9"/>
      <c r="H943" s="9" t="str">
        <f t="shared" si="756"/>
        <v/>
      </c>
      <c r="I943" s="9"/>
      <c r="J943" s="9"/>
      <c r="K943" s="9"/>
      <c r="L943" s="9" t="str">
        <f t="shared" si="736"/>
        <v/>
      </c>
      <c r="M943" s="10" t="str">
        <f t="shared" si="737"/>
        <v/>
      </c>
      <c r="N943" s="11"/>
      <c r="O943" s="2"/>
      <c r="P943" s="65" t="str">
        <f>IF($A904="","",$A904)</f>
        <v/>
      </c>
      <c r="Q943" s="44"/>
      <c r="R943" s="44" t="str">
        <f t="shared" si="726"/>
        <v/>
      </c>
      <c r="S943" s="44"/>
      <c r="T943" s="44" t="str">
        <f t="shared" si="727"/>
        <v/>
      </c>
      <c r="U943" s="44"/>
      <c r="V943" s="44" t="str">
        <f t="shared" si="728"/>
        <v/>
      </c>
      <c r="W943" s="44"/>
      <c r="X943" s="64" t="str">
        <f t="shared" si="763"/>
        <v/>
      </c>
      <c r="Y943" s="44" t="str">
        <f t="shared" si="764"/>
        <v/>
      </c>
      <c r="Z943" s="44" t="str">
        <f t="shared" si="731"/>
        <v/>
      </c>
      <c r="AA943" s="44" t="str">
        <f t="shared" si="732"/>
        <v/>
      </c>
      <c r="AB943" s="11"/>
      <c r="AD943" s="65" t="str">
        <f>IF($A904="","",$A904)</f>
        <v/>
      </c>
      <c r="AE943" s="44"/>
      <c r="AF943" s="44" t="str">
        <f t="shared" si="733"/>
        <v/>
      </c>
      <c r="AG943" s="44"/>
      <c r="AH943" s="44" t="str">
        <f t="shared" si="734"/>
        <v/>
      </c>
      <c r="AI943" s="44"/>
      <c r="AJ943" s="44" t="str">
        <f t="shared" si="735"/>
        <v/>
      </c>
      <c r="AK943" s="44"/>
      <c r="AL943" s="61" t="str">
        <f t="shared" si="761"/>
        <v/>
      </c>
      <c r="AM943" s="44" t="str">
        <f t="shared" si="762"/>
        <v/>
      </c>
      <c r="AN943" s="23" t="str">
        <f t="shared" si="748"/>
        <v/>
      </c>
      <c r="AO943" s="24" t="str">
        <f t="shared" si="749"/>
        <v/>
      </c>
      <c r="AP943" s="11"/>
    </row>
    <row r="944" spans="1:42" ht="15" customHeight="1">
      <c r="A944" s="12"/>
      <c r="B944" s="8"/>
      <c r="C944" s="9"/>
      <c r="D944" s="9"/>
      <c r="E944" s="9"/>
      <c r="F944" s="9" t="str">
        <f t="shared" si="755"/>
        <v/>
      </c>
      <c r="G944" s="9"/>
      <c r="H944" s="9" t="str">
        <f t="shared" si="756"/>
        <v/>
      </c>
      <c r="I944" s="9"/>
      <c r="J944" s="9"/>
      <c r="K944" s="9"/>
      <c r="L944" s="9" t="str">
        <f t="shared" si="736"/>
        <v/>
      </c>
      <c r="M944" s="10" t="str">
        <f t="shared" si="737"/>
        <v/>
      </c>
      <c r="N944" s="11"/>
      <c r="O944" s="2"/>
      <c r="P944" s="65"/>
      <c r="Q944" s="44"/>
      <c r="R944" s="44" t="str">
        <f t="shared" si="726"/>
        <v/>
      </c>
      <c r="S944" s="44"/>
      <c r="T944" s="44" t="str">
        <f t="shared" si="727"/>
        <v/>
      </c>
      <c r="U944" s="44"/>
      <c r="V944" s="44" t="str">
        <f t="shared" si="728"/>
        <v/>
      </c>
      <c r="W944" s="44"/>
      <c r="X944" s="64" t="str">
        <f t="shared" si="763"/>
        <v/>
      </c>
      <c r="Y944" s="44" t="str">
        <f t="shared" si="764"/>
        <v/>
      </c>
      <c r="Z944" s="44" t="str">
        <f t="shared" si="731"/>
        <v/>
      </c>
      <c r="AA944" s="44" t="str">
        <f t="shared" si="732"/>
        <v/>
      </c>
      <c r="AB944" s="11"/>
      <c r="AD944" s="65"/>
      <c r="AE944" s="44"/>
      <c r="AF944" s="44" t="str">
        <f t="shared" si="733"/>
        <v/>
      </c>
      <c r="AG944" s="44"/>
      <c r="AH944" s="44" t="str">
        <f t="shared" si="734"/>
        <v/>
      </c>
      <c r="AI944" s="44"/>
      <c r="AJ944" s="44" t="str">
        <f t="shared" si="735"/>
        <v/>
      </c>
      <c r="AK944" s="44"/>
      <c r="AL944" s="61" t="str">
        <f t="shared" si="761"/>
        <v/>
      </c>
      <c r="AM944" s="44" t="str">
        <f t="shared" si="762"/>
        <v/>
      </c>
      <c r="AN944" s="9" t="str">
        <f t="shared" si="748"/>
        <v/>
      </c>
      <c r="AO944" s="10" t="str">
        <f t="shared" si="749"/>
        <v/>
      </c>
      <c r="AP944" s="11"/>
    </row>
    <row r="945" spans="1:42" ht="15" customHeight="1">
      <c r="A945" s="12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0"/>
      <c r="N945" s="11"/>
      <c r="O945" s="2"/>
      <c r="P945" s="89"/>
      <c r="Q945" s="52"/>
      <c r="R945" s="52" t="str">
        <f t="shared" si="726"/>
        <v/>
      </c>
      <c r="S945" s="52"/>
      <c r="T945" s="52" t="str">
        <f t="shared" si="727"/>
        <v/>
      </c>
      <c r="U945" s="52"/>
      <c r="V945" s="52" t="str">
        <f t="shared" si="728"/>
        <v/>
      </c>
      <c r="W945" s="52"/>
      <c r="X945" s="90" t="str">
        <f t="shared" si="763"/>
        <v/>
      </c>
      <c r="Y945" s="52" t="str">
        <f t="shared" si="764"/>
        <v/>
      </c>
      <c r="Z945" s="52" t="str">
        <f t="shared" si="731"/>
        <v/>
      </c>
      <c r="AA945" s="52" t="str">
        <f t="shared" si="732"/>
        <v/>
      </c>
      <c r="AB945" s="31"/>
      <c r="AD945" s="89"/>
      <c r="AE945" s="52"/>
      <c r="AF945" s="52" t="str">
        <f t="shared" si="733"/>
        <v/>
      </c>
      <c r="AG945" s="52"/>
      <c r="AH945" s="52" t="str">
        <f t="shared" si="734"/>
        <v/>
      </c>
      <c r="AI945" s="52"/>
      <c r="AJ945" s="52" t="str">
        <f t="shared" si="735"/>
        <v/>
      </c>
      <c r="AK945" s="52"/>
      <c r="AL945" s="92" t="str">
        <f t="shared" si="761"/>
        <v/>
      </c>
      <c r="AM945" s="52" t="str">
        <f t="shared" si="762"/>
        <v/>
      </c>
      <c r="AN945" s="9" t="str">
        <f t="shared" si="748"/>
        <v/>
      </c>
      <c r="AO945" s="10" t="str">
        <f t="shared" si="749"/>
        <v/>
      </c>
      <c r="AP945" s="31"/>
    </row>
    <row r="946" spans="1:42" ht="15" customHeight="1" thickBot="1">
      <c r="A946" s="12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0"/>
      <c r="N946" s="11"/>
      <c r="O946" s="2"/>
      <c r="P946" s="85"/>
      <c r="Q946" s="50"/>
      <c r="R946" s="50" t="str">
        <f t="shared" si="726"/>
        <v/>
      </c>
      <c r="S946" s="50"/>
      <c r="T946" s="50" t="str">
        <f t="shared" si="727"/>
        <v/>
      </c>
      <c r="U946" s="50"/>
      <c r="V946" s="50" t="str">
        <f t="shared" si="728"/>
        <v/>
      </c>
      <c r="W946" s="50"/>
      <c r="X946" s="86" t="str">
        <f t="shared" si="763"/>
        <v/>
      </c>
      <c r="Y946" s="50" t="str">
        <f t="shared" si="764"/>
        <v/>
      </c>
      <c r="Z946" s="50" t="str">
        <f t="shared" si="731"/>
        <v/>
      </c>
      <c r="AA946" s="50" t="str">
        <f t="shared" si="732"/>
        <v/>
      </c>
      <c r="AB946" s="87"/>
      <c r="AD946" s="85"/>
      <c r="AE946" s="50"/>
      <c r="AF946" s="50" t="str">
        <f t="shared" si="733"/>
        <v/>
      </c>
      <c r="AG946" s="50"/>
      <c r="AH946" s="50" t="str">
        <f t="shared" si="734"/>
        <v/>
      </c>
      <c r="AI946" s="50"/>
      <c r="AJ946" s="50" t="str">
        <f t="shared" si="735"/>
        <v/>
      </c>
      <c r="AK946" s="50"/>
      <c r="AL946" s="91" t="str">
        <f t="shared" si="761"/>
        <v/>
      </c>
      <c r="AM946" s="50" t="str">
        <f t="shared" si="762"/>
        <v/>
      </c>
      <c r="AN946" s="19" t="str">
        <f t="shared" si="748"/>
        <v/>
      </c>
      <c r="AO946" s="20" t="str">
        <f t="shared" si="749"/>
        <v/>
      </c>
      <c r="AP946" s="87"/>
    </row>
    <row r="947" spans="1:42" ht="15" customHeight="1" thickTop="1">
      <c r="A947" s="4">
        <v>29</v>
      </c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  <c r="N947" s="11"/>
      <c r="O947" s="2"/>
      <c r="P947" s="65"/>
      <c r="Q947" s="84" t="s">
        <v>17</v>
      </c>
      <c r="R947" s="44">
        <f>SUM(R891:R943)*100</f>
        <v>388400</v>
      </c>
      <c r="S947" s="44"/>
      <c r="T947" s="44"/>
      <c r="U947" s="84"/>
      <c r="V947" s="44"/>
      <c r="W947" s="44"/>
      <c r="X947" s="195" t="s">
        <v>19</v>
      </c>
      <c r="Y947" s="195"/>
      <c r="Z947" s="44">
        <f>SUM(Z891:Z943)</f>
        <v>66792</v>
      </c>
      <c r="AA947" s="44"/>
      <c r="AB947" s="69"/>
      <c r="AD947" s="65"/>
      <c r="AE947" s="84" t="s">
        <v>17</v>
      </c>
      <c r="AF947" s="44">
        <f>SUM(AF891:AF943)*100</f>
        <v>317200</v>
      </c>
      <c r="AG947" s="44"/>
      <c r="AH947" s="44"/>
      <c r="AI947" s="84"/>
      <c r="AJ947" s="44"/>
      <c r="AK947" s="44"/>
      <c r="AL947" s="195" t="s">
        <v>19</v>
      </c>
      <c r="AM947" s="195"/>
      <c r="AN947" s="44">
        <f>SUM(AN891:AN943)</f>
        <v>49393</v>
      </c>
      <c r="AO947" s="44"/>
      <c r="AP947" s="69"/>
    </row>
    <row r="948" spans="1:42" ht="15" customHeight="1">
      <c r="A948" s="96">
        <f>DATEDIF(A$973,A$898,"d")</f>
        <v>29</v>
      </c>
      <c r="B948" s="8">
        <f>SUM(B891:B947)</f>
        <v>8196</v>
      </c>
      <c r="C948" s="5" t="s">
        <v>17</v>
      </c>
      <c r="D948" s="9">
        <f>SUM(D891:D944)*100</f>
        <v>114000</v>
      </c>
      <c r="E948" s="9"/>
      <c r="F948" s="9"/>
      <c r="G948" s="5"/>
      <c r="H948" s="9"/>
      <c r="I948" s="9"/>
      <c r="J948" s="9"/>
      <c r="K948" s="9"/>
      <c r="L948" s="9"/>
      <c r="M948" s="9"/>
      <c r="N948" s="11"/>
      <c r="O948" s="2"/>
      <c r="P948" s="25"/>
      <c r="Q948" s="5" t="s">
        <v>20</v>
      </c>
      <c r="R948" s="9">
        <f>R947/$A948</f>
        <v>13393.103448275862</v>
      </c>
      <c r="S948" s="9">
        <f>R948*A947</f>
        <v>388400</v>
      </c>
      <c r="T948" s="9"/>
      <c r="U948" s="5"/>
      <c r="V948" s="9"/>
      <c r="W948" s="9"/>
      <c r="X948" s="178" t="s">
        <v>21</v>
      </c>
      <c r="Y948" s="178"/>
      <c r="Z948" s="9"/>
      <c r="AA948" s="28">
        <f>Z947/R947</f>
        <v>0.17196704428424306</v>
      </c>
      <c r="AB948" s="11"/>
      <c r="AD948" s="40"/>
      <c r="AE948" s="5" t="s">
        <v>20</v>
      </c>
      <c r="AF948" s="9">
        <f>AF947/$A948</f>
        <v>10937.931034482759</v>
      </c>
      <c r="AG948" s="9">
        <f>AF948*A947</f>
        <v>317200</v>
      </c>
      <c r="AH948" s="9"/>
      <c r="AI948" s="5"/>
      <c r="AJ948" s="9"/>
      <c r="AK948" s="9"/>
      <c r="AL948" s="178" t="s">
        <v>21</v>
      </c>
      <c r="AM948" s="178"/>
      <c r="AN948" s="9"/>
      <c r="AO948" s="28">
        <f>AN947/AF947</f>
        <v>0.15571563682219419</v>
      </c>
      <c r="AP948" s="11"/>
    </row>
    <row r="949" spans="1:42" ht="15" customHeight="1">
      <c r="A949" s="97"/>
      <c r="B949" s="8">
        <f>B948/A948</f>
        <v>282.62068965517244</v>
      </c>
      <c r="C949" s="5" t="s">
        <v>20</v>
      </c>
      <c r="D949" s="9">
        <f>D948/A948</f>
        <v>3931.0344827586205</v>
      </c>
      <c r="E949" s="9">
        <f>D949*A947</f>
        <v>114000</v>
      </c>
      <c r="F949" s="9"/>
      <c r="G949" s="5"/>
      <c r="H949" s="9"/>
      <c r="I949" s="9"/>
      <c r="J949" s="9"/>
      <c r="K949" s="9"/>
      <c r="L949" s="9"/>
      <c r="M949" s="9"/>
      <c r="N949" s="11"/>
      <c r="O949" s="2"/>
      <c r="P949" s="12"/>
      <c r="Q949" s="58" t="s">
        <v>23</v>
      </c>
      <c r="R949" s="9">
        <f>R947*0.6</f>
        <v>233040</v>
      </c>
      <c r="S949" s="9"/>
      <c r="T949" s="9"/>
      <c r="U949" s="5"/>
      <c r="V949" s="9"/>
      <c r="W949" s="9"/>
      <c r="X949" s="178" t="s">
        <v>24</v>
      </c>
      <c r="Y949" s="178"/>
      <c r="Z949" s="9">
        <f>R949-Z947</f>
        <v>166248</v>
      </c>
      <c r="AA949" s="28">
        <f>Z949/R947</f>
        <v>0.42803295571575695</v>
      </c>
      <c r="AB949" s="11"/>
      <c r="AD949" s="12"/>
      <c r="AE949" s="58" t="s">
        <v>23</v>
      </c>
      <c r="AF949" s="9">
        <f>AF947*0.6</f>
        <v>190320</v>
      </c>
      <c r="AG949" s="9"/>
      <c r="AH949" s="9"/>
      <c r="AI949" s="5"/>
      <c r="AJ949" s="9"/>
      <c r="AK949" s="9"/>
      <c r="AL949" s="178" t="s">
        <v>24</v>
      </c>
      <c r="AM949" s="178"/>
      <c r="AN949" s="9">
        <f>AF949-AN947</f>
        <v>140927</v>
      </c>
      <c r="AO949" s="28">
        <f>AN949/AF947</f>
        <v>0.44428436317780579</v>
      </c>
      <c r="AP949" s="11"/>
    </row>
    <row r="950" spans="1:42" ht="15" customHeight="1">
      <c r="A950" s="12"/>
      <c r="B950" s="8">
        <f>B949*30</f>
        <v>8478.6206896551739</v>
      </c>
      <c r="C950" s="5" t="s">
        <v>23</v>
      </c>
      <c r="D950" s="9">
        <f>D948*0.6</f>
        <v>68400</v>
      </c>
      <c r="E950" s="9"/>
      <c r="F950" s="9"/>
      <c r="G950" s="180" t="s">
        <v>27</v>
      </c>
      <c r="H950" s="180"/>
      <c r="I950" s="9">
        <f>(G897+I897)*K897</f>
        <v>10780</v>
      </c>
      <c r="J950" s="9"/>
      <c r="K950" s="9"/>
      <c r="L950" s="9"/>
      <c r="M950" s="9"/>
      <c r="N950" s="11"/>
      <c r="O950" s="2"/>
      <c r="P950" s="65"/>
      <c r="Q950" s="5" t="s">
        <v>25</v>
      </c>
      <c r="R950" s="9">
        <f>R1021</f>
        <v>347300</v>
      </c>
      <c r="S950" s="9"/>
      <c r="T950" s="9"/>
      <c r="U950" s="5"/>
      <c r="V950" s="9"/>
      <c r="W950" s="17"/>
      <c r="X950" s="182" t="s">
        <v>27</v>
      </c>
      <c r="Y950" s="182"/>
      <c r="Z950" s="44">
        <f>(U915+W915)*Y915+(U916+W916)*Y916+(U917+W917)*Y917+(U918+W918)*Y918</f>
        <v>32420</v>
      </c>
      <c r="AA950" s="10"/>
      <c r="AB950" s="11"/>
      <c r="AD950" s="65"/>
      <c r="AE950" s="5" t="s">
        <v>25</v>
      </c>
      <c r="AF950" s="9">
        <f>AF1021</f>
        <v>388700</v>
      </c>
      <c r="AG950" s="9"/>
      <c r="AH950" s="9"/>
      <c r="AI950" s="5"/>
      <c r="AJ950" s="9"/>
      <c r="AK950" s="17"/>
      <c r="AL950" s="182" t="s">
        <v>27</v>
      </c>
      <c r="AM950" s="182"/>
      <c r="AN950" s="44">
        <f>(AI915+AK915)*AM915+(AI916+AK916)*AM916+(AI917+AK917)*AM917+(AI918+AK918)*AM918</f>
        <v>57112</v>
      </c>
      <c r="AO950" s="10"/>
      <c r="AP950" s="11"/>
    </row>
    <row r="951" spans="1:42" ht="15" customHeight="1">
      <c r="A951" s="12"/>
      <c r="B951" s="8"/>
      <c r="C951" s="5" t="s">
        <v>25</v>
      </c>
      <c r="D951" s="9">
        <f>D1022</f>
        <v>186500</v>
      </c>
      <c r="E951" s="9"/>
      <c r="F951" s="9"/>
      <c r="G951" s="5" t="s">
        <v>22</v>
      </c>
      <c r="H951" s="9">
        <f>SUM(L891:L944)</f>
        <v>27720</v>
      </c>
      <c r="I951" s="28">
        <f>H951/D948</f>
        <v>0.2431578947368421</v>
      </c>
      <c r="J951" s="28"/>
      <c r="K951" s="9"/>
      <c r="L951" s="9"/>
      <c r="M951" s="9"/>
      <c r="N951" s="11"/>
      <c r="O951" s="2"/>
      <c r="P951" s="65"/>
      <c r="Q951" s="5"/>
      <c r="R951" s="9"/>
      <c r="S951" s="9"/>
      <c r="T951" s="9"/>
      <c r="U951" s="5"/>
      <c r="V951" s="9"/>
      <c r="W951" s="17"/>
      <c r="X951" s="100"/>
      <c r="Y951" s="103"/>
      <c r="Z951" s="62"/>
      <c r="AA951" s="10"/>
      <c r="AB951" s="11"/>
      <c r="AD951" s="65"/>
      <c r="AE951" s="5"/>
      <c r="AF951" s="9"/>
      <c r="AG951" s="9"/>
      <c r="AH951" s="9"/>
      <c r="AI951" s="5"/>
      <c r="AJ951" s="9"/>
      <c r="AK951" s="17"/>
      <c r="AL951" s="100"/>
      <c r="AM951" s="103"/>
      <c r="AN951" s="62"/>
      <c r="AO951" s="10"/>
      <c r="AP951" s="11"/>
    </row>
    <row r="952" spans="1:42" ht="15" customHeight="1">
      <c r="A952" s="12"/>
      <c r="B952" s="8"/>
      <c r="C952" s="58"/>
      <c r="D952" s="9"/>
      <c r="E952" s="9"/>
      <c r="F952" s="9"/>
      <c r="G952" s="30" t="s">
        <v>24</v>
      </c>
      <c r="H952" s="26">
        <f>D950-H951</f>
        <v>40680</v>
      </c>
      <c r="I952" s="28">
        <f>H952/D948</f>
        <v>0.3568421052631579</v>
      </c>
      <c r="J952" s="28"/>
      <c r="K952" s="9"/>
      <c r="L952" s="9"/>
      <c r="M952" s="9"/>
      <c r="N952" s="11"/>
      <c r="O952" s="2"/>
      <c r="P952" s="65"/>
      <c r="Q952" s="5"/>
      <c r="R952" s="9"/>
      <c r="S952" s="26"/>
      <c r="T952" s="9"/>
      <c r="U952" s="5"/>
      <c r="V952" s="9"/>
      <c r="W952" s="17"/>
      <c r="X952" s="100"/>
      <c r="Y952" s="103"/>
      <c r="Z952" s="62"/>
      <c r="AA952" s="10"/>
      <c r="AB952" s="11"/>
      <c r="AD952" s="65"/>
      <c r="AE952" s="5"/>
      <c r="AF952" s="9"/>
      <c r="AG952" s="9"/>
      <c r="AH952" s="9"/>
      <c r="AI952" s="5"/>
      <c r="AJ952" s="9"/>
      <c r="AK952" s="17"/>
      <c r="AL952" s="100"/>
      <c r="AM952" s="103"/>
      <c r="AN952" s="62"/>
      <c r="AO952" s="10"/>
      <c r="AP952" s="11"/>
    </row>
    <row r="953" spans="1:42" ht="15" customHeight="1">
      <c r="A953" s="33"/>
      <c r="B953" s="32"/>
      <c r="C953" s="58"/>
      <c r="D953" s="9"/>
      <c r="E953" s="9"/>
      <c r="F953" s="9"/>
      <c r="G953" s="104"/>
      <c r="H953" s="106"/>
      <c r="I953" s="28"/>
      <c r="J953" s="28"/>
      <c r="K953" s="9"/>
      <c r="L953" s="9"/>
      <c r="M953" s="9"/>
      <c r="N953" s="11"/>
      <c r="O953" s="2"/>
      <c r="P953" s="65"/>
      <c r="Q953" s="5"/>
      <c r="R953" s="17"/>
      <c r="S953" s="111"/>
      <c r="T953" s="45"/>
      <c r="U953" s="5"/>
      <c r="V953" s="9"/>
      <c r="W953" s="17"/>
      <c r="X953" s="100"/>
      <c r="Y953" s="103"/>
      <c r="Z953" s="62"/>
      <c r="AA953" s="10"/>
      <c r="AB953" s="11"/>
      <c r="AD953" s="65"/>
      <c r="AE953" s="5"/>
      <c r="AF953" s="9"/>
      <c r="AG953" s="1"/>
      <c r="AH953" s="9"/>
      <c r="AI953" s="5"/>
      <c r="AJ953" s="9"/>
      <c r="AK953" s="17"/>
      <c r="AL953" s="100"/>
      <c r="AM953" s="103"/>
      <c r="AN953" s="62"/>
      <c r="AO953" s="10"/>
      <c r="AP953" s="11"/>
    </row>
    <row r="954" spans="1:42" ht="15" customHeight="1">
      <c r="A954" s="98"/>
      <c r="B954" s="99"/>
      <c r="C954" s="5"/>
      <c r="D954" s="9"/>
      <c r="E954" s="9"/>
      <c r="F954" s="9"/>
      <c r="G954" s="27"/>
      <c r="H954" s="17"/>
      <c r="I954" s="28"/>
      <c r="J954" s="28"/>
      <c r="K954" s="10"/>
      <c r="L954" s="10"/>
      <c r="M954" s="10"/>
      <c r="N954" s="11"/>
      <c r="O954" s="2"/>
      <c r="P954" s="12"/>
      <c r="Q954" s="9"/>
      <c r="R954" s="9"/>
      <c r="S954" s="88"/>
      <c r="T954" s="9"/>
      <c r="U954" s="5"/>
      <c r="V954" s="9"/>
      <c r="W954" s="9"/>
      <c r="X954" s="41"/>
      <c r="Y954" s="67"/>
      <c r="Z954" s="10"/>
      <c r="AA954" s="10"/>
      <c r="AB954" s="11"/>
      <c r="AD954" s="12"/>
      <c r="AE954" s="9"/>
      <c r="AF954" s="9"/>
      <c r="AH954" s="9"/>
      <c r="AI954" s="5"/>
      <c r="AJ954" s="9"/>
      <c r="AK954" s="9"/>
      <c r="AL954" s="54"/>
      <c r="AM954" s="67"/>
      <c r="AN954" s="10"/>
      <c r="AO954" s="10"/>
      <c r="AP954" s="11"/>
    </row>
    <row r="955" spans="1:42" ht="15" customHeight="1">
      <c r="A955" s="198" t="s">
        <v>43</v>
      </c>
      <c r="B955" s="198"/>
      <c r="C955" s="192" t="s">
        <v>46</v>
      </c>
      <c r="D955" s="192"/>
      <c r="E955" s="192" t="s">
        <v>47</v>
      </c>
      <c r="F955" s="192"/>
      <c r="G955" s="102"/>
      <c r="H955" s="93"/>
      <c r="I955" s="101"/>
      <c r="J955" s="101"/>
      <c r="K955" s="10"/>
      <c r="L955" s="10"/>
      <c r="M955" s="10"/>
      <c r="N955" s="11"/>
      <c r="O955" s="2"/>
      <c r="P955" s="79"/>
      <c r="Q955" s="45"/>
      <c r="R955" s="9"/>
      <c r="S955" s="5"/>
      <c r="T955" s="9"/>
      <c r="U955" s="5"/>
      <c r="V955" s="9"/>
      <c r="W955" s="9"/>
      <c r="X955" s="41"/>
      <c r="Y955" s="67"/>
      <c r="Z955" s="10"/>
      <c r="AA955" s="10"/>
      <c r="AB955" s="11"/>
      <c r="AD955" s="79"/>
      <c r="AE955" s="45"/>
      <c r="AF955" s="9"/>
      <c r="AG955" s="5"/>
      <c r="AH955" s="9"/>
      <c r="AI955" s="5"/>
      <c r="AJ955" s="9"/>
      <c r="AK955" s="9"/>
      <c r="AL955" s="54"/>
      <c r="AM955" s="67"/>
      <c r="AN955" s="10"/>
      <c r="AO955" s="10"/>
      <c r="AP955" s="11"/>
    </row>
    <row r="956" spans="1:42">
      <c r="A956" s="199">
        <f>E949+S948+AG948</f>
        <v>819600</v>
      </c>
      <c r="B956" s="199"/>
      <c r="C956" s="194">
        <f>H951+Z947+AN947</f>
        <v>143905</v>
      </c>
      <c r="D956" s="194"/>
      <c r="E956" s="194">
        <f>I950+Z950+AN950</f>
        <v>100312</v>
      </c>
      <c r="F956" s="194"/>
      <c r="G956" s="84"/>
      <c r="H956" s="44"/>
      <c r="I956" s="28"/>
      <c r="J956" s="28"/>
      <c r="K956" s="10"/>
      <c r="L956" s="10"/>
      <c r="M956" s="10"/>
      <c r="N956" s="11"/>
      <c r="O956" s="2"/>
      <c r="P956" s="165" t="s">
        <v>26</v>
      </c>
      <c r="Q956" s="165"/>
      <c r="R956" s="29">
        <f>SUM(R891,R895,R899,R903,R907,R911,R916,R919,R923,R927,R931,R935,R939)*100</f>
        <v>77700</v>
      </c>
      <c r="S956" s="45"/>
      <c r="T956" s="9"/>
      <c r="U956" s="5">
        <f>R956/V956</f>
        <v>6475</v>
      </c>
      <c r="V956" s="29">
        <f>SUM(V891,V895,V899,V903,V907,V911,V916,V919,V923,V927,V931,V935,V939)</f>
        <v>12</v>
      </c>
      <c r="W956" s="9"/>
      <c r="X956" s="64" t="str">
        <f t="shared" ref="X956:Y956" si="765">X891</f>
        <v>ゴールドイヤホン</v>
      </c>
      <c r="Y956" s="62">
        <f t="shared" si="765"/>
        <v>770</v>
      </c>
      <c r="Z956" s="29">
        <f>SUM(Z891,Z895,Z899,Z903,Z907,Z911,Z916,Z919,Z923,Z927,Z931,Z935,Z939)</f>
        <v>8700</v>
      </c>
      <c r="AA956" s="28">
        <f>Z956/R956</f>
        <v>0.11196911196911197</v>
      </c>
      <c r="AB956" s="11"/>
      <c r="AC956" s="16"/>
      <c r="AD956" s="165" t="s">
        <v>26</v>
      </c>
      <c r="AE956" s="165"/>
      <c r="AF956" s="29">
        <f>SUM(AF891,AF895,AF899,AF903,AF907,AF911,AF915,AF919,AF923,AF927,AF931,AF935,AF939)*100</f>
        <v>64700</v>
      </c>
      <c r="AG956" s="45"/>
      <c r="AH956" s="9"/>
      <c r="AI956" s="5">
        <f>AF956/AJ956</f>
        <v>4043.75</v>
      </c>
      <c r="AJ956" s="29">
        <f>SUM(AJ891,AJ895,AJ899,AJ903,AJ907,AJ911,AJ916,AJ919,AJ923,AJ927,AJ931,AJ935,AJ939)</f>
        <v>16</v>
      </c>
      <c r="AK956" s="9"/>
      <c r="AL956" s="61" t="str">
        <f t="shared" ref="AL956:AM956" si="766">AL891</f>
        <v>ミニカメラ</v>
      </c>
      <c r="AM956" s="62">
        <f t="shared" si="766"/>
        <v>710</v>
      </c>
      <c r="AN956" s="29">
        <f>SUM(AN891,AN895,AN899,AN903,AN907,AN911,AN916,AN919,AN923,AN927,AN931,AN935,AN939)</f>
        <v>14204</v>
      </c>
      <c r="AO956" s="28">
        <f>AN956/AF956</f>
        <v>0.21953632148377125</v>
      </c>
      <c r="AP956" s="11"/>
    </row>
    <row r="957" spans="1:42">
      <c r="A957" s="95"/>
      <c r="B957" s="95"/>
      <c r="C957" s="45"/>
      <c r="D957" s="105">
        <f>C956/A956</f>
        <v>0.17557955100048805</v>
      </c>
      <c r="E957" s="9"/>
      <c r="F957" s="9"/>
      <c r="G957" s="5"/>
      <c r="H957" s="9"/>
      <c r="I957" s="9"/>
      <c r="J957" s="9"/>
      <c r="K957" s="9"/>
      <c r="L957" s="9"/>
      <c r="M957" s="9"/>
      <c r="N957" s="11"/>
      <c r="O957" s="2"/>
      <c r="P957" s="165" t="s">
        <v>26</v>
      </c>
      <c r="Q957" s="165"/>
      <c r="R957" s="29">
        <f>SUM(R892,R896,R900,R904,R908,R912,R915,R920,R924,R928,R932,R936,R940)*100</f>
        <v>68100</v>
      </c>
      <c r="S957" s="45"/>
      <c r="T957" s="9"/>
      <c r="U957" s="5">
        <f>R957/V957</f>
        <v>6810</v>
      </c>
      <c r="V957" s="29">
        <f>SUM(V892,V896,V900,V904,V908,V912,V915,V920,V924,V928,V932,V936,V940)</f>
        <v>10</v>
      </c>
      <c r="W957" s="9"/>
      <c r="X957" s="64" t="str">
        <f t="shared" ref="X957:Y957" si="767">X892</f>
        <v>じゃがりこイヤホン</v>
      </c>
      <c r="Y957" s="62">
        <f t="shared" si="767"/>
        <v>1100</v>
      </c>
      <c r="Z957" s="29">
        <f>SUM(Z892,Z896,Z900,Z904,Z908,Z912,Z915,Z920,Z924,Z928,Z932,Z936,Z940)</f>
        <v>10220</v>
      </c>
      <c r="AA957" s="28">
        <f>Z957/R957</f>
        <v>0.15007342143906022</v>
      </c>
      <c r="AB957" s="11"/>
      <c r="AC957" s="1"/>
      <c r="AD957" s="165" t="s">
        <v>26</v>
      </c>
      <c r="AE957" s="165"/>
      <c r="AF957" s="29">
        <f>SUM(AF892,AF896,AF900,AF904,AF908,AF912,AF916,AF920,AF924,AF928,AF932,AF936,AF940)*100</f>
        <v>91100</v>
      </c>
      <c r="AG957" s="45"/>
      <c r="AH957" s="9"/>
      <c r="AI957" s="5">
        <f>AF957/AJ957</f>
        <v>18220</v>
      </c>
      <c r="AJ957" s="29">
        <f>SUM(AJ892,AJ896,AJ900,AJ904,AJ908,AJ912,AJ915,AJ920,AJ924,AJ928,AJ932,AJ936,AJ940)</f>
        <v>5</v>
      </c>
      <c r="AK957" s="9"/>
      <c r="AL957" s="61" t="str">
        <f t="shared" ref="AL957:AM957" si="768">AL892</f>
        <v>ジャグラーボタン</v>
      </c>
      <c r="AM957" s="62">
        <f t="shared" si="768"/>
        <v>748</v>
      </c>
      <c r="AN957" s="29">
        <f>SUM(AN892,AN896,AN900,AN904,AN908,AN912,AN915,AN920,AN924,AN928,AN932,AN936,AN940)</f>
        <v>4092</v>
      </c>
      <c r="AO957" s="28">
        <f>AN957/AF957</f>
        <v>4.4917672886937432E-2</v>
      </c>
      <c r="AP957" s="11"/>
    </row>
    <row r="958" spans="1:42">
      <c r="A958" s="95"/>
      <c r="B958" s="95"/>
      <c r="C958" s="45"/>
      <c r="D958" s="9"/>
      <c r="E958" s="9"/>
      <c r="F958" s="9"/>
      <c r="G958" s="5"/>
      <c r="H958" s="9"/>
      <c r="I958" s="9"/>
      <c r="J958" s="9"/>
      <c r="K958" s="9"/>
      <c r="L958" s="9"/>
      <c r="M958" s="9"/>
      <c r="N958" s="11"/>
      <c r="O958" s="2"/>
      <c r="P958" s="165" t="s">
        <v>26</v>
      </c>
      <c r="Q958" s="165"/>
      <c r="R958" s="29">
        <f>SUM(R893,R897,R901,R905,R909,R913,R917,R921,R925,R929,R933,R937,R941)*100</f>
        <v>101400</v>
      </c>
      <c r="S958" s="45"/>
      <c r="T958" s="9"/>
      <c r="U958" s="5">
        <f>R958/V958</f>
        <v>4056</v>
      </c>
      <c r="V958" s="29">
        <f>SUM(V893,V897,V901,V906,V909,V913,V917,V921,V925,V929,V933,V937,V941)</f>
        <v>25</v>
      </c>
      <c r="W958" s="9"/>
      <c r="X958" s="64" t="str">
        <f t="shared" ref="X958:Y958" si="769">X893</f>
        <v>ギャルキティキーケース</v>
      </c>
      <c r="Y958" s="62">
        <f t="shared" si="769"/>
        <v>726</v>
      </c>
      <c r="Z958" s="29">
        <f>SUM(Z893,Z897,Z901,Z906,Z909,Z913,Z917,Z921,Z925,Z929,Z933,Z937,Z941)</f>
        <v>19646</v>
      </c>
      <c r="AA958" s="28">
        <f>Z958/R958</f>
        <v>0.1937475345167653</v>
      </c>
      <c r="AB958" s="11"/>
      <c r="AC958" s="1"/>
      <c r="AD958" s="165" t="s">
        <v>26</v>
      </c>
      <c r="AE958" s="165"/>
      <c r="AF958" s="29">
        <f>SUM(AF893,AF897,AF901,AF905,AF909,AF913,AF917,AF921,AF925,AF929,AF933,AF937,AF941)*100</f>
        <v>109100</v>
      </c>
      <c r="AG958" s="45"/>
      <c r="AH958" s="9"/>
      <c r="AI958" s="5">
        <f>AF958/AJ958</f>
        <v>1091</v>
      </c>
      <c r="AJ958" s="29">
        <f>SUM(AJ893,AJ897,AJ901,AJ906,AJ909,AJ913,AJ917,AJ921,AJ925,AJ929,AJ933,AJ937,AJ941)</f>
        <v>100</v>
      </c>
      <c r="AK958" s="9"/>
      <c r="AL958" s="61" t="str">
        <f t="shared" ref="AL958:AM958" si="770">AL893</f>
        <v>SPGラバー</v>
      </c>
      <c r="AM958" s="62">
        <f t="shared" si="770"/>
        <v>187</v>
      </c>
      <c r="AN958" s="29">
        <f>SUM(AN893,AN897,AN901,AN906,AN909,AN913,AN917,AN921,AN925,AN929,AN933,AN937,AN941)</f>
        <v>18502</v>
      </c>
      <c r="AO958" s="28">
        <f>AN958/AF958</f>
        <v>0.16958753437213567</v>
      </c>
      <c r="AP958" s="11"/>
    </row>
    <row r="959" spans="1:42">
      <c r="A959" s="95"/>
      <c r="B959" s="95"/>
      <c r="C959" s="45"/>
      <c r="D959" s="9"/>
      <c r="E959" s="9"/>
      <c r="F959" s="9"/>
      <c r="G959" s="5"/>
      <c r="H959" s="9"/>
      <c r="I959" s="9"/>
      <c r="J959" s="9"/>
      <c r="K959" s="9"/>
      <c r="L959" s="9"/>
      <c r="M959" s="9"/>
      <c r="N959" s="11"/>
      <c r="O959" s="2"/>
      <c r="P959" s="165" t="s">
        <v>26</v>
      </c>
      <c r="Q959" s="165"/>
      <c r="R959" s="29">
        <f>SUM(R894,R898,R902,R906,R910,R914,R918,R922,R926,R930,R934,R938,R942)*100</f>
        <v>141200</v>
      </c>
      <c r="S959" s="45"/>
      <c r="T959" s="9"/>
      <c r="U959" s="5">
        <f>R959/V959</f>
        <v>5430.7692307692305</v>
      </c>
      <c r="V959" s="29">
        <f>SUM(V894,V898,V902,V905,V910,V914,V918,V922,V926,V930,V934,V938,V942)</f>
        <v>26</v>
      </c>
      <c r="W959" s="9"/>
      <c r="X959" s="64" t="str">
        <f t="shared" ref="X959:Y959" si="771">X894</f>
        <v>サンリオファン</v>
      </c>
      <c r="Y959" s="62">
        <f t="shared" si="771"/>
        <v>1100</v>
      </c>
      <c r="Z959" s="29">
        <f>SUM(Z894,Z898,Z902,Z905,Z910,Z914,Z918,Z922,Z926,Z930,Z934,Z938,Z942)</f>
        <v>28226</v>
      </c>
      <c r="AA959" s="28">
        <f>Z959/R959</f>
        <v>0.19990084985835693</v>
      </c>
      <c r="AB959" s="11"/>
      <c r="AC959" s="1"/>
      <c r="AD959" s="165" t="s">
        <v>26</v>
      </c>
      <c r="AE959" s="165"/>
      <c r="AF959" s="29">
        <f>SUM(AF894,AF898,AF902,AF906,AF910,AF914,AF918,AF922,AF926,AF930,AF934,AF938,AF942)*100</f>
        <v>52300</v>
      </c>
      <c r="AG959" s="45"/>
      <c r="AH959" s="9"/>
      <c r="AI959" s="5">
        <f>AF959/AJ959</f>
        <v>697.33333333333337</v>
      </c>
      <c r="AJ959" s="29">
        <f>SUM(AJ894,AJ898,AJ902,AJ905,AJ910,AJ914,AJ918,AJ922,AJ926,AJ930,AJ934,AJ938,AJ942)</f>
        <v>75</v>
      </c>
      <c r="AK959" s="9"/>
      <c r="AL959" s="61" t="str">
        <f t="shared" ref="AL959:AM959" si="772">AL894</f>
        <v>SPGマスコット</v>
      </c>
      <c r="AM959" s="62">
        <f t="shared" si="772"/>
        <v>165</v>
      </c>
      <c r="AN959" s="29">
        <f>SUM(AN894,AN898,AN902,AN905,AN910,AN914,AN918,AN922,AN926,AN930,AN934,AN938,AN942)</f>
        <v>12595</v>
      </c>
      <c r="AO959" s="28">
        <f>AN959/AF959</f>
        <v>0.24082217973231357</v>
      </c>
      <c r="AP959" s="11"/>
    </row>
    <row r="960" spans="1:42">
      <c r="A960" s="95"/>
      <c r="B960" s="95"/>
      <c r="C960" s="45"/>
      <c r="D960" s="9"/>
      <c r="E960" s="9"/>
      <c r="F960" s="9"/>
      <c r="G960" s="5"/>
      <c r="H960" s="9"/>
      <c r="I960" s="9"/>
      <c r="J960" s="9"/>
      <c r="K960" s="9"/>
      <c r="L960" s="9"/>
      <c r="M960" s="9"/>
      <c r="N960" s="11"/>
      <c r="O960" s="2"/>
      <c r="P960" s="12"/>
      <c r="Q960" s="5" t="s">
        <v>17</v>
      </c>
      <c r="R960" s="9">
        <f>SUM(R956:R959)</f>
        <v>388400</v>
      </c>
      <c r="S960" s="45"/>
      <c r="T960" s="9"/>
      <c r="U960" s="9"/>
      <c r="V960" s="9">
        <f>SUM(V956:V959)</f>
        <v>73</v>
      </c>
      <c r="W960" s="9"/>
      <c r="X960" s="163" t="s">
        <v>28</v>
      </c>
      <c r="Y960" s="163"/>
      <c r="Z960" s="44">
        <f>SUM(Z956:Z959)</f>
        <v>66792</v>
      </c>
      <c r="AA960" s="68">
        <f>Z960/R960</f>
        <v>0.17196704428424306</v>
      </c>
      <c r="AB960" s="69"/>
      <c r="AC960" s="1"/>
      <c r="AD960" s="12"/>
      <c r="AE960" s="5" t="s">
        <v>17</v>
      </c>
      <c r="AF960" s="9">
        <f>SUM(AF956:AF959)</f>
        <v>317200</v>
      </c>
      <c r="AG960" s="45"/>
      <c r="AH960" s="9"/>
      <c r="AI960" s="9"/>
      <c r="AJ960" s="9">
        <f>SUM(AJ956:AJ959)</f>
        <v>196</v>
      </c>
      <c r="AK960" s="9"/>
      <c r="AL960" s="163" t="s">
        <v>28</v>
      </c>
      <c r="AM960" s="163"/>
      <c r="AN960" s="44">
        <f>SUM(AN956:AN959)</f>
        <v>49393</v>
      </c>
      <c r="AO960" s="68">
        <f>AN960/AF960</f>
        <v>0.15571563682219419</v>
      </c>
      <c r="AP960" s="11"/>
    </row>
    <row r="961" spans="1:42">
      <c r="A961" s="14"/>
      <c r="B961" s="76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2"/>
      <c r="P961" s="33"/>
      <c r="Q961" s="2"/>
      <c r="R961" s="2"/>
      <c r="S961" s="2"/>
      <c r="T961" s="2"/>
      <c r="U961" s="2"/>
      <c r="V961" s="2"/>
      <c r="W961" s="2"/>
      <c r="X961" s="43"/>
      <c r="Y961" s="2"/>
      <c r="Z961" s="2"/>
      <c r="AA961" s="2"/>
      <c r="AB961" s="42"/>
      <c r="AC961" s="1"/>
      <c r="AD961" s="33"/>
      <c r="AE961" s="2"/>
      <c r="AF961" s="2"/>
      <c r="AG961" s="2"/>
      <c r="AH961" s="2"/>
      <c r="AI961" s="2"/>
      <c r="AJ961" s="2"/>
      <c r="AK961" s="2"/>
      <c r="AL961" s="55"/>
      <c r="AM961" s="2"/>
      <c r="AN961" s="2"/>
      <c r="AO961" s="2"/>
      <c r="AP961" s="42"/>
    </row>
    <row r="962" spans="1:42" ht="15" customHeight="1">
      <c r="A962" s="33"/>
      <c r="B962" s="3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4"/>
      <c r="O962" s="2"/>
      <c r="P962" s="33"/>
      <c r="Q962" s="2"/>
      <c r="R962" s="2"/>
      <c r="S962" s="2"/>
      <c r="T962" s="2"/>
      <c r="U962" s="2"/>
      <c r="V962" s="2"/>
      <c r="W962" s="2"/>
      <c r="X962" s="43"/>
      <c r="Y962" s="2"/>
      <c r="Z962" s="2"/>
      <c r="AA962" s="2"/>
      <c r="AB962" s="42"/>
      <c r="AC962" s="2"/>
      <c r="AD962" s="33"/>
      <c r="AE962" s="2"/>
      <c r="AF962" s="2"/>
      <c r="AG962" s="2"/>
      <c r="AH962" s="2"/>
      <c r="AI962" s="2"/>
      <c r="AJ962" s="2"/>
      <c r="AK962" s="2"/>
      <c r="AL962" s="55"/>
      <c r="AM962" s="2"/>
      <c r="AN962" s="2"/>
      <c r="AO962" s="2"/>
      <c r="AP962" s="42"/>
    </row>
    <row r="963" spans="1:42">
      <c r="A963" s="188" t="s">
        <v>40</v>
      </c>
      <c r="B963" s="188"/>
      <c r="C963" s="189" t="s">
        <v>41</v>
      </c>
      <c r="D963" s="189"/>
      <c r="E963" s="36"/>
      <c r="F963" s="36"/>
      <c r="G963" s="59"/>
      <c r="H963" s="59"/>
      <c r="I963" s="59"/>
      <c r="J963" s="59"/>
      <c r="K963" s="59"/>
      <c r="L963" s="59"/>
      <c r="M963" s="59"/>
      <c r="N963" s="60"/>
      <c r="O963" s="56"/>
      <c r="P963" s="185" t="s">
        <v>39</v>
      </c>
      <c r="Q963" s="185"/>
      <c r="R963" s="185"/>
      <c r="S963" s="184" t="s">
        <v>38</v>
      </c>
      <c r="T963" s="184"/>
      <c r="U963" s="71"/>
      <c r="V963" s="71"/>
      <c r="W963" s="71"/>
      <c r="X963" s="72"/>
      <c r="Y963" s="71"/>
      <c r="Z963" s="71"/>
      <c r="AA963" s="71"/>
      <c r="AB963" s="73"/>
      <c r="AC963" s="74"/>
      <c r="AD963" s="185" t="s">
        <v>39</v>
      </c>
      <c r="AE963" s="185"/>
      <c r="AF963" s="185"/>
      <c r="AG963" s="184" t="s">
        <v>37</v>
      </c>
      <c r="AH963" s="184"/>
      <c r="AI963" s="71"/>
      <c r="AJ963" s="71"/>
      <c r="AK963" s="71"/>
      <c r="AL963" s="75"/>
      <c r="AM963" s="71"/>
      <c r="AN963" s="71"/>
      <c r="AO963" s="71"/>
      <c r="AP963" s="73"/>
    </row>
    <row r="964" spans="1:42">
      <c r="A964" s="7" t="s">
        <v>0</v>
      </c>
      <c r="B964" s="109" t="s">
        <v>34</v>
      </c>
      <c r="C964" s="5" t="s">
        <v>1</v>
      </c>
      <c r="D964" s="5" t="s">
        <v>2</v>
      </c>
      <c r="E964" s="6" t="s">
        <v>3</v>
      </c>
      <c r="F964" s="5" t="s">
        <v>2</v>
      </c>
      <c r="G964" s="5" t="s">
        <v>4</v>
      </c>
      <c r="H964" s="5" t="s">
        <v>5</v>
      </c>
      <c r="I964" s="5" t="s">
        <v>6</v>
      </c>
      <c r="J964" s="5"/>
      <c r="K964" s="5" t="s">
        <v>7</v>
      </c>
      <c r="L964" s="5" t="s">
        <v>8</v>
      </c>
      <c r="M964" s="5" t="s">
        <v>9</v>
      </c>
      <c r="N964" s="5" t="s">
        <v>10</v>
      </c>
      <c r="O964" s="2"/>
      <c r="P964" s="7" t="s">
        <v>0</v>
      </c>
      <c r="Q964" s="5" t="s">
        <v>1</v>
      </c>
      <c r="R964" s="5" t="s">
        <v>2</v>
      </c>
      <c r="S964" s="6" t="s">
        <v>3</v>
      </c>
      <c r="T964" s="5" t="s">
        <v>2</v>
      </c>
      <c r="U964" s="5" t="s">
        <v>4</v>
      </c>
      <c r="V964" s="5" t="s">
        <v>5</v>
      </c>
      <c r="W964" s="5" t="s">
        <v>6</v>
      </c>
      <c r="X964" s="6" t="s">
        <v>11</v>
      </c>
      <c r="Y964" s="5" t="s">
        <v>7</v>
      </c>
      <c r="Z964" s="5" t="s">
        <v>5</v>
      </c>
      <c r="AA964" s="5" t="s">
        <v>12</v>
      </c>
      <c r="AB964" s="5" t="s">
        <v>10</v>
      </c>
      <c r="AC964" s="3"/>
      <c r="AD964" s="7" t="s">
        <v>0</v>
      </c>
      <c r="AE964" s="5" t="s">
        <v>1</v>
      </c>
      <c r="AF964" s="5" t="s">
        <v>2</v>
      </c>
      <c r="AG964" s="6" t="s">
        <v>3</v>
      </c>
      <c r="AH964" s="5" t="s">
        <v>2</v>
      </c>
      <c r="AI964" s="5" t="s">
        <v>4</v>
      </c>
      <c r="AJ964" s="5" t="s">
        <v>5</v>
      </c>
      <c r="AK964" s="5" t="s">
        <v>6</v>
      </c>
      <c r="AL964" s="46" t="s">
        <v>11</v>
      </c>
      <c r="AM964" s="5" t="s">
        <v>7</v>
      </c>
      <c r="AN964" s="5" t="s">
        <v>5</v>
      </c>
      <c r="AO964" s="5" t="s">
        <v>12</v>
      </c>
      <c r="AP964" s="5" t="s">
        <v>10</v>
      </c>
    </row>
    <row r="965" spans="1:42">
      <c r="A965" s="12">
        <v>45761</v>
      </c>
      <c r="B965" s="8">
        <v>739</v>
      </c>
      <c r="C965" s="13">
        <v>17413</v>
      </c>
      <c r="D965" s="9">
        <v>233</v>
      </c>
      <c r="E965" s="9">
        <v>568</v>
      </c>
      <c r="F965" s="9">
        <v>30</v>
      </c>
      <c r="G965" s="9">
        <v>12</v>
      </c>
      <c r="H965" s="9">
        <v>28</v>
      </c>
      <c r="I965" s="9">
        <v>13</v>
      </c>
      <c r="J965" s="44"/>
      <c r="K965" s="44">
        <v>385</v>
      </c>
      <c r="L965" s="9">
        <v>10780</v>
      </c>
      <c r="M965" s="10">
        <v>0.46266094420600856</v>
      </c>
      <c r="N965" s="70" t="s">
        <v>53</v>
      </c>
      <c r="O965" s="2"/>
      <c r="P965" s="12">
        <v>45761</v>
      </c>
      <c r="Q965" s="44">
        <v>2865</v>
      </c>
      <c r="R965" s="44">
        <v>50</v>
      </c>
      <c r="S965" s="44">
        <v>54</v>
      </c>
      <c r="T965" s="44">
        <v>3</v>
      </c>
      <c r="U965" s="44">
        <v>16</v>
      </c>
      <c r="V965" s="44">
        <v>3</v>
      </c>
      <c r="W965" s="44">
        <v>0</v>
      </c>
      <c r="X965" s="64" t="s">
        <v>36</v>
      </c>
      <c r="Y965" s="62">
        <v>1034</v>
      </c>
      <c r="Z965" s="44">
        <v>3102</v>
      </c>
      <c r="AA965" s="63">
        <v>0.62039999999999995</v>
      </c>
      <c r="AB965" s="11"/>
      <c r="AC965" s="1"/>
      <c r="AD965" s="12">
        <v>45761</v>
      </c>
      <c r="AE965" s="44">
        <v>2424</v>
      </c>
      <c r="AF965" s="44">
        <v>64</v>
      </c>
      <c r="AG965" s="44">
        <v>79</v>
      </c>
      <c r="AH965" s="44">
        <v>2</v>
      </c>
      <c r="AI965" s="44">
        <v>31</v>
      </c>
      <c r="AJ965" s="44">
        <v>1</v>
      </c>
      <c r="AK965" s="44">
        <v>0</v>
      </c>
      <c r="AL965" s="61" t="s">
        <v>13</v>
      </c>
      <c r="AM965" s="62">
        <v>1100</v>
      </c>
      <c r="AN965" s="44">
        <v>1100</v>
      </c>
      <c r="AO965" s="63">
        <v>0.171875</v>
      </c>
      <c r="AP965" s="11" t="s">
        <v>52</v>
      </c>
    </row>
    <row r="966" spans="1:42">
      <c r="A966" s="12">
        <v>45765</v>
      </c>
      <c r="B966" s="8">
        <f>IF(A966="","",SUM(D966)+SUM(R969:R972)+SUM(AF969:AF972))</f>
        <v>685</v>
      </c>
      <c r="C966" s="13">
        <v>17552</v>
      </c>
      <c r="D966" s="9">
        <f t="shared" ref="D966:D978" si="773">IF(C966="","",C966-C965)</f>
        <v>139</v>
      </c>
      <c r="E966" s="9">
        <v>586</v>
      </c>
      <c r="F966" s="9">
        <f t="shared" ref="F966:F978" si="774">IF(E966="","",E966-E965)</f>
        <v>18</v>
      </c>
      <c r="G966" s="9">
        <v>9</v>
      </c>
      <c r="H966" s="9">
        <f t="shared" ref="H966:H978" si="775">IF(G966="","",G965+I965-G966)</f>
        <v>16</v>
      </c>
      <c r="I966" s="9">
        <v>30</v>
      </c>
      <c r="J966" s="44"/>
      <c r="K966" s="44">
        <f t="shared" ref="K966:K978" si="776">IF(C966="","",K965)</f>
        <v>385</v>
      </c>
      <c r="L966" s="9">
        <f t="shared" ref="L966:L978" si="777">IF(K966="","",H966*K966)</f>
        <v>6160</v>
      </c>
      <c r="M966" s="10">
        <f t="shared" ref="M966:M978" si="778">IF(L966="","",L966/(D966*100))</f>
        <v>0.44316546762589926</v>
      </c>
      <c r="N966" s="34" t="s">
        <v>55</v>
      </c>
      <c r="O966" s="2"/>
      <c r="P966" s="12"/>
      <c r="Q966" s="9">
        <v>3617</v>
      </c>
      <c r="R966" s="9">
        <v>60</v>
      </c>
      <c r="S966" s="9">
        <v>95</v>
      </c>
      <c r="T966" s="9">
        <v>3</v>
      </c>
      <c r="U966" s="9">
        <v>29</v>
      </c>
      <c r="V966" s="9">
        <v>3</v>
      </c>
      <c r="W966" s="9">
        <v>0</v>
      </c>
      <c r="X966" s="64" t="s">
        <v>15</v>
      </c>
      <c r="Y966" s="44">
        <v>1001</v>
      </c>
      <c r="Z966" s="9">
        <v>3003</v>
      </c>
      <c r="AA966" s="10">
        <v>0.50049999999999994</v>
      </c>
      <c r="AB966" s="11"/>
      <c r="AC966" s="1"/>
      <c r="AD966" s="12"/>
      <c r="AE966" s="9">
        <v>3530</v>
      </c>
      <c r="AF966" s="9">
        <v>92</v>
      </c>
      <c r="AG966" s="9">
        <v>65</v>
      </c>
      <c r="AH966" s="9">
        <v>0</v>
      </c>
      <c r="AI966" s="9">
        <v>9</v>
      </c>
      <c r="AJ966" s="9">
        <v>0</v>
      </c>
      <c r="AK966" s="9">
        <v>-3</v>
      </c>
      <c r="AL966" s="47" t="s">
        <v>42</v>
      </c>
      <c r="AM966" s="45">
        <v>748</v>
      </c>
      <c r="AN966" s="9">
        <v>0</v>
      </c>
      <c r="AO966" s="10">
        <v>0</v>
      </c>
      <c r="AP966" s="11"/>
    </row>
    <row r="967" spans="1:42">
      <c r="A967" s="12">
        <v>45768</v>
      </c>
      <c r="B967" s="8">
        <f>IF(A967="","",SUM(D967)+SUM(R973:R976)+SUM(AF973:AF976))</f>
        <v>1262</v>
      </c>
      <c r="C967" s="13">
        <v>17782</v>
      </c>
      <c r="D967" s="9">
        <f t="shared" si="773"/>
        <v>230</v>
      </c>
      <c r="E967" s="9">
        <v>600</v>
      </c>
      <c r="F967" s="9">
        <f t="shared" si="774"/>
        <v>14</v>
      </c>
      <c r="G967" s="9">
        <v>20</v>
      </c>
      <c r="H967" s="9">
        <f t="shared" si="775"/>
        <v>19</v>
      </c>
      <c r="I967" s="9">
        <v>14</v>
      </c>
      <c r="J967" s="44"/>
      <c r="K967" s="44">
        <f t="shared" si="776"/>
        <v>385</v>
      </c>
      <c r="L967" s="9">
        <f t="shared" si="777"/>
        <v>7315</v>
      </c>
      <c r="M967" s="10">
        <f t="shared" si="778"/>
        <v>0.31804347826086954</v>
      </c>
      <c r="N967" s="34" t="s">
        <v>58</v>
      </c>
      <c r="O967" s="2"/>
      <c r="P967" s="12"/>
      <c r="Q967" s="9">
        <v>2968</v>
      </c>
      <c r="R967" s="9">
        <v>47</v>
      </c>
      <c r="S967" s="9">
        <v>162</v>
      </c>
      <c r="T967" s="9">
        <v>10</v>
      </c>
      <c r="U967" s="9">
        <v>200</v>
      </c>
      <c r="V967" s="9">
        <v>20</v>
      </c>
      <c r="W967" s="9"/>
      <c r="X967" s="15" t="s">
        <v>48</v>
      </c>
      <c r="Y967" s="45">
        <v>132</v>
      </c>
      <c r="Z967" s="9">
        <v>2640</v>
      </c>
      <c r="AA967" s="10">
        <v>0.5617021276595745</v>
      </c>
      <c r="AB967" s="11"/>
      <c r="AC967" s="1"/>
      <c r="AD967" s="12"/>
      <c r="AE967" s="9">
        <v>2565</v>
      </c>
      <c r="AF967" s="9">
        <v>60</v>
      </c>
      <c r="AG967" s="9">
        <v>100</v>
      </c>
      <c r="AH967" s="9">
        <v>3</v>
      </c>
      <c r="AI967" s="9">
        <v>18</v>
      </c>
      <c r="AJ967" s="9">
        <v>3</v>
      </c>
      <c r="AK967" s="9">
        <v>0</v>
      </c>
      <c r="AL967" s="47" t="s">
        <v>32</v>
      </c>
      <c r="AM967" s="45">
        <v>748</v>
      </c>
      <c r="AN967" s="9">
        <v>2244</v>
      </c>
      <c r="AO967" s="10">
        <v>0.374</v>
      </c>
      <c r="AP967" s="11"/>
    </row>
    <row r="968" spans="1:42" ht="15" customHeight="1" thickBot="1">
      <c r="A968" s="12">
        <v>45772</v>
      </c>
      <c r="B968" s="8">
        <f>IF(A968="","",SUM(D968)+SUM(R977:R980)+SUM(AF977:AF980))</f>
        <v>767</v>
      </c>
      <c r="C968" s="13">
        <v>17975</v>
      </c>
      <c r="D968" s="9">
        <f t="shared" si="773"/>
        <v>193</v>
      </c>
      <c r="E968" s="9">
        <v>611</v>
      </c>
      <c r="F968" s="9">
        <f t="shared" si="774"/>
        <v>11</v>
      </c>
      <c r="G968" s="9">
        <v>21</v>
      </c>
      <c r="H968" s="9">
        <f t="shared" si="775"/>
        <v>13</v>
      </c>
      <c r="I968" s="9">
        <v>12</v>
      </c>
      <c r="J968" s="44"/>
      <c r="K968" s="44">
        <f t="shared" si="776"/>
        <v>385</v>
      </c>
      <c r="L968" s="9">
        <f t="shared" si="777"/>
        <v>5005</v>
      </c>
      <c r="M968" s="10">
        <f t="shared" si="778"/>
        <v>0.25932642487046631</v>
      </c>
      <c r="N968" s="34" t="s">
        <v>61</v>
      </c>
      <c r="O968" s="2"/>
      <c r="P968" s="18"/>
      <c r="Q968" s="21">
        <v>2442</v>
      </c>
      <c r="R968" s="19">
        <v>72</v>
      </c>
      <c r="S968" s="19">
        <v>108</v>
      </c>
      <c r="T968" s="19">
        <v>2</v>
      </c>
      <c r="U968" s="19">
        <v>22</v>
      </c>
      <c r="V968" s="19">
        <v>8</v>
      </c>
      <c r="W968" s="19">
        <v>10</v>
      </c>
      <c r="X968" s="22" t="s">
        <v>16</v>
      </c>
      <c r="Y968" s="19">
        <v>750</v>
      </c>
      <c r="Z968" s="19">
        <v>6000</v>
      </c>
      <c r="AA968" s="20">
        <v>0.83333333333333337</v>
      </c>
      <c r="AB968" s="11" t="s">
        <v>51</v>
      </c>
      <c r="AC968" s="1"/>
      <c r="AD968" s="18"/>
      <c r="AE968" s="19">
        <v>2696</v>
      </c>
      <c r="AF968" s="19">
        <v>61</v>
      </c>
      <c r="AG968" s="19">
        <v>40</v>
      </c>
      <c r="AH968" s="19">
        <v>0</v>
      </c>
      <c r="AI968" s="19">
        <v>10</v>
      </c>
      <c r="AJ968" s="19">
        <v>0</v>
      </c>
      <c r="AK968" s="19">
        <v>0</v>
      </c>
      <c r="AL968" s="48" t="s">
        <v>49</v>
      </c>
      <c r="AM968" s="19">
        <v>1100</v>
      </c>
      <c r="AN968" s="19">
        <v>0</v>
      </c>
      <c r="AO968" s="20">
        <v>0</v>
      </c>
      <c r="AP968" s="11"/>
    </row>
    <row r="969" spans="1:42" ht="15" customHeight="1" thickTop="1">
      <c r="A969" s="12">
        <v>45775</v>
      </c>
      <c r="B969" s="8">
        <f>IF(A969="","",SUM(D969)+SUM(R981:R984)+SUM(AF981:AF984))</f>
        <v>936</v>
      </c>
      <c r="C969" s="13">
        <v>18148</v>
      </c>
      <c r="D969" s="9">
        <f t="shared" si="773"/>
        <v>173</v>
      </c>
      <c r="E969" s="9">
        <v>620</v>
      </c>
      <c r="F969" s="9">
        <f t="shared" si="774"/>
        <v>9</v>
      </c>
      <c r="G969" s="9">
        <v>23</v>
      </c>
      <c r="H969" s="9">
        <f t="shared" si="775"/>
        <v>10</v>
      </c>
      <c r="I969" s="9">
        <v>19</v>
      </c>
      <c r="J969" s="44"/>
      <c r="K969" s="44">
        <f t="shared" si="776"/>
        <v>385</v>
      </c>
      <c r="L969" s="9">
        <f t="shared" si="777"/>
        <v>3850</v>
      </c>
      <c r="M969" s="10">
        <f t="shared" si="778"/>
        <v>0.22254335260115607</v>
      </c>
      <c r="N969" s="34"/>
      <c r="O969" s="2"/>
      <c r="P969" s="78">
        <f>IF($A966="","",$A966)</f>
        <v>45765</v>
      </c>
      <c r="Q969" s="23">
        <v>2921</v>
      </c>
      <c r="R969" s="62">
        <f t="shared" ref="R969:R1000" si="779">IF(Q969="","",Q969-Q965)</f>
        <v>56</v>
      </c>
      <c r="S969" s="44">
        <v>55</v>
      </c>
      <c r="T969" s="23">
        <f t="shared" ref="T969:T1000" si="780">IF(S969="","",S969-S965)</f>
        <v>1</v>
      </c>
      <c r="U969" s="44">
        <v>14</v>
      </c>
      <c r="V969" s="44">
        <f t="shared" ref="V969:V1000" si="781">IF(U969="","",U965+W965-U969)</f>
        <v>2</v>
      </c>
      <c r="W969" s="66">
        <v>0</v>
      </c>
      <c r="X969" s="61" t="str">
        <f t="shared" ref="X969:X1000" si="782">IF(Q969="","",X965)</f>
        <v>猫アイシャドウ</v>
      </c>
      <c r="Y969" s="62">
        <f t="shared" ref="Y969:Y1000" si="783">IF(R969="","",Y965)</f>
        <v>1034</v>
      </c>
      <c r="Z969" s="23">
        <f t="shared" ref="Z969:Z1000" si="784">IF(U969="","",V969*Y969)</f>
        <v>2068</v>
      </c>
      <c r="AA969" s="24">
        <f t="shared" ref="AA969:AA1000" si="785">IF(V969="","",Z969/(R969*100))</f>
        <v>0.36928571428571427</v>
      </c>
      <c r="AB969" s="11"/>
      <c r="AC969" s="1"/>
      <c r="AD969" s="78">
        <f>IF($A966="","",$A966)</f>
        <v>45765</v>
      </c>
      <c r="AE969" s="23">
        <v>2453</v>
      </c>
      <c r="AF969" s="62">
        <f t="shared" ref="AF969:AF1000" si="786">IF(AE969="","",AE969-AE965)</f>
        <v>29</v>
      </c>
      <c r="AG969" s="44">
        <v>79</v>
      </c>
      <c r="AH969" s="23">
        <f t="shared" ref="AH969:AH1000" si="787">IF(AG969="","",AG969-AG965)</f>
        <v>0</v>
      </c>
      <c r="AI969" s="44">
        <v>18</v>
      </c>
      <c r="AJ969" s="44">
        <f t="shared" ref="AJ969:AJ1000" si="788">IF(AI969="","",AI965+AK965-AI969)</f>
        <v>13</v>
      </c>
      <c r="AK969" s="66">
        <v>-2</v>
      </c>
      <c r="AL969" s="61" t="s">
        <v>57</v>
      </c>
      <c r="AM969" s="62"/>
      <c r="AN969" s="23">
        <f t="shared" ref="AN969:AN1000" si="789">IF(AI969="","",AJ969*AM969)</f>
        <v>0</v>
      </c>
      <c r="AO969" s="24">
        <f t="shared" ref="AO969:AO1000" si="790">IF(AJ969="","",AN969/(AF969*100))</f>
        <v>0</v>
      </c>
      <c r="AP969" s="11"/>
    </row>
    <row r="970" spans="1:42">
      <c r="A970" s="12">
        <v>45778</v>
      </c>
      <c r="B970" s="8">
        <f>IF(A970="","",SUM(D970)+SUM(R985:R988)+SUM(AF985:AF988))</f>
        <v>891</v>
      </c>
      <c r="C970" s="13">
        <v>18312</v>
      </c>
      <c r="D970" s="9">
        <f t="shared" si="773"/>
        <v>164</v>
      </c>
      <c r="E970" s="9">
        <v>632</v>
      </c>
      <c r="F970" s="9">
        <f t="shared" si="774"/>
        <v>12</v>
      </c>
      <c r="G970" s="9">
        <v>30</v>
      </c>
      <c r="H970" s="9">
        <f t="shared" si="775"/>
        <v>12</v>
      </c>
      <c r="I970" s="9">
        <v>12</v>
      </c>
      <c r="J970" s="44"/>
      <c r="K970" s="44">
        <f t="shared" si="776"/>
        <v>385</v>
      </c>
      <c r="L970" s="9">
        <f t="shared" si="777"/>
        <v>4620</v>
      </c>
      <c r="M970" s="10">
        <f t="shared" si="778"/>
        <v>0.2817073170731707</v>
      </c>
      <c r="N970" s="34"/>
      <c r="O970" s="2"/>
      <c r="P970" s="79"/>
      <c r="Q970" s="44">
        <v>3660</v>
      </c>
      <c r="R970" s="45">
        <f t="shared" si="779"/>
        <v>43</v>
      </c>
      <c r="S970" s="9">
        <v>96</v>
      </c>
      <c r="T970" s="9">
        <f t="shared" si="780"/>
        <v>1</v>
      </c>
      <c r="U970" s="9">
        <v>28</v>
      </c>
      <c r="V970" s="9">
        <f t="shared" si="781"/>
        <v>1</v>
      </c>
      <c r="W970" s="13">
        <v>0</v>
      </c>
      <c r="X970" s="47" t="str">
        <f t="shared" si="782"/>
        <v>ロムアンド</v>
      </c>
      <c r="Y970" s="45">
        <f t="shared" si="783"/>
        <v>1001</v>
      </c>
      <c r="Z970" s="9">
        <f t="shared" si="784"/>
        <v>1001</v>
      </c>
      <c r="AA970" s="10">
        <f t="shared" si="785"/>
        <v>0.2327906976744186</v>
      </c>
      <c r="AB970" s="11"/>
      <c r="AC970" s="1"/>
      <c r="AD970" s="79"/>
      <c r="AE970" s="44">
        <v>3649</v>
      </c>
      <c r="AF970" s="45">
        <f t="shared" si="786"/>
        <v>119</v>
      </c>
      <c r="AG970" s="9">
        <v>66</v>
      </c>
      <c r="AH970" s="9">
        <f t="shared" si="787"/>
        <v>1</v>
      </c>
      <c r="AI970" s="9">
        <v>5</v>
      </c>
      <c r="AJ970" s="9">
        <f t="shared" si="788"/>
        <v>1</v>
      </c>
      <c r="AK970" s="13">
        <v>1</v>
      </c>
      <c r="AL970" s="47" t="str">
        <f t="shared" ref="AL970:AM972" si="791">IF(AE970="","",AL966)</f>
        <v>ジャグラーボタン</v>
      </c>
      <c r="AM970" s="45">
        <f t="shared" si="791"/>
        <v>748</v>
      </c>
      <c r="AN970" s="9">
        <f t="shared" si="789"/>
        <v>748</v>
      </c>
      <c r="AO970" s="10">
        <f t="shared" si="790"/>
        <v>6.2857142857142861E-2</v>
      </c>
      <c r="AP970" s="11"/>
    </row>
    <row r="971" spans="1:42">
      <c r="A971" s="12">
        <v>45781</v>
      </c>
      <c r="B971" s="8">
        <f>IF(A971="","",SUM(D971)+SUM(R989:R992)+SUM(AF989:AF992))</f>
        <v>1017</v>
      </c>
      <c r="C971" s="13">
        <v>18595</v>
      </c>
      <c r="D971" s="9">
        <f t="shared" si="773"/>
        <v>283</v>
      </c>
      <c r="E971" s="9">
        <v>644</v>
      </c>
      <c r="F971" s="9">
        <f t="shared" si="774"/>
        <v>12</v>
      </c>
      <c r="G971" s="9">
        <v>25</v>
      </c>
      <c r="H971" s="9">
        <f t="shared" si="775"/>
        <v>17</v>
      </c>
      <c r="I971" s="9">
        <v>18</v>
      </c>
      <c r="J971" s="44"/>
      <c r="K971" s="44">
        <f t="shared" si="776"/>
        <v>385</v>
      </c>
      <c r="L971" s="9">
        <f t="shared" si="777"/>
        <v>6545</v>
      </c>
      <c r="M971" s="10">
        <f t="shared" si="778"/>
        <v>0.2312720848056537</v>
      </c>
      <c r="N971" s="34"/>
      <c r="O971" s="2"/>
      <c r="P971" s="79"/>
      <c r="Q971" s="44">
        <v>3036</v>
      </c>
      <c r="R971" s="45">
        <f t="shared" si="779"/>
        <v>68</v>
      </c>
      <c r="S971" s="9">
        <v>173</v>
      </c>
      <c r="T971" s="9">
        <f t="shared" si="780"/>
        <v>11</v>
      </c>
      <c r="U971" s="9">
        <v>180</v>
      </c>
      <c r="V971" s="9">
        <f t="shared" si="781"/>
        <v>20</v>
      </c>
      <c r="W971" s="13">
        <v>0</v>
      </c>
      <c r="X971" s="47" t="str">
        <f t="shared" si="782"/>
        <v>サンリオブレスレット</v>
      </c>
      <c r="Y971" s="9">
        <f t="shared" si="783"/>
        <v>132</v>
      </c>
      <c r="Z971" s="9">
        <f t="shared" si="784"/>
        <v>2640</v>
      </c>
      <c r="AA971" s="10">
        <f t="shared" si="785"/>
        <v>0.38823529411764707</v>
      </c>
      <c r="AB971" s="11"/>
      <c r="AC971" s="1"/>
      <c r="AD971" s="79"/>
      <c r="AE971" s="44">
        <v>2604</v>
      </c>
      <c r="AF971" s="45">
        <f t="shared" si="786"/>
        <v>39</v>
      </c>
      <c r="AG971" s="9">
        <v>101</v>
      </c>
      <c r="AH971" s="9">
        <f t="shared" si="787"/>
        <v>1</v>
      </c>
      <c r="AI971" s="9">
        <v>17</v>
      </c>
      <c r="AJ971" s="9">
        <f t="shared" si="788"/>
        <v>1</v>
      </c>
      <c r="AK971" s="13">
        <v>29</v>
      </c>
      <c r="AL971" s="47" t="str">
        <f t="shared" si="791"/>
        <v>2CBC</v>
      </c>
      <c r="AM971" s="9">
        <f t="shared" si="791"/>
        <v>748</v>
      </c>
      <c r="AN971" s="9">
        <f t="shared" si="789"/>
        <v>748</v>
      </c>
      <c r="AO971" s="10">
        <f t="shared" si="790"/>
        <v>0.19179487179487179</v>
      </c>
      <c r="AP971" s="11" t="s">
        <v>307</v>
      </c>
    </row>
    <row r="972" spans="1:42" ht="15" customHeight="1" thickBot="1">
      <c r="A972" s="12">
        <v>45785</v>
      </c>
      <c r="B972" s="8">
        <f>IF(A972="","",SUM(D972)+SUM(R993:R996)+SUM(AF993:AF996))</f>
        <v>1583</v>
      </c>
      <c r="C972" s="13">
        <v>18829</v>
      </c>
      <c r="D972" s="9">
        <f t="shared" si="773"/>
        <v>234</v>
      </c>
      <c r="E972" s="9">
        <v>664</v>
      </c>
      <c r="F972" s="9">
        <f t="shared" si="774"/>
        <v>20</v>
      </c>
      <c r="G972" s="9">
        <v>20</v>
      </c>
      <c r="H972" s="9">
        <f t="shared" si="775"/>
        <v>23</v>
      </c>
      <c r="I972" s="9">
        <v>19</v>
      </c>
      <c r="J972" s="44"/>
      <c r="K972" s="44">
        <f t="shared" si="776"/>
        <v>385</v>
      </c>
      <c r="L972" s="9">
        <f t="shared" si="777"/>
        <v>8855</v>
      </c>
      <c r="M972" s="10">
        <f t="shared" si="778"/>
        <v>0.37841880341880341</v>
      </c>
      <c r="N972" s="34" t="s">
        <v>70</v>
      </c>
      <c r="O972" s="2"/>
      <c r="P972" s="80"/>
      <c r="Q972" s="35">
        <v>2473</v>
      </c>
      <c r="R972" s="108">
        <f t="shared" si="779"/>
        <v>31</v>
      </c>
      <c r="S972" s="19">
        <v>109</v>
      </c>
      <c r="T972" s="19">
        <f t="shared" si="780"/>
        <v>1</v>
      </c>
      <c r="U972" s="19">
        <v>31</v>
      </c>
      <c r="V972" s="19">
        <f t="shared" si="781"/>
        <v>1</v>
      </c>
      <c r="W972" s="37">
        <v>0</v>
      </c>
      <c r="X972" s="48" t="str">
        <f t="shared" si="782"/>
        <v>NICI</v>
      </c>
      <c r="Y972" s="51">
        <f t="shared" si="783"/>
        <v>750</v>
      </c>
      <c r="Z972" s="19">
        <f t="shared" si="784"/>
        <v>750</v>
      </c>
      <c r="AA972" s="20">
        <f t="shared" si="785"/>
        <v>0.24193548387096775</v>
      </c>
      <c r="AB972" s="11" t="s">
        <v>56</v>
      </c>
      <c r="AC972" s="1"/>
      <c r="AD972" s="80"/>
      <c r="AE972" s="35">
        <v>2857</v>
      </c>
      <c r="AF972" s="51">
        <f t="shared" si="786"/>
        <v>161</v>
      </c>
      <c r="AG972" s="19">
        <v>41</v>
      </c>
      <c r="AH972" s="19">
        <f t="shared" si="787"/>
        <v>1</v>
      </c>
      <c r="AI972" s="19">
        <v>9</v>
      </c>
      <c r="AJ972" s="19">
        <f t="shared" si="788"/>
        <v>1</v>
      </c>
      <c r="AK972" s="37">
        <v>1</v>
      </c>
      <c r="AL972" s="48" t="str">
        <f t="shared" si="791"/>
        <v>じゃがりこイヤホン</v>
      </c>
      <c r="AM972" s="51">
        <f t="shared" si="791"/>
        <v>1100</v>
      </c>
      <c r="AN972" s="19">
        <f t="shared" si="789"/>
        <v>1100</v>
      </c>
      <c r="AO972" s="20">
        <f t="shared" si="790"/>
        <v>6.8322981366459631E-2</v>
      </c>
      <c r="AP972" s="11"/>
    </row>
    <row r="973" spans="1:42" ht="15.75" thickTop="1">
      <c r="A973" s="12">
        <v>45789</v>
      </c>
      <c r="B973" s="8">
        <f>IF(A973="","",SUM(D973)+SUM(R997:R1000)+SUM(AF997:AF1000))</f>
        <v>1345</v>
      </c>
      <c r="C973" s="13">
        <v>19045</v>
      </c>
      <c r="D973" s="9">
        <f t="shared" si="773"/>
        <v>216</v>
      </c>
      <c r="E973" s="9">
        <v>678</v>
      </c>
      <c r="F973" s="9">
        <f t="shared" si="774"/>
        <v>14</v>
      </c>
      <c r="G973" s="9">
        <v>23</v>
      </c>
      <c r="H973" s="9">
        <f t="shared" si="775"/>
        <v>16</v>
      </c>
      <c r="I973" s="9">
        <v>17</v>
      </c>
      <c r="J973" s="44"/>
      <c r="K973" s="44">
        <f t="shared" si="776"/>
        <v>385</v>
      </c>
      <c r="L973" s="9">
        <f t="shared" si="777"/>
        <v>6160</v>
      </c>
      <c r="M973" s="10">
        <f t="shared" si="778"/>
        <v>0.28518518518518521</v>
      </c>
      <c r="N973" s="34"/>
      <c r="O973" s="2"/>
      <c r="P973" s="65">
        <f>IF($A967="","",$A967)</f>
        <v>45768</v>
      </c>
      <c r="Q973" s="44">
        <v>2976</v>
      </c>
      <c r="R973" s="44">
        <f t="shared" si="779"/>
        <v>55</v>
      </c>
      <c r="S973" s="44">
        <v>57</v>
      </c>
      <c r="T973" s="23">
        <f t="shared" si="780"/>
        <v>2</v>
      </c>
      <c r="U973" s="44">
        <v>13</v>
      </c>
      <c r="V973" s="44">
        <f t="shared" si="781"/>
        <v>1</v>
      </c>
      <c r="W973" s="66">
        <v>0</v>
      </c>
      <c r="X973" s="61" t="str">
        <f t="shared" si="782"/>
        <v>猫アイシャドウ</v>
      </c>
      <c r="Y973" s="62">
        <f t="shared" si="783"/>
        <v>1034</v>
      </c>
      <c r="Z973" s="23">
        <f t="shared" si="784"/>
        <v>1034</v>
      </c>
      <c r="AA973" s="24">
        <f t="shared" si="785"/>
        <v>0.188</v>
      </c>
      <c r="AB973" s="11"/>
      <c r="AC973" s="1"/>
      <c r="AD973" s="65">
        <f>IF($A967="","",$A967)</f>
        <v>45768</v>
      </c>
      <c r="AE973" s="44">
        <v>2734</v>
      </c>
      <c r="AF973" s="44">
        <f t="shared" si="786"/>
        <v>281</v>
      </c>
      <c r="AG973" s="44">
        <v>82</v>
      </c>
      <c r="AH973" s="23">
        <f t="shared" si="787"/>
        <v>3</v>
      </c>
      <c r="AI973" s="44">
        <v>13</v>
      </c>
      <c r="AJ973" s="44">
        <f t="shared" si="788"/>
        <v>3</v>
      </c>
      <c r="AK973" s="66">
        <v>0</v>
      </c>
      <c r="AL973" s="61" t="str">
        <f>IF(AE973="","",AL969)</f>
        <v>ミニカメラ</v>
      </c>
      <c r="AM973" s="62">
        <v>710</v>
      </c>
      <c r="AN973" s="23">
        <f t="shared" si="789"/>
        <v>2130</v>
      </c>
      <c r="AO973" s="24">
        <f t="shared" si="790"/>
        <v>7.5800711743772245E-2</v>
      </c>
      <c r="AP973" s="11"/>
    </row>
    <row r="974" spans="1:42">
      <c r="A974" s="12"/>
      <c r="B974" s="8"/>
      <c r="C974" s="13"/>
      <c r="D974" s="9"/>
      <c r="E974" s="9"/>
      <c r="F974" s="9"/>
      <c r="G974" s="9"/>
      <c r="H974" s="9"/>
      <c r="I974" s="9"/>
      <c r="J974" s="44"/>
      <c r="K974" s="44"/>
      <c r="L974" s="9"/>
      <c r="M974" s="10"/>
      <c r="N974" s="34"/>
      <c r="O974" s="2"/>
      <c r="P974" s="12"/>
      <c r="Q974" s="44">
        <v>3723</v>
      </c>
      <c r="R974" s="9">
        <f t="shared" si="779"/>
        <v>63</v>
      </c>
      <c r="S974" s="9">
        <v>98</v>
      </c>
      <c r="T974" s="9">
        <f t="shared" si="780"/>
        <v>2</v>
      </c>
      <c r="U974" s="9">
        <v>26</v>
      </c>
      <c r="V974" s="9">
        <f t="shared" si="781"/>
        <v>2</v>
      </c>
      <c r="W974" s="13">
        <v>0</v>
      </c>
      <c r="X974" s="47" t="str">
        <f t="shared" si="782"/>
        <v>ロムアンド</v>
      </c>
      <c r="Y974" s="45">
        <f t="shared" si="783"/>
        <v>1001</v>
      </c>
      <c r="Z974" s="9">
        <f t="shared" si="784"/>
        <v>2002</v>
      </c>
      <c r="AA974" s="10">
        <f t="shared" si="785"/>
        <v>0.31777777777777777</v>
      </c>
      <c r="AB974" s="11"/>
      <c r="AC974" s="1"/>
      <c r="AD974" s="12"/>
      <c r="AE974" s="44">
        <v>3711</v>
      </c>
      <c r="AF974" s="9">
        <f t="shared" si="786"/>
        <v>62</v>
      </c>
      <c r="AG974" s="9">
        <v>68</v>
      </c>
      <c r="AH974" s="9">
        <f t="shared" si="787"/>
        <v>2</v>
      </c>
      <c r="AI974" s="9">
        <v>3</v>
      </c>
      <c r="AJ974" s="9">
        <f t="shared" si="788"/>
        <v>3</v>
      </c>
      <c r="AK974" s="13">
        <v>0</v>
      </c>
      <c r="AL974" s="47" t="str">
        <f>IF(AE974="","",AL970)</f>
        <v>ジャグラーボタン</v>
      </c>
      <c r="AM974" s="45">
        <f>IF(AF974="","",AM970)</f>
        <v>748</v>
      </c>
      <c r="AN974" s="9">
        <f t="shared" si="789"/>
        <v>2244</v>
      </c>
      <c r="AO974" s="10">
        <f t="shared" si="790"/>
        <v>0.36193548387096774</v>
      </c>
      <c r="AP974" s="11"/>
    </row>
    <row r="975" spans="1:42">
      <c r="A975" s="12"/>
      <c r="B975" s="8"/>
      <c r="C975" s="13"/>
      <c r="D975" s="9"/>
      <c r="E975" s="9"/>
      <c r="F975" s="9"/>
      <c r="G975" s="9"/>
      <c r="H975" s="9"/>
      <c r="I975" s="9"/>
      <c r="J975" s="44"/>
      <c r="K975" s="44"/>
      <c r="L975" s="9"/>
      <c r="M975" s="10"/>
      <c r="N975" s="34"/>
      <c r="O975" s="2"/>
      <c r="P975" s="12"/>
      <c r="Q975" s="52">
        <v>3171</v>
      </c>
      <c r="R975" s="9">
        <f t="shared" si="779"/>
        <v>135</v>
      </c>
      <c r="S975" s="9">
        <v>198</v>
      </c>
      <c r="T975" s="9">
        <f t="shared" si="780"/>
        <v>25</v>
      </c>
      <c r="U975" s="9">
        <v>140</v>
      </c>
      <c r="V975" s="9">
        <f t="shared" si="781"/>
        <v>40</v>
      </c>
      <c r="W975" s="13">
        <v>60</v>
      </c>
      <c r="X975" s="47" t="str">
        <f t="shared" si="782"/>
        <v>サンリオブレスレット</v>
      </c>
      <c r="Y975" s="9">
        <f t="shared" si="783"/>
        <v>132</v>
      </c>
      <c r="Z975" s="9">
        <f t="shared" si="784"/>
        <v>5280</v>
      </c>
      <c r="AA975" s="10">
        <f t="shared" si="785"/>
        <v>0.39111111111111113</v>
      </c>
      <c r="AB975" s="11"/>
      <c r="AC975" s="1"/>
      <c r="AD975" s="12"/>
      <c r="AE975" s="52">
        <v>2808</v>
      </c>
      <c r="AF975" s="9">
        <f t="shared" si="786"/>
        <v>204</v>
      </c>
      <c r="AG975" s="9">
        <v>102</v>
      </c>
      <c r="AH975" s="9">
        <f t="shared" si="787"/>
        <v>1</v>
      </c>
      <c r="AI975" s="9">
        <v>44</v>
      </c>
      <c r="AJ975" s="9">
        <f t="shared" si="788"/>
        <v>2</v>
      </c>
      <c r="AK975" s="13">
        <v>20</v>
      </c>
      <c r="AL975" s="47" t="s">
        <v>59</v>
      </c>
      <c r="AM975" s="9">
        <v>187</v>
      </c>
      <c r="AN975" s="9">
        <f t="shared" si="789"/>
        <v>374</v>
      </c>
      <c r="AO975" s="10">
        <f t="shared" si="790"/>
        <v>1.8333333333333333E-2</v>
      </c>
      <c r="AP975" s="11"/>
    </row>
    <row r="976" spans="1:42" ht="15" customHeight="1" thickBot="1">
      <c r="A976" s="12"/>
      <c r="B976" s="8"/>
      <c r="C976" s="13"/>
      <c r="D976" s="9" t="str">
        <f t="shared" si="773"/>
        <v/>
      </c>
      <c r="E976" s="9"/>
      <c r="F976" s="9" t="str">
        <f t="shared" si="774"/>
        <v/>
      </c>
      <c r="G976" s="9"/>
      <c r="H976" s="9" t="str">
        <f t="shared" si="775"/>
        <v/>
      </c>
      <c r="I976" s="9"/>
      <c r="J976" s="44"/>
      <c r="K976" s="44" t="str">
        <f t="shared" si="776"/>
        <v/>
      </c>
      <c r="L976" s="9" t="str">
        <f t="shared" si="777"/>
        <v/>
      </c>
      <c r="M976" s="10" t="str">
        <f t="shared" si="778"/>
        <v/>
      </c>
      <c r="N976" s="11"/>
      <c r="O976" s="2"/>
      <c r="P976" s="80"/>
      <c r="Q976" s="50">
        <v>2598</v>
      </c>
      <c r="R976" s="51">
        <f t="shared" si="779"/>
        <v>125</v>
      </c>
      <c r="S976" s="19">
        <v>117</v>
      </c>
      <c r="T976" s="19">
        <f t="shared" si="780"/>
        <v>8</v>
      </c>
      <c r="U976" s="19">
        <v>22</v>
      </c>
      <c r="V976" s="19">
        <f t="shared" si="781"/>
        <v>9</v>
      </c>
      <c r="W976" s="37">
        <v>10</v>
      </c>
      <c r="X976" s="48" t="str">
        <f t="shared" si="782"/>
        <v>NICI</v>
      </c>
      <c r="Y976" s="51">
        <f t="shared" si="783"/>
        <v>750</v>
      </c>
      <c r="Z976" s="19">
        <f t="shared" si="784"/>
        <v>6750</v>
      </c>
      <c r="AA976" s="20">
        <f t="shared" si="785"/>
        <v>0.54</v>
      </c>
      <c r="AB976" s="11"/>
      <c r="AC976" s="1"/>
      <c r="AD976" s="80"/>
      <c r="AE976" s="50">
        <v>2964</v>
      </c>
      <c r="AF976" s="51">
        <f t="shared" si="786"/>
        <v>107</v>
      </c>
      <c r="AG976" s="19">
        <v>43</v>
      </c>
      <c r="AH976" s="19">
        <f t="shared" si="787"/>
        <v>2</v>
      </c>
      <c r="AI976" s="19">
        <v>8</v>
      </c>
      <c r="AJ976" s="19">
        <f t="shared" si="788"/>
        <v>2</v>
      </c>
      <c r="AK976" s="37">
        <v>4</v>
      </c>
      <c r="AL976" s="48" t="str">
        <f t="shared" ref="AL976:AL1020" si="792">IF(AE976="","",AL972)</f>
        <v>じゃがりこイヤホン</v>
      </c>
      <c r="AM976" s="51">
        <f t="shared" ref="AM976:AM1020" si="793">IF(AF976="","",AM972)</f>
        <v>1100</v>
      </c>
      <c r="AN976" s="19">
        <f t="shared" si="789"/>
        <v>2200</v>
      </c>
      <c r="AO976" s="20">
        <f t="shared" si="790"/>
        <v>0.20560747663551401</v>
      </c>
      <c r="AP976" s="11" t="s">
        <v>60</v>
      </c>
    </row>
    <row r="977" spans="1:42" ht="15" customHeight="1" thickTop="1">
      <c r="A977" s="12"/>
      <c r="B977" s="8"/>
      <c r="C977" s="13"/>
      <c r="D977" s="9" t="str">
        <f t="shared" si="773"/>
        <v/>
      </c>
      <c r="E977" s="9"/>
      <c r="F977" s="9" t="str">
        <f t="shared" si="774"/>
        <v/>
      </c>
      <c r="G977" s="9"/>
      <c r="H977" s="9" t="str">
        <f t="shared" si="775"/>
        <v/>
      </c>
      <c r="I977" s="9"/>
      <c r="J977" s="44"/>
      <c r="K977" s="44" t="str">
        <f t="shared" si="776"/>
        <v/>
      </c>
      <c r="L977" s="9" t="str">
        <f t="shared" si="777"/>
        <v/>
      </c>
      <c r="M977" s="10" t="str">
        <f t="shared" si="778"/>
        <v/>
      </c>
      <c r="N977" s="11"/>
      <c r="O977" s="2"/>
      <c r="P977" s="65">
        <f>IF($A968="","",$A968)</f>
        <v>45772</v>
      </c>
      <c r="Q977" s="44">
        <v>3088</v>
      </c>
      <c r="R977" s="44">
        <f t="shared" si="779"/>
        <v>112</v>
      </c>
      <c r="S977" s="44">
        <v>59</v>
      </c>
      <c r="T977" s="23">
        <f t="shared" si="780"/>
        <v>2</v>
      </c>
      <c r="U977" s="44">
        <v>10</v>
      </c>
      <c r="V977" s="44">
        <f t="shared" si="781"/>
        <v>3</v>
      </c>
      <c r="W977" s="66">
        <v>0</v>
      </c>
      <c r="X977" s="61" t="str">
        <f t="shared" si="782"/>
        <v>猫アイシャドウ</v>
      </c>
      <c r="Y977" s="62">
        <f t="shared" si="783"/>
        <v>1034</v>
      </c>
      <c r="Z977" s="23">
        <f t="shared" si="784"/>
        <v>3102</v>
      </c>
      <c r="AA977" s="24">
        <f t="shared" si="785"/>
        <v>0.27696428571428572</v>
      </c>
      <c r="AB977" s="11"/>
      <c r="AC977" s="1"/>
      <c r="AD977" s="65">
        <f>IF($A968="","",$A968)</f>
        <v>45772</v>
      </c>
      <c r="AE977" s="44">
        <v>2838</v>
      </c>
      <c r="AF977" s="44">
        <f t="shared" si="786"/>
        <v>104</v>
      </c>
      <c r="AG977" s="44">
        <v>83</v>
      </c>
      <c r="AH977" s="23">
        <f t="shared" si="787"/>
        <v>1</v>
      </c>
      <c r="AI977" s="44">
        <v>11</v>
      </c>
      <c r="AJ977" s="44">
        <f t="shared" si="788"/>
        <v>2</v>
      </c>
      <c r="AK977" s="66">
        <v>3</v>
      </c>
      <c r="AL977" s="61" t="str">
        <f t="shared" si="792"/>
        <v>ミニカメラ</v>
      </c>
      <c r="AM977" s="62">
        <f t="shared" si="793"/>
        <v>710</v>
      </c>
      <c r="AN977" s="23">
        <f t="shared" si="789"/>
        <v>1420</v>
      </c>
      <c r="AO977" s="24">
        <f t="shared" si="790"/>
        <v>0.13653846153846153</v>
      </c>
      <c r="AP977" s="11"/>
    </row>
    <row r="978" spans="1:42">
      <c r="A978" s="12"/>
      <c r="B978" s="8"/>
      <c r="C978" s="13"/>
      <c r="D978" s="9" t="str">
        <f t="shared" si="773"/>
        <v/>
      </c>
      <c r="E978" s="9"/>
      <c r="F978" s="9" t="str">
        <f t="shared" si="774"/>
        <v/>
      </c>
      <c r="G978" s="9"/>
      <c r="H978" s="9" t="str">
        <f t="shared" si="775"/>
        <v/>
      </c>
      <c r="I978" s="9"/>
      <c r="J978" s="44"/>
      <c r="K978" s="44" t="str">
        <f t="shared" si="776"/>
        <v/>
      </c>
      <c r="L978" s="9" t="str">
        <f t="shared" si="777"/>
        <v/>
      </c>
      <c r="M978" s="10" t="str">
        <f t="shared" si="778"/>
        <v/>
      </c>
      <c r="N978" s="11"/>
      <c r="O978" s="2"/>
      <c r="P978" s="12"/>
      <c r="Q978" s="9">
        <v>3789</v>
      </c>
      <c r="R978" s="44">
        <f t="shared" si="779"/>
        <v>66</v>
      </c>
      <c r="S978" s="9">
        <v>100</v>
      </c>
      <c r="T978" s="9">
        <f t="shared" si="780"/>
        <v>2</v>
      </c>
      <c r="U978" s="9">
        <v>26</v>
      </c>
      <c r="V978" s="9">
        <f t="shared" si="781"/>
        <v>0</v>
      </c>
      <c r="W978" s="13">
        <v>-12</v>
      </c>
      <c r="X978" s="47" t="str">
        <f t="shared" si="782"/>
        <v>ロムアンド</v>
      </c>
      <c r="Y978" s="45">
        <f t="shared" si="783"/>
        <v>1001</v>
      </c>
      <c r="Z978" s="9">
        <f t="shared" si="784"/>
        <v>0</v>
      </c>
      <c r="AA978" s="10">
        <f t="shared" si="785"/>
        <v>0</v>
      </c>
      <c r="AB978" s="11" t="s">
        <v>63</v>
      </c>
      <c r="AC978" s="1"/>
      <c r="AD978" s="12"/>
      <c r="AE978" s="9">
        <v>3783</v>
      </c>
      <c r="AF978" s="44">
        <f t="shared" si="786"/>
        <v>72</v>
      </c>
      <c r="AG978" s="9">
        <v>70</v>
      </c>
      <c r="AH978" s="9">
        <f t="shared" si="787"/>
        <v>2</v>
      </c>
      <c r="AI978" s="9">
        <v>2</v>
      </c>
      <c r="AJ978" s="9">
        <f t="shared" si="788"/>
        <v>1</v>
      </c>
      <c r="AK978" s="13">
        <v>2</v>
      </c>
      <c r="AL978" s="47" t="str">
        <f t="shared" si="792"/>
        <v>ジャグラーボタン</v>
      </c>
      <c r="AM978" s="45">
        <f t="shared" si="793"/>
        <v>748</v>
      </c>
      <c r="AN978" s="9">
        <f t="shared" si="789"/>
        <v>748</v>
      </c>
      <c r="AO978" s="10">
        <f t="shared" si="790"/>
        <v>0.10388888888888889</v>
      </c>
      <c r="AP978" s="11"/>
    </row>
    <row r="979" spans="1:42">
      <c r="A979" s="12"/>
      <c r="B979" s="8"/>
      <c r="C979" s="13"/>
      <c r="D979" s="9"/>
      <c r="E979" s="9"/>
      <c r="F979" s="9"/>
      <c r="G979" s="9"/>
      <c r="H979" s="9"/>
      <c r="I979" s="9"/>
      <c r="J979" s="44"/>
      <c r="K979" s="44"/>
      <c r="L979" s="9"/>
      <c r="M979" s="10"/>
      <c r="N979" s="11"/>
      <c r="O979" s="2"/>
      <c r="P979" s="25"/>
      <c r="Q979" s="26">
        <v>3212</v>
      </c>
      <c r="R979" s="44">
        <f t="shared" si="779"/>
        <v>41</v>
      </c>
      <c r="S979" s="26">
        <v>203</v>
      </c>
      <c r="T979" s="9">
        <f t="shared" si="780"/>
        <v>5</v>
      </c>
      <c r="U979" s="26">
        <v>180</v>
      </c>
      <c r="V979" s="9">
        <f t="shared" si="781"/>
        <v>20</v>
      </c>
      <c r="W979" s="38">
        <v>-167</v>
      </c>
      <c r="X979" s="47" t="str">
        <f t="shared" si="782"/>
        <v>サンリオブレスレット</v>
      </c>
      <c r="Y979" s="9">
        <f t="shared" si="783"/>
        <v>132</v>
      </c>
      <c r="Z979" s="9">
        <f t="shared" si="784"/>
        <v>2640</v>
      </c>
      <c r="AA979" s="10">
        <f t="shared" si="785"/>
        <v>0.64390243902439026</v>
      </c>
      <c r="AB979" s="11" t="s">
        <v>62</v>
      </c>
      <c r="AD979" s="25"/>
      <c r="AE979" s="26">
        <v>2896</v>
      </c>
      <c r="AF979" s="44">
        <f t="shared" si="786"/>
        <v>88</v>
      </c>
      <c r="AG979" s="26">
        <v>105</v>
      </c>
      <c r="AH979" s="9">
        <f t="shared" si="787"/>
        <v>3</v>
      </c>
      <c r="AI979" s="26">
        <v>59</v>
      </c>
      <c r="AJ979" s="9">
        <f t="shared" si="788"/>
        <v>5</v>
      </c>
      <c r="AK979" s="38">
        <v>10</v>
      </c>
      <c r="AL979" s="47" t="str">
        <f t="shared" si="792"/>
        <v>SPGラバー</v>
      </c>
      <c r="AM979" s="9">
        <f t="shared" si="793"/>
        <v>187</v>
      </c>
      <c r="AN979" s="9">
        <f t="shared" si="789"/>
        <v>935</v>
      </c>
      <c r="AO979" s="10">
        <f t="shared" si="790"/>
        <v>0.10625</v>
      </c>
      <c r="AP979" s="11"/>
    </row>
    <row r="980" spans="1:42" ht="15" customHeight="1" thickBot="1">
      <c r="A980" s="12"/>
      <c r="B980" s="8"/>
      <c r="C980" s="13"/>
      <c r="D980" s="9" t="str">
        <f>IF(C980="","",C980-C981)</f>
        <v/>
      </c>
      <c r="E980" s="9"/>
      <c r="F980" s="9" t="str">
        <f>IF(E980="","",E980-E981)</f>
        <v/>
      </c>
      <c r="G980" s="9"/>
      <c r="H980" s="9" t="str">
        <f>IF(G980="","",G981+I981-G980)</f>
        <v/>
      </c>
      <c r="I980" s="9"/>
      <c r="J980" s="44"/>
      <c r="K980" s="44" t="str">
        <f>IF(C980="","",K981)</f>
        <v/>
      </c>
      <c r="L980" s="9" t="str">
        <f t="shared" ref="L980:L1018" si="794">IF(K980="","",H980*K980)</f>
        <v/>
      </c>
      <c r="M980" s="10" t="str">
        <f t="shared" ref="M980:M1018" si="795">IF(L980="","",L980/(D980*100))</f>
        <v/>
      </c>
      <c r="N980" s="11"/>
      <c r="O980" s="2"/>
      <c r="P980" s="18"/>
      <c r="Q980" s="19">
        <v>2665</v>
      </c>
      <c r="R980" s="50">
        <f t="shared" si="779"/>
        <v>67</v>
      </c>
      <c r="S980" s="19">
        <v>118</v>
      </c>
      <c r="T980" s="19">
        <f t="shared" si="780"/>
        <v>1</v>
      </c>
      <c r="U980" s="19">
        <v>31</v>
      </c>
      <c r="V980" s="19">
        <f t="shared" si="781"/>
        <v>1</v>
      </c>
      <c r="W980" s="37">
        <v>0</v>
      </c>
      <c r="X980" s="48" t="str">
        <f t="shared" si="782"/>
        <v>NICI</v>
      </c>
      <c r="Y980" s="51">
        <f t="shared" si="783"/>
        <v>750</v>
      </c>
      <c r="Z980" s="19">
        <f t="shared" si="784"/>
        <v>750</v>
      </c>
      <c r="AA980" s="20">
        <f t="shared" si="785"/>
        <v>0.11194029850746269</v>
      </c>
      <c r="AB980" s="11"/>
      <c r="AD980" s="18"/>
      <c r="AE980" s="19">
        <v>2988</v>
      </c>
      <c r="AF980" s="50">
        <f t="shared" si="786"/>
        <v>24</v>
      </c>
      <c r="AG980" s="19">
        <v>43</v>
      </c>
      <c r="AH980" s="19">
        <f t="shared" si="787"/>
        <v>0</v>
      </c>
      <c r="AI980" s="19">
        <v>12</v>
      </c>
      <c r="AJ980" s="19">
        <f t="shared" si="788"/>
        <v>0</v>
      </c>
      <c r="AK980" s="37">
        <v>188</v>
      </c>
      <c r="AL980" s="48" t="str">
        <f t="shared" si="792"/>
        <v>じゃがりこイヤホン</v>
      </c>
      <c r="AM980" s="51">
        <f t="shared" si="793"/>
        <v>1100</v>
      </c>
      <c r="AN980" s="19">
        <f t="shared" si="789"/>
        <v>0</v>
      </c>
      <c r="AO980" s="20">
        <f t="shared" si="790"/>
        <v>0</v>
      </c>
      <c r="AP980" s="11" t="s">
        <v>64</v>
      </c>
    </row>
    <row r="981" spans="1:42" ht="15" customHeight="1" thickTop="1">
      <c r="A981" s="12"/>
      <c r="B981" s="8"/>
      <c r="C981" s="13"/>
      <c r="D981" s="9" t="str">
        <f>IF(C981="","",C981-C978)</f>
        <v/>
      </c>
      <c r="E981" s="9"/>
      <c r="F981" s="9" t="str">
        <f>IF(E981="","",E981-E978)</f>
        <v/>
      </c>
      <c r="G981" s="9"/>
      <c r="H981" s="9" t="str">
        <f>IF(G981="","",G978+I978-G981)</f>
        <v/>
      </c>
      <c r="I981" s="9"/>
      <c r="J981" s="44"/>
      <c r="K981" s="44" t="str">
        <f>IF(C981="","",K978)</f>
        <v/>
      </c>
      <c r="L981" s="9" t="str">
        <f t="shared" si="794"/>
        <v/>
      </c>
      <c r="M981" s="10" t="str">
        <f t="shared" si="795"/>
        <v/>
      </c>
      <c r="N981" s="11"/>
      <c r="O981" s="2"/>
      <c r="P981" s="65">
        <f>IF($A969="","",$A969)</f>
        <v>45775</v>
      </c>
      <c r="Q981" s="44">
        <v>3160</v>
      </c>
      <c r="R981" s="44">
        <f t="shared" si="779"/>
        <v>72</v>
      </c>
      <c r="S981" s="44">
        <v>62</v>
      </c>
      <c r="T981" s="23">
        <f t="shared" si="780"/>
        <v>3</v>
      </c>
      <c r="U981" s="44">
        <v>6</v>
      </c>
      <c r="V981" s="44">
        <f t="shared" si="781"/>
        <v>4</v>
      </c>
      <c r="W981" s="66">
        <v>5</v>
      </c>
      <c r="X981" s="61" t="str">
        <f t="shared" si="782"/>
        <v>猫アイシャドウ</v>
      </c>
      <c r="Y981" s="62">
        <f t="shared" si="783"/>
        <v>1034</v>
      </c>
      <c r="Z981" s="23">
        <f t="shared" si="784"/>
        <v>4136</v>
      </c>
      <c r="AA981" s="24">
        <f t="shared" si="785"/>
        <v>0.57444444444444442</v>
      </c>
      <c r="AB981" s="11"/>
      <c r="AD981" s="65">
        <f>IF($A969="","",$A969)</f>
        <v>45775</v>
      </c>
      <c r="AE981" s="44">
        <v>2902</v>
      </c>
      <c r="AF981" s="44">
        <f t="shared" si="786"/>
        <v>64</v>
      </c>
      <c r="AG981" s="44">
        <v>86</v>
      </c>
      <c r="AH981" s="23">
        <f t="shared" si="787"/>
        <v>3</v>
      </c>
      <c r="AI981" s="44">
        <v>11</v>
      </c>
      <c r="AJ981" s="44">
        <f t="shared" si="788"/>
        <v>3</v>
      </c>
      <c r="AK981" s="66">
        <v>0</v>
      </c>
      <c r="AL981" s="61" t="str">
        <f t="shared" si="792"/>
        <v>ミニカメラ</v>
      </c>
      <c r="AM981" s="62">
        <f t="shared" si="793"/>
        <v>710</v>
      </c>
      <c r="AN981" s="23">
        <f t="shared" si="789"/>
        <v>2130</v>
      </c>
      <c r="AO981" s="24">
        <f t="shared" si="790"/>
        <v>0.33281250000000001</v>
      </c>
      <c r="AP981" s="11"/>
    </row>
    <row r="982" spans="1:42">
      <c r="A982" s="12"/>
      <c r="B982" s="8"/>
      <c r="C982" s="13"/>
      <c r="D982" s="9" t="str">
        <f>IF(C982="","",C982-C980)</f>
        <v/>
      </c>
      <c r="E982" s="9"/>
      <c r="F982" s="9" t="str">
        <f>IF(E982="","",E982-E980)</f>
        <v/>
      </c>
      <c r="G982" s="9"/>
      <c r="H982" s="9" t="str">
        <f>IF(G982="","",G980+I980-G982)</f>
        <v/>
      </c>
      <c r="I982" s="9"/>
      <c r="J982" s="44"/>
      <c r="K982" s="44" t="str">
        <f>IF(C982="","",K980)</f>
        <v/>
      </c>
      <c r="L982" s="9" t="str">
        <f t="shared" si="794"/>
        <v/>
      </c>
      <c r="M982" s="10" t="str">
        <f t="shared" si="795"/>
        <v/>
      </c>
      <c r="N982" s="11"/>
      <c r="O982" s="2"/>
      <c r="P982" s="65"/>
      <c r="Q982" s="9">
        <v>3855</v>
      </c>
      <c r="R982" s="9">
        <f t="shared" si="779"/>
        <v>66</v>
      </c>
      <c r="S982" s="9">
        <v>100</v>
      </c>
      <c r="T982" s="9">
        <f t="shared" si="780"/>
        <v>0</v>
      </c>
      <c r="U982" s="9">
        <v>14</v>
      </c>
      <c r="V982" s="9">
        <f t="shared" si="781"/>
        <v>0</v>
      </c>
      <c r="W982" s="13">
        <v>0</v>
      </c>
      <c r="X982" s="47" t="s">
        <v>49</v>
      </c>
      <c r="Y982" s="45">
        <v>1100</v>
      </c>
      <c r="Z982" s="9">
        <f t="shared" si="784"/>
        <v>0</v>
      </c>
      <c r="AA982" s="10">
        <f t="shared" si="785"/>
        <v>0</v>
      </c>
      <c r="AB982" s="11"/>
      <c r="AD982" s="65"/>
      <c r="AE982" s="9">
        <v>3877</v>
      </c>
      <c r="AF982" s="9">
        <f t="shared" si="786"/>
        <v>94</v>
      </c>
      <c r="AG982" s="9">
        <v>72</v>
      </c>
      <c r="AH982" s="9">
        <f t="shared" si="787"/>
        <v>2</v>
      </c>
      <c r="AI982" s="9">
        <v>2</v>
      </c>
      <c r="AJ982" s="9">
        <f t="shared" si="788"/>
        <v>2</v>
      </c>
      <c r="AK982" s="13">
        <v>12</v>
      </c>
      <c r="AL982" s="47" t="str">
        <f t="shared" si="792"/>
        <v>ジャグラーボタン</v>
      </c>
      <c r="AM982" s="45">
        <f t="shared" si="793"/>
        <v>748</v>
      </c>
      <c r="AN982" s="9">
        <f t="shared" si="789"/>
        <v>1496</v>
      </c>
      <c r="AO982" s="10">
        <f t="shared" si="790"/>
        <v>0.15914893617021278</v>
      </c>
      <c r="AP982" s="11"/>
    </row>
    <row r="983" spans="1:42" ht="15" customHeight="1">
      <c r="A983" s="12"/>
      <c r="B983" s="8"/>
      <c r="C983" s="13"/>
      <c r="D983" s="9" t="str">
        <f t="shared" ref="D983:D988" si="796">IF(C983="","",C983-C982)</f>
        <v/>
      </c>
      <c r="E983" s="9"/>
      <c r="F983" s="9" t="str">
        <f t="shared" ref="F983:F988" si="797">IF(E983="","",E983-E982)</f>
        <v/>
      </c>
      <c r="G983" s="9"/>
      <c r="H983" s="9" t="str">
        <f t="shared" ref="H983:H988" si="798">IF(G983="","",G982+I982-G983)</f>
        <v/>
      </c>
      <c r="I983" s="9"/>
      <c r="J983" s="44"/>
      <c r="K983" s="44" t="str">
        <f t="shared" ref="K983:K988" si="799">IF(C983="","",K982)</f>
        <v/>
      </c>
      <c r="L983" s="9" t="str">
        <f t="shared" si="794"/>
        <v/>
      </c>
      <c r="M983" s="10" t="str">
        <f t="shared" si="795"/>
        <v/>
      </c>
      <c r="N983" s="11"/>
      <c r="O983" s="2"/>
      <c r="P983" s="65"/>
      <c r="Q983" s="26">
        <v>3350</v>
      </c>
      <c r="R983" s="9">
        <f t="shared" si="779"/>
        <v>138</v>
      </c>
      <c r="S983" s="26">
        <v>210</v>
      </c>
      <c r="T983" s="9">
        <f t="shared" si="780"/>
        <v>7</v>
      </c>
      <c r="U983" s="26">
        <v>8</v>
      </c>
      <c r="V983" s="9">
        <f t="shared" si="781"/>
        <v>5</v>
      </c>
      <c r="W983" s="38">
        <v>4</v>
      </c>
      <c r="X983" s="47" t="s">
        <v>65</v>
      </c>
      <c r="Y983" s="9">
        <v>726</v>
      </c>
      <c r="Z983" s="9">
        <f t="shared" si="784"/>
        <v>3630</v>
      </c>
      <c r="AA983" s="10">
        <f t="shared" si="785"/>
        <v>0.26304347826086955</v>
      </c>
      <c r="AB983" s="11"/>
      <c r="AD983" s="65"/>
      <c r="AE983" s="26">
        <v>3082</v>
      </c>
      <c r="AF983" s="9">
        <f t="shared" si="786"/>
        <v>186</v>
      </c>
      <c r="AG983" s="26">
        <v>111</v>
      </c>
      <c r="AH983" s="9">
        <f t="shared" si="787"/>
        <v>6</v>
      </c>
      <c r="AI983" s="26">
        <v>60</v>
      </c>
      <c r="AJ983" s="9">
        <f t="shared" si="788"/>
        <v>9</v>
      </c>
      <c r="AK983" s="38">
        <v>0</v>
      </c>
      <c r="AL983" s="47" t="str">
        <f t="shared" si="792"/>
        <v>SPGラバー</v>
      </c>
      <c r="AM983" s="9">
        <f t="shared" si="793"/>
        <v>187</v>
      </c>
      <c r="AN983" s="9">
        <f t="shared" si="789"/>
        <v>1683</v>
      </c>
      <c r="AO983" s="10">
        <f t="shared" si="790"/>
        <v>9.0483870967741936E-2</v>
      </c>
      <c r="AP983" s="11"/>
    </row>
    <row r="984" spans="1:42" ht="15" customHeight="1" thickBot="1">
      <c r="A984" s="12"/>
      <c r="B984" s="8"/>
      <c r="C984" s="13"/>
      <c r="D984" s="9" t="str">
        <f t="shared" si="796"/>
        <v/>
      </c>
      <c r="E984" s="9"/>
      <c r="F984" s="9" t="str">
        <f t="shared" si="797"/>
        <v/>
      </c>
      <c r="G984" s="9"/>
      <c r="H984" s="9" t="str">
        <f t="shared" si="798"/>
        <v/>
      </c>
      <c r="I984" s="9"/>
      <c r="J984" s="44"/>
      <c r="K984" s="44" t="str">
        <f t="shared" si="799"/>
        <v/>
      </c>
      <c r="L984" s="9" t="str">
        <f t="shared" si="794"/>
        <v/>
      </c>
      <c r="M984" s="10" t="str">
        <f t="shared" si="795"/>
        <v/>
      </c>
      <c r="N984" s="11"/>
      <c r="O984" s="2"/>
      <c r="P984" s="18"/>
      <c r="Q984" s="19">
        <v>2733</v>
      </c>
      <c r="R984" s="19">
        <f t="shared" si="779"/>
        <v>68</v>
      </c>
      <c r="S984" s="19">
        <v>120</v>
      </c>
      <c r="T984" s="19">
        <f t="shared" si="780"/>
        <v>2</v>
      </c>
      <c r="U984" s="19">
        <v>29</v>
      </c>
      <c r="V984" s="19">
        <f t="shared" si="781"/>
        <v>2</v>
      </c>
      <c r="W984" s="37">
        <v>0</v>
      </c>
      <c r="X984" s="48" t="str">
        <f t="shared" si="782"/>
        <v>NICI</v>
      </c>
      <c r="Y984" s="51">
        <f t="shared" si="783"/>
        <v>750</v>
      </c>
      <c r="Z984" s="19">
        <f t="shared" si="784"/>
        <v>1500</v>
      </c>
      <c r="AA984" s="20">
        <f t="shared" si="785"/>
        <v>0.22058823529411764</v>
      </c>
      <c r="AB984" s="11"/>
      <c r="AD984" s="18"/>
      <c r="AE984" s="19">
        <v>3063</v>
      </c>
      <c r="AF984" s="19">
        <f t="shared" si="786"/>
        <v>75</v>
      </c>
      <c r="AG984" s="19">
        <v>55</v>
      </c>
      <c r="AH984" s="19">
        <f t="shared" si="787"/>
        <v>12</v>
      </c>
      <c r="AI984" s="19">
        <v>180</v>
      </c>
      <c r="AJ984" s="19">
        <f t="shared" si="788"/>
        <v>20</v>
      </c>
      <c r="AK984" s="37">
        <v>60</v>
      </c>
      <c r="AL984" s="48" t="s">
        <v>66</v>
      </c>
      <c r="AM984" s="51">
        <v>31</v>
      </c>
      <c r="AN984" s="19">
        <f t="shared" si="789"/>
        <v>620</v>
      </c>
      <c r="AO984" s="20">
        <f t="shared" si="790"/>
        <v>8.2666666666666666E-2</v>
      </c>
      <c r="AP984" s="11"/>
    </row>
    <row r="985" spans="1:42" ht="15" customHeight="1" thickTop="1">
      <c r="A985" s="12"/>
      <c r="B985" s="8"/>
      <c r="C985" s="13"/>
      <c r="D985" s="9" t="str">
        <f t="shared" si="796"/>
        <v/>
      </c>
      <c r="E985" s="9"/>
      <c r="F985" s="9" t="str">
        <f t="shared" si="797"/>
        <v/>
      </c>
      <c r="G985" s="9"/>
      <c r="H985" s="9" t="str">
        <f t="shared" si="798"/>
        <v/>
      </c>
      <c r="I985" s="9"/>
      <c r="J985" s="44"/>
      <c r="K985" s="44" t="str">
        <f t="shared" si="799"/>
        <v/>
      </c>
      <c r="L985" s="9" t="str">
        <f t="shared" si="794"/>
        <v/>
      </c>
      <c r="M985" s="10" t="str">
        <f t="shared" si="795"/>
        <v/>
      </c>
      <c r="N985" s="11"/>
      <c r="O985" s="2"/>
      <c r="P985" s="65">
        <f>IF($A970="","",$A970)</f>
        <v>45778</v>
      </c>
      <c r="Q985" s="44">
        <v>3249</v>
      </c>
      <c r="R985" s="44">
        <f t="shared" si="779"/>
        <v>89</v>
      </c>
      <c r="S985" s="44">
        <v>67</v>
      </c>
      <c r="T985" s="23">
        <f t="shared" si="780"/>
        <v>5</v>
      </c>
      <c r="U985" s="44">
        <v>7</v>
      </c>
      <c r="V985" s="44">
        <f t="shared" si="781"/>
        <v>4</v>
      </c>
      <c r="W985" s="66">
        <v>0</v>
      </c>
      <c r="X985" s="61" t="str">
        <f t="shared" si="782"/>
        <v>猫アイシャドウ</v>
      </c>
      <c r="Y985" s="62">
        <f t="shared" si="783"/>
        <v>1034</v>
      </c>
      <c r="Z985" s="23">
        <f t="shared" si="784"/>
        <v>4136</v>
      </c>
      <c r="AA985" s="24">
        <f t="shared" si="785"/>
        <v>0.46471910112359549</v>
      </c>
      <c r="AB985" s="11"/>
      <c r="AD985" s="65">
        <f>IF($A970="","",$A970)</f>
        <v>45778</v>
      </c>
      <c r="AE985" s="44">
        <v>3013</v>
      </c>
      <c r="AF985" s="44">
        <f t="shared" si="786"/>
        <v>111</v>
      </c>
      <c r="AG985" s="44">
        <v>88</v>
      </c>
      <c r="AH985" s="23">
        <f t="shared" si="787"/>
        <v>2</v>
      </c>
      <c r="AI985" s="44">
        <v>9</v>
      </c>
      <c r="AJ985" s="44">
        <f t="shared" si="788"/>
        <v>2</v>
      </c>
      <c r="AK985" s="66">
        <v>4</v>
      </c>
      <c r="AL985" s="61" t="str">
        <f t="shared" si="792"/>
        <v>ミニカメラ</v>
      </c>
      <c r="AM985" s="62">
        <f t="shared" si="793"/>
        <v>710</v>
      </c>
      <c r="AN985" s="23">
        <f t="shared" si="789"/>
        <v>1420</v>
      </c>
      <c r="AO985" s="24">
        <f t="shared" si="790"/>
        <v>0.12792792792792793</v>
      </c>
      <c r="AP985" s="11"/>
    </row>
    <row r="986" spans="1:42" ht="15" customHeight="1">
      <c r="A986" s="12"/>
      <c r="B986" s="8"/>
      <c r="C986" s="13"/>
      <c r="D986" s="9" t="str">
        <f t="shared" si="796"/>
        <v/>
      </c>
      <c r="E986" s="9"/>
      <c r="F986" s="9" t="str">
        <f t="shared" si="797"/>
        <v/>
      </c>
      <c r="G986" s="9"/>
      <c r="H986" s="9" t="str">
        <f t="shared" si="798"/>
        <v/>
      </c>
      <c r="I986" s="9"/>
      <c r="J986" s="44"/>
      <c r="K986" s="44" t="str">
        <f t="shared" si="799"/>
        <v/>
      </c>
      <c r="L986" s="9" t="str">
        <f t="shared" si="794"/>
        <v/>
      </c>
      <c r="M986" s="10" t="str">
        <f t="shared" si="795"/>
        <v/>
      </c>
      <c r="N986" s="11"/>
      <c r="O986" s="2"/>
      <c r="P986" s="12"/>
      <c r="Q986" s="9">
        <v>3925</v>
      </c>
      <c r="R986" s="9">
        <f t="shared" si="779"/>
        <v>70</v>
      </c>
      <c r="S986" s="9">
        <v>101</v>
      </c>
      <c r="T986" s="9">
        <f t="shared" si="780"/>
        <v>1</v>
      </c>
      <c r="U986" s="9">
        <v>13</v>
      </c>
      <c r="V986" s="9">
        <f t="shared" si="781"/>
        <v>1</v>
      </c>
      <c r="W986" s="13">
        <v>0</v>
      </c>
      <c r="X986" s="47" t="str">
        <f t="shared" si="782"/>
        <v>じゃがりこイヤホン</v>
      </c>
      <c r="Y986" s="45">
        <f t="shared" si="783"/>
        <v>1100</v>
      </c>
      <c r="Z986" s="9">
        <f t="shared" si="784"/>
        <v>1100</v>
      </c>
      <c r="AA986" s="10">
        <f t="shared" si="785"/>
        <v>0.15714285714285714</v>
      </c>
      <c r="AB986" s="11"/>
      <c r="AD986" s="12"/>
      <c r="AE986" s="9">
        <v>3942</v>
      </c>
      <c r="AF986" s="9">
        <f t="shared" si="786"/>
        <v>65</v>
      </c>
      <c r="AG986" s="9">
        <v>73</v>
      </c>
      <c r="AH986" s="9">
        <f t="shared" si="787"/>
        <v>1</v>
      </c>
      <c r="AI986" s="9">
        <v>13</v>
      </c>
      <c r="AJ986" s="9">
        <f t="shared" si="788"/>
        <v>1</v>
      </c>
      <c r="AK986" s="13">
        <v>0</v>
      </c>
      <c r="AL986" s="47" t="str">
        <f t="shared" si="792"/>
        <v>ジャグラーボタン</v>
      </c>
      <c r="AM986" s="45">
        <f t="shared" si="793"/>
        <v>748</v>
      </c>
      <c r="AN986" s="9">
        <f t="shared" si="789"/>
        <v>748</v>
      </c>
      <c r="AO986" s="10">
        <f t="shared" si="790"/>
        <v>0.11507692307692308</v>
      </c>
      <c r="AP986" s="11"/>
    </row>
    <row r="987" spans="1:42" ht="15" customHeight="1">
      <c r="A987" s="12"/>
      <c r="B987" s="8"/>
      <c r="C987" s="9"/>
      <c r="D987" s="9" t="str">
        <f t="shared" si="796"/>
        <v/>
      </c>
      <c r="E987" s="9"/>
      <c r="F987" s="9" t="str">
        <f t="shared" si="797"/>
        <v/>
      </c>
      <c r="G987" s="9"/>
      <c r="H987" s="9" t="str">
        <f t="shared" si="798"/>
        <v/>
      </c>
      <c r="I987" s="9"/>
      <c r="J987" s="44"/>
      <c r="K987" s="44" t="str">
        <f t="shared" si="799"/>
        <v/>
      </c>
      <c r="L987" s="9" t="str">
        <f t="shared" si="794"/>
        <v/>
      </c>
      <c r="M987" s="10" t="str">
        <f t="shared" si="795"/>
        <v/>
      </c>
      <c r="N987" s="11"/>
      <c r="O987" s="2"/>
      <c r="P987" s="12"/>
      <c r="Q987" s="26">
        <v>3476</v>
      </c>
      <c r="R987" s="9">
        <f t="shared" si="779"/>
        <v>126</v>
      </c>
      <c r="S987" s="26">
        <v>213</v>
      </c>
      <c r="T987" s="9">
        <f t="shared" si="780"/>
        <v>3</v>
      </c>
      <c r="U987" s="9">
        <v>8</v>
      </c>
      <c r="V987" s="9">
        <f t="shared" si="781"/>
        <v>4</v>
      </c>
      <c r="W987" s="13">
        <v>6</v>
      </c>
      <c r="X987" s="47" t="str">
        <f t="shared" si="782"/>
        <v>ギャルキティキーケース</v>
      </c>
      <c r="Y987" s="9">
        <f t="shared" si="783"/>
        <v>726</v>
      </c>
      <c r="Z987" s="9">
        <f t="shared" si="784"/>
        <v>2904</v>
      </c>
      <c r="AA987" s="10">
        <f t="shared" si="785"/>
        <v>0.23047619047619047</v>
      </c>
      <c r="AB987" s="11"/>
      <c r="AD987" s="12"/>
      <c r="AE987" s="26">
        <v>3217</v>
      </c>
      <c r="AF987" s="9">
        <f t="shared" si="786"/>
        <v>135</v>
      </c>
      <c r="AG987" s="26">
        <v>114</v>
      </c>
      <c r="AH987" s="9">
        <f t="shared" si="787"/>
        <v>3</v>
      </c>
      <c r="AI987" s="9">
        <v>55</v>
      </c>
      <c r="AJ987" s="9">
        <f t="shared" si="788"/>
        <v>5</v>
      </c>
      <c r="AK987" s="13">
        <v>0</v>
      </c>
      <c r="AL987" s="47" t="str">
        <f t="shared" si="792"/>
        <v>SPGラバー</v>
      </c>
      <c r="AM987" s="9">
        <f t="shared" si="793"/>
        <v>187</v>
      </c>
      <c r="AN987" s="9">
        <f t="shared" si="789"/>
        <v>935</v>
      </c>
      <c r="AO987" s="10">
        <f t="shared" si="790"/>
        <v>6.9259259259259257E-2</v>
      </c>
      <c r="AP987" s="11"/>
    </row>
    <row r="988" spans="1:42" ht="15" customHeight="1" thickBot="1">
      <c r="A988" s="12"/>
      <c r="B988" s="8"/>
      <c r="C988" s="9"/>
      <c r="D988" s="9" t="str">
        <f t="shared" si="796"/>
        <v/>
      </c>
      <c r="E988" s="9"/>
      <c r="F988" s="9" t="str">
        <f t="shared" si="797"/>
        <v/>
      </c>
      <c r="G988" s="9"/>
      <c r="H988" s="9" t="str">
        <f t="shared" si="798"/>
        <v/>
      </c>
      <c r="I988" s="9"/>
      <c r="J988" s="44"/>
      <c r="K988" s="44" t="str">
        <f t="shared" si="799"/>
        <v/>
      </c>
      <c r="L988" s="9" t="str">
        <f t="shared" si="794"/>
        <v/>
      </c>
      <c r="M988" s="10" t="str">
        <f t="shared" si="795"/>
        <v/>
      </c>
      <c r="N988" s="11"/>
      <c r="O988" s="2"/>
      <c r="P988" s="18"/>
      <c r="Q988" s="19">
        <v>2831</v>
      </c>
      <c r="R988" s="19">
        <f t="shared" si="779"/>
        <v>98</v>
      </c>
      <c r="S988" s="19">
        <v>132</v>
      </c>
      <c r="T988" s="19">
        <f t="shared" si="780"/>
        <v>12</v>
      </c>
      <c r="U988" s="19">
        <v>15</v>
      </c>
      <c r="V988" s="19">
        <f t="shared" si="781"/>
        <v>14</v>
      </c>
      <c r="W988" s="37">
        <v>0</v>
      </c>
      <c r="X988" s="48" t="str">
        <f t="shared" si="782"/>
        <v>NICI</v>
      </c>
      <c r="Y988" s="51">
        <f t="shared" si="783"/>
        <v>750</v>
      </c>
      <c r="Z988" s="19">
        <f t="shared" si="784"/>
        <v>10500</v>
      </c>
      <c r="AA988" s="20">
        <f t="shared" si="785"/>
        <v>1.0714285714285714</v>
      </c>
      <c r="AB988" s="11"/>
      <c r="AD988" s="18"/>
      <c r="AE988" s="19">
        <v>3096</v>
      </c>
      <c r="AF988" s="82">
        <f t="shared" si="786"/>
        <v>33</v>
      </c>
      <c r="AG988" s="19">
        <v>62</v>
      </c>
      <c r="AH988" s="19">
        <f t="shared" si="787"/>
        <v>7</v>
      </c>
      <c r="AI988" s="19">
        <v>220</v>
      </c>
      <c r="AJ988" s="19">
        <f t="shared" si="788"/>
        <v>20</v>
      </c>
      <c r="AK988" s="37">
        <v>0</v>
      </c>
      <c r="AL988" s="48" t="str">
        <f t="shared" si="792"/>
        <v>スプランキージビッツ</v>
      </c>
      <c r="AM988" s="51">
        <f t="shared" si="793"/>
        <v>31</v>
      </c>
      <c r="AN988" s="19">
        <f t="shared" si="789"/>
        <v>620</v>
      </c>
      <c r="AO988" s="20">
        <f t="shared" si="790"/>
        <v>0.18787878787878787</v>
      </c>
      <c r="AP988" s="11"/>
    </row>
    <row r="989" spans="1:42" ht="15" customHeight="1" thickTop="1">
      <c r="A989" s="12"/>
      <c r="B989" s="8"/>
      <c r="C989" s="9"/>
      <c r="D989" s="9" t="str">
        <f>IF(C989="","",C989-C990)</f>
        <v/>
      </c>
      <c r="E989" s="9"/>
      <c r="F989" s="9" t="str">
        <f>IF(E989="","",E989-E990)</f>
        <v/>
      </c>
      <c r="G989" s="9"/>
      <c r="H989" s="9" t="str">
        <f>IF(G989="","",G990+I990-G989)</f>
        <v/>
      </c>
      <c r="I989" s="9"/>
      <c r="J989" s="44"/>
      <c r="K989" s="44" t="str">
        <f>IF(C989="","",K990)</f>
        <v/>
      </c>
      <c r="L989" s="9" t="str">
        <f t="shared" si="794"/>
        <v/>
      </c>
      <c r="M989" s="10" t="str">
        <f t="shared" si="795"/>
        <v/>
      </c>
      <c r="N989" s="11"/>
      <c r="O989" s="2"/>
      <c r="P989" s="65">
        <f>IF($A971="","",$A971)</f>
        <v>45781</v>
      </c>
      <c r="Q989" s="9">
        <v>3333</v>
      </c>
      <c r="R989" s="44">
        <f t="shared" si="779"/>
        <v>84</v>
      </c>
      <c r="S989" s="9">
        <v>72</v>
      </c>
      <c r="T989" s="23">
        <f t="shared" si="780"/>
        <v>5</v>
      </c>
      <c r="U989" s="9">
        <v>2</v>
      </c>
      <c r="V989" s="44">
        <f t="shared" si="781"/>
        <v>5</v>
      </c>
      <c r="W989" s="13">
        <v>14</v>
      </c>
      <c r="X989" s="61" t="str">
        <f t="shared" si="782"/>
        <v>猫アイシャドウ</v>
      </c>
      <c r="Y989" s="62">
        <f t="shared" si="783"/>
        <v>1034</v>
      </c>
      <c r="Z989" s="23">
        <f t="shared" si="784"/>
        <v>5170</v>
      </c>
      <c r="AA989" s="24">
        <f t="shared" si="785"/>
        <v>0.61547619047619051</v>
      </c>
      <c r="AB989" s="11"/>
      <c r="AD989" s="65">
        <f>IF($A971="","",$A971)</f>
        <v>45781</v>
      </c>
      <c r="AE989" s="9">
        <v>3115</v>
      </c>
      <c r="AF989" s="44">
        <f t="shared" si="786"/>
        <v>102</v>
      </c>
      <c r="AG989" s="9">
        <v>89</v>
      </c>
      <c r="AH989" s="23">
        <f t="shared" si="787"/>
        <v>1</v>
      </c>
      <c r="AI989" s="9">
        <v>12</v>
      </c>
      <c r="AJ989" s="44">
        <f t="shared" si="788"/>
        <v>1</v>
      </c>
      <c r="AK989" s="13">
        <v>0</v>
      </c>
      <c r="AL989" s="61" t="str">
        <f t="shared" si="792"/>
        <v>ミニカメラ</v>
      </c>
      <c r="AM989" s="62">
        <f t="shared" si="793"/>
        <v>710</v>
      </c>
      <c r="AN989" s="23">
        <f t="shared" si="789"/>
        <v>710</v>
      </c>
      <c r="AO989" s="24">
        <f t="shared" si="790"/>
        <v>6.9607843137254904E-2</v>
      </c>
      <c r="AP989" s="11"/>
    </row>
    <row r="990" spans="1:42" ht="15" customHeight="1">
      <c r="A990" s="12"/>
      <c r="B990" s="8"/>
      <c r="C990" s="9"/>
      <c r="D990" s="9" t="str">
        <f>IF(C990="","",C990-C988)</f>
        <v/>
      </c>
      <c r="E990" s="9"/>
      <c r="F990" s="9" t="str">
        <f>IF(E990="","",E990-E988)</f>
        <v/>
      </c>
      <c r="G990" s="9"/>
      <c r="H990" s="9" t="str">
        <f>IF(G990="","",G988+I988-G990)</f>
        <v/>
      </c>
      <c r="I990" s="9"/>
      <c r="J990" s="44"/>
      <c r="K990" s="44" t="str">
        <f>IF(C990="","",K988)</f>
        <v/>
      </c>
      <c r="L990" s="9" t="str">
        <f t="shared" si="794"/>
        <v/>
      </c>
      <c r="M990" s="10" t="str">
        <f t="shared" si="795"/>
        <v/>
      </c>
      <c r="N990" s="11"/>
      <c r="O990" s="2"/>
      <c r="P990" s="65"/>
      <c r="Q990" s="44">
        <v>4008</v>
      </c>
      <c r="R990" s="9">
        <f t="shared" si="779"/>
        <v>83</v>
      </c>
      <c r="S990" s="44">
        <v>103</v>
      </c>
      <c r="T990" s="9">
        <f t="shared" si="780"/>
        <v>2</v>
      </c>
      <c r="U990" s="9">
        <v>11</v>
      </c>
      <c r="V990" s="9">
        <f t="shared" si="781"/>
        <v>2</v>
      </c>
      <c r="W990" s="13">
        <v>0</v>
      </c>
      <c r="X990" s="47" t="str">
        <f t="shared" si="782"/>
        <v>じゃがりこイヤホン</v>
      </c>
      <c r="Y990" s="45">
        <f t="shared" si="783"/>
        <v>1100</v>
      </c>
      <c r="Z990" s="9">
        <f t="shared" si="784"/>
        <v>2200</v>
      </c>
      <c r="AA990" s="10">
        <f t="shared" si="785"/>
        <v>0.26506024096385544</v>
      </c>
      <c r="AB990" s="11"/>
      <c r="AD990" s="65"/>
      <c r="AE990" s="44">
        <v>4017</v>
      </c>
      <c r="AF990" s="9">
        <f t="shared" si="786"/>
        <v>75</v>
      </c>
      <c r="AG990" s="44">
        <v>75</v>
      </c>
      <c r="AH990" s="9">
        <f t="shared" si="787"/>
        <v>2</v>
      </c>
      <c r="AI990" s="9">
        <v>11</v>
      </c>
      <c r="AJ990" s="9">
        <f t="shared" si="788"/>
        <v>2</v>
      </c>
      <c r="AK990" s="13">
        <v>3</v>
      </c>
      <c r="AL990" s="47" t="str">
        <f t="shared" si="792"/>
        <v>ジャグラーボタン</v>
      </c>
      <c r="AM990" s="45">
        <f t="shared" si="793"/>
        <v>748</v>
      </c>
      <c r="AN990" s="9">
        <f t="shared" si="789"/>
        <v>1496</v>
      </c>
      <c r="AO990" s="10">
        <f t="shared" si="790"/>
        <v>0.19946666666666665</v>
      </c>
      <c r="AP990" s="11"/>
    </row>
    <row r="991" spans="1:42" ht="15" customHeight="1">
      <c r="A991" s="12"/>
      <c r="B991" s="8"/>
      <c r="C991" s="9"/>
      <c r="D991" s="9" t="str">
        <f>IF(C991="","",C991-C989)</f>
        <v/>
      </c>
      <c r="E991" s="9"/>
      <c r="F991" s="9" t="str">
        <f>IF(E991="","",E991-E989)</f>
        <v/>
      </c>
      <c r="G991" s="9"/>
      <c r="H991" s="9" t="str">
        <f>IF(G991="","",G989+I989-G991)</f>
        <v/>
      </c>
      <c r="I991" s="9"/>
      <c r="J991" s="44"/>
      <c r="K991" s="44" t="str">
        <f>IF(C991="","",K989)</f>
        <v/>
      </c>
      <c r="L991" s="9" t="str">
        <f t="shared" si="794"/>
        <v/>
      </c>
      <c r="M991" s="10" t="str">
        <f t="shared" si="795"/>
        <v/>
      </c>
      <c r="N991" s="11"/>
      <c r="O991" s="2"/>
      <c r="P991" s="12"/>
      <c r="Q991" s="9">
        <v>3698</v>
      </c>
      <c r="R991" s="9">
        <f t="shared" si="779"/>
        <v>222</v>
      </c>
      <c r="S991" s="9">
        <v>218</v>
      </c>
      <c r="T991" s="9">
        <f t="shared" si="780"/>
        <v>5</v>
      </c>
      <c r="U991" s="9">
        <v>9</v>
      </c>
      <c r="V991" s="9">
        <f t="shared" si="781"/>
        <v>5</v>
      </c>
      <c r="W991" s="13">
        <v>6</v>
      </c>
      <c r="X991" s="47" t="str">
        <f t="shared" si="782"/>
        <v>ギャルキティキーケース</v>
      </c>
      <c r="Y991" s="9">
        <f t="shared" si="783"/>
        <v>726</v>
      </c>
      <c r="Z991" s="9">
        <f t="shared" si="784"/>
        <v>3630</v>
      </c>
      <c r="AA991" s="10">
        <f t="shared" si="785"/>
        <v>0.16351351351351351</v>
      </c>
      <c r="AB991" s="11"/>
      <c r="AD991" s="12"/>
      <c r="AE991" s="9">
        <v>3334</v>
      </c>
      <c r="AF991" s="9">
        <f t="shared" si="786"/>
        <v>117</v>
      </c>
      <c r="AG991" s="9">
        <v>115</v>
      </c>
      <c r="AH991" s="9">
        <f t="shared" si="787"/>
        <v>1</v>
      </c>
      <c r="AI991" s="9">
        <v>54</v>
      </c>
      <c r="AJ991" s="9">
        <f t="shared" si="788"/>
        <v>1</v>
      </c>
      <c r="AK991" s="13">
        <v>34</v>
      </c>
      <c r="AL991" s="47" t="str">
        <f t="shared" si="792"/>
        <v>SPGラバー</v>
      </c>
      <c r="AM991" s="9">
        <f t="shared" si="793"/>
        <v>187</v>
      </c>
      <c r="AN991" s="9">
        <f t="shared" si="789"/>
        <v>187</v>
      </c>
      <c r="AO991" s="10">
        <f t="shared" si="790"/>
        <v>1.5982905982905984E-2</v>
      </c>
      <c r="AP991" s="11"/>
    </row>
    <row r="992" spans="1:42" ht="15" customHeight="1" thickBot="1">
      <c r="A992" s="12"/>
      <c r="B992" s="8"/>
      <c r="C992" s="9"/>
      <c r="D992" s="9" t="str">
        <f t="shared" ref="D992:D1017" si="800">IF(C992="","",C992-C991)</f>
        <v/>
      </c>
      <c r="E992" s="9"/>
      <c r="F992" s="9" t="str">
        <f t="shared" ref="F992:F1018" si="801">IF(E992="","",E992-E991)</f>
        <v/>
      </c>
      <c r="G992" s="9"/>
      <c r="H992" s="9" t="str">
        <f t="shared" ref="H992:H1018" si="802">IF(G992="","",G991+I991-G992)</f>
        <v/>
      </c>
      <c r="I992" s="9"/>
      <c r="J992" s="44"/>
      <c r="K992" s="44" t="str">
        <f>IF(C992="","",K991)</f>
        <v/>
      </c>
      <c r="L992" s="9" t="str">
        <f t="shared" si="794"/>
        <v/>
      </c>
      <c r="M992" s="10" t="str">
        <f t="shared" si="795"/>
        <v/>
      </c>
      <c r="N992" s="11"/>
      <c r="O992" s="2"/>
      <c r="P992" s="18"/>
      <c r="Q992" s="19">
        <v>2860</v>
      </c>
      <c r="R992" s="19">
        <f t="shared" si="779"/>
        <v>29</v>
      </c>
      <c r="S992" s="19">
        <v>132</v>
      </c>
      <c r="T992" s="19">
        <f t="shared" si="780"/>
        <v>0</v>
      </c>
      <c r="U992" s="19">
        <v>15</v>
      </c>
      <c r="V992" s="19">
        <f t="shared" si="781"/>
        <v>0</v>
      </c>
      <c r="W992" s="37">
        <v>1</v>
      </c>
      <c r="X992" s="48" t="str">
        <f t="shared" si="782"/>
        <v>NICI</v>
      </c>
      <c r="Y992" s="51">
        <f t="shared" si="783"/>
        <v>750</v>
      </c>
      <c r="Z992" s="19">
        <f t="shared" si="784"/>
        <v>0</v>
      </c>
      <c r="AA992" s="20">
        <f t="shared" si="785"/>
        <v>0</v>
      </c>
      <c r="AB992" s="11" t="s">
        <v>67</v>
      </c>
      <c r="AD992" s="18"/>
      <c r="AE992" s="19">
        <v>3118</v>
      </c>
      <c r="AF992" s="19">
        <f t="shared" si="786"/>
        <v>22</v>
      </c>
      <c r="AG992" s="19">
        <v>65</v>
      </c>
      <c r="AH992" s="19">
        <f t="shared" si="787"/>
        <v>3</v>
      </c>
      <c r="AI992" s="19">
        <v>215</v>
      </c>
      <c r="AJ992" s="19">
        <f t="shared" si="788"/>
        <v>5</v>
      </c>
      <c r="AK992" s="37">
        <v>-165</v>
      </c>
      <c r="AL992" s="48" t="str">
        <f t="shared" si="792"/>
        <v>スプランキージビッツ</v>
      </c>
      <c r="AM992" s="51">
        <f t="shared" si="793"/>
        <v>31</v>
      </c>
      <c r="AN992" s="19">
        <f t="shared" si="789"/>
        <v>155</v>
      </c>
      <c r="AO992" s="20">
        <f t="shared" si="790"/>
        <v>7.045454545454545E-2</v>
      </c>
      <c r="AP992" s="11" t="s">
        <v>68</v>
      </c>
    </row>
    <row r="993" spans="1:42" ht="15" customHeight="1" thickTop="1">
      <c r="A993" s="12"/>
      <c r="B993" s="8"/>
      <c r="C993" s="9"/>
      <c r="D993" s="9" t="str">
        <f t="shared" si="800"/>
        <v/>
      </c>
      <c r="E993" s="9"/>
      <c r="F993" s="9" t="str">
        <f t="shared" si="801"/>
        <v/>
      </c>
      <c r="G993" s="9"/>
      <c r="H993" s="9" t="str">
        <f t="shared" si="802"/>
        <v/>
      </c>
      <c r="I993" s="9"/>
      <c r="J993" s="44"/>
      <c r="K993" s="44" t="str">
        <f>IF(C993="","",K992)</f>
        <v/>
      </c>
      <c r="L993" s="9" t="str">
        <f t="shared" si="794"/>
        <v/>
      </c>
      <c r="M993" s="10" t="str">
        <f t="shared" si="795"/>
        <v/>
      </c>
      <c r="N993" s="11"/>
      <c r="O993" s="2"/>
      <c r="P993" s="65">
        <f>IF($A972="","",$A972)</f>
        <v>45785</v>
      </c>
      <c r="Q993" s="9">
        <v>3406</v>
      </c>
      <c r="R993" s="44">
        <f t="shared" si="779"/>
        <v>73</v>
      </c>
      <c r="S993" s="9">
        <v>75</v>
      </c>
      <c r="T993" s="23">
        <f t="shared" si="780"/>
        <v>3</v>
      </c>
      <c r="U993" s="9">
        <v>14</v>
      </c>
      <c r="V993" s="44">
        <f t="shared" si="781"/>
        <v>2</v>
      </c>
      <c r="W993" s="66">
        <v>0</v>
      </c>
      <c r="X993" s="61" t="str">
        <f t="shared" si="782"/>
        <v>猫アイシャドウ</v>
      </c>
      <c r="Y993" s="62">
        <f t="shared" si="783"/>
        <v>1034</v>
      </c>
      <c r="Z993" s="23">
        <f t="shared" si="784"/>
        <v>2068</v>
      </c>
      <c r="AA993" s="24">
        <f t="shared" si="785"/>
        <v>0.28328767123287674</v>
      </c>
      <c r="AB993" s="11"/>
      <c r="AD993" s="65">
        <f>IF($A972="","",$A972)</f>
        <v>45785</v>
      </c>
      <c r="AE993" s="9">
        <v>3205</v>
      </c>
      <c r="AF993" s="44">
        <f t="shared" si="786"/>
        <v>90</v>
      </c>
      <c r="AG993" s="9">
        <v>90</v>
      </c>
      <c r="AH993" s="23">
        <f t="shared" si="787"/>
        <v>1</v>
      </c>
      <c r="AI993" s="9">
        <v>11</v>
      </c>
      <c r="AJ993" s="44">
        <f t="shared" si="788"/>
        <v>1</v>
      </c>
      <c r="AK993" s="13">
        <v>0</v>
      </c>
      <c r="AL993" s="61" t="str">
        <f t="shared" si="792"/>
        <v>ミニカメラ</v>
      </c>
      <c r="AM993" s="62">
        <f t="shared" si="793"/>
        <v>710</v>
      </c>
      <c r="AN993" s="23">
        <f t="shared" si="789"/>
        <v>710</v>
      </c>
      <c r="AO993" s="24">
        <f t="shared" si="790"/>
        <v>7.8888888888888883E-2</v>
      </c>
      <c r="AP993" s="11" t="s">
        <v>72</v>
      </c>
    </row>
    <row r="994" spans="1:42" ht="15" customHeight="1">
      <c r="A994" s="12"/>
      <c r="B994" s="8"/>
      <c r="C994" s="9"/>
      <c r="D994" s="9" t="str">
        <f t="shared" si="800"/>
        <v/>
      </c>
      <c r="E994" s="9"/>
      <c r="F994" s="9" t="str">
        <f t="shared" si="801"/>
        <v/>
      </c>
      <c r="G994" s="9"/>
      <c r="H994" s="9" t="str">
        <f t="shared" si="802"/>
        <v/>
      </c>
      <c r="I994" s="9"/>
      <c r="J994" s="44"/>
      <c r="K994" s="44" t="str">
        <f>IF(C994="","",K993)</f>
        <v/>
      </c>
      <c r="L994" s="9" t="str">
        <f t="shared" si="794"/>
        <v/>
      </c>
      <c r="M994" s="10" t="str">
        <f t="shared" si="795"/>
        <v/>
      </c>
      <c r="N994" s="11"/>
      <c r="O994" s="2"/>
      <c r="P994" s="12"/>
      <c r="Q994" s="44">
        <v>4077</v>
      </c>
      <c r="R994" s="9">
        <f t="shared" si="779"/>
        <v>69</v>
      </c>
      <c r="S994" s="44">
        <v>104</v>
      </c>
      <c r="T994" s="9">
        <f t="shared" si="780"/>
        <v>1</v>
      </c>
      <c r="U994" s="9">
        <v>10</v>
      </c>
      <c r="V994" s="9">
        <f t="shared" si="781"/>
        <v>1</v>
      </c>
      <c r="W994" s="13">
        <v>0</v>
      </c>
      <c r="X994" s="47" t="str">
        <f t="shared" si="782"/>
        <v>じゃがりこイヤホン</v>
      </c>
      <c r="Y994" s="45">
        <f t="shared" si="783"/>
        <v>1100</v>
      </c>
      <c r="Z994" s="9">
        <f t="shared" si="784"/>
        <v>1100</v>
      </c>
      <c r="AA994" s="10">
        <f t="shared" si="785"/>
        <v>0.15942028985507245</v>
      </c>
      <c r="AB994" s="11"/>
      <c r="AD994" s="12"/>
      <c r="AE994" s="44">
        <v>4186</v>
      </c>
      <c r="AF994" s="9">
        <f t="shared" si="786"/>
        <v>169</v>
      </c>
      <c r="AG994" s="44">
        <v>79</v>
      </c>
      <c r="AH994" s="9">
        <f t="shared" si="787"/>
        <v>4</v>
      </c>
      <c r="AI994" s="9">
        <v>10</v>
      </c>
      <c r="AJ994" s="9">
        <f t="shared" si="788"/>
        <v>4</v>
      </c>
      <c r="AK994" s="13">
        <v>1</v>
      </c>
      <c r="AL994" s="47" t="str">
        <f t="shared" si="792"/>
        <v>ジャグラーボタン</v>
      </c>
      <c r="AM994" s="45">
        <f t="shared" si="793"/>
        <v>748</v>
      </c>
      <c r="AN994" s="9">
        <f t="shared" si="789"/>
        <v>2992</v>
      </c>
      <c r="AO994" s="10">
        <f t="shared" si="790"/>
        <v>0.1770414201183432</v>
      </c>
      <c r="AP994" s="11"/>
    </row>
    <row r="995" spans="1:42" ht="15" customHeight="1">
      <c r="A995" s="12"/>
      <c r="B995" s="8"/>
      <c r="C995" s="9"/>
      <c r="D995" s="9" t="str">
        <f t="shared" si="800"/>
        <v/>
      </c>
      <c r="E995" s="9"/>
      <c r="F995" s="9" t="str">
        <f t="shared" si="801"/>
        <v/>
      </c>
      <c r="G995" s="9"/>
      <c r="H995" s="9" t="str">
        <f t="shared" si="802"/>
        <v/>
      </c>
      <c r="I995" s="9"/>
      <c r="J995" s="9"/>
      <c r="K995" s="9"/>
      <c r="L995" s="9" t="str">
        <f t="shared" si="794"/>
        <v/>
      </c>
      <c r="M995" s="10" t="str">
        <f t="shared" si="795"/>
        <v/>
      </c>
      <c r="N995" s="11"/>
      <c r="O995" s="2"/>
      <c r="P995" s="12"/>
      <c r="Q995" s="9">
        <v>3884</v>
      </c>
      <c r="R995" s="9">
        <f t="shared" si="779"/>
        <v>186</v>
      </c>
      <c r="S995" s="9">
        <v>222</v>
      </c>
      <c r="T995" s="9">
        <f t="shared" si="780"/>
        <v>4</v>
      </c>
      <c r="U995" s="9">
        <v>12</v>
      </c>
      <c r="V995" s="9">
        <f t="shared" si="781"/>
        <v>3</v>
      </c>
      <c r="W995" s="38">
        <v>8</v>
      </c>
      <c r="X995" s="47" t="str">
        <f t="shared" si="782"/>
        <v>ギャルキティキーケース</v>
      </c>
      <c r="Y995" s="9">
        <f t="shared" si="783"/>
        <v>726</v>
      </c>
      <c r="Z995" s="9">
        <f t="shared" si="784"/>
        <v>2178</v>
      </c>
      <c r="AA995" s="10">
        <f t="shared" si="785"/>
        <v>0.11709677419354839</v>
      </c>
      <c r="AB995" s="11"/>
      <c r="AD995" s="12"/>
      <c r="AE995" s="9">
        <v>3491</v>
      </c>
      <c r="AF995" s="9">
        <f t="shared" si="786"/>
        <v>157</v>
      </c>
      <c r="AG995" s="9">
        <v>117</v>
      </c>
      <c r="AH995" s="9">
        <f t="shared" si="787"/>
        <v>2</v>
      </c>
      <c r="AI995" s="9">
        <v>73</v>
      </c>
      <c r="AJ995" s="9">
        <f t="shared" si="788"/>
        <v>15</v>
      </c>
      <c r="AK995" s="13">
        <v>7</v>
      </c>
      <c r="AL995" s="47" t="str">
        <f t="shared" si="792"/>
        <v>SPGラバー</v>
      </c>
      <c r="AM995" s="9">
        <f t="shared" si="793"/>
        <v>187</v>
      </c>
      <c r="AN995" s="9">
        <f t="shared" si="789"/>
        <v>2805</v>
      </c>
      <c r="AO995" s="10">
        <f t="shared" si="790"/>
        <v>0.17866242038216559</v>
      </c>
      <c r="AP995" s="11"/>
    </row>
    <row r="996" spans="1:42" ht="15" customHeight="1" thickBot="1">
      <c r="A996" s="12"/>
      <c r="B996" s="8"/>
      <c r="C996" s="9"/>
      <c r="D996" s="9" t="str">
        <f t="shared" si="800"/>
        <v/>
      </c>
      <c r="E996" s="9"/>
      <c r="F996" s="9" t="str">
        <f t="shared" si="801"/>
        <v/>
      </c>
      <c r="G996" s="9"/>
      <c r="H996" s="9" t="str">
        <f t="shared" si="802"/>
        <v/>
      </c>
      <c r="I996" s="9"/>
      <c r="J996" s="9"/>
      <c r="K996" s="9"/>
      <c r="L996" s="9" t="str">
        <f t="shared" si="794"/>
        <v/>
      </c>
      <c r="M996" s="10" t="str">
        <f t="shared" si="795"/>
        <v/>
      </c>
      <c r="N996" s="11"/>
      <c r="O996" s="2"/>
      <c r="P996" s="18"/>
      <c r="Q996" s="19">
        <v>3266</v>
      </c>
      <c r="R996" s="19">
        <f t="shared" si="779"/>
        <v>406</v>
      </c>
      <c r="S996" s="19">
        <v>135</v>
      </c>
      <c r="T996" s="19">
        <f t="shared" si="780"/>
        <v>3</v>
      </c>
      <c r="U996" s="19">
        <v>11</v>
      </c>
      <c r="V996" s="19">
        <f t="shared" si="781"/>
        <v>5</v>
      </c>
      <c r="W996" s="37">
        <v>0</v>
      </c>
      <c r="X996" s="48" t="s">
        <v>69</v>
      </c>
      <c r="Y996" s="51">
        <v>1100</v>
      </c>
      <c r="Z996" s="19">
        <f t="shared" si="784"/>
        <v>5500</v>
      </c>
      <c r="AA996" s="20">
        <f t="shared" si="785"/>
        <v>0.1354679802955665</v>
      </c>
      <c r="AB996" s="11"/>
      <c r="AD996" s="18"/>
      <c r="AE996" s="19">
        <v>3317</v>
      </c>
      <c r="AF996" s="19">
        <f t="shared" si="786"/>
        <v>199</v>
      </c>
      <c r="AG996" s="19">
        <v>74</v>
      </c>
      <c r="AH996" s="19">
        <f t="shared" si="787"/>
        <v>9</v>
      </c>
      <c r="AI996" s="19">
        <v>36</v>
      </c>
      <c r="AJ996" s="19">
        <f t="shared" si="788"/>
        <v>14</v>
      </c>
      <c r="AK996" s="37">
        <v>19</v>
      </c>
      <c r="AL996" s="48" t="s">
        <v>71</v>
      </c>
      <c r="AM996" s="51">
        <v>165</v>
      </c>
      <c r="AN996" s="19">
        <f t="shared" si="789"/>
        <v>2310</v>
      </c>
      <c r="AO996" s="20">
        <f t="shared" si="790"/>
        <v>0.11608040201005025</v>
      </c>
      <c r="AP996" s="11"/>
    </row>
    <row r="997" spans="1:42" ht="15" customHeight="1" thickTop="1">
      <c r="A997" s="12"/>
      <c r="B997" s="8"/>
      <c r="C997" s="9"/>
      <c r="D997" s="9" t="str">
        <f t="shared" si="800"/>
        <v/>
      </c>
      <c r="E997" s="9"/>
      <c r="F997" s="9" t="str">
        <f t="shared" si="801"/>
        <v/>
      </c>
      <c r="G997" s="9"/>
      <c r="H997" s="9" t="str">
        <f t="shared" si="802"/>
        <v/>
      </c>
      <c r="I997" s="9"/>
      <c r="J997" s="9"/>
      <c r="K997" s="9"/>
      <c r="L997" s="9" t="str">
        <f t="shared" si="794"/>
        <v/>
      </c>
      <c r="M997" s="10" t="str">
        <f t="shared" si="795"/>
        <v/>
      </c>
      <c r="N997" s="11"/>
      <c r="O997" s="2"/>
      <c r="P997" s="65">
        <f>IF($A973="","",$A973)</f>
        <v>45789</v>
      </c>
      <c r="Q997" s="9">
        <v>3475</v>
      </c>
      <c r="R997" s="44">
        <f t="shared" si="779"/>
        <v>69</v>
      </c>
      <c r="S997" s="9">
        <v>77</v>
      </c>
      <c r="T997" s="23">
        <f t="shared" si="780"/>
        <v>2</v>
      </c>
      <c r="U997" s="9">
        <v>12</v>
      </c>
      <c r="V997" s="44">
        <f t="shared" si="781"/>
        <v>2</v>
      </c>
      <c r="W997" s="66">
        <v>17</v>
      </c>
      <c r="X997" s="61" t="str">
        <f t="shared" si="782"/>
        <v>猫アイシャドウ</v>
      </c>
      <c r="Y997" s="62">
        <f t="shared" si="783"/>
        <v>1034</v>
      </c>
      <c r="Z997" s="23">
        <f t="shared" si="784"/>
        <v>2068</v>
      </c>
      <c r="AA997" s="24">
        <f t="shared" si="785"/>
        <v>0.29971014492753623</v>
      </c>
      <c r="AB997" s="11" t="s">
        <v>73</v>
      </c>
      <c r="AD997" s="65">
        <f>IF($A973="","",$A973)</f>
        <v>45789</v>
      </c>
      <c r="AE997" s="9">
        <v>3335</v>
      </c>
      <c r="AF997" s="44">
        <f t="shared" si="786"/>
        <v>130</v>
      </c>
      <c r="AG997" s="9">
        <v>92</v>
      </c>
      <c r="AH997" s="23">
        <f t="shared" si="787"/>
        <v>2</v>
      </c>
      <c r="AI997" s="9">
        <v>9</v>
      </c>
      <c r="AJ997" s="44">
        <f t="shared" si="788"/>
        <v>2</v>
      </c>
      <c r="AK997" s="66">
        <v>3</v>
      </c>
      <c r="AL997" s="61" t="str">
        <f t="shared" si="792"/>
        <v>ミニカメラ</v>
      </c>
      <c r="AM997" s="62">
        <f t="shared" si="793"/>
        <v>710</v>
      </c>
      <c r="AN997" s="23">
        <f t="shared" si="789"/>
        <v>1420</v>
      </c>
      <c r="AO997" s="24">
        <f t="shared" si="790"/>
        <v>0.10923076923076923</v>
      </c>
      <c r="AP997" s="11"/>
    </row>
    <row r="998" spans="1:42" ht="15" customHeight="1">
      <c r="A998" s="12"/>
      <c r="B998" s="8"/>
      <c r="C998" s="9"/>
      <c r="D998" s="9" t="str">
        <f t="shared" si="800"/>
        <v/>
      </c>
      <c r="E998" s="9"/>
      <c r="F998" s="9" t="str">
        <f t="shared" si="801"/>
        <v/>
      </c>
      <c r="G998" s="9"/>
      <c r="H998" s="9" t="str">
        <f t="shared" si="802"/>
        <v/>
      </c>
      <c r="I998" s="9"/>
      <c r="J998" s="9"/>
      <c r="K998" s="9"/>
      <c r="L998" s="9" t="str">
        <f t="shared" si="794"/>
        <v/>
      </c>
      <c r="M998" s="10" t="str">
        <f t="shared" si="795"/>
        <v/>
      </c>
      <c r="N998" s="11"/>
      <c r="O998" s="2"/>
      <c r="P998" s="12"/>
      <c r="Q998" s="44">
        <v>4249</v>
      </c>
      <c r="R998" s="9">
        <f t="shared" si="779"/>
        <v>172</v>
      </c>
      <c r="S998" s="44">
        <v>107</v>
      </c>
      <c r="T998" s="9">
        <f t="shared" si="780"/>
        <v>3</v>
      </c>
      <c r="U998" s="9">
        <v>7</v>
      </c>
      <c r="V998" s="9">
        <f t="shared" si="781"/>
        <v>3</v>
      </c>
      <c r="W998" s="13">
        <v>0</v>
      </c>
      <c r="X998" s="47" t="str">
        <f t="shared" si="782"/>
        <v>じゃがりこイヤホン</v>
      </c>
      <c r="Y998" s="45">
        <f t="shared" si="783"/>
        <v>1100</v>
      </c>
      <c r="Z998" s="9">
        <f t="shared" si="784"/>
        <v>3300</v>
      </c>
      <c r="AA998" s="10">
        <f t="shared" si="785"/>
        <v>0.19186046511627908</v>
      </c>
      <c r="AB998" s="11"/>
      <c r="AD998" s="12"/>
      <c r="AE998" s="44">
        <v>4385</v>
      </c>
      <c r="AF998" s="9">
        <f t="shared" si="786"/>
        <v>199</v>
      </c>
      <c r="AG998" s="44">
        <v>82</v>
      </c>
      <c r="AH998" s="9">
        <f t="shared" si="787"/>
        <v>3</v>
      </c>
      <c r="AI998" s="9">
        <v>12</v>
      </c>
      <c r="AJ998" s="9">
        <f t="shared" si="788"/>
        <v>-1</v>
      </c>
      <c r="AK998" s="13">
        <v>0</v>
      </c>
      <c r="AL998" s="47" t="str">
        <f t="shared" si="792"/>
        <v>ジャグラーボタン</v>
      </c>
      <c r="AM998" s="45">
        <f t="shared" si="793"/>
        <v>748</v>
      </c>
      <c r="AN998" s="9">
        <f t="shared" si="789"/>
        <v>-748</v>
      </c>
      <c r="AO998" s="10">
        <f t="shared" si="790"/>
        <v>-3.7587939698492459E-2</v>
      </c>
      <c r="AP998" s="11"/>
    </row>
    <row r="999" spans="1:42" ht="15" customHeight="1">
      <c r="A999" s="12"/>
      <c r="B999" s="8"/>
      <c r="C999" s="9"/>
      <c r="D999" s="9" t="str">
        <f t="shared" si="800"/>
        <v/>
      </c>
      <c r="E999" s="9"/>
      <c r="F999" s="9" t="str">
        <f t="shared" si="801"/>
        <v/>
      </c>
      <c r="G999" s="9"/>
      <c r="H999" s="9" t="str">
        <f t="shared" si="802"/>
        <v/>
      </c>
      <c r="I999" s="9"/>
      <c r="J999" s="9"/>
      <c r="K999" s="9"/>
      <c r="L999" s="9" t="str">
        <f t="shared" si="794"/>
        <v/>
      </c>
      <c r="M999" s="10" t="str">
        <f t="shared" si="795"/>
        <v/>
      </c>
      <c r="N999" s="11"/>
      <c r="O999" s="2"/>
      <c r="P999" s="12"/>
      <c r="Q999" s="9">
        <v>3998</v>
      </c>
      <c r="R999" s="9">
        <f t="shared" si="779"/>
        <v>114</v>
      </c>
      <c r="S999" s="9">
        <v>225</v>
      </c>
      <c r="T999" s="9">
        <f t="shared" si="780"/>
        <v>3</v>
      </c>
      <c r="U999" s="9">
        <v>16</v>
      </c>
      <c r="V999" s="9">
        <f t="shared" si="781"/>
        <v>4</v>
      </c>
      <c r="W999" s="13">
        <v>2</v>
      </c>
      <c r="X999" s="47" t="str">
        <f t="shared" si="782"/>
        <v>ギャルキティキーケース</v>
      </c>
      <c r="Y999" s="9">
        <f t="shared" si="783"/>
        <v>726</v>
      </c>
      <c r="Z999" s="9">
        <f t="shared" si="784"/>
        <v>2904</v>
      </c>
      <c r="AA999" s="10">
        <f t="shared" si="785"/>
        <v>0.25473684210526315</v>
      </c>
      <c r="AB999" s="11"/>
      <c r="AD999" s="12"/>
      <c r="AE999" s="9">
        <v>3630</v>
      </c>
      <c r="AF999" s="9">
        <f t="shared" si="786"/>
        <v>139</v>
      </c>
      <c r="AG999" s="9">
        <v>119</v>
      </c>
      <c r="AH999" s="9">
        <f t="shared" si="787"/>
        <v>2</v>
      </c>
      <c r="AI999" s="9">
        <v>76</v>
      </c>
      <c r="AJ999" s="9">
        <f t="shared" si="788"/>
        <v>4</v>
      </c>
      <c r="AK999" s="13">
        <v>65</v>
      </c>
      <c r="AL999" s="47" t="str">
        <f t="shared" si="792"/>
        <v>SPGラバー</v>
      </c>
      <c r="AM999" s="9">
        <f t="shared" si="793"/>
        <v>187</v>
      </c>
      <c r="AN999" s="9">
        <f t="shared" si="789"/>
        <v>748</v>
      </c>
      <c r="AO999" s="10">
        <f t="shared" si="790"/>
        <v>5.3812949640287773E-2</v>
      </c>
      <c r="AP999" s="11"/>
    </row>
    <row r="1000" spans="1:42" ht="15" customHeight="1" thickBot="1">
      <c r="A1000" s="12"/>
      <c r="B1000" s="8"/>
      <c r="C1000" s="9"/>
      <c r="D1000" s="9" t="str">
        <f t="shared" si="800"/>
        <v/>
      </c>
      <c r="E1000" s="9"/>
      <c r="F1000" s="9" t="str">
        <f t="shared" si="801"/>
        <v/>
      </c>
      <c r="G1000" s="9"/>
      <c r="H1000" s="9" t="str">
        <f t="shared" si="802"/>
        <v/>
      </c>
      <c r="I1000" s="9"/>
      <c r="J1000" s="9"/>
      <c r="K1000" s="9"/>
      <c r="L1000" s="9" t="str">
        <f t="shared" si="794"/>
        <v/>
      </c>
      <c r="M1000" s="10" t="str">
        <f t="shared" si="795"/>
        <v/>
      </c>
      <c r="N1000" s="11"/>
      <c r="O1000" s="2"/>
      <c r="P1000" s="18"/>
      <c r="Q1000" s="19">
        <v>3414</v>
      </c>
      <c r="R1000" s="19">
        <f t="shared" si="779"/>
        <v>148</v>
      </c>
      <c r="S1000" s="19">
        <v>138</v>
      </c>
      <c r="T1000" s="19">
        <f t="shared" si="780"/>
        <v>3</v>
      </c>
      <c r="U1000" s="19">
        <v>4</v>
      </c>
      <c r="V1000" s="19">
        <f t="shared" si="781"/>
        <v>7</v>
      </c>
      <c r="W1000" s="37">
        <v>3</v>
      </c>
      <c r="X1000" s="48" t="str">
        <f t="shared" si="782"/>
        <v>サンリオファン</v>
      </c>
      <c r="Y1000" s="51">
        <f t="shared" si="783"/>
        <v>1100</v>
      </c>
      <c r="Z1000" s="19">
        <f t="shared" si="784"/>
        <v>7700</v>
      </c>
      <c r="AA1000" s="20">
        <f t="shared" si="785"/>
        <v>0.52027027027027029</v>
      </c>
      <c r="AB1000" s="11" t="s">
        <v>74</v>
      </c>
      <c r="AD1000" s="18"/>
      <c r="AE1000" s="19">
        <v>3475</v>
      </c>
      <c r="AF1000" s="19">
        <f t="shared" si="786"/>
        <v>158</v>
      </c>
      <c r="AG1000" s="19">
        <v>83</v>
      </c>
      <c r="AH1000" s="19">
        <f t="shared" si="787"/>
        <v>9</v>
      </c>
      <c r="AI1000" s="19">
        <v>46</v>
      </c>
      <c r="AJ1000" s="19">
        <f t="shared" si="788"/>
        <v>9</v>
      </c>
      <c r="AK1000" s="37">
        <v>0</v>
      </c>
      <c r="AL1000" s="48" t="str">
        <f t="shared" si="792"/>
        <v>SPGマスコット</v>
      </c>
      <c r="AM1000" s="51">
        <f t="shared" si="793"/>
        <v>165</v>
      </c>
      <c r="AN1000" s="19">
        <f t="shared" si="789"/>
        <v>1485</v>
      </c>
      <c r="AO1000" s="20">
        <f t="shared" si="790"/>
        <v>9.39873417721519E-2</v>
      </c>
      <c r="AP1000" s="11"/>
    </row>
    <row r="1001" spans="1:42" ht="15" customHeight="1" thickTop="1">
      <c r="A1001" s="12"/>
      <c r="B1001" s="8"/>
      <c r="C1001" s="9"/>
      <c r="D1001" s="9" t="str">
        <f t="shared" si="800"/>
        <v/>
      </c>
      <c r="E1001" s="9"/>
      <c r="F1001" s="9" t="str">
        <f t="shared" si="801"/>
        <v/>
      </c>
      <c r="G1001" s="9"/>
      <c r="H1001" s="9" t="str">
        <f t="shared" si="802"/>
        <v/>
      </c>
      <c r="I1001" s="9"/>
      <c r="J1001" s="9"/>
      <c r="K1001" s="9"/>
      <c r="L1001" s="9" t="str">
        <f t="shared" si="794"/>
        <v/>
      </c>
      <c r="M1001" s="10" t="str">
        <f t="shared" si="795"/>
        <v/>
      </c>
      <c r="N1001" s="11"/>
      <c r="O1001" s="2"/>
      <c r="P1001" s="65" t="str">
        <f>IF($A974="","",$A974)</f>
        <v/>
      </c>
      <c r="Q1001" s="44"/>
      <c r="R1001" s="44"/>
      <c r="S1001" s="44"/>
      <c r="T1001" s="23"/>
      <c r="U1001" s="44"/>
      <c r="V1001" s="44"/>
      <c r="W1001" s="66"/>
      <c r="X1001" s="15"/>
      <c r="Y1001" s="45"/>
      <c r="Z1001" s="23"/>
      <c r="AA1001" s="24"/>
      <c r="AB1001" s="11"/>
      <c r="AD1001" s="65"/>
      <c r="AE1001" s="44"/>
      <c r="AF1001" s="44"/>
      <c r="AG1001" s="44"/>
      <c r="AH1001" s="23"/>
      <c r="AI1001" s="44"/>
      <c r="AJ1001" s="44"/>
      <c r="AK1001" s="66"/>
      <c r="AL1001" s="15"/>
      <c r="AM1001" s="45"/>
      <c r="AN1001" s="23"/>
      <c r="AO1001" s="24"/>
      <c r="AP1001" s="11"/>
    </row>
    <row r="1002" spans="1:42" ht="15" customHeight="1">
      <c r="A1002" s="12"/>
      <c r="B1002" s="8"/>
      <c r="C1002" s="9"/>
      <c r="D1002" s="9" t="str">
        <f t="shared" si="800"/>
        <v/>
      </c>
      <c r="E1002" s="9"/>
      <c r="F1002" s="9" t="str">
        <f t="shared" si="801"/>
        <v/>
      </c>
      <c r="G1002" s="9"/>
      <c r="H1002" s="9" t="str">
        <f t="shared" si="802"/>
        <v/>
      </c>
      <c r="I1002" s="9"/>
      <c r="J1002" s="9"/>
      <c r="K1002" s="9"/>
      <c r="L1002" s="9" t="str">
        <f t="shared" si="794"/>
        <v/>
      </c>
      <c r="M1002" s="10" t="str">
        <f t="shared" si="795"/>
        <v/>
      </c>
      <c r="N1002" s="11"/>
      <c r="O1002" s="2"/>
      <c r="P1002" s="12"/>
      <c r="Q1002" s="9"/>
      <c r="R1002" s="44"/>
      <c r="S1002" s="9"/>
      <c r="T1002" s="9"/>
      <c r="U1002" s="9"/>
      <c r="V1002" s="9"/>
      <c r="W1002" s="13"/>
      <c r="X1002" s="15"/>
      <c r="Y1002" s="45"/>
      <c r="Z1002" s="9"/>
      <c r="AA1002" s="10"/>
      <c r="AB1002" s="11"/>
      <c r="AD1002" s="12"/>
      <c r="AE1002" s="9"/>
      <c r="AF1002" s="44"/>
      <c r="AG1002" s="9"/>
      <c r="AH1002" s="9"/>
      <c r="AI1002" s="9"/>
      <c r="AJ1002" s="9"/>
      <c r="AK1002" s="13"/>
      <c r="AL1002" s="15"/>
      <c r="AM1002" s="45"/>
      <c r="AN1002" s="9"/>
      <c r="AO1002" s="10"/>
      <c r="AP1002" s="11"/>
    </row>
    <row r="1003" spans="1:42" ht="15" customHeight="1">
      <c r="A1003" s="12"/>
      <c r="B1003" s="8"/>
      <c r="C1003" s="9"/>
      <c r="D1003" s="9" t="str">
        <f t="shared" si="800"/>
        <v/>
      </c>
      <c r="E1003" s="9"/>
      <c r="F1003" s="9" t="str">
        <f t="shared" si="801"/>
        <v/>
      </c>
      <c r="G1003" s="9"/>
      <c r="H1003" s="9" t="str">
        <f t="shared" si="802"/>
        <v/>
      </c>
      <c r="I1003" s="9"/>
      <c r="J1003" s="9"/>
      <c r="K1003" s="9"/>
      <c r="L1003" s="9" t="str">
        <f t="shared" si="794"/>
        <v/>
      </c>
      <c r="M1003" s="10" t="str">
        <f t="shared" si="795"/>
        <v/>
      </c>
      <c r="N1003" s="11"/>
      <c r="O1003" s="2"/>
      <c r="P1003" s="12"/>
      <c r="Q1003" s="9"/>
      <c r="R1003" s="52"/>
      <c r="S1003" s="9"/>
      <c r="T1003" s="9"/>
      <c r="U1003" s="26"/>
      <c r="V1003" s="26"/>
      <c r="W1003" s="13"/>
      <c r="X1003" s="15"/>
      <c r="Y1003" s="45"/>
      <c r="Z1003" s="9"/>
      <c r="AA1003" s="10"/>
      <c r="AB1003" s="11"/>
      <c r="AD1003" s="12"/>
      <c r="AE1003" s="9"/>
      <c r="AF1003" s="52"/>
      <c r="AG1003" s="9"/>
      <c r="AH1003" s="9"/>
      <c r="AI1003" s="26"/>
      <c r="AJ1003" s="26"/>
      <c r="AK1003" s="13"/>
      <c r="AL1003" s="15"/>
      <c r="AM1003" s="45"/>
      <c r="AN1003" s="9"/>
      <c r="AO1003" s="10"/>
      <c r="AP1003" s="11"/>
    </row>
    <row r="1004" spans="1:42" ht="15" customHeight="1" thickBot="1">
      <c r="A1004" s="12"/>
      <c r="B1004" s="8"/>
      <c r="C1004" s="9"/>
      <c r="D1004" s="9" t="str">
        <f t="shared" si="800"/>
        <v/>
      </c>
      <c r="E1004" s="9"/>
      <c r="F1004" s="9" t="str">
        <f t="shared" si="801"/>
        <v/>
      </c>
      <c r="G1004" s="9"/>
      <c r="H1004" s="9" t="str">
        <f t="shared" si="802"/>
        <v/>
      </c>
      <c r="I1004" s="9"/>
      <c r="J1004" s="9"/>
      <c r="K1004" s="9"/>
      <c r="L1004" s="9" t="str">
        <f t="shared" si="794"/>
        <v/>
      </c>
      <c r="M1004" s="10" t="str">
        <f t="shared" si="795"/>
        <v/>
      </c>
      <c r="N1004" s="11"/>
      <c r="O1004" s="2"/>
      <c r="P1004" s="18"/>
      <c r="Q1004" s="21"/>
      <c r="R1004" s="50"/>
      <c r="S1004" s="51"/>
      <c r="T1004" s="21"/>
      <c r="U1004" s="53"/>
      <c r="V1004" s="53"/>
      <c r="W1004" s="107"/>
      <c r="X1004" s="22"/>
      <c r="Y1004" s="51"/>
      <c r="Z1004" s="19"/>
      <c r="AA1004" s="20"/>
      <c r="AB1004" s="11"/>
      <c r="AD1004" s="18"/>
      <c r="AE1004" s="21"/>
      <c r="AF1004" s="50"/>
      <c r="AG1004" s="51"/>
      <c r="AH1004" s="19"/>
      <c r="AI1004" s="53"/>
      <c r="AJ1004" s="53"/>
      <c r="AK1004" s="37"/>
      <c r="AL1004" s="22"/>
      <c r="AM1004" s="51"/>
      <c r="AN1004" s="19"/>
      <c r="AO1004" s="20"/>
      <c r="AP1004" s="11"/>
    </row>
    <row r="1005" spans="1:42" ht="15" customHeight="1" thickTop="1">
      <c r="A1005" s="12"/>
      <c r="B1005" s="8"/>
      <c r="C1005" s="9"/>
      <c r="D1005" s="9" t="str">
        <f t="shared" si="800"/>
        <v/>
      </c>
      <c r="E1005" s="9"/>
      <c r="F1005" s="9" t="str">
        <f t="shared" si="801"/>
        <v/>
      </c>
      <c r="G1005" s="9"/>
      <c r="H1005" s="9" t="str">
        <f t="shared" si="802"/>
        <v/>
      </c>
      <c r="I1005" s="9"/>
      <c r="J1005" s="9"/>
      <c r="K1005" s="9"/>
      <c r="L1005" s="9" t="str">
        <f t="shared" si="794"/>
        <v/>
      </c>
      <c r="M1005" s="10" t="str">
        <f t="shared" si="795"/>
        <v/>
      </c>
      <c r="N1005" s="11"/>
      <c r="O1005" s="2"/>
      <c r="P1005" s="65" t="str">
        <f>IF($A975="","",$A975)</f>
        <v/>
      </c>
      <c r="Q1005" s="44"/>
      <c r="R1005" s="44"/>
      <c r="S1005" s="44"/>
      <c r="T1005" s="23"/>
      <c r="U1005" s="44"/>
      <c r="V1005" s="44"/>
      <c r="W1005" s="66"/>
      <c r="X1005" s="15"/>
      <c r="Y1005" s="45"/>
      <c r="Z1005" s="23"/>
      <c r="AA1005" s="24"/>
      <c r="AB1005" s="11"/>
      <c r="AD1005" s="65"/>
      <c r="AE1005" s="44"/>
      <c r="AF1005" s="44"/>
      <c r="AG1005" s="44"/>
      <c r="AH1005" s="23"/>
      <c r="AI1005" s="44"/>
      <c r="AJ1005" s="44"/>
      <c r="AK1005" s="66"/>
      <c r="AL1005" s="15"/>
      <c r="AM1005" s="45"/>
      <c r="AN1005" s="23"/>
      <c r="AO1005" s="24"/>
      <c r="AP1005" s="11"/>
    </row>
    <row r="1006" spans="1:42" ht="15" customHeight="1">
      <c r="A1006" s="12"/>
      <c r="B1006" s="8"/>
      <c r="C1006" s="9"/>
      <c r="D1006" s="9" t="str">
        <f t="shared" si="800"/>
        <v/>
      </c>
      <c r="E1006" s="9"/>
      <c r="F1006" s="9" t="str">
        <f t="shared" si="801"/>
        <v/>
      </c>
      <c r="G1006" s="9"/>
      <c r="H1006" s="9" t="str">
        <f t="shared" si="802"/>
        <v/>
      </c>
      <c r="I1006" s="9"/>
      <c r="J1006" s="9"/>
      <c r="K1006" s="9"/>
      <c r="L1006" s="9" t="str">
        <f t="shared" si="794"/>
        <v/>
      </c>
      <c r="M1006" s="10" t="str">
        <f t="shared" si="795"/>
        <v/>
      </c>
      <c r="N1006" s="11"/>
      <c r="O1006" s="2"/>
      <c r="P1006" s="12"/>
      <c r="Q1006" s="9"/>
      <c r="R1006" s="44"/>
      <c r="S1006" s="9"/>
      <c r="T1006" s="9"/>
      <c r="U1006" s="9"/>
      <c r="V1006" s="9"/>
      <c r="W1006" s="13"/>
      <c r="X1006" s="15"/>
      <c r="Y1006" s="45"/>
      <c r="Z1006" s="9"/>
      <c r="AA1006" s="10"/>
      <c r="AB1006" s="11"/>
      <c r="AD1006" s="12"/>
      <c r="AE1006" s="9"/>
      <c r="AF1006" s="44"/>
      <c r="AG1006" s="9"/>
      <c r="AH1006" s="9"/>
      <c r="AI1006" s="9"/>
      <c r="AJ1006" s="9"/>
      <c r="AK1006" s="13"/>
      <c r="AL1006" s="15"/>
      <c r="AM1006" s="45"/>
      <c r="AN1006" s="9"/>
      <c r="AO1006" s="10"/>
      <c r="AP1006" s="11"/>
    </row>
    <row r="1007" spans="1:42" ht="15" customHeight="1">
      <c r="A1007" s="12"/>
      <c r="B1007" s="8"/>
      <c r="C1007" s="9"/>
      <c r="D1007" s="9" t="str">
        <f t="shared" si="800"/>
        <v/>
      </c>
      <c r="E1007" s="9"/>
      <c r="F1007" s="9" t="str">
        <f t="shared" si="801"/>
        <v/>
      </c>
      <c r="G1007" s="9"/>
      <c r="H1007" s="9" t="str">
        <f t="shared" si="802"/>
        <v/>
      </c>
      <c r="I1007" s="9"/>
      <c r="J1007" s="9"/>
      <c r="K1007" s="9"/>
      <c r="L1007" s="9" t="str">
        <f t="shared" si="794"/>
        <v/>
      </c>
      <c r="M1007" s="10" t="str">
        <f t="shared" si="795"/>
        <v/>
      </c>
      <c r="N1007" s="11"/>
      <c r="O1007" s="2"/>
      <c r="P1007" s="12"/>
      <c r="Q1007" s="9"/>
      <c r="R1007" s="52"/>
      <c r="S1007" s="9"/>
      <c r="T1007" s="9"/>
      <c r="U1007" s="9"/>
      <c r="V1007" s="9"/>
      <c r="W1007" s="13"/>
      <c r="X1007" s="15"/>
      <c r="Y1007" s="45"/>
      <c r="Z1007" s="9"/>
      <c r="AA1007" s="10"/>
      <c r="AB1007" s="11"/>
      <c r="AD1007" s="12"/>
      <c r="AE1007" s="9"/>
      <c r="AF1007" s="52"/>
      <c r="AG1007" s="9"/>
      <c r="AH1007" s="9"/>
      <c r="AI1007" s="9"/>
      <c r="AJ1007" s="9"/>
      <c r="AK1007" s="13"/>
      <c r="AL1007" s="15"/>
      <c r="AM1007" s="45"/>
      <c r="AN1007" s="9"/>
      <c r="AO1007" s="10"/>
      <c r="AP1007" s="11"/>
    </row>
    <row r="1008" spans="1:42" ht="15" customHeight="1" thickBot="1">
      <c r="A1008" s="12"/>
      <c r="B1008" s="8"/>
      <c r="C1008" s="9"/>
      <c r="D1008" s="9" t="str">
        <f t="shared" si="800"/>
        <v/>
      </c>
      <c r="E1008" s="9"/>
      <c r="F1008" s="9" t="str">
        <f t="shared" si="801"/>
        <v/>
      </c>
      <c r="G1008" s="9"/>
      <c r="H1008" s="9" t="str">
        <f t="shared" si="802"/>
        <v/>
      </c>
      <c r="I1008" s="9"/>
      <c r="J1008" s="9"/>
      <c r="K1008" s="9"/>
      <c r="L1008" s="9" t="str">
        <f t="shared" si="794"/>
        <v/>
      </c>
      <c r="M1008" s="10" t="str">
        <f t="shared" si="795"/>
        <v/>
      </c>
      <c r="N1008" s="11"/>
      <c r="O1008" s="2"/>
      <c r="P1008" s="18"/>
      <c r="Q1008" s="21"/>
      <c r="R1008" s="50"/>
      <c r="S1008" s="51"/>
      <c r="T1008" s="19"/>
      <c r="U1008" s="19"/>
      <c r="V1008" s="19"/>
      <c r="W1008" s="37"/>
      <c r="X1008" s="22"/>
      <c r="Y1008" s="51"/>
      <c r="Z1008" s="19"/>
      <c r="AA1008" s="20"/>
      <c r="AB1008" s="11"/>
      <c r="AD1008" s="18"/>
      <c r="AE1008" s="21"/>
      <c r="AF1008" s="50"/>
      <c r="AG1008" s="51"/>
      <c r="AH1008" s="19"/>
      <c r="AI1008" s="19"/>
      <c r="AJ1008" s="19"/>
      <c r="AK1008" s="37"/>
      <c r="AL1008" s="22"/>
      <c r="AM1008" s="51"/>
      <c r="AN1008" s="19"/>
      <c r="AO1008" s="20"/>
      <c r="AP1008" s="11"/>
    </row>
    <row r="1009" spans="1:42" ht="15" customHeight="1" thickTop="1">
      <c r="A1009" s="12"/>
      <c r="B1009" s="8"/>
      <c r="C1009" s="9"/>
      <c r="D1009" s="9" t="str">
        <f t="shared" si="800"/>
        <v/>
      </c>
      <c r="E1009" s="9"/>
      <c r="F1009" s="9" t="str">
        <f t="shared" si="801"/>
        <v/>
      </c>
      <c r="G1009" s="9"/>
      <c r="H1009" s="9" t="str">
        <f t="shared" si="802"/>
        <v/>
      </c>
      <c r="I1009" s="9"/>
      <c r="J1009" s="9"/>
      <c r="K1009" s="9"/>
      <c r="L1009" s="9" t="str">
        <f t="shared" si="794"/>
        <v/>
      </c>
      <c r="M1009" s="10" t="str">
        <f t="shared" si="795"/>
        <v/>
      </c>
      <c r="N1009" s="11"/>
      <c r="O1009" s="2"/>
      <c r="P1009" s="65" t="str">
        <f>IF($A976="","",$A976)</f>
        <v/>
      </c>
      <c r="Q1009" s="44"/>
      <c r="R1009" s="44" t="str">
        <f t="shared" ref="R1009:R1020" si="803">IF(Q1009="","",Q1009-Q1005)</f>
        <v/>
      </c>
      <c r="S1009" s="44"/>
      <c r="T1009" s="23" t="str">
        <f t="shared" ref="T1009:T1020" si="804">IF(S1009="","",S1009-S1005)</f>
        <v/>
      </c>
      <c r="U1009" s="44"/>
      <c r="V1009" s="44" t="str">
        <f t="shared" ref="V1009:V1020" si="805">IF(U1009="","",U1005+W1005-U1009)</f>
        <v/>
      </c>
      <c r="W1009" s="44"/>
      <c r="X1009" s="15" t="str">
        <f t="shared" ref="X1009:X1020" si="806">IF(Q1009="","",X1005)</f>
        <v/>
      </c>
      <c r="Y1009" s="45" t="str">
        <f t="shared" ref="Y1009:Y1020" si="807">IF(R1009="","",Y1005)</f>
        <v/>
      </c>
      <c r="Z1009" s="23" t="str">
        <f t="shared" ref="Z1009:Z1020" si="808">IF(U1009="","",V1009*Y1009)</f>
        <v/>
      </c>
      <c r="AA1009" s="24" t="str">
        <f t="shared" ref="AA1009:AA1020" si="809">IF(V1009="","",Z1009/(R1009*100))</f>
        <v/>
      </c>
      <c r="AB1009" s="11"/>
      <c r="AD1009" s="65" t="str">
        <f>IF($A976="","",$A976)</f>
        <v/>
      </c>
      <c r="AE1009" s="44"/>
      <c r="AF1009" s="44" t="str">
        <f t="shared" ref="AF1009:AF1020" si="810">IF(AE1009="","",AE1009-AE1005)</f>
        <v/>
      </c>
      <c r="AG1009" s="44"/>
      <c r="AH1009" s="23" t="str">
        <f t="shared" ref="AH1009:AH1020" si="811">IF(AG1009="","",AG1009-AG1005)</f>
        <v/>
      </c>
      <c r="AI1009" s="44"/>
      <c r="AJ1009" s="44" t="str">
        <f t="shared" ref="AJ1009:AJ1020" si="812">IF(AI1009="","",AI1005+AK1005-AI1009)</f>
        <v/>
      </c>
      <c r="AK1009" s="44"/>
      <c r="AL1009" s="61" t="str">
        <f t="shared" si="792"/>
        <v/>
      </c>
      <c r="AM1009" s="62" t="str">
        <f t="shared" si="793"/>
        <v/>
      </c>
      <c r="AN1009" s="23" t="str">
        <f t="shared" ref="AN1009:AN1020" si="813">IF(AI1009="","",AJ1009*AM1009)</f>
        <v/>
      </c>
      <c r="AO1009" s="24" t="str">
        <f t="shared" ref="AO1009:AO1020" si="814">IF(AJ1009="","",AN1009/(AF1009*100))</f>
        <v/>
      </c>
      <c r="AP1009" s="11"/>
    </row>
    <row r="1010" spans="1:42" ht="15" customHeight="1">
      <c r="A1010" s="12"/>
      <c r="B1010" s="8"/>
      <c r="C1010" s="9"/>
      <c r="D1010" s="9" t="str">
        <f t="shared" si="800"/>
        <v/>
      </c>
      <c r="E1010" s="9"/>
      <c r="F1010" s="9" t="str">
        <f t="shared" si="801"/>
        <v/>
      </c>
      <c r="G1010" s="9"/>
      <c r="H1010" s="9" t="str">
        <f t="shared" si="802"/>
        <v/>
      </c>
      <c r="I1010" s="9"/>
      <c r="J1010" s="9"/>
      <c r="K1010" s="9"/>
      <c r="L1010" s="9" t="str">
        <f t="shared" si="794"/>
        <v/>
      </c>
      <c r="M1010" s="10" t="str">
        <f t="shared" si="795"/>
        <v/>
      </c>
      <c r="N1010" s="11"/>
      <c r="O1010" s="2"/>
      <c r="P1010" s="12"/>
      <c r="Q1010" s="9"/>
      <c r="R1010" s="9" t="str">
        <f t="shared" si="803"/>
        <v/>
      </c>
      <c r="S1010" s="9"/>
      <c r="T1010" s="9" t="str">
        <f t="shared" si="804"/>
        <v/>
      </c>
      <c r="U1010" s="9"/>
      <c r="V1010" s="9" t="str">
        <f t="shared" si="805"/>
        <v/>
      </c>
      <c r="W1010" s="9"/>
      <c r="X1010" s="15" t="str">
        <f t="shared" si="806"/>
        <v/>
      </c>
      <c r="Y1010" s="45" t="str">
        <f t="shared" si="807"/>
        <v/>
      </c>
      <c r="Z1010" s="9" t="str">
        <f t="shared" si="808"/>
        <v/>
      </c>
      <c r="AA1010" s="10" t="str">
        <f t="shared" si="809"/>
        <v/>
      </c>
      <c r="AB1010" s="11"/>
      <c r="AD1010" s="12"/>
      <c r="AE1010" s="9"/>
      <c r="AF1010" s="9" t="str">
        <f t="shared" si="810"/>
        <v/>
      </c>
      <c r="AG1010" s="9"/>
      <c r="AH1010" s="9" t="str">
        <f t="shared" si="811"/>
        <v/>
      </c>
      <c r="AI1010" s="9"/>
      <c r="AJ1010" s="9" t="str">
        <f t="shared" si="812"/>
        <v/>
      </c>
      <c r="AK1010" s="9"/>
      <c r="AL1010" s="47" t="str">
        <f t="shared" si="792"/>
        <v/>
      </c>
      <c r="AM1010" s="45" t="str">
        <f t="shared" si="793"/>
        <v/>
      </c>
      <c r="AN1010" s="9" t="str">
        <f t="shared" si="813"/>
        <v/>
      </c>
      <c r="AO1010" s="10" t="str">
        <f t="shared" si="814"/>
        <v/>
      </c>
      <c r="AP1010" s="11"/>
    </row>
    <row r="1011" spans="1:42" ht="15" customHeight="1">
      <c r="A1011" s="12"/>
      <c r="B1011" s="8"/>
      <c r="C1011" s="9"/>
      <c r="D1011" s="9" t="str">
        <f t="shared" si="800"/>
        <v/>
      </c>
      <c r="E1011" s="9"/>
      <c r="F1011" s="9" t="str">
        <f t="shared" si="801"/>
        <v/>
      </c>
      <c r="G1011" s="9"/>
      <c r="H1011" s="9" t="str">
        <f t="shared" si="802"/>
        <v/>
      </c>
      <c r="I1011" s="9"/>
      <c r="J1011" s="9"/>
      <c r="K1011" s="9"/>
      <c r="L1011" s="9" t="str">
        <f t="shared" si="794"/>
        <v/>
      </c>
      <c r="M1011" s="10" t="str">
        <f t="shared" si="795"/>
        <v/>
      </c>
      <c r="N1011" s="11"/>
      <c r="O1011" s="2"/>
      <c r="P1011" s="12"/>
      <c r="Q1011" s="9"/>
      <c r="R1011" s="9" t="str">
        <f t="shared" si="803"/>
        <v/>
      </c>
      <c r="S1011" s="9"/>
      <c r="T1011" s="9" t="str">
        <f t="shared" si="804"/>
        <v/>
      </c>
      <c r="U1011" s="9"/>
      <c r="V1011" s="9" t="str">
        <f t="shared" si="805"/>
        <v/>
      </c>
      <c r="W1011" s="9"/>
      <c r="X1011" s="15" t="str">
        <f t="shared" si="806"/>
        <v/>
      </c>
      <c r="Y1011" s="45" t="str">
        <f t="shared" si="807"/>
        <v/>
      </c>
      <c r="Z1011" s="9" t="str">
        <f t="shared" si="808"/>
        <v/>
      </c>
      <c r="AA1011" s="10" t="str">
        <f t="shared" si="809"/>
        <v/>
      </c>
      <c r="AB1011" s="11"/>
      <c r="AD1011" s="12"/>
      <c r="AE1011" s="9"/>
      <c r="AF1011" s="9" t="str">
        <f t="shared" si="810"/>
        <v/>
      </c>
      <c r="AG1011" s="9"/>
      <c r="AH1011" s="9" t="str">
        <f t="shared" si="811"/>
        <v/>
      </c>
      <c r="AI1011" s="9"/>
      <c r="AJ1011" s="9" t="str">
        <f t="shared" si="812"/>
        <v/>
      </c>
      <c r="AK1011" s="9"/>
      <c r="AL1011" s="47" t="str">
        <f t="shared" si="792"/>
        <v/>
      </c>
      <c r="AM1011" s="9" t="str">
        <f t="shared" si="793"/>
        <v/>
      </c>
      <c r="AN1011" s="9" t="str">
        <f t="shared" si="813"/>
        <v/>
      </c>
      <c r="AO1011" s="10" t="str">
        <f t="shared" si="814"/>
        <v/>
      </c>
      <c r="AP1011" s="11"/>
    </row>
    <row r="1012" spans="1:42" ht="15" customHeight="1" thickBot="1">
      <c r="A1012" s="12"/>
      <c r="B1012" s="8"/>
      <c r="C1012" s="9"/>
      <c r="D1012" s="9" t="str">
        <f t="shared" si="800"/>
        <v/>
      </c>
      <c r="E1012" s="9"/>
      <c r="F1012" s="9" t="str">
        <f t="shared" si="801"/>
        <v/>
      </c>
      <c r="G1012" s="9"/>
      <c r="H1012" s="9" t="str">
        <f t="shared" si="802"/>
        <v/>
      </c>
      <c r="I1012" s="9"/>
      <c r="J1012" s="9"/>
      <c r="K1012" s="9"/>
      <c r="L1012" s="9" t="str">
        <f t="shared" si="794"/>
        <v/>
      </c>
      <c r="M1012" s="10" t="str">
        <f t="shared" si="795"/>
        <v/>
      </c>
      <c r="N1012" s="11"/>
      <c r="O1012" s="2"/>
      <c r="P1012" s="18"/>
      <c r="Q1012" s="19"/>
      <c r="R1012" s="19" t="str">
        <f t="shared" si="803"/>
        <v/>
      </c>
      <c r="S1012" s="19"/>
      <c r="T1012" s="19" t="str">
        <f t="shared" si="804"/>
        <v/>
      </c>
      <c r="U1012" s="19"/>
      <c r="V1012" s="19" t="str">
        <f t="shared" si="805"/>
        <v/>
      </c>
      <c r="W1012" s="19"/>
      <c r="X1012" s="22" t="str">
        <f t="shared" si="806"/>
        <v/>
      </c>
      <c r="Y1012" s="51" t="str">
        <f t="shared" si="807"/>
        <v/>
      </c>
      <c r="Z1012" s="19" t="str">
        <f t="shared" si="808"/>
        <v/>
      </c>
      <c r="AA1012" s="20" t="str">
        <f t="shared" si="809"/>
        <v/>
      </c>
      <c r="AB1012" s="11"/>
      <c r="AD1012" s="18"/>
      <c r="AE1012" s="19"/>
      <c r="AF1012" s="19" t="str">
        <f t="shared" si="810"/>
        <v/>
      </c>
      <c r="AG1012" s="19"/>
      <c r="AH1012" s="19" t="str">
        <f t="shared" si="811"/>
        <v/>
      </c>
      <c r="AI1012" s="19"/>
      <c r="AJ1012" s="19" t="str">
        <f t="shared" si="812"/>
        <v/>
      </c>
      <c r="AK1012" s="19"/>
      <c r="AL1012" s="48" t="str">
        <f t="shared" si="792"/>
        <v/>
      </c>
      <c r="AM1012" s="51" t="str">
        <f t="shared" si="793"/>
        <v/>
      </c>
      <c r="AN1012" s="19" t="str">
        <f t="shared" si="813"/>
        <v/>
      </c>
      <c r="AO1012" s="20" t="str">
        <f t="shared" si="814"/>
        <v/>
      </c>
      <c r="AP1012" s="11"/>
    </row>
    <row r="1013" spans="1:42" ht="15" customHeight="1" thickTop="1">
      <c r="A1013" s="12"/>
      <c r="B1013" s="8"/>
      <c r="C1013" s="9"/>
      <c r="D1013" s="9" t="str">
        <f t="shared" si="800"/>
        <v/>
      </c>
      <c r="E1013" s="9"/>
      <c r="F1013" s="9" t="str">
        <f t="shared" si="801"/>
        <v/>
      </c>
      <c r="G1013" s="9"/>
      <c r="H1013" s="9" t="str">
        <f t="shared" si="802"/>
        <v/>
      </c>
      <c r="I1013" s="9"/>
      <c r="J1013" s="9"/>
      <c r="K1013" s="9"/>
      <c r="L1013" s="9" t="str">
        <f t="shared" si="794"/>
        <v/>
      </c>
      <c r="M1013" s="10" t="str">
        <f t="shared" si="795"/>
        <v/>
      </c>
      <c r="N1013" s="11"/>
      <c r="O1013" s="2"/>
      <c r="P1013" s="65" t="str">
        <f>IF($A977="","",$A977)</f>
        <v/>
      </c>
      <c r="Q1013" s="44"/>
      <c r="R1013" s="44" t="str">
        <f t="shared" si="803"/>
        <v/>
      </c>
      <c r="S1013" s="44"/>
      <c r="T1013" s="23" t="str">
        <f t="shared" si="804"/>
        <v/>
      </c>
      <c r="U1013" s="44"/>
      <c r="V1013" s="44" t="str">
        <f t="shared" si="805"/>
        <v/>
      </c>
      <c r="W1013" s="44"/>
      <c r="X1013" s="64" t="str">
        <f t="shared" si="806"/>
        <v/>
      </c>
      <c r="Y1013" s="62" t="str">
        <f t="shared" si="807"/>
        <v/>
      </c>
      <c r="Z1013" s="23" t="str">
        <f t="shared" si="808"/>
        <v/>
      </c>
      <c r="AA1013" s="24" t="str">
        <f t="shared" si="809"/>
        <v/>
      </c>
      <c r="AB1013" s="11"/>
      <c r="AD1013" s="65" t="str">
        <f>IF($A977="","",$A977)</f>
        <v/>
      </c>
      <c r="AE1013" s="44"/>
      <c r="AF1013" s="44" t="str">
        <f t="shared" si="810"/>
        <v/>
      </c>
      <c r="AG1013" s="44"/>
      <c r="AH1013" s="23" t="str">
        <f t="shared" si="811"/>
        <v/>
      </c>
      <c r="AI1013" s="44"/>
      <c r="AJ1013" s="44" t="str">
        <f t="shared" si="812"/>
        <v/>
      </c>
      <c r="AK1013" s="44"/>
      <c r="AL1013" s="61" t="str">
        <f t="shared" si="792"/>
        <v/>
      </c>
      <c r="AM1013" s="62" t="str">
        <f t="shared" si="793"/>
        <v/>
      </c>
      <c r="AN1013" s="23" t="str">
        <f t="shared" si="813"/>
        <v/>
      </c>
      <c r="AO1013" s="24" t="str">
        <f t="shared" si="814"/>
        <v/>
      </c>
      <c r="AP1013" s="11"/>
    </row>
    <row r="1014" spans="1:42" ht="15" customHeight="1">
      <c r="A1014" s="12"/>
      <c r="B1014" s="8"/>
      <c r="C1014" s="9"/>
      <c r="D1014" s="9" t="str">
        <f t="shared" si="800"/>
        <v/>
      </c>
      <c r="E1014" s="9"/>
      <c r="F1014" s="9" t="str">
        <f t="shared" si="801"/>
        <v/>
      </c>
      <c r="G1014" s="9"/>
      <c r="H1014" s="9" t="str">
        <f t="shared" si="802"/>
        <v/>
      </c>
      <c r="I1014" s="9"/>
      <c r="J1014" s="9"/>
      <c r="K1014" s="9"/>
      <c r="L1014" s="9" t="str">
        <f t="shared" si="794"/>
        <v/>
      </c>
      <c r="M1014" s="10" t="str">
        <f t="shared" si="795"/>
        <v/>
      </c>
      <c r="N1014" s="11"/>
      <c r="O1014" s="2"/>
      <c r="P1014" s="12"/>
      <c r="Q1014" s="9"/>
      <c r="R1014" s="9" t="str">
        <f t="shared" si="803"/>
        <v/>
      </c>
      <c r="S1014" s="9"/>
      <c r="T1014" s="9" t="str">
        <f t="shared" si="804"/>
        <v/>
      </c>
      <c r="U1014" s="9"/>
      <c r="V1014" s="9" t="str">
        <f t="shared" si="805"/>
        <v/>
      </c>
      <c r="W1014" s="9"/>
      <c r="X1014" s="15" t="str">
        <f t="shared" si="806"/>
        <v/>
      </c>
      <c r="Y1014" s="45" t="str">
        <f t="shared" si="807"/>
        <v/>
      </c>
      <c r="Z1014" s="9" t="str">
        <f t="shared" si="808"/>
        <v/>
      </c>
      <c r="AA1014" s="10" t="str">
        <f t="shared" si="809"/>
        <v/>
      </c>
      <c r="AB1014" s="11"/>
      <c r="AD1014" s="12"/>
      <c r="AE1014" s="9"/>
      <c r="AF1014" s="9" t="str">
        <f t="shared" si="810"/>
        <v/>
      </c>
      <c r="AG1014" s="9"/>
      <c r="AH1014" s="9" t="str">
        <f t="shared" si="811"/>
        <v/>
      </c>
      <c r="AI1014" s="9"/>
      <c r="AJ1014" s="39" t="str">
        <f t="shared" si="812"/>
        <v/>
      </c>
      <c r="AK1014" s="9"/>
      <c r="AL1014" s="47" t="str">
        <f t="shared" si="792"/>
        <v/>
      </c>
      <c r="AM1014" s="45" t="str">
        <f t="shared" si="793"/>
        <v/>
      </c>
      <c r="AN1014" s="9" t="str">
        <f t="shared" si="813"/>
        <v/>
      </c>
      <c r="AO1014" s="10" t="str">
        <f t="shared" si="814"/>
        <v/>
      </c>
      <c r="AP1014" s="11"/>
    </row>
    <row r="1015" spans="1:42" ht="15" customHeight="1">
      <c r="A1015" s="12"/>
      <c r="B1015" s="8"/>
      <c r="C1015" s="9"/>
      <c r="D1015" s="9" t="str">
        <f t="shared" si="800"/>
        <v/>
      </c>
      <c r="E1015" s="9"/>
      <c r="F1015" s="9" t="str">
        <f t="shared" si="801"/>
        <v/>
      </c>
      <c r="G1015" s="9"/>
      <c r="H1015" s="9" t="str">
        <f t="shared" si="802"/>
        <v/>
      </c>
      <c r="I1015" s="9"/>
      <c r="J1015" s="9"/>
      <c r="K1015" s="9"/>
      <c r="L1015" s="9" t="str">
        <f t="shared" si="794"/>
        <v/>
      </c>
      <c r="M1015" s="10" t="str">
        <f t="shared" si="795"/>
        <v/>
      </c>
      <c r="N1015" s="11"/>
      <c r="O1015" s="2"/>
      <c r="P1015" s="12"/>
      <c r="Q1015" s="9"/>
      <c r="R1015" s="9" t="str">
        <f t="shared" si="803"/>
        <v/>
      </c>
      <c r="S1015" s="9"/>
      <c r="T1015" s="9" t="str">
        <f t="shared" si="804"/>
        <v/>
      </c>
      <c r="U1015" s="9"/>
      <c r="V1015" s="9" t="str">
        <f t="shared" si="805"/>
        <v/>
      </c>
      <c r="W1015" s="9"/>
      <c r="X1015" s="15" t="str">
        <f t="shared" si="806"/>
        <v/>
      </c>
      <c r="Y1015" s="9" t="str">
        <f t="shared" si="807"/>
        <v/>
      </c>
      <c r="Z1015" s="9" t="str">
        <f t="shared" si="808"/>
        <v/>
      </c>
      <c r="AA1015" s="10" t="str">
        <f t="shared" si="809"/>
        <v/>
      </c>
      <c r="AB1015" s="11"/>
      <c r="AD1015" s="12"/>
      <c r="AE1015" s="9"/>
      <c r="AF1015" s="9" t="str">
        <f t="shared" si="810"/>
        <v/>
      </c>
      <c r="AG1015" s="9"/>
      <c r="AH1015" s="9" t="str">
        <f t="shared" si="811"/>
        <v/>
      </c>
      <c r="AI1015" s="9"/>
      <c r="AJ1015" s="9" t="str">
        <f t="shared" si="812"/>
        <v/>
      </c>
      <c r="AK1015" s="9"/>
      <c r="AL1015" s="47" t="str">
        <f t="shared" si="792"/>
        <v/>
      </c>
      <c r="AM1015" s="9" t="str">
        <f t="shared" si="793"/>
        <v/>
      </c>
      <c r="AN1015" s="9" t="str">
        <f t="shared" si="813"/>
        <v/>
      </c>
      <c r="AO1015" s="10" t="str">
        <f t="shared" si="814"/>
        <v/>
      </c>
      <c r="AP1015" s="11"/>
    </row>
    <row r="1016" spans="1:42" ht="15" customHeight="1" thickBot="1">
      <c r="A1016" s="12"/>
      <c r="B1016" s="8"/>
      <c r="C1016" s="9"/>
      <c r="D1016" s="9" t="str">
        <f t="shared" si="800"/>
        <v/>
      </c>
      <c r="E1016" s="9"/>
      <c r="F1016" s="9" t="str">
        <f t="shared" si="801"/>
        <v/>
      </c>
      <c r="G1016" s="9"/>
      <c r="H1016" s="9" t="str">
        <f t="shared" si="802"/>
        <v/>
      </c>
      <c r="I1016" s="9"/>
      <c r="J1016" s="9"/>
      <c r="K1016" s="9"/>
      <c r="L1016" s="9" t="str">
        <f t="shared" si="794"/>
        <v/>
      </c>
      <c r="M1016" s="10" t="str">
        <f t="shared" si="795"/>
        <v/>
      </c>
      <c r="N1016" s="11"/>
      <c r="O1016" s="2"/>
      <c r="P1016" s="18"/>
      <c r="Q1016" s="19"/>
      <c r="R1016" s="19" t="str">
        <f t="shared" si="803"/>
        <v/>
      </c>
      <c r="S1016" s="19"/>
      <c r="T1016" s="19" t="str">
        <f t="shared" si="804"/>
        <v/>
      </c>
      <c r="U1016" s="19"/>
      <c r="V1016" s="19" t="str">
        <f t="shared" si="805"/>
        <v/>
      </c>
      <c r="W1016" s="19"/>
      <c r="X1016" s="22" t="str">
        <f t="shared" si="806"/>
        <v/>
      </c>
      <c r="Y1016" s="51" t="str">
        <f t="shared" si="807"/>
        <v/>
      </c>
      <c r="Z1016" s="19" t="str">
        <f t="shared" si="808"/>
        <v/>
      </c>
      <c r="AA1016" s="20" t="str">
        <f t="shared" si="809"/>
        <v/>
      </c>
      <c r="AB1016" s="11"/>
      <c r="AD1016" s="18"/>
      <c r="AE1016" s="19"/>
      <c r="AF1016" s="19" t="str">
        <f t="shared" si="810"/>
        <v/>
      </c>
      <c r="AG1016" s="19"/>
      <c r="AH1016" s="19" t="str">
        <f t="shared" si="811"/>
        <v/>
      </c>
      <c r="AI1016" s="19"/>
      <c r="AJ1016" s="19" t="str">
        <f t="shared" si="812"/>
        <v/>
      </c>
      <c r="AK1016" s="19"/>
      <c r="AL1016" s="48" t="str">
        <f t="shared" si="792"/>
        <v/>
      </c>
      <c r="AM1016" s="51" t="str">
        <f t="shared" si="793"/>
        <v/>
      </c>
      <c r="AN1016" s="19" t="str">
        <f t="shared" si="813"/>
        <v/>
      </c>
      <c r="AO1016" s="20" t="str">
        <f t="shared" si="814"/>
        <v/>
      </c>
      <c r="AP1016" s="11"/>
    </row>
    <row r="1017" spans="1:42" ht="15" customHeight="1" thickTop="1">
      <c r="A1017" s="12"/>
      <c r="B1017" s="8"/>
      <c r="C1017" s="9"/>
      <c r="D1017" s="9" t="str">
        <f t="shared" si="800"/>
        <v/>
      </c>
      <c r="E1017" s="9"/>
      <c r="F1017" s="9" t="str">
        <f t="shared" si="801"/>
        <v/>
      </c>
      <c r="G1017" s="9"/>
      <c r="H1017" s="9" t="str">
        <f t="shared" si="802"/>
        <v/>
      </c>
      <c r="I1017" s="9"/>
      <c r="J1017" s="9"/>
      <c r="K1017" s="9"/>
      <c r="L1017" s="9" t="str">
        <f t="shared" si="794"/>
        <v/>
      </c>
      <c r="M1017" s="10" t="str">
        <f t="shared" si="795"/>
        <v/>
      </c>
      <c r="N1017" s="11"/>
      <c r="O1017" s="2"/>
      <c r="P1017" s="65" t="str">
        <f>IF($A978="","",$A978)</f>
        <v/>
      </c>
      <c r="Q1017" s="44"/>
      <c r="R1017" s="44" t="str">
        <f t="shared" si="803"/>
        <v/>
      </c>
      <c r="S1017" s="44"/>
      <c r="T1017" s="44" t="str">
        <f t="shared" si="804"/>
        <v/>
      </c>
      <c r="U1017" s="44"/>
      <c r="V1017" s="44" t="str">
        <f t="shared" si="805"/>
        <v/>
      </c>
      <c r="W1017" s="44"/>
      <c r="X1017" s="64" t="str">
        <f t="shared" si="806"/>
        <v/>
      </c>
      <c r="Y1017" s="44" t="str">
        <f t="shared" si="807"/>
        <v/>
      </c>
      <c r="Z1017" s="44" t="str">
        <f t="shared" si="808"/>
        <v/>
      </c>
      <c r="AA1017" s="44" t="str">
        <f t="shared" si="809"/>
        <v/>
      </c>
      <c r="AB1017" s="11"/>
      <c r="AD1017" s="65" t="str">
        <f>IF($A978="","",$A978)</f>
        <v/>
      </c>
      <c r="AE1017" s="44"/>
      <c r="AF1017" s="44" t="str">
        <f t="shared" si="810"/>
        <v/>
      </c>
      <c r="AG1017" s="44"/>
      <c r="AH1017" s="44" t="str">
        <f t="shared" si="811"/>
        <v/>
      </c>
      <c r="AI1017" s="44"/>
      <c r="AJ1017" s="44" t="str">
        <f t="shared" si="812"/>
        <v/>
      </c>
      <c r="AK1017" s="44"/>
      <c r="AL1017" s="61" t="str">
        <f t="shared" si="792"/>
        <v/>
      </c>
      <c r="AM1017" s="44" t="str">
        <f t="shared" si="793"/>
        <v/>
      </c>
      <c r="AN1017" s="23" t="str">
        <f t="shared" si="813"/>
        <v/>
      </c>
      <c r="AO1017" s="24" t="str">
        <f t="shared" si="814"/>
        <v/>
      </c>
      <c r="AP1017" s="11"/>
    </row>
    <row r="1018" spans="1:42" ht="15" customHeight="1">
      <c r="A1018" s="12"/>
      <c r="B1018" s="8"/>
      <c r="C1018" s="9"/>
      <c r="D1018" s="9"/>
      <c r="E1018" s="9"/>
      <c r="F1018" s="9" t="str">
        <f t="shared" si="801"/>
        <v/>
      </c>
      <c r="G1018" s="9"/>
      <c r="H1018" s="9" t="str">
        <f t="shared" si="802"/>
        <v/>
      </c>
      <c r="I1018" s="9"/>
      <c r="J1018" s="9"/>
      <c r="K1018" s="9"/>
      <c r="L1018" s="9" t="str">
        <f t="shared" si="794"/>
        <v/>
      </c>
      <c r="M1018" s="10" t="str">
        <f t="shared" si="795"/>
        <v/>
      </c>
      <c r="N1018" s="11"/>
      <c r="O1018" s="2"/>
      <c r="P1018" s="65"/>
      <c r="Q1018" s="44"/>
      <c r="R1018" s="44" t="str">
        <f t="shared" si="803"/>
        <v/>
      </c>
      <c r="S1018" s="44"/>
      <c r="T1018" s="44" t="str">
        <f t="shared" si="804"/>
        <v/>
      </c>
      <c r="U1018" s="44"/>
      <c r="V1018" s="44" t="str">
        <f t="shared" si="805"/>
        <v/>
      </c>
      <c r="W1018" s="44"/>
      <c r="X1018" s="64" t="str">
        <f t="shared" si="806"/>
        <v/>
      </c>
      <c r="Y1018" s="44" t="str">
        <f t="shared" si="807"/>
        <v/>
      </c>
      <c r="Z1018" s="44" t="str">
        <f t="shared" si="808"/>
        <v/>
      </c>
      <c r="AA1018" s="44" t="str">
        <f t="shared" si="809"/>
        <v/>
      </c>
      <c r="AB1018" s="11"/>
      <c r="AD1018" s="65"/>
      <c r="AE1018" s="44"/>
      <c r="AF1018" s="44" t="str">
        <f t="shared" si="810"/>
        <v/>
      </c>
      <c r="AG1018" s="44"/>
      <c r="AH1018" s="44" t="str">
        <f t="shared" si="811"/>
        <v/>
      </c>
      <c r="AI1018" s="44"/>
      <c r="AJ1018" s="44" t="str">
        <f t="shared" si="812"/>
        <v/>
      </c>
      <c r="AK1018" s="44"/>
      <c r="AL1018" s="61" t="str">
        <f t="shared" si="792"/>
        <v/>
      </c>
      <c r="AM1018" s="44" t="str">
        <f t="shared" si="793"/>
        <v/>
      </c>
      <c r="AN1018" s="9" t="str">
        <f t="shared" si="813"/>
        <v/>
      </c>
      <c r="AO1018" s="10" t="str">
        <f t="shared" si="814"/>
        <v/>
      </c>
      <c r="AP1018" s="11"/>
    </row>
    <row r="1019" spans="1:42" ht="15" customHeight="1">
      <c r="A1019" s="12"/>
      <c r="B1019" s="8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10"/>
      <c r="N1019" s="11"/>
      <c r="O1019" s="2"/>
      <c r="P1019" s="89"/>
      <c r="Q1019" s="52"/>
      <c r="R1019" s="52" t="str">
        <f t="shared" si="803"/>
        <v/>
      </c>
      <c r="S1019" s="52"/>
      <c r="T1019" s="52" t="str">
        <f t="shared" si="804"/>
        <v/>
      </c>
      <c r="U1019" s="52"/>
      <c r="V1019" s="52" t="str">
        <f t="shared" si="805"/>
        <v/>
      </c>
      <c r="W1019" s="52"/>
      <c r="X1019" s="90" t="str">
        <f t="shared" si="806"/>
        <v/>
      </c>
      <c r="Y1019" s="52" t="str">
        <f t="shared" si="807"/>
        <v/>
      </c>
      <c r="Z1019" s="52" t="str">
        <f t="shared" si="808"/>
        <v/>
      </c>
      <c r="AA1019" s="52" t="str">
        <f t="shared" si="809"/>
        <v/>
      </c>
      <c r="AB1019" s="31"/>
      <c r="AD1019" s="89"/>
      <c r="AE1019" s="52"/>
      <c r="AF1019" s="52" t="str">
        <f t="shared" si="810"/>
        <v/>
      </c>
      <c r="AG1019" s="52"/>
      <c r="AH1019" s="52" t="str">
        <f t="shared" si="811"/>
        <v/>
      </c>
      <c r="AI1019" s="52"/>
      <c r="AJ1019" s="52" t="str">
        <f t="shared" si="812"/>
        <v/>
      </c>
      <c r="AK1019" s="52"/>
      <c r="AL1019" s="92" t="str">
        <f t="shared" si="792"/>
        <v/>
      </c>
      <c r="AM1019" s="52" t="str">
        <f t="shared" si="793"/>
        <v/>
      </c>
      <c r="AN1019" s="9" t="str">
        <f t="shared" si="813"/>
        <v/>
      </c>
      <c r="AO1019" s="10" t="str">
        <f t="shared" si="814"/>
        <v/>
      </c>
      <c r="AP1019" s="31"/>
    </row>
    <row r="1020" spans="1:42" ht="15" customHeight="1" thickBot="1">
      <c r="A1020" s="12"/>
      <c r="B1020" s="8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10"/>
      <c r="N1020" s="11"/>
      <c r="O1020" s="2"/>
      <c r="P1020" s="85"/>
      <c r="Q1020" s="50"/>
      <c r="R1020" s="50" t="str">
        <f t="shared" si="803"/>
        <v/>
      </c>
      <c r="S1020" s="50"/>
      <c r="T1020" s="50" t="str">
        <f t="shared" si="804"/>
        <v/>
      </c>
      <c r="U1020" s="50"/>
      <c r="V1020" s="50" t="str">
        <f t="shared" si="805"/>
        <v/>
      </c>
      <c r="W1020" s="50"/>
      <c r="X1020" s="86" t="str">
        <f t="shared" si="806"/>
        <v/>
      </c>
      <c r="Y1020" s="50" t="str">
        <f t="shared" si="807"/>
        <v/>
      </c>
      <c r="Z1020" s="50" t="str">
        <f t="shared" si="808"/>
        <v/>
      </c>
      <c r="AA1020" s="50" t="str">
        <f t="shared" si="809"/>
        <v/>
      </c>
      <c r="AB1020" s="87"/>
      <c r="AD1020" s="85"/>
      <c r="AE1020" s="50"/>
      <c r="AF1020" s="50" t="str">
        <f t="shared" si="810"/>
        <v/>
      </c>
      <c r="AG1020" s="50"/>
      <c r="AH1020" s="50" t="str">
        <f t="shared" si="811"/>
        <v/>
      </c>
      <c r="AI1020" s="50"/>
      <c r="AJ1020" s="50" t="str">
        <f t="shared" si="812"/>
        <v/>
      </c>
      <c r="AK1020" s="50"/>
      <c r="AL1020" s="91" t="str">
        <f t="shared" si="792"/>
        <v/>
      </c>
      <c r="AM1020" s="50" t="str">
        <f t="shared" si="793"/>
        <v/>
      </c>
      <c r="AN1020" s="19" t="str">
        <f t="shared" si="813"/>
        <v/>
      </c>
      <c r="AO1020" s="20" t="str">
        <f t="shared" si="814"/>
        <v/>
      </c>
      <c r="AP1020" s="87"/>
    </row>
    <row r="1021" spans="1:42" ht="15" customHeight="1" thickTop="1">
      <c r="A1021" s="4">
        <v>31</v>
      </c>
      <c r="B1021" s="8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10"/>
      <c r="N1021" s="11"/>
      <c r="O1021" s="2"/>
      <c r="P1021" s="65"/>
      <c r="Q1021" s="84" t="s">
        <v>17</v>
      </c>
      <c r="R1021" s="44">
        <f>SUM(R965:R1017)*100</f>
        <v>347300</v>
      </c>
      <c r="S1021" s="44"/>
      <c r="T1021" s="44">
        <f>SUM(T965:T1017)</f>
        <v>146</v>
      </c>
      <c r="U1021" s="84" t="s">
        <v>18</v>
      </c>
      <c r="V1021" s="44">
        <f>SUM(V965:V1017)</f>
        <v>207</v>
      </c>
      <c r="W1021" s="44"/>
      <c r="X1021" s="195" t="s">
        <v>19</v>
      </c>
      <c r="Y1021" s="195"/>
      <c r="Z1021" s="44">
        <f>SUM(Z965:Z1017)</f>
        <v>108486</v>
      </c>
      <c r="AA1021" s="44"/>
      <c r="AB1021" s="69"/>
      <c r="AD1021" s="65"/>
      <c r="AE1021" s="84" t="s">
        <v>17</v>
      </c>
      <c r="AF1021" s="44">
        <f>SUM(AF965:AF1017)*100</f>
        <v>388700</v>
      </c>
      <c r="AG1021" s="44"/>
      <c r="AH1021" s="44">
        <f>SUM(AH965:AH1017)</f>
        <v>97</v>
      </c>
      <c r="AI1021" s="84" t="s">
        <v>18</v>
      </c>
      <c r="AJ1021" s="44">
        <f>SUM(AJ965:AJ1017)</f>
        <v>157</v>
      </c>
      <c r="AK1021" s="44"/>
      <c r="AL1021" s="195" t="s">
        <v>19</v>
      </c>
      <c r="AM1021" s="195"/>
      <c r="AN1021" s="44">
        <f>SUM(AN965:AN1017)</f>
        <v>39913</v>
      </c>
      <c r="AO1021" s="44"/>
      <c r="AP1021" s="69"/>
    </row>
    <row r="1022" spans="1:42" ht="15" customHeight="1">
      <c r="A1022" s="96" t="e">
        <f>DATEDIF(#REF!,A$973,"d")</f>
        <v>#REF!</v>
      </c>
      <c r="B1022" s="8">
        <f>SUM(B965:B1021)</f>
        <v>9225</v>
      </c>
      <c r="C1022" s="5" t="s">
        <v>17</v>
      </c>
      <c r="D1022" s="9">
        <f>SUM(D965:D1018)*100</f>
        <v>186500</v>
      </c>
      <c r="E1022" s="9"/>
      <c r="F1022" s="9">
        <f>SUM(F965:F1013)</f>
        <v>140</v>
      </c>
      <c r="G1022" s="5" t="s">
        <v>18</v>
      </c>
      <c r="H1022" s="9">
        <f>SUM(H965:H1013)</f>
        <v>154</v>
      </c>
      <c r="I1022" s="9"/>
      <c r="J1022" s="9"/>
      <c r="K1022" s="9"/>
      <c r="L1022" s="9"/>
      <c r="M1022" s="9"/>
      <c r="N1022" s="11"/>
      <c r="O1022" s="2"/>
      <c r="P1022" s="25"/>
      <c r="Q1022" s="5" t="s">
        <v>20</v>
      </c>
      <c r="R1022" s="9" t="e">
        <f>R1021/$A1022</f>
        <v>#REF!</v>
      </c>
      <c r="S1022" s="9" t="e">
        <f>R1022*A1021</f>
        <v>#REF!</v>
      </c>
      <c r="T1022" s="9"/>
      <c r="U1022" s="5"/>
      <c r="V1022" s="9"/>
      <c r="W1022" s="9"/>
      <c r="X1022" s="178" t="s">
        <v>21</v>
      </c>
      <c r="Y1022" s="178"/>
      <c r="Z1022" s="9"/>
      <c r="AA1022" s="28">
        <f>Z1021/R1021</f>
        <v>0.31236970918514251</v>
      </c>
      <c r="AB1022" s="11"/>
      <c r="AD1022" s="40"/>
      <c r="AE1022" s="5" t="s">
        <v>20</v>
      </c>
      <c r="AF1022" s="9" t="e">
        <f>AF1021/$A1022</f>
        <v>#REF!</v>
      </c>
      <c r="AG1022" s="9" t="e">
        <f>AF1022*A1021</f>
        <v>#REF!</v>
      </c>
      <c r="AH1022" s="9"/>
      <c r="AI1022" s="5"/>
      <c r="AJ1022" s="9"/>
      <c r="AK1022" s="9"/>
      <c r="AL1022" s="178" t="s">
        <v>21</v>
      </c>
      <c r="AM1022" s="178"/>
      <c r="AN1022" s="9"/>
      <c r="AO1022" s="28">
        <f>AN1021/AF1021</f>
        <v>0.10268330331875482</v>
      </c>
      <c r="AP1022" s="11"/>
    </row>
    <row r="1023" spans="1:42" ht="15" customHeight="1">
      <c r="A1023" s="97" t="s">
        <v>33</v>
      </c>
      <c r="B1023" s="8" t="e">
        <f>B1022/A1022</f>
        <v>#REF!</v>
      </c>
      <c r="C1023" s="5" t="s">
        <v>20</v>
      </c>
      <c r="D1023" s="9" t="e">
        <f>D1022/A1022</f>
        <v>#REF!</v>
      </c>
      <c r="E1023" s="9" t="e">
        <f>D1023*A1021</f>
        <v>#REF!</v>
      </c>
      <c r="F1023" s="9"/>
      <c r="G1023" s="5"/>
      <c r="H1023" s="9"/>
      <c r="I1023" s="9"/>
      <c r="J1023" s="9"/>
      <c r="K1023" s="9"/>
      <c r="L1023" s="9"/>
      <c r="M1023" s="9"/>
      <c r="N1023" s="11"/>
      <c r="O1023" s="2"/>
      <c r="P1023" s="12"/>
      <c r="Q1023" s="58" t="s">
        <v>23</v>
      </c>
      <c r="R1023" s="9">
        <f>R1021*0.6</f>
        <v>208380</v>
      </c>
      <c r="S1023" s="9"/>
      <c r="T1023" s="9"/>
      <c r="U1023" s="5"/>
      <c r="V1023" s="9"/>
      <c r="W1023" s="9"/>
      <c r="X1023" s="178" t="s">
        <v>24</v>
      </c>
      <c r="Y1023" s="178"/>
      <c r="Z1023" s="9">
        <f>R1023-Z1021</f>
        <v>99894</v>
      </c>
      <c r="AA1023" s="28">
        <f>Z1023/R1021</f>
        <v>0.28763029081485747</v>
      </c>
      <c r="AB1023" s="11"/>
      <c r="AD1023" s="12"/>
      <c r="AE1023" s="58" t="s">
        <v>23</v>
      </c>
      <c r="AF1023" s="9">
        <f>AF1021*0.6</f>
        <v>233220</v>
      </c>
      <c r="AG1023" s="9"/>
      <c r="AH1023" s="9"/>
      <c r="AI1023" s="5"/>
      <c r="AJ1023" s="9"/>
      <c r="AK1023" s="9"/>
      <c r="AL1023" s="178" t="s">
        <v>24</v>
      </c>
      <c r="AM1023" s="178"/>
      <c r="AN1023" s="9">
        <f>AF1023-AN1021</f>
        <v>193307</v>
      </c>
      <c r="AO1023" s="28">
        <f>AN1023/AF1021</f>
        <v>0.49731669668124517</v>
      </c>
      <c r="AP1023" s="11"/>
    </row>
    <row r="1024" spans="1:42" ht="15" customHeight="1">
      <c r="A1024" s="12"/>
      <c r="B1024" s="8" t="e">
        <f>B1023*30</f>
        <v>#REF!</v>
      </c>
      <c r="C1024" s="5" t="s">
        <v>23</v>
      </c>
      <c r="D1024" s="9">
        <f>D1022*0.6</f>
        <v>111900</v>
      </c>
      <c r="E1024" s="9"/>
      <c r="F1024" s="9"/>
      <c r="G1024" s="180" t="s">
        <v>27</v>
      </c>
      <c r="H1024" s="180"/>
      <c r="I1024" s="9">
        <f>(G973+I973)*K973</f>
        <v>15400</v>
      </c>
      <c r="J1024" s="9"/>
      <c r="K1024" s="9"/>
      <c r="L1024" s="9"/>
      <c r="M1024" s="9"/>
      <c r="N1024" s="11"/>
      <c r="O1024" s="2"/>
      <c r="P1024" s="65"/>
      <c r="Q1024" s="5" t="s">
        <v>25</v>
      </c>
      <c r="R1024" s="9" t="e">
        <f>#REF!</f>
        <v>#REF!</v>
      </c>
      <c r="S1024" s="9"/>
      <c r="T1024" s="9"/>
      <c r="U1024" s="5"/>
      <c r="V1024" s="9"/>
      <c r="W1024" s="17"/>
      <c r="X1024" s="182" t="s">
        <v>27</v>
      </c>
      <c r="Y1024" s="182"/>
      <c r="Z1024" s="44">
        <f>(U997+W997)*Y997+(U998+W998)*Y998+(U999+W999)*Y999+(U1000+W1000)*Y1000</f>
        <v>58454</v>
      </c>
      <c r="AA1024" s="10"/>
      <c r="AB1024" s="11"/>
      <c r="AD1024" s="65"/>
      <c r="AE1024" s="5" t="s">
        <v>25</v>
      </c>
      <c r="AF1024" s="9" t="e">
        <f>#REF!</f>
        <v>#REF!</v>
      </c>
      <c r="AG1024" s="9"/>
      <c r="AH1024" s="9"/>
      <c r="AI1024" s="5"/>
      <c r="AJ1024" s="9"/>
      <c r="AK1024" s="17"/>
      <c r="AL1024" s="182" t="s">
        <v>27</v>
      </c>
      <c r="AM1024" s="182"/>
      <c r="AN1024" s="44">
        <f>(AI997+AK997)*AM997+(AI998+AK998)*AM998+(AI999+AK999)*AM999+(AI1000+AK1000)*AM1000</f>
        <v>51453</v>
      </c>
      <c r="AO1024" s="10"/>
      <c r="AP1024" s="11"/>
    </row>
    <row r="1025" spans="1:42" ht="15" customHeight="1">
      <c r="A1025" s="12"/>
      <c r="B1025" s="8"/>
      <c r="C1025" s="5" t="s">
        <v>25</v>
      </c>
      <c r="D1025" s="9" t="e">
        <f>#REF!</f>
        <v>#REF!</v>
      </c>
      <c r="E1025" s="9"/>
      <c r="F1025" s="9"/>
      <c r="G1025" s="5" t="s">
        <v>22</v>
      </c>
      <c r="H1025" s="9">
        <f>SUM(L965:L1018)</f>
        <v>59290</v>
      </c>
      <c r="I1025" s="28">
        <f>H1025/D1022</f>
        <v>0.31790884718498658</v>
      </c>
      <c r="J1025" s="28"/>
      <c r="K1025" s="9"/>
      <c r="L1025" s="9"/>
      <c r="M1025" s="9"/>
      <c r="N1025" s="11"/>
      <c r="O1025" s="2"/>
      <c r="P1025" s="65"/>
      <c r="Q1025" s="5"/>
      <c r="R1025" s="9"/>
      <c r="S1025" s="9"/>
      <c r="T1025" s="9"/>
      <c r="U1025" s="5"/>
      <c r="V1025" s="9"/>
      <c r="W1025" s="17"/>
      <c r="X1025" s="100"/>
      <c r="Y1025" s="103"/>
      <c r="Z1025" s="62"/>
      <c r="AA1025" s="10"/>
      <c r="AB1025" s="11"/>
      <c r="AD1025" s="65"/>
      <c r="AE1025" s="5"/>
      <c r="AF1025" s="9"/>
      <c r="AG1025" s="9"/>
      <c r="AH1025" s="9"/>
      <c r="AI1025" s="5"/>
      <c r="AJ1025" s="9"/>
      <c r="AK1025" s="17"/>
      <c r="AL1025" s="100"/>
      <c r="AM1025" s="103"/>
      <c r="AN1025" s="62"/>
      <c r="AO1025" s="10"/>
      <c r="AP1025" s="11"/>
    </row>
    <row r="1026" spans="1:42" ht="15" customHeight="1">
      <c r="A1026" s="12"/>
      <c r="B1026" s="8"/>
      <c r="C1026" s="58"/>
      <c r="D1026" s="9"/>
      <c r="E1026" s="9"/>
      <c r="F1026" s="9"/>
      <c r="G1026" s="30" t="s">
        <v>24</v>
      </c>
      <c r="H1026" s="26">
        <f>D1024-H1025</f>
        <v>52610</v>
      </c>
      <c r="I1026" s="28">
        <f>H1026/D1022</f>
        <v>0.2820911528150134</v>
      </c>
      <c r="J1026" s="28"/>
      <c r="K1026" s="9"/>
      <c r="L1026" s="9"/>
      <c r="M1026" s="9"/>
      <c r="N1026" s="11"/>
      <c r="O1026" s="2"/>
      <c r="P1026" s="65"/>
      <c r="Q1026" s="5"/>
      <c r="R1026" s="9"/>
      <c r="S1026" s="9"/>
      <c r="T1026" s="9"/>
      <c r="U1026" s="5"/>
      <c r="V1026" s="9"/>
      <c r="W1026" s="17"/>
      <c r="X1026" s="100"/>
      <c r="Y1026" s="103"/>
      <c r="Z1026" s="62"/>
      <c r="AA1026" s="10"/>
      <c r="AB1026" s="11"/>
      <c r="AD1026" s="65"/>
      <c r="AE1026" s="5"/>
      <c r="AF1026" s="9"/>
      <c r="AG1026" s="9"/>
      <c r="AH1026" s="9"/>
      <c r="AI1026" s="5"/>
      <c r="AJ1026" s="9"/>
      <c r="AK1026" s="17"/>
      <c r="AL1026" s="100"/>
      <c r="AM1026" s="103"/>
      <c r="AN1026" s="62"/>
      <c r="AO1026" s="10"/>
      <c r="AP1026" s="11"/>
    </row>
    <row r="1027" spans="1:42" ht="15" customHeight="1">
      <c r="A1027" s="33"/>
      <c r="B1027" s="32"/>
      <c r="C1027" s="58"/>
      <c r="D1027" s="9"/>
      <c r="E1027" s="9"/>
      <c r="F1027" s="9"/>
      <c r="G1027" s="104"/>
      <c r="H1027" s="106"/>
      <c r="I1027" s="28"/>
      <c r="J1027" s="28"/>
      <c r="K1027" s="9"/>
      <c r="L1027" s="9"/>
      <c r="M1027" s="9"/>
      <c r="N1027" s="11"/>
      <c r="O1027" s="2"/>
      <c r="P1027" s="65"/>
      <c r="Q1027" s="5"/>
      <c r="R1027" s="9"/>
      <c r="S1027" s="1"/>
      <c r="T1027" s="9"/>
      <c r="U1027" s="5"/>
      <c r="V1027" s="9"/>
      <c r="W1027" s="17"/>
      <c r="X1027" s="100"/>
      <c r="Y1027" s="103"/>
      <c r="Z1027" s="62"/>
      <c r="AA1027" s="10"/>
      <c r="AB1027" s="11"/>
      <c r="AD1027" s="65"/>
      <c r="AE1027" s="5"/>
      <c r="AF1027" s="9"/>
      <c r="AG1027" s="1"/>
      <c r="AH1027" s="9"/>
      <c r="AI1027" s="5"/>
      <c r="AJ1027" s="9"/>
      <c r="AK1027" s="17"/>
      <c r="AL1027" s="100"/>
      <c r="AM1027" s="103"/>
      <c r="AN1027" s="62"/>
      <c r="AO1027" s="10"/>
      <c r="AP1027" s="11"/>
    </row>
    <row r="1028" spans="1:42" ht="15" customHeight="1">
      <c r="A1028" s="98"/>
      <c r="B1028" s="99"/>
      <c r="C1028" s="5"/>
      <c r="D1028" s="9"/>
      <c r="E1028" s="9"/>
      <c r="F1028" s="9"/>
      <c r="G1028" s="27"/>
      <c r="H1028" s="17"/>
      <c r="I1028" s="28"/>
      <c r="J1028" s="28"/>
      <c r="K1028" s="10"/>
      <c r="L1028" s="10"/>
      <c r="M1028" s="10"/>
      <c r="N1028" s="11"/>
      <c r="O1028" s="2"/>
      <c r="P1028" s="12"/>
      <c r="Q1028" s="9"/>
      <c r="R1028" s="9"/>
      <c r="T1028" s="9"/>
      <c r="U1028" s="5"/>
      <c r="V1028" s="9"/>
      <c r="W1028" s="9"/>
      <c r="X1028" s="41"/>
      <c r="Y1028" s="67"/>
      <c r="Z1028" s="10"/>
      <c r="AA1028" s="10"/>
      <c r="AB1028" s="11"/>
      <c r="AD1028" s="12"/>
      <c r="AE1028" s="9"/>
      <c r="AF1028" s="9"/>
      <c r="AH1028" s="9"/>
      <c r="AI1028" s="5"/>
      <c r="AJ1028" s="9"/>
      <c r="AK1028" s="9"/>
      <c r="AL1028" s="54"/>
      <c r="AM1028" s="67"/>
      <c r="AN1028" s="10"/>
      <c r="AO1028" s="10"/>
      <c r="AP1028" s="11"/>
    </row>
    <row r="1029" spans="1:42" ht="15" customHeight="1">
      <c r="A1029" s="198" t="s">
        <v>43</v>
      </c>
      <c r="B1029" s="198"/>
      <c r="C1029" s="192" t="s">
        <v>46</v>
      </c>
      <c r="D1029" s="192"/>
      <c r="E1029" s="192" t="s">
        <v>47</v>
      </c>
      <c r="F1029" s="192"/>
      <c r="G1029" s="102"/>
      <c r="H1029" s="93"/>
      <c r="I1029" s="101"/>
      <c r="J1029" s="101"/>
      <c r="K1029" s="10"/>
      <c r="L1029" s="10"/>
      <c r="M1029" s="10"/>
      <c r="N1029" s="11"/>
      <c r="O1029" s="2"/>
      <c r="P1029" s="79"/>
      <c r="Q1029" s="45"/>
      <c r="R1029" s="9"/>
      <c r="S1029" s="5" t="s">
        <v>20</v>
      </c>
      <c r="T1029" s="9"/>
      <c r="U1029" s="5"/>
      <c r="V1029" s="9"/>
      <c r="W1029" s="9"/>
      <c r="X1029" s="41"/>
      <c r="Y1029" s="67"/>
      <c r="Z1029" s="10"/>
      <c r="AA1029" s="10"/>
      <c r="AB1029" s="11"/>
      <c r="AD1029" s="79"/>
      <c r="AE1029" s="45"/>
      <c r="AF1029" s="9"/>
      <c r="AG1029" s="5" t="s">
        <v>20</v>
      </c>
      <c r="AH1029" s="9"/>
      <c r="AI1029" s="5"/>
      <c r="AJ1029" s="9"/>
      <c r="AK1029" s="9"/>
      <c r="AL1029" s="54"/>
      <c r="AM1029" s="67"/>
      <c r="AN1029" s="10"/>
      <c r="AO1029" s="10"/>
      <c r="AP1029" s="11"/>
    </row>
    <row r="1030" spans="1:42">
      <c r="A1030" s="199" t="e">
        <f>E1023+S1022+AG1022</f>
        <v>#REF!</v>
      </c>
      <c r="B1030" s="199"/>
      <c r="C1030" s="194">
        <f>H1025+Z1021+AN1021</f>
        <v>207689</v>
      </c>
      <c r="D1030" s="194"/>
      <c r="E1030" s="194">
        <f>I1024+Z1024+AN1024</f>
        <v>125307</v>
      </c>
      <c r="F1030" s="194"/>
      <c r="G1030" s="84"/>
      <c r="H1030" s="44"/>
      <c r="I1030" s="28"/>
      <c r="J1030" s="28"/>
      <c r="K1030" s="10"/>
      <c r="L1030" s="10"/>
      <c r="M1030" s="10"/>
      <c r="N1030" s="11"/>
      <c r="O1030" s="2"/>
      <c r="P1030" s="165" t="s">
        <v>26</v>
      </c>
      <c r="Q1030" s="165"/>
      <c r="R1030" s="29">
        <f>SUM(R965,R969,R973,R977,R981,R985,R990,R993,R997,R1001,R1005,R1009,R1013)*100</f>
        <v>65900</v>
      </c>
      <c r="S1030" s="45" t="e">
        <f>R1030/#REF!</f>
        <v>#REF!</v>
      </c>
      <c r="T1030" s="9"/>
      <c r="U1030" s="5">
        <f>R1030/V1030</f>
        <v>2865.217391304348</v>
      </c>
      <c r="V1030" s="29">
        <f>SUM(V965,V969,V973,V977,V981,V985,V990,V993,V997,V1001,V1005,V1009,V1013)</f>
        <v>23</v>
      </c>
      <c r="W1030" s="9"/>
      <c r="X1030" s="64" t="str">
        <f t="shared" ref="X1030:Y1033" si="815">X965</f>
        <v>猫アイシャドウ</v>
      </c>
      <c r="Y1030" s="62">
        <f t="shared" si="815"/>
        <v>1034</v>
      </c>
      <c r="Z1030" s="29">
        <f>SUM(Z965,Z969,Z973,Z977,Z981,Z985,Z990,Z993,Z997,Z1001,Z1005,Z1009,Z1013)</f>
        <v>23914</v>
      </c>
      <c r="AA1030" s="28">
        <f>Z1030/R1030</f>
        <v>0.36288315629742035</v>
      </c>
      <c r="AB1030" s="11"/>
      <c r="AC1030" s="16"/>
      <c r="AD1030" s="165" t="s">
        <v>26</v>
      </c>
      <c r="AE1030" s="165"/>
      <c r="AF1030" s="29">
        <f>SUM(AF965,AF969,AF973,AF977,AF981,AF985,AF989,AF993,AF997,AF1001,AF1005,AF1009,AF1013)*100</f>
        <v>97500</v>
      </c>
      <c r="AG1030" s="45" t="e">
        <f>AF1030/#REF!</f>
        <v>#REF!</v>
      </c>
      <c r="AH1030" s="9"/>
      <c r="AI1030" s="5">
        <f>AF1030/AJ1030</f>
        <v>3362.0689655172414</v>
      </c>
      <c r="AJ1030" s="29">
        <f>SUM(AJ965,AJ969,AJ973,AJ977,AJ981,AJ985,AJ990,AJ993,AJ997,AJ1001,AJ1005,AJ1009,AJ1013)</f>
        <v>29</v>
      </c>
      <c r="AK1030" s="9"/>
      <c r="AL1030" s="61" t="str">
        <f t="shared" ref="AL1030:AM1033" si="816">AL965</f>
        <v>ミニ香水</v>
      </c>
      <c r="AM1030" s="62">
        <f t="shared" si="816"/>
        <v>1100</v>
      </c>
      <c r="AN1030" s="29">
        <f>SUM(AN965,AN969,AN973,AN977,AN981,AN985,AN990,AN993,AN997,AN1001,AN1005,AN1009,AN1013)</f>
        <v>11826</v>
      </c>
      <c r="AO1030" s="28">
        <f>AN1030/AF1030</f>
        <v>0.12129230769230769</v>
      </c>
      <c r="AP1030" s="11"/>
    </row>
    <row r="1031" spans="1:42">
      <c r="A1031" s="95"/>
      <c r="B1031" s="95"/>
      <c r="C1031" s="45"/>
      <c r="D1031" s="105" t="e">
        <f>C1030/A1030</f>
        <v>#REF!</v>
      </c>
      <c r="E1031" s="9"/>
      <c r="F1031" s="9"/>
      <c r="G1031" s="5"/>
      <c r="H1031" s="9"/>
      <c r="I1031" s="9"/>
      <c r="J1031" s="9"/>
      <c r="K1031" s="9"/>
      <c r="L1031" s="9"/>
      <c r="M1031" s="9"/>
      <c r="N1031" s="11"/>
      <c r="O1031" s="2"/>
      <c r="P1031" s="165" t="s">
        <v>26</v>
      </c>
      <c r="Q1031" s="165"/>
      <c r="R1031" s="29">
        <f>SUM(R966,R970,R974,R978,R982,R986,R989,R994,R998,R1002,R1006,R1010,R1014)*100</f>
        <v>69300</v>
      </c>
      <c r="S1031" s="45" t="e">
        <f>R1031/#REF!</f>
        <v>#REF!</v>
      </c>
      <c r="T1031" s="9"/>
      <c r="U1031" s="5">
        <f>R1031/V1031</f>
        <v>4331.25</v>
      </c>
      <c r="V1031" s="29">
        <f>SUM(V966,V970,V974,V978,V982,V986,V989,V994,V998,V1002,V1006,V1010,V1014)</f>
        <v>16</v>
      </c>
      <c r="W1031" s="9"/>
      <c r="X1031" s="64" t="str">
        <f t="shared" si="815"/>
        <v>ロムアンド</v>
      </c>
      <c r="Y1031" s="62">
        <f t="shared" si="815"/>
        <v>1001</v>
      </c>
      <c r="Z1031" s="29">
        <f>SUM(Z966,Z970,Z974,Z978,Z982,Z986,Z989,Z994,Z998,Z1002,Z1006,Z1010,Z1014)</f>
        <v>16676</v>
      </c>
      <c r="AA1031" s="28">
        <f>Z1031/R1031</f>
        <v>0.24063492063492065</v>
      </c>
      <c r="AB1031" s="11"/>
      <c r="AC1031" s="1"/>
      <c r="AD1031" s="165" t="s">
        <v>26</v>
      </c>
      <c r="AE1031" s="165"/>
      <c r="AF1031" s="29">
        <f>SUM(AF966,AF970,AF974,AF978,AF982,AF986,AF990,AF994,AF998,AF1002,AF1006,AF1010,AF1014)*100</f>
        <v>94700</v>
      </c>
      <c r="AG1031" s="45" t="e">
        <f>AF1031/#REF!</f>
        <v>#REF!</v>
      </c>
      <c r="AH1031" s="9"/>
      <c r="AI1031" s="5">
        <f>AF1031/AJ1031</f>
        <v>7891.666666666667</v>
      </c>
      <c r="AJ1031" s="29">
        <f>SUM(AJ966,AJ970,AJ974,AJ978,AJ982,AJ986,AJ989,AJ994,AJ998,AJ1002,AJ1006,AJ1010,AJ1014)</f>
        <v>12</v>
      </c>
      <c r="AK1031" s="9"/>
      <c r="AL1031" s="61" t="str">
        <f t="shared" si="816"/>
        <v>ジャグラーボタン</v>
      </c>
      <c r="AM1031" s="62">
        <f t="shared" si="816"/>
        <v>748</v>
      </c>
      <c r="AN1031" s="29">
        <f>SUM(AN966,AN970,AN974,AN978,AN982,AN986,AN989,AN994,AN998,AN1002,AN1006,AN1010,AN1014)</f>
        <v>8938</v>
      </c>
      <c r="AO1031" s="28">
        <f>AN1031/AF1031</f>
        <v>9.4382259767687438E-2</v>
      </c>
      <c r="AP1031" s="11"/>
    </row>
    <row r="1032" spans="1:42">
      <c r="A1032" s="95"/>
      <c r="B1032" s="95"/>
      <c r="C1032" s="45"/>
      <c r="D1032" s="9"/>
      <c r="E1032" s="9"/>
      <c r="F1032" s="9"/>
      <c r="G1032" s="5"/>
      <c r="H1032" s="9"/>
      <c r="I1032" s="9"/>
      <c r="J1032" s="9"/>
      <c r="K1032" s="9"/>
      <c r="L1032" s="9"/>
      <c r="M1032" s="9"/>
      <c r="N1032" s="11"/>
      <c r="O1032" s="2"/>
      <c r="P1032" s="165" t="s">
        <v>26</v>
      </c>
      <c r="Q1032" s="165"/>
      <c r="R1032" s="29">
        <f>SUM(R967,R971,R975,R979,R983,R987,R991,R995,R999,R1003,R1007,R1011,R1015)*100</f>
        <v>107700</v>
      </c>
      <c r="S1032" s="45" t="e">
        <f>R1032/#REF!</f>
        <v>#REF!</v>
      </c>
      <c r="T1032" s="9"/>
      <c r="U1032" s="5">
        <f>R1032/V1032</f>
        <v>1055.8823529411766</v>
      </c>
      <c r="V1032" s="29">
        <f>SUM(V967,V971,V975,V980,V983,V987,V991,V995,V999,V1003,V1007,V1011,V1015)</f>
        <v>102</v>
      </c>
      <c r="W1032" s="9"/>
      <c r="X1032" s="64" t="str">
        <f t="shared" si="815"/>
        <v>サンリオブレスレット</v>
      </c>
      <c r="Y1032" s="62">
        <f t="shared" si="815"/>
        <v>132</v>
      </c>
      <c r="Z1032" s="29">
        <f>SUM(Z967,Z971,Z975,Z980,Z983,Z987,Z991,Z995,Z999,Z1003,Z1007,Z1011,Z1015)</f>
        <v>26556</v>
      </c>
      <c r="AA1032" s="28">
        <f>Z1032/R1032</f>
        <v>0.24657381615598886</v>
      </c>
      <c r="AB1032" s="11"/>
      <c r="AC1032" s="1"/>
      <c r="AD1032" s="165" t="s">
        <v>26</v>
      </c>
      <c r="AE1032" s="165"/>
      <c r="AF1032" s="29">
        <f>SUM(AF967,AF971,AF975,AF979,AF983,AF987,AF991,AF995,AF999,AF1003,AF1007,AF1011,AF1015)*100</f>
        <v>112500</v>
      </c>
      <c r="AG1032" s="45" t="e">
        <f>AF1032/#REF!</f>
        <v>#REF!</v>
      </c>
      <c r="AH1032" s="9"/>
      <c r="AI1032" s="5">
        <f>AF1032/AJ1032</f>
        <v>2812.5</v>
      </c>
      <c r="AJ1032" s="29">
        <f>SUM(AJ967,AJ971,AJ975,AJ980,AJ983,AJ987,AJ991,AJ995,AJ999,AJ1003,AJ1007,AJ1011,AJ1015)</f>
        <v>40</v>
      </c>
      <c r="AK1032" s="9"/>
      <c r="AL1032" s="61" t="str">
        <f t="shared" si="816"/>
        <v>2CBC</v>
      </c>
      <c r="AM1032" s="62">
        <f t="shared" si="816"/>
        <v>748</v>
      </c>
      <c r="AN1032" s="29">
        <f>SUM(AN967,AN971,AN975,AN980,AN983,AN987,AN991,AN995,AN999,AN1003,AN1007,AN1011,AN1015)</f>
        <v>9724</v>
      </c>
      <c r="AO1032" s="28">
        <f>AN1032/AF1032</f>
        <v>8.6435555555555557E-2</v>
      </c>
      <c r="AP1032" s="11"/>
    </row>
    <row r="1033" spans="1:42">
      <c r="A1033" s="95"/>
      <c r="B1033" s="95"/>
      <c r="C1033" s="45"/>
      <c r="D1033" s="9"/>
      <c r="E1033" s="9"/>
      <c r="F1033" s="9"/>
      <c r="G1033" s="5"/>
      <c r="H1033" s="9"/>
      <c r="I1033" s="9"/>
      <c r="J1033" s="9"/>
      <c r="K1033" s="9"/>
      <c r="L1033" s="9"/>
      <c r="M1033" s="9"/>
      <c r="N1033" s="11"/>
      <c r="O1033" s="2"/>
      <c r="P1033" s="165" t="s">
        <v>26</v>
      </c>
      <c r="Q1033" s="165"/>
      <c r="R1033" s="29">
        <f>SUM(R968,R972,R976,R980,R984,R988,R992,R996,R1000,R1004,R1008,R1012,R1016)*100</f>
        <v>104400</v>
      </c>
      <c r="S1033" s="45" t="e">
        <f>R1033/#REF!</f>
        <v>#REF!</v>
      </c>
      <c r="T1033" s="9"/>
      <c r="U1033" s="5">
        <f>R1033/V1033</f>
        <v>1581.8181818181818</v>
      </c>
      <c r="V1033" s="29">
        <f>SUM(V968,V972,V976,V979,V984,V988,V992,V996,V1000,V1004,V1008,V1012,V1016)</f>
        <v>66</v>
      </c>
      <c r="W1033" s="9"/>
      <c r="X1033" s="64" t="str">
        <f t="shared" si="815"/>
        <v>NICI</v>
      </c>
      <c r="Y1033" s="62">
        <f t="shared" si="815"/>
        <v>750</v>
      </c>
      <c r="Z1033" s="29">
        <f>SUM(Z968,Z972,Z976,Z979,Z984,Z988,Z992,Z996,Z1000,Z1004,Z1008,Z1012,Z1016)</f>
        <v>41340</v>
      </c>
      <c r="AA1033" s="28">
        <f>Z1033/R1033</f>
        <v>0.39597701149425285</v>
      </c>
      <c r="AB1033" s="11"/>
      <c r="AC1033" s="1"/>
      <c r="AD1033" s="165" t="s">
        <v>26</v>
      </c>
      <c r="AE1033" s="165"/>
      <c r="AF1033" s="29">
        <f>SUM(AF968,AF972,AF976,AF980,AF984,AF988,AF992,AF996,AF1000,AF1004,AF1008,AF1012,AF1016)*100</f>
        <v>84000</v>
      </c>
      <c r="AG1033" s="45" t="e">
        <f>AF1033/#REF!</f>
        <v>#REF!</v>
      </c>
      <c r="AH1033" s="9"/>
      <c r="AI1033" s="5">
        <f>AF1033/AJ1033</f>
        <v>1105.2631578947369</v>
      </c>
      <c r="AJ1033" s="29">
        <f>SUM(AJ968,AJ972,AJ976,AJ979,AJ984,AJ988,AJ992,AJ996,AJ1000,AJ1004,AJ1008,AJ1012,AJ1016)</f>
        <v>76</v>
      </c>
      <c r="AK1033" s="9"/>
      <c r="AL1033" s="61" t="str">
        <f t="shared" si="816"/>
        <v>じゃがりこイヤホン</v>
      </c>
      <c r="AM1033" s="62">
        <f t="shared" si="816"/>
        <v>1100</v>
      </c>
      <c r="AN1033" s="29">
        <f>SUM(AN968,AN972,AN976,AN979,AN984,AN988,AN992,AN996,AN1000,AN1004,AN1008,AN1012,AN1016)</f>
        <v>9425</v>
      </c>
      <c r="AO1033" s="28">
        <f>AN1033/AF1033</f>
        <v>0.11220238095238096</v>
      </c>
      <c r="AP1033" s="11"/>
    </row>
    <row r="1034" spans="1:42">
      <c r="A1034" s="95"/>
      <c r="B1034" s="95"/>
      <c r="C1034" s="45"/>
      <c r="D1034" s="9"/>
      <c r="E1034" s="9"/>
      <c r="F1034" s="9"/>
      <c r="G1034" s="5"/>
      <c r="H1034" s="9"/>
      <c r="I1034" s="9"/>
      <c r="J1034" s="9"/>
      <c r="K1034" s="9"/>
      <c r="L1034" s="9"/>
      <c r="M1034" s="9"/>
      <c r="N1034" s="11"/>
      <c r="O1034" s="2"/>
      <c r="P1034" s="12"/>
      <c r="Q1034" s="5" t="s">
        <v>17</v>
      </c>
      <c r="R1034" s="9">
        <f>SUM(R1030:R1033)</f>
        <v>347300</v>
      </c>
      <c r="S1034" s="45" t="e">
        <f>R1034/#REF!</f>
        <v>#REF!</v>
      </c>
      <c r="T1034" s="9"/>
      <c r="U1034" s="9"/>
      <c r="V1034" s="9">
        <f>SUM(V1030:V1033)</f>
        <v>207</v>
      </c>
      <c r="W1034" s="9"/>
      <c r="X1034" s="163" t="s">
        <v>28</v>
      </c>
      <c r="Y1034" s="163"/>
      <c r="Z1034" s="44">
        <f>SUM(Z1030:Z1033)</f>
        <v>108486</v>
      </c>
      <c r="AA1034" s="68">
        <f>Z1034/R1034</f>
        <v>0.31236970918514251</v>
      </c>
      <c r="AB1034" s="69"/>
      <c r="AC1034" s="1"/>
      <c r="AD1034" s="12"/>
      <c r="AE1034" s="5" t="s">
        <v>17</v>
      </c>
      <c r="AF1034" s="9">
        <f>SUM(AF1030:AF1033)</f>
        <v>388700</v>
      </c>
      <c r="AG1034" s="45" t="e">
        <f>AF1034/#REF!</f>
        <v>#REF!</v>
      </c>
      <c r="AH1034" s="9"/>
      <c r="AI1034" s="9"/>
      <c r="AJ1034" s="9">
        <f>SUM(AJ1030:AJ1033)</f>
        <v>157</v>
      </c>
      <c r="AK1034" s="9"/>
      <c r="AL1034" s="163" t="s">
        <v>28</v>
      </c>
      <c r="AM1034" s="163"/>
      <c r="AN1034" s="44">
        <f>SUM(AN1030:AN1033)</f>
        <v>39913</v>
      </c>
      <c r="AO1034" s="68">
        <f>AN1034/AF1034</f>
        <v>0.10268330331875482</v>
      </c>
      <c r="AP1034" s="11"/>
    </row>
    <row r="1035" spans="1:42">
      <c r="A1035" s="14"/>
      <c r="B1035" s="76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2"/>
      <c r="P1035" s="33"/>
      <c r="Q1035" s="2"/>
      <c r="R1035" s="2"/>
      <c r="S1035" s="2"/>
      <c r="T1035" s="2"/>
      <c r="U1035" s="2"/>
      <c r="V1035" s="2"/>
      <c r="W1035" s="2"/>
      <c r="X1035" s="43"/>
      <c r="Y1035" s="2"/>
      <c r="Z1035" s="2"/>
      <c r="AA1035" s="2"/>
      <c r="AB1035" s="42"/>
      <c r="AC1035" s="1"/>
      <c r="AD1035" s="33"/>
      <c r="AE1035" s="2"/>
      <c r="AF1035" s="2"/>
      <c r="AG1035" s="2"/>
      <c r="AH1035" s="2"/>
      <c r="AI1035" s="2"/>
      <c r="AJ1035" s="2"/>
      <c r="AK1035" s="2"/>
      <c r="AL1035" s="55"/>
      <c r="AM1035" s="2"/>
      <c r="AN1035" s="2"/>
      <c r="AO1035" s="2"/>
      <c r="AP1035" s="42"/>
    </row>
    <row r="1036" spans="1:42" ht="15" customHeight="1">
      <c r="B1036"/>
      <c r="O1036"/>
      <c r="Y1036"/>
    </row>
    <row r="1037" spans="1:42">
      <c r="B1037"/>
      <c r="O1037"/>
      <c r="Y1037"/>
    </row>
    <row r="1038" spans="1:42">
      <c r="B1038"/>
      <c r="O1038"/>
      <c r="Y1038"/>
    </row>
    <row r="1039" spans="1:42">
      <c r="B1039"/>
      <c r="O1039"/>
      <c r="Y1039"/>
    </row>
    <row r="1040" spans="1:42">
      <c r="B1040"/>
      <c r="O1040"/>
      <c r="Y1040"/>
    </row>
    <row r="1041" customFormat="1"/>
    <row r="1042" customFormat="1"/>
    <row r="1043" customFormat="1"/>
    <row r="1044" customFormat="1"/>
    <row r="1045" customFormat="1"/>
    <row r="1046" customFormat="1" ht="15" customHeight="1"/>
    <row r="1047" customFormat="1" ht="15" customHeight="1"/>
    <row r="1048" customFormat="1"/>
    <row r="1049" customFormat="1"/>
    <row r="1050" customFormat="1" ht="15" customHeight="1"/>
    <row r="1051" customFormat="1" ht="15" customHeight="1"/>
    <row r="1052" customFormat="1"/>
    <row r="1053" customFormat="1"/>
    <row r="1054" customFormat="1" ht="15" customHeight="1"/>
    <row r="1055" customFormat="1" ht="15" customHeight="1"/>
    <row r="1056" customFormat="1"/>
    <row r="1057" customFormat="1" ht="15" customHeight="1"/>
    <row r="1058" customFormat="1" ht="15" customHeight="1"/>
    <row r="1059" customFormat="1" ht="15" customHeight="1"/>
    <row r="1060" customFormat="1" ht="15" customHeight="1"/>
    <row r="1061" customFormat="1" ht="15" customHeight="1"/>
    <row r="1062" customFormat="1" ht="15" customHeight="1"/>
    <row r="1063" customFormat="1" ht="15" customHeight="1"/>
    <row r="1064" customFormat="1" ht="15" customHeight="1"/>
    <row r="1065" customFormat="1" ht="15" customHeight="1"/>
    <row r="1066" customFormat="1" ht="15" customHeight="1"/>
    <row r="1067" customFormat="1" ht="15" customHeight="1"/>
    <row r="1068" customFormat="1" ht="15" customHeight="1"/>
    <row r="1069" customFormat="1" ht="15" customHeight="1"/>
    <row r="1070" customFormat="1" ht="15" customHeight="1"/>
    <row r="1071" customFormat="1" ht="15" customHeight="1"/>
    <row r="1072" customFormat="1" ht="15" customHeight="1"/>
    <row r="1073" customFormat="1" ht="15" customHeight="1"/>
    <row r="1074" customFormat="1" ht="15" customHeight="1"/>
    <row r="1075" customFormat="1" ht="15" customHeight="1"/>
    <row r="1076" customFormat="1" ht="15" customHeight="1"/>
    <row r="1077" customFormat="1" ht="15" customHeight="1"/>
    <row r="1078" customFormat="1" ht="15" customHeight="1"/>
    <row r="1079" customFormat="1" ht="15" customHeight="1"/>
    <row r="1080" customFormat="1" ht="15" customHeight="1"/>
    <row r="1081" customFormat="1" ht="15" customHeight="1"/>
    <row r="1082" customFormat="1" ht="15" customHeight="1"/>
    <row r="1083" customFormat="1" ht="15" customHeight="1"/>
    <row r="1084" customFormat="1" ht="15" customHeight="1"/>
    <row r="1085" customFormat="1" ht="15" customHeight="1"/>
    <row r="1086" customFormat="1" ht="15" customHeight="1"/>
    <row r="1087" customFormat="1" ht="15" customHeight="1"/>
    <row r="1088" customFormat="1" ht="15" customHeight="1"/>
    <row r="1089" customFormat="1" ht="15" customHeight="1"/>
    <row r="1090" customFormat="1" ht="15" customHeight="1"/>
    <row r="1091" customFormat="1" ht="15" customHeight="1"/>
    <row r="1092" customFormat="1" ht="15" customHeight="1"/>
    <row r="1093" customFormat="1" ht="15" customHeight="1"/>
    <row r="1094" customFormat="1" ht="15" customHeight="1"/>
    <row r="1095" customFormat="1" ht="15" customHeight="1"/>
    <row r="1096" customFormat="1" ht="15" customHeight="1"/>
    <row r="1097" customFormat="1" ht="15" customHeight="1"/>
    <row r="1098" customFormat="1" ht="15" customHeight="1"/>
    <row r="1099" customFormat="1" ht="15" customHeight="1"/>
    <row r="1100" customFormat="1" ht="15" customHeight="1"/>
    <row r="1101" customFormat="1" ht="15" customHeight="1"/>
    <row r="1102" customFormat="1" ht="15" customHeight="1"/>
    <row r="1103" customFormat="1" ht="15" customHeight="1"/>
    <row r="1104" customFormat="1"/>
    <row r="1105" customFormat="1"/>
    <row r="1106" customFormat="1"/>
    <row r="1107" customFormat="1"/>
    <row r="1108" customFormat="1"/>
    <row r="1109" customFormat="1"/>
    <row r="1110" customFormat="1" ht="15" customHeight="1"/>
    <row r="1111" customFormat="1" ht="15" customHeight="1"/>
    <row r="1112" customFormat="1" ht="15" customHeight="1"/>
    <row r="1113" customFormat="1"/>
    <row r="1114" customFormat="1"/>
    <row r="1115" customFormat="1"/>
    <row r="1116" customFormat="1"/>
    <row r="1117" customFormat="1"/>
    <row r="1118" customFormat="1" ht="15" customHeight="1"/>
    <row r="1119" customFormat="1" ht="15" customHeight="1"/>
    <row r="1120" customFormat="1"/>
    <row r="1121" customFormat="1"/>
    <row r="1122" customFormat="1" ht="15" customHeight="1"/>
    <row r="1123" customFormat="1" ht="15" customHeight="1"/>
    <row r="1124" customFormat="1"/>
    <row r="1125" customFormat="1"/>
    <row r="1126" customFormat="1" ht="15" customHeight="1"/>
    <row r="1127" customFormat="1" ht="15" customHeight="1"/>
    <row r="1128" customFormat="1"/>
    <row r="1129" customFormat="1"/>
    <row r="1130" customFormat="1" ht="15" customHeight="1"/>
    <row r="1131" customFormat="1" ht="15" customHeight="1"/>
    <row r="1132" customFormat="1"/>
    <row r="1133" customFormat="1" ht="15" customHeight="1"/>
    <row r="1134" customFormat="1" ht="15" customHeight="1"/>
    <row r="1135" customFormat="1" ht="15" customHeight="1"/>
    <row r="1136" customFormat="1" ht="15" customHeight="1"/>
    <row r="1137" customFormat="1" ht="15" customHeight="1"/>
    <row r="1138" customFormat="1" ht="15" customHeight="1"/>
    <row r="1139" customFormat="1" ht="15" customHeight="1"/>
    <row r="1140" customFormat="1" ht="15" customHeight="1"/>
    <row r="1141" customFormat="1" ht="15" customHeight="1"/>
    <row r="1142" customFormat="1" ht="15" customHeight="1"/>
    <row r="1143" customFormat="1" ht="15" customHeight="1"/>
    <row r="1144" customFormat="1" ht="15" customHeight="1"/>
    <row r="1145" customFormat="1" ht="15" customHeight="1"/>
    <row r="1146" customFormat="1" ht="15" customHeight="1"/>
    <row r="1147" customFormat="1" ht="15" customHeight="1"/>
    <row r="1148" customFormat="1" ht="15" customHeight="1"/>
    <row r="1149" customFormat="1" ht="15" customHeight="1"/>
    <row r="1150" customFormat="1" ht="15" customHeight="1"/>
    <row r="1151" customFormat="1" ht="15" customHeight="1"/>
    <row r="1152" customFormat="1" ht="15" customHeight="1"/>
    <row r="1153" customFormat="1" ht="15" customHeight="1"/>
    <row r="1154" customFormat="1" ht="15" customHeight="1"/>
    <row r="1155" customFormat="1" ht="15" customHeight="1"/>
    <row r="1156" customFormat="1" ht="15" customHeight="1"/>
    <row r="1157" customFormat="1" ht="15" customHeight="1"/>
    <row r="1158" customFormat="1" ht="15" customHeight="1"/>
    <row r="1159" customFormat="1" ht="15" customHeight="1"/>
    <row r="1160" customFormat="1" ht="15" customHeight="1"/>
    <row r="1161" customFormat="1" ht="15" customHeight="1"/>
    <row r="1162" customFormat="1" ht="15" customHeight="1"/>
    <row r="1163" customFormat="1" ht="15" customHeight="1"/>
    <row r="1164" customFormat="1" ht="15" customHeight="1"/>
    <row r="1165" customFormat="1" ht="15" customHeight="1"/>
    <row r="1166" customFormat="1" ht="15" customHeight="1"/>
    <row r="1167" customFormat="1" ht="15" customHeight="1"/>
    <row r="1168" customFormat="1" ht="15" customHeight="1"/>
    <row r="1169" customFormat="1" ht="15" customHeight="1"/>
    <row r="1170" customFormat="1" ht="15" customHeight="1"/>
    <row r="1171" customFormat="1" ht="15" customHeight="1"/>
    <row r="1172" customFormat="1" ht="15" customHeight="1"/>
    <row r="1173" customFormat="1" ht="15" customHeight="1"/>
    <row r="1174" customFormat="1" ht="15" customHeight="1"/>
    <row r="1175" customFormat="1" ht="15" customHeight="1"/>
    <row r="1176" customFormat="1"/>
    <row r="1177" customFormat="1"/>
    <row r="1178" customFormat="1"/>
    <row r="1179" customFormat="1" ht="15" customHeight="1"/>
    <row r="1180" customFormat="1" ht="15" customHeight="1"/>
    <row r="1181" customFormat="1" ht="15" customHeight="1"/>
    <row r="1182" customFormat="1" ht="15" customHeight="1"/>
    <row r="1183" customFormat="1" ht="15" customHeight="1"/>
    <row r="1184" customFormat="1" ht="15" customHeight="1"/>
    <row r="1185" customFormat="1"/>
    <row r="1186" customFormat="1"/>
    <row r="1187" customFormat="1"/>
    <row r="1188" customFormat="1"/>
    <row r="1189" customFormat="1"/>
    <row r="1190" customFormat="1" ht="15" customHeight="1"/>
    <row r="1191" customFormat="1" ht="15" customHeight="1"/>
    <row r="1192" customFormat="1"/>
    <row r="1193" customFormat="1"/>
    <row r="1194" customFormat="1" ht="15" customHeight="1"/>
    <row r="1195" customFormat="1" ht="15" customHeight="1"/>
    <row r="1196" customFormat="1"/>
    <row r="1197" customFormat="1"/>
    <row r="1198" customFormat="1" ht="15" customHeight="1"/>
    <row r="1199" customFormat="1" ht="15" customHeight="1"/>
    <row r="1200" customFormat="1"/>
    <row r="1201" customFormat="1"/>
    <row r="1202" customFormat="1" ht="15" customHeight="1"/>
    <row r="1203" customFormat="1" ht="15" customHeight="1"/>
    <row r="1204" customFormat="1"/>
    <row r="1205" customFormat="1" ht="15" customHeight="1"/>
    <row r="1206" customFormat="1" ht="15" customHeight="1"/>
    <row r="1207" customFormat="1" ht="15" customHeight="1"/>
    <row r="1208" customFormat="1" ht="15" customHeight="1"/>
    <row r="1209" customFormat="1" ht="15" customHeight="1"/>
    <row r="1210" customFormat="1" ht="15" customHeight="1"/>
    <row r="1211" customFormat="1" ht="15" customHeight="1"/>
    <row r="1212" customFormat="1" ht="15" customHeight="1"/>
    <row r="1213" customFormat="1" ht="15" customHeight="1"/>
    <row r="1214" customFormat="1" ht="15" customHeight="1"/>
    <row r="1215" customFormat="1" ht="15" customHeight="1"/>
    <row r="1216" customFormat="1" ht="15" customHeight="1"/>
    <row r="1217" customFormat="1" ht="15" customHeight="1"/>
    <row r="1218" customFormat="1" ht="15" customHeight="1"/>
    <row r="1219" customFormat="1" ht="15" customHeight="1"/>
    <row r="1220" customFormat="1" ht="15" customHeight="1"/>
    <row r="1221" customFormat="1" ht="15" customHeight="1"/>
    <row r="1222" customFormat="1" ht="15" customHeight="1"/>
    <row r="1223" customFormat="1" ht="15" customHeight="1"/>
    <row r="1224" customFormat="1" ht="15" customHeight="1"/>
    <row r="1225" customFormat="1" ht="15" customHeight="1"/>
    <row r="1226" customFormat="1" ht="15" customHeight="1"/>
    <row r="1227" customFormat="1" ht="15" customHeight="1"/>
    <row r="1228" customFormat="1" ht="15" customHeight="1"/>
    <row r="1229" customFormat="1" ht="15" customHeight="1"/>
    <row r="1230" customFormat="1" ht="15" customHeight="1"/>
    <row r="1231" customFormat="1" ht="15" customHeight="1"/>
    <row r="1232" customFormat="1" ht="15" customHeight="1"/>
    <row r="1233" customFormat="1" ht="15" customHeight="1"/>
    <row r="1234" customFormat="1" ht="15" customHeight="1"/>
    <row r="1235" customFormat="1" ht="15" customHeight="1"/>
    <row r="1236" customFormat="1" ht="15" customHeight="1"/>
    <row r="1237" customFormat="1" ht="15" customHeight="1"/>
    <row r="1238" customFormat="1" ht="15" customHeight="1"/>
    <row r="1239" customFormat="1" ht="15" customHeight="1"/>
    <row r="1240" customFormat="1" ht="15" customHeight="1"/>
    <row r="1241" customFormat="1" ht="15" customHeight="1"/>
    <row r="1242" customFormat="1" ht="15" customHeight="1"/>
    <row r="1243" customFormat="1" ht="15" customHeight="1"/>
    <row r="1244" customFormat="1" ht="15" customHeight="1"/>
    <row r="1245" customFormat="1" ht="15" customHeight="1"/>
    <row r="1246" customFormat="1" ht="15" customHeight="1"/>
    <row r="1247" customFormat="1" ht="15" customHeight="1"/>
    <row r="1248" customFormat="1"/>
    <row r="1249" customFormat="1"/>
    <row r="1250" customFormat="1" ht="15" customHeight="1"/>
    <row r="1251" customFormat="1" ht="15" customHeight="1"/>
    <row r="1252" customFormat="1" ht="15" customHeight="1"/>
    <row r="1253" customFormat="1" ht="15" customHeight="1"/>
    <row r="1254" customFormat="1" ht="15" customHeight="1"/>
    <row r="1255" customFormat="1" ht="15" customHeight="1"/>
    <row r="1256" customFormat="1"/>
    <row r="1257" customFormat="1"/>
    <row r="1258" customFormat="1"/>
    <row r="1259" customFormat="1"/>
    <row r="1260" customFormat="1" ht="15" customHeight="1"/>
    <row r="1261" customFormat="1" ht="15" customHeight="1"/>
    <row r="1262" customFormat="1"/>
    <row r="1263" customFormat="1"/>
    <row r="1264" customFormat="1" ht="15" customHeight="1"/>
    <row r="1265" customFormat="1" ht="15" customHeight="1"/>
    <row r="1266" customFormat="1"/>
    <row r="1267" customFormat="1"/>
    <row r="1268" customFormat="1" ht="15" customHeight="1"/>
    <row r="1269" customFormat="1" ht="15" customHeight="1"/>
    <row r="1270" customFormat="1" ht="15" customHeight="1"/>
    <row r="1271" customFormat="1"/>
    <row r="1272" customFormat="1" ht="15" customHeight="1"/>
    <row r="1273" customFormat="1" ht="15" customHeight="1"/>
    <row r="1274" customFormat="1"/>
    <row r="1275" customFormat="1" ht="15" customHeight="1"/>
    <row r="1276" customFormat="1" ht="15" customHeight="1"/>
    <row r="1277" customFormat="1" ht="15" customHeight="1"/>
    <row r="1278" customFormat="1" ht="15" customHeight="1"/>
    <row r="1279" customFormat="1" ht="15" customHeight="1"/>
    <row r="1280" customFormat="1" ht="15" customHeight="1"/>
    <row r="1281" customFormat="1" ht="15" customHeight="1"/>
    <row r="1282" customFormat="1" ht="15" customHeight="1"/>
    <row r="1283" customFormat="1" ht="15" customHeight="1"/>
    <row r="1284" customFormat="1" ht="15" customHeight="1"/>
    <row r="1285" customFormat="1" ht="15" customHeight="1"/>
    <row r="1286" customFormat="1" ht="15" customHeight="1"/>
    <row r="1287" customFormat="1" ht="15" customHeight="1"/>
    <row r="1288" customFormat="1" ht="15" customHeight="1"/>
    <row r="1289" customFormat="1" ht="15" customHeight="1"/>
    <row r="1290" customFormat="1" ht="15" customHeight="1"/>
    <row r="1291" customFormat="1" ht="15" customHeight="1"/>
    <row r="1292" customFormat="1" ht="15" customHeight="1"/>
    <row r="1293" customFormat="1" ht="15" customHeight="1"/>
    <row r="1294" customFormat="1" ht="15" customHeight="1"/>
    <row r="1295" customFormat="1" ht="15" customHeight="1"/>
    <row r="1296" customFormat="1" ht="15" customHeight="1"/>
    <row r="1297" customFormat="1" ht="15" customHeight="1"/>
    <row r="1298" customFormat="1" ht="15" customHeight="1"/>
    <row r="1299" customFormat="1" ht="15" customHeight="1"/>
    <row r="1300" customFormat="1" ht="15" customHeight="1"/>
    <row r="1301" customFormat="1" ht="15" customHeight="1"/>
    <row r="1302" customFormat="1" ht="15" customHeight="1"/>
    <row r="1303" customFormat="1" ht="15" customHeight="1"/>
    <row r="1304" customFormat="1" ht="15" customHeight="1"/>
    <row r="1305" customFormat="1" ht="15" customHeight="1"/>
    <row r="1306" customFormat="1" ht="15" customHeight="1"/>
    <row r="1307" customFormat="1" ht="15" customHeight="1"/>
    <row r="1308" customFormat="1" ht="15" customHeight="1"/>
    <row r="1309" customFormat="1" ht="15" customHeight="1"/>
    <row r="1310" customFormat="1" ht="15" customHeight="1"/>
    <row r="1311" customFormat="1" ht="15" customHeight="1"/>
    <row r="1312" customFormat="1" ht="15" customHeight="1"/>
    <row r="1313" customFormat="1" ht="15" customHeight="1"/>
    <row r="1314" customFormat="1" ht="15" customHeight="1"/>
    <row r="1315" customFormat="1" ht="15" customHeight="1"/>
    <row r="1316" customFormat="1"/>
    <row r="1317" customFormat="1" ht="15" customHeight="1"/>
    <row r="1318" customFormat="1"/>
    <row r="1319" customFormat="1"/>
    <row r="1320" customFormat="1" ht="15" customHeight="1"/>
    <row r="1321" customFormat="1" ht="15" customHeight="1"/>
    <row r="1322" customFormat="1" ht="15" customHeight="1"/>
    <row r="1323" customFormat="1" ht="15" customHeight="1"/>
    <row r="1324" customFormat="1" ht="15" customHeight="1"/>
    <row r="1325" customFormat="1" ht="15" customHeigh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 ht="16.5" customHeight="1"/>
    <row r="1342" customFormat="1"/>
    <row r="1343" customFormat="1"/>
    <row r="1344" customFormat="1"/>
    <row r="1345" customFormat="1"/>
    <row r="1346" customFormat="1" ht="15.75" customHeight="1"/>
    <row r="1347" customFormat="1" ht="15.75" customHeight="1"/>
    <row r="1348" customFormat="1" ht="15.75" customHeight="1"/>
    <row r="1349" customFormat="1" ht="15.75" customHeight="1"/>
    <row r="1350" customFormat="1" ht="15.75" customHeight="1"/>
    <row r="1351" customFormat="1" ht="15.75" customHeight="1"/>
    <row r="1352" customFormat="1" ht="15.75" customHeight="1"/>
    <row r="1353" customFormat="1" ht="15.75" customHeight="1"/>
    <row r="1354" customFormat="1" ht="15.75" customHeight="1"/>
    <row r="1355" customFormat="1" ht="15.75" customHeight="1"/>
    <row r="1356" customFormat="1" ht="15.75" customHeight="1"/>
    <row r="1357" customFormat="1" ht="15.75" customHeight="1"/>
    <row r="1358" customFormat="1" ht="15.75" customHeight="1"/>
    <row r="1359" customFormat="1" ht="15.75" customHeight="1"/>
    <row r="1360" customFormat="1" ht="15.75" customHeight="1"/>
    <row r="1361" customFormat="1" ht="15" customHeight="1"/>
    <row r="1362" customFormat="1" ht="15.75" customHeight="1"/>
    <row r="1363" customFormat="1" ht="15.75" customHeight="1"/>
    <row r="1364" customFormat="1" ht="15.75" customHeight="1"/>
    <row r="1365" customFormat="1" ht="15.75" customHeight="1"/>
    <row r="1366" customFormat="1" ht="15.75" customHeight="1"/>
    <row r="1367" customFormat="1" ht="15.75" customHeight="1"/>
    <row r="1368" customFormat="1" ht="15.75" customHeight="1"/>
    <row r="1369" customFormat="1" ht="15.75" customHeight="1"/>
    <row r="1370" customFormat="1" ht="15.75" customHeight="1"/>
    <row r="1371" customFormat="1" ht="15.75" customHeight="1"/>
    <row r="1372" customFormat="1" ht="15.75" customHeight="1"/>
    <row r="1373" customFormat="1" ht="15.75" customHeight="1"/>
    <row r="1374" customFormat="1" ht="15.75" customHeight="1"/>
    <row r="1375" customFormat="1" ht="15.75" customHeight="1"/>
    <row r="1376" customFormat="1" ht="15.75" customHeight="1"/>
    <row r="1377" customFormat="1" ht="15.75" customHeight="1"/>
    <row r="1378" customFormat="1" ht="15.75" customHeight="1"/>
    <row r="1379" customFormat="1" ht="15.75" customHeight="1"/>
    <row r="1380" customFormat="1" ht="15.75" customHeight="1"/>
    <row r="1381" customFormat="1" ht="15.75" customHeight="1"/>
    <row r="1382" customFormat="1" ht="15.75" customHeight="1"/>
    <row r="1383" customFormat="1" ht="15.75" customHeight="1"/>
    <row r="1384" customFormat="1" ht="15.75" customHeight="1"/>
    <row r="1385" customFormat="1" ht="15.75" customHeight="1"/>
    <row r="1386" customFormat="1" ht="15.75" customHeight="1"/>
    <row r="1387" customFormat="1" ht="15.75" customHeight="1"/>
    <row r="1388" customFormat="1" ht="15.75" customHeight="1"/>
    <row r="1389" customFormat="1" ht="15.75" customHeight="1"/>
    <row r="1390" customFormat="1" ht="15.75" customHeight="1"/>
    <row r="1391" customFormat="1" ht="15.75" customHeight="1"/>
    <row r="1392" customFormat="1" ht="15.75" customHeight="1"/>
    <row r="1393" customFormat="1" ht="15.75" customHeight="1"/>
    <row r="1394" customFormat="1" ht="15.75" customHeight="1"/>
    <row r="1395" customFormat="1" ht="15.75" customHeight="1"/>
    <row r="1396" customFormat="1" ht="15.75" customHeight="1"/>
    <row r="1397" customFormat="1" ht="15.75" customHeight="1"/>
    <row r="1398" customFormat="1" ht="15.75" customHeight="1"/>
    <row r="1399" customFormat="1" ht="15.75" customHeight="1"/>
    <row r="1400" customFormat="1" ht="15.75" customHeight="1"/>
    <row r="1401" customFormat="1" ht="15.75" customHeight="1"/>
    <row r="1402" customFormat="1" ht="15.75" customHeight="1"/>
    <row r="1403" customFormat="1" ht="15.75" customHeight="1"/>
    <row r="1404" customFormat="1" ht="15.75" customHeight="1"/>
    <row r="1405" customFormat="1" ht="15.75" customHeight="1"/>
    <row r="1406" customFormat="1" ht="15.75" customHeight="1"/>
    <row r="1407" customFormat="1" ht="15.75" customHeight="1"/>
    <row r="1408" customFormat="1" ht="15.75" customHeight="1"/>
    <row r="1409" customFormat="1" ht="15.75" customHeight="1"/>
    <row r="1410" customFormat="1" ht="15.75" customHeight="1"/>
    <row r="1411" customFormat="1" ht="15.75" customHeight="1"/>
    <row r="1412" customFormat="1" ht="16.5" customHeight="1"/>
    <row r="1413" customFormat="1" ht="15.75" customHeight="1"/>
    <row r="1414" customFormat="1" ht="15.75" customHeight="1"/>
    <row r="1415" customFormat="1" ht="15.75" customHeight="1"/>
    <row r="1416" customFormat="1" ht="15.75" customHeight="1"/>
    <row r="1417" customFormat="1" ht="15.75" customHeight="1"/>
    <row r="1418" customFormat="1" ht="15.75" customHeight="1"/>
    <row r="1419" customFormat="1" ht="15.75" customHeight="1"/>
    <row r="1420" customFormat="1" ht="15.75" customHeight="1"/>
    <row r="1421" customFormat="1" ht="15.75" customHeight="1"/>
    <row r="1422" customFormat="1" ht="15.75" customHeight="1"/>
    <row r="1423" customFormat="1" ht="15.75" customHeight="1"/>
    <row r="1424" customFormat="1" ht="15.75" customHeight="1"/>
    <row r="1425" customFormat="1" ht="15.75" customHeight="1"/>
    <row r="1426" customFormat="1" ht="15.75" customHeight="1"/>
    <row r="1427" customFormat="1" ht="15.75" customHeight="1"/>
    <row r="1428" customFormat="1" ht="15.75" customHeight="1"/>
    <row r="1429" customFormat="1" ht="15.75" customHeight="1"/>
    <row r="1430" customFormat="1" ht="15.75" customHeight="1"/>
    <row r="1431" customFormat="1" ht="15.75" customHeight="1"/>
    <row r="1432" customFormat="1" ht="15" customHeight="1"/>
    <row r="1433" customFormat="1" ht="15.75" customHeight="1"/>
    <row r="1434" customFormat="1" ht="15.75" customHeight="1"/>
    <row r="1435" customFormat="1" ht="15.75" customHeight="1"/>
    <row r="1436" customFormat="1" ht="15.75" customHeight="1"/>
    <row r="1437" customFormat="1" ht="15.75" customHeight="1"/>
    <row r="1438" customFormat="1" ht="15.75" customHeight="1"/>
    <row r="1439" customFormat="1" ht="15.75" customHeight="1"/>
    <row r="1440" customFormat="1" ht="15.75" customHeight="1"/>
    <row r="1441" customFormat="1" ht="15.75" customHeight="1"/>
    <row r="1442" customFormat="1" ht="15.75" customHeight="1"/>
    <row r="1443" customFormat="1" ht="15.75" customHeight="1"/>
    <row r="1444" customFormat="1" ht="15.75" customHeight="1"/>
    <row r="1445" customFormat="1" ht="15.75" customHeight="1"/>
    <row r="1446" customFormat="1" ht="15.75" customHeight="1"/>
    <row r="1447" customFormat="1" ht="15.75" customHeight="1"/>
    <row r="1448" customFormat="1" ht="15.75" customHeight="1"/>
    <row r="1449" customFormat="1" ht="15.75" customHeight="1"/>
    <row r="1450" customFormat="1" ht="15.75" customHeight="1"/>
    <row r="1451" customFormat="1" ht="15.75" customHeight="1"/>
    <row r="1452" customFormat="1" ht="15.75" customHeight="1"/>
    <row r="1453" customFormat="1" ht="15.75" customHeight="1"/>
    <row r="1454" customFormat="1" ht="15.75" customHeight="1"/>
    <row r="1455" customFormat="1" ht="15.75" customHeight="1"/>
    <row r="1456" customFormat="1" ht="15.75" customHeight="1"/>
    <row r="1457" customFormat="1" ht="15.75" customHeight="1"/>
    <row r="1458" customFormat="1" ht="15.75" customHeight="1"/>
    <row r="1459" customFormat="1" ht="15.75" customHeight="1"/>
    <row r="1460" customFormat="1" ht="15.75" customHeight="1"/>
    <row r="1461" customFormat="1" ht="15.75" customHeight="1"/>
    <row r="1462" customFormat="1" ht="15.75" customHeight="1"/>
    <row r="1463" customFormat="1" ht="15.75" customHeight="1"/>
    <row r="1464" customFormat="1" ht="15.75" customHeight="1"/>
    <row r="1465" customFormat="1" ht="15.75" customHeight="1"/>
    <row r="1466" customFormat="1" ht="15.75" customHeight="1"/>
    <row r="1467" customFormat="1" ht="15.75" customHeight="1"/>
    <row r="1468" customFormat="1" ht="15.75" customHeight="1"/>
    <row r="1469" customFormat="1" ht="15.75" customHeight="1"/>
    <row r="1470" customFormat="1" ht="15.75" customHeight="1"/>
    <row r="1471" customFormat="1" ht="15.75" customHeight="1"/>
    <row r="1472" customFormat="1" ht="15.75" customHeight="1"/>
    <row r="1473" customFormat="1" ht="15.75" customHeight="1"/>
    <row r="1474" customFormat="1" ht="15.75" customHeight="1"/>
    <row r="1475" customFormat="1" ht="15.75" customHeight="1"/>
    <row r="1476" customFormat="1" ht="15.75" customHeight="1"/>
    <row r="1477" customFormat="1" ht="15.75" customHeight="1"/>
    <row r="1478" customFormat="1" ht="15.75" customHeight="1"/>
    <row r="1479" customFormat="1" ht="15.75" customHeight="1"/>
    <row r="1480" customFormat="1" ht="15.75" customHeight="1"/>
    <row r="1481" customFormat="1" ht="15.75" customHeight="1"/>
    <row r="1482" customFormat="1" ht="15.75" customHeight="1"/>
    <row r="1483" customFormat="1" ht="16.5" customHeight="1"/>
    <row r="1484" customFormat="1" ht="15.75" customHeight="1"/>
    <row r="1485" customFormat="1" ht="15.75" customHeight="1"/>
    <row r="1486" customFormat="1" ht="15.75" customHeight="1"/>
    <row r="1487" customFormat="1" ht="15.75" customHeight="1"/>
    <row r="1488" customFormat="1" ht="15.75" customHeight="1"/>
    <row r="1489" customFormat="1" ht="15.75" customHeight="1"/>
    <row r="1490" customFormat="1" ht="15.75" customHeight="1"/>
    <row r="1491" customFormat="1" ht="15.75" customHeight="1"/>
    <row r="1492" customFormat="1" ht="15.75" customHeight="1"/>
    <row r="1493" customFormat="1" ht="15.75" customHeight="1"/>
    <row r="1494" customFormat="1" ht="15.75" customHeight="1"/>
    <row r="1495" customFormat="1" ht="15.75" customHeight="1"/>
    <row r="1496" customFormat="1" ht="15.75" customHeight="1"/>
    <row r="1497" customFormat="1" ht="15.75" customHeight="1"/>
    <row r="1498" customFormat="1" ht="15.75" customHeight="1"/>
    <row r="1499" customFormat="1" ht="15.75" customHeight="1"/>
    <row r="1500" customFormat="1" ht="15.75" customHeight="1"/>
    <row r="1501" customFormat="1" ht="15.75" customHeight="1"/>
    <row r="1502" customFormat="1" ht="15.75" customHeight="1"/>
    <row r="1503" customFormat="1" ht="15" customHeight="1"/>
    <row r="1504" customFormat="1" ht="15.75" customHeight="1"/>
    <row r="1505" customFormat="1" ht="15.75" customHeight="1"/>
    <row r="1506" customFormat="1" ht="15.75" customHeight="1"/>
    <row r="1507" customFormat="1" ht="15.75" customHeight="1"/>
    <row r="1508" customFormat="1" ht="15.75" customHeight="1"/>
    <row r="1509" customFormat="1" ht="15.75" customHeight="1"/>
    <row r="1510" customFormat="1" ht="15.75" customHeight="1"/>
    <row r="1511" customFormat="1" ht="15.75" customHeight="1"/>
    <row r="1512" customFormat="1" ht="15.75" customHeight="1"/>
    <row r="1513" customFormat="1" ht="15.75" customHeight="1"/>
    <row r="1514" customFormat="1" ht="15.75" customHeight="1"/>
    <row r="1515" customFormat="1" ht="15.75" customHeight="1"/>
    <row r="1516" customFormat="1" ht="15.75" customHeight="1"/>
    <row r="1517" customFormat="1" ht="15.75" customHeight="1"/>
    <row r="1518" customFormat="1" ht="15.75" customHeight="1"/>
    <row r="1519" customFormat="1" ht="15.75" customHeight="1"/>
    <row r="1520" customFormat="1" ht="15.75" customHeight="1"/>
    <row r="1521" customFormat="1" ht="15.75" customHeight="1"/>
    <row r="1522" customFormat="1" ht="15.75" customHeight="1"/>
    <row r="1523" customFormat="1" ht="15.75" customHeight="1"/>
    <row r="1524" customFormat="1" ht="15.75" customHeight="1"/>
    <row r="1525" customFormat="1" ht="15.75" customHeight="1"/>
    <row r="1526" customFormat="1" ht="15.75" customHeight="1"/>
    <row r="1527" customFormat="1" ht="15.75" customHeight="1"/>
    <row r="1528" customFormat="1" ht="15.75" customHeight="1"/>
    <row r="1529" customFormat="1" ht="15.75" customHeight="1"/>
    <row r="1530" customFormat="1" ht="15.75" customHeight="1"/>
    <row r="1531" customFormat="1" ht="15.75" customHeight="1"/>
    <row r="1532" customFormat="1" ht="15.75" customHeight="1"/>
    <row r="1533" customFormat="1" ht="15.75" customHeight="1"/>
    <row r="1534" customFormat="1" ht="15.75" customHeight="1"/>
    <row r="1535" customFormat="1" ht="15.75" customHeight="1"/>
    <row r="1536" customFormat="1" ht="15.75" customHeight="1"/>
    <row r="1537" customFormat="1" ht="15.75" customHeight="1"/>
    <row r="1538" customFormat="1" ht="15.75" customHeight="1"/>
    <row r="1539" customFormat="1" ht="15.75" customHeight="1"/>
    <row r="1540" customFormat="1" ht="15.75" customHeight="1"/>
    <row r="1541" customFormat="1" ht="14.25" customHeight="1"/>
    <row r="1542" customFormat="1" ht="15.75" customHeight="1"/>
    <row r="1543" customFormat="1" ht="15.75" customHeight="1"/>
    <row r="1544" customFormat="1" ht="15.75" customHeight="1"/>
    <row r="1545" customFormat="1" ht="15.75" customHeight="1"/>
    <row r="1546" customFormat="1" ht="15.75" customHeight="1"/>
    <row r="1547" customFormat="1" ht="15.75" customHeight="1"/>
    <row r="1548" customFormat="1" ht="15.75" customHeight="1"/>
    <row r="1549" customFormat="1" ht="15.75" customHeight="1"/>
    <row r="1550" customFormat="1" ht="15.75" customHeight="1"/>
    <row r="1551" customFormat="1" ht="15.75" customHeight="1"/>
    <row r="1552" customFormat="1" ht="15.75" customHeight="1"/>
    <row r="1553" customFormat="1" ht="15.75" customHeight="1"/>
    <row r="1554" customFormat="1" ht="15.75" customHeight="1"/>
    <row r="1555" customFormat="1" ht="15.75" customHeight="1"/>
    <row r="1556" customFormat="1" ht="15.75" customHeight="1"/>
    <row r="1557" customFormat="1" ht="15.75" customHeight="1"/>
    <row r="1558" customFormat="1" ht="16.5" customHeight="1"/>
    <row r="1559" customFormat="1" ht="15.75" customHeight="1"/>
    <row r="1560" customFormat="1" ht="15.75" customHeight="1"/>
    <row r="1561" customFormat="1" ht="15.75" customHeight="1"/>
    <row r="1562" customFormat="1" ht="15.75" customHeight="1"/>
    <row r="1563" customFormat="1" ht="15.75" customHeight="1"/>
    <row r="1564" customFormat="1" ht="15.75" customHeight="1"/>
    <row r="1565" customFormat="1" ht="15.75" customHeight="1"/>
    <row r="1566" customFormat="1" ht="15.75" customHeight="1"/>
    <row r="1567" customFormat="1" ht="15.75" customHeight="1"/>
    <row r="1568" customFormat="1" ht="15.75" customHeight="1"/>
    <row r="1569" customFormat="1" ht="15.75" customHeight="1"/>
    <row r="1570" customFormat="1" ht="15.75" customHeight="1"/>
    <row r="1571" customFormat="1" ht="15.75" customHeight="1"/>
    <row r="1572" customFormat="1" ht="15.75" customHeight="1"/>
    <row r="1573" customFormat="1" ht="15.75" customHeight="1"/>
    <row r="1574" customFormat="1" ht="15.75" customHeight="1"/>
    <row r="1575" customFormat="1" ht="15.75" customHeight="1"/>
    <row r="1576" customFormat="1" ht="15.75" customHeight="1"/>
    <row r="1577" customFormat="1" ht="15.75" customHeight="1"/>
    <row r="1578" customFormat="1" ht="15" customHeight="1"/>
    <row r="1579" customFormat="1" ht="15.75" customHeight="1"/>
    <row r="1580" customFormat="1" ht="15.75" customHeight="1"/>
    <row r="1581" customFormat="1" ht="15.75" customHeight="1"/>
    <row r="1582" customFormat="1" ht="15.75" customHeight="1"/>
    <row r="1583" customFormat="1" ht="15.75" customHeight="1"/>
    <row r="1584" customFormat="1" ht="15.75" customHeight="1"/>
    <row r="1585" customFormat="1" ht="15.75" customHeight="1"/>
    <row r="1586" customFormat="1" ht="15.75" customHeight="1"/>
    <row r="1587" customFormat="1" ht="15.75" customHeight="1"/>
    <row r="1588" customFormat="1" ht="15.75" customHeight="1"/>
    <row r="1589" customFormat="1" ht="15.75" customHeight="1"/>
    <row r="1590" customFormat="1" ht="15.75" customHeight="1"/>
    <row r="1591" customFormat="1" ht="15.75" customHeight="1"/>
    <row r="1592" customFormat="1" ht="15.75" customHeight="1"/>
    <row r="1593" customFormat="1" ht="15.75" customHeight="1"/>
    <row r="1594" customFormat="1" ht="15.75" customHeight="1"/>
    <row r="1595" customFormat="1" ht="15.75" customHeight="1"/>
    <row r="1596" customFormat="1" ht="15.75" customHeight="1"/>
    <row r="1597" customFormat="1" ht="15.75" customHeight="1"/>
    <row r="1598" customFormat="1" ht="15.75" customHeight="1"/>
    <row r="1599" customFormat="1" ht="15.75" customHeight="1"/>
    <row r="1600" customFormat="1" ht="15.75" customHeight="1"/>
    <row r="1601" customFormat="1" ht="15.75" customHeight="1"/>
    <row r="1602" customFormat="1" ht="15.75" customHeight="1"/>
    <row r="1603" customFormat="1" ht="15.75" customHeight="1"/>
    <row r="1604" customFormat="1" ht="15.75" customHeight="1"/>
    <row r="1605" customFormat="1" ht="15.75" customHeight="1"/>
    <row r="1606" customFormat="1" ht="15.75" customHeight="1"/>
    <row r="1607" customFormat="1" ht="15.75" customHeight="1"/>
    <row r="1608" customFormat="1" ht="15.75" customHeight="1"/>
    <row r="1609" customFormat="1" ht="15.75" customHeight="1"/>
    <row r="1610" customFormat="1" ht="15.75" customHeight="1"/>
    <row r="1611" customFormat="1" ht="15.75" customHeight="1"/>
    <row r="1612" customFormat="1" ht="15.75" customHeight="1"/>
    <row r="1613" customFormat="1" ht="15.75" customHeight="1"/>
    <row r="1614" customFormat="1" ht="15.75" customHeight="1"/>
    <row r="1615" customFormat="1" ht="15.75" customHeight="1"/>
    <row r="1616" customFormat="1" ht="15.75" customHeight="1"/>
    <row r="1617" customFormat="1" ht="15.75" customHeight="1"/>
    <row r="1618" customFormat="1" ht="15.75" customHeight="1"/>
    <row r="1619" customFormat="1" ht="15.75" customHeight="1"/>
    <row r="1620" customFormat="1" ht="15.75" customHeight="1"/>
    <row r="1621" customFormat="1" ht="15.75" customHeight="1"/>
    <row r="1622" customFormat="1" ht="15.75" customHeight="1"/>
    <row r="1623" customFormat="1" ht="15.75" customHeight="1"/>
    <row r="1624" customFormat="1" ht="15.75" customHeight="1"/>
    <row r="1625" customFormat="1" ht="15.75" customHeight="1"/>
    <row r="1626" customFormat="1" ht="15.75" customHeight="1"/>
    <row r="1627" customFormat="1" ht="15.75" customHeight="1"/>
    <row r="1628" customFormat="1" ht="15.75" customHeight="1"/>
    <row r="1629" customFormat="1" ht="15.75" customHeight="1"/>
    <row r="1630" customFormat="1" ht="15.75" customHeight="1"/>
    <row r="1631" customFormat="1" ht="15.75" customHeight="1"/>
    <row r="1632" customFormat="1" ht="15.75" customHeight="1"/>
    <row r="1633" customFormat="1" ht="12.75" customHeight="1"/>
    <row r="1634" customFormat="1" ht="15.75" customHeight="1"/>
    <row r="1635" customFormat="1" ht="15.75" customHeight="1"/>
    <row r="1636" customFormat="1" ht="15.75" customHeight="1"/>
    <row r="1637" customFormat="1" ht="15.75" customHeight="1"/>
    <row r="1638" customFormat="1" ht="15.75" customHeight="1"/>
    <row r="1639" customFormat="1" ht="15.75" customHeight="1"/>
    <row r="1640" customFormat="1" ht="15.75" customHeight="1"/>
    <row r="1641" customFormat="1" ht="15.75" customHeight="1"/>
    <row r="1642" customFormat="1" ht="15.75" customHeight="1"/>
    <row r="1643" customFormat="1" ht="15.75" customHeight="1"/>
    <row r="1644" customFormat="1" ht="15.75" customHeight="1"/>
    <row r="1645" customFormat="1" ht="15.75" customHeight="1"/>
    <row r="1646" customFormat="1" ht="15.75" customHeight="1"/>
    <row r="1647" customFormat="1" ht="15.75" customHeight="1"/>
    <row r="1648" customFormat="1" ht="15.75" customHeight="1"/>
    <row r="1649" customFormat="1" ht="15.75" customHeight="1"/>
    <row r="1650" customFormat="1" ht="15.75" customHeight="1"/>
    <row r="1651" customFormat="1" ht="15.75" customHeight="1"/>
    <row r="1652" customFormat="1" ht="15.75" customHeight="1"/>
    <row r="1653" customFormat="1" ht="15" customHeight="1"/>
    <row r="1654" customFormat="1" ht="15.75" customHeight="1"/>
    <row r="1655" customFormat="1" ht="15.75" customHeight="1"/>
    <row r="1656" customFormat="1" ht="15.75" customHeight="1"/>
    <row r="1657" customFormat="1" ht="15.75" customHeight="1"/>
    <row r="1658" customFormat="1" ht="15.75" customHeight="1"/>
    <row r="1659" customFormat="1" ht="15.75" customHeight="1"/>
    <row r="1660" customFormat="1" ht="15.75" customHeight="1"/>
    <row r="1661" customFormat="1" ht="15.75" customHeight="1"/>
    <row r="1662" customFormat="1" ht="15.75" customHeight="1"/>
    <row r="1663" customFormat="1" ht="15.75" customHeight="1"/>
    <row r="1664" customFormat="1" ht="15.75" customHeight="1"/>
    <row r="1665" customFormat="1" ht="15.75" customHeight="1"/>
    <row r="1666" customFormat="1" ht="15.75" customHeight="1"/>
    <row r="1667" customFormat="1" ht="15.75" customHeight="1"/>
    <row r="1668" customFormat="1" ht="15.75" customHeight="1"/>
    <row r="1669" customFormat="1" ht="15.75" customHeight="1"/>
    <row r="1670" customFormat="1" ht="15.75" customHeight="1"/>
    <row r="1671" customFormat="1" ht="15.75" customHeight="1"/>
    <row r="1672" customFormat="1" ht="15.75" customHeight="1"/>
    <row r="1673" customFormat="1" ht="15.75" customHeight="1"/>
    <row r="1674" customFormat="1" ht="15.75" customHeight="1"/>
    <row r="1675" customFormat="1" ht="15.75" customHeight="1"/>
    <row r="1676" customFormat="1" ht="15.75" customHeight="1"/>
    <row r="1677" customFormat="1" ht="15.75" customHeight="1"/>
    <row r="1678" customFormat="1" ht="15.75" customHeight="1"/>
    <row r="1679" customFormat="1" ht="15.75" customHeight="1"/>
    <row r="1680" customFormat="1" ht="15.75" customHeight="1"/>
    <row r="1681" customFormat="1" ht="15.75" customHeight="1"/>
    <row r="1682" customFormat="1" ht="15.75" customHeight="1"/>
    <row r="1683" customFormat="1" ht="15.75" customHeight="1"/>
    <row r="1684" customFormat="1" ht="15.75" customHeight="1"/>
    <row r="1685" customFormat="1" ht="15.75" customHeight="1"/>
    <row r="1686" customFormat="1" ht="15.75" customHeight="1"/>
    <row r="1687" customFormat="1" ht="15.75" customHeight="1"/>
    <row r="1688" customFormat="1" ht="15.75" customHeight="1"/>
    <row r="1689" customFormat="1" ht="15.75" customHeight="1"/>
    <row r="1690" customFormat="1" ht="15.75" customHeight="1"/>
    <row r="1691" customFormat="1" ht="15.75" customHeight="1"/>
    <row r="1692" customFormat="1" ht="15.75" customHeight="1"/>
    <row r="1693" customFormat="1" ht="15.75" customHeight="1"/>
    <row r="1694" customFormat="1" ht="15.75" customHeight="1"/>
    <row r="1695" customFormat="1" ht="15.75" customHeight="1"/>
    <row r="1696" customFormat="1" ht="15.75" customHeight="1"/>
    <row r="1697" customFormat="1" ht="15.75" customHeight="1"/>
    <row r="1698" customFormat="1" ht="15.75" customHeight="1"/>
    <row r="1699" customFormat="1" ht="15.75" customHeight="1"/>
    <row r="1700" customFormat="1" ht="15.75" customHeight="1"/>
    <row r="1701" customFormat="1" ht="15.75" customHeight="1"/>
    <row r="1702" customFormat="1" ht="15.75" customHeight="1"/>
    <row r="1703" customFormat="1" ht="15.75" customHeight="1"/>
    <row r="1704" customFormat="1" ht="15.75" customHeight="1"/>
    <row r="1705" customFormat="1" ht="15.75" customHeight="1"/>
    <row r="1706" customFormat="1" ht="15.75" customHeight="1"/>
    <row r="1707" customFormat="1" ht="15.75" customHeight="1"/>
    <row r="1708" customFormat="1" ht="15.75" customHeight="1"/>
    <row r="1709" customFormat="1" ht="15.75" customHeight="1"/>
    <row r="1710" customFormat="1" ht="15.75" customHeight="1"/>
    <row r="1711" customFormat="1" ht="15.75" customHeight="1"/>
    <row r="1712" customFormat="1" ht="15.75" customHeight="1"/>
    <row r="1713" customFormat="1" ht="15.75" customHeight="1"/>
    <row r="1714" customFormat="1" ht="15.75" customHeight="1"/>
    <row r="1715" customFormat="1" ht="15.75" customHeight="1"/>
    <row r="1716" customFormat="1" ht="15.75" customHeight="1"/>
    <row r="1717" customFormat="1" ht="15.75" customHeight="1"/>
    <row r="1718" customFormat="1" ht="15.75" customHeight="1"/>
    <row r="1719" customFormat="1" ht="15.75" customHeight="1"/>
    <row r="1720" customFormat="1" ht="15.75" customHeight="1"/>
    <row r="1721" customFormat="1" ht="15.75" customHeight="1"/>
    <row r="1722" customFormat="1" ht="15.75" customHeight="1"/>
    <row r="1723" customFormat="1" ht="15.75" customHeight="1"/>
    <row r="1724" customFormat="1" ht="15.75" customHeight="1"/>
    <row r="1725" customFormat="1" ht="15.75" customHeight="1"/>
    <row r="1726" customFormat="1" ht="15.75" customHeight="1"/>
    <row r="1727" customFormat="1" ht="15.75" customHeight="1"/>
    <row r="1728" customFormat="1" ht="15.75" customHeight="1"/>
    <row r="1729" customFormat="1" ht="15.75" customHeight="1"/>
    <row r="1730" customFormat="1" ht="15.75" customHeight="1"/>
    <row r="1731" customFormat="1" ht="15.75" customHeight="1"/>
    <row r="1732" customFormat="1" ht="15.75" customHeight="1"/>
    <row r="1733" customFormat="1" ht="15.75" customHeight="1"/>
    <row r="1734" customFormat="1" ht="15.75" customHeight="1"/>
    <row r="1735" customFormat="1" ht="15.75" customHeight="1"/>
    <row r="1736" customFormat="1" ht="15.75" customHeight="1"/>
    <row r="1737" customFormat="1" ht="15.75" customHeight="1"/>
    <row r="1738" customFormat="1" ht="15.75" customHeight="1"/>
    <row r="1739" customFormat="1" ht="15.75" customHeight="1"/>
    <row r="1740" customFormat="1" ht="15.75" customHeight="1"/>
    <row r="1741" customFormat="1" ht="15.75" customHeight="1"/>
    <row r="1742" customFormat="1" ht="15.75" customHeight="1"/>
    <row r="1743" customFormat="1" ht="15.75" customHeight="1"/>
    <row r="1744" customFormat="1" ht="15.75" customHeight="1"/>
    <row r="1745" customFormat="1" ht="15.75" customHeight="1"/>
    <row r="1746" customFormat="1" ht="15.75" customHeight="1"/>
    <row r="1747" customFormat="1" ht="15.75" customHeight="1"/>
    <row r="1748" customFormat="1" ht="15.75" customHeight="1"/>
    <row r="1749" customFormat="1" ht="15.75" customHeight="1"/>
    <row r="1750" customFormat="1" ht="15.75" customHeight="1"/>
    <row r="1751" customFormat="1" ht="15.75" customHeight="1"/>
    <row r="1752" customFormat="1" ht="15.75" customHeight="1"/>
    <row r="1753" customFormat="1" ht="15.75" customHeight="1"/>
    <row r="1754" customFormat="1" ht="15.75" customHeight="1"/>
    <row r="1755" customFormat="1" ht="15.75" customHeight="1"/>
    <row r="1756" customFormat="1" ht="15.75" customHeight="1"/>
    <row r="1757" customFormat="1" ht="15.75" customHeight="1"/>
    <row r="1758" customFormat="1" ht="15.75" customHeight="1"/>
    <row r="1759" customFormat="1" ht="15.75" customHeight="1"/>
    <row r="1760" customFormat="1" ht="15.75" customHeight="1"/>
    <row r="1761" customFormat="1" ht="15.75" customHeight="1"/>
    <row r="1762" customFormat="1" ht="15.75" customHeight="1"/>
    <row r="1763" customFormat="1" ht="15.75" customHeight="1"/>
    <row r="1764" customFormat="1" ht="15.75" customHeight="1"/>
    <row r="1765" customFormat="1" ht="15.75" customHeight="1"/>
    <row r="1766" customFormat="1" ht="15.75" customHeight="1"/>
    <row r="1767" customFormat="1" ht="15.75" customHeight="1"/>
    <row r="1768" customFormat="1" ht="15.75" customHeight="1"/>
    <row r="1769" customFormat="1" ht="15.75" customHeight="1"/>
    <row r="1770" customFormat="1" ht="15.75" customHeight="1"/>
    <row r="1771" customFormat="1" ht="15.75" customHeight="1"/>
    <row r="1772" customFormat="1" ht="15.75" customHeight="1"/>
    <row r="1773" customFormat="1" ht="15.75" customHeight="1"/>
    <row r="1774" customFormat="1" ht="15.75" customHeight="1"/>
    <row r="1775" customFormat="1" ht="15.75" customHeight="1"/>
    <row r="1776" customFormat="1" ht="15.75" customHeight="1"/>
    <row r="1777" customFormat="1" ht="15.75" customHeight="1"/>
    <row r="1778" customFormat="1" ht="15.75" customHeight="1"/>
    <row r="1779" customFormat="1" ht="15.75" customHeight="1"/>
    <row r="1780" customFormat="1" ht="15.75" customHeight="1"/>
    <row r="1781" customFormat="1" ht="15.75" customHeight="1"/>
    <row r="1782" customFormat="1" ht="15.75" customHeight="1"/>
    <row r="1783" customFormat="1" ht="15.75" customHeight="1"/>
    <row r="1784" customFormat="1" ht="15.75" customHeight="1"/>
    <row r="1785" customFormat="1" ht="15.75" customHeight="1"/>
    <row r="1786" customFormat="1" ht="15.75" customHeight="1"/>
    <row r="1787" customFormat="1" ht="15.75" customHeight="1"/>
    <row r="1788" customFormat="1" ht="15.75" customHeight="1"/>
    <row r="1789" customFormat="1" ht="15.75" customHeight="1"/>
    <row r="1790" customFormat="1" ht="15.75" customHeight="1"/>
    <row r="1791" customFormat="1" ht="15.75" customHeight="1"/>
    <row r="1792" customFormat="1" ht="15.75" customHeight="1"/>
    <row r="1793" customFormat="1" ht="15.75" customHeight="1"/>
    <row r="1794" customFormat="1" ht="15.75" customHeight="1"/>
    <row r="1795" customFormat="1" ht="15.75" customHeight="1"/>
    <row r="1796" customFormat="1" ht="15.75" customHeight="1"/>
    <row r="1797" customFormat="1" ht="15.75" customHeight="1"/>
    <row r="1798" customFormat="1" ht="15.75" customHeight="1"/>
    <row r="1799" customFormat="1" ht="15.75" customHeight="1"/>
    <row r="1800" customFormat="1" ht="15.75" customHeight="1"/>
    <row r="1801" customFormat="1" ht="15.75" customHeight="1"/>
    <row r="1802" customFormat="1" ht="15.75" customHeight="1"/>
    <row r="1803" customFormat="1" ht="15.75" customHeight="1"/>
    <row r="1804" customFormat="1" ht="15.75" customHeight="1"/>
    <row r="1805" customFormat="1" ht="15.75" customHeight="1"/>
    <row r="1806" customFormat="1" ht="15.75" customHeight="1"/>
    <row r="1807" customFormat="1" ht="15.75" customHeight="1"/>
    <row r="1808" customFormat="1" ht="15.75" customHeight="1"/>
    <row r="1809" customFormat="1" ht="15.75" customHeight="1"/>
    <row r="1810" customFormat="1" ht="15.75" customHeight="1"/>
    <row r="1811" customFormat="1" ht="15.75" customHeight="1"/>
    <row r="1812" customFormat="1" ht="15.75" customHeight="1"/>
    <row r="1813" customFormat="1" ht="15.75" customHeight="1"/>
    <row r="1814" customFormat="1" ht="15.75" customHeight="1"/>
    <row r="1815" customFormat="1" ht="15.75" customHeight="1"/>
    <row r="1816" customFormat="1" ht="15.75" customHeight="1"/>
    <row r="1817" customFormat="1" ht="15.75" customHeight="1"/>
    <row r="1818" customFormat="1" ht="15.75" customHeight="1"/>
    <row r="1819" customFormat="1" ht="15.75" customHeight="1"/>
    <row r="1820" customFormat="1" ht="15.75" customHeight="1"/>
    <row r="1821" customFormat="1" ht="15.75" customHeight="1"/>
    <row r="1822" customFormat="1" ht="15.75" customHeight="1"/>
    <row r="1823" customFormat="1" ht="15.75" customHeight="1"/>
    <row r="1824" customFormat="1" ht="15.75" customHeight="1"/>
    <row r="1825" customFormat="1" ht="15.75" customHeight="1"/>
    <row r="1826" customFormat="1" ht="15.75" customHeight="1"/>
    <row r="1827" customFormat="1" ht="15.75" customHeight="1"/>
    <row r="1828" customFormat="1" ht="15.75" customHeight="1"/>
    <row r="1829" customFormat="1" ht="15.75" customHeight="1"/>
    <row r="1830" customFormat="1" ht="15.75" customHeight="1"/>
    <row r="1831" customFormat="1" ht="15.75" customHeight="1"/>
    <row r="1832" customFormat="1" ht="15.75" customHeight="1"/>
    <row r="1833" customFormat="1" ht="15.75" customHeight="1"/>
    <row r="1834" customFormat="1" ht="15.75" customHeight="1"/>
    <row r="1835" customFormat="1" ht="15.75" customHeight="1"/>
    <row r="1836" customFormat="1" ht="15.75" customHeight="1"/>
    <row r="1837" customFormat="1" ht="15.75" customHeight="1"/>
    <row r="1838" customFormat="1" ht="15.75" customHeight="1"/>
    <row r="1839" customFormat="1" ht="15.75" customHeight="1"/>
    <row r="1840" customFormat="1" ht="15.75" customHeight="1"/>
    <row r="1841" customFormat="1" ht="15.75" customHeight="1"/>
    <row r="1842" customFormat="1" ht="15.75" customHeight="1"/>
    <row r="1843" customFormat="1" ht="15.75" customHeight="1"/>
    <row r="1844" customFormat="1" ht="15.75" customHeight="1"/>
    <row r="1845" customFormat="1" ht="15.75" customHeight="1"/>
    <row r="1846" customFormat="1" ht="15.75" customHeight="1"/>
    <row r="1847" customFormat="1" ht="15.75" customHeight="1"/>
    <row r="1848" customFormat="1" ht="15.75" customHeight="1"/>
    <row r="1849" customFormat="1" ht="15.75" customHeight="1"/>
    <row r="1850" customFormat="1" ht="15.75" customHeight="1"/>
    <row r="1851" customFormat="1" ht="15.75" customHeight="1"/>
    <row r="1852" customFormat="1" ht="15.75" customHeight="1"/>
    <row r="1853" customFormat="1" ht="15.75" customHeight="1"/>
    <row r="1854" customFormat="1" ht="15.75" customHeight="1"/>
    <row r="1855" customFormat="1" ht="15.75" customHeight="1"/>
    <row r="1856" customFormat="1" ht="15.75" customHeight="1"/>
    <row r="1857" customFormat="1" ht="15.75" customHeight="1"/>
    <row r="1858" customFormat="1" ht="15.75" customHeight="1"/>
    <row r="1859" customFormat="1" ht="15.75" customHeight="1"/>
    <row r="1860" customFormat="1" ht="15.75" customHeight="1"/>
    <row r="1861" customFormat="1" ht="15.75" customHeight="1"/>
    <row r="1862" customFormat="1" ht="15.75" customHeight="1"/>
    <row r="1863" customFormat="1" ht="15.75" customHeight="1"/>
    <row r="1864" customFormat="1" ht="15.75" customHeight="1"/>
    <row r="1865" customFormat="1" ht="15.75" customHeight="1"/>
    <row r="1866" customFormat="1" ht="15.75" customHeight="1"/>
    <row r="1867" customFormat="1" ht="15.75" customHeight="1"/>
    <row r="1868" customFormat="1" ht="15.75" customHeight="1"/>
    <row r="1869" customFormat="1" ht="15.75" customHeight="1"/>
    <row r="1870" customFormat="1" ht="15.75" customHeight="1"/>
    <row r="1871" customFormat="1" ht="15.75" customHeight="1"/>
    <row r="1872" customFormat="1" ht="15.75" customHeight="1"/>
    <row r="1873" customFormat="1" ht="15.75" customHeight="1"/>
    <row r="1874" customFormat="1" ht="15.75" customHeight="1"/>
    <row r="1875" customFormat="1" ht="15.75" customHeight="1"/>
    <row r="1876" customFormat="1" ht="15.75" customHeight="1"/>
    <row r="1877" customFormat="1" ht="15.75" customHeight="1"/>
    <row r="1878" customFormat="1" ht="15.75" customHeight="1"/>
    <row r="1879" customFormat="1" ht="15.75" customHeight="1"/>
    <row r="1880" customFormat="1" ht="15.75" customHeight="1"/>
    <row r="1881" customFormat="1" ht="15.75" customHeight="1"/>
    <row r="1882" customFormat="1" ht="15.75" customHeight="1"/>
    <row r="1883" customFormat="1" ht="15.75" customHeight="1"/>
    <row r="1884" customFormat="1" ht="15.75" customHeight="1"/>
    <row r="1885" customFormat="1" ht="15.75" customHeight="1"/>
    <row r="1886" customFormat="1" ht="15.75" customHeight="1"/>
    <row r="1887" customFormat="1" ht="15.75" customHeight="1"/>
    <row r="1888" customFormat="1" ht="15.75" customHeight="1"/>
    <row r="1889" customFormat="1" ht="15.75" customHeight="1"/>
    <row r="1890" customFormat="1" ht="15.75" customHeight="1"/>
    <row r="1891" customFormat="1" ht="15.75" customHeight="1"/>
    <row r="1892" customFormat="1" ht="15.75" customHeight="1"/>
    <row r="1893" customFormat="1" ht="15.75" customHeight="1"/>
    <row r="1894" customFormat="1" ht="15.75" customHeight="1"/>
    <row r="1895" customFormat="1" ht="15.75" customHeight="1"/>
    <row r="1896" customFormat="1" ht="15.75" customHeight="1"/>
    <row r="1897" customFormat="1" ht="15.75" customHeight="1"/>
    <row r="1898" customFormat="1" ht="15.75" customHeight="1"/>
    <row r="1899" customFormat="1" ht="15.75" customHeight="1"/>
    <row r="1900" customFormat="1" ht="15.75" customHeight="1"/>
    <row r="1901" customFormat="1" ht="15.75" customHeight="1"/>
    <row r="1902" customFormat="1" ht="15.75" customHeight="1"/>
    <row r="1903" customFormat="1" ht="15.75" customHeight="1"/>
    <row r="1904" customFormat="1" ht="15.75" customHeight="1"/>
    <row r="1905" customFormat="1" ht="15.75" customHeight="1"/>
    <row r="1906" customFormat="1" ht="15.75" customHeight="1"/>
    <row r="1907" customFormat="1" ht="15.75" customHeight="1"/>
    <row r="1908" customFormat="1" ht="15.75" customHeight="1"/>
    <row r="1909" customFormat="1" ht="15.75" customHeight="1"/>
    <row r="1910" customFormat="1" ht="15.75" customHeight="1"/>
    <row r="1911" customFormat="1" ht="15.75" customHeight="1"/>
    <row r="1912" customFormat="1" ht="15.75" customHeight="1"/>
    <row r="1913" customFormat="1" ht="15.75" customHeight="1"/>
    <row r="1914" customFormat="1" ht="15.75" customHeight="1"/>
    <row r="1915" customFormat="1" ht="15.75" customHeight="1"/>
    <row r="1916" customFormat="1" ht="15.75" customHeight="1"/>
    <row r="1917" customFormat="1" ht="15.75" customHeight="1"/>
    <row r="1918" customFormat="1" ht="15.75" customHeight="1"/>
    <row r="1919" customFormat="1" ht="15.75" customHeight="1"/>
    <row r="1920" customFormat="1" ht="15.75" customHeight="1"/>
    <row r="1921" customFormat="1" ht="15.75" customHeight="1"/>
    <row r="1922" customFormat="1" ht="15.75" customHeight="1"/>
    <row r="1923" customFormat="1" ht="15.75" customHeight="1"/>
    <row r="1924" customFormat="1" ht="15.75" customHeight="1"/>
    <row r="1925" customFormat="1" ht="15.75" customHeight="1"/>
    <row r="1926" customFormat="1" ht="15.75" customHeight="1"/>
    <row r="1927" customFormat="1" ht="15.75" customHeight="1"/>
    <row r="1928" customFormat="1" ht="15.75" customHeight="1"/>
    <row r="1929" customFormat="1" ht="15.75" customHeight="1"/>
    <row r="1930" customFormat="1" ht="15.75" customHeight="1"/>
    <row r="1931" customFormat="1" ht="15.75" customHeight="1"/>
    <row r="1932" customFormat="1" ht="15.75" customHeight="1"/>
    <row r="1933" customFormat="1" ht="15.75" customHeight="1"/>
    <row r="1934" customFormat="1" ht="15.75" customHeight="1"/>
    <row r="1935" customFormat="1" ht="15.75" customHeight="1"/>
    <row r="1936" customFormat="1" ht="15.75" customHeight="1"/>
    <row r="1937" customFormat="1" ht="15.75" customHeight="1"/>
    <row r="1938" customFormat="1" ht="15.75" customHeight="1"/>
    <row r="1939" customFormat="1" ht="15.75" customHeight="1"/>
    <row r="1940" customFormat="1" ht="15.75" customHeight="1"/>
    <row r="1941" customFormat="1" ht="15.75" customHeight="1"/>
    <row r="1942" customFormat="1" ht="15.75" customHeight="1"/>
    <row r="1943" customFormat="1" ht="15.75" customHeight="1"/>
    <row r="1944" customFormat="1" ht="15.75" customHeight="1"/>
    <row r="1945" customFormat="1" ht="15.75" customHeight="1"/>
    <row r="1946" customFormat="1" ht="15.75" customHeight="1"/>
    <row r="1947" customFormat="1" ht="15.75" customHeight="1"/>
    <row r="1948" customFormat="1" ht="15.75" customHeight="1"/>
    <row r="1949" customFormat="1" ht="15.75" customHeight="1"/>
    <row r="1950" customFormat="1" ht="15.75" customHeight="1"/>
    <row r="1951" customFormat="1" ht="15.75" customHeight="1"/>
    <row r="1952" customFormat="1" ht="15.75" customHeight="1"/>
    <row r="1953" customFormat="1" ht="15.75" customHeight="1"/>
    <row r="1954" customFormat="1" ht="15.75" customHeight="1"/>
    <row r="1955" customFormat="1" ht="15.75" customHeight="1"/>
    <row r="1956" customFormat="1" ht="15.75" customHeight="1"/>
    <row r="1957" customFormat="1" ht="15.75" customHeight="1"/>
    <row r="1958" customFormat="1" ht="15.75" customHeight="1"/>
    <row r="1959" customFormat="1" ht="15.75" customHeight="1"/>
    <row r="1960" customFormat="1" ht="15.75" customHeight="1"/>
    <row r="1961" customFormat="1" ht="15.75" customHeight="1"/>
    <row r="1962" customFormat="1" ht="15.75" customHeight="1"/>
    <row r="1963" customFormat="1" ht="15.75" customHeight="1"/>
    <row r="1964" customFormat="1" ht="15.75" customHeight="1"/>
    <row r="1965" customFormat="1" ht="15.75" customHeight="1"/>
    <row r="1966" customFormat="1" ht="15.75" customHeight="1"/>
    <row r="1967" customFormat="1" ht="15.75" customHeight="1"/>
    <row r="1968" customFormat="1" ht="15.75" customHeight="1"/>
    <row r="1969" customFormat="1" ht="15.75" customHeight="1"/>
    <row r="1970" customFormat="1" ht="15.75" customHeight="1"/>
    <row r="1971" customFormat="1" ht="15.75" customHeight="1"/>
    <row r="1972" customFormat="1" ht="15.75" customHeight="1"/>
    <row r="1973" customFormat="1" ht="15.75" customHeight="1"/>
    <row r="1974" customFormat="1" ht="15.75" customHeight="1"/>
    <row r="1975" customFormat="1" ht="15.75" customHeight="1"/>
    <row r="1976" customFormat="1" ht="15.75" customHeight="1"/>
    <row r="1977" customFormat="1" ht="15.75" customHeight="1"/>
    <row r="1978" customFormat="1" ht="15.75" customHeight="1"/>
    <row r="1979" customFormat="1" ht="15.75" customHeight="1"/>
    <row r="1980" customFormat="1" ht="15.75" customHeight="1"/>
    <row r="1981" customFormat="1" ht="15.75" customHeight="1"/>
    <row r="1982" customFormat="1" ht="15.75" customHeight="1"/>
    <row r="1983" customFormat="1" ht="15.75" customHeight="1"/>
    <row r="1984" customFormat="1" ht="15.75" customHeight="1"/>
    <row r="1985" customFormat="1" ht="15.75" customHeight="1"/>
    <row r="1986" customFormat="1" ht="15.75" customHeight="1"/>
    <row r="1987" customFormat="1" ht="15.75" customHeight="1"/>
    <row r="1988" customFormat="1" ht="15.75" customHeight="1"/>
    <row r="1989" customFormat="1" ht="15.75" customHeight="1"/>
    <row r="1990" customFormat="1" ht="15.75" customHeight="1"/>
    <row r="1991" customFormat="1" ht="15.75" customHeight="1"/>
    <row r="1992" customFormat="1" ht="15.75" customHeight="1"/>
    <row r="1993" customFormat="1" ht="15.75" customHeight="1"/>
    <row r="1994" customFormat="1" ht="15.75" customHeight="1"/>
    <row r="1995" customFormat="1" ht="15.75" customHeight="1"/>
    <row r="1996" customFormat="1" ht="15.75" customHeight="1"/>
    <row r="1997" customFormat="1" ht="15.75" customHeight="1"/>
    <row r="1998" customFormat="1" ht="15.75" customHeight="1"/>
    <row r="1999" customFormat="1" ht="15.75" customHeight="1"/>
    <row r="2000" customFormat="1" ht="15.75" customHeight="1"/>
    <row r="2001" customFormat="1" ht="15.75" customHeight="1"/>
    <row r="2002" customFormat="1" ht="15.75" customHeight="1"/>
    <row r="2003" customFormat="1" ht="15.75" customHeight="1"/>
    <row r="2004" customFormat="1" ht="15.75" customHeight="1"/>
    <row r="2005" customFormat="1" ht="15.75" customHeight="1"/>
    <row r="2006" customFormat="1" ht="15.75" customHeight="1"/>
    <row r="2007" customFormat="1" ht="15.75" customHeight="1"/>
    <row r="2008" customFormat="1" ht="15.75" customHeight="1"/>
    <row r="2009" customFormat="1" ht="15.75" customHeight="1"/>
    <row r="2010" customFormat="1" ht="15.75" customHeight="1"/>
    <row r="2011" customFormat="1" ht="15.75" customHeight="1"/>
    <row r="2012" customFormat="1" ht="15.75" customHeight="1"/>
    <row r="2013" customFormat="1" ht="15.75" customHeight="1"/>
    <row r="2014" customFormat="1" ht="15.75" customHeight="1"/>
    <row r="2015" customFormat="1" ht="15.75" customHeight="1"/>
    <row r="2016" customFormat="1" ht="15.75" customHeight="1"/>
    <row r="2017" customFormat="1" ht="15.75" customHeight="1"/>
    <row r="2018" customFormat="1" ht="15.75" customHeight="1"/>
    <row r="2019" customFormat="1" ht="15.75" customHeight="1"/>
    <row r="2020" customFormat="1" ht="15.75" customHeight="1"/>
    <row r="2021" customFormat="1" ht="15.75" customHeight="1"/>
    <row r="2022" customFormat="1" ht="15.75" customHeight="1"/>
    <row r="2023" customFormat="1" ht="15.75" customHeight="1"/>
    <row r="2024" customFormat="1" ht="15.75" customHeight="1"/>
    <row r="2025" customFormat="1" ht="15.75" customHeight="1"/>
    <row r="2026" customFormat="1" ht="15.75" customHeight="1"/>
    <row r="2027" customFormat="1" ht="15.75" customHeight="1"/>
    <row r="2028" customFormat="1" ht="15.75" customHeight="1"/>
    <row r="2029" customFormat="1" ht="15.75" customHeight="1"/>
    <row r="2030" customFormat="1" ht="15.75" customHeight="1"/>
    <row r="2031" customFormat="1" ht="15.75" customHeight="1"/>
    <row r="2032" customFormat="1" ht="15.75" customHeight="1"/>
    <row r="2033" customFormat="1" ht="15.75" customHeight="1"/>
    <row r="2034" customFormat="1" ht="15.75" customHeight="1"/>
    <row r="2035" customFormat="1" ht="15.75" customHeight="1"/>
    <row r="2036" customFormat="1" ht="15.75" customHeight="1"/>
    <row r="2037" customFormat="1" ht="15.75" customHeight="1"/>
    <row r="2038" customFormat="1" ht="15.75" customHeight="1"/>
    <row r="2039" customFormat="1" ht="15.75" customHeight="1"/>
    <row r="2040" customFormat="1" ht="15.75" customHeight="1"/>
    <row r="2041" customFormat="1" ht="15.75" customHeight="1"/>
    <row r="2042" customFormat="1" ht="15.75" customHeight="1"/>
    <row r="2043" customFormat="1" ht="15.75" customHeight="1"/>
    <row r="2044" customFormat="1" ht="15.75" customHeight="1"/>
    <row r="2045" customFormat="1" ht="15.75" customHeight="1"/>
    <row r="2046" customFormat="1" ht="15.75" customHeight="1"/>
    <row r="2047" customFormat="1" ht="15.75" customHeight="1"/>
    <row r="2048" customFormat="1" ht="15.75" customHeight="1"/>
    <row r="2049" customFormat="1" ht="15.75" customHeight="1"/>
    <row r="2050" customFormat="1" ht="15.75" customHeight="1"/>
    <row r="2051" customFormat="1" ht="15.75" customHeight="1"/>
    <row r="2052" customFormat="1" ht="15.75" customHeight="1"/>
    <row r="2053" customFormat="1" ht="15.75" customHeight="1"/>
    <row r="2054" customFormat="1" ht="15.75" customHeight="1"/>
    <row r="2055" customFormat="1" ht="15.75" customHeight="1"/>
    <row r="2056" customFormat="1" ht="15.75" customHeight="1"/>
    <row r="2057" customFormat="1" ht="15.75" customHeight="1"/>
    <row r="2058" customFormat="1" ht="15.75" customHeight="1"/>
    <row r="2059" customFormat="1" ht="15.75" customHeight="1"/>
    <row r="2060" customFormat="1" ht="15.75" customHeight="1"/>
    <row r="2061" customFormat="1" ht="15.75" customHeight="1"/>
    <row r="2062" customFormat="1" ht="15.75" customHeight="1"/>
    <row r="2063" customFormat="1" ht="15.75" customHeight="1"/>
    <row r="2064" customFormat="1" ht="15.75" customHeight="1"/>
    <row r="2065" customFormat="1" ht="15.75" customHeight="1"/>
    <row r="2066" customFormat="1" ht="15.75" customHeight="1"/>
    <row r="2067" customFormat="1" ht="15.75" customHeight="1"/>
    <row r="2068" customFormat="1" ht="15.75" customHeight="1"/>
    <row r="2069" customFormat="1" ht="15.75" customHeight="1"/>
    <row r="2070" customFormat="1" ht="15.75" customHeight="1"/>
    <row r="2071" customFormat="1" ht="15.75" customHeight="1"/>
    <row r="2072" customFormat="1" ht="15.75" customHeight="1"/>
    <row r="2073" customFormat="1" ht="15.75" customHeight="1"/>
    <row r="2074" customFormat="1" ht="15.75" customHeight="1"/>
    <row r="2075" customFormat="1" ht="15.75" customHeight="1"/>
    <row r="2076" customFormat="1" ht="15.75" customHeight="1"/>
    <row r="2077" customFormat="1" ht="15.75" customHeight="1"/>
    <row r="2078" customFormat="1" ht="15.75" customHeight="1"/>
    <row r="2079" customFormat="1" ht="15.75" customHeight="1"/>
    <row r="2080" customFormat="1" ht="15.75" customHeight="1"/>
    <row r="2081" customFormat="1" ht="15.75" customHeight="1"/>
    <row r="2082" customFormat="1" ht="15.75" customHeight="1"/>
    <row r="2083" customFormat="1" ht="15.75" customHeight="1"/>
    <row r="2084" customFormat="1" ht="15.75" customHeight="1"/>
    <row r="2085" customFormat="1" ht="15.75" customHeight="1"/>
    <row r="2086" customFormat="1" ht="15.75" customHeight="1"/>
    <row r="2087" customFormat="1" ht="15.75" customHeight="1"/>
    <row r="2088" customFormat="1" ht="15.75" customHeight="1"/>
    <row r="2089" customFormat="1" ht="15.75" customHeight="1"/>
    <row r="2090" customFormat="1" ht="15.75" customHeight="1"/>
    <row r="2091" customFormat="1" ht="15.75" customHeight="1"/>
    <row r="2092" customFormat="1" ht="15.75" customHeight="1"/>
    <row r="2093" customFormat="1" ht="15.75" customHeight="1"/>
    <row r="2094" customFormat="1" ht="15.75" customHeight="1"/>
    <row r="2095" customFormat="1" ht="15.75" customHeight="1"/>
    <row r="2096" customFormat="1" ht="15.75" customHeight="1"/>
    <row r="2097" customFormat="1" ht="15.75" customHeight="1"/>
    <row r="2098" customFormat="1" ht="15.75" customHeight="1"/>
    <row r="2099" customFormat="1" ht="15.75" customHeight="1"/>
    <row r="2100" customFormat="1" ht="15.75" customHeight="1"/>
    <row r="2101" customFormat="1" ht="15.75" customHeight="1"/>
    <row r="2102" customFormat="1" ht="15.75" customHeight="1"/>
    <row r="2103" customFormat="1" ht="15.75" customHeight="1"/>
    <row r="2104" customFormat="1" ht="15.75" customHeight="1"/>
    <row r="2105" customFormat="1" ht="15.75" customHeight="1"/>
    <row r="2106" customFormat="1" ht="15.75" customHeight="1"/>
    <row r="2107" customFormat="1" ht="15.75" customHeight="1"/>
    <row r="2108" customFormat="1" ht="15.75" customHeight="1"/>
    <row r="2109" customFormat="1" ht="15.75" customHeight="1"/>
    <row r="2110" customFormat="1" ht="15.75" customHeight="1"/>
    <row r="2111" customFormat="1" ht="15.75" customHeight="1"/>
    <row r="2112" customFormat="1" ht="15.75" customHeight="1"/>
    <row r="2113" customFormat="1" ht="15.75" customHeight="1"/>
    <row r="2114" customFormat="1" ht="15.75" customHeight="1"/>
    <row r="2115" customFormat="1" ht="15.75" customHeight="1"/>
    <row r="2116" customFormat="1" ht="15.75" customHeight="1"/>
    <row r="2117" customFormat="1" ht="15.75" customHeight="1"/>
    <row r="2118" customFormat="1" ht="15.75" customHeight="1"/>
    <row r="2119" customFormat="1" ht="15.75" customHeight="1"/>
    <row r="2120" customFormat="1" ht="15.75" customHeight="1"/>
    <row r="2121" customFormat="1" ht="15.75" customHeight="1"/>
    <row r="2122" customFormat="1" ht="15.75" customHeight="1"/>
    <row r="2123" customFormat="1" ht="15.75" customHeight="1"/>
    <row r="2124" customFormat="1" ht="15.75" customHeight="1"/>
    <row r="2125" customFormat="1" ht="15.75" customHeight="1"/>
    <row r="2126" customFormat="1" ht="15.75" customHeight="1"/>
    <row r="2127" customFormat="1" ht="15.75" customHeight="1"/>
    <row r="2128" customFormat="1" ht="15.75" customHeight="1"/>
    <row r="2129" customFormat="1" ht="15.75" customHeight="1"/>
    <row r="2130" customFormat="1" ht="15.75" customHeight="1"/>
    <row r="2131" customFormat="1" ht="15.75" customHeight="1"/>
    <row r="2132" customFormat="1" ht="15.75" customHeight="1"/>
    <row r="2133" customFormat="1" ht="15.75" customHeight="1"/>
    <row r="2134" customFormat="1" ht="15.75" customHeight="1"/>
    <row r="2135" customFormat="1" ht="15.75" customHeight="1"/>
    <row r="2136" customFormat="1" ht="15.75" customHeight="1"/>
    <row r="2137" customFormat="1" ht="15.75" customHeight="1"/>
    <row r="2138" customFormat="1" ht="15.75" customHeight="1"/>
    <row r="2139" customFormat="1" ht="15.75" customHeight="1"/>
    <row r="2140" customFormat="1" ht="15.75" customHeight="1"/>
    <row r="2141" customFormat="1" ht="15.75" customHeight="1"/>
    <row r="2142" customFormat="1" ht="15.75" customHeight="1"/>
    <row r="2143" customFormat="1" ht="15.75" customHeight="1"/>
    <row r="2144" customFormat="1" ht="15.75" customHeight="1"/>
    <row r="2145" customFormat="1" ht="15.75" customHeight="1"/>
    <row r="2146" customFormat="1" ht="15.75" customHeight="1"/>
    <row r="2147" customFormat="1" ht="15.75" customHeight="1"/>
    <row r="2148" customFormat="1" ht="15.75" customHeight="1"/>
    <row r="2149" customFormat="1" ht="15.75" customHeight="1"/>
    <row r="2150" customFormat="1" ht="15.75" customHeight="1"/>
    <row r="2151" customFormat="1" ht="15.75" customHeight="1"/>
    <row r="2152" customFormat="1" ht="15.75" customHeight="1"/>
    <row r="2153" customFormat="1" ht="15.75" customHeight="1"/>
    <row r="2154" customFormat="1" ht="15.75" customHeight="1"/>
    <row r="2155" customFormat="1" ht="15.75" customHeight="1"/>
    <row r="2156" customFormat="1" ht="15.75" customHeight="1"/>
    <row r="2157" customFormat="1" ht="15.75" customHeight="1"/>
    <row r="2158" customFormat="1" ht="15.75" customHeight="1"/>
    <row r="2159" customFormat="1" ht="15.75" customHeight="1"/>
    <row r="2160" customFormat="1" ht="15.75" customHeight="1"/>
    <row r="2161" customFormat="1" ht="15.75" customHeight="1"/>
    <row r="2162" customFormat="1" ht="15.75" customHeight="1"/>
    <row r="2163" customFormat="1" ht="15.75" customHeight="1"/>
    <row r="2164" customFormat="1" ht="15.75" customHeight="1"/>
    <row r="2165" customFormat="1" ht="15.75" customHeight="1"/>
    <row r="2166" customFormat="1" ht="15.75" customHeight="1"/>
    <row r="2167" customFormat="1" ht="15.75" customHeight="1"/>
    <row r="2168" customFormat="1" ht="15.75" customHeight="1"/>
    <row r="2169" customFormat="1" ht="15.75" customHeight="1"/>
    <row r="2170" customFormat="1" ht="15.75" customHeight="1"/>
    <row r="2171" customFormat="1" ht="15.75" customHeight="1"/>
    <row r="2172" customFormat="1" ht="15.75" customHeight="1"/>
    <row r="2173" customFormat="1" ht="15.75" customHeight="1"/>
    <row r="2174" customFormat="1" ht="15.75" customHeight="1"/>
    <row r="2175" customFormat="1" ht="15.75" customHeight="1"/>
    <row r="2176" customFormat="1" ht="15.75" customHeight="1"/>
    <row r="2177" customFormat="1" ht="15.75" customHeight="1"/>
    <row r="2178" customFormat="1" ht="15.75" customHeight="1"/>
    <row r="2179" customFormat="1" ht="15.75" customHeight="1"/>
    <row r="2180" customFormat="1" ht="15.75" customHeight="1"/>
    <row r="2181" customFormat="1" ht="15.75" customHeight="1"/>
    <row r="2182" customFormat="1" ht="15.75" customHeight="1"/>
    <row r="2183" customFormat="1" ht="15.75" customHeight="1"/>
    <row r="2184" customFormat="1" ht="15.75" customHeight="1"/>
    <row r="2185" customFormat="1" ht="15.75" customHeight="1"/>
    <row r="2186" customFormat="1" ht="15.75" customHeight="1"/>
    <row r="2187" customFormat="1" ht="15.75" customHeight="1"/>
    <row r="2188" customFormat="1" ht="15.75" customHeight="1"/>
    <row r="2189" customFormat="1" ht="15.75" customHeight="1"/>
    <row r="2190" customFormat="1" ht="15.75" customHeight="1"/>
    <row r="2191" customFormat="1" ht="15.75" customHeight="1"/>
    <row r="2192" customFormat="1" ht="15.75" customHeight="1"/>
    <row r="2193" customFormat="1" ht="15.75" customHeight="1"/>
    <row r="2194" customFormat="1" ht="15.75" customHeight="1"/>
    <row r="2195" customFormat="1" ht="15.75" customHeight="1"/>
    <row r="2196" customFormat="1" ht="15.75" customHeight="1"/>
    <row r="2197" customFormat="1" ht="15.75" customHeight="1"/>
    <row r="2198" customFormat="1" ht="15.75" customHeight="1"/>
    <row r="2199" customFormat="1" ht="15.75" customHeight="1"/>
    <row r="2200" customFormat="1" ht="15.75" customHeight="1"/>
    <row r="2201" customFormat="1" ht="15.75" customHeight="1"/>
    <row r="2202" customFormat="1" ht="15.75" customHeight="1"/>
    <row r="2203" customFormat="1" ht="15.75" customHeight="1"/>
    <row r="2204" customFormat="1" ht="15.75" customHeight="1"/>
    <row r="2205" customFormat="1" ht="15.75" customHeight="1"/>
    <row r="2206" customFormat="1" ht="15.75" customHeight="1"/>
    <row r="2207" customFormat="1" ht="15.75" customHeight="1"/>
    <row r="2208" customFormat="1" ht="15.75" customHeight="1"/>
    <row r="2209" customFormat="1" ht="15.75" customHeight="1"/>
    <row r="2210" customFormat="1" ht="15.75" customHeight="1"/>
    <row r="2211" customFormat="1" ht="15.75" customHeight="1"/>
    <row r="2212" customFormat="1" ht="15.75" customHeight="1"/>
    <row r="2213" customFormat="1" ht="15.75" customHeight="1"/>
    <row r="2214" customFormat="1" ht="15.75" customHeight="1"/>
    <row r="2215" customFormat="1" ht="15.75" customHeight="1"/>
    <row r="2216" customFormat="1" ht="15.75" customHeight="1"/>
    <row r="2217" customFormat="1" ht="15.75" customHeight="1"/>
    <row r="2218" customFormat="1" ht="15.75" customHeight="1"/>
    <row r="2219" customFormat="1" ht="15.75" customHeight="1"/>
    <row r="2220" customFormat="1" ht="15.75" customHeight="1"/>
    <row r="2221" customFormat="1" ht="15.75" customHeight="1"/>
    <row r="2222" customFormat="1" ht="15.75" customHeight="1"/>
    <row r="2223" customFormat="1" ht="15.75" customHeight="1"/>
    <row r="2224" customFormat="1" ht="15.75" customHeight="1"/>
    <row r="2225" customFormat="1" ht="15.75" customHeight="1"/>
    <row r="2226" customFormat="1" ht="15.75" customHeight="1"/>
    <row r="2227" customFormat="1" ht="15.75" customHeight="1"/>
    <row r="2228" customFormat="1" ht="15.75" customHeight="1"/>
    <row r="2229" customFormat="1" ht="15.75" customHeight="1"/>
    <row r="2230" customFormat="1" ht="15.75" customHeight="1"/>
    <row r="2231" customFormat="1" ht="15.75" customHeight="1"/>
    <row r="2232" customFormat="1" ht="15.75" customHeight="1"/>
    <row r="2233" customFormat="1" ht="15.75" customHeight="1"/>
    <row r="2234" customFormat="1" ht="15.75" customHeight="1"/>
    <row r="2235" customFormat="1" ht="15.75" customHeight="1"/>
    <row r="2236" customFormat="1" ht="15.75" customHeight="1"/>
    <row r="2237" customFormat="1" ht="15.75" customHeight="1"/>
    <row r="2238" customFormat="1" ht="15.75" customHeight="1"/>
    <row r="2239" customFormat="1" ht="15.75" customHeight="1"/>
    <row r="2240" customFormat="1" ht="15.75" customHeight="1"/>
    <row r="2241" customFormat="1" ht="15.75" customHeight="1"/>
    <row r="2242" customFormat="1" ht="15.75" customHeight="1"/>
    <row r="2243" customFormat="1" ht="15.75" customHeight="1"/>
    <row r="2244" customFormat="1" ht="15.75" customHeight="1"/>
    <row r="2245" customFormat="1" ht="15.75" customHeight="1"/>
    <row r="2246" customFormat="1" ht="15.75" customHeight="1"/>
    <row r="2247" customFormat="1" ht="15.75" customHeight="1"/>
    <row r="2248" customFormat="1" ht="15.75" customHeight="1"/>
    <row r="2249" customFormat="1" ht="15.75" customHeight="1"/>
    <row r="2250" customFormat="1" ht="15.75" customHeight="1"/>
    <row r="2251" customFormat="1" ht="15.75" customHeight="1"/>
    <row r="2252" customFormat="1" ht="15.75" customHeight="1"/>
    <row r="2253" customFormat="1" ht="15.75" customHeight="1"/>
    <row r="2254" customFormat="1" ht="15.75" customHeight="1"/>
    <row r="2255" customFormat="1" ht="15.75" customHeight="1"/>
    <row r="2256" customFormat="1" ht="15.75" customHeight="1"/>
    <row r="2257" customFormat="1" ht="15.75" customHeight="1"/>
    <row r="2258" customFormat="1" ht="15.75" customHeight="1"/>
    <row r="2259" customFormat="1" ht="15.75" customHeight="1"/>
    <row r="2260" customFormat="1" ht="15.75" customHeight="1"/>
    <row r="2261" customFormat="1" ht="15.75" customHeight="1"/>
    <row r="2262" customFormat="1" ht="15.75" customHeight="1"/>
    <row r="2263" customFormat="1" ht="15.75" customHeight="1"/>
    <row r="2264" customFormat="1" ht="15.75" customHeight="1"/>
    <row r="2265" customFormat="1" ht="15.75" customHeight="1"/>
    <row r="2266" customFormat="1" ht="15.75" customHeight="1"/>
    <row r="2267" customFormat="1" ht="15.75" customHeight="1"/>
    <row r="2268" customFormat="1" ht="15.75" customHeight="1"/>
    <row r="2269" customFormat="1" ht="15.75" customHeight="1"/>
    <row r="2270" customFormat="1" ht="15.75" customHeight="1"/>
    <row r="2271" customFormat="1" ht="15.75" customHeight="1"/>
    <row r="2272" customFormat="1" ht="15.75" customHeight="1"/>
    <row r="2273" customFormat="1" ht="15.75" customHeight="1"/>
    <row r="2274" customFormat="1" ht="15.75" customHeight="1"/>
    <row r="2275" customFormat="1" ht="15.75" customHeight="1"/>
    <row r="2276" customFormat="1" ht="15.75" customHeight="1"/>
    <row r="2277" customFormat="1" ht="15.75" customHeight="1"/>
    <row r="2278" customFormat="1" ht="15.75" customHeight="1"/>
    <row r="2279" customFormat="1" ht="15.75" customHeight="1"/>
    <row r="2280" customFormat="1" ht="15.75" customHeight="1"/>
    <row r="2281" customFormat="1" ht="15.75" customHeight="1"/>
    <row r="2282" customFormat="1" ht="15.75" customHeight="1"/>
    <row r="2283" customFormat="1" ht="15.75" customHeight="1"/>
    <row r="2284" customFormat="1" ht="15.75" customHeight="1"/>
    <row r="2285" customFormat="1" ht="15.75" customHeight="1"/>
    <row r="2286" customFormat="1" ht="15.75" customHeight="1"/>
    <row r="2287" customFormat="1" ht="15.75" customHeight="1"/>
    <row r="2288" customFormat="1" ht="15.75" customHeight="1"/>
    <row r="2289" customFormat="1" ht="15.75" customHeight="1"/>
    <row r="2290" customFormat="1" ht="15.75" customHeight="1"/>
    <row r="2291" customFormat="1" ht="15.75" customHeight="1"/>
    <row r="2292" customFormat="1" ht="15.75" customHeight="1"/>
    <row r="2293" customFormat="1" ht="15.75" customHeight="1"/>
    <row r="2294" customFormat="1" ht="15.75" customHeight="1"/>
    <row r="2295" customFormat="1" ht="15.75" customHeight="1"/>
    <row r="2296" customFormat="1" ht="15.75" customHeight="1"/>
    <row r="2297" customFormat="1" ht="15.75" customHeight="1"/>
    <row r="2298" customFormat="1" ht="15.75" customHeight="1"/>
    <row r="2299" customFormat="1" ht="15.75" customHeight="1"/>
    <row r="2300" customFormat="1" ht="15.75" customHeight="1"/>
    <row r="2301" customFormat="1" ht="15.75" customHeight="1"/>
    <row r="2302" customFormat="1" ht="15.75" customHeight="1"/>
    <row r="2303" customFormat="1" ht="15.75" customHeight="1"/>
    <row r="2304" customFormat="1" ht="15.75" customHeight="1"/>
    <row r="2305" customFormat="1" ht="15.75" customHeight="1"/>
    <row r="2306" customFormat="1" ht="15.75" customHeight="1"/>
    <row r="2307" customFormat="1" ht="15.75" customHeight="1"/>
    <row r="2308" customFormat="1" ht="15.75" customHeight="1"/>
    <row r="2309" customFormat="1" ht="15.75" customHeight="1"/>
    <row r="2310" customFormat="1" ht="15.75" customHeight="1"/>
    <row r="2311" customFormat="1" ht="15.75" customHeight="1"/>
    <row r="2312" customFormat="1" ht="15.75" customHeight="1"/>
    <row r="2313" customFormat="1" ht="15.75" customHeight="1"/>
    <row r="2314" customFormat="1" ht="15.75" customHeight="1"/>
    <row r="2315" customFormat="1" ht="15.75" customHeight="1"/>
    <row r="2316" customFormat="1" ht="15.75" customHeight="1"/>
    <row r="2317" customFormat="1" ht="15.75" customHeight="1"/>
    <row r="2318" customFormat="1" ht="15.75" customHeight="1"/>
    <row r="2319" customFormat="1" ht="15.75" customHeight="1"/>
    <row r="2320" customFormat="1" ht="15.75" customHeight="1"/>
    <row r="2321" customFormat="1" ht="15.75" customHeight="1"/>
    <row r="2322" customFormat="1" ht="15.75" customHeight="1"/>
    <row r="2323" customFormat="1" ht="15.75" customHeight="1"/>
    <row r="2324" customFormat="1" ht="15.75" customHeight="1"/>
    <row r="2325" customFormat="1" ht="15.75" customHeight="1"/>
    <row r="2326" customFormat="1" ht="15.75" customHeight="1"/>
    <row r="2327" customFormat="1" ht="15.75" customHeight="1"/>
    <row r="2328" customFormat="1" ht="15.75" customHeight="1"/>
    <row r="2329" customFormat="1" ht="15.75" customHeight="1"/>
    <row r="2330" customFormat="1" ht="15.75" customHeight="1"/>
    <row r="2331" customFormat="1" ht="15.75" customHeight="1"/>
    <row r="2332" customFormat="1" ht="15.75" customHeight="1"/>
    <row r="2333" customFormat="1" ht="15.75" customHeight="1"/>
    <row r="2334" customFormat="1" ht="15.75" customHeight="1"/>
    <row r="2335" customFormat="1" ht="15.75" customHeight="1"/>
    <row r="2336" customFormat="1" ht="15.75" customHeight="1"/>
    <row r="2337" customFormat="1" ht="15.75" customHeight="1"/>
    <row r="2338" customFormat="1" ht="15.75" customHeight="1"/>
    <row r="2339" customFormat="1" ht="15.75" customHeight="1"/>
    <row r="2340" customFormat="1" ht="15.75" customHeight="1"/>
    <row r="2341" customFormat="1" ht="15.75" customHeight="1"/>
    <row r="2342" customFormat="1" ht="15.75" customHeight="1"/>
    <row r="2343" customFormat="1" ht="15.75" customHeight="1"/>
    <row r="2344" customFormat="1" ht="15.75" customHeight="1"/>
    <row r="2345" customFormat="1" ht="15.75" customHeight="1"/>
    <row r="2346" customFormat="1" ht="15.75" customHeight="1"/>
    <row r="2347" customFormat="1" ht="15.75" customHeight="1"/>
    <row r="2348" customFormat="1" ht="15.75" customHeight="1"/>
    <row r="2349" customFormat="1" ht="15.75" customHeight="1"/>
    <row r="2350" customFormat="1" ht="15.75" customHeight="1"/>
    <row r="2351" customFormat="1" ht="15.75" customHeight="1"/>
    <row r="2352" customFormat="1" ht="15.75" customHeight="1"/>
    <row r="2353" customFormat="1" ht="15.75" customHeight="1"/>
    <row r="2354" customFormat="1" ht="15.75" customHeight="1"/>
    <row r="2355" customFormat="1" ht="15.75" customHeight="1"/>
    <row r="2356" customFormat="1" ht="15.75" customHeight="1"/>
    <row r="2357" customFormat="1" ht="15.75" customHeight="1"/>
    <row r="2358" customFormat="1" ht="15.75" customHeight="1"/>
    <row r="2359" customFormat="1" ht="15.75" customHeight="1"/>
    <row r="2360" customFormat="1" ht="15.75" customHeight="1"/>
    <row r="2361" customFormat="1" ht="15.75" customHeight="1"/>
    <row r="2362" customFormat="1" ht="15.75" customHeight="1"/>
    <row r="2363" customFormat="1" ht="15.75" customHeight="1"/>
    <row r="2364" customFormat="1" ht="15.75" customHeight="1"/>
    <row r="2365" customFormat="1" ht="15.75" customHeight="1"/>
    <row r="2366" customFormat="1" ht="15.75" customHeight="1"/>
    <row r="2367" customFormat="1" ht="15.75" customHeight="1"/>
    <row r="2368" customFormat="1" ht="15.75" customHeight="1"/>
    <row r="2369" customFormat="1" ht="15.75" customHeight="1"/>
    <row r="2370" customFormat="1" ht="15.75" customHeight="1"/>
    <row r="2371" customFormat="1" ht="15.75" customHeight="1"/>
    <row r="2372" customFormat="1" ht="15.75" customHeight="1"/>
    <row r="2373" customFormat="1" ht="15.75" customHeight="1"/>
    <row r="2374" customFormat="1" ht="15.75" customHeight="1"/>
    <row r="2375" customFormat="1" ht="15.75" customHeight="1"/>
    <row r="2376" customFormat="1" ht="15.75" customHeight="1"/>
    <row r="2377" customFormat="1" ht="15.75" customHeight="1"/>
    <row r="2378" customFormat="1" ht="15.75" customHeight="1"/>
    <row r="2379" customFormat="1" ht="15.75" customHeight="1"/>
    <row r="2380" customFormat="1" ht="15.75" customHeight="1"/>
    <row r="2381" customFormat="1" ht="15.75" customHeight="1"/>
    <row r="2382" customFormat="1" ht="15.75" customHeight="1"/>
    <row r="2383" customFormat="1" ht="15.75" customHeight="1"/>
    <row r="2384" customFormat="1" ht="15.75" customHeight="1"/>
    <row r="2385" customFormat="1" ht="15.75" customHeight="1"/>
    <row r="2386" customFormat="1" ht="15.75" customHeight="1"/>
    <row r="2387" customFormat="1" ht="15.75" customHeight="1"/>
    <row r="2388" customFormat="1" ht="15.75" customHeight="1"/>
    <row r="2389" customFormat="1" ht="15.75" customHeight="1"/>
    <row r="2390" customFormat="1" ht="15.75" customHeight="1"/>
    <row r="2391" customFormat="1" ht="15.75" customHeight="1"/>
    <row r="2392" customFormat="1" ht="15.75" customHeight="1"/>
    <row r="2393" customFormat="1" ht="15.75" customHeight="1"/>
    <row r="2394" customFormat="1" ht="15.75" customHeight="1"/>
    <row r="2395" customFormat="1" ht="15.75" customHeight="1"/>
    <row r="2396" customFormat="1" ht="15.75" customHeight="1"/>
    <row r="2397" customFormat="1" ht="15.75" customHeight="1"/>
    <row r="2398" customFormat="1" ht="15.75" customHeight="1"/>
    <row r="2399" customFormat="1" ht="15.75" customHeight="1"/>
    <row r="2400" customFormat="1" ht="15.75" customHeight="1"/>
    <row r="2401" customFormat="1" ht="15.75" customHeight="1"/>
    <row r="2402" customFormat="1" ht="15.75" customHeight="1"/>
    <row r="2403" customFormat="1" ht="15.75" customHeight="1"/>
    <row r="2404" customFormat="1" ht="15.75" customHeight="1"/>
    <row r="2405" customFormat="1" ht="15.75" customHeight="1"/>
    <row r="2406" customFormat="1" ht="15.75" customHeight="1"/>
    <row r="2407" customFormat="1" ht="15.75" customHeight="1"/>
    <row r="2408" customFormat="1" ht="15.75" customHeight="1"/>
    <row r="2409" customFormat="1" ht="15.75" customHeight="1"/>
    <row r="2410" customFormat="1" ht="15.75" customHeight="1"/>
    <row r="2411" customFormat="1" ht="15.75" customHeight="1"/>
    <row r="2412" customFormat="1" ht="15.75" customHeight="1"/>
    <row r="2413" customFormat="1" ht="15.75" customHeight="1"/>
    <row r="2414" customFormat="1" ht="15.75" customHeight="1"/>
    <row r="2415" customFormat="1" ht="15.75" customHeight="1"/>
    <row r="2416" customFormat="1" ht="15.75" customHeight="1"/>
    <row r="2417" customFormat="1" ht="15.75" customHeight="1"/>
    <row r="2418" customFormat="1" ht="15.75" customHeight="1"/>
    <row r="2419" customFormat="1" ht="15.75" customHeight="1"/>
    <row r="2420" customFormat="1" ht="15.75" customHeight="1"/>
    <row r="2421" customFormat="1" ht="15.75" customHeight="1"/>
    <row r="2422" customFormat="1" ht="15.75" customHeight="1"/>
    <row r="2423" customFormat="1" ht="15.75" customHeight="1"/>
    <row r="2424" customFormat="1" ht="15.75" customHeight="1"/>
    <row r="2425" customFormat="1" ht="15.75" customHeight="1"/>
    <row r="2426" customFormat="1" ht="15.75" customHeight="1"/>
    <row r="2427" customFormat="1" ht="15.75" customHeight="1"/>
    <row r="2428" customFormat="1" ht="15.75" customHeight="1"/>
    <row r="2429" customFormat="1" ht="15.75" customHeight="1"/>
    <row r="2430" customFormat="1" ht="15.75" customHeight="1"/>
    <row r="2431" customFormat="1" ht="15.75" customHeight="1"/>
    <row r="2432" customFormat="1" ht="15.75" customHeight="1"/>
    <row r="2433" customFormat="1" ht="15.75" customHeight="1"/>
    <row r="2434" customFormat="1" ht="15.75" customHeight="1"/>
    <row r="2435" customFormat="1" ht="15.75" customHeight="1"/>
    <row r="2436" customFormat="1" ht="15.75" customHeight="1"/>
    <row r="2437" customFormat="1" ht="15.75" customHeight="1"/>
    <row r="2438" customFormat="1" ht="15.75" customHeight="1"/>
    <row r="2439" customFormat="1" ht="15.75" customHeight="1"/>
    <row r="2440" customFormat="1" ht="15.75" customHeight="1"/>
    <row r="2441" customFormat="1" ht="15.75" customHeight="1"/>
    <row r="2442" customFormat="1" ht="15.75" customHeight="1"/>
    <row r="2443" customFormat="1" ht="15.75" customHeight="1"/>
    <row r="2444" customFormat="1" ht="15.75" customHeight="1"/>
    <row r="2445" customFormat="1" ht="15.75" customHeight="1"/>
    <row r="2446" customFormat="1" ht="15.75" customHeight="1"/>
    <row r="2447" customFormat="1" ht="15.75" customHeight="1"/>
    <row r="2448" customFormat="1" ht="15.75" customHeight="1"/>
    <row r="2449" customFormat="1" ht="15.75" customHeight="1"/>
    <row r="2450" customFormat="1" ht="15.75" customHeight="1"/>
    <row r="2451" customFormat="1" ht="15.75" customHeight="1"/>
    <row r="2452" customFormat="1" ht="15.75" customHeight="1"/>
    <row r="2453" customFormat="1" ht="15.75" customHeight="1"/>
    <row r="2454" customFormat="1" ht="15.75" customHeight="1"/>
    <row r="2455" customFormat="1" ht="15.75" customHeight="1"/>
    <row r="2456" customFormat="1" ht="15.75" customHeight="1"/>
    <row r="2457" customFormat="1" ht="15.75" customHeight="1"/>
    <row r="2458" customFormat="1" ht="15.75" customHeight="1"/>
    <row r="2459" customFormat="1" ht="15.75" customHeight="1"/>
    <row r="2460" customFormat="1" ht="15.75" customHeight="1"/>
    <row r="2461" customFormat="1" ht="15.75" customHeight="1"/>
    <row r="2462" customFormat="1" ht="15.75" customHeight="1"/>
    <row r="2463" customFormat="1" ht="15.75" customHeight="1"/>
    <row r="2464" customFormat="1" ht="15.75" customHeight="1"/>
    <row r="2465" customFormat="1" ht="15.75" customHeight="1"/>
    <row r="2466" customFormat="1" ht="15.75" customHeight="1"/>
    <row r="2467" customFormat="1" ht="15.75" customHeight="1"/>
    <row r="2468" customFormat="1" ht="15.75" customHeight="1"/>
    <row r="2469" customFormat="1" ht="15.75" customHeight="1"/>
    <row r="2470" customFormat="1" ht="15.75" customHeight="1"/>
    <row r="2471" customFormat="1" ht="15.75" customHeight="1"/>
    <row r="2472" customFormat="1" ht="15.75" customHeight="1"/>
    <row r="2473" customFormat="1" ht="15.75" customHeight="1"/>
    <row r="2474" customFormat="1" ht="15.75" customHeight="1"/>
    <row r="2475" customFormat="1" ht="15.75" customHeight="1"/>
    <row r="2476" customFormat="1" ht="15.75" customHeight="1"/>
    <row r="2477" customFormat="1" ht="15.75" customHeight="1"/>
    <row r="2478" customFormat="1" ht="15.75" customHeight="1"/>
    <row r="2479" customFormat="1" ht="15.75" customHeight="1"/>
    <row r="2480" customFormat="1" ht="15.75" customHeight="1"/>
    <row r="2481" customFormat="1" ht="15.75" customHeight="1"/>
    <row r="2482" customFormat="1" ht="15.75" customHeight="1"/>
    <row r="2483" customFormat="1" ht="15.75" customHeight="1"/>
    <row r="2484" customFormat="1" ht="15.75" customHeight="1"/>
    <row r="2485" customFormat="1" ht="15.75" customHeight="1"/>
    <row r="2486" customFormat="1" ht="15.75" customHeight="1"/>
    <row r="2487" customFormat="1" ht="15.75" customHeight="1"/>
    <row r="2488" customFormat="1" ht="15.75" customHeight="1"/>
    <row r="2489" customFormat="1" ht="15.75" customHeight="1"/>
    <row r="2490" customFormat="1" ht="15.75" customHeight="1"/>
    <row r="2491" customFormat="1" ht="15.75" customHeight="1"/>
    <row r="2492" customFormat="1" ht="15.75" customHeight="1"/>
    <row r="2493" customFormat="1" ht="15.75" customHeight="1"/>
    <row r="2494" customFormat="1" ht="15.75" customHeight="1"/>
    <row r="2495" customFormat="1" ht="15.75" customHeight="1"/>
    <row r="2496" customFormat="1" ht="15.75" customHeight="1"/>
    <row r="2497" customFormat="1" ht="15.75" customHeight="1"/>
    <row r="2498" customFormat="1" ht="15.75" customHeight="1"/>
    <row r="2499" customFormat="1" ht="15.75" customHeight="1"/>
    <row r="2500" customFormat="1" ht="15.75" customHeight="1"/>
    <row r="2501" customFormat="1" ht="15.75" customHeight="1"/>
    <row r="2502" customFormat="1" ht="15.75" customHeight="1"/>
    <row r="2503" customFormat="1" ht="15.75" customHeight="1"/>
    <row r="2504" customFormat="1" ht="15.75" customHeight="1"/>
    <row r="2505" customFormat="1" ht="15.75" customHeight="1"/>
    <row r="2506" customFormat="1" ht="15.75" customHeight="1"/>
    <row r="2507" customFormat="1" ht="15.75" customHeight="1"/>
    <row r="2508" customFormat="1" ht="15.75" customHeight="1"/>
    <row r="2509" customFormat="1" ht="15.75" customHeight="1"/>
    <row r="2510" customFormat="1" ht="15.75" customHeight="1"/>
    <row r="2511" customFormat="1" ht="15.75" customHeight="1"/>
    <row r="2512" customFormat="1" ht="15.75" customHeight="1"/>
    <row r="2513" customFormat="1" ht="15.75" customHeight="1"/>
    <row r="2514" customFormat="1" ht="15.75" customHeight="1"/>
    <row r="2515" customFormat="1" ht="15.75" customHeight="1"/>
    <row r="2516" customFormat="1" ht="15.75" customHeight="1"/>
    <row r="2517" customFormat="1" ht="15.75" customHeight="1"/>
    <row r="2518" customFormat="1" ht="15.75" customHeight="1"/>
    <row r="2519" customFormat="1" ht="15.75" customHeight="1"/>
    <row r="2520" customFormat="1" ht="15.75" customHeight="1"/>
    <row r="2521" customFormat="1" ht="15.75" customHeight="1"/>
    <row r="2522" customFormat="1" ht="15.75" customHeight="1"/>
    <row r="2523" customFormat="1" ht="15.75" customHeight="1"/>
    <row r="2524" customFormat="1" ht="15.75" customHeight="1"/>
    <row r="2525" customFormat="1" ht="15.75" customHeight="1"/>
    <row r="2526" customFormat="1" ht="15.75" customHeight="1"/>
    <row r="2527" customFormat="1" ht="15.75" customHeight="1"/>
    <row r="2528" customFormat="1" ht="15.75" customHeight="1"/>
    <row r="2529" customFormat="1" ht="15.75" customHeight="1"/>
    <row r="2530" customFormat="1" ht="15.75" customHeight="1"/>
    <row r="2531" customFormat="1" ht="15.75" customHeight="1"/>
    <row r="2532" customFormat="1" ht="15.75" customHeight="1"/>
    <row r="2533" customFormat="1" ht="15.75" customHeight="1"/>
    <row r="2534" customFormat="1" ht="15.75" customHeight="1"/>
    <row r="2535" customFormat="1" ht="15.75" customHeight="1"/>
    <row r="2536" customFormat="1" ht="15.75" customHeight="1"/>
    <row r="2537" customFormat="1" ht="15.75" customHeight="1"/>
    <row r="2538" customFormat="1" ht="15.75" customHeight="1"/>
    <row r="2539" customFormat="1" ht="15.75" customHeight="1"/>
    <row r="2540" customFormat="1" ht="15.75" customHeight="1"/>
    <row r="2541" customFormat="1" ht="15.75" customHeight="1"/>
    <row r="2542" customFormat="1" ht="15.75" customHeight="1"/>
    <row r="2543" customFormat="1" ht="15.75" customHeight="1"/>
    <row r="2544" customFormat="1" ht="15.75" customHeight="1"/>
    <row r="2545" customFormat="1" ht="15.75" customHeight="1"/>
    <row r="2546" customFormat="1" ht="15.75" customHeight="1"/>
    <row r="2547" customFormat="1" ht="15.75" customHeight="1"/>
    <row r="2548" customFormat="1" ht="15.75" customHeight="1"/>
    <row r="2549" customFormat="1" ht="15.75" customHeight="1"/>
    <row r="2550" customFormat="1" ht="15.75" customHeight="1"/>
    <row r="2551" customFormat="1" ht="15.75" customHeight="1"/>
    <row r="2552" customFormat="1" ht="15.75" customHeight="1"/>
    <row r="2553" customFormat="1" ht="15.75" customHeight="1"/>
    <row r="2554" customFormat="1" ht="15.75" customHeight="1"/>
    <row r="2555" customFormat="1" ht="15.75" customHeight="1"/>
    <row r="2556" customFormat="1" ht="15.75" customHeight="1"/>
    <row r="2557" customFormat="1" ht="15.75" customHeight="1"/>
    <row r="2558" customFormat="1" ht="15.75" customHeight="1"/>
    <row r="2559" customFormat="1" ht="15.75" customHeight="1"/>
    <row r="2560" customFormat="1" ht="15.75" customHeight="1"/>
    <row r="2561" customFormat="1" ht="15.75" customHeight="1"/>
    <row r="2562" customFormat="1" ht="15.75" customHeight="1"/>
    <row r="2563" customFormat="1" ht="15.75" customHeight="1"/>
    <row r="2564" customFormat="1" ht="15.75" customHeight="1"/>
    <row r="2565" customFormat="1" ht="15.75" customHeight="1"/>
    <row r="2566" customFormat="1" ht="15.75" customHeight="1"/>
    <row r="2567" customFormat="1" ht="15.75" customHeight="1"/>
    <row r="2568" customFormat="1" ht="15.75" customHeight="1"/>
    <row r="2569" customFormat="1" ht="15.75" customHeight="1"/>
    <row r="2570" customFormat="1" ht="15.75" customHeight="1"/>
    <row r="2571" customFormat="1" ht="15.75" customHeight="1"/>
    <row r="2572" customFormat="1" ht="15.75" customHeight="1"/>
    <row r="2573" customFormat="1" ht="15.75" customHeight="1"/>
    <row r="2574" customFormat="1" ht="15.75" customHeight="1"/>
    <row r="2575" customFormat="1" ht="15.75" customHeight="1"/>
    <row r="2576" customFormat="1" ht="15.75" customHeight="1"/>
    <row r="2577" customFormat="1" ht="15.75" customHeight="1"/>
    <row r="2578" customFormat="1" ht="15.75" customHeight="1"/>
    <row r="2579" customFormat="1" ht="15.75" customHeight="1"/>
    <row r="2580" customFormat="1" ht="15.75" customHeight="1"/>
    <row r="2581" customFormat="1" ht="15.75" customHeight="1"/>
    <row r="2582" customFormat="1" ht="15.75" customHeight="1"/>
    <row r="2583" customFormat="1" ht="15.75" customHeight="1"/>
    <row r="2584" customFormat="1" ht="15.75" customHeight="1"/>
    <row r="2585" customFormat="1" ht="15.75" customHeight="1"/>
    <row r="2586" customFormat="1" ht="15.75" customHeight="1"/>
    <row r="2587" customFormat="1" ht="15.75" customHeight="1"/>
    <row r="2588" customFormat="1" ht="15.75" customHeight="1"/>
    <row r="2589" customFormat="1" ht="15.75" customHeight="1"/>
    <row r="2590" customFormat="1" ht="15.75" customHeight="1"/>
    <row r="2591" customFormat="1" ht="15.75" customHeight="1"/>
    <row r="2592" customFormat="1" ht="15.75" customHeight="1"/>
    <row r="2593" customFormat="1" ht="15.75" customHeight="1"/>
    <row r="2594" customFormat="1" ht="15.75" customHeight="1"/>
    <row r="2595" customFormat="1" ht="15.75" customHeight="1"/>
    <row r="2596" customFormat="1" ht="15.75" customHeight="1"/>
    <row r="2597" customFormat="1" ht="15.75" customHeight="1"/>
    <row r="2598" customFormat="1" ht="15.75" customHeight="1"/>
    <row r="2599" customFormat="1" ht="15.75" customHeight="1"/>
    <row r="2600" customFormat="1" ht="15.75" customHeight="1"/>
    <row r="2601" customFormat="1" ht="15.75" customHeight="1"/>
    <row r="2602" customFormat="1" ht="15.75" customHeight="1"/>
    <row r="2603" customFormat="1" ht="15.75" customHeight="1"/>
    <row r="2604" customFormat="1" ht="15.75" customHeight="1"/>
    <row r="2605" customFormat="1" ht="15.75" customHeight="1"/>
    <row r="2606" customFormat="1" ht="15.75" customHeight="1"/>
    <row r="2607" customFormat="1" ht="15.75" customHeight="1"/>
    <row r="2608" customFormat="1" ht="15.75" customHeight="1"/>
    <row r="2609" customFormat="1" ht="15.75" customHeight="1"/>
    <row r="2610" customFormat="1" ht="15.75" customHeight="1"/>
    <row r="2611" customFormat="1" ht="15.75" customHeight="1"/>
    <row r="2612" customFormat="1" ht="15.75" customHeight="1"/>
    <row r="2613" customFormat="1" ht="15.75" customHeight="1"/>
    <row r="2614" customFormat="1" ht="15.75" customHeight="1"/>
    <row r="2615" customFormat="1" ht="15.75" customHeight="1"/>
    <row r="2616" customFormat="1" ht="15.75" customHeight="1"/>
    <row r="2617" customFormat="1" ht="15.75" customHeight="1"/>
    <row r="2618" customFormat="1" ht="15.75" customHeight="1"/>
    <row r="2619" customFormat="1" ht="15.75" customHeight="1"/>
    <row r="2620" customFormat="1" ht="15.75" customHeight="1"/>
    <row r="2621" customFormat="1" ht="15.75" customHeight="1"/>
    <row r="2622" customFormat="1" ht="15.75" customHeight="1"/>
    <row r="2623" customFormat="1" ht="15.75" customHeight="1"/>
    <row r="2624" customFormat="1" ht="15.75" customHeight="1"/>
    <row r="2625" customFormat="1" ht="15.75" customHeight="1"/>
    <row r="2626" customFormat="1" ht="15.75" customHeight="1"/>
    <row r="2627" customFormat="1" ht="15.75" customHeight="1"/>
    <row r="2628" customFormat="1" ht="15.75" customHeight="1"/>
    <row r="2629" customFormat="1" ht="15.75" customHeight="1"/>
    <row r="2630" customFormat="1" ht="15.75" customHeight="1"/>
    <row r="2631" customFormat="1" ht="15.75" customHeight="1"/>
    <row r="2632" customFormat="1" ht="15.75" customHeight="1"/>
    <row r="2633" customFormat="1" ht="15.75" customHeight="1"/>
    <row r="2634" customFormat="1" ht="15.75" customHeight="1"/>
    <row r="2635" customFormat="1" ht="15.75" customHeight="1"/>
    <row r="2636" customFormat="1" ht="15.75" customHeight="1"/>
    <row r="2637" customFormat="1" ht="15.75" customHeight="1"/>
    <row r="2638" customFormat="1" ht="15.75" customHeight="1"/>
    <row r="2639" customFormat="1" ht="15.75" customHeight="1"/>
    <row r="2640" customFormat="1" ht="15.75" customHeight="1"/>
    <row r="2641" customFormat="1" ht="15.75" customHeight="1"/>
    <row r="2642" customFormat="1" ht="15.75" customHeight="1"/>
    <row r="2643" customFormat="1" ht="15.75" customHeight="1"/>
    <row r="2644" customFormat="1" ht="15.75" customHeight="1"/>
    <row r="2645" customFormat="1" ht="15.75" customHeight="1"/>
    <row r="2646" customFormat="1" ht="15.75" customHeight="1"/>
    <row r="2647" customFormat="1" ht="15.75" customHeight="1"/>
    <row r="2648" customFormat="1" ht="15.75" customHeight="1"/>
    <row r="2649" customFormat="1" ht="15.75" customHeight="1"/>
    <row r="2650" customFormat="1" ht="15.75" customHeight="1"/>
    <row r="2651" customFormat="1" ht="15.75" customHeight="1"/>
    <row r="2652" customFormat="1" ht="15.75" customHeight="1"/>
    <row r="2653" customFormat="1" ht="15.75" customHeight="1"/>
    <row r="2654" customFormat="1" ht="15.75" customHeight="1"/>
    <row r="2655" customFormat="1" ht="15.75" customHeight="1"/>
    <row r="2656" customFormat="1" ht="15.75" customHeight="1"/>
    <row r="2657" customFormat="1" ht="15.75" customHeight="1"/>
    <row r="2658" customFormat="1" ht="15.75" customHeight="1"/>
    <row r="2659" customFormat="1" ht="15.75" customHeight="1"/>
    <row r="2660" customFormat="1" ht="15.75" customHeight="1"/>
    <row r="2661" customFormat="1" ht="15.75" customHeight="1"/>
    <row r="2662" customFormat="1" ht="15.75" customHeight="1"/>
    <row r="2663" customFormat="1" ht="15.75" customHeight="1"/>
    <row r="2664" customFormat="1" ht="15.75" customHeight="1"/>
    <row r="2665" customFormat="1" ht="15.75" customHeight="1"/>
    <row r="2666" customFormat="1" ht="15.75" customHeight="1"/>
    <row r="2667" customFormat="1" ht="15.75" customHeight="1"/>
    <row r="2668" customFormat="1" ht="15.75" customHeight="1"/>
    <row r="2669" customFormat="1" ht="15.75" customHeight="1"/>
    <row r="2670" customFormat="1" ht="15.75" customHeight="1"/>
    <row r="2671" customFormat="1" ht="15.75" customHeight="1"/>
    <row r="2672" customFormat="1" ht="15.75" customHeight="1"/>
    <row r="2673" customFormat="1" ht="15.75" customHeight="1"/>
    <row r="2674" customFormat="1" ht="15.75" customHeight="1"/>
    <row r="2675" customFormat="1" ht="15.75" customHeight="1"/>
    <row r="2676" customFormat="1" ht="15.75" customHeight="1"/>
    <row r="2677" customFormat="1" ht="15.75" customHeight="1"/>
    <row r="2678" customFormat="1" ht="15.75" customHeight="1"/>
    <row r="2679" customFormat="1" ht="15.75" customHeight="1"/>
    <row r="2680" customFormat="1" ht="15.75" customHeight="1"/>
    <row r="2681" customFormat="1" ht="15.75" customHeight="1"/>
    <row r="2682" customFormat="1" ht="15.75" customHeight="1"/>
    <row r="2683" customFormat="1" ht="15.75" customHeight="1"/>
    <row r="2684" customFormat="1" ht="15.75" customHeight="1"/>
    <row r="2685" customFormat="1" ht="15.75" customHeight="1"/>
    <row r="2686" customFormat="1" ht="15.75" customHeight="1"/>
    <row r="2687" customFormat="1" ht="15.75" customHeight="1"/>
    <row r="2688" customFormat="1" ht="15.75" customHeight="1"/>
    <row r="2689" customFormat="1" ht="15.75" customHeight="1"/>
    <row r="2690" customFormat="1" ht="15.75" customHeight="1"/>
    <row r="2691" customFormat="1" ht="15.75" customHeight="1"/>
    <row r="2692" customFormat="1" ht="15.75" customHeight="1"/>
    <row r="2693" customFormat="1" ht="15.75" customHeight="1"/>
    <row r="2694" customFormat="1" ht="15.75" customHeight="1"/>
    <row r="2695" customFormat="1" ht="15.75" customHeight="1"/>
    <row r="2696" customFormat="1" ht="15.75" customHeight="1"/>
    <row r="2697" customFormat="1" ht="15.75" customHeight="1"/>
    <row r="2698" customFormat="1" ht="15.75" customHeight="1"/>
    <row r="2699" customFormat="1" ht="15.75" customHeight="1"/>
    <row r="2700" customFormat="1" ht="15.75" customHeight="1"/>
    <row r="2701" customFormat="1" ht="15.75" customHeight="1"/>
    <row r="2702" customFormat="1" ht="15.75" customHeight="1"/>
    <row r="2703" customFormat="1" ht="15.75" customHeight="1"/>
    <row r="2704" customFormat="1" ht="15.75" customHeight="1"/>
    <row r="2705" customFormat="1" ht="15.75" customHeight="1"/>
    <row r="2706" customFormat="1" ht="15.75" customHeight="1"/>
    <row r="2707" customFormat="1" ht="15.75" customHeight="1"/>
    <row r="2708" customFormat="1" ht="15.75" customHeight="1"/>
    <row r="2709" customFormat="1" ht="15.75" customHeight="1"/>
    <row r="2710" customFormat="1" ht="15.75" customHeight="1"/>
    <row r="2711" customFormat="1" ht="15.75" customHeight="1"/>
    <row r="2712" customFormat="1" ht="15.75" customHeight="1"/>
    <row r="2713" customFormat="1" ht="15.75" customHeight="1"/>
    <row r="2714" customFormat="1" ht="15.75" customHeight="1"/>
    <row r="2715" customFormat="1" ht="15.75" customHeight="1"/>
    <row r="2716" customFormat="1" ht="15.75" customHeight="1"/>
    <row r="2717" customFormat="1" ht="15.75" customHeight="1"/>
    <row r="2718" customFormat="1" ht="15.75" customHeight="1"/>
    <row r="2719" customFormat="1" ht="15.75" customHeight="1"/>
    <row r="2720" customFormat="1" ht="15.75" customHeight="1"/>
    <row r="2721" customFormat="1" ht="15.75" customHeight="1"/>
    <row r="2722" customFormat="1" ht="15.75" customHeight="1"/>
    <row r="2723" customFormat="1" ht="15.75" customHeight="1"/>
    <row r="2724" customFormat="1" ht="15.75" customHeight="1"/>
    <row r="2725" customFormat="1" ht="15.75" customHeight="1"/>
    <row r="2726" customFormat="1" ht="15.75" customHeight="1"/>
    <row r="2727" customFormat="1" ht="15.75" customHeight="1"/>
    <row r="2728" customFormat="1" ht="15.75" customHeight="1"/>
    <row r="2729" customFormat="1" ht="15.75" customHeight="1"/>
    <row r="2730" customFormat="1" ht="15.75" customHeight="1"/>
    <row r="2731" customFormat="1" ht="15.75" customHeight="1"/>
    <row r="2732" customFormat="1" ht="15.75" customHeight="1"/>
    <row r="2733" customFormat="1" ht="15.75" customHeight="1"/>
    <row r="2734" customFormat="1" ht="15.75" customHeight="1"/>
    <row r="2735" customFormat="1" ht="15.75" customHeight="1"/>
    <row r="2736" customFormat="1" ht="15.75" customHeight="1"/>
    <row r="2737" customFormat="1" ht="15.75" customHeight="1"/>
    <row r="2738" customFormat="1" ht="15.75" customHeight="1"/>
    <row r="2739" customFormat="1" ht="15.75" customHeight="1"/>
    <row r="2740" customFormat="1" ht="15.75" customHeight="1"/>
    <row r="2741" customFormat="1" ht="15.75" customHeight="1"/>
    <row r="2742" customFormat="1" ht="15.75" customHeight="1"/>
    <row r="2743" customFormat="1" ht="15.75" customHeight="1"/>
    <row r="2744" customFormat="1" ht="15.75" customHeight="1"/>
    <row r="2745" customFormat="1" ht="15.75" customHeight="1"/>
    <row r="2746" customFormat="1" ht="15.75" customHeight="1"/>
    <row r="2747" customFormat="1" ht="15.75" customHeight="1"/>
    <row r="2748" customFormat="1" ht="15.75" customHeight="1"/>
    <row r="2749" customFormat="1" ht="15.75" customHeight="1"/>
    <row r="2750" customFormat="1" ht="15.75" customHeight="1"/>
    <row r="2751" customFormat="1" ht="15.75" customHeight="1"/>
    <row r="2752" customFormat="1" ht="15.75" customHeight="1"/>
    <row r="2753" customFormat="1" ht="15.75" customHeight="1"/>
    <row r="2754" customFormat="1" ht="15.75" customHeight="1"/>
    <row r="2755" customFormat="1" ht="15.75" customHeight="1"/>
    <row r="2756" customFormat="1" ht="15.75" customHeight="1"/>
    <row r="2757" customFormat="1" ht="15.75" customHeight="1"/>
    <row r="2758" customFormat="1" ht="15.75" customHeight="1"/>
    <row r="2759" customFormat="1" ht="15.75" customHeight="1"/>
    <row r="2760" customFormat="1" ht="15.75" customHeight="1"/>
    <row r="2761" customFormat="1" ht="15.75" customHeight="1"/>
    <row r="2762" customFormat="1" ht="15.75" customHeight="1"/>
    <row r="2763" customFormat="1" ht="15.75" customHeight="1"/>
    <row r="2764" customFormat="1" ht="15.75" customHeight="1"/>
    <row r="2765" customFormat="1" ht="15.75" customHeight="1"/>
    <row r="2766" customFormat="1" ht="15.75" customHeight="1"/>
    <row r="2767" customFormat="1" ht="15.75" customHeight="1"/>
    <row r="2768" customFormat="1" ht="15.75" customHeight="1"/>
    <row r="2769" customFormat="1" ht="15.75" customHeight="1"/>
    <row r="2770" customFormat="1" ht="15.75" customHeight="1"/>
    <row r="2771" customFormat="1" ht="15.75" customHeight="1"/>
    <row r="2772" customFormat="1" ht="15.75" customHeight="1"/>
    <row r="2773" customFormat="1" ht="15.75" customHeight="1"/>
    <row r="2774" customFormat="1" ht="15.75" customHeight="1"/>
    <row r="2775" customFormat="1" ht="15.75" customHeight="1"/>
    <row r="2776" customFormat="1" ht="15.75" customHeight="1"/>
    <row r="2777" customFormat="1" ht="15.75" customHeight="1"/>
    <row r="2778" customFormat="1" ht="15.75" customHeight="1"/>
    <row r="2779" customFormat="1" ht="15.75" customHeight="1"/>
    <row r="2780" customFormat="1" ht="15.75" customHeight="1"/>
    <row r="2781" customFormat="1" ht="15.75" customHeight="1"/>
    <row r="2782" customFormat="1" ht="15.75" customHeight="1"/>
    <row r="2783" customFormat="1" ht="15.75" customHeight="1"/>
    <row r="2784" customFormat="1" ht="15.75" customHeight="1"/>
    <row r="2785" customFormat="1" ht="15.75" customHeight="1"/>
    <row r="2786" customFormat="1" ht="15.75" customHeight="1"/>
    <row r="2787" customFormat="1" ht="15.75" customHeight="1"/>
    <row r="2788" customFormat="1" ht="15.75" customHeight="1"/>
    <row r="2789" customFormat="1" ht="15.75" customHeight="1"/>
    <row r="2790" customFormat="1" ht="15.75" customHeight="1"/>
    <row r="2791" customFormat="1" ht="15.75" customHeight="1"/>
    <row r="2792" customFormat="1" ht="15.75" customHeight="1"/>
    <row r="2793" customFormat="1" ht="15.75" customHeight="1"/>
    <row r="2794" customFormat="1" ht="15.75" customHeight="1"/>
    <row r="2795" customFormat="1" ht="15.75" customHeight="1"/>
    <row r="2796" customFormat="1" ht="15.75" customHeight="1"/>
    <row r="2797" customFormat="1" ht="15.75" customHeight="1"/>
    <row r="2798" customFormat="1" ht="15.75" customHeight="1"/>
    <row r="2799" customFormat="1" ht="15.75" customHeight="1"/>
    <row r="2800" customFormat="1" ht="15.75" customHeight="1"/>
    <row r="2801" customFormat="1" ht="15.75" customHeight="1"/>
    <row r="2802" customFormat="1" ht="15.75" customHeight="1"/>
    <row r="2803" customFormat="1" ht="15.75" customHeight="1"/>
    <row r="2804" customFormat="1" ht="15.75" customHeight="1"/>
    <row r="2805" customFormat="1" ht="15.75" customHeight="1"/>
    <row r="2806" customFormat="1" ht="15.75" customHeight="1"/>
    <row r="2807" customFormat="1" ht="15.75" customHeight="1"/>
    <row r="2808" customFormat="1" ht="15.75" customHeight="1"/>
    <row r="2809" customFormat="1" ht="15.75" customHeight="1"/>
    <row r="2810" customFormat="1" ht="15.75" customHeight="1"/>
    <row r="2811" customFormat="1" ht="15.75" customHeight="1"/>
    <row r="2812" customFormat="1" ht="15.75" customHeight="1"/>
    <row r="2813" customFormat="1" ht="15.75" customHeight="1"/>
    <row r="2814" customFormat="1" ht="15.75" customHeight="1"/>
    <row r="2815" customFormat="1" ht="15.75" customHeight="1"/>
    <row r="2816" customFormat="1" ht="15.75" customHeight="1"/>
    <row r="2817" customFormat="1" ht="15.75" customHeight="1"/>
    <row r="2818" customFormat="1" ht="15.75" customHeight="1"/>
    <row r="2819" customFormat="1" ht="15.75" customHeight="1"/>
    <row r="2820" customFormat="1" ht="15.75" customHeight="1"/>
    <row r="2821" customFormat="1" ht="15.75" customHeight="1"/>
    <row r="2822" customFormat="1" ht="15.75" customHeight="1"/>
    <row r="2823" customFormat="1" ht="15.75" customHeight="1"/>
    <row r="2824" customFormat="1" ht="15.75" customHeight="1"/>
    <row r="2825" customFormat="1" ht="15.75" customHeight="1"/>
    <row r="2826" customFormat="1" ht="15.75" customHeight="1"/>
    <row r="2827" customFormat="1" ht="15.75" customHeight="1"/>
    <row r="2828" customFormat="1" ht="15.75" customHeight="1"/>
    <row r="2829" customFormat="1" ht="15.75" customHeight="1"/>
    <row r="2830" customFormat="1" ht="15.75" customHeight="1"/>
    <row r="2831" customFormat="1" ht="15.75" customHeight="1"/>
    <row r="2832" customFormat="1" ht="15.75" customHeight="1"/>
    <row r="2833" customFormat="1" ht="15.75" customHeight="1"/>
    <row r="2834" customFormat="1" ht="15.75" customHeight="1"/>
    <row r="2835" customFormat="1" ht="15.75" customHeight="1"/>
    <row r="2836" customFormat="1" ht="15.75" customHeight="1"/>
    <row r="2837" customFormat="1" ht="15.75" customHeight="1"/>
    <row r="2838" customFormat="1" ht="15.75" customHeight="1"/>
    <row r="2839" customFormat="1" ht="15.75" customHeight="1"/>
    <row r="2840" customFormat="1" ht="15.75" customHeight="1"/>
    <row r="2841" customFormat="1" ht="15.75" customHeight="1"/>
    <row r="2842" customFormat="1" ht="15.75" customHeight="1"/>
    <row r="2843" customFormat="1" ht="15.75" customHeight="1"/>
    <row r="2844" customFormat="1" ht="15.75" customHeight="1"/>
    <row r="2845" customFormat="1" ht="15.75" customHeight="1"/>
    <row r="2846" customFormat="1" ht="15.75" customHeight="1"/>
    <row r="2847" customFormat="1" ht="15.75" customHeight="1"/>
    <row r="2848" customFormat="1" ht="15.75" customHeight="1"/>
    <row r="2849" customFormat="1" ht="15.75" customHeight="1"/>
    <row r="2850" customFormat="1" ht="15.75" customHeight="1"/>
    <row r="2851" customFormat="1" ht="15.75" customHeight="1"/>
    <row r="2852" customFormat="1" ht="15.75" customHeight="1"/>
    <row r="2853" customFormat="1" ht="15.75" customHeight="1"/>
    <row r="2854" customFormat="1" ht="15.75" customHeight="1"/>
    <row r="2855" customFormat="1" ht="15.75" customHeight="1"/>
    <row r="2856" customFormat="1" ht="15.75" customHeight="1"/>
    <row r="2857" customFormat="1" ht="15.75" customHeight="1"/>
    <row r="2858" customFormat="1" ht="15.75" customHeight="1"/>
    <row r="2859" customFormat="1" ht="15.75" customHeight="1"/>
    <row r="2860" customFormat="1" ht="15.75" customHeight="1"/>
    <row r="2861" customFormat="1" ht="15.75" customHeight="1"/>
    <row r="2862" customFormat="1" ht="15.75" customHeight="1"/>
    <row r="2863" customFormat="1" ht="15.75" customHeight="1"/>
    <row r="2864" customFormat="1" ht="15.75" customHeight="1"/>
    <row r="2865" customFormat="1" ht="15.75" customHeight="1"/>
    <row r="2866" customFormat="1" ht="15.75" customHeight="1"/>
    <row r="2867" customFormat="1" ht="15.75" customHeight="1"/>
    <row r="2868" customFormat="1" ht="15.75" customHeight="1"/>
    <row r="2869" customFormat="1" ht="15.75" customHeight="1"/>
    <row r="2870" customFormat="1" ht="15.75" customHeight="1"/>
    <row r="2871" customFormat="1" ht="15.75" customHeight="1"/>
    <row r="2872" customFormat="1" ht="15.75" customHeight="1"/>
    <row r="2873" customFormat="1" ht="15.75" customHeight="1"/>
    <row r="2874" customFormat="1" ht="15.75" customHeight="1"/>
    <row r="2875" customFormat="1" ht="15.75" customHeight="1"/>
    <row r="2876" customFormat="1" ht="15.75" customHeight="1"/>
    <row r="2877" customFormat="1" ht="15.75" customHeight="1"/>
    <row r="2878" customFormat="1" ht="15.75" customHeight="1"/>
    <row r="2879" customFormat="1" ht="15.75" customHeight="1"/>
    <row r="2880" customFormat="1" ht="15.75" customHeight="1"/>
    <row r="2881" customFormat="1" ht="15.75" customHeight="1"/>
    <row r="2882" customFormat="1" ht="15.75" customHeight="1"/>
    <row r="2883" customFormat="1" ht="15.75" customHeight="1"/>
    <row r="2884" customFormat="1" ht="15.75" customHeight="1"/>
    <row r="2885" customFormat="1" ht="15.75" customHeight="1"/>
    <row r="2886" customFormat="1" ht="15.75" customHeight="1"/>
    <row r="2887" customFormat="1" ht="15.75" customHeight="1"/>
    <row r="2888" customFormat="1" ht="15.75" customHeight="1"/>
    <row r="2889" customFormat="1" ht="15.75" customHeight="1"/>
    <row r="2890" customFormat="1" ht="15.75" customHeight="1"/>
    <row r="2891" customFormat="1" ht="15.75" customHeight="1"/>
    <row r="2892" customFormat="1" ht="15.75" customHeight="1"/>
    <row r="2893" customFormat="1" ht="15.75" customHeight="1"/>
    <row r="2894" customFormat="1" ht="15.75" customHeight="1"/>
    <row r="2895" customFormat="1" ht="15.75" customHeight="1"/>
    <row r="2896" customFormat="1" ht="15.75" customHeight="1"/>
    <row r="2897" customFormat="1" ht="15.75" customHeight="1"/>
    <row r="2898" customFormat="1" ht="15.75" customHeight="1"/>
    <row r="2899" customFormat="1" ht="15.75" customHeight="1"/>
    <row r="2900" customFormat="1" ht="15.75" customHeight="1"/>
    <row r="2901" customFormat="1" ht="15.75" customHeight="1"/>
    <row r="2902" customFormat="1" ht="15.75" customHeight="1"/>
    <row r="2903" customFormat="1" ht="15.75" customHeight="1"/>
    <row r="2904" customFormat="1" ht="15.75" customHeight="1"/>
    <row r="2905" customFormat="1" ht="15.75" customHeight="1"/>
    <row r="2906" customFormat="1" ht="15.75" customHeight="1"/>
    <row r="2907" customFormat="1" ht="15.75" customHeight="1"/>
    <row r="2908" customFormat="1" ht="15.75" customHeight="1"/>
    <row r="2909" customFormat="1" ht="15.75" customHeight="1"/>
    <row r="2910" customFormat="1" ht="15.75" customHeight="1"/>
    <row r="2911" customFormat="1" ht="15.75" customHeight="1"/>
    <row r="2912" customFormat="1" ht="15.75" customHeight="1"/>
    <row r="2913" customFormat="1" ht="15.75" customHeight="1"/>
    <row r="2914" customFormat="1" ht="15.75" customHeight="1"/>
    <row r="2915" customFormat="1" ht="15.75" customHeight="1"/>
    <row r="2916" customFormat="1" ht="15.75" customHeight="1"/>
    <row r="2917" customFormat="1" ht="15.75" customHeight="1"/>
    <row r="2918" customFormat="1" ht="15.75" customHeight="1"/>
    <row r="2919" customFormat="1" ht="15.75" customHeight="1"/>
    <row r="2920" customFormat="1" ht="15.75" customHeight="1"/>
    <row r="2921" customFormat="1" ht="15.75" customHeight="1"/>
    <row r="2922" customFormat="1" ht="15.75" customHeight="1"/>
    <row r="2923" customFormat="1" ht="15.75" customHeight="1"/>
    <row r="2924" customFormat="1" ht="15.75" customHeight="1"/>
    <row r="2925" customFormat="1" ht="15.75" customHeight="1"/>
    <row r="2926" customFormat="1" ht="15.75" customHeight="1"/>
    <row r="2927" customFormat="1" ht="15.75" customHeight="1"/>
    <row r="2928" customFormat="1" ht="15.75" customHeight="1"/>
    <row r="2929" customFormat="1" ht="15.75" customHeight="1"/>
    <row r="2930" customFormat="1" ht="15.75" customHeight="1"/>
    <row r="2931" customFormat="1" ht="15.75" customHeight="1"/>
    <row r="2932" customFormat="1" ht="15.75" customHeight="1"/>
    <row r="2933" customFormat="1" ht="15.75" customHeight="1"/>
    <row r="2934" customFormat="1" ht="15.75" customHeight="1"/>
    <row r="2935" customFormat="1" ht="15.75" customHeight="1"/>
    <row r="2936" customFormat="1" ht="15.75" customHeight="1"/>
    <row r="2937" customFormat="1" ht="15.75" customHeight="1"/>
    <row r="2938" customFormat="1" ht="15.75" customHeight="1"/>
    <row r="2939" customFormat="1" ht="15.75" customHeight="1"/>
    <row r="2940" customFormat="1" ht="15.75" customHeight="1"/>
    <row r="2941" customFormat="1" ht="15.75" customHeight="1"/>
    <row r="2942" customFormat="1" ht="15.75" customHeight="1"/>
    <row r="2943" customFormat="1" ht="15.75" customHeight="1"/>
    <row r="2944" customFormat="1" ht="15.75" customHeight="1"/>
    <row r="2945" customFormat="1" ht="15.75" customHeight="1"/>
    <row r="2946" customFormat="1" ht="15.75" customHeight="1"/>
    <row r="2947" customFormat="1" ht="15.75" customHeight="1"/>
    <row r="2948" customFormat="1" ht="15.75" customHeight="1"/>
    <row r="2949" customFormat="1" ht="15.75" customHeight="1"/>
    <row r="2950" customFormat="1" ht="15.75" customHeight="1"/>
    <row r="2951" customFormat="1" ht="15.75" customHeight="1"/>
    <row r="2952" customFormat="1" ht="15.75" customHeight="1"/>
    <row r="2953" customFormat="1" ht="15.75" customHeight="1"/>
    <row r="2954" customFormat="1" ht="15.75" customHeight="1"/>
    <row r="2955" customFormat="1" ht="15.75" customHeight="1"/>
    <row r="2956" customFormat="1" ht="15.75" customHeight="1"/>
    <row r="2957" customFormat="1" ht="15.75" customHeight="1"/>
    <row r="2958" customFormat="1" ht="15.75" customHeight="1"/>
    <row r="2959" customFormat="1" ht="15.75" customHeight="1"/>
    <row r="2960" customFormat="1" ht="15.75" customHeight="1"/>
    <row r="2961" customFormat="1" ht="15.75" customHeight="1"/>
    <row r="2962" customFormat="1" ht="15.75" customHeight="1"/>
    <row r="2963" customFormat="1" ht="15.75" customHeight="1"/>
    <row r="2964" customFormat="1" ht="15.75" customHeight="1"/>
    <row r="2965" customFormat="1" ht="15.75" customHeight="1"/>
    <row r="2966" customFormat="1" ht="15.75" customHeight="1"/>
    <row r="2967" customFormat="1" ht="15.75" customHeight="1"/>
    <row r="2968" customFormat="1" ht="15.75" customHeight="1"/>
    <row r="2969" customFormat="1" ht="15.75" customHeight="1"/>
    <row r="2970" customFormat="1" ht="15.75" customHeight="1"/>
    <row r="2971" customFormat="1" ht="15.75" customHeight="1"/>
    <row r="2972" customFormat="1" ht="15.75" customHeight="1"/>
    <row r="2973" customFormat="1" ht="15.75" customHeight="1"/>
    <row r="2974" customFormat="1" ht="15.75" customHeight="1"/>
    <row r="2975" customFormat="1" ht="15.75" customHeight="1"/>
    <row r="2976" customFormat="1" ht="15.75" customHeight="1"/>
    <row r="2977" customFormat="1" ht="15.75" customHeight="1"/>
    <row r="2978" customFormat="1" ht="15.75" customHeight="1"/>
    <row r="2979" customFormat="1" ht="15.75" customHeight="1"/>
    <row r="2980" customFormat="1" ht="15.75" customHeight="1"/>
    <row r="2981" customFormat="1" ht="15.75" customHeight="1"/>
    <row r="2982" customFormat="1" ht="15.75" customHeight="1"/>
    <row r="2983" customFormat="1" ht="15.75" customHeight="1"/>
    <row r="2984" customFormat="1" ht="15.75" customHeight="1"/>
    <row r="2985" customFormat="1" ht="15.75" customHeight="1"/>
    <row r="2986" customFormat="1" ht="15.75" customHeight="1"/>
    <row r="2987" customFormat="1" ht="15.75" customHeight="1"/>
    <row r="2988" customFormat="1" ht="15.75" customHeight="1"/>
    <row r="2989" customFormat="1" ht="15.75" customHeight="1"/>
    <row r="2990" customFormat="1" ht="15.75" customHeight="1"/>
    <row r="2991" customFormat="1" ht="15.75" customHeight="1"/>
    <row r="2992" customFormat="1" ht="15.75" customHeight="1"/>
    <row r="2993" customFormat="1" ht="15.75" customHeight="1"/>
    <row r="2994" customFormat="1" ht="15.75" customHeight="1"/>
    <row r="2995" customFormat="1" ht="15.75" customHeight="1"/>
    <row r="2996" customFormat="1" ht="15.75" customHeight="1"/>
    <row r="2997" customFormat="1" ht="15.75" customHeight="1"/>
    <row r="2998" customFormat="1" ht="15.75" customHeight="1"/>
    <row r="2999" customFormat="1" ht="15.75" customHeight="1"/>
    <row r="3000" customFormat="1" ht="15.75" customHeight="1"/>
    <row r="3001" customFormat="1" ht="15.75" customHeight="1"/>
    <row r="3002" customFormat="1" ht="15.75" customHeight="1"/>
    <row r="3003" customFormat="1" ht="15.75" customHeight="1"/>
    <row r="3004" customFormat="1" ht="15.75" customHeight="1"/>
    <row r="3005" customFormat="1" ht="15.75" customHeight="1"/>
    <row r="3006" customFormat="1" ht="15.75" customHeight="1"/>
    <row r="3007" customFormat="1" ht="15.75" customHeight="1"/>
    <row r="3008" customFormat="1" ht="15.75" customHeight="1"/>
    <row r="3009" customFormat="1" ht="15.75" customHeight="1"/>
    <row r="3010" customFormat="1" ht="15.75" customHeight="1"/>
    <row r="3011" customFormat="1" ht="15.75" customHeight="1"/>
    <row r="3012" customFormat="1" ht="15.75" customHeight="1"/>
    <row r="3013" customFormat="1" ht="15.75" customHeight="1"/>
    <row r="3014" customFormat="1" ht="15.75" customHeight="1"/>
    <row r="3015" customFormat="1" ht="15.75" customHeight="1"/>
    <row r="3016" customFormat="1" ht="15.75" customHeight="1"/>
    <row r="3017" customFormat="1" ht="15.75" customHeight="1"/>
    <row r="3018" customFormat="1" ht="15.75" customHeight="1"/>
    <row r="3019" customFormat="1" ht="15.75" customHeight="1"/>
    <row r="3020" customFormat="1" ht="15.75" customHeight="1"/>
    <row r="3021" customFormat="1" ht="15.75" customHeight="1"/>
    <row r="3022" customFormat="1" ht="15.75" customHeight="1"/>
    <row r="3023" customFormat="1" ht="15.75" customHeight="1"/>
    <row r="3024" customFormat="1" ht="15.75" customHeight="1"/>
    <row r="3025" customFormat="1" ht="15.75" customHeight="1"/>
    <row r="3026" customFormat="1" ht="15.75" customHeight="1"/>
    <row r="3027" customFormat="1" ht="15.75" customHeight="1"/>
    <row r="3028" customFormat="1" ht="15.75" customHeight="1"/>
    <row r="3029" customFormat="1" ht="15.75" customHeight="1"/>
    <row r="3030" customFormat="1" ht="15.75" customHeight="1"/>
    <row r="3031" customFormat="1" ht="15.75" customHeight="1"/>
    <row r="3032" customFormat="1" ht="15.75" customHeight="1"/>
    <row r="3033" customFormat="1" ht="15.75" customHeight="1"/>
    <row r="3034" customFormat="1" ht="15.75" customHeight="1"/>
    <row r="3035" customFormat="1" ht="15.75" customHeight="1"/>
    <row r="3036" customFormat="1" ht="15.75" customHeight="1"/>
    <row r="3037" customFormat="1" ht="15.75" customHeight="1"/>
    <row r="3038" customFormat="1" ht="15.75" customHeight="1"/>
    <row r="3039" customFormat="1" ht="15.75" customHeight="1"/>
    <row r="3040" customFormat="1" ht="15.75" customHeight="1"/>
    <row r="3041" customFormat="1" ht="15.75" customHeight="1"/>
    <row r="3042" customFormat="1" ht="15.75" customHeight="1"/>
    <row r="3043" customFormat="1" ht="15.75" customHeight="1"/>
    <row r="3044" customFormat="1" ht="15.75" customHeight="1"/>
    <row r="3045" customFormat="1" ht="15.75" customHeight="1"/>
    <row r="3046" customFormat="1" ht="15.75" customHeight="1"/>
    <row r="3047" customFormat="1" ht="15.75" customHeight="1"/>
    <row r="3048" customFormat="1" ht="15.75" customHeight="1"/>
    <row r="3049" customFormat="1" ht="15.75" customHeight="1"/>
    <row r="3050" customFormat="1" ht="15.75" customHeight="1"/>
    <row r="3051" customFormat="1" ht="15.75" customHeight="1"/>
    <row r="3052" customFormat="1" ht="15.75" customHeight="1"/>
    <row r="3053" customFormat="1" ht="15.75" customHeight="1"/>
    <row r="3054" customFormat="1" ht="15.75" customHeight="1"/>
    <row r="3055" customFormat="1" ht="15.75" customHeight="1"/>
    <row r="3056" customFormat="1" ht="15.75" customHeight="1"/>
    <row r="3057" customFormat="1" ht="15.75" customHeight="1"/>
    <row r="3058" customFormat="1" ht="15.75" customHeight="1"/>
    <row r="3059" customFormat="1" ht="15.75" customHeight="1"/>
    <row r="3060" customFormat="1" ht="15.75" customHeight="1"/>
    <row r="3061" customFormat="1" ht="15.75" customHeight="1"/>
    <row r="3062" customFormat="1" ht="15.75" customHeight="1"/>
    <row r="3063" customFormat="1" ht="15.75" customHeight="1"/>
    <row r="3064" customFormat="1" ht="15.75" customHeight="1"/>
    <row r="3065" customFormat="1" ht="15.75" customHeight="1"/>
    <row r="3066" customFormat="1" ht="15.75" customHeight="1"/>
    <row r="3067" customFormat="1" ht="15.75" customHeight="1"/>
    <row r="3068" customFormat="1" ht="15.75" customHeight="1"/>
    <row r="3069" customFormat="1" ht="15.75" customHeight="1"/>
    <row r="3070" customFormat="1" ht="15.75" customHeight="1"/>
    <row r="3071" customFormat="1" ht="15.75" customHeight="1"/>
    <row r="3072" customFormat="1" ht="15.75" customHeight="1"/>
    <row r="3073" customFormat="1" ht="15.75" customHeight="1"/>
    <row r="3074" customFormat="1" ht="15.75" customHeight="1"/>
    <row r="3075" customFormat="1" ht="15.75" customHeight="1"/>
    <row r="3076" customFormat="1" ht="15.75" customHeight="1"/>
    <row r="3077" customFormat="1" ht="15.75" customHeight="1"/>
    <row r="3078" customFormat="1" ht="15.75" customHeight="1"/>
    <row r="3079" customFormat="1" ht="15.75" customHeight="1"/>
    <row r="3080" customFormat="1" ht="15.75" customHeight="1"/>
    <row r="3081" customFormat="1" ht="15.75" customHeight="1"/>
    <row r="3082" customFormat="1" ht="15.75" customHeight="1"/>
    <row r="3083" customFormat="1" ht="15.75" customHeight="1"/>
    <row r="3084" customFormat="1" ht="15.75" customHeight="1"/>
    <row r="3085" customFormat="1" ht="15.75" customHeight="1"/>
    <row r="3086" customFormat="1" ht="15.75" customHeight="1"/>
    <row r="3087" customFormat="1" ht="15.75" customHeight="1"/>
    <row r="3088" customFormat="1" ht="15.75" customHeight="1"/>
    <row r="3089" customFormat="1" ht="15.75" customHeight="1"/>
    <row r="3090" customFormat="1" ht="15.75" customHeight="1"/>
    <row r="3091" customFormat="1" ht="15.75" customHeight="1"/>
    <row r="3092" customFormat="1" ht="15.75" customHeight="1"/>
    <row r="3093" customFormat="1" ht="15.75" customHeight="1"/>
    <row r="3094" customFormat="1" ht="15.75" customHeight="1"/>
    <row r="3095" customFormat="1" ht="15.75" customHeight="1"/>
    <row r="3096" customFormat="1" ht="15.75" customHeight="1"/>
    <row r="3097" customFormat="1" ht="15.75" customHeight="1"/>
    <row r="3098" customFormat="1" ht="15.75" customHeight="1"/>
    <row r="3099" customFormat="1" ht="15.75" customHeight="1"/>
    <row r="3100" customFormat="1" ht="15.75" customHeight="1"/>
    <row r="3101" customFormat="1" ht="15.75" customHeight="1"/>
    <row r="3102" customFormat="1" ht="15.75" customHeight="1"/>
    <row r="3103" customFormat="1" ht="15.75" customHeight="1"/>
    <row r="3104" customFormat="1" ht="15.75" customHeight="1"/>
    <row r="3105" customFormat="1" ht="15.75" customHeight="1"/>
    <row r="3106" customFormat="1" ht="15.75" customHeight="1"/>
    <row r="3107" customFormat="1" ht="15.75" customHeight="1"/>
    <row r="3108" customFormat="1" ht="15.75" customHeight="1"/>
    <row r="3109" customFormat="1" ht="15.75" customHeight="1"/>
    <row r="3110" customFormat="1" ht="15.75" customHeight="1"/>
    <row r="3111" customFormat="1" ht="15.75" customHeight="1"/>
    <row r="3112" customFormat="1" ht="15.75" customHeight="1"/>
    <row r="3113" customFormat="1" ht="15.75" customHeight="1"/>
    <row r="3114" customFormat="1" ht="15.75" customHeight="1"/>
    <row r="3115" customFormat="1" ht="15.75" customHeight="1"/>
    <row r="3116" customFormat="1" ht="15.75" customHeight="1"/>
    <row r="3117" customFormat="1" ht="15.75" customHeight="1"/>
    <row r="3118" customFormat="1" ht="15.75" customHeight="1"/>
    <row r="3119" customFormat="1" ht="15.75" customHeight="1"/>
    <row r="3120" customFormat="1" ht="15.75" customHeight="1"/>
    <row r="3121" customFormat="1" ht="15.75" customHeight="1"/>
    <row r="3122" customFormat="1" ht="15.75" customHeight="1"/>
    <row r="3123" customFormat="1" ht="15.75" customHeight="1"/>
    <row r="3124" customFormat="1" ht="15.75" customHeight="1"/>
    <row r="3125" customFormat="1" ht="15.75" customHeight="1"/>
    <row r="3126" customFormat="1" ht="15.75" customHeight="1"/>
    <row r="3127" customFormat="1" ht="15.75" customHeight="1"/>
    <row r="3128" customFormat="1" ht="15.75" customHeight="1"/>
    <row r="3129" customFormat="1" ht="15.75" customHeight="1"/>
    <row r="3130" customFormat="1" ht="15.75" customHeight="1"/>
    <row r="3131" customFormat="1" ht="15.75" customHeight="1"/>
    <row r="3132" customFormat="1" ht="15.75" customHeight="1"/>
    <row r="3133" customFormat="1" ht="15.75" customHeight="1"/>
    <row r="3134" customFormat="1" ht="15.75" customHeight="1"/>
    <row r="3135" customFormat="1" ht="15.75" customHeight="1"/>
    <row r="3136" customFormat="1" ht="15.75" customHeight="1"/>
    <row r="3137" customFormat="1" ht="15.75" customHeight="1"/>
    <row r="3138" customFormat="1" ht="15.75" customHeight="1"/>
    <row r="3139" customFormat="1" ht="15.75" customHeight="1"/>
    <row r="3140" customFormat="1" ht="15.75" customHeight="1"/>
    <row r="3141" customFormat="1" ht="15.75" customHeight="1"/>
    <row r="3142" customFormat="1" ht="15.75" customHeight="1"/>
    <row r="3143" customFormat="1" ht="15.75" customHeight="1"/>
    <row r="3144" customFormat="1" ht="15.75" customHeight="1"/>
    <row r="3145" customFormat="1" ht="15.75" customHeight="1"/>
    <row r="3146" customFormat="1" ht="15.75" customHeight="1"/>
    <row r="3147" customFormat="1" ht="15.75" customHeight="1"/>
    <row r="3148" customFormat="1" ht="15.75" customHeight="1"/>
    <row r="3149" customFormat="1" ht="15.75" customHeight="1"/>
    <row r="3150" customFormat="1" ht="15.75" customHeight="1"/>
    <row r="3151" customFormat="1" ht="15.75" customHeight="1"/>
    <row r="3152" customFormat="1" ht="15.75" customHeight="1"/>
    <row r="3153" customFormat="1" ht="15.75" customHeight="1"/>
    <row r="3154" customFormat="1" ht="15.75" customHeight="1"/>
    <row r="3155" customFormat="1" ht="15.75" customHeight="1"/>
    <row r="3156" customFormat="1" ht="15.75" customHeight="1"/>
    <row r="3157" customFormat="1" ht="15.75" customHeight="1"/>
    <row r="3158" customFormat="1" ht="15.75" customHeight="1"/>
    <row r="3159" customFormat="1" ht="15.75" customHeight="1"/>
    <row r="3160" customFormat="1" ht="15.75" customHeight="1"/>
    <row r="3161" customFormat="1" ht="15.75" customHeight="1"/>
    <row r="3162" customFormat="1" ht="15.75" customHeight="1"/>
    <row r="3163" customFormat="1" ht="15.75" customHeight="1"/>
    <row r="3164" customFormat="1" ht="15.75" customHeight="1"/>
    <row r="3165" customFormat="1" ht="15.75" customHeight="1"/>
    <row r="3166" customFormat="1" ht="15.75" customHeight="1"/>
    <row r="3167" customFormat="1" ht="15.75" customHeight="1"/>
    <row r="3168" customFormat="1" ht="15.75" customHeight="1"/>
    <row r="3169" customFormat="1" ht="15.75" customHeight="1"/>
    <row r="3170" customFormat="1" ht="15.75" customHeight="1"/>
    <row r="3171" customFormat="1" ht="15.75" customHeight="1"/>
    <row r="3172" customFormat="1" ht="15.75" customHeight="1"/>
    <row r="3173" customFormat="1" ht="15.75" customHeight="1"/>
    <row r="3174" customFormat="1" ht="15.75" customHeight="1"/>
    <row r="3175" customFormat="1" ht="15.75" customHeight="1"/>
    <row r="3176" customFormat="1" ht="15.75" customHeight="1"/>
    <row r="3177" customFormat="1" ht="15.75" customHeight="1"/>
    <row r="3178" customFormat="1" ht="15.75" customHeight="1"/>
    <row r="3179" customFormat="1" ht="15.75" customHeight="1"/>
    <row r="3180" customFormat="1" ht="15.75" customHeight="1"/>
    <row r="3181" customFormat="1" ht="15.75" customHeight="1"/>
    <row r="3182" customFormat="1" ht="15.75" customHeight="1"/>
    <row r="3183" customFormat="1" ht="15.75" customHeight="1"/>
    <row r="3184" customFormat="1" ht="15.75" customHeight="1"/>
    <row r="3185" customFormat="1" ht="15.75" customHeight="1"/>
    <row r="3186" customFormat="1" ht="15.75" customHeight="1"/>
    <row r="3187" customFormat="1" ht="15.75" customHeight="1"/>
    <row r="3188" customFormat="1" ht="15.75" customHeight="1"/>
    <row r="3189" customFormat="1" ht="15.75" customHeight="1"/>
    <row r="3190" customFormat="1" ht="15.75" customHeight="1"/>
    <row r="3191" customFormat="1" ht="15.75" customHeight="1"/>
    <row r="3192" customFormat="1" ht="15.75" customHeight="1"/>
    <row r="3193" customFormat="1" ht="15.75" customHeight="1"/>
    <row r="3194" customFormat="1" ht="15.75" customHeight="1"/>
    <row r="3195" customFormat="1" ht="15.75" customHeight="1"/>
    <row r="3196" customFormat="1" ht="15.75" customHeight="1"/>
    <row r="3197" customFormat="1" ht="15.75" customHeight="1"/>
    <row r="3198" customFormat="1" ht="15.75" customHeight="1"/>
    <row r="3199" customFormat="1" ht="15.75" customHeight="1"/>
    <row r="3200" customFormat="1" ht="15.75" customHeight="1"/>
    <row r="3201" customFormat="1" ht="15.75" customHeight="1"/>
    <row r="3202" customFormat="1" ht="15.75" customHeight="1"/>
    <row r="3203" customFormat="1" ht="15.75" customHeight="1"/>
    <row r="3204" customFormat="1" ht="15.75" customHeight="1"/>
    <row r="3205" customFormat="1" ht="15.75" customHeight="1"/>
    <row r="3206" customFormat="1" ht="15.75" customHeight="1"/>
    <row r="3207" customFormat="1" ht="15.75" customHeight="1"/>
    <row r="3208" customFormat="1" ht="15.75" customHeight="1"/>
    <row r="3209" customFormat="1" ht="15.75" customHeight="1"/>
    <row r="3210" customFormat="1" ht="15.75" customHeight="1"/>
    <row r="3211" customFormat="1" ht="15.75" customHeight="1"/>
    <row r="3212" customFormat="1" ht="15.75" customHeight="1"/>
    <row r="3213" customFormat="1" ht="15.75" customHeight="1"/>
    <row r="3214" customFormat="1" ht="15.75" customHeight="1"/>
    <row r="3215" customFormat="1" ht="15.75" customHeight="1"/>
    <row r="3216" customFormat="1" ht="15.75" customHeight="1"/>
    <row r="3217" customFormat="1" ht="15.75" customHeight="1"/>
    <row r="3218" customFormat="1" ht="15.75" customHeight="1"/>
    <row r="3219" customFormat="1" ht="15.75" customHeight="1"/>
    <row r="3220" customFormat="1" ht="15.75" customHeight="1"/>
    <row r="3221" customFormat="1" ht="15.75" customHeight="1"/>
    <row r="3222" customFormat="1" ht="15.75" customHeight="1"/>
    <row r="3223" customFormat="1" ht="15.75" customHeight="1"/>
    <row r="3224" customFormat="1" ht="15.75" customHeight="1"/>
    <row r="3225" customFormat="1" ht="15.75" customHeight="1"/>
    <row r="3226" customFormat="1" ht="15.75" customHeight="1"/>
    <row r="3227" customFormat="1" ht="15.75" customHeight="1"/>
    <row r="3228" customFormat="1" ht="15.75" customHeight="1"/>
    <row r="3229" customFormat="1" ht="15.75" customHeight="1"/>
    <row r="3230" customFormat="1" ht="15.75" customHeight="1"/>
    <row r="3231" customFormat="1" ht="15.75" customHeight="1"/>
    <row r="3232" customFormat="1" ht="15.75" customHeight="1"/>
    <row r="3233" customFormat="1" ht="15.75" customHeight="1"/>
    <row r="3234" customFormat="1" ht="15.75" customHeight="1"/>
    <row r="3235" customFormat="1" ht="15.75" customHeight="1"/>
    <row r="3236" customFormat="1" ht="15.75" customHeight="1"/>
    <row r="3237" customFormat="1" ht="15.75" customHeight="1"/>
    <row r="3238" customFormat="1" ht="15.75" customHeight="1"/>
    <row r="3239" customFormat="1" ht="15.75" customHeight="1"/>
    <row r="3240" customFormat="1" ht="15.75" customHeight="1"/>
    <row r="3241" customFormat="1" ht="15.75" customHeight="1"/>
    <row r="3242" customFormat="1" ht="15.75" customHeight="1"/>
    <row r="3243" customFormat="1" ht="15.75" customHeight="1"/>
    <row r="3244" customFormat="1" ht="15.75" customHeight="1"/>
    <row r="3245" customFormat="1" ht="15.75" customHeight="1"/>
    <row r="3246" customFormat="1" ht="15.75" customHeight="1"/>
    <row r="3247" customFormat="1" ht="15.75" customHeight="1"/>
    <row r="3248" customFormat="1" ht="15.75" customHeight="1"/>
    <row r="3249" customFormat="1" ht="15.75" customHeight="1"/>
    <row r="3250" customFormat="1" ht="15.75" customHeight="1"/>
    <row r="3251" customFormat="1" ht="15.75" customHeight="1"/>
    <row r="3252" customFormat="1" ht="15.75" customHeight="1"/>
    <row r="3253" customFormat="1" ht="15.75" customHeight="1"/>
    <row r="3254" customFormat="1" ht="15.75" customHeight="1"/>
    <row r="3255" customFormat="1" ht="15.75" customHeight="1"/>
    <row r="3256" customFormat="1" ht="15.75" customHeight="1"/>
    <row r="3257" customFormat="1" ht="15.75" customHeight="1"/>
    <row r="3258" customFormat="1" ht="15.75" customHeight="1"/>
    <row r="3259" customFormat="1" ht="15.75" customHeight="1"/>
    <row r="3260" customFormat="1" ht="15.75" customHeight="1"/>
    <row r="3261" customFormat="1" ht="15.75" customHeight="1"/>
    <row r="3262" customFormat="1" ht="15.75" customHeight="1"/>
    <row r="3263" customFormat="1" ht="15.75" customHeight="1"/>
    <row r="3264" customFormat="1" ht="15.75" customHeight="1"/>
    <row r="3265" customFormat="1" ht="15.75" customHeight="1"/>
    <row r="3266" customFormat="1" ht="15.75" customHeight="1"/>
    <row r="3267" customFormat="1" ht="15.75" customHeight="1"/>
    <row r="3268" customFormat="1" ht="15.75" customHeight="1"/>
    <row r="3269" customFormat="1" ht="15.75" customHeight="1"/>
    <row r="3270" customFormat="1" ht="15.75" customHeight="1"/>
    <row r="3271" customFormat="1" ht="15.75" customHeight="1"/>
    <row r="3272" customFormat="1" ht="15.75" customHeight="1"/>
    <row r="3273" customFormat="1" ht="15.75" customHeight="1"/>
    <row r="3274" customFormat="1" ht="15.75" customHeight="1"/>
    <row r="3275" customFormat="1" ht="15.75" customHeight="1"/>
    <row r="3276" customFormat="1" ht="15.75" customHeight="1"/>
    <row r="3277" customFormat="1" ht="15.75" customHeight="1"/>
    <row r="3278" customFormat="1" ht="15.75" customHeight="1"/>
    <row r="3279" customFormat="1" ht="15.75" customHeight="1"/>
    <row r="3280" customFormat="1" ht="15.75" customHeight="1"/>
    <row r="3281" customFormat="1" ht="15.75" customHeight="1"/>
    <row r="3282" customFormat="1" ht="15.75" customHeight="1"/>
    <row r="3283" customFormat="1" ht="15.75" customHeight="1"/>
    <row r="3284" customFormat="1" ht="15.75" customHeight="1"/>
    <row r="3285" customFormat="1" ht="15.75" customHeight="1"/>
    <row r="3286" customFormat="1" ht="15.75" customHeight="1"/>
    <row r="3287" customFormat="1" ht="15.75" customHeight="1"/>
    <row r="3288" customFormat="1" ht="15.75" customHeight="1"/>
    <row r="3289" customFormat="1" ht="15.75" customHeight="1"/>
    <row r="3290" customFormat="1" ht="15.75" customHeight="1"/>
    <row r="3291" customFormat="1" ht="15.75" customHeight="1"/>
    <row r="3292" customFormat="1" ht="15.75" customHeight="1"/>
    <row r="3293" customFormat="1" ht="15.75" customHeight="1"/>
    <row r="3294" customFormat="1" ht="15.75" customHeight="1"/>
    <row r="3295" customFormat="1" ht="15.75" customHeight="1"/>
    <row r="3296" customFormat="1" ht="15.75" customHeight="1"/>
    <row r="3297" customFormat="1" ht="15.75" customHeight="1"/>
    <row r="3298" customFormat="1" ht="15.75" customHeight="1"/>
    <row r="3299" customFormat="1" ht="15.75" customHeight="1"/>
    <row r="3300" customFormat="1" ht="15.75" customHeight="1"/>
    <row r="3301" customFormat="1" ht="15.75" customHeight="1"/>
    <row r="3302" customFormat="1" ht="15.75" customHeight="1"/>
    <row r="3303" customFormat="1" ht="15.75" customHeight="1"/>
    <row r="3304" customFormat="1" ht="15.75" customHeight="1"/>
    <row r="3305" customFormat="1" ht="15.75" customHeight="1"/>
    <row r="3306" customFormat="1" ht="15.75" customHeight="1"/>
    <row r="3307" customFormat="1" ht="15.75" customHeight="1"/>
    <row r="3308" customFormat="1" ht="15.75" customHeight="1"/>
    <row r="3309" customFormat="1" ht="15.75" customHeight="1"/>
    <row r="3310" customFormat="1" ht="15.75" customHeight="1"/>
    <row r="3311" customFormat="1" ht="15.75" customHeight="1"/>
    <row r="3312" customFormat="1" ht="15.75" customHeight="1"/>
    <row r="3313" customFormat="1" ht="15.75" customHeight="1"/>
    <row r="3314" customFormat="1" ht="15.75" customHeight="1"/>
    <row r="3315" customFormat="1" ht="15.75" customHeight="1"/>
    <row r="3316" customFormat="1" ht="15.75" customHeight="1"/>
    <row r="3317" customFormat="1" ht="15.75" customHeight="1"/>
    <row r="3318" customFormat="1" ht="15.75" customHeight="1"/>
    <row r="3319" customFormat="1" ht="15.75" customHeight="1"/>
    <row r="3320" customFormat="1" ht="15.75" customHeight="1"/>
    <row r="3321" customFormat="1" ht="15.75" customHeight="1"/>
    <row r="3322" customFormat="1" ht="15.75" customHeight="1"/>
    <row r="3323" customFormat="1" ht="15.75" customHeight="1"/>
    <row r="3324" customFormat="1" ht="15.75" customHeight="1"/>
    <row r="3325" customFormat="1" ht="15.75" customHeight="1"/>
    <row r="3326" customFormat="1" ht="15.75" customHeight="1"/>
    <row r="3327" customFormat="1" ht="15.75" customHeight="1"/>
    <row r="3328" customFormat="1" ht="15.75" customHeight="1"/>
    <row r="3329" customFormat="1" ht="15.75" customHeight="1"/>
    <row r="3330" customFormat="1" ht="15.75" customHeight="1"/>
    <row r="3331" customFormat="1" ht="15.75" customHeight="1"/>
    <row r="3332" customFormat="1" ht="15.75" customHeight="1"/>
    <row r="3333" customFormat="1" ht="15.75" customHeight="1"/>
    <row r="3334" customFormat="1" ht="15.75" customHeight="1"/>
    <row r="3335" customFormat="1" ht="15.75" customHeight="1"/>
    <row r="3336" customFormat="1" ht="15.75" customHeight="1"/>
    <row r="3337" customFormat="1" ht="15.75" customHeight="1"/>
    <row r="3338" customFormat="1" ht="15.75" customHeight="1"/>
    <row r="3339" customFormat="1" ht="15.75" customHeight="1"/>
    <row r="3340" customFormat="1" ht="15.75" customHeight="1"/>
    <row r="3341" customFormat="1" ht="15.75" customHeight="1"/>
    <row r="3342" customFormat="1" ht="15.75" customHeight="1"/>
    <row r="3343" customFormat="1" ht="15.75" customHeight="1"/>
    <row r="3344" customFormat="1" ht="15.75" customHeight="1"/>
    <row r="3345" customFormat="1" ht="15.75" customHeight="1"/>
    <row r="3346" customFormat="1" ht="15.75" customHeight="1"/>
    <row r="3347" customFormat="1" ht="15.75" customHeight="1"/>
    <row r="3348" customFormat="1" ht="15.75" customHeight="1"/>
    <row r="3349" customFormat="1" ht="15.75" customHeight="1"/>
    <row r="3350" customFormat="1" ht="15.75" customHeight="1"/>
    <row r="3351" customFormat="1" ht="15.75" customHeight="1"/>
    <row r="3352" customFormat="1" ht="15.75" customHeight="1"/>
    <row r="3353" customFormat="1" ht="15.75" customHeight="1"/>
    <row r="3354" customFormat="1" ht="15.75" customHeight="1"/>
    <row r="3355" customFormat="1" ht="15.75" customHeight="1"/>
    <row r="3356" customFormat="1" ht="15.75" customHeight="1"/>
    <row r="3357" customFormat="1" ht="15.75" customHeight="1"/>
    <row r="3358" customFormat="1" ht="15.75" customHeight="1"/>
    <row r="3359" customFormat="1" ht="15.75" customHeight="1"/>
    <row r="3360" customFormat="1" ht="15.75" customHeight="1"/>
    <row r="3361" customFormat="1" ht="15.75" customHeight="1"/>
    <row r="3362" customFormat="1" ht="15.75" customHeight="1"/>
    <row r="3363" customFormat="1" ht="15.75" customHeight="1"/>
    <row r="3364" customFormat="1" ht="15.75" customHeight="1"/>
    <row r="3365" customFormat="1" ht="15.75" customHeight="1"/>
    <row r="3366" customFormat="1" ht="15.75" customHeight="1"/>
    <row r="3367" customFormat="1" ht="15.75" customHeight="1"/>
    <row r="3368" customFormat="1" ht="15.75" customHeight="1"/>
    <row r="3369" customFormat="1" ht="15.75" customHeight="1"/>
    <row r="3370" customFormat="1" ht="15.75" customHeight="1"/>
    <row r="3371" customFormat="1" ht="15.75" customHeight="1"/>
    <row r="3372" customFormat="1" ht="15.75" customHeight="1"/>
    <row r="3373" customFormat="1" ht="15.75" customHeight="1"/>
    <row r="3374" customFormat="1" ht="15.75" customHeight="1"/>
    <row r="3375" customFormat="1" ht="15.75" customHeight="1"/>
    <row r="3376" customFormat="1" ht="15.75" customHeight="1"/>
    <row r="3377" spans="2:25" ht="15.75" customHeight="1">
      <c r="B3377"/>
      <c r="O3377"/>
      <c r="Y3377"/>
    </row>
    <row r="3378" spans="2:25" ht="15.75" customHeight="1">
      <c r="B3378"/>
      <c r="O3378"/>
      <c r="Y3378"/>
    </row>
    <row r="3379" spans="2:25" ht="15.75" customHeight="1">
      <c r="B3379"/>
      <c r="O3379"/>
      <c r="Y3379"/>
    </row>
    <row r="3380" spans="2:25" ht="15.75" customHeight="1">
      <c r="B3380"/>
      <c r="O3380"/>
      <c r="Y3380"/>
    </row>
    <row r="3381" spans="2:25" ht="15.75" customHeight="1">
      <c r="B3381"/>
      <c r="O3381"/>
      <c r="Y3381"/>
    </row>
    <row r="3382" spans="2:25" ht="15.75" customHeight="1">
      <c r="B3382"/>
      <c r="O3382"/>
      <c r="Y3382"/>
    </row>
    <row r="3383" spans="2:25" ht="15.75" customHeight="1">
      <c r="B3383"/>
      <c r="O3383"/>
      <c r="Y3383"/>
    </row>
    <row r="3384" spans="2:25" ht="15.75" customHeight="1">
      <c r="B3384"/>
      <c r="O3384"/>
      <c r="Y3384"/>
    </row>
    <row r="3385" spans="2:25" ht="15.75" customHeight="1">
      <c r="B3385"/>
      <c r="O3385"/>
      <c r="Y3385"/>
    </row>
    <row r="3386" spans="2:25" ht="15.75" customHeight="1">
      <c r="B3386"/>
      <c r="O3386"/>
      <c r="Y3386"/>
    </row>
    <row r="3387" spans="2:25" ht="15.75" customHeight="1">
      <c r="Q3387" s="32"/>
    </row>
    <row r="3388" spans="2:25" ht="15.75" customHeight="1">
      <c r="Q3388" s="32"/>
    </row>
    <row r="3389" spans="2:25" ht="15.75" customHeight="1">
      <c r="Q3389" s="32"/>
    </row>
    <row r="3390" spans="2:25" ht="15.75" customHeight="1">
      <c r="Q3390" s="32"/>
    </row>
    <row r="3391" spans="2:25" ht="15.75" customHeight="1">
      <c r="Q3391" s="32"/>
    </row>
    <row r="3392" spans="2:25" ht="15.75" customHeight="1">
      <c r="Q3392" s="32"/>
    </row>
    <row r="3393" spans="17:17" ht="15.75" customHeight="1">
      <c r="Q3393" s="32"/>
    </row>
    <row r="3394" spans="17:17" ht="15.75" customHeight="1">
      <c r="Q3394" s="32"/>
    </row>
    <row r="3395" spans="17:17" ht="15.75" customHeight="1">
      <c r="Q3395" s="32"/>
    </row>
    <row r="3396" spans="17:17" ht="15.75" customHeight="1">
      <c r="Q3396" s="32"/>
    </row>
    <row r="3397" spans="17:17" ht="15.75" customHeight="1">
      <c r="Q3397" s="32"/>
    </row>
    <row r="3398" spans="17:17" ht="15.75" customHeight="1">
      <c r="Q3398" s="32"/>
    </row>
    <row r="3399" spans="17:17" ht="15.75" customHeight="1">
      <c r="Q3399" s="32"/>
    </row>
    <row r="3400" spans="17:17" ht="15.75" customHeight="1">
      <c r="Q3400" s="32"/>
    </row>
    <row r="3401" spans="17:17" ht="15.75" customHeight="1">
      <c r="Q3401" s="32"/>
    </row>
    <row r="3402" spans="17:17" ht="15.75" customHeight="1">
      <c r="Q3402" s="32"/>
    </row>
    <row r="3403" spans="17:17" ht="15.75" customHeight="1">
      <c r="Q3403" s="32"/>
    </row>
    <row r="3404" spans="17:17" ht="15.75" customHeight="1">
      <c r="Q3404" s="32"/>
    </row>
    <row r="3405" spans="17:17" ht="15.75" customHeight="1">
      <c r="Q3405" s="32"/>
    </row>
    <row r="3406" spans="17:17" ht="15.75" customHeight="1">
      <c r="Q3406" s="32"/>
    </row>
    <row r="3407" spans="17:17" ht="15.75" customHeight="1">
      <c r="Q3407" s="32"/>
    </row>
    <row r="3408" spans="17:17" ht="15.75" customHeight="1">
      <c r="Q3408" s="32"/>
    </row>
    <row r="3409" spans="17:17" ht="15.75" customHeight="1">
      <c r="Q3409" s="32"/>
    </row>
    <row r="3410" spans="17:17" ht="15.75" customHeight="1">
      <c r="Q3410" s="32"/>
    </row>
    <row r="3411" spans="17:17" ht="15.75" customHeight="1">
      <c r="Q3411" s="32"/>
    </row>
    <row r="3412" spans="17:17" ht="15.75" customHeight="1">
      <c r="Q3412" s="32"/>
    </row>
    <row r="3413" spans="17:17" ht="15.75" customHeight="1">
      <c r="Q3413" s="32"/>
    </row>
    <row r="3414" spans="17:17" ht="15.75" customHeight="1">
      <c r="Q3414" s="32"/>
    </row>
    <row r="3415" spans="17:17" ht="15.75" customHeight="1">
      <c r="Q3415" s="32"/>
    </row>
    <row r="3416" spans="17:17" ht="15.75" customHeight="1">
      <c r="Q3416" s="32"/>
    </row>
    <row r="3417" spans="17:17" ht="15.75" customHeight="1">
      <c r="Q3417" s="32"/>
    </row>
    <row r="3418" spans="17:17" ht="15.75" customHeight="1">
      <c r="Q3418" s="32"/>
    </row>
    <row r="3419" spans="17:17" ht="15.75" customHeight="1">
      <c r="Q3419" s="32"/>
    </row>
    <row r="3420" spans="17:17" ht="15.75" customHeight="1">
      <c r="Q3420" s="32"/>
    </row>
    <row r="3421" spans="17:17" ht="15.75" customHeight="1">
      <c r="Q3421" s="32"/>
    </row>
    <row r="3422" spans="17:17" ht="15.75" customHeight="1">
      <c r="Q3422" s="32"/>
    </row>
    <row r="3423" spans="17:17" ht="15.75" customHeight="1">
      <c r="Q3423" s="32"/>
    </row>
    <row r="3424" spans="17:17" ht="15.75" customHeight="1">
      <c r="Q3424" s="32"/>
    </row>
    <row r="3425" spans="17:17" ht="15.75" customHeight="1">
      <c r="Q3425" s="32"/>
    </row>
    <row r="3426" spans="17:17" ht="15.75" customHeight="1">
      <c r="Q3426" s="32"/>
    </row>
    <row r="3427" spans="17:17" ht="15.75" customHeight="1">
      <c r="Q3427" s="32"/>
    </row>
    <row r="3428" spans="17:17" ht="15.75" customHeight="1">
      <c r="Q3428" s="32"/>
    </row>
    <row r="3429" spans="17:17" ht="15.75" customHeight="1">
      <c r="Q3429" s="32"/>
    </row>
    <row r="3430" spans="17:17" ht="15.75" customHeight="1">
      <c r="Q3430" s="32"/>
    </row>
    <row r="3431" spans="17:17" ht="15.75" customHeight="1">
      <c r="Q3431" s="32"/>
    </row>
    <row r="3432" spans="17:17" ht="15.75" customHeight="1">
      <c r="Q3432" s="32"/>
    </row>
    <row r="3433" spans="17:17" ht="15.75" customHeight="1">
      <c r="Q3433" s="32"/>
    </row>
    <row r="3434" spans="17:17" ht="15.75" customHeight="1">
      <c r="Q3434" s="32"/>
    </row>
    <row r="3435" spans="17:17" ht="15.75" customHeight="1">
      <c r="Q3435" s="32"/>
    </row>
    <row r="3436" spans="17:17" ht="15.75" customHeight="1"/>
    <row r="3437" spans="17:17" ht="15.75" customHeight="1"/>
  </sheetData>
  <mergeCells count="542">
    <mergeCell ref="A365:B365"/>
    <mergeCell ref="P365:Q365"/>
    <mergeCell ref="AD365:AE365"/>
    <mergeCell ref="P366:Q366"/>
    <mergeCell ref="AD366:AE366"/>
    <mergeCell ref="P367:Q367"/>
    <mergeCell ref="AD367:AE367"/>
    <mergeCell ref="X368:Y368"/>
    <mergeCell ref="AL368:AM368"/>
    <mergeCell ref="X357:Y357"/>
    <mergeCell ref="AL357:AM357"/>
    <mergeCell ref="G358:H358"/>
    <mergeCell ref="X358:Y358"/>
    <mergeCell ref="AL358:AM358"/>
    <mergeCell ref="A363:B363"/>
    <mergeCell ref="C363:D363"/>
    <mergeCell ref="E363:F363"/>
    <mergeCell ref="A364:B364"/>
    <mergeCell ref="C364:D364"/>
    <mergeCell ref="E364:F364"/>
    <mergeCell ref="P364:Q364"/>
    <mergeCell ref="AD364:AE364"/>
    <mergeCell ref="A297:B297"/>
    <mergeCell ref="C297:D297"/>
    <mergeCell ref="P297:R297"/>
    <mergeCell ref="S297:T297"/>
    <mergeCell ref="AD297:AF297"/>
    <mergeCell ref="AG297:AH297"/>
    <mergeCell ref="X355:Y355"/>
    <mergeCell ref="AL355:AM355"/>
    <mergeCell ref="X356:Y356"/>
    <mergeCell ref="AL356:AM356"/>
    <mergeCell ref="A587:B587"/>
    <mergeCell ref="X590:Y590"/>
    <mergeCell ref="AL590:AM590"/>
    <mergeCell ref="P588:Q588"/>
    <mergeCell ref="AD588:AE588"/>
    <mergeCell ref="P589:Q589"/>
    <mergeCell ref="AD589:AE589"/>
    <mergeCell ref="P587:Q587"/>
    <mergeCell ref="AD587:AE587"/>
    <mergeCell ref="A586:B586"/>
    <mergeCell ref="C586:D586"/>
    <mergeCell ref="E586:F586"/>
    <mergeCell ref="P586:Q586"/>
    <mergeCell ref="AD586:AE586"/>
    <mergeCell ref="A585:B585"/>
    <mergeCell ref="C585:D585"/>
    <mergeCell ref="E585:F585"/>
    <mergeCell ref="G580:H580"/>
    <mergeCell ref="X580:Y580"/>
    <mergeCell ref="AL580:AM580"/>
    <mergeCell ref="X578:Y578"/>
    <mergeCell ref="AL578:AM578"/>
    <mergeCell ref="X579:Y579"/>
    <mergeCell ref="AL579:AM579"/>
    <mergeCell ref="X577:Y577"/>
    <mergeCell ref="AL577:AM577"/>
    <mergeCell ref="A519:B519"/>
    <mergeCell ref="C519:D519"/>
    <mergeCell ref="P519:R519"/>
    <mergeCell ref="S519:T519"/>
    <mergeCell ref="AD519:AF519"/>
    <mergeCell ref="AG519:AH519"/>
    <mergeCell ref="AL728:AM728"/>
    <mergeCell ref="X726:Y726"/>
    <mergeCell ref="AL726:AM726"/>
    <mergeCell ref="X727:Y727"/>
    <mergeCell ref="AL727:AM727"/>
    <mergeCell ref="X738:Y738"/>
    <mergeCell ref="AL738:AM738"/>
    <mergeCell ref="P736:Q736"/>
    <mergeCell ref="AD736:AE736"/>
    <mergeCell ref="P737:Q737"/>
    <mergeCell ref="AD737:AE737"/>
    <mergeCell ref="P735:Q735"/>
    <mergeCell ref="AD735:AE735"/>
    <mergeCell ref="P734:Q734"/>
    <mergeCell ref="AD734:AE734"/>
    <mergeCell ref="AL725:AM725"/>
    <mergeCell ref="A667:B667"/>
    <mergeCell ref="C667:D667"/>
    <mergeCell ref="P667:R667"/>
    <mergeCell ref="S667:T667"/>
    <mergeCell ref="AD667:AF667"/>
    <mergeCell ref="AG667:AH667"/>
    <mergeCell ref="P957:Q957"/>
    <mergeCell ref="AD957:AE957"/>
    <mergeCell ref="X947:Y947"/>
    <mergeCell ref="AL947:AM947"/>
    <mergeCell ref="X948:Y948"/>
    <mergeCell ref="AL948:AM948"/>
    <mergeCell ref="X949:Y949"/>
    <mergeCell ref="AL949:AM949"/>
    <mergeCell ref="G950:H950"/>
    <mergeCell ref="X950:Y950"/>
    <mergeCell ref="AL950:AM950"/>
    <mergeCell ref="A889:B889"/>
    <mergeCell ref="C889:D889"/>
    <mergeCell ref="P889:R889"/>
    <mergeCell ref="S889:T889"/>
    <mergeCell ref="AD889:AF889"/>
    <mergeCell ref="A733:B733"/>
    <mergeCell ref="A955:B955"/>
    <mergeCell ref="C955:D955"/>
    <mergeCell ref="E955:F955"/>
    <mergeCell ref="A956:B956"/>
    <mergeCell ref="C956:D956"/>
    <mergeCell ref="E956:F956"/>
    <mergeCell ref="P956:Q956"/>
    <mergeCell ref="AD956:AE956"/>
    <mergeCell ref="X725:Y725"/>
    <mergeCell ref="C733:D733"/>
    <mergeCell ref="E733:F733"/>
    <mergeCell ref="G728:H728"/>
    <mergeCell ref="X728:Y728"/>
    <mergeCell ref="A734:B734"/>
    <mergeCell ref="C734:D734"/>
    <mergeCell ref="E734:F734"/>
    <mergeCell ref="A815:B815"/>
    <mergeCell ref="C815:D815"/>
    <mergeCell ref="P815:R815"/>
    <mergeCell ref="S815:T815"/>
    <mergeCell ref="AD815:AF815"/>
    <mergeCell ref="P883:Q883"/>
    <mergeCell ref="AD883:AE883"/>
    <mergeCell ref="P884:Q884"/>
    <mergeCell ref="A963:B963"/>
    <mergeCell ref="C963:D963"/>
    <mergeCell ref="P963:R963"/>
    <mergeCell ref="S963:T963"/>
    <mergeCell ref="AD963:AF963"/>
    <mergeCell ref="AG963:AH963"/>
    <mergeCell ref="X1022:Y1022"/>
    <mergeCell ref="AL1022:AM1022"/>
    <mergeCell ref="X1021:Y1021"/>
    <mergeCell ref="AL1021:AM1021"/>
    <mergeCell ref="G1024:H1024"/>
    <mergeCell ref="X1024:Y1024"/>
    <mergeCell ref="AL1024:AM1024"/>
    <mergeCell ref="X1023:Y1023"/>
    <mergeCell ref="AL1023:AM1023"/>
    <mergeCell ref="A1030:B1030"/>
    <mergeCell ref="C1030:D1030"/>
    <mergeCell ref="E1030:F1030"/>
    <mergeCell ref="P1030:Q1030"/>
    <mergeCell ref="AD1030:AE1030"/>
    <mergeCell ref="A1029:B1029"/>
    <mergeCell ref="C1029:D1029"/>
    <mergeCell ref="E1029:F1029"/>
    <mergeCell ref="X1034:Y1034"/>
    <mergeCell ref="AL1034:AM1034"/>
    <mergeCell ref="P1031:Q1031"/>
    <mergeCell ref="AD1031:AE1031"/>
    <mergeCell ref="P1032:Q1032"/>
    <mergeCell ref="AD1032:AE1032"/>
    <mergeCell ref="P1033:Q1033"/>
    <mergeCell ref="AD1033:AE1033"/>
    <mergeCell ref="X873:Y873"/>
    <mergeCell ref="AL873:AM873"/>
    <mergeCell ref="X874:Y874"/>
    <mergeCell ref="AL874:AM874"/>
    <mergeCell ref="X875:Y875"/>
    <mergeCell ref="X886:Y886"/>
    <mergeCell ref="AL886:AM886"/>
    <mergeCell ref="P885:Q885"/>
    <mergeCell ref="AD885:AE885"/>
    <mergeCell ref="AG889:AH889"/>
    <mergeCell ref="P958:Q958"/>
    <mergeCell ref="AD958:AE958"/>
    <mergeCell ref="P959:Q959"/>
    <mergeCell ref="AD959:AE959"/>
    <mergeCell ref="X960:Y960"/>
    <mergeCell ref="AL960:AM960"/>
    <mergeCell ref="AG815:AH815"/>
    <mergeCell ref="AL875:AM875"/>
    <mergeCell ref="A881:B881"/>
    <mergeCell ref="C881:D881"/>
    <mergeCell ref="E881:F881"/>
    <mergeCell ref="G876:H876"/>
    <mergeCell ref="X876:Y876"/>
    <mergeCell ref="AL876:AM876"/>
    <mergeCell ref="A882:B882"/>
    <mergeCell ref="C882:D882"/>
    <mergeCell ref="E882:F882"/>
    <mergeCell ref="P882:Q882"/>
    <mergeCell ref="AD882:AE882"/>
    <mergeCell ref="AD884:AE884"/>
    <mergeCell ref="A741:B741"/>
    <mergeCell ref="C741:D741"/>
    <mergeCell ref="P741:R741"/>
    <mergeCell ref="S741:T741"/>
    <mergeCell ref="AD741:AF741"/>
    <mergeCell ref="AG741:AH741"/>
    <mergeCell ref="X799:Y799"/>
    <mergeCell ref="AL799:AM799"/>
    <mergeCell ref="X800:Y800"/>
    <mergeCell ref="AL800:AM800"/>
    <mergeCell ref="X801:Y801"/>
    <mergeCell ref="AL801:AM801"/>
    <mergeCell ref="G802:H802"/>
    <mergeCell ref="X802:Y802"/>
    <mergeCell ref="AL802:AM802"/>
    <mergeCell ref="A807:B807"/>
    <mergeCell ref="C807:D807"/>
    <mergeCell ref="E807:F807"/>
    <mergeCell ref="A808:B808"/>
    <mergeCell ref="C808:D808"/>
    <mergeCell ref="E808:F808"/>
    <mergeCell ref="P808:Q808"/>
    <mergeCell ref="AD808:AE808"/>
    <mergeCell ref="P809:Q809"/>
    <mergeCell ref="AD809:AE809"/>
    <mergeCell ref="P810:Q810"/>
    <mergeCell ref="AD810:AE810"/>
    <mergeCell ref="P811:Q811"/>
    <mergeCell ref="AD811:AE811"/>
    <mergeCell ref="X812:Y812"/>
    <mergeCell ref="AL812:AM812"/>
    <mergeCell ref="A593:B593"/>
    <mergeCell ref="C593:D593"/>
    <mergeCell ref="P593:R593"/>
    <mergeCell ref="S593:T593"/>
    <mergeCell ref="AD593:AF593"/>
    <mergeCell ref="AG593:AH593"/>
    <mergeCell ref="X651:Y651"/>
    <mergeCell ref="AL651:AM651"/>
    <mergeCell ref="X652:Y652"/>
    <mergeCell ref="AL652:AM652"/>
    <mergeCell ref="X653:Y653"/>
    <mergeCell ref="AL653:AM653"/>
    <mergeCell ref="G654:H654"/>
    <mergeCell ref="X654:Y654"/>
    <mergeCell ref="AL654:AM654"/>
    <mergeCell ref="A659:B659"/>
    <mergeCell ref="C659:D659"/>
    <mergeCell ref="E659:F659"/>
    <mergeCell ref="A660:B660"/>
    <mergeCell ref="C660:D660"/>
    <mergeCell ref="E660:F660"/>
    <mergeCell ref="P660:Q660"/>
    <mergeCell ref="AD660:AE660"/>
    <mergeCell ref="P661:Q661"/>
    <mergeCell ref="AD661:AE661"/>
    <mergeCell ref="A661:B661"/>
    <mergeCell ref="P662:Q662"/>
    <mergeCell ref="AD662:AE662"/>
    <mergeCell ref="P663:Q663"/>
    <mergeCell ref="AD663:AE663"/>
    <mergeCell ref="X664:Y664"/>
    <mergeCell ref="AL664:AM664"/>
    <mergeCell ref="A445:B445"/>
    <mergeCell ref="C445:D445"/>
    <mergeCell ref="P445:R445"/>
    <mergeCell ref="S445:T445"/>
    <mergeCell ref="AD445:AF445"/>
    <mergeCell ref="AG445:AH445"/>
    <mergeCell ref="X503:Y503"/>
    <mergeCell ref="AL503:AM503"/>
    <mergeCell ref="X504:Y504"/>
    <mergeCell ref="AL504:AM504"/>
    <mergeCell ref="X505:Y505"/>
    <mergeCell ref="AL505:AM505"/>
    <mergeCell ref="G506:H506"/>
    <mergeCell ref="X506:Y506"/>
    <mergeCell ref="AL506:AM506"/>
    <mergeCell ref="A511:B511"/>
    <mergeCell ref="C511:D511"/>
    <mergeCell ref="E511:F511"/>
    <mergeCell ref="P515:Q515"/>
    <mergeCell ref="AD515:AE515"/>
    <mergeCell ref="X516:Y516"/>
    <mergeCell ref="AL516:AM516"/>
    <mergeCell ref="A512:B512"/>
    <mergeCell ref="C512:D512"/>
    <mergeCell ref="E512:F512"/>
    <mergeCell ref="P512:Q512"/>
    <mergeCell ref="AD512:AE512"/>
    <mergeCell ref="A513:B513"/>
    <mergeCell ref="P513:Q513"/>
    <mergeCell ref="AD513:AE513"/>
    <mergeCell ref="P514:Q514"/>
    <mergeCell ref="AD514:AE514"/>
    <mergeCell ref="A371:B371"/>
    <mergeCell ref="C371:D371"/>
    <mergeCell ref="P371:R371"/>
    <mergeCell ref="S371:T371"/>
    <mergeCell ref="AD371:AF371"/>
    <mergeCell ref="AG371:AH371"/>
    <mergeCell ref="X429:Y429"/>
    <mergeCell ref="AL429:AM429"/>
    <mergeCell ref="X430:Y430"/>
    <mergeCell ref="AL430:AM430"/>
    <mergeCell ref="X431:Y431"/>
    <mergeCell ref="AL431:AM431"/>
    <mergeCell ref="G432:H432"/>
    <mergeCell ref="X432:Y432"/>
    <mergeCell ref="AL432:AM432"/>
    <mergeCell ref="A437:B437"/>
    <mergeCell ref="C437:D437"/>
    <mergeCell ref="E437:F437"/>
    <mergeCell ref="A438:B438"/>
    <mergeCell ref="C438:D438"/>
    <mergeCell ref="E438:F438"/>
    <mergeCell ref="P438:Q438"/>
    <mergeCell ref="AD438:AE438"/>
    <mergeCell ref="A439:B439"/>
    <mergeCell ref="P439:Q439"/>
    <mergeCell ref="AD439:AE439"/>
    <mergeCell ref="P440:Q440"/>
    <mergeCell ref="AD440:AE440"/>
    <mergeCell ref="P441:Q441"/>
    <mergeCell ref="AD441:AE441"/>
    <mergeCell ref="X442:Y442"/>
    <mergeCell ref="AL442:AM442"/>
    <mergeCell ref="A223:B223"/>
    <mergeCell ref="C223:D223"/>
    <mergeCell ref="P223:R223"/>
    <mergeCell ref="S223:T223"/>
    <mergeCell ref="AD223:AF223"/>
    <mergeCell ref="AG223:AH223"/>
    <mergeCell ref="X281:Y281"/>
    <mergeCell ref="AL281:AM281"/>
    <mergeCell ref="X282:Y282"/>
    <mergeCell ref="AL282:AM282"/>
    <mergeCell ref="X283:Y283"/>
    <mergeCell ref="AL283:AM283"/>
    <mergeCell ref="G284:H284"/>
    <mergeCell ref="X284:Y284"/>
    <mergeCell ref="AL284:AM284"/>
    <mergeCell ref="A289:B289"/>
    <mergeCell ref="C289:D289"/>
    <mergeCell ref="E289:F289"/>
    <mergeCell ref="A290:B290"/>
    <mergeCell ref="C290:D290"/>
    <mergeCell ref="E290:F290"/>
    <mergeCell ref="P290:Q290"/>
    <mergeCell ref="AD290:AE290"/>
    <mergeCell ref="A291:B291"/>
    <mergeCell ref="P291:Q291"/>
    <mergeCell ref="AD291:AE291"/>
    <mergeCell ref="P292:Q292"/>
    <mergeCell ref="AD292:AE292"/>
    <mergeCell ref="P293:Q293"/>
    <mergeCell ref="AD293:AE293"/>
    <mergeCell ref="X294:Y294"/>
    <mergeCell ref="AL294:AM294"/>
    <mergeCell ref="BI149:BJ149"/>
    <mergeCell ref="BT149:BV149"/>
    <mergeCell ref="BW149:BX149"/>
    <mergeCell ref="X207:Y207"/>
    <mergeCell ref="AL207:AM207"/>
    <mergeCell ref="AZ207:BA207"/>
    <mergeCell ref="BN207:BO207"/>
    <mergeCell ref="CB207:CC207"/>
    <mergeCell ref="X208:Y208"/>
    <mergeCell ref="AL208:AM208"/>
    <mergeCell ref="AZ208:BA208"/>
    <mergeCell ref="BN208:BO208"/>
    <mergeCell ref="CB208:CC208"/>
    <mergeCell ref="A149:B149"/>
    <mergeCell ref="C149:D149"/>
    <mergeCell ref="P149:R149"/>
    <mergeCell ref="S149:T149"/>
    <mergeCell ref="AD149:AF149"/>
    <mergeCell ref="AG149:AH149"/>
    <mergeCell ref="AR149:AT149"/>
    <mergeCell ref="AU149:AV149"/>
    <mergeCell ref="BF149:BH149"/>
    <mergeCell ref="X209:Y209"/>
    <mergeCell ref="AL209:AM209"/>
    <mergeCell ref="AZ209:BA209"/>
    <mergeCell ref="BN209:BO209"/>
    <mergeCell ref="CB209:CC209"/>
    <mergeCell ref="G210:H210"/>
    <mergeCell ref="X210:Y210"/>
    <mergeCell ref="AL210:AM210"/>
    <mergeCell ref="AZ210:BA210"/>
    <mergeCell ref="BN210:BO210"/>
    <mergeCell ref="CB210:CC210"/>
    <mergeCell ref="A215:B215"/>
    <mergeCell ref="C215:D215"/>
    <mergeCell ref="E215:F215"/>
    <mergeCell ref="A216:B216"/>
    <mergeCell ref="C216:D216"/>
    <mergeCell ref="E216:F216"/>
    <mergeCell ref="P216:Q216"/>
    <mergeCell ref="AD216:AE216"/>
    <mergeCell ref="AR216:AS216"/>
    <mergeCell ref="BF216:BG216"/>
    <mergeCell ref="BT216:BU216"/>
    <mergeCell ref="A217:B217"/>
    <mergeCell ref="P217:Q217"/>
    <mergeCell ref="AD217:AE217"/>
    <mergeCell ref="AR217:AS217"/>
    <mergeCell ref="BF217:BG217"/>
    <mergeCell ref="BT217:BU217"/>
    <mergeCell ref="P218:Q218"/>
    <mergeCell ref="AD218:AE218"/>
    <mergeCell ref="AR218:AS218"/>
    <mergeCell ref="BF218:BG218"/>
    <mergeCell ref="BT218:BU218"/>
    <mergeCell ref="CB220:CC220"/>
    <mergeCell ref="P219:Q219"/>
    <mergeCell ref="AD219:AE219"/>
    <mergeCell ref="AR219:AS219"/>
    <mergeCell ref="BF219:BG219"/>
    <mergeCell ref="BT219:BU219"/>
    <mergeCell ref="X220:Y220"/>
    <mergeCell ref="AL220:AM220"/>
    <mergeCell ref="AZ220:BA220"/>
    <mergeCell ref="BN220:BO220"/>
    <mergeCell ref="A75:B75"/>
    <mergeCell ref="C75:D75"/>
    <mergeCell ref="P75:R75"/>
    <mergeCell ref="S75:T75"/>
    <mergeCell ref="AD75:AF75"/>
    <mergeCell ref="AG75:AH75"/>
    <mergeCell ref="AR75:AT75"/>
    <mergeCell ref="AU75:AV75"/>
    <mergeCell ref="BF75:BH75"/>
    <mergeCell ref="BI75:BJ75"/>
    <mergeCell ref="BT75:BV75"/>
    <mergeCell ref="BW75:BX75"/>
    <mergeCell ref="X133:Y133"/>
    <mergeCell ref="AL133:AM133"/>
    <mergeCell ref="AZ133:BA133"/>
    <mergeCell ref="BN133:BO133"/>
    <mergeCell ref="CB133:CC133"/>
    <mergeCell ref="X134:Y134"/>
    <mergeCell ref="AL134:AM134"/>
    <mergeCell ref="AZ134:BA134"/>
    <mergeCell ref="BN134:BO134"/>
    <mergeCell ref="CB134:CC134"/>
    <mergeCell ref="X135:Y135"/>
    <mergeCell ref="AL135:AM135"/>
    <mergeCell ref="AZ135:BA135"/>
    <mergeCell ref="BN135:BO135"/>
    <mergeCell ref="CB135:CC135"/>
    <mergeCell ref="G136:H136"/>
    <mergeCell ref="X136:Y136"/>
    <mergeCell ref="AL136:AM136"/>
    <mergeCell ref="AZ136:BA136"/>
    <mergeCell ref="BN136:BO136"/>
    <mergeCell ref="CB136:CC136"/>
    <mergeCell ref="A141:B141"/>
    <mergeCell ref="C141:D141"/>
    <mergeCell ref="E141:F141"/>
    <mergeCell ref="A142:B142"/>
    <mergeCell ref="C142:D142"/>
    <mergeCell ref="E142:F142"/>
    <mergeCell ref="P142:Q142"/>
    <mergeCell ref="AD142:AE142"/>
    <mergeCell ref="AR142:AS142"/>
    <mergeCell ref="BF142:BG142"/>
    <mergeCell ref="BT142:BU142"/>
    <mergeCell ref="A143:B143"/>
    <mergeCell ref="P143:Q143"/>
    <mergeCell ref="AD143:AE143"/>
    <mergeCell ref="AR143:AS143"/>
    <mergeCell ref="BF143:BG143"/>
    <mergeCell ref="BT143:BU143"/>
    <mergeCell ref="P144:Q144"/>
    <mergeCell ref="AD144:AE144"/>
    <mergeCell ref="AR144:AS144"/>
    <mergeCell ref="BF144:BG144"/>
    <mergeCell ref="BT144:BU144"/>
    <mergeCell ref="CB146:CC146"/>
    <mergeCell ref="P145:Q145"/>
    <mergeCell ref="AD145:AE145"/>
    <mergeCell ref="AR145:AS145"/>
    <mergeCell ref="BF145:BG145"/>
    <mergeCell ref="BT145:BU145"/>
    <mergeCell ref="X146:Y146"/>
    <mergeCell ref="AL146:AM146"/>
    <mergeCell ref="AZ146:BA146"/>
    <mergeCell ref="BN146:BO146"/>
    <mergeCell ref="A1:B1"/>
    <mergeCell ref="C1:D1"/>
    <mergeCell ref="P1:R1"/>
    <mergeCell ref="S1:T1"/>
    <mergeCell ref="AD1:AF1"/>
    <mergeCell ref="AG1:AH1"/>
    <mergeCell ref="AR1:AT1"/>
    <mergeCell ref="AU1:AV1"/>
    <mergeCell ref="BF1:BH1"/>
    <mergeCell ref="BI1:BJ1"/>
    <mergeCell ref="BT1:BV1"/>
    <mergeCell ref="BW1:BX1"/>
    <mergeCell ref="X59:Y59"/>
    <mergeCell ref="AL59:AM59"/>
    <mergeCell ref="AZ59:BA59"/>
    <mergeCell ref="BN59:BO59"/>
    <mergeCell ref="CB59:CC59"/>
    <mergeCell ref="X60:Y60"/>
    <mergeCell ref="AL60:AM60"/>
    <mergeCell ref="AZ60:BA60"/>
    <mergeCell ref="BN60:BO60"/>
    <mergeCell ref="CB60:CC60"/>
    <mergeCell ref="X61:Y61"/>
    <mergeCell ref="AL61:AM61"/>
    <mergeCell ref="AZ61:BA61"/>
    <mergeCell ref="BN61:BO61"/>
    <mergeCell ref="CB61:CC61"/>
    <mergeCell ref="G62:H62"/>
    <mergeCell ref="X62:Y62"/>
    <mergeCell ref="AL62:AM62"/>
    <mergeCell ref="AZ62:BA62"/>
    <mergeCell ref="BN62:BO62"/>
    <mergeCell ref="CB62:CC62"/>
    <mergeCell ref="A67:B67"/>
    <mergeCell ref="C67:D67"/>
    <mergeCell ref="E67:F67"/>
    <mergeCell ref="A68:B68"/>
    <mergeCell ref="C68:D68"/>
    <mergeCell ref="E68:F68"/>
    <mergeCell ref="P68:Q68"/>
    <mergeCell ref="AD68:AE68"/>
    <mergeCell ref="AR68:AS68"/>
    <mergeCell ref="BF68:BG68"/>
    <mergeCell ref="BT68:BU68"/>
    <mergeCell ref="A69:B69"/>
    <mergeCell ref="P69:Q69"/>
    <mergeCell ref="AD69:AE69"/>
    <mergeCell ref="AR69:AS69"/>
    <mergeCell ref="BF69:BG69"/>
    <mergeCell ref="BT69:BU69"/>
    <mergeCell ref="P70:Q70"/>
    <mergeCell ref="AD70:AE70"/>
    <mergeCell ref="AR70:AS70"/>
    <mergeCell ref="BF70:BG70"/>
    <mergeCell ref="BT70:BU70"/>
    <mergeCell ref="CB72:CC72"/>
    <mergeCell ref="P71:Q71"/>
    <mergeCell ref="AD71:AE71"/>
    <mergeCell ref="AR71:AS71"/>
    <mergeCell ref="BF71:BG71"/>
    <mergeCell ref="BT71:BU71"/>
    <mergeCell ref="X72:Y72"/>
    <mergeCell ref="AL72:AM72"/>
    <mergeCell ref="AZ72:BA72"/>
    <mergeCell ref="BN72:BO72"/>
  </mergeCells>
  <phoneticPr fontId="15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那珂川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</dc:creator>
  <cp:lastModifiedBy>浩一 坂本</cp:lastModifiedBy>
  <dcterms:created xsi:type="dcterms:W3CDTF">2022-10-04T13:26:53Z</dcterms:created>
  <dcterms:modified xsi:type="dcterms:W3CDTF">2026-05-26T10:43:33Z</dcterms:modified>
</cp:coreProperties>
</file>