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2"/>
  <workbookPr/>
  <mc:AlternateContent xmlns:mc="http://schemas.openxmlformats.org/markup-compatibility/2006">
    <mc:Choice Requires="x15">
      <x15ac:absPath xmlns:x15ac="http://schemas.microsoft.com/office/spreadsheetml/2010/11/ac" url="https://d.docs.live.net/178259F96168B61B/"/>
    </mc:Choice>
  </mc:AlternateContent>
  <xr:revisionPtr revIDLastSave="564" documentId="8_{C3DEFFCD-DE50-4120-BED4-6D56C9E2A7C7}" xr6:coauthVersionLast="47" xr6:coauthVersionMax="47" xr10:uidLastSave="{7BEED407-A90C-3A45-9339-773E4F29F2B2}"/>
  <bookViews>
    <workbookView xWindow="-120" yWindow="-120" windowWidth="20730" windowHeight="11040" xr2:uid="{00000000-000D-0000-FFFF-FFFF00000000}"/>
  </bookViews>
  <sheets>
    <sheet name="福江" sheetId="7" r:id="rId1"/>
  </sheets>
  <definedNames>
    <definedName name="_xlnm._FilterDatabase" localSheetId="0" hidden="1">福江!#REF!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Irfriggjus1pDGF4Grs3sfODI8XHJh2XK5p5oL0a+bU="/>
    </ext>
  </extLst>
</workbook>
</file>

<file path=xl/calcChain.xml><?xml version="1.0" encoding="utf-8"?>
<calcChain xmlns="http://schemas.openxmlformats.org/spreadsheetml/2006/main">
  <c r="A64" i="7" l="1"/>
  <c r="DZ8" i="7"/>
  <c r="F72" i="7"/>
  <c r="H7" i="7"/>
  <c r="L7" i="7"/>
  <c r="H8" i="7"/>
  <c r="L8" i="7"/>
  <c r="H9" i="7"/>
  <c r="L9" i="7"/>
  <c r="H10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9" i="7"/>
  <c r="V7" i="7"/>
  <c r="Z7" i="7"/>
  <c r="V8" i="7"/>
  <c r="Z8" i="7"/>
  <c r="V9" i="7"/>
  <c r="Z9" i="7"/>
  <c r="V10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9" i="7"/>
  <c r="AX7" i="7"/>
  <c r="BB7" i="7"/>
  <c r="AX8" i="7"/>
  <c r="BB8" i="7"/>
  <c r="AX9" i="7"/>
  <c r="BB9" i="7"/>
  <c r="AX10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BB35" i="7"/>
  <c r="BB36" i="7"/>
  <c r="BB37" i="7"/>
  <c r="BB38" i="7"/>
  <c r="BB39" i="7"/>
  <c r="BB40" i="7"/>
  <c r="BB41" i="7"/>
  <c r="BB42" i="7"/>
  <c r="BB43" i="7"/>
  <c r="BB44" i="7"/>
  <c r="BB45" i="7"/>
  <c r="BB46" i="7"/>
  <c r="BB47" i="7"/>
  <c r="BB48" i="7"/>
  <c r="BB49" i="7"/>
  <c r="BB50" i="7"/>
  <c r="BB51" i="7"/>
  <c r="BB52" i="7"/>
  <c r="BB53" i="7"/>
  <c r="BB54" i="7"/>
  <c r="BB55" i="7"/>
  <c r="BB59" i="7"/>
  <c r="CN7" i="7"/>
  <c r="CR7" i="7"/>
  <c r="CN8" i="7"/>
  <c r="CR8" i="7"/>
  <c r="CN9" i="7"/>
  <c r="CR9" i="7"/>
  <c r="CN10" i="7"/>
  <c r="CR10" i="7"/>
  <c r="CR11" i="7"/>
  <c r="CR12" i="7"/>
  <c r="CR13" i="7"/>
  <c r="CR14" i="7"/>
  <c r="CR15" i="7"/>
  <c r="CR16" i="7"/>
  <c r="CR17" i="7"/>
  <c r="CR18" i="7"/>
  <c r="CR19" i="7"/>
  <c r="CR20" i="7"/>
  <c r="CR21" i="7"/>
  <c r="CR22" i="7"/>
  <c r="CR23" i="7"/>
  <c r="CR24" i="7"/>
  <c r="CR25" i="7"/>
  <c r="CR26" i="7"/>
  <c r="CR27" i="7"/>
  <c r="CR28" i="7"/>
  <c r="CR29" i="7"/>
  <c r="CR30" i="7"/>
  <c r="CR31" i="7"/>
  <c r="CR32" i="7"/>
  <c r="CR33" i="7"/>
  <c r="CR34" i="7"/>
  <c r="CR35" i="7"/>
  <c r="CR36" i="7"/>
  <c r="CR37" i="7"/>
  <c r="CR38" i="7"/>
  <c r="CR39" i="7"/>
  <c r="CR40" i="7"/>
  <c r="CR41" i="7"/>
  <c r="CR42" i="7"/>
  <c r="CR43" i="7"/>
  <c r="CR44" i="7"/>
  <c r="CR45" i="7"/>
  <c r="CR46" i="7"/>
  <c r="CR47" i="7"/>
  <c r="CR48" i="7"/>
  <c r="CR49" i="7"/>
  <c r="CR50" i="7"/>
  <c r="CR51" i="7"/>
  <c r="CR52" i="7"/>
  <c r="CR53" i="7"/>
  <c r="CR54" i="7"/>
  <c r="CR55" i="7"/>
  <c r="CR59" i="7"/>
  <c r="DB7" i="7"/>
  <c r="DF7" i="7"/>
  <c r="DB8" i="7"/>
  <c r="DF8" i="7"/>
  <c r="DB9" i="7"/>
  <c r="DF9" i="7"/>
  <c r="DB10" i="7"/>
  <c r="DF10" i="7"/>
  <c r="DF11" i="7"/>
  <c r="DF12" i="7"/>
  <c r="DF13" i="7"/>
  <c r="DF14" i="7"/>
  <c r="DF15" i="7"/>
  <c r="DF16" i="7"/>
  <c r="DF17" i="7"/>
  <c r="DF18" i="7"/>
  <c r="DF19" i="7"/>
  <c r="DF20" i="7"/>
  <c r="DF21" i="7"/>
  <c r="DF22" i="7"/>
  <c r="DF23" i="7"/>
  <c r="DF24" i="7"/>
  <c r="DF25" i="7"/>
  <c r="DF26" i="7"/>
  <c r="DF27" i="7"/>
  <c r="DF28" i="7"/>
  <c r="DF29" i="7"/>
  <c r="DF30" i="7"/>
  <c r="DF31" i="7"/>
  <c r="DF32" i="7"/>
  <c r="DF33" i="7"/>
  <c r="DF34" i="7"/>
  <c r="DF35" i="7"/>
  <c r="DF36" i="7"/>
  <c r="DF37" i="7"/>
  <c r="DF38" i="7"/>
  <c r="DF39" i="7"/>
  <c r="DF40" i="7"/>
  <c r="DF41" i="7"/>
  <c r="DF42" i="7"/>
  <c r="DF43" i="7"/>
  <c r="DF44" i="7"/>
  <c r="DF45" i="7"/>
  <c r="DF46" i="7"/>
  <c r="DF47" i="7"/>
  <c r="DF48" i="7"/>
  <c r="DF49" i="7"/>
  <c r="DF50" i="7"/>
  <c r="DF51" i="7"/>
  <c r="DF52" i="7"/>
  <c r="DF53" i="7"/>
  <c r="DF54" i="7"/>
  <c r="DF55" i="7"/>
  <c r="DF59" i="7"/>
  <c r="DP7" i="7"/>
  <c r="DT7" i="7"/>
  <c r="DP8" i="7"/>
  <c r="DT8" i="7"/>
  <c r="DT9" i="7"/>
  <c r="DT10" i="7"/>
  <c r="DT11" i="7"/>
  <c r="DT12" i="7"/>
  <c r="DT13" i="7"/>
  <c r="DT14" i="7"/>
  <c r="DT15" i="7"/>
  <c r="DT16" i="7"/>
  <c r="DT17" i="7"/>
  <c r="DT18" i="7"/>
  <c r="DT19" i="7"/>
  <c r="DT20" i="7"/>
  <c r="DT21" i="7"/>
  <c r="DT22" i="7"/>
  <c r="DT23" i="7"/>
  <c r="DT24" i="7"/>
  <c r="DT25" i="7"/>
  <c r="DT26" i="7"/>
  <c r="DT27" i="7"/>
  <c r="DT28" i="7"/>
  <c r="DT29" i="7"/>
  <c r="DT30" i="7"/>
  <c r="DT31" i="7"/>
  <c r="DT32" i="7"/>
  <c r="DT33" i="7"/>
  <c r="DT34" i="7"/>
  <c r="DT35" i="7"/>
  <c r="DT36" i="7"/>
  <c r="DT37" i="7"/>
  <c r="DT38" i="7"/>
  <c r="DT39" i="7"/>
  <c r="DT40" i="7"/>
  <c r="DT41" i="7"/>
  <c r="DT42" i="7"/>
  <c r="DT43" i="7"/>
  <c r="DT44" i="7"/>
  <c r="DT45" i="7"/>
  <c r="DT46" i="7"/>
  <c r="DT47" i="7"/>
  <c r="DT48" i="7"/>
  <c r="DT51" i="7"/>
  <c r="DT52" i="7"/>
  <c r="DT55" i="7"/>
  <c r="DT59" i="7"/>
  <c r="ED7" i="7"/>
  <c r="EH7" i="7"/>
  <c r="ED8" i="7"/>
  <c r="EH8" i="7"/>
  <c r="EH9" i="7"/>
  <c r="EH10" i="7"/>
  <c r="EH11" i="7"/>
  <c r="EH12" i="7"/>
  <c r="EH13" i="7"/>
  <c r="EH14" i="7"/>
  <c r="EH15" i="7"/>
  <c r="EH16" i="7"/>
  <c r="EH17" i="7"/>
  <c r="EH18" i="7"/>
  <c r="EH19" i="7"/>
  <c r="EH20" i="7"/>
  <c r="EH21" i="7"/>
  <c r="EH22" i="7"/>
  <c r="EH23" i="7"/>
  <c r="EH24" i="7"/>
  <c r="EH25" i="7"/>
  <c r="EH26" i="7"/>
  <c r="EH27" i="7"/>
  <c r="EH28" i="7"/>
  <c r="EH29" i="7"/>
  <c r="EH30" i="7"/>
  <c r="EH31" i="7"/>
  <c r="EH32" i="7"/>
  <c r="EH33" i="7"/>
  <c r="EH34" i="7"/>
  <c r="EH35" i="7"/>
  <c r="EH36" i="7"/>
  <c r="EH37" i="7"/>
  <c r="EH38" i="7"/>
  <c r="EH39" i="7"/>
  <c r="EH40" i="7"/>
  <c r="EH41" i="7"/>
  <c r="EH42" i="7"/>
  <c r="EH43" i="7"/>
  <c r="EH44" i="7"/>
  <c r="EH45" i="7"/>
  <c r="EH46" i="7"/>
  <c r="EH47" i="7"/>
  <c r="EH48" i="7"/>
  <c r="EH51" i="7"/>
  <c r="EH52" i="7"/>
  <c r="EH55" i="7"/>
  <c r="EH59" i="7"/>
  <c r="EU4" i="7"/>
  <c r="ER4" i="7"/>
  <c r="EV4" i="7"/>
  <c r="EU5" i="7"/>
  <c r="EV5" i="7"/>
  <c r="EU6" i="7"/>
  <c r="EV6" i="7"/>
  <c r="EU7" i="7"/>
  <c r="EV7" i="7"/>
  <c r="EU8" i="7"/>
  <c r="EV8" i="7"/>
  <c r="EU9" i="7"/>
  <c r="EV9" i="7"/>
  <c r="EU10" i="7"/>
  <c r="EV10" i="7"/>
  <c r="EU11" i="7"/>
  <c r="EV11" i="7"/>
  <c r="EU12" i="7"/>
  <c r="EV12" i="7"/>
  <c r="EU13" i="7"/>
  <c r="EV13" i="7"/>
  <c r="EU14" i="7"/>
  <c r="EV14" i="7"/>
  <c r="EU15" i="7"/>
  <c r="EV15" i="7"/>
  <c r="EU16" i="7"/>
  <c r="EV16" i="7"/>
  <c r="EU18" i="7"/>
  <c r="EV18" i="7"/>
  <c r="EU19" i="7"/>
  <c r="EV19" i="7"/>
  <c r="EU20" i="7"/>
  <c r="EV20" i="7"/>
  <c r="EU21" i="7"/>
  <c r="EV21" i="7"/>
  <c r="EU22" i="7"/>
  <c r="EV22" i="7"/>
  <c r="EU23" i="7"/>
  <c r="EV23" i="7"/>
  <c r="EV24" i="7"/>
  <c r="EV25" i="7"/>
  <c r="EV26" i="7"/>
  <c r="EV27" i="7"/>
  <c r="EV28" i="7"/>
  <c r="EV29" i="7"/>
  <c r="EV30" i="7"/>
  <c r="EV31" i="7"/>
  <c r="EV32" i="7"/>
  <c r="EV33" i="7"/>
  <c r="EV34" i="7"/>
  <c r="EV35" i="7"/>
  <c r="EV36" i="7"/>
  <c r="EV37" i="7"/>
  <c r="EV38" i="7"/>
  <c r="EV39" i="7"/>
  <c r="EV40" i="7"/>
  <c r="EV41" i="7"/>
  <c r="EV42" i="7"/>
  <c r="EV43" i="7"/>
  <c r="EV44" i="7"/>
  <c r="EV45" i="7"/>
  <c r="EV46" i="7"/>
  <c r="EV47" i="7"/>
  <c r="EV48" i="7"/>
  <c r="EV49" i="7"/>
  <c r="EV50" i="7"/>
  <c r="EV52" i="7"/>
  <c r="EV53" i="7"/>
  <c r="EV54" i="7"/>
  <c r="EV55" i="7"/>
  <c r="ER61" i="7"/>
  <c r="FI4" i="7"/>
  <c r="FF4" i="7"/>
  <c r="FJ4" i="7"/>
  <c r="FI5" i="7"/>
  <c r="FJ5" i="7"/>
  <c r="FI6" i="7"/>
  <c r="FJ6" i="7"/>
  <c r="FI7" i="7"/>
  <c r="FJ7" i="7"/>
  <c r="FI8" i="7"/>
  <c r="FJ8" i="7"/>
  <c r="FI9" i="7"/>
  <c r="FJ9" i="7"/>
  <c r="FI10" i="7"/>
  <c r="FJ10" i="7"/>
  <c r="FI11" i="7"/>
  <c r="FJ11" i="7"/>
  <c r="FI12" i="7"/>
  <c r="FJ12" i="7"/>
  <c r="FI13" i="7"/>
  <c r="FJ13" i="7"/>
  <c r="FI14" i="7"/>
  <c r="FJ14" i="7"/>
  <c r="FI15" i="7"/>
  <c r="FJ15" i="7"/>
  <c r="FI16" i="7"/>
  <c r="FJ16" i="7"/>
  <c r="FI18" i="7"/>
  <c r="FJ18" i="7"/>
  <c r="FI19" i="7"/>
  <c r="FJ19" i="7"/>
  <c r="FI20" i="7"/>
  <c r="FJ20" i="7"/>
  <c r="FI21" i="7"/>
  <c r="FJ21" i="7"/>
  <c r="FI22" i="7"/>
  <c r="FJ22" i="7"/>
  <c r="FI23" i="7"/>
  <c r="FJ23" i="7"/>
  <c r="FJ24" i="7"/>
  <c r="FJ25" i="7"/>
  <c r="FJ26" i="7"/>
  <c r="FJ27" i="7"/>
  <c r="FJ28" i="7"/>
  <c r="FJ29" i="7"/>
  <c r="FJ30" i="7"/>
  <c r="FJ31" i="7"/>
  <c r="FJ32" i="7"/>
  <c r="FJ33" i="7"/>
  <c r="FJ34" i="7"/>
  <c r="FJ35" i="7"/>
  <c r="FJ36" i="7"/>
  <c r="FJ37" i="7"/>
  <c r="FJ38" i="7"/>
  <c r="FJ39" i="7"/>
  <c r="FJ40" i="7"/>
  <c r="FJ41" i="7"/>
  <c r="FJ42" i="7"/>
  <c r="FJ43" i="7"/>
  <c r="FJ44" i="7"/>
  <c r="FJ45" i="7"/>
  <c r="FJ46" i="7"/>
  <c r="FJ47" i="7"/>
  <c r="FJ48" i="7"/>
  <c r="FJ49" i="7"/>
  <c r="FJ50" i="7"/>
  <c r="FJ52" i="7"/>
  <c r="FJ53" i="7"/>
  <c r="FJ54" i="7"/>
  <c r="FJ55" i="7"/>
  <c r="FF61" i="7"/>
  <c r="FW4" i="7"/>
  <c r="FT4" i="7"/>
  <c r="FX4" i="7"/>
  <c r="FW5" i="7"/>
  <c r="FX5" i="7"/>
  <c r="FW6" i="7"/>
  <c r="FX6" i="7"/>
  <c r="FW7" i="7"/>
  <c r="FX7" i="7"/>
  <c r="FW8" i="7"/>
  <c r="FX8" i="7"/>
  <c r="FW9" i="7"/>
  <c r="FX9" i="7"/>
  <c r="FW10" i="7"/>
  <c r="FX10" i="7"/>
  <c r="FW11" i="7"/>
  <c r="FX11" i="7"/>
  <c r="FW12" i="7"/>
  <c r="FX12" i="7"/>
  <c r="FW13" i="7"/>
  <c r="FX13" i="7"/>
  <c r="FW14" i="7"/>
  <c r="FX14" i="7"/>
  <c r="FW15" i="7"/>
  <c r="FX15" i="7"/>
  <c r="FW16" i="7"/>
  <c r="FX16" i="7"/>
  <c r="FW18" i="7"/>
  <c r="FX18" i="7"/>
  <c r="FW19" i="7"/>
  <c r="FX19" i="7"/>
  <c r="FW20" i="7"/>
  <c r="FX20" i="7"/>
  <c r="FW21" i="7"/>
  <c r="FX21" i="7"/>
  <c r="FW22" i="7"/>
  <c r="FX22" i="7"/>
  <c r="FW23" i="7"/>
  <c r="FX23" i="7"/>
  <c r="FX24" i="7"/>
  <c r="FX25" i="7"/>
  <c r="FX26" i="7"/>
  <c r="FX27" i="7"/>
  <c r="FX28" i="7"/>
  <c r="FX29" i="7"/>
  <c r="FX30" i="7"/>
  <c r="FX31" i="7"/>
  <c r="FX32" i="7"/>
  <c r="FX33" i="7"/>
  <c r="FX34" i="7"/>
  <c r="FX35" i="7"/>
  <c r="FX36" i="7"/>
  <c r="FX37" i="7"/>
  <c r="FX38" i="7"/>
  <c r="FX39" i="7"/>
  <c r="FX40" i="7"/>
  <c r="FX41" i="7"/>
  <c r="FX42" i="7"/>
  <c r="FX43" i="7"/>
  <c r="FX44" i="7"/>
  <c r="FX45" i="7"/>
  <c r="FX46" i="7"/>
  <c r="FX47" i="7"/>
  <c r="FX48" i="7"/>
  <c r="FX49" i="7"/>
  <c r="FX50" i="7"/>
  <c r="FX52" i="7"/>
  <c r="FX53" i="7"/>
  <c r="FX54" i="7"/>
  <c r="FX55" i="7"/>
  <c r="FT61" i="7"/>
  <c r="GK4" i="7"/>
  <c r="GH4" i="7"/>
  <c r="GL4" i="7"/>
  <c r="GK5" i="7"/>
  <c r="GL5" i="7"/>
  <c r="GK6" i="7"/>
  <c r="GL6" i="7"/>
  <c r="GK7" i="7"/>
  <c r="GL7" i="7"/>
  <c r="GK8" i="7"/>
  <c r="GL8" i="7"/>
  <c r="GK9" i="7"/>
  <c r="GL9" i="7"/>
  <c r="GK10" i="7"/>
  <c r="GL10" i="7"/>
  <c r="GK11" i="7"/>
  <c r="GL11" i="7"/>
  <c r="GK12" i="7"/>
  <c r="GL12" i="7"/>
  <c r="GK13" i="7"/>
  <c r="GL13" i="7"/>
  <c r="GK14" i="7"/>
  <c r="GL14" i="7"/>
  <c r="GK15" i="7"/>
  <c r="GL15" i="7"/>
  <c r="GK16" i="7"/>
  <c r="GL16" i="7"/>
  <c r="GK18" i="7"/>
  <c r="GL18" i="7"/>
  <c r="GK19" i="7"/>
  <c r="GL19" i="7"/>
  <c r="GK20" i="7"/>
  <c r="GL20" i="7"/>
  <c r="GK21" i="7"/>
  <c r="GL21" i="7"/>
  <c r="GK22" i="7"/>
  <c r="GL22" i="7"/>
  <c r="GK23" i="7"/>
  <c r="GL23" i="7"/>
  <c r="GL24" i="7"/>
  <c r="GL25" i="7"/>
  <c r="GL26" i="7"/>
  <c r="GL27" i="7"/>
  <c r="GL28" i="7"/>
  <c r="GL29" i="7"/>
  <c r="GL30" i="7"/>
  <c r="GL31" i="7"/>
  <c r="GL32" i="7"/>
  <c r="GL33" i="7"/>
  <c r="GL34" i="7"/>
  <c r="GL35" i="7"/>
  <c r="GL36" i="7"/>
  <c r="GL37" i="7"/>
  <c r="GL38" i="7"/>
  <c r="GL39" i="7"/>
  <c r="GL40" i="7"/>
  <c r="GL41" i="7"/>
  <c r="GL42" i="7"/>
  <c r="GL43" i="7"/>
  <c r="GL44" i="7"/>
  <c r="GL45" i="7"/>
  <c r="GL46" i="7"/>
  <c r="GL47" i="7"/>
  <c r="GL48" i="7"/>
  <c r="GL49" i="7"/>
  <c r="GL50" i="7"/>
  <c r="GL52" i="7"/>
  <c r="GL53" i="7"/>
  <c r="GL54" i="7"/>
  <c r="GL55" i="7"/>
  <c r="GH61" i="7"/>
  <c r="BL7" i="7"/>
  <c r="BP7" i="7"/>
  <c r="BL8" i="7"/>
  <c r="BP8" i="7"/>
  <c r="BL9" i="7"/>
  <c r="BP9" i="7"/>
  <c r="BL10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P35" i="7"/>
  <c r="BP36" i="7"/>
  <c r="BP37" i="7"/>
  <c r="BP38" i="7"/>
  <c r="BP39" i="7"/>
  <c r="BP40" i="7"/>
  <c r="BP41" i="7"/>
  <c r="BP42" i="7"/>
  <c r="BP43" i="7"/>
  <c r="BP44" i="7"/>
  <c r="BP45" i="7"/>
  <c r="BP46" i="7"/>
  <c r="BP47" i="7"/>
  <c r="BP48" i="7"/>
  <c r="BP49" i="7"/>
  <c r="BP50" i="7"/>
  <c r="BP51" i="7"/>
  <c r="BP52" i="7"/>
  <c r="BP53" i="7"/>
  <c r="BP54" i="7"/>
  <c r="BP55" i="7"/>
  <c r="BP59" i="7"/>
  <c r="BZ7" i="7"/>
  <c r="CD7" i="7"/>
  <c r="BZ8" i="7"/>
  <c r="CD8" i="7"/>
  <c r="BZ9" i="7"/>
  <c r="CD9" i="7"/>
  <c r="BZ10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D35" i="7"/>
  <c r="CD36" i="7"/>
  <c r="CD37" i="7"/>
  <c r="CD38" i="7"/>
  <c r="CD39" i="7"/>
  <c r="CD40" i="7"/>
  <c r="CD41" i="7"/>
  <c r="CD42" i="7"/>
  <c r="CD43" i="7"/>
  <c r="CD44" i="7"/>
  <c r="CD45" i="7"/>
  <c r="CD46" i="7"/>
  <c r="CD47" i="7"/>
  <c r="CD48" i="7"/>
  <c r="CD49" i="7"/>
  <c r="CD50" i="7"/>
  <c r="CD51" i="7"/>
  <c r="CD52" i="7"/>
  <c r="CD53" i="7"/>
  <c r="CD54" i="7"/>
  <c r="CD55" i="7"/>
  <c r="CD59" i="7"/>
  <c r="GY4" i="7"/>
  <c r="GV4" i="7"/>
  <c r="GZ4" i="7"/>
  <c r="GY5" i="7"/>
  <c r="GZ5" i="7"/>
  <c r="GY6" i="7"/>
  <c r="GZ6" i="7"/>
  <c r="GY7" i="7"/>
  <c r="GZ7" i="7"/>
  <c r="GY8" i="7"/>
  <c r="GZ8" i="7"/>
  <c r="GY9" i="7"/>
  <c r="GZ9" i="7"/>
  <c r="GY10" i="7"/>
  <c r="GZ10" i="7"/>
  <c r="GY11" i="7"/>
  <c r="GZ11" i="7"/>
  <c r="GY12" i="7"/>
  <c r="GZ12" i="7"/>
  <c r="GY13" i="7"/>
  <c r="GZ13" i="7"/>
  <c r="GY14" i="7"/>
  <c r="GZ14" i="7"/>
  <c r="GY15" i="7"/>
  <c r="GZ15" i="7"/>
  <c r="GY16" i="7"/>
  <c r="GZ16" i="7"/>
  <c r="GY18" i="7"/>
  <c r="GZ18" i="7"/>
  <c r="GY19" i="7"/>
  <c r="GZ19" i="7"/>
  <c r="GY20" i="7"/>
  <c r="GZ20" i="7"/>
  <c r="GY21" i="7"/>
  <c r="GZ21" i="7"/>
  <c r="GY22" i="7"/>
  <c r="GZ22" i="7"/>
  <c r="GY23" i="7"/>
  <c r="GZ23" i="7"/>
  <c r="GZ24" i="7"/>
  <c r="GZ25" i="7"/>
  <c r="GZ26" i="7"/>
  <c r="GZ27" i="7"/>
  <c r="GZ28" i="7"/>
  <c r="GZ29" i="7"/>
  <c r="GZ30" i="7"/>
  <c r="GZ31" i="7"/>
  <c r="GZ32" i="7"/>
  <c r="GZ33" i="7"/>
  <c r="GZ34" i="7"/>
  <c r="GZ35" i="7"/>
  <c r="GZ36" i="7"/>
  <c r="GZ37" i="7"/>
  <c r="GZ38" i="7"/>
  <c r="GZ39" i="7"/>
  <c r="GZ40" i="7"/>
  <c r="GZ41" i="7"/>
  <c r="GZ42" i="7"/>
  <c r="GZ43" i="7"/>
  <c r="GZ44" i="7"/>
  <c r="GZ45" i="7"/>
  <c r="GZ46" i="7"/>
  <c r="GZ47" i="7"/>
  <c r="GZ48" i="7"/>
  <c r="GZ49" i="7"/>
  <c r="GZ50" i="7"/>
  <c r="GZ52" i="7"/>
  <c r="GZ53" i="7"/>
  <c r="GZ54" i="7"/>
  <c r="GZ55" i="7"/>
  <c r="GV61" i="7"/>
  <c r="AJ7" i="7"/>
  <c r="AN7" i="7"/>
  <c r="AJ8" i="7"/>
  <c r="AN8" i="7"/>
  <c r="AJ9" i="7"/>
  <c r="AN9" i="7"/>
  <c r="AJ10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N35" i="7"/>
  <c r="AN36" i="7"/>
  <c r="AN37" i="7"/>
  <c r="AN38" i="7"/>
  <c r="AN39" i="7"/>
  <c r="AN40" i="7"/>
  <c r="AN41" i="7"/>
  <c r="AN42" i="7"/>
  <c r="AN43" i="7"/>
  <c r="AN44" i="7"/>
  <c r="AN45" i="7"/>
  <c r="AN46" i="7"/>
  <c r="AN47" i="7"/>
  <c r="AN48" i="7"/>
  <c r="AN49" i="7"/>
  <c r="AN50" i="7"/>
  <c r="AN51" i="7"/>
  <c r="AN52" i="7"/>
  <c r="AN53" i="7"/>
  <c r="AN54" i="7"/>
  <c r="AN55" i="7"/>
  <c r="AN59" i="7"/>
  <c r="D72" i="7"/>
  <c r="D7" i="7"/>
  <c r="D8" i="7"/>
  <c r="D9" i="7"/>
  <c r="D10" i="7"/>
  <c r="R7" i="7"/>
  <c r="R8" i="7"/>
  <c r="R9" i="7"/>
  <c r="R10" i="7"/>
  <c r="AF7" i="7"/>
  <c r="AF8" i="7"/>
  <c r="AF9" i="7"/>
  <c r="AF10" i="7"/>
  <c r="BV7" i="7"/>
  <c r="BV8" i="7"/>
  <c r="BV9" i="7"/>
  <c r="BV10" i="7"/>
  <c r="GD4" i="7"/>
  <c r="GR4" i="7"/>
  <c r="EN4" i="7"/>
  <c r="FB4" i="7"/>
  <c r="FP4" i="7"/>
  <c r="HX4" i="7"/>
  <c r="IL4" i="7"/>
  <c r="IZ4" i="7"/>
  <c r="JN4" i="7"/>
  <c r="HF4" i="7"/>
  <c r="HL4" i="7"/>
  <c r="HR4" i="7"/>
  <c r="CJ7" i="7"/>
  <c r="CJ8" i="7"/>
  <c r="CJ9" i="7"/>
  <c r="CJ10" i="7"/>
  <c r="DL7" i="7"/>
  <c r="DL8" i="7"/>
  <c r="B7" i="7"/>
  <c r="D11" i="7"/>
  <c r="D12" i="7"/>
  <c r="D13" i="7"/>
  <c r="D14" i="7"/>
  <c r="R11" i="7"/>
  <c r="R12" i="7"/>
  <c r="R13" i="7"/>
  <c r="R14" i="7"/>
  <c r="AF11" i="7"/>
  <c r="AF12" i="7"/>
  <c r="AF13" i="7"/>
  <c r="AF14" i="7"/>
  <c r="BV11" i="7"/>
  <c r="BV12" i="7"/>
  <c r="BV13" i="7"/>
  <c r="BV14" i="7"/>
  <c r="GD5" i="7"/>
  <c r="GR5" i="7"/>
  <c r="EN5" i="7"/>
  <c r="FB5" i="7"/>
  <c r="FP5" i="7"/>
  <c r="HX5" i="7"/>
  <c r="IL5" i="7"/>
  <c r="IZ5" i="7"/>
  <c r="JN5" i="7"/>
  <c r="HF5" i="7"/>
  <c r="HL5" i="7"/>
  <c r="HR5" i="7"/>
  <c r="CJ11" i="7"/>
  <c r="CJ12" i="7"/>
  <c r="CJ13" i="7"/>
  <c r="CJ14" i="7"/>
  <c r="DL11" i="7"/>
  <c r="DL12" i="7"/>
  <c r="B11" i="7"/>
  <c r="D15" i="7"/>
  <c r="D16" i="7"/>
  <c r="D17" i="7"/>
  <c r="D18" i="7"/>
  <c r="R15" i="7"/>
  <c r="R16" i="7"/>
  <c r="R17" i="7"/>
  <c r="R18" i="7"/>
  <c r="AF15" i="7"/>
  <c r="AF16" i="7"/>
  <c r="AF17" i="7"/>
  <c r="AF18" i="7"/>
  <c r="BV15" i="7"/>
  <c r="BV16" i="7"/>
  <c r="BV17" i="7"/>
  <c r="BV18" i="7"/>
  <c r="GD6" i="7"/>
  <c r="GR6" i="7"/>
  <c r="EN6" i="7"/>
  <c r="FB6" i="7"/>
  <c r="FP6" i="7"/>
  <c r="HX6" i="7"/>
  <c r="IL6" i="7"/>
  <c r="IZ6" i="7"/>
  <c r="JN6" i="7"/>
  <c r="HF6" i="7"/>
  <c r="HL6" i="7"/>
  <c r="HR6" i="7"/>
  <c r="CJ15" i="7"/>
  <c r="CJ16" i="7"/>
  <c r="CJ17" i="7"/>
  <c r="CJ18" i="7"/>
  <c r="DL15" i="7"/>
  <c r="DL16" i="7"/>
  <c r="B15" i="7"/>
  <c r="D19" i="7"/>
  <c r="D20" i="7"/>
  <c r="D21" i="7"/>
  <c r="D22" i="7"/>
  <c r="R19" i="7"/>
  <c r="R20" i="7"/>
  <c r="R21" i="7"/>
  <c r="R22" i="7"/>
  <c r="AF19" i="7"/>
  <c r="AF20" i="7"/>
  <c r="AF21" i="7"/>
  <c r="AF22" i="7"/>
  <c r="BV19" i="7"/>
  <c r="BV20" i="7"/>
  <c r="BV21" i="7"/>
  <c r="BV22" i="7"/>
  <c r="GD7" i="7"/>
  <c r="GR7" i="7"/>
  <c r="EN7" i="7"/>
  <c r="FB7" i="7"/>
  <c r="FP7" i="7"/>
  <c r="HX7" i="7"/>
  <c r="IL7" i="7"/>
  <c r="IZ7" i="7"/>
  <c r="JN7" i="7"/>
  <c r="HF7" i="7"/>
  <c r="HL7" i="7"/>
  <c r="HR7" i="7"/>
  <c r="CJ19" i="7"/>
  <c r="CJ20" i="7"/>
  <c r="CJ21" i="7"/>
  <c r="CJ22" i="7"/>
  <c r="DL19" i="7"/>
  <c r="DL20" i="7"/>
  <c r="B19" i="7"/>
  <c r="D23" i="7"/>
  <c r="D24" i="7"/>
  <c r="D25" i="7"/>
  <c r="D26" i="7"/>
  <c r="R23" i="7"/>
  <c r="R24" i="7"/>
  <c r="R25" i="7"/>
  <c r="R26" i="7"/>
  <c r="AF23" i="7"/>
  <c r="AF24" i="7"/>
  <c r="AF25" i="7"/>
  <c r="AF26" i="7"/>
  <c r="BV23" i="7"/>
  <c r="BV24" i="7"/>
  <c r="BV25" i="7"/>
  <c r="BV26" i="7"/>
  <c r="GD8" i="7"/>
  <c r="GR8" i="7"/>
  <c r="EN8" i="7"/>
  <c r="FB8" i="7"/>
  <c r="FP8" i="7"/>
  <c r="HX8" i="7"/>
  <c r="IL8" i="7"/>
  <c r="IZ8" i="7"/>
  <c r="JN8" i="7"/>
  <c r="HF8" i="7"/>
  <c r="HL8" i="7"/>
  <c r="HR8" i="7"/>
  <c r="CJ23" i="7"/>
  <c r="CJ24" i="7"/>
  <c r="CJ25" i="7"/>
  <c r="CJ26" i="7"/>
  <c r="DL23" i="7"/>
  <c r="DL24" i="7"/>
  <c r="B23" i="7"/>
  <c r="D27" i="7"/>
  <c r="D28" i="7"/>
  <c r="D29" i="7"/>
  <c r="D30" i="7"/>
  <c r="R27" i="7"/>
  <c r="R28" i="7"/>
  <c r="R29" i="7"/>
  <c r="R30" i="7"/>
  <c r="AF27" i="7"/>
  <c r="AF28" i="7"/>
  <c r="AF29" i="7"/>
  <c r="AF30" i="7"/>
  <c r="BV27" i="7"/>
  <c r="BV28" i="7"/>
  <c r="BV29" i="7"/>
  <c r="BV30" i="7"/>
  <c r="GD9" i="7"/>
  <c r="GR9" i="7"/>
  <c r="EN9" i="7"/>
  <c r="FB9" i="7"/>
  <c r="FP9" i="7"/>
  <c r="HX9" i="7"/>
  <c r="IL9" i="7"/>
  <c r="IZ9" i="7"/>
  <c r="JN9" i="7"/>
  <c r="HF9" i="7"/>
  <c r="HL9" i="7"/>
  <c r="HR9" i="7"/>
  <c r="CJ27" i="7"/>
  <c r="CJ28" i="7"/>
  <c r="CJ29" i="7"/>
  <c r="CJ30" i="7"/>
  <c r="DL27" i="7"/>
  <c r="DL28" i="7"/>
  <c r="B27" i="7"/>
  <c r="D31" i="7"/>
  <c r="D32" i="7"/>
  <c r="D33" i="7"/>
  <c r="D34" i="7"/>
  <c r="R31" i="7"/>
  <c r="R32" i="7"/>
  <c r="R33" i="7"/>
  <c r="R34" i="7"/>
  <c r="AF31" i="7"/>
  <c r="AF32" i="7"/>
  <c r="AF33" i="7"/>
  <c r="AF34" i="7"/>
  <c r="BV31" i="7"/>
  <c r="BV32" i="7"/>
  <c r="BV33" i="7"/>
  <c r="BV34" i="7"/>
  <c r="GD10" i="7"/>
  <c r="GR10" i="7"/>
  <c r="EN10" i="7"/>
  <c r="FB10" i="7"/>
  <c r="FP10" i="7"/>
  <c r="HX10" i="7"/>
  <c r="IL10" i="7"/>
  <c r="IZ10" i="7"/>
  <c r="JN10" i="7"/>
  <c r="HF10" i="7"/>
  <c r="HL10" i="7"/>
  <c r="HR10" i="7"/>
  <c r="CJ31" i="7"/>
  <c r="CJ32" i="7"/>
  <c r="CJ33" i="7"/>
  <c r="CJ34" i="7"/>
  <c r="DL31" i="7"/>
  <c r="DL32" i="7"/>
  <c r="B31" i="7"/>
  <c r="D35" i="7"/>
  <c r="D36" i="7"/>
  <c r="D37" i="7"/>
  <c r="D38" i="7"/>
  <c r="R35" i="7"/>
  <c r="R36" i="7"/>
  <c r="R37" i="7"/>
  <c r="R38" i="7"/>
  <c r="AF35" i="7"/>
  <c r="AF36" i="7"/>
  <c r="AF37" i="7"/>
  <c r="AF38" i="7"/>
  <c r="BV35" i="7"/>
  <c r="BV36" i="7"/>
  <c r="BV37" i="7"/>
  <c r="BV38" i="7"/>
  <c r="GD11" i="7"/>
  <c r="GR11" i="7"/>
  <c r="EN11" i="7"/>
  <c r="FB11" i="7"/>
  <c r="FP11" i="7"/>
  <c r="HX11" i="7"/>
  <c r="IL11" i="7"/>
  <c r="IZ11" i="7"/>
  <c r="JN11" i="7"/>
  <c r="HF11" i="7"/>
  <c r="HL11" i="7"/>
  <c r="HR11" i="7"/>
  <c r="CJ35" i="7"/>
  <c r="CJ36" i="7"/>
  <c r="CJ37" i="7"/>
  <c r="CJ38" i="7"/>
  <c r="DL35" i="7"/>
  <c r="DL36" i="7"/>
  <c r="B35" i="7"/>
  <c r="D39" i="7"/>
  <c r="D40" i="7"/>
  <c r="D41" i="7"/>
  <c r="D42" i="7"/>
  <c r="R39" i="7"/>
  <c r="R40" i="7"/>
  <c r="R41" i="7"/>
  <c r="R42" i="7"/>
  <c r="AF39" i="7"/>
  <c r="AF40" i="7"/>
  <c r="AF41" i="7"/>
  <c r="AF42" i="7"/>
  <c r="BV39" i="7"/>
  <c r="BV40" i="7"/>
  <c r="BV41" i="7"/>
  <c r="BV42" i="7"/>
  <c r="GD12" i="7"/>
  <c r="GR12" i="7"/>
  <c r="EN12" i="7"/>
  <c r="FB12" i="7"/>
  <c r="FP12" i="7"/>
  <c r="HX12" i="7"/>
  <c r="IL12" i="7"/>
  <c r="IZ12" i="7"/>
  <c r="JN12" i="7"/>
  <c r="HF12" i="7"/>
  <c r="HL12" i="7"/>
  <c r="HR12" i="7"/>
  <c r="CJ39" i="7"/>
  <c r="CJ40" i="7"/>
  <c r="CJ41" i="7"/>
  <c r="CJ42" i="7"/>
  <c r="DL39" i="7"/>
  <c r="DL40" i="7"/>
  <c r="B39" i="7"/>
  <c r="D43" i="7"/>
  <c r="D44" i="7"/>
  <c r="D45" i="7"/>
  <c r="D46" i="7"/>
  <c r="R43" i="7"/>
  <c r="R44" i="7"/>
  <c r="R45" i="7"/>
  <c r="R46" i="7"/>
  <c r="AF43" i="7"/>
  <c r="AF44" i="7"/>
  <c r="AF45" i="7"/>
  <c r="AF46" i="7"/>
  <c r="BV43" i="7"/>
  <c r="BV44" i="7"/>
  <c r="BV45" i="7"/>
  <c r="BV46" i="7"/>
  <c r="GD13" i="7"/>
  <c r="GR13" i="7"/>
  <c r="EN13" i="7"/>
  <c r="FB13" i="7"/>
  <c r="FP13" i="7"/>
  <c r="HX13" i="7"/>
  <c r="IL13" i="7"/>
  <c r="IZ13" i="7"/>
  <c r="JN13" i="7"/>
  <c r="HF13" i="7"/>
  <c r="HL13" i="7"/>
  <c r="HR13" i="7"/>
  <c r="CJ43" i="7"/>
  <c r="CJ44" i="7"/>
  <c r="CJ45" i="7"/>
  <c r="CJ46" i="7"/>
  <c r="DL43" i="7"/>
  <c r="DL44" i="7"/>
  <c r="B43" i="7"/>
  <c r="D47" i="7"/>
  <c r="D48" i="7"/>
  <c r="D49" i="7"/>
  <c r="D50" i="7"/>
  <c r="R47" i="7"/>
  <c r="R48" i="7"/>
  <c r="R49" i="7"/>
  <c r="R50" i="7"/>
  <c r="AF47" i="7"/>
  <c r="AF48" i="7"/>
  <c r="AF49" i="7"/>
  <c r="AF50" i="7"/>
  <c r="BV47" i="7"/>
  <c r="BV48" i="7"/>
  <c r="BV49" i="7"/>
  <c r="BV50" i="7"/>
  <c r="GD41" i="7"/>
  <c r="EN41" i="7"/>
  <c r="FB41" i="7"/>
  <c r="FP41" i="7"/>
  <c r="HX41" i="7"/>
  <c r="IL41" i="7"/>
  <c r="IZ41" i="7"/>
  <c r="JN41" i="7"/>
  <c r="HF41" i="7"/>
  <c r="HL41" i="7"/>
  <c r="HR41" i="7"/>
  <c r="CJ47" i="7"/>
  <c r="CJ48" i="7"/>
  <c r="DL47" i="7"/>
  <c r="DL48" i="7"/>
  <c r="B47" i="7"/>
  <c r="D51" i="7"/>
  <c r="D52" i="7"/>
  <c r="D53" i="7"/>
  <c r="D54" i="7"/>
  <c r="R51" i="7"/>
  <c r="R52" i="7"/>
  <c r="R53" i="7"/>
  <c r="R54" i="7"/>
  <c r="AF51" i="7"/>
  <c r="AF52" i="7"/>
  <c r="AF53" i="7"/>
  <c r="AF54" i="7"/>
  <c r="BV51" i="7"/>
  <c r="BV52" i="7"/>
  <c r="BV53" i="7"/>
  <c r="BV54" i="7"/>
  <c r="GD45" i="7"/>
  <c r="EN45" i="7"/>
  <c r="FB45" i="7"/>
  <c r="FP45" i="7"/>
  <c r="HX45" i="7"/>
  <c r="IL45" i="7"/>
  <c r="IZ45" i="7"/>
  <c r="JN45" i="7"/>
  <c r="HF45" i="7"/>
  <c r="HL45" i="7"/>
  <c r="HR45" i="7"/>
  <c r="CJ51" i="7"/>
  <c r="CJ52" i="7"/>
  <c r="DL51" i="7"/>
  <c r="DL52" i="7"/>
  <c r="B51" i="7"/>
  <c r="D55" i="7"/>
  <c r="D56" i="7"/>
  <c r="D57" i="7"/>
  <c r="D58" i="7"/>
  <c r="R55" i="7"/>
  <c r="R56" i="7"/>
  <c r="R57" i="7"/>
  <c r="R58" i="7"/>
  <c r="AF55" i="7"/>
  <c r="AF56" i="7"/>
  <c r="AF57" i="7"/>
  <c r="AF58" i="7"/>
  <c r="BV55" i="7"/>
  <c r="BV56" i="7"/>
  <c r="BV57" i="7"/>
  <c r="BV58" i="7"/>
  <c r="GD49" i="7"/>
  <c r="EN49" i="7"/>
  <c r="FB49" i="7"/>
  <c r="FP49" i="7"/>
  <c r="HX49" i="7"/>
  <c r="IL49" i="7"/>
  <c r="IZ49" i="7"/>
  <c r="JN49" i="7"/>
  <c r="HF49" i="7"/>
  <c r="HL49" i="7"/>
  <c r="HR49" i="7"/>
  <c r="CJ55" i="7"/>
  <c r="CJ56" i="7"/>
  <c r="DL55" i="7"/>
  <c r="DL56" i="7"/>
  <c r="B55" i="7"/>
  <c r="B63" i="7"/>
  <c r="E73" i="7"/>
  <c r="B72" i="7"/>
  <c r="EG68" i="7"/>
  <c r="EF68" i="7"/>
  <c r="EG67" i="7"/>
  <c r="EF67" i="7"/>
  <c r="EG66" i="7"/>
  <c r="EF66" i="7"/>
  <c r="EG65" i="7"/>
  <c r="EF65" i="7"/>
  <c r="DZ62" i="7"/>
  <c r="DZ58" i="7"/>
  <c r="EB57" i="7"/>
  <c r="DZ57" i="7"/>
  <c r="EH56" i="7"/>
  <c r="EG56" i="7"/>
  <c r="EF56" i="7"/>
  <c r="ED56" i="7"/>
  <c r="EI56" i="7"/>
  <c r="EB56" i="7"/>
  <c r="DZ56" i="7"/>
  <c r="EG55" i="7"/>
  <c r="EF55" i="7"/>
  <c r="ED55" i="7"/>
  <c r="EI55" i="7"/>
  <c r="EB55" i="7"/>
  <c r="DZ55" i="7"/>
  <c r="DX55" i="7"/>
  <c r="EB54" i="7"/>
  <c r="DZ54" i="7"/>
  <c r="EB53" i="7"/>
  <c r="DZ53" i="7"/>
  <c r="EG52" i="7"/>
  <c r="EF52" i="7"/>
  <c r="ED52" i="7"/>
  <c r="EI52" i="7"/>
  <c r="EB52" i="7"/>
  <c r="DZ52" i="7"/>
  <c r="EG51" i="7"/>
  <c r="EF51" i="7"/>
  <c r="ED51" i="7"/>
  <c r="EI51" i="7"/>
  <c r="EB51" i="7"/>
  <c r="DZ51" i="7"/>
  <c r="EB50" i="7"/>
  <c r="DZ50" i="7"/>
  <c r="EB49" i="7"/>
  <c r="DZ49" i="7"/>
  <c r="ED48" i="7"/>
  <c r="EI48" i="7"/>
  <c r="EG48" i="7"/>
  <c r="EF48" i="7"/>
  <c r="EB48" i="7"/>
  <c r="DZ48" i="7"/>
  <c r="EG47" i="7"/>
  <c r="EF47" i="7"/>
  <c r="ED47" i="7"/>
  <c r="EI47" i="7"/>
  <c r="EB47" i="7"/>
  <c r="DZ47" i="7"/>
  <c r="DX47" i="7"/>
  <c r="EF46" i="7"/>
  <c r="ED46" i="7"/>
  <c r="EI46" i="7"/>
  <c r="EB46" i="7"/>
  <c r="DZ46" i="7"/>
  <c r="EG46" i="7"/>
  <c r="EF45" i="7"/>
  <c r="ED45" i="7"/>
  <c r="EI45" i="7"/>
  <c r="EB45" i="7"/>
  <c r="DZ45" i="7"/>
  <c r="EG45" i="7"/>
  <c r="EF44" i="7"/>
  <c r="ED44" i="7"/>
  <c r="EI44" i="7"/>
  <c r="EB44" i="7"/>
  <c r="DZ44" i="7"/>
  <c r="EG44" i="7"/>
  <c r="EF43" i="7"/>
  <c r="ED43" i="7"/>
  <c r="EI43" i="7"/>
  <c r="EB43" i="7"/>
  <c r="DZ43" i="7"/>
  <c r="EG43" i="7"/>
  <c r="DX43" i="7"/>
  <c r="EF42" i="7"/>
  <c r="ED42" i="7"/>
  <c r="EI42" i="7"/>
  <c r="EB42" i="7"/>
  <c r="DZ42" i="7"/>
  <c r="EG42" i="7"/>
  <c r="EF41" i="7"/>
  <c r="ED41" i="7"/>
  <c r="EI41" i="7"/>
  <c r="EB41" i="7"/>
  <c r="DZ41" i="7"/>
  <c r="EG41" i="7"/>
  <c r="EF40" i="7"/>
  <c r="ED40" i="7"/>
  <c r="EI40" i="7"/>
  <c r="EB40" i="7"/>
  <c r="DZ40" i="7"/>
  <c r="EG40" i="7"/>
  <c r="EF39" i="7"/>
  <c r="ED39" i="7"/>
  <c r="EI39" i="7"/>
  <c r="EB39" i="7"/>
  <c r="DZ39" i="7"/>
  <c r="EG39" i="7"/>
  <c r="DX39" i="7"/>
  <c r="EF38" i="7"/>
  <c r="ED38" i="7"/>
  <c r="EI38" i="7"/>
  <c r="EB38" i="7"/>
  <c r="DZ38" i="7"/>
  <c r="EG38" i="7"/>
  <c r="EF37" i="7"/>
  <c r="ED37" i="7"/>
  <c r="EI37" i="7"/>
  <c r="EB37" i="7"/>
  <c r="DZ37" i="7"/>
  <c r="EG37" i="7"/>
  <c r="EF36" i="7"/>
  <c r="ED36" i="7"/>
  <c r="EI36" i="7"/>
  <c r="EB36" i="7"/>
  <c r="DZ36" i="7"/>
  <c r="EG36" i="7"/>
  <c r="EF35" i="7"/>
  <c r="ED35" i="7"/>
  <c r="EI35" i="7"/>
  <c r="EB35" i="7"/>
  <c r="DZ35" i="7"/>
  <c r="EG35" i="7"/>
  <c r="DX35" i="7"/>
  <c r="EF34" i="7"/>
  <c r="ED34" i="7"/>
  <c r="EI34" i="7"/>
  <c r="EB34" i="7"/>
  <c r="DZ34" i="7"/>
  <c r="EG34" i="7"/>
  <c r="EF33" i="7"/>
  <c r="ED33" i="7"/>
  <c r="EI33" i="7"/>
  <c r="EB33" i="7"/>
  <c r="DZ33" i="7"/>
  <c r="EG33" i="7"/>
  <c r="EF32" i="7"/>
  <c r="ED32" i="7"/>
  <c r="EI32" i="7"/>
  <c r="EB32" i="7"/>
  <c r="DZ32" i="7"/>
  <c r="EG32" i="7"/>
  <c r="EF31" i="7"/>
  <c r="ED31" i="7"/>
  <c r="EI31" i="7"/>
  <c r="EB31" i="7"/>
  <c r="DZ31" i="7"/>
  <c r="EG31" i="7"/>
  <c r="DX31" i="7"/>
  <c r="EF30" i="7"/>
  <c r="ED30" i="7"/>
  <c r="EI30" i="7"/>
  <c r="EB30" i="7"/>
  <c r="DZ30" i="7"/>
  <c r="EG30" i="7"/>
  <c r="EF29" i="7"/>
  <c r="ED29" i="7"/>
  <c r="EI29" i="7"/>
  <c r="EB29" i="7"/>
  <c r="DZ29" i="7"/>
  <c r="EG29" i="7"/>
  <c r="EF28" i="7"/>
  <c r="ED28" i="7"/>
  <c r="EI28" i="7"/>
  <c r="EB28" i="7"/>
  <c r="DZ28" i="7"/>
  <c r="EG28" i="7"/>
  <c r="DZ27" i="7"/>
  <c r="EG27" i="7"/>
  <c r="EF27" i="7"/>
  <c r="ED27" i="7"/>
  <c r="EI27" i="7"/>
  <c r="EB27" i="7"/>
  <c r="DX27" i="7"/>
  <c r="EF26" i="7"/>
  <c r="ED26" i="7"/>
  <c r="EI26" i="7"/>
  <c r="EB26" i="7"/>
  <c r="DZ26" i="7"/>
  <c r="EG26" i="7"/>
  <c r="DZ25" i="7"/>
  <c r="EG25" i="7"/>
  <c r="EF25" i="7"/>
  <c r="ED25" i="7"/>
  <c r="EI25" i="7"/>
  <c r="EB25" i="7"/>
  <c r="EF24" i="7"/>
  <c r="ED24" i="7"/>
  <c r="EI24" i="7"/>
  <c r="EB24" i="7"/>
  <c r="DZ24" i="7"/>
  <c r="EG24" i="7"/>
  <c r="EF23" i="7"/>
  <c r="ED23" i="7"/>
  <c r="EI23" i="7"/>
  <c r="EB23" i="7"/>
  <c r="DZ23" i="7"/>
  <c r="EG23" i="7"/>
  <c r="DX23" i="7"/>
  <c r="EF22" i="7"/>
  <c r="ED22" i="7"/>
  <c r="EI22" i="7"/>
  <c r="EB22" i="7"/>
  <c r="DZ22" i="7"/>
  <c r="EG22" i="7"/>
  <c r="EF21" i="7"/>
  <c r="ED21" i="7"/>
  <c r="EI21" i="7"/>
  <c r="EB21" i="7"/>
  <c r="DZ21" i="7"/>
  <c r="EG21" i="7"/>
  <c r="EF20" i="7"/>
  <c r="ED20" i="7"/>
  <c r="EI20" i="7"/>
  <c r="EB20" i="7"/>
  <c r="DZ20" i="7"/>
  <c r="EG20" i="7"/>
  <c r="EF19" i="7"/>
  <c r="ED19" i="7"/>
  <c r="EI19" i="7"/>
  <c r="EB19" i="7"/>
  <c r="DZ19" i="7"/>
  <c r="EG19" i="7"/>
  <c r="DX19" i="7"/>
  <c r="EF18" i="7"/>
  <c r="ED18" i="7"/>
  <c r="EI18" i="7"/>
  <c r="EB18" i="7"/>
  <c r="DZ18" i="7"/>
  <c r="EG18" i="7"/>
  <c r="EF17" i="7"/>
  <c r="ED17" i="7"/>
  <c r="EI17" i="7"/>
  <c r="EB17" i="7"/>
  <c r="DZ17" i="7"/>
  <c r="EG17" i="7"/>
  <c r="EF16" i="7"/>
  <c r="ED16" i="7"/>
  <c r="EI16" i="7"/>
  <c r="EB16" i="7"/>
  <c r="DZ16" i="7"/>
  <c r="EG16" i="7"/>
  <c r="EF15" i="7"/>
  <c r="ED15" i="7"/>
  <c r="EI15" i="7"/>
  <c r="EB15" i="7"/>
  <c r="DZ15" i="7"/>
  <c r="EG15" i="7"/>
  <c r="DX15" i="7"/>
  <c r="EF14" i="7"/>
  <c r="ED14" i="7"/>
  <c r="EI14" i="7"/>
  <c r="EB14" i="7"/>
  <c r="DZ14" i="7"/>
  <c r="EG14" i="7"/>
  <c r="EF13" i="7"/>
  <c r="ED13" i="7"/>
  <c r="EI13" i="7"/>
  <c r="EB13" i="7"/>
  <c r="DZ13" i="7"/>
  <c r="EG13" i="7"/>
  <c r="EF12" i="7"/>
  <c r="ED12" i="7"/>
  <c r="EI12" i="7"/>
  <c r="EB12" i="7"/>
  <c r="DZ12" i="7"/>
  <c r="EG12" i="7"/>
  <c r="EF11" i="7"/>
  <c r="ED11" i="7"/>
  <c r="EI11" i="7"/>
  <c r="EB11" i="7"/>
  <c r="DZ11" i="7"/>
  <c r="DX11" i="7"/>
  <c r="EH68" i="7"/>
  <c r="EF10" i="7"/>
  <c r="ED10" i="7"/>
  <c r="EI10" i="7"/>
  <c r="EB10" i="7"/>
  <c r="DZ10" i="7"/>
  <c r="EG10" i="7"/>
  <c r="EF9" i="7"/>
  <c r="ED9" i="7"/>
  <c r="EB9" i="7"/>
  <c r="DZ9" i="7"/>
  <c r="EF8" i="7"/>
  <c r="EI8" i="7"/>
  <c r="EB8" i="7"/>
  <c r="EF7" i="7"/>
  <c r="EI7" i="7"/>
  <c r="EB7" i="7"/>
  <c r="DZ7" i="7"/>
  <c r="EG7" i="7"/>
  <c r="DX7" i="7"/>
  <c r="DE68" i="7"/>
  <c r="DD68" i="7"/>
  <c r="DE67" i="7"/>
  <c r="DD67" i="7"/>
  <c r="DE66" i="7"/>
  <c r="DD66" i="7"/>
  <c r="DE65" i="7"/>
  <c r="DD65" i="7"/>
  <c r="DF58" i="7"/>
  <c r="DD58" i="7"/>
  <c r="DB58" i="7"/>
  <c r="DG58" i="7"/>
  <c r="CZ58" i="7"/>
  <c r="CX58" i="7"/>
  <c r="DE58" i="7"/>
  <c r="DF57" i="7"/>
  <c r="DD57" i="7"/>
  <c r="DB57" i="7"/>
  <c r="DG57" i="7"/>
  <c r="CZ57" i="7"/>
  <c r="CX57" i="7"/>
  <c r="DE57" i="7"/>
  <c r="DF56" i="7"/>
  <c r="DD56" i="7"/>
  <c r="DB56" i="7"/>
  <c r="DG56" i="7"/>
  <c r="CZ56" i="7"/>
  <c r="CX56" i="7"/>
  <c r="DE56" i="7"/>
  <c r="DD55" i="7"/>
  <c r="DB55" i="7"/>
  <c r="DG55" i="7"/>
  <c r="CZ55" i="7"/>
  <c r="CX55" i="7"/>
  <c r="DE55" i="7"/>
  <c r="CV55" i="7"/>
  <c r="DD54" i="7"/>
  <c r="DB54" i="7"/>
  <c r="DG54" i="7"/>
  <c r="CZ54" i="7"/>
  <c r="CX54" i="7"/>
  <c r="DE54" i="7"/>
  <c r="DD53" i="7"/>
  <c r="DB53" i="7"/>
  <c r="DG53" i="7"/>
  <c r="CZ53" i="7"/>
  <c r="CX53" i="7"/>
  <c r="DE53" i="7"/>
  <c r="DD52" i="7"/>
  <c r="DB52" i="7"/>
  <c r="DG52" i="7"/>
  <c r="CZ52" i="7"/>
  <c r="CX52" i="7"/>
  <c r="DE52" i="7"/>
  <c r="DD51" i="7"/>
  <c r="DB51" i="7"/>
  <c r="DG51" i="7"/>
  <c r="CZ51" i="7"/>
  <c r="CX51" i="7"/>
  <c r="DE51" i="7"/>
  <c r="CV51" i="7"/>
  <c r="DD50" i="7"/>
  <c r="DB50" i="7"/>
  <c r="DG50" i="7"/>
  <c r="CZ50" i="7"/>
  <c r="CX50" i="7"/>
  <c r="DE50" i="7"/>
  <c r="DD49" i="7"/>
  <c r="DB49" i="7"/>
  <c r="DG49" i="7"/>
  <c r="CZ49" i="7"/>
  <c r="CX49" i="7"/>
  <c r="DE49" i="7"/>
  <c r="DD48" i="7"/>
  <c r="DB48" i="7"/>
  <c r="DG48" i="7"/>
  <c r="CZ48" i="7"/>
  <c r="CX48" i="7"/>
  <c r="DE48" i="7"/>
  <c r="DD47" i="7"/>
  <c r="DB47" i="7"/>
  <c r="DG47" i="7"/>
  <c r="CZ47" i="7"/>
  <c r="CX47" i="7"/>
  <c r="DE47" i="7"/>
  <c r="CV47" i="7"/>
  <c r="DB46" i="7"/>
  <c r="DG46" i="7"/>
  <c r="DD46" i="7"/>
  <c r="CZ46" i="7"/>
  <c r="CX46" i="7"/>
  <c r="DE46" i="7"/>
  <c r="DD45" i="7"/>
  <c r="DB45" i="7"/>
  <c r="DG45" i="7"/>
  <c r="CZ45" i="7"/>
  <c r="CX45" i="7"/>
  <c r="DE45" i="7"/>
  <c r="DB44" i="7"/>
  <c r="DG44" i="7"/>
  <c r="DD44" i="7"/>
  <c r="CZ44" i="7"/>
  <c r="CX44" i="7"/>
  <c r="DE44" i="7"/>
  <c r="DD43" i="7"/>
  <c r="DB43" i="7"/>
  <c r="DG43" i="7"/>
  <c r="CZ43" i="7"/>
  <c r="CX43" i="7"/>
  <c r="DE43" i="7"/>
  <c r="CV43" i="7"/>
  <c r="DD42" i="7"/>
  <c r="DB42" i="7"/>
  <c r="DG42" i="7"/>
  <c r="CZ42" i="7"/>
  <c r="CX42" i="7"/>
  <c r="DE42" i="7"/>
  <c r="DD41" i="7"/>
  <c r="DB41" i="7"/>
  <c r="DG41" i="7"/>
  <c r="CZ41" i="7"/>
  <c r="CX41" i="7"/>
  <c r="DE41" i="7"/>
  <c r="DD40" i="7"/>
  <c r="DB40" i="7"/>
  <c r="DG40" i="7"/>
  <c r="CZ40" i="7"/>
  <c r="CX40" i="7"/>
  <c r="DE40" i="7"/>
  <c r="DD39" i="7"/>
  <c r="DB39" i="7"/>
  <c r="DG39" i="7"/>
  <c r="CZ39" i="7"/>
  <c r="CX39" i="7"/>
  <c r="DE39" i="7"/>
  <c r="CV39" i="7"/>
  <c r="DD38" i="7"/>
  <c r="DB38" i="7"/>
  <c r="DG38" i="7"/>
  <c r="CZ38" i="7"/>
  <c r="CX38" i="7"/>
  <c r="DE38" i="7"/>
  <c r="DD37" i="7"/>
  <c r="DB37" i="7"/>
  <c r="DG37" i="7"/>
  <c r="CZ37" i="7"/>
  <c r="CX37" i="7"/>
  <c r="DE37" i="7"/>
  <c r="DD36" i="7"/>
  <c r="DB36" i="7"/>
  <c r="DG36" i="7"/>
  <c r="CZ36" i="7"/>
  <c r="CX36" i="7"/>
  <c r="DE36" i="7"/>
  <c r="DD35" i="7"/>
  <c r="DB35" i="7"/>
  <c r="DG35" i="7"/>
  <c r="CZ35" i="7"/>
  <c r="CX35" i="7"/>
  <c r="DE35" i="7"/>
  <c r="CV35" i="7"/>
  <c r="DD34" i="7"/>
  <c r="DB34" i="7"/>
  <c r="DG34" i="7"/>
  <c r="CZ34" i="7"/>
  <c r="CX34" i="7"/>
  <c r="DE34" i="7"/>
  <c r="DD33" i="7"/>
  <c r="DB33" i="7"/>
  <c r="DG33" i="7"/>
  <c r="CZ33" i="7"/>
  <c r="CX33" i="7"/>
  <c r="DE33" i="7"/>
  <c r="DD32" i="7"/>
  <c r="DB32" i="7"/>
  <c r="DG32" i="7"/>
  <c r="CZ32" i="7"/>
  <c r="CX32" i="7"/>
  <c r="DE32" i="7"/>
  <c r="DD31" i="7"/>
  <c r="DB31" i="7"/>
  <c r="DG31" i="7"/>
  <c r="CZ31" i="7"/>
  <c r="CX31" i="7"/>
  <c r="DE31" i="7"/>
  <c r="CV31" i="7"/>
  <c r="DD30" i="7"/>
  <c r="DB30" i="7"/>
  <c r="DG30" i="7"/>
  <c r="CZ30" i="7"/>
  <c r="CX30" i="7"/>
  <c r="DE30" i="7"/>
  <c r="DD29" i="7"/>
  <c r="DB29" i="7"/>
  <c r="DG29" i="7"/>
  <c r="CZ29" i="7"/>
  <c r="CX29" i="7"/>
  <c r="DE29" i="7"/>
  <c r="DD28" i="7"/>
  <c r="DB28" i="7"/>
  <c r="DG28" i="7"/>
  <c r="CZ28" i="7"/>
  <c r="CX28" i="7"/>
  <c r="DE28" i="7"/>
  <c r="DD27" i="7"/>
  <c r="DB27" i="7"/>
  <c r="DG27" i="7"/>
  <c r="CZ27" i="7"/>
  <c r="CX27" i="7"/>
  <c r="DE27" i="7"/>
  <c r="CV27" i="7"/>
  <c r="DD26" i="7"/>
  <c r="DB26" i="7"/>
  <c r="DG26" i="7"/>
  <c r="CZ26" i="7"/>
  <c r="CX26" i="7"/>
  <c r="DE26" i="7"/>
  <c r="DD25" i="7"/>
  <c r="DB25" i="7"/>
  <c r="DG25" i="7"/>
  <c r="CZ25" i="7"/>
  <c r="CX25" i="7"/>
  <c r="DE25" i="7"/>
  <c r="DD24" i="7"/>
  <c r="DB24" i="7"/>
  <c r="DG24" i="7"/>
  <c r="CZ24" i="7"/>
  <c r="CX24" i="7"/>
  <c r="DE24" i="7"/>
  <c r="DD23" i="7"/>
  <c r="DB23" i="7"/>
  <c r="DG23" i="7"/>
  <c r="CZ23" i="7"/>
  <c r="CX23" i="7"/>
  <c r="DE23" i="7"/>
  <c r="CV23" i="7"/>
  <c r="DD22" i="7"/>
  <c r="DB22" i="7"/>
  <c r="DG22" i="7"/>
  <c r="CZ22" i="7"/>
  <c r="CX22" i="7"/>
  <c r="DE22" i="7"/>
  <c r="DD21" i="7"/>
  <c r="DB21" i="7"/>
  <c r="DG21" i="7"/>
  <c r="CZ21" i="7"/>
  <c r="CX21" i="7"/>
  <c r="DE21" i="7"/>
  <c r="DD20" i="7"/>
  <c r="DB20" i="7"/>
  <c r="DG20" i="7"/>
  <c r="CZ20" i="7"/>
  <c r="CX20" i="7"/>
  <c r="DE20" i="7"/>
  <c r="DD19" i="7"/>
  <c r="DB19" i="7"/>
  <c r="DG19" i="7"/>
  <c r="CZ19" i="7"/>
  <c r="CX19" i="7"/>
  <c r="DE19" i="7"/>
  <c r="CV19" i="7"/>
  <c r="DD18" i="7"/>
  <c r="DB18" i="7"/>
  <c r="DG18" i="7"/>
  <c r="CZ18" i="7"/>
  <c r="CX18" i="7"/>
  <c r="DE18" i="7"/>
  <c r="DD17" i="7"/>
  <c r="DB17" i="7"/>
  <c r="DG17" i="7"/>
  <c r="CZ17" i="7"/>
  <c r="CX17" i="7"/>
  <c r="DE17" i="7"/>
  <c r="DD16" i="7"/>
  <c r="DB16" i="7"/>
  <c r="DG16" i="7"/>
  <c r="CZ16" i="7"/>
  <c r="CX16" i="7"/>
  <c r="DE16" i="7"/>
  <c r="DD15" i="7"/>
  <c r="DB15" i="7"/>
  <c r="DG15" i="7"/>
  <c r="CZ15" i="7"/>
  <c r="CX15" i="7"/>
  <c r="DE15" i="7"/>
  <c r="CV15" i="7"/>
  <c r="DD14" i="7"/>
  <c r="DB14" i="7"/>
  <c r="DG14" i="7"/>
  <c r="CZ14" i="7"/>
  <c r="CX14" i="7"/>
  <c r="DE14" i="7"/>
  <c r="CX13" i="7"/>
  <c r="DE13" i="7"/>
  <c r="DD13" i="7"/>
  <c r="DB13" i="7"/>
  <c r="DG13" i="7"/>
  <c r="CZ13" i="7"/>
  <c r="DD12" i="7"/>
  <c r="DB12" i="7"/>
  <c r="DG12" i="7"/>
  <c r="CZ12" i="7"/>
  <c r="CX12" i="7"/>
  <c r="CX11" i="7"/>
  <c r="DE11" i="7"/>
  <c r="DD11" i="7"/>
  <c r="DB11" i="7"/>
  <c r="DG11" i="7"/>
  <c r="CZ11" i="7"/>
  <c r="CV11" i="7"/>
  <c r="DD10" i="7"/>
  <c r="DG10" i="7"/>
  <c r="CZ10" i="7"/>
  <c r="CX10" i="7"/>
  <c r="DE10" i="7"/>
  <c r="DD9" i="7"/>
  <c r="DG9" i="7"/>
  <c r="CZ9" i="7"/>
  <c r="CX9" i="7"/>
  <c r="DD8" i="7"/>
  <c r="DG8" i="7"/>
  <c r="CZ8" i="7"/>
  <c r="CX8" i="7"/>
  <c r="DE8" i="7"/>
  <c r="DD7" i="7"/>
  <c r="CZ7" i="7"/>
  <c r="CX7" i="7"/>
  <c r="CV7" i="7"/>
  <c r="BA68" i="7"/>
  <c r="AZ68" i="7"/>
  <c r="BA67" i="7"/>
  <c r="AZ67" i="7"/>
  <c r="BA66" i="7"/>
  <c r="AZ66" i="7"/>
  <c r="BA65" i="7"/>
  <c r="AZ65" i="7"/>
  <c r="BB58" i="7"/>
  <c r="AZ58" i="7"/>
  <c r="AX58" i="7"/>
  <c r="BC58" i="7"/>
  <c r="AV58" i="7"/>
  <c r="AT58" i="7"/>
  <c r="BA58" i="7"/>
  <c r="BB57" i="7"/>
  <c r="AZ57" i="7"/>
  <c r="AX57" i="7"/>
  <c r="BC57" i="7"/>
  <c r="AV57" i="7"/>
  <c r="AT57" i="7"/>
  <c r="BA57" i="7"/>
  <c r="BB56" i="7"/>
  <c r="AZ56" i="7"/>
  <c r="AX56" i="7"/>
  <c r="BC56" i="7"/>
  <c r="AV56" i="7"/>
  <c r="AT56" i="7"/>
  <c r="BA56" i="7"/>
  <c r="AZ55" i="7"/>
  <c r="AX55" i="7"/>
  <c r="BC55" i="7"/>
  <c r="AV55" i="7"/>
  <c r="AT55" i="7"/>
  <c r="BA55" i="7"/>
  <c r="AR55" i="7"/>
  <c r="AZ54" i="7"/>
  <c r="AX54" i="7"/>
  <c r="BC54" i="7"/>
  <c r="AV54" i="7"/>
  <c r="AT54" i="7"/>
  <c r="BA54" i="7"/>
  <c r="AZ53" i="7"/>
  <c r="AX53" i="7"/>
  <c r="BC53" i="7"/>
  <c r="AV53" i="7"/>
  <c r="AT53" i="7"/>
  <c r="BA53" i="7"/>
  <c r="AZ52" i="7"/>
  <c r="AX52" i="7"/>
  <c r="BC52" i="7"/>
  <c r="AV52" i="7"/>
  <c r="AT52" i="7"/>
  <c r="BA52" i="7"/>
  <c r="AZ51" i="7"/>
  <c r="AX51" i="7"/>
  <c r="BC51" i="7"/>
  <c r="AV51" i="7"/>
  <c r="AT51" i="7"/>
  <c r="BA51" i="7"/>
  <c r="AR51" i="7"/>
  <c r="AZ50" i="7"/>
  <c r="AX50" i="7"/>
  <c r="BC50" i="7"/>
  <c r="AV50" i="7"/>
  <c r="AT50" i="7"/>
  <c r="BA50" i="7"/>
  <c r="AZ49" i="7"/>
  <c r="AX49" i="7"/>
  <c r="BC49" i="7"/>
  <c r="AV49" i="7"/>
  <c r="AT49" i="7"/>
  <c r="BA49" i="7"/>
  <c r="AZ48" i="7"/>
  <c r="AX48" i="7"/>
  <c r="BC48" i="7"/>
  <c r="AV48" i="7"/>
  <c r="AT48" i="7"/>
  <c r="BA48" i="7"/>
  <c r="AZ47" i="7"/>
  <c r="AX47" i="7"/>
  <c r="BC47" i="7"/>
  <c r="AV47" i="7"/>
  <c r="AT47" i="7"/>
  <c r="BA47" i="7"/>
  <c r="AR47" i="7"/>
  <c r="AZ46" i="7"/>
  <c r="AX46" i="7"/>
  <c r="BC46" i="7"/>
  <c r="AV46" i="7"/>
  <c r="AT46" i="7"/>
  <c r="BA46" i="7"/>
  <c r="AZ45" i="7"/>
  <c r="AX45" i="7"/>
  <c r="BC45" i="7"/>
  <c r="AV45" i="7"/>
  <c r="AT45" i="7"/>
  <c r="BA45" i="7"/>
  <c r="AZ44" i="7"/>
  <c r="AX44" i="7"/>
  <c r="BC44" i="7"/>
  <c r="AV44" i="7"/>
  <c r="AT44" i="7"/>
  <c r="BA44" i="7"/>
  <c r="AZ43" i="7"/>
  <c r="AX43" i="7"/>
  <c r="BC43" i="7"/>
  <c r="AV43" i="7"/>
  <c r="AT43" i="7"/>
  <c r="AR43" i="7"/>
  <c r="AZ42" i="7"/>
  <c r="AX42" i="7"/>
  <c r="BC42" i="7"/>
  <c r="AV42" i="7"/>
  <c r="AT42" i="7"/>
  <c r="BA42" i="7"/>
  <c r="AZ41" i="7"/>
  <c r="AX41" i="7"/>
  <c r="BC41" i="7"/>
  <c r="AV41" i="7"/>
  <c r="AT41" i="7"/>
  <c r="BA41" i="7"/>
  <c r="AZ40" i="7"/>
  <c r="AX40" i="7"/>
  <c r="BC40" i="7"/>
  <c r="AV40" i="7"/>
  <c r="AT40" i="7"/>
  <c r="BA40" i="7"/>
  <c r="AZ39" i="7"/>
  <c r="AX39" i="7"/>
  <c r="BC39" i="7"/>
  <c r="AV39" i="7"/>
  <c r="AT39" i="7"/>
  <c r="BA39" i="7"/>
  <c r="AR39" i="7"/>
  <c r="AZ38" i="7"/>
  <c r="AX38" i="7"/>
  <c r="BC38" i="7"/>
  <c r="AV38" i="7"/>
  <c r="AT38" i="7"/>
  <c r="BA38" i="7"/>
  <c r="AZ37" i="7"/>
  <c r="AX37" i="7"/>
  <c r="BC37" i="7"/>
  <c r="AV37" i="7"/>
  <c r="AT37" i="7"/>
  <c r="BA37" i="7"/>
  <c r="AZ36" i="7"/>
  <c r="AX36" i="7"/>
  <c r="BC36" i="7"/>
  <c r="AV36" i="7"/>
  <c r="AT36" i="7"/>
  <c r="BA36" i="7"/>
  <c r="AZ35" i="7"/>
  <c r="AX35" i="7"/>
  <c r="BC35" i="7"/>
  <c r="AV35" i="7"/>
  <c r="AT35" i="7"/>
  <c r="BA35" i="7"/>
  <c r="AR35" i="7"/>
  <c r="AZ34" i="7"/>
  <c r="AX34" i="7"/>
  <c r="BC34" i="7"/>
  <c r="AV34" i="7"/>
  <c r="AT34" i="7"/>
  <c r="BA34" i="7"/>
  <c r="AZ33" i="7"/>
  <c r="AX33" i="7"/>
  <c r="BC33" i="7"/>
  <c r="AV33" i="7"/>
  <c r="AT33" i="7"/>
  <c r="BA33" i="7"/>
  <c r="AZ32" i="7"/>
  <c r="AX32" i="7"/>
  <c r="BC32" i="7"/>
  <c r="AV32" i="7"/>
  <c r="AT32" i="7"/>
  <c r="BA32" i="7"/>
  <c r="AZ31" i="7"/>
  <c r="AX31" i="7"/>
  <c r="BC31" i="7"/>
  <c r="AV31" i="7"/>
  <c r="AT31" i="7"/>
  <c r="BA31" i="7"/>
  <c r="AR31" i="7"/>
  <c r="AZ30" i="7"/>
  <c r="AX30" i="7"/>
  <c r="BC30" i="7"/>
  <c r="AV30" i="7"/>
  <c r="AT30" i="7"/>
  <c r="BA30" i="7"/>
  <c r="AZ29" i="7"/>
  <c r="AX29" i="7"/>
  <c r="BC29" i="7"/>
  <c r="AV29" i="7"/>
  <c r="AT29" i="7"/>
  <c r="BA29" i="7"/>
  <c r="AZ28" i="7"/>
  <c r="AX28" i="7"/>
  <c r="BC28" i="7"/>
  <c r="AV28" i="7"/>
  <c r="AT28" i="7"/>
  <c r="BA28" i="7"/>
  <c r="AZ27" i="7"/>
  <c r="AX27" i="7"/>
  <c r="BC27" i="7"/>
  <c r="AV27" i="7"/>
  <c r="AT27" i="7"/>
  <c r="BA27" i="7"/>
  <c r="AR27" i="7"/>
  <c r="AZ26" i="7"/>
  <c r="AX26" i="7"/>
  <c r="BC26" i="7"/>
  <c r="AV26" i="7"/>
  <c r="AT26" i="7"/>
  <c r="BA26" i="7"/>
  <c r="AZ25" i="7"/>
  <c r="AX25" i="7"/>
  <c r="BC25" i="7"/>
  <c r="AV25" i="7"/>
  <c r="AT25" i="7"/>
  <c r="AZ24" i="7"/>
  <c r="AX24" i="7"/>
  <c r="BC24" i="7"/>
  <c r="AV24" i="7"/>
  <c r="AT24" i="7"/>
  <c r="BA24" i="7"/>
  <c r="AZ23" i="7"/>
  <c r="AX23" i="7"/>
  <c r="AV23" i="7"/>
  <c r="AT23" i="7"/>
  <c r="BA23" i="7"/>
  <c r="AR23" i="7"/>
  <c r="AZ22" i="7"/>
  <c r="AX22" i="7"/>
  <c r="BC22" i="7"/>
  <c r="AV22" i="7"/>
  <c r="AT22" i="7"/>
  <c r="BA22" i="7"/>
  <c r="AZ21" i="7"/>
  <c r="AX21" i="7"/>
  <c r="BC21" i="7"/>
  <c r="AV21" i="7"/>
  <c r="AT21" i="7"/>
  <c r="BA21" i="7"/>
  <c r="AZ20" i="7"/>
  <c r="AX20" i="7"/>
  <c r="BC20" i="7"/>
  <c r="AV20" i="7"/>
  <c r="AT20" i="7"/>
  <c r="BA20" i="7"/>
  <c r="AZ19" i="7"/>
  <c r="AX19" i="7"/>
  <c r="BC19" i="7"/>
  <c r="AV19" i="7"/>
  <c r="AT19" i="7"/>
  <c r="BA19" i="7"/>
  <c r="AR19" i="7"/>
  <c r="AZ18" i="7"/>
  <c r="AX18" i="7"/>
  <c r="BC18" i="7"/>
  <c r="AV18" i="7"/>
  <c r="AT18" i="7"/>
  <c r="BA18" i="7"/>
  <c r="AZ17" i="7"/>
  <c r="AX17" i="7"/>
  <c r="BC17" i="7"/>
  <c r="AV17" i="7"/>
  <c r="AT17" i="7"/>
  <c r="BA17" i="7"/>
  <c r="AZ16" i="7"/>
  <c r="AX16" i="7"/>
  <c r="BC16" i="7"/>
  <c r="AV16" i="7"/>
  <c r="AT16" i="7"/>
  <c r="BA16" i="7"/>
  <c r="AZ15" i="7"/>
  <c r="AX15" i="7"/>
  <c r="BC15" i="7"/>
  <c r="AV15" i="7"/>
  <c r="AT15" i="7"/>
  <c r="BA15" i="7"/>
  <c r="AR15" i="7"/>
  <c r="AZ14" i="7"/>
  <c r="AX14" i="7"/>
  <c r="BC14" i="7"/>
  <c r="AV14" i="7"/>
  <c r="AT14" i="7"/>
  <c r="BA14" i="7"/>
  <c r="AZ13" i="7"/>
  <c r="AX13" i="7"/>
  <c r="AV13" i="7"/>
  <c r="AT13" i="7"/>
  <c r="BA13" i="7"/>
  <c r="AZ12" i="7"/>
  <c r="AX12" i="7"/>
  <c r="BC12" i="7"/>
  <c r="AV12" i="7"/>
  <c r="AT12" i="7"/>
  <c r="AZ11" i="7"/>
  <c r="AX11" i="7"/>
  <c r="BC11" i="7"/>
  <c r="AV11" i="7"/>
  <c r="AT11" i="7"/>
  <c r="BA11" i="7"/>
  <c r="AR11" i="7"/>
  <c r="AZ10" i="7"/>
  <c r="AV10" i="7"/>
  <c r="AT10" i="7"/>
  <c r="BA10" i="7"/>
  <c r="AZ9" i="7"/>
  <c r="BC9" i="7"/>
  <c r="AV9" i="7"/>
  <c r="AT9" i="7"/>
  <c r="BA9" i="7"/>
  <c r="AZ8" i="7"/>
  <c r="BC8" i="7"/>
  <c r="AV8" i="7"/>
  <c r="AT8" i="7"/>
  <c r="BA8" i="7"/>
  <c r="AZ7" i="7"/>
  <c r="BC7" i="7"/>
  <c r="AV7" i="7"/>
  <c r="AT7" i="7"/>
  <c r="AR7" i="7"/>
  <c r="BO68" i="7"/>
  <c r="BN68" i="7"/>
  <c r="BO67" i="7"/>
  <c r="BN67" i="7"/>
  <c r="BO66" i="7"/>
  <c r="BN66" i="7"/>
  <c r="BO65" i="7"/>
  <c r="BN65" i="7"/>
  <c r="BP58" i="7"/>
  <c r="BN58" i="7"/>
  <c r="BL58" i="7"/>
  <c r="BQ58" i="7"/>
  <c r="BJ58" i="7"/>
  <c r="BH58" i="7"/>
  <c r="BO58" i="7"/>
  <c r="BP57" i="7"/>
  <c r="BN57" i="7"/>
  <c r="BL57" i="7"/>
  <c r="BQ57" i="7"/>
  <c r="BJ57" i="7"/>
  <c r="BH57" i="7"/>
  <c r="BO57" i="7"/>
  <c r="BP56" i="7"/>
  <c r="BN56" i="7"/>
  <c r="BL56" i="7"/>
  <c r="BQ56" i="7"/>
  <c r="BJ56" i="7"/>
  <c r="BH56" i="7"/>
  <c r="BO56" i="7"/>
  <c r="BN55" i="7"/>
  <c r="BL55" i="7"/>
  <c r="BQ55" i="7"/>
  <c r="BJ55" i="7"/>
  <c r="BH55" i="7"/>
  <c r="BO55" i="7"/>
  <c r="BF55" i="7"/>
  <c r="BN54" i="7"/>
  <c r="BL54" i="7"/>
  <c r="BQ54" i="7"/>
  <c r="BJ54" i="7"/>
  <c r="BH54" i="7"/>
  <c r="BO54" i="7"/>
  <c r="BN53" i="7"/>
  <c r="BL53" i="7"/>
  <c r="BQ53" i="7"/>
  <c r="BJ53" i="7"/>
  <c r="BH53" i="7"/>
  <c r="BO53" i="7"/>
  <c r="BN52" i="7"/>
  <c r="BL52" i="7"/>
  <c r="BQ52" i="7"/>
  <c r="BJ52" i="7"/>
  <c r="BH52" i="7"/>
  <c r="BO52" i="7"/>
  <c r="BN51" i="7"/>
  <c r="BL51" i="7"/>
  <c r="BQ51" i="7"/>
  <c r="BJ51" i="7"/>
  <c r="BH51" i="7"/>
  <c r="BO51" i="7"/>
  <c r="BF51" i="7"/>
  <c r="BN50" i="7"/>
  <c r="BL50" i="7"/>
  <c r="BQ50" i="7"/>
  <c r="BJ50" i="7"/>
  <c r="BH50" i="7"/>
  <c r="BO50" i="7"/>
  <c r="BN49" i="7"/>
  <c r="BL49" i="7"/>
  <c r="BQ49" i="7"/>
  <c r="BJ49" i="7"/>
  <c r="BH49" i="7"/>
  <c r="BO49" i="7"/>
  <c r="BN48" i="7"/>
  <c r="BL48" i="7"/>
  <c r="BQ48" i="7"/>
  <c r="BJ48" i="7"/>
  <c r="BH48" i="7"/>
  <c r="BO48" i="7"/>
  <c r="BN47" i="7"/>
  <c r="BL47" i="7"/>
  <c r="BQ47" i="7"/>
  <c r="BJ47" i="7"/>
  <c r="BH47" i="7"/>
  <c r="BO47" i="7"/>
  <c r="BF47" i="7"/>
  <c r="BN46" i="7"/>
  <c r="BL46" i="7"/>
  <c r="BQ46" i="7"/>
  <c r="BJ46" i="7"/>
  <c r="BH46" i="7"/>
  <c r="BO46" i="7"/>
  <c r="BN45" i="7"/>
  <c r="BL45" i="7"/>
  <c r="BQ45" i="7"/>
  <c r="BJ45" i="7"/>
  <c r="BH45" i="7"/>
  <c r="BO45" i="7"/>
  <c r="BN44" i="7"/>
  <c r="BL44" i="7"/>
  <c r="BQ44" i="7"/>
  <c r="BJ44" i="7"/>
  <c r="BH44" i="7"/>
  <c r="BO44" i="7"/>
  <c r="BN43" i="7"/>
  <c r="BL43" i="7"/>
  <c r="BQ43" i="7"/>
  <c r="BJ43" i="7"/>
  <c r="BH43" i="7"/>
  <c r="BO43" i="7"/>
  <c r="BF43" i="7"/>
  <c r="BN42" i="7"/>
  <c r="BL42" i="7"/>
  <c r="BQ42" i="7"/>
  <c r="BJ42" i="7"/>
  <c r="BH42" i="7"/>
  <c r="BO42" i="7"/>
  <c r="BN41" i="7"/>
  <c r="BL41" i="7"/>
  <c r="BQ41" i="7"/>
  <c r="BJ41" i="7"/>
  <c r="BH41" i="7"/>
  <c r="BO41" i="7"/>
  <c r="BN40" i="7"/>
  <c r="BL40" i="7"/>
  <c r="BQ40" i="7"/>
  <c r="BJ40" i="7"/>
  <c r="BH40" i="7"/>
  <c r="BO40" i="7"/>
  <c r="BN39" i="7"/>
  <c r="BL39" i="7"/>
  <c r="BQ39" i="7"/>
  <c r="BJ39" i="7"/>
  <c r="BH39" i="7"/>
  <c r="BO39" i="7"/>
  <c r="BF39" i="7"/>
  <c r="BN38" i="7"/>
  <c r="BL38" i="7"/>
  <c r="BQ38" i="7"/>
  <c r="BJ38" i="7"/>
  <c r="BH38" i="7"/>
  <c r="BO38" i="7"/>
  <c r="BN37" i="7"/>
  <c r="BL37" i="7"/>
  <c r="BQ37" i="7"/>
  <c r="BJ37" i="7"/>
  <c r="BH37" i="7"/>
  <c r="BO37" i="7"/>
  <c r="BN36" i="7"/>
  <c r="BL36" i="7"/>
  <c r="BQ36" i="7"/>
  <c r="BJ36" i="7"/>
  <c r="BH36" i="7"/>
  <c r="BO36" i="7"/>
  <c r="BN35" i="7"/>
  <c r="BL35" i="7"/>
  <c r="BQ35" i="7"/>
  <c r="BJ35" i="7"/>
  <c r="BH35" i="7"/>
  <c r="BO35" i="7"/>
  <c r="BF35" i="7"/>
  <c r="BN34" i="7"/>
  <c r="BL34" i="7"/>
  <c r="BQ34" i="7"/>
  <c r="BJ34" i="7"/>
  <c r="BH34" i="7"/>
  <c r="BO34" i="7"/>
  <c r="BN33" i="7"/>
  <c r="BL33" i="7"/>
  <c r="BQ33" i="7"/>
  <c r="BJ33" i="7"/>
  <c r="BH33" i="7"/>
  <c r="BO33" i="7"/>
  <c r="BN32" i="7"/>
  <c r="BL32" i="7"/>
  <c r="BQ32" i="7"/>
  <c r="BJ32" i="7"/>
  <c r="BH32" i="7"/>
  <c r="BO32" i="7"/>
  <c r="BN31" i="7"/>
  <c r="BL31" i="7"/>
  <c r="BQ31" i="7"/>
  <c r="BJ31" i="7"/>
  <c r="BH31" i="7"/>
  <c r="BO31" i="7"/>
  <c r="BF31" i="7"/>
  <c r="BN30" i="7"/>
  <c r="BL30" i="7"/>
  <c r="BQ30" i="7"/>
  <c r="BJ30" i="7"/>
  <c r="BH30" i="7"/>
  <c r="BO30" i="7"/>
  <c r="BN29" i="7"/>
  <c r="BL29" i="7"/>
  <c r="BQ29" i="7"/>
  <c r="BJ29" i="7"/>
  <c r="BH29" i="7"/>
  <c r="BO29" i="7"/>
  <c r="BN28" i="7"/>
  <c r="BL28" i="7"/>
  <c r="BQ28" i="7"/>
  <c r="BJ28" i="7"/>
  <c r="BH28" i="7"/>
  <c r="BO28" i="7"/>
  <c r="BN27" i="7"/>
  <c r="BL27" i="7"/>
  <c r="BQ27" i="7"/>
  <c r="BJ27" i="7"/>
  <c r="BH27" i="7"/>
  <c r="BO27" i="7"/>
  <c r="BF27" i="7"/>
  <c r="BN26" i="7"/>
  <c r="BL26" i="7"/>
  <c r="BQ26" i="7"/>
  <c r="BJ26" i="7"/>
  <c r="BH26" i="7"/>
  <c r="BO26" i="7"/>
  <c r="BN25" i="7"/>
  <c r="BL25" i="7"/>
  <c r="BQ25" i="7"/>
  <c r="BJ25" i="7"/>
  <c r="BH25" i="7"/>
  <c r="BO25" i="7"/>
  <c r="BN24" i="7"/>
  <c r="BL24" i="7"/>
  <c r="BQ24" i="7"/>
  <c r="BJ24" i="7"/>
  <c r="BH24" i="7"/>
  <c r="BO24" i="7"/>
  <c r="BN23" i="7"/>
  <c r="BL23" i="7"/>
  <c r="BQ23" i="7"/>
  <c r="BJ23" i="7"/>
  <c r="BH23" i="7"/>
  <c r="BO23" i="7"/>
  <c r="BF23" i="7"/>
  <c r="BN22" i="7"/>
  <c r="BL22" i="7"/>
  <c r="BQ22" i="7"/>
  <c r="BJ22" i="7"/>
  <c r="BH22" i="7"/>
  <c r="BO22" i="7"/>
  <c r="BN21" i="7"/>
  <c r="BL21" i="7"/>
  <c r="BQ21" i="7"/>
  <c r="BJ21" i="7"/>
  <c r="BH21" i="7"/>
  <c r="BO21" i="7"/>
  <c r="BN20" i="7"/>
  <c r="BL20" i="7"/>
  <c r="BQ20" i="7"/>
  <c r="BJ20" i="7"/>
  <c r="BH20" i="7"/>
  <c r="BO20" i="7"/>
  <c r="BN19" i="7"/>
  <c r="BL19" i="7"/>
  <c r="BQ19" i="7"/>
  <c r="BJ19" i="7"/>
  <c r="BH19" i="7"/>
  <c r="BO19" i="7"/>
  <c r="BF19" i="7"/>
  <c r="BN18" i="7"/>
  <c r="BL18" i="7"/>
  <c r="BQ18" i="7"/>
  <c r="BJ18" i="7"/>
  <c r="BH18" i="7"/>
  <c r="BO18" i="7"/>
  <c r="BN17" i="7"/>
  <c r="BL17" i="7"/>
  <c r="BQ17" i="7"/>
  <c r="BJ17" i="7"/>
  <c r="BH17" i="7"/>
  <c r="BO17" i="7"/>
  <c r="BN16" i="7"/>
  <c r="BL16" i="7"/>
  <c r="BQ16" i="7"/>
  <c r="BJ16" i="7"/>
  <c r="BH16" i="7"/>
  <c r="BO16" i="7"/>
  <c r="BN15" i="7"/>
  <c r="BL15" i="7"/>
  <c r="BQ15" i="7"/>
  <c r="BJ15" i="7"/>
  <c r="BH15" i="7"/>
  <c r="BO15" i="7"/>
  <c r="BF15" i="7"/>
  <c r="BN14" i="7"/>
  <c r="BL14" i="7"/>
  <c r="BQ14" i="7"/>
  <c r="BJ14" i="7"/>
  <c r="BH14" i="7"/>
  <c r="BO14" i="7"/>
  <c r="BN13" i="7"/>
  <c r="BL13" i="7"/>
  <c r="BJ13" i="7"/>
  <c r="BH13" i="7"/>
  <c r="BO13" i="7"/>
  <c r="BN12" i="7"/>
  <c r="BL12" i="7"/>
  <c r="BQ12" i="7"/>
  <c r="BJ12" i="7"/>
  <c r="BH12" i="7"/>
  <c r="BO12" i="7"/>
  <c r="BN11" i="7"/>
  <c r="BL11" i="7"/>
  <c r="BQ11" i="7"/>
  <c r="BJ11" i="7"/>
  <c r="BH11" i="7"/>
  <c r="BO11" i="7"/>
  <c r="BF11" i="7"/>
  <c r="BN10" i="7"/>
  <c r="BJ10" i="7"/>
  <c r="BH10" i="7"/>
  <c r="BO10" i="7"/>
  <c r="BN9" i="7"/>
  <c r="BQ9" i="7"/>
  <c r="BJ9" i="7"/>
  <c r="BH9" i="7"/>
  <c r="BO9" i="7"/>
  <c r="BN8" i="7"/>
  <c r="BQ8" i="7"/>
  <c r="BJ8" i="7"/>
  <c r="BH8" i="7"/>
  <c r="BO8" i="7"/>
  <c r="BN7" i="7"/>
  <c r="BQ7" i="7"/>
  <c r="BJ7" i="7"/>
  <c r="BH7" i="7"/>
  <c r="BF7" i="7"/>
  <c r="CQ68" i="7"/>
  <c r="CP68" i="7"/>
  <c r="CQ67" i="7"/>
  <c r="CP67" i="7"/>
  <c r="CQ66" i="7"/>
  <c r="CP66" i="7"/>
  <c r="CQ65" i="7"/>
  <c r="CP65" i="7"/>
  <c r="CR58" i="7"/>
  <c r="CP58" i="7"/>
  <c r="CN58" i="7"/>
  <c r="CS58" i="7"/>
  <c r="CL58" i="7"/>
  <c r="CJ58" i="7"/>
  <c r="CQ58" i="7"/>
  <c r="CR57" i="7"/>
  <c r="CP57" i="7"/>
  <c r="CN57" i="7"/>
  <c r="CS57" i="7"/>
  <c r="CL57" i="7"/>
  <c r="CJ57" i="7"/>
  <c r="CQ57" i="7"/>
  <c r="CR56" i="7"/>
  <c r="CP56" i="7"/>
  <c r="CN56" i="7"/>
  <c r="CS56" i="7"/>
  <c r="CL56" i="7"/>
  <c r="CQ56" i="7"/>
  <c r="CP55" i="7"/>
  <c r="CN55" i="7"/>
  <c r="CS55" i="7"/>
  <c r="CL55" i="7"/>
  <c r="CQ55" i="7"/>
  <c r="CH55" i="7"/>
  <c r="CP54" i="7"/>
  <c r="CN54" i="7"/>
  <c r="CS54" i="7"/>
  <c r="CL54" i="7"/>
  <c r="CJ54" i="7"/>
  <c r="CQ54" i="7"/>
  <c r="CP53" i="7"/>
  <c r="CN53" i="7"/>
  <c r="CS53" i="7"/>
  <c r="CL53" i="7"/>
  <c r="CJ53" i="7"/>
  <c r="CQ53" i="7"/>
  <c r="CP52" i="7"/>
  <c r="CN52" i="7"/>
  <c r="CS52" i="7"/>
  <c r="CL52" i="7"/>
  <c r="CQ52" i="7"/>
  <c r="CP51" i="7"/>
  <c r="CN51" i="7"/>
  <c r="CS51" i="7"/>
  <c r="CL51" i="7"/>
  <c r="CQ51" i="7"/>
  <c r="CH51" i="7"/>
  <c r="CP50" i="7"/>
  <c r="CN50" i="7"/>
  <c r="CS50" i="7"/>
  <c r="CL50" i="7"/>
  <c r="CJ50" i="7"/>
  <c r="CQ50" i="7"/>
  <c r="CP49" i="7"/>
  <c r="CN49" i="7"/>
  <c r="CS49" i="7"/>
  <c r="CL49" i="7"/>
  <c r="CJ49" i="7"/>
  <c r="CQ49" i="7"/>
  <c r="CP48" i="7"/>
  <c r="CN48" i="7"/>
  <c r="CS48" i="7"/>
  <c r="CL48" i="7"/>
  <c r="CQ48" i="7"/>
  <c r="CP47" i="7"/>
  <c r="CN47" i="7"/>
  <c r="CS47" i="7"/>
  <c r="CL47" i="7"/>
  <c r="CQ47" i="7"/>
  <c r="CH47" i="7"/>
  <c r="CP46" i="7"/>
  <c r="CN46" i="7"/>
  <c r="CS46" i="7"/>
  <c r="CL46" i="7"/>
  <c r="CQ46" i="7"/>
  <c r="CP45" i="7"/>
  <c r="CN45" i="7"/>
  <c r="CS45" i="7"/>
  <c r="CL45" i="7"/>
  <c r="CQ45" i="7"/>
  <c r="CP44" i="7"/>
  <c r="CN44" i="7"/>
  <c r="CS44" i="7"/>
  <c r="CL44" i="7"/>
  <c r="CQ44" i="7"/>
  <c r="CP43" i="7"/>
  <c r="CN43" i="7"/>
  <c r="CS43" i="7"/>
  <c r="CL43" i="7"/>
  <c r="CQ43" i="7"/>
  <c r="CH43" i="7"/>
  <c r="CP42" i="7"/>
  <c r="CN42" i="7"/>
  <c r="CS42" i="7"/>
  <c r="CL42" i="7"/>
  <c r="CQ42" i="7"/>
  <c r="CP41" i="7"/>
  <c r="CN41" i="7"/>
  <c r="CS41" i="7"/>
  <c r="CL41" i="7"/>
  <c r="CQ41" i="7"/>
  <c r="CP40" i="7"/>
  <c r="CN40" i="7"/>
  <c r="CS40" i="7"/>
  <c r="CL40" i="7"/>
  <c r="CQ40" i="7"/>
  <c r="CP39" i="7"/>
  <c r="CN39" i="7"/>
  <c r="CS39" i="7"/>
  <c r="CL39" i="7"/>
  <c r="CQ39" i="7"/>
  <c r="CH39" i="7"/>
  <c r="CP38" i="7"/>
  <c r="CN38" i="7"/>
  <c r="CS38" i="7"/>
  <c r="CL38" i="7"/>
  <c r="CQ38" i="7"/>
  <c r="CP37" i="7"/>
  <c r="CN37" i="7"/>
  <c r="CS37" i="7"/>
  <c r="CL37" i="7"/>
  <c r="CQ37" i="7"/>
  <c r="CP36" i="7"/>
  <c r="CN36" i="7"/>
  <c r="CS36" i="7"/>
  <c r="CL36" i="7"/>
  <c r="CQ36" i="7"/>
  <c r="CP35" i="7"/>
  <c r="CN35" i="7"/>
  <c r="CS35" i="7"/>
  <c r="CL35" i="7"/>
  <c r="CQ35" i="7"/>
  <c r="CH35" i="7"/>
  <c r="CP34" i="7"/>
  <c r="CN34" i="7"/>
  <c r="CS34" i="7"/>
  <c r="CL34" i="7"/>
  <c r="CQ34" i="7"/>
  <c r="CP33" i="7"/>
  <c r="CN33" i="7"/>
  <c r="CS33" i="7"/>
  <c r="CL33" i="7"/>
  <c r="CQ33" i="7"/>
  <c r="CP32" i="7"/>
  <c r="CN32" i="7"/>
  <c r="CS32" i="7"/>
  <c r="CL32" i="7"/>
  <c r="CQ32" i="7"/>
  <c r="CP31" i="7"/>
  <c r="CN31" i="7"/>
  <c r="CS31" i="7"/>
  <c r="CL31" i="7"/>
  <c r="CQ31" i="7"/>
  <c r="CH31" i="7"/>
  <c r="CP30" i="7"/>
  <c r="CN30" i="7"/>
  <c r="CS30" i="7"/>
  <c r="CL30" i="7"/>
  <c r="CQ30" i="7"/>
  <c r="CP29" i="7"/>
  <c r="CN29" i="7"/>
  <c r="CS29" i="7"/>
  <c r="CL29" i="7"/>
  <c r="CQ29" i="7"/>
  <c r="CP28" i="7"/>
  <c r="CN28" i="7"/>
  <c r="CS28" i="7"/>
  <c r="CL28" i="7"/>
  <c r="CQ28" i="7"/>
  <c r="CP27" i="7"/>
  <c r="CN27" i="7"/>
  <c r="CS27" i="7"/>
  <c r="CL27" i="7"/>
  <c r="CQ27" i="7"/>
  <c r="CH27" i="7"/>
  <c r="CP26" i="7"/>
  <c r="CN26" i="7"/>
  <c r="CS26" i="7"/>
  <c r="CL26" i="7"/>
  <c r="CQ26" i="7"/>
  <c r="CP25" i="7"/>
  <c r="CN25" i="7"/>
  <c r="CS25" i="7"/>
  <c r="CL25" i="7"/>
  <c r="CQ25" i="7"/>
  <c r="CP24" i="7"/>
  <c r="CN24" i="7"/>
  <c r="CS24" i="7"/>
  <c r="CL24" i="7"/>
  <c r="CQ24" i="7"/>
  <c r="CP23" i="7"/>
  <c r="CN23" i="7"/>
  <c r="CS23" i="7"/>
  <c r="CL23" i="7"/>
  <c r="CQ23" i="7"/>
  <c r="CH23" i="7"/>
  <c r="CP22" i="7"/>
  <c r="CN22" i="7"/>
  <c r="CS22" i="7"/>
  <c r="CL22" i="7"/>
  <c r="CQ22" i="7"/>
  <c r="CP21" i="7"/>
  <c r="CN21" i="7"/>
  <c r="CS21" i="7"/>
  <c r="CL21" i="7"/>
  <c r="CQ21" i="7"/>
  <c r="CP20" i="7"/>
  <c r="CN20" i="7"/>
  <c r="CS20" i="7"/>
  <c r="CL20" i="7"/>
  <c r="CQ20" i="7"/>
  <c r="CP19" i="7"/>
  <c r="CN19" i="7"/>
  <c r="CS19" i="7"/>
  <c r="CL19" i="7"/>
  <c r="CQ19" i="7"/>
  <c r="CH19" i="7"/>
  <c r="CP18" i="7"/>
  <c r="CN18" i="7"/>
  <c r="CS18" i="7"/>
  <c r="CL18" i="7"/>
  <c r="CQ18" i="7"/>
  <c r="CP17" i="7"/>
  <c r="CN17" i="7"/>
  <c r="CS17" i="7"/>
  <c r="CL17" i="7"/>
  <c r="CQ17" i="7"/>
  <c r="CP16" i="7"/>
  <c r="CN16" i="7"/>
  <c r="CS16" i="7"/>
  <c r="CL16" i="7"/>
  <c r="CQ16" i="7"/>
  <c r="CP15" i="7"/>
  <c r="CN15" i="7"/>
  <c r="CS15" i="7"/>
  <c r="CL15" i="7"/>
  <c r="CQ15" i="7"/>
  <c r="CH15" i="7"/>
  <c r="CP14" i="7"/>
  <c r="CN14" i="7"/>
  <c r="CS14" i="7"/>
  <c r="CL14" i="7"/>
  <c r="CQ14" i="7"/>
  <c r="CP13" i="7"/>
  <c r="CN13" i="7"/>
  <c r="CS13" i="7"/>
  <c r="CL13" i="7"/>
  <c r="CQ13" i="7"/>
  <c r="CP12" i="7"/>
  <c r="CN12" i="7"/>
  <c r="CS12" i="7"/>
  <c r="CL12" i="7"/>
  <c r="CQ12" i="7"/>
  <c r="CP11" i="7"/>
  <c r="CN11" i="7"/>
  <c r="CS11" i="7"/>
  <c r="CL11" i="7"/>
  <c r="CQ11" i="7"/>
  <c r="CH11" i="7"/>
  <c r="CP10" i="7"/>
  <c r="CS10" i="7"/>
  <c r="CL10" i="7"/>
  <c r="CQ10" i="7"/>
  <c r="CP9" i="7"/>
  <c r="CS9" i="7"/>
  <c r="CL9" i="7"/>
  <c r="CP8" i="7"/>
  <c r="CS8" i="7"/>
  <c r="CL8" i="7"/>
  <c r="CP7" i="7"/>
  <c r="CS7" i="7"/>
  <c r="CL7" i="7"/>
  <c r="CH7" i="7"/>
  <c r="EL16" i="7"/>
  <c r="EZ16" i="7"/>
  <c r="FB16" i="7"/>
  <c r="FD16" i="7"/>
  <c r="FF16" i="7"/>
  <c r="FH16" i="7"/>
  <c r="FK16" i="7"/>
  <c r="FN16" i="7"/>
  <c r="FP16" i="7"/>
  <c r="FR16" i="7"/>
  <c r="FT16" i="7"/>
  <c r="FV16" i="7"/>
  <c r="FY16" i="7"/>
  <c r="HV16" i="7"/>
  <c r="IJ16" i="7"/>
  <c r="IL16" i="7"/>
  <c r="IN16" i="7"/>
  <c r="IP16" i="7"/>
  <c r="IR16" i="7"/>
  <c r="IS16" i="7"/>
  <c r="IT16" i="7"/>
  <c r="IU16" i="7"/>
  <c r="IX16" i="7"/>
  <c r="HD16" i="7"/>
  <c r="HF16" i="7"/>
  <c r="HJ16" i="7"/>
  <c r="HL16" i="7"/>
  <c r="HP16" i="7"/>
  <c r="JL16" i="7"/>
  <c r="JU11" i="7"/>
  <c r="JV11" i="7"/>
  <c r="JW11" i="7"/>
  <c r="JT11" i="7"/>
  <c r="JR11" i="7"/>
  <c r="JP11" i="7"/>
  <c r="JL11" i="7"/>
  <c r="JU10" i="7"/>
  <c r="JV10" i="7"/>
  <c r="JW10" i="7"/>
  <c r="JT10" i="7"/>
  <c r="JR10" i="7"/>
  <c r="JP10" i="7"/>
  <c r="JL10" i="7"/>
  <c r="JU9" i="7"/>
  <c r="JV9" i="7"/>
  <c r="JW9" i="7"/>
  <c r="JT9" i="7"/>
  <c r="JR9" i="7"/>
  <c r="JP9" i="7"/>
  <c r="JL9" i="7"/>
  <c r="JU8" i="7"/>
  <c r="JV8" i="7"/>
  <c r="JW8" i="7"/>
  <c r="JT8" i="7"/>
  <c r="JR8" i="7"/>
  <c r="JP8" i="7"/>
  <c r="JL8" i="7"/>
  <c r="JU7" i="7"/>
  <c r="JV7" i="7"/>
  <c r="JW7" i="7"/>
  <c r="JT7" i="7"/>
  <c r="JR7" i="7"/>
  <c r="JP7" i="7"/>
  <c r="JL7" i="7"/>
  <c r="JU6" i="7"/>
  <c r="JV6" i="7"/>
  <c r="JW6" i="7"/>
  <c r="JT6" i="7"/>
  <c r="JR6" i="7"/>
  <c r="JP6" i="7"/>
  <c r="JL6" i="7"/>
  <c r="JU5" i="7"/>
  <c r="JV5" i="7"/>
  <c r="JW5" i="7"/>
  <c r="JT5" i="7"/>
  <c r="JR5" i="7"/>
  <c r="JP5" i="7"/>
  <c r="JL5" i="7"/>
  <c r="JU4" i="7"/>
  <c r="JV4" i="7"/>
  <c r="JW4" i="7"/>
  <c r="JT4" i="7"/>
  <c r="JR4" i="7"/>
  <c r="JP4" i="7"/>
  <c r="JL4" i="7"/>
  <c r="JG11" i="7"/>
  <c r="JH11" i="7"/>
  <c r="JI11" i="7"/>
  <c r="JF11" i="7"/>
  <c r="JD11" i="7"/>
  <c r="JB11" i="7"/>
  <c r="IX11" i="7"/>
  <c r="JG10" i="7"/>
  <c r="JH10" i="7"/>
  <c r="JI10" i="7"/>
  <c r="JF10" i="7"/>
  <c r="JD10" i="7"/>
  <c r="JB10" i="7"/>
  <c r="IX10" i="7"/>
  <c r="JG9" i="7"/>
  <c r="JH9" i="7"/>
  <c r="JI9" i="7"/>
  <c r="JF9" i="7"/>
  <c r="JD9" i="7"/>
  <c r="JB9" i="7"/>
  <c r="IX9" i="7"/>
  <c r="JG8" i="7"/>
  <c r="JH8" i="7"/>
  <c r="JI8" i="7"/>
  <c r="JF8" i="7"/>
  <c r="JD8" i="7"/>
  <c r="JB8" i="7"/>
  <c r="IX8" i="7"/>
  <c r="JG7" i="7"/>
  <c r="JH7" i="7"/>
  <c r="JI7" i="7"/>
  <c r="JF7" i="7"/>
  <c r="JD7" i="7"/>
  <c r="JB7" i="7"/>
  <c r="IX7" i="7"/>
  <c r="JG6" i="7"/>
  <c r="JH6" i="7"/>
  <c r="JI6" i="7"/>
  <c r="JF6" i="7"/>
  <c r="JD6" i="7"/>
  <c r="JB6" i="7"/>
  <c r="IX6" i="7"/>
  <c r="JG5" i="7"/>
  <c r="JH5" i="7"/>
  <c r="JI5" i="7"/>
  <c r="JF5" i="7"/>
  <c r="JD5" i="7"/>
  <c r="JB5" i="7"/>
  <c r="IX5" i="7"/>
  <c r="JG4" i="7"/>
  <c r="JH4" i="7"/>
  <c r="JI4" i="7"/>
  <c r="JF4" i="7"/>
  <c r="JD4" i="7"/>
  <c r="JB4" i="7"/>
  <c r="IX4" i="7"/>
  <c r="IS11" i="7"/>
  <c r="IT11" i="7"/>
  <c r="IU11" i="7"/>
  <c r="IR11" i="7"/>
  <c r="IP11" i="7"/>
  <c r="IN11" i="7"/>
  <c r="IJ11" i="7"/>
  <c r="IS10" i="7"/>
  <c r="IT10" i="7"/>
  <c r="IU10" i="7"/>
  <c r="IR10" i="7"/>
  <c r="IP10" i="7"/>
  <c r="IN10" i="7"/>
  <c r="IJ10" i="7"/>
  <c r="IS9" i="7"/>
  <c r="IT9" i="7"/>
  <c r="IU9" i="7"/>
  <c r="IR9" i="7"/>
  <c r="IP9" i="7"/>
  <c r="IN9" i="7"/>
  <c r="IJ9" i="7"/>
  <c r="IS8" i="7"/>
  <c r="IT8" i="7"/>
  <c r="IU8" i="7"/>
  <c r="IR8" i="7"/>
  <c r="IP8" i="7"/>
  <c r="IN8" i="7"/>
  <c r="IJ8" i="7"/>
  <c r="IS7" i="7"/>
  <c r="IT7" i="7"/>
  <c r="IU7" i="7"/>
  <c r="IR7" i="7"/>
  <c r="IP7" i="7"/>
  <c r="IN7" i="7"/>
  <c r="IJ7" i="7"/>
  <c r="IS6" i="7"/>
  <c r="IT6" i="7"/>
  <c r="IU6" i="7"/>
  <c r="IR6" i="7"/>
  <c r="IP6" i="7"/>
  <c r="IN6" i="7"/>
  <c r="IJ6" i="7"/>
  <c r="IS5" i="7"/>
  <c r="IT5" i="7"/>
  <c r="IU5" i="7"/>
  <c r="IR5" i="7"/>
  <c r="IP5" i="7"/>
  <c r="IN5" i="7"/>
  <c r="IJ5" i="7"/>
  <c r="IS4" i="7"/>
  <c r="IT4" i="7"/>
  <c r="IU4" i="7"/>
  <c r="IR4" i="7"/>
  <c r="IP4" i="7"/>
  <c r="IN4" i="7"/>
  <c r="IJ4" i="7"/>
  <c r="IE11" i="7"/>
  <c r="IF11" i="7"/>
  <c r="IG11" i="7"/>
  <c r="ID11" i="7"/>
  <c r="IB11" i="7"/>
  <c r="HZ11" i="7"/>
  <c r="HV11" i="7"/>
  <c r="IE10" i="7"/>
  <c r="IF10" i="7"/>
  <c r="IG10" i="7"/>
  <c r="ID10" i="7"/>
  <c r="IB10" i="7"/>
  <c r="HZ10" i="7"/>
  <c r="HV10" i="7"/>
  <c r="IE9" i="7"/>
  <c r="IF9" i="7"/>
  <c r="IG9" i="7"/>
  <c r="ID9" i="7"/>
  <c r="IB9" i="7"/>
  <c r="HZ9" i="7"/>
  <c r="HV9" i="7"/>
  <c r="IE8" i="7"/>
  <c r="IF8" i="7"/>
  <c r="IG8" i="7"/>
  <c r="ID8" i="7"/>
  <c r="IB8" i="7"/>
  <c r="HZ8" i="7"/>
  <c r="HV8" i="7"/>
  <c r="IE7" i="7"/>
  <c r="IF7" i="7"/>
  <c r="IG7" i="7"/>
  <c r="ID7" i="7"/>
  <c r="IB7" i="7"/>
  <c r="HZ7" i="7"/>
  <c r="HV7" i="7"/>
  <c r="IE6" i="7"/>
  <c r="IF6" i="7"/>
  <c r="IG6" i="7"/>
  <c r="ID6" i="7"/>
  <c r="IB6" i="7"/>
  <c r="HZ6" i="7"/>
  <c r="HV6" i="7"/>
  <c r="IE5" i="7"/>
  <c r="IF5" i="7"/>
  <c r="IG5" i="7"/>
  <c r="ID5" i="7"/>
  <c r="IB5" i="7"/>
  <c r="HZ5" i="7"/>
  <c r="HV5" i="7"/>
  <c r="IE4" i="7"/>
  <c r="IF4" i="7"/>
  <c r="IG4" i="7"/>
  <c r="ID4" i="7"/>
  <c r="IB4" i="7"/>
  <c r="HZ4" i="7"/>
  <c r="HV4" i="7"/>
  <c r="FY11" i="7"/>
  <c r="FV11" i="7"/>
  <c r="FT11" i="7"/>
  <c r="FR11" i="7"/>
  <c r="FN11" i="7"/>
  <c r="FY10" i="7"/>
  <c r="FV10" i="7"/>
  <c r="FT10" i="7"/>
  <c r="FR10" i="7"/>
  <c r="FN10" i="7"/>
  <c r="FY9" i="7"/>
  <c r="FV9" i="7"/>
  <c r="FT9" i="7"/>
  <c r="FR9" i="7"/>
  <c r="FN9" i="7"/>
  <c r="FY8" i="7"/>
  <c r="FV8" i="7"/>
  <c r="FT8" i="7"/>
  <c r="FR8" i="7"/>
  <c r="FN8" i="7"/>
  <c r="FY7" i="7"/>
  <c r="FV7" i="7"/>
  <c r="FT7" i="7"/>
  <c r="FR7" i="7"/>
  <c r="FN7" i="7"/>
  <c r="FY6" i="7"/>
  <c r="FV6" i="7"/>
  <c r="FT6" i="7"/>
  <c r="FR6" i="7"/>
  <c r="FN6" i="7"/>
  <c r="FY5" i="7"/>
  <c r="FV5" i="7"/>
  <c r="FT5" i="7"/>
  <c r="FR5" i="7"/>
  <c r="FN5" i="7"/>
  <c r="FY4" i="7"/>
  <c r="FV4" i="7"/>
  <c r="FR4" i="7"/>
  <c r="FN4" i="7"/>
  <c r="FK11" i="7"/>
  <c r="FH11" i="7"/>
  <c r="FF11" i="7"/>
  <c r="FD11" i="7"/>
  <c r="EZ11" i="7"/>
  <c r="FK10" i="7"/>
  <c r="FH10" i="7"/>
  <c r="FF10" i="7"/>
  <c r="FD10" i="7"/>
  <c r="EZ10" i="7"/>
  <c r="FK9" i="7"/>
  <c r="FH9" i="7"/>
  <c r="FF9" i="7"/>
  <c r="FD9" i="7"/>
  <c r="EZ9" i="7"/>
  <c r="FK8" i="7"/>
  <c r="FH8" i="7"/>
  <c r="FF8" i="7"/>
  <c r="FD8" i="7"/>
  <c r="EZ8" i="7"/>
  <c r="FK7" i="7"/>
  <c r="FH7" i="7"/>
  <c r="FF7" i="7"/>
  <c r="FD7" i="7"/>
  <c r="EZ7" i="7"/>
  <c r="FK6" i="7"/>
  <c r="FH6" i="7"/>
  <c r="FF6" i="7"/>
  <c r="FD6" i="7"/>
  <c r="EZ6" i="7"/>
  <c r="FK5" i="7"/>
  <c r="FH5" i="7"/>
  <c r="FF5" i="7"/>
  <c r="FD5" i="7"/>
  <c r="EZ5" i="7"/>
  <c r="FK4" i="7"/>
  <c r="FH4" i="7"/>
  <c r="FD4" i="7"/>
  <c r="EZ4" i="7"/>
  <c r="EW11" i="7"/>
  <c r="ET11" i="7"/>
  <c r="ER11" i="7"/>
  <c r="EP11" i="7"/>
  <c r="EL11" i="7"/>
  <c r="EW10" i="7"/>
  <c r="ET10" i="7"/>
  <c r="ER10" i="7"/>
  <c r="EP10" i="7"/>
  <c r="EL10" i="7"/>
  <c r="EW9" i="7"/>
  <c r="ET9" i="7"/>
  <c r="ER9" i="7"/>
  <c r="EP9" i="7"/>
  <c r="EL9" i="7"/>
  <c r="EW8" i="7"/>
  <c r="ET8" i="7"/>
  <c r="ER8" i="7"/>
  <c r="EP8" i="7"/>
  <c r="EL8" i="7"/>
  <c r="EW7" i="7"/>
  <c r="ET7" i="7"/>
  <c r="ER7" i="7"/>
  <c r="EP7" i="7"/>
  <c r="EL7" i="7"/>
  <c r="EW6" i="7"/>
  <c r="ET6" i="7"/>
  <c r="ER6" i="7"/>
  <c r="EP6" i="7"/>
  <c r="EL6" i="7"/>
  <c r="EW5" i="7"/>
  <c r="ET5" i="7"/>
  <c r="ER5" i="7"/>
  <c r="EP5" i="7"/>
  <c r="EL5" i="7"/>
  <c r="EW4" i="7"/>
  <c r="ET4" i="7"/>
  <c r="EP4" i="7"/>
  <c r="EL4" i="7"/>
  <c r="HA11" i="7"/>
  <c r="GX11" i="7"/>
  <c r="GV11" i="7"/>
  <c r="GT11" i="7"/>
  <c r="GP11" i="7"/>
  <c r="HA10" i="7"/>
  <c r="GX10" i="7"/>
  <c r="GV10" i="7"/>
  <c r="GT10" i="7"/>
  <c r="GP10" i="7"/>
  <c r="HA9" i="7"/>
  <c r="GX9" i="7"/>
  <c r="GV9" i="7"/>
  <c r="GT9" i="7"/>
  <c r="GP9" i="7"/>
  <c r="HA8" i="7"/>
  <c r="GX8" i="7"/>
  <c r="GV8" i="7"/>
  <c r="GT8" i="7"/>
  <c r="GP8" i="7"/>
  <c r="HA7" i="7"/>
  <c r="GX7" i="7"/>
  <c r="GV7" i="7"/>
  <c r="GT7" i="7"/>
  <c r="GP7" i="7"/>
  <c r="HA6" i="7"/>
  <c r="GX6" i="7"/>
  <c r="GV6" i="7"/>
  <c r="GT6" i="7"/>
  <c r="GP6" i="7"/>
  <c r="HA5" i="7"/>
  <c r="GX5" i="7"/>
  <c r="GV5" i="7"/>
  <c r="GT5" i="7"/>
  <c r="GP5" i="7"/>
  <c r="HA4" i="7"/>
  <c r="GX4" i="7"/>
  <c r="GT4" i="7"/>
  <c r="GP4" i="7"/>
  <c r="GP16" i="7"/>
  <c r="GB16" i="7"/>
  <c r="CB38" i="7"/>
  <c r="BZ38" i="7"/>
  <c r="CE38" i="7"/>
  <c r="BX38" i="7"/>
  <c r="CC38" i="7"/>
  <c r="CB37" i="7"/>
  <c r="BZ37" i="7"/>
  <c r="CE37" i="7"/>
  <c r="BX37" i="7"/>
  <c r="CC37" i="7"/>
  <c r="CB36" i="7"/>
  <c r="BZ36" i="7"/>
  <c r="CE36" i="7"/>
  <c r="BX36" i="7"/>
  <c r="CC36" i="7"/>
  <c r="CB35" i="7"/>
  <c r="BZ35" i="7"/>
  <c r="CE35" i="7"/>
  <c r="BX35" i="7"/>
  <c r="CC35" i="7"/>
  <c r="BT35" i="7"/>
  <c r="CB34" i="7"/>
  <c r="BZ34" i="7"/>
  <c r="CE34" i="7"/>
  <c r="BX34" i="7"/>
  <c r="CC34" i="7"/>
  <c r="CB33" i="7"/>
  <c r="BZ33" i="7"/>
  <c r="CE33" i="7"/>
  <c r="BX33" i="7"/>
  <c r="CC33" i="7"/>
  <c r="CB32" i="7"/>
  <c r="BZ32" i="7"/>
  <c r="CE32" i="7"/>
  <c r="BX32" i="7"/>
  <c r="CC32" i="7"/>
  <c r="CB31" i="7"/>
  <c r="BZ31" i="7"/>
  <c r="CE31" i="7"/>
  <c r="BX31" i="7"/>
  <c r="CC31" i="7"/>
  <c r="BT31" i="7"/>
  <c r="CB30" i="7"/>
  <c r="BZ30" i="7"/>
  <c r="CE30" i="7"/>
  <c r="BX30" i="7"/>
  <c r="CC30" i="7"/>
  <c r="CB29" i="7"/>
  <c r="BZ29" i="7"/>
  <c r="CE29" i="7"/>
  <c r="BX29" i="7"/>
  <c r="CC29" i="7"/>
  <c r="CB28" i="7"/>
  <c r="BZ28" i="7"/>
  <c r="CE28" i="7"/>
  <c r="BX28" i="7"/>
  <c r="CC28" i="7"/>
  <c r="CB27" i="7"/>
  <c r="BZ27" i="7"/>
  <c r="CE27" i="7"/>
  <c r="BX27" i="7"/>
  <c r="CC27" i="7"/>
  <c r="BT27" i="7"/>
  <c r="CB26" i="7"/>
  <c r="BZ26" i="7"/>
  <c r="CE26" i="7"/>
  <c r="BX26" i="7"/>
  <c r="CC26" i="7"/>
  <c r="CB25" i="7"/>
  <c r="BZ25" i="7"/>
  <c r="CE25" i="7"/>
  <c r="BX25" i="7"/>
  <c r="CC25" i="7"/>
  <c r="CB24" i="7"/>
  <c r="BZ24" i="7"/>
  <c r="CE24" i="7"/>
  <c r="BX24" i="7"/>
  <c r="CC24" i="7"/>
  <c r="CB23" i="7"/>
  <c r="BZ23" i="7"/>
  <c r="CE23" i="7"/>
  <c r="BX23" i="7"/>
  <c r="CC23" i="7"/>
  <c r="BT23" i="7"/>
  <c r="CB22" i="7"/>
  <c r="BZ22" i="7"/>
  <c r="CE22" i="7"/>
  <c r="BX22" i="7"/>
  <c r="CC22" i="7"/>
  <c r="CB21" i="7"/>
  <c r="BZ21" i="7"/>
  <c r="CE21" i="7"/>
  <c r="BX21" i="7"/>
  <c r="CC21" i="7"/>
  <c r="CB20" i="7"/>
  <c r="BZ20" i="7"/>
  <c r="CE20" i="7"/>
  <c r="BX20" i="7"/>
  <c r="CC20" i="7"/>
  <c r="CB19" i="7"/>
  <c r="BZ19" i="7"/>
  <c r="CE19" i="7"/>
  <c r="BX19" i="7"/>
  <c r="CC19" i="7"/>
  <c r="BT19" i="7"/>
  <c r="CB18" i="7"/>
  <c r="BZ18" i="7"/>
  <c r="CE18" i="7"/>
  <c r="BX18" i="7"/>
  <c r="CC18" i="7"/>
  <c r="CB17" i="7"/>
  <c r="BZ17" i="7"/>
  <c r="BX17" i="7"/>
  <c r="CC17" i="7"/>
  <c r="CB16" i="7"/>
  <c r="BZ16" i="7"/>
  <c r="CE16" i="7"/>
  <c r="BX16" i="7"/>
  <c r="CC16" i="7"/>
  <c r="CB15" i="7"/>
  <c r="BZ15" i="7"/>
  <c r="CE15" i="7"/>
  <c r="BX15" i="7"/>
  <c r="CC15" i="7"/>
  <c r="BT15" i="7"/>
  <c r="CB14" i="7"/>
  <c r="BZ14" i="7"/>
  <c r="CE14" i="7"/>
  <c r="BX14" i="7"/>
  <c r="CC14" i="7"/>
  <c r="CB13" i="7"/>
  <c r="BZ13" i="7"/>
  <c r="CE13" i="7"/>
  <c r="BX13" i="7"/>
  <c r="CC13" i="7"/>
  <c r="CB12" i="7"/>
  <c r="BZ12" i="7"/>
  <c r="CE12" i="7"/>
  <c r="BX12" i="7"/>
  <c r="CC12" i="7"/>
  <c r="CB11" i="7"/>
  <c r="BZ11" i="7"/>
  <c r="CE11" i="7"/>
  <c r="BX11" i="7"/>
  <c r="BT11" i="7"/>
  <c r="CB10" i="7"/>
  <c r="CE10" i="7"/>
  <c r="BX10" i="7"/>
  <c r="CC10" i="7"/>
  <c r="CB9" i="7"/>
  <c r="CE9" i="7"/>
  <c r="BX9" i="7"/>
  <c r="CC9" i="7"/>
  <c r="CB8" i="7"/>
  <c r="CE8" i="7"/>
  <c r="BX8" i="7"/>
  <c r="CC8" i="7"/>
  <c r="CB7" i="7"/>
  <c r="CE7" i="7"/>
  <c r="BX7" i="7"/>
  <c r="CC7" i="7"/>
  <c r="BT7" i="7"/>
  <c r="AL38" i="7"/>
  <c r="AJ38" i="7"/>
  <c r="AO38" i="7"/>
  <c r="AH38" i="7"/>
  <c r="AM38" i="7"/>
  <c r="AL37" i="7"/>
  <c r="AJ37" i="7"/>
  <c r="AO37" i="7"/>
  <c r="AH37" i="7"/>
  <c r="AM37" i="7"/>
  <c r="AL36" i="7"/>
  <c r="AJ36" i="7"/>
  <c r="AO36" i="7"/>
  <c r="AH36" i="7"/>
  <c r="AM36" i="7"/>
  <c r="AL35" i="7"/>
  <c r="AJ35" i="7"/>
  <c r="AO35" i="7"/>
  <c r="AH35" i="7"/>
  <c r="AM35" i="7"/>
  <c r="AD35" i="7"/>
  <c r="AL34" i="7"/>
  <c r="AJ34" i="7"/>
  <c r="AO34" i="7"/>
  <c r="AH34" i="7"/>
  <c r="AM34" i="7"/>
  <c r="AL33" i="7"/>
  <c r="AJ33" i="7"/>
  <c r="AO33" i="7"/>
  <c r="AH33" i="7"/>
  <c r="AM33" i="7"/>
  <c r="AL32" i="7"/>
  <c r="AJ32" i="7"/>
  <c r="AO32" i="7"/>
  <c r="AH32" i="7"/>
  <c r="AM32" i="7"/>
  <c r="AL31" i="7"/>
  <c r="AJ31" i="7"/>
  <c r="AO31" i="7"/>
  <c r="AH31" i="7"/>
  <c r="AM31" i="7"/>
  <c r="AD31" i="7"/>
  <c r="AL30" i="7"/>
  <c r="AJ30" i="7"/>
  <c r="AO30" i="7"/>
  <c r="AH30" i="7"/>
  <c r="AM30" i="7"/>
  <c r="AL29" i="7"/>
  <c r="AJ29" i="7"/>
  <c r="AO29" i="7"/>
  <c r="AH29" i="7"/>
  <c r="AM29" i="7"/>
  <c r="AL28" i="7"/>
  <c r="AJ28" i="7"/>
  <c r="AO28" i="7"/>
  <c r="AH28" i="7"/>
  <c r="AM28" i="7"/>
  <c r="AL27" i="7"/>
  <c r="AJ27" i="7"/>
  <c r="AO27" i="7"/>
  <c r="AH27" i="7"/>
  <c r="AM27" i="7"/>
  <c r="AD27" i="7"/>
  <c r="AL26" i="7"/>
  <c r="AJ26" i="7"/>
  <c r="AO26" i="7"/>
  <c r="AH26" i="7"/>
  <c r="AM26" i="7"/>
  <c r="AL25" i="7"/>
  <c r="AJ25" i="7"/>
  <c r="AO25" i="7"/>
  <c r="AH25" i="7"/>
  <c r="AM25" i="7"/>
  <c r="AL24" i="7"/>
  <c r="AJ24" i="7"/>
  <c r="AO24" i="7"/>
  <c r="AH24" i="7"/>
  <c r="AM24" i="7"/>
  <c r="AL23" i="7"/>
  <c r="AJ23" i="7"/>
  <c r="AO23" i="7"/>
  <c r="AH23" i="7"/>
  <c r="AM23" i="7"/>
  <c r="AD23" i="7"/>
  <c r="AL22" i="7"/>
  <c r="AJ22" i="7"/>
  <c r="AO22" i="7"/>
  <c r="AH22" i="7"/>
  <c r="AM22" i="7"/>
  <c r="AL21" i="7"/>
  <c r="AJ21" i="7"/>
  <c r="AO21" i="7"/>
  <c r="AH21" i="7"/>
  <c r="AM21" i="7"/>
  <c r="AL20" i="7"/>
  <c r="AJ20" i="7"/>
  <c r="AO20" i="7"/>
  <c r="AH20" i="7"/>
  <c r="AM20" i="7"/>
  <c r="AL19" i="7"/>
  <c r="AJ19" i="7"/>
  <c r="AO19" i="7"/>
  <c r="AH19" i="7"/>
  <c r="AM19" i="7"/>
  <c r="AD19" i="7"/>
  <c r="AL18" i="7"/>
  <c r="AJ18" i="7"/>
  <c r="AO18" i="7"/>
  <c r="AH18" i="7"/>
  <c r="AM18" i="7"/>
  <c r="AL17" i="7"/>
  <c r="AJ17" i="7"/>
  <c r="AO17" i="7"/>
  <c r="AH17" i="7"/>
  <c r="AM17" i="7"/>
  <c r="AL16" i="7"/>
  <c r="AJ16" i="7"/>
  <c r="AO16" i="7"/>
  <c r="AH16" i="7"/>
  <c r="AM16" i="7"/>
  <c r="AL15" i="7"/>
  <c r="AJ15" i="7"/>
  <c r="AO15" i="7"/>
  <c r="AH15" i="7"/>
  <c r="AM15" i="7"/>
  <c r="AD15" i="7"/>
  <c r="AL14" i="7"/>
  <c r="AJ14" i="7"/>
  <c r="AO14" i="7"/>
  <c r="AH14" i="7"/>
  <c r="AM14" i="7"/>
  <c r="AL13" i="7"/>
  <c r="AJ13" i="7"/>
  <c r="AO13" i="7"/>
  <c r="AH13" i="7"/>
  <c r="AM13" i="7"/>
  <c r="AL12" i="7"/>
  <c r="AJ12" i="7"/>
  <c r="AO12" i="7"/>
  <c r="AH12" i="7"/>
  <c r="AM12" i="7"/>
  <c r="AL11" i="7"/>
  <c r="AJ11" i="7"/>
  <c r="AO11" i="7"/>
  <c r="AH11" i="7"/>
  <c r="AM11" i="7"/>
  <c r="AD11" i="7"/>
  <c r="AL10" i="7"/>
  <c r="AO10" i="7"/>
  <c r="AH10" i="7"/>
  <c r="AM10" i="7"/>
  <c r="AL9" i="7"/>
  <c r="AO9" i="7"/>
  <c r="AH9" i="7"/>
  <c r="AL8" i="7"/>
  <c r="AO8" i="7"/>
  <c r="AH8" i="7"/>
  <c r="AL7" i="7"/>
  <c r="AO7" i="7"/>
  <c r="AH7" i="7"/>
  <c r="AM7" i="7"/>
  <c r="AD7" i="7"/>
  <c r="X38" i="7"/>
  <c r="V38" i="7"/>
  <c r="AA38" i="7"/>
  <c r="T38" i="7"/>
  <c r="Y38" i="7"/>
  <c r="X37" i="7"/>
  <c r="V37" i="7"/>
  <c r="AA37" i="7"/>
  <c r="T37" i="7"/>
  <c r="Y37" i="7"/>
  <c r="X36" i="7"/>
  <c r="V36" i="7"/>
  <c r="AA36" i="7"/>
  <c r="T36" i="7"/>
  <c r="Y36" i="7"/>
  <c r="X35" i="7"/>
  <c r="V35" i="7"/>
  <c r="AA35" i="7"/>
  <c r="T35" i="7"/>
  <c r="Y35" i="7"/>
  <c r="X34" i="7"/>
  <c r="V34" i="7"/>
  <c r="AA34" i="7"/>
  <c r="T34" i="7"/>
  <c r="Y34" i="7"/>
  <c r="X33" i="7"/>
  <c r="V33" i="7"/>
  <c r="AA33" i="7"/>
  <c r="T33" i="7"/>
  <c r="Y33" i="7"/>
  <c r="X32" i="7"/>
  <c r="V32" i="7"/>
  <c r="AA32" i="7"/>
  <c r="T32" i="7"/>
  <c r="Y32" i="7"/>
  <c r="X31" i="7"/>
  <c r="V31" i="7"/>
  <c r="AA31" i="7"/>
  <c r="T31" i="7"/>
  <c r="Y31" i="7"/>
  <c r="X30" i="7"/>
  <c r="V30" i="7"/>
  <c r="AA30" i="7"/>
  <c r="T30" i="7"/>
  <c r="Y30" i="7"/>
  <c r="X29" i="7"/>
  <c r="V29" i="7"/>
  <c r="AA29" i="7"/>
  <c r="T29" i="7"/>
  <c r="Y29" i="7"/>
  <c r="X28" i="7"/>
  <c r="V28" i="7"/>
  <c r="AA28" i="7"/>
  <c r="T28" i="7"/>
  <c r="Y28" i="7"/>
  <c r="X27" i="7"/>
  <c r="V27" i="7"/>
  <c r="AA27" i="7"/>
  <c r="T27" i="7"/>
  <c r="Y27" i="7"/>
  <c r="X26" i="7"/>
  <c r="V26" i="7"/>
  <c r="AA26" i="7"/>
  <c r="T26" i="7"/>
  <c r="Y26" i="7"/>
  <c r="X25" i="7"/>
  <c r="V25" i="7"/>
  <c r="AA25" i="7"/>
  <c r="T25" i="7"/>
  <c r="Y25" i="7"/>
  <c r="X24" i="7"/>
  <c r="V24" i="7"/>
  <c r="AA24" i="7"/>
  <c r="T24" i="7"/>
  <c r="Y24" i="7"/>
  <c r="X23" i="7"/>
  <c r="V23" i="7"/>
  <c r="AA23" i="7"/>
  <c r="T23" i="7"/>
  <c r="Y23" i="7"/>
  <c r="X22" i="7"/>
  <c r="V22" i="7"/>
  <c r="AA22" i="7"/>
  <c r="T22" i="7"/>
  <c r="Y22" i="7"/>
  <c r="X21" i="7"/>
  <c r="V21" i="7"/>
  <c r="AA21" i="7"/>
  <c r="T21" i="7"/>
  <c r="Y21" i="7"/>
  <c r="X20" i="7"/>
  <c r="V20" i="7"/>
  <c r="AA20" i="7"/>
  <c r="T20" i="7"/>
  <c r="Y20" i="7"/>
  <c r="X19" i="7"/>
  <c r="V19" i="7"/>
  <c r="AA19" i="7"/>
  <c r="T19" i="7"/>
  <c r="Y19" i="7"/>
  <c r="X18" i="7"/>
  <c r="V18" i="7"/>
  <c r="AA18" i="7"/>
  <c r="T18" i="7"/>
  <c r="Y18" i="7"/>
  <c r="X17" i="7"/>
  <c r="V17" i="7"/>
  <c r="AA17" i="7"/>
  <c r="T17" i="7"/>
  <c r="Y17" i="7"/>
  <c r="X16" i="7"/>
  <c r="V16" i="7"/>
  <c r="AA16" i="7"/>
  <c r="T16" i="7"/>
  <c r="Y16" i="7"/>
  <c r="X15" i="7"/>
  <c r="V15" i="7"/>
  <c r="AA15" i="7"/>
  <c r="T15" i="7"/>
  <c r="Y15" i="7"/>
  <c r="X14" i="7"/>
  <c r="V14" i="7"/>
  <c r="AA14" i="7"/>
  <c r="T14" i="7"/>
  <c r="Y14" i="7"/>
  <c r="X13" i="7"/>
  <c r="V13" i="7"/>
  <c r="AA13" i="7"/>
  <c r="T13" i="7"/>
  <c r="Y13" i="7"/>
  <c r="X12" i="7"/>
  <c r="V12" i="7"/>
  <c r="AA12" i="7"/>
  <c r="T12" i="7"/>
  <c r="Y12" i="7"/>
  <c r="X11" i="7"/>
  <c r="V11" i="7"/>
  <c r="AA11" i="7"/>
  <c r="T11" i="7"/>
  <c r="Y11" i="7"/>
  <c r="X10" i="7"/>
  <c r="AA10" i="7"/>
  <c r="T10" i="7"/>
  <c r="Y10" i="7"/>
  <c r="X9" i="7"/>
  <c r="AA9" i="7"/>
  <c r="T9" i="7"/>
  <c r="Y9" i="7"/>
  <c r="X8" i="7"/>
  <c r="AA8" i="7"/>
  <c r="T8" i="7"/>
  <c r="Y8" i="7"/>
  <c r="X7" i="7"/>
  <c r="AA7" i="7"/>
  <c r="T7" i="7"/>
  <c r="Y7" i="7"/>
  <c r="J34" i="7"/>
  <c r="P19" i="7"/>
  <c r="GX12" i="7"/>
  <c r="FV12" i="7"/>
  <c r="JB12" i="7"/>
  <c r="JD12" i="7"/>
  <c r="JF12" i="7"/>
  <c r="JG12" i="7"/>
  <c r="JH12" i="7"/>
  <c r="JI12" i="7"/>
  <c r="JB13" i="7"/>
  <c r="JD13" i="7"/>
  <c r="JF13" i="7"/>
  <c r="JG13" i="7"/>
  <c r="JH13" i="7"/>
  <c r="JI13" i="7"/>
  <c r="DJ43" i="7"/>
  <c r="DJ39" i="7"/>
  <c r="DR7" i="7"/>
  <c r="DS7" i="7"/>
  <c r="DR8" i="7"/>
  <c r="DR12" i="7"/>
  <c r="DR16" i="7"/>
  <c r="DR20" i="7"/>
  <c r="DR24" i="7"/>
  <c r="DR28" i="7"/>
  <c r="DR32" i="7"/>
  <c r="DR36" i="7"/>
  <c r="DS8" i="7"/>
  <c r="DP9" i="7"/>
  <c r="DU9" i="7"/>
  <c r="DR9" i="7"/>
  <c r="DL9" i="7"/>
  <c r="DS9" i="7"/>
  <c r="DP10" i="7"/>
  <c r="DU10" i="7"/>
  <c r="DR10" i="7"/>
  <c r="DL10" i="7"/>
  <c r="DS10" i="7"/>
  <c r="DP11" i="7"/>
  <c r="DR11" i="7"/>
  <c r="DP12" i="7"/>
  <c r="DP13" i="7"/>
  <c r="DU13" i="7"/>
  <c r="DR13" i="7"/>
  <c r="DL13" i="7"/>
  <c r="DS13" i="7"/>
  <c r="DP14" i="7"/>
  <c r="DU14" i="7"/>
  <c r="DR14" i="7"/>
  <c r="DL14" i="7"/>
  <c r="DS14" i="7"/>
  <c r="DP15" i="7"/>
  <c r="DR15" i="7"/>
  <c r="DR19" i="7"/>
  <c r="DR23" i="7"/>
  <c r="DR27" i="7"/>
  <c r="DR31" i="7"/>
  <c r="DR35" i="7"/>
  <c r="DP16" i="7"/>
  <c r="DP17" i="7"/>
  <c r="DU17" i="7"/>
  <c r="DR17" i="7"/>
  <c r="DL17" i="7"/>
  <c r="DS17" i="7"/>
  <c r="DP18" i="7"/>
  <c r="DU18" i="7"/>
  <c r="DR18" i="7"/>
  <c r="DL18" i="7"/>
  <c r="DS18" i="7"/>
  <c r="DP19" i="7"/>
  <c r="DP20" i="7"/>
  <c r="DP21" i="7"/>
  <c r="DU21" i="7"/>
  <c r="DR21" i="7"/>
  <c r="DL21" i="7"/>
  <c r="DS21" i="7"/>
  <c r="DP22" i="7"/>
  <c r="DU22" i="7"/>
  <c r="DR22" i="7"/>
  <c r="DL22" i="7"/>
  <c r="DS22" i="7"/>
  <c r="DP23" i="7"/>
  <c r="DP24" i="7"/>
  <c r="DP25" i="7"/>
  <c r="DU25" i="7"/>
  <c r="DR25" i="7"/>
  <c r="DL25" i="7"/>
  <c r="DS25" i="7"/>
  <c r="DP26" i="7"/>
  <c r="DU26" i="7"/>
  <c r="DR26" i="7"/>
  <c r="DL26" i="7"/>
  <c r="DS26" i="7"/>
  <c r="DP27" i="7"/>
  <c r="DP28" i="7"/>
  <c r="DP29" i="7"/>
  <c r="DU29" i="7"/>
  <c r="DR29" i="7"/>
  <c r="DL29" i="7"/>
  <c r="DS29" i="7"/>
  <c r="DP30" i="7"/>
  <c r="DU30" i="7"/>
  <c r="DR30" i="7"/>
  <c r="DL30" i="7"/>
  <c r="DS30" i="7"/>
  <c r="DP31" i="7"/>
  <c r="DP32" i="7"/>
  <c r="DP33" i="7"/>
  <c r="DU33" i="7"/>
  <c r="DR33" i="7"/>
  <c r="DL33" i="7"/>
  <c r="DS33" i="7"/>
  <c r="DP34" i="7"/>
  <c r="DU34" i="7"/>
  <c r="DR34" i="7"/>
  <c r="DL34" i="7"/>
  <c r="DS34" i="7"/>
  <c r="DP35" i="7"/>
  <c r="DP36" i="7"/>
  <c r="DP37" i="7"/>
  <c r="DR37" i="7"/>
  <c r="DL37" i="7"/>
  <c r="DS37" i="7"/>
  <c r="DP38" i="7"/>
  <c r="DU38" i="7"/>
  <c r="DR38" i="7"/>
  <c r="DL38" i="7"/>
  <c r="DS38" i="7"/>
  <c r="DP39" i="7"/>
  <c r="DU39" i="7"/>
  <c r="DR39" i="7"/>
  <c r="DS39" i="7"/>
  <c r="DP40" i="7"/>
  <c r="DU40" i="7"/>
  <c r="DR40" i="7"/>
  <c r="DS40" i="7"/>
  <c r="DP41" i="7"/>
  <c r="DU41" i="7"/>
  <c r="DR41" i="7"/>
  <c r="DL41" i="7"/>
  <c r="DS41" i="7"/>
  <c r="DP42" i="7"/>
  <c r="DU42" i="7"/>
  <c r="DR42" i="7"/>
  <c r="DL42" i="7"/>
  <c r="DS42" i="7"/>
  <c r="DP43" i="7"/>
  <c r="DU43" i="7"/>
  <c r="DR43" i="7"/>
  <c r="DS43" i="7"/>
  <c r="DP44" i="7"/>
  <c r="DU44" i="7"/>
  <c r="DR44" i="7"/>
  <c r="DS44" i="7"/>
  <c r="DP45" i="7"/>
  <c r="DR45" i="7"/>
  <c r="DL45" i="7"/>
  <c r="DS45" i="7"/>
  <c r="DU45" i="7"/>
  <c r="DP46" i="7"/>
  <c r="DU46" i="7"/>
  <c r="DR46" i="7"/>
  <c r="DL46" i="7"/>
  <c r="DS46" i="7"/>
  <c r="CB39" i="7"/>
  <c r="J38" i="7"/>
  <c r="K7" i="7"/>
  <c r="K8" i="7"/>
  <c r="K9" i="7"/>
  <c r="K39" i="7"/>
  <c r="K40" i="7"/>
  <c r="K41" i="7"/>
  <c r="K42" i="7"/>
  <c r="Y40" i="7"/>
  <c r="Y41" i="7"/>
  <c r="AM39" i="7"/>
  <c r="AM40" i="7"/>
  <c r="AM41" i="7"/>
  <c r="AM42" i="7"/>
  <c r="CC39" i="7"/>
  <c r="CC40" i="7"/>
  <c r="CC41" i="7"/>
  <c r="CC42" i="7"/>
  <c r="K43" i="7"/>
  <c r="K44" i="7"/>
  <c r="K45" i="7"/>
  <c r="Y43" i="7"/>
  <c r="Y44" i="7"/>
  <c r="Y45" i="7"/>
  <c r="Y46" i="7"/>
  <c r="AM43" i="7"/>
  <c r="AM44" i="7"/>
  <c r="AM46" i="7"/>
  <c r="CC43" i="7"/>
  <c r="CC45" i="7"/>
  <c r="K47" i="7"/>
  <c r="K48" i="7"/>
  <c r="K50" i="7"/>
  <c r="Y47" i="7"/>
  <c r="Y48" i="7"/>
  <c r="Y49" i="7"/>
  <c r="Y50" i="7"/>
  <c r="AM47" i="7"/>
  <c r="AM48" i="7"/>
  <c r="AM49" i="7"/>
  <c r="AM50" i="7"/>
  <c r="CC47" i="7"/>
  <c r="CC48" i="7"/>
  <c r="CC49" i="7"/>
  <c r="CC50" i="7"/>
  <c r="K51" i="7"/>
  <c r="K52" i="7"/>
  <c r="K53" i="7"/>
  <c r="Y51" i="7"/>
  <c r="Y52" i="7"/>
  <c r="Y53" i="7"/>
  <c r="Y54" i="7"/>
  <c r="AM51" i="7"/>
  <c r="AM52" i="7"/>
  <c r="AM53" i="7"/>
  <c r="AM54" i="7"/>
  <c r="CC51" i="7"/>
  <c r="CC52" i="7"/>
  <c r="CC53" i="7"/>
  <c r="CC54" i="7"/>
  <c r="K55" i="7"/>
  <c r="K56" i="7"/>
  <c r="K57" i="7"/>
  <c r="K58" i="7"/>
  <c r="Y55" i="7"/>
  <c r="Y56" i="7"/>
  <c r="Y57" i="7"/>
  <c r="Y58" i="7"/>
  <c r="AM55" i="7"/>
  <c r="AM56" i="7"/>
  <c r="AM57" i="7"/>
  <c r="AM58" i="7"/>
  <c r="CC55" i="7"/>
  <c r="CC56" i="7"/>
  <c r="CC57" i="7"/>
  <c r="CC58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GM5" i="7"/>
  <c r="GH5" i="7"/>
  <c r="GH6" i="7"/>
  <c r="GH7" i="7"/>
  <c r="GH8" i="7"/>
  <c r="GH10" i="7"/>
  <c r="GM12" i="7"/>
  <c r="GM13" i="7"/>
  <c r="GM14" i="7"/>
  <c r="GM15" i="7"/>
  <c r="GM16" i="7"/>
  <c r="GM18" i="7"/>
  <c r="GM19" i="7"/>
  <c r="GM20" i="7"/>
  <c r="GM21" i="7"/>
  <c r="GM22" i="7"/>
  <c r="GM23" i="7"/>
  <c r="GM24" i="7"/>
  <c r="GM25" i="7"/>
  <c r="GM26" i="7"/>
  <c r="GM27" i="7"/>
  <c r="GM28" i="7"/>
  <c r="GM29" i="7"/>
  <c r="GM30" i="7"/>
  <c r="GM31" i="7"/>
  <c r="GM32" i="7"/>
  <c r="GM34" i="7"/>
  <c r="GM35" i="7"/>
  <c r="GM36" i="7"/>
  <c r="GM37" i="7"/>
  <c r="GM38" i="7"/>
  <c r="GM39" i="7"/>
  <c r="GM40" i="7"/>
  <c r="GM41" i="7"/>
  <c r="GM42" i="7"/>
  <c r="GM43" i="7"/>
  <c r="GM44" i="7"/>
  <c r="GM45" i="7"/>
  <c r="GM46" i="7"/>
  <c r="GM47" i="7"/>
  <c r="GM48" i="7"/>
  <c r="GM49" i="7"/>
  <c r="GM50" i="7"/>
  <c r="GM52" i="7"/>
  <c r="GM53" i="7"/>
  <c r="GM54" i="7"/>
  <c r="GM55" i="7"/>
  <c r="HA12" i="7"/>
  <c r="HA13" i="7"/>
  <c r="HA14" i="7"/>
  <c r="HA15" i="7"/>
  <c r="HA16" i="7"/>
  <c r="HA18" i="7"/>
  <c r="HA19" i="7"/>
  <c r="HA20" i="7"/>
  <c r="HA21" i="7"/>
  <c r="HA22" i="7"/>
  <c r="HA23" i="7"/>
  <c r="HA24" i="7"/>
  <c r="HA25" i="7"/>
  <c r="HA26" i="7"/>
  <c r="HA27" i="7"/>
  <c r="HA28" i="7"/>
  <c r="HA29" i="7"/>
  <c r="HA30" i="7"/>
  <c r="HA31" i="7"/>
  <c r="HA32" i="7"/>
  <c r="HA33" i="7"/>
  <c r="HA34" i="7"/>
  <c r="HA35" i="7"/>
  <c r="HA36" i="7"/>
  <c r="HA37" i="7"/>
  <c r="HA38" i="7"/>
  <c r="HA40" i="7"/>
  <c r="HA41" i="7"/>
  <c r="HA42" i="7"/>
  <c r="HA43" i="7"/>
  <c r="HA44" i="7"/>
  <c r="HA45" i="7"/>
  <c r="HA46" i="7"/>
  <c r="HA47" i="7"/>
  <c r="HA48" i="7"/>
  <c r="HA49" i="7"/>
  <c r="HA50" i="7"/>
  <c r="HA52" i="7"/>
  <c r="HA53" i="7"/>
  <c r="HA54" i="7"/>
  <c r="HA55" i="7"/>
  <c r="EW12" i="7"/>
  <c r="EW13" i="7"/>
  <c r="EW14" i="7"/>
  <c r="EW15" i="7"/>
  <c r="EW16" i="7"/>
  <c r="EW18" i="7"/>
  <c r="EW19" i="7"/>
  <c r="EW21" i="7"/>
  <c r="EW22" i="7"/>
  <c r="EW23" i="7"/>
  <c r="EW24" i="7"/>
  <c r="EW25" i="7"/>
  <c r="EW26" i="7"/>
  <c r="EW27" i="7"/>
  <c r="EW28" i="7"/>
  <c r="EW29" i="7"/>
  <c r="EW30" i="7"/>
  <c r="EW31" i="7"/>
  <c r="EW33" i="7"/>
  <c r="EW34" i="7"/>
  <c r="EW35" i="7"/>
  <c r="EW36" i="7"/>
  <c r="EW37" i="7"/>
  <c r="EW38" i="7"/>
  <c r="EW39" i="7"/>
  <c r="EW40" i="7"/>
  <c r="EW41" i="7"/>
  <c r="EW42" i="7"/>
  <c r="EW43" i="7"/>
  <c r="EW45" i="7"/>
  <c r="EW46" i="7"/>
  <c r="EW47" i="7"/>
  <c r="EW48" i="7"/>
  <c r="EW49" i="7"/>
  <c r="EW50" i="7"/>
  <c r="EW52" i="7"/>
  <c r="EW53" i="7"/>
  <c r="EW54" i="7"/>
  <c r="FK12" i="7"/>
  <c r="FK13" i="7"/>
  <c r="FK14" i="7"/>
  <c r="FK15" i="7"/>
  <c r="FK18" i="7"/>
  <c r="FK19" i="7"/>
  <c r="FK20" i="7"/>
  <c r="FK21" i="7"/>
  <c r="FK22" i="7"/>
  <c r="FK23" i="7"/>
  <c r="FK24" i="7"/>
  <c r="FK25" i="7"/>
  <c r="FK26" i="7"/>
  <c r="FK27" i="7"/>
  <c r="FK28" i="7"/>
  <c r="FK29" i="7"/>
  <c r="FK30" i="7"/>
  <c r="FK31" i="7"/>
  <c r="FK32" i="7"/>
  <c r="FK33" i="7"/>
  <c r="FK34" i="7"/>
  <c r="FK35" i="7"/>
  <c r="FK36" i="7"/>
  <c r="FK37" i="7"/>
  <c r="FK38" i="7"/>
  <c r="FK39" i="7"/>
  <c r="FK40" i="7"/>
  <c r="FK41" i="7"/>
  <c r="FK42" i="7"/>
  <c r="FK43" i="7"/>
  <c r="FK44" i="7"/>
  <c r="FK45" i="7"/>
  <c r="FK46" i="7"/>
  <c r="FK47" i="7"/>
  <c r="FK48" i="7"/>
  <c r="FK49" i="7"/>
  <c r="FK50" i="7"/>
  <c r="FK52" i="7"/>
  <c r="FK53" i="7"/>
  <c r="FK55" i="7"/>
  <c r="FY12" i="7"/>
  <c r="FY13" i="7"/>
  <c r="FY14" i="7"/>
  <c r="FY15" i="7"/>
  <c r="FY18" i="7"/>
  <c r="FY19" i="7"/>
  <c r="FY20" i="7"/>
  <c r="FY21" i="7"/>
  <c r="FY22" i="7"/>
  <c r="FY23" i="7"/>
  <c r="FY24" i="7"/>
  <c r="FY25" i="7"/>
  <c r="FY26" i="7"/>
  <c r="FY27" i="7"/>
  <c r="FY28" i="7"/>
  <c r="FY29" i="7"/>
  <c r="FY30" i="7"/>
  <c r="FY31" i="7"/>
  <c r="FY32" i="7"/>
  <c r="FY33" i="7"/>
  <c r="FY34" i="7"/>
  <c r="FY36" i="7"/>
  <c r="FY37" i="7"/>
  <c r="FY38" i="7"/>
  <c r="FY39" i="7"/>
  <c r="FY40" i="7"/>
  <c r="FY41" i="7"/>
  <c r="FY42" i="7"/>
  <c r="FY43" i="7"/>
  <c r="FY44" i="7"/>
  <c r="FY46" i="7"/>
  <c r="FY47" i="7"/>
  <c r="FY49" i="7"/>
  <c r="FY50" i="7"/>
  <c r="FY52" i="7"/>
  <c r="FY53" i="7"/>
  <c r="FY54" i="7"/>
  <c r="FY55" i="7"/>
  <c r="IE12" i="7"/>
  <c r="IF12" i="7"/>
  <c r="IG12" i="7"/>
  <c r="IE13" i="7"/>
  <c r="IF13" i="7"/>
  <c r="IG13" i="7"/>
  <c r="IE14" i="7"/>
  <c r="IF14" i="7"/>
  <c r="IG14" i="7"/>
  <c r="IE15" i="7"/>
  <c r="IF15" i="7"/>
  <c r="IG15" i="7"/>
  <c r="IE16" i="7"/>
  <c r="IF16" i="7"/>
  <c r="IG16" i="7"/>
  <c r="IE18" i="7"/>
  <c r="IF18" i="7"/>
  <c r="IG18" i="7"/>
  <c r="IE19" i="7"/>
  <c r="IF19" i="7"/>
  <c r="IG19" i="7"/>
  <c r="IE20" i="7"/>
  <c r="IF20" i="7"/>
  <c r="IG20" i="7"/>
  <c r="IE21" i="7"/>
  <c r="IF21" i="7"/>
  <c r="IG21" i="7"/>
  <c r="IE22" i="7"/>
  <c r="IF22" i="7"/>
  <c r="IG22" i="7"/>
  <c r="IE23" i="7"/>
  <c r="IF23" i="7"/>
  <c r="IG23" i="7"/>
  <c r="IF24" i="7"/>
  <c r="IG24" i="7"/>
  <c r="IF25" i="7"/>
  <c r="IG25" i="7"/>
  <c r="IF26" i="7"/>
  <c r="IG26" i="7"/>
  <c r="IF27" i="7"/>
  <c r="IG27" i="7"/>
  <c r="IF28" i="7"/>
  <c r="IF29" i="7"/>
  <c r="IG29" i="7"/>
  <c r="IF30" i="7"/>
  <c r="IG30" i="7"/>
  <c r="IF31" i="7"/>
  <c r="IG31" i="7"/>
  <c r="IF32" i="7"/>
  <c r="IG32" i="7"/>
  <c r="IF33" i="7"/>
  <c r="IG33" i="7"/>
  <c r="IF34" i="7"/>
  <c r="IG34" i="7"/>
  <c r="IF35" i="7"/>
  <c r="IG35" i="7"/>
  <c r="IF36" i="7"/>
  <c r="IG36" i="7"/>
  <c r="IF37" i="7"/>
  <c r="IG37" i="7"/>
  <c r="IF38" i="7"/>
  <c r="IG38" i="7"/>
  <c r="IF39" i="7"/>
  <c r="IG39" i="7"/>
  <c r="IF40" i="7"/>
  <c r="IG40" i="7"/>
  <c r="IF41" i="7"/>
  <c r="IG41" i="7"/>
  <c r="IF42" i="7"/>
  <c r="IG42" i="7"/>
  <c r="IF43" i="7"/>
  <c r="IF44" i="7"/>
  <c r="IG44" i="7"/>
  <c r="IF45" i="7"/>
  <c r="IG45" i="7"/>
  <c r="IF46" i="7"/>
  <c r="IG46" i="7"/>
  <c r="IF47" i="7"/>
  <c r="IG47" i="7"/>
  <c r="IF48" i="7"/>
  <c r="IG48" i="7"/>
  <c r="IF49" i="7"/>
  <c r="IG49" i="7"/>
  <c r="IF50" i="7"/>
  <c r="IG50" i="7"/>
  <c r="IF52" i="7"/>
  <c r="IG52" i="7"/>
  <c r="IF53" i="7"/>
  <c r="IF54" i="7"/>
  <c r="IG54" i="7"/>
  <c r="IF55" i="7"/>
  <c r="IG55" i="7"/>
  <c r="IS12" i="7"/>
  <c r="IT12" i="7"/>
  <c r="IU12" i="7"/>
  <c r="IS13" i="7"/>
  <c r="IT13" i="7"/>
  <c r="IU13" i="7"/>
  <c r="IS14" i="7"/>
  <c r="IT14" i="7"/>
  <c r="IU14" i="7"/>
  <c r="IS15" i="7"/>
  <c r="IT15" i="7"/>
  <c r="IU15" i="7"/>
  <c r="IS18" i="7"/>
  <c r="IT18" i="7"/>
  <c r="IU18" i="7"/>
  <c r="IS19" i="7"/>
  <c r="IT19" i="7"/>
  <c r="IU19" i="7"/>
  <c r="IS20" i="7"/>
  <c r="IT20" i="7"/>
  <c r="IU20" i="7"/>
  <c r="IS21" i="7"/>
  <c r="IT21" i="7"/>
  <c r="IU21" i="7"/>
  <c r="IS22" i="7"/>
  <c r="IT22" i="7"/>
  <c r="IU22" i="7"/>
  <c r="IS23" i="7"/>
  <c r="IT23" i="7"/>
  <c r="IU23" i="7"/>
  <c r="IT24" i="7"/>
  <c r="IU24" i="7"/>
  <c r="IT25" i="7"/>
  <c r="IU25" i="7"/>
  <c r="IT26" i="7"/>
  <c r="IU26" i="7"/>
  <c r="IT27" i="7"/>
  <c r="IU27" i="7"/>
  <c r="IT28" i="7"/>
  <c r="IU28" i="7"/>
  <c r="IT29" i="7"/>
  <c r="IU29" i="7"/>
  <c r="IT30" i="7"/>
  <c r="IU30" i="7"/>
  <c r="IT31" i="7"/>
  <c r="IU31" i="7"/>
  <c r="IT32" i="7"/>
  <c r="IU32" i="7"/>
  <c r="IT33" i="7"/>
  <c r="IT34" i="7"/>
  <c r="IU34" i="7"/>
  <c r="IT35" i="7"/>
  <c r="IU35" i="7"/>
  <c r="IT36" i="7"/>
  <c r="IU36" i="7"/>
  <c r="IT37" i="7"/>
  <c r="IU37" i="7"/>
  <c r="IT38" i="7"/>
  <c r="IU38" i="7"/>
  <c r="IT39" i="7"/>
  <c r="IU39" i="7"/>
  <c r="IT40" i="7"/>
  <c r="IU40" i="7"/>
  <c r="IT41" i="7"/>
  <c r="IU41" i="7"/>
  <c r="IT42" i="7"/>
  <c r="IU42" i="7"/>
  <c r="IT43" i="7"/>
  <c r="IU43" i="7"/>
  <c r="IT44" i="7"/>
  <c r="IU44" i="7"/>
  <c r="IT45" i="7"/>
  <c r="IT46" i="7"/>
  <c r="IT47" i="7"/>
  <c r="IU47" i="7"/>
  <c r="IT48" i="7"/>
  <c r="IU48" i="7"/>
  <c r="IT49" i="7"/>
  <c r="IU49" i="7"/>
  <c r="IT50" i="7"/>
  <c r="IU50" i="7"/>
  <c r="IT52" i="7"/>
  <c r="IU52" i="7"/>
  <c r="IT53" i="7"/>
  <c r="IU53" i="7"/>
  <c r="IT54" i="7"/>
  <c r="IU54" i="7"/>
  <c r="IT55" i="7"/>
  <c r="IU55" i="7"/>
  <c r="JG14" i="7"/>
  <c r="JH14" i="7"/>
  <c r="JI14" i="7"/>
  <c r="JG15" i="7"/>
  <c r="JH15" i="7"/>
  <c r="JI15" i="7"/>
  <c r="JG16" i="7"/>
  <c r="JH16" i="7"/>
  <c r="JI16" i="7"/>
  <c r="JG18" i="7"/>
  <c r="JH18" i="7"/>
  <c r="JI18" i="7"/>
  <c r="JG19" i="7"/>
  <c r="JH19" i="7"/>
  <c r="JI19" i="7"/>
  <c r="JG20" i="7"/>
  <c r="JH20" i="7"/>
  <c r="JI20" i="7"/>
  <c r="JG21" i="7"/>
  <c r="JH21" i="7"/>
  <c r="JI21" i="7"/>
  <c r="JG22" i="7"/>
  <c r="JH22" i="7"/>
  <c r="JI22" i="7"/>
  <c r="JG23" i="7"/>
  <c r="JH23" i="7"/>
  <c r="JI23" i="7"/>
  <c r="JH24" i="7"/>
  <c r="JI24" i="7"/>
  <c r="JH25" i="7"/>
  <c r="JI25" i="7"/>
  <c r="JH26" i="7"/>
  <c r="JI26" i="7"/>
  <c r="JH27" i="7"/>
  <c r="JI27" i="7"/>
  <c r="JH28" i="7"/>
  <c r="JI28" i="7"/>
  <c r="JH29" i="7"/>
  <c r="JH30" i="7"/>
  <c r="JI30" i="7"/>
  <c r="JH31" i="7"/>
  <c r="JI31" i="7"/>
  <c r="JH32" i="7"/>
  <c r="JI32" i="7"/>
  <c r="JH33" i="7"/>
  <c r="JI33" i="7"/>
  <c r="JH34" i="7"/>
  <c r="JI34" i="7"/>
  <c r="JH35" i="7"/>
  <c r="JI35" i="7"/>
  <c r="JH36" i="7"/>
  <c r="JI36" i="7"/>
  <c r="JH37" i="7"/>
  <c r="JI37" i="7"/>
  <c r="JH38" i="7"/>
  <c r="JI38" i="7"/>
  <c r="JH39" i="7"/>
  <c r="JI39" i="7"/>
  <c r="JH40" i="7"/>
  <c r="JH41" i="7"/>
  <c r="JH42" i="7"/>
  <c r="JI42" i="7"/>
  <c r="JH43" i="7"/>
  <c r="JI43" i="7"/>
  <c r="JH44" i="7"/>
  <c r="JI44" i="7"/>
  <c r="JH45" i="7"/>
  <c r="JI45" i="7"/>
  <c r="JH46" i="7"/>
  <c r="JI46" i="7"/>
  <c r="JH47" i="7"/>
  <c r="JI47" i="7"/>
  <c r="JH48" i="7"/>
  <c r="JI48" i="7"/>
  <c r="JH49" i="7"/>
  <c r="JI49" i="7"/>
  <c r="JH50" i="7"/>
  <c r="JI50" i="7"/>
  <c r="JH52" i="7"/>
  <c r="JI52" i="7"/>
  <c r="JH53" i="7"/>
  <c r="JI53" i="7"/>
  <c r="JH54" i="7"/>
  <c r="JI54" i="7"/>
  <c r="JH55" i="7"/>
  <c r="JY4" i="7"/>
  <c r="JW12" i="7"/>
  <c r="JX12" i="7"/>
  <c r="JY12" i="7"/>
  <c r="JW13" i="7"/>
  <c r="JX13" i="7"/>
  <c r="JY13" i="7"/>
  <c r="JW14" i="7"/>
  <c r="JX14" i="7"/>
  <c r="JY14" i="7"/>
  <c r="JW15" i="7"/>
  <c r="JX15" i="7"/>
  <c r="JY15" i="7"/>
  <c r="JW16" i="7"/>
  <c r="JX16" i="7"/>
  <c r="JY16" i="7"/>
  <c r="JW18" i="7"/>
  <c r="JX18" i="7"/>
  <c r="JY18" i="7"/>
  <c r="JW19" i="7"/>
  <c r="JX19" i="7"/>
  <c r="JY19" i="7"/>
  <c r="JW20" i="7"/>
  <c r="JX20" i="7"/>
  <c r="JY20" i="7"/>
  <c r="JW21" i="7"/>
  <c r="JX21" i="7"/>
  <c r="JY21" i="7"/>
  <c r="JW22" i="7"/>
  <c r="JX22" i="7"/>
  <c r="JY22" i="7"/>
  <c r="JW23" i="7"/>
  <c r="JX23" i="7"/>
  <c r="JY23" i="7"/>
  <c r="JX24" i="7"/>
  <c r="JY24" i="7"/>
  <c r="JX25" i="7"/>
  <c r="JY25" i="7"/>
  <c r="JX26" i="7"/>
  <c r="JY26" i="7"/>
  <c r="JX27" i="7"/>
  <c r="JY27" i="7"/>
  <c r="JX28" i="7"/>
  <c r="JY28" i="7"/>
  <c r="JX29" i="7"/>
  <c r="JX30" i="7"/>
  <c r="JY30" i="7"/>
  <c r="JX31" i="7"/>
  <c r="JY31" i="7"/>
  <c r="JX32" i="7"/>
  <c r="JY32" i="7"/>
  <c r="JX33" i="7"/>
  <c r="JY33" i="7"/>
  <c r="JX34" i="7"/>
  <c r="JY34" i="7"/>
  <c r="JX35" i="7"/>
  <c r="JY35" i="7"/>
  <c r="JX36" i="7"/>
  <c r="JY36" i="7"/>
  <c r="JX37" i="7"/>
  <c r="JY37" i="7"/>
  <c r="JX38" i="7"/>
  <c r="JY38" i="7"/>
  <c r="JX39" i="7"/>
  <c r="JY39" i="7"/>
  <c r="JX40" i="7"/>
  <c r="JY40" i="7"/>
  <c r="JX41" i="7"/>
  <c r="JX42" i="7"/>
  <c r="JY42" i="7"/>
  <c r="JX43" i="7"/>
  <c r="JX44" i="7"/>
  <c r="JY44" i="7"/>
  <c r="JX45" i="7"/>
  <c r="JY45" i="7"/>
  <c r="JX46" i="7"/>
  <c r="JY46" i="7"/>
  <c r="JX47" i="7"/>
  <c r="JY47" i="7"/>
  <c r="JX48" i="7"/>
  <c r="JY48" i="7"/>
  <c r="JX49" i="7"/>
  <c r="JY49" i="7"/>
  <c r="JX50" i="7"/>
  <c r="JY50" i="7"/>
  <c r="JX52" i="7"/>
  <c r="JY52" i="7"/>
  <c r="JX53" i="7"/>
  <c r="JY53" i="7"/>
  <c r="JX54" i="7"/>
  <c r="JY54" i="7"/>
  <c r="JX55" i="7"/>
  <c r="JY55" i="7"/>
  <c r="GB4" i="7"/>
  <c r="GF4" i="7"/>
  <c r="GJ4" i="7"/>
  <c r="GJ5" i="7"/>
  <c r="GJ6" i="7"/>
  <c r="GJ7" i="7"/>
  <c r="GJ8" i="7"/>
  <c r="GJ9" i="7"/>
  <c r="GJ10" i="7"/>
  <c r="GJ11" i="7"/>
  <c r="HD4" i="7"/>
  <c r="HJ4" i="7"/>
  <c r="HP4" i="7"/>
  <c r="GB5" i="7"/>
  <c r="GF5" i="7"/>
  <c r="HD5" i="7"/>
  <c r="HJ5" i="7"/>
  <c r="HP5" i="7"/>
  <c r="GB6" i="7"/>
  <c r="GF6" i="7"/>
  <c r="HD6" i="7"/>
  <c r="HJ6" i="7"/>
  <c r="HP6" i="7"/>
  <c r="F7" i="7"/>
  <c r="J7" i="7"/>
  <c r="J11" i="7"/>
  <c r="J15" i="7"/>
  <c r="J19" i="7"/>
  <c r="J23" i="7"/>
  <c r="J27" i="7"/>
  <c r="J31" i="7"/>
  <c r="J35" i="7"/>
  <c r="P7" i="7"/>
  <c r="GB7" i="7"/>
  <c r="GF7" i="7"/>
  <c r="DJ7" i="7"/>
  <c r="DN7" i="7"/>
  <c r="HD7" i="7"/>
  <c r="HJ7" i="7"/>
  <c r="HP7" i="7"/>
  <c r="F8" i="7"/>
  <c r="J8" i="7"/>
  <c r="GB8" i="7"/>
  <c r="GF8" i="7"/>
  <c r="DN8" i="7"/>
  <c r="HD8" i="7"/>
  <c r="HJ8" i="7"/>
  <c r="HP8" i="7"/>
  <c r="F9" i="7"/>
  <c r="J9" i="7"/>
  <c r="J13" i="7"/>
  <c r="J17" i="7"/>
  <c r="J21" i="7"/>
  <c r="J25" i="7"/>
  <c r="J29" i="7"/>
  <c r="J33" i="7"/>
  <c r="J37" i="7"/>
  <c r="GB9" i="7"/>
  <c r="GF9" i="7"/>
  <c r="GH9" i="7"/>
  <c r="DN9" i="7"/>
  <c r="HD9" i="7"/>
  <c r="HJ9" i="7"/>
  <c r="HP9" i="7"/>
  <c r="F10" i="7"/>
  <c r="J10" i="7"/>
  <c r="GB10" i="7"/>
  <c r="GF10" i="7"/>
  <c r="DN10" i="7"/>
  <c r="HD10" i="7"/>
  <c r="HJ10" i="7"/>
  <c r="HP10" i="7"/>
  <c r="F11" i="7"/>
  <c r="P11" i="7"/>
  <c r="GB11" i="7"/>
  <c r="GF11" i="7"/>
  <c r="GH11" i="7"/>
  <c r="DJ11" i="7"/>
  <c r="DN11" i="7"/>
  <c r="HD11" i="7"/>
  <c r="HJ11" i="7"/>
  <c r="HP11" i="7"/>
  <c r="F12" i="7"/>
  <c r="J12" i="7"/>
  <c r="J16" i="7"/>
  <c r="J20" i="7"/>
  <c r="J24" i="7"/>
  <c r="J28" i="7"/>
  <c r="J32" i="7"/>
  <c r="J36" i="7"/>
  <c r="GB12" i="7"/>
  <c r="GF12" i="7"/>
  <c r="GH12" i="7"/>
  <c r="GJ12" i="7"/>
  <c r="GP12" i="7"/>
  <c r="GT12" i="7"/>
  <c r="GV12" i="7"/>
  <c r="EL12" i="7"/>
  <c r="EP12" i="7"/>
  <c r="ER12" i="7"/>
  <c r="ET12" i="7"/>
  <c r="EZ12" i="7"/>
  <c r="FD12" i="7"/>
  <c r="FF12" i="7"/>
  <c r="FH12" i="7"/>
  <c r="FN12" i="7"/>
  <c r="FR12" i="7"/>
  <c r="FT12" i="7"/>
  <c r="HV12" i="7"/>
  <c r="HZ12" i="7"/>
  <c r="IB12" i="7"/>
  <c r="ID12" i="7"/>
  <c r="IJ12" i="7"/>
  <c r="IN12" i="7"/>
  <c r="IP12" i="7"/>
  <c r="IR12" i="7"/>
  <c r="IX12" i="7"/>
  <c r="DN12" i="7"/>
  <c r="JL12" i="7"/>
  <c r="JP12" i="7"/>
  <c r="JR12" i="7"/>
  <c r="JT12" i="7"/>
  <c r="JV12" i="7"/>
  <c r="HD12" i="7"/>
  <c r="HJ12" i="7"/>
  <c r="HP12" i="7"/>
  <c r="F13" i="7"/>
  <c r="GB13" i="7"/>
  <c r="GF13" i="7"/>
  <c r="GH13" i="7"/>
  <c r="GJ13" i="7"/>
  <c r="GP13" i="7"/>
  <c r="GT13" i="7"/>
  <c r="GV13" i="7"/>
  <c r="GX13" i="7"/>
  <c r="EL13" i="7"/>
  <c r="EP13" i="7"/>
  <c r="ER13" i="7"/>
  <c r="ET13" i="7"/>
  <c r="EZ13" i="7"/>
  <c r="FD13" i="7"/>
  <c r="FF13" i="7"/>
  <c r="FH13" i="7"/>
  <c r="FN13" i="7"/>
  <c r="FR13" i="7"/>
  <c r="FT13" i="7"/>
  <c r="FV13" i="7"/>
  <c r="HV13" i="7"/>
  <c r="HZ13" i="7"/>
  <c r="IB13" i="7"/>
  <c r="ID13" i="7"/>
  <c r="IJ13" i="7"/>
  <c r="IN13" i="7"/>
  <c r="IP13" i="7"/>
  <c r="IR13" i="7"/>
  <c r="IX13" i="7"/>
  <c r="DN13" i="7"/>
  <c r="JL13" i="7"/>
  <c r="JP13" i="7"/>
  <c r="JR13" i="7"/>
  <c r="JT13" i="7"/>
  <c r="JV13" i="7"/>
  <c r="HD13" i="7"/>
  <c r="HJ13" i="7"/>
  <c r="HP13" i="7"/>
  <c r="F14" i="7"/>
  <c r="J14" i="7"/>
  <c r="J18" i="7"/>
  <c r="J22" i="7"/>
  <c r="GB14" i="7"/>
  <c r="GD14" i="7"/>
  <c r="GF14" i="7"/>
  <c r="GH14" i="7"/>
  <c r="GJ14" i="7"/>
  <c r="GP14" i="7"/>
  <c r="GR14" i="7"/>
  <c r="GT14" i="7"/>
  <c r="GV14" i="7"/>
  <c r="GX14" i="7"/>
  <c r="EL14" i="7"/>
  <c r="EN14" i="7"/>
  <c r="EP14" i="7"/>
  <c r="ER14" i="7"/>
  <c r="ET14" i="7"/>
  <c r="EZ14" i="7"/>
  <c r="FB14" i="7"/>
  <c r="FD14" i="7"/>
  <c r="FF14" i="7"/>
  <c r="FH14" i="7"/>
  <c r="FN14" i="7"/>
  <c r="FP14" i="7"/>
  <c r="FR14" i="7"/>
  <c r="FT14" i="7"/>
  <c r="FV14" i="7"/>
  <c r="HV14" i="7"/>
  <c r="HX14" i="7"/>
  <c r="HZ14" i="7"/>
  <c r="IB14" i="7"/>
  <c r="ID14" i="7"/>
  <c r="IJ14" i="7"/>
  <c r="IL14" i="7"/>
  <c r="IN14" i="7"/>
  <c r="IP14" i="7"/>
  <c r="IR14" i="7"/>
  <c r="IX14" i="7"/>
  <c r="IZ14" i="7"/>
  <c r="JB14" i="7"/>
  <c r="JD14" i="7"/>
  <c r="JF14" i="7"/>
  <c r="DN14" i="7"/>
  <c r="JL14" i="7"/>
  <c r="JN14" i="7"/>
  <c r="JP14" i="7"/>
  <c r="JR14" i="7"/>
  <c r="JT14" i="7"/>
  <c r="JV14" i="7"/>
  <c r="HD14" i="7"/>
  <c r="HF14" i="7"/>
  <c r="HJ14" i="7"/>
  <c r="HL14" i="7"/>
  <c r="HP14" i="7"/>
  <c r="HR14" i="7"/>
  <c r="F15" i="7"/>
  <c r="P15" i="7"/>
  <c r="GB15" i="7"/>
  <c r="GD15" i="7"/>
  <c r="GF15" i="7"/>
  <c r="GH15" i="7"/>
  <c r="GJ15" i="7"/>
  <c r="GP15" i="7"/>
  <c r="GR15" i="7"/>
  <c r="GT15" i="7"/>
  <c r="GV15" i="7"/>
  <c r="GX15" i="7"/>
  <c r="EL15" i="7"/>
  <c r="EN15" i="7"/>
  <c r="EP15" i="7"/>
  <c r="ER15" i="7"/>
  <c r="ET15" i="7"/>
  <c r="EZ15" i="7"/>
  <c r="FB15" i="7"/>
  <c r="FD15" i="7"/>
  <c r="FF15" i="7"/>
  <c r="FH15" i="7"/>
  <c r="FN15" i="7"/>
  <c r="FP15" i="7"/>
  <c r="FR15" i="7"/>
  <c r="FT15" i="7"/>
  <c r="FV15" i="7"/>
  <c r="HV15" i="7"/>
  <c r="HX15" i="7"/>
  <c r="HZ15" i="7"/>
  <c r="IB15" i="7"/>
  <c r="ID15" i="7"/>
  <c r="IJ15" i="7"/>
  <c r="IL15" i="7"/>
  <c r="IN15" i="7"/>
  <c r="IP15" i="7"/>
  <c r="IR15" i="7"/>
  <c r="IX15" i="7"/>
  <c r="IZ15" i="7"/>
  <c r="JB15" i="7"/>
  <c r="JD15" i="7"/>
  <c r="JF15" i="7"/>
  <c r="DJ15" i="7"/>
  <c r="DN15" i="7"/>
  <c r="JL15" i="7"/>
  <c r="JN15" i="7"/>
  <c r="JP15" i="7"/>
  <c r="JR15" i="7"/>
  <c r="JT15" i="7"/>
  <c r="JV15" i="7"/>
  <c r="HD15" i="7"/>
  <c r="HF15" i="7"/>
  <c r="HJ15" i="7"/>
  <c r="HL15" i="7"/>
  <c r="HP15" i="7"/>
  <c r="HR15" i="7"/>
  <c r="F16" i="7"/>
  <c r="GD16" i="7"/>
  <c r="GF16" i="7"/>
  <c r="GH16" i="7"/>
  <c r="GJ16" i="7"/>
  <c r="GR16" i="7"/>
  <c r="GT16" i="7"/>
  <c r="GV16" i="7"/>
  <c r="GX16" i="7"/>
  <c r="EN16" i="7"/>
  <c r="EP16" i="7"/>
  <c r="ER16" i="7"/>
  <c r="ET16" i="7"/>
  <c r="HX16" i="7"/>
  <c r="HZ16" i="7"/>
  <c r="IB16" i="7"/>
  <c r="ID16" i="7"/>
  <c r="IZ16" i="7"/>
  <c r="JB16" i="7"/>
  <c r="JD16" i="7"/>
  <c r="JF16" i="7"/>
  <c r="DN16" i="7"/>
  <c r="JN16" i="7"/>
  <c r="JP16" i="7"/>
  <c r="JR16" i="7"/>
  <c r="JT16" i="7"/>
  <c r="JV16" i="7"/>
  <c r="HR16" i="7"/>
  <c r="F17" i="7"/>
  <c r="GJ17" i="7"/>
  <c r="GM17" i="7"/>
  <c r="GX17" i="7"/>
  <c r="HA17" i="7"/>
  <c r="ET17" i="7"/>
  <c r="EW17" i="7"/>
  <c r="FH17" i="7"/>
  <c r="FK17" i="7"/>
  <c r="FV17" i="7"/>
  <c r="FY17" i="7"/>
  <c r="ID17" i="7"/>
  <c r="IG17" i="7"/>
  <c r="IR17" i="7"/>
  <c r="IU17" i="7"/>
  <c r="JF17" i="7"/>
  <c r="JI17" i="7"/>
  <c r="DN17" i="7"/>
  <c r="JV17" i="7"/>
  <c r="JY17" i="7"/>
  <c r="F18" i="7"/>
  <c r="GD18" i="7"/>
  <c r="GF18" i="7"/>
  <c r="GH18" i="7"/>
  <c r="GJ18" i="7"/>
  <c r="GR18" i="7"/>
  <c r="GT18" i="7"/>
  <c r="GV18" i="7"/>
  <c r="GX18" i="7"/>
  <c r="EN18" i="7"/>
  <c r="EP18" i="7"/>
  <c r="ER18" i="7"/>
  <c r="ET18" i="7"/>
  <c r="FB18" i="7"/>
  <c r="FD18" i="7"/>
  <c r="FF18" i="7"/>
  <c r="FH18" i="7"/>
  <c r="FP18" i="7"/>
  <c r="FR18" i="7"/>
  <c r="FT18" i="7"/>
  <c r="FV18" i="7"/>
  <c r="HX18" i="7"/>
  <c r="HZ18" i="7"/>
  <c r="IB18" i="7"/>
  <c r="ID18" i="7"/>
  <c r="IL18" i="7"/>
  <c r="IN18" i="7"/>
  <c r="IP18" i="7"/>
  <c r="IR18" i="7"/>
  <c r="IZ18" i="7"/>
  <c r="JB18" i="7"/>
  <c r="JD18" i="7"/>
  <c r="JF18" i="7"/>
  <c r="DN18" i="7"/>
  <c r="JN18" i="7"/>
  <c r="JP18" i="7"/>
  <c r="JR18" i="7"/>
  <c r="JT18" i="7"/>
  <c r="JV18" i="7"/>
  <c r="HF18" i="7"/>
  <c r="HL18" i="7"/>
  <c r="HR18" i="7"/>
  <c r="F19" i="7"/>
  <c r="GD19" i="7"/>
  <c r="GF19" i="7"/>
  <c r="GH19" i="7"/>
  <c r="GJ19" i="7"/>
  <c r="GR19" i="7"/>
  <c r="GT19" i="7"/>
  <c r="GV19" i="7"/>
  <c r="GX19" i="7"/>
  <c r="EN19" i="7"/>
  <c r="EP19" i="7"/>
  <c r="ER19" i="7"/>
  <c r="ET19" i="7"/>
  <c r="FB19" i="7"/>
  <c r="FD19" i="7"/>
  <c r="FF19" i="7"/>
  <c r="FH19" i="7"/>
  <c r="FP19" i="7"/>
  <c r="FR19" i="7"/>
  <c r="FT19" i="7"/>
  <c r="FV19" i="7"/>
  <c r="HX19" i="7"/>
  <c r="HZ19" i="7"/>
  <c r="IB19" i="7"/>
  <c r="ID19" i="7"/>
  <c r="IL19" i="7"/>
  <c r="IN19" i="7"/>
  <c r="IP19" i="7"/>
  <c r="IR19" i="7"/>
  <c r="IZ19" i="7"/>
  <c r="JB19" i="7"/>
  <c r="JD19" i="7"/>
  <c r="JF19" i="7"/>
  <c r="DJ19" i="7"/>
  <c r="DN19" i="7"/>
  <c r="JN19" i="7"/>
  <c r="JP19" i="7"/>
  <c r="JR19" i="7"/>
  <c r="JT19" i="7"/>
  <c r="JV19" i="7"/>
  <c r="HF19" i="7"/>
  <c r="HL19" i="7"/>
  <c r="HR19" i="7"/>
  <c r="F20" i="7"/>
  <c r="GD20" i="7"/>
  <c r="GF20" i="7"/>
  <c r="GH20" i="7"/>
  <c r="GJ20" i="7"/>
  <c r="GR20" i="7"/>
  <c r="GT20" i="7"/>
  <c r="GV20" i="7"/>
  <c r="GX20" i="7"/>
  <c r="EN20" i="7"/>
  <c r="EP20" i="7"/>
  <c r="ER20" i="7"/>
  <c r="ET20" i="7"/>
  <c r="EW20" i="7"/>
  <c r="FB20" i="7"/>
  <c r="FD20" i="7"/>
  <c r="FF20" i="7"/>
  <c r="FH20" i="7"/>
  <c r="FP20" i="7"/>
  <c r="FR20" i="7"/>
  <c r="FT20" i="7"/>
  <c r="FV20" i="7"/>
  <c r="HX20" i="7"/>
  <c r="HZ20" i="7"/>
  <c r="IB20" i="7"/>
  <c r="ID20" i="7"/>
  <c r="IL20" i="7"/>
  <c r="IN20" i="7"/>
  <c r="IP20" i="7"/>
  <c r="IR20" i="7"/>
  <c r="IZ20" i="7"/>
  <c r="JB20" i="7"/>
  <c r="JD20" i="7"/>
  <c r="JF20" i="7"/>
  <c r="DN20" i="7"/>
  <c r="JN20" i="7"/>
  <c r="JP20" i="7"/>
  <c r="JR20" i="7"/>
  <c r="JT20" i="7"/>
  <c r="JV20" i="7"/>
  <c r="HF20" i="7"/>
  <c r="HL20" i="7"/>
  <c r="HR20" i="7"/>
  <c r="F21" i="7"/>
  <c r="GB21" i="7"/>
  <c r="GD21" i="7"/>
  <c r="GF21" i="7"/>
  <c r="GH21" i="7"/>
  <c r="GJ21" i="7"/>
  <c r="GP21" i="7"/>
  <c r="GR21" i="7"/>
  <c r="GT21" i="7"/>
  <c r="GV21" i="7"/>
  <c r="GX21" i="7"/>
  <c r="EL21" i="7"/>
  <c r="EN21" i="7"/>
  <c r="EP21" i="7"/>
  <c r="ER21" i="7"/>
  <c r="ET21" i="7"/>
  <c r="EZ21" i="7"/>
  <c r="FB21" i="7"/>
  <c r="FD21" i="7"/>
  <c r="FF21" i="7"/>
  <c r="FH21" i="7"/>
  <c r="FN21" i="7"/>
  <c r="FP21" i="7"/>
  <c r="FR21" i="7"/>
  <c r="FT21" i="7"/>
  <c r="FV21" i="7"/>
  <c r="HV21" i="7"/>
  <c r="HX21" i="7"/>
  <c r="HZ21" i="7"/>
  <c r="IB21" i="7"/>
  <c r="ID21" i="7"/>
  <c r="IJ21" i="7"/>
  <c r="IL21" i="7"/>
  <c r="IN21" i="7"/>
  <c r="IP21" i="7"/>
  <c r="IR21" i="7"/>
  <c r="IX21" i="7"/>
  <c r="IZ21" i="7"/>
  <c r="JB21" i="7"/>
  <c r="JD21" i="7"/>
  <c r="JF21" i="7"/>
  <c r="DN21" i="7"/>
  <c r="JL21" i="7"/>
  <c r="JN21" i="7"/>
  <c r="JP21" i="7"/>
  <c r="JR21" i="7"/>
  <c r="JT21" i="7"/>
  <c r="JV21" i="7"/>
  <c r="HD21" i="7"/>
  <c r="HF21" i="7"/>
  <c r="HJ21" i="7"/>
  <c r="HL21" i="7"/>
  <c r="HP21" i="7"/>
  <c r="HR21" i="7"/>
  <c r="F22" i="7"/>
  <c r="GB22" i="7"/>
  <c r="GD22" i="7"/>
  <c r="GF22" i="7"/>
  <c r="GH22" i="7"/>
  <c r="GJ22" i="7"/>
  <c r="GP22" i="7"/>
  <c r="GR22" i="7"/>
  <c r="GT22" i="7"/>
  <c r="GV22" i="7"/>
  <c r="GX22" i="7"/>
  <c r="EL22" i="7"/>
  <c r="EN22" i="7"/>
  <c r="EP22" i="7"/>
  <c r="ER22" i="7"/>
  <c r="ET22" i="7"/>
  <c r="EZ22" i="7"/>
  <c r="FB22" i="7"/>
  <c r="FD22" i="7"/>
  <c r="FF22" i="7"/>
  <c r="FH22" i="7"/>
  <c r="FN22" i="7"/>
  <c r="FP22" i="7"/>
  <c r="FR22" i="7"/>
  <c r="FT22" i="7"/>
  <c r="FV22" i="7"/>
  <c r="HV22" i="7"/>
  <c r="HX22" i="7"/>
  <c r="HZ22" i="7"/>
  <c r="IB22" i="7"/>
  <c r="ID22" i="7"/>
  <c r="IJ22" i="7"/>
  <c r="IL22" i="7"/>
  <c r="IN22" i="7"/>
  <c r="IP22" i="7"/>
  <c r="IR22" i="7"/>
  <c r="IX22" i="7"/>
  <c r="IZ22" i="7"/>
  <c r="JB22" i="7"/>
  <c r="JD22" i="7"/>
  <c r="JF22" i="7"/>
  <c r="DN22" i="7"/>
  <c r="JL22" i="7"/>
  <c r="JN22" i="7"/>
  <c r="JP22" i="7"/>
  <c r="JR22" i="7"/>
  <c r="JT22" i="7"/>
  <c r="JV22" i="7"/>
  <c r="HD22" i="7"/>
  <c r="HF22" i="7"/>
  <c r="HJ22" i="7"/>
  <c r="HL22" i="7"/>
  <c r="HP22" i="7"/>
  <c r="HR22" i="7"/>
  <c r="F23" i="7"/>
  <c r="P23" i="7"/>
  <c r="GD23" i="7"/>
  <c r="GF23" i="7"/>
  <c r="GH23" i="7"/>
  <c r="GR23" i="7"/>
  <c r="GT23" i="7"/>
  <c r="GV23" i="7"/>
  <c r="EN23" i="7"/>
  <c r="EP23" i="7"/>
  <c r="ER23" i="7"/>
  <c r="FB23" i="7"/>
  <c r="FD23" i="7"/>
  <c r="FF23" i="7"/>
  <c r="FP23" i="7"/>
  <c r="FR23" i="7"/>
  <c r="FT23" i="7"/>
  <c r="HX23" i="7"/>
  <c r="HZ23" i="7"/>
  <c r="IB23" i="7"/>
  <c r="IL23" i="7"/>
  <c r="IN23" i="7"/>
  <c r="IP23" i="7"/>
  <c r="IZ23" i="7"/>
  <c r="JB23" i="7"/>
  <c r="JD23" i="7"/>
  <c r="DJ23" i="7"/>
  <c r="DN23" i="7"/>
  <c r="JN23" i="7"/>
  <c r="JP23" i="7"/>
  <c r="JR23" i="7"/>
  <c r="JT23" i="7"/>
  <c r="JV23" i="7"/>
  <c r="HF23" i="7"/>
  <c r="HL23" i="7"/>
  <c r="HR23" i="7"/>
  <c r="F24" i="7"/>
  <c r="GD24" i="7"/>
  <c r="GF24" i="7"/>
  <c r="GH24" i="7"/>
  <c r="GR24" i="7"/>
  <c r="GT24" i="7"/>
  <c r="GV24" i="7"/>
  <c r="EN24" i="7"/>
  <c r="EP24" i="7"/>
  <c r="ER24" i="7"/>
  <c r="FB24" i="7"/>
  <c r="FD24" i="7"/>
  <c r="FF24" i="7"/>
  <c r="FP24" i="7"/>
  <c r="FR24" i="7"/>
  <c r="FT24" i="7"/>
  <c r="HX24" i="7"/>
  <c r="HZ24" i="7"/>
  <c r="IB24" i="7"/>
  <c r="IL24" i="7"/>
  <c r="IN24" i="7"/>
  <c r="IP24" i="7"/>
  <c r="IZ24" i="7"/>
  <c r="JB24" i="7"/>
  <c r="JD24" i="7"/>
  <c r="DN24" i="7"/>
  <c r="JN24" i="7"/>
  <c r="JP24" i="7"/>
  <c r="JR24" i="7"/>
  <c r="JT24" i="7"/>
  <c r="JV24" i="7"/>
  <c r="HF24" i="7"/>
  <c r="HL24" i="7"/>
  <c r="HR24" i="7"/>
  <c r="F25" i="7"/>
  <c r="GD25" i="7"/>
  <c r="GF25" i="7"/>
  <c r="GH25" i="7"/>
  <c r="GR25" i="7"/>
  <c r="GT25" i="7"/>
  <c r="GV25" i="7"/>
  <c r="EN25" i="7"/>
  <c r="EP25" i="7"/>
  <c r="ER25" i="7"/>
  <c r="FB25" i="7"/>
  <c r="FD25" i="7"/>
  <c r="FF25" i="7"/>
  <c r="FP25" i="7"/>
  <c r="FR25" i="7"/>
  <c r="FT25" i="7"/>
  <c r="HX25" i="7"/>
  <c r="HZ25" i="7"/>
  <c r="IB25" i="7"/>
  <c r="IL25" i="7"/>
  <c r="IN25" i="7"/>
  <c r="IP25" i="7"/>
  <c r="IZ25" i="7"/>
  <c r="JB25" i="7"/>
  <c r="JD25" i="7"/>
  <c r="DN25" i="7"/>
  <c r="JN25" i="7"/>
  <c r="JP25" i="7"/>
  <c r="JR25" i="7"/>
  <c r="JT25" i="7"/>
  <c r="JV25" i="7"/>
  <c r="HF25" i="7"/>
  <c r="HL25" i="7"/>
  <c r="HR25" i="7"/>
  <c r="F26" i="7"/>
  <c r="J26" i="7"/>
  <c r="J30" i="7"/>
  <c r="GD26" i="7"/>
  <c r="GH26" i="7"/>
  <c r="GR26" i="7"/>
  <c r="GV26" i="7"/>
  <c r="EN26" i="7"/>
  <c r="ER26" i="7"/>
  <c r="FB26" i="7"/>
  <c r="FF26" i="7"/>
  <c r="FP26" i="7"/>
  <c r="FT26" i="7"/>
  <c r="HX26" i="7"/>
  <c r="IB26" i="7"/>
  <c r="IL26" i="7"/>
  <c r="IP26" i="7"/>
  <c r="IZ26" i="7"/>
  <c r="JD26" i="7"/>
  <c r="DN26" i="7"/>
  <c r="JN26" i="7"/>
  <c r="JP26" i="7"/>
  <c r="JT26" i="7"/>
  <c r="JV26" i="7"/>
  <c r="HF26" i="7"/>
  <c r="HL26" i="7"/>
  <c r="HR26" i="7"/>
  <c r="F27" i="7"/>
  <c r="P27" i="7"/>
  <c r="GD27" i="7"/>
  <c r="GF27" i="7"/>
  <c r="GH27" i="7"/>
  <c r="GR27" i="7"/>
  <c r="GT27" i="7"/>
  <c r="GV27" i="7"/>
  <c r="EN27" i="7"/>
  <c r="EP27" i="7"/>
  <c r="ER27" i="7"/>
  <c r="FB27" i="7"/>
  <c r="FD27" i="7"/>
  <c r="FF27" i="7"/>
  <c r="FP27" i="7"/>
  <c r="FR27" i="7"/>
  <c r="FT27" i="7"/>
  <c r="HX27" i="7"/>
  <c r="HZ27" i="7"/>
  <c r="IB27" i="7"/>
  <c r="IL27" i="7"/>
  <c r="IN27" i="7"/>
  <c r="IP27" i="7"/>
  <c r="IZ27" i="7"/>
  <c r="JB27" i="7"/>
  <c r="JD27" i="7"/>
  <c r="DJ27" i="7"/>
  <c r="DN27" i="7"/>
  <c r="JN27" i="7"/>
  <c r="JP27" i="7"/>
  <c r="JR27" i="7"/>
  <c r="JT27" i="7"/>
  <c r="HF27" i="7"/>
  <c r="HL27" i="7"/>
  <c r="HR27" i="7"/>
  <c r="F28" i="7"/>
  <c r="GD28" i="7"/>
  <c r="GF28" i="7"/>
  <c r="GH28" i="7"/>
  <c r="GR28" i="7"/>
  <c r="GT28" i="7"/>
  <c r="GV28" i="7"/>
  <c r="EN28" i="7"/>
  <c r="EP28" i="7"/>
  <c r="ER28" i="7"/>
  <c r="FB28" i="7"/>
  <c r="FD28" i="7"/>
  <c r="FF28" i="7"/>
  <c r="FP28" i="7"/>
  <c r="FR28" i="7"/>
  <c r="FT28" i="7"/>
  <c r="HX28" i="7"/>
  <c r="HZ28" i="7"/>
  <c r="IB28" i="7"/>
  <c r="IG28" i="7"/>
  <c r="IL28" i="7"/>
  <c r="IN28" i="7"/>
  <c r="IP28" i="7"/>
  <c r="IZ28" i="7"/>
  <c r="JB28" i="7"/>
  <c r="JD28" i="7"/>
  <c r="DN28" i="7"/>
  <c r="JN28" i="7"/>
  <c r="JP28" i="7"/>
  <c r="JR28" i="7"/>
  <c r="JT28" i="7"/>
  <c r="HF28" i="7"/>
  <c r="HL28" i="7"/>
  <c r="HR28" i="7"/>
  <c r="F29" i="7"/>
  <c r="GD29" i="7"/>
  <c r="GH29" i="7"/>
  <c r="GR29" i="7"/>
  <c r="GV29" i="7"/>
  <c r="EN29" i="7"/>
  <c r="ER29" i="7"/>
  <c r="FB29" i="7"/>
  <c r="FF29" i="7"/>
  <c r="FP29" i="7"/>
  <c r="FT29" i="7"/>
  <c r="HX29" i="7"/>
  <c r="IB29" i="7"/>
  <c r="IL29" i="7"/>
  <c r="IP29" i="7"/>
  <c r="IZ29" i="7"/>
  <c r="JD29" i="7"/>
  <c r="JI29" i="7"/>
  <c r="DN29" i="7"/>
  <c r="JN29" i="7"/>
  <c r="JP29" i="7"/>
  <c r="JT29" i="7"/>
  <c r="JY29" i="7"/>
  <c r="HF29" i="7"/>
  <c r="HL29" i="7"/>
  <c r="HR29" i="7"/>
  <c r="F30" i="7"/>
  <c r="GD30" i="7"/>
  <c r="GH30" i="7"/>
  <c r="GR30" i="7"/>
  <c r="GV30" i="7"/>
  <c r="EN30" i="7"/>
  <c r="ER30" i="7"/>
  <c r="FB30" i="7"/>
  <c r="FF30" i="7"/>
  <c r="FP30" i="7"/>
  <c r="FT30" i="7"/>
  <c r="HX30" i="7"/>
  <c r="IB30" i="7"/>
  <c r="IL30" i="7"/>
  <c r="IP30" i="7"/>
  <c r="IZ30" i="7"/>
  <c r="JD30" i="7"/>
  <c r="DN30" i="7"/>
  <c r="JN30" i="7"/>
  <c r="JP30" i="7"/>
  <c r="JT30" i="7"/>
  <c r="HF30" i="7"/>
  <c r="HL30" i="7"/>
  <c r="HR30" i="7"/>
  <c r="F31" i="7"/>
  <c r="P31" i="7"/>
  <c r="GD31" i="7"/>
  <c r="GH31" i="7"/>
  <c r="GR31" i="7"/>
  <c r="GV31" i="7"/>
  <c r="EN31" i="7"/>
  <c r="ER31" i="7"/>
  <c r="FB31" i="7"/>
  <c r="FF31" i="7"/>
  <c r="FP31" i="7"/>
  <c r="FT31" i="7"/>
  <c r="HX31" i="7"/>
  <c r="IB31" i="7"/>
  <c r="IL31" i="7"/>
  <c r="IP31" i="7"/>
  <c r="IZ31" i="7"/>
  <c r="JD31" i="7"/>
  <c r="DJ31" i="7"/>
  <c r="DN31" i="7"/>
  <c r="JN31" i="7"/>
  <c r="JP31" i="7"/>
  <c r="JT31" i="7"/>
  <c r="HF31" i="7"/>
  <c r="HL31" i="7"/>
  <c r="HR31" i="7"/>
  <c r="F32" i="7"/>
  <c r="GD32" i="7"/>
  <c r="GH32" i="7"/>
  <c r="GR32" i="7"/>
  <c r="GV32" i="7"/>
  <c r="EN32" i="7"/>
  <c r="ER32" i="7"/>
  <c r="EW32" i="7"/>
  <c r="FB32" i="7"/>
  <c r="FF32" i="7"/>
  <c r="FP32" i="7"/>
  <c r="FT32" i="7"/>
  <c r="HX32" i="7"/>
  <c r="IB32" i="7"/>
  <c r="IL32" i="7"/>
  <c r="IP32" i="7"/>
  <c r="IZ32" i="7"/>
  <c r="JD32" i="7"/>
  <c r="DN32" i="7"/>
  <c r="JN32" i="7"/>
  <c r="JT32" i="7"/>
  <c r="HF32" i="7"/>
  <c r="HL32" i="7"/>
  <c r="HR32" i="7"/>
  <c r="F33" i="7"/>
  <c r="GD33" i="7"/>
  <c r="GH33" i="7"/>
  <c r="GM33" i="7"/>
  <c r="GR33" i="7"/>
  <c r="GV33" i="7"/>
  <c r="EN33" i="7"/>
  <c r="ER33" i="7"/>
  <c r="FB33" i="7"/>
  <c r="FF33" i="7"/>
  <c r="FP33" i="7"/>
  <c r="FT33" i="7"/>
  <c r="HX33" i="7"/>
  <c r="IB33" i="7"/>
  <c r="IL33" i="7"/>
  <c r="IP33" i="7"/>
  <c r="IU33" i="7"/>
  <c r="IZ33" i="7"/>
  <c r="JD33" i="7"/>
  <c r="DN33" i="7"/>
  <c r="JN33" i="7"/>
  <c r="JT33" i="7"/>
  <c r="HF33" i="7"/>
  <c r="HL33" i="7"/>
  <c r="HR33" i="7"/>
  <c r="F34" i="7"/>
  <c r="GD34" i="7"/>
  <c r="GH34" i="7"/>
  <c r="GR34" i="7"/>
  <c r="GV34" i="7"/>
  <c r="EN34" i="7"/>
  <c r="ER34" i="7"/>
  <c r="FB34" i="7"/>
  <c r="FF34" i="7"/>
  <c r="FP34" i="7"/>
  <c r="FT34" i="7"/>
  <c r="HX34" i="7"/>
  <c r="IB34" i="7"/>
  <c r="IL34" i="7"/>
  <c r="IP34" i="7"/>
  <c r="IZ34" i="7"/>
  <c r="JD34" i="7"/>
  <c r="DN34" i="7"/>
  <c r="JN34" i="7"/>
  <c r="JT34" i="7"/>
  <c r="HF34" i="7"/>
  <c r="HL34" i="7"/>
  <c r="HR34" i="7"/>
  <c r="F35" i="7"/>
  <c r="H35" i="7"/>
  <c r="P35" i="7"/>
  <c r="GD35" i="7"/>
  <c r="GH35" i="7"/>
  <c r="GR35" i="7"/>
  <c r="GV35" i="7"/>
  <c r="EN35" i="7"/>
  <c r="ER35" i="7"/>
  <c r="FB35" i="7"/>
  <c r="FF35" i="7"/>
  <c r="FP35" i="7"/>
  <c r="FT35" i="7"/>
  <c r="FY35" i="7"/>
  <c r="HX35" i="7"/>
  <c r="IB35" i="7"/>
  <c r="IL35" i="7"/>
  <c r="IP35" i="7"/>
  <c r="IZ35" i="7"/>
  <c r="JD35" i="7"/>
  <c r="DJ35" i="7"/>
  <c r="DN35" i="7"/>
  <c r="JN35" i="7"/>
  <c r="JT35" i="7"/>
  <c r="HF35" i="7"/>
  <c r="HL35" i="7"/>
  <c r="HR35" i="7"/>
  <c r="F36" i="7"/>
  <c r="H36" i="7"/>
  <c r="GD36" i="7"/>
  <c r="GH36" i="7"/>
  <c r="GR36" i="7"/>
  <c r="GV36" i="7"/>
  <c r="EN36" i="7"/>
  <c r="ER36" i="7"/>
  <c r="FB36" i="7"/>
  <c r="FF36" i="7"/>
  <c r="FP36" i="7"/>
  <c r="FT36" i="7"/>
  <c r="HX36" i="7"/>
  <c r="IB36" i="7"/>
  <c r="IL36" i="7"/>
  <c r="IP36" i="7"/>
  <c r="IZ36" i="7"/>
  <c r="JD36" i="7"/>
  <c r="DN36" i="7"/>
  <c r="JN36" i="7"/>
  <c r="JT36" i="7"/>
  <c r="HF36" i="7"/>
  <c r="HL36" i="7"/>
  <c r="HR36" i="7"/>
  <c r="F37" i="7"/>
  <c r="H37" i="7"/>
  <c r="GD37" i="7"/>
  <c r="GH37" i="7"/>
  <c r="GR37" i="7"/>
  <c r="GV37" i="7"/>
  <c r="EN37" i="7"/>
  <c r="ER37" i="7"/>
  <c r="FB37" i="7"/>
  <c r="FF37" i="7"/>
  <c r="FP37" i="7"/>
  <c r="FT37" i="7"/>
  <c r="HX37" i="7"/>
  <c r="IB37" i="7"/>
  <c r="IL37" i="7"/>
  <c r="IP37" i="7"/>
  <c r="IZ37" i="7"/>
  <c r="JD37" i="7"/>
  <c r="DN37" i="7"/>
  <c r="JN37" i="7"/>
  <c r="JT37" i="7"/>
  <c r="HF37" i="7"/>
  <c r="HL37" i="7"/>
  <c r="HR37" i="7"/>
  <c r="F38" i="7"/>
  <c r="H38" i="7"/>
  <c r="GD38" i="7"/>
  <c r="GH38" i="7"/>
  <c r="GR38" i="7"/>
  <c r="GV38" i="7"/>
  <c r="EN38" i="7"/>
  <c r="ER38" i="7"/>
  <c r="FB38" i="7"/>
  <c r="FF38" i="7"/>
  <c r="FP38" i="7"/>
  <c r="FT38" i="7"/>
  <c r="HX38" i="7"/>
  <c r="IB38" i="7"/>
  <c r="IL38" i="7"/>
  <c r="IP38" i="7"/>
  <c r="IZ38" i="7"/>
  <c r="JD38" i="7"/>
  <c r="DN38" i="7"/>
  <c r="JN38" i="7"/>
  <c r="JT38" i="7"/>
  <c r="HF38" i="7"/>
  <c r="HL38" i="7"/>
  <c r="HR38" i="7"/>
  <c r="F39" i="7"/>
  <c r="H39" i="7"/>
  <c r="M39" i="7"/>
  <c r="J39" i="7"/>
  <c r="P39" i="7"/>
  <c r="T39" i="7"/>
  <c r="V39" i="7"/>
  <c r="AA39" i="7"/>
  <c r="X39" i="7"/>
  <c r="Y39" i="7"/>
  <c r="AD39" i="7"/>
  <c r="AH39" i="7"/>
  <c r="AJ39" i="7"/>
  <c r="AO39" i="7"/>
  <c r="AL39" i="7"/>
  <c r="BT39" i="7"/>
  <c r="BX39" i="7"/>
  <c r="BZ39" i="7"/>
  <c r="CE39" i="7"/>
  <c r="GD39" i="7"/>
  <c r="GH39" i="7"/>
  <c r="GR39" i="7"/>
  <c r="GV39" i="7"/>
  <c r="HA39" i="7"/>
  <c r="EN39" i="7"/>
  <c r="ER39" i="7"/>
  <c r="FB39" i="7"/>
  <c r="FF39" i="7"/>
  <c r="FP39" i="7"/>
  <c r="FT39" i="7"/>
  <c r="HX39" i="7"/>
  <c r="IB39" i="7"/>
  <c r="IL39" i="7"/>
  <c r="IP39" i="7"/>
  <c r="IZ39" i="7"/>
  <c r="JD39" i="7"/>
  <c r="DN39" i="7"/>
  <c r="JN39" i="7"/>
  <c r="JT39" i="7"/>
  <c r="HF39" i="7"/>
  <c r="HL39" i="7"/>
  <c r="HR39" i="7"/>
  <c r="F40" i="7"/>
  <c r="H40" i="7"/>
  <c r="M40" i="7"/>
  <c r="J40" i="7"/>
  <c r="T40" i="7"/>
  <c r="V40" i="7"/>
  <c r="AA40" i="7"/>
  <c r="X40" i="7"/>
  <c r="AH40" i="7"/>
  <c r="AJ40" i="7"/>
  <c r="AO40" i="7"/>
  <c r="AL40" i="7"/>
  <c r="BX40" i="7"/>
  <c r="BZ40" i="7"/>
  <c r="CE40" i="7"/>
  <c r="CB40" i="7"/>
  <c r="GD40" i="7"/>
  <c r="GH40" i="7"/>
  <c r="GR40" i="7"/>
  <c r="GV40" i="7"/>
  <c r="EN40" i="7"/>
  <c r="ER40" i="7"/>
  <c r="FB40" i="7"/>
  <c r="FF40" i="7"/>
  <c r="FP40" i="7"/>
  <c r="FT40" i="7"/>
  <c r="HX40" i="7"/>
  <c r="IB40" i="7"/>
  <c r="IL40" i="7"/>
  <c r="IP40" i="7"/>
  <c r="IZ40" i="7"/>
  <c r="JD40" i="7"/>
  <c r="JI40" i="7"/>
  <c r="DN40" i="7"/>
  <c r="JN40" i="7"/>
  <c r="JT40" i="7"/>
  <c r="HF40" i="7"/>
  <c r="HL40" i="7"/>
  <c r="HR40" i="7"/>
  <c r="F41" i="7"/>
  <c r="H41" i="7"/>
  <c r="M41" i="7"/>
  <c r="J41" i="7"/>
  <c r="T41" i="7"/>
  <c r="V41" i="7"/>
  <c r="AA41" i="7"/>
  <c r="X41" i="7"/>
  <c r="AH41" i="7"/>
  <c r="AJ41" i="7"/>
  <c r="AO41" i="7"/>
  <c r="AL41" i="7"/>
  <c r="BX41" i="7"/>
  <c r="BZ41" i="7"/>
  <c r="CE41" i="7"/>
  <c r="CB41" i="7"/>
  <c r="GH41" i="7"/>
  <c r="GR41" i="7"/>
  <c r="GV41" i="7"/>
  <c r="ER41" i="7"/>
  <c r="FF41" i="7"/>
  <c r="FT41" i="7"/>
  <c r="IB41" i="7"/>
  <c r="IP41" i="7"/>
  <c r="JD41" i="7"/>
  <c r="JI41" i="7"/>
  <c r="DN41" i="7"/>
  <c r="JT41" i="7"/>
  <c r="JY41" i="7"/>
  <c r="F42" i="7"/>
  <c r="H42" i="7"/>
  <c r="M42" i="7"/>
  <c r="J42" i="7"/>
  <c r="T42" i="7"/>
  <c r="V42" i="7"/>
  <c r="AA42" i="7"/>
  <c r="X42" i="7"/>
  <c r="AH42" i="7"/>
  <c r="AJ42" i="7"/>
  <c r="AO42" i="7"/>
  <c r="AL42" i="7"/>
  <c r="BX42" i="7"/>
  <c r="BZ42" i="7"/>
  <c r="CE42" i="7"/>
  <c r="CB42" i="7"/>
  <c r="GD42" i="7"/>
  <c r="GH42" i="7"/>
  <c r="GR42" i="7"/>
  <c r="GV42" i="7"/>
  <c r="EN42" i="7"/>
  <c r="ER42" i="7"/>
  <c r="FB42" i="7"/>
  <c r="FF42" i="7"/>
  <c r="FP42" i="7"/>
  <c r="FT42" i="7"/>
  <c r="HX42" i="7"/>
  <c r="IB42" i="7"/>
  <c r="IL42" i="7"/>
  <c r="IP42" i="7"/>
  <c r="IZ42" i="7"/>
  <c r="JD42" i="7"/>
  <c r="DN42" i="7"/>
  <c r="JN42" i="7"/>
  <c r="JT42" i="7"/>
  <c r="HF42" i="7"/>
  <c r="HL42" i="7"/>
  <c r="HR42" i="7"/>
  <c r="F43" i="7"/>
  <c r="H43" i="7"/>
  <c r="M43" i="7"/>
  <c r="J43" i="7"/>
  <c r="P43" i="7"/>
  <c r="T43" i="7"/>
  <c r="V43" i="7"/>
  <c r="AA43" i="7"/>
  <c r="X43" i="7"/>
  <c r="AD43" i="7"/>
  <c r="AH43" i="7"/>
  <c r="AJ43" i="7"/>
  <c r="AO43" i="7"/>
  <c r="AL43" i="7"/>
  <c r="BT43" i="7"/>
  <c r="BX43" i="7"/>
  <c r="BZ43" i="7"/>
  <c r="CB43" i="7"/>
  <c r="GD43" i="7"/>
  <c r="GH43" i="7"/>
  <c r="GR43" i="7"/>
  <c r="GV43" i="7"/>
  <c r="EN43" i="7"/>
  <c r="ER43" i="7"/>
  <c r="FB43" i="7"/>
  <c r="FF43" i="7"/>
  <c r="FP43" i="7"/>
  <c r="FT43" i="7"/>
  <c r="HX43" i="7"/>
  <c r="IB43" i="7"/>
  <c r="IG43" i="7"/>
  <c r="IL43" i="7"/>
  <c r="IP43" i="7"/>
  <c r="IZ43" i="7"/>
  <c r="JD43" i="7"/>
  <c r="DN43" i="7"/>
  <c r="JN43" i="7"/>
  <c r="JT43" i="7"/>
  <c r="JY43" i="7"/>
  <c r="HF43" i="7"/>
  <c r="HL43" i="7"/>
  <c r="HR43" i="7"/>
  <c r="F44" i="7"/>
  <c r="H44" i="7"/>
  <c r="M44" i="7"/>
  <c r="J44" i="7"/>
  <c r="T44" i="7"/>
  <c r="V44" i="7"/>
  <c r="AA44" i="7"/>
  <c r="X44" i="7"/>
  <c r="AH44" i="7"/>
  <c r="AJ44" i="7"/>
  <c r="AO44" i="7"/>
  <c r="AL44" i="7"/>
  <c r="BX44" i="7"/>
  <c r="BZ44" i="7"/>
  <c r="CE44" i="7"/>
  <c r="CB44" i="7"/>
  <c r="CC44" i="7"/>
  <c r="GD44" i="7"/>
  <c r="GH44" i="7"/>
  <c r="GR44" i="7"/>
  <c r="GV44" i="7"/>
  <c r="EN44" i="7"/>
  <c r="ER44" i="7"/>
  <c r="EW44" i="7"/>
  <c r="FB44" i="7"/>
  <c r="FF44" i="7"/>
  <c r="FP44" i="7"/>
  <c r="FT44" i="7"/>
  <c r="HX44" i="7"/>
  <c r="IB44" i="7"/>
  <c r="IL44" i="7"/>
  <c r="IP44" i="7"/>
  <c r="IZ44" i="7"/>
  <c r="JD44" i="7"/>
  <c r="DN44" i="7"/>
  <c r="JN44" i="7"/>
  <c r="JT44" i="7"/>
  <c r="HF44" i="7"/>
  <c r="HL44" i="7"/>
  <c r="HR44" i="7"/>
  <c r="F45" i="7"/>
  <c r="H45" i="7"/>
  <c r="M45" i="7"/>
  <c r="J45" i="7"/>
  <c r="T45" i="7"/>
  <c r="V45" i="7"/>
  <c r="AA45" i="7"/>
  <c r="X45" i="7"/>
  <c r="AH45" i="7"/>
  <c r="AJ45" i="7"/>
  <c r="AO45" i="7"/>
  <c r="AL45" i="7"/>
  <c r="AM45" i="7"/>
  <c r="BX45" i="7"/>
  <c r="BZ45" i="7"/>
  <c r="CE45" i="7"/>
  <c r="CB45" i="7"/>
  <c r="GH45" i="7"/>
  <c r="GR45" i="7"/>
  <c r="GV45" i="7"/>
  <c r="ER45" i="7"/>
  <c r="FF45" i="7"/>
  <c r="FT45" i="7"/>
  <c r="FY45" i="7"/>
  <c r="IB45" i="7"/>
  <c r="IP45" i="7"/>
  <c r="IU45" i="7"/>
  <c r="JD45" i="7"/>
  <c r="DN45" i="7"/>
  <c r="JT45" i="7"/>
  <c r="F46" i="7"/>
  <c r="H46" i="7"/>
  <c r="M46" i="7"/>
  <c r="J46" i="7"/>
  <c r="T46" i="7"/>
  <c r="V46" i="7"/>
  <c r="AA46" i="7"/>
  <c r="X46" i="7"/>
  <c r="AH46" i="7"/>
  <c r="AJ46" i="7"/>
  <c r="AL46" i="7"/>
  <c r="AO46" i="7"/>
  <c r="BX46" i="7"/>
  <c r="BZ46" i="7"/>
  <c r="CE46" i="7"/>
  <c r="CB46" i="7"/>
  <c r="GD46" i="7"/>
  <c r="GH46" i="7"/>
  <c r="GR46" i="7"/>
  <c r="GV46" i="7"/>
  <c r="EN46" i="7"/>
  <c r="ER46" i="7"/>
  <c r="FB46" i="7"/>
  <c r="FF46" i="7"/>
  <c r="FP46" i="7"/>
  <c r="FT46" i="7"/>
  <c r="HX46" i="7"/>
  <c r="IB46" i="7"/>
  <c r="IL46" i="7"/>
  <c r="IP46" i="7"/>
  <c r="IU46" i="7"/>
  <c r="IZ46" i="7"/>
  <c r="JD46" i="7"/>
  <c r="DN46" i="7"/>
  <c r="JN46" i="7"/>
  <c r="JT46" i="7"/>
  <c r="HF46" i="7"/>
  <c r="HL46" i="7"/>
  <c r="HR46" i="7"/>
  <c r="F47" i="7"/>
  <c r="H47" i="7"/>
  <c r="M47" i="7"/>
  <c r="J47" i="7"/>
  <c r="P47" i="7"/>
  <c r="T47" i="7"/>
  <c r="V47" i="7"/>
  <c r="AA47" i="7"/>
  <c r="X47" i="7"/>
  <c r="AD47" i="7"/>
  <c r="AH47" i="7"/>
  <c r="AJ47" i="7"/>
  <c r="AO47" i="7"/>
  <c r="AL47" i="7"/>
  <c r="BT47" i="7"/>
  <c r="BX47" i="7"/>
  <c r="BZ47" i="7"/>
  <c r="CE47" i="7"/>
  <c r="CB47" i="7"/>
  <c r="GD47" i="7"/>
  <c r="GH47" i="7"/>
  <c r="GR47" i="7"/>
  <c r="GV47" i="7"/>
  <c r="EN47" i="7"/>
  <c r="ER47" i="7"/>
  <c r="FB47" i="7"/>
  <c r="FF47" i="7"/>
  <c r="FP47" i="7"/>
  <c r="FT47" i="7"/>
  <c r="HX47" i="7"/>
  <c r="IB47" i="7"/>
  <c r="IL47" i="7"/>
  <c r="IP47" i="7"/>
  <c r="IZ47" i="7"/>
  <c r="JD47" i="7"/>
  <c r="DJ47" i="7"/>
  <c r="DN47" i="7"/>
  <c r="DP47" i="7"/>
  <c r="DR47" i="7"/>
  <c r="DS47" i="7"/>
  <c r="JN47" i="7"/>
  <c r="JT47" i="7"/>
  <c r="HF47" i="7"/>
  <c r="HL47" i="7"/>
  <c r="HR47" i="7"/>
  <c r="F48" i="7"/>
  <c r="H48" i="7"/>
  <c r="M48" i="7"/>
  <c r="J48" i="7"/>
  <c r="T48" i="7"/>
  <c r="V48" i="7"/>
  <c r="AA48" i="7"/>
  <c r="X48" i="7"/>
  <c r="AH48" i="7"/>
  <c r="AJ48" i="7"/>
  <c r="AO48" i="7"/>
  <c r="AL48" i="7"/>
  <c r="BX48" i="7"/>
  <c r="BZ48" i="7"/>
  <c r="CB48" i="7"/>
  <c r="GD48" i="7"/>
  <c r="GH48" i="7"/>
  <c r="GR48" i="7"/>
  <c r="GV48" i="7"/>
  <c r="EN48" i="7"/>
  <c r="ER48" i="7"/>
  <c r="FB48" i="7"/>
  <c r="FF48" i="7"/>
  <c r="FP48" i="7"/>
  <c r="FT48" i="7"/>
  <c r="FY48" i="7"/>
  <c r="HX48" i="7"/>
  <c r="IB48" i="7"/>
  <c r="IL48" i="7"/>
  <c r="IP48" i="7"/>
  <c r="IZ48" i="7"/>
  <c r="JD48" i="7"/>
  <c r="DN48" i="7"/>
  <c r="DP48" i="7"/>
  <c r="DU48" i="7"/>
  <c r="DR48" i="7"/>
  <c r="DS48" i="7"/>
  <c r="JN48" i="7"/>
  <c r="JT48" i="7"/>
  <c r="HF48" i="7"/>
  <c r="HL48" i="7"/>
  <c r="HR48" i="7"/>
  <c r="F49" i="7"/>
  <c r="H49" i="7"/>
  <c r="M49" i="7"/>
  <c r="J49" i="7"/>
  <c r="T49" i="7"/>
  <c r="V49" i="7"/>
  <c r="AA49" i="7"/>
  <c r="X49" i="7"/>
  <c r="AH49" i="7"/>
  <c r="AJ49" i="7"/>
  <c r="AO49" i="7"/>
  <c r="AL49" i="7"/>
  <c r="BX49" i="7"/>
  <c r="BZ49" i="7"/>
  <c r="CE49" i="7"/>
  <c r="CB49" i="7"/>
  <c r="GH49" i="7"/>
  <c r="GR49" i="7"/>
  <c r="GV49" i="7"/>
  <c r="ER49" i="7"/>
  <c r="FF49" i="7"/>
  <c r="FT49" i="7"/>
  <c r="IB49" i="7"/>
  <c r="IP49" i="7"/>
  <c r="JD49" i="7"/>
  <c r="DL49" i="7"/>
  <c r="DN49" i="7"/>
  <c r="JT49" i="7"/>
  <c r="F50" i="7"/>
  <c r="H50" i="7"/>
  <c r="M50" i="7"/>
  <c r="J50" i="7"/>
  <c r="T50" i="7"/>
  <c r="V50" i="7"/>
  <c r="AA50" i="7"/>
  <c r="X50" i="7"/>
  <c r="AH50" i="7"/>
  <c r="AJ50" i="7"/>
  <c r="AO50" i="7"/>
  <c r="AL50" i="7"/>
  <c r="BX50" i="7"/>
  <c r="BZ50" i="7"/>
  <c r="CE50" i="7"/>
  <c r="CB50" i="7"/>
  <c r="GD50" i="7"/>
  <c r="GH50" i="7"/>
  <c r="GR50" i="7"/>
  <c r="GV50" i="7"/>
  <c r="EN50" i="7"/>
  <c r="ER50" i="7"/>
  <c r="FB50" i="7"/>
  <c r="FF50" i="7"/>
  <c r="FP50" i="7"/>
  <c r="FT50" i="7"/>
  <c r="HX50" i="7"/>
  <c r="IB50" i="7"/>
  <c r="IL50" i="7"/>
  <c r="IP50" i="7"/>
  <c r="IZ50" i="7"/>
  <c r="JD50" i="7"/>
  <c r="DL50" i="7"/>
  <c r="DN50" i="7"/>
  <c r="JN50" i="7"/>
  <c r="JT50" i="7"/>
  <c r="HF50" i="7"/>
  <c r="HL50" i="7"/>
  <c r="HR50" i="7"/>
  <c r="F51" i="7"/>
  <c r="H51" i="7"/>
  <c r="M51" i="7"/>
  <c r="J51" i="7"/>
  <c r="P51" i="7"/>
  <c r="T51" i="7"/>
  <c r="V51" i="7"/>
  <c r="AA51" i="7"/>
  <c r="X51" i="7"/>
  <c r="AD51" i="7"/>
  <c r="AH51" i="7"/>
  <c r="AJ51" i="7"/>
  <c r="AO51" i="7"/>
  <c r="AL51" i="7"/>
  <c r="BT51" i="7"/>
  <c r="BX51" i="7"/>
  <c r="BZ51" i="7"/>
  <c r="CE51" i="7"/>
  <c r="CB51" i="7"/>
  <c r="DN51" i="7"/>
  <c r="DP51" i="7"/>
  <c r="DU51" i="7"/>
  <c r="DR51" i="7"/>
  <c r="DS51" i="7"/>
  <c r="F52" i="7"/>
  <c r="H52" i="7"/>
  <c r="M52" i="7"/>
  <c r="J52" i="7"/>
  <c r="T52" i="7"/>
  <c r="V52" i="7"/>
  <c r="AA52" i="7"/>
  <c r="X52" i="7"/>
  <c r="AH52" i="7"/>
  <c r="AJ52" i="7"/>
  <c r="AO52" i="7"/>
  <c r="AL52" i="7"/>
  <c r="BX52" i="7"/>
  <c r="BZ52" i="7"/>
  <c r="CE52" i="7"/>
  <c r="CB52" i="7"/>
  <c r="GD52" i="7"/>
  <c r="GH52" i="7"/>
  <c r="GR52" i="7"/>
  <c r="GV52" i="7"/>
  <c r="EN52" i="7"/>
  <c r="ER52" i="7"/>
  <c r="FB52" i="7"/>
  <c r="FF52" i="7"/>
  <c r="FP52" i="7"/>
  <c r="FT52" i="7"/>
  <c r="HX52" i="7"/>
  <c r="IB52" i="7"/>
  <c r="IL52" i="7"/>
  <c r="IP52" i="7"/>
  <c r="IZ52" i="7"/>
  <c r="JD52" i="7"/>
  <c r="DN52" i="7"/>
  <c r="DP52" i="7"/>
  <c r="DR52" i="7"/>
  <c r="DS52" i="7"/>
  <c r="JN52" i="7"/>
  <c r="JT52" i="7"/>
  <c r="HF52" i="7"/>
  <c r="HL52" i="7"/>
  <c r="HR52" i="7"/>
  <c r="F53" i="7"/>
  <c r="H53" i="7"/>
  <c r="M53" i="7"/>
  <c r="J53" i="7"/>
  <c r="T53" i="7"/>
  <c r="V53" i="7"/>
  <c r="X53" i="7"/>
  <c r="AH53" i="7"/>
  <c r="AJ53" i="7"/>
  <c r="AO53" i="7"/>
  <c r="AL53" i="7"/>
  <c r="BX53" i="7"/>
  <c r="BZ53" i="7"/>
  <c r="CE53" i="7"/>
  <c r="CB53" i="7"/>
  <c r="GD53" i="7"/>
  <c r="GH53" i="7"/>
  <c r="GR53" i="7"/>
  <c r="GV53" i="7"/>
  <c r="EN53" i="7"/>
  <c r="ER53" i="7"/>
  <c r="FB53" i="7"/>
  <c r="FF53" i="7"/>
  <c r="FP53" i="7"/>
  <c r="FT53" i="7"/>
  <c r="HX53" i="7"/>
  <c r="IB53" i="7"/>
  <c r="IG53" i="7"/>
  <c r="IL53" i="7"/>
  <c r="IP53" i="7"/>
  <c r="IZ53" i="7"/>
  <c r="JD53" i="7"/>
  <c r="DL53" i="7"/>
  <c r="DN53" i="7"/>
  <c r="JN53" i="7"/>
  <c r="JT53" i="7"/>
  <c r="HF53" i="7"/>
  <c r="HL53" i="7"/>
  <c r="HR53" i="7"/>
  <c r="F54" i="7"/>
  <c r="J54" i="7"/>
  <c r="M54" i="7"/>
  <c r="T54" i="7"/>
  <c r="V54" i="7"/>
  <c r="AA54" i="7"/>
  <c r="X54" i="7"/>
  <c r="AH54" i="7"/>
  <c r="AJ54" i="7"/>
  <c r="AL54" i="7"/>
  <c r="AO54" i="7"/>
  <c r="BX54" i="7"/>
  <c r="BZ54" i="7"/>
  <c r="CE54" i="7"/>
  <c r="CB54" i="7"/>
  <c r="GD54" i="7"/>
  <c r="GH54" i="7"/>
  <c r="GR54" i="7"/>
  <c r="GV54" i="7"/>
  <c r="EN54" i="7"/>
  <c r="ER54" i="7"/>
  <c r="FB54" i="7"/>
  <c r="FF54" i="7"/>
  <c r="FK54" i="7"/>
  <c r="FP54" i="7"/>
  <c r="FT54" i="7"/>
  <c r="HX54" i="7"/>
  <c r="IB54" i="7"/>
  <c r="IL54" i="7"/>
  <c r="IP54" i="7"/>
  <c r="IZ54" i="7"/>
  <c r="JD54" i="7"/>
  <c r="DL54" i="7"/>
  <c r="DN54" i="7"/>
  <c r="JN54" i="7"/>
  <c r="JT54" i="7"/>
  <c r="HF54" i="7"/>
  <c r="HL54" i="7"/>
  <c r="HR54" i="7"/>
  <c r="F55" i="7"/>
  <c r="H55" i="7"/>
  <c r="M55" i="7"/>
  <c r="J55" i="7"/>
  <c r="P55" i="7"/>
  <c r="T55" i="7"/>
  <c r="V55" i="7"/>
  <c r="X55" i="7"/>
  <c r="AA55" i="7"/>
  <c r="AD55" i="7"/>
  <c r="AH55" i="7"/>
  <c r="AJ55" i="7"/>
  <c r="AO55" i="7"/>
  <c r="AL55" i="7"/>
  <c r="BT55" i="7"/>
  <c r="BX55" i="7"/>
  <c r="BZ55" i="7"/>
  <c r="CE55" i="7"/>
  <c r="CB55" i="7"/>
  <c r="GH55" i="7"/>
  <c r="GV55" i="7"/>
  <c r="ER55" i="7"/>
  <c r="EW55" i="7"/>
  <c r="FF55" i="7"/>
  <c r="FT55" i="7"/>
  <c r="IB55" i="7"/>
  <c r="IP55" i="7"/>
  <c r="JD55" i="7"/>
  <c r="JI55" i="7"/>
  <c r="DJ55" i="7"/>
  <c r="DN55" i="7"/>
  <c r="DP55" i="7"/>
  <c r="DU55" i="7"/>
  <c r="DR55" i="7"/>
  <c r="DS55" i="7"/>
  <c r="JT55" i="7"/>
  <c r="F56" i="7"/>
  <c r="H56" i="7"/>
  <c r="M56" i="7"/>
  <c r="J56" i="7"/>
  <c r="L56" i="7"/>
  <c r="T56" i="7"/>
  <c r="V56" i="7"/>
  <c r="AA56" i="7"/>
  <c r="X56" i="7"/>
  <c r="Z56" i="7"/>
  <c r="AH56" i="7"/>
  <c r="AJ56" i="7"/>
  <c r="AO56" i="7"/>
  <c r="AL56" i="7"/>
  <c r="AN56" i="7"/>
  <c r="BX56" i="7"/>
  <c r="BZ56" i="7"/>
  <c r="CE56" i="7"/>
  <c r="CB56" i="7"/>
  <c r="CD56" i="7"/>
  <c r="DN56" i="7"/>
  <c r="DP56" i="7"/>
  <c r="DU56" i="7"/>
  <c r="DR56" i="7"/>
  <c r="DS56" i="7"/>
  <c r="DT56" i="7"/>
  <c r="F57" i="7"/>
  <c r="H57" i="7"/>
  <c r="M57" i="7"/>
  <c r="J57" i="7"/>
  <c r="L57" i="7"/>
  <c r="T57" i="7"/>
  <c r="V57" i="7"/>
  <c r="AA57" i="7"/>
  <c r="X57" i="7"/>
  <c r="Z57" i="7"/>
  <c r="AH57" i="7"/>
  <c r="AJ57" i="7"/>
  <c r="AO57" i="7"/>
  <c r="AL57" i="7"/>
  <c r="AN57" i="7"/>
  <c r="BX57" i="7"/>
  <c r="BZ57" i="7"/>
  <c r="CE57" i="7"/>
  <c r="CB57" i="7"/>
  <c r="CD57" i="7"/>
  <c r="DL57" i="7"/>
  <c r="DN57" i="7"/>
  <c r="F58" i="7"/>
  <c r="H58" i="7"/>
  <c r="M58" i="7"/>
  <c r="J58" i="7"/>
  <c r="L58" i="7"/>
  <c r="T58" i="7"/>
  <c r="V58" i="7"/>
  <c r="AA58" i="7"/>
  <c r="X58" i="7"/>
  <c r="Z58" i="7"/>
  <c r="AH58" i="7"/>
  <c r="AJ58" i="7"/>
  <c r="AO58" i="7"/>
  <c r="AL58" i="7"/>
  <c r="AN58" i="7"/>
  <c r="BX58" i="7"/>
  <c r="BZ58" i="7"/>
  <c r="CE58" i="7"/>
  <c r="CB58" i="7"/>
  <c r="CD58" i="7"/>
  <c r="DL58" i="7"/>
  <c r="GD62" i="7"/>
  <c r="GR62" i="7"/>
  <c r="EN62" i="7"/>
  <c r="FP62" i="7"/>
  <c r="HX62" i="7"/>
  <c r="IL62" i="7"/>
  <c r="IZ62" i="7"/>
  <c r="DL62" i="7"/>
  <c r="JN62" i="7"/>
  <c r="HF62" i="7"/>
  <c r="HL62" i="7"/>
  <c r="HR62" i="7"/>
  <c r="ES63" i="7"/>
  <c r="J65" i="7"/>
  <c r="K65" i="7"/>
  <c r="X65" i="7"/>
  <c r="Y65" i="7"/>
  <c r="AL65" i="7"/>
  <c r="AM65" i="7"/>
  <c r="CB65" i="7"/>
  <c r="CC65" i="7"/>
  <c r="DR65" i="7"/>
  <c r="DS65" i="7"/>
  <c r="J66" i="7"/>
  <c r="K66" i="7"/>
  <c r="X66" i="7"/>
  <c r="Y66" i="7"/>
  <c r="AL66" i="7"/>
  <c r="AM66" i="7"/>
  <c r="CB66" i="7"/>
  <c r="CC66" i="7"/>
  <c r="DR66" i="7"/>
  <c r="DS66" i="7"/>
  <c r="J67" i="7"/>
  <c r="K67" i="7"/>
  <c r="X67" i="7"/>
  <c r="Y67" i="7"/>
  <c r="AL67" i="7"/>
  <c r="AM67" i="7"/>
  <c r="CB67" i="7"/>
  <c r="CC67" i="7"/>
  <c r="DR67" i="7"/>
  <c r="DS67" i="7"/>
  <c r="J68" i="7"/>
  <c r="K68" i="7"/>
  <c r="X68" i="7"/>
  <c r="Y68" i="7"/>
  <c r="AL68" i="7"/>
  <c r="AM68" i="7"/>
  <c r="CB68" i="7"/>
  <c r="CC68" i="7"/>
  <c r="DR68" i="7"/>
  <c r="DS68" i="7"/>
  <c r="EH67" i="7"/>
  <c r="DB65" i="7"/>
  <c r="EH65" i="7"/>
  <c r="DZ66" i="7"/>
  <c r="EH66" i="7"/>
  <c r="EI66" i="7"/>
  <c r="DZ67" i="7"/>
  <c r="DF65" i="7"/>
  <c r="CX65" i="7"/>
  <c r="DG65" i="7"/>
  <c r="DZ65" i="7"/>
  <c r="EI65" i="7"/>
  <c r="ED67" i="7"/>
  <c r="EH62" i="7"/>
  <c r="ED66" i="7"/>
  <c r="DZ68" i="7"/>
  <c r="EI68" i="7"/>
  <c r="ED68" i="7"/>
  <c r="DB66" i="7"/>
  <c r="CX66" i="7"/>
  <c r="EG9" i="7"/>
  <c r="DF68" i="7"/>
  <c r="EG11" i="7"/>
  <c r="DF67" i="7"/>
  <c r="EI9" i="7"/>
  <c r="ED65" i="7"/>
  <c r="DF66" i="7"/>
  <c r="DZ59" i="7"/>
  <c r="BB67" i="7"/>
  <c r="CX67" i="7"/>
  <c r="EG8" i="7"/>
  <c r="AX68" i="7"/>
  <c r="BB66" i="7"/>
  <c r="AT66" i="7"/>
  <c r="DB67" i="7"/>
  <c r="DA65" i="7"/>
  <c r="DF62" i="7"/>
  <c r="CX68" i="7"/>
  <c r="DB68" i="7"/>
  <c r="AX65" i="7"/>
  <c r="AT59" i="7"/>
  <c r="AT60" i="7"/>
  <c r="AU60" i="7"/>
  <c r="BC10" i="7"/>
  <c r="DE7" i="7"/>
  <c r="DE12" i="7"/>
  <c r="CX59" i="7"/>
  <c r="BP68" i="7"/>
  <c r="BB65" i="7"/>
  <c r="BB68" i="7"/>
  <c r="AT65" i="7"/>
  <c r="AX67" i="7"/>
  <c r="DG7" i="7"/>
  <c r="DE9" i="7"/>
  <c r="AT67" i="7"/>
  <c r="BZ68" i="7"/>
  <c r="BB62" i="7"/>
  <c r="AT68" i="7"/>
  <c r="AX66" i="7"/>
  <c r="AW66" i="7"/>
  <c r="CJ67" i="7"/>
  <c r="BC23" i="7"/>
  <c r="BA25" i="7"/>
  <c r="BA43" i="7"/>
  <c r="BC13" i="7"/>
  <c r="BA7" i="7"/>
  <c r="BA12" i="7"/>
  <c r="DT68" i="7"/>
  <c r="BP62" i="7"/>
  <c r="BP66" i="7"/>
  <c r="DL65" i="7"/>
  <c r="BQ10" i="7"/>
  <c r="BL68" i="7"/>
  <c r="BH65" i="7"/>
  <c r="BH59" i="7"/>
  <c r="BO7" i="7"/>
  <c r="CE17" i="7"/>
  <c r="BL67" i="7"/>
  <c r="D66" i="7"/>
  <c r="BP65" i="7"/>
  <c r="BP67" i="7"/>
  <c r="AF66" i="7"/>
  <c r="CR67" i="7"/>
  <c r="CR65" i="7"/>
  <c r="BH66" i="7"/>
  <c r="CJ59" i="7"/>
  <c r="CJ60" i="7"/>
  <c r="CK60" i="7"/>
  <c r="BH68" i="7"/>
  <c r="BL66" i="7"/>
  <c r="BQ13" i="7"/>
  <c r="AF67" i="7"/>
  <c r="CJ66" i="7"/>
  <c r="BL65" i="7"/>
  <c r="BH67" i="7"/>
  <c r="DT67" i="7"/>
  <c r="AM9" i="7"/>
  <c r="CR68" i="7"/>
  <c r="DP66" i="7"/>
  <c r="BV65" i="7"/>
  <c r="CQ8" i="7"/>
  <c r="DS12" i="7"/>
  <c r="DU12" i="7"/>
  <c r="CR66" i="7"/>
  <c r="CR62" i="7"/>
  <c r="CN66" i="7"/>
  <c r="CJ68" i="7"/>
  <c r="CN68" i="7"/>
  <c r="CQ7" i="7"/>
  <c r="CN67" i="7"/>
  <c r="CN65" i="7"/>
  <c r="CQ9" i="7"/>
  <c r="CJ65" i="7"/>
  <c r="HR59" i="7"/>
  <c r="HR61" i="7"/>
  <c r="HL59" i="7"/>
  <c r="HL61" i="7"/>
  <c r="GR59" i="7"/>
  <c r="GR61" i="7"/>
  <c r="GW63" i="7"/>
  <c r="CC11" i="7"/>
  <c r="BV66" i="7"/>
  <c r="BV67" i="7"/>
  <c r="AJ67" i="7"/>
  <c r="AJ68" i="7"/>
  <c r="AJ66" i="7"/>
  <c r="AM8" i="7"/>
  <c r="V65" i="7"/>
  <c r="R66" i="7"/>
  <c r="D65" i="7"/>
  <c r="D67" i="7"/>
  <c r="K11" i="7"/>
  <c r="K15" i="7"/>
  <c r="K19" i="7"/>
  <c r="IQ63" i="7"/>
  <c r="K16" i="7"/>
  <c r="M16" i="7"/>
  <c r="DL66" i="7"/>
  <c r="K49" i="7"/>
  <c r="GM4" i="7"/>
  <c r="DP68" i="7"/>
  <c r="DU52" i="7"/>
  <c r="AF65" i="7"/>
  <c r="D68" i="7"/>
  <c r="R67" i="7"/>
  <c r="AN65" i="7"/>
  <c r="DU8" i="7"/>
  <c r="EN59" i="7"/>
  <c r="EN61" i="7"/>
  <c r="R65" i="7"/>
  <c r="IL59" i="7"/>
  <c r="IL61" i="7"/>
  <c r="FU63" i="7"/>
  <c r="K12" i="7"/>
  <c r="H66" i="7"/>
  <c r="H65" i="7"/>
  <c r="M7" i="7"/>
  <c r="AF59" i="7"/>
  <c r="AF68" i="7"/>
  <c r="JY5" i="7"/>
  <c r="AA53" i="7"/>
  <c r="V67" i="7"/>
  <c r="GD59" i="7"/>
  <c r="M19" i="7"/>
  <c r="K23" i="7"/>
  <c r="FP59" i="7"/>
  <c r="BZ66" i="7"/>
  <c r="CE48" i="7"/>
  <c r="DS11" i="7"/>
  <c r="HF59" i="7"/>
  <c r="AJ65" i="7"/>
  <c r="DL68" i="7"/>
  <c r="HX59" i="7"/>
  <c r="FB59" i="7"/>
  <c r="R59" i="7"/>
  <c r="R68" i="7"/>
  <c r="Y42" i="7"/>
  <c r="DP65" i="7"/>
  <c r="DU47" i="7"/>
  <c r="H68" i="7"/>
  <c r="FG63" i="7"/>
  <c r="K54" i="7"/>
  <c r="IZ59" i="7"/>
  <c r="M9" i="7"/>
  <c r="H67" i="7"/>
  <c r="CC46" i="7"/>
  <c r="BV59" i="7"/>
  <c r="K46" i="7"/>
  <c r="D59" i="7"/>
  <c r="M8" i="7"/>
  <c r="V68" i="7"/>
  <c r="BV68" i="7"/>
  <c r="DL67" i="7"/>
  <c r="DL59" i="7"/>
  <c r="BZ67" i="7"/>
  <c r="JN59" i="7"/>
  <c r="DU37" i="7"/>
  <c r="DP67" i="7"/>
  <c r="CE43" i="7"/>
  <c r="BZ65" i="7"/>
  <c r="V66" i="7"/>
  <c r="M15" i="7"/>
  <c r="K13" i="7"/>
  <c r="K10" i="7"/>
  <c r="M11" i="7"/>
  <c r="DS16" i="7"/>
  <c r="M12" i="7"/>
  <c r="EC67" i="7"/>
  <c r="EI67" i="7"/>
  <c r="DA67" i="7"/>
  <c r="CM67" i="7"/>
  <c r="BY68" i="7"/>
  <c r="BK67" i="7"/>
  <c r="AW68" i="7"/>
  <c r="BL69" i="7"/>
  <c r="EH69" i="7"/>
  <c r="DZ69" i="7"/>
  <c r="EI69" i="7"/>
  <c r="DG60" i="7"/>
  <c r="BC67" i="7"/>
  <c r="AW65" i="7"/>
  <c r="DF69" i="7"/>
  <c r="DG66" i="7"/>
  <c r="EC66" i="7"/>
  <c r="DG68" i="7"/>
  <c r="EC65" i="7"/>
  <c r="BB69" i="7"/>
  <c r="U65" i="7"/>
  <c r="DZ61" i="7"/>
  <c r="EH61" i="7"/>
  <c r="EI61" i="7"/>
  <c r="DZ60" i="7"/>
  <c r="EA60" i="7"/>
  <c r="BC66" i="7"/>
  <c r="DG67" i="7"/>
  <c r="EC68" i="7"/>
  <c r="AX69" i="7"/>
  <c r="AW67" i="7"/>
  <c r="ED69" i="7"/>
  <c r="EI60" i="7"/>
  <c r="DB69" i="7"/>
  <c r="DA66" i="7"/>
  <c r="DU67" i="7"/>
  <c r="BC65" i="7"/>
  <c r="BC60" i="7"/>
  <c r="DA68" i="7"/>
  <c r="AT61" i="7"/>
  <c r="BB61" i="7"/>
  <c r="BC61" i="7"/>
  <c r="DO66" i="7"/>
  <c r="CX60" i="7"/>
  <c r="CY60" i="7"/>
  <c r="CX61" i="7"/>
  <c r="DF61" i="7"/>
  <c r="DG61" i="7"/>
  <c r="CS66" i="7"/>
  <c r="G66" i="7"/>
  <c r="BQ60" i="7"/>
  <c r="CS67" i="7"/>
  <c r="CX69" i="7"/>
  <c r="CR69" i="7"/>
  <c r="CS60" i="7"/>
  <c r="AI66" i="7"/>
  <c r="AT69" i="7"/>
  <c r="AI67" i="7"/>
  <c r="BC68" i="7"/>
  <c r="G67" i="7"/>
  <c r="U67" i="7"/>
  <c r="BY67" i="7"/>
  <c r="BQ67" i="7"/>
  <c r="BP69" i="7"/>
  <c r="BQ65" i="7"/>
  <c r="HL60" i="7"/>
  <c r="HM60" i="7"/>
  <c r="CM68" i="7"/>
  <c r="BK68" i="7"/>
  <c r="CM66" i="7"/>
  <c r="BH60" i="7"/>
  <c r="BI60" i="7"/>
  <c r="BH61" i="7"/>
  <c r="BP61" i="7"/>
  <c r="BQ61" i="7"/>
  <c r="AI68" i="7"/>
  <c r="CJ61" i="7"/>
  <c r="CR61" i="7"/>
  <c r="CS61" i="7"/>
  <c r="BQ68" i="7"/>
  <c r="BH69" i="7"/>
  <c r="BK65" i="7"/>
  <c r="BY66" i="7"/>
  <c r="BK66" i="7"/>
  <c r="BQ66" i="7"/>
  <c r="CM65" i="7"/>
  <c r="CJ69" i="7"/>
  <c r="CN69" i="7"/>
  <c r="CS68" i="7"/>
  <c r="CS65" i="7"/>
  <c r="HR60" i="7"/>
  <c r="HS60" i="7"/>
  <c r="EN60" i="7"/>
  <c r="EO60" i="7"/>
  <c r="GR60" i="7"/>
  <c r="GS60" i="7"/>
  <c r="G68" i="7"/>
  <c r="G65" i="7"/>
  <c r="D69" i="7"/>
  <c r="BZ69" i="7"/>
  <c r="U68" i="7"/>
  <c r="IL60" i="7"/>
  <c r="IM60" i="7"/>
  <c r="DS20" i="7"/>
  <c r="DU20" i="7"/>
  <c r="K14" i="7"/>
  <c r="M14" i="7"/>
  <c r="K20" i="7"/>
  <c r="AN66" i="7"/>
  <c r="AO66" i="7"/>
  <c r="DU16" i="7"/>
  <c r="R60" i="7"/>
  <c r="S60" i="7"/>
  <c r="R61" i="7"/>
  <c r="U66" i="7"/>
  <c r="V69" i="7"/>
  <c r="IZ61" i="7"/>
  <c r="IZ60" i="7"/>
  <c r="JA60" i="7"/>
  <c r="FB61" i="7"/>
  <c r="FB60" i="7"/>
  <c r="FC60" i="7"/>
  <c r="HX60" i="7"/>
  <c r="HY60" i="7"/>
  <c r="HX61" i="7"/>
  <c r="DU7" i="7"/>
  <c r="JN60" i="7"/>
  <c r="JQ60" i="7"/>
  <c r="JN61" i="7"/>
  <c r="DU11" i="7"/>
  <c r="DS15" i="7"/>
  <c r="M13" i="7"/>
  <c r="K17" i="7"/>
  <c r="D60" i="7"/>
  <c r="E60" i="7"/>
  <c r="D61" i="7"/>
  <c r="BV69" i="7"/>
  <c r="JY6" i="7"/>
  <c r="JU63" i="7"/>
  <c r="BY65" i="7"/>
  <c r="AO65" i="7"/>
  <c r="GM6" i="7"/>
  <c r="GI63" i="7"/>
  <c r="BV60" i="7"/>
  <c r="BW60" i="7"/>
  <c r="BV61" i="7"/>
  <c r="DO65" i="7"/>
  <c r="DP69" i="7"/>
  <c r="AF69" i="7"/>
  <c r="HF60" i="7"/>
  <c r="HG60" i="7"/>
  <c r="HF61" i="7"/>
  <c r="H69" i="7"/>
  <c r="M10" i="7"/>
  <c r="R69" i="7"/>
  <c r="DO67" i="7"/>
  <c r="DL69" i="7"/>
  <c r="K27" i="7"/>
  <c r="M23" i="7"/>
  <c r="DU68" i="7"/>
  <c r="DO68" i="7"/>
  <c r="FB62" i="7"/>
  <c r="GD61" i="7"/>
  <c r="GD60" i="7"/>
  <c r="GE60" i="7"/>
  <c r="CD68" i="7"/>
  <c r="CE68" i="7"/>
  <c r="K18" i="7"/>
  <c r="DL61" i="7"/>
  <c r="DL60" i="7"/>
  <c r="DM60" i="7"/>
  <c r="FP61" i="7"/>
  <c r="FP60" i="7"/>
  <c r="FQ60" i="7"/>
  <c r="Z67" i="7"/>
  <c r="AA67" i="7"/>
  <c r="AI65" i="7"/>
  <c r="AJ69" i="7"/>
  <c r="AF61" i="7"/>
  <c r="AF60" i="7"/>
  <c r="AG60" i="7"/>
  <c r="CD67" i="7"/>
  <c r="CE67" i="7"/>
  <c r="BC69" i="7"/>
  <c r="CS69" i="7"/>
  <c r="DG69" i="7"/>
  <c r="BQ69" i="7"/>
  <c r="DS24" i="7"/>
  <c r="DS28" i="7"/>
  <c r="K24" i="7"/>
  <c r="M20" i="7"/>
  <c r="IC63" i="7"/>
  <c r="K21" i="7"/>
  <c r="M17" i="7"/>
  <c r="GM7" i="7"/>
  <c r="AN68" i="7"/>
  <c r="AO68" i="7"/>
  <c r="K22" i="7"/>
  <c r="K31" i="7"/>
  <c r="JY7" i="7"/>
  <c r="JE63" i="7"/>
  <c r="DS19" i="7"/>
  <c r="DU24" i="7"/>
  <c r="K28" i="7"/>
  <c r="M24" i="7"/>
  <c r="DU19" i="7"/>
  <c r="DS23" i="7"/>
  <c r="DU15" i="7"/>
  <c r="DU28" i="7"/>
  <c r="DS32" i="7"/>
  <c r="K25" i="7"/>
  <c r="M21" i="7"/>
  <c r="M22" i="7"/>
  <c r="K26" i="7"/>
  <c r="M18" i="7"/>
  <c r="JY8" i="7"/>
  <c r="GM8" i="7"/>
  <c r="M27" i="7"/>
  <c r="K35" i="7"/>
  <c r="M35" i="7"/>
  <c r="AN62" i="7"/>
  <c r="Z68" i="7"/>
  <c r="AA68" i="7"/>
  <c r="K32" i="7"/>
  <c r="M28" i="7"/>
  <c r="IP61" i="7"/>
  <c r="M31" i="7"/>
  <c r="GM9" i="7"/>
  <c r="JY9" i="7"/>
  <c r="K30" i="7"/>
  <c r="M26" i="7"/>
  <c r="CD62" i="7"/>
  <c r="DU23" i="7"/>
  <c r="DS27" i="7"/>
  <c r="M25" i="7"/>
  <c r="K29" i="7"/>
  <c r="DU32" i="7"/>
  <c r="DS36" i="7"/>
  <c r="DU36" i="7"/>
  <c r="AN67" i="7"/>
  <c r="L65" i="7"/>
  <c r="M65" i="7"/>
  <c r="IQ61" i="7"/>
  <c r="IP62" i="7"/>
  <c r="IQ62" i="7"/>
  <c r="K36" i="7"/>
  <c r="M36" i="7"/>
  <c r="GM10" i="7"/>
  <c r="AO67" i="7"/>
  <c r="AN69" i="7"/>
  <c r="AO69" i="7"/>
  <c r="DS31" i="7"/>
  <c r="ES61" i="7"/>
  <c r="ER62" i="7"/>
  <c r="ES62" i="7"/>
  <c r="K34" i="7"/>
  <c r="M30" i="7"/>
  <c r="JY10" i="7"/>
  <c r="K33" i="7"/>
  <c r="L62" i="7"/>
  <c r="CD65" i="7"/>
  <c r="Z62" i="7"/>
  <c r="M32" i="7"/>
  <c r="L66" i="7"/>
  <c r="M66" i="7"/>
  <c r="M29" i="7"/>
  <c r="M33" i="7"/>
  <c r="K37" i="7"/>
  <c r="M37" i="7"/>
  <c r="FU61" i="7"/>
  <c r="FT62" i="7"/>
  <c r="FU62" i="7"/>
  <c r="CD66" i="7"/>
  <c r="CE66" i="7"/>
  <c r="GM11" i="7"/>
  <c r="IB61" i="7"/>
  <c r="AO60" i="7"/>
  <c r="AN61" i="7"/>
  <c r="AO61" i="7"/>
  <c r="DS35" i="7"/>
  <c r="GW61" i="7"/>
  <c r="GV62" i="7"/>
  <c r="GW62" i="7"/>
  <c r="M34" i="7"/>
  <c r="K38" i="7"/>
  <c r="M38" i="7"/>
  <c r="Z65" i="7"/>
  <c r="CE65" i="7"/>
  <c r="JT61" i="7"/>
  <c r="JY11" i="7"/>
  <c r="DU27" i="7"/>
  <c r="DT66" i="7"/>
  <c r="DU66" i="7"/>
  <c r="CD69" i="7"/>
  <c r="CE69" i="7"/>
  <c r="L68" i="7"/>
  <c r="M68" i="7"/>
  <c r="L67" i="7"/>
  <c r="M67" i="7"/>
  <c r="FG61" i="7"/>
  <c r="FF62" i="7"/>
  <c r="FG62" i="7"/>
  <c r="DU31" i="7"/>
  <c r="CD61" i="7"/>
  <c r="CE61" i="7"/>
  <c r="CE60" i="7"/>
  <c r="JD61" i="7"/>
  <c r="AA65" i="7"/>
  <c r="DT62" i="7"/>
  <c r="DT65" i="7"/>
  <c r="GI61" i="7"/>
  <c r="GH62" i="7"/>
  <c r="GI62" i="7"/>
  <c r="Z66" i="7"/>
  <c r="AA66" i="7"/>
  <c r="IC61" i="7"/>
  <c r="IB62" i="7"/>
  <c r="IC62" i="7"/>
  <c r="JU61" i="7"/>
  <c r="JT62" i="7"/>
  <c r="JU62" i="7"/>
  <c r="L69" i="7"/>
  <c r="M69" i="7"/>
  <c r="Z69" i="7"/>
  <c r="AA69" i="7"/>
  <c r="JE61" i="7"/>
  <c r="JD62" i="7"/>
  <c r="JE62" i="7"/>
  <c r="DU35" i="7"/>
  <c r="M60" i="7"/>
  <c r="L61" i="7"/>
  <c r="M61" i="7"/>
  <c r="AA60" i="7"/>
  <c r="Z61" i="7"/>
  <c r="AA61" i="7"/>
  <c r="DT69" i="7"/>
  <c r="DU69" i="7"/>
  <c r="DU65" i="7"/>
  <c r="DU60" i="7"/>
  <c r="DT61" i="7"/>
  <c r="DU61" i="7"/>
</calcChain>
</file>

<file path=xl/sharedStrings.xml><?xml version="1.0" encoding="utf-8"?>
<sst xmlns="http://schemas.openxmlformats.org/spreadsheetml/2006/main" count="626" uniqueCount="147">
  <si>
    <t>BUZZ①</t>
    <phoneticPr fontId="2"/>
  </si>
  <si>
    <t>BUZZ②</t>
    <phoneticPr fontId="2"/>
  </si>
  <si>
    <t>日付</t>
  </si>
  <si>
    <t>100円</t>
  </si>
  <si>
    <t>差</t>
  </si>
  <si>
    <t>プライズ</t>
  </si>
  <si>
    <t>投入残</t>
  </si>
  <si>
    <t>払出</t>
  </si>
  <si>
    <t>補充</t>
  </si>
  <si>
    <t>景品</t>
  </si>
  <si>
    <t>単価</t>
  </si>
  <si>
    <t>出率</t>
  </si>
  <si>
    <t>設定</t>
  </si>
  <si>
    <t>合計</t>
  </si>
  <si>
    <t>トータル原価</t>
  </si>
  <si>
    <t>ave</t>
  </si>
  <si>
    <t>トータル出率</t>
  </si>
  <si>
    <t>取得</t>
  </si>
  <si>
    <t>利益</t>
  </si>
  <si>
    <t>前月</t>
  </si>
  <si>
    <t>ブース計</t>
  </si>
  <si>
    <t>払出合計</t>
  </si>
  <si>
    <t>払出額</t>
  </si>
  <si>
    <t>原価率</t>
  </si>
  <si>
    <t>原価</t>
  </si>
  <si>
    <t/>
  </si>
  <si>
    <t>40.10.12.40</t>
  </si>
  <si>
    <r>
      <rPr>
        <sz val="11"/>
        <color theme="1"/>
        <rFont val="Calibri"/>
        <family val="3"/>
        <charset val="128"/>
        <scheme val="minor"/>
      </rPr>
      <t>時津</t>
    </r>
    <rPh sb="0" eb="2">
      <t>トギツ</t>
    </rPh>
    <phoneticPr fontId="2"/>
  </si>
  <si>
    <r>
      <t>BUZZ</t>
    </r>
    <r>
      <rPr>
        <sz val="11"/>
        <color theme="1"/>
        <rFont val="Calibri"/>
        <family val="2"/>
        <charset val="128"/>
        <scheme val="minor"/>
      </rPr>
      <t>ミニ</t>
    </r>
    <r>
      <rPr>
        <sz val="18"/>
        <color theme="1"/>
        <rFont val="Calibri"/>
        <family val="2"/>
        <scheme val="minor"/>
      </rPr>
      <t>③</t>
    </r>
    <phoneticPr fontId="2"/>
  </si>
  <si>
    <r>
      <rPr>
        <sz val="11"/>
        <color theme="1"/>
        <rFont val="Calibri"/>
        <family val="2"/>
        <charset val="128"/>
        <scheme val="minor"/>
      </rPr>
      <t>合計</t>
    </r>
    <rPh sb="0" eb="2">
      <t>ゴウケイ</t>
    </rPh>
    <phoneticPr fontId="2"/>
  </si>
  <si>
    <r>
      <rPr>
        <sz val="11"/>
        <color theme="1"/>
        <rFont val="Calibri"/>
        <family val="2"/>
        <charset val="128"/>
        <scheme val="minor"/>
      </rPr>
      <t>景品</t>
    </r>
  </si>
  <si>
    <r>
      <t>500</t>
    </r>
    <r>
      <rPr>
        <sz val="11"/>
        <color theme="1"/>
        <rFont val="Calibri"/>
        <family val="3"/>
        <charset val="128"/>
        <scheme val="minor"/>
      </rPr>
      <t>円</t>
    </r>
    <phoneticPr fontId="2"/>
  </si>
  <si>
    <r>
      <rPr>
        <sz val="11"/>
        <color theme="1"/>
        <rFont val="Calibri"/>
        <family val="2"/>
        <charset val="128"/>
        <scheme val="minor"/>
      </rPr>
      <t>備考</t>
    </r>
    <rPh sb="0" eb="2">
      <t>ビコウ</t>
    </rPh>
    <phoneticPr fontId="2"/>
  </si>
  <si>
    <r>
      <rPr>
        <sz val="9"/>
        <color theme="1"/>
        <rFont val="Calibri"/>
        <family val="2"/>
        <charset val="128"/>
        <scheme val="minor"/>
      </rPr>
      <t>月売予想</t>
    </r>
    <rPh sb="0" eb="2">
      <t>ツキウ</t>
    </rPh>
    <rPh sb="2" eb="4">
      <t>ヨソウ</t>
    </rPh>
    <phoneticPr fontId="2"/>
  </si>
  <si>
    <r>
      <rPr>
        <sz val="10"/>
        <color theme="1"/>
        <rFont val="Calibri"/>
        <family val="3"/>
        <charset val="128"/>
        <scheme val="minor"/>
      </rPr>
      <t>月末在庫金額</t>
    </r>
  </si>
  <si>
    <r>
      <rPr>
        <sz val="11"/>
        <color theme="1"/>
        <rFont val="Calibri"/>
        <family val="3"/>
        <charset val="128"/>
        <scheme val="minor"/>
      </rPr>
      <t>月末在庫金額</t>
    </r>
  </si>
  <si>
    <r>
      <rPr>
        <sz val="11"/>
        <color theme="1"/>
        <rFont val="Calibri"/>
        <family val="2"/>
        <charset val="128"/>
        <scheme val="minor"/>
      </rPr>
      <t>原価率</t>
    </r>
    <rPh sb="0" eb="3">
      <t>ゲンカリツ</t>
    </rPh>
    <phoneticPr fontId="2"/>
  </si>
  <si>
    <r>
      <t>BUZZ</t>
    </r>
    <r>
      <rPr>
        <sz val="24"/>
        <color theme="1"/>
        <rFont val="Calibri"/>
        <family val="2"/>
        <scheme val="minor"/>
      </rPr>
      <t>④</t>
    </r>
    <phoneticPr fontId="2"/>
  </si>
  <si>
    <r>
      <t>BUZZ</t>
    </r>
    <r>
      <rPr>
        <sz val="24"/>
        <color theme="1"/>
        <rFont val="Calibri"/>
        <family val="2"/>
        <scheme val="minor"/>
      </rPr>
      <t>⑤</t>
    </r>
    <phoneticPr fontId="2"/>
  </si>
  <si>
    <r>
      <t>BUZZ</t>
    </r>
    <r>
      <rPr>
        <sz val="24"/>
        <color theme="1"/>
        <rFont val="Calibri"/>
        <family val="2"/>
        <scheme val="minor"/>
      </rPr>
      <t>⑥</t>
    </r>
    <phoneticPr fontId="2"/>
  </si>
  <si>
    <r>
      <t>BUZZ</t>
    </r>
    <r>
      <rPr>
        <sz val="24"/>
        <color theme="1"/>
        <rFont val="Calibri"/>
        <family val="2"/>
        <scheme val="minor"/>
      </rPr>
      <t>⑦</t>
    </r>
    <phoneticPr fontId="2"/>
  </si>
  <si>
    <r>
      <t>BUZZ</t>
    </r>
    <r>
      <rPr>
        <sz val="26"/>
        <color theme="1"/>
        <rFont val="Calibri"/>
        <family val="2"/>
        <scheme val="minor"/>
      </rPr>
      <t>⑧</t>
    </r>
    <phoneticPr fontId="2"/>
  </si>
  <si>
    <r>
      <t>BUZZ</t>
    </r>
    <r>
      <rPr>
        <sz val="12"/>
        <color theme="1"/>
        <rFont val="Calibri"/>
        <family val="3"/>
        <charset val="128"/>
        <scheme val="minor"/>
      </rPr>
      <t>クレ</t>
    </r>
    <r>
      <rPr>
        <sz val="12"/>
        <color theme="1"/>
        <rFont val="Calibri"/>
        <family val="2"/>
        <scheme val="minor"/>
      </rPr>
      <t>W+</t>
    </r>
    <r>
      <rPr>
        <sz val="22"/>
        <color theme="1"/>
        <rFont val="Calibri"/>
        <family val="3"/>
        <charset val="128"/>
        <scheme val="minor"/>
      </rPr>
      <t>①</t>
    </r>
    <phoneticPr fontId="2"/>
  </si>
  <si>
    <r>
      <t>BUZZ</t>
    </r>
    <r>
      <rPr>
        <sz val="12"/>
        <color theme="1"/>
        <rFont val="ＭＳ ゴシック"/>
        <family val="3"/>
        <charset val="128"/>
      </rPr>
      <t>クレ</t>
    </r>
    <r>
      <rPr>
        <sz val="12"/>
        <color theme="1"/>
        <rFont val="Calibri"/>
        <family val="2"/>
        <scheme val="minor"/>
      </rPr>
      <t>W+</t>
    </r>
    <r>
      <rPr>
        <sz val="28"/>
        <color theme="1"/>
        <rFont val="Segoe UI Symbol"/>
        <family val="2"/>
      </rPr>
      <t>②</t>
    </r>
    <phoneticPr fontId="2"/>
  </si>
  <si>
    <r>
      <t>BUZZ</t>
    </r>
    <r>
      <rPr>
        <sz val="11"/>
        <color theme="1"/>
        <rFont val="ＭＳ ゴシック"/>
        <family val="3"/>
        <charset val="128"/>
      </rPr>
      <t>ミニ</t>
    </r>
    <r>
      <rPr>
        <sz val="22"/>
        <color theme="1"/>
        <rFont val="Segoe UI Symbol"/>
        <family val="2"/>
      </rPr>
      <t>①</t>
    </r>
    <phoneticPr fontId="2"/>
  </si>
  <si>
    <r>
      <t>BUZZ</t>
    </r>
    <r>
      <rPr>
        <sz val="11"/>
        <color theme="1"/>
        <rFont val="ＭＳ ゴシック"/>
        <family val="3"/>
        <charset val="128"/>
      </rPr>
      <t>ミニ</t>
    </r>
    <r>
      <rPr>
        <sz val="22"/>
        <color theme="1"/>
        <rFont val="Segoe UI Symbol"/>
        <family val="2"/>
      </rPr>
      <t>②</t>
    </r>
    <phoneticPr fontId="2"/>
  </si>
  <si>
    <r>
      <t>BUZZ</t>
    </r>
    <r>
      <rPr>
        <sz val="11"/>
        <color theme="1"/>
        <rFont val="ＭＳ ゴシック"/>
        <family val="3"/>
        <charset val="128"/>
      </rPr>
      <t>ミニ</t>
    </r>
    <r>
      <rPr>
        <sz val="26"/>
        <color theme="1"/>
        <rFont val="Segoe UI Symbol"/>
        <family val="3"/>
      </rPr>
      <t>④</t>
    </r>
    <phoneticPr fontId="2"/>
  </si>
  <si>
    <r>
      <t>BUZZ</t>
    </r>
    <r>
      <rPr>
        <sz val="11"/>
        <color theme="1"/>
        <rFont val="ＭＳ ゴシック"/>
        <family val="3"/>
        <charset val="128"/>
      </rPr>
      <t>ミニ</t>
    </r>
    <r>
      <rPr>
        <sz val="26"/>
        <color theme="1"/>
        <rFont val="Segoe UI Symbol"/>
        <family val="3"/>
      </rPr>
      <t>⑤</t>
    </r>
    <phoneticPr fontId="2"/>
  </si>
  <si>
    <t>アンパンマンたいこでどんどん</t>
    <phoneticPr fontId="2"/>
  </si>
  <si>
    <t>アンパンマンどーこだ</t>
    <phoneticPr fontId="2"/>
  </si>
  <si>
    <t>ポケモンメガゲット</t>
    <phoneticPr fontId="2"/>
  </si>
  <si>
    <t>福江</t>
    <rPh sb="0" eb="2">
      <t>フクエ</t>
    </rPh>
    <phoneticPr fontId="2"/>
  </si>
  <si>
    <r>
      <t>BUZZ</t>
    </r>
    <r>
      <rPr>
        <sz val="20"/>
        <color theme="1"/>
        <rFont val="Calibri"/>
        <family val="2"/>
        <scheme val="minor"/>
      </rPr>
      <t>③</t>
    </r>
    <phoneticPr fontId="2"/>
  </si>
  <si>
    <t>18.7.8シリコン1個</t>
    <rPh sb="11" eb="12">
      <t>コ</t>
    </rPh>
    <phoneticPr fontId="2"/>
  </si>
  <si>
    <t>18.7.9シリコン3個</t>
    <rPh sb="11" eb="12">
      <t>コ</t>
    </rPh>
    <phoneticPr fontId="2"/>
  </si>
  <si>
    <t>サンリオエリップスヘアーオイル</t>
    <phoneticPr fontId="2"/>
  </si>
  <si>
    <t>LOTTEイヤホン</t>
    <phoneticPr fontId="2"/>
  </si>
  <si>
    <t>おなかぷにぷに</t>
    <phoneticPr fontId="2"/>
  </si>
  <si>
    <t>フルーツスクイーズ</t>
    <phoneticPr fontId="2"/>
  </si>
  <si>
    <t>24.10.12シリコン3個</t>
    <rPh sb="13" eb="14">
      <t>コ</t>
    </rPh>
    <phoneticPr fontId="2"/>
  </si>
  <si>
    <t>20.8.10シリコン1個</t>
    <rPh sb="12" eb="13">
      <t>コ</t>
    </rPh>
    <phoneticPr fontId="2"/>
  </si>
  <si>
    <t>18.7.8</t>
    <phoneticPr fontId="2"/>
  </si>
  <si>
    <t>24.8.8シリコン2個</t>
    <rPh sb="11" eb="12">
      <t>コ</t>
    </rPh>
    <phoneticPr fontId="2"/>
  </si>
  <si>
    <t>サンリオミニファン</t>
    <phoneticPr fontId="2"/>
  </si>
  <si>
    <t>バタースクイーズ</t>
    <phoneticPr fontId="2"/>
  </si>
  <si>
    <t>キティボールペン</t>
    <phoneticPr fontId="2"/>
  </si>
  <si>
    <t>24.7.8上昇.アシストパワー22</t>
    <rPh sb="6" eb="8">
      <t>ジョウショウ</t>
    </rPh>
    <phoneticPr fontId="2"/>
  </si>
  <si>
    <t>トイストーリーベアブリック</t>
    <phoneticPr fontId="2"/>
  </si>
  <si>
    <t>モンチッチマスコット</t>
    <phoneticPr fontId="2"/>
  </si>
  <si>
    <t>ミニトロスクイーズ</t>
    <phoneticPr fontId="2"/>
  </si>
  <si>
    <t>ぷくぷくシール</t>
    <phoneticPr fontId="2"/>
  </si>
  <si>
    <t>19.7.7</t>
    <phoneticPr fontId="2"/>
  </si>
  <si>
    <t>11.7.8</t>
    <phoneticPr fontId="2"/>
  </si>
  <si>
    <r>
      <t>17.7.8</t>
    </r>
    <r>
      <rPr>
        <sz val="6"/>
        <color theme="1"/>
        <rFont val="Yu Gothic"/>
        <family val="2"/>
        <charset val="128"/>
      </rPr>
      <t>シリコン</t>
    </r>
    <r>
      <rPr>
        <sz val="6"/>
        <color theme="1"/>
        <rFont val="Calibri"/>
        <family val="2"/>
      </rPr>
      <t>1</t>
    </r>
    <r>
      <rPr>
        <sz val="6"/>
        <color theme="1"/>
        <rFont val="Yu Gothic"/>
        <family val="2"/>
        <charset val="128"/>
      </rPr>
      <t>個</t>
    </r>
    <rPh sb="11" eb="12">
      <t>コ</t>
    </rPh>
    <phoneticPr fontId="2"/>
  </si>
  <si>
    <t>千鳥格子サンリオMC</t>
    <rPh sb="0" eb="4">
      <t>チドリゴウシ</t>
    </rPh>
    <phoneticPr fontId="2"/>
  </si>
  <si>
    <t>24.12.12シリコン2個</t>
    <rPh sb="13" eb="14">
      <t>コ</t>
    </rPh>
    <phoneticPr fontId="2"/>
  </si>
  <si>
    <t>デジカメ</t>
    <phoneticPr fontId="2"/>
  </si>
  <si>
    <t>ゲーム柄イヤホン</t>
    <rPh sb="3" eb="4">
      <t>ガラ</t>
    </rPh>
    <phoneticPr fontId="2"/>
  </si>
  <si>
    <t>半熟たまごスクイーズ</t>
    <rPh sb="0" eb="2">
      <t>ハンジュク</t>
    </rPh>
    <phoneticPr fontId="2"/>
  </si>
  <si>
    <t>ヤヤマスコット</t>
    <phoneticPr fontId="2"/>
  </si>
  <si>
    <t>18.7.8シリコン3個</t>
    <rPh sb="11" eb="12">
      <t>コ</t>
    </rPh>
    <phoneticPr fontId="2"/>
  </si>
  <si>
    <t>ミニボンドロ</t>
    <phoneticPr fontId="2"/>
  </si>
  <si>
    <t>ポケモンシリコンポーチ</t>
    <phoneticPr fontId="2"/>
  </si>
  <si>
    <t>たまごっちカスタムキーリング</t>
    <phoneticPr fontId="2"/>
  </si>
  <si>
    <t>ブレスレッド</t>
    <phoneticPr fontId="2"/>
  </si>
  <si>
    <t>15.7.8</t>
    <phoneticPr fontId="2"/>
  </si>
  <si>
    <t>13.8.8</t>
    <phoneticPr fontId="2"/>
  </si>
  <si>
    <t>19.6.6</t>
    <phoneticPr fontId="2"/>
  </si>
  <si>
    <t>電ブル</t>
    <rPh sb="0" eb="1">
      <t>デン</t>
    </rPh>
    <phoneticPr fontId="2"/>
  </si>
  <si>
    <t>ジャグラーイヤホン</t>
    <phoneticPr fontId="2"/>
  </si>
  <si>
    <t>カエルがま口</t>
    <rPh sb="5" eb="6">
      <t>グチ</t>
    </rPh>
    <phoneticPr fontId="2"/>
  </si>
  <si>
    <t>たまごっちマスコット</t>
    <phoneticPr fontId="2"/>
  </si>
  <si>
    <t>19.10.10</t>
    <phoneticPr fontId="2"/>
  </si>
  <si>
    <t>19.7.8</t>
    <phoneticPr fontId="2"/>
  </si>
  <si>
    <t>15.7.7</t>
    <phoneticPr fontId="2"/>
  </si>
  <si>
    <t>サンリオデニムポーチ</t>
  </si>
  <si>
    <t>36.13.16</t>
  </si>
  <si>
    <t>ケース入りバタースクイーズ</t>
    <rPh sb="3" eb="4">
      <t>イ</t>
    </rPh>
    <phoneticPr fontId="2"/>
  </si>
  <si>
    <t>シリコン3個</t>
    <rPh sb="5" eb="6">
      <t>コ</t>
    </rPh>
    <phoneticPr fontId="2"/>
  </si>
  <si>
    <t>押忍！番長サウンドボタン</t>
  </si>
  <si>
    <t>サンリオヘアバンド</t>
  </si>
  <si>
    <t>34.8.10</t>
  </si>
  <si>
    <t>ボンボンドロップシール</t>
  </si>
  <si>
    <t>31.10.15</t>
  </si>
  <si>
    <t>25.7.9</t>
  </si>
  <si>
    <t>13.6.7</t>
  </si>
  <si>
    <t>ベイビースリー猫</t>
  </si>
  <si>
    <t>13.5.7</t>
  </si>
  <si>
    <t>22.8.10シリコン3個</t>
  </si>
  <si>
    <t>23.9.10シリコン2個</t>
  </si>
  <si>
    <t>22.8.9シリコン3個</t>
  </si>
  <si>
    <t>22.11.11</t>
  </si>
  <si>
    <t>20.7.8シリコン1個</t>
  </si>
  <si>
    <t>22.12.10</t>
  </si>
  <si>
    <t>20.9.10</t>
  </si>
  <si>
    <t>タルトスクイーズ</t>
  </si>
  <si>
    <t>14.7.7</t>
  </si>
  <si>
    <t>ギャルキティマスコット</t>
  </si>
  <si>
    <t>20.7.9</t>
  </si>
  <si>
    <t>たまごっちブロックシール</t>
  </si>
  <si>
    <t>16.7.8</t>
  </si>
  <si>
    <t>モンチッチフルーツLサイズぬいぐるみ</t>
  </si>
  <si>
    <t>ジャグラーボタン</t>
  </si>
  <si>
    <t>ポチポチキーボードブロック</t>
  </si>
  <si>
    <t>16.7.7</t>
  </si>
  <si>
    <t>パンケーキスクイーズ</t>
  </si>
  <si>
    <t>キティマスコットMIX</t>
  </si>
  <si>
    <t>ベイビースリーフラワーマスコット</t>
  </si>
  <si>
    <t>サンリオフェイスポーチ</t>
  </si>
  <si>
    <t>28.8.10</t>
  </si>
  <si>
    <t>アンパンマンぬいぐるみ</t>
  </si>
  <si>
    <t>42.20.20</t>
  </si>
  <si>
    <t>48.14.15</t>
  </si>
  <si>
    <t>18.6.7</t>
  </si>
  <si>
    <t>37.10.11</t>
  </si>
  <si>
    <r>
      <rPr>
        <sz val="11"/>
        <color theme="1"/>
        <rFont val="Calibri"/>
        <family val="2"/>
        <charset val="128"/>
        <scheme val="minor"/>
      </rPr>
      <t>月間予想</t>
    </r>
    <rPh sb="0" eb="2">
      <t>ゲッカン</t>
    </rPh>
    <rPh sb="2" eb="4">
      <t>ヨソウ</t>
    </rPh>
    <phoneticPr fontId="2"/>
  </si>
  <si>
    <r>
      <rPr>
        <sz val="11"/>
        <color theme="1"/>
        <rFont val="Calibri"/>
        <family val="2"/>
        <charset val="128"/>
        <scheme val="minor"/>
      </rPr>
      <t>月間原価</t>
    </r>
    <rPh sb="0" eb="2">
      <t>ゲッカン</t>
    </rPh>
    <rPh sb="2" eb="4">
      <t>ゲンカ</t>
    </rPh>
    <phoneticPr fontId="2"/>
  </si>
  <si>
    <r>
      <rPr>
        <sz val="11"/>
        <color theme="1"/>
        <rFont val="Calibri"/>
        <family val="2"/>
        <charset val="128"/>
        <scheme val="minor"/>
      </rPr>
      <t>月末棚卸</t>
    </r>
    <rPh sb="0" eb="2">
      <t>ゲツマツ</t>
    </rPh>
    <rPh sb="2" eb="4">
      <t>タナオロシ</t>
    </rPh>
    <phoneticPr fontId="2"/>
  </si>
  <si>
    <t>24.10.11上部停止0.2</t>
  </si>
  <si>
    <t>18.7.9</t>
  </si>
  <si>
    <t>45.22.22</t>
  </si>
  <si>
    <t>上部停止長くした</t>
  </si>
  <si>
    <t>24.10.11</t>
  </si>
  <si>
    <t>上部停止長くして、アシスト回数増やした</t>
  </si>
  <si>
    <t>サンリオキーケース？19.6.7</t>
  </si>
  <si>
    <t>サンリオスカーフ付リュック22.9.10</t>
  </si>
  <si>
    <t>クリアアルバム24.12.13シリコン2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</si>
</sst>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0_);[Red]\(0\)"/>
    <numFmt numFmtId="177" formatCode="m/d/aaa"/>
    <numFmt numFmtId="178" formatCode="0.0%"/>
  </numFmts>
  <fonts count="37" x14ac:knownFonts="1">
    <font>
      <sz val="11"/>
      <color theme="1"/>
      <name val="Calibri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3"/>
      <charset val="128"/>
      <scheme val="minor"/>
    </font>
    <font>
      <sz val="7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charset val="128"/>
      <scheme val="minor"/>
    </font>
    <font>
      <sz val="10"/>
      <color theme="1"/>
      <name val="Calibri"/>
      <family val="3"/>
      <charset val="128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22"/>
      <color theme="1"/>
      <name val="Segoe UI Symbol"/>
      <family val="2"/>
    </font>
    <font>
      <sz val="12"/>
      <color theme="1"/>
      <name val="Calibri"/>
      <family val="3"/>
      <charset val="128"/>
      <scheme val="minor"/>
    </font>
    <font>
      <sz val="12"/>
      <color theme="1"/>
      <name val="ＭＳ ゴシック"/>
      <family val="3"/>
      <charset val="128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2"/>
      <color theme="1"/>
      <name val="Calibri"/>
      <family val="3"/>
      <charset val="128"/>
      <scheme val="minor"/>
    </font>
    <font>
      <sz val="28"/>
      <color theme="1"/>
      <name val="Segoe UI Symbol"/>
      <family val="2"/>
    </font>
    <font>
      <sz val="11"/>
      <color theme="1"/>
      <name val="ＭＳ ゴシック"/>
      <family val="3"/>
      <charset val="128"/>
    </font>
    <font>
      <sz val="26"/>
      <color theme="1"/>
      <name val="Segoe UI Symbol"/>
      <family val="3"/>
    </font>
    <font>
      <sz val="10"/>
      <color theme="1"/>
      <name val="ＭＳ ゴシック"/>
      <family val="3"/>
      <charset val="128"/>
    </font>
    <font>
      <sz val="20"/>
      <color theme="1"/>
      <name val="Calibri"/>
      <family val="2"/>
      <scheme val="minor"/>
    </font>
    <font>
      <sz val="6"/>
      <color theme="1"/>
      <name val="ＭＳ Ｐゴシック"/>
      <family val="2"/>
      <charset val="128"/>
    </font>
    <font>
      <sz val="8"/>
      <color theme="1"/>
      <name val="ＭＳ Ｐゴシック"/>
      <family val="2"/>
      <charset val="128"/>
    </font>
    <font>
      <sz val="6"/>
      <color theme="1"/>
      <name val="Yu Gothic"/>
      <family val="2"/>
      <charset val="128"/>
    </font>
    <font>
      <sz val="6"/>
      <color theme="1"/>
      <name val="Calibri"/>
      <family val="2"/>
    </font>
    <font>
      <sz val="8"/>
      <color theme="1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B2A1C7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6" fontId="5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8" fillId="0" borderId="0"/>
  </cellStyleXfs>
  <cellXfs count="145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38" fontId="9" fillId="0" borderId="8" xfId="0" applyNumberFormat="1" applyFont="1" applyBorder="1" applyAlignment="1">
      <alignment vertical="center"/>
    </xf>
    <xf numFmtId="38" fontId="9" fillId="0" borderId="1" xfId="0" applyNumberFormat="1" applyFont="1" applyBorder="1" applyAlignment="1">
      <alignment vertical="center"/>
    </xf>
    <xf numFmtId="38" fontId="5" fillId="0" borderId="8" xfId="0" applyNumberFormat="1" applyFont="1" applyBorder="1" applyAlignment="1">
      <alignment vertical="center"/>
    </xf>
    <xf numFmtId="38" fontId="5" fillId="0" borderId="1" xfId="0" applyNumberFormat="1" applyFont="1" applyBorder="1" applyAlignment="1">
      <alignment vertical="center"/>
    </xf>
    <xf numFmtId="0" fontId="5" fillId="4" borderId="0" xfId="0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38" fontId="5" fillId="4" borderId="0" xfId="0" applyNumberFormat="1" applyFont="1" applyFill="1" applyAlignment="1">
      <alignment vertical="center"/>
    </xf>
    <xf numFmtId="0" fontId="3" fillId="4" borderId="0" xfId="0" applyFont="1" applyFill="1" applyAlignment="1">
      <alignment vertical="center"/>
    </xf>
    <xf numFmtId="38" fontId="12" fillId="5" borderId="0" xfId="0" applyNumberFormat="1" applyFont="1" applyFill="1" applyAlignment="1">
      <alignment vertical="center"/>
    </xf>
    <xf numFmtId="0" fontId="5" fillId="4" borderId="1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77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38" fontId="5" fillId="0" borderId="1" xfId="0" applyNumberFormat="1" applyFont="1" applyBorder="1" applyAlignment="1">
      <alignment horizontal="center" vertical="center"/>
    </xf>
    <xf numFmtId="38" fontId="9" fillId="0" borderId="1" xfId="0" applyNumberFormat="1" applyFont="1" applyBorder="1" applyAlignment="1">
      <alignment horizontal="center" vertical="center"/>
    </xf>
    <xf numFmtId="38" fontId="5" fillId="0" borderId="0" xfId="0" applyNumberFormat="1" applyFont="1" applyAlignment="1">
      <alignment horizontal="center" vertical="center"/>
    </xf>
    <xf numFmtId="38" fontId="3" fillId="0" borderId="1" xfId="0" applyNumberFormat="1" applyFont="1" applyBorder="1" applyAlignment="1">
      <alignment horizontal="center" vertical="center"/>
    </xf>
    <xf numFmtId="38" fontId="5" fillId="0" borderId="4" xfId="0" applyNumberFormat="1" applyFont="1" applyBorder="1" applyAlignment="1">
      <alignment horizontal="center" vertical="center"/>
    </xf>
    <xf numFmtId="38" fontId="5" fillId="0" borderId="9" xfId="0" applyNumberFormat="1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38" fontId="5" fillId="0" borderId="11" xfId="0" applyNumberFormat="1" applyFont="1" applyBorder="1" applyAlignment="1">
      <alignment vertical="center"/>
    </xf>
    <xf numFmtId="9" fontId="5" fillId="0" borderId="8" xfId="0" applyNumberFormat="1" applyFont="1" applyBorder="1" applyAlignment="1">
      <alignment vertical="center"/>
    </xf>
    <xf numFmtId="38" fontId="11" fillId="0" borderId="1" xfId="0" applyNumberFormat="1" applyFont="1" applyBorder="1" applyAlignment="1">
      <alignment vertical="center"/>
    </xf>
    <xf numFmtId="38" fontId="5" fillId="0" borderId="0" xfId="0" applyNumberFormat="1" applyFont="1" applyAlignment="1">
      <alignment vertical="center"/>
    </xf>
    <xf numFmtId="38" fontId="3" fillId="0" borderId="8" xfId="0" applyNumberFormat="1" applyFont="1" applyBorder="1" applyAlignment="1">
      <alignment vertical="center"/>
    </xf>
    <xf numFmtId="177" fontId="5" fillId="0" borderId="8" xfId="0" applyNumberFormat="1" applyFont="1" applyBorder="1" applyAlignment="1">
      <alignment vertical="center"/>
    </xf>
    <xf numFmtId="38" fontId="11" fillId="0" borderId="8" xfId="0" applyNumberFormat="1" applyFont="1" applyBorder="1" applyAlignment="1">
      <alignment vertical="center"/>
    </xf>
    <xf numFmtId="38" fontId="5" fillId="0" borderId="1" xfId="0" applyNumberFormat="1" applyFont="1" applyBorder="1" applyAlignment="1">
      <alignment horizontal="right" vertical="center"/>
    </xf>
    <xf numFmtId="9" fontId="5" fillId="0" borderId="1" xfId="0" applyNumberFormat="1" applyFont="1" applyBorder="1" applyAlignment="1">
      <alignment vertical="center"/>
    </xf>
    <xf numFmtId="176" fontId="5" fillId="0" borderId="1" xfId="0" applyNumberFormat="1" applyFont="1" applyBorder="1" applyAlignment="1">
      <alignment vertical="center"/>
    </xf>
    <xf numFmtId="38" fontId="3" fillId="0" borderId="1" xfId="0" applyNumberFormat="1" applyFont="1" applyBorder="1" applyAlignment="1">
      <alignment vertical="center"/>
    </xf>
    <xf numFmtId="38" fontId="5" fillId="0" borderId="9" xfId="0" applyNumberFormat="1" applyFont="1" applyBorder="1" applyAlignment="1">
      <alignment vertical="center"/>
    </xf>
    <xf numFmtId="177" fontId="5" fillId="0" borderId="3" xfId="0" applyNumberFormat="1" applyFont="1" applyBorder="1" applyAlignment="1">
      <alignment horizontal="center" vertical="center"/>
    </xf>
    <xf numFmtId="177" fontId="5" fillId="0" borderId="5" xfId="0" applyNumberFormat="1" applyFont="1" applyBorder="1" applyAlignment="1">
      <alignment vertical="center"/>
    </xf>
    <xf numFmtId="176" fontId="5" fillId="0" borderId="6" xfId="0" applyNumberFormat="1" applyFont="1" applyBorder="1" applyAlignment="1">
      <alignment vertical="center"/>
    </xf>
    <xf numFmtId="38" fontId="5" fillId="0" borderId="15" xfId="0" applyNumberFormat="1" applyFont="1" applyBorder="1" applyAlignment="1">
      <alignment vertical="center"/>
    </xf>
    <xf numFmtId="38" fontId="5" fillId="0" borderId="5" xfId="0" applyNumberFormat="1" applyFont="1" applyBorder="1" applyAlignment="1">
      <alignment vertical="center"/>
    </xf>
    <xf numFmtId="38" fontId="9" fillId="0" borderId="5" xfId="0" applyNumberFormat="1" applyFont="1" applyBorder="1" applyAlignment="1">
      <alignment vertical="center"/>
    </xf>
    <xf numFmtId="9" fontId="5" fillId="0" borderId="5" xfId="0" applyNumberFormat="1" applyFont="1" applyBorder="1" applyAlignment="1">
      <alignment vertical="center"/>
    </xf>
    <xf numFmtId="38" fontId="3" fillId="0" borderId="5" xfId="0" applyNumberFormat="1" applyFont="1" applyBorder="1" applyAlignment="1">
      <alignment vertical="center"/>
    </xf>
    <xf numFmtId="177" fontId="5" fillId="0" borderId="8" xfId="0" applyNumberFormat="1" applyFont="1" applyBorder="1" applyAlignment="1">
      <alignment horizontal="right" vertical="center"/>
    </xf>
    <xf numFmtId="38" fontId="5" fillId="0" borderId="7" xfId="0" applyNumberFormat="1" applyFont="1" applyBorder="1" applyAlignment="1">
      <alignment vertical="center"/>
    </xf>
    <xf numFmtId="38" fontId="5" fillId="0" borderId="8" xfId="0" applyNumberFormat="1" applyFont="1" applyBorder="1" applyAlignment="1">
      <alignment horizontal="right" vertical="center"/>
    </xf>
    <xf numFmtId="9" fontId="5" fillId="0" borderId="7" xfId="0" applyNumberFormat="1" applyFont="1" applyBorder="1" applyAlignment="1">
      <alignment vertical="center"/>
    </xf>
    <xf numFmtId="177" fontId="5" fillId="0" borderId="3" xfId="0" applyNumberFormat="1" applyFont="1" applyBorder="1" applyAlignment="1">
      <alignment horizontal="right" vertical="center"/>
    </xf>
    <xf numFmtId="177" fontId="5" fillId="0" borderId="1" xfId="0" applyNumberFormat="1" applyFont="1" applyBorder="1" applyAlignment="1">
      <alignment horizontal="right" vertical="center"/>
    </xf>
    <xf numFmtId="176" fontId="5" fillId="0" borderId="4" xfId="0" applyNumberFormat="1" applyFont="1" applyBorder="1" applyAlignment="1">
      <alignment vertical="center"/>
    </xf>
    <xf numFmtId="177" fontId="5" fillId="0" borderId="4" xfId="0" applyNumberFormat="1" applyFont="1" applyBorder="1" applyAlignment="1">
      <alignment vertical="center"/>
    </xf>
    <xf numFmtId="38" fontId="5" fillId="0" borderId="12" xfId="0" applyNumberFormat="1" applyFont="1" applyBorder="1" applyAlignment="1">
      <alignment vertical="center"/>
    </xf>
    <xf numFmtId="38" fontId="5" fillId="0" borderId="2" xfId="0" applyNumberFormat="1" applyFont="1" applyBorder="1" applyAlignment="1">
      <alignment vertical="center"/>
    </xf>
    <xf numFmtId="38" fontId="5" fillId="0" borderId="2" xfId="0" applyNumberFormat="1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  <xf numFmtId="38" fontId="5" fillId="0" borderId="10" xfId="0" applyNumberFormat="1" applyFont="1" applyBorder="1" applyAlignment="1">
      <alignment vertical="center"/>
    </xf>
    <xf numFmtId="38" fontId="5" fillId="0" borderId="5" xfId="0" applyNumberFormat="1" applyFont="1" applyBorder="1" applyAlignment="1">
      <alignment horizontal="right" vertical="center"/>
    </xf>
    <xf numFmtId="38" fontId="15" fillId="0" borderId="1" xfId="0" applyNumberFormat="1" applyFont="1" applyBorder="1" applyAlignment="1">
      <alignment vertical="center"/>
    </xf>
    <xf numFmtId="176" fontId="5" fillId="0" borderId="12" xfId="0" applyNumberFormat="1" applyFont="1" applyBorder="1" applyAlignment="1">
      <alignment vertical="center"/>
    </xf>
    <xf numFmtId="177" fontId="5" fillId="0" borderId="6" xfId="0" applyNumberFormat="1" applyFont="1" applyBorder="1" applyAlignment="1">
      <alignment horizontal="right" vertical="center"/>
    </xf>
    <xf numFmtId="176" fontId="5" fillId="0" borderId="15" xfId="0" applyNumberFormat="1" applyFont="1" applyBorder="1" applyAlignment="1">
      <alignment vertical="center"/>
    </xf>
    <xf numFmtId="177" fontId="5" fillId="0" borderId="6" xfId="0" applyNumberFormat="1" applyFont="1" applyBorder="1" applyAlignment="1">
      <alignment vertical="center"/>
    </xf>
    <xf numFmtId="177" fontId="5" fillId="0" borderId="2" xfId="0" applyNumberFormat="1" applyFont="1" applyBorder="1" applyAlignment="1">
      <alignment horizontal="right" vertical="center"/>
    </xf>
    <xf numFmtId="176" fontId="5" fillId="0" borderId="2" xfId="0" applyNumberFormat="1" applyFont="1" applyBorder="1" applyAlignment="1">
      <alignment vertical="center"/>
    </xf>
    <xf numFmtId="177" fontId="5" fillId="0" borderId="12" xfId="0" applyNumberFormat="1" applyFont="1" applyBorder="1" applyAlignment="1">
      <alignment vertical="center"/>
    </xf>
    <xf numFmtId="176" fontId="5" fillId="0" borderId="5" xfId="0" applyNumberFormat="1" applyFont="1" applyBorder="1" applyAlignment="1">
      <alignment vertical="center"/>
    </xf>
    <xf numFmtId="177" fontId="5" fillId="0" borderId="8" xfId="0" applyNumberFormat="1" applyFont="1" applyBorder="1" applyAlignment="1">
      <alignment horizontal="center" vertical="center"/>
    </xf>
    <xf numFmtId="38" fontId="5" fillId="0" borderId="5" xfId="0" applyNumberFormat="1" applyFont="1" applyBorder="1" applyAlignment="1">
      <alignment vertical="top"/>
    </xf>
    <xf numFmtId="38" fontId="5" fillId="0" borderId="6" xfId="0" applyNumberFormat="1" applyFont="1" applyBorder="1" applyAlignment="1">
      <alignment vertical="center"/>
    </xf>
    <xf numFmtId="38" fontId="5" fillId="0" borderId="15" xfId="0" applyNumberFormat="1" applyFont="1" applyBorder="1" applyAlignment="1">
      <alignment horizontal="right" vertical="center"/>
    </xf>
    <xf numFmtId="38" fontId="3" fillId="0" borderId="10" xfId="0" applyNumberFormat="1" applyFont="1" applyBorder="1" applyAlignment="1">
      <alignment vertical="center"/>
    </xf>
    <xf numFmtId="177" fontId="5" fillId="0" borderId="3" xfId="0" applyNumberFormat="1" applyFont="1" applyBorder="1" applyAlignment="1">
      <alignment vertical="center"/>
    </xf>
    <xf numFmtId="38" fontId="9" fillId="0" borderId="12" xfId="0" applyNumberFormat="1" applyFont="1" applyBorder="1" applyAlignment="1">
      <alignment vertical="center"/>
    </xf>
    <xf numFmtId="38" fontId="11" fillId="0" borderId="2" xfId="0" applyNumberFormat="1" applyFont="1" applyBorder="1" applyAlignment="1">
      <alignment vertical="center"/>
    </xf>
    <xf numFmtId="38" fontId="3" fillId="0" borderId="12" xfId="0" applyNumberFormat="1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38" fontId="9" fillId="0" borderId="15" xfId="0" applyNumberFormat="1" applyFont="1" applyBorder="1" applyAlignment="1">
      <alignment vertical="center"/>
    </xf>
    <xf numFmtId="38" fontId="11" fillId="0" borderId="15" xfId="0" applyNumberFormat="1" applyFont="1" applyBorder="1" applyAlignment="1">
      <alignment vertical="center"/>
    </xf>
    <xf numFmtId="177" fontId="5" fillId="0" borderId="15" xfId="0" applyNumberFormat="1" applyFont="1" applyBorder="1" applyAlignment="1">
      <alignment vertical="center"/>
    </xf>
    <xf numFmtId="38" fontId="3" fillId="0" borderId="15" xfId="0" applyNumberFormat="1" applyFont="1" applyBorder="1" applyAlignment="1">
      <alignment vertical="center"/>
    </xf>
    <xf numFmtId="38" fontId="5" fillId="0" borderId="8" xfId="0" applyNumberFormat="1" applyFont="1" applyBorder="1" applyAlignment="1">
      <alignment horizontal="center" vertical="center"/>
    </xf>
    <xf numFmtId="38" fontId="16" fillId="0" borderId="8" xfId="0" applyNumberFormat="1" applyFont="1" applyBorder="1" applyAlignment="1">
      <alignment horizontal="center" vertical="center"/>
    </xf>
    <xf numFmtId="177" fontId="5" fillId="0" borderId="2" xfId="0" applyNumberFormat="1" applyFont="1" applyBorder="1" applyAlignment="1">
      <alignment vertical="center"/>
    </xf>
    <xf numFmtId="178" fontId="5" fillId="0" borderId="1" xfId="0" applyNumberFormat="1" applyFont="1" applyBorder="1" applyAlignment="1">
      <alignment vertical="center"/>
    </xf>
    <xf numFmtId="0" fontId="5" fillId="0" borderId="2" xfId="0" applyFont="1" applyBorder="1" applyAlignment="1">
      <alignment vertical="center"/>
    </xf>
    <xf numFmtId="176" fontId="5" fillId="0" borderId="9" xfId="0" applyNumberFormat="1" applyFont="1" applyBorder="1" applyAlignment="1">
      <alignment vertical="center"/>
    </xf>
    <xf numFmtId="38" fontId="5" fillId="0" borderId="4" xfId="0" applyNumberFormat="1" applyFont="1" applyBorder="1" applyAlignment="1">
      <alignment vertical="center"/>
    </xf>
    <xf numFmtId="38" fontId="5" fillId="0" borderId="8" xfId="4" applyFont="1" applyBorder="1" applyAlignment="1">
      <alignment vertical="center"/>
    </xf>
    <xf numFmtId="38" fontId="14" fillId="0" borderId="3" xfId="0" applyNumberFormat="1" applyFont="1" applyBorder="1" applyAlignment="1">
      <alignment horizontal="center" vertical="center"/>
    </xf>
    <xf numFmtId="38" fontId="14" fillId="0" borderId="13" xfId="0" applyNumberFormat="1" applyFont="1" applyBorder="1" applyAlignment="1">
      <alignment horizontal="center" vertical="center"/>
    </xf>
    <xf numFmtId="38" fontId="5" fillId="0" borderId="16" xfId="0" applyNumberFormat="1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9" fontId="5" fillId="0" borderId="9" xfId="0" applyNumberFormat="1" applyFont="1" applyBorder="1" applyAlignment="1">
      <alignment vertical="center"/>
    </xf>
    <xf numFmtId="38" fontId="20" fillId="0" borderId="1" xfId="0" applyNumberFormat="1" applyFont="1" applyBorder="1" applyAlignment="1">
      <alignment vertical="center"/>
    </xf>
    <xf numFmtId="9" fontId="5" fillId="0" borderId="0" xfId="0" applyNumberFormat="1" applyFont="1" applyAlignment="1">
      <alignment vertical="center"/>
    </xf>
    <xf numFmtId="38" fontId="16" fillId="0" borderId="1" xfId="0" applyNumberFormat="1" applyFont="1" applyBorder="1" applyAlignment="1">
      <alignment horizontal="center" vertical="center"/>
    </xf>
    <xf numFmtId="178" fontId="5" fillId="0" borderId="8" xfId="0" applyNumberFormat="1" applyFont="1" applyBorder="1" applyAlignment="1">
      <alignment vertical="center"/>
    </xf>
    <xf numFmtId="177" fontId="5" fillId="0" borderId="0" xfId="0" applyNumberFormat="1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vertical="center"/>
    </xf>
    <xf numFmtId="178" fontId="5" fillId="0" borderId="1" xfId="3" applyNumberFormat="1" applyFont="1" applyBorder="1" applyAlignment="1">
      <alignment vertical="center"/>
    </xf>
    <xf numFmtId="38" fontId="33" fillId="0" borderId="8" xfId="0" applyNumberFormat="1" applyFont="1" applyBorder="1" applyAlignment="1">
      <alignment vertical="center"/>
    </xf>
    <xf numFmtId="38" fontId="33" fillId="0" borderId="5" xfId="0" applyNumberFormat="1" applyFont="1" applyBorder="1" applyAlignment="1">
      <alignment vertical="center"/>
    </xf>
    <xf numFmtId="38" fontId="33" fillId="0" borderId="1" xfId="0" applyNumberFormat="1" applyFont="1" applyBorder="1" applyAlignment="1">
      <alignment vertical="center"/>
    </xf>
    <xf numFmtId="38" fontId="32" fillId="0" borderId="1" xfId="0" applyNumberFormat="1" applyFont="1" applyBorder="1" applyAlignment="1">
      <alignment vertical="center"/>
    </xf>
    <xf numFmtId="177" fontId="0" fillId="0" borderId="1" xfId="0" applyNumberFormat="1" applyBorder="1" applyAlignment="1">
      <alignment vertical="center"/>
    </xf>
    <xf numFmtId="9" fontId="5" fillId="0" borderId="12" xfId="0" applyNumberFormat="1" applyFont="1" applyBorder="1" applyAlignment="1">
      <alignment vertical="center"/>
    </xf>
    <xf numFmtId="38" fontId="5" fillId="0" borderId="22" xfId="0" applyNumberFormat="1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38" fontId="5" fillId="0" borderId="3" xfId="0" applyNumberFormat="1" applyFont="1" applyBorder="1" applyAlignment="1">
      <alignment vertical="center"/>
    </xf>
    <xf numFmtId="38" fontId="5" fillId="0" borderId="2" xfId="0" applyNumberFormat="1" applyFont="1" applyBorder="1" applyAlignment="1">
      <alignment horizontal="center" vertical="center"/>
    </xf>
    <xf numFmtId="38" fontId="36" fillId="0" borderId="8" xfId="0" applyNumberFormat="1" applyFont="1" applyBorder="1" applyAlignment="1">
      <alignment vertical="center"/>
    </xf>
    <xf numFmtId="38" fontId="36" fillId="0" borderId="22" xfId="0" applyNumberFormat="1" applyFont="1" applyBorder="1" applyAlignment="1">
      <alignment vertical="center"/>
    </xf>
    <xf numFmtId="38" fontId="5" fillId="6" borderId="8" xfId="0" applyNumberFormat="1" applyFont="1" applyFill="1" applyBorder="1" applyAlignment="1">
      <alignment vertical="center"/>
    </xf>
    <xf numFmtId="38" fontId="5" fillId="6" borderId="1" xfId="0" applyNumberFormat="1" applyFont="1" applyFill="1" applyBorder="1" applyAlignment="1">
      <alignment vertical="center"/>
    </xf>
    <xf numFmtId="9" fontId="5" fillId="6" borderId="7" xfId="0" applyNumberFormat="1" applyFont="1" applyFill="1" applyBorder="1" applyAlignment="1">
      <alignment vertical="center"/>
    </xf>
    <xf numFmtId="38" fontId="5" fillId="3" borderId="18" xfId="0" applyNumberFormat="1" applyFont="1" applyFill="1" applyBorder="1" applyAlignment="1">
      <alignment horizontal="center" vertical="center"/>
    </xf>
    <xf numFmtId="38" fontId="5" fillId="3" borderId="19" xfId="0" applyNumberFormat="1" applyFont="1" applyFill="1" applyBorder="1" applyAlignment="1">
      <alignment horizontal="center" vertical="center"/>
    </xf>
    <xf numFmtId="38" fontId="5" fillId="0" borderId="20" xfId="2" applyNumberFormat="1" applyFont="1" applyBorder="1" applyAlignment="1">
      <alignment horizontal="center" vertical="center"/>
    </xf>
    <xf numFmtId="38" fontId="5" fillId="0" borderId="21" xfId="2" applyNumberFormat="1" applyFont="1" applyBorder="1" applyAlignment="1">
      <alignment horizontal="center" vertical="center"/>
    </xf>
    <xf numFmtId="38" fontId="5" fillId="0" borderId="4" xfId="0" applyNumberFormat="1" applyFont="1" applyBorder="1" applyAlignment="1">
      <alignment horizontal="right" vertical="center"/>
    </xf>
    <xf numFmtId="38" fontId="5" fillId="0" borderId="17" xfId="0" applyNumberFormat="1" applyFont="1" applyBorder="1" applyAlignment="1">
      <alignment horizontal="right" vertical="center"/>
    </xf>
    <xf numFmtId="38" fontId="5" fillId="0" borderId="18" xfId="0" applyNumberFormat="1" applyFont="1" applyBorder="1" applyAlignment="1">
      <alignment horizontal="center" vertical="center"/>
    </xf>
    <xf numFmtId="38" fontId="5" fillId="0" borderId="19" xfId="0" applyNumberFormat="1" applyFont="1" applyBorder="1" applyAlignment="1">
      <alignment horizontal="center" vertical="center"/>
    </xf>
    <xf numFmtId="177" fontId="5" fillId="0" borderId="18" xfId="0" applyNumberFormat="1" applyFont="1" applyBorder="1" applyAlignment="1">
      <alignment horizontal="center" vertical="center"/>
    </xf>
    <xf numFmtId="177" fontId="5" fillId="0" borderId="19" xfId="0" applyNumberFormat="1" applyFont="1" applyBorder="1" applyAlignment="1">
      <alignment horizontal="center" vertical="center"/>
    </xf>
    <xf numFmtId="38" fontId="5" fillId="0" borderId="4" xfId="0" applyNumberFormat="1" applyFont="1" applyBorder="1" applyAlignment="1">
      <alignment horizontal="center" vertical="center"/>
    </xf>
    <xf numFmtId="38" fontId="14" fillId="0" borderId="4" xfId="0" applyNumberFormat="1" applyFont="1" applyBorder="1" applyAlignment="1">
      <alignment horizontal="right" vertical="center"/>
    </xf>
    <xf numFmtId="0" fontId="19" fillId="0" borderId="9" xfId="0" applyFont="1" applyBorder="1" applyAlignment="1">
      <alignment vertical="center"/>
    </xf>
    <xf numFmtId="38" fontId="16" fillId="0" borderId="4" xfId="0" applyNumberFormat="1" applyFont="1" applyBorder="1" applyAlignment="1">
      <alignment horizontal="center" vertical="center"/>
    </xf>
    <xf numFmtId="38" fontId="14" fillId="0" borderId="4" xfId="0" applyNumberFormat="1" applyFont="1" applyBorder="1" applyAlignment="1">
      <alignment horizontal="center" vertical="center"/>
    </xf>
    <xf numFmtId="38" fontId="14" fillId="0" borderId="9" xfId="0" applyNumberFormat="1" applyFont="1" applyBorder="1" applyAlignment="1">
      <alignment horizontal="center" vertical="center"/>
    </xf>
    <xf numFmtId="38" fontId="16" fillId="0" borderId="3" xfId="0" applyNumberFormat="1" applyFont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38" fontId="12" fillId="5" borderId="13" xfId="0" applyNumberFormat="1" applyFont="1" applyFill="1" applyBorder="1" applyAlignment="1">
      <alignment horizontal="center" vertical="center"/>
    </xf>
    <xf numFmtId="0" fontId="28" fillId="4" borderId="13" xfId="0" applyFont="1" applyFill="1" applyBorder="1" applyAlignment="1">
      <alignment horizontal="center" vertical="center"/>
    </xf>
    <xf numFmtId="0" fontId="30" fillId="4" borderId="13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</cellXfs>
  <cellStyles count="6">
    <cellStyle name="Hyperlink" xfId="1" xr:uid="{00000000-000B-0000-0000-000008000000}"/>
    <cellStyle name="パーセント" xfId="3" builtinId="5"/>
    <cellStyle name="桁区切り" xfId="4" builtinId="6"/>
    <cellStyle name="通貨" xfId="2" builtinId="7"/>
    <cellStyle name="標準" xfId="0" builtinId="0"/>
    <cellStyle name="標準 2 2 2" xfId="5" xr:uid="{F8540B52-7F22-4ECA-851E-56D76D368B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6585-8C5B-43C7-AE97-130EF9E0449E}">
  <dimension ref="A1:JZ2215"/>
  <sheetViews>
    <sheetView tabSelected="1" zoomScale="110" zoomScaleNormal="110" workbookViewId="0">
      <pane xSplit="1" ySplit="2" topLeftCell="CM3" activePane="bottomRight" state="frozen"/>
      <selection pane="bottomLeft" activeCell="A3" sqref="A3"/>
      <selection pane="topRight" activeCell="B1" sqref="B1"/>
      <selection pane="bottomRight" activeCell="CN10" sqref="CN10"/>
    </sheetView>
  </sheetViews>
  <sheetFormatPr defaultColWidth="14.390625" defaultRowHeight="15" customHeight="1" x14ac:dyDescent="0.2"/>
  <cols>
    <col min="1" max="1" width="9.68359375" style="13" bestFit="1" customWidth="1"/>
    <col min="2" max="2" width="9.81640625" style="101" bestFit="1" customWidth="1"/>
    <col min="3" max="3" width="7.26171875" style="13" bestFit="1" customWidth="1"/>
    <col min="4" max="5" width="8.609375" style="13" bestFit="1" customWidth="1"/>
    <col min="6" max="6" width="6.58984375" style="13" bestFit="1" customWidth="1"/>
    <col min="7" max="7" width="8.609375" style="13" bestFit="1" customWidth="1"/>
    <col min="8" max="9" width="6.3203125" style="13" bestFit="1" customWidth="1"/>
    <col min="10" max="10" width="29.59375" style="13" bestFit="1" customWidth="1"/>
    <col min="11" max="11" width="6.3203125" style="1" bestFit="1" customWidth="1"/>
    <col min="12" max="12" width="8.33984375" style="13" bestFit="1" customWidth="1"/>
    <col min="13" max="13" width="8.47265625" style="13" bestFit="1" customWidth="1"/>
    <col min="14" max="14" width="23.13671875" style="13" bestFit="1" customWidth="1"/>
    <col min="15" max="15" width="3.09375" style="13" customWidth="1"/>
    <col min="16" max="16" width="9.68359375" style="13" bestFit="1" customWidth="1"/>
    <col min="17" max="17" width="7.26171875" style="13" bestFit="1" customWidth="1"/>
    <col min="18" max="18" width="8.33984375" style="13" bestFit="1" customWidth="1"/>
    <col min="19" max="19" width="8.609375" style="13" bestFit="1" customWidth="1"/>
    <col min="20" max="20" width="4.70703125" style="13" bestFit="1" customWidth="1"/>
    <col min="21" max="21" width="8.609375" style="13" bestFit="1" customWidth="1"/>
    <col min="22" max="23" width="6.3203125" style="13" bestFit="1" customWidth="1"/>
    <col min="24" max="24" width="29.59375" style="13" bestFit="1" customWidth="1"/>
    <col min="25" max="25" width="6.3203125" style="13" bestFit="1" customWidth="1"/>
    <col min="26" max="26" width="8.33984375" style="13" bestFit="1" customWidth="1"/>
    <col min="27" max="27" width="8.47265625" style="13" bestFit="1" customWidth="1"/>
    <col min="28" max="28" width="23.26953125" style="13" customWidth="1"/>
    <col min="29" max="29" width="4.03515625" style="13" customWidth="1"/>
    <col min="30" max="30" width="9.68359375" style="13" bestFit="1" customWidth="1"/>
    <col min="31" max="31" width="7.26171875" style="13" bestFit="1" customWidth="1"/>
    <col min="32" max="32" width="8.33984375" style="13" bestFit="1" customWidth="1"/>
    <col min="33" max="33" width="8.609375" style="13" bestFit="1" customWidth="1"/>
    <col min="34" max="34" width="4.70703125" style="13" bestFit="1" customWidth="1"/>
    <col min="35" max="35" width="8.609375" style="13" bestFit="1" customWidth="1"/>
    <col min="36" max="37" width="6.3203125" style="13" bestFit="1" customWidth="1"/>
    <col min="38" max="38" width="27.7109375" style="13" bestFit="1" customWidth="1"/>
    <col min="39" max="39" width="6.3203125" style="13" bestFit="1" customWidth="1"/>
    <col min="40" max="40" width="8.33984375" style="13" bestFit="1" customWidth="1"/>
    <col min="41" max="41" width="8.47265625" style="13" bestFit="1" customWidth="1"/>
    <col min="42" max="42" width="24.078125" style="13" bestFit="1" customWidth="1"/>
    <col min="43" max="43" width="4.03515625" style="13" customWidth="1"/>
    <col min="44" max="44" width="9.68359375" style="13" bestFit="1" customWidth="1"/>
    <col min="45" max="45" width="7.26171875" style="13" bestFit="1" customWidth="1"/>
    <col min="46" max="46" width="8.33984375" style="13" bestFit="1" customWidth="1"/>
    <col min="47" max="47" width="8.609375" style="13" bestFit="1" customWidth="1"/>
    <col min="48" max="48" width="4.70703125" style="13" bestFit="1" customWidth="1"/>
    <col min="49" max="49" width="8.609375" style="13" bestFit="1" customWidth="1"/>
    <col min="50" max="51" width="6.3203125" style="13" bestFit="1" customWidth="1"/>
    <col min="52" max="52" width="27.7109375" style="13" bestFit="1" customWidth="1"/>
    <col min="53" max="53" width="6.3203125" style="13" bestFit="1" customWidth="1"/>
    <col min="54" max="54" width="8.33984375" style="13" bestFit="1" customWidth="1"/>
    <col min="55" max="55" width="8.47265625" style="13" bestFit="1" customWidth="1"/>
    <col min="56" max="56" width="19.7734375" style="13" customWidth="1"/>
    <col min="57" max="57" width="4.03515625" style="13" customWidth="1"/>
    <col min="58" max="58" width="9.68359375" style="13" bestFit="1" customWidth="1"/>
    <col min="59" max="59" width="7.26171875" style="13" bestFit="1" customWidth="1"/>
    <col min="60" max="60" width="8.33984375" style="13" bestFit="1" customWidth="1"/>
    <col min="61" max="61" width="8.609375" style="13" bestFit="1" customWidth="1"/>
    <col min="62" max="62" width="4.70703125" style="13" bestFit="1" customWidth="1"/>
    <col min="63" max="63" width="8.609375" style="13" bestFit="1" customWidth="1"/>
    <col min="64" max="65" width="6.3203125" style="13" bestFit="1" customWidth="1"/>
    <col min="66" max="66" width="27.7109375" style="13" bestFit="1" customWidth="1"/>
    <col min="67" max="67" width="6.3203125" style="13" bestFit="1" customWidth="1"/>
    <col min="68" max="68" width="8.33984375" style="13" bestFit="1" customWidth="1"/>
    <col min="69" max="69" width="8.47265625" style="13" bestFit="1" customWidth="1"/>
    <col min="70" max="70" width="24.078125" style="13" bestFit="1" customWidth="1"/>
    <col min="71" max="71" width="3.09375" style="13" customWidth="1"/>
    <col min="72" max="73" width="9.68359375" style="13" bestFit="1" customWidth="1"/>
    <col min="74" max="74" width="8.33984375" style="13" bestFit="1" customWidth="1"/>
    <col min="75" max="75" width="8.609375" style="13" bestFit="1" customWidth="1"/>
    <col min="76" max="76" width="5.37890625" style="13" bestFit="1" customWidth="1"/>
    <col min="77" max="77" width="8.609375" style="13" bestFit="1" customWidth="1"/>
    <col min="78" max="79" width="6.3203125" style="13" bestFit="1" customWidth="1"/>
    <col min="80" max="80" width="31.07421875" style="13" bestFit="1" customWidth="1"/>
    <col min="81" max="81" width="6.3203125" style="13" bestFit="1" customWidth="1"/>
    <col min="82" max="82" width="7.26171875" style="13" bestFit="1" customWidth="1"/>
    <col min="83" max="83" width="8.47265625" style="13" bestFit="1" customWidth="1"/>
    <col min="84" max="84" width="23.9453125" style="13" customWidth="1"/>
    <col min="85" max="85" width="3.09375" style="13" customWidth="1"/>
    <col min="86" max="87" width="9.68359375" style="13" bestFit="1" customWidth="1"/>
    <col min="88" max="88" width="8.33984375" style="13" bestFit="1" customWidth="1"/>
    <col min="89" max="89" width="8.609375" style="13" bestFit="1" customWidth="1"/>
    <col min="90" max="90" width="5.37890625" style="13" bestFit="1" customWidth="1"/>
    <col min="91" max="91" width="8.609375" style="13" bestFit="1" customWidth="1"/>
    <col min="92" max="93" width="6.3203125" style="13" bestFit="1" customWidth="1"/>
    <col min="94" max="94" width="31.07421875" style="13" bestFit="1" customWidth="1"/>
    <col min="95" max="95" width="6.3203125" style="13" bestFit="1" customWidth="1"/>
    <col min="96" max="96" width="7.26171875" style="13" bestFit="1" customWidth="1"/>
    <col min="97" max="97" width="8.47265625" style="13" bestFit="1" customWidth="1"/>
    <col min="98" max="98" width="27.98046875" style="13" bestFit="1" customWidth="1"/>
    <col min="99" max="99" width="3.09375" style="13" customWidth="1"/>
    <col min="100" max="101" width="9.68359375" style="13" bestFit="1" customWidth="1"/>
    <col min="102" max="102" width="8.33984375" style="13" bestFit="1" customWidth="1"/>
    <col min="103" max="103" width="8.609375" style="13" bestFit="1" customWidth="1"/>
    <col min="104" max="104" width="5.37890625" style="13" bestFit="1" customWidth="1"/>
    <col min="105" max="105" width="8.609375" style="13" bestFit="1" customWidth="1"/>
    <col min="106" max="107" width="6.3203125" style="13" bestFit="1" customWidth="1"/>
    <col min="108" max="108" width="31.07421875" style="13" bestFit="1" customWidth="1"/>
    <col min="109" max="109" width="6.3203125" style="13" bestFit="1" customWidth="1"/>
    <col min="110" max="110" width="7.26171875" style="13" bestFit="1" customWidth="1"/>
    <col min="111" max="111" width="8.47265625" style="13" bestFit="1" customWidth="1"/>
    <col min="112" max="112" width="24.078125" style="13" customWidth="1"/>
    <col min="113" max="113" width="2.95703125" style="13" customWidth="1"/>
    <col min="114" max="114" width="8.7421875" style="13" bestFit="1" customWidth="1"/>
    <col min="115" max="115" width="7.26171875" style="13" bestFit="1" customWidth="1"/>
    <col min="116" max="116" width="8.33984375" style="13" bestFit="1" customWidth="1"/>
    <col min="117" max="117" width="8.609375" style="13" bestFit="1" customWidth="1"/>
    <col min="118" max="118" width="4.03515625" style="13" bestFit="1" customWidth="1"/>
    <col min="119" max="119" width="8.609375" style="13" bestFit="1" customWidth="1"/>
    <col min="120" max="121" width="6.3203125" style="13" bestFit="1" customWidth="1"/>
    <col min="122" max="122" width="21.7890625" style="13" bestFit="1" customWidth="1"/>
    <col min="123" max="123" width="6.3203125" style="13" bestFit="1" customWidth="1"/>
    <col min="124" max="124" width="9.14453125" style="13" bestFit="1" customWidth="1"/>
    <col min="125" max="125" width="8.47265625" style="13" bestFit="1" customWidth="1"/>
    <col min="126" max="126" width="19.7734375" style="13" bestFit="1" customWidth="1"/>
    <col min="127" max="127" width="2.95703125" style="13" customWidth="1"/>
    <col min="128" max="128" width="8.7421875" style="13" bestFit="1" customWidth="1"/>
    <col min="129" max="129" width="7.26171875" style="13" bestFit="1" customWidth="1"/>
    <col min="130" max="130" width="8.33984375" style="13" bestFit="1" customWidth="1"/>
    <col min="131" max="131" width="8.609375" style="13" bestFit="1" customWidth="1"/>
    <col min="132" max="132" width="4.03515625" style="13" bestFit="1" customWidth="1"/>
    <col min="133" max="133" width="8.609375" style="13" bestFit="1" customWidth="1"/>
    <col min="134" max="135" width="6.3203125" style="13" bestFit="1" customWidth="1"/>
    <col min="136" max="136" width="21.7890625" style="13" bestFit="1" customWidth="1"/>
    <col min="137" max="137" width="6.3203125" style="13" bestFit="1" customWidth="1"/>
    <col min="138" max="138" width="9.14453125" style="13" bestFit="1" customWidth="1"/>
    <col min="139" max="139" width="8.47265625" style="13" bestFit="1" customWidth="1"/>
    <col min="140" max="140" width="19.7734375" style="13" bestFit="1" customWidth="1"/>
    <col min="141" max="141" width="2.95703125" style="13" customWidth="1"/>
    <col min="142" max="142" width="8.7421875" style="13" bestFit="1" customWidth="1"/>
    <col min="143" max="144" width="7.26171875" style="13" bestFit="1" customWidth="1"/>
    <col min="145" max="145" width="8.609375" style="13" bestFit="1" customWidth="1"/>
    <col min="146" max="146" width="4.70703125" style="13" bestFit="1" customWidth="1"/>
    <col min="147" max="147" width="8.609375" style="13" bestFit="1" customWidth="1"/>
    <col min="148" max="148" width="7.26171875" style="13" bestFit="1" customWidth="1"/>
    <col min="149" max="149" width="6.859375" style="13" bestFit="1" customWidth="1"/>
    <col min="150" max="150" width="27.7109375" style="13" bestFit="1" customWidth="1"/>
    <col min="151" max="151" width="6.3203125" style="13" bestFit="1" customWidth="1"/>
    <col min="152" max="153" width="8.609375" style="13" bestFit="1" customWidth="1"/>
    <col min="154" max="154" width="25.69140625" style="13" bestFit="1" customWidth="1"/>
    <col min="155" max="155" width="2.95703125" style="13" customWidth="1"/>
    <col min="156" max="156" width="8.7421875" style="13" bestFit="1" customWidth="1"/>
    <col min="157" max="157" width="7.26171875" style="13" bestFit="1" customWidth="1"/>
    <col min="158" max="158" width="8.33984375" style="13" bestFit="1" customWidth="1"/>
    <col min="159" max="159" width="8.609375" style="13" bestFit="1" customWidth="1"/>
    <col min="160" max="160" width="4.03515625" style="13" bestFit="1" customWidth="1"/>
    <col min="161" max="161" width="8.609375" style="13" bestFit="1" customWidth="1"/>
    <col min="162" max="162" width="8.33984375" style="13" bestFit="1" customWidth="1"/>
    <col min="163" max="163" width="7.26171875" style="13" bestFit="1" customWidth="1"/>
    <col min="164" max="164" width="21.7890625" style="13" bestFit="1" customWidth="1"/>
    <col min="165" max="165" width="6.3203125" style="13" bestFit="1" customWidth="1"/>
    <col min="166" max="167" width="8.609375" style="13" bestFit="1" customWidth="1"/>
    <col min="168" max="168" width="14.52734375" style="13" bestFit="1" customWidth="1"/>
    <col min="169" max="169" width="2.95703125" style="13" customWidth="1"/>
    <col min="170" max="170" width="8.7421875" style="13" bestFit="1" customWidth="1"/>
    <col min="171" max="171" width="6.9921875" style="13" bestFit="1" customWidth="1"/>
    <col min="172" max="172" width="7.26171875" style="13" bestFit="1" customWidth="1"/>
    <col min="173" max="173" width="8.609375" style="13" bestFit="1" customWidth="1"/>
    <col min="174" max="174" width="6.3203125" style="13" bestFit="1" customWidth="1"/>
    <col min="175" max="175" width="8.609375" style="13" bestFit="1" customWidth="1"/>
    <col min="176" max="176" width="7.26171875" style="13" bestFit="1" customWidth="1"/>
    <col min="177" max="177" width="6.859375" style="13" bestFit="1" customWidth="1"/>
    <col min="178" max="178" width="23.80859375" style="13" bestFit="1" customWidth="1"/>
    <col min="179" max="179" width="6.3203125" style="13" bestFit="1" customWidth="1"/>
    <col min="180" max="181" width="8.609375" style="13" bestFit="1" customWidth="1"/>
    <col min="182" max="182" width="21.25390625" style="13" customWidth="1"/>
    <col min="183" max="183" width="2.95703125" style="13" customWidth="1"/>
    <col min="184" max="184" width="8.7421875" style="13" bestFit="1" customWidth="1"/>
    <col min="185" max="186" width="7.26171875" style="13" bestFit="1" customWidth="1"/>
    <col min="187" max="187" width="8.609375" style="13" bestFit="1" customWidth="1"/>
    <col min="188" max="188" width="4.70703125" style="13" bestFit="1" customWidth="1"/>
    <col min="189" max="189" width="8.609375" style="13" bestFit="1" customWidth="1"/>
    <col min="190" max="191" width="7.26171875" style="13" bestFit="1" customWidth="1"/>
    <col min="192" max="192" width="23.80859375" style="13" bestFit="1" customWidth="1"/>
    <col min="193" max="193" width="6.3203125" style="13" bestFit="1" customWidth="1"/>
    <col min="194" max="195" width="8.609375" style="13" bestFit="1" customWidth="1"/>
    <col min="196" max="196" width="11.97265625" style="13" bestFit="1" customWidth="1"/>
    <col min="197" max="197" width="2.95703125" style="13" customWidth="1"/>
    <col min="198" max="198" width="8.7421875" style="13" bestFit="1" customWidth="1"/>
    <col min="199" max="200" width="7.26171875" style="13" bestFit="1" customWidth="1"/>
    <col min="201" max="201" width="8.609375" style="13" bestFit="1" customWidth="1"/>
    <col min="202" max="202" width="6.3203125" style="13" bestFit="1" customWidth="1"/>
    <col min="203" max="203" width="8.609375" style="13" bestFit="1" customWidth="1"/>
    <col min="204" max="204" width="7.26171875" style="13" bestFit="1" customWidth="1"/>
    <col min="205" max="205" width="7.53125" style="13" bestFit="1" customWidth="1"/>
    <col min="206" max="206" width="23.80859375" style="13" bestFit="1" customWidth="1"/>
    <col min="207" max="207" width="6.3203125" style="13" bestFit="1" customWidth="1"/>
    <col min="208" max="209" width="8.609375" style="13" bestFit="1" customWidth="1"/>
    <col min="210" max="210" width="18.0234375" style="13" bestFit="1" customWidth="1"/>
    <col min="211" max="211" width="2.95703125" style="13" customWidth="1"/>
    <col min="212" max="212" width="8.7421875" style="13" bestFit="1" customWidth="1"/>
    <col min="213" max="213" width="7.6640625" style="13" bestFit="1" customWidth="1"/>
    <col min="214" max="215" width="7.26171875" style="13" bestFit="1" customWidth="1"/>
    <col min="216" max="216" width="19.234375" style="13" customWidth="1"/>
    <col min="217" max="217" width="2.95703125" style="13" customWidth="1"/>
    <col min="218" max="218" width="8.7421875" style="13" bestFit="1" customWidth="1"/>
    <col min="219" max="221" width="7.26171875" style="13" bestFit="1" customWidth="1"/>
    <col min="222" max="222" width="13.31640625" style="13" customWidth="1"/>
    <col min="223" max="223" width="2.95703125" style="13" customWidth="1"/>
    <col min="224" max="224" width="8.7421875" style="13" bestFit="1" customWidth="1"/>
    <col min="225" max="227" width="7.26171875" style="13" bestFit="1" customWidth="1"/>
    <col min="228" max="228" width="11.296875" style="13" customWidth="1"/>
    <col min="229" max="229" width="14.2578125" style="13" customWidth="1"/>
    <col min="230" max="230" width="8.7421875" style="13" bestFit="1" customWidth="1"/>
    <col min="231" max="231" width="6.9921875" style="13" bestFit="1" customWidth="1"/>
    <col min="232" max="232" width="7.26171875" style="13" bestFit="1" customWidth="1"/>
    <col min="233" max="233" width="8.609375" style="13" bestFit="1" customWidth="1"/>
    <col min="234" max="234" width="4.03515625" style="13" bestFit="1" customWidth="1"/>
    <col min="235" max="235" width="8.609375" style="13" bestFit="1" customWidth="1"/>
    <col min="236" max="236" width="7.26171875" style="13" bestFit="1" customWidth="1"/>
    <col min="237" max="237" width="7.53125" style="13" bestFit="1" customWidth="1"/>
    <col min="238" max="238" width="33.359375" style="13" bestFit="1" customWidth="1"/>
    <col min="239" max="239" width="6.3203125" style="13" bestFit="1" customWidth="1"/>
    <col min="240" max="241" width="8.609375" style="13" bestFit="1" customWidth="1"/>
    <col min="242" max="242" width="22.8671875" style="13" bestFit="1" customWidth="1"/>
    <col min="243" max="243" width="2.95703125" style="13" customWidth="1"/>
    <col min="244" max="244" width="8.7421875" style="13" bestFit="1" customWidth="1"/>
    <col min="245" max="245" width="6.9921875" style="13" bestFit="1" customWidth="1"/>
    <col min="246" max="246" width="7.26171875" style="13" bestFit="1" customWidth="1"/>
    <col min="247" max="247" width="8.609375" style="13" bestFit="1" customWidth="1"/>
    <col min="248" max="248" width="4.03515625" style="13" bestFit="1" customWidth="1"/>
    <col min="249" max="249" width="8.609375" style="13" bestFit="1" customWidth="1"/>
    <col min="250" max="250" width="7.26171875" style="13" bestFit="1" customWidth="1"/>
    <col min="251" max="251" width="7.53125" style="13" bestFit="1" customWidth="1"/>
    <col min="252" max="252" width="41.1640625" style="13" bestFit="1" customWidth="1"/>
    <col min="253" max="253" width="6.3203125" style="13" bestFit="1" customWidth="1"/>
    <col min="254" max="255" width="8.609375" style="13" bestFit="1" customWidth="1"/>
    <col min="256" max="256" width="31.87890625" style="13" bestFit="1" customWidth="1"/>
    <col min="257" max="257" width="2.95703125" style="13" customWidth="1"/>
    <col min="258" max="258" width="8.7421875" style="13" bestFit="1" customWidth="1"/>
    <col min="259" max="259" width="6.9921875" style="13" bestFit="1" customWidth="1"/>
    <col min="260" max="260" width="7.26171875" style="13" bestFit="1" customWidth="1"/>
    <col min="261" max="261" width="8.609375" style="13" bestFit="1" customWidth="1"/>
    <col min="262" max="262" width="4.03515625" style="13" bestFit="1" customWidth="1"/>
    <col min="263" max="263" width="8.609375" style="13" bestFit="1" customWidth="1"/>
    <col min="264" max="265" width="7.26171875" style="13" bestFit="1" customWidth="1"/>
    <col min="266" max="266" width="31.609375" style="13" bestFit="1" customWidth="1"/>
    <col min="267" max="267" width="6.3203125" style="13" bestFit="1" customWidth="1"/>
    <col min="268" max="269" width="8.609375" style="13" bestFit="1" customWidth="1"/>
    <col min="270" max="270" width="23.5390625" style="13" bestFit="1" customWidth="1"/>
    <col min="271" max="271" width="2.95703125" style="13" customWidth="1"/>
    <col min="272" max="272" width="8.7421875" style="13" bestFit="1" customWidth="1"/>
    <col min="273" max="273" width="7.26171875" style="13" bestFit="1" customWidth="1"/>
    <col min="274" max="274" width="8.33984375" style="13" bestFit="1" customWidth="1"/>
    <col min="275" max="275" width="6.9921875" style="13" bestFit="1" customWidth="1"/>
    <col min="276" max="276" width="4.03515625" style="13" bestFit="1" customWidth="1"/>
    <col min="277" max="277" width="8.609375" style="13" bestFit="1" customWidth="1"/>
    <col min="278" max="278" width="4.03515625" style="13" bestFit="1" customWidth="1"/>
    <col min="279" max="279" width="8.609375" style="13" bestFit="1" customWidth="1"/>
    <col min="280" max="281" width="7.26171875" style="13" bestFit="1" customWidth="1"/>
    <col min="282" max="282" width="12.23828125" style="13" bestFit="1" customWidth="1"/>
    <col min="283" max="283" width="6.3203125" style="13" bestFit="1" customWidth="1"/>
    <col min="284" max="285" width="8.609375" style="13" bestFit="1" customWidth="1"/>
    <col min="286" max="286" width="9.4140625" style="13" bestFit="1" customWidth="1"/>
    <col min="287" max="16384" width="14.390625" style="13"/>
  </cols>
  <sheetData>
    <row r="1" spans="1:286" ht="25.5" customHeight="1" x14ac:dyDescent="0.2">
      <c r="A1" s="139" t="s">
        <v>51</v>
      </c>
      <c r="B1" s="139"/>
      <c r="C1" s="139"/>
      <c r="D1" s="139"/>
      <c r="E1" s="140" t="s">
        <v>0</v>
      </c>
      <c r="F1" s="140"/>
      <c r="G1" s="140"/>
      <c r="H1" s="140"/>
      <c r="I1" s="6"/>
      <c r="J1" s="7"/>
      <c r="K1" s="6"/>
      <c r="L1" s="6"/>
      <c r="M1" s="6"/>
      <c r="N1" s="8"/>
      <c r="O1" s="9"/>
      <c r="P1" s="139" t="s">
        <v>51</v>
      </c>
      <c r="Q1" s="139"/>
      <c r="R1" s="139"/>
      <c r="S1" s="140" t="s">
        <v>1</v>
      </c>
      <c r="T1" s="140"/>
      <c r="U1" s="140"/>
      <c r="V1" s="140"/>
      <c r="W1" s="6"/>
      <c r="X1" s="10"/>
      <c r="Y1" s="6"/>
      <c r="Z1" s="6"/>
      <c r="AA1" s="6"/>
      <c r="AB1" s="8"/>
      <c r="AC1" s="6"/>
      <c r="AD1" s="139" t="s">
        <v>51</v>
      </c>
      <c r="AE1" s="139"/>
      <c r="AF1" s="139"/>
      <c r="AG1" s="140" t="s">
        <v>52</v>
      </c>
      <c r="AH1" s="140"/>
      <c r="AI1" s="140"/>
      <c r="AJ1" s="140"/>
      <c r="AK1" s="6"/>
      <c r="AL1" s="10"/>
      <c r="AM1" s="6"/>
      <c r="AN1" s="6"/>
      <c r="AO1" s="6"/>
      <c r="AP1" s="8"/>
      <c r="AQ1" s="6"/>
      <c r="AR1" s="139" t="s">
        <v>51</v>
      </c>
      <c r="AS1" s="139"/>
      <c r="AT1" s="139"/>
      <c r="AU1" s="140" t="s">
        <v>37</v>
      </c>
      <c r="AV1" s="140"/>
      <c r="AW1" s="140"/>
      <c r="AX1" s="140"/>
      <c r="AY1" s="6"/>
      <c r="AZ1" s="10"/>
      <c r="BA1" s="6"/>
      <c r="BB1" s="6"/>
      <c r="BC1" s="6"/>
      <c r="BD1" s="8"/>
      <c r="BE1" s="6"/>
      <c r="BF1" s="139" t="s">
        <v>51</v>
      </c>
      <c r="BG1" s="139"/>
      <c r="BH1" s="139"/>
      <c r="BI1" s="140" t="s">
        <v>38</v>
      </c>
      <c r="BJ1" s="140"/>
      <c r="BK1" s="140"/>
      <c r="BL1" s="140"/>
      <c r="BM1" s="6"/>
      <c r="BN1" s="10"/>
      <c r="BO1" s="6"/>
      <c r="BP1" s="6"/>
      <c r="BQ1" s="6"/>
      <c r="BR1" s="8"/>
      <c r="BS1" s="6"/>
      <c r="BT1" s="139" t="s">
        <v>51</v>
      </c>
      <c r="BU1" s="139"/>
      <c r="BV1" s="139"/>
      <c r="BW1" s="140" t="s">
        <v>39</v>
      </c>
      <c r="BX1" s="140"/>
      <c r="BY1" s="140"/>
      <c r="BZ1" s="140"/>
      <c r="CA1" s="6"/>
      <c r="CB1" s="10"/>
      <c r="CC1" s="6"/>
      <c r="CD1" s="6"/>
      <c r="CE1" s="6"/>
      <c r="CF1" s="8"/>
      <c r="CG1" s="6"/>
      <c r="CH1" s="139" t="s">
        <v>51</v>
      </c>
      <c r="CI1" s="139"/>
      <c r="CJ1" s="139"/>
      <c r="CK1" s="140" t="s">
        <v>40</v>
      </c>
      <c r="CL1" s="140"/>
      <c r="CM1" s="140"/>
      <c r="CN1" s="140"/>
      <c r="CO1" s="6"/>
      <c r="CP1" s="10"/>
      <c r="CQ1" s="6"/>
      <c r="CR1" s="6"/>
      <c r="CS1" s="6"/>
      <c r="CT1" s="8"/>
      <c r="CU1" s="6"/>
      <c r="CV1" s="139" t="s">
        <v>27</v>
      </c>
      <c r="CW1" s="139"/>
      <c r="CX1" s="139"/>
      <c r="CY1" s="140" t="s">
        <v>41</v>
      </c>
      <c r="CZ1" s="140"/>
      <c r="DA1" s="140"/>
      <c r="DB1" s="140"/>
      <c r="DC1" s="6"/>
      <c r="DD1" s="10"/>
      <c r="DE1" s="6"/>
      <c r="DF1" s="6"/>
      <c r="DG1" s="6"/>
      <c r="DH1" s="8"/>
      <c r="DI1" s="6"/>
      <c r="DJ1" s="139" t="s">
        <v>51</v>
      </c>
      <c r="DK1" s="139"/>
      <c r="DL1" s="139"/>
      <c r="DM1" s="141" t="s">
        <v>42</v>
      </c>
      <c r="DN1" s="141"/>
      <c r="DO1" s="141"/>
      <c r="DP1" s="141"/>
      <c r="DQ1" s="11"/>
      <c r="DR1" s="11"/>
      <c r="DS1" s="11"/>
      <c r="DT1" s="11"/>
      <c r="DU1" s="11"/>
      <c r="DV1" s="11"/>
      <c r="DW1" s="6"/>
      <c r="DX1" s="139" t="s">
        <v>51</v>
      </c>
      <c r="DY1" s="139"/>
      <c r="DZ1" s="139"/>
      <c r="EA1" s="141" t="s">
        <v>43</v>
      </c>
      <c r="EB1" s="141"/>
      <c r="EC1" s="141"/>
      <c r="ED1" s="141"/>
      <c r="EE1" s="11"/>
      <c r="EF1" s="11"/>
      <c r="EG1" s="11"/>
      <c r="EH1" s="11"/>
      <c r="EI1" s="11"/>
      <c r="EJ1" s="11"/>
      <c r="EK1" s="6"/>
      <c r="EL1" s="139" t="s">
        <v>51</v>
      </c>
      <c r="EM1" s="139"/>
      <c r="EN1" s="139"/>
      <c r="EO1" s="139" t="s">
        <v>44</v>
      </c>
      <c r="EP1" s="139"/>
      <c r="EQ1" s="139"/>
      <c r="ER1" s="139"/>
      <c r="ES1" s="11"/>
      <c r="ET1" s="11"/>
      <c r="EU1" s="11"/>
      <c r="EV1" s="11"/>
      <c r="EW1" s="11"/>
      <c r="EX1" s="11"/>
      <c r="EY1" s="6"/>
      <c r="EZ1" s="139" t="s">
        <v>51</v>
      </c>
      <c r="FA1" s="139"/>
      <c r="FB1" s="139"/>
      <c r="FC1" s="139" t="s">
        <v>45</v>
      </c>
      <c r="FD1" s="139"/>
      <c r="FE1" s="139"/>
      <c r="FF1" s="139"/>
      <c r="FG1" s="11"/>
      <c r="FH1" s="11"/>
      <c r="FI1" s="11"/>
      <c r="FJ1" s="11"/>
      <c r="FK1" s="11"/>
      <c r="FL1" s="11"/>
      <c r="FM1" s="6"/>
      <c r="FN1" s="139" t="s">
        <v>51</v>
      </c>
      <c r="FO1" s="139"/>
      <c r="FP1" s="139"/>
      <c r="FQ1" s="139" t="s">
        <v>28</v>
      </c>
      <c r="FR1" s="139"/>
      <c r="FS1" s="139"/>
      <c r="FT1" s="139"/>
      <c r="FU1" s="11"/>
      <c r="FV1" s="11"/>
      <c r="FW1" s="11"/>
      <c r="FX1" s="11"/>
      <c r="FY1" s="11"/>
      <c r="FZ1" s="11"/>
      <c r="GA1" s="6"/>
      <c r="GB1" s="139" t="s">
        <v>51</v>
      </c>
      <c r="GC1" s="139"/>
      <c r="GD1" s="139"/>
      <c r="GE1" s="139" t="s">
        <v>46</v>
      </c>
      <c r="GF1" s="139"/>
      <c r="GG1" s="139"/>
      <c r="GH1" s="139"/>
      <c r="GI1" s="11"/>
      <c r="GJ1" s="11"/>
      <c r="GK1" s="11"/>
      <c r="GL1" s="11"/>
      <c r="GM1" s="11"/>
      <c r="GN1" s="11"/>
      <c r="GO1" s="6"/>
      <c r="GP1" s="139" t="s">
        <v>51</v>
      </c>
      <c r="GQ1" s="139"/>
      <c r="GR1" s="139"/>
      <c r="GS1" s="139" t="s">
        <v>47</v>
      </c>
      <c r="GT1" s="139"/>
      <c r="GU1" s="139"/>
      <c r="GV1" s="139"/>
      <c r="GW1" s="11"/>
      <c r="GX1" s="11"/>
      <c r="GY1" s="11"/>
      <c r="GZ1" s="11"/>
      <c r="HA1" s="11"/>
      <c r="HB1" s="11"/>
      <c r="HD1" s="142" t="s">
        <v>51</v>
      </c>
      <c r="HE1" s="139"/>
      <c r="HF1" s="143" t="s">
        <v>48</v>
      </c>
      <c r="HG1" s="144"/>
      <c r="HH1" s="144"/>
      <c r="HJ1" s="142" t="s">
        <v>51</v>
      </c>
      <c r="HK1" s="139"/>
      <c r="HL1" s="142" t="s">
        <v>49</v>
      </c>
      <c r="HM1" s="139"/>
      <c r="HN1" s="139"/>
      <c r="HP1" s="142" t="s">
        <v>51</v>
      </c>
      <c r="HQ1" s="139"/>
      <c r="HR1" s="142" t="s">
        <v>50</v>
      </c>
      <c r="HS1" s="139"/>
      <c r="HT1" s="139"/>
      <c r="HU1" s="6"/>
      <c r="HV1" s="139"/>
      <c r="HW1" s="139"/>
      <c r="HX1" s="139"/>
      <c r="HY1" s="139"/>
      <c r="HZ1" s="139"/>
      <c r="IA1" s="139"/>
      <c r="IB1" s="139"/>
      <c r="IC1" s="11"/>
      <c r="ID1" s="11"/>
      <c r="IE1" s="11"/>
      <c r="IF1" s="11"/>
      <c r="IG1" s="11"/>
      <c r="IH1" s="11"/>
      <c r="II1" s="6"/>
      <c r="IJ1" s="139"/>
      <c r="IK1" s="139"/>
      <c r="IL1" s="139"/>
      <c r="IM1" s="139"/>
      <c r="IN1" s="139"/>
      <c r="IO1" s="139"/>
      <c r="IP1" s="139"/>
      <c r="IQ1" s="11"/>
      <c r="IR1" s="11"/>
      <c r="IS1" s="11"/>
      <c r="IT1" s="11"/>
      <c r="IU1" s="11"/>
      <c r="IV1" s="11"/>
      <c r="IW1" s="6"/>
      <c r="IX1" s="139"/>
      <c r="IY1" s="139"/>
      <c r="IZ1" s="139"/>
      <c r="JA1" s="139"/>
      <c r="JB1" s="139"/>
      <c r="JC1" s="139"/>
      <c r="JD1" s="139"/>
      <c r="JE1" s="11"/>
      <c r="JF1" s="11"/>
      <c r="JG1" s="11"/>
      <c r="JH1" s="11"/>
      <c r="JI1" s="11"/>
      <c r="JJ1" s="11"/>
      <c r="JK1" s="6"/>
      <c r="JL1" s="139"/>
      <c r="JM1" s="139"/>
      <c r="JN1" s="139"/>
      <c r="JO1" s="12"/>
      <c r="JP1" s="12"/>
      <c r="JQ1" s="139"/>
      <c r="JR1" s="139"/>
      <c r="JS1" s="139"/>
      <c r="JT1" s="139"/>
      <c r="JU1" s="11"/>
      <c r="JV1" s="11"/>
      <c r="JW1" s="11"/>
      <c r="JX1" s="11"/>
      <c r="JY1" s="11"/>
      <c r="JZ1" s="11"/>
    </row>
    <row r="2" spans="1:286" ht="15" customHeight="1" x14ac:dyDescent="0.2">
      <c r="A2" s="14" t="s">
        <v>2</v>
      </c>
      <c r="B2" s="15" t="s">
        <v>29</v>
      </c>
      <c r="C2" s="16" t="s">
        <v>3</v>
      </c>
      <c r="D2" s="16" t="s">
        <v>4</v>
      </c>
      <c r="E2" s="17" t="s">
        <v>5</v>
      </c>
      <c r="F2" s="16" t="s">
        <v>4</v>
      </c>
      <c r="G2" s="16" t="s">
        <v>6</v>
      </c>
      <c r="H2" s="16" t="s">
        <v>7</v>
      </c>
      <c r="I2" s="16" t="s">
        <v>8</v>
      </c>
      <c r="J2" s="17" t="s">
        <v>9</v>
      </c>
      <c r="K2" s="16" t="s">
        <v>10</v>
      </c>
      <c r="L2" s="16" t="s">
        <v>7</v>
      </c>
      <c r="M2" s="16" t="s">
        <v>11</v>
      </c>
      <c r="N2" s="16" t="s">
        <v>12</v>
      </c>
      <c r="O2" s="18"/>
      <c r="P2" s="14" t="s">
        <v>2</v>
      </c>
      <c r="Q2" s="16" t="s">
        <v>3</v>
      </c>
      <c r="R2" s="16" t="s">
        <v>4</v>
      </c>
      <c r="S2" s="17" t="s">
        <v>5</v>
      </c>
      <c r="T2" s="16" t="s">
        <v>4</v>
      </c>
      <c r="U2" s="16" t="s">
        <v>6</v>
      </c>
      <c r="V2" s="16" t="s">
        <v>7</v>
      </c>
      <c r="W2" s="16" t="s">
        <v>8</v>
      </c>
      <c r="X2" s="19" t="s">
        <v>9</v>
      </c>
      <c r="Y2" s="16" t="s">
        <v>10</v>
      </c>
      <c r="Z2" s="16" t="s">
        <v>7</v>
      </c>
      <c r="AA2" s="16" t="s">
        <v>11</v>
      </c>
      <c r="AB2" s="16" t="s">
        <v>12</v>
      </c>
      <c r="AD2" s="14" t="s">
        <v>2</v>
      </c>
      <c r="AE2" s="16" t="s">
        <v>3</v>
      </c>
      <c r="AF2" s="16" t="s">
        <v>4</v>
      </c>
      <c r="AG2" s="17" t="s">
        <v>5</v>
      </c>
      <c r="AH2" s="16" t="s">
        <v>4</v>
      </c>
      <c r="AI2" s="16" t="s">
        <v>6</v>
      </c>
      <c r="AJ2" s="16" t="s">
        <v>7</v>
      </c>
      <c r="AK2" s="16" t="s">
        <v>8</v>
      </c>
      <c r="AL2" s="19" t="s">
        <v>9</v>
      </c>
      <c r="AM2" s="16" t="s">
        <v>10</v>
      </c>
      <c r="AN2" s="16" t="s">
        <v>7</v>
      </c>
      <c r="AO2" s="16" t="s">
        <v>11</v>
      </c>
      <c r="AP2" s="16" t="s">
        <v>12</v>
      </c>
      <c r="AR2" s="14" t="s">
        <v>2</v>
      </c>
      <c r="AS2" s="16" t="s">
        <v>3</v>
      </c>
      <c r="AT2" s="16" t="s">
        <v>4</v>
      </c>
      <c r="AU2" s="17" t="s">
        <v>5</v>
      </c>
      <c r="AV2" s="16" t="s">
        <v>4</v>
      </c>
      <c r="AW2" s="16" t="s">
        <v>6</v>
      </c>
      <c r="AX2" s="16" t="s">
        <v>7</v>
      </c>
      <c r="AY2" s="16" t="s">
        <v>8</v>
      </c>
      <c r="AZ2" s="19" t="s">
        <v>9</v>
      </c>
      <c r="BA2" s="16" t="s">
        <v>10</v>
      </c>
      <c r="BB2" s="16" t="s">
        <v>7</v>
      </c>
      <c r="BC2" s="16" t="s">
        <v>11</v>
      </c>
      <c r="BD2" s="16" t="s">
        <v>12</v>
      </c>
      <c r="BF2" s="14" t="s">
        <v>2</v>
      </c>
      <c r="BG2" s="16" t="s">
        <v>3</v>
      </c>
      <c r="BH2" s="16" t="s">
        <v>4</v>
      </c>
      <c r="BI2" s="17" t="s">
        <v>5</v>
      </c>
      <c r="BJ2" s="16" t="s">
        <v>4</v>
      </c>
      <c r="BK2" s="16" t="s">
        <v>6</v>
      </c>
      <c r="BL2" s="16" t="s">
        <v>7</v>
      </c>
      <c r="BM2" s="16" t="s">
        <v>8</v>
      </c>
      <c r="BN2" s="19" t="s">
        <v>9</v>
      </c>
      <c r="BO2" s="16" t="s">
        <v>10</v>
      </c>
      <c r="BP2" s="16" t="s">
        <v>7</v>
      </c>
      <c r="BQ2" s="16" t="s">
        <v>11</v>
      </c>
      <c r="BR2" s="16" t="s">
        <v>12</v>
      </c>
      <c r="BT2" s="14" t="s">
        <v>2</v>
      </c>
      <c r="BU2" s="16" t="s">
        <v>3</v>
      </c>
      <c r="BV2" s="16" t="s">
        <v>4</v>
      </c>
      <c r="BW2" s="17" t="s">
        <v>5</v>
      </c>
      <c r="BX2" s="16" t="s">
        <v>4</v>
      </c>
      <c r="BY2" s="16" t="s">
        <v>6</v>
      </c>
      <c r="BZ2" s="16" t="s">
        <v>7</v>
      </c>
      <c r="CA2" s="16" t="s">
        <v>8</v>
      </c>
      <c r="CB2" s="19" t="s">
        <v>9</v>
      </c>
      <c r="CC2" s="16" t="s">
        <v>10</v>
      </c>
      <c r="CD2" s="16" t="s">
        <v>7</v>
      </c>
      <c r="CE2" s="16" t="s">
        <v>11</v>
      </c>
      <c r="CF2" s="16" t="s">
        <v>12</v>
      </c>
      <c r="CH2" s="14" t="s">
        <v>2</v>
      </c>
      <c r="CI2" s="16" t="s">
        <v>3</v>
      </c>
      <c r="CJ2" s="16" t="s">
        <v>4</v>
      </c>
      <c r="CK2" s="17" t="s">
        <v>5</v>
      </c>
      <c r="CL2" s="16" t="s">
        <v>4</v>
      </c>
      <c r="CM2" s="16" t="s">
        <v>6</v>
      </c>
      <c r="CN2" s="16" t="s">
        <v>7</v>
      </c>
      <c r="CO2" s="16" t="s">
        <v>8</v>
      </c>
      <c r="CP2" s="19" t="s">
        <v>9</v>
      </c>
      <c r="CQ2" s="16" t="s">
        <v>10</v>
      </c>
      <c r="CR2" s="116" t="s">
        <v>7</v>
      </c>
      <c r="CS2" s="16" t="s">
        <v>11</v>
      </c>
      <c r="CT2" s="16" t="s">
        <v>12</v>
      </c>
      <c r="CV2" s="14" t="s">
        <v>2</v>
      </c>
      <c r="CW2" s="16" t="s">
        <v>3</v>
      </c>
      <c r="CX2" s="16" t="s">
        <v>4</v>
      </c>
      <c r="CY2" s="17" t="s">
        <v>5</v>
      </c>
      <c r="CZ2" s="16" t="s">
        <v>4</v>
      </c>
      <c r="DA2" s="16" t="s">
        <v>6</v>
      </c>
      <c r="DB2" s="16" t="s">
        <v>7</v>
      </c>
      <c r="DC2" s="16" t="s">
        <v>8</v>
      </c>
      <c r="DD2" s="19" t="s">
        <v>9</v>
      </c>
      <c r="DE2" s="16" t="s">
        <v>10</v>
      </c>
      <c r="DF2" s="16" t="s">
        <v>7</v>
      </c>
      <c r="DG2" s="16" t="s">
        <v>11</v>
      </c>
      <c r="DH2" s="16" t="s">
        <v>12</v>
      </c>
      <c r="DJ2" s="14" t="s">
        <v>2</v>
      </c>
      <c r="DK2" s="16" t="s">
        <v>3</v>
      </c>
      <c r="DL2" s="16" t="s">
        <v>4</v>
      </c>
      <c r="DM2" s="17" t="s">
        <v>5</v>
      </c>
      <c r="DN2" s="16" t="s">
        <v>4</v>
      </c>
      <c r="DO2" s="16" t="s">
        <v>6</v>
      </c>
      <c r="DP2" s="16" t="s">
        <v>7</v>
      </c>
      <c r="DQ2" s="16" t="s">
        <v>8</v>
      </c>
      <c r="DR2" s="16" t="s">
        <v>9</v>
      </c>
      <c r="DS2" s="16" t="s">
        <v>10</v>
      </c>
      <c r="DT2" s="16" t="s">
        <v>7</v>
      </c>
      <c r="DU2" s="16" t="s">
        <v>11</v>
      </c>
      <c r="DV2" s="16" t="s">
        <v>12</v>
      </c>
      <c r="DX2" s="14" t="s">
        <v>2</v>
      </c>
      <c r="DY2" s="16" t="s">
        <v>3</v>
      </c>
      <c r="DZ2" s="16" t="s">
        <v>4</v>
      </c>
      <c r="EA2" s="17" t="s">
        <v>5</v>
      </c>
      <c r="EB2" s="16" t="s">
        <v>4</v>
      </c>
      <c r="EC2" s="16" t="s">
        <v>6</v>
      </c>
      <c r="ED2" s="16" t="s">
        <v>7</v>
      </c>
      <c r="EE2" s="16" t="s">
        <v>8</v>
      </c>
      <c r="EF2" s="16" t="s">
        <v>9</v>
      </c>
      <c r="EG2" s="16" t="s">
        <v>10</v>
      </c>
      <c r="EH2" s="16" t="s">
        <v>7</v>
      </c>
      <c r="EI2" s="16" t="s">
        <v>11</v>
      </c>
      <c r="EJ2" s="16" t="s">
        <v>12</v>
      </c>
      <c r="EL2" s="22" t="s">
        <v>2</v>
      </c>
      <c r="EM2" s="16" t="s">
        <v>3</v>
      </c>
      <c r="EN2" s="16" t="s">
        <v>4</v>
      </c>
      <c r="EO2" s="17" t="s">
        <v>5</v>
      </c>
      <c r="EP2" s="16" t="s">
        <v>4</v>
      </c>
      <c r="EQ2" s="16" t="s">
        <v>6</v>
      </c>
      <c r="ER2" s="16" t="s">
        <v>7</v>
      </c>
      <c r="ES2" s="16" t="s">
        <v>8</v>
      </c>
      <c r="ET2" s="16" t="s">
        <v>30</v>
      </c>
      <c r="EU2" s="16" t="s">
        <v>10</v>
      </c>
      <c r="EV2" s="16" t="s">
        <v>22</v>
      </c>
      <c r="EW2" s="16" t="s">
        <v>23</v>
      </c>
      <c r="EX2" s="16" t="s">
        <v>12</v>
      </c>
      <c r="EZ2" s="22" t="s">
        <v>2</v>
      </c>
      <c r="FA2" s="16" t="s">
        <v>3</v>
      </c>
      <c r="FB2" s="16" t="s">
        <v>4</v>
      </c>
      <c r="FC2" s="17" t="s">
        <v>5</v>
      </c>
      <c r="FD2" s="16" t="s">
        <v>4</v>
      </c>
      <c r="FE2" s="16" t="s">
        <v>6</v>
      </c>
      <c r="FF2" s="16" t="s">
        <v>7</v>
      </c>
      <c r="FG2" s="16" t="s">
        <v>8</v>
      </c>
      <c r="FH2" s="16"/>
      <c r="FI2" s="16" t="s">
        <v>10</v>
      </c>
      <c r="FJ2" s="16" t="s">
        <v>22</v>
      </c>
      <c r="FK2" s="16" t="s">
        <v>23</v>
      </c>
      <c r="FL2" s="16" t="s">
        <v>12</v>
      </c>
      <c r="FN2" s="22" t="s">
        <v>2</v>
      </c>
      <c r="FO2" s="16" t="s">
        <v>3</v>
      </c>
      <c r="FP2" s="16" t="s">
        <v>4</v>
      </c>
      <c r="FQ2" s="17" t="s">
        <v>5</v>
      </c>
      <c r="FR2" s="16" t="s">
        <v>4</v>
      </c>
      <c r="FS2" s="16" t="s">
        <v>6</v>
      </c>
      <c r="FT2" s="16" t="s">
        <v>7</v>
      </c>
      <c r="FU2" s="16" t="s">
        <v>8</v>
      </c>
      <c r="FV2" s="16" t="s">
        <v>30</v>
      </c>
      <c r="FW2" s="16" t="s">
        <v>10</v>
      </c>
      <c r="FX2" s="16" t="s">
        <v>22</v>
      </c>
      <c r="FY2" s="16" t="s">
        <v>23</v>
      </c>
      <c r="FZ2" s="16" t="s">
        <v>12</v>
      </c>
      <c r="GB2" s="22" t="s">
        <v>2</v>
      </c>
      <c r="GC2" s="16" t="s">
        <v>3</v>
      </c>
      <c r="GD2" s="16" t="s">
        <v>4</v>
      </c>
      <c r="GE2" s="17" t="s">
        <v>5</v>
      </c>
      <c r="GF2" s="16" t="s">
        <v>4</v>
      </c>
      <c r="GG2" s="16" t="s">
        <v>6</v>
      </c>
      <c r="GH2" s="16" t="s">
        <v>7</v>
      </c>
      <c r="GI2" s="16" t="s">
        <v>8</v>
      </c>
      <c r="GJ2" s="16" t="s">
        <v>30</v>
      </c>
      <c r="GK2" s="16" t="s">
        <v>10</v>
      </c>
      <c r="GL2" s="16" t="s">
        <v>22</v>
      </c>
      <c r="GM2" s="16" t="s">
        <v>23</v>
      </c>
      <c r="GN2" s="16" t="s">
        <v>12</v>
      </c>
      <c r="GP2" s="22" t="s">
        <v>2</v>
      </c>
      <c r="GQ2" s="16" t="s">
        <v>3</v>
      </c>
      <c r="GR2" s="16" t="s">
        <v>4</v>
      </c>
      <c r="GS2" s="17" t="s">
        <v>5</v>
      </c>
      <c r="GT2" s="16" t="s">
        <v>4</v>
      </c>
      <c r="GU2" s="16" t="s">
        <v>6</v>
      </c>
      <c r="GV2" s="16" t="s">
        <v>7</v>
      </c>
      <c r="GW2" s="16" t="s">
        <v>8</v>
      </c>
      <c r="GX2" s="16" t="s">
        <v>30</v>
      </c>
      <c r="GY2" s="16" t="s">
        <v>10</v>
      </c>
      <c r="GZ2" s="16" t="s">
        <v>22</v>
      </c>
      <c r="HA2" s="16" t="s">
        <v>23</v>
      </c>
      <c r="HB2" s="16" t="s">
        <v>12</v>
      </c>
      <c r="HD2" s="22" t="s">
        <v>2</v>
      </c>
      <c r="HE2" s="16" t="s">
        <v>3</v>
      </c>
      <c r="HF2" s="16" t="s">
        <v>4</v>
      </c>
      <c r="HG2" s="17"/>
      <c r="HH2" s="16" t="s">
        <v>32</v>
      </c>
      <c r="HJ2" s="22" t="s">
        <v>2</v>
      </c>
      <c r="HK2" s="16" t="s">
        <v>3</v>
      </c>
      <c r="HL2" s="16" t="s">
        <v>4</v>
      </c>
      <c r="HM2" s="17"/>
      <c r="HN2" s="16" t="s">
        <v>32</v>
      </c>
      <c r="HP2" s="22" t="s">
        <v>2</v>
      </c>
      <c r="HQ2" s="16" t="s">
        <v>3</v>
      </c>
      <c r="HR2" s="16" t="s">
        <v>4</v>
      </c>
      <c r="HS2" s="17"/>
      <c r="HT2" s="16" t="s">
        <v>32</v>
      </c>
      <c r="HV2" s="22" t="s">
        <v>2</v>
      </c>
      <c r="HW2" s="16" t="s">
        <v>3</v>
      </c>
      <c r="HX2" s="16" t="s">
        <v>4</v>
      </c>
      <c r="HY2" s="17" t="s">
        <v>5</v>
      </c>
      <c r="HZ2" s="16" t="s">
        <v>4</v>
      </c>
      <c r="IA2" s="16" t="s">
        <v>6</v>
      </c>
      <c r="IB2" s="16" t="s">
        <v>7</v>
      </c>
      <c r="IC2" s="16" t="s">
        <v>8</v>
      </c>
      <c r="ID2" s="16" t="s">
        <v>30</v>
      </c>
      <c r="IE2" s="16" t="s">
        <v>10</v>
      </c>
      <c r="IF2" s="16" t="s">
        <v>22</v>
      </c>
      <c r="IG2" s="16" t="s">
        <v>23</v>
      </c>
      <c r="IH2" s="16" t="s">
        <v>12</v>
      </c>
      <c r="IJ2" s="22" t="s">
        <v>2</v>
      </c>
      <c r="IK2" s="16" t="s">
        <v>3</v>
      </c>
      <c r="IL2" s="16" t="s">
        <v>4</v>
      </c>
      <c r="IM2" s="17" t="s">
        <v>5</v>
      </c>
      <c r="IN2" s="16" t="s">
        <v>4</v>
      </c>
      <c r="IO2" s="16" t="s">
        <v>6</v>
      </c>
      <c r="IP2" s="16" t="s">
        <v>7</v>
      </c>
      <c r="IQ2" s="16" t="s">
        <v>8</v>
      </c>
      <c r="IR2" s="16" t="s">
        <v>30</v>
      </c>
      <c r="IS2" s="16" t="s">
        <v>10</v>
      </c>
      <c r="IT2" s="16" t="s">
        <v>22</v>
      </c>
      <c r="IU2" s="16" t="s">
        <v>23</v>
      </c>
      <c r="IV2" s="16" t="s">
        <v>12</v>
      </c>
      <c r="IX2" s="22" t="s">
        <v>2</v>
      </c>
      <c r="IY2" s="16" t="s">
        <v>3</v>
      </c>
      <c r="IZ2" s="16" t="s">
        <v>4</v>
      </c>
      <c r="JA2" s="17" t="s">
        <v>5</v>
      </c>
      <c r="JB2" s="16" t="s">
        <v>4</v>
      </c>
      <c r="JC2" s="16" t="s">
        <v>6</v>
      </c>
      <c r="JD2" s="16" t="s">
        <v>7</v>
      </c>
      <c r="JE2" s="16" t="s">
        <v>8</v>
      </c>
      <c r="JF2" s="16" t="s">
        <v>30</v>
      </c>
      <c r="JG2" s="16" t="s">
        <v>10</v>
      </c>
      <c r="JH2" s="16" t="s">
        <v>22</v>
      </c>
      <c r="JI2" s="16" t="s">
        <v>23</v>
      </c>
      <c r="JJ2" s="16" t="s">
        <v>12</v>
      </c>
      <c r="JL2" s="22" t="s">
        <v>2</v>
      </c>
      <c r="JM2" s="16" t="s">
        <v>3</v>
      </c>
      <c r="JN2" s="16" t="s">
        <v>4</v>
      </c>
      <c r="JO2" s="16" t="s">
        <v>31</v>
      </c>
      <c r="JP2" s="16" t="s">
        <v>4</v>
      </c>
      <c r="JQ2" s="17" t="s">
        <v>5</v>
      </c>
      <c r="JR2" s="16" t="s">
        <v>4</v>
      </c>
      <c r="JS2" s="16" t="s">
        <v>6</v>
      </c>
      <c r="JT2" s="16" t="s">
        <v>7</v>
      </c>
      <c r="JU2" s="16" t="s">
        <v>8</v>
      </c>
      <c r="JV2" s="16" t="s">
        <v>30</v>
      </c>
      <c r="JW2" s="16" t="s">
        <v>10</v>
      </c>
      <c r="JX2" s="16" t="s">
        <v>22</v>
      </c>
      <c r="JY2" s="16" t="s">
        <v>23</v>
      </c>
      <c r="JZ2" s="16" t="s">
        <v>12</v>
      </c>
    </row>
    <row r="3" spans="1:286" ht="15" customHeight="1" x14ac:dyDescent="0.2">
      <c r="A3" s="23">
        <v>46164</v>
      </c>
      <c r="B3" s="24"/>
      <c r="C3" s="4"/>
      <c r="D3" s="4"/>
      <c r="E3" s="4"/>
      <c r="F3" s="4"/>
      <c r="G3" s="4"/>
      <c r="H3" s="4"/>
      <c r="I3" s="4">
        <v>19</v>
      </c>
      <c r="J3" s="107" t="s">
        <v>117</v>
      </c>
      <c r="K3" s="25"/>
      <c r="L3" s="4"/>
      <c r="M3" s="26"/>
      <c r="N3" s="27" t="s">
        <v>116</v>
      </c>
      <c r="O3" s="28"/>
      <c r="P3" s="23">
        <v>46164</v>
      </c>
      <c r="Q3" s="4"/>
      <c r="R3" s="4"/>
      <c r="S3" s="4">
        <v>610</v>
      </c>
      <c r="T3" s="4"/>
      <c r="U3" s="4"/>
      <c r="V3" s="4"/>
      <c r="W3" s="4">
        <v>16</v>
      </c>
      <c r="X3" s="107" t="s">
        <v>76</v>
      </c>
      <c r="Y3" s="25">
        <v>1100</v>
      </c>
      <c r="Z3" s="4"/>
      <c r="AA3" s="26"/>
      <c r="AB3" s="27" t="s">
        <v>109</v>
      </c>
      <c r="AD3" s="23">
        <v>46164</v>
      </c>
      <c r="AE3" s="4"/>
      <c r="AF3" s="4"/>
      <c r="AG3" s="4"/>
      <c r="AH3" s="4"/>
      <c r="AI3" s="4"/>
      <c r="AJ3" s="4"/>
      <c r="AK3" s="4">
        <v>13</v>
      </c>
      <c r="AL3" s="2" t="s">
        <v>63</v>
      </c>
      <c r="AM3" s="25">
        <v>1100</v>
      </c>
      <c r="AN3" s="4"/>
      <c r="AO3" s="26"/>
      <c r="AP3" s="27" t="s">
        <v>112</v>
      </c>
      <c r="AR3" s="23">
        <v>46164</v>
      </c>
      <c r="AS3" s="4"/>
      <c r="AT3" s="4"/>
      <c r="AU3" s="4"/>
      <c r="AV3" s="4"/>
      <c r="AW3" s="4"/>
      <c r="AX3" s="4"/>
      <c r="AY3" s="4">
        <v>25</v>
      </c>
      <c r="AZ3" s="107" t="s">
        <v>81</v>
      </c>
      <c r="BA3" s="25">
        <v>200</v>
      </c>
      <c r="BB3" s="4"/>
      <c r="BC3" s="26"/>
      <c r="BD3" s="27" t="s">
        <v>105</v>
      </c>
      <c r="BF3" s="23">
        <v>46164</v>
      </c>
      <c r="BG3" s="4"/>
      <c r="BH3" s="4"/>
      <c r="BI3" s="4"/>
      <c r="BJ3" s="4"/>
      <c r="BK3" s="4"/>
      <c r="BL3" s="4"/>
      <c r="BM3" s="4">
        <v>15</v>
      </c>
      <c r="BN3" s="107" t="s">
        <v>67</v>
      </c>
      <c r="BO3" s="25">
        <v>1100</v>
      </c>
      <c r="BP3" s="4"/>
      <c r="BQ3" s="26"/>
      <c r="BR3" s="27" t="s">
        <v>73</v>
      </c>
      <c r="BT3" s="23">
        <v>46164</v>
      </c>
      <c r="BU3" s="4"/>
      <c r="BV3" s="4"/>
      <c r="BW3" s="4"/>
      <c r="BX3" s="4"/>
      <c r="BY3" s="4"/>
      <c r="BZ3" s="4"/>
      <c r="CA3" s="4">
        <v>50</v>
      </c>
      <c r="CB3" s="107" t="s">
        <v>88</v>
      </c>
      <c r="CC3" s="25">
        <v>292</v>
      </c>
      <c r="CD3" s="4"/>
      <c r="CE3" s="26"/>
      <c r="CF3" s="27" t="s">
        <v>107</v>
      </c>
      <c r="CG3" s="112"/>
      <c r="CH3" s="27"/>
      <c r="CI3" s="4"/>
      <c r="CJ3" s="4"/>
      <c r="CK3" s="4"/>
      <c r="CL3" s="4"/>
      <c r="CM3" s="4"/>
      <c r="CN3" s="4"/>
      <c r="CO3" s="4">
        <v>16</v>
      </c>
      <c r="CP3" s="117" t="s">
        <v>122</v>
      </c>
      <c r="CQ3" s="115">
        <v>748</v>
      </c>
      <c r="CR3" s="105"/>
      <c r="CS3" s="25"/>
      <c r="CT3" s="2" t="s">
        <v>53</v>
      </c>
      <c r="CV3" s="23">
        <v>46164</v>
      </c>
      <c r="CW3" s="4"/>
      <c r="CX3" s="4"/>
      <c r="CY3" s="4"/>
      <c r="CZ3" s="4"/>
      <c r="DA3" s="4"/>
      <c r="DB3" s="107"/>
      <c r="DC3" s="4">
        <v>10</v>
      </c>
      <c r="DD3" s="107" t="s">
        <v>55</v>
      </c>
      <c r="DE3" s="25">
        <v>1045</v>
      </c>
      <c r="DF3" s="27"/>
      <c r="DG3" s="26"/>
      <c r="DH3" s="27" t="s">
        <v>59</v>
      </c>
      <c r="DJ3" s="111">
        <v>46164</v>
      </c>
      <c r="DK3" s="4">
        <v>111</v>
      </c>
      <c r="DL3" s="4"/>
      <c r="DM3" s="5">
        <v>110</v>
      </c>
      <c r="DN3" s="4"/>
      <c r="DO3" s="4"/>
      <c r="DP3" s="4"/>
      <c r="DQ3" s="4">
        <v>35</v>
      </c>
      <c r="DR3" s="109" t="s">
        <v>95</v>
      </c>
      <c r="DS3" s="4"/>
      <c r="DT3" s="4"/>
      <c r="DU3" s="26"/>
      <c r="DV3" s="31" t="s">
        <v>96</v>
      </c>
      <c r="DX3" s="111">
        <v>46164</v>
      </c>
      <c r="DY3" s="4">
        <v>110</v>
      </c>
      <c r="DZ3" s="4"/>
      <c r="EA3" s="5">
        <v>113</v>
      </c>
      <c r="EB3" s="4"/>
      <c r="EC3" s="4"/>
      <c r="ED3" s="4"/>
      <c r="EE3" s="4">
        <v>14</v>
      </c>
      <c r="EF3" s="109" t="s">
        <v>130</v>
      </c>
      <c r="EG3" s="4">
        <v>1100</v>
      </c>
      <c r="EH3" s="4"/>
      <c r="EI3" s="26"/>
      <c r="EJ3" s="31" t="s">
        <v>134</v>
      </c>
      <c r="EL3" s="111">
        <v>46164</v>
      </c>
      <c r="EM3" s="32"/>
      <c r="EN3" s="4"/>
      <c r="EO3" s="5">
        <v>1</v>
      </c>
      <c r="EP3" s="4"/>
      <c r="EQ3" s="4"/>
      <c r="ER3" s="4"/>
      <c r="ES3" s="4">
        <v>75</v>
      </c>
      <c r="ET3" s="2" t="s">
        <v>97</v>
      </c>
      <c r="EU3" s="4">
        <v>253</v>
      </c>
      <c r="EV3" s="5"/>
      <c r="EW3" s="33"/>
      <c r="EX3" s="110" t="s">
        <v>98</v>
      </c>
      <c r="EZ3" s="111">
        <v>46164</v>
      </c>
      <c r="FA3" s="32"/>
      <c r="FB3" s="4"/>
      <c r="FC3" s="5"/>
      <c r="FD3" s="4"/>
      <c r="FE3" s="4"/>
      <c r="FF3" s="4"/>
      <c r="FG3" s="4">
        <v>40</v>
      </c>
      <c r="FH3" s="107" t="s">
        <v>102</v>
      </c>
      <c r="FI3" s="4">
        <v>1500</v>
      </c>
      <c r="FJ3" s="5"/>
      <c r="FK3" s="33"/>
      <c r="FL3" s="27" t="s">
        <v>101</v>
      </c>
      <c r="FN3" s="111">
        <v>46164</v>
      </c>
      <c r="FO3" s="32">
        <v>1175</v>
      </c>
      <c r="FP3" s="4"/>
      <c r="FQ3" s="5">
        <v>25</v>
      </c>
      <c r="FR3" s="4"/>
      <c r="FS3" s="4"/>
      <c r="FT3" s="4"/>
      <c r="FU3" s="4">
        <v>37</v>
      </c>
      <c r="FV3" s="107" t="s">
        <v>128</v>
      </c>
      <c r="FW3" s="4">
        <v>750</v>
      </c>
      <c r="FX3" s="5"/>
      <c r="FY3" s="33"/>
      <c r="FZ3" s="27" t="s">
        <v>129</v>
      </c>
      <c r="GB3" s="111">
        <v>46164</v>
      </c>
      <c r="GC3" s="32">
        <v>621</v>
      </c>
      <c r="GD3" s="4"/>
      <c r="GE3" s="5">
        <v>12</v>
      </c>
      <c r="GF3" s="4"/>
      <c r="GG3" s="4"/>
      <c r="GH3" s="4"/>
      <c r="GI3" s="4">
        <v>48</v>
      </c>
      <c r="GJ3" s="107" t="s">
        <v>126</v>
      </c>
      <c r="GK3" s="4">
        <v>950</v>
      </c>
      <c r="GL3" s="5"/>
      <c r="GM3" s="33"/>
      <c r="GN3" s="27" t="s">
        <v>104</v>
      </c>
      <c r="GP3" s="111">
        <v>46164</v>
      </c>
      <c r="GQ3" s="32">
        <v>664</v>
      </c>
      <c r="GR3" s="4"/>
      <c r="GS3" s="5">
        <v>18</v>
      </c>
      <c r="GT3" s="4"/>
      <c r="GU3" s="4"/>
      <c r="GV3" s="4"/>
      <c r="GW3" s="4">
        <v>44</v>
      </c>
      <c r="GX3" s="107" t="s">
        <v>127</v>
      </c>
      <c r="GY3" s="4">
        <v>950</v>
      </c>
      <c r="GZ3" s="5"/>
      <c r="HA3" s="33"/>
      <c r="HB3" s="27" t="s">
        <v>103</v>
      </c>
      <c r="HD3" s="111">
        <v>46164</v>
      </c>
      <c r="HE3" s="32">
        <v>183310</v>
      </c>
      <c r="HF3" s="4"/>
      <c r="HG3" s="5"/>
      <c r="HH3" s="27"/>
      <c r="HJ3" s="111">
        <v>46164</v>
      </c>
      <c r="HK3" s="32">
        <v>88875</v>
      </c>
      <c r="HL3" s="4"/>
      <c r="HM3" s="5"/>
      <c r="HN3" s="27"/>
      <c r="HP3" s="111">
        <v>46164</v>
      </c>
      <c r="HQ3" s="32">
        <v>15371</v>
      </c>
      <c r="HR3" s="4"/>
      <c r="HS3" s="5">
        <v>7565</v>
      </c>
      <c r="HT3" s="27"/>
      <c r="HV3" s="14">
        <v>46163</v>
      </c>
      <c r="HW3" s="32"/>
      <c r="HX3" s="4"/>
      <c r="HY3" s="5"/>
      <c r="HZ3" s="4"/>
      <c r="IA3" s="4"/>
      <c r="IB3" s="4"/>
      <c r="IC3" s="4"/>
      <c r="ID3" s="2"/>
      <c r="IE3" s="4"/>
      <c r="IF3" s="5"/>
      <c r="IG3" s="33"/>
      <c r="IH3" s="27"/>
      <c r="IJ3" s="14">
        <v>46163</v>
      </c>
      <c r="IK3" s="32"/>
      <c r="IL3" s="4"/>
      <c r="IM3" s="5"/>
      <c r="IN3" s="4"/>
      <c r="IO3" s="4"/>
      <c r="IP3" s="4"/>
      <c r="IQ3" s="4"/>
      <c r="IR3" s="2"/>
      <c r="IS3" s="4"/>
      <c r="IT3" s="5"/>
      <c r="IU3" s="33"/>
      <c r="IV3" s="27"/>
      <c r="IX3" s="14">
        <v>46163</v>
      </c>
      <c r="IY3" s="32"/>
      <c r="IZ3" s="4"/>
      <c r="JA3" s="5"/>
      <c r="JB3" s="4"/>
      <c r="JC3" s="4"/>
      <c r="JD3" s="4"/>
      <c r="JE3" s="4"/>
      <c r="JF3" s="2"/>
      <c r="JG3" s="4"/>
      <c r="JH3" s="5"/>
      <c r="JI3" s="33"/>
      <c r="JJ3" s="27"/>
      <c r="JL3" s="14">
        <v>46163</v>
      </c>
      <c r="JM3" s="32"/>
      <c r="JN3" s="4"/>
      <c r="JO3" s="5"/>
      <c r="JP3" s="4"/>
      <c r="JQ3" s="4"/>
      <c r="JR3" s="4"/>
      <c r="JS3" s="4"/>
      <c r="JT3" s="2"/>
      <c r="JU3" s="4"/>
      <c r="JV3" s="5"/>
      <c r="JW3" s="33"/>
      <c r="JX3" s="27"/>
      <c r="JY3" s="33"/>
      <c r="JZ3" s="27"/>
    </row>
    <row r="4" spans="1:286" x14ac:dyDescent="0.2">
      <c r="A4" s="14"/>
      <c r="B4" s="34"/>
      <c r="C4" s="4"/>
      <c r="D4" s="5"/>
      <c r="E4" s="4"/>
      <c r="F4" s="5"/>
      <c r="G4" s="5"/>
      <c r="H4" s="5"/>
      <c r="I4" s="5">
        <v>13</v>
      </c>
      <c r="J4" s="107" t="s">
        <v>74</v>
      </c>
      <c r="K4" s="4">
        <v>861</v>
      </c>
      <c r="L4" s="5"/>
      <c r="M4" s="33"/>
      <c r="N4" s="27" t="s">
        <v>118</v>
      </c>
      <c r="O4" s="28"/>
      <c r="P4" s="23"/>
      <c r="Q4" s="4"/>
      <c r="R4" s="5"/>
      <c r="S4" s="4">
        <v>610</v>
      </c>
      <c r="T4" s="5"/>
      <c r="U4" s="5"/>
      <c r="V4" s="5"/>
      <c r="W4" s="5">
        <v>24</v>
      </c>
      <c r="X4" s="107" t="s">
        <v>77</v>
      </c>
      <c r="Y4" s="4">
        <v>748</v>
      </c>
      <c r="Z4" s="5"/>
      <c r="AA4" s="33"/>
      <c r="AB4" s="27" t="s">
        <v>110</v>
      </c>
      <c r="AD4" s="23"/>
      <c r="AE4" s="4"/>
      <c r="AF4" s="5"/>
      <c r="AG4" s="4"/>
      <c r="AH4" s="5"/>
      <c r="AI4" s="5"/>
      <c r="AJ4" s="5"/>
      <c r="AK4" s="5">
        <v>16</v>
      </c>
      <c r="AL4" s="107" t="s">
        <v>100</v>
      </c>
      <c r="AM4" s="4">
        <v>797</v>
      </c>
      <c r="AN4" s="5"/>
      <c r="AO4" s="33"/>
      <c r="AP4" s="27" t="s">
        <v>113</v>
      </c>
      <c r="AR4" s="23"/>
      <c r="AS4" s="4"/>
      <c r="AT4" s="5"/>
      <c r="AU4" s="4"/>
      <c r="AV4" s="5"/>
      <c r="AW4" s="5"/>
      <c r="AX4" s="5"/>
      <c r="AY4" s="5">
        <v>17</v>
      </c>
      <c r="AZ4" s="107" t="s">
        <v>82</v>
      </c>
      <c r="BA4" s="4">
        <v>891</v>
      </c>
      <c r="BB4" s="5"/>
      <c r="BC4" s="33"/>
      <c r="BD4" s="27" t="s">
        <v>85</v>
      </c>
      <c r="BF4" s="23"/>
      <c r="BG4" s="4"/>
      <c r="BH4" s="5"/>
      <c r="BI4" s="4"/>
      <c r="BJ4" s="5"/>
      <c r="BK4" s="5"/>
      <c r="BL4" s="5"/>
      <c r="BM4" s="5">
        <v>12</v>
      </c>
      <c r="BN4" s="107" t="s">
        <v>68</v>
      </c>
      <c r="BO4" s="4">
        <v>572</v>
      </c>
      <c r="BP4" s="5"/>
      <c r="BQ4" s="33"/>
      <c r="BR4" s="27" t="s">
        <v>133</v>
      </c>
      <c r="BT4" s="23"/>
      <c r="BU4" s="4"/>
      <c r="BV4" s="5"/>
      <c r="BW4" s="4"/>
      <c r="BX4" s="5"/>
      <c r="BY4" s="5"/>
      <c r="BZ4" s="5"/>
      <c r="CA4" s="5">
        <v>17</v>
      </c>
      <c r="CB4" s="107" t="s">
        <v>89</v>
      </c>
      <c r="CC4" s="4">
        <v>748</v>
      </c>
      <c r="CD4" s="5"/>
      <c r="CE4" s="33"/>
      <c r="CF4" s="27" t="s">
        <v>92</v>
      </c>
      <c r="CG4" s="112"/>
      <c r="CH4" s="27"/>
      <c r="CI4" s="4"/>
      <c r="CJ4" s="5"/>
      <c r="CK4" s="4"/>
      <c r="CL4" s="5"/>
      <c r="CM4" s="4"/>
      <c r="CN4" s="4"/>
      <c r="CO4" s="4">
        <v>54</v>
      </c>
      <c r="CP4" s="117" t="s">
        <v>99</v>
      </c>
      <c r="CQ4" s="115">
        <v>358</v>
      </c>
      <c r="CR4" s="105"/>
      <c r="CS4" s="25"/>
      <c r="CT4" s="2" t="s">
        <v>54</v>
      </c>
      <c r="CV4" s="23"/>
      <c r="CW4" s="4"/>
      <c r="CX4" s="5"/>
      <c r="CY4" s="4"/>
      <c r="CZ4" s="5"/>
      <c r="DA4" s="5"/>
      <c r="DB4" s="2"/>
      <c r="DC4" s="5">
        <v>18</v>
      </c>
      <c r="DD4" s="2" t="s">
        <v>56</v>
      </c>
      <c r="DE4" s="4">
        <v>1100</v>
      </c>
      <c r="DF4" s="27"/>
      <c r="DG4" s="33"/>
      <c r="DH4" s="27" t="s">
        <v>60</v>
      </c>
      <c r="DJ4" s="23"/>
      <c r="DK4" s="5">
        <v>111</v>
      </c>
      <c r="DL4" s="5"/>
      <c r="DM4" s="4">
        <v>111</v>
      </c>
      <c r="DN4" s="5"/>
      <c r="DO4" s="5"/>
      <c r="DP4" s="4"/>
      <c r="DQ4" s="5">
        <v>6</v>
      </c>
      <c r="DR4" s="107" t="s">
        <v>121</v>
      </c>
      <c r="DS4" s="4">
        <v>1100</v>
      </c>
      <c r="DT4" s="5"/>
      <c r="DU4" s="33"/>
      <c r="DV4" s="27" t="s">
        <v>132</v>
      </c>
      <c r="DX4" s="23"/>
      <c r="DY4" s="5">
        <v>110</v>
      </c>
      <c r="DZ4" s="5"/>
      <c r="EA4" s="4">
        <v>110</v>
      </c>
      <c r="EB4" s="5"/>
      <c r="EC4" s="5"/>
      <c r="ED4" s="4"/>
      <c r="EE4" s="5">
        <v>28</v>
      </c>
      <c r="EF4" s="107" t="s">
        <v>106</v>
      </c>
      <c r="EG4" s="4">
        <v>1100</v>
      </c>
      <c r="EH4" s="5"/>
      <c r="EI4" s="33"/>
      <c r="EJ4" s="27" t="s">
        <v>131</v>
      </c>
      <c r="EL4" s="37">
        <f>IF($A7="","",$A7)</f>
        <v>46168</v>
      </c>
      <c r="EM4" s="32">
        <v>147</v>
      </c>
      <c r="EN4" s="5">
        <f t="shared" ref="EN4:EN11" si="0">IF(EM4="","",EM4-EM3)</f>
        <v>147</v>
      </c>
      <c r="EO4" s="5">
        <v>14</v>
      </c>
      <c r="EP4" s="5">
        <f t="shared" ref="EP4:EP11" si="1">IF(EO4="","",EO4-EO3)</f>
        <v>13</v>
      </c>
      <c r="EQ4" s="4">
        <v>62</v>
      </c>
      <c r="ER4" s="5">
        <f t="shared" ref="ER4:ER11" si="2">IF(EQ4="","",EQ3+ES3-EQ4)</f>
        <v>13</v>
      </c>
      <c r="ES4" s="4">
        <v>5</v>
      </c>
      <c r="ET4" s="2" t="str">
        <f t="shared" ref="ET4:ET11" si="3">IF(EM4="","",ET3)</f>
        <v>ケース入りバタースクイーズ</v>
      </c>
      <c r="EU4" s="4">
        <f t="shared" ref="EU4:EU11" si="4">IF(EM4="","",EU3)</f>
        <v>253</v>
      </c>
      <c r="EV4" s="5">
        <f t="shared" ref="EV4:EV11" si="5">IF(EU4="","",ER4*EU4)</f>
        <v>3289</v>
      </c>
      <c r="EW4" s="33">
        <f t="shared" ref="EW4:EW11" si="6">IF(EV4="","",EV4/(EN4*100))</f>
        <v>0.22374149659863946</v>
      </c>
      <c r="EX4" s="27"/>
      <c r="EZ4" s="37">
        <f>IF($A7="","",$A7)</f>
        <v>46168</v>
      </c>
      <c r="FA4" s="32">
        <v>203</v>
      </c>
      <c r="FB4" s="5">
        <f t="shared" ref="FB4:FB11" si="7">IF(FA4="","",FA4-FA3)</f>
        <v>203</v>
      </c>
      <c r="FC4" s="5">
        <v>2</v>
      </c>
      <c r="FD4" s="5">
        <f t="shared" ref="FD4:FD11" si="8">IF(FC4="","",FC4-FC3)</f>
        <v>2</v>
      </c>
      <c r="FE4" s="4">
        <v>38</v>
      </c>
      <c r="FF4" s="5">
        <f t="shared" ref="FF4:FF11" si="9">IF(FE4="","",FE3+FG3-FE4)</f>
        <v>2</v>
      </c>
      <c r="FG4" s="4">
        <v>2</v>
      </c>
      <c r="FH4" s="2" t="str">
        <f t="shared" ref="FH4:FH11" si="10">IF(FA4="","",FH3)</f>
        <v>ボンボンドロップシール</v>
      </c>
      <c r="FI4" s="4">
        <f t="shared" ref="FI4:FI11" si="11">IF(FA4="","",FI3)</f>
        <v>1500</v>
      </c>
      <c r="FJ4" s="5">
        <f t="shared" ref="FJ4:FJ11" si="12">IF(FI4="","",FF4*FI4)</f>
        <v>3000</v>
      </c>
      <c r="FK4" s="33">
        <f t="shared" ref="FK4:FK11" si="13">IF(FJ4="","",FJ4/(FB4*100))</f>
        <v>0.14778325123152711</v>
      </c>
      <c r="FL4" s="27"/>
      <c r="FN4" s="37">
        <f>IF($A7="","",$A7)</f>
        <v>46168</v>
      </c>
      <c r="FO4" s="32">
        <v>1265</v>
      </c>
      <c r="FP4" s="5">
        <f t="shared" ref="FP4:FP11" si="14">IF(FO4="","",FO4-FO3)</f>
        <v>90</v>
      </c>
      <c r="FQ4" s="5">
        <v>34</v>
      </c>
      <c r="FR4" s="5">
        <f t="shared" ref="FR4:FR11" si="15">IF(FQ4="","",FQ4-FQ3)</f>
        <v>9</v>
      </c>
      <c r="FS4" s="4">
        <v>28</v>
      </c>
      <c r="FT4" s="5">
        <f t="shared" ref="FT4:FT11" si="16">IF(FS4="","",FS3+FU3-FS4)</f>
        <v>9</v>
      </c>
      <c r="FU4" s="4">
        <v>7</v>
      </c>
      <c r="FV4" s="2" t="str">
        <f t="shared" ref="FV4:FV11" si="17">IF(FO4="","",FV3)</f>
        <v>サンリオフェイスポーチ</v>
      </c>
      <c r="FW4" s="4">
        <f t="shared" ref="FW4:FW11" si="18">IF(FO4="","",FW3)</f>
        <v>750</v>
      </c>
      <c r="FX4" s="5">
        <f t="shared" ref="FX4:FX11" si="19">IF(FW4="","",FT4*FW4)</f>
        <v>6750</v>
      </c>
      <c r="FY4" s="33">
        <f t="shared" ref="FY4:FY11" si="20">IF(FX4="","",FX4/(FP4*100))</f>
        <v>0.75</v>
      </c>
      <c r="FZ4" s="27"/>
      <c r="GB4" s="37">
        <f>IF($A7="","",$A7)</f>
        <v>46168</v>
      </c>
      <c r="GC4" s="32">
        <v>887</v>
      </c>
      <c r="GD4" s="5">
        <f t="shared" ref="GD4:GD16" si="21">IF(GC4="","",GC4-GC3)</f>
        <v>266</v>
      </c>
      <c r="GE4" s="5">
        <v>17</v>
      </c>
      <c r="GF4" s="5">
        <f t="shared" ref="GF4:GF16" si="22">IF(GE4="","",GE4-GE3)</f>
        <v>5</v>
      </c>
      <c r="GG4" s="4">
        <v>43</v>
      </c>
      <c r="GH4" s="5">
        <f t="shared" ref="GH4:GH16" si="23">IF(GG4="","",GG3+GI3-GG4)</f>
        <v>5</v>
      </c>
      <c r="GI4" s="4">
        <v>5</v>
      </c>
      <c r="GJ4" s="2" t="str">
        <f t="shared" ref="GJ4:GJ22" si="24">IF(GC4="","",GJ3)</f>
        <v>キティマスコットMIX</v>
      </c>
      <c r="GK4" s="4">
        <f t="shared" ref="GK4:GK16" si="25">IF(GC4="","",GK3)</f>
        <v>950</v>
      </c>
      <c r="GL4" s="5">
        <f t="shared" ref="GL4:GL16" si="26">IF(GK4="","",GH4*GK4)</f>
        <v>4750</v>
      </c>
      <c r="GM4" s="33">
        <f t="shared" ref="GM4:GM15" si="27">IF(GL4="","",GL4/(GD4*100))</f>
        <v>0.17857142857142858</v>
      </c>
      <c r="GN4" s="27"/>
      <c r="GP4" s="37">
        <f>IF($A7="","",$A7)</f>
        <v>46168</v>
      </c>
      <c r="GQ4" s="32">
        <v>824</v>
      </c>
      <c r="GR4" s="5">
        <f t="shared" ref="GR4:GR11" si="28">IF(GQ4="","",GQ4-GQ3)</f>
        <v>160</v>
      </c>
      <c r="GS4" s="5">
        <v>24</v>
      </c>
      <c r="GT4" s="5">
        <f t="shared" ref="GT4:GT11" si="29">IF(GS4="","",GS4-GS3)</f>
        <v>6</v>
      </c>
      <c r="GU4" s="4">
        <v>38</v>
      </c>
      <c r="GV4" s="5">
        <f t="shared" ref="GV4:GV11" si="30">IF(GU4="","",GU3+GW3-GU4)</f>
        <v>6</v>
      </c>
      <c r="GW4" s="4">
        <v>4</v>
      </c>
      <c r="GX4" s="2" t="str">
        <f t="shared" ref="GX4:GX11" si="31">IF(GQ4="","",GX3)</f>
        <v>ベイビースリーフラワーマスコット</v>
      </c>
      <c r="GY4" s="4">
        <f t="shared" ref="GY4:GY11" si="32">IF(GQ4="","",GY3)</f>
        <v>950</v>
      </c>
      <c r="GZ4" s="5">
        <f t="shared" ref="GZ4:GZ11" si="33">IF(GY4="","",GV4*GY4)</f>
        <v>5700</v>
      </c>
      <c r="HA4" s="33">
        <f t="shared" ref="HA4:HA11" si="34">IF(GZ4="","",GZ4/(GR4*100))</f>
        <v>0.35625000000000001</v>
      </c>
      <c r="HB4" s="27"/>
      <c r="HD4" s="37">
        <f>IF($A7="","",$A7)</f>
        <v>46168</v>
      </c>
      <c r="HE4" s="32">
        <v>183412</v>
      </c>
      <c r="HF4" s="5">
        <f t="shared" ref="HF4:HF15" si="35">IF(HE4="","",HE4-HE3)</f>
        <v>102</v>
      </c>
      <c r="HG4" s="5"/>
      <c r="HH4" s="27"/>
      <c r="HJ4" s="37">
        <f>IF($A7="","",$A7)</f>
        <v>46168</v>
      </c>
      <c r="HK4" s="32">
        <v>89019</v>
      </c>
      <c r="HL4" s="5">
        <f t="shared" ref="HL4:HL15" si="36">IF(HK4="","",HK4-HK3)</f>
        <v>144</v>
      </c>
      <c r="HM4" s="5"/>
      <c r="HN4" s="27"/>
      <c r="HP4" s="37">
        <f>IF($A7="","",$A7)</f>
        <v>46168</v>
      </c>
      <c r="HQ4" s="32">
        <v>15631</v>
      </c>
      <c r="HR4" s="5">
        <f t="shared" ref="HR4:HR16" si="37">IF(HQ4="","",HQ4-HQ3)</f>
        <v>260</v>
      </c>
      <c r="HS4" s="5">
        <v>7695</v>
      </c>
      <c r="HT4" s="27"/>
      <c r="HV4" s="37">
        <f>IF($A7="","",$A7)</f>
        <v>46168</v>
      </c>
      <c r="HW4" s="32"/>
      <c r="HX4" s="5" t="str">
        <f t="shared" ref="HX4:HX11" si="38">IF(HW4="","",HW4-HW3)</f>
        <v/>
      </c>
      <c r="HY4" s="5"/>
      <c r="HZ4" s="5" t="str">
        <f t="shared" ref="HZ4:HZ11" si="39">IF(HY4="","",HY4-HY3)</f>
        <v/>
      </c>
      <c r="IA4" s="4"/>
      <c r="IB4" s="5" t="str">
        <f t="shared" ref="IB4:IB11" si="40">IF(IA4="","",IA3+IC3-IA4)</f>
        <v/>
      </c>
      <c r="IC4" s="4"/>
      <c r="ID4" s="2" t="str">
        <f t="shared" ref="ID4:ID11" si="41">IF(HW4="","",ID3)</f>
        <v/>
      </c>
      <c r="IE4" s="4" t="str">
        <f t="shared" ref="IE4:IE11" si="42">IF(HW4="","",IE3)</f>
        <v/>
      </c>
      <c r="IF4" s="5" t="str">
        <f t="shared" ref="IF4:IF11" si="43">IF(IE4="","",IB4*IE4)</f>
        <v/>
      </c>
      <c r="IG4" s="33" t="str">
        <f t="shared" ref="IG4:IG11" si="44">IF(IF4="","",IF4/(HX4*100))</f>
        <v/>
      </c>
      <c r="IH4" s="27"/>
      <c r="IJ4" s="37">
        <f>IF($A7="","",$A7)</f>
        <v>46168</v>
      </c>
      <c r="IK4" s="32"/>
      <c r="IL4" s="5" t="str">
        <f t="shared" ref="IL4:IL11" si="45">IF(IK4="","",IK4-IK3)</f>
        <v/>
      </c>
      <c r="IM4" s="5"/>
      <c r="IN4" s="5" t="str">
        <f t="shared" ref="IN4:IN11" si="46">IF(IM4="","",IM4-IM3)</f>
        <v/>
      </c>
      <c r="IO4" s="4"/>
      <c r="IP4" s="5" t="str">
        <f t="shared" ref="IP4:IP11" si="47">IF(IO4="","",IO3+IQ3-IO4)</f>
        <v/>
      </c>
      <c r="IQ4" s="4"/>
      <c r="IR4" s="2" t="str">
        <f t="shared" ref="IR4:IR11" si="48">IF(IK4="","",IR3)</f>
        <v/>
      </c>
      <c r="IS4" s="4" t="str">
        <f t="shared" ref="IS4:IS11" si="49">IF(IK4="","",IS3)</f>
        <v/>
      </c>
      <c r="IT4" s="5" t="str">
        <f t="shared" ref="IT4:IT11" si="50">IF(IS4="","",IP4*IS4)</f>
        <v/>
      </c>
      <c r="IU4" s="33" t="str">
        <f t="shared" ref="IU4:IU11" si="51">IF(IT4="","",IT4/(IL4*100))</f>
        <v/>
      </c>
      <c r="IV4" s="27"/>
      <c r="IX4" s="37">
        <f>IF($A7="","",$A7)</f>
        <v>46168</v>
      </c>
      <c r="IY4" s="32"/>
      <c r="IZ4" s="5" t="str">
        <f t="shared" ref="IZ4:IZ11" si="52">IF(IY4="","",IY4-IY3)</f>
        <v/>
      </c>
      <c r="JA4" s="5"/>
      <c r="JB4" s="5" t="str">
        <f t="shared" ref="JB4:JB11" si="53">IF(JA4="","",JA4-JA3)</f>
        <v/>
      </c>
      <c r="JC4" s="4"/>
      <c r="JD4" s="5" t="str">
        <f t="shared" ref="JD4:JD11" si="54">IF(JC4="","",JC3+JE3-JC4)</f>
        <v/>
      </c>
      <c r="JE4" s="4"/>
      <c r="JF4" s="2" t="str">
        <f t="shared" ref="JF4:JF11" si="55">IF(IY4="","",JF3)</f>
        <v/>
      </c>
      <c r="JG4" s="4" t="str">
        <f t="shared" ref="JG4:JG11" si="56">IF(IY4="","",JG3)</f>
        <v/>
      </c>
      <c r="JH4" s="5" t="str">
        <f t="shared" ref="JH4:JH11" si="57">IF(JG4="","",JD4*JG4)</f>
        <v/>
      </c>
      <c r="JI4" s="33" t="str">
        <f t="shared" ref="JI4:JI11" si="58">IF(JH4="","",JH4/(IZ4*100))</f>
        <v/>
      </c>
      <c r="JJ4" s="27"/>
      <c r="JL4" s="37">
        <f>IF($A7="","",$A7)</f>
        <v>46168</v>
      </c>
      <c r="JM4" s="32"/>
      <c r="JN4" s="5" t="str">
        <f t="shared" ref="JN4:JN11" si="59">IF(JM4="","",JM4-JM3)</f>
        <v/>
      </c>
      <c r="JO4" s="5"/>
      <c r="JP4" s="5" t="str">
        <f t="shared" ref="JP4:JP11" si="60">IF(JO4="","",JO4-JO3)</f>
        <v/>
      </c>
      <c r="JQ4" s="4"/>
      <c r="JR4" s="5" t="str">
        <f t="shared" ref="JR4:JR11" si="61">IF(JQ4="","",JQ3+JS3-JQ4)</f>
        <v/>
      </c>
      <c r="JS4" s="4"/>
      <c r="JT4" s="2" t="str">
        <f t="shared" ref="JT4:JT11" si="62">IF(JM4="","",JT3)</f>
        <v/>
      </c>
      <c r="JU4" s="4" t="str">
        <f t="shared" ref="JU4:JU11" si="63">IF(JM4="","",JU3)</f>
        <v/>
      </c>
      <c r="JV4" s="5" t="str">
        <f t="shared" ref="JV4:JV11" si="64">IF(JU4="","",JR4*JU4)</f>
        <v/>
      </c>
      <c r="JW4" s="33" t="str">
        <f t="shared" ref="JW4:JW11" si="65">IF(JV4="","",JV4/(JN4*100))</f>
        <v/>
      </c>
      <c r="JX4" s="27"/>
      <c r="JY4" s="33" t="str">
        <f t="shared" ref="JY4:JY15" si="66">IF(JX4="","",JX4/(JN4*100))</f>
        <v/>
      </c>
      <c r="JZ4" s="27"/>
    </row>
    <row r="5" spans="1:286" x14ac:dyDescent="0.2">
      <c r="A5" s="23"/>
      <c r="B5" s="34"/>
      <c r="C5" s="4"/>
      <c r="D5" s="5"/>
      <c r="E5" s="4"/>
      <c r="F5" s="5"/>
      <c r="G5" s="5"/>
      <c r="H5" s="5"/>
      <c r="I5" s="5">
        <v>20</v>
      </c>
      <c r="J5" s="3" t="s">
        <v>119</v>
      </c>
      <c r="K5" s="36">
        <v>500</v>
      </c>
      <c r="L5" s="5"/>
      <c r="M5" s="33"/>
      <c r="N5" s="27" t="s">
        <v>120</v>
      </c>
      <c r="O5" s="28"/>
      <c r="P5" s="23"/>
      <c r="Q5" s="4"/>
      <c r="R5" s="5"/>
      <c r="S5" s="4"/>
      <c r="T5" s="5"/>
      <c r="U5" s="5"/>
      <c r="V5" s="5"/>
      <c r="W5" s="5">
        <v>12</v>
      </c>
      <c r="X5" s="3" t="s">
        <v>78</v>
      </c>
      <c r="Y5" s="36">
        <v>171</v>
      </c>
      <c r="Z5" s="5"/>
      <c r="AA5" s="33"/>
      <c r="AB5" s="27" t="s">
        <v>80</v>
      </c>
      <c r="AD5" s="23"/>
      <c r="AE5" s="4"/>
      <c r="AF5" s="5"/>
      <c r="AG5" s="4"/>
      <c r="AH5" s="5"/>
      <c r="AI5" s="5"/>
      <c r="AJ5" s="5"/>
      <c r="AK5" s="5">
        <v>16</v>
      </c>
      <c r="AL5" s="109" t="s">
        <v>64</v>
      </c>
      <c r="AM5" s="36">
        <v>200</v>
      </c>
      <c r="AN5" s="5"/>
      <c r="AO5" s="33"/>
      <c r="AP5" s="27" t="s">
        <v>114</v>
      </c>
      <c r="AR5" s="23"/>
      <c r="AS5" s="4"/>
      <c r="AT5" s="5"/>
      <c r="AU5" s="4"/>
      <c r="AV5" s="5"/>
      <c r="AW5" s="5"/>
      <c r="AX5" s="5"/>
      <c r="AY5" s="5">
        <v>8</v>
      </c>
      <c r="AZ5" s="3" t="s">
        <v>83</v>
      </c>
      <c r="BA5" s="36">
        <v>750</v>
      </c>
      <c r="BB5" s="5"/>
      <c r="BC5" s="33"/>
      <c r="BD5" s="27" t="s">
        <v>86</v>
      </c>
      <c r="BF5" s="23"/>
      <c r="BG5" s="4"/>
      <c r="BH5" s="5"/>
      <c r="BI5" s="4"/>
      <c r="BJ5" s="5"/>
      <c r="BK5" s="5"/>
      <c r="BL5" s="5"/>
      <c r="BM5" s="5">
        <v>76</v>
      </c>
      <c r="BN5" s="109" t="s">
        <v>69</v>
      </c>
      <c r="BO5" s="36">
        <v>282</v>
      </c>
      <c r="BP5" s="5"/>
      <c r="BQ5" s="33"/>
      <c r="BR5" s="27" t="s">
        <v>71</v>
      </c>
      <c r="BT5" s="23"/>
      <c r="BU5" s="4"/>
      <c r="BV5" s="5"/>
      <c r="BW5" s="4"/>
      <c r="BX5" s="5"/>
      <c r="BY5" s="5"/>
      <c r="BZ5" s="5"/>
      <c r="CA5" s="5">
        <v>25</v>
      </c>
      <c r="CB5" s="109" t="s">
        <v>90</v>
      </c>
      <c r="CC5" s="36">
        <v>308</v>
      </c>
      <c r="CD5" s="5"/>
      <c r="CE5" s="33"/>
      <c r="CF5" s="27" t="s">
        <v>93</v>
      </c>
      <c r="CG5" s="112"/>
      <c r="CH5" s="27"/>
      <c r="CI5" s="4"/>
      <c r="CJ5" s="5"/>
      <c r="CK5" s="4"/>
      <c r="CL5" s="5"/>
      <c r="CM5" s="4"/>
      <c r="CN5" s="4"/>
      <c r="CO5" s="4">
        <v>80</v>
      </c>
      <c r="CP5" s="117" t="s">
        <v>123</v>
      </c>
      <c r="CQ5" s="115">
        <v>183</v>
      </c>
      <c r="CR5" s="105"/>
      <c r="CS5" s="25"/>
      <c r="CT5" s="2" t="s">
        <v>124</v>
      </c>
      <c r="CV5" s="23"/>
      <c r="CW5" s="4"/>
      <c r="CX5" s="5"/>
      <c r="CY5" s="4"/>
      <c r="CZ5" s="5"/>
      <c r="DA5" s="5"/>
      <c r="DB5" s="109"/>
      <c r="DC5" s="5">
        <v>17</v>
      </c>
      <c r="DD5" s="109" t="s">
        <v>57</v>
      </c>
      <c r="DE5" s="36">
        <v>154</v>
      </c>
      <c r="DF5" s="27"/>
      <c r="DG5" s="33"/>
      <c r="DH5" s="27" t="s">
        <v>61</v>
      </c>
      <c r="DJ5" s="23"/>
      <c r="DK5" s="5"/>
      <c r="DL5" s="5" t="s">
        <v>25</v>
      </c>
      <c r="DM5" s="5"/>
      <c r="DN5" s="5" t="s">
        <v>25</v>
      </c>
      <c r="DO5" s="5"/>
      <c r="DP5" s="4"/>
      <c r="DQ5" s="5"/>
      <c r="DR5" s="109"/>
      <c r="DS5" s="5"/>
      <c r="DT5" s="5"/>
      <c r="DU5" s="33"/>
      <c r="DV5" s="27"/>
      <c r="DX5" s="23"/>
      <c r="DY5" s="4"/>
      <c r="DZ5" s="4"/>
      <c r="EA5" s="5"/>
      <c r="EB5" s="4"/>
      <c r="EC5" s="4"/>
      <c r="ED5" s="4"/>
      <c r="EE5" s="4"/>
      <c r="EF5" s="109"/>
      <c r="EG5" s="4"/>
      <c r="EH5" s="4"/>
      <c r="EI5" s="26"/>
      <c r="EJ5" s="31"/>
      <c r="EL5" s="37" t="str">
        <f>IF($A11="","",$A11)</f>
        <v/>
      </c>
      <c r="EM5" s="32"/>
      <c r="EN5" s="5" t="str">
        <f t="shared" si="0"/>
        <v/>
      </c>
      <c r="EO5" s="5"/>
      <c r="EP5" s="5" t="str">
        <f t="shared" si="1"/>
        <v/>
      </c>
      <c r="EQ5" s="4"/>
      <c r="ER5" s="5" t="str">
        <f t="shared" si="2"/>
        <v/>
      </c>
      <c r="ES5" s="4"/>
      <c r="ET5" s="2" t="str">
        <f t="shared" si="3"/>
        <v/>
      </c>
      <c r="EU5" s="4" t="str">
        <f t="shared" si="4"/>
        <v/>
      </c>
      <c r="EV5" s="5" t="str">
        <f t="shared" si="5"/>
        <v/>
      </c>
      <c r="EW5" s="33" t="str">
        <f t="shared" si="6"/>
        <v/>
      </c>
      <c r="EX5" s="27"/>
      <c r="EZ5" s="37" t="str">
        <f>IF($A11="","",$A11)</f>
        <v/>
      </c>
      <c r="FA5" s="32"/>
      <c r="FB5" s="5" t="str">
        <f t="shared" si="7"/>
        <v/>
      </c>
      <c r="FC5" s="5"/>
      <c r="FD5" s="5" t="str">
        <f t="shared" si="8"/>
        <v/>
      </c>
      <c r="FE5" s="4"/>
      <c r="FF5" s="5" t="str">
        <f t="shared" si="9"/>
        <v/>
      </c>
      <c r="FG5" s="4"/>
      <c r="FH5" s="2" t="str">
        <f t="shared" si="10"/>
        <v/>
      </c>
      <c r="FI5" s="4" t="str">
        <f t="shared" si="11"/>
        <v/>
      </c>
      <c r="FJ5" s="5" t="str">
        <f t="shared" si="12"/>
        <v/>
      </c>
      <c r="FK5" s="33" t="str">
        <f t="shared" si="13"/>
        <v/>
      </c>
      <c r="FL5" s="27"/>
      <c r="FN5" s="37" t="str">
        <f>IF($A11="","",$A11)</f>
        <v/>
      </c>
      <c r="FO5" s="32"/>
      <c r="FP5" s="5" t="str">
        <f t="shared" si="14"/>
        <v/>
      </c>
      <c r="FQ5" s="5"/>
      <c r="FR5" s="5" t="str">
        <f t="shared" si="15"/>
        <v/>
      </c>
      <c r="FS5" s="4"/>
      <c r="FT5" s="5" t="str">
        <f t="shared" si="16"/>
        <v/>
      </c>
      <c r="FU5" s="4"/>
      <c r="FV5" s="2" t="str">
        <f t="shared" si="17"/>
        <v/>
      </c>
      <c r="FW5" s="4" t="str">
        <f t="shared" si="18"/>
        <v/>
      </c>
      <c r="FX5" s="5" t="str">
        <f t="shared" si="19"/>
        <v/>
      </c>
      <c r="FY5" s="33" t="str">
        <f t="shared" si="20"/>
        <v/>
      </c>
      <c r="FZ5" s="27"/>
      <c r="GB5" s="37" t="str">
        <f>IF($A11="","",$A11)</f>
        <v/>
      </c>
      <c r="GC5" s="32"/>
      <c r="GD5" s="5" t="str">
        <f t="shared" si="21"/>
        <v/>
      </c>
      <c r="GE5" s="5"/>
      <c r="GF5" s="5" t="str">
        <f t="shared" si="22"/>
        <v/>
      </c>
      <c r="GG5" s="4"/>
      <c r="GH5" s="5" t="str">
        <f t="shared" si="23"/>
        <v/>
      </c>
      <c r="GI5" s="4"/>
      <c r="GJ5" s="2" t="str">
        <f t="shared" si="24"/>
        <v/>
      </c>
      <c r="GK5" s="4" t="str">
        <f t="shared" si="25"/>
        <v/>
      </c>
      <c r="GL5" s="5" t="str">
        <f t="shared" si="26"/>
        <v/>
      </c>
      <c r="GM5" s="33" t="str">
        <f t="shared" si="27"/>
        <v/>
      </c>
      <c r="GN5" s="27"/>
      <c r="GP5" s="37" t="str">
        <f>IF($A11="","",$A11)</f>
        <v/>
      </c>
      <c r="GQ5" s="32"/>
      <c r="GR5" s="5" t="str">
        <f t="shared" si="28"/>
        <v/>
      </c>
      <c r="GS5" s="5"/>
      <c r="GT5" s="5" t="str">
        <f t="shared" si="29"/>
        <v/>
      </c>
      <c r="GU5" s="4"/>
      <c r="GV5" s="5" t="str">
        <f t="shared" si="30"/>
        <v/>
      </c>
      <c r="GW5" s="4"/>
      <c r="GX5" s="2" t="str">
        <f t="shared" si="31"/>
        <v/>
      </c>
      <c r="GY5" s="4" t="str">
        <f t="shared" si="32"/>
        <v/>
      </c>
      <c r="GZ5" s="5" t="str">
        <f t="shared" si="33"/>
        <v/>
      </c>
      <c r="HA5" s="33" t="str">
        <f t="shared" si="34"/>
        <v/>
      </c>
      <c r="HB5" s="27"/>
      <c r="HD5" s="37" t="str">
        <f>IF($A11="","",$A11)</f>
        <v/>
      </c>
      <c r="HE5" s="32"/>
      <c r="HF5" s="5" t="str">
        <f t="shared" si="35"/>
        <v/>
      </c>
      <c r="HG5" s="5"/>
      <c r="HH5" s="27"/>
      <c r="HJ5" s="37" t="str">
        <f>IF($A11="","",$A11)</f>
        <v/>
      </c>
      <c r="HK5" s="32"/>
      <c r="HL5" s="5" t="str">
        <f t="shared" si="36"/>
        <v/>
      </c>
      <c r="HM5" s="5"/>
      <c r="HN5" s="27"/>
      <c r="HP5" s="37" t="str">
        <f>IF($A11="","",$A11)</f>
        <v/>
      </c>
      <c r="HQ5" s="32"/>
      <c r="HR5" s="5" t="str">
        <f t="shared" si="37"/>
        <v/>
      </c>
      <c r="HS5" s="5"/>
      <c r="HT5" s="27"/>
      <c r="HV5" s="37" t="str">
        <f>IF($A11="","",$A11)</f>
        <v/>
      </c>
      <c r="HW5" s="32"/>
      <c r="HX5" s="5" t="str">
        <f t="shared" si="38"/>
        <v/>
      </c>
      <c r="HY5" s="5"/>
      <c r="HZ5" s="5" t="str">
        <f t="shared" si="39"/>
        <v/>
      </c>
      <c r="IA5" s="4"/>
      <c r="IB5" s="5" t="str">
        <f t="shared" si="40"/>
        <v/>
      </c>
      <c r="IC5" s="4"/>
      <c r="ID5" s="2" t="str">
        <f t="shared" si="41"/>
        <v/>
      </c>
      <c r="IE5" s="4" t="str">
        <f t="shared" si="42"/>
        <v/>
      </c>
      <c r="IF5" s="5" t="str">
        <f t="shared" si="43"/>
        <v/>
      </c>
      <c r="IG5" s="33" t="str">
        <f t="shared" si="44"/>
        <v/>
      </c>
      <c r="IH5" s="27"/>
      <c r="IJ5" s="37" t="str">
        <f>IF($A11="","",$A11)</f>
        <v/>
      </c>
      <c r="IK5" s="32"/>
      <c r="IL5" s="5" t="str">
        <f t="shared" si="45"/>
        <v/>
      </c>
      <c r="IM5" s="5"/>
      <c r="IN5" s="5" t="str">
        <f t="shared" si="46"/>
        <v/>
      </c>
      <c r="IO5" s="4"/>
      <c r="IP5" s="5" t="str">
        <f t="shared" si="47"/>
        <v/>
      </c>
      <c r="IQ5" s="4"/>
      <c r="IR5" s="2" t="str">
        <f t="shared" si="48"/>
        <v/>
      </c>
      <c r="IS5" s="4" t="str">
        <f t="shared" si="49"/>
        <v/>
      </c>
      <c r="IT5" s="5" t="str">
        <f t="shared" si="50"/>
        <v/>
      </c>
      <c r="IU5" s="33" t="str">
        <f t="shared" si="51"/>
        <v/>
      </c>
      <c r="IV5" s="27"/>
      <c r="IX5" s="37" t="str">
        <f>IF($A11="","",$A11)</f>
        <v/>
      </c>
      <c r="IY5" s="32"/>
      <c r="IZ5" s="5" t="str">
        <f t="shared" si="52"/>
        <v/>
      </c>
      <c r="JA5" s="5"/>
      <c r="JB5" s="5" t="str">
        <f t="shared" si="53"/>
        <v/>
      </c>
      <c r="JC5" s="4"/>
      <c r="JD5" s="5" t="str">
        <f t="shared" si="54"/>
        <v/>
      </c>
      <c r="JE5" s="4"/>
      <c r="JF5" s="2" t="str">
        <f t="shared" si="55"/>
        <v/>
      </c>
      <c r="JG5" s="4" t="str">
        <f t="shared" si="56"/>
        <v/>
      </c>
      <c r="JH5" s="5" t="str">
        <f t="shared" si="57"/>
        <v/>
      </c>
      <c r="JI5" s="33" t="str">
        <f t="shared" si="58"/>
        <v/>
      </c>
      <c r="JJ5" s="27"/>
      <c r="JL5" s="37" t="str">
        <f>IF($A11="","",$A11)</f>
        <v/>
      </c>
      <c r="JM5" s="32"/>
      <c r="JN5" s="5" t="str">
        <f t="shared" si="59"/>
        <v/>
      </c>
      <c r="JO5" s="5"/>
      <c r="JP5" s="5" t="str">
        <f t="shared" si="60"/>
        <v/>
      </c>
      <c r="JQ5" s="4"/>
      <c r="JR5" s="5" t="str">
        <f t="shared" si="61"/>
        <v/>
      </c>
      <c r="JS5" s="4"/>
      <c r="JT5" s="2" t="str">
        <f t="shared" si="62"/>
        <v/>
      </c>
      <c r="JU5" s="4" t="str">
        <f t="shared" si="63"/>
        <v/>
      </c>
      <c r="JV5" s="5" t="str">
        <f t="shared" si="64"/>
        <v/>
      </c>
      <c r="JW5" s="33" t="str">
        <f t="shared" si="65"/>
        <v/>
      </c>
      <c r="JX5" s="27"/>
      <c r="JY5" s="33" t="str">
        <f t="shared" si="66"/>
        <v/>
      </c>
      <c r="JZ5" s="27"/>
    </row>
    <row r="6" spans="1:286" ht="15" customHeight="1" thickBot="1" x14ac:dyDescent="0.25">
      <c r="A6" s="38"/>
      <c r="B6" s="39"/>
      <c r="C6" s="40"/>
      <c r="D6" s="40"/>
      <c r="E6" s="40"/>
      <c r="F6" s="41"/>
      <c r="G6" s="41"/>
      <c r="H6" s="41"/>
      <c r="I6" s="41">
        <v>16</v>
      </c>
      <c r="J6" s="108" t="s">
        <v>115</v>
      </c>
      <c r="K6" s="41">
        <v>737</v>
      </c>
      <c r="L6" s="41"/>
      <c r="M6" s="43"/>
      <c r="N6" s="27" t="s">
        <v>75</v>
      </c>
      <c r="O6" s="28"/>
      <c r="P6" s="38"/>
      <c r="Q6" s="40"/>
      <c r="R6" s="40"/>
      <c r="S6" s="40"/>
      <c r="T6" s="41"/>
      <c r="U6" s="41"/>
      <c r="V6" s="41"/>
      <c r="W6" s="41">
        <v>21</v>
      </c>
      <c r="X6" s="108" t="s">
        <v>79</v>
      </c>
      <c r="Y6" s="41">
        <v>800</v>
      </c>
      <c r="Z6" s="41"/>
      <c r="AA6" s="43"/>
      <c r="AB6" s="27" t="s">
        <v>111</v>
      </c>
      <c r="AD6" s="38"/>
      <c r="AE6" s="40"/>
      <c r="AF6" s="40"/>
      <c r="AG6" s="40"/>
      <c r="AH6" s="41"/>
      <c r="AI6" s="41"/>
      <c r="AJ6" s="41"/>
      <c r="AK6" s="41">
        <v>90</v>
      </c>
      <c r="AL6" s="108" t="s">
        <v>65</v>
      </c>
      <c r="AM6" s="41">
        <v>283</v>
      </c>
      <c r="AN6" s="41"/>
      <c r="AO6" s="43"/>
      <c r="AP6" s="27" t="s">
        <v>66</v>
      </c>
      <c r="AR6" s="38"/>
      <c r="AS6" s="40"/>
      <c r="AT6" s="40"/>
      <c r="AU6" s="40"/>
      <c r="AV6" s="41"/>
      <c r="AW6" s="41"/>
      <c r="AX6" s="41"/>
      <c r="AY6" s="41">
        <v>200</v>
      </c>
      <c r="AZ6" s="108" t="s">
        <v>84</v>
      </c>
      <c r="BA6" s="41">
        <v>70</v>
      </c>
      <c r="BB6" s="41"/>
      <c r="BC6" s="43"/>
      <c r="BD6" s="27" t="s">
        <v>87</v>
      </c>
      <c r="BF6" s="38"/>
      <c r="BG6" s="40"/>
      <c r="BH6" s="40"/>
      <c r="BI6" s="40"/>
      <c r="BJ6" s="41"/>
      <c r="BK6" s="41"/>
      <c r="BL6" s="41"/>
      <c r="BM6" s="41">
        <v>20</v>
      </c>
      <c r="BN6" s="108" t="s">
        <v>70</v>
      </c>
      <c r="BO6" s="41">
        <v>200</v>
      </c>
      <c r="BP6" s="41"/>
      <c r="BQ6" s="43"/>
      <c r="BR6" s="27" t="s">
        <v>72</v>
      </c>
      <c r="BT6" s="38"/>
      <c r="BU6" s="40"/>
      <c r="BV6" s="40"/>
      <c r="BW6" s="40"/>
      <c r="BX6" s="41"/>
      <c r="BY6" s="41"/>
      <c r="BZ6" s="41"/>
      <c r="CA6" s="41">
        <v>20</v>
      </c>
      <c r="CB6" s="108" t="s">
        <v>91</v>
      </c>
      <c r="CC6" s="41">
        <v>1500</v>
      </c>
      <c r="CD6" s="41"/>
      <c r="CE6" s="43"/>
      <c r="CF6" s="27" t="s">
        <v>94</v>
      </c>
      <c r="CG6" s="112"/>
      <c r="CH6" s="79"/>
      <c r="CI6" s="40"/>
      <c r="CJ6" s="40"/>
      <c r="CK6" s="40"/>
      <c r="CL6" s="40"/>
      <c r="CM6" s="113"/>
      <c r="CN6" s="113"/>
      <c r="CO6" s="113">
        <v>21</v>
      </c>
      <c r="CP6" s="118" t="s">
        <v>125</v>
      </c>
      <c r="CQ6" s="113">
        <v>182</v>
      </c>
      <c r="CR6" s="114"/>
      <c r="CS6" s="113"/>
      <c r="CT6" s="2" t="s">
        <v>108</v>
      </c>
      <c r="CV6" s="38"/>
      <c r="CW6" s="40"/>
      <c r="CX6" s="40"/>
      <c r="CY6" s="40"/>
      <c r="CZ6" s="41"/>
      <c r="DA6" s="41"/>
      <c r="DB6" s="108"/>
      <c r="DC6" s="41">
        <v>34</v>
      </c>
      <c r="DD6" s="108" t="s">
        <v>58</v>
      </c>
      <c r="DE6" s="41">
        <v>209</v>
      </c>
      <c r="DF6" s="27"/>
      <c r="DG6" s="43"/>
      <c r="DH6" s="27" t="s">
        <v>62</v>
      </c>
      <c r="DJ6" s="38"/>
      <c r="DK6" s="41"/>
      <c r="DL6" s="41" t="s">
        <v>25</v>
      </c>
      <c r="DM6" s="41"/>
      <c r="DN6" s="41" t="s">
        <v>25</v>
      </c>
      <c r="DO6" s="41"/>
      <c r="DP6" s="41"/>
      <c r="DQ6" s="41"/>
      <c r="DR6" s="108"/>
      <c r="DS6" s="41"/>
      <c r="DT6" s="41"/>
      <c r="DU6" s="43"/>
      <c r="DV6" s="27"/>
      <c r="DX6" s="38"/>
      <c r="DY6" s="41"/>
      <c r="DZ6" s="41" t="s">
        <v>25</v>
      </c>
      <c r="EA6" s="41"/>
      <c r="EB6" s="41" t="s">
        <v>25</v>
      </c>
      <c r="EC6" s="41"/>
      <c r="ED6" s="41"/>
      <c r="EE6" s="41"/>
      <c r="EF6" s="108"/>
      <c r="EG6" s="41"/>
      <c r="EH6" s="41"/>
      <c r="EI6" s="43"/>
      <c r="EJ6" s="27"/>
      <c r="EL6" s="37" t="str">
        <f>IF($A15="","",$A15)</f>
        <v/>
      </c>
      <c r="EM6" s="32"/>
      <c r="EN6" s="5" t="str">
        <f t="shared" si="0"/>
        <v/>
      </c>
      <c r="EO6" s="5"/>
      <c r="EP6" s="5" t="str">
        <f t="shared" si="1"/>
        <v/>
      </c>
      <c r="EQ6" s="4"/>
      <c r="ER6" s="5" t="str">
        <f t="shared" si="2"/>
        <v/>
      </c>
      <c r="ES6" s="4"/>
      <c r="ET6" s="2" t="str">
        <f t="shared" si="3"/>
        <v/>
      </c>
      <c r="EU6" s="4" t="str">
        <f t="shared" si="4"/>
        <v/>
      </c>
      <c r="EV6" s="5" t="str">
        <f t="shared" si="5"/>
        <v/>
      </c>
      <c r="EW6" s="33" t="str">
        <f t="shared" si="6"/>
        <v/>
      </c>
      <c r="EX6" s="27"/>
      <c r="EZ6" s="37" t="str">
        <f>IF($A15="","",$A15)</f>
        <v/>
      </c>
      <c r="FA6" s="32"/>
      <c r="FB6" s="5" t="str">
        <f t="shared" si="7"/>
        <v/>
      </c>
      <c r="FC6" s="5"/>
      <c r="FD6" s="5" t="str">
        <f t="shared" si="8"/>
        <v/>
      </c>
      <c r="FE6" s="4"/>
      <c r="FF6" s="5" t="str">
        <f t="shared" si="9"/>
        <v/>
      </c>
      <c r="FG6" s="4"/>
      <c r="FH6" s="2" t="str">
        <f t="shared" si="10"/>
        <v/>
      </c>
      <c r="FI6" s="4" t="str">
        <f t="shared" si="11"/>
        <v/>
      </c>
      <c r="FJ6" s="5" t="str">
        <f t="shared" si="12"/>
        <v/>
      </c>
      <c r="FK6" s="33" t="str">
        <f t="shared" si="13"/>
        <v/>
      </c>
      <c r="FL6" s="27"/>
      <c r="FN6" s="37" t="str">
        <f>IF($A15="","",$A15)</f>
        <v/>
      </c>
      <c r="FO6" s="32"/>
      <c r="FP6" s="5" t="str">
        <f t="shared" si="14"/>
        <v/>
      </c>
      <c r="FQ6" s="5"/>
      <c r="FR6" s="5" t="str">
        <f t="shared" si="15"/>
        <v/>
      </c>
      <c r="FS6" s="4"/>
      <c r="FT6" s="5" t="str">
        <f t="shared" si="16"/>
        <v/>
      </c>
      <c r="FU6" s="4"/>
      <c r="FV6" s="2" t="str">
        <f t="shared" si="17"/>
        <v/>
      </c>
      <c r="FW6" s="4" t="str">
        <f t="shared" si="18"/>
        <v/>
      </c>
      <c r="FX6" s="5" t="str">
        <f t="shared" si="19"/>
        <v/>
      </c>
      <c r="FY6" s="33" t="str">
        <f t="shared" si="20"/>
        <v/>
      </c>
      <c r="FZ6" s="27"/>
      <c r="GB6" s="37" t="str">
        <f>IF($A15="","",$A15)</f>
        <v/>
      </c>
      <c r="GC6" s="32"/>
      <c r="GD6" s="5" t="str">
        <f t="shared" si="21"/>
        <v/>
      </c>
      <c r="GE6" s="5"/>
      <c r="GF6" s="5" t="str">
        <f t="shared" si="22"/>
        <v/>
      </c>
      <c r="GG6" s="4"/>
      <c r="GH6" s="5" t="str">
        <f t="shared" si="23"/>
        <v/>
      </c>
      <c r="GI6" s="4"/>
      <c r="GJ6" s="2" t="str">
        <f t="shared" si="24"/>
        <v/>
      </c>
      <c r="GK6" s="4" t="str">
        <f t="shared" si="25"/>
        <v/>
      </c>
      <c r="GL6" s="5" t="str">
        <f t="shared" si="26"/>
        <v/>
      </c>
      <c r="GM6" s="33" t="str">
        <f t="shared" si="27"/>
        <v/>
      </c>
      <c r="GN6" s="27"/>
      <c r="GP6" s="37" t="str">
        <f>IF($A15="","",$A15)</f>
        <v/>
      </c>
      <c r="GQ6" s="32"/>
      <c r="GR6" s="5" t="str">
        <f t="shared" si="28"/>
        <v/>
      </c>
      <c r="GS6" s="5"/>
      <c r="GT6" s="5" t="str">
        <f t="shared" si="29"/>
        <v/>
      </c>
      <c r="GU6" s="4"/>
      <c r="GV6" s="5" t="str">
        <f t="shared" si="30"/>
        <v/>
      </c>
      <c r="GW6" s="4"/>
      <c r="GX6" s="2" t="str">
        <f t="shared" si="31"/>
        <v/>
      </c>
      <c r="GY6" s="4" t="str">
        <f t="shared" si="32"/>
        <v/>
      </c>
      <c r="GZ6" s="5" t="str">
        <f t="shared" si="33"/>
        <v/>
      </c>
      <c r="HA6" s="33" t="str">
        <f t="shared" si="34"/>
        <v/>
      </c>
      <c r="HB6" s="27"/>
      <c r="HD6" s="37" t="str">
        <f>IF($A15="","",$A15)</f>
        <v/>
      </c>
      <c r="HE6" s="32"/>
      <c r="HF6" s="5" t="str">
        <f t="shared" si="35"/>
        <v/>
      </c>
      <c r="HG6" s="5"/>
      <c r="HH6" s="27"/>
      <c r="HJ6" s="37" t="str">
        <f>IF($A15="","",$A15)</f>
        <v/>
      </c>
      <c r="HK6" s="32"/>
      <c r="HL6" s="5" t="str">
        <f t="shared" si="36"/>
        <v/>
      </c>
      <c r="HM6" s="5"/>
      <c r="HN6" s="27"/>
      <c r="HP6" s="37" t="str">
        <f>IF($A15="","",$A15)</f>
        <v/>
      </c>
      <c r="HQ6" s="32"/>
      <c r="HR6" s="5" t="str">
        <f t="shared" si="37"/>
        <v/>
      </c>
      <c r="HS6" s="5"/>
      <c r="HT6" s="27"/>
      <c r="HV6" s="37" t="str">
        <f>IF($A15="","",$A15)</f>
        <v/>
      </c>
      <c r="HW6" s="32"/>
      <c r="HX6" s="5" t="str">
        <f t="shared" si="38"/>
        <v/>
      </c>
      <c r="HY6" s="5"/>
      <c r="HZ6" s="5" t="str">
        <f t="shared" si="39"/>
        <v/>
      </c>
      <c r="IA6" s="4"/>
      <c r="IB6" s="5" t="str">
        <f t="shared" si="40"/>
        <v/>
      </c>
      <c r="IC6" s="4"/>
      <c r="ID6" s="2" t="str">
        <f t="shared" si="41"/>
        <v/>
      </c>
      <c r="IE6" s="4" t="str">
        <f t="shared" si="42"/>
        <v/>
      </c>
      <c r="IF6" s="5" t="str">
        <f t="shared" si="43"/>
        <v/>
      </c>
      <c r="IG6" s="33" t="str">
        <f t="shared" si="44"/>
        <v/>
      </c>
      <c r="IH6" s="27"/>
      <c r="IJ6" s="37" t="str">
        <f>IF($A15="","",$A15)</f>
        <v/>
      </c>
      <c r="IK6" s="32"/>
      <c r="IL6" s="5" t="str">
        <f t="shared" si="45"/>
        <v/>
      </c>
      <c r="IM6" s="5"/>
      <c r="IN6" s="5" t="str">
        <f t="shared" si="46"/>
        <v/>
      </c>
      <c r="IO6" s="4"/>
      <c r="IP6" s="5" t="str">
        <f t="shared" si="47"/>
        <v/>
      </c>
      <c r="IQ6" s="4"/>
      <c r="IR6" s="2" t="str">
        <f t="shared" si="48"/>
        <v/>
      </c>
      <c r="IS6" s="4" t="str">
        <f t="shared" si="49"/>
        <v/>
      </c>
      <c r="IT6" s="5" t="str">
        <f t="shared" si="50"/>
        <v/>
      </c>
      <c r="IU6" s="33" t="str">
        <f t="shared" si="51"/>
        <v/>
      </c>
      <c r="IV6" s="27"/>
      <c r="IX6" s="37" t="str">
        <f>IF($A15="","",$A15)</f>
        <v/>
      </c>
      <c r="IY6" s="32"/>
      <c r="IZ6" s="5" t="str">
        <f t="shared" si="52"/>
        <v/>
      </c>
      <c r="JA6" s="5"/>
      <c r="JB6" s="5" t="str">
        <f t="shared" si="53"/>
        <v/>
      </c>
      <c r="JC6" s="4"/>
      <c r="JD6" s="5" t="str">
        <f t="shared" si="54"/>
        <v/>
      </c>
      <c r="JE6" s="4"/>
      <c r="JF6" s="2" t="str">
        <f t="shared" si="55"/>
        <v/>
      </c>
      <c r="JG6" s="4" t="str">
        <f t="shared" si="56"/>
        <v/>
      </c>
      <c r="JH6" s="5" t="str">
        <f t="shared" si="57"/>
        <v/>
      </c>
      <c r="JI6" s="33" t="str">
        <f t="shared" si="58"/>
        <v/>
      </c>
      <c r="JJ6" s="27"/>
      <c r="JL6" s="37" t="str">
        <f>IF($A15="","",$A15)</f>
        <v/>
      </c>
      <c r="JM6" s="32"/>
      <c r="JN6" s="5" t="str">
        <f t="shared" si="59"/>
        <v/>
      </c>
      <c r="JO6" s="5"/>
      <c r="JP6" s="5" t="str">
        <f t="shared" si="60"/>
        <v/>
      </c>
      <c r="JQ6" s="4"/>
      <c r="JR6" s="5" t="str">
        <f t="shared" si="61"/>
        <v/>
      </c>
      <c r="JS6" s="4"/>
      <c r="JT6" s="2" t="str">
        <f t="shared" si="62"/>
        <v/>
      </c>
      <c r="JU6" s="4" t="str">
        <f t="shared" si="63"/>
        <v/>
      </c>
      <c r="JV6" s="5" t="str">
        <f t="shared" si="64"/>
        <v/>
      </c>
      <c r="JW6" s="33" t="str">
        <f t="shared" si="65"/>
        <v/>
      </c>
      <c r="JX6" s="27"/>
      <c r="JY6" s="33" t="str">
        <f t="shared" si="66"/>
        <v/>
      </c>
      <c r="JZ6" s="27"/>
    </row>
    <row r="7" spans="1:286" ht="15" customHeight="1" thickTop="1" x14ac:dyDescent="0.2">
      <c r="A7" s="45">
        <v>46168</v>
      </c>
      <c r="B7" s="24">
        <f>SUM(D7:D10)+SUM(R7:R10)+SUM(AF7:AF10)+SUM(BV7:BV10)+SUM(GD4,GR4,EN4,FB4,FP4,HX4,IL4,IZ4,JN4,HF4,HL4,HR4)+SUM(CJ7:CJ10)+SUM(DL7:DL8)</f>
        <v>3952</v>
      </c>
      <c r="C7" s="4">
        <v>106</v>
      </c>
      <c r="D7" s="4">
        <f t="shared" ref="D7:D38" si="67">IF(C7="","",C7-C3)</f>
        <v>106</v>
      </c>
      <c r="E7" s="4">
        <v>8</v>
      </c>
      <c r="F7" s="46">
        <f t="shared" ref="F7:F38" si="68">IF(E7="","",E7-E3)</f>
        <v>8</v>
      </c>
      <c r="G7" s="4">
        <v>11</v>
      </c>
      <c r="H7" s="4">
        <f t="shared" ref="H7:H53" si="69">IF(G7="","",G3+I3-G7)</f>
        <v>8</v>
      </c>
      <c r="I7" s="47">
        <v>7</v>
      </c>
      <c r="J7" s="29" t="str">
        <f t="shared" ref="J7:J38" si="70">IF(C7="","",J3)</f>
        <v>ギャルキティマスコット</v>
      </c>
      <c r="K7" s="25">
        <f t="shared" ref="K7:K38" si="71">IF(D7="","",K3)</f>
        <v>0</v>
      </c>
      <c r="L7" s="46">
        <f t="shared" ref="L7:L38" si="72">IF(G7="","",H7*K7)</f>
        <v>0</v>
      </c>
      <c r="M7" s="48">
        <f t="shared" ref="M7:M38" si="73">IF(H7="","",L7/(D7*100))</f>
        <v>0</v>
      </c>
      <c r="N7" s="27"/>
      <c r="O7" s="28"/>
      <c r="P7" s="49">
        <f>IF($A7="","",$A7)</f>
        <v>46168</v>
      </c>
      <c r="Q7" s="4">
        <v>201</v>
      </c>
      <c r="R7" s="4">
        <f t="shared" ref="R7:R38" si="74">IF(Q7="","",Q7-Q3)</f>
        <v>201</v>
      </c>
      <c r="S7" s="4">
        <v>620</v>
      </c>
      <c r="T7" s="46">
        <f t="shared" ref="T7:T38" si="75">IF(S7="","",S7-S3)</f>
        <v>10</v>
      </c>
      <c r="U7" s="4">
        <v>6</v>
      </c>
      <c r="V7" s="4">
        <f t="shared" ref="V7:V38" si="76">IF(U7="","",U3+W3-U7)</f>
        <v>10</v>
      </c>
      <c r="W7" s="47">
        <v>8</v>
      </c>
      <c r="X7" s="29" t="str">
        <f t="shared" ref="X7:X38" si="77">IF(Q7="","",X3)</f>
        <v>デジカメ</v>
      </c>
      <c r="Y7" s="25">
        <f t="shared" ref="Y7:Y38" si="78">IF(R7="","",Y3)</f>
        <v>1100</v>
      </c>
      <c r="Z7" s="46">
        <f t="shared" ref="Z7:Z38" si="79">IF(U7="","",V7*Y7)</f>
        <v>11000</v>
      </c>
      <c r="AA7" s="48">
        <f t="shared" ref="AA7:AA38" si="80">IF(V7="","",Z7/(R7*100))</f>
        <v>0.54726368159203975</v>
      </c>
      <c r="AB7" s="27" t="s">
        <v>141</v>
      </c>
      <c r="AD7" s="49">
        <f>IF($A7="","",$A7)</f>
        <v>46168</v>
      </c>
      <c r="AE7" s="4">
        <v>191</v>
      </c>
      <c r="AF7" s="4">
        <f t="shared" ref="AF7:AF38" si="81">IF(AE7="","",AE7-AE3)</f>
        <v>191</v>
      </c>
      <c r="AG7" s="4">
        <v>6</v>
      </c>
      <c r="AH7" s="46">
        <f t="shared" ref="AH7:AH38" si="82">IF(AG7="","",AG7-AG3)</f>
        <v>6</v>
      </c>
      <c r="AI7" s="4">
        <v>3</v>
      </c>
      <c r="AJ7" s="4">
        <f t="shared" ref="AJ7:AJ38" si="83">IF(AI7="","",AI3+AK3-AI7)</f>
        <v>10</v>
      </c>
      <c r="AK7" s="47">
        <v>7</v>
      </c>
      <c r="AL7" s="29" t="str">
        <f t="shared" ref="AL7:AL38" si="84">IF(AE7="","",AL3)</f>
        <v>サンリオミニファン</v>
      </c>
      <c r="AM7" s="25">
        <f t="shared" ref="AM7:AM38" si="85">IF(AF7="","",AM3)</f>
        <v>1100</v>
      </c>
      <c r="AN7" s="46">
        <f t="shared" ref="AN7:AN38" si="86">IF(AI7="","",AJ7*AM7)</f>
        <v>11000</v>
      </c>
      <c r="AO7" s="121">
        <f t="shared" ref="AO7:AO38" si="87">IF(AJ7="","",AN7/(AF7*100))</f>
        <v>0.5759162303664922</v>
      </c>
      <c r="AP7" s="27" t="s">
        <v>143</v>
      </c>
      <c r="AR7" s="49">
        <f>IF($A7="","",$A7)</f>
        <v>46168</v>
      </c>
      <c r="AS7" s="119">
        <v>43</v>
      </c>
      <c r="AT7" s="4">
        <f t="shared" ref="AT7:AT58" si="88">IF(AS7="","",AS7-AS3)</f>
        <v>43</v>
      </c>
      <c r="AU7" s="4">
        <v>5</v>
      </c>
      <c r="AV7" s="46">
        <f t="shared" ref="AV7:AV58" si="89">IF(AU7="","",AU7-AU3)</f>
        <v>5</v>
      </c>
      <c r="AW7" s="4">
        <v>19</v>
      </c>
      <c r="AX7" s="4">
        <f t="shared" ref="AX7:AX58" si="90">IF(AW7="","",AW3+AY3-AW7)</f>
        <v>6</v>
      </c>
      <c r="AY7" s="47">
        <v>6</v>
      </c>
      <c r="AZ7" s="29" t="str">
        <f t="shared" ref="AZ7:AZ58" si="91">IF(AS7="","",AZ3)</f>
        <v>ミニボンドロ</v>
      </c>
      <c r="BA7" s="25">
        <f t="shared" ref="BA7:BA58" si="92">IF(AT7="","",BA3)</f>
        <v>200</v>
      </c>
      <c r="BB7" s="46">
        <f t="shared" ref="BB7:BB58" si="93">IF(AW7="","",AX7*BA7)</f>
        <v>1200</v>
      </c>
      <c r="BC7" s="48">
        <f t="shared" ref="BC7:BC58" si="94">IF(AX7="","",BB7/(AT7*100))</f>
        <v>0.27906976744186046</v>
      </c>
      <c r="BD7" s="27"/>
      <c r="BF7" s="49">
        <f>IF($A7="","",$A7)</f>
        <v>46168</v>
      </c>
      <c r="BG7" s="4">
        <v>157</v>
      </c>
      <c r="BH7" s="4">
        <f t="shared" ref="BH7:BH58" si="95">IF(BG7="","",BG7-BG3)</f>
        <v>157</v>
      </c>
      <c r="BI7" s="4">
        <v>6</v>
      </c>
      <c r="BJ7" s="46">
        <f t="shared" ref="BJ7:BJ58" si="96">IF(BI7="","",BI7-BI3)</f>
        <v>6</v>
      </c>
      <c r="BK7" s="4">
        <v>10</v>
      </c>
      <c r="BL7" s="4">
        <f t="shared" ref="BL7:BL58" si="97">IF(BK7="","",BK3+BM3-BK7)</f>
        <v>5</v>
      </c>
      <c r="BM7" s="47">
        <v>10</v>
      </c>
      <c r="BN7" s="29" t="str">
        <f t="shared" ref="BN7:BN58" si="98">IF(BG7="","",BN3)</f>
        <v>トイストーリーベアブリック</v>
      </c>
      <c r="BO7" s="25">
        <f t="shared" ref="BO7:BO58" si="99">IF(BH7="","",BO3)</f>
        <v>1100</v>
      </c>
      <c r="BP7" s="46">
        <f t="shared" ref="BP7:BP58" si="100">IF(BK7="","",BL7*BO7)</f>
        <v>5500</v>
      </c>
      <c r="BQ7" s="48">
        <f t="shared" ref="BQ7:BQ58" si="101">IF(BL7="","",BP7/(BH7*100))</f>
        <v>0.3503184713375796</v>
      </c>
      <c r="BR7" s="27"/>
      <c r="BT7" s="49">
        <f>IF($A7="","",$A7)</f>
        <v>46168</v>
      </c>
      <c r="BU7" s="4">
        <v>20</v>
      </c>
      <c r="BV7" s="119">
        <f t="shared" ref="BV7:BV38" si="102">IF(BU7="","",BU7-BU3)</f>
        <v>20</v>
      </c>
      <c r="BW7" s="4">
        <v>1</v>
      </c>
      <c r="BX7" s="46">
        <f t="shared" ref="BX7:BX38" si="103">IF(BW7="","",BW7-BW3)</f>
        <v>1</v>
      </c>
      <c r="BY7" s="4">
        <v>49</v>
      </c>
      <c r="BZ7" s="4">
        <f t="shared" ref="BZ7:BZ38" si="104">IF(BY7="","",BY3+CA3-BY7)</f>
        <v>1</v>
      </c>
      <c r="CA7" s="47">
        <v>-32</v>
      </c>
      <c r="CB7" s="29" t="str">
        <f t="shared" ref="CB7:CB38" si="105">IF(BU7="","",CB3)</f>
        <v>電ブル</v>
      </c>
      <c r="CC7" s="25">
        <f t="shared" ref="CC7:CC38" si="106">IF(BV7="","",CC3)</f>
        <v>292</v>
      </c>
      <c r="CD7" s="46">
        <f t="shared" ref="CD7:CD38" si="107">IF(BY7="","",BZ7*CC7)</f>
        <v>292</v>
      </c>
      <c r="CE7" s="48">
        <f t="shared" ref="CE7:CE38" si="108">IF(BZ7="","",CD7/(BV7*100))</f>
        <v>0.14599999999999999</v>
      </c>
      <c r="CF7" s="27" t="s">
        <v>144</v>
      </c>
      <c r="CH7" s="49">
        <f>IF($A7="","",$A7)</f>
        <v>46168</v>
      </c>
      <c r="CI7" s="4">
        <v>95</v>
      </c>
      <c r="CJ7" s="4">
        <f t="shared" ref="CJ7:CJ58" si="109">IF(CI7="","",CI7-CI3)</f>
        <v>95</v>
      </c>
      <c r="CK7" s="4">
        <v>4</v>
      </c>
      <c r="CL7" s="4">
        <f t="shared" ref="CL7:CL58" si="110">IF(CK7="","",CK7-CK3)</f>
        <v>4</v>
      </c>
      <c r="CM7" s="4">
        <v>12</v>
      </c>
      <c r="CN7" s="4">
        <f t="shared" ref="CN7:CN58" si="111">IF(CM7="","",CM3+CO3-CM7)</f>
        <v>4</v>
      </c>
      <c r="CO7" s="47">
        <v>3</v>
      </c>
      <c r="CP7" s="29" t="str">
        <f t="shared" ref="CP7:CP58" si="112">IF(CI7="","",CP3)</f>
        <v>ジャグラーボタン</v>
      </c>
      <c r="CQ7" s="25">
        <f t="shared" ref="CQ7:CQ58" si="113">IF(CJ7="","",CQ3)</f>
        <v>748</v>
      </c>
      <c r="CR7" s="4">
        <f t="shared" ref="CR7:CR58" si="114">IF(CM7="","",CN7*CQ7)</f>
        <v>2992</v>
      </c>
      <c r="CS7" s="26">
        <f t="shared" ref="CS7:CS58" si="115">IF(CN7="","",CR7/(CJ7*100))</f>
        <v>0.31494736842105264</v>
      </c>
      <c r="CT7" s="27"/>
      <c r="CV7" s="49">
        <f>IF($A7="","",$A7)</f>
        <v>46168</v>
      </c>
      <c r="CW7" s="4">
        <v>82</v>
      </c>
      <c r="CX7" s="4">
        <f t="shared" ref="CX7:CX58" si="116">IF(CW7="","",CW7-CW3)</f>
        <v>82</v>
      </c>
      <c r="CY7" s="4">
        <v>11</v>
      </c>
      <c r="CZ7" s="46">
        <f t="shared" ref="CZ7:CZ58" si="117">IF(CY7="","",CY7-CY3)</f>
        <v>11</v>
      </c>
      <c r="DA7" s="4">
        <v>2</v>
      </c>
      <c r="DB7" s="4">
        <f t="shared" ref="DB7:DB58" si="118">IF(DA7="","",DA3+DC3-DA7)</f>
        <v>8</v>
      </c>
      <c r="DC7" s="47">
        <v>10</v>
      </c>
      <c r="DD7" s="29" t="str">
        <f t="shared" ref="DD7:DD58" si="119">IF(CW7="","",DD3)</f>
        <v>サンリオエリップスヘアーオイル</v>
      </c>
      <c r="DE7" s="25">
        <f t="shared" ref="DE7:DE58" si="120">IF(CX7="","",DE3)</f>
        <v>1045</v>
      </c>
      <c r="DF7" s="46">
        <f t="shared" ref="DF7:DF58" si="121">IF(DA7="","",DB7*DE7)</f>
        <v>8360</v>
      </c>
      <c r="DG7" s="48">
        <f t="shared" ref="DG7:DG58" si="122">IF(DB7="","",DF7/(CX7*100))</f>
        <v>1.0195121951219512</v>
      </c>
      <c r="DH7" s="27" t="s">
        <v>142</v>
      </c>
      <c r="DJ7" s="30">
        <f>IF($A7="","",$A7)</f>
        <v>46168</v>
      </c>
      <c r="DK7" s="4">
        <v>252</v>
      </c>
      <c r="DL7" s="4">
        <f t="shared" ref="DL7:DL38" si="123">IF(DK7="","",DK7-DK3)</f>
        <v>141</v>
      </c>
      <c r="DM7" s="4">
        <v>111</v>
      </c>
      <c r="DN7" s="46">
        <f t="shared" ref="DN7:DN38" si="124">IF(DM7="","",DM7-DM3)</f>
        <v>1</v>
      </c>
      <c r="DO7" s="4">
        <v>34</v>
      </c>
      <c r="DP7" s="4">
        <f t="shared" ref="DP7:DP48" si="125">IF(DO7="","",DO3+DQ3-DO7)</f>
        <v>1</v>
      </c>
      <c r="DQ7" s="47">
        <v>0</v>
      </c>
      <c r="DR7" s="29" t="str">
        <f t="shared" ref="DR7:DR46" si="126">IF(DK7="","",DR3)</f>
        <v>サンリオデニムポーチ</v>
      </c>
      <c r="DS7" s="25">
        <f t="shared" ref="DS7:DS46" si="127">IF(DL7="","",DS3)</f>
        <v>0</v>
      </c>
      <c r="DT7" s="46">
        <f t="shared" ref="DT7:DT48" si="128">IF(DO7="","",DP7*DS7)</f>
        <v>0</v>
      </c>
      <c r="DU7" s="48">
        <f t="shared" ref="DU7:DU48" si="129">IF(DP7="","",DT7/(DL7*100))</f>
        <v>0</v>
      </c>
      <c r="DV7" s="27" t="s">
        <v>140</v>
      </c>
      <c r="DX7" s="30">
        <f>IF($A7="","",$A7)</f>
        <v>46168</v>
      </c>
      <c r="DY7" s="4">
        <v>443</v>
      </c>
      <c r="DZ7" s="4">
        <f t="shared" ref="DZ7:DZ58" si="130">IF(DY7="","",DY7-DY3)</f>
        <v>333</v>
      </c>
      <c r="EA7" s="4">
        <v>123</v>
      </c>
      <c r="EB7" s="46">
        <f t="shared" ref="EB7:EB57" si="131">IF(EA7="","",EA7-EA3)</f>
        <v>10</v>
      </c>
      <c r="EC7" s="4">
        <v>6</v>
      </c>
      <c r="ED7" s="4">
        <f t="shared" ref="ED7:ED48" si="132">IF(EC7="","",EC3+EE3-EC7)</f>
        <v>8</v>
      </c>
      <c r="EE7" s="47">
        <v>0</v>
      </c>
      <c r="EF7" s="29" t="str">
        <f t="shared" ref="EF7:EF46" si="133">IF(DY7="","",EF3)</f>
        <v>アンパンマンぬいぐるみ</v>
      </c>
      <c r="EG7" s="25">
        <f t="shared" ref="EG7:EG46" si="134">IF(DZ7="","",EG3)</f>
        <v>1100</v>
      </c>
      <c r="EH7" s="46">
        <f t="shared" ref="EH7:EH48" si="135">IF(EC7="","",ED7*EG7)</f>
        <v>8800</v>
      </c>
      <c r="EI7" s="48">
        <f t="shared" ref="EI7:EI48" si="136">IF(ED7="","",EH7/(DZ7*100))</f>
        <v>0.26426426426426425</v>
      </c>
      <c r="EJ7" s="27"/>
      <c r="EL7" s="37" t="str">
        <f>IF($A19="","",$A19)</f>
        <v/>
      </c>
      <c r="EM7" s="32"/>
      <c r="EN7" s="5" t="str">
        <f t="shared" si="0"/>
        <v/>
      </c>
      <c r="EO7" s="5"/>
      <c r="EP7" s="5" t="str">
        <f t="shared" si="1"/>
        <v/>
      </c>
      <c r="EQ7" s="4"/>
      <c r="ER7" s="5" t="str">
        <f t="shared" si="2"/>
        <v/>
      </c>
      <c r="ES7" s="4"/>
      <c r="ET7" s="2" t="str">
        <f t="shared" si="3"/>
        <v/>
      </c>
      <c r="EU7" s="4" t="str">
        <f t="shared" si="4"/>
        <v/>
      </c>
      <c r="EV7" s="5" t="str">
        <f t="shared" si="5"/>
        <v/>
      </c>
      <c r="EW7" s="33" t="str">
        <f t="shared" si="6"/>
        <v/>
      </c>
      <c r="EX7" s="27"/>
      <c r="EZ7" s="37" t="str">
        <f>IF($A19="","",$A19)</f>
        <v/>
      </c>
      <c r="FA7" s="32"/>
      <c r="FB7" s="5" t="str">
        <f t="shared" si="7"/>
        <v/>
      </c>
      <c r="FC7" s="5"/>
      <c r="FD7" s="5" t="str">
        <f t="shared" si="8"/>
        <v/>
      </c>
      <c r="FE7" s="4"/>
      <c r="FF7" s="5" t="str">
        <f t="shared" si="9"/>
        <v/>
      </c>
      <c r="FG7" s="4"/>
      <c r="FH7" s="2" t="str">
        <f t="shared" si="10"/>
        <v/>
      </c>
      <c r="FI7" s="4" t="str">
        <f t="shared" si="11"/>
        <v/>
      </c>
      <c r="FJ7" s="5" t="str">
        <f t="shared" si="12"/>
        <v/>
      </c>
      <c r="FK7" s="33" t="str">
        <f t="shared" si="13"/>
        <v/>
      </c>
      <c r="FL7" s="27"/>
      <c r="FN7" s="37" t="str">
        <f>IF($A19="","",$A19)</f>
        <v/>
      </c>
      <c r="FO7" s="32"/>
      <c r="FP7" s="5" t="str">
        <f t="shared" si="14"/>
        <v/>
      </c>
      <c r="FQ7" s="5"/>
      <c r="FR7" s="5" t="str">
        <f t="shared" si="15"/>
        <v/>
      </c>
      <c r="FS7" s="4"/>
      <c r="FT7" s="5" t="str">
        <f t="shared" si="16"/>
        <v/>
      </c>
      <c r="FU7" s="4"/>
      <c r="FV7" s="2" t="str">
        <f t="shared" si="17"/>
        <v/>
      </c>
      <c r="FW7" s="4" t="str">
        <f t="shared" si="18"/>
        <v/>
      </c>
      <c r="FX7" s="5" t="str">
        <f t="shared" si="19"/>
        <v/>
      </c>
      <c r="FY7" s="33" t="str">
        <f t="shared" si="20"/>
        <v/>
      </c>
      <c r="FZ7" s="27"/>
      <c r="GB7" s="37" t="str">
        <f>IF($A19="","",$A19)</f>
        <v/>
      </c>
      <c r="GC7" s="32"/>
      <c r="GD7" s="5" t="str">
        <f t="shared" si="21"/>
        <v/>
      </c>
      <c r="GE7" s="5"/>
      <c r="GF7" s="5" t="str">
        <f t="shared" si="22"/>
        <v/>
      </c>
      <c r="GG7" s="4"/>
      <c r="GH7" s="5" t="str">
        <f t="shared" si="23"/>
        <v/>
      </c>
      <c r="GI7" s="4"/>
      <c r="GJ7" s="2" t="str">
        <f t="shared" si="24"/>
        <v/>
      </c>
      <c r="GK7" s="4" t="str">
        <f t="shared" si="25"/>
        <v/>
      </c>
      <c r="GL7" s="5" t="str">
        <f t="shared" si="26"/>
        <v/>
      </c>
      <c r="GM7" s="33" t="str">
        <f t="shared" si="27"/>
        <v/>
      </c>
      <c r="GN7" s="27"/>
      <c r="GP7" s="37" t="str">
        <f>IF($A19="","",$A19)</f>
        <v/>
      </c>
      <c r="GQ7" s="32"/>
      <c r="GR7" s="5" t="str">
        <f t="shared" si="28"/>
        <v/>
      </c>
      <c r="GS7" s="5"/>
      <c r="GT7" s="5" t="str">
        <f t="shared" si="29"/>
        <v/>
      </c>
      <c r="GU7" s="4"/>
      <c r="GV7" s="5" t="str">
        <f t="shared" si="30"/>
        <v/>
      </c>
      <c r="GW7" s="4"/>
      <c r="GX7" s="2" t="str">
        <f t="shared" si="31"/>
        <v/>
      </c>
      <c r="GY7" s="4" t="str">
        <f t="shared" si="32"/>
        <v/>
      </c>
      <c r="GZ7" s="5" t="str">
        <f t="shared" si="33"/>
        <v/>
      </c>
      <c r="HA7" s="33" t="str">
        <f t="shared" si="34"/>
        <v/>
      </c>
      <c r="HB7" s="27"/>
      <c r="HD7" s="37" t="str">
        <f>IF($A19="","",$A19)</f>
        <v/>
      </c>
      <c r="HE7" s="32"/>
      <c r="HF7" s="5" t="str">
        <f t="shared" si="35"/>
        <v/>
      </c>
      <c r="HG7" s="5"/>
      <c r="HH7" s="27"/>
      <c r="HJ7" s="37" t="str">
        <f>IF($A19="","",$A19)</f>
        <v/>
      </c>
      <c r="HK7" s="32"/>
      <c r="HL7" s="5" t="str">
        <f t="shared" si="36"/>
        <v/>
      </c>
      <c r="HM7" s="5"/>
      <c r="HN7" s="27"/>
      <c r="HP7" s="37" t="str">
        <f>IF($A19="","",$A19)</f>
        <v/>
      </c>
      <c r="HQ7" s="32"/>
      <c r="HR7" s="5" t="str">
        <f t="shared" si="37"/>
        <v/>
      </c>
      <c r="HS7" s="5"/>
      <c r="HT7" s="27"/>
      <c r="HV7" s="37" t="str">
        <f>IF($A19="","",$A19)</f>
        <v/>
      </c>
      <c r="HW7" s="32"/>
      <c r="HX7" s="5" t="str">
        <f t="shared" si="38"/>
        <v/>
      </c>
      <c r="HY7" s="5"/>
      <c r="HZ7" s="5" t="str">
        <f t="shared" si="39"/>
        <v/>
      </c>
      <c r="IA7" s="4"/>
      <c r="IB7" s="5" t="str">
        <f t="shared" si="40"/>
        <v/>
      </c>
      <c r="IC7" s="4"/>
      <c r="ID7" s="2" t="str">
        <f t="shared" si="41"/>
        <v/>
      </c>
      <c r="IE7" s="4" t="str">
        <f t="shared" si="42"/>
        <v/>
      </c>
      <c r="IF7" s="5" t="str">
        <f t="shared" si="43"/>
        <v/>
      </c>
      <c r="IG7" s="33" t="str">
        <f t="shared" si="44"/>
        <v/>
      </c>
      <c r="IH7" s="27"/>
      <c r="IJ7" s="37" t="str">
        <f>IF($A19="","",$A19)</f>
        <v/>
      </c>
      <c r="IK7" s="32"/>
      <c r="IL7" s="5" t="str">
        <f t="shared" si="45"/>
        <v/>
      </c>
      <c r="IM7" s="5"/>
      <c r="IN7" s="5" t="str">
        <f t="shared" si="46"/>
        <v/>
      </c>
      <c r="IO7" s="4"/>
      <c r="IP7" s="5" t="str">
        <f t="shared" si="47"/>
        <v/>
      </c>
      <c r="IQ7" s="4"/>
      <c r="IR7" s="2" t="str">
        <f t="shared" si="48"/>
        <v/>
      </c>
      <c r="IS7" s="4" t="str">
        <f t="shared" si="49"/>
        <v/>
      </c>
      <c r="IT7" s="5" t="str">
        <f t="shared" si="50"/>
        <v/>
      </c>
      <c r="IU7" s="33" t="str">
        <f t="shared" si="51"/>
        <v/>
      </c>
      <c r="IV7" s="27"/>
      <c r="IX7" s="37" t="str">
        <f>IF($A19="","",$A19)</f>
        <v/>
      </c>
      <c r="IY7" s="32"/>
      <c r="IZ7" s="5" t="str">
        <f t="shared" si="52"/>
        <v/>
      </c>
      <c r="JA7" s="5"/>
      <c r="JB7" s="5" t="str">
        <f t="shared" si="53"/>
        <v/>
      </c>
      <c r="JC7" s="4"/>
      <c r="JD7" s="5" t="str">
        <f t="shared" si="54"/>
        <v/>
      </c>
      <c r="JE7" s="4"/>
      <c r="JF7" s="2" t="str">
        <f t="shared" si="55"/>
        <v/>
      </c>
      <c r="JG7" s="4" t="str">
        <f t="shared" si="56"/>
        <v/>
      </c>
      <c r="JH7" s="5" t="str">
        <f t="shared" si="57"/>
        <v/>
      </c>
      <c r="JI7" s="33" t="str">
        <f t="shared" si="58"/>
        <v/>
      </c>
      <c r="JJ7" s="27"/>
      <c r="JL7" s="37" t="str">
        <f>IF($A19="","",$A19)</f>
        <v/>
      </c>
      <c r="JM7" s="32"/>
      <c r="JN7" s="5" t="str">
        <f t="shared" si="59"/>
        <v/>
      </c>
      <c r="JO7" s="5"/>
      <c r="JP7" s="5" t="str">
        <f t="shared" si="60"/>
        <v/>
      </c>
      <c r="JQ7" s="4"/>
      <c r="JR7" s="5" t="str">
        <f t="shared" si="61"/>
        <v/>
      </c>
      <c r="JS7" s="4"/>
      <c r="JT7" s="2" t="str">
        <f t="shared" si="62"/>
        <v/>
      </c>
      <c r="JU7" s="4" t="str">
        <f t="shared" si="63"/>
        <v/>
      </c>
      <c r="JV7" s="5" t="str">
        <f t="shared" si="64"/>
        <v/>
      </c>
      <c r="JW7" s="33" t="str">
        <f t="shared" si="65"/>
        <v/>
      </c>
      <c r="JX7" s="27"/>
      <c r="JY7" s="33" t="str">
        <f t="shared" si="66"/>
        <v/>
      </c>
      <c r="JZ7" s="27"/>
    </row>
    <row r="8" spans="1:286" x14ac:dyDescent="0.2">
      <c r="A8" s="50"/>
      <c r="B8" s="51"/>
      <c r="C8" s="4">
        <v>63</v>
      </c>
      <c r="D8" s="5">
        <f t="shared" si="67"/>
        <v>63</v>
      </c>
      <c r="E8" s="5">
        <v>1</v>
      </c>
      <c r="F8" s="5">
        <f t="shared" si="68"/>
        <v>1</v>
      </c>
      <c r="G8" s="5">
        <v>12</v>
      </c>
      <c r="H8" s="5">
        <f t="shared" si="69"/>
        <v>1</v>
      </c>
      <c r="I8" s="32">
        <v>3</v>
      </c>
      <c r="J8" s="35" t="str">
        <f t="shared" si="70"/>
        <v>千鳥格子サンリオMC</v>
      </c>
      <c r="K8" s="36">
        <f t="shared" si="71"/>
        <v>861</v>
      </c>
      <c r="L8" s="5">
        <f t="shared" si="72"/>
        <v>861</v>
      </c>
      <c r="M8" s="33">
        <f t="shared" si="73"/>
        <v>0.13666666666666666</v>
      </c>
      <c r="N8" s="27"/>
      <c r="O8" s="28"/>
      <c r="P8" s="50"/>
      <c r="Q8" s="4">
        <v>105</v>
      </c>
      <c r="R8" s="5">
        <f t="shared" si="74"/>
        <v>105</v>
      </c>
      <c r="S8" s="5">
        <v>615</v>
      </c>
      <c r="T8" s="5">
        <f t="shared" si="75"/>
        <v>5</v>
      </c>
      <c r="U8" s="5">
        <v>20</v>
      </c>
      <c r="V8" s="5">
        <f t="shared" si="76"/>
        <v>4</v>
      </c>
      <c r="W8" s="32">
        <v>4</v>
      </c>
      <c r="X8" s="35" t="str">
        <f t="shared" si="77"/>
        <v>ゲーム柄イヤホン</v>
      </c>
      <c r="Y8" s="36">
        <f t="shared" si="78"/>
        <v>748</v>
      </c>
      <c r="Z8" s="5">
        <f t="shared" si="79"/>
        <v>2992</v>
      </c>
      <c r="AA8" s="33">
        <f t="shared" si="80"/>
        <v>0.28495238095238096</v>
      </c>
      <c r="AB8" s="27"/>
      <c r="AD8" s="50"/>
      <c r="AE8" s="4">
        <v>77</v>
      </c>
      <c r="AF8" s="5">
        <f t="shared" si="81"/>
        <v>77</v>
      </c>
      <c r="AG8" s="5">
        <v>7</v>
      </c>
      <c r="AH8" s="5">
        <f t="shared" si="82"/>
        <v>7</v>
      </c>
      <c r="AI8" s="5">
        <v>8</v>
      </c>
      <c r="AJ8" s="5">
        <f t="shared" si="83"/>
        <v>8</v>
      </c>
      <c r="AK8" s="32">
        <v>7</v>
      </c>
      <c r="AL8" s="35" t="str">
        <f t="shared" si="84"/>
        <v>サンリオヘアバンド</v>
      </c>
      <c r="AM8" s="36">
        <f t="shared" si="85"/>
        <v>797</v>
      </c>
      <c r="AN8" s="5">
        <f t="shared" si="86"/>
        <v>6376</v>
      </c>
      <c r="AO8" s="33">
        <f t="shared" si="87"/>
        <v>0.82805194805194804</v>
      </c>
      <c r="AP8" s="27"/>
      <c r="AR8" s="50"/>
      <c r="AS8" s="4">
        <v>74</v>
      </c>
      <c r="AT8" s="5">
        <f t="shared" si="88"/>
        <v>74</v>
      </c>
      <c r="AU8" s="5">
        <v>0</v>
      </c>
      <c r="AV8" s="5">
        <f t="shared" si="89"/>
        <v>0</v>
      </c>
      <c r="AW8" s="5">
        <v>17</v>
      </c>
      <c r="AX8" s="5">
        <f t="shared" si="90"/>
        <v>0</v>
      </c>
      <c r="AY8" s="32">
        <v>0</v>
      </c>
      <c r="AZ8" s="35" t="str">
        <f t="shared" si="91"/>
        <v>ポケモンシリコンポーチ</v>
      </c>
      <c r="BA8" s="36">
        <f t="shared" si="92"/>
        <v>891</v>
      </c>
      <c r="BB8" s="5">
        <f t="shared" si="93"/>
        <v>0</v>
      </c>
      <c r="BC8" s="33">
        <f t="shared" si="94"/>
        <v>0</v>
      </c>
      <c r="BD8" s="27" t="s">
        <v>139</v>
      </c>
      <c r="BF8" s="50"/>
      <c r="BG8" s="4">
        <v>71</v>
      </c>
      <c r="BH8" s="5">
        <f t="shared" si="95"/>
        <v>71</v>
      </c>
      <c r="BI8" s="5">
        <v>2</v>
      </c>
      <c r="BJ8" s="5">
        <f t="shared" si="96"/>
        <v>2</v>
      </c>
      <c r="BK8" s="5">
        <v>10</v>
      </c>
      <c r="BL8" s="5">
        <f t="shared" si="97"/>
        <v>2</v>
      </c>
      <c r="BM8" s="32">
        <v>5</v>
      </c>
      <c r="BN8" s="35" t="str">
        <f t="shared" si="98"/>
        <v>モンチッチマスコット</v>
      </c>
      <c r="BO8" s="36">
        <f t="shared" si="99"/>
        <v>572</v>
      </c>
      <c r="BP8" s="5">
        <f t="shared" si="100"/>
        <v>1144</v>
      </c>
      <c r="BQ8" s="33">
        <f t="shared" si="101"/>
        <v>0.16112676056338029</v>
      </c>
      <c r="BR8" s="27"/>
      <c r="BT8" s="50"/>
      <c r="BU8" s="4">
        <v>17</v>
      </c>
      <c r="BV8" s="120">
        <f t="shared" si="102"/>
        <v>17</v>
      </c>
      <c r="BW8" s="5">
        <v>1</v>
      </c>
      <c r="BX8" s="5">
        <f t="shared" si="103"/>
        <v>1</v>
      </c>
      <c r="BY8" s="5">
        <v>16</v>
      </c>
      <c r="BZ8" s="5">
        <f t="shared" si="104"/>
        <v>1</v>
      </c>
      <c r="CA8" s="32">
        <v>2</v>
      </c>
      <c r="CB8" s="35" t="str">
        <f t="shared" si="105"/>
        <v>ジャグラーイヤホン</v>
      </c>
      <c r="CC8" s="36">
        <f t="shared" si="106"/>
        <v>748</v>
      </c>
      <c r="CD8" s="5">
        <f t="shared" si="107"/>
        <v>748</v>
      </c>
      <c r="CE8" s="33">
        <f t="shared" si="108"/>
        <v>0.44</v>
      </c>
      <c r="CF8" s="27" t="s">
        <v>145</v>
      </c>
      <c r="CH8" s="50"/>
      <c r="CI8" s="119">
        <v>20</v>
      </c>
      <c r="CJ8" s="5">
        <f t="shared" si="109"/>
        <v>20</v>
      </c>
      <c r="CK8" s="5">
        <v>1</v>
      </c>
      <c r="CL8" s="5">
        <f t="shared" si="110"/>
        <v>1</v>
      </c>
      <c r="CM8" s="5">
        <v>53</v>
      </c>
      <c r="CN8" s="5">
        <f t="shared" si="111"/>
        <v>1</v>
      </c>
      <c r="CO8" s="32">
        <v>-38</v>
      </c>
      <c r="CP8" s="35" t="str">
        <f t="shared" si="112"/>
        <v>押忍！番長サウンドボタン</v>
      </c>
      <c r="CQ8" s="36">
        <f t="shared" si="113"/>
        <v>358</v>
      </c>
      <c r="CR8" s="5">
        <f t="shared" si="114"/>
        <v>358</v>
      </c>
      <c r="CS8" s="33">
        <f t="shared" si="115"/>
        <v>0.17899999999999999</v>
      </c>
      <c r="CT8" s="27" t="s">
        <v>146</v>
      </c>
      <c r="CV8" s="50"/>
      <c r="CW8" s="4">
        <v>159</v>
      </c>
      <c r="CX8" s="5">
        <f t="shared" si="116"/>
        <v>159</v>
      </c>
      <c r="CY8" s="5">
        <v>9</v>
      </c>
      <c r="CZ8" s="5">
        <f t="shared" si="117"/>
        <v>9</v>
      </c>
      <c r="DA8" s="5">
        <v>10</v>
      </c>
      <c r="DB8" s="5">
        <f t="shared" si="118"/>
        <v>8</v>
      </c>
      <c r="DC8" s="32">
        <v>8</v>
      </c>
      <c r="DD8" s="35" t="str">
        <f t="shared" si="119"/>
        <v>LOTTEイヤホン</v>
      </c>
      <c r="DE8" s="36">
        <f t="shared" si="120"/>
        <v>1100</v>
      </c>
      <c r="DF8" s="5">
        <f t="shared" si="121"/>
        <v>8800</v>
      </c>
      <c r="DG8" s="33">
        <f t="shared" si="122"/>
        <v>0.55345911949685533</v>
      </c>
      <c r="DH8" s="27"/>
      <c r="DJ8" s="52"/>
      <c r="DK8" s="4">
        <v>333</v>
      </c>
      <c r="DL8" s="5">
        <f t="shared" si="123"/>
        <v>222</v>
      </c>
      <c r="DM8" s="5">
        <v>117</v>
      </c>
      <c r="DN8" s="5">
        <f t="shared" si="124"/>
        <v>6</v>
      </c>
      <c r="DO8" s="5">
        <v>0</v>
      </c>
      <c r="DP8" s="5">
        <f t="shared" si="125"/>
        <v>6</v>
      </c>
      <c r="DQ8" s="32">
        <v>6</v>
      </c>
      <c r="DR8" s="35" t="str">
        <f t="shared" si="126"/>
        <v>モンチッチフルーツLサイズぬいぐるみ</v>
      </c>
      <c r="DS8" s="36">
        <f t="shared" si="127"/>
        <v>1100</v>
      </c>
      <c r="DT8" s="5">
        <f t="shared" si="128"/>
        <v>6600</v>
      </c>
      <c r="DU8" s="33">
        <f t="shared" si="129"/>
        <v>0.29729729729729731</v>
      </c>
      <c r="DV8" s="27"/>
      <c r="DX8" s="52"/>
      <c r="DY8" s="4">
        <v>263</v>
      </c>
      <c r="DZ8" s="5">
        <f>IF(DY8="","",DY8-DY4)</f>
        <v>153</v>
      </c>
      <c r="EA8" s="5">
        <v>113</v>
      </c>
      <c r="EB8" s="5">
        <f t="shared" si="131"/>
        <v>3</v>
      </c>
      <c r="EC8" s="5">
        <v>24</v>
      </c>
      <c r="ED8" s="5">
        <f t="shared" si="132"/>
        <v>4</v>
      </c>
      <c r="EE8" s="32">
        <v>3</v>
      </c>
      <c r="EF8" s="35" t="str">
        <f t="shared" si="133"/>
        <v>ベイビースリー猫</v>
      </c>
      <c r="EG8" s="36">
        <f t="shared" si="134"/>
        <v>1100</v>
      </c>
      <c r="EH8" s="5">
        <f t="shared" si="135"/>
        <v>4400</v>
      </c>
      <c r="EI8" s="33">
        <f t="shared" si="136"/>
        <v>0.28758169934640521</v>
      </c>
      <c r="EJ8" s="27"/>
      <c r="EL8" s="37" t="str">
        <f>IF($A23="","",$A23)</f>
        <v/>
      </c>
      <c r="EM8" s="32"/>
      <c r="EN8" s="5" t="str">
        <f t="shared" si="0"/>
        <v/>
      </c>
      <c r="EO8" s="5"/>
      <c r="EP8" s="5" t="str">
        <f t="shared" si="1"/>
        <v/>
      </c>
      <c r="EQ8" s="4"/>
      <c r="ER8" s="5" t="str">
        <f t="shared" si="2"/>
        <v/>
      </c>
      <c r="ES8" s="4"/>
      <c r="ET8" s="2" t="str">
        <f t="shared" si="3"/>
        <v/>
      </c>
      <c r="EU8" s="4" t="str">
        <f t="shared" si="4"/>
        <v/>
      </c>
      <c r="EV8" s="5" t="str">
        <f t="shared" si="5"/>
        <v/>
      </c>
      <c r="EW8" s="33" t="str">
        <f t="shared" si="6"/>
        <v/>
      </c>
      <c r="EX8" s="27"/>
      <c r="EZ8" s="37" t="str">
        <f>IF($A23="","",$A23)</f>
        <v/>
      </c>
      <c r="FA8" s="32"/>
      <c r="FB8" s="5" t="str">
        <f t="shared" si="7"/>
        <v/>
      </c>
      <c r="FC8" s="5"/>
      <c r="FD8" s="5" t="str">
        <f t="shared" si="8"/>
        <v/>
      </c>
      <c r="FE8" s="4"/>
      <c r="FF8" s="5" t="str">
        <f t="shared" si="9"/>
        <v/>
      </c>
      <c r="FG8" s="4"/>
      <c r="FH8" s="2" t="str">
        <f t="shared" si="10"/>
        <v/>
      </c>
      <c r="FI8" s="4" t="str">
        <f t="shared" si="11"/>
        <v/>
      </c>
      <c r="FJ8" s="5" t="str">
        <f t="shared" si="12"/>
        <v/>
      </c>
      <c r="FK8" s="33" t="str">
        <f t="shared" si="13"/>
        <v/>
      </c>
      <c r="FL8" s="27"/>
      <c r="FN8" s="37" t="str">
        <f>IF($A23="","",$A23)</f>
        <v/>
      </c>
      <c r="FO8" s="32"/>
      <c r="FP8" s="5" t="str">
        <f t="shared" si="14"/>
        <v/>
      </c>
      <c r="FQ8" s="5"/>
      <c r="FR8" s="5" t="str">
        <f t="shared" si="15"/>
        <v/>
      </c>
      <c r="FS8" s="4"/>
      <c r="FT8" s="5" t="str">
        <f t="shared" si="16"/>
        <v/>
      </c>
      <c r="FU8" s="4"/>
      <c r="FV8" s="2" t="str">
        <f t="shared" si="17"/>
        <v/>
      </c>
      <c r="FW8" s="4" t="str">
        <f t="shared" si="18"/>
        <v/>
      </c>
      <c r="FX8" s="5" t="str">
        <f t="shared" si="19"/>
        <v/>
      </c>
      <c r="FY8" s="33" t="str">
        <f t="shared" si="20"/>
        <v/>
      </c>
      <c r="FZ8" s="27"/>
      <c r="GB8" s="37" t="str">
        <f>IF($A23="","",$A23)</f>
        <v/>
      </c>
      <c r="GC8" s="32"/>
      <c r="GD8" s="5" t="str">
        <f t="shared" si="21"/>
        <v/>
      </c>
      <c r="GE8" s="5"/>
      <c r="GF8" s="5" t="str">
        <f t="shared" si="22"/>
        <v/>
      </c>
      <c r="GG8" s="4"/>
      <c r="GH8" s="5" t="str">
        <f t="shared" si="23"/>
        <v/>
      </c>
      <c r="GI8" s="4"/>
      <c r="GJ8" s="2" t="str">
        <f t="shared" si="24"/>
        <v/>
      </c>
      <c r="GK8" s="4" t="str">
        <f t="shared" si="25"/>
        <v/>
      </c>
      <c r="GL8" s="5" t="str">
        <f t="shared" si="26"/>
        <v/>
      </c>
      <c r="GM8" s="33" t="str">
        <f t="shared" si="27"/>
        <v/>
      </c>
      <c r="GN8" s="27"/>
      <c r="GP8" s="37" t="str">
        <f>IF($A23="","",$A23)</f>
        <v/>
      </c>
      <c r="GQ8" s="32"/>
      <c r="GR8" s="5" t="str">
        <f t="shared" si="28"/>
        <v/>
      </c>
      <c r="GS8" s="5"/>
      <c r="GT8" s="5" t="str">
        <f t="shared" si="29"/>
        <v/>
      </c>
      <c r="GU8" s="4"/>
      <c r="GV8" s="5" t="str">
        <f t="shared" si="30"/>
        <v/>
      </c>
      <c r="GW8" s="4"/>
      <c r="GX8" s="2" t="str">
        <f t="shared" si="31"/>
        <v/>
      </c>
      <c r="GY8" s="4" t="str">
        <f t="shared" si="32"/>
        <v/>
      </c>
      <c r="GZ8" s="5" t="str">
        <f t="shared" si="33"/>
        <v/>
      </c>
      <c r="HA8" s="33" t="str">
        <f t="shared" si="34"/>
        <v/>
      </c>
      <c r="HB8" s="27"/>
      <c r="HD8" s="37" t="str">
        <f>IF($A23="","",$A23)</f>
        <v/>
      </c>
      <c r="HE8" s="32"/>
      <c r="HF8" s="5" t="str">
        <f t="shared" si="35"/>
        <v/>
      </c>
      <c r="HG8" s="5"/>
      <c r="HH8" s="27"/>
      <c r="HJ8" s="37" t="str">
        <f>IF($A23="","",$A23)</f>
        <v/>
      </c>
      <c r="HK8" s="32"/>
      <c r="HL8" s="5" t="str">
        <f t="shared" si="36"/>
        <v/>
      </c>
      <c r="HM8" s="5"/>
      <c r="HN8" s="27"/>
      <c r="HP8" s="37" t="str">
        <f>IF($A23="","",$A23)</f>
        <v/>
      </c>
      <c r="HQ8" s="32"/>
      <c r="HR8" s="5" t="str">
        <f t="shared" si="37"/>
        <v/>
      </c>
      <c r="HS8" s="5"/>
      <c r="HT8" s="27"/>
      <c r="HV8" s="37" t="str">
        <f>IF($A23="","",$A23)</f>
        <v/>
      </c>
      <c r="HW8" s="32"/>
      <c r="HX8" s="5" t="str">
        <f t="shared" si="38"/>
        <v/>
      </c>
      <c r="HY8" s="5"/>
      <c r="HZ8" s="5" t="str">
        <f t="shared" si="39"/>
        <v/>
      </c>
      <c r="IA8" s="4"/>
      <c r="IB8" s="5" t="str">
        <f t="shared" si="40"/>
        <v/>
      </c>
      <c r="IC8" s="4"/>
      <c r="ID8" s="2" t="str">
        <f t="shared" si="41"/>
        <v/>
      </c>
      <c r="IE8" s="4" t="str">
        <f t="shared" si="42"/>
        <v/>
      </c>
      <c r="IF8" s="5" t="str">
        <f t="shared" si="43"/>
        <v/>
      </c>
      <c r="IG8" s="33" t="str">
        <f t="shared" si="44"/>
        <v/>
      </c>
      <c r="IH8" s="27"/>
      <c r="IJ8" s="37" t="str">
        <f>IF($A23="","",$A23)</f>
        <v/>
      </c>
      <c r="IK8" s="32"/>
      <c r="IL8" s="5" t="str">
        <f t="shared" si="45"/>
        <v/>
      </c>
      <c r="IM8" s="5"/>
      <c r="IN8" s="5" t="str">
        <f t="shared" si="46"/>
        <v/>
      </c>
      <c r="IO8" s="4"/>
      <c r="IP8" s="5" t="str">
        <f t="shared" si="47"/>
        <v/>
      </c>
      <c r="IQ8" s="4"/>
      <c r="IR8" s="2" t="str">
        <f t="shared" si="48"/>
        <v/>
      </c>
      <c r="IS8" s="4" t="str">
        <f t="shared" si="49"/>
        <v/>
      </c>
      <c r="IT8" s="5" t="str">
        <f t="shared" si="50"/>
        <v/>
      </c>
      <c r="IU8" s="33" t="str">
        <f t="shared" si="51"/>
        <v/>
      </c>
      <c r="IV8" s="27"/>
      <c r="IX8" s="37" t="str">
        <f>IF($A23="","",$A23)</f>
        <v/>
      </c>
      <c r="IY8" s="32"/>
      <c r="IZ8" s="5" t="str">
        <f t="shared" si="52"/>
        <v/>
      </c>
      <c r="JA8" s="5"/>
      <c r="JB8" s="5" t="str">
        <f t="shared" si="53"/>
        <v/>
      </c>
      <c r="JC8" s="4"/>
      <c r="JD8" s="5" t="str">
        <f t="shared" si="54"/>
        <v/>
      </c>
      <c r="JE8" s="4"/>
      <c r="JF8" s="2" t="str">
        <f t="shared" si="55"/>
        <v/>
      </c>
      <c r="JG8" s="4" t="str">
        <f t="shared" si="56"/>
        <v/>
      </c>
      <c r="JH8" s="5" t="str">
        <f t="shared" si="57"/>
        <v/>
      </c>
      <c r="JI8" s="33" t="str">
        <f t="shared" si="58"/>
        <v/>
      </c>
      <c r="JJ8" s="27"/>
      <c r="JL8" s="37" t="str">
        <f>IF($A23="","",$A23)</f>
        <v/>
      </c>
      <c r="JM8" s="32"/>
      <c r="JN8" s="5" t="str">
        <f t="shared" si="59"/>
        <v/>
      </c>
      <c r="JO8" s="5"/>
      <c r="JP8" s="5" t="str">
        <f t="shared" si="60"/>
        <v/>
      </c>
      <c r="JQ8" s="4"/>
      <c r="JR8" s="5" t="str">
        <f t="shared" si="61"/>
        <v/>
      </c>
      <c r="JS8" s="4"/>
      <c r="JT8" s="2" t="str">
        <f t="shared" si="62"/>
        <v/>
      </c>
      <c r="JU8" s="4" t="str">
        <f t="shared" si="63"/>
        <v/>
      </c>
      <c r="JV8" s="5" t="str">
        <f t="shared" si="64"/>
        <v/>
      </c>
      <c r="JW8" s="33" t="str">
        <f t="shared" si="65"/>
        <v/>
      </c>
      <c r="JX8" s="27"/>
      <c r="JY8" s="33" t="str">
        <f t="shared" si="66"/>
        <v/>
      </c>
      <c r="JZ8" s="27"/>
    </row>
    <row r="9" spans="1:286" x14ac:dyDescent="0.2">
      <c r="A9" s="50"/>
      <c r="B9" s="51"/>
      <c r="C9" s="53">
        <v>100</v>
      </c>
      <c r="D9" s="5">
        <f t="shared" si="67"/>
        <v>100</v>
      </c>
      <c r="E9" s="5">
        <v>5</v>
      </c>
      <c r="F9" s="5">
        <f t="shared" si="68"/>
        <v>5</v>
      </c>
      <c r="G9" s="54">
        <v>11</v>
      </c>
      <c r="H9" s="5">
        <f t="shared" si="69"/>
        <v>9</v>
      </c>
      <c r="I9" s="55">
        <v>0</v>
      </c>
      <c r="J9" s="35" t="str">
        <f t="shared" si="70"/>
        <v>たまごっちブロックシール</v>
      </c>
      <c r="K9" s="5">
        <f t="shared" si="71"/>
        <v>500</v>
      </c>
      <c r="L9" s="5">
        <f t="shared" si="72"/>
        <v>4500</v>
      </c>
      <c r="M9" s="33">
        <f t="shared" si="73"/>
        <v>0.45</v>
      </c>
      <c r="N9" s="27"/>
      <c r="O9" s="28"/>
      <c r="P9" s="50"/>
      <c r="Q9" s="53">
        <v>47</v>
      </c>
      <c r="R9" s="120">
        <f t="shared" si="74"/>
        <v>47</v>
      </c>
      <c r="S9" s="5">
        <v>4</v>
      </c>
      <c r="T9" s="5">
        <f t="shared" si="75"/>
        <v>4</v>
      </c>
      <c r="U9" s="54">
        <v>6</v>
      </c>
      <c r="V9" s="5">
        <f t="shared" si="76"/>
        <v>6</v>
      </c>
      <c r="W9" s="55">
        <v>10</v>
      </c>
      <c r="X9" s="35" t="str">
        <f t="shared" si="77"/>
        <v>半熟たまごスクイーズ</v>
      </c>
      <c r="Y9" s="5">
        <f t="shared" si="78"/>
        <v>171</v>
      </c>
      <c r="Z9" s="5">
        <f t="shared" si="79"/>
        <v>1026</v>
      </c>
      <c r="AA9" s="33">
        <f t="shared" si="80"/>
        <v>0.21829787234042553</v>
      </c>
      <c r="AB9" s="27"/>
      <c r="AD9" s="50"/>
      <c r="AE9" s="53">
        <v>116</v>
      </c>
      <c r="AF9" s="5">
        <f t="shared" si="81"/>
        <v>116</v>
      </c>
      <c r="AG9" s="5">
        <v>2</v>
      </c>
      <c r="AH9" s="5">
        <f t="shared" si="82"/>
        <v>2</v>
      </c>
      <c r="AI9" s="54">
        <v>14</v>
      </c>
      <c r="AJ9" s="5">
        <f t="shared" si="83"/>
        <v>2</v>
      </c>
      <c r="AK9" s="55">
        <v>2</v>
      </c>
      <c r="AL9" s="35" t="str">
        <f t="shared" si="84"/>
        <v>バタースクイーズ</v>
      </c>
      <c r="AM9" s="5">
        <f t="shared" si="85"/>
        <v>200</v>
      </c>
      <c r="AN9" s="5">
        <f t="shared" si="86"/>
        <v>400</v>
      </c>
      <c r="AO9" s="33">
        <f t="shared" si="87"/>
        <v>3.4482758620689655E-2</v>
      </c>
      <c r="AP9" s="27"/>
      <c r="AR9" s="50"/>
      <c r="AS9" s="53">
        <v>115</v>
      </c>
      <c r="AT9" s="5">
        <f t="shared" si="88"/>
        <v>115</v>
      </c>
      <c r="AU9" s="5">
        <v>3</v>
      </c>
      <c r="AV9" s="5">
        <f t="shared" si="89"/>
        <v>3</v>
      </c>
      <c r="AW9" s="54">
        <v>5</v>
      </c>
      <c r="AX9" s="5">
        <f t="shared" si="90"/>
        <v>3</v>
      </c>
      <c r="AY9" s="55">
        <v>7</v>
      </c>
      <c r="AZ9" s="35" t="str">
        <f t="shared" si="91"/>
        <v>たまごっちカスタムキーリング</v>
      </c>
      <c r="BA9" s="5">
        <f t="shared" si="92"/>
        <v>750</v>
      </c>
      <c r="BB9" s="5">
        <f t="shared" si="93"/>
        <v>2250</v>
      </c>
      <c r="BC9" s="33">
        <f t="shared" si="94"/>
        <v>0.19565217391304349</v>
      </c>
      <c r="BD9" s="27"/>
      <c r="BF9" s="50"/>
      <c r="BG9" s="53">
        <v>173</v>
      </c>
      <c r="BH9" s="5">
        <f t="shared" si="95"/>
        <v>173</v>
      </c>
      <c r="BI9" s="5">
        <v>8</v>
      </c>
      <c r="BJ9" s="5">
        <f t="shared" si="96"/>
        <v>8</v>
      </c>
      <c r="BK9" s="54">
        <v>68</v>
      </c>
      <c r="BL9" s="5">
        <f t="shared" si="97"/>
        <v>8</v>
      </c>
      <c r="BM9" s="55">
        <v>16</v>
      </c>
      <c r="BN9" s="35" t="str">
        <f t="shared" si="98"/>
        <v>ミニトロスクイーズ</v>
      </c>
      <c r="BO9" s="5">
        <f t="shared" si="99"/>
        <v>282</v>
      </c>
      <c r="BP9" s="5">
        <f t="shared" si="100"/>
        <v>2256</v>
      </c>
      <c r="BQ9" s="33">
        <f t="shared" si="101"/>
        <v>0.13040462427745664</v>
      </c>
      <c r="BR9" s="27"/>
      <c r="BT9" s="50"/>
      <c r="BU9" s="53">
        <v>51</v>
      </c>
      <c r="BV9" s="120">
        <f t="shared" si="102"/>
        <v>51</v>
      </c>
      <c r="BW9" s="5">
        <v>6</v>
      </c>
      <c r="BX9" s="5">
        <f t="shared" si="103"/>
        <v>6</v>
      </c>
      <c r="BY9" s="54">
        <v>18</v>
      </c>
      <c r="BZ9" s="5">
        <f t="shared" si="104"/>
        <v>7</v>
      </c>
      <c r="CA9" s="55">
        <v>4</v>
      </c>
      <c r="CB9" s="35" t="str">
        <f t="shared" si="105"/>
        <v>カエルがま口</v>
      </c>
      <c r="CC9" s="5">
        <f t="shared" si="106"/>
        <v>308</v>
      </c>
      <c r="CD9" s="5">
        <f t="shared" si="107"/>
        <v>2156</v>
      </c>
      <c r="CE9" s="33">
        <f t="shared" si="108"/>
        <v>0.42274509803921567</v>
      </c>
      <c r="CF9" s="27"/>
      <c r="CH9" s="50"/>
      <c r="CI9" s="53">
        <v>260</v>
      </c>
      <c r="CJ9" s="5">
        <f t="shared" si="109"/>
        <v>260</v>
      </c>
      <c r="CK9" s="5">
        <v>3</v>
      </c>
      <c r="CL9" s="5">
        <f t="shared" si="110"/>
        <v>3</v>
      </c>
      <c r="CM9" s="54">
        <v>77</v>
      </c>
      <c r="CN9" s="5">
        <f t="shared" si="111"/>
        <v>3</v>
      </c>
      <c r="CO9" s="55">
        <v>6</v>
      </c>
      <c r="CP9" s="35" t="str">
        <f t="shared" si="112"/>
        <v>ポチポチキーボードブロック</v>
      </c>
      <c r="CQ9" s="5">
        <f t="shared" si="113"/>
        <v>183</v>
      </c>
      <c r="CR9" s="5">
        <f t="shared" si="114"/>
        <v>549</v>
      </c>
      <c r="CS9" s="33">
        <f t="shared" si="115"/>
        <v>2.1115384615384616E-2</v>
      </c>
      <c r="CT9" s="27"/>
      <c r="CV9" s="50"/>
      <c r="CW9" s="53">
        <v>104</v>
      </c>
      <c r="CX9" s="5">
        <f t="shared" si="116"/>
        <v>104</v>
      </c>
      <c r="CY9" s="5">
        <v>3</v>
      </c>
      <c r="CZ9" s="5">
        <f t="shared" si="117"/>
        <v>3</v>
      </c>
      <c r="DA9" s="54">
        <v>13</v>
      </c>
      <c r="DB9" s="5">
        <f t="shared" si="118"/>
        <v>4</v>
      </c>
      <c r="DC9" s="55">
        <v>7</v>
      </c>
      <c r="DD9" s="35" t="str">
        <f t="shared" si="119"/>
        <v>おなかぷにぷに</v>
      </c>
      <c r="DE9" s="5">
        <f t="shared" si="120"/>
        <v>154</v>
      </c>
      <c r="DF9" s="5">
        <f t="shared" si="121"/>
        <v>616</v>
      </c>
      <c r="DG9" s="33">
        <f t="shared" si="122"/>
        <v>5.9230769230769233E-2</v>
      </c>
      <c r="DH9" s="27"/>
      <c r="DJ9" s="23"/>
      <c r="DK9" s="53"/>
      <c r="DL9" s="5" t="str">
        <f t="shared" si="123"/>
        <v/>
      </c>
      <c r="DM9" s="5"/>
      <c r="DN9" s="5" t="str">
        <f t="shared" si="124"/>
        <v/>
      </c>
      <c r="DO9" s="54"/>
      <c r="DP9" s="5" t="str">
        <f t="shared" si="125"/>
        <v/>
      </c>
      <c r="DQ9" s="55"/>
      <c r="DR9" s="35" t="str">
        <f t="shared" si="126"/>
        <v/>
      </c>
      <c r="DS9" s="5" t="str">
        <f t="shared" si="127"/>
        <v/>
      </c>
      <c r="DT9" s="5" t="str">
        <f t="shared" si="128"/>
        <v/>
      </c>
      <c r="DU9" s="33" t="str">
        <f t="shared" si="129"/>
        <v/>
      </c>
      <c r="DV9" s="27"/>
      <c r="DX9" s="23"/>
      <c r="DY9" s="53"/>
      <c r="DZ9" s="5" t="str">
        <f t="shared" si="130"/>
        <v/>
      </c>
      <c r="EA9" s="5"/>
      <c r="EB9" s="5" t="str">
        <f t="shared" si="131"/>
        <v/>
      </c>
      <c r="EC9" s="54"/>
      <c r="ED9" s="5" t="str">
        <f t="shared" si="132"/>
        <v/>
      </c>
      <c r="EE9" s="55"/>
      <c r="EF9" s="35" t="str">
        <f t="shared" si="133"/>
        <v/>
      </c>
      <c r="EG9" s="5" t="str">
        <f t="shared" si="134"/>
        <v/>
      </c>
      <c r="EH9" s="5" t="str">
        <f t="shared" si="135"/>
        <v/>
      </c>
      <c r="EI9" s="33" t="str">
        <f t="shared" si="136"/>
        <v/>
      </c>
      <c r="EJ9" s="27"/>
      <c r="EL9" s="37" t="str">
        <f>IF($A27="","",$A27)</f>
        <v/>
      </c>
      <c r="EM9" s="32"/>
      <c r="EN9" s="5" t="str">
        <f t="shared" si="0"/>
        <v/>
      </c>
      <c r="EO9" s="5"/>
      <c r="EP9" s="5" t="str">
        <f t="shared" si="1"/>
        <v/>
      </c>
      <c r="EQ9" s="4"/>
      <c r="ER9" s="5" t="str">
        <f t="shared" si="2"/>
        <v/>
      </c>
      <c r="ES9" s="4"/>
      <c r="ET9" s="2" t="str">
        <f t="shared" si="3"/>
        <v/>
      </c>
      <c r="EU9" s="4" t="str">
        <f t="shared" si="4"/>
        <v/>
      </c>
      <c r="EV9" s="5" t="str">
        <f t="shared" si="5"/>
        <v/>
      </c>
      <c r="EW9" s="33" t="str">
        <f t="shared" si="6"/>
        <v/>
      </c>
      <c r="EX9" s="27"/>
      <c r="EZ9" s="37" t="str">
        <f>IF($A27="","",$A27)</f>
        <v/>
      </c>
      <c r="FA9" s="32"/>
      <c r="FB9" s="5" t="str">
        <f t="shared" si="7"/>
        <v/>
      </c>
      <c r="FC9" s="5"/>
      <c r="FD9" s="5" t="str">
        <f t="shared" si="8"/>
        <v/>
      </c>
      <c r="FE9" s="4"/>
      <c r="FF9" s="5" t="str">
        <f t="shared" si="9"/>
        <v/>
      </c>
      <c r="FG9" s="4"/>
      <c r="FH9" s="2" t="str">
        <f t="shared" si="10"/>
        <v/>
      </c>
      <c r="FI9" s="4" t="str">
        <f t="shared" si="11"/>
        <v/>
      </c>
      <c r="FJ9" s="5" t="str">
        <f t="shared" si="12"/>
        <v/>
      </c>
      <c r="FK9" s="33" t="str">
        <f t="shared" si="13"/>
        <v/>
      </c>
      <c r="FL9" s="27"/>
      <c r="FN9" s="37" t="str">
        <f>IF($A27="","",$A27)</f>
        <v/>
      </c>
      <c r="FO9" s="32"/>
      <c r="FP9" s="5" t="str">
        <f t="shared" si="14"/>
        <v/>
      </c>
      <c r="FQ9" s="5"/>
      <c r="FR9" s="5" t="str">
        <f t="shared" si="15"/>
        <v/>
      </c>
      <c r="FS9" s="4"/>
      <c r="FT9" s="5" t="str">
        <f t="shared" si="16"/>
        <v/>
      </c>
      <c r="FU9" s="4"/>
      <c r="FV9" s="2" t="str">
        <f t="shared" si="17"/>
        <v/>
      </c>
      <c r="FW9" s="4" t="str">
        <f t="shared" si="18"/>
        <v/>
      </c>
      <c r="FX9" s="5" t="str">
        <f t="shared" si="19"/>
        <v/>
      </c>
      <c r="FY9" s="33" t="str">
        <f t="shared" si="20"/>
        <v/>
      </c>
      <c r="FZ9" s="27"/>
      <c r="GB9" s="37" t="str">
        <f>IF($A27="","",$A27)</f>
        <v/>
      </c>
      <c r="GC9" s="32"/>
      <c r="GD9" s="5" t="str">
        <f t="shared" si="21"/>
        <v/>
      </c>
      <c r="GE9" s="5"/>
      <c r="GF9" s="5" t="str">
        <f t="shared" si="22"/>
        <v/>
      </c>
      <c r="GG9" s="4"/>
      <c r="GH9" s="5" t="str">
        <f t="shared" si="23"/>
        <v/>
      </c>
      <c r="GI9" s="4"/>
      <c r="GJ9" s="2" t="str">
        <f t="shared" si="24"/>
        <v/>
      </c>
      <c r="GK9" s="4" t="str">
        <f t="shared" si="25"/>
        <v/>
      </c>
      <c r="GL9" s="5" t="str">
        <f t="shared" si="26"/>
        <v/>
      </c>
      <c r="GM9" s="33" t="str">
        <f t="shared" si="27"/>
        <v/>
      </c>
      <c r="GN9" s="27"/>
      <c r="GP9" s="37" t="str">
        <f>IF($A27="","",$A27)</f>
        <v/>
      </c>
      <c r="GQ9" s="32"/>
      <c r="GR9" s="5" t="str">
        <f t="shared" si="28"/>
        <v/>
      </c>
      <c r="GS9" s="5"/>
      <c r="GT9" s="5" t="str">
        <f t="shared" si="29"/>
        <v/>
      </c>
      <c r="GU9" s="4"/>
      <c r="GV9" s="5" t="str">
        <f t="shared" si="30"/>
        <v/>
      </c>
      <c r="GW9" s="4"/>
      <c r="GX9" s="2" t="str">
        <f t="shared" si="31"/>
        <v/>
      </c>
      <c r="GY9" s="4" t="str">
        <f t="shared" si="32"/>
        <v/>
      </c>
      <c r="GZ9" s="5" t="str">
        <f t="shared" si="33"/>
        <v/>
      </c>
      <c r="HA9" s="33" t="str">
        <f t="shared" si="34"/>
        <v/>
      </c>
      <c r="HB9" s="27"/>
      <c r="HD9" s="37" t="str">
        <f>IF($A27="","",$A27)</f>
        <v/>
      </c>
      <c r="HE9" s="32"/>
      <c r="HF9" s="5" t="str">
        <f t="shared" si="35"/>
        <v/>
      </c>
      <c r="HG9" s="5"/>
      <c r="HH9" s="27"/>
      <c r="HJ9" s="37" t="str">
        <f>IF($A27="","",$A27)</f>
        <v/>
      </c>
      <c r="HK9" s="32"/>
      <c r="HL9" s="5" t="str">
        <f t="shared" si="36"/>
        <v/>
      </c>
      <c r="HM9" s="5"/>
      <c r="HN9" s="27"/>
      <c r="HP9" s="37" t="str">
        <f>IF($A27="","",$A27)</f>
        <v/>
      </c>
      <c r="HQ9" s="32"/>
      <c r="HR9" s="5" t="str">
        <f t="shared" si="37"/>
        <v/>
      </c>
      <c r="HS9" s="5"/>
      <c r="HT9" s="27"/>
      <c r="HV9" s="37" t="str">
        <f>IF($A27="","",$A27)</f>
        <v/>
      </c>
      <c r="HW9" s="32"/>
      <c r="HX9" s="5" t="str">
        <f t="shared" si="38"/>
        <v/>
      </c>
      <c r="HY9" s="5"/>
      <c r="HZ9" s="5" t="str">
        <f t="shared" si="39"/>
        <v/>
      </c>
      <c r="IA9" s="4"/>
      <c r="IB9" s="5" t="str">
        <f t="shared" si="40"/>
        <v/>
      </c>
      <c r="IC9" s="4"/>
      <c r="ID9" s="2" t="str">
        <f t="shared" si="41"/>
        <v/>
      </c>
      <c r="IE9" s="4" t="str">
        <f t="shared" si="42"/>
        <v/>
      </c>
      <c r="IF9" s="5" t="str">
        <f t="shared" si="43"/>
        <v/>
      </c>
      <c r="IG9" s="33" t="str">
        <f t="shared" si="44"/>
        <v/>
      </c>
      <c r="IH9" s="27"/>
      <c r="IJ9" s="37" t="str">
        <f>IF($A27="","",$A27)</f>
        <v/>
      </c>
      <c r="IK9" s="32"/>
      <c r="IL9" s="5" t="str">
        <f t="shared" si="45"/>
        <v/>
      </c>
      <c r="IM9" s="5"/>
      <c r="IN9" s="5" t="str">
        <f t="shared" si="46"/>
        <v/>
      </c>
      <c r="IO9" s="4"/>
      <c r="IP9" s="5" t="str">
        <f t="shared" si="47"/>
        <v/>
      </c>
      <c r="IQ9" s="4"/>
      <c r="IR9" s="2" t="str">
        <f t="shared" si="48"/>
        <v/>
      </c>
      <c r="IS9" s="4" t="str">
        <f t="shared" si="49"/>
        <v/>
      </c>
      <c r="IT9" s="5" t="str">
        <f t="shared" si="50"/>
        <v/>
      </c>
      <c r="IU9" s="33" t="str">
        <f t="shared" si="51"/>
        <v/>
      </c>
      <c r="IV9" s="27"/>
      <c r="IX9" s="37" t="str">
        <f>IF($A27="","",$A27)</f>
        <v/>
      </c>
      <c r="IY9" s="32"/>
      <c r="IZ9" s="5" t="str">
        <f t="shared" si="52"/>
        <v/>
      </c>
      <c r="JA9" s="5"/>
      <c r="JB9" s="5" t="str">
        <f t="shared" si="53"/>
        <v/>
      </c>
      <c r="JC9" s="4"/>
      <c r="JD9" s="5" t="str">
        <f t="shared" si="54"/>
        <v/>
      </c>
      <c r="JE9" s="4"/>
      <c r="JF9" s="2" t="str">
        <f t="shared" si="55"/>
        <v/>
      </c>
      <c r="JG9" s="4" t="str">
        <f t="shared" si="56"/>
        <v/>
      </c>
      <c r="JH9" s="5" t="str">
        <f t="shared" si="57"/>
        <v/>
      </c>
      <c r="JI9" s="33" t="str">
        <f t="shared" si="58"/>
        <v/>
      </c>
      <c r="JJ9" s="27"/>
      <c r="JL9" s="37" t="str">
        <f>IF($A27="","",$A27)</f>
        <v/>
      </c>
      <c r="JM9" s="32"/>
      <c r="JN9" s="5" t="str">
        <f t="shared" si="59"/>
        <v/>
      </c>
      <c r="JO9" s="5"/>
      <c r="JP9" s="5" t="str">
        <f t="shared" si="60"/>
        <v/>
      </c>
      <c r="JQ9" s="4"/>
      <c r="JR9" s="5" t="str">
        <f t="shared" si="61"/>
        <v/>
      </c>
      <c r="JS9" s="4"/>
      <c r="JT9" s="2" t="str">
        <f t="shared" si="62"/>
        <v/>
      </c>
      <c r="JU9" s="4" t="str">
        <f t="shared" si="63"/>
        <v/>
      </c>
      <c r="JV9" s="5" t="str">
        <f t="shared" si="64"/>
        <v/>
      </c>
      <c r="JW9" s="33" t="str">
        <f t="shared" si="65"/>
        <v/>
      </c>
      <c r="JX9" s="27"/>
      <c r="JY9" s="33" t="str">
        <f t="shared" si="66"/>
        <v/>
      </c>
      <c r="JZ9" s="27"/>
    </row>
    <row r="10" spans="1:286" ht="15.75" thickBot="1" x14ac:dyDescent="0.25">
      <c r="A10" s="56"/>
      <c r="B10" s="39"/>
      <c r="C10" s="40">
        <v>111</v>
      </c>
      <c r="D10" s="57">
        <f t="shared" si="67"/>
        <v>111</v>
      </c>
      <c r="E10" s="41">
        <v>15</v>
      </c>
      <c r="F10" s="41">
        <f t="shared" si="68"/>
        <v>15</v>
      </c>
      <c r="G10" s="41">
        <v>0</v>
      </c>
      <c r="H10" s="41">
        <f t="shared" si="69"/>
        <v>16</v>
      </c>
      <c r="I10" s="58">
        <v>12</v>
      </c>
      <c r="J10" s="44" t="str">
        <f t="shared" si="70"/>
        <v>タルトスクイーズ</v>
      </c>
      <c r="K10" s="57">
        <f t="shared" si="71"/>
        <v>737</v>
      </c>
      <c r="L10" s="41">
        <f t="shared" si="72"/>
        <v>11792</v>
      </c>
      <c r="M10" s="43">
        <f t="shared" si="73"/>
        <v>1.0623423423423424</v>
      </c>
      <c r="N10" s="27" t="s">
        <v>138</v>
      </c>
      <c r="O10" s="28"/>
      <c r="P10" s="56"/>
      <c r="Q10" s="40">
        <v>100</v>
      </c>
      <c r="R10" s="57">
        <f t="shared" si="74"/>
        <v>100</v>
      </c>
      <c r="S10" s="41">
        <v>4</v>
      </c>
      <c r="T10" s="41">
        <f t="shared" si="75"/>
        <v>4</v>
      </c>
      <c r="U10" s="41">
        <v>17</v>
      </c>
      <c r="V10" s="41">
        <f t="shared" si="76"/>
        <v>4</v>
      </c>
      <c r="W10" s="58">
        <v>4</v>
      </c>
      <c r="X10" s="44" t="str">
        <f t="shared" si="77"/>
        <v>ヤヤマスコット</v>
      </c>
      <c r="Y10" s="57">
        <f t="shared" si="78"/>
        <v>800</v>
      </c>
      <c r="Z10" s="41">
        <f t="shared" si="79"/>
        <v>3200</v>
      </c>
      <c r="AA10" s="43">
        <f t="shared" si="80"/>
        <v>0.32</v>
      </c>
      <c r="AB10" s="27"/>
      <c r="AD10" s="56"/>
      <c r="AE10" s="40">
        <v>180</v>
      </c>
      <c r="AF10" s="57">
        <f t="shared" si="81"/>
        <v>180</v>
      </c>
      <c r="AG10" s="41">
        <v>11</v>
      </c>
      <c r="AH10" s="41">
        <f t="shared" si="82"/>
        <v>11</v>
      </c>
      <c r="AI10" s="41">
        <v>79</v>
      </c>
      <c r="AJ10" s="41">
        <f t="shared" si="83"/>
        <v>11</v>
      </c>
      <c r="AK10" s="58">
        <v>10</v>
      </c>
      <c r="AL10" s="44" t="str">
        <f t="shared" si="84"/>
        <v>キティボールペン</v>
      </c>
      <c r="AM10" s="57">
        <f t="shared" si="85"/>
        <v>283</v>
      </c>
      <c r="AN10" s="41">
        <f t="shared" si="86"/>
        <v>3113</v>
      </c>
      <c r="AO10" s="43">
        <f t="shared" si="87"/>
        <v>0.17294444444444446</v>
      </c>
      <c r="AP10" s="27"/>
      <c r="AR10" s="56"/>
      <c r="AS10" s="40">
        <v>140</v>
      </c>
      <c r="AT10" s="57">
        <f t="shared" si="88"/>
        <v>140</v>
      </c>
      <c r="AU10" s="41">
        <v>18</v>
      </c>
      <c r="AV10" s="41">
        <f t="shared" si="89"/>
        <v>18</v>
      </c>
      <c r="AW10" s="41">
        <v>182</v>
      </c>
      <c r="AX10" s="41">
        <f t="shared" si="90"/>
        <v>18</v>
      </c>
      <c r="AY10" s="58">
        <v>0</v>
      </c>
      <c r="AZ10" s="44" t="str">
        <f t="shared" si="91"/>
        <v>ブレスレッド</v>
      </c>
      <c r="BA10" s="57">
        <f t="shared" si="92"/>
        <v>70</v>
      </c>
      <c r="BB10" s="41">
        <f t="shared" si="93"/>
        <v>1260</v>
      </c>
      <c r="BC10" s="43">
        <f t="shared" si="94"/>
        <v>0.09</v>
      </c>
      <c r="BD10" s="27"/>
      <c r="BF10" s="56"/>
      <c r="BG10" s="40">
        <v>91</v>
      </c>
      <c r="BH10" s="57">
        <f t="shared" si="95"/>
        <v>91</v>
      </c>
      <c r="BI10" s="41">
        <v>5</v>
      </c>
      <c r="BJ10" s="41">
        <f t="shared" si="96"/>
        <v>5</v>
      </c>
      <c r="BK10" s="41">
        <v>14</v>
      </c>
      <c r="BL10" s="41">
        <f t="shared" si="97"/>
        <v>6</v>
      </c>
      <c r="BM10" s="58">
        <v>8</v>
      </c>
      <c r="BN10" s="44" t="str">
        <f t="shared" si="98"/>
        <v>ぷくぷくシール</v>
      </c>
      <c r="BO10" s="57">
        <f t="shared" si="99"/>
        <v>200</v>
      </c>
      <c r="BP10" s="41">
        <f t="shared" si="100"/>
        <v>1200</v>
      </c>
      <c r="BQ10" s="43">
        <f t="shared" si="101"/>
        <v>0.13186813186813187</v>
      </c>
      <c r="BR10" s="27"/>
      <c r="BT10" s="56"/>
      <c r="BU10" s="40">
        <v>175</v>
      </c>
      <c r="BV10" s="57">
        <f t="shared" si="102"/>
        <v>175</v>
      </c>
      <c r="BW10" s="41">
        <v>4</v>
      </c>
      <c r="BX10" s="41">
        <f t="shared" si="103"/>
        <v>4</v>
      </c>
      <c r="BY10" s="41">
        <v>16</v>
      </c>
      <c r="BZ10" s="41">
        <f t="shared" si="104"/>
        <v>4</v>
      </c>
      <c r="CA10" s="58">
        <v>4</v>
      </c>
      <c r="CB10" s="44" t="str">
        <f t="shared" si="105"/>
        <v>たまごっちマスコット</v>
      </c>
      <c r="CC10" s="57">
        <f t="shared" si="106"/>
        <v>1500</v>
      </c>
      <c r="CD10" s="41">
        <f t="shared" si="107"/>
        <v>6000</v>
      </c>
      <c r="CE10" s="43">
        <f t="shared" si="108"/>
        <v>0.34285714285714286</v>
      </c>
      <c r="CF10" s="27"/>
      <c r="CH10" s="56"/>
      <c r="CI10" s="40">
        <v>182</v>
      </c>
      <c r="CJ10" s="57">
        <f t="shared" si="109"/>
        <v>182</v>
      </c>
      <c r="CK10" s="41">
        <v>19</v>
      </c>
      <c r="CL10" s="41">
        <f t="shared" si="110"/>
        <v>19</v>
      </c>
      <c r="CM10" s="41">
        <v>0</v>
      </c>
      <c r="CN10" s="41">
        <f t="shared" si="111"/>
        <v>21</v>
      </c>
      <c r="CO10" s="58">
        <v>15</v>
      </c>
      <c r="CP10" s="44" t="str">
        <f t="shared" si="112"/>
        <v>パンケーキスクイーズ</v>
      </c>
      <c r="CQ10" s="57">
        <f t="shared" si="113"/>
        <v>182</v>
      </c>
      <c r="CR10" s="41">
        <f t="shared" si="114"/>
        <v>3822</v>
      </c>
      <c r="CS10" s="43">
        <f t="shared" si="115"/>
        <v>0.21</v>
      </c>
      <c r="CT10" s="27"/>
      <c r="CV10" s="56"/>
      <c r="CW10" s="40">
        <v>198</v>
      </c>
      <c r="CX10" s="57">
        <f t="shared" si="116"/>
        <v>198</v>
      </c>
      <c r="CY10" s="41">
        <v>9</v>
      </c>
      <c r="CZ10" s="41">
        <f t="shared" si="117"/>
        <v>9</v>
      </c>
      <c r="DA10" s="41">
        <v>25</v>
      </c>
      <c r="DB10" s="41">
        <f t="shared" si="118"/>
        <v>9</v>
      </c>
      <c r="DC10" s="58">
        <v>4</v>
      </c>
      <c r="DD10" s="44" t="str">
        <f t="shared" si="119"/>
        <v>フルーツスクイーズ</v>
      </c>
      <c r="DE10" s="57">
        <f t="shared" si="120"/>
        <v>209</v>
      </c>
      <c r="DF10" s="41">
        <f t="shared" si="121"/>
        <v>1881</v>
      </c>
      <c r="DG10" s="43">
        <f t="shared" si="122"/>
        <v>9.5000000000000001E-2</v>
      </c>
      <c r="DH10" s="27"/>
      <c r="DJ10" s="38"/>
      <c r="DK10" s="40"/>
      <c r="DL10" s="57" t="str">
        <f t="shared" si="123"/>
        <v/>
      </c>
      <c r="DM10" s="41"/>
      <c r="DN10" s="41" t="str">
        <f t="shared" si="124"/>
        <v/>
      </c>
      <c r="DO10" s="41"/>
      <c r="DP10" s="41" t="str">
        <f t="shared" si="125"/>
        <v/>
      </c>
      <c r="DQ10" s="58"/>
      <c r="DR10" s="44" t="str">
        <f t="shared" si="126"/>
        <v/>
      </c>
      <c r="DS10" s="57" t="str">
        <f t="shared" si="127"/>
        <v/>
      </c>
      <c r="DT10" s="41" t="str">
        <f t="shared" si="128"/>
        <v/>
      </c>
      <c r="DU10" s="43" t="str">
        <f t="shared" si="129"/>
        <v/>
      </c>
      <c r="DV10" s="27"/>
      <c r="DX10" s="38"/>
      <c r="DY10" s="40"/>
      <c r="DZ10" s="57" t="str">
        <f t="shared" si="130"/>
        <v/>
      </c>
      <c r="EA10" s="41"/>
      <c r="EB10" s="41" t="str">
        <f t="shared" si="131"/>
        <v/>
      </c>
      <c r="EC10" s="41"/>
      <c r="ED10" s="41" t="str">
        <f t="shared" si="132"/>
        <v/>
      </c>
      <c r="EE10" s="58"/>
      <c r="EF10" s="44" t="str">
        <f t="shared" si="133"/>
        <v/>
      </c>
      <c r="EG10" s="57" t="str">
        <f t="shared" si="134"/>
        <v/>
      </c>
      <c r="EH10" s="41" t="str">
        <f t="shared" si="135"/>
        <v/>
      </c>
      <c r="EI10" s="43" t="str">
        <f t="shared" si="136"/>
        <v/>
      </c>
      <c r="EJ10" s="27"/>
      <c r="EL10" s="37" t="str">
        <f>IF($A31="","",$A31)</f>
        <v/>
      </c>
      <c r="EM10" s="32"/>
      <c r="EN10" s="5" t="str">
        <f t="shared" si="0"/>
        <v/>
      </c>
      <c r="EO10" s="5"/>
      <c r="EP10" s="5" t="str">
        <f t="shared" si="1"/>
        <v/>
      </c>
      <c r="EQ10" s="4"/>
      <c r="ER10" s="5" t="str">
        <f t="shared" si="2"/>
        <v/>
      </c>
      <c r="ES10" s="4"/>
      <c r="ET10" s="2" t="str">
        <f t="shared" si="3"/>
        <v/>
      </c>
      <c r="EU10" s="4" t="str">
        <f t="shared" si="4"/>
        <v/>
      </c>
      <c r="EV10" s="5" t="str">
        <f t="shared" si="5"/>
        <v/>
      </c>
      <c r="EW10" s="33" t="str">
        <f t="shared" si="6"/>
        <v/>
      </c>
      <c r="EX10" s="27"/>
      <c r="EZ10" s="37" t="str">
        <f>IF($A31="","",$A31)</f>
        <v/>
      </c>
      <c r="FA10" s="32"/>
      <c r="FB10" s="5" t="str">
        <f t="shared" si="7"/>
        <v/>
      </c>
      <c r="FC10" s="5"/>
      <c r="FD10" s="5" t="str">
        <f t="shared" si="8"/>
        <v/>
      </c>
      <c r="FE10" s="4"/>
      <c r="FF10" s="5" t="str">
        <f t="shared" si="9"/>
        <v/>
      </c>
      <c r="FG10" s="4"/>
      <c r="FH10" s="2" t="str">
        <f t="shared" si="10"/>
        <v/>
      </c>
      <c r="FI10" s="4" t="str">
        <f t="shared" si="11"/>
        <v/>
      </c>
      <c r="FJ10" s="5" t="str">
        <f t="shared" si="12"/>
        <v/>
      </c>
      <c r="FK10" s="33" t="str">
        <f t="shared" si="13"/>
        <v/>
      </c>
      <c r="FL10" s="27"/>
      <c r="FN10" s="37" t="str">
        <f>IF($A31="","",$A31)</f>
        <v/>
      </c>
      <c r="FO10" s="32"/>
      <c r="FP10" s="5" t="str">
        <f t="shared" si="14"/>
        <v/>
      </c>
      <c r="FQ10" s="5"/>
      <c r="FR10" s="5" t="str">
        <f t="shared" si="15"/>
        <v/>
      </c>
      <c r="FS10" s="4"/>
      <c r="FT10" s="5" t="str">
        <f t="shared" si="16"/>
        <v/>
      </c>
      <c r="FU10" s="4"/>
      <c r="FV10" s="2" t="str">
        <f t="shared" si="17"/>
        <v/>
      </c>
      <c r="FW10" s="4" t="str">
        <f t="shared" si="18"/>
        <v/>
      </c>
      <c r="FX10" s="5" t="str">
        <f t="shared" si="19"/>
        <v/>
      </c>
      <c r="FY10" s="33" t="str">
        <f t="shared" si="20"/>
        <v/>
      </c>
      <c r="FZ10" s="27"/>
      <c r="GB10" s="37" t="str">
        <f>IF($A31="","",$A31)</f>
        <v/>
      </c>
      <c r="GC10" s="32"/>
      <c r="GD10" s="5" t="str">
        <f t="shared" si="21"/>
        <v/>
      </c>
      <c r="GE10" s="5"/>
      <c r="GF10" s="5" t="str">
        <f t="shared" si="22"/>
        <v/>
      </c>
      <c r="GG10" s="4"/>
      <c r="GH10" s="5" t="str">
        <f t="shared" si="23"/>
        <v/>
      </c>
      <c r="GI10" s="4"/>
      <c r="GJ10" s="2" t="str">
        <f t="shared" si="24"/>
        <v/>
      </c>
      <c r="GK10" s="4" t="str">
        <f t="shared" si="25"/>
        <v/>
      </c>
      <c r="GL10" s="5" t="str">
        <f t="shared" si="26"/>
        <v/>
      </c>
      <c r="GM10" s="33" t="str">
        <f t="shared" si="27"/>
        <v/>
      </c>
      <c r="GN10" s="27"/>
      <c r="GP10" s="37" t="str">
        <f>IF($A31="","",$A31)</f>
        <v/>
      </c>
      <c r="GQ10" s="32"/>
      <c r="GR10" s="5" t="str">
        <f t="shared" si="28"/>
        <v/>
      </c>
      <c r="GS10" s="5"/>
      <c r="GT10" s="5" t="str">
        <f t="shared" si="29"/>
        <v/>
      </c>
      <c r="GU10" s="4"/>
      <c r="GV10" s="5" t="str">
        <f t="shared" si="30"/>
        <v/>
      </c>
      <c r="GW10" s="4"/>
      <c r="GX10" s="2" t="str">
        <f t="shared" si="31"/>
        <v/>
      </c>
      <c r="GY10" s="4" t="str">
        <f t="shared" si="32"/>
        <v/>
      </c>
      <c r="GZ10" s="5" t="str">
        <f t="shared" si="33"/>
        <v/>
      </c>
      <c r="HA10" s="33" t="str">
        <f t="shared" si="34"/>
        <v/>
      </c>
      <c r="HB10" s="27"/>
      <c r="HD10" s="37" t="str">
        <f>IF($A31="","",$A31)</f>
        <v/>
      </c>
      <c r="HE10" s="32"/>
      <c r="HF10" s="5" t="str">
        <f t="shared" si="35"/>
        <v/>
      </c>
      <c r="HG10" s="5"/>
      <c r="HH10" s="27"/>
      <c r="HJ10" s="37" t="str">
        <f>IF($A31="","",$A31)</f>
        <v/>
      </c>
      <c r="HK10" s="32"/>
      <c r="HL10" s="5" t="str">
        <f t="shared" si="36"/>
        <v/>
      </c>
      <c r="HM10" s="5"/>
      <c r="HN10" s="27"/>
      <c r="HP10" s="37" t="str">
        <f>IF($A31="","",$A31)</f>
        <v/>
      </c>
      <c r="HQ10" s="32"/>
      <c r="HR10" s="5" t="str">
        <f t="shared" si="37"/>
        <v/>
      </c>
      <c r="HS10" s="5"/>
      <c r="HT10" s="27"/>
      <c r="HV10" s="37" t="str">
        <f>IF($A31="","",$A31)</f>
        <v/>
      </c>
      <c r="HW10" s="32"/>
      <c r="HX10" s="5" t="str">
        <f t="shared" si="38"/>
        <v/>
      </c>
      <c r="HY10" s="5"/>
      <c r="HZ10" s="5" t="str">
        <f t="shared" si="39"/>
        <v/>
      </c>
      <c r="IA10" s="4"/>
      <c r="IB10" s="5" t="str">
        <f t="shared" si="40"/>
        <v/>
      </c>
      <c r="IC10" s="4"/>
      <c r="ID10" s="2" t="str">
        <f t="shared" si="41"/>
        <v/>
      </c>
      <c r="IE10" s="4" t="str">
        <f t="shared" si="42"/>
        <v/>
      </c>
      <c r="IF10" s="5" t="str">
        <f t="shared" si="43"/>
        <v/>
      </c>
      <c r="IG10" s="33" t="str">
        <f t="shared" si="44"/>
        <v/>
      </c>
      <c r="IH10" s="27"/>
      <c r="IJ10" s="37" t="str">
        <f>IF($A31="","",$A31)</f>
        <v/>
      </c>
      <c r="IK10" s="32"/>
      <c r="IL10" s="5" t="str">
        <f t="shared" si="45"/>
        <v/>
      </c>
      <c r="IM10" s="5"/>
      <c r="IN10" s="5" t="str">
        <f t="shared" si="46"/>
        <v/>
      </c>
      <c r="IO10" s="4"/>
      <c r="IP10" s="5" t="str">
        <f t="shared" si="47"/>
        <v/>
      </c>
      <c r="IQ10" s="4"/>
      <c r="IR10" s="2" t="str">
        <f t="shared" si="48"/>
        <v/>
      </c>
      <c r="IS10" s="4" t="str">
        <f t="shared" si="49"/>
        <v/>
      </c>
      <c r="IT10" s="5" t="str">
        <f t="shared" si="50"/>
        <v/>
      </c>
      <c r="IU10" s="33" t="str">
        <f t="shared" si="51"/>
        <v/>
      </c>
      <c r="IV10" s="27"/>
      <c r="IX10" s="37" t="str">
        <f>IF($A31="","",$A31)</f>
        <v/>
      </c>
      <c r="IY10" s="32"/>
      <c r="IZ10" s="5" t="str">
        <f t="shared" si="52"/>
        <v/>
      </c>
      <c r="JA10" s="5"/>
      <c r="JB10" s="5" t="str">
        <f t="shared" si="53"/>
        <v/>
      </c>
      <c r="JC10" s="4"/>
      <c r="JD10" s="5" t="str">
        <f t="shared" si="54"/>
        <v/>
      </c>
      <c r="JE10" s="4"/>
      <c r="JF10" s="2" t="str">
        <f t="shared" si="55"/>
        <v/>
      </c>
      <c r="JG10" s="4" t="str">
        <f t="shared" si="56"/>
        <v/>
      </c>
      <c r="JH10" s="5" t="str">
        <f t="shared" si="57"/>
        <v/>
      </c>
      <c r="JI10" s="33" t="str">
        <f t="shared" si="58"/>
        <v/>
      </c>
      <c r="JJ10" s="27"/>
      <c r="JL10" s="37" t="str">
        <f>IF($A31="","",$A31)</f>
        <v/>
      </c>
      <c r="JM10" s="32"/>
      <c r="JN10" s="5" t="str">
        <f t="shared" si="59"/>
        <v/>
      </c>
      <c r="JO10" s="5"/>
      <c r="JP10" s="5" t="str">
        <f t="shared" si="60"/>
        <v/>
      </c>
      <c r="JQ10" s="4"/>
      <c r="JR10" s="5" t="str">
        <f t="shared" si="61"/>
        <v/>
      </c>
      <c r="JS10" s="4"/>
      <c r="JT10" s="2" t="str">
        <f t="shared" si="62"/>
        <v/>
      </c>
      <c r="JU10" s="4" t="str">
        <f t="shared" si="63"/>
        <v/>
      </c>
      <c r="JV10" s="5" t="str">
        <f t="shared" si="64"/>
        <v/>
      </c>
      <c r="JW10" s="33" t="str">
        <f t="shared" si="65"/>
        <v/>
      </c>
      <c r="JX10" s="27"/>
      <c r="JY10" s="33" t="str">
        <f t="shared" si="66"/>
        <v/>
      </c>
      <c r="JZ10" s="27"/>
    </row>
    <row r="11" spans="1:286" ht="15" customHeight="1" thickTop="1" x14ac:dyDescent="0.2">
      <c r="A11" s="45"/>
      <c r="B11" s="24">
        <f>SUM(D11:D14)+SUM(R11:R14)+SUM(AF11:AF14)+SUM(BV11:BV14)+SUM(GD5,GR5,EN5,FB5,FP5,HX5,IL5,IZ5,JN5,HF5,HL5,HR5)+SUM(CJ11:CJ14)+SUM(DL11:DL12)</f>
        <v>0</v>
      </c>
      <c r="C11" s="4"/>
      <c r="D11" s="4" t="str">
        <f t="shared" si="67"/>
        <v/>
      </c>
      <c r="E11" s="4"/>
      <c r="F11" s="46" t="str">
        <f t="shared" si="68"/>
        <v/>
      </c>
      <c r="G11" s="4"/>
      <c r="H11" s="4" t="str">
        <f t="shared" si="69"/>
        <v/>
      </c>
      <c r="I11" s="47"/>
      <c r="J11" s="29" t="str">
        <f t="shared" si="70"/>
        <v/>
      </c>
      <c r="K11" s="25" t="str">
        <f t="shared" si="71"/>
        <v/>
      </c>
      <c r="L11" s="46" t="str">
        <f t="shared" si="72"/>
        <v/>
      </c>
      <c r="M11" s="48" t="str">
        <f t="shared" si="73"/>
        <v/>
      </c>
      <c r="N11" s="27"/>
      <c r="O11" s="28"/>
      <c r="P11" s="49" t="str">
        <f>IF($A11="","",$A11)</f>
        <v/>
      </c>
      <c r="Q11" s="4"/>
      <c r="R11" s="4" t="str">
        <f t="shared" si="74"/>
        <v/>
      </c>
      <c r="S11" s="4"/>
      <c r="T11" s="46" t="str">
        <f t="shared" si="75"/>
        <v/>
      </c>
      <c r="U11" s="4"/>
      <c r="V11" s="4" t="str">
        <f t="shared" si="76"/>
        <v/>
      </c>
      <c r="W11" s="47"/>
      <c r="X11" s="29" t="str">
        <f t="shared" si="77"/>
        <v/>
      </c>
      <c r="Y11" s="25" t="str">
        <f t="shared" si="78"/>
        <v/>
      </c>
      <c r="Z11" s="46" t="str">
        <f t="shared" si="79"/>
        <v/>
      </c>
      <c r="AA11" s="48" t="str">
        <f t="shared" si="80"/>
        <v/>
      </c>
      <c r="AB11" s="27"/>
      <c r="AD11" s="49" t="str">
        <f>IF($A11="","",$A11)</f>
        <v/>
      </c>
      <c r="AE11" s="4"/>
      <c r="AF11" s="4" t="str">
        <f t="shared" si="81"/>
        <v/>
      </c>
      <c r="AG11" s="4"/>
      <c r="AH11" s="46" t="str">
        <f t="shared" si="82"/>
        <v/>
      </c>
      <c r="AI11" s="4"/>
      <c r="AJ11" s="4" t="str">
        <f t="shared" si="83"/>
        <v/>
      </c>
      <c r="AK11" s="47"/>
      <c r="AL11" s="29" t="str">
        <f t="shared" si="84"/>
        <v/>
      </c>
      <c r="AM11" s="25" t="str">
        <f t="shared" si="85"/>
        <v/>
      </c>
      <c r="AN11" s="46" t="str">
        <f t="shared" si="86"/>
        <v/>
      </c>
      <c r="AO11" s="48" t="str">
        <f t="shared" si="87"/>
        <v/>
      </c>
      <c r="AP11" s="27"/>
      <c r="AR11" s="49" t="str">
        <f>IF($A11="","",$A11)</f>
        <v/>
      </c>
      <c r="AS11" s="4"/>
      <c r="AT11" s="4" t="str">
        <f t="shared" si="88"/>
        <v/>
      </c>
      <c r="AU11" s="4"/>
      <c r="AV11" s="46" t="str">
        <f t="shared" si="89"/>
        <v/>
      </c>
      <c r="AW11" s="4"/>
      <c r="AX11" s="4" t="str">
        <f t="shared" si="90"/>
        <v/>
      </c>
      <c r="AY11" s="47"/>
      <c r="AZ11" s="29" t="str">
        <f t="shared" si="91"/>
        <v/>
      </c>
      <c r="BA11" s="25" t="str">
        <f t="shared" si="92"/>
        <v/>
      </c>
      <c r="BB11" s="46" t="str">
        <f t="shared" si="93"/>
        <v/>
      </c>
      <c r="BC11" s="48" t="str">
        <f t="shared" si="94"/>
        <v/>
      </c>
      <c r="BD11" s="27"/>
      <c r="BF11" s="49" t="str">
        <f>IF($A11="","",$A11)</f>
        <v/>
      </c>
      <c r="BG11" s="4"/>
      <c r="BH11" s="4" t="str">
        <f t="shared" si="95"/>
        <v/>
      </c>
      <c r="BI11" s="4"/>
      <c r="BJ11" s="46" t="str">
        <f t="shared" si="96"/>
        <v/>
      </c>
      <c r="BK11" s="4"/>
      <c r="BL11" s="4" t="str">
        <f t="shared" si="97"/>
        <v/>
      </c>
      <c r="BM11" s="47"/>
      <c r="BN11" s="29" t="str">
        <f t="shared" si="98"/>
        <v/>
      </c>
      <c r="BO11" s="25" t="str">
        <f t="shared" si="99"/>
        <v/>
      </c>
      <c r="BP11" s="46" t="str">
        <f t="shared" si="100"/>
        <v/>
      </c>
      <c r="BQ11" s="48" t="str">
        <f t="shared" si="101"/>
        <v/>
      </c>
      <c r="BR11" s="27"/>
      <c r="BT11" s="49" t="str">
        <f>IF($A11="","",$A11)</f>
        <v/>
      </c>
      <c r="BU11" s="4"/>
      <c r="BV11" s="4" t="str">
        <f t="shared" si="102"/>
        <v/>
      </c>
      <c r="BW11" s="4"/>
      <c r="BX11" s="46" t="str">
        <f t="shared" si="103"/>
        <v/>
      </c>
      <c r="BY11" s="4"/>
      <c r="BZ11" s="4" t="str">
        <f t="shared" si="104"/>
        <v/>
      </c>
      <c r="CA11" s="47"/>
      <c r="CB11" s="29" t="str">
        <f t="shared" si="105"/>
        <v/>
      </c>
      <c r="CC11" s="25" t="str">
        <f t="shared" si="106"/>
        <v/>
      </c>
      <c r="CD11" s="46" t="str">
        <f t="shared" si="107"/>
        <v/>
      </c>
      <c r="CE11" s="48" t="str">
        <f t="shared" si="108"/>
        <v/>
      </c>
      <c r="CF11" s="27"/>
      <c r="CH11" s="49" t="str">
        <f>IF($A11="","",$A11)</f>
        <v/>
      </c>
      <c r="CI11" s="4"/>
      <c r="CJ11" s="4" t="str">
        <f t="shared" si="109"/>
        <v/>
      </c>
      <c r="CK11" s="4"/>
      <c r="CL11" s="46" t="str">
        <f t="shared" si="110"/>
        <v/>
      </c>
      <c r="CM11" s="4"/>
      <c r="CN11" s="4" t="str">
        <f t="shared" si="111"/>
        <v/>
      </c>
      <c r="CO11" s="47"/>
      <c r="CP11" s="29" t="str">
        <f t="shared" si="112"/>
        <v/>
      </c>
      <c r="CQ11" s="25" t="str">
        <f t="shared" si="113"/>
        <v/>
      </c>
      <c r="CR11" s="46" t="str">
        <f t="shared" si="114"/>
        <v/>
      </c>
      <c r="CS11" s="48" t="str">
        <f t="shared" si="115"/>
        <v/>
      </c>
      <c r="CT11" s="27"/>
      <c r="CV11" s="49" t="str">
        <f>IF($A11="","",$A11)</f>
        <v/>
      </c>
      <c r="CW11" s="4"/>
      <c r="CX11" s="4" t="str">
        <f t="shared" si="116"/>
        <v/>
      </c>
      <c r="CY11" s="4"/>
      <c r="CZ11" s="46" t="str">
        <f t="shared" si="117"/>
        <v/>
      </c>
      <c r="DA11" s="4"/>
      <c r="DB11" s="4" t="str">
        <f t="shared" si="118"/>
        <v/>
      </c>
      <c r="DC11" s="47"/>
      <c r="DD11" s="29" t="str">
        <f t="shared" si="119"/>
        <v/>
      </c>
      <c r="DE11" s="25" t="str">
        <f t="shared" si="120"/>
        <v/>
      </c>
      <c r="DF11" s="46" t="str">
        <f t="shared" si="121"/>
        <v/>
      </c>
      <c r="DG11" s="48" t="str">
        <f t="shared" si="122"/>
        <v/>
      </c>
      <c r="DH11" s="27"/>
      <c r="DJ11" s="30" t="str">
        <f>IF($A11="","",$A11)</f>
        <v/>
      </c>
      <c r="DK11" s="4"/>
      <c r="DL11" s="4" t="str">
        <f t="shared" si="123"/>
        <v/>
      </c>
      <c r="DM11" s="4"/>
      <c r="DN11" s="46" t="str">
        <f t="shared" si="124"/>
        <v/>
      </c>
      <c r="DO11" s="4"/>
      <c r="DP11" s="4" t="str">
        <f t="shared" si="125"/>
        <v/>
      </c>
      <c r="DQ11" s="47"/>
      <c r="DR11" s="29" t="str">
        <f t="shared" si="126"/>
        <v/>
      </c>
      <c r="DS11" s="25" t="str">
        <f t="shared" si="127"/>
        <v/>
      </c>
      <c r="DT11" s="46" t="str">
        <f t="shared" si="128"/>
        <v/>
      </c>
      <c r="DU11" s="48" t="str">
        <f t="shared" si="129"/>
        <v/>
      </c>
      <c r="DV11" s="27"/>
      <c r="DX11" s="30" t="str">
        <f>IF($A11="","",$A11)</f>
        <v/>
      </c>
      <c r="DY11" s="4"/>
      <c r="DZ11" s="4" t="str">
        <f t="shared" si="130"/>
        <v/>
      </c>
      <c r="EA11" s="4"/>
      <c r="EB11" s="46" t="str">
        <f t="shared" si="131"/>
        <v/>
      </c>
      <c r="EC11" s="4"/>
      <c r="ED11" s="4" t="str">
        <f t="shared" si="132"/>
        <v/>
      </c>
      <c r="EE11" s="47"/>
      <c r="EF11" s="29" t="str">
        <f t="shared" si="133"/>
        <v/>
      </c>
      <c r="EG11" s="25" t="str">
        <f t="shared" si="134"/>
        <v/>
      </c>
      <c r="EH11" s="46" t="str">
        <f t="shared" si="135"/>
        <v/>
      </c>
      <c r="EI11" s="48" t="str">
        <f t="shared" si="136"/>
        <v/>
      </c>
      <c r="EJ11" s="27"/>
      <c r="EL11" s="37" t="str">
        <f>IF($A35="","",$A35)</f>
        <v/>
      </c>
      <c r="EM11" s="32"/>
      <c r="EN11" s="5" t="str">
        <f t="shared" si="0"/>
        <v/>
      </c>
      <c r="EO11" s="5"/>
      <c r="EP11" s="5" t="str">
        <f t="shared" si="1"/>
        <v/>
      </c>
      <c r="EQ11" s="4"/>
      <c r="ER11" s="5" t="str">
        <f t="shared" si="2"/>
        <v/>
      </c>
      <c r="ES11" s="4"/>
      <c r="ET11" s="2" t="str">
        <f t="shared" si="3"/>
        <v/>
      </c>
      <c r="EU11" s="4" t="str">
        <f t="shared" si="4"/>
        <v/>
      </c>
      <c r="EV11" s="5" t="str">
        <f t="shared" si="5"/>
        <v/>
      </c>
      <c r="EW11" s="33" t="str">
        <f t="shared" si="6"/>
        <v/>
      </c>
      <c r="EX11" s="59"/>
      <c r="EZ11" s="37" t="str">
        <f>IF($A35="","",$A35)</f>
        <v/>
      </c>
      <c r="FA11" s="32"/>
      <c r="FB11" s="5" t="str">
        <f t="shared" si="7"/>
        <v/>
      </c>
      <c r="FC11" s="5"/>
      <c r="FD11" s="5" t="str">
        <f t="shared" si="8"/>
        <v/>
      </c>
      <c r="FE11" s="4"/>
      <c r="FF11" s="5" t="str">
        <f t="shared" si="9"/>
        <v/>
      </c>
      <c r="FG11" s="4"/>
      <c r="FH11" s="2" t="str">
        <f t="shared" si="10"/>
        <v/>
      </c>
      <c r="FI11" s="4" t="str">
        <f t="shared" si="11"/>
        <v/>
      </c>
      <c r="FJ11" s="5" t="str">
        <f t="shared" si="12"/>
        <v/>
      </c>
      <c r="FK11" s="33" t="str">
        <f t="shared" si="13"/>
        <v/>
      </c>
      <c r="FL11" s="59"/>
      <c r="FN11" s="37" t="str">
        <f>IF($A35="","",$A35)</f>
        <v/>
      </c>
      <c r="FO11" s="32"/>
      <c r="FP11" s="5" t="str">
        <f t="shared" si="14"/>
        <v/>
      </c>
      <c r="FQ11" s="5"/>
      <c r="FR11" s="5" t="str">
        <f t="shared" si="15"/>
        <v/>
      </c>
      <c r="FS11" s="4"/>
      <c r="FT11" s="5" t="str">
        <f t="shared" si="16"/>
        <v/>
      </c>
      <c r="FU11" s="4"/>
      <c r="FV11" s="2" t="str">
        <f t="shared" si="17"/>
        <v/>
      </c>
      <c r="FW11" s="4" t="str">
        <f t="shared" si="18"/>
        <v/>
      </c>
      <c r="FX11" s="5" t="str">
        <f t="shared" si="19"/>
        <v/>
      </c>
      <c r="FY11" s="33" t="str">
        <f t="shared" si="20"/>
        <v/>
      </c>
      <c r="FZ11" s="59"/>
      <c r="GB11" s="37" t="str">
        <f>IF($A35="","",$A35)</f>
        <v/>
      </c>
      <c r="GC11" s="32"/>
      <c r="GD11" s="5" t="str">
        <f t="shared" si="21"/>
        <v/>
      </c>
      <c r="GE11" s="5"/>
      <c r="GF11" s="5" t="str">
        <f t="shared" si="22"/>
        <v/>
      </c>
      <c r="GG11" s="4"/>
      <c r="GH11" s="5" t="str">
        <f t="shared" si="23"/>
        <v/>
      </c>
      <c r="GI11" s="4"/>
      <c r="GJ11" s="2" t="str">
        <f t="shared" si="24"/>
        <v/>
      </c>
      <c r="GK11" s="4" t="str">
        <f t="shared" si="25"/>
        <v/>
      </c>
      <c r="GL11" s="5" t="str">
        <f t="shared" si="26"/>
        <v/>
      </c>
      <c r="GM11" s="33" t="str">
        <f t="shared" si="27"/>
        <v/>
      </c>
      <c r="GN11" s="59"/>
      <c r="GP11" s="37" t="str">
        <f>IF($A35="","",$A35)</f>
        <v/>
      </c>
      <c r="GQ11" s="32"/>
      <c r="GR11" s="5" t="str">
        <f t="shared" si="28"/>
        <v/>
      </c>
      <c r="GS11" s="5"/>
      <c r="GT11" s="5" t="str">
        <f t="shared" si="29"/>
        <v/>
      </c>
      <c r="GU11" s="4"/>
      <c r="GV11" s="5" t="str">
        <f t="shared" si="30"/>
        <v/>
      </c>
      <c r="GW11" s="4"/>
      <c r="GX11" s="2" t="str">
        <f t="shared" si="31"/>
        <v/>
      </c>
      <c r="GY11" s="4" t="str">
        <f t="shared" si="32"/>
        <v/>
      </c>
      <c r="GZ11" s="5" t="str">
        <f t="shared" si="33"/>
        <v/>
      </c>
      <c r="HA11" s="33" t="str">
        <f t="shared" si="34"/>
        <v/>
      </c>
      <c r="HB11" s="59"/>
      <c r="HD11" s="37" t="str">
        <f>IF($A35="","",$A35)</f>
        <v/>
      </c>
      <c r="HE11" s="32"/>
      <c r="HF11" s="5" t="str">
        <f t="shared" si="35"/>
        <v/>
      </c>
      <c r="HG11" s="5"/>
      <c r="HH11" s="59"/>
      <c r="HJ11" s="37" t="str">
        <f>IF($A35="","",$A35)</f>
        <v/>
      </c>
      <c r="HK11" s="32"/>
      <c r="HL11" s="5" t="str">
        <f t="shared" si="36"/>
        <v/>
      </c>
      <c r="HM11" s="5"/>
      <c r="HN11" s="59"/>
      <c r="HP11" s="37" t="str">
        <f>IF($A35="","",$A35)</f>
        <v/>
      </c>
      <c r="HQ11" s="32"/>
      <c r="HR11" s="5" t="str">
        <f t="shared" si="37"/>
        <v/>
      </c>
      <c r="HS11" s="5"/>
      <c r="HT11" s="59"/>
      <c r="HV11" s="37" t="str">
        <f>IF($A35="","",$A35)</f>
        <v/>
      </c>
      <c r="HW11" s="32"/>
      <c r="HX11" s="5" t="str">
        <f t="shared" si="38"/>
        <v/>
      </c>
      <c r="HY11" s="5"/>
      <c r="HZ11" s="5" t="str">
        <f t="shared" si="39"/>
        <v/>
      </c>
      <c r="IA11" s="4"/>
      <c r="IB11" s="5" t="str">
        <f t="shared" si="40"/>
        <v/>
      </c>
      <c r="IC11" s="4"/>
      <c r="ID11" s="2" t="str">
        <f t="shared" si="41"/>
        <v/>
      </c>
      <c r="IE11" s="4" t="str">
        <f t="shared" si="42"/>
        <v/>
      </c>
      <c r="IF11" s="5" t="str">
        <f t="shared" si="43"/>
        <v/>
      </c>
      <c r="IG11" s="33" t="str">
        <f t="shared" si="44"/>
        <v/>
      </c>
      <c r="IH11" s="59"/>
      <c r="IJ11" s="37" t="str">
        <f>IF($A35="","",$A35)</f>
        <v/>
      </c>
      <c r="IK11" s="32"/>
      <c r="IL11" s="5" t="str">
        <f t="shared" si="45"/>
        <v/>
      </c>
      <c r="IM11" s="5"/>
      <c r="IN11" s="5" t="str">
        <f t="shared" si="46"/>
        <v/>
      </c>
      <c r="IO11" s="4"/>
      <c r="IP11" s="5" t="str">
        <f t="shared" si="47"/>
        <v/>
      </c>
      <c r="IQ11" s="4"/>
      <c r="IR11" s="2" t="str">
        <f t="shared" si="48"/>
        <v/>
      </c>
      <c r="IS11" s="4" t="str">
        <f t="shared" si="49"/>
        <v/>
      </c>
      <c r="IT11" s="5" t="str">
        <f t="shared" si="50"/>
        <v/>
      </c>
      <c r="IU11" s="33" t="str">
        <f t="shared" si="51"/>
        <v/>
      </c>
      <c r="IV11" s="59"/>
      <c r="IX11" s="37" t="str">
        <f>IF($A35="","",$A35)</f>
        <v/>
      </c>
      <c r="IY11" s="32"/>
      <c r="IZ11" s="5" t="str">
        <f t="shared" si="52"/>
        <v/>
      </c>
      <c r="JA11" s="5"/>
      <c r="JB11" s="5" t="str">
        <f t="shared" si="53"/>
        <v/>
      </c>
      <c r="JC11" s="4"/>
      <c r="JD11" s="5" t="str">
        <f t="shared" si="54"/>
        <v/>
      </c>
      <c r="JE11" s="4"/>
      <c r="JF11" s="2" t="str">
        <f t="shared" si="55"/>
        <v/>
      </c>
      <c r="JG11" s="4" t="str">
        <f t="shared" si="56"/>
        <v/>
      </c>
      <c r="JH11" s="5" t="str">
        <f t="shared" si="57"/>
        <v/>
      </c>
      <c r="JI11" s="33" t="str">
        <f t="shared" si="58"/>
        <v/>
      </c>
      <c r="JJ11" s="59"/>
      <c r="JL11" s="37" t="str">
        <f>IF($A35="","",$A35)</f>
        <v/>
      </c>
      <c r="JM11" s="32"/>
      <c r="JN11" s="5" t="str">
        <f t="shared" si="59"/>
        <v/>
      </c>
      <c r="JO11" s="5"/>
      <c r="JP11" s="5" t="str">
        <f t="shared" si="60"/>
        <v/>
      </c>
      <c r="JQ11" s="4"/>
      <c r="JR11" s="5" t="str">
        <f t="shared" si="61"/>
        <v/>
      </c>
      <c r="JS11" s="4"/>
      <c r="JT11" s="2" t="str">
        <f t="shared" si="62"/>
        <v/>
      </c>
      <c r="JU11" s="4" t="str">
        <f t="shared" si="63"/>
        <v/>
      </c>
      <c r="JV11" s="5" t="str">
        <f t="shared" si="64"/>
        <v/>
      </c>
      <c r="JW11" s="33" t="str">
        <f t="shared" si="65"/>
        <v/>
      </c>
      <c r="JX11" s="59"/>
      <c r="JY11" s="33" t="str">
        <f t="shared" si="66"/>
        <v/>
      </c>
      <c r="JZ11" s="59"/>
    </row>
    <row r="12" spans="1:286" x14ac:dyDescent="0.2">
      <c r="A12" s="50"/>
      <c r="B12" s="24"/>
      <c r="C12" s="4"/>
      <c r="D12" s="5" t="str">
        <f t="shared" si="67"/>
        <v/>
      </c>
      <c r="E12" s="5"/>
      <c r="F12" s="5" t="str">
        <f t="shared" si="68"/>
        <v/>
      </c>
      <c r="G12" s="5"/>
      <c r="H12" s="5" t="str">
        <f t="shared" si="69"/>
        <v/>
      </c>
      <c r="I12" s="32"/>
      <c r="J12" s="35" t="str">
        <f t="shared" si="70"/>
        <v/>
      </c>
      <c r="K12" s="36" t="str">
        <f t="shared" si="71"/>
        <v/>
      </c>
      <c r="L12" s="5" t="str">
        <f t="shared" si="72"/>
        <v/>
      </c>
      <c r="M12" s="33" t="str">
        <f t="shared" si="73"/>
        <v/>
      </c>
      <c r="N12" s="27"/>
      <c r="O12" s="28"/>
      <c r="P12" s="23"/>
      <c r="Q12" s="4"/>
      <c r="R12" s="5" t="str">
        <f t="shared" si="74"/>
        <v/>
      </c>
      <c r="S12" s="5"/>
      <c r="T12" s="5" t="str">
        <f t="shared" si="75"/>
        <v/>
      </c>
      <c r="U12" s="5"/>
      <c r="V12" s="5" t="str">
        <f t="shared" si="76"/>
        <v/>
      </c>
      <c r="W12" s="32"/>
      <c r="X12" s="35" t="str">
        <f t="shared" si="77"/>
        <v/>
      </c>
      <c r="Y12" s="36" t="str">
        <f t="shared" si="78"/>
        <v/>
      </c>
      <c r="Z12" s="5" t="str">
        <f t="shared" si="79"/>
        <v/>
      </c>
      <c r="AA12" s="33" t="str">
        <f t="shared" si="80"/>
        <v/>
      </c>
      <c r="AB12" s="27"/>
      <c r="AD12" s="23"/>
      <c r="AE12" s="4"/>
      <c r="AF12" s="5" t="str">
        <f t="shared" si="81"/>
        <v/>
      </c>
      <c r="AG12" s="5"/>
      <c r="AH12" s="5" t="str">
        <f t="shared" si="82"/>
        <v/>
      </c>
      <c r="AI12" s="5"/>
      <c r="AJ12" s="5" t="str">
        <f t="shared" si="83"/>
        <v/>
      </c>
      <c r="AK12" s="32"/>
      <c r="AL12" s="35" t="str">
        <f t="shared" si="84"/>
        <v/>
      </c>
      <c r="AM12" s="36" t="str">
        <f t="shared" si="85"/>
        <v/>
      </c>
      <c r="AN12" s="5" t="str">
        <f t="shared" si="86"/>
        <v/>
      </c>
      <c r="AO12" s="33" t="str">
        <f t="shared" si="87"/>
        <v/>
      </c>
      <c r="AP12" s="27"/>
      <c r="AR12" s="23"/>
      <c r="AS12" s="4"/>
      <c r="AT12" s="5" t="str">
        <f t="shared" si="88"/>
        <v/>
      </c>
      <c r="AU12" s="5"/>
      <c r="AV12" s="5" t="str">
        <f t="shared" si="89"/>
        <v/>
      </c>
      <c r="AW12" s="5"/>
      <c r="AX12" s="5" t="str">
        <f t="shared" si="90"/>
        <v/>
      </c>
      <c r="AY12" s="32"/>
      <c r="AZ12" s="35" t="str">
        <f t="shared" si="91"/>
        <v/>
      </c>
      <c r="BA12" s="36" t="str">
        <f t="shared" si="92"/>
        <v/>
      </c>
      <c r="BB12" s="5" t="str">
        <f t="shared" si="93"/>
        <v/>
      </c>
      <c r="BC12" s="33" t="str">
        <f t="shared" si="94"/>
        <v/>
      </c>
      <c r="BD12" s="27"/>
      <c r="BF12" s="23"/>
      <c r="BG12" s="4"/>
      <c r="BH12" s="5" t="str">
        <f t="shared" si="95"/>
        <v/>
      </c>
      <c r="BI12" s="5"/>
      <c r="BJ12" s="5" t="str">
        <f t="shared" si="96"/>
        <v/>
      </c>
      <c r="BK12" s="5"/>
      <c r="BL12" s="5" t="str">
        <f t="shared" si="97"/>
        <v/>
      </c>
      <c r="BM12" s="32"/>
      <c r="BN12" s="35" t="str">
        <f t="shared" si="98"/>
        <v/>
      </c>
      <c r="BO12" s="36" t="str">
        <f t="shared" si="99"/>
        <v/>
      </c>
      <c r="BP12" s="5" t="str">
        <f t="shared" si="100"/>
        <v/>
      </c>
      <c r="BQ12" s="33" t="str">
        <f t="shared" si="101"/>
        <v/>
      </c>
      <c r="BR12" s="27"/>
      <c r="BT12" s="23"/>
      <c r="BU12" s="4"/>
      <c r="BV12" s="5" t="str">
        <f t="shared" si="102"/>
        <v/>
      </c>
      <c r="BW12" s="5"/>
      <c r="BX12" s="5" t="str">
        <f t="shared" si="103"/>
        <v/>
      </c>
      <c r="BY12" s="5"/>
      <c r="BZ12" s="5" t="str">
        <f t="shared" si="104"/>
        <v/>
      </c>
      <c r="CA12" s="32"/>
      <c r="CB12" s="35" t="str">
        <f t="shared" si="105"/>
        <v/>
      </c>
      <c r="CC12" s="36" t="str">
        <f t="shared" si="106"/>
        <v/>
      </c>
      <c r="CD12" s="5" t="str">
        <f t="shared" si="107"/>
        <v/>
      </c>
      <c r="CE12" s="33" t="str">
        <f t="shared" si="108"/>
        <v/>
      </c>
      <c r="CF12" s="27"/>
      <c r="CH12" s="23"/>
      <c r="CI12" s="4"/>
      <c r="CJ12" s="5" t="str">
        <f t="shared" si="109"/>
        <v/>
      </c>
      <c r="CK12" s="5"/>
      <c r="CL12" s="5" t="str">
        <f t="shared" si="110"/>
        <v/>
      </c>
      <c r="CM12" s="5"/>
      <c r="CN12" s="5" t="str">
        <f t="shared" si="111"/>
        <v/>
      </c>
      <c r="CO12" s="32"/>
      <c r="CP12" s="35" t="str">
        <f t="shared" si="112"/>
        <v/>
      </c>
      <c r="CQ12" s="36" t="str">
        <f t="shared" si="113"/>
        <v/>
      </c>
      <c r="CR12" s="5" t="str">
        <f t="shared" si="114"/>
        <v/>
      </c>
      <c r="CS12" s="33" t="str">
        <f t="shared" si="115"/>
        <v/>
      </c>
      <c r="CT12" s="27"/>
      <c r="CV12" s="23"/>
      <c r="CW12" s="4"/>
      <c r="CX12" s="5" t="str">
        <f t="shared" si="116"/>
        <v/>
      </c>
      <c r="CY12" s="5"/>
      <c r="CZ12" s="5" t="str">
        <f t="shared" si="117"/>
        <v/>
      </c>
      <c r="DA12" s="5"/>
      <c r="DB12" s="5" t="str">
        <f t="shared" si="118"/>
        <v/>
      </c>
      <c r="DC12" s="32"/>
      <c r="DD12" s="35" t="str">
        <f t="shared" si="119"/>
        <v/>
      </c>
      <c r="DE12" s="36" t="str">
        <f t="shared" si="120"/>
        <v/>
      </c>
      <c r="DF12" s="5" t="str">
        <f t="shared" si="121"/>
        <v/>
      </c>
      <c r="DG12" s="33" t="str">
        <f t="shared" si="122"/>
        <v/>
      </c>
      <c r="DH12" s="27"/>
      <c r="DJ12" s="23"/>
      <c r="DK12" s="4"/>
      <c r="DL12" s="5" t="str">
        <f t="shared" si="123"/>
        <v/>
      </c>
      <c r="DM12" s="5"/>
      <c r="DN12" s="5" t="str">
        <f t="shared" si="124"/>
        <v/>
      </c>
      <c r="DO12" s="5"/>
      <c r="DP12" s="5" t="str">
        <f t="shared" si="125"/>
        <v/>
      </c>
      <c r="DQ12" s="32"/>
      <c r="DR12" s="35" t="str">
        <f t="shared" si="126"/>
        <v/>
      </c>
      <c r="DS12" s="36" t="str">
        <f t="shared" si="127"/>
        <v/>
      </c>
      <c r="DT12" s="5" t="str">
        <f t="shared" si="128"/>
        <v/>
      </c>
      <c r="DU12" s="33" t="str">
        <f t="shared" si="129"/>
        <v/>
      </c>
      <c r="DV12" s="27"/>
      <c r="DX12" s="23"/>
      <c r="DY12" s="4"/>
      <c r="DZ12" s="5" t="str">
        <f t="shared" si="130"/>
        <v/>
      </c>
      <c r="EA12" s="5"/>
      <c r="EB12" s="5" t="str">
        <f t="shared" si="131"/>
        <v/>
      </c>
      <c r="EC12" s="5"/>
      <c r="ED12" s="5" t="str">
        <f t="shared" si="132"/>
        <v/>
      </c>
      <c r="EE12" s="32"/>
      <c r="EF12" s="35" t="str">
        <f t="shared" si="133"/>
        <v/>
      </c>
      <c r="EG12" s="36" t="str">
        <f t="shared" si="134"/>
        <v/>
      </c>
      <c r="EH12" s="5" t="str">
        <f t="shared" si="135"/>
        <v/>
      </c>
      <c r="EI12" s="33" t="str">
        <f t="shared" si="136"/>
        <v/>
      </c>
      <c r="EJ12" s="27"/>
      <c r="EL12" s="37" t="str">
        <f>IF($A39="","",$A39)</f>
        <v/>
      </c>
      <c r="EM12" s="32"/>
      <c r="EN12" s="5" t="str">
        <f t="shared" ref="EN12:EN16" si="137">IF(EM12="","",EM12-EM11)</f>
        <v/>
      </c>
      <c r="EO12" s="5"/>
      <c r="EP12" s="5" t="str">
        <f t="shared" ref="EP12:EP16" si="138">IF(EO12="","",EO12-EO11)</f>
        <v/>
      </c>
      <c r="EQ12" s="5"/>
      <c r="ER12" s="5" t="str">
        <f t="shared" ref="ER12:ER16" si="139">IF(EQ12="","",EQ11+ES11-EQ12)</f>
        <v/>
      </c>
      <c r="ES12" s="5"/>
      <c r="ET12" s="2" t="str">
        <f t="shared" ref="ET12:ET22" si="140">IF(EM12="","",ET11)</f>
        <v/>
      </c>
      <c r="EU12" s="4" t="str">
        <f t="shared" ref="EU12:EU16" si="141">IF(EM12="","",EU11)</f>
        <v/>
      </c>
      <c r="EV12" s="5" t="str">
        <f t="shared" ref="EV12:EV16" si="142">IF(EU12="","",ER12*EU12)</f>
        <v/>
      </c>
      <c r="EW12" s="33" t="str">
        <f t="shared" ref="EW12:EW15" si="143">IF(EV12="","",EV12/(EN12*100))</f>
        <v/>
      </c>
      <c r="EX12" s="59"/>
      <c r="EZ12" s="37" t="str">
        <f>IF($A39="","",$A39)</f>
        <v/>
      </c>
      <c r="FA12" s="32"/>
      <c r="FB12" s="5" t="str">
        <f t="shared" ref="FB12:FB15" si="144">IF(FA12="","",FA12-FA11)</f>
        <v/>
      </c>
      <c r="FC12" s="5"/>
      <c r="FD12" s="5" t="str">
        <f t="shared" ref="FD12:FD15" si="145">IF(FC12="","",FC12-FC11)</f>
        <v/>
      </c>
      <c r="FE12" s="5"/>
      <c r="FF12" s="5" t="str">
        <f t="shared" ref="FF12:FF15" si="146">IF(FE12="","",FE11+FG11-FE12)</f>
        <v/>
      </c>
      <c r="FG12" s="5"/>
      <c r="FH12" s="2" t="str">
        <f t="shared" ref="FH12:FH22" si="147">IF(FA12="","",FH11)</f>
        <v/>
      </c>
      <c r="FI12" s="4" t="str">
        <f t="shared" ref="FI12:FI15" si="148">IF(FA12="","",FI11)</f>
        <v/>
      </c>
      <c r="FJ12" s="5" t="str">
        <f t="shared" ref="FJ12:FJ15" si="149">IF(FI12="","",FF12*FI12)</f>
        <v/>
      </c>
      <c r="FK12" s="33" t="str">
        <f t="shared" ref="FK12:FK15" si="150">IF(FJ12="","",FJ12/(FB12*100))</f>
        <v/>
      </c>
      <c r="FL12" s="59"/>
      <c r="FN12" s="37" t="str">
        <f>IF($A39="","",$A39)</f>
        <v/>
      </c>
      <c r="FO12" s="32"/>
      <c r="FP12" s="5" t="str">
        <f t="shared" ref="FP12:FP15" si="151">IF(FO12="","",FO12-FO11)</f>
        <v/>
      </c>
      <c r="FQ12" s="5"/>
      <c r="FR12" s="5" t="str">
        <f t="shared" ref="FR12:FR15" si="152">IF(FQ12="","",FQ12-FQ11)</f>
        <v/>
      </c>
      <c r="FS12" s="5"/>
      <c r="FT12" s="5" t="str">
        <f t="shared" ref="FT12:FT15" si="153">IF(FS12="","",FS11+FU11-FS12)</f>
        <v/>
      </c>
      <c r="FU12" s="5"/>
      <c r="FV12" s="2" t="str">
        <f t="shared" ref="FV12:FV22" si="154">IF(FO12="","",FV11)</f>
        <v/>
      </c>
      <c r="FW12" s="4" t="str">
        <f t="shared" ref="FW12:FW15" si="155">IF(FO12="","",FW11)</f>
        <v/>
      </c>
      <c r="FX12" s="5" t="str">
        <f t="shared" ref="FX12:FX15" si="156">IF(FW12="","",FT12*FW12)</f>
        <v/>
      </c>
      <c r="FY12" s="33" t="str">
        <f t="shared" ref="FY12:FY15" si="157">IF(FX12="","",FX12/(FP12*100))</f>
        <v/>
      </c>
      <c r="FZ12" s="59"/>
      <c r="GB12" s="37" t="str">
        <f>IF($A39="","",$A39)</f>
        <v/>
      </c>
      <c r="GC12" s="32"/>
      <c r="GD12" s="5" t="str">
        <f t="shared" si="21"/>
        <v/>
      </c>
      <c r="GE12" s="5"/>
      <c r="GF12" s="5" t="str">
        <f t="shared" si="22"/>
        <v/>
      </c>
      <c r="GG12" s="5"/>
      <c r="GH12" s="5" t="str">
        <f t="shared" si="23"/>
        <v/>
      </c>
      <c r="GI12" s="5"/>
      <c r="GJ12" s="2" t="str">
        <f t="shared" si="24"/>
        <v/>
      </c>
      <c r="GK12" s="4" t="str">
        <f t="shared" si="25"/>
        <v/>
      </c>
      <c r="GL12" s="5" t="str">
        <f t="shared" si="26"/>
        <v/>
      </c>
      <c r="GM12" s="33" t="str">
        <f t="shared" si="27"/>
        <v/>
      </c>
      <c r="GN12" s="59"/>
      <c r="GP12" s="37" t="str">
        <f>IF($A39="","",$A39)</f>
        <v/>
      </c>
      <c r="GQ12" s="32"/>
      <c r="GR12" s="5" t="str">
        <f t="shared" ref="GR12:GR16" si="158">IF(GQ12="","",GQ12-GQ11)</f>
        <v/>
      </c>
      <c r="GS12" s="5"/>
      <c r="GT12" s="5" t="str">
        <f t="shared" ref="GT12:GT16" si="159">IF(GS12="","",GS12-GS11)</f>
        <v/>
      </c>
      <c r="GU12" s="5"/>
      <c r="GV12" s="5" t="str">
        <f t="shared" ref="GV12:GV16" si="160">IF(GU12="","",GU11+GW11-GU12)</f>
        <v/>
      </c>
      <c r="GW12" s="5"/>
      <c r="GX12" s="2" t="str">
        <f t="shared" ref="GX12:GX22" si="161">IF(GQ12="","",GX11)</f>
        <v/>
      </c>
      <c r="GY12" s="4" t="str">
        <f t="shared" ref="GY12:GY16" si="162">IF(GQ12="","",GY11)</f>
        <v/>
      </c>
      <c r="GZ12" s="5" t="str">
        <f t="shared" ref="GZ12:GZ16" si="163">IF(GY12="","",GV12*GY12)</f>
        <v/>
      </c>
      <c r="HA12" s="33" t="str">
        <f t="shared" ref="HA12:HA15" si="164">IF(GZ12="","",GZ12/(GR12*100))</f>
        <v/>
      </c>
      <c r="HB12" s="59"/>
      <c r="HD12" s="37" t="str">
        <f>IF($A39="","",$A39)</f>
        <v/>
      </c>
      <c r="HE12" s="32"/>
      <c r="HF12" s="5" t="str">
        <f t="shared" si="35"/>
        <v/>
      </c>
      <c r="HG12" s="5"/>
      <c r="HH12" s="59"/>
      <c r="HJ12" s="37" t="str">
        <f>IF($A39="","",$A39)</f>
        <v/>
      </c>
      <c r="HK12" s="32"/>
      <c r="HL12" s="5" t="str">
        <f t="shared" si="36"/>
        <v/>
      </c>
      <c r="HM12" s="5"/>
      <c r="HN12" s="59"/>
      <c r="HP12" s="37" t="str">
        <f>IF($A39="","",$A39)</f>
        <v/>
      </c>
      <c r="HQ12" s="32"/>
      <c r="HR12" s="5" t="str">
        <f t="shared" si="37"/>
        <v/>
      </c>
      <c r="HS12" s="5"/>
      <c r="HT12" s="59"/>
      <c r="HV12" s="37" t="str">
        <f>IF($A39="","",$A39)</f>
        <v/>
      </c>
      <c r="HW12" s="32"/>
      <c r="HX12" s="5" t="str">
        <f t="shared" ref="HX12:HX16" si="165">IF(HW12="","",HW12-HW11)</f>
        <v/>
      </c>
      <c r="HY12" s="5"/>
      <c r="HZ12" s="5" t="str">
        <f t="shared" ref="HZ12:HZ16" si="166">IF(HY12="","",HY12-HY11)</f>
        <v/>
      </c>
      <c r="IA12" s="5"/>
      <c r="IB12" s="5" t="str">
        <f t="shared" ref="IB12:IB16" si="167">IF(IA12="","",IA11+IC11-IA12)</f>
        <v/>
      </c>
      <c r="IC12" s="5"/>
      <c r="ID12" s="2" t="str">
        <f t="shared" ref="ID12:ID22" si="168">IF(HW12="","",ID11)</f>
        <v/>
      </c>
      <c r="IE12" s="4" t="str">
        <f t="shared" ref="IE12:IE16" si="169">IF(HW12="","",IE11)</f>
        <v/>
      </c>
      <c r="IF12" s="5" t="str">
        <f t="shared" ref="IF12:IF16" si="170">IF(IE12="","",IB12*IE12)</f>
        <v/>
      </c>
      <c r="IG12" s="33" t="str">
        <f t="shared" ref="IG12:IG15" si="171">IF(IF12="","",IF12/(HX12*100))</f>
        <v/>
      </c>
      <c r="IH12" s="59"/>
      <c r="IJ12" s="37" t="str">
        <f>IF($A39="","",$A39)</f>
        <v/>
      </c>
      <c r="IK12" s="32"/>
      <c r="IL12" s="5" t="str">
        <f t="shared" ref="IL12:IL15" si="172">IF(IK12="","",IK12-IK11)</f>
        <v/>
      </c>
      <c r="IM12" s="5"/>
      <c r="IN12" s="5" t="str">
        <f t="shared" ref="IN12:IN15" si="173">IF(IM12="","",IM12-IM11)</f>
        <v/>
      </c>
      <c r="IO12" s="5"/>
      <c r="IP12" s="5" t="str">
        <f t="shared" ref="IP12:IP15" si="174">IF(IO12="","",IO11+IQ11-IO12)</f>
        <v/>
      </c>
      <c r="IQ12" s="5"/>
      <c r="IR12" s="2" t="str">
        <f t="shared" ref="IR12:IR22" si="175">IF(IK12="","",IR11)</f>
        <v/>
      </c>
      <c r="IS12" s="4" t="str">
        <f t="shared" ref="IS12:IS15" si="176">IF(IK12="","",IS11)</f>
        <v/>
      </c>
      <c r="IT12" s="5" t="str">
        <f t="shared" ref="IT12:IT15" si="177">IF(IS12="","",IP12*IS12)</f>
        <v/>
      </c>
      <c r="IU12" s="33" t="str">
        <f t="shared" ref="IU12:IU15" si="178">IF(IT12="","",IT12/(IL12*100))</f>
        <v/>
      </c>
      <c r="IV12" s="59"/>
      <c r="IX12" s="37" t="str">
        <f>IF($A39="","",$A39)</f>
        <v/>
      </c>
      <c r="IY12" s="32"/>
      <c r="IZ12" s="5" t="str">
        <f t="shared" ref="IZ12:IZ16" si="179">IF(IY12="","",IY12-IY11)</f>
        <v/>
      </c>
      <c r="JA12" s="5"/>
      <c r="JB12" s="5" t="str">
        <f t="shared" ref="JB12:JB16" si="180">IF(JA12="","",JA12-JA11)</f>
        <v/>
      </c>
      <c r="JC12" s="5"/>
      <c r="JD12" s="5" t="str">
        <f t="shared" ref="JD12:JD16" si="181">IF(JC12="","",JC11+JE11-JC12)</f>
        <v/>
      </c>
      <c r="JE12" s="5"/>
      <c r="JF12" s="2" t="str">
        <f t="shared" ref="JF12:JF22" si="182">IF(IY12="","",JF11)</f>
        <v/>
      </c>
      <c r="JG12" s="4" t="str">
        <f t="shared" ref="JG12:JG16" si="183">IF(IY12="","",JG11)</f>
        <v/>
      </c>
      <c r="JH12" s="5" t="str">
        <f t="shared" ref="JH12:JH16" si="184">IF(JG12="","",JD12*JG12)</f>
        <v/>
      </c>
      <c r="JI12" s="33" t="str">
        <f t="shared" ref="JI12:JI15" si="185">IF(JH12="","",JH12/(IZ12*100))</f>
        <v/>
      </c>
      <c r="JJ12" s="59"/>
      <c r="JL12" s="37" t="str">
        <f>IF($A39="","",$A39)</f>
        <v/>
      </c>
      <c r="JM12" s="32"/>
      <c r="JN12" s="5" t="str">
        <f t="shared" ref="JN12:JN16" si="186">IF(JM12="","",JM12-JM11)</f>
        <v/>
      </c>
      <c r="JO12" s="5"/>
      <c r="JP12" s="5" t="str">
        <f t="shared" ref="JP12:JP16" si="187">IF(JO12="","",JO12-JO11)</f>
        <v/>
      </c>
      <c r="JQ12" s="5"/>
      <c r="JR12" s="5" t="str">
        <f t="shared" ref="JR12:JR16" si="188">IF(JQ12="","",JQ12-JQ11)</f>
        <v/>
      </c>
      <c r="JS12" s="5"/>
      <c r="JT12" s="5" t="str">
        <f t="shared" ref="JT12:JT16" si="189">IF(JS12="","",JS11+JU11-JS12)</f>
        <v/>
      </c>
      <c r="JU12" s="5"/>
      <c r="JV12" s="2" t="str">
        <f t="shared" ref="JV12:JV26" si="190">IF(JO12="","",JV11)</f>
        <v/>
      </c>
      <c r="JW12" s="4" t="str">
        <f t="shared" ref="JW12:JW16" si="191">IF(JM12="","",JW11)</f>
        <v/>
      </c>
      <c r="JX12" s="5" t="str">
        <f t="shared" ref="JX12:JX16" si="192">IF(JW12="","",JT12*JW12)</f>
        <v/>
      </c>
      <c r="JY12" s="33" t="str">
        <f t="shared" si="66"/>
        <v/>
      </c>
      <c r="JZ12" s="59"/>
    </row>
    <row r="13" spans="1:286" x14ac:dyDescent="0.2">
      <c r="A13" s="50"/>
      <c r="B13" s="60"/>
      <c r="C13" s="53"/>
      <c r="D13" s="5" t="str">
        <f t="shared" si="67"/>
        <v/>
      </c>
      <c r="E13" s="5"/>
      <c r="F13" s="5" t="str">
        <f t="shared" si="68"/>
        <v/>
      </c>
      <c r="G13" s="5"/>
      <c r="H13" s="5" t="str">
        <f t="shared" si="69"/>
        <v/>
      </c>
      <c r="I13" s="32"/>
      <c r="J13" s="35" t="str">
        <f t="shared" si="70"/>
        <v/>
      </c>
      <c r="K13" s="5" t="str">
        <f t="shared" si="71"/>
        <v/>
      </c>
      <c r="L13" s="5" t="str">
        <f t="shared" si="72"/>
        <v/>
      </c>
      <c r="M13" s="33" t="str">
        <f t="shared" si="73"/>
        <v/>
      </c>
      <c r="N13" s="27"/>
      <c r="O13" s="28"/>
      <c r="P13" s="23"/>
      <c r="Q13" s="53"/>
      <c r="R13" s="5" t="str">
        <f t="shared" si="74"/>
        <v/>
      </c>
      <c r="S13" s="5"/>
      <c r="T13" s="5" t="str">
        <f t="shared" si="75"/>
        <v/>
      </c>
      <c r="U13" s="5"/>
      <c r="V13" s="5" t="str">
        <f t="shared" si="76"/>
        <v/>
      </c>
      <c r="W13" s="32"/>
      <c r="X13" s="35" t="str">
        <f t="shared" si="77"/>
        <v/>
      </c>
      <c r="Y13" s="5" t="str">
        <f t="shared" si="78"/>
        <v/>
      </c>
      <c r="Z13" s="5" t="str">
        <f t="shared" si="79"/>
        <v/>
      </c>
      <c r="AA13" s="33" t="str">
        <f t="shared" si="80"/>
        <v/>
      </c>
      <c r="AB13" s="27"/>
      <c r="AD13" s="23"/>
      <c r="AE13" s="53"/>
      <c r="AF13" s="5" t="str">
        <f t="shared" si="81"/>
        <v/>
      </c>
      <c r="AG13" s="5"/>
      <c r="AH13" s="5" t="str">
        <f t="shared" si="82"/>
        <v/>
      </c>
      <c r="AI13" s="5"/>
      <c r="AJ13" s="5" t="str">
        <f t="shared" si="83"/>
        <v/>
      </c>
      <c r="AK13" s="32"/>
      <c r="AL13" s="35" t="str">
        <f t="shared" si="84"/>
        <v/>
      </c>
      <c r="AM13" s="5" t="str">
        <f t="shared" si="85"/>
        <v/>
      </c>
      <c r="AN13" s="5" t="str">
        <f t="shared" si="86"/>
        <v/>
      </c>
      <c r="AO13" s="33" t="str">
        <f t="shared" si="87"/>
        <v/>
      </c>
      <c r="AP13" s="27"/>
      <c r="AR13" s="23"/>
      <c r="AS13" s="53"/>
      <c r="AT13" s="5" t="str">
        <f t="shared" si="88"/>
        <v/>
      </c>
      <c r="AU13" s="5"/>
      <c r="AV13" s="5" t="str">
        <f t="shared" si="89"/>
        <v/>
      </c>
      <c r="AW13" s="5"/>
      <c r="AX13" s="5" t="str">
        <f t="shared" si="90"/>
        <v/>
      </c>
      <c r="AY13" s="32"/>
      <c r="AZ13" s="35" t="str">
        <f t="shared" si="91"/>
        <v/>
      </c>
      <c r="BA13" s="5" t="str">
        <f t="shared" si="92"/>
        <v/>
      </c>
      <c r="BB13" s="5" t="str">
        <f t="shared" si="93"/>
        <v/>
      </c>
      <c r="BC13" s="33" t="str">
        <f t="shared" si="94"/>
        <v/>
      </c>
      <c r="BD13" s="27"/>
      <c r="BF13" s="23"/>
      <c r="BG13" s="53"/>
      <c r="BH13" s="5" t="str">
        <f t="shared" si="95"/>
        <v/>
      </c>
      <c r="BI13" s="5"/>
      <c r="BJ13" s="5" t="str">
        <f t="shared" si="96"/>
        <v/>
      </c>
      <c r="BK13" s="5"/>
      <c r="BL13" s="5" t="str">
        <f t="shared" si="97"/>
        <v/>
      </c>
      <c r="BM13" s="32"/>
      <c r="BN13" s="35" t="str">
        <f t="shared" si="98"/>
        <v/>
      </c>
      <c r="BO13" s="5" t="str">
        <f t="shared" si="99"/>
        <v/>
      </c>
      <c r="BP13" s="5" t="str">
        <f t="shared" si="100"/>
        <v/>
      </c>
      <c r="BQ13" s="33" t="str">
        <f t="shared" si="101"/>
        <v/>
      </c>
      <c r="BR13" s="27"/>
      <c r="BT13" s="23"/>
      <c r="BU13" s="53"/>
      <c r="BV13" s="5" t="str">
        <f t="shared" si="102"/>
        <v/>
      </c>
      <c r="BW13" s="5"/>
      <c r="BX13" s="5" t="str">
        <f t="shared" si="103"/>
        <v/>
      </c>
      <c r="BY13" s="5"/>
      <c r="BZ13" s="5" t="str">
        <f t="shared" si="104"/>
        <v/>
      </c>
      <c r="CA13" s="32"/>
      <c r="CB13" s="35" t="str">
        <f t="shared" si="105"/>
        <v/>
      </c>
      <c r="CC13" s="5" t="str">
        <f t="shared" si="106"/>
        <v/>
      </c>
      <c r="CD13" s="5" t="str">
        <f t="shared" si="107"/>
        <v/>
      </c>
      <c r="CE13" s="33" t="str">
        <f t="shared" si="108"/>
        <v/>
      </c>
      <c r="CF13" s="27"/>
      <c r="CH13" s="23"/>
      <c r="CI13" s="53"/>
      <c r="CJ13" s="5" t="str">
        <f t="shared" si="109"/>
        <v/>
      </c>
      <c r="CK13" s="5"/>
      <c r="CL13" s="5" t="str">
        <f t="shared" si="110"/>
        <v/>
      </c>
      <c r="CM13" s="5"/>
      <c r="CN13" s="5" t="str">
        <f t="shared" si="111"/>
        <v/>
      </c>
      <c r="CO13" s="32"/>
      <c r="CP13" s="35" t="str">
        <f t="shared" si="112"/>
        <v/>
      </c>
      <c r="CQ13" s="5" t="str">
        <f t="shared" si="113"/>
        <v/>
      </c>
      <c r="CR13" s="5" t="str">
        <f t="shared" si="114"/>
        <v/>
      </c>
      <c r="CS13" s="33" t="str">
        <f t="shared" si="115"/>
        <v/>
      </c>
      <c r="CT13" s="27"/>
      <c r="CV13" s="23"/>
      <c r="CW13" s="53"/>
      <c r="CX13" s="5" t="str">
        <f t="shared" si="116"/>
        <v/>
      </c>
      <c r="CY13" s="5"/>
      <c r="CZ13" s="5" t="str">
        <f t="shared" si="117"/>
        <v/>
      </c>
      <c r="DA13" s="5"/>
      <c r="DB13" s="5" t="str">
        <f t="shared" si="118"/>
        <v/>
      </c>
      <c r="DC13" s="32"/>
      <c r="DD13" s="35" t="str">
        <f t="shared" si="119"/>
        <v/>
      </c>
      <c r="DE13" s="5" t="str">
        <f t="shared" si="120"/>
        <v/>
      </c>
      <c r="DF13" s="5" t="str">
        <f t="shared" si="121"/>
        <v/>
      </c>
      <c r="DG13" s="33" t="str">
        <f t="shared" si="122"/>
        <v/>
      </c>
      <c r="DH13" s="27"/>
      <c r="DJ13" s="23"/>
      <c r="DK13" s="53"/>
      <c r="DL13" s="5" t="str">
        <f t="shared" si="123"/>
        <v/>
      </c>
      <c r="DM13" s="5"/>
      <c r="DN13" s="5" t="str">
        <f t="shared" si="124"/>
        <v/>
      </c>
      <c r="DO13" s="5"/>
      <c r="DP13" s="5" t="str">
        <f t="shared" si="125"/>
        <v/>
      </c>
      <c r="DQ13" s="32"/>
      <c r="DR13" s="35" t="str">
        <f t="shared" si="126"/>
        <v/>
      </c>
      <c r="DS13" s="5" t="str">
        <f t="shared" si="127"/>
        <v/>
      </c>
      <c r="DT13" s="5" t="str">
        <f t="shared" si="128"/>
        <v/>
      </c>
      <c r="DU13" s="33" t="str">
        <f t="shared" si="129"/>
        <v/>
      </c>
      <c r="DV13" s="27"/>
      <c r="DX13" s="23"/>
      <c r="DY13" s="53"/>
      <c r="DZ13" s="5" t="str">
        <f t="shared" si="130"/>
        <v/>
      </c>
      <c r="EA13" s="5"/>
      <c r="EB13" s="5" t="str">
        <f t="shared" si="131"/>
        <v/>
      </c>
      <c r="EC13" s="5"/>
      <c r="ED13" s="5" t="str">
        <f t="shared" si="132"/>
        <v/>
      </c>
      <c r="EE13" s="32"/>
      <c r="EF13" s="35" t="str">
        <f t="shared" si="133"/>
        <v/>
      </c>
      <c r="EG13" s="5" t="str">
        <f t="shared" si="134"/>
        <v/>
      </c>
      <c r="EH13" s="5" t="str">
        <f t="shared" si="135"/>
        <v/>
      </c>
      <c r="EI13" s="33" t="str">
        <f t="shared" si="136"/>
        <v/>
      </c>
      <c r="EJ13" s="27"/>
      <c r="EL13" s="37" t="str">
        <f>IF($A43="","",$A43)</f>
        <v/>
      </c>
      <c r="EM13" s="32"/>
      <c r="EN13" s="5" t="str">
        <f t="shared" si="137"/>
        <v/>
      </c>
      <c r="EO13" s="5"/>
      <c r="EP13" s="5" t="str">
        <f t="shared" si="138"/>
        <v/>
      </c>
      <c r="EQ13" s="5"/>
      <c r="ER13" s="5" t="str">
        <f t="shared" si="139"/>
        <v/>
      </c>
      <c r="ES13" s="5"/>
      <c r="ET13" s="2" t="str">
        <f t="shared" si="140"/>
        <v/>
      </c>
      <c r="EU13" s="4" t="str">
        <f t="shared" si="141"/>
        <v/>
      </c>
      <c r="EV13" s="5" t="str">
        <f t="shared" si="142"/>
        <v/>
      </c>
      <c r="EW13" s="33" t="str">
        <f t="shared" si="143"/>
        <v/>
      </c>
      <c r="EX13" s="59"/>
      <c r="EZ13" s="37" t="str">
        <f>IF($A43="","",$A43)</f>
        <v/>
      </c>
      <c r="FA13" s="32"/>
      <c r="FB13" s="5" t="str">
        <f t="shared" si="144"/>
        <v/>
      </c>
      <c r="FC13" s="5"/>
      <c r="FD13" s="5" t="str">
        <f t="shared" si="145"/>
        <v/>
      </c>
      <c r="FE13" s="5"/>
      <c r="FF13" s="5" t="str">
        <f t="shared" si="146"/>
        <v/>
      </c>
      <c r="FG13" s="5"/>
      <c r="FH13" s="2" t="str">
        <f t="shared" si="147"/>
        <v/>
      </c>
      <c r="FI13" s="4" t="str">
        <f t="shared" si="148"/>
        <v/>
      </c>
      <c r="FJ13" s="5" t="str">
        <f t="shared" si="149"/>
        <v/>
      </c>
      <c r="FK13" s="33" t="str">
        <f t="shared" si="150"/>
        <v/>
      </c>
      <c r="FL13" s="59"/>
      <c r="FN13" s="37" t="str">
        <f>IF($A43="","",$A43)</f>
        <v/>
      </c>
      <c r="FO13" s="32"/>
      <c r="FP13" s="5" t="str">
        <f t="shared" si="151"/>
        <v/>
      </c>
      <c r="FQ13" s="5"/>
      <c r="FR13" s="5" t="str">
        <f t="shared" si="152"/>
        <v/>
      </c>
      <c r="FS13" s="5"/>
      <c r="FT13" s="5" t="str">
        <f t="shared" si="153"/>
        <v/>
      </c>
      <c r="FU13" s="5"/>
      <c r="FV13" s="2" t="str">
        <f t="shared" si="154"/>
        <v/>
      </c>
      <c r="FW13" s="4" t="str">
        <f t="shared" si="155"/>
        <v/>
      </c>
      <c r="FX13" s="5" t="str">
        <f t="shared" si="156"/>
        <v/>
      </c>
      <c r="FY13" s="33" t="str">
        <f t="shared" si="157"/>
        <v/>
      </c>
      <c r="FZ13" s="59"/>
      <c r="GB13" s="37" t="str">
        <f>IF($A43="","",$A43)</f>
        <v/>
      </c>
      <c r="GC13" s="32"/>
      <c r="GD13" s="5" t="str">
        <f t="shared" si="21"/>
        <v/>
      </c>
      <c r="GE13" s="5"/>
      <c r="GF13" s="5" t="str">
        <f t="shared" si="22"/>
        <v/>
      </c>
      <c r="GG13" s="5"/>
      <c r="GH13" s="5" t="str">
        <f t="shared" si="23"/>
        <v/>
      </c>
      <c r="GI13" s="5"/>
      <c r="GJ13" s="2" t="str">
        <f t="shared" si="24"/>
        <v/>
      </c>
      <c r="GK13" s="4" t="str">
        <f t="shared" si="25"/>
        <v/>
      </c>
      <c r="GL13" s="5" t="str">
        <f t="shared" si="26"/>
        <v/>
      </c>
      <c r="GM13" s="33" t="str">
        <f t="shared" si="27"/>
        <v/>
      </c>
      <c r="GN13" s="59"/>
      <c r="GP13" s="37" t="str">
        <f>IF($A43="","",$A43)</f>
        <v/>
      </c>
      <c r="GQ13" s="32"/>
      <c r="GR13" s="5" t="str">
        <f t="shared" si="158"/>
        <v/>
      </c>
      <c r="GS13" s="5"/>
      <c r="GT13" s="5" t="str">
        <f t="shared" si="159"/>
        <v/>
      </c>
      <c r="GU13" s="5"/>
      <c r="GV13" s="5" t="str">
        <f t="shared" si="160"/>
        <v/>
      </c>
      <c r="GW13" s="5"/>
      <c r="GX13" s="2" t="str">
        <f t="shared" si="161"/>
        <v/>
      </c>
      <c r="GY13" s="4" t="str">
        <f t="shared" si="162"/>
        <v/>
      </c>
      <c r="GZ13" s="5" t="str">
        <f t="shared" si="163"/>
        <v/>
      </c>
      <c r="HA13" s="33" t="str">
        <f t="shared" si="164"/>
        <v/>
      </c>
      <c r="HB13" s="59"/>
      <c r="HD13" s="37" t="str">
        <f>IF($A43="","",$A43)</f>
        <v/>
      </c>
      <c r="HE13" s="32"/>
      <c r="HF13" s="5" t="str">
        <f t="shared" si="35"/>
        <v/>
      </c>
      <c r="HG13" s="5"/>
      <c r="HH13" s="59"/>
      <c r="HJ13" s="37" t="str">
        <f>IF($A43="","",$A43)</f>
        <v/>
      </c>
      <c r="HK13" s="32"/>
      <c r="HL13" s="5" t="str">
        <f t="shared" si="36"/>
        <v/>
      </c>
      <c r="HM13" s="5"/>
      <c r="HN13" s="59"/>
      <c r="HP13" s="37" t="str">
        <f>IF($A43="","",$A43)</f>
        <v/>
      </c>
      <c r="HQ13" s="32"/>
      <c r="HR13" s="5" t="str">
        <f t="shared" si="37"/>
        <v/>
      </c>
      <c r="HS13" s="5"/>
      <c r="HT13" s="59"/>
      <c r="HV13" s="37" t="str">
        <f>IF($A43="","",$A43)</f>
        <v/>
      </c>
      <c r="HW13" s="32"/>
      <c r="HX13" s="5" t="str">
        <f t="shared" si="165"/>
        <v/>
      </c>
      <c r="HY13" s="5"/>
      <c r="HZ13" s="5" t="str">
        <f t="shared" si="166"/>
        <v/>
      </c>
      <c r="IA13" s="5"/>
      <c r="IB13" s="5" t="str">
        <f t="shared" si="167"/>
        <v/>
      </c>
      <c r="IC13" s="5"/>
      <c r="ID13" s="2" t="str">
        <f t="shared" si="168"/>
        <v/>
      </c>
      <c r="IE13" s="4" t="str">
        <f t="shared" si="169"/>
        <v/>
      </c>
      <c r="IF13" s="5" t="str">
        <f t="shared" si="170"/>
        <v/>
      </c>
      <c r="IG13" s="33" t="str">
        <f t="shared" si="171"/>
        <v/>
      </c>
      <c r="IH13" s="59"/>
      <c r="IJ13" s="37" t="str">
        <f>IF($A43="","",$A43)</f>
        <v/>
      </c>
      <c r="IK13" s="32"/>
      <c r="IL13" s="5" t="str">
        <f t="shared" si="172"/>
        <v/>
      </c>
      <c r="IM13" s="5"/>
      <c r="IN13" s="5" t="str">
        <f t="shared" si="173"/>
        <v/>
      </c>
      <c r="IO13" s="5"/>
      <c r="IP13" s="5" t="str">
        <f t="shared" si="174"/>
        <v/>
      </c>
      <c r="IQ13" s="5"/>
      <c r="IR13" s="2" t="str">
        <f t="shared" si="175"/>
        <v/>
      </c>
      <c r="IS13" s="4" t="str">
        <f t="shared" si="176"/>
        <v/>
      </c>
      <c r="IT13" s="5" t="str">
        <f t="shared" si="177"/>
        <v/>
      </c>
      <c r="IU13" s="33" t="str">
        <f t="shared" si="178"/>
        <v/>
      </c>
      <c r="IV13" s="59"/>
      <c r="IX13" s="37" t="str">
        <f>IF($A43="","",$A43)</f>
        <v/>
      </c>
      <c r="IY13" s="32"/>
      <c r="IZ13" s="5" t="str">
        <f t="shared" si="179"/>
        <v/>
      </c>
      <c r="JA13" s="5"/>
      <c r="JB13" s="5" t="str">
        <f t="shared" si="180"/>
        <v/>
      </c>
      <c r="JC13" s="5"/>
      <c r="JD13" s="5" t="str">
        <f t="shared" si="181"/>
        <v/>
      </c>
      <c r="JE13" s="5"/>
      <c r="JF13" s="2" t="str">
        <f t="shared" si="182"/>
        <v/>
      </c>
      <c r="JG13" s="4" t="str">
        <f t="shared" si="183"/>
        <v/>
      </c>
      <c r="JH13" s="5" t="str">
        <f t="shared" si="184"/>
        <v/>
      </c>
      <c r="JI13" s="33" t="str">
        <f t="shared" si="185"/>
        <v/>
      </c>
      <c r="JJ13" s="59"/>
      <c r="JL13" s="37" t="str">
        <f>IF($A43="","",$A43)</f>
        <v/>
      </c>
      <c r="JM13" s="32"/>
      <c r="JN13" s="5" t="str">
        <f t="shared" si="186"/>
        <v/>
      </c>
      <c r="JO13" s="5"/>
      <c r="JP13" s="5" t="str">
        <f t="shared" si="187"/>
        <v/>
      </c>
      <c r="JQ13" s="5"/>
      <c r="JR13" s="5" t="str">
        <f t="shared" si="188"/>
        <v/>
      </c>
      <c r="JS13" s="5"/>
      <c r="JT13" s="5" t="str">
        <f t="shared" si="189"/>
        <v/>
      </c>
      <c r="JU13" s="5"/>
      <c r="JV13" s="2" t="str">
        <f t="shared" si="190"/>
        <v/>
      </c>
      <c r="JW13" s="4" t="str">
        <f t="shared" si="191"/>
        <v/>
      </c>
      <c r="JX13" s="5" t="str">
        <f t="shared" si="192"/>
        <v/>
      </c>
      <c r="JY13" s="33" t="str">
        <f t="shared" si="66"/>
        <v/>
      </c>
      <c r="JZ13" s="59"/>
    </row>
    <row r="14" spans="1:286" ht="15" customHeight="1" thickBot="1" x14ac:dyDescent="0.25">
      <c r="A14" s="61"/>
      <c r="B14" s="62"/>
      <c r="C14" s="40"/>
      <c r="D14" s="57" t="str">
        <f t="shared" si="67"/>
        <v/>
      </c>
      <c r="E14" s="41"/>
      <c r="F14" s="41" t="str">
        <f t="shared" si="68"/>
        <v/>
      </c>
      <c r="G14" s="41"/>
      <c r="H14" s="41" t="str">
        <f t="shared" si="69"/>
        <v/>
      </c>
      <c r="I14" s="58"/>
      <c r="J14" s="44" t="str">
        <f t="shared" si="70"/>
        <v/>
      </c>
      <c r="K14" s="57" t="str">
        <f t="shared" si="71"/>
        <v/>
      </c>
      <c r="L14" s="41" t="str">
        <f t="shared" si="72"/>
        <v/>
      </c>
      <c r="M14" s="43" t="str">
        <f t="shared" si="73"/>
        <v/>
      </c>
      <c r="N14" s="27"/>
      <c r="O14" s="28"/>
      <c r="P14" s="63"/>
      <c r="Q14" s="40"/>
      <c r="R14" s="57" t="str">
        <f t="shared" si="74"/>
        <v/>
      </c>
      <c r="S14" s="41"/>
      <c r="T14" s="41" t="str">
        <f t="shared" si="75"/>
        <v/>
      </c>
      <c r="U14" s="41"/>
      <c r="V14" s="41" t="str">
        <f t="shared" si="76"/>
        <v/>
      </c>
      <c r="W14" s="58"/>
      <c r="X14" s="44" t="str">
        <f t="shared" si="77"/>
        <v/>
      </c>
      <c r="Y14" s="57" t="str">
        <f t="shared" si="78"/>
        <v/>
      </c>
      <c r="Z14" s="41" t="str">
        <f t="shared" si="79"/>
        <v/>
      </c>
      <c r="AA14" s="43" t="str">
        <f t="shared" si="80"/>
        <v/>
      </c>
      <c r="AB14" s="27"/>
      <c r="AD14" s="63"/>
      <c r="AE14" s="40"/>
      <c r="AF14" s="57" t="str">
        <f t="shared" si="81"/>
        <v/>
      </c>
      <c r="AG14" s="41"/>
      <c r="AH14" s="41" t="str">
        <f t="shared" si="82"/>
        <v/>
      </c>
      <c r="AI14" s="41"/>
      <c r="AJ14" s="41" t="str">
        <f t="shared" si="83"/>
        <v/>
      </c>
      <c r="AK14" s="58"/>
      <c r="AL14" s="44" t="str">
        <f t="shared" si="84"/>
        <v/>
      </c>
      <c r="AM14" s="57" t="str">
        <f t="shared" si="85"/>
        <v/>
      </c>
      <c r="AN14" s="41" t="str">
        <f t="shared" si="86"/>
        <v/>
      </c>
      <c r="AO14" s="43" t="str">
        <f t="shared" si="87"/>
        <v/>
      </c>
      <c r="AP14" s="27"/>
      <c r="AR14" s="63"/>
      <c r="AS14" s="40"/>
      <c r="AT14" s="57" t="str">
        <f t="shared" si="88"/>
        <v/>
      </c>
      <c r="AU14" s="41"/>
      <c r="AV14" s="41" t="str">
        <f t="shared" si="89"/>
        <v/>
      </c>
      <c r="AW14" s="41"/>
      <c r="AX14" s="41" t="str">
        <f t="shared" si="90"/>
        <v/>
      </c>
      <c r="AY14" s="58"/>
      <c r="AZ14" s="44" t="str">
        <f t="shared" si="91"/>
        <v/>
      </c>
      <c r="BA14" s="57" t="str">
        <f t="shared" si="92"/>
        <v/>
      </c>
      <c r="BB14" s="41" t="str">
        <f t="shared" si="93"/>
        <v/>
      </c>
      <c r="BC14" s="43" t="str">
        <f t="shared" si="94"/>
        <v/>
      </c>
      <c r="BD14" s="27"/>
      <c r="BF14" s="63"/>
      <c r="BG14" s="40"/>
      <c r="BH14" s="57" t="str">
        <f t="shared" si="95"/>
        <v/>
      </c>
      <c r="BI14" s="41"/>
      <c r="BJ14" s="41" t="str">
        <f t="shared" si="96"/>
        <v/>
      </c>
      <c r="BK14" s="41"/>
      <c r="BL14" s="41" t="str">
        <f t="shared" si="97"/>
        <v/>
      </c>
      <c r="BM14" s="58"/>
      <c r="BN14" s="44" t="str">
        <f t="shared" si="98"/>
        <v/>
      </c>
      <c r="BO14" s="57" t="str">
        <f t="shared" si="99"/>
        <v/>
      </c>
      <c r="BP14" s="41" t="str">
        <f t="shared" si="100"/>
        <v/>
      </c>
      <c r="BQ14" s="43" t="str">
        <f t="shared" si="101"/>
        <v/>
      </c>
      <c r="BR14" s="27"/>
      <c r="BT14" s="63"/>
      <c r="BU14" s="40"/>
      <c r="BV14" s="57" t="str">
        <f t="shared" si="102"/>
        <v/>
      </c>
      <c r="BW14" s="41"/>
      <c r="BX14" s="41" t="str">
        <f t="shared" si="103"/>
        <v/>
      </c>
      <c r="BY14" s="41"/>
      <c r="BZ14" s="41" t="str">
        <f t="shared" si="104"/>
        <v/>
      </c>
      <c r="CA14" s="58"/>
      <c r="CB14" s="44" t="str">
        <f t="shared" si="105"/>
        <v/>
      </c>
      <c r="CC14" s="57" t="str">
        <f t="shared" si="106"/>
        <v/>
      </c>
      <c r="CD14" s="41" t="str">
        <f t="shared" si="107"/>
        <v/>
      </c>
      <c r="CE14" s="43" t="str">
        <f t="shared" si="108"/>
        <v/>
      </c>
      <c r="CF14" s="27"/>
      <c r="CH14" s="63"/>
      <c r="CI14" s="40"/>
      <c r="CJ14" s="57" t="str">
        <f t="shared" si="109"/>
        <v/>
      </c>
      <c r="CK14" s="41"/>
      <c r="CL14" s="41" t="str">
        <f t="shared" si="110"/>
        <v/>
      </c>
      <c r="CM14" s="41"/>
      <c r="CN14" s="41" t="str">
        <f t="shared" si="111"/>
        <v/>
      </c>
      <c r="CO14" s="58"/>
      <c r="CP14" s="44" t="str">
        <f t="shared" si="112"/>
        <v/>
      </c>
      <c r="CQ14" s="57" t="str">
        <f t="shared" si="113"/>
        <v/>
      </c>
      <c r="CR14" s="41" t="str">
        <f t="shared" si="114"/>
        <v/>
      </c>
      <c r="CS14" s="43" t="str">
        <f t="shared" si="115"/>
        <v/>
      </c>
      <c r="CT14" s="27"/>
      <c r="CV14" s="63"/>
      <c r="CW14" s="40"/>
      <c r="CX14" s="57" t="str">
        <f t="shared" si="116"/>
        <v/>
      </c>
      <c r="CY14" s="41"/>
      <c r="CZ14" s="41" t="str">
        <f t="shared" si="117"/>
        <v/>
      </c>
      <c r="DA14" s="41"/>
      <c r="DB14" s="41" t="str">
        <f t="shared" si="118"/>
        <v/>
      </c>
      <c r="DC14" s="58"/>
      <c r="DD14" s="44" t="str">
        <f t="shared" si="119"/>
        <v/>
      </c>
      <c r="DE14" s="57" t="str">
        <f t="shared" si="120"/>
        <v/>
      </c>
      <c r="DF14" s="41" t="str">
        <f t="shared" si="121"/>
        <v/>
      </c>
      <c r="DG14" s="43" t="str">
        <f t="shared" si="122"/>
        <v/>
      </c>
      <c r="DH14" s="27"/>
      <c r="DJ14" s="38"/>
      <c r="DK14" s="40"/>
      <c r="DL14" s="57" t="str">
        <f t="shared" si="123"/>
        <v/>
      </c>
      <c r="DM14" s="41"/>
      <c r="DN14" s="41" t="str">
        <f t="shared" si="124"/>
        <v/>
      </c>
      <c r="DO14" s="41"/>
      <c r="DP14" s="41" t="str">
        <f t="shared" si="125"/>
        <v/>
      </c>
      <c r="DQ14" s="58"/>
      <c r="DR14" s="44" t="str">
        <f t="shared" si="126"/>
        <v/>
      </c>
      <c r="DS14" s="57" t="str">
        <f t="shared" si="127"/>
        <v/>
      </c>
      <c r="DT14" s="41" t="str">
        <f t="shared" si="128"/>
        <v/>
      </c>
      <c r="DU14" s="43" t="str">
        <f t="shared" si="129"/>
        <v/>
      </c>
      <c r="DV14" s="27"/>
      <c r="DX14" s="38"/>
      <c r="DY14" s="40"/>
      <c r="DZ14" s="57" t="str">
        <f t="shared" si="130"/>
        <v/>
      </c>
      <c r="EA14" s="41"/>
      <c r="EB14" s="41" t="str">
        <f t="shared" si="131"/>
        <v/>
      </c>
      <c r="EC14" s="41"/>
      <c r="ED14" s="41" t="str">
        <f t="shared" si="132"/>
        <v/>
      </c>
      <c r="EE14" s="58"/>
      <c r="EF14" s="44" t="str">
        <f t="shared" si="133"/>
        <v/>
      </c>
      <c r="EG14" s="57" t="str">
        <f t="shared" si="134"/>
        <v/>
      </c>
      <c r="EH14" s="41" t="str">
        <f t="shared" si="135"/>
        <v/>
      </c>
      <c r="EI14" s="43" t="str">
        <f t="shared" si="136"/>
        <v/>
      </c>
      <c r="EJ14" s="27"/>
      <c r="EL14" s="37" t="str">
        <f>IF($A47="","",$A47)</f>
        <v/>
      </c>
      <c r="EM14" s="32"/>
      <c r="EN14" s="5" t="str">
        <f t="shared" si="137"/>
        <v/>
      </c>
      <c r="EO14" s="5"/>
      <c r="EP14" s="5" t="str">
        <f t="shared" si="138"/>
        <v/>
      </c>
      <c r="EQ14" s="5"/>
      <c r="ER14" s="5" t="str">
        <f t="shared" si="139"/>
        <v/>
      </c>
      <c r="ES14" s="5"/>
      <c r="ET14" s="2" t="str">
        <f t="shared" si="140"/>
        <v/>
      </c>
      <c r="EU14" s="4" t="str">
        <f t="shared" si="141"/>
        <v/>
      </c>
      <c r="EV14" s="5" t="str">
        <f t="shared" si="142"/>
        <v/>
      </c>
      <c r="EW14" s="33" t="str">
        <f t="shared" si="143"/>
        <v/>
      </c>
      <c r="EX14" s="27"/>
      <c r="EZ14" s="37" t="str">
        <f>IF($A47="","",$A47)</f>
        <v/>
      </c>
      <c r="FA14" s="32"/>
      <c r="FB14" s="5" t="str">
        <f t="shared" si="144"/>
        <v/>
      </c>
      <c r="FC14" s="5"/>
      <c r="FD14" s="5" t="str">
        <f t="shared" si="145"/>
        <v/>
      </c>
      <c r="FE14" s="5"/>
      <c r="FF14" s="5" t="str">
        <f t="shared" si="146"/>
        <v/>
      </c>
      <c r="FG14" s="5"/>
      <c r="FH14" s="2" t="str">
        <f t="shared" si="147"/>
        <v/>
      </c>
      <c r="FI14" s="4" t="str">
        <f t="shared" si="148"/>
        <v/>
      </c>
      <c r="FJ14" s="5" t="str">
        <f t="shared" si="149"/>
        <v/>
      </c>
      <c r="FK14" s="33" t="str">
        <f t="shared" si="150"/>
        <v/>
      </c>
      <c r="FL14" s="27"/>
      <c r="FN14" s="37" t="str">
        <f>IF($A47="","",$A47)</f>
        <v/>
      </c>
      <c r="FO14" s="32"/>
      <c r="FP14" s="5" t="str">
        <f t="shared" si="151"/>
        <v/>
      </c>
      <c r="FQ14" s="5"/>
      <c r="FR14" s="5" t="str">
        <f t="shared" si="152"/>
        <v/>
      </c>
      <c r="FS14" s="5"/>
      <c r="FT14" s="5" t="str">
        <f t="shared" si="153"/>
        <v/>
      </c>
      <c r="FU14" s="5"/>
      <c r="FV14" s="2" t="str">
        <f t="shared" si="154"/>
        <v/>
      </c>
      <c r="FW14" s="4" t="str">
        <f t="shared" si="155"/>
        <v/>
      </c>
      <c r="FX14" s="5" t="str">
        <f t="shared" si="156"/>
        <v/>
      </c>
      <c r="FY14" s="33" t="str">
        <f t="shared" si="157"/>
        <v/>
      </c>
      <c r="FZ14" s="27"/>
      <c r="GB14" s="37" t="str">
        <f>IF($A47="","",$A47)</f>
        <v/>
      </c>
      <c r="GC14" s="32"/>
      <c r="GD14" s="5" t="str">
        <f t="shared" si="21"/>
        <v/>
      </c>
      <c r="GE14" s="5"/>
      <c r="GF14" s="5" t="str">
        <f t="shared" si="22"/>
        <v/>
      </c>
      <c r="GG14" s="5"/>
      <c r="GH14" s="5" t="str">
        <f t="shared" si="23"/>
        <v/>
      </c>
      <c r="GI14" s="5"/>
      <c r="GJ14" s="2" t="str">
        <f t="shared" si="24"/>
        <v/>
      </c>
      <c r="GK14" s="4" t="str">
        <f t="shared" si="25"/>
        <v/>
      </c>
      <c r="GL14" s="5" t="str">
        <f t="shared" si="26"/>
        <v/>
      </c>
      <c r="GM14" s="33" t="str">
        <f t="shared" si="27"/>
        <v/>
      </c>
      <c r="GN14" s="27"/>
      <c r="GP14" s="37" t="str">
        <f>IF($A47="","",$A47)</f>
        <v/>
      </c>
      <c r="GQ14" s="32"/>
      <c r="GR14" s="5" t="str">
        <f t="shared" si="158"/>
        <v/>
      </c>
      <c r="GS14" s="5"/>
      <c r="GT14" s="5" t="str">
        <f t="shared" si="159"/>
        <v/>
      </c>
      <c r="GU14" s="5"/>
      <c r="GV14" s="5" t="str">
        <f t="shared" si="160"/>
        <v/>
      </c>
      <c r="GW14" s="5"/>
      <c r="GX14" s="2" t="str">
        <f t="shared" si="161"/>
        <v/>
      </c>
      <c r="GY14" s="4" t="str">
        <f t="shared" si="162"/>
        <v/>
      </c>
      <c r="GZ14" s="5" t="str">
        <f t="shared" si="163"/>
        <v/>
      </c>
      <c r="HA14" s="33" t="str">
        <f t="shared" si="164"/>
        <v/>
      </c>
      <c r="HB14" s="27"/>
      <c r="HD14" s="37" t="str">
        <f>IF($A47="","",$A47)</f>
        <v/>
      </c>
      <c r="HE14" s="32"/>
      <c r="HF14" s="5" t="str">
        <f t="shared" si="35"/>
        <v/>
      </c>
      <c r="HG14" s="5"/>
      <c r="HH14" s="27"/>
      <c r="HJ14" s="37" t="str">
        <f>IF($A47="","",$A47)</f>
        <v/>
      </c>
      <c r="HK14" s="32"/>
      <c r="HL14" s="5" t="str">
        <f t="shared" si="36"/>
        <v/>
      </c>
      <c r="HM14" s="5"/>
      <c r="HN14" s="27"/>
      <c r="HP14" s="37" t="str">
        <f>IF($A47="","",$A47)</f>
        <v/>
      </c>
      <c r="HQ14" s="32"/>
      <c r="HR14" s="5" t="str">
        <f t="shared" si="37"/>
        <v/>
      </c>
      <c r="HS14" s="5"/>
      <c r="HT14" s="27"/>
      <c r="HV14" s="37" t="str">
        <f>IF($A47="","",$A47)</f>
        <v/>
      </c>
      <c r="HW14" s="32"/>
      <c r="HX14" s="5" t="str">
        <f t="shared" si="165"/>
        <v/>
      </c>
      <c r="HY14" s="5"/>
      <c r="HZ14" s="5" t="str">
        <f t="shared" si="166"/>
        <v/>
      </c>
      <c r="IA14" s="5"/>
      <c r="IB14" s="5" t="str">
        <f t="shared" si="167"/>
        <v/>
      </c>
      <c r="IC14" s="5"/>
      <c r="ID14" s="2" t="str">
        <f t="shared" si="168"/>
        <v/>
      </c>
      <c r="IE14" s="4" t="str">
        <f t="shared" si="169"/>
        <v/>
      </c>
      <c r="IF14" s="5" t="str">
        <f t="shared" si="170"/>
        <v/>
      </c>
      <c r="IG14" s="33" t="str">
        <f t="shared" si="171"/>
        <v/>
      </c>
      <c r="IH14" s="27"/>
      <c r="IJ14" s="37" t="str">
        <f>IF($A47="","",$A47)</f>
        <v/>
      </c>
      <c r="IK14" s="32"/>
      <c r="IL14" s="5" t="str">
        <f t="shared" si="172"/>
        <v/>
      </c>
      <c r="IM14" s="5"/>
      <c r="IN14" s="5" t="str">
        <f t="shared" si="173"/>
        <v/>
      </c>
      <c r="IO14" s="5"/>
      <c r="IP14" s="5" t="str">
        <f t="shared" si="174"/>
        <v/>
      </c>
      <c r="IQ14" s="5"/>
      <c r="IR14" s="2" t="str">
        <f t="shared" si="175"/>
        <v/>
      </c>
      <c r="IS14" s="4" t="str">
        <f t="shared" si="176"/>
        <v/>
      </c>
      <c r="IT14" s="5" t="str">
        <f t="shared" si="177"/>
        <v/>
      </c>
      <c r="IU14" s="33" t="str">
        <f t="shared" si="178"/>
        <v/>
      </c>
      <c r="IV14" s="27"/>
      <c r="IX14" s="37" t="str">
        <f>IF($A47="","",$A47)</f>
        <v/>
      </c>
      <c r="IY14" s="32"/>
      <c r="IZ14" s="5" t="str">
        <f t="shared" si="179"/>
        <v/>
      </c>
      <c r="JA14" s="5"/>
      <c r="JB14" s="5" t="str">
        <f t="shared" si="180"/>
        <v/>
      </c>
      <c r="JC14" s="5"/>
      <c r="JD14" s="5" t="str">
        <f t="shared" si="181"/>
        <v/>
      </c>
      <c r="JE14" s="5"/>
      <c r="JF14" s="2" t="str">
        <f t="shared" si="182"/>
        <v/>
      </c>
      <c r="JG14" s="4" t="str">
        <f t="shared" si="183"/>
        <v/>
      </c>
      <c r="JH14" s="5" t="str">
        <f t="shared" si="184"/>
        <v/>
      </c>
      <c r="JI14" s="33" t="str">
        <f t="shared" si="185"/>
        <v/>
      </c>
      <c r="JJ14" s="27"/>
      <c r="JL14" s="37" t="str">
        <f>IF($A47="","",$A47)</f>
        <v/>
      </c>
      <c r="JM14" s="32"/>
      <c r="JN14" s="5" t="str">
        <f t="shared" si="186"/>
        <v/>
      </c>
      <c r="JO14" s="5"/>
      <c r="JP14" s="5" t="str">
        <f t="shared" si="187"/>
        <v/>
      </c>
      <c r="JQ14" s="5"/>
      <c r="JR14" s="5" t="str">
        <f t="shared" si="188"/>
        <v/>
      </c>
      <c r="JS14" s="5"/>
      <c r="JT14" s="5" t="str">
        <f t="shared" si="189"/>
        <v/>
      </c>
      <c r="JU14" s="5"/>
      <c r="JV14" s="2" t="str">
        <f t="shared" si="190"/>
        <v/>
      </c>
      <c r="JW14" s="4" t="str">
        <f t="shared" si="191"/>
        <v/>
      </c>
      <c r="JX14" s="5" t="str">
        <f t="shared" si="192"/>
        <v/>
      </c>
      <c r="JY14" s="33" t="str">
        <f t="shared" si="66"/>
        <v/>
      </c>
      <c r="JZ14" s="27"/>
    </row>
    <row r="15" spans="1:286" ht="15" customHeight="1" thickTop="1" x14ac:dyDescent="0.2">
      <c r="A15" s="45"/>
      <c r="B15" s="24">
        <f>SUM(D15:D18)+SUM(R15:R18)+SUM(AF15:AF18)+SUM(BV15:BV18)+SUM(GD6,GR6,EN6,FB6,FP6,HX6,IL6,IZ6,JN6,HF6,HL6,HR6)+SUM(CJ15:CJ18)+SUM(DL15:DL16)</f>
        <v>0</v>
      </c>
      <c r="C15" s="4"/>
      <c r="D15" s="4" t="str">
        <f t="shared" si="67"/>
        <v/>
      </c>
      <c r="E15" s="4"/>
      <c r="F15" s="46" t="str">
        <f t="shared" si="68"/>
        <v/>
      </c>
      <c r="G15" s="4"/>
      <c r="H15" s="4" t="str">
        <f t="shared" si="69"/>
        <v/>
      </c>
      <c r="I15" s="47"/>
      <c r="J15" s="3" t="str">
        <f t="shared" si="70"/>
        <v/>
      </c>
      <c r="K15" s="36" t="str">
        <f t="shared" si="71"/>
        <v/>
      </c>
      <c r="L15" s="46" t="str">
        <f t="shared" si="72"/>
        <v/>
      </c>
      <c r="M15" s="48" t="str">
        <f t="shared" si="73"/>
        <v/>
      </c>
      <c r="N15" s="27"/>
      <c r="O15" s="28"/>
      <c r="P15" s="49" t="str">
        <f>IF($A15="","",$A15)</f>
        <v/>
      </c>
      <c r="Q15" s="4"/>
      <c r="R15" s="4" t="str">
        <f t="shared" si="74"/>
        <v/>
      </c>
      <c r="S15" s="4"/>
      <c r="T15" s="46" t="str">
        <f t="shared" si="75"/>
        <v/>
      </c>
      <c r="U15" s="4"/>
      <c r="V15" s="4" t="str">
        <f t="shared" si="76"/>
        <v/>
      </c>
      <c r="W15" s="47"/>
      <c r="X15" s="3" t="str">
        <f t="shared" si="77"/>
        <v/>
      </c>
      <c r="Y15" s="36" t="str">
        <f t="shared" si="78"/>
        <v/>
      </c>
      <c r="Z15" s="46" t="str">
        <f t="shared" si="79"/>
        <v/>
      </c>
      <c r="AA15" s="48" t="str">
        <f t="shared" si="80"/>
        <v/>
      </c>
      <c r="AB15" s="27"/>
      <c r="AD15" s="49" t="str">
        <f>IF($A15="","",$A15)</f>
        <v/>
      </c>
      <c r="AE15" s="4"/>
      <c r="AF15" s="4" t="str">
        <f t="shared" si="81"/>
        <v/>
      </c>
      <c r="AG15" s="4"/>
      <c r="AH15" s="46" t="str">
        <f t="shared" si="82"/>
        <v/>
      </c>
      <c r="AI15" s="4"/>
      <c r="AJ15" s="4" t="str">
        <f t="shared" si="83"/>
        <v/>
      </c>
      <c r="AK15" s="47"/>
      <c r="AL15" s="3" t="str">
        <f t="shared" si="84"/>
        <v/>
      </c>
      <c r="AM15" s="36" t="str">
        <f t="shared" si="85"/>
        <v/>
      </c>
      <c r="AN15" s="46" t="str">
        <f t="shared" si="86"/>
        <v/>
      </c>
      <c r="AO15" s="48" t="str">
        <f t="shared" si="87"/>
        <v/>
      </c>
      <c r="AP15" s="27"/>
      <c r="AR15" s="49" t="str">
        <f>IF($A15="","",$A15)</f>
        <v/>
      </c>
      <c r="AS15" s="4"/>
      <c r="AT15" s="4" t="str">
        <f t="shared" si="88"/>
        <v/>
      </c>
      <c r="AU15" s="4"/>
      <c r="AV15" s="46" t="str">
        <f t="shared" si="89"/>
        <v/>
      </c>
      <c r="AW15" s="4"/>
      <c r="AX15" s="4" t="str">
        <f t="shared" si="90"/>
        <v/>
      </c>
      <c r="AY15" s="47"/>
      <c r="AZ15" s="3" t="str">
        <f t="shared" si="91"/>
        <v/>
      </c>
      <c r="BA15" s="36" t="str">
        <f t="shared" si="92"/>
        <v/>
      </c>
      <c r="BB15" s="46" t="str">
        <f t="shared" si="93"/>
        <v/>
      </c>
      <c r="BC15" s="48" t="str">
        <f t="shared" si="94"/>
        <v/>
      </c>
      <c r="BD15" s="27"/>
      <c r="BF15" s="49" t="str">
        <f>IF($A15="","",$A15)</f>
        <v/>
      </c>
      <c r="BG15" s="4"/>
      <c r="BH15" s="4" t="str">
        <f t="shared" si="95"/>
        <v/>
      </c>
      <c r="BI15" s="4"/>
      <c r="BJ15" s="46" t="str">
        <f t="shared" si="96"/>
        <v/>
      </c>
      <c r="BK15" s="4"/>
      <c r="BL15" s="4" t="str">
        <f t="shared" si="97"/>
        <v/>
      </c>
      <c r="BM15" s="47"/>
      <c r="BN15" s="3" t="str">
        <f t="shared" si="98"/>
        <v/>
      </c>
      <c r="BO15" s="36" t="str">
        <f t="shared" si="99"/>
        <v/>
      </c>
      <c r="BP15" s="46" t="str">
        <f t="shared" si="100"/>
        <v/>
      </c>
      <c r="BQ15" s="48" t="str">
        <f t="shared" si="101"/>
        <v/>
      </c>
      <c r="BR15" s="27"/>
      <c r="BT15" s="49" t="str">
        <f>IF($A15="","",$A15)</f>
        <v/>
      </c>
      <c r="BU15" s="4"/>
      <c r="BV15" s="4" t="str">
        <f t="shared" si="102"/>
        <v/>
      </c>
      <c r="BW15" s="4"/>
      <c r="BX15" s="46" t="str">
        <f t="shared" si="103"/>
        <v/>
      </c>
      <c r="BY15" s="4"/>
      <c r="BZ15" s="4" t="str">
        <f t="shared" si="104"/>
        <v/>
      </c>
      <c r="CA15" s="47"/>
      <c r="CB15" s="3" t="str">
        <f t="shared" si="105"/>
        <v/>
      </c>
      <c r="CC15" s="36" t="str">
        <f t="shared" si="106"/>
        <v/>
      </c>
      <c r="CD15" s="46" t="str">
        <f t="shared" si="107"/>
        <v/>
      </c>
      <c r="CE15" s="48" t="str">
        <f t="shared" si="108"/>
        <v/>
      </c>
      <c r="CF15" s="27"/>
      <c r="CH15" s="49" t="str">
        <f>IF($A15="","",$A15)</f>
        <v/>
      </c>
      <c r="CI15" s="4"/>
      <c r="CJ15" s="4" t="str">
        <f t="shared" si="109"/>
        <v/>
      </c>
      <c r="CK15" s="4"/>
      <c r="CL15" s="46" t="str">
        <f t="shared" si="110"/>
        <v/>
      </c>
      <c r="CM15" s="4"/>
      <c r="CN15" s="4" t="str">
        <f t="shared" si="111"/>
        <v/>
      </c>
      <c r="CO15" s="47"/>
      <c r="CP15" s="3" t="str">
        <f t="shared" si="112"/>
        <v/>
      </c>
      <c r="CQ15" s="36" t="str">
        <f t="shared" si="113"/>
        <v/>
      </c>
      <c r="CR15" s="46" t="str">
        <f t="shared" si="114"/>
        <v/>
      </c>
      <c r="CS15" s="48" t="str">
        <f t="shared" si="115"/>
        <v/>
      </c>
      <c r="CT15" s="27"/>
      <c r="CV15" s="49" t="str">
        <f>IF($A15="","",$A15)</f>
        <v/>
      </c>
      <c r="CW15" s="4"/>
      <c r="CX15" s="4" t="str">
        <f t="shared" si="116"/>
        <v/>
      </c>
      <c r="CY15" s="4"/>
      <c r="CZ15" s="46" t="str">
        <f t="shared" si="117"/>
        <v/>
      </c>
      <c r="DA15" s="4"/>
      <c r="DB15" s="4" t="str">
        <f t="shared" si="118"/>
        <v/>
      </c>
      <c r="DC15" s="47"/>
      <c r="DD15" s="3" t="str">
        <f t="shared" si="119"/>
        <v/>
      </c>
      <c r="DE15" s="36" t="str">
        <f t="shared" si="120"/>
        <v/>
      </c>
      <c r="DF15" s="46" t="str">
        <f t="shared" si="121"/>
        <v/>
      </c>
      <c r="DG15" s="48" t="str">
        <f t="shared" si="122"/>
        <v/>
      </c>
      <c r="DH15" s="27"/>
      <c r="DJ15" s="30" t="str">
        <f>IF($A15="","",$A15)</f>
        <v/>
      </c>
      <c r="DK15" s="4"/>
      <c r="DL15" s="4" t="str">
        <f t="shared" si="123"/>
        <v/>
      </c>
      <c r="DM15" s="4"/>
      <c r="DN15" s="46" t="str">
        <f t="shared" si="124"/>
        <v/>
      </c>
      <c r="DO15" s="4"/>
      <c r="DP15" s="4" t="str">
        <f t="shared" si="125"/>
        <v/>
      </c>
      <c r="DQ15" s="47"/>
      <c r="DR15" s="3" t="str">
        <f t="shared" si="126"/>
        <v/>
      </c>
      <c r="DS15" s="36" t="str">
        <f t="shared" si="127"/>
        <v/>
      </c>
      <c r="DT15" s="46" t="str">
        <f t="shared" si="128"/>
        <v/>
      </c>
      <c r="DU15" s="48" t="str">
        <f t="shared" si="129"/>
        <v/>
      </c>
      <c r="DV15" s="27"/>
      <c r="DX15" s="30" t="str">
        <f>IF($A15="","",$A15)</f>
        <v/>
      </c>
      <c r="DY15" s="4"/>
      <c r="DZ15" s="4" t="str">
        <f t="shared" si="130"/>
        <v/>
      </c>
      <c r="EA15" s="4"/>
      <c r="EB15" s="46" t="str">
        <f t="shared" si="131"/>
        <v/>
      </c>
      <c r="EC15" s="4"/>
      <c r="ED15" s="4" t="str">
        <f t="shared" si="132"/>
        <v/>
      </c>
      <c r="EE15" s="47"/>
      <c r="EF15" s="3" t="str">
        <f t="shared" si="133"/>
        <v/>
      </c>
      <c r="EG15" s="36" t="str">
        <f t="shared" si="134"/>
        <v/>
      </c>
      <c r="EH15" s="46" t="str">
        <f t="shared" si="135"/>
        <v/>
      </c>
      <c r="EI15" s="48" t="str">
        <f t="shared" si="136"/>
        <v/>
      </c>
      <c r="EJ15" s="27"/>
      <c r="EL15" s="37" t="str">
        <f>IF($A51="","",$A51)</f>
        <v/>
      </c>
      <c r="EM15" s="32"/>
      <c r="EN15" s="5" t="str">
        <f t="shared" si="137"/>
        <v/>
      </c>
      <c r="EO15" s="5"/>
      <c r="EP15" s="5" t="str">
        <f t="shared" si="138"/>
        <v/>
      </c>
      <c r="EQ15" s="5"/>
      <c r="ER15" s="5" t="str">
        <f t="shared" si="139"/>
        <v/>
      </c>
      <c r="ES15" s="5"/>
      <c r="ET15" s="2" t="str">
        <f t="shared" si="140"/>
        <v/>
      </c>
      <c r="EU15" s="4" t="str">
        <f t="shared" si="141"/>
        <v/>
      </c>
      <c r="EV15" s="5" t="str">
        <f t="shared" si="142"/>
        <v/>
      </c>
      <c r="EW15" s="33" t="str">
        <f t="shared" si="143"/>
        <v/>
      </c>
      <c r="EX15" s="27"/>
      <c r="EZ15" s="37" t="str">
        <f>IF($A51="","",$A51)</f>
        <v/>
      </c>
      <c r="FA15" s="32"/>
      <c r="FB15" s="5" t="str">
        <f t="shared" si="144"/>
        <v/>
      </c>
      <c r="FC15" s="5"/>
      <c r="FD15" s="5" t="str">
        <f t="shared" si="145"/>
        <v/>
      </c>
      <c r="FE15" s="5"/>
      <c r="FF15" s="5" t="str">
        <f t="shared" si="146"/>
        <v/>
      </c>
      <c r="FG15" s="5"/>
      <c r="FH15" s="2" t="str">
        <f t="shared" si="147"/>
        <v/>
      </c>
      <c r="FI15" s="4" t="str">
        <f t="shared" si="148"/>
        <v/>
      </c>
      <c r="FJ15" s="5" t="str">
        <f t="shared" si="149"/>
        <v/>
      </c>
      <c r="FK15" s="33" t="str">
        <f t="shared" si="150"/>
        <v/>
      </c>
      <c r="FL15" s="27"/>
      <c r="FN15" s="37" t="str">
        <f>IF($A51="","",$A51)</f>
        <v/>
      </c>
      <c r="FO15" s="32"/>
      <c r="FP15" s="5" t="str">
        <f t="shared" si="151"/>
        <v/>
      </c>
      <c r="FQ15" s="5"/>
      <c r="FR15" s="5" t="str">
        <f t="shared" si="152"/>
        <v/>
      </c>
      <c r="FS15" s="5"/>
      <c r="FT15" s="5" t="str">
        <f t="shared" si="153"/>
        <v/>
      </c>
      <c r="FU15" s="5"/>
      <c r="FV15" s="2" t="str">
        <f t="shared" si="154"/>
        <v/>
      </c>
      <c r="FW15" s="4" t="str">
        <f t="shared" si="155"/>
        <v/>
      </c>
      <c r="FX15" s="5" t="str">
        <f t="shared" si="156"/>
        <v/>
      </c>
      <c r="FY15" s="33" t="str">
        <f t="shared" si="157"/>
        <v/>
      </c>
      <c r="FZ15" s="27"/>
      <c r="GB15" s="37" t="str">
        <f>IF($A51="","",$A51)</f>
        <v/>
      </c>
      <c r="GC15" s="32"/>
      <c r="GD15" s="5" t="str">
        <f t="shared" si="21"/>
        <v/>
      </c>
      <c r="GE15" s="5"/>
      <c r="GF15" s="5" t="str">
        <f t="shared" si="22"/>
        <v/>
      </c>
      <c r="GG15" s="5"/>
      <c r="GH15" s="5" t="str">
        <f t="shared" si="23"/>
        <v/>
      </c>
      <c r="GI15" s="5"/>
      <c r="GJ15" s="2" t="str">
        <f t="shared" si="24"/>
        <v/>
      </c>
      <c r="GK15" s="4" t="str">
        <f t="shared" si="25"/>
        <v/>
      </c>
      <c r="GL15" s="5" t="str">
        <f t="shared" si="26"/>
        <v/>
      </c>
      <c r="GM15" s="33" t="str">
        <f t="shared" si="27"/>
        <v/>
      </c>
      <c r="GN15" s="27"/>
      <c r="GP15" s="37" t="str">
        <f>IF($A51="","",$A51)</f>
        <v/>
      </c>
      <c r="GQ15" s="32"/>
      <c r="GR15" s="5" t="str">
        <f t="shared" si="158"/>
        <v/>
      </c>
      <c r="GS15" s="5"/>
      <c r="GT15" s="5" t="str">
        <f t="shared" si="159"/>
        <v/>
      </c>
      <c r="GU15" s="5"/>
      <c r="GV15" s="5" t="str">
        <f t="shared" si="160"/>
        <v/>
      </c>
      <c r="GW15" s="5"/>
      <c r="GX15" s="2" t="str">
        <f t="shared" si="161"/>
        <v/>
      </c>
      <c r="GY15" s="4" t="str">
        <f t="shared" si="162"/>
        <v/>
      </c>
      <c r="GZ15" s="5" t="str">
        <f t="shared" si="163"/>
        <v/>
      </c>
      <c r="HA15" s="33" t="str">
        <f t="shared" si="164"/>
        <v/>
      </c>
      <c r="HB15" s="27"/>
      <c r="HD15" s="37" t="str">
        <f>IF($A51="","",$A51)</f>
        <v/>
      </c>
      <c r="HE15" s="32"/>
      <c r="HF15" s="5" t="str">
        <f t="shared" si="35"/>
        <v/>
      </c>
      <c r="HG15" s="5"/>
      <c r="HH15" s="27"/>
      <c r="HJ15" s="37" t="str">
        <f>IF($A51="","",$A51)</f>
        <v/>
      </c>
      <c r="HK15" s="32"/>
      <c r="HL15" s="5" t="str">
        <f t="shared" si="36"/>
        <v/>
      </c>
      <c r="HM15" s="5"/>
      <c r="HN15" s="27"/>
      <c r="HP15" s="37" t="str">
        <f>IF($A51="","",$A51)</f>
        <v/>
      </c>
      <c r="HQ15" s="32"/>
      <c r="HR15" s="5" t="str">
        <f t="shared" si="37"/>
        <v/>
      </c>
      <c r="HS15" s="5"/>
      <c r="HT15" s="27"/>
      <c r="HV15" s="37" t="str">
        <f>IF($A51="","",$A51)</f>
        <v/>
      </c>
      <c r="HW15" s="32"/>
      <c r="HX15" s="5" t="str">
        <f t="shared" si="165"/>
        <v/>
      </c>
      <c r="HY15" s="5"/>
      <c r="HZ15" s="5" t="str">
        <f t="shared" si="166"/>
        <v/>
      </c>
      <c r="IA15" s="5"/>
      <c r="IB15" s="5" t="str">
        <f t="shared" si="167"/>
        <v/>
      </c>
      <c r="IC15" s="5"/>
      <c r="ID15" s="2" t="str">
        <f t="shared" si="168"/>
        <v/>
      </c>
      <c r="IE15" s="4" t="str">
        <f t="shared" si="169"/>
        <v/>
      </c>
      <c r="IF15" s="5" t="str">
        <f t="shared" si="170"/>
        <v/>
      </c>
      <c r="IG15" s="33" t="str">
        <f t="shared" si="171"/>
        <v/>
      </c>
      <c r="IH15" s="27"/>
      <c r="IJ15" s="37" t="str">
        <f>IF($A51="","",$A51)</f>
        <v/>
      </c>
      <c r="IK15" s="32"/>
      <c r="IL15" s="5" t="str">
        <f t="shared" si="172"/>
        <v/>
      </c>
      <c r="IM15" s="5"/>
      <c r="IN15" s="5" t="str">
        <f t="shared" si="173"/>
        <v/>
      </c>
      <c r="IO15" s="5"/>
      <c r="IP15" s="5" t="str">
        <f t="shared" si="174"/>
        <v/>
      </c>
      <c r="IQ15" s="5"/>
      <c r="IR15" s="2" t="str">
        <f t="shared" si="175"/>
        <v/>
      </c>
      <c r="IS15" s="4" t="str">
        <f t="shared" si="176"/>
        <v/>
      </c>
      <c r="IT15" s="5" t="str">
        <f t="shared" si="177"/>
        <v/>
      </c>
      <c r="IU15" s="33" t="str">
        <f t="shared" si="178"/>
        <v/>
      </c>
      <c r="IV15" s="27"/>
      <c r="IX15" s="37" t="str">
        <f>IF($A51="","",$A51)</f>
        <v/>
      </c>
      <c r="IY15" s="32"/>
      <c r="IZ15" s="5" t="str">
        <f t="shared" si="179"/>
        <v/>
      </c>
      <c r="JA15" s="5"/>
      <c r="JB15" s="5" t="str">
        <f t="shared" si="180"/>
        <v/>
      </c>
      <c r="JC15" s="5"/>
      <c r="JD15" s="5" t="str">
        <f t="shared" si="181"/>
        <v/>
      </c>
      <c r="JE15" s="5"/>
      <c r="JF15" s="2" t="str">
        <f t="shared" si="182"/>
        <v/>
      </c>
      <c r="JG15" s="4" t="str">
        <f t="shared" si="183"/>
        <v/>
      </c>
      <c r="JH15" s="5" t="str">
        <f t="shared" si="184"/>
        <v/>
      </c>
      <c r="JI15" s="33" t="str">
        <f t="shared" si="185"/>
        <v/>
      </c>
      <c r="JJ15" s="27"/>
      <c r="JL15" s="37" t="str">
        <f>IF($A51="","",$A51)</f>
        <v/>
      </c>
      <c r="JM15" s="32"/>
      <c r="JN15" s="5" t="str">
        <f t="shared" si="186"/>
        <v/>
      </c>
      <c r="JO15" s="5"/>
      <c r="JP15" s="5" t="str">
        <f t="shared" si="187"/>
        <v/>
      </c>
      <c r="JQ15" s="5"/>
      <c r="JR15" s="5" t="str">
        <f t="shared" si="188"/>
        <v/>
      </c>
      <c r="JS15" s="5"/>
      <c r="JT15" s="5" t="str">
        <f t="shared" si="189"/>
        <v/>
      </c>
      <c r="JU15" s="5"/>
      <c r="JV15" s="2" t="str">
        <f t="shared" si="190"/>
        <v/>
      </c>
      <c r="JW15" s="4" t="str">
        <f t="shared" si="191"/>
        <v/>
      </c>
      <c r="JX15" s="5" t="str">
        <f t="shared" si="192"/>
        <v/>
      </c>
      <c r="JY15" s="33" t="str">
        <f t="shared" si="66"/>
        <v/>
      </c>
      <c r="JZ15" s="27"/>
    </row>
    <row r="16" spans="1:286" x14ac:dyDescent="0.2">
      <c r="A16" s="50"/>
      <c r="B16" s="34"/>
      <c r="C16" s="5"/>
      <c r="D16" s="5" t="str">
        <f t="shared" si="67"/>
        <v/>
      </c>
      <c r="E16" s="5"/>
      <c r="F16" s="5" t="str">
        <f t="shared" si="68"/>
        <v/>
      </c>
      <c r="G16" s="5"/>
      <c r="H16" s="5" t="str">
        <f t="shared" si="69"/>
        <v/>
      </c>
      <c r="I16" s="32"/>
      <c r="J16" s="3" t="str">
        <f t="shared" si="70"/>
        <v/>
      </c>
      <c r="K16" s="36" t="str">
        <f t="shared" si="71"/>
        <v/>
      </c>
      <c r="L16" s="5" t="str">
        <f t="shared" si="72"/>
        <v/>
      </c>
      <c r="M16" s="33" t="str">
        <f t="shared" si="73"/>
        <v/>
      </c>
      <c r="N16" s="27"/>
      <c r="O16" s="28"/>
      <c r="P16" s="50"/>
      <c r="Q16" s="5"/>
      <c r="R16" s="5" t="str">
        <f t="shared" si="74"/>
        <v/>
      </c>
      <c r="S16" s="5"/>
      <c r="T16" s="5" t="str">
        <f t="shared" si="75"/>
        <v/>
      </c>
      <c r="U16" s="5"/>
      <c r="V16" s="5" t="str">
        <f t="shared" si="76"/>
        <v/>
      </c>
      <c r="W16" s="32"/>
      <c r="X16" s="3" t="str">
        <f t="shared" si="77"/>
        <v/>
      </c>
      <c r="Y16" s="36" t="str">
        <f t="shared" si="78"/>
        <v/>
      </c>
      <c r="Z16" s="5" t="str">
        <f t="shared" si="79"/>
        <v/>
      </c>
      <c r="AA16" s="33" t="str">
        <f t="shared" si="80"/>
        <v/>
      </c>
      <c r="AB16" s="27"/>
      <c r="AD16" s="50"/>
      <c r="AE16" s="5"/>
      <c r="AF16" s="5" t="str">
        <f t="shared" si="81"/>
        <v/>
      </c>
      <c r="AG16" s="5"/>
      <c r="AH16" s="5" t="str">
        <f t="shared" si="82"/>
        <v/>
      </c>
      <c r="AI16" s="5"/>
      <c r="AJ16" s="5" t="str">
        <f t="shared" si="83"/>
        <v/>
      </c>
      <c r="AK16" s="32"/>
      <c r="AL16" s="3" t="str">
        <f t="shared" si="84"/>
        <v/>
      </c>
      <c r="AM16" s="36" t="str">
        <f t="shared" si="85"/>
        <v/>
      </c>
      <c r="AN16" s="5" t="str">
        <f t="shared" si="86"/>
        <v/>
      </c>
      <c r="AO16" s="33" t="str">
        <f t="shared" si="87"/>
        <v/>
      </c>
      <c r="AP16" s="27"/>
      <c r="AR16" s="50"/>
      <c r="AS16" s="5"/>
      <c r="AT16" s="5" t="str">
        <f t="shared" si="88"/>
        <v/>
      </c>
      <c r="AU16" s="5"/>
      <c r="AV16" s="5" t="str">
        <f t="shared" si="89"/>
        <v/>
      </c>
      <c r="AW16" s="5"/>
      <c r="AX16" s="5" t="str">
        <f t="shared" si="90"/>
        <v/>
      </c>
      <c r="AY16" s="32"/>
      <c r="AZ16" s="3" t="str">
        <f t="shared" si="91"/>
        <v/>
      </c>
      <c r="BA16" s="36" t="str">
        <f t="shared" si="92"/>
        <v/>
      </c>
      <c r="BB16" s="5" t="str">
        <f t="shared" si="93"/>
        <v/>
      </c>
      <c r="BC16" s="33" t="str">
        <f t="shared" si="94"/>
        <v/>
      </c>
      <c r="BD16" s="27"/>
      <c r="BF16" s="50"/>
      <c r="BG16" s="5"/>
      <c r="BH16" s="5" t="str">
        <f t="shared" si="95"/>
        <v/>
      </c>
      <c r="BI16" s="5"/>
      <c r="BJ16" s="5" t="str">
        <f t="shared" si="96"/>
        <v/>
      </c>
      <c r="BK16" s="5"/>
      <c r="BL16" s="5" t="str">
        <f t="shared" si="97"/>
        <v/>
      </c>
      <c r="BM16" s="32"/>
      <c r="BN16" s="3" t="str">
        <f t="shared" si="98"/>
        <v/>
      </c>
      <c r="BO16" s="36" t="str">
        <f t="shared" si="99"/>
        <v/>
      </c>
      <c r="BP16" s="5" t="str">
        <f t="shared" si="100"/>
        <v/>
      </c>
      <c r="BQ16" s="33" t="str">
        <f t="shared" si="101"/>
        <v/>
      </c>
      <c r="BR16" s="27"/>
      <c r="BT16" s="50"/>
      <c r="BU16" s="5"/>
      <c r="BV16" s="5" t="str">
        <f t="shared" si="102"/>
        <v/>
      </c>
      <c r="BW16" s="5"/>
      <c r="BX16" s="5" t="str">
        <f t="shared" si="103"/>
        <v/>
      </c>
      <c r="BY16" s="5"/>
      <c r="BZ16" s="5" t="str">
        <f t="shared" si="104"/>
        <v/>
      </c>
      <c r="CA16" s="32"/>
      <c r="CB16" s="3" t="str">
        <f t="shared" si="105"/>
        <v/>
      </c>
      <c r="CC16" s="36" t="str">
        <f t="shared" si="106"/>
        <v/>
      </c>
      <c r="CD16" s="5" t="str">
        <f t="shared" si="107"/>
        <v/>
      </c>
      <c r="CE16" s="33" t="str">
        <f t="shared" si="108"/>
        <v/>
      </c>
      <c r="CF16" s="27"/>
      <c r="CH16" s="50"/>
      <c r="CI16" s="5"/>
      <c r="CJ16" s="5" t="str">
        <f t="shared" si="109"/>
        <v/>
      </c>
      <c r="CK16" s="5"/>
      <c r="CL16" s="5" t="str">
        <f t="shared" si="110"/>
        <v/>
      </c>
      <c r="CM16" s="5"/>
      <c r="CN16" s="5" t="str">
        <f t="shared" si="111"/>
        <v/>
      </c>
      <c r="CO16" s="32"/>
      <c r="CP16" s="3" t="str">
        <f t="shared" si="112"/>
        <v/>
      </c>
      <c r="CQ16" s="36" t="str">
        <f t="shared" si="113"/>
        <v/>
      </c>
      <c r="CR16" s="5" t="str">
        <f t="shared" si="114"/>
        <v/>
      </c>
      <c r="CS16" s="33" t="str">
        <f t="shared" si="115"/>
        <v/>
      </c>
      <c r="CT16" s="27"/>
      <c r="CV16" s="50"/>
      <c r="CW16" s="5"/>
      <c r="CX16" s="5" t="str">
        <f t="shared" si="116"/>
        <v/>
      </c>
      <c r="CY16" s="5"/>
      <c r="CZ16" s="5" t="str">
        <f t="shared" si="117"/>
        <v/>
      </c>
      <c r="DA16" s="5"/>
      <c r="DB16" s="5" t="str">
        <f t="shared" si="118"/>
        <v/>
      </c>
      <c r="DC16" s="32"/>
      <c r="DD16" s="3" t="str">
        <f t="shared" si="119"/>
        <v/>
      </c>
      <c r="DE16" s="36" t="str">
        <f t="shared" si="120"/>
        <v/>
      </c>
      <c r="DF16" s="5" t="str">
        <f t="shared" si="121"/>
        <v/>
      </c>
      <c r="DG16" s="33" t="str">
        <f t="shared" si="122"/>
        <v/>
      </c>
      <c r="DH16" s="27"/>
      <c r="DJ16" s="30"/>
      <c r="DK16" s="5"/>
      <c r="DL16" s="5" t="str">
        <f t="shared" si="123"/>
        <v/>
      </c>
      <c r="DM16" s="5"/>
      <c r="DN16" s="5" t="str">
        <f t="shared" si="124"/>
        <v/>
      </c>
      <c r="DO16" s="5"/>
      <c r="DP16" s="5" t="str">
        <f t="shared" si="125"/>
        <v/>
      </c>
      <c r="DQ16" s="32"/>
      <c r="DR16" s="3" t="str">
        <f t="shared" si="126"/>
        <v/>
      </c>
      <c r="DS16" s="36" t="str">
        <f t="shared" si="127"/>
        <v/>
      </c>
      <c r="DT16" s="5" t="str">
        <f t="shared" si="128"/>
        <v/>
      </c>
      <c r="DU16" s="33" t="str">
        <f t="shared" si="129"/>
        <v/>
      </c>
      <c r="DV16" s="27"/>
      <c r="DX16" s="30"/>
      <c r="DY16" s="5"/>
      <c r="DZ16" s="5" t="str">
        <f t="shared" si="130"/>
        <v/>
      </c>
      <c r="EA16" s="5"/>
      <c r="EB16" s="5" t="str">
        <f t="shared" si="131"/>
        <v/>
      </c>
      <c r="EC16" s="5"/>
      <c r="ED16" s="5" t="str">
        <f t="shared" si="132"/>
        <v/>
      </c>
      <c r="EE16" s="32"/>
      <c r="EF16" s="3" t="str">
        <f t="shared" si="133"/>
        <v/>
      </c>
      <c r="EG16" s="36" t="str">
        <f t="shared" si="134"/>
        <v/>
      </c>
      <c r="EH16" s="5" t="str">
        <f t="shared" si="135"/>
        <v/>
      </c>
      <c r="EI16" s="33" t="str">
        <f t="shared" si="136"/>
        <v/>
      </c>
      <c r="EJ16" s="27"/>
      <c r="EL16" s="37" t="str">
        <f>IF($A52="","",$A52)</f>
        <v/>
      </c>
      <c r="EM16" s="5"/>
      <c r="EN16" s="5" t="str">
        <f t="shared" si="137"/>
        <v/>
      </c>
      <c r="EO16" s="5"/>
      <c r="EP16" s="5" t="str">
        <f t="shared" si="138"/>
        <v/>
      </c>
      <c r="EQ16" s="5"/>
      <c r="ER16" s="5" t="str">
        <f t="shared" si="139"/>
        <v/>
      </c>
      <c r="ES16" s="5"/>
      <c r="ET16" s="2" t="str">
        <f t="shared" si="140"/>
        <v/>
      </c>
      <c r="EU16" s="4" t="str">
        <f t="shared" si="141"/>
        <v/>
      </c>
      <c r="EV16" s="5" t="str">
        <f t="shared" si="142"/>
        <v/>
      </c>
      <c r="EW16" s="33" t="str">
        <f>IF(EV16="","",EV16/(EM16*100))</f>
        <v/>
      </c>
      <c r="EX16" s="27"/>
      <c r="EZ16" s="37" t="str">
        <f>IF($A52="","",$A52)</f>
        <v/>
      </c>
      <c r="FA16" s="32"/>
      <c r="FB16" s="5" t="str">
        <f t="shared" ref="FB16" si="193">IF(FA16="","",FA16-FA15)</f>
        <v/>
      </c>
      <c r="FC16" s="5"/>
      <c r="FD16" s="5" t="str">
        <f t="shared" ref="FD16" si="194">IF(FC16="","",FC16-FC15)</f>
        <v/>
      </c>
      <c r="FE16" s="5"/>
      <c r="FF16" s="5" t="str">
        <f t="shared" ref="FF16" si="195">IF(FE16="","",FE15+FG15-FE16)</f>
        <v/>
      </c>
      <c r="FG16" s="5"/>
      <c r="FH16" s="2" t="str">
        <f t="shared" ref="FH16" si="196">IF(FA16="","",FH15)</f>
        <v/>
      </c>
      <c r="FI16" s="4" t="str">
        <f t="shared" ref="FI16" si="197">IF(FA16="","",FI15)</f>
        <v/>
      </c>
      <c r="FJ16" s="5" t="str">
        <f t="shared" ref="FJ16" si="198">IF(FI16="","",FF16*FI16)</f>
        <v/>
      </c>
      <c r="FK16" s="33" t="str">
        <f t="shared" ref="FK16" si="199">IF(FJ16="","",FJ16/(FB16*100))</f>
        <v/>
      </c>
      <c r="FL16" s="27"/>
      <c r="FN16" s="37" t="str">
        <f>IF($A52="","",$A52)</f>
        <v/>
      </c>
      <c r="FO16" s="32"/>
      <c r="FP16" s="5" t="str">
        <f t="shared" ref="FP16" si="200">IF(FO16="","",FO16-FO15)</f>
        <v/>
      </c>
      <c r="FQ16" s="5"/>
      <c r="FR16" s="5" t="str">
        <f t="shared" ref="FR16" si="201">IF(FQ16="","",FQ16-FQ15)</f>
        <v/>
      </c>
      <c r="FS16" s="5"/>
      <c r="FT16" s="5" t="str">
        <f t="shared" ref="FT16" si="202">IF(FS16="","",FS15+FU15-FS16)</f>
        <v/>
      </c>
      <c r="FU16" s="5"/>
      <c r="FV16" s="2" t="str">
        <f t="shared" ref="FV16" si="203">IF(FO16="","",FV15)</f>
        <v/>
      </c>
      <c r="FW16" s="4" t="str">
        <f t="shared" ref="FW16" si="204">IF(FO16="","",FW15)</f>
        <v/>
      </c>
      <c r="FX16" s="5" t="str">
        <f t="shared" ref="FX16" si="205">IF(FW16="","",FT16*FW16)</f>
        <v/>
      </c>
      <c r="FY16" s="33" t="str">
        <f t="shared" ref="FY16" si="206">IF(FX16="","",FX16/(FP16*100))</f>
        <v/>
      </c>
      <c r="FZ16" s="27"/>
      <c r="GB16" s="37" t="str">
        <f>IF($A52="","",$A52)</f>
        <v/>
      </c>
      <c r="GC16" s="5"/>
      <c r="GD16" s="5" t="str">
        <f t="shared" si="21"/>
        <v/>
      </c>
      <c r="GE16" s="5"/>
      <c r="GF16" s="5" t="str">
        <f t="shared" si="22"/>
        <v/>
      </c>
      <c r="GG16" s="5"/>
      <c r="GH16" s="5" t="str">
        <f t="shared" si="23"/>
        <v/>
      </c>
      <c r="GI16" s="5"/>
      <c r="GJ16" s="2" t="str">
        <f t="shared" si="24"/>
        <v/>
      </c>
      <c r="GK16" s="4" t="str">
        <f t="shared" si="25"/>
        <v/>
      </c>
      <c r="GL16" s="5" t="str">
        <f t="shared" si="26"/>
        <v/>
      </c>
      <c r="GM16" s="33" t="str">
        <f>IF(GL16="","",GL16/(GC16*100))</f>
        <v/>
      </c>
      <c r="GN16" s="27"/>
      <c r="GP16" s="37" t="str">
        <f>IF($A52="","",$A52)</f>
        <v/>
      </c>
      <c r="GQ16" s="5"/>
      <c r="GR16" s="5" t="str">
        <f t="shared" si="158"/>
        <v/>
      </c>
      <c r="GS16" s="5"/>
      <c r="GT16" s="5" t="str">
        <f t="shared" si="159"/>
        <v/>
      </c>
      <c r="GU16" s="5"/>
      <c r="GV16" s="5" t="str">
        <f t="shared" si="160"/>
        <v/>
      </c>
      <c r="GW16" s="5"/>
      <c r="GX16" s="2" t="str">
        <f t="shared" si="161"/>
        <v/>
      </c>
      <c r="GY16" s="4" t="str">
        <f t="shared" si="162"/>
        <v/>
      </c>
      <c r="GZ16" s="5" t="str">
        <f t="shared" si="163"/>
        <v/>
      </c>
      <c r="HA16" s="33" t="str">
        <f>IF(GZ16="","",GZ16/(GQ16*100))</f>
        <v/>
      </c>
      <c r="HB16" s="27"/>
      <c r="HD16" s="37" t="str">
        <f>IF($A52="","",$A52)</f>
        <v/>
      </c>
      <c r="HE16" s="32"/>
      <c r="HF16" s="5" t="str">
        <f t="shared" ref="HF16" si="207">IF(HE16="","",HE16-HE15)</f>
        <v/>
      </c>
      <c r="HG16" s="5"/>
      <c r="HH16" s="27"/>
      <c r="HJ16" s="37" t="str">
        <f>IF($A52="","",$A52)</f>
        <v/>
      </c>
      <c r="HK16" s="32"/>
      <c r="HL16" s="5" t="str">
        <f t="shared" ref="HL16" si="208">IF(HK16="","",HK16-HK15)</f>
        <v/>
      </c>
      <c r="HM16" s="5"/>
      <c r="HN16" s="27"/>
      <c r="HP16" s="37" t="str">
        <f>IF($A52="","",$A52)</f>
        <v/>
      </c>
      <c r="HQ16" s="5"/>
      <c r="HR16" s="5" t="str">
        <f t="shared" si="37"/>
        <v/>
      </c>
      <c r="HS16" s="5"/>
      <c r="HT16" s="27"/>
      <c r="HV16" s="37" t="str">
        <f>IF($A52="","",$A52)</f>
        <v/>
      </c>
      <c r="HW16" s="5"/>
      <c r="HX16" s="5" t="str">
        <f t="shared" si="165"/>
        <v/>
      </c>
      <c r="HY16" s="5"/>
      <c r="HZ16" s="5" t="str">
        <f t="shared" si="166"/>
        <v/>
      </c>
      <c r="IA16" s="5"/>
      <c r="IB16" s="5" t="str">
        <f t="shared" si="167"/>
        <v/>
      </c>
      <c r="IC16" s="5"/>
      <c r="ID16" s="2" t="str">
        <f t="shared" si="168"/>
        <v/>
      </c>
      <c r="IE16" s="4" t="str">
        <f t="shared" si="169"/>
        <v/>
      </c>
      <c r="IF16" s="5" t="str">
        <f t="shared" si="170"/>
        <v/>
      </c>
      <c r="IG16" s="33" t="str">
        <f>IF(IF16="","",IF16/(HW16*100))</f>
        <v/>
      </c>
      <c r="IH16" s="27"/>
      <c r="IJ16" s="37" t="str">
        <f>IF($A52="","",$A52)</f>
        <v/>
      </c>
      <c r="IK16" s="32"/>
      <c r="IL16" s="5" t="str">
        <f t="shared" ref="IL16" si="209">IF(IK16="","",IK16-IK15)</f>
        <v/>
      </c>
      <c r="IM16" s="5"/>
      <c r="IN16" s="5" t="str">
        <f t="shared" ref="IN16" si="210">IF(IM16="","",IM16-IM15)</f>
        <v/>
      </c>
      <c r="IO16" s="5"/>
      <c r="IP16" s="5" t="str">
        <f t="shared" ref="IP16" si="211">IF(IO16="","",IO15+IQ15-IO16)</f>
        <v/>
      </c>
      <c r="IQ16" s="5"/>
      <c r="IR16" s="2" t="str">
        <f t="shared" ref="IR16" si="212">IF(IK16="","",IR15)</f>
        <v/>
      </c>
      <c r="IS16" s="4" t="str">
        <f t="shared" ref="IS16" si="213">IF(IK16="","",IS15)</f>
        <v/>
      </c>
      <c r="IT16" s="5" t="str">
        <f t="shared" ref="IT16" si="214">IF(IS16="","",IP16*IS16)</f>
        <v/>
      </c>
      <c r="IU16" s="33" t="str">
        <f t="shared" ref="IU16" si="215">IF(IT16="","",IT16/(IL16*100))</f>
        <v/>
      </c>
      <c r="IV16" s="27"/>
      <c r="IX16" s="37" t="str">
        <f>IF($A52="","",$A52)</f>
        <v/>
      </c>
      <c r="IY16" s="5"/>
      <c r="IZ16" s="5" t="str">
        <f t="shared" si="179"/>
        <v/>
      </c>
      <c r="JA16" s="5"/>
      <c r="JB16" s="5" t="str">
        <f t="shared" si="180"/>
        <v/>
      </c>
      <c r="JC16" s="5"/>
      <c r="JD16" s="5" t="str">
        <f t="shared" si="181"/>
        <v/>
      </c>
      <c r="JE16" s="5"/>
      <c r="JF16" s="2" t="str">
        <f t="shared" si="182"/>
        <v/>
      </c>
      <c r="JG16" s="4" t="str">
        <f t="shared" si="183"/>
        <v/>
      </c>
      <c r="JH16" s="5" t="str">
        <f t="shared" si="184"/>
        <v/>
      </c>
      <c r="JI16" s="33" t="str">
        <f>IF(JH16="","",JH16/(IY16*100))</f>
        <v/>
      </c>
      <c r="JJ16" s="27"/>
      <c r="JL16" s="37" t="str">
        <f>IF($A52="","",$A52)</f>
        <v/>
      </c>
      <c r="JM16" s="5"/>
      <c r="JN16" s="5" t="str">
        <f t="shared" si="186"/>
        <v/>
      </c>
      <c r="JO16" s="5"/>
      <c r="JP16" s="5" t="str">
        <f t="shared" si="187"/>
        <v/>
      </c>
      <c r="JQ16" s="5"/>
      <c r="JR16" s="5" t="str">
        <f t="shared" si="188"/>
        <v/>
      </c>
      <c r="JS16" s="5"/>
      <c r="JT16" s="5" t="str">
        <f t="shared" si="189"/>
        <v/>
      </c>
      <c r="JU16" s="5"/>
      <c r="JV16" s="2" t="str">
        <f t="shared" si="190"/>
        <v/>
      </c>
      <c r="JW16" s="4" t="str">
        <f t="shared" si="191"/>
        <v/>
      </c>
      <c r="JX16" s="5" t="str">
        <f t="shared" si="192"/>
        <v/>
      </c>
      <c r="JY16" s="33" t="str">
        <f>IF(JX16="","",JX16/(JM16*100))</f>
        <v/>
      </c>
      <c r="JZ16" s="27"/>
    </row>
    <row r="17" spans="1:286" x14ac:dyDescent="0.2">
      <c r="A17" s="64"/>
      <c r="B17" s="65"/>
      <c r="C17" s="54"/>
      <c r="D17" s="5" t="str">
        <f t="shared" si="67"/>
        <v/>
      </c>
      <c r="E17" s="5"/>
      <c r="F17" s="5" t="str">
        <f t="shared" si="68"/>
        <v/>
      </c>
      <c r="G17" s="54"/>
      <c r="H17" s="5" t="str">
        <f t="shared" si="69"/>
        <v/>
      </c>
      <c r="I17" s="55"/>
      <c r="J17" s="3" t="str">
        <f t="shared" si="70"/>
        <v/>
      </c>
      <c r="K17" s="36" t="str">
        <f t="shared" si="71"/>
        <v/>
      </c>
      <c r="L17" s="5" t="str">
        <f t="shared" si="72"/>
        <v/>
      </c>
      <c r="M17" s="33" t="str">
        <f t="shared" si="73"/>
        <v/>
      </c>
      <c r="N17" s="27"/>
      <c r="P17" s="64"/>
      <c r="Q17" s="54"/>
      <c r="R17" s="5" t="str">
        <f t="shared" si="74"/>
        <v/>
      </c>
      <c r="S17" s="5"/>
      <c r="T17" s="5" t="str">
        <f t="shared" si="75"/>
        <v/>
      </c>
      <c r="U17" s="54"/>
      <c r="V17" s="5" t="str">
        <f t="shared" si="76"/>
        <v/>
      </c>
      <c r="W17" s="55"/>
      <c r="X17" s="3" t="str">
        <f t="shared" si="77"/>
        <v/>
      </c>
      <c r="Y17" s="36" t="str">
        <f t="shared" si="78"/>
        <v/>
      </c>
      <c r="Z17" s="5" t="str">
        <f t="shared" si="79"/>
        <v/>
      </c>
      <c r="AA17" s="33" t="str">
        <f t="shared" si="80"/>
        <v/>
      </c>
      <c r="AB17" s="27"/>
      <c r="AD17" s="64"/>
      <c r="AE17" s="54"/>
      <c r="AF17" s="5" t="str">
        <f t="shared" si="81"/>
        <v/>
      </c>
      <c r="AG17" s="5"/>
      <c r="AH17" s="5" t="str">
        <f t="shared" si="82"/>
        <v/>
      </c>
      <c r="AI17" s="54"/>
      <c r="AJ17" s="5" t="str">
        <f t="shared" si="83"/>
        <v/>
      </c>
      <c r="AK17" s="55"/>
      <c r="AL17" s="3" t="str">
        <f t="shared" si="84"/>
        <v/>
      </c>
      <c r="AM17" s="36" t="str">
        <f t="shared" si="85"/>
        <v/>
      </c>
      <c r="AN17" s="5" t="str">
        <f t="shared" si="86"/>
        <v/>
      </c>
      <c r="AO17" s="33" t="str">
        <f t="shared" si="87"/>
        <v/>
      </c>
      <c r="AP17" s="27"/>
      <c r="AR17" s="64"/>
      <c r="AS17" s="54"/>
      <c r="AT17" s="5" t="str">
        <f t="shared" si="88"/>
        <v/>
      </c>
      <c r="AU17" s="5"/>
      <c r="AV17" s="5" t="str">
        <f t="shared" si="89"/>
        <v/>
      </c>
      <c r="AW17" s="54"/>
      <c r="AX17" s="5" t="str">
        <f t="shared" si="90"/>
        <v/>
      </c>
      <c r="AY17" s="55"/>
      <c r="AZ17" s="3" t="str">
        <f t="shared" si="91"/>
        <v/>
      </c>
      <c r="BA17" s="36" t="str">
        <f t="shared" si="92"/>
        <v/>
      </c>
      <c r="BB17" s="5" t="str">
        <f t="shared" si="93"/>
        <v/>
      </c>
      <c r="BC17" s="33" t="str">
        <f t="shared" si="94"/>
        <v/>
      </c>
      <c r="BD17" s="27"/>
      <c r="BF17" s="64"/>
      <c r="BG17" s="54"/>
      <c r="BH17" s="5" t="str">
        <f t="shared" si="95"/>
        <v/>
      </c>
      <c r="BI17" s="5"/>
      <c r="BJ17" s="5" t="str">
        <f t="shared" si="96"/>
        <v/>
      </c>
      <c r="BK17" s="54"/>
      <c r="BL17" s="5" t="str">
        <f t="shared" si="97"/>
        <v/>
      </c>
      <c r="BM17" s="55"/>
      <c r="BN17" s="3" t="str">
        <f t="shared" si="98"/>
        <v/>
      </c>
      <c r="BO17" s="36" t="str">
        <f t="shared" si="99"/>
        <v/>
      </c>
      <c r="BP17" s="5" t="str">
        <f t="shared" si="100"/>
        <v/>
      </c>
      <c r="BQ17" s="33" t="str">
        <f t="shared" si="101"/>
        <v/>
      </c>
      <c r="BR17" s="27"/>
      <c r="BT17" s="64"/>
      <c r="BU17" s="54"/>
      <c r="BV17" s="5" t="str">
        <f t="shared" si="102"/>
        <v/>
      </c>
      <c r="BW17" s="5"/>
      <c r="BX17" s="5" t="str">
        <f t="shared" si="103"/>
        <v/>
      </c>
      <c r="BY17" s="54"/>
      <c r="BZ17" s="5" t="str">
        <f t="shared" si="104"/>
        <v/>
      </c>
      <c r="CA17" s="55"/>
      <c r="CB17" s="3" t="str">
        <f t="shared" si="105"/>
        <v/>
      </c>
      <c r="CC17" s="36" t="str">
        <f t="shared" si="106"/>
        <v/>
      </c>
      <c r="CD17" s="5" t="str">
        <f t="shared" si="107"/>
        <v/>
      </c>
      <c r="CE17" s="33" t="str">
        <f t="shared" si="108"/>
        <v/>
      </c>
      <c r="CF17" s="27"/>
      <c r="CH17" s="64"/>
      <c r="CI17" s="54"/>
      <c r="CJ17" s="5" t="str">
        <f t="shared" si="109"/>
        <v/>
      </c>
      <c r="CK17" s="5"/>
      <c r="CL17" s="5" t="str">
        <f t="shared" si="110"/>
        <v/>
      </c>
      <c r="CM17" s="54"/>
      <c r="CN17" s="5" t="str">
        <f t="shared" si="111"/>
        <v/>
      </c>
      <c r="CO17" s="55"/>
      <c r="CP17" s="3" t="str">
        <f t="shared" si="112"/>
        <v/>
      </c>
      <c r="CQ17" s="36" t="str">
        <f t="shared" si="113"/>
        <v/>
      </c>
      <c r="CR17" s="5" t="str">
        <f t="shared" si="114"/>
        <v/>
      </c>
      <c r="CS17" s="33" t="str">
        <f t="shared" si="115"/>
        <v/>
      </c>
      <c r="CT17" s="27"/>
      <c r="CV17" s="64"/>
      <c r="CW17" s="54"/>
      <c r="CX17" s="5" t="str">
        <f t="shared" si="116"/>
        <v/>
      </c>
      <c r="CY17" s="5"/>
      <c r="CZ17" s="5" t="str">
        <f t="shared" si="117"/>
        <v/>
      </c>
      <c r="DA17" s="54"/>
      <c r="DB17" s="5" t="str">
        <f t="shared" si="118"/>
        <v/>
      </c>
      <c r="DC17" s="55"/>
      <c r="DD17" s="3" t="str">
        <f t="shared" si="119"/>
        <v/>
      </c>
      <c r="DE17" s="36" t="str">
        <f t="shared" si="120"/>
        <v/>
      </c>
      <c r="DF17" s="5" t="str">
        <f t="shared" si="121"/>
        <v/>
      </c>
      <c r="DG17" s="33" t="str">
        <f t="shared" si="122"/>
        <v/>
      </c>
      <c r="DH17" s="27"/>
      <c r="DJ17" s="66"/>
      <c r="DK17" s="54"/>
      <c r="DL17" s="5" t="str">
        <f t="shared" si="123"/>
        <v/>
      </c>
      <c r="DM17" s="5"/>
      <c r="DN17" s="5" t="str">
        <f t="shared" si="124"/>
        <v/>
      </c>
      <c r="DO17" s="54"/>
      <c r="DP17" s="5" t="str">
        <f t="shared" si="125"/>
        <v/>
      </c>
      <c r="DQ17" s="55"/>
      <c r="DR17" s="3" t="str">
        <f t="shared" si="126"/>
        <v/>
      </c>
      <c r="DS17" s="36" t="str">
        <f t="shared" si="127"/>
        <v/>
      </c>
      <c r="DT17" s="5" t="str">
        <f t="shared" si="128"/>
        <v/>
      </c>
      <c r="DU17" s="33" t="str">
        <f t="shared" si="129"/>
        <v/>
      </c>
      <c r="DV17" s="27"/>
      <c r="DX17" s="66"/>
      <c r="DY17" s="54"/>
      <c r="DZ17" s="5" t="str">
        <f t="shared" si="130"/>
        <v/>
      </c>
      <c r="EA17" s="5"/>
      <c r="EB17" s="5" t="str">
        <f t="shared" si="131"/>
        <v/>
      </c>
      <c r="EC17" s="54"/>
      <c r="ED17" s="5" t="str">
        <f t="shared" si="132"/>
        <v/>
      </c>
      <c r="EE17" s="55"/>
      <c r="EF17" s="3" t="str">
        <f t="shared" si="133"/>
        <v/>
      </c>
      <c r="EG17" s="36" t="str">
        <f t="shared" si="134"/>
        <v/>
      </c>
      <c r="EH17" s="5" t="str">
        <f t="shared" si="135"/>
        <v/>
      </c>
      <c r="EI17" s="33" t="str">
        <f t="shared" si="136"/>
        <v/>
      </c>
      <c r="EJ17" s="27"/>
      <c r="EL17" s="37"/>
      <c r="EM17" s="5"/>
      <c r="EN17" s="5"/>
      <c r="EO17" s="5"/>
      <c r="EP17" s="5"/>
      <c r="EQ17" s="5"/>
      <c r="ER17" s="5"/>
      <c r="ES17" s="5"/>
      <c r="ET17" s="2" t="str">
        <f t="shared" si="140"/>
        <v/>
      </c>
      <c r="EU17" s="4"/>
      <c r="EV17" s="5"/>
      <c r="EW17" s="33" t="str">
        <f>IF(EV17="","",EV17/(EM17*100))</f>
        <v/>
      </c>
      <c r="EX17" s="27"/>
      <c r="EZ17" s="37"/>
      <c r="FA17" s="5"/>
      <c r="FB17" s="5"/>
      <c r="FC17" s="5"/>
      <c r="FD17" s="5"/>
      <c r="FE17" s="5"/>
      <c r="FF17" s="5"/>
      <c r="FG17" s="5"/>
      <c r="FH17" s="2" t="str">
        <f t="shared" si="147"/>
        <v/>
      </c>
      <c r="FI17" s="4"/>
      <c r="FJ17" s="5"/>
      <c r="FK17" s="33" t="str">
        <f>IF(FJ17="","",FJ17/(FA17*100))</f>
        <v/>
      </c>
      <c r="FL17" s="27"/>
      <c r="FN17" s="37"/>
      <c r="FO17" s="5"/>
      <c r="FP17" s="5"/>
      <c r="FQ17" s="5"/>
      <c r="FR17" s="5"/>
      <c r="FS17" s="5"/>
      <c r="FT17" s="5"/>
      <c r="FU17" s="5"/>
      <c r="FV17" s="2" t="str">
        <f t="shared" si="154"/>
        <v/>
      </c>
      <c r="FW17" s="4"/>
      <c r="FX17" s="5"/>
      <c r="FY17" s="33" t="str">
        <f>IF(FX17="","",FX17/(FO17*100))</f>
        <v/>
      </c>
      <c r="FZ17" s="27"/>
      <c r="GB17" s="37"/>
      <c r="GC17" s="5"/>
      <c r="GD17" s="5"/>
      <c r="GE17" s="5"/>
      <c r="GF17" s="5"/>
      <c r="GG17" s="5"/>
      <c r="GH17" s="5"/>
      <c r="GI17" s="5"/>
      <c r="GJ17" s="2" t="str">
        <f t="shared" si="24"/>
        <v/>
      </c>
      <c r="GK17" s="4"/>
      <c r="GL17" s="5"/>
      <c r="GM17" s="33" t="str">
        <f>IF(GL17="","",GL17/(GC17*100))</f>
        <v/>
      </c>
      <c r="GN17" s="27"/>
      <c r="GP17" s="37"/>
      <c r="GQ17" s="5"/>
      <c r="GR17" s="5"/>
      <c r="GS17" s="5"/>
      <c r="GT17" s="5"/>
      <c r="GU17" s="5"/>
      <c r="GV17" s="5"/>
      <c r="GW17" s="5"/>
      <c r="GX17" s="2" t="str">
        <f t="shared" si="161"/>
        <v/>
      </c>
      <c r="GY17" s="4"/>
      <c r="GZ17" s="5"/>
      <c r="HA17" s="33" t="str">
        <f>IF(GZ17="","",GZ17/(GQ17*100))</f>
        <v/>
      </c>
      <c r="HB17" s="27"/>
      <c r="HD17" s="37"/>
      <c r="HE17" s="5"/>
      <c r="HF17" s="5"/>
      <c r="HG17" s="5"/>
      <c r="HH17" s="27"/>
      <c r="HJ17" s="37"/>
      <c r="HK17" s="5"/>
      <c r="HL17" s="5"/>
      <c r="HM17" s="5"/>
      <c r="HN17" s="27"/>
      <c r="HP17" s="37"/>
      <c r="HQ17" s="5"/>
      <c r="HR17" s="5"/>
      <c r="HS17" s="5"/>
      <c r="HT17" s="27"/>
      <c r="HV17" s="37"/>
      <c r="HW17" s="5"/>
      <c r="HX17" s="5"/>
      <c r="HY17" s="5"/>
      <c r="HZ17" s="5"/>
      <c r="IA17" s="5"/>
      <c r="IB17" s="5"/>
      <c r="IC17" s="5"/>
      <c r="ID17" s="2" t="str">
        <f t="shared" si="168"/>
        <v/>
      </c>
      <c r="IE17" s="4"/>
      <c r="IF17" s="5"/>
      <c r="IG17" s="33" t="str">
        <f>IF(IF17="","",IF17/(HW17*100))</f>
        <v/>
      </c>
      <c r="IH17" s="27"/>
      <c r="IJ17" s="37"/>
      <c r="IK17" s="5"/>
      <c r="IL17" s="5"/>
      <c r="IM17" s="5"/>
      <c r="IN17" s="5"/>
      <c r="IO17" s="5"/>
      <c r="IP17" s="5"/>
      <c r="IQ17" s="5"/>
      <c r="IR17" s="2" t="str">
        <f t="shared" si="175"/>
        <v/>
      </c>
      <c r="IS17" s="4"/>
      <c r="IT17" s="5"/>
      <c r="IU17" s="33" t="str">
        <f>IF(IT17="","",IT17/(IK17*100))</f>
        <v/>
      </c>
      <c r="IV17" s="27"/>
      <c r="IX17" s="37"/>
      <c r="IY17" s="5"/>
      <c r="IZ17" s="5"/>
      <c r="JA17" s="5"/>
      <c r="JB17" s="5"/>
      <c r="JC17" s="5"/>
      <c r="JD17" s="5"/>
      <c r="JE17" s="5"/>
      <c r="JF17" s="2" t="str">
        <f t="shared" si="182"/>
        <v/>
      </c>
      <c r="JG17" s="4"/>
      <c r="JH17" s="5"/>
      <c r="JI17" s="33" t="str">
        <f>IF(JH17="","",JH17/(IY17*100))</f>
        <v/>
      </c>
      <c r="JJ17" s="27"/>
      <c r="JL17" s="37"/>
      <c r="JM17" s="5"/>
      <c r="JN17" s="5"/>
      <c r="JO17" s="5"/>
      <c r="JP17" s="5"/>
      <c r="JQ17" s="5"/>
      <c r="JR17" s="5"/>
      <c r="JS17" s="5"/>
      <c r="JT17" s="5"/>
      <c r="JU17" s="5"/>
      <c r="JV17" s="2" t="str">
        <f t="shared" si="190"/>
        <v/>
      </c>
      <c r="JW17" s="4"/>
      <c r="JX17" s="5"/>
      <c r="JY17" s="33" t="str">
        <f>IF(JX17="","",JX17/(JM17*100))</f>
        <v/>
      </c>
      <c r="JZ17" s="27"/>
    </row>
    <row r="18" spans="1:286" ht="15" customHeight="1" thickBot="1" x14ac:dyDescent="0.25">
      <c r="A18" s="56"/>
      <c r="B18" s="67"/>
      <c r="C18" s="41"/>
      <c r="D18" s="57" t="str">
        <f t="shared" si="67"/>
        <v/>
      </c>
      <c r="E18" s="41"/>
      <c r="F18" s="41" t="str">
        <f t="shared" si="68"/>
        <v/>
      </c>
      <c r="G18" s="41"/>
      <c r="H18" s="41" t="str">
        <f t="shared" si="69"/>
        <v/>
      </c>
      <c r="I18" s="58"/>
      <c r="J18" s="42" t="str">
        <f t="shared" si="70"/>
        <v/>
      </c>
      <c r="K18" s="57" t="str">
        <f t="shared" si="71"/>
        <v/>
      </c>
      <c r="L18" s="41" t="str">
        <f t="shared" si="72"/>
        <v/>
      </c>
      <c r="M18" s="43" t="str">
        <f t="shared" si="73"/>
        <v/>
      </c>
      <c r="N18" s="27"/>
      <c r="P18" s="56"/>
      <c r="Q18" s="41"/>
      <c r="R18" s="57" t="str">
        <f t="shared" si="74"/>
        <v/>
      </c>
      <c r="S18" s="41"/>
      <c r="T18" s="41" t="str">
        <f t="shared" si="75"/>
        <v/>
      </c>
      <c r="U18" s="41"/>
      <c r="V18" s="41" t="str">
        <f t="shared" si="76"/>
        <v/>
      </c>
      <c r="W18" s="58"/>
      <c r="X18" s="42" t="str">
        <f t="shared" si="77"/>
        <v/>
      </c>
      <c r="Y18" s="57" t="str">
        <f t="shared" si="78"/>
        <v/>
      </c>
      <c r="Z18" s="41" t="str">
        <f t="shared" si="79"/>
        <v/>
      </c>
      <c r="AA18" s="43" t="str">
        <f t="shared" si="80"/>
        <v/>
      </c>
      <c r="AB18" s="27"/>
      <c r="AD18" s="56"/>
      <c r="AE18" s="41"/>
      <c r="AF18" s="57" t="str">
        <f t="shared" si="81"/>
        <v/>
      </c>
      <c r="AG18" s="41"/>
      <c r="AH18" s="41" t="str">
        <f t="shared" si="82"/>
        <v/>
      </c>
      <c r="AI18" s="41"/>
      <c r="AJ18" s="41" t="str">
        <f t="shared" si="83"/>
        <v/>
      </c>
      <c r="AK18" s="58"/>
      <c r="AL18" s="42" t="str">
        <f t="shared" si="84"/>
        <v/>
      </c>
      <c r="AM18" s="57" t="str">
        <f t="shared" si="85"/>
        <v/>
      </c>
      <c r="AN18" s="41" t="str">
        <f t="shared" si="86"/>
        <v/>
      </c>
      <c r="AO18" s="43" t="str">
        <f t="shared" si="87"/>
        <v/>
      </c>
      <c r="AP18" s="27"/>
      <c r="AR18" s="56"/>
      <c r="AS18" s="41"/>
      <c r="AT18" s="57" t="str">
        <f t="shared" si="88"/>
        <v/>
      </c>
      <c r="AU18" s="41"/>
      <c r="AV18" s="41" t="str">
        <f t="shared" si="89"/>
        <v/>
      </c>
      <c r="AW18" s="41"/>
      <c r="AX18" s="41" t="str">
        <f t="shared" si="90"/>
        <v/>
      </c>
      <c r="AY18" s="58"/>
      <c r="AZ18" s="42" t="str">
        <f t="shared" si="91"/>
        <v/>
      </c>
      <c r="BA18" s="57" t="str">
        <f t="shared" si="92"/>
        <v/>
      </c>
      <c r="BB18" s="41" t="str">
        <f t="shared" si="93"/>
        <v/>
      </c>
      <c r="BC18" s="43" t="str">
        <f t="shared" si="94"/>
        <v/>
      </c>
      <c r="BD18" s="27"/>
      <c r="BF18" s="56"/>
      <c r="BG18" s="41"/>
      <c r="BH18" s="57" t="str">
        <f t="shared" si="95"/>
        <v/>
      </c>
      <c r="BI18" s="41"/>
      <c r="BJ18" s="41" t="str">
        <f t="shared" si="96"/>
        <v/>
      </c>
      <c r="BK18" s="41"/>
      <c r="BL18" s="41" t="str">
        <f t="shared" si="97"/>
        <v/>
      </c>
      <c r="BM18" s="58"/>
      <c r="BN18" s="42" t="str">
        <f t="shared" si="98"/>
        <v/>
      </c>
      <c r="BO18" s="57" t="str">
        <f t="shared" si="99"/>
        <v/>
      </c>
      <c r="BP18" s="41" t="str">
        <f t="shared" si="100"/>
        <v/>
      </c>
      <c r="BQ18" s="43" t="str">
        <f t="shared" si="101"/>
        <v/>
      </c>
      <c r="BR18" s="27"/>
      <c r="BT18" s="56"/>
      <c r="BU18" s="41"/>
      <c r="BV18" s="57" t="str">
        <f t="shared" si="102"/>
        <v/>
      </c>
      <c r="BW18" s="41"/>
      <c r="BX18" s="41" t="str">
        <f t="shared" si="103"/>
        <v/>
      </c>
      <c r="BY18" s="41"/>
      <c r="BZ18" s="41" t="str">
        <f t="shared" si="104"/>
        <v/>
      </c>
      <c r="CA18" s="58"/>
      <c r="CB18" s="42" t="str">
        <f t="shared" si="105"/>
        <v/>
      </c>
      <c r="CC18" s="57" t="str">
        <f t="shared" si="106"/>
        <v/>
      </c>
      <c r="CD18" s="41" t="str">
        <f t="shared" si="107"/>
        <v/>
      </c>
      <c r="CE18" s="43" t="str">
        <f t="shared" si="108"/>
        <v/>
      </c>
      <c r="CF18" s="27"/>
      <c r="CH18" s="56"/>
      <c r="CI18" s="41"/>
      <c r="CJ18" s="57" t="str">
        <f t="shared" si="109"/>
        <v/>
      </c>
      <c r="CK18" s="41"/>
      <c r="CL18" s="41" t="str">
        <f t="shared" si="110"/>
        <v/>
      </c>
      <c r="CM18" s="41"/>
      <c r="CN18" s="41" t="str">
        <f t="shared" si="111"/>
        <v/>
      </c>
      <c r="CO18" s="58"/>
      <c r="CP18" s="42" t="str">
        <f t="shared" si="112"/>
        <v/>
      </c>
      <c r="CQ18" s="57" t="str">
        <f t="shared" si="113"/>
        <v/>
      </c>
      <c r="CR18" s="41" t="str">
        <f t="shared" si="114"/>
        <v/>
      </c>
      <c r="CS18" s="43" t="str">
        <f t="shared" si="115"/>
        <v/>
      </c>
      <c r="CT18" s="27"/>
      <c r="CV18" s="56"/>
      <c r="CW18" s="41"/>
      <c r="CX18" s="57" t="str">
        <f t="shared" si="116"/>
        <v/>
      </c>
      <c r="CY18" s="41"/>
      <c r="CZ18" s="41" t="str">
        <f t="shared" si="117"/>
        <v/>
      </c>
      <c r="DA18" s="41"/>
      <c r="DB18" s="41" t="str">
        <f t="shared" si="118"/>
        <v/>
      </c>
      <c r="DC18" s="58"/>
      <c r="DD18" s="42" t="str">
        <f t="shared" si="119"/>
        <v/>
      </c>
      <c r="DE18" s="57" t="str">
        <f t="shared" si="120"/>
        <v/>
      </c>
      <c r="DF18" s="41" t="str">
        <f t="shared" si="121"/>
        <v/>
      </c>
      <c r="DG18" s="43" t="str">
        <f t="shared" si="122"/>
        <v/>
      </c>
      <c r="DH18" s="27"/>
      <c r="DJ18" s="38"/>
      <c r="DK18" s="41"/>
      <c r="DL18" s="57" t="str">
        <f t="shared" si="123"/>
        <v/>
      </c>
      <c r="DM18" s="41"/>
      <c r="DN18" s="41" t="str">
        <f t="shared" si="124"/>
        <v/>
      </c>
      <c r="DO18" s="41"/>
      <c r="DP18" s="41" t="str">
        <f t="shared" si="125"/>
        <v/>
      </c>
      <c r="DQ18" s="58"/>
      <c r="DR18" s="42" t="str">
        <f t="shared" si="126"/>
        <v/>
      </c>
      <c r="DS18" s="57" t="str">
        <f t="shared" si="127"/>
        <v/>
      </c>
      <c r="DT18" s="41" t="str">
        <f t="shared" si="128"/>
        <v/>
      </c>
      <c r="DU18" s="43" t="str">
        <f t="shared" si="129"/>
        <v/>
      </c>
      <c r="DV18" s="27"/>
      <c r="DX18" s="38"/>
      <c r="DY18" s="41"/>
      <c r="DZ18" s="57" t="str">
        <f t="shared" si="130"/>
        <v/>
      </c>
      <c r="EA18" s="41"/>
      <c r="EB18" s="41" t="str">
        <f t="shared" si="131"/>
        <v/>
      </c>
      <c r="EC18" s="41"/>
      <c r="ED18" s="41" t="str">
        <f t="shared" si="132"/>
        <v/>
      </c>
      <c r="EE18" s="58"/>
      <c r="EF18" s="42" t="str">
        <f t="shared" si="133"/>
        <v/>
      </c>
      <c r="EG18" s="57" t="str">
        <f t="shared" si="134"/>
        <v/>
      </c>
      <c r="EH18" s="41" t="str">
        <f t="shared" si="135"/>
        <v/>
      </c>
      <c r="EI18" s="43" t="str">
        <f t="shared" si="136"/>
        <v/>
      </c>
      <c r="EJ18" s="27"/>
      <c r="EL18" s="37"/>
      <c r="EM18" s="5"/>
      <c r="EN18" s="5" t="str">
        <f>IF(EM18="","",EM18-EM19)</f>
        <v/>
      </c>
      <c r="EO18" s="5"/>
      <c r="EP18" s="5" t="str">
        <f>IF(EO18="","",EO18-EO19)</f>
        <v/>
      </c>
      <c r="EQ18" s="5"/>
      <c r="ER18" s="5" t="str">
        <f>IF(EQ18="","",EQ19+ES19-EQ18)</f>
        <v/>
      </c>
      <c r="ES18" s="5"/>
      <c r="ET18" s="2" t="str">
        <f t="shared" si="140"/>
        <v/>
      </c>
      <c r="EU18" s="4" t="str">
        <f>IF(EM18="","",EU19)</f>
        <v/>
      </c>
      <c r="EV18" s="5" t="str">
        <f t="shared" ref="EV18:EV50" si="216">IF(EU18="","",ER18*EU18)</f>
        <v/>
      </c>
      <c r="EW18" s="33" t="str">
        <f t="shared" ref="EW18:EW50" si="217">IF(EV18="","",EV18/(EN18*100))</f>
        <v/>
      </c>
      <c r="EX18" s="27"/>
      <c r="EZ18" s="37"/>
      <c r="FA18" s="5"/>
      <c r="FB18" s="5" t="str">
        <f>IF(FA18="","",FA18-FA19)</f>
        <v/>
      </c>
      <c r="FC18" s="5"/>
      <c r="FD18" s="5" t="str">
        <f>IF(FC18="","",FC18-FC19)</f>
        <v/>
      </c>
      <c r="FE18" s="5"/>
      <c r="FF18" s="5" t="str">
        <f>IF(FE18="","",FE19+FG19-FE18)</f>
        <v/>
      </c>
      <c r="FG18" s="5"/>
      <c r="FH18" s="2" t="str">
        <f t="shared" si="147"/>
        <v/>
      </c>
      <c r="FI18" s="4" t="str">
        <f>IF(FA18="","",FI19)</f>
        <v/>
      </c>
      <c r="FJ18" s="5" t="str">
        <f t="shared" ref="FJ18:FJ50" si="218">IF(FI18="","",FF18*FI18)</f>
        <v/>
      </c>
      <c r="FK18" s="33" t="str">
        <f t="shared" ref="FK18:FK50" si="219">IF(FJ18="","",FJ18/(FB18*100))</f>
        <v/>
      </c>
      <c r="FL18" s="27"/>
      <c r="FN18" s="37"/>
      <c r="FO18" s="5"/>
      <c r="FP18" s="5" t="str">
        <f>IF(FO18="","",FO18-FO19)</f>
        <v/>
      </c>
      <c r="FQ18" s="5"/>
      <c r="FR18" s="5" t="str">
        <f>IF(FQ18="","",FQ18-FQ19)</f>
        <v/>
      </c>
      <c r="FS18" s="5"/>
      <c r="FT18" s="5" t="str">
        <f>IF(FS18="","",FS19+FU19-FS18)</f>
        <v/>
      </c>
      <c r="FU18" s="5"/>
      <c r="FV18" s="2" t="str">
        <f t="shared" si="154"/>
        <v/>
      </c>
      <c r="FW18" s="4" t="str">
        <f>IF(FO18="","",FW19)</f>
        <v/>
      </c>
      <c r="FX18" s="5" t="str">
        <f t="shared" ref="FX18:FX50" si="220">IF(FW18="","",FT18*FW18)</f>
        <v/>
      </c>
      <c r="FY18" s="33" t="str">
        <f t="shared" ref="FY18:FY50" si="221">IF(FX18="","",FX18/(FP18*100))</f>
        <v/>
      </c>
      <c r="FZ18" s="27"/>
      <c r="GB18" s="37"/>
      <c r="GC18" s="5"/>
      <c r="GD18" s="5" t="str">
        <f>IF(GC18="","",GC18-GC19)</f>
        <v/>
      </c>
      <c r="GE18" s="5"/>
      <c r="GF18" s="5" t="str">
        <f>IF(GE18="","",GE18-GE19)</f>
        <v/>
      </c>
      <c r="GG18" s="5"/>
      <c r="GH18" s="5" t="str">
        <f>IF(GG18="","",GG19+GI19-GG18)</f>
        <v/>
      </c>
      <c r="GI18" s="5"/>
      <c r="GJ18" s="2" t="str">
        <f t="shared" si="24"/>
        <v/>
      </c>
      <c r="GK18" s="4" t="str">
        <f>IF(GC18="","",GK19)</f>
        <v/>
      </c>
      <c r="GL18" s="5" t="str">
        <f t="shared" ref="GL18:GL50" si="222">IF(GK18="","",GH18*GK18)</f>
        <v/>
      </c>
      <c r="GM18" s="33" t="str">
        <f t="shared" ref="GM18:GM50" si="223">IF(GL18="","",GL18/(GD18*100))</f>
        <v/>
      </c>
      <c r="GN18" s="27"/>
      <c r="GP18" s="37"/>
      <c r="GQ18" s="5"/>
      <c r="GR18" s="5" t="str">
        <f>IF(GQ18="","",GQ18-GQ19)</f>
        <v/>
      </c>
      <c r="GS18" s="5"/>
      <c r="GT18" s="5" t="str">
        <f>IF(GS18="","",GS18-GS19)</f>
        <v/>
      </c>
      <c r="GU18" s="5"/>
      <c r="GV18" s="5" t="str">
        <f>IF(GU18="","",GU19+GW19-GU18)</f>
        <v/>
      </c>
      <c r="GW18" s="5"/>
      <c r="GX18" s="2" t="str">
        <f t="shared" si="161"/>
        <v/>
      </c>
      <c r="GY18" s="4" t="str">
        <f>IF(GQ18="","",GY19)</f>
        <v/>
      </c>
      <c r="GZ18" s="5" t="str">
        <f t="shared" ref="GZ18:GZ50" si="224">IF(GY18="","",GV18*GY18)</f>
        <v/>
      </c>
      <c r="HA18" s="33" t="str">
        <f t="shared" ref="HA18:HA50" si="225">IF(GZ18="","",GZ18/(GR18*100))</f>
        <v/>
      </c>
      <c r="HB18" s="27"/>
      <c r="HD18" s="37"/>
      <c r="HE18" s="5"/>
      <c r="HF18" s="5" t="str">
        <f>IF(HE18="","",HE18-HE19)</f>
        <v/>
      </c>
      <c r="HG18" s="5"/>
      <c r="HH18" s="27"/>
      <c r="HJ18" s="37"/>
      <c r="HK18" s="5"/>
      <c r="HL18" s="5" t="str">
        <f>IF(HK18="","",HK18-HK19)</f>
        <v/>
      </c>
      <c r="HM18" s="5"/>
      <c r="HN18" s="27"/>
      <c r="HP18" s="37"/>
      <c r="HQ18" s="5"/>
      <c r="HR18" s="5" t="str">
        <f>IF(HQ18="","",HQ18-HQ19)</f>
        <v/>
      </c>
      <c r="HS18" s="5"/>
      <c r="HT18" s="27"/>
      <c r="HV18" s="37"/>
      <c r="HW18" s="5"/>
      <c r="HX18" s="5" t="str">
        <f>IF(HW18="","",HW18-HW19)</f>
        <v/>
      </c>
      <c r="HY18" s="5"/>
      <c r="HZ18" s="5" t="str">
        <f>IF(HY18="","",HY18-HY19)</f>
        <v/>
      </c>
      <c r="IA18" s="5"/>
      <c r="IB18" s="5" t="str">
        <f>IF(IA18="","",IA19+IC19-IA18)</f>
        <v/>
      </c>
      <c r="IC18" s="5"/>
      <c r="ID18" s="2" t="str">
        <f t="shared" si="168"/>
        <v/>
      </c>
      <c r="IE18" s="4" t="str">
        <f>IF(HW18="","",IE19)</f>
        <v/>
      </c>
      <c r="IF18" s="5" t="str">
        <f t="shared" ref="IF18:IF50" si="226">IF(IE18="","",IB18*IE18)</f>
        <v/>
      </c>
      <c r="IG18" s="33" t="str">
        <f t="shared" ref="IG18:IG50" si="227">IF(IF18="","",IF18/(HX18*100))</f>
        <v/>
      </c>
      <c r="IH18" s="27"/>
      <c r="IJ18" s="37"/>
      <c r="IK18" s="5"/>
      <c r="IL18" s="5" t="str">
        <f>IF(IK18="","",IK18-IK19)</f>
        <v/>
      </c>
      <c r="IM18" s="5"/>
      <c r="IN18" s="5" t="str">
        <f>IF(IM18="","",IM18-IM19)</f>
        <v/>
      </c>
      <c r="IO18" s="5"/>
      <c r="IP18" s="5" t="str">
        <f>IF(IO18="","",IO19+IQ19-IO18)</f>
        <v/>
      </c>
      <c r="IQ18" s="5"/>
      <c r="IR18" s="2" t="str">
        <f t="shared" si="175"/>
        <v/>
      </c>
      <c r="IS18" s="4" t="str">
        <f>IF(IK18="","",IS19)</f>
        <v/>
      </c>
      <c r="IT18" s="5" t="str">
        <f t="shared" ref="IT18:IT50" si="228">IF(IS18="","",IP18*IS18)</f>
        <v/>
      </c>
      <c r="IU18" s="33" t="str">
        <f t="shared" ref="IU18:IU50" si="229">IF(IT18="","",IT18/(IL18*100))</f>
        <v/>
      </c>
      <c r="IV18" s="27"/>
      <c r="IX18" s="37"/>
      <c r="IY18" s="5"/>
      <c r="IZ18" s="5" t="str">
        <f>IF(IY18="","",IY18-IY19)</f>
        <v/>
      </c>
      <c r="JA18" s="5"/>
      <c r="JB18" s="5" t="str">
        <f>IF(JA18="","",JA18-JA19)</f>
        <v/>
      </c>
      <c r="JC18" s="5"/>
      <c r="JD18" s="5" t="str">
        <f>IF(JC18="","",JC19+JE19-JC18)</f>
        <v/>
      </c>
      <c r="JE18" s="5"/>
      <c r="JF18" s="2" t="str">
        <f t="shared" si="182"/>
        <v/>
      </c>
      <c r="JG18" s="4" t="str">
        <f>IF(IY18="","",JG19)</f>
        <v/>
      </c>
      <c r="JH18" s="5" t="str">
        <f t="shared" ref="JH18:JH50" si="230">IF(JG18="","",JD18*JG18)</f>
        <v/>
      </c>
      <c r="JI18" s="33" t="str">
        <f t="shared" ref="JI18:JI50" si="231">IF(JH18="","",JH18/(IZ18*100))</f>
        <v/>
      </c>
      <c r="JJ18" s="27"/>
      <c r="JL18" s="37"/>
      <c r="JM18" s="5"/>
      <c r="JN18" s="5" t="str">
        <f>IF(JM18="","",JM18-JM19)</f>
        <v/>
      </c>
      <c r="JO18" s="5"/>
      <c r="JP18" s="5" t="str">
        <f>IF(JO18="","",JO18-JO19)</f>
        <v/>
      </c>
      <c r="JQ18" s="5"/>
      <c r="JR18" s="5" t="str">
        <f>IF(JQ18="","",JQ18-JQ19)</f>
        <v/>
      </c>
      <c r="JS18" s="5"/>
      <c r="JT18" s="5" t="str">
        <f>IF(JS18="","",JS19+JU19-JS18)</f>
        <v/>
      </c>
      <c r="JU18" s="5"/>
      <c r="JV18" s="2" t="str">
        <f t="shared" si="190"/>
        <v/>
      </c>
      <c r="JW18" s="4" t="str">
        <f>IF(JM18="","",JW19)</f>
        <v/>
      </c>
      <c r="JX18" s="5" t="str">
        <f t="shared" ref="JX18:JX50" si="232">IF(JW18="","",JT18*JW18)</f>
        <v/>
      </c>
      <c r="JY18" s="33" t="str">
        <f t="shared" ref="JY18:JY50" si="233">IF(JX18="","",JX18/(JN18*100))</f>
        <v/>
      </c>
      <c r="JZ18" s="27"/>
    </row>
    <row r="19" spans="1:286" ht="15" customHeight="1" thickTop="1" x14ac:dyDescent="0.2">
      <c r="A19" s="45"/>
      <c r="B19" s="24">
        <f>SUM(D19:D22)+SUM(R19:R22)+SUM(AF19:AF22)+SUM(BV19:BV22)+SUM(GD7,GR7,EN7,FB7,FP7,HX7,IL7,IZ7,JN7,HF7,HL7,HR7)+SUM(CJ19:CJ22)+SUM(DL19:DL20)</f>
        <v>0</v>
      </c>
      <c r="C19" s="4"/>
      <c r="D19" s="4" t="str">
        <f t="shared" si="67"/>
        <v/>
      </c>
      <c r="E19" s="4"/>
      <c r="F19" s="46" t="str">
        <f t="shared" si="68"/>
        <v/>
      </c>
      <c r="G19" s="4"/>
      <c r="H19" s="4" t="str">
        <f t="shared" si="69"/>
        <v/>
      </c>
      <c r="I19" s="47"/>
      <c r="J19" s="3" t="str">
        <f t="shared" si="70"/>
        <v/>
      </c>
      <c r="K19" s="36" t="str">
        <f t="shared" si="71"/>
        <v/>
      </c>
      <c r="L19" s="46" t="str">
        <f t="shared" si="72"/>
        <v/>
      </c>
      <c r="M19" s="48" t="str">
        <f t="shared" si="73"/>
        <v/>
      </c>
      <c r="N19" s="27"/>
      <c r="P19" s="49" t="str">
        <f>IF($A19="","",$A19)</f>
        <v/>
      </c>
      <c r="Q19" s="4"/>
      <c r="R19" s="4" t="str">
        <f t="shared" si="74"/>
        <v/>
      </c>
      <c r="S19" s="4"/>
      <c r="T19" s="46" t="str">
        <f t="shared" si="75"/>
        <v/>
      </c>
      <c r="U19" s="4"/>
      <c r="V19" s="4" t="str">
        <f t="shared" si="76"/>
        <v/>
      </c>
      <c r="W19" s="47"/>
      <c r="X19" s="3" t="str">
        <f t="shared" si="77"/>
        <v/>
      </c>
      <c r="Y19" s="36" t="str">
        <f t="shared" si="78"/>
        <v/>
      </c>
      <c r="Z19" s="46" t="str">
        <f t="shared" si="79"/>
        <v/>
      </c>
      <c r="AA19" s="48" t="str">
        <f t="shared" si="80"/>
        <v/>
      </c>
      <c r="AB19" s="27"/>
      <c r="AD19" s="49" t="str">
        <f>IF($A19="","",$A19)</f>
        <v/>
      </c>
      <c r="AE19" s="4"/>
      <c r="AF19" s="4" t="str">
        <f t="shared" si="81"/>
        <v/>
      </c>
      <c r="AG19" s="4"/>
      <c r="AH19" s="46" t="str">
        <f t="shared" si="82"/>
        <v/>
      </c>
      <c r="AI19" s="4"/>
      <c r="AJ19" s="4" t="str">
        <f t="shared" si="83"/>
        <v/>
      </c>
      <c r="AK19" s="47"/>
      <c r="AL19" s="3" t="str">
        <f t="shared" si="84"/>
        <v/>
      </c>
      <c r="AM19" s="36" t="str">
        <f t="shared" si="85"/>
        <v/>
      </c>
      <c r="AN19" s="46" t="str">
        <f t="shared" si="86"/>
        <v/>
      </c>
      <c r="AO19" s="48" t="str">
        <f t="shared" si="87"/>
        <v/>
      </c>
      <c r="AP19" s="27"/>
      <c r="AR19" s="49" t="str">
        <f>IF($A19="","",$A19)</f>
        <v/>
      </c>
      <c r="AS19" s="4"/>
      <c r="AT19" s="4" t="str">
        <f t="shared" si="88"/>
        <v/>
      </c>
      <c r="AU19" s="4"/>
      <c r="AV19" s="46" t="str">
        <f t="shared" si="89"/>
        <v/>
      </c>
      <c r="AW19" s="4"/>
      <c r="AX19" s="4" t="str">
        <f t="shared" si="90"/>
        <v/>
      </c>
      <c r="AY19" s="47"/>
      <c r="AZ19" s="3" t="str">
        <f t="shared" si="91"/>
        <v/>
      </c>
      <c r="BA19" s="36" t="str">
        <f t="shared" si="92"/>
        <v/>
      </c>
      <c r="BB19" s="46" t="str">
        <f t="shared" si="93"/>
        <v/>
      </c>
      <c r="BC19" s="48" t="str">
        <f t="shared" si="94"/>
        <v/>
      </c>
      <c r="BD19" s="27"/>
      <c r="BF19" s="49" t="str">
        <f>IF($A19="","",$A19)</f>
        <v/>
      </c>
      <c r="BG19" s="4"/>
      <c r="BH19" s="4" t="str">
        <f t="shared" si="95"/>
        <v/>
      </c>
      <c r="BI19" s="4"/>
      <c r="BJ19" s="46" t="str">
        <f t="shared" si="96"/>
        <v/>
      </c>
      <c r="BK19" s="4"/>
      <c r="BL19" s="4" t="str">
        <f t="shared" si="97"/>
        <v/>
      </c>
      <c r="BM19" s="47"/>
      <c r="BN19" s="3" t="str">
        <f t="shared" si="98"/>
        <v/>
      </c>
      <c r="BO19" s="36" t="str">
        <f t="shared" si="99"/>
        <v/>
      </c>
      <c r="BP19" s="46" t="str">
        <f t="shared" si="100"/>
        <v/>
      </c>
      <c r="BQ19" s="48" t="str">
        <f t="shared" si="101"/>
        <v/>
      </c>
      <c r="BR19" s="27"/>
      <c r="BT19" s="49" t="str">
        <f>IF($A19="","",$A19)</f>
        <v/>
      </c>
      <c r="BU19" s="4"/>
      <c r="BV19" s="4" t="str">
        <f t="shared" si="102"/>
        <v/>
      </c>
      <c r="BW19" s="4"/>
      <c r="BX19" s="46" t="str">
        <f t="shared" si="103"/>
        <v/>
      </c>
      <c r="BY19" s="4"/>
      <c r="BZ19" s="4" t="str">
        <f t="shared" si="104"/>
        <v/>
      </c>
      <c r="CA19" s="47"/>
      <c r="CB19" s="3" t="str">
        <f t="shared" si="105"/>
        <v/>
      </c>
      <c r="CC19" s="36" t="str">
        <f t="shared" si="106"/>
        <v/>
      </c>
      <c r="CD19" s="46" t="str">
        <f t="shared" si="107"/>
        <v/>
      </c>
      <c r="CE19" s="48" t="str">
        <f t="shared" si="108"/>
        <v/>
      </c>
      <c r="CF19" s="27"/>
      <c r="CH19" s="49" t="str">
        <f>IF($A19="","",$A19)</f>
        <v/>
      </c>
      <c r="CI19" s="4"/>
      <c r="CJ19" s="4" t="str">
        <f t="shared" si="109"/>
        <v/>
      </c>
      <c r="CK19" s="4"/>
      <c r="CL19" s="46" t="str">
        <f t="shared" si="110"/>
        <v/>
      </c>
      <c r="CM19" s="4"/>
      <c r="CN19" s="4" t="str">
        <f t="shared" si="111"/>
        <v/>
      </c>
      <c r="CO19" s="47"/>
      <c r="CP19" s="3" t="str">
        <f t="shared" si="112"/>
        <v/>
      </c>
      <c r="CQ19" s="36" t="str">
        <f t="shared" si="113"/>
        <v/>
      </c>
      <c r="CR19" s="46" t="str">
        <f t="shared" si="114"/>
        <v/>
      </c>
      <c r="CS19" s="48" t="str">
        <f t="shared" si="115"/>
        <v/>
      </c>
      <c r="CT19" s="27"/>
      <c r="CV19" s="49" t="str">
        <f>IF($A19="","",$A19)</f>
        <v/>
      </c>
      <c r="CW19" s="4"/>
      <c r="CX19" s="4" t="str">
        <f t="shared" si="116"/>
        <v/>
      </c>
      <c r="CY19" s="4"/>
      <c r="CZ19" s="46" t="str">
        <f t="shared" si="117"/>
        <v/>
      </c>
      <c r="DA19" s="4"/>
      <c r="DB19" s="4" t="str">
        <f t="shared" si="118"/>
        <v/>
      </c>
      <c r="DC19" s="47"/>
      <c r="DD19" s="3" t="str">
        <f t="shared" si="119"/>
        <v/>
      </c>
      <c r="DE19" s="36" t="str">
        <f t="shared" si="120"/>
        <v/>
      </c>
      <c r="DF19" s="46" t="str">
        <f t="shared" si="121"/>
        <v/>
      </c>
      <c r="DG19" s="48" t="str">
        <f t="shared" si="122"/>
        <v/>
      </c>
      <c r="DH19" s="27"/>
      <c r="DJ19" s="30" t="str">
        <f>IF($A19="","",$A19)</f>
        <v/>
      </c>
      <c r="DK19" s="4"/>
      <c r="DL19" s="4" t="str">
        <f t="shared" si="123"/>
        <v/>
      </c>
      <c r="DM19" s="4"/>
      <c r="DN19" s="46" t="str">
        <f t="shared" si="124"/>
        <v/>
      </c>
      <c r="DO19" s="4"/>
      <c r="DP19" s="4" t="str">
        <f t="shared" si="125"/>
        <v/>
      </c>
      <c r="DQ19" s="47"/>
      <c r="DR19" s="3" t="str">
        <f t="shared" si="126"/>
        <v/>
      </c>
      <c r="DS19" s="36" t="str">
        <f t="shared" si="127"/>
        <v/>
      </c>
      <c r="DT19" s="46" t="str">
        <f t="shared" si="128"/>
        <v/>
      </c>
      <c r="DU19" s="48" t="str">
        <f t="shared" si="129"/>
        <v/>
      </c>
      <c r="DV19" s="27"/>
      <c r="DX19" s="30" t="str">
        <f>IF($A19="","",$A19)</f>
        <v/>
      </c>
      <c r="DY19" s="4"/>
      <c r="DZ19" s="4" t="str">
        <f t="shared" si="130"/>
        <v/>
      </c>
      <c r="EA19" s="4"/>
      <c r="EB19" s="46" t="str">
        <f t="shared" si="131"/>
        <v/>
      </c>
      <c r="EC19" s="4"/>
      <c r="ED19" s="4" t="str">
        <f t="shared" si="132"/>
        <v/>
      </c>
      <c r="EE19" s="47"/>
      <c r="EF19" s="3" t="str">
        <f t="shared" si="133"/>
        <v/>
      </c>
      <c r="EG19" s="36" t="str">
        <f t="shared" si="134"/>
        <v/>
      </c>
      <c r="EH19" s="46" t="str">
        <f t="shared" si="135"/>
        <v/>
      </c>
      <c r="EI19" s="48" t="str">
        <f t="shared" si="136"/>
        <v/>
      </c>
      <c r="EJ19" s="27"/>
      <c r="EL19" s="37"/>
      <c r="EM19" s="5"/>
      <c r="EN19" s="5" t="str">
        <f>IF(EM19="","",EM19-EM16)</f>
        <v/>
      </c>
      <c r="EO19" s="5"/>
      <c r="EP19" s="5" t="str">
        <f>IF(EO19="","",EO19-EO16)</f>
        <v/>
      </c>
      <c r="EQ19" s="5"/>
      <c r="ER19" s="5" t="str">
        <f>IF(EQ19="","",EQ16+ES16-EQ19)</f>
        <v/>
      </c>
      <c r="ES19" s="5"/>
      <c r="ET19" s="2" t="str">
        <f t="shared" si="140"/>
        <v/>
      </c>
      <c r="EU19" s="4" t="str">
        <f>IF(EM19="","",EU16)</f>
        <v/>
      </c>
      <c r="EV19" s="5" t="str">
        <f t="shared" si="216"/>
        <v/>
      </c>
      <c r="EW19" s="33" t="str">
        <f t="shared" si="217"/>
        <v/>
      </c>
      <c r="EX19" s="27"/>
      <c r="EZ19" s="37"/>
      <c r="FA19" s="5"/>
      <c r="FB19" s="5" t="str">
        <f>IF(FA19="","",FA19-FA16)</f>
        <v/>
      </c>
      <c r="FC19" s="5"/>
      <c r="FD19" s="5" t="str">
        <f>IF(FC19="","",FC19-FC16)</f>
        <v/>
      </c>
      <c r="FE19" s="5"/>
      <c r="FF19" s="5" t="str">
        <f>IF(FE19="","",FE16+FG16-FE19)</f>
        <v/>
      </c>
      <c r="FG19" s="5"/>
      <c r="FH19" s="2" t="str">
        <f t="shared" si="147"/>
        <v/>
      </c>
      <c r="FI19" s="4" t="str">
        <f>IF(FA19="","",FI16)</f>
        <v/>
      </c>
      <c r="FJ19" s="5" t="str">
        <f t="shared" si="218"/>
        <v/>
      </c>
      <c r="FK19" s="33" t="str">
        <f t="shared" si="219"/>
        <v/>
      </c>
      <c r="FL19" s="27"/>
      <c r="FN19" s="37"/>
      <c r="FO19" s="5"/>
      <c r="FP19" s="5" t="str">
        <f>IF(FO19="","",FO19-FO16)</f>
        <v/>
      </c>
      <c r="FQ19" s="5"/>
      <c r="FR19" s="5" t="str">
        <f>IF(FQ19="","",FQ19-FQ16)</f>
        <v/>
      </c>
      <c r="FS19" s="5"/>
      <c r="FT19" s="5" t="str">
        <f>IF(FS19="","",FS16+FU16-FS19)</f>
        <v/>
      </c>
      <c r="FU19" s="5"/>
      <c r="FV19" s="2" t="str">
        <f t="shared" si="154"/>
        <v/>
      </c>
      <c r="FW19" s="4" t="str">
        <f>IF(FO19="","",FW16)</f>
        <v/>
      </c>
      <c r="FX19" s="5" t="str">
        <f t="shared" si="220"/>
        <v/>
      </c>
      <c r="FY19" s="33" t="str">
        <f t="shared" si="221"/>
        <v/>
      </c>
      <c r="FZ19" s="27"/>
      <c r="GB19" s="37"/>
      <c r="GC19" s="5"/>
      <c r="GD19" s="5" t="str">
        <f>IF(GC19="","",GC19-GC16)</f>
        <v/>
      </c>
      <c r="GE19" s="5"/>
      <c r="GF19" s="5" t="str">
        <f>IF(GE19="","",GE19-GE16)</f>
        <v/>
      </c>
      <c r="GG19" s="5"/>
      <c r="GH19" s="5" t="str">
        <f>IF(GG19="","",GG16+GI16-GG19)</f>
        <v/>
      </c>
      <c r="GI19" s="5"/>
      <c r="GJ19" s="2" t="str">
        <f t="shared" si="24"/>
        <v/>
      </c>
      <c r="GK19" s="4" t="str">
        <f>IF(GC19="","",GK16)</f>
        <v/>
      </c>
      <c r="GL19" s="5" t="str">
        <f t="shared" si="222"/>
        <v/>
      </c>
      <c r="GM19" s="33" t="str">
        <f t="shared" si="223"/>
        <v/>
      </c>
      <c r="GN19" s="27"/>
      <c r="GP19" s="37"/>
      <c r="GQ19" s="5"/>
      <c r="GR19" s="5" t="str">
        <f>IF(GQ19="","",GQ19-GQ16)</f>
        <v/>
      </c>
      <c r="GS19" s="5"/>
      <c r="GT19" s="5" t="str">
        <f>IF(GS19="","",GS19-GS16)</f>
        <v/>
      </c>
      <c r="GU19" s="5"/>
      <c r="GV19" s="5" t="str">
        <f>IF(GU19="","",GU16+GW16-GU19)</f>
        <v/>
      </c>
      <c r="GW19" s="5"/>
      <c r="GX19" s="2" t="str">
        <f t="shared" si="161"/>
        <v/>
      </c>
      <c r="GY19" s="4" t="str">
        <f>IF(GQ19="","",GY16)</f>
        <v/>
      </c>
      <c r="GZ19" s="5" t="str">
        <f t="shared" si="224"/>
        <v/>
      </c>
      <c r="HA19" s="33" t="str">
        <f t="shared" si="225"/>
        <v/>
      </c>
      <c r="HB19" s="27"/>
      <c r="HD19" s="37"/>
      <c r="HE19" s="5"/>
      <c r="HF19" s="5" t="str">
        <f>IF(HE19="","",HE19-HE16)</f>
        <v/>
      </c>
      <c r="HG19" s="5"/>
      <c r="HH19" s="27"/>
      <c r="HJ19" s="37"/>
      <c r="HK19" s="5"/>
      <c r="HL19" s="5" t="str">
        <f>IF(HK19="","",HK19-HK16)</f>
        <v/>
      </c>
      <c r="HM19" s="5"/>
      <c r="HN19" s="27"/>
      <c r="HP19" s="37"/>
      <c r="HQ19" s="5"/>
      <c r="HR19" s="5" t="str">
        <f>IF(HQ19="","",HQ19-HQ16)</f>
        <v/>
      </c>
      <c r="HS19" s="5"/>
      <c r="HT19" s="27"/>
      <c r="HV19" s="37"/>
      <c r="HW19" s="5"/>
      <c r="HX19" s="5" t="str">
        <f>IF(HW19="","",HW19-HW16)</f>
        <v/>
      </c>
      <c r="HY19" s="5"/>
      <c r="HZ19" s="5" t="str">
        <f>IF(HY19="","",HY19-HY16)</f>
        <v/>
      </c>
      <c r="IA19" s="5"/>
      <c r="IB19" s="5" t="str">
        <f>IF(IA19="","",IA16+IC16-IA19)</f>
        <v/>
      </c>
      <c r="IC19" s="5"/>
      <c r="ID19" s="2" t="str">
        <f t="shared" si="168"/>
        <v/>
      </c>
      <c r="IE19" s="4" t="str">
        <f>IF(HW19="","",IE16)</f>
        <v/>
      </c>
      <c r="IF19" s="5" t="str">
        <f t="shared" si="226"/>
        <v/>
      </c>
      <c r="IG19" s="33" t="str">
        <f t="shared" si="227"/>
        <v/>
      </c>
      <c r="IH19" s="27"/>
      <c r="IJ19" s="37"/>
      <c r="IK19" s="5"/>
      <c r="IL19" s="5" t="str">
        <f>IF(IK19="","",IK19-IK16)</f>
        <v/>
      </c>
      <c r="IM19" s="5"/>
      <c r="IN19" s="5" t="str">
        <f>IF(IM19="","",IM19-IM16)</f>
        <v/>
      </c>
      <c r="IO19" s="5"/>
      <c r="IP19" s="5" t="str">
        <f>IF(IO19="","",IO16+IQ16-IO19)</f>
        <v/>
      </c>
      <c r="IQ19" s="5"/>
      <c r="IR19" s="2" t="str">
        <f t="shared" si="175"/>
        <v/>
      </c>
      <c r="IS19" s="4" t="str">
        <f>IF(IK19="","",IS16)</f>
        <v/>
      </c>
      <c r="IT19" s="5" t="str">
        <f t="shared" si="228"/>
        <v/>
      </c>
      <c r="IU19" s="33" t="str">
        <f t="shared" si="229"/>
        <v/>
      </c>
      <c r="IV19" s="27"/>
      <c r="IX19" s="37"/>
      <c r="IY19" s="5"/>
      <c r="IZ19" s="5" t="str">
        <f>IF(IY19="","",IY19-IY16)</f>
        <v/>
      </c>
      <c r="JA19" s="5"/>
      <c r="JB19" s="5" t="str">
        <f>IF(JA19="","",JA19-JA16)</f>
        <v/>
      </c>
      <c r="JC19" s="5"/>
      <c r="JD19" s="5" t="str">
        <f>IF(JC19="","",JC16+JE16-JC19)</f>
        <v/>
      </c>
      <c r="JE19" s="5"/>
      <c r="JF19" s="2" t="str">
        <f t="shared" si="182"/>
        <v/>
      </c>
      <c r="JG19" s="4" t="str">
        <f>IF(IY19="","",JG16)</f>
        <v/>
      </c>
      <c r="JH19" s="5" t="str">
        <f t="shared" si="230"/>
        <v/>
      </c>
      <c r="JI19" s="33" t="str">
        <f t="shared" si="231"/>
        <v/>
      </c>
      <c r="JJ19" s="27"/>
      <c r="JL19" s="37"/>
      <c r="JM19" s="5"/>
      <c r="JN19" s="5" t="str">
        <f>IF(JM19="","",JM19-JM16)</f>
        <v/>
      </c>
      <c r="JO19" s="5"/>
      <c r="JP19" s="5" t="str">
        <f>IF(JO19="","",JO19-JO16)</f>
        <v/>
      </c>
      <c r="JQ19" s="5"/>
      <c r="JR19" s="5" t="str">
        <f>IF(JQ19="","",JQ19-JQ16)</f>
        <v/>
      </c>
      <c r="JS19" s="5"/>
      <c r="JT19" s="5" t="str">
        <f>IF(JS19="","",JS16+JU16-JS19)</f>
        <v/>
      </c>
      <c r="JU19" s="5"/>
      <c r="JV19" s="2" t="str">
        <f t="shared" si="190"/>
        <v/>
      </c>
      <c r="JW19" s="4" t="str">
        <f>IF(JM19="","",JW16)</f>
        <v/>
      </c>
      <c r="JX19" s="5" t="str">
        <f t="shared" si="232"/>
        <v/>
      </c>
      <c r="JY19" s="33" t="str">
        <f t="shared" si="233"/>
        <v/>
      </c>
      <c r="JZ19" s="27"/>
    </row>
    <row r="20" spans="1:286" x14ac:dyDescent="0.2">
      <c r="A20" s="45"/>
      <c r="B20" s="24"/>
      <c r="C20" s="4"/>
      <c r="D20" s="5" t="str">
        <f t="shared" si="67"/>
        <v/>
      </c>
      <c r="E20" s="5"/>
      <c r="F20" s="5" t="str">
        <f t="shared" si="68"/>
        <v/>
      </c>
      <c r="G20" s="5"/>
      <c r="H20" s="5" t="str">
        <f t="shared" si="69"/>
        <v/>
      </c>
      <c r="I20" s="32"/>
      <c r="J20" s="3" t="str">
        <f t="shared" si="70"/>
        <v/>
      </c>
      <c r="K20" s="36" t="str">
        <f t="shared" si="71"/>
        <v/>
      </c>
      <c r="L20" s="5" t="str">
        <f t="shared" si="72"/>
        <v/>
      </c>
      <c r="M20" s="33" t="str">
        <f t="shared" si="73"/>
        <v/>
      </c>
      <c r="N20" s="27"/>
      <c r="P20" s="45"/>
      <c r="Q20" s="4"/>
      <c r="R20" s="5" t="str">
        <f t="shared" si="74"/>
        <v/>
      </c>
      <c r="S20" s="5"/>
      <c r="T20" s="5" t="str">
        <f t="shared" si="75"/>
        <v/>
      </c>
      <c r="U20" s="5"/>
      <c r="V20" s="5" t="str">
        <f t="shared" si="76"/>
        <v/>
      </c>
      <c r="W20" s="32"/>
      <c r="X20" s="3" t="str">
        <f t="shared" si="77"/>
        <v/>
      </c>
      <c r="Y20" s="36" t="str">
        <f t="shared" si="78"/>
        <v/>
      </c>
      <c r="Z20" s="5" t="str">
        <f t="shared" si="79"/>
        <v/>
      </c>
      <c r="AA20" s="33" t="str">
        <f t="shared" si="80"/>
        <v/>
      </c>
      <c r="AB20" s="27"/>
      <c r="AD20" s="45"/>
      <c r="AE20" s="4"/>
      <c r="AF20" s="5" t="str">
        <f t="shared" si="81"/>
        <v/>
      </c>
      <c r="AG20" s="5"/>
      <c r="AH20" s="5" t="str">
        <f t="shared" si="82"/>
        <v/>
      </c>
      <c r="AI20" s="5"/>
      <c r="AJ20" s="5" t="str">
        <f t="shared" si="83"/>
        <v/>
      </c>
      <c r="AK20" s="32"/>
      <c r="AL20" s="3" t="str">
        <f t="shared" si="84"/>
        <v/>
      </c>
      <c r="AM20" s="36" t="str">
        <f t="shared" si="85"/>
        <v/>
      </c>
      <c r="AN20" s="5" t="str">
        <f t="shared" si="86"/>
        <v/>
      </c>
      <c r="AO20" s="33" t="str">
        <f t="shared" si="87"/>
        <v/>
      </c>
      <c r="AP20" s="27"/>
      <c r="AR20" s="45"/>
      <c r="AS20" s="4"/>
      <c r="AT20" s="5" t="str">
        <f t="shared" si="88"/>
        <v/>
      </c>
      <c r="AU20" s="5"/>
      <c r="AV20" s="5" t="str">
        <f t="shared" si="89"/>
        <v/>
      </c>
      <c r="AW20" s="5"/>
      <c r="AX20" s="5" t="str">
        <f t="shared" si="90"/>
        <v/>
      </c>
      <c r="AY20" s="32"/>
      <c r="AZ20" s="3" t="str">
        <f t="shared" si="91"/>
        <v/>
      </c>
      <c r="BA20" s="36" t="str">
        <f t="shared" si="92"/>
        <v/>
      </c>
      <c r="BB20" s="5" t="str">
        <f t="shared" si="93"/>
        <v/>
      </c>
      <c r="BC20" s="33" t="str">
        <f t="shared" si="94"/>
        <v/>
      </c>
      <c r="BD20" s="27"/>
      <c r="BF20" s="45"/>
      <c r="BG20" s="4"/>
      <c r="BH20" s="5" t="str">
        <f t="shared" si="95"/>
        <v/>
      </c>
      <c r="BI20" s="5"/>
      <c r="BJ20" s="5" t="str">
        <f t="shared" si="96"/>
        <v/>
      </c>
      <c r="BK20" s="5"/>
      <c r="BL20" s="5" t="str">
        <f t="shared" si="97"/>
        <v/>
      </c>
      <c r="BM20" s="32"/>
      <c r="BN20" s="3" t="str">
        <f t="shared" si="98"/>
        <v/>
      </c>
      <c r="BO20" s="36" t="str">
        <f t="shared" si="99"/>
        <v/>
      </c>
      <c r="BP20" s="5" t="str">
        <f t="shared" si="100"/>
        <v/>
      </c>
      <c r="BQ20" s="33" t="str">
        <f t="shared" si="101"/>
        <v/>
      </c>
      <c r="BR20" s="27"/>
      <c r="BT20" s="45"/>
      <c r="BU20" s="4"/>
      <c r="BV20" s="5" t="str">
        <f t="shared" si="102"/>
        <v/>
      </c>
      <c r="BW20" s="5"/>
      <c r="BX20" s="5" t="str">
        <f t="shared" si="103"/>
        <v/>
      </c>
      <c r="BY20" s="5"/>
      <c r="BZ20" s="5" t="str">
        <f t="shared" si="104"/>
        <v/>
      </c>
      <c r="CA20" s="32"/>
      <c r="CB20" s="3" t="str">
        <f t="shared" si="105"/>
        <v/>
      </c>
      <c r="CC20" s="36" t="str">
        <f t="shared" si="106"/>
        <v/>
      </c>
      <c r="CD20" s="5" t="str">
        <f t="shared" si="107"/>
        <v/>
      </c>
      <c r="CE20" s="33" t="str">
        <f t="shared" si="108"/>
        <v/>
      </c>
      <c r="CF20" s="27"/>
      <c r="CH20" s="45"/>
      <c r="CI20" s="4"/>
      <c r="CJ20" s="5" t="str">
        <f t="shared" si="109"/>
        <v/>
      </c>
      <c r="CK20" s="5"/>
      <c r="CL20" s="5" t="str">
        <f t="shared" si="110"/>
        <v/>
      </c>
      <c r="CM20" s="5"/>
      <c r="CN20" s="5" t="str">
        <f t="shared" si="111"/>
        <v/>
      </c>
      <c r="CO20" s="32"/>
      <c r="CP20" s="3" t="str">
        <f t="shared" si="112"/>
        <v/>
      </c>
      <c r="CQ20" s="36" t="str">
        <f t="shared" si="113"/>
        <v/>
      </c>
      <c r="CR20" s="5" t="str">
        <f t="shared" si="114"/>
        <v/>
      </c>
      <c r="CS20" s="33" t="str">
        <f t="shared" si="115"/>
        <v/>
      </c>
      <c r="CT20" s="27"/>
      <c r="CV20" s="45"/>
      <c r="CW20" s="4"/>
      <c r="CX20" s="5" t="str">
        <f t="shared" si="116"/>
        <v/>
      </c>
      <c r="CY20" s="5"/>
      <c r="CZ20" s="5" t="str">
        <f t="shared" si="117"/>
        <v/>
      </c>
      <c r="DA20" s="5"/>
      <c r="DB20" s="5" t="str">
        <f t="shared" si="118"/>
        <v/>
      </c>
      <c r="DC20" s="32"/>
      <c r="DD20" s="3" t="str">
        <f t="shared" si="119"/>
        <v/>
      </c>
      <c r="DE20" s="36" t="str">
        <f t="shared" si="120"/>
        <v/>
      </c>
      <c r="DF20" s="5" t="str">
        <f t="shared" si="121"/>
        <v/>
      </c>
      <c r="DG20" s="33" t="str">
        <f t="shared" si="122"/>
        <v/>
      </c>
      <c r="DH20" s="27"/>
      <c r="DJ20" s="23"/>
      <c r="DK20" s="4"/>
      <c r="DL20" s="5" t="str">
        <f t="shared" si="123"/>
        <v/>
      </c>
      <c r="DM20" s="5"/>
      <c r="DN20" s="5" t="str">
        <f t="shared" si="124"/>
        <v/>
      </c>
      <c r="DO20" s="5"/>
      <c r="DP20" s="5" t="str">
        <f t="shared" si="125"/>
        <v/>
      </c>
      <c r="DQ20" s="32"/>
      <c r="DR20" s="3" t="str">
        <f t="shared" si="126"/>
        <v/>
      </c>
      <c r="DS20" s="36" t="str">
        <f t="shared" si="127"/>
        <v/>
      </c>
      <c r="DT20" s="5" t="str">
        <f t="shared" si="128"/>
        <v/>
      </c>
      <c r="DU20" s="33" t="str">
        <f t="shared" si="129"/>
        <v/>
      </c>
      <c r="DV20" s="27"/>
      <c r="DX20" s="23"/>
      <c r="DY20" s="4"/>
      <c r="DZ20" s="5" t="str">
        <f t="shared" si="130"/>
        <v/>
      </c>
      <c r="EA20" s="5"/>
      <c r="EB20" s="5" t="str">
        <f t="shared" si="131"/>
        <v/>
      </c>
      <c r="EC20" s="5"/>
      <c r="ED20" s="5" t="str">
        <f t="shared" si="132"/>
        <v/>
      </c>
      <c r="EE20" s="32"/>
      <c r="EF20" s="3" t="str">
        <f t="shared" si="133"/>
        <v/>
      </c>
      <c r="EG20" s="36" t="str">
        <f t="shared" si="134"/>
        <v/>
      </c>
      <c r="EH20" s="5" t="str">
        <f t="shared" si="135"/>
        <v/>
      </c>
      <c r="EI20" s="33" t="str">
        <f t="shared" si="136"/>
        <v/>
      </c>
      <c r="EJ20" s="27"/>
      <c r="EL20" s="68"/>
      <c r="EM20" s="5"/>
      <c r="EN20" s="5" t="str">
        <f>IF(EM20="","",EM20-EM18)</f>
        <v/>
      </c>
      <c r="EO20" s="5"/>
      <c r="EP20" s="5" t="str">
        <f>IF(EO20="","",EO20-EO18)</f>
        <v/>
      </c>
      <c r="EQ20" s="5"/>
      <c r="ER20" s="5" t="str">
        <f>IF(EQ20="","",EQ18+ES18-EQ20)</f>
        <v/>
      </c>
      <c r="ES20" s="5"/>
      <c r="ET20" s="2" t="str">
        <f t="shared" si="140"/>
        <v/>
      </c>
      <c r="EU20" s="4" t="str">
        <f>IF(EM20="","",EU18)</f>
        <v/>
      </c>
      <c r="EV20" s="5" t="str">
        <f t="shared" si="216"/>
        <v/>
      </c>
      <c r="EW20" s="33" t="str">
        <f t="shared" si="217"/>
        <v/>
      </c>
      <c r="EX20" s="27"/>
      <c r="EZ20" s="68"/>
      <c r="FA20" s="5"/>
      <c r="FB20" s="5" t="str">
        <f>IF(FA20="","",FA20-FA18)</f>
        <v/>
      </c>
      <c r="FC20" s="5"/>
      <c r="FD20" s="5" t="str">
        <f>IF(FC20="","",FC20-FC18)</f>
        <v/>
      </c>
      <c r="FE20" s="5"/>
      <c r="FF20" s="5" t="str">
        <f>IF(FE20="","",FE18+FG18-FE20)</f>
        <v/>
      </c>
      <c r="FG20" s="5"/>
      <c r="FH20" s="2" t="str">
        <f t="shared" si="147"/>
        <v/>
      </c>
      <c r="FI20" s="4" t="str">
        <f>IF(FA20="","",FI18)</f>
        <v/>
      </c>
      <c r="FJ20" s="5" t="str">
        <f t="shared" si="218"/>
        <v/>
      </c>
      <c r="FK20" s="33" t="str">
        <f t="shared" si="219"/>
        <v/>
      </c>
      <c r="FL20" s="27"/>
      <c r="FN20" s="68"/>
      <c r="FO20" s="5"/>
      <c r="FP20" s="5" t="str">
        <f>IF(FO20="","",FO20-FO18)</f>
        <v/>
      </c>
      <c r="FQ20" s="5"/>
      <c r="FR20" s="5" t="str">
        <f>IF(FQ20="","",FQ20-FQ18)</f>
        <v/>
      </c>
      <c r="FS20" s="5"/>
      <c r="FT20" s="5" t="str">
        <f>IF(FS20="","",FS18+FU18-FS20)</f>
        <v/>
      </c>
      <c r="FU20" s="5"/>
      <c r="FV20" s="2" t="str">
        <f t="shared" si="154"/>
        <v/>
      </c>
      <c r="FW20" s="4" t="str">
        <f>IF(FO20="","",FW18)</f>
        <v/>
      </c>
      <c r="FX20" s="5" t="str">
        <f t="shared" si="220"/>
        <v/>
      </c>
      <c r="FY20" s="33" t="str">
        <f t="shared" si="221"/>
        <v/>
      </c>
      <c r="FZ20" s="27"/>
      <c r="GB20" s="68"/>
      <c r="GC20" s="5"/>
      <c r="GD20" s="5" t="str">
        <f>IF(GC20="","",GC20-GC18)</f>
        <v/>
      </c>
      <c r="GE20" s="5"/>
      <c r="GF20" s="5" t="str">
        <f>IF(GE20="","",GE20-GE18)</f>
        <v/>
      </c>
      <c r="GG20" s="5"/>
      <c r="GH20" s="5" t="str">
        <f>IF(GG20="","",GG18+GI18-GG20)</f>
        <v/>
      </c>
      <c r="GI20" s="5"/>
      <c r="GJ20" s="2" t="str">
        <f t="shared" si="24"/>
        <v/>
      </c>
      <c r="GK20" s="4" t="str">
        <f>IF(GC20="","",GK18)</f>
        <v/>
      </c>
      <c r="GL20" s="5" t="str">
        <f t="shared" si="222"/>
        <v/>
      </c>
      <c r="GM20" s="33" t="str">
        <f t="shared" si="223"/>
        <v/>
      </c>
      <c r="GN20" s="27"/>
      <c r="GP20" s="68"/>
      <c r="GQ20" s="5"/>
      <c r="GR20" s="5" t="str">
        <f>IF(GQ20="","",GQ20-GQ18)</f>
        <v/>
      </c>
      <c r="GS20" s="5"/>
      <c r="GT20" s="5" t="str">
        <f>IF(GS20="","",GS20-GS18)</f>
        <v/>
      </c>
      <c r="GU20" s="5"/>
      <c r="GV20" s="5" t="str">
        <f>IF(GU20="","",GU18+GW18-GU20)</f>
        <v/>
      </c>
      <c r="GW20" s="5"/>
      <c r="GX20" s="2" t="str">
        <f t="shared" si="161"/>
        <v/>
      </c>
      <c r="GY20" s="4" t="str">
        <f>IF(GQ20="","",GY18)</f>
        <v/>
      </c>
      <c r="GZ20" s="5" t="str">
        <f t="shared" si="224"/>
        <v/>
      </c>
      <c r="HA20" s="33" t="str">
        <f t="shared" si="225"/>
        <v/>
      </c>
      <c r="HB20" s="27"/>
      <c r="HD20" s="68"/>
      <c r="HE20" s="5"/>
      <c r="HF20" s="5" t="str">
        <f>IF(HE20="","",HE20-HE18)</f>
        <v/>
      </c>
      <c r="HG20" s="5"/>
      <c r="HH20" s="27"/>
      <c r="HJ20" s="68"/>
      <c r="HK20" s="5"/>
      <c r="HL20" s="5" t="str">
        <f>IF(HK20="","",HK20-HK18)</f>
        <v/>
      </c>
      <c r="HM20" s="5"/>
      <c r="HN20" s="27"/>
      <c r="HP20" s="68"/>
      <c r="HQ20" s="5"/>
      <c r="HR20" s="5" t="str">
        <f>IF(HQ20="","",HQ20-HQ18)</f>
        <v/>
      </c>
      <c r="HS20" s="5"/>
      <c r="HT20" s="27"/>
      <c r="HV20" s="68"/>
      <c r="HW20" s="5"/>
      <c r="HX20" s="5" t="str">
        <f>IF(HW20="","",HW20-HW18)</f>
        <v/>
      </c>
      <c r="HY20" s="5"/>
      <c r="HZ20" s="5" t="str">
        <f>IF(HY20="","",HY20-HY18)</f>
        <v/>
      </c>
      <c r="IA20" s="5"/>
      <c r="IB20" s="5" t="str">
        <f>IF(IA20="","",IA18+IC18-IA20)</f>
        <v/>
      </c>
      <c r="IC20" s="5"/>
      <c r="ID20" s="2" t="str">
        <f t="shared" si="168"/>
        <v/>
      </c>
      <c r="IE20" s="4" t="str">
        <f>IF(HW20="","",IE18)</f>
        <v/>
      </c>
      <c r="IF20" s="5" t="str">
        <f t="shared" si="226"/>
        <v/>
      </c>
      <c r="IG20" s="33" t="str">
        <f t="shared" si="227"/>
        <v/>
      </c>
      <c r="IH20" s="27"/>
      <c r="IJ20" s="68"/>
      <c r="IK20" s="5"/>
      <c r="IL20" s="5" t="str">
        <f>IF(IK20="","",IK20-IK18)</f>
        <v/>
      </c>
      <c r="IM20" s="5"/>
      <c r="IN20" s="5" t="str">
        <f>IF(IM20="","",IM20-IM18)</f>
        <v/>
      </c>
      <c r="IO20" s="5"/>
      <c r="IP20" s="5" t="str">
        <f>IF(IO20="","",IO18+IQ18-IO20)</f>
        <v/>
      </c>
      <c r="IQ20" s="5"/>
      <c r="IR20" s="2" t="str">
        <f t="shared" si="175"/>
        <v/>
      </c>
      <c r="IS20" s="4" t="str">
        <f>IF(IK20="","",IS18)</f>
        <v/>
      </c>
      <c r="IT20" s="5" t="str">
        <f t="shared" si="228"/>
        <v/>
      </c>
      <c r="IU20" s="33" t="str">
        <f t="shared" si="229"/>
        <v/>
      </c>
      <c r="IV20" s="27"/>
      <c r="IX20" s="68"/>
      <c r="IY20" s="5"/>
      <c r="IZ20" s="5" t="str">
        <f>IF(IY20="","",IY20-IY18)</f>
        <v/>
      </c>
      <c r="JA20" s="5"/>
      <c r="JB20" s="5" t="str">
        <f>IF(JA20="","",JA20-JA18)</f>
        <v/>
      </c>
      <c r="JC20" s="5"/>
      <c r="JD20" s="5" t="str">
        <f>IF(JC20="","",JC18+JE18-JC20)</f>
        <v/>
      </c>
      <c r="JE20" s="5"/>
      <c r="JF20" s="2" t="str">
        <f t="shared" si="182"/>
        <v/>
      </c>
      <c r="JG20" s="4" t="str">
        <f>IF(IY20="","",JG18)</f>
        <v/>
      </c>
      <c r="JH20" s="5" t="str">
        <f t="shared" si="230"/>
        <v/>
      </c>
      <c r="JI20" s="33" t="str">
        <f t="shared" si="231"/>
        <v/>
      </c>
      <c r="JJ20" s="27"/>
      <c r="JL20" s="68"/>
      <c r="JM20" s="5"/>
      <c r="JN20" s="5" t="str">
        <f>IF(JM20="","",JM20-JM18)</f>
        <v/>
      </c>
      <c r="JO20" s="5"/>
      <c r="JP20" s="5" t="str">
        <f>IF(JO20="","",JO20-JO18)</f>
        <v/>
      </c>
      <c r="JQ20" s="5"/>
      <c r="JR20" s="5" t="str">
        <f>IF(JQ20="","",JQ20-JQ18)</f>
        <v/>
      </c>
      <c r="JS20" s="5"/>
      <c r="JT20" s="5" t="str">
        <f>IF(JS20="","",JS18+JU18-JS20)</f>
        <v/>
      </c>
      <c r="JU20" s="5"/>
      <c r="JV20" s="2" t="str">
        <f t="shared" si="190"/>
        <v/>
      </c>
      <c r="JW20" s="4" t="str">
        <f>IF(JM20="","",JW18)</f>
        <v/>
      </c>
      <c r="JX20" s="5" t="str">
        <f t="shared" si="232"/>
        <v/>
      </c>
      <c r="JY20" s="33" t="str">
        <f t="shared" si="233"/>
        <v/>
      </c>
      <c r="JZ20" s="27"/>
    </row>
    <row r="21" spans="1:286" ht="15" customHeight="1" x14ac:dyDescent="0.2">
      <c r="A21" s="45"/>
      <c r="B21" s="60"/>
      <c r="C21" s="53"/>
      <c r="D21" s="5" t="str">
        <f t="shared" si="67"/>
        <v/>
      </c>
      <c r="E21" s="5"/>
      <c r="F21" s="5" t="str">
        <f t="shared" si="68"/>
        <v/>
      </c>
      <c r="G21" s="5"/>
      <c r="H21" s="5" t="str">
        <f t="shared" si="69"/>
        <v/>
      </c>
      <c r="I21" s="32"/>
      <c r="J21" s="3" t="str">
        <f t="shared" si="70"/>
        <v/>
      </c>
      <c r="K21" s="36" t="str">
        <f t="shared" si="71"/>
        <v/>
      </c>
      <c r="L21" s="5" t="str">
        <f t="shared" si="72"/>
        <v/>
      </c>
      <c r="M21" s="33" t="str">
        <f t="shared" si="73"/>
        <v/>
      </c>
      <c r="N21" s="27"/>
      <c r="P21" s="45"/>
      <c r="Q21" s="53"/>
      <c r="R21" s="5" t="str">
        <f t="shared" si="74"/>
        <v/>
      </c>
      <c r="S21" s="5"/>
      <c r="T21" s="5" t="str">
        <f t="shared" si="75"/>
        <v/>
      </c>
      <c r="U21" s="5"/>
      <c r="V21" s="5" t="str">
        <f t="shared" si="76"/>
        <v/>
      </c>
      <c r="W21" s="32"/>
      <c r="X21" s="3" t="str">
        <f t="shared" si="77"/>
        <v/>
      </c>
      <c r="Y21" s="36" t="str">
        <f t="shared" si="78"/>
        <v/>
      </c>
      <c r="Z21" s="5" t="str">
        <f t="shared" si="79"/>
        <v/>
      </c>
      <c r="AA21" s="33" t="str">
        <f t="shared" si="80"/>
        <v/>
      </c>
      <c r="AB21" s="27"/>
      <c r="AD21" s="45"/>
      <c r="AE21" s="53"/>
      <c r="AF21" s="5" t="str">
        <f t="shared" si="81"/>
        <v/>
      </c>
      <c r="AG21" s="5"/>
      <c r="AH21" s="5" t="str">
        <f t="shared" si="82"/>
        <v/>
      </c>
      <c r="AI21" s="5"/>
      <c r="AJ21" s="5" t="str">
        <f t="shared" si="83"/>
        <v/>
      </c>
      <c r="AK21" s="32"/>
      <c r="AL21" s="3" t="str">
        <f t="shared" si="84"/>
        <v/>
      </c>
      <c r="AM21" s="36" t="str">
        <f t="shared" si="85"/>
        <v/>
      </c>
      <c r="AN21" s="5" t="str">
        <f t="shared" si="86"/>
        <v/>
      </c>
      <c r="AO21" s="33" t="str">
        <f t="shared" si="87"/>
        <v/>
      </c>
      <c r="AP21" s="27"/>
      <c r="AR21" s="45"/>
      <c r="AS21" s="53"/>
      <c r="AT21" s="5" t="str">
        <f t="shared" si="88"/>
        <v/>
      </c>
      <c r="AU21" s="5"/>
      <c r="AV21" s="5" t="str">
        <f t="shared" si="89"/>
        <v/>
      </c>
      <c r="AW21" s="5"/>
      <c r="AX21" s="5" t="str">
        <f t="shared" si="90"/>
        <v/>
      </c>
      <c r="AY21" s="32"/>
      <c r="AZ21" s="3" t="str">
        <f t="shared" si="91"/>
        <v/>
      </c>
      <c r="BA21" s="36" t="str">
        <f t="shared" si="92"/>
        <v/>
      </c>
      <c r="BB21" s="5" t="str">
        <f t="shared" si="93"/>
        <v/>
      </c>
      <c r="BC21" s="33" t="str">
        <f t="shared" si="94"/>
        <v/>
      </c>
      <c r="BD21" s="27"/>
      <c r="BF21" s="45"/>
      <c r="BG21" s="53"/>
      <c r="BH21" s="5" t="str">
        <f t="shared" si="95"/>
        <v/>
      </c>
      <c r="BI21" s="5"/>
      <c r="BJ21" s="5" t="str">
        <f t="shared" si="96"/>
        <v/>
      </c>
      <c r="BK21" s="5"/>
      <c r="BL21" s="5" t="str">
        <f t="shared" si="97"/>
        <v/>
      </c>
      <c r="BM21" s="32"/>
      <c r="BN21" s="3" t="str">
        <f t="shared" si="98"/>
        <v/>
      </c>
      <c r="BO21" s="36" t="str">
        <f t="shared" si="99"/>
        <v/>
      </c>
      <c r="BP21" s="5" t="str">
        <f t="shared" si="100"/>
        <v/>
      </c>
      <c r="BQ21" s="33" t="str">
        <f t="shared" si="101"/>
        <v/>
      </c>
      <c r="BR21" s="27"/>
      <c r="BT21" s="45"/>
      <c r="BU21" s="53"/>
      <c r="BV21" s="5" t="str">
        <f t="shared" si="102"/>
        <v/>
      </c>
      <c r="BW21" s="5"/>
      <c r="BX21" s="5" t="str">
        <f t="shared" si="103"/>
        <v/>
      </c>
      <c r="BY21" s="5"/>
      <c r="BZ21" s="5" t="str">
        <f t="shared" si="104"/>
        <v/>
      </c>
      <c r="CA21" s="32"/>
      <c r="CB21" s="3" t="str">
        <f t="shared" si="105"/>
        <v/>
      </c>
      <c r="CC21" s="36" t="str">
        <f t="shared" si="106"/>
        <v/>
      </c>
      <c r="CD21" s="5" t="str">
        <f t="shared" si="107"/>
        <v/>
      </c>
      <c r="CE21" s="33" t="str">
        <f t="shared" si="108"/>
        <v/>
      </c>
      <c r="CF21" s="27"/>
      <c r="CH21" s="45"/>
      <c r="CI21" s="53"/>
      <c r="CJ21" s="5" t="str">
        <f t="shared" si="109"/>
        <v/>
      </c>
      <c r="CK21" s="5"/>
      <c r="CL21" s="5" t="str">
        <f t="shared" si="110"/>
        <v/>
      </c>
      <c r="CM21" s="5"/>
      <c r="CN21" s="5" t="str">
        <f t="shared" si="111"/>
        <v/>
      </c>
      <c r="CO21" s="32"/>
      <c r="CP21" s="3" t="str">
        <f t="shared" si="112"/>
        <v/>
      </c>
      <c r="CQ21" s="36" t="str">
        <f t="shared" si="113"/>
        <v/>
      </c>
      <c r="CR21" s="5" t="str">
        <f t="shared" si="114"/>
        <v/>
      </c>
      <c r="CS21" s="33" t="str">
        <f t="shared" si="115"/>
        <v/>
      </c>
      <c r="CT21" s="27"/>
      <c r="CV21" s="45"/>
      <c r="CW21" s="53"/>
      <c r="CX21" s="5" t="str">
        <f t="shared" si="116"/>
        <v/>
      </c>
      <c r="CY21" s="5"/>
      <c r="CZ21" s="5" t="str">
        <f t="shared" si="117"/>
        <v/>
      </c>
      <c r="DA21" s="5"/>
      <c r="DB21" s="5" t="str">
        <f t="shared" si="118"/>
        <v/>
      </c>
      <c r="DC21" s="32"/>
      <c r="DD21" s="3" t="str">
        <f t="shared" si="119"/>
        <v/>
      </c>
      <c r="DE21" s="36" t="str">
        <f t="shared" si="120"/>
        <v/>
      </c>
      <c r="DF21" s="5" t="str">
        <f t="shared" si="121"/>
        <v/>
      </c>
      <c r="DG21" s="33" t="str">
        <f t="shared" si="122"/>
        <v/>
      </c>
      <c r="DH21" s="27"/>
      <c r="DJ21" s="23"/>
      <c r="DK21" s="53"/>
      <c r="DL21" s="5" t="str">
        <f t="shared" si="123"/>
        <v/>
      </c>
      <c r="DM21" s="5"/>
      <c r="DN21" s="5" t="str">
        <f t="shared" si="124"/>
        <v/>
      </c>
      <c r="DO21" s="5"/>
      <c r="DP21" s="5" t="str">
        <f t="shared" si="125"/>
        <v/>
      </c>
      <c r="DQ21" s="32"/>
      <c r="DR21" s="3" t="str">
        <f t="shared" si="126"/>
        <v/>
      </c>
      <c r="DS21" s="36" t="str">
        <f t="shared" si="127"/>
        <v/>
      </c>
      <c r="DT21" s="5" t="str">
        <f t="shared" si="128"/>
        <v/>
      </c>
      <c r="DU21" s="33" t="str">
        <f t="shared" si="129"/>
        <v/>
      </c>
      <c r="DV21" s="27"/>
      <c r="DX21" s="23"/>
      <c r="DY21" s="53"/>
      <c r="DZ21" s="5" t="str">
        <f t="shared" si="130"/>
        <v/>
      </c>
      <c r="EA21" s="5"/>
      <c r="EB21" s="5" t="str">
        <f t="shared" si="131"/>
        <v/>
      </c>
      <c r="EC21" s="5"/>
      <c r="ED21" s="5" t="str">
        <f t="shared" si="132"/>
        <v/>
      </c>
      <c r="EE21" s="32"/>
      <c r="EF21" s="3" t="str">
        <f t="shared" si="133"/>
        <v/>
      </c>
      <c r="EG21" s="36" t="str">
        <f t="shared" si="134"/>
        <v/>
      </c>
      <c r="EH21" s="5" t="str">
        <f t="shared" si="135"/>
        <v/>
      </c>
      <c r="EI21" s="33" t="str">
        <f t="shared" si="136"/>
        <v/>
      </c>
      <c r="EJ21" s="27"/>
      <c r="EL21" s="68" t="str">
        <f>IF($A21="","",$A21)</f>
        <v/>
      </c>
      <c r="EM21" s="5"/>
      <c r="EN21" s="5" t="str">
        <f>IF(EM21="","",EM21-#REF!)</f>
        <v/>
      </c>
      <c r="EO21" s="5"/>
      <c r="EP21" s="5" t="str">
        <f>IF(EO21="","",EO21-#REF!)</f>
        <v/>
      </c>
      <c r="EQ21" s="5"/>
      <c r="ER21" s="5" t="str">
        <f>IF(EQ21="","",#REF!+#REF!-EQ21)</f>
        <v/>
      </c>
      <c r="ES21" s="5"/>
      <c r="ET21" s="2" t="str">
        <f t="shared" si="140"/>
        <v/>
      </c>
      <c r="EU21" s="4" t="str">
        <f>IF(EM21="","",#REF!)</f>
        <v/>
      </c>
      <c r="EV21" s="5" t="str">
        <f t="shared" si="216"/>
        <v/>
      </c>
      <c r="EW21" s="33" t="str">
        <f t="shared" si="217"/>
        <v/>
      </c>
      <c r="EX21" s="27"/>
      <c r="EZ21" s="68" t="str">
        <f>IF($A21="","",$A21)</f>
        <v/>
      </c>
      <c r="FA21" s="5"/>
      <c r="FB21" s="5" t="str">
        <f>IF(FA21="","",FA21-#REF!)</f>
        <v/>
      </c>
      <c r="FC21" s="5"/>
      <c r="FD21" s="5" t="str">
        <f>IF(FC21="","",FC21-#REF!)</f>
        <v/>
      </c>
      <c r="FE21" s="5"/>
      <c r="FF21" s="5" t="str">
        <f>IF(FE21="","",#REF!+#REF!-FE21)</f>
        <v/>
      </c>
      <c r="FG21" s="5"/>
      <c r="FH21" s="2" t="str">
        <f t="shared" si="147"/>
        <v/>
      </c>
      <c r="FI21" s="4" t="str">
        <f>IF(FA21="","",#REF!)</f>
        <v/>
      </c>
      <c r="FJ21" s="5" t="str">
        <f t="shared" si="218"/>
        <v/>
      </c>
      <c r="FK21" s="33" t="str">
        <f t="shared" si="219"/>
        <v/>
      </c>
      <c r="FL21" s="27"/>
      <c r="FN21" s="68" t="str">
        <f>IF($A21="","",$A21)</f>
        <v/>
      </c>
      <c r="FO21" s="5"/>
      <c r="FP21" s="5" t="str">
        <f>IF(FO21="","",FO21-#REF!)</f>
        <v/>
      </c>
      <c r="FQ21" s="5"/>
      <c r="FR21" s="5" t="str">
        <f>IF(FQ21="","",FQ21-#REF!)</f>
        <v/>
      </c>
      <c r="FS21" s="5"/>
      <c r="FT21" s="5" t="str">
        <f>IF(FS21="","",#REF!+#REF!-FS21)</f>
        <v/>
      </c>
      <c r="FU21" s="5"/>
      <c r="FV21" s="2" t="str">
        <f t="shared" si="154"/>
        <v/>
      </c>
      <c r="FW21" s="4" t="str">
        <f>IF(FO21="","",#REF!)</f>
        <v/>
      </c>
      <c r="FX21" s="5" t="str">
        <f t="shared" si="220"/>
        <v/>
      </c>
      <c r="FY21" s="33" t="str">
        <f t="shared" si="221"/>
        <v/>
      </c>
      <c r="FZ21" s="27"/>
      <c r="GB21" s="68" t="str">
        <f>IF($A21="","",$A21)</f>
        <v/>
      </c>
      <c r="GC21" s="5"/>
      <c r="GD21" s="5" t="str">
        <f>IF(GC21="","",GC21-#REF!)</f>
        <v/>
      </c>
      <c r="GE21" s="5"/>
      <c r="GF21" s="5" t="str">
        <f>IF(GE21="","",GE21-#REF!)</f>
        <v/>
      </c>
      <c r="GG21" s="5"/>
      <c r="GH21" s="5" t="str">
        <f>IF(GG21="","",#REF!+#REF!-GG21)</f>
        <v/>
      </c>
      <c r="GI21" s="5"/>
      <c r="GJ21" s="2" t="str">
        <f t="shared" si="24"/>
        <v/>
      </c>
      <c r="GK21" s="4" t="str">
        <f>IF(GC21="","",#REF!)</f>
        <v/>
      </c>
      <c r="GL21" s="5" t="str">
        <f t="shared" si="222"/>
        <v/>
      </c>
      <c r="GM21" s="33" t="str">
        <f t="shared" si="223"/>
        <v/>
      </c>
      <c r="GN21" s="27"/>
      <c r="GP21" s="68" t="str">
        <f>IF($A21="","",$A21)</f>
        <v/>
      </c>
      <c r="GQ21" s="5"/>
      <c r="GR21" s="5" t="str">
        <f>IF(GQ21="","",GQ21-#REF!)</f>
        <v/>
      </c>
      <c r="GS21" s="5"/>
      <c r="GT21" s="5" t="str">
        <f>IF(GS21="","",GS21-#REF!)</f>
        <v/>
      </c>
      <c r="GU21" s="5"/>
      <c r="GV21" s="5" t="str">
        <f>IF(GU21="","",#REF!+#REF!-GU21)</f>
        <v/>
      </c>
      <c r="GW21" s="5"/>
      <c r="GX21" s="2" t="str">
        <f t="shared" si="161"/>
        <v/>
      </c>
      <c r="GY21" s="4" t="str">
        <f>IF(GQ21="","",#REF!)</f>
        <v/>
      </c>
      <c r="GZ21" s="5" t="str">
        <f t="shared" si="224"/>
        <v/>
      </c>
      <c r="HA21" s="33" t="str">
        <f t="shared" si="225"/>
        <v/>
      </c>
      <c r="HB21" s="27"/>
      <c r="HD21" s="68" t="str">
        <f>IF($A21="","",$A21)</f>
        <v/>
      </c>
      <c r="HE21" s="5"/>
      <c r="HF21" s="5" t="str">
        <f>IF(HE21="","",HE21-#REF!)</f>
        <v/>
      </c>
      <c r="HG21" s="5"/>
      <c r="HH21" s="27"/>
      <c r="HJ21" s="68" t="str">
        <f>IF($A21="","",$A21)</f>
        <v/>
      </c>
      <c r="HK21" s="5"/>
      <c r="HL21" s="5" t="str">
        <f>IF(HK21="","",HK21-#REF!)</f>
        <v/>
      </c>
      <c r="HM21" s="5"/>
      <c r="HN21" s="27"/>
      <c r="HP21" s="68" t="str">
        <f>IF($A21="","",$A21)</f>
        <v/>
      </c>
      <c r="HQ21" s="5"/>
      <c r="HR21" s="5" t="str">
        <f>IF(HQ21="","",HQ21-#REF!)</f>
        <v/>
      </c>
      <c r="HS21" s="5"/>
      <c r="HT21" s="27"/>
      <c r="HV21" s="68" t="str">
        <f>IF($A21="","",$A21)</f>
        <v/>
      </c>
      <c r="HW21" s="5"/>
      <c r="HX21" s="5" t="str">
        <f>IF(HW21="","",HW21-#REF!)</f>
        <v/>
      </c>
      <c r="HY21" s="5"/>
      <c r="HZ21" s="5" t="str">
        <f>IF(HY21="","",HY21-#REF!)</f>
        <v/>
      </c>
      <c r="IA21" s="5"/>
      <c r="IB21" s="5" t="str">
        <f>IF(IA21="","",#REF!+#REF!-IA21)</f>
        <v/>
      </c>
      <c r="IC21" s="5"/>
      <c r="ID21" s="2" t="str">
        <f t="shared" si="168"/>
        <v/>
      </c>
      <c r="IE21" s="4" t="str">
        <f>IF(HW21="","",#REF!)</f>
        <v/>
      </c>
      <c r="IF21" s="5" t="str">
        <f t="shared" si="226"/>
        <v/>
      </c>
      <c r="IG21" s="33" t="str">
        <f t="shared" si="227"/>
        <v/>
      </c>
      <c r="IH21" s="27"/>
      <c r="IJ21" s="68" t="str">
        <f>IF($A21="","",$A21)</f>
        <v/>
      </c>
      <c r="IK21" s="5"/>
      <c r="IL21" s="5" t="str">
        <f>IF(IK21="","",IK21-#REF!)</f>
        <v/>
      </c>
      <c r="IM21" s="5"/>
      <c r="IN21" s="5" t="str">
        <f>IF(IM21="","",IM21-#REF!)</f>
        <v/>
      </c>
      <c r="IO21" s="5"/>
      <c r="IP21" s="5" t="str">
        <f>IF(IO21="","",#REF!+#REF!-IO21)</f>
        <v/>
      </c>
      <c r="IQ21" s="5"/>
      <c r="IR21" s="2" t="str">
        <f t="shared" si="175"/>
        <v/>
      </c>
      <c r="IS21" s="4" t="str">
        <f>IF(IK21="","",#REF!)</f>
        <v/>
      </c>
      <c r="IT21" s="5" t="str">
        <f t="shared" si="228"/>
        <v/>
      </c>
      <c r="IU21" s="33" t="str">
        <f t="shared" si="229"/>
        <v/>
      </c>
      <c r="IV21" s="27"/>
      <c r="IX21" s="68" t="str">
        <f>IF($A21="","",$A21)</f>
        <v/>
      </c>
      <c r="IY21" s="5"/>
      <c r="IZ21" s="5" t="str">
        <f>IF(IY21="","",IY21-#REF!)</f>
        <v/>
      </c>
      <c r="JA21" s="5"/>
      <c r="JB21" s="5" t="str">
        <f>IF(JA21="","",JA21-#REF!)</f>
        <v/>
      </c>
      <c r="JC21" s="5"/>
      <c r="JD21" s="5" t="str">
        <f>IF(JC21="","",#REF!+#REF!-JC21)</f>
        <v/>
      </c>
      <c r="JE21" s="5"/>
      <c r="JF21" s="2" t="str">
        <f t="shared" si="182"/>
        <v/>
      </c>
      <c r="JG21" s="4" t="str">
        <f>IF(IY21="","",#REF!)</f>
        <v/>
      </c>
      <c r="JH21" s="5" t="str">
        <f t="shared" si="230"/>
        <v/>
      </c>
      <c r="JI21" s="33" t="str">
        <f t="shared" si="231"/>
        <v/>
      </c>
      <c r="JJ21" s="27"/>
      <c r="JL21" s="68" t="str">
        <f>IF($A21="","",$A21)</f>
        <v/>
      </c>
      <c r="JM21" s="5"/>
      <c r="JN21" s="5" t="str">
        <f>IF(JM21="","",JM21-#REF!)</f>
        <v/>
      </c>
      <c r="JO21" s="5"/>
      <c r="JP21" s="5" t="str">
        <f>IF(JO21="","",JO21-#REF!)</f>
        <v/>
      </c>
      <c r="JQ21" s="5"/>
      <c r="JR21" s="5" t="str">
        <f>IF(JQ21="","",JQ21-#REF!)</f>
        <v/>
      </c>
      <c r="JS21" s="5"/>
      <c r="JT21" s="5" t="str">
        <f>IF(JS21="","",#REF!+#REF!-JS21)</f>
        <v/>
      </c>
      <c r="JU21" s="5"/>
      <c r="JV21" s="2" t="str">
        <f t="shared" si="190"/>
        <v/>
      </c>
      <c r="JW21" s="4" t="str">
        <f>IF(JM21="","",#REF!)</f>
        <v/>
      </c>
      <c r="JX21" s="5" t="str">
        <f t="shared" si="232"/>
        <v/>
      </c>
      <c r="JY21" s="33" t="str">
        <f t="shared" si="233"/>
        <v/>
      </c>
      <c r="JZ21" s="27"/>
    </row>
    <row r="22" spans="1:286" ht="15" customHeight="1" thickBot="1" x14ac:dyDescent="0.25">
      <c r="A22" s="56"/>
      <c r="B22" s="67"/>
      <c r="C22" s="40"/>
      <c r="D22" s="57" t="str">
        <f t="shared" si="67"/>
        <v/>
      </c>
      <c r="E22" s="41"/>
      <c r="F22" s="41" t="str">
        <f t="shared" si="68"/>
        <v/>
      </c>
      <c r="G22" s="41"/>
      <c r="H22" s="41" t="str">
        <f t="shared" si="69"/>
        <v/>
      </c>
      <c r="I22" s="58"/>
      <c r="J22" s="42" t="str">
        <f t="shared" si="70"/>
        <v/>
      </c>
      <c r="K22" s="57" t="str">
        <f t="shared" si="71"/>
        <v/>
      </c>
      <c r="L22" s="41" t="str">
        <f t="shared" si="72"/>
        <v/>
      </c>
      <c r="M22" s="43" t="str">
        <f t="shared" si="73"/>
        <v/>
      </c>
      <c r="N22" s="27"/>
      <c r="P22" s="56"/>
      <c r="Q22" s="40"/>
      <c r="R22" s="57" t="str">
        <f t="shared" si="74"/>
        <v/>
      </c>
      <c r="S22" s="41"/>
      <c r="T22" s="41" t="str">
        <f t="shared" si="75"/>
        <v/>
      </c>
      <c r="U22" s="41"/>
      <c r="V22" s="41" t="str">
        <f t="shared" si="76"/>
        <v/>
      </c>
      <c r="W22" s="58"/>
      <c r="X22" s="42" t="str">
        <f t="shared" si="77"/>
        <v/>
      </c>
      <c r="Y22" s="57" t="str">
        <f t="shared" si="78"/>
        <v/>
      </c>
      <c r="Z22" s="41" t="str">
        <f t="shared" si="79"/>
        <v/>
      </c>
      <c r="AA22" s="43" t="str">
        <f t="shared" si="80"/>
        <v/>
      </c>
      <c r="AB22" s="27"/>
      <c r="AD22" s="56"/>
      <c r="AE22" s="40"/>
      <c r="AF22" s="57" t="str">
        <f t="shared" si="81"/>
        <v/>
      </c>
      <c r="AG22" s="41"/>
      <c r="AH22" s="41" t="str">
        <f t="shared" si="82"/>
        <v/>
      </c>
      <c r="AI22" s="41"/>
      <c r="AJ22" s="41" t="str">
        <f t="shared" si="83"/>
        <v/>
      </c>
      <c r="AK22" s="58"/>
      <c r="AL22" s="42" t="str">
        <f t="shared" si="84"/>
        <v/>
      </c>
      <c r="AM22" s="57" t="str">
        <f t="shared" si="85"/>
        <v/>
      </c>
      <c r="AN22" s="41" t="str">
        <f t="shared" si="86"/>
        <v/>
      </c>
      <c r="AO22" s="43" t="str">
        <f t="shared" si="87"/>
        <v/>
      </c>
      <c r="AP22" s="27"/>
      <c r="AR22" s="56"/>
      <c r="AS22" s="40"/>
      <c r="AT22" s="57" t="str">
        <f t="shared" si="88"/>
        <v/>
      </c>
      <c r="AU22" s="41"/>
      <c r="AV22" s="41" t="str">
        <f t="shared" si="89"/>
        <v/>
      </c>
      <c r="AW22" s="41"/>
      <c r="AX22" s="41" t="str">
        <f t="shared" si="90"/>
        <v/>
      </c>
      <c r="AY22" s="58"/>
      <c r="AZ22" s="42" t="str">
        <f t="shared" si="91"/>
        <v/>
      </c>
      <c r="BA22" s="57" t="str">
        <f t="shared" si="92"/>
        <v/>
      </c>
      <c r="BB22" s="41" t="str">
        <f t="shared" si="93"/>
        <v/>
      </c>
      <c r="BC22" s="43" t="str">
        <f t="shared" si="94"/>
        <v/>
      </c>
      <c r="BD22" s="27"/>
      <c r="BF22" s="56"/>
      <c r="BG22" s="40"/>
      <c r="BH22" s="57" t="str">
        <f t="shared" si="95"/>
        <v/>
      </c>
      <c r="BI22" s="41"/>
      <c r="BJ22" s="41" t="str">
        <f t="shared" si="96"/>
        <v/>
      </c>
      <c r="BK22" s="41"/>
      <c r="BL22" s="41" t="str">
        <f t="shared" si="97"/>
        <v/>
      </c>
      <c r="BM22" s="58"/>
      <c r="BN22" s="42" t="str">
        <f t="shared" si="98"/>
        <v/>
      </c>
      <c r="BO22" s="57" t="str">
        <f t="shared" si="99"/>
        <v/>
      </c>
      <c r="BP22" s="41" t="str">
        <f t="shared" si="100"/>
        <v/>
      </c>
      <c r="BQ22" s="43" t="str">
        <f t="shared" si="101"/>
        <v/>
      </c>
      <c r="BR22" s="27"/>
      <c r="BT22" s="56"/>
      <c r="BU22" s="40"/>
      <c r="BV22" s="57" t="str">
        <f t="shared" si="102"/>
        <v/>
      </c>
      <c r="BW22" s="41"/>
      <c r="BX22" s="41" t="str">
        <f t="shared" si="103"/>
        <v/>
      </c>
      <c r="BY22" s="41"/>
      <c r="BZ22" s="41" t="str">
        <f t="shared" si="104"/>
        <v/>
      </c>
      <c r="CA22" s="58"/>
      <c r="CB22" s="42" t="str">
        <f t="shared" si="105"/>
        <v/>
      </c>
      <c r="CC22" s="57" t="str">
        <f t="shared" si="106"/>
        <v/>
      </c>
      <c r="CD22" s="41" t="str">
        <f t="shared" si="107"/>
        <v/>
      </c>
      <c r="CE22" s="43" t="str">
        <f t="shared" si="108"/>
        <v/>
      </c>
      <c r="CF22" s="27"/>
      <c r="CH22" s="56"/>
      <c r="CI22" s="40"/>
      <c r="CJ22" s="57" t="str">
        <f t="shared" si="109"/>
        <v/>
      </c>
      <c r="CK22" s="41"/>
      <c r="CL22" s="41" t="str">
        <f t="shared" si="110"/>
        <v/>
      </c>
      <c r="CM22" s="41"/>
      <c r="CN22" s="41" t="str">
        <f t="shared" si="111"/>
        <v/>
      </c>
      <c r="CO22" s="58"/>
      <c r="CP22" s="42" t="str">
        <f t="shared" si="112"/>
        <v/>
      </c>
      <c r="CQ22" s="57" t="str">
        <f t="shared" si="113"/>
        <v/>
      </c>
      <c r="CR22" s="41" t="str">
        <f t="shared" si="114"/>
        <v/>
      </c>
      <c r="CS22" s="43" t="str">
        <f t="shared" si="115"/>
        <v/>
      </c>
      <c r="CT22" s="27"/>
      <c r="CV22" s="56"/>
      <c r="CW22" s="40"/>
      <c r="CX22" s="57" t="str">
        <f t="shared" si="116"/>
        <v/>
      </c>
      <c r="CY22" s="41"/>
      <c r="CZ22" s="41" t="str">
        <f t="shared" si="117"/>
        <v/>
      </c>
      <c r="DA22" s="41"/>
      <c r="DB22" s="41" t="str">
        <f t="shared" si="118"/>
        <v/>
      </c>
      <c r="DC22" s="58"/>
      <c r="DD22" s="42" t="str">
        <f t="shared" si="119"/>
        <v/>
      </c>
      <c r="DE22" s="57" t="str">
        <f t="shared" si="120"/>
        <v/>
      </c>
      <c r="DF22" s="41" t="str">
        <f t="shared" si="121"/>
        <v/>
      </c>
      <c r="DG22" s="43" t="str">
        <f t="shared" si="122"/>
        <v/>
      </c>
      <c r="DH22" s="27"/>
      <c r="DJ22" s="38"/>
      <c r="DK22" s="40"/>
      <c r="DL22" s="57" t="str">
        <f t="shared" si="123"/>
        <v/>
      </c>
      <c r="DM22" s="41"/>
      <c r="DN22" s="41" t="str">
        <f t="shared" si="124"/>
        <v/>
      </c>
      <c r="DO22" s="41"/>
      <c r="DP22" s="41" t="str">
        <f t="shared" si="125"/>
        <v/>
      </c>
      <c r="DQ22" s="58"/>
      <c r="DR22" s="42" t="str">
        <f t="shared" si="126"/>
        <v/>
      </c>
      <c r="DS22" s="57" t="str">
        <f t="shared" si="127"/>
        <v/>
      </c>
      <c r="DT22" s="41" t="str">
        <f t="shared" si="128"/>
        <v/>
      </c>
      <c r="DU22" s="43" t="str">
        <f t="shared" si="129"/>
        <v/>
      </c>
      <c r="DV22" s="27"/>
      <c r="DX22" s="38"/>
      <c r="DY22" s="40"/>
      <c r="DZ22" s="57" t="str">
        <f t="shared" si="130"/>
        <v/>
      </c>
      <c r="EA22" s="41"/>
      <c r="EB22" s="41" t="str">
        <f t="shared" si="131"/>
        <v/>
      </c>
      <c r="EC22" s="41"/>
      <c r="ED22" s="41" t="str">
        <f t="shared" si="132"/>
        <v/>
      </c>
      <c r="EE22" s="58"/>
      <c r="EF22" s="42" t="str">
        <f t="shared" si="133"/>
        <v/>
      </c>
      <c r="EG22" s="57" t="str">
        <f t="shared" si="134"/>
        <v/>
      </c>
      <c r="EH22" s="41" t="str">
        <f t="shared" si="135"/>
        <v/>
      </c>
      <c r="EI22" s="43" t="str">
        <f t="shared" si="136"/>
        <v/>
      </c>
      <c r="EJ22" s="27"/>
      <c r="EL22" s="68" t="str">
        <f>IF($A22="","",$A22)</f>
        <v/>
      </c>
      <c r="EM22" s="5"/>
      <c r="EN22" s="5" t="str">
        <f>IF(EM22="","",EM22-EM21)</f>
        <v/>
      </c>
      <c r="EO22" s="5"/>
      <c r="EP22" s="5" t="str">
        <f>IF(EO22="","",EO22-EO21)</f>
        <v/>
      </c>
      <c r="EQ22" s="5"/>
      <c r="ER22" s="5" t="str">
        <f>IF(EQ22="","",EQ21+ES21-EQ22)</f>
        <v/>
      </c>
      <c r="ES22" s="5"/>
      <c r="ET22" s="2" t="str">
        <f t="shared" si="140"/>
        <v/>
      </c>
      <c r="EU22" s="4" t="str">
        <f>IF(EM22="","",EU21)</f>
        <v/>
      </c>
      <c r="EV22" s="5" t="str">
        <f t="shared" si="216"/>
        <v/>
      </c>
      <c r="EW22" s="33" t="str">
        <f t="shared" si="217"/>
        <v/>
      </c>
      <c r="EX22" s="27"/>
      <c r="EZ22" s="68" t="str">
        <f>IF($A22="","",$A22)</f>
        <v/>
      </c>
      <c r="FA22" s="5"/>
      <c r="FB22" s="5" t="str">
        <f>IF(FA22="","",FA22-FA21)</f>
        <v/>
      </c>
      <c r="FC22" s="5"/>
      <c r="FD22" s="5" t="str">
        <f>IF(FC22="","",FC22-FC21)</f>
        <v/>
      </c>
      <c r="FE22" s="5"/>
      <c r="FF22" s="5" t="str">
        <f>IF(FE22="","",FE21+FG21-FE22)</f>
        <v/>
      </c>
      <c r="FG22" s="5"/>
      <c r="FH22" s="2" t="str">
        <f t="shared" si="147"/>
        <v/>
      </c>
      <c r="FI22" s="4" t="str">
        <f>IF(FA22="","",FI21)</f>
        <v/>
      </c>
      <c r="FJ22" s="5" t="str">
        <f t="shared" si="218"/>
        <v/>
      </c>
      <c r="FK22" s="33" t="str">
        <f t="shared" si="219"/>
        <v/>
      </c>
      <c r="FL22" s="27"/>
      <c r="FN22" s="68" t="str">
        <f>IF($A22="","",$A22)</f>
        <v/>
      </c>
      <c r="FO22" s="5"/>
      <c r="FP22" s="5" t="str">
        <f>IF(FO22="","",FO22-FO21)</f>
        <v/>
      </c>
      <c r="FQ22" s="5"/>
      <c r="FR22" s="5" t="str">
        <f>IF(FQ22="","",FQ22-FQ21)</f>
        <v/>
      </c>
      <c r="FS22" s="5"/>
      <c r="FT22" s="5" t="str">
        <f>IF(FS22="","",FS21+FU21-FS22)</f>
        <v/>
      </c>
      <c r="FU22" s="5"/>
      <c r="FV22" s="2" t="str">
        <f t="shared" si="154"/>
        <v/>
      </c>
      <c r="FW22" s="4" t="str">
        <f>IF(FO22="","",FW21)</f>
        <v/>
      </c>
      <c r="FX22" s="5" t="str">
        <f t="shared" si="220"/>
        <v/>
      </c>
      <c r="FY22" s="33" t="str">
        <f t="shared" si="221"/>
        <v/>
      </c>
      <c r="FZ22" s="27"/>
      <c r="GB22" s="68" t="str">
        <f>IF($A22="","",$A22)</f>
        <v/>
      </c>
      <c r="GC22" s="5"/>
      <c r="GD22" s="5" t="str">
        <f>IF(GC22="","",GC22-GC21)</f>
        <v/>
      </c>
      <c r="GE22" s="5"/>
      <c r="GF22" s="5" t="str">
        <f>IF(GE22="","",GE22-GE21)</f>
        <v/>
      </c>
      <c r="GG22" s="5"/>
      <c r="GH22" s="5" t="str">
        <f>IF(GG22="","",GG21+GI21-GG22)</f>
        <v/>
      </c>
      <c r="GI22" s="5"/>
      <c r="GJ22" s="2" t="str">
        <f t="shared" si="24"/>
        <v/>
      </c>
      <c r="GK22" s="4" t="str">
        <f>IF(GC22="","",GK21)</f>
        <v/>
      </c>
      <c r="GL22" s="5" t="str">
        <f t="shared" si="222"/>
        <v/>
      </c>
      <c r="GM22" s="33" t="str">
        <f t="shared" si="223"/>
        <v/>
      </c>
      <c r="GN22" s="27"/>
      <c r="GP22" s="68" t="str">
        <f>IF($A22="","",$A22)</f>
        <v/>
      </c>
      <c r="GQ22" s="5"/>
      <c r="GR22" s="5" t="str">
        <f>IF(GQ22="","",GQ22-GQ21)</f>
        <v/>
      </c>
      <c r="GS22" s="5"/>
      <c r="GT22" s="5" t="str">
        <f>IF(GS22="","",GS22-GS21)</f>
        <v/>
      </c>
      <c r="GU22" s="5"/>
      <c r="GV22" s="5" t="str">
        <f>IF(GU22="","",GU21+GW21-GU22)</f>
        <v/>
      </c>
      <c r="GW22" s="5"/>
      <c r="GX22" s="2" t="str">
        <f t="shared" si="161"/>
        <v/>
      </c>
      <c r="GY22" s="4" t="str">
        <f>IF(GQ22="","",GY21)</f>
        <v/>
      </c>
      <c r="GZ22" s="5" t="str">
        <f t="shared" si="224"/>
        <v/>
      </c>
      <c r="HA22" s="33" t="str">
        <f t="shared" si="225"/>
        <v/>
      </c>
      <c r="HB22" s="27"/>
      <c r="HD22" s="68" t="str">
        <f>IF($A22="","",$A22)</f>
        <v/>
      </c>
      <c r="HE22" s="5"/>
      <c r="HF22" s="5" t="str">
        <f>IF(HE22="","",HE22-HE21)</f>
        <v/>
      </c>
      <c r="HG22" s="5"/>
      <c r="HH22" s="27"/>
      <c r="HJ22" s="68" t="str">
        <f>IF($A22="","",$A22)</f>
        <v/>
      </c>
      <c r="HK22" s="5"/>
      <c r="HL22" s="5" t="str">
        <f>IF(HK22="","",HK22-HK21)</f>
        <v/>
      </c>
      <c r="HM22" s="5"/>
      <c r="HN22" s="27"/>
      <c r="HP22" s="68" t="str">
        <f>IF($A22="","",$A22)</f>
        <v/>
      </c>
      <c r="HQ22" s="5"/>
      <c r="HR22" s="5" t="str">
        <f>IF(HQ22="","",HQ22-HQ21)</f>
        <v/>
      </c>
      <c r="HS22" s="5"/>
      <c r="HT22" s="27"/>
      <c r="HV22" s="68" t="str">
        <f>IF($A22="","",$A22)</f>
        <v/>
      </c>
      <c r="HW22" s="5"/>
      <c r="HX22" s="5" t="str">
        <f>IF(HW22="","",HW22-HW21)</f>
        <v/>
      </c>
      <c r="HY22" s="5"/>
      <c r="HZ22" s="5" t="str">
        <f>IF(HY22="","",HY22-HY21)</f>
        <v/>
      </c>
      <c r="IA22" s="5"/>
      <c r="IB22" s="5" t="str">
        <f>IF(IA22="","",IA21+IC21-IA22)</f>
        <v/>
      </c>
      <c r="IC22" s="5"/>
      <c r="ID22" s="2" t="str">
        <f t="shared" si="168"/>
        <v/>
      </c>
      <c r="IE22" s="4" t="str">
        <f>IF(HW22="","",IE21)</f>
        <v/>
      </c>
      <c r="IF22" s="5" t="str">
        <f t="shared" si="226"/>
        <v/>
      </c>
      <c r="IG22" s="33" t="str">
        <f t="shared" si="227"/>
        <v/>
      </c>
      <c r="IH22" s="27"/>
      <c r="IJ22" s="68" t="str">
        <f>IF($A22="","",$A22)</f>
        <v/>
      </c>
      <c r="IK22" s="5"/>
      <c r="IL22" s="5" t="str">
        <f>IF(IK22="","",IK22-IK21)</f>
        <v/>
      </c>
      <c r="IM22" s="5"/>
      <c r="IN22" s="5" t="str">
        <f>IF(IM22="","",IM22-IM21)</f>
        <v/>
      </c>
      <c r="IO22" s="5"/>
      <c r="IP22" s="5" t="str">
        <f>IF(IO22="","",IO21+IQ21-IO22)</f>
        <v/>
      </c>
      <c r="IQ22" s="5"/>
      <c r="IR22" s="2" t="str">
        <f t="shared" si="175"/>
        <v/>
      </c>
      <c r="IS22" s="4" t="str">
        <f>IF(IK22="","",IS21)</f>
        <v/>
      </c>
      <c r="IT22" s="5" t="str">
        <f t="shared" si="228"/>
        <v/>
      </c>
      <c r="IU22" s="33" t="str">
        <f t="shared" si="229"/>
        <v/>
      </c>
      <c r="IV22" s="27"/>
      <c r="IX22" s="68" t="str">
        <f>IF($A22="","",$A22)</f>
        <v/>
      </c>
      <c r="IY22" s="5"/>
      <c r="IZ22" s="5" t="str">
        <f>IF(IY22="","",IY22-IY21)</f>
        <v/>
      </c>
      <c r="JA22" s="5"/>
      <c r="JB22" s="5" t="str">
        <f>IF(JA22="","",JA22-JA21)</f>
        <v/>
      </c>
      <c r="JC22" s="5"/>
      <c r="JD22" s="5" t="str">
        <f>IF(JC22="","",JC21+JE21-JC22)</f>
        <v/>
      </c>
      <c r="JE22" s="5"/>
      <c r="JF22" s="2" t="str">
        <f t="shared" si="182"/>
        <v/>
      </c>
      <c r="JG22" s="4" t="str">
        <f>IF(IY22="","",JG21)</f>
        <v/>
      </c>
      <c r="JH22" s="5" t="str">
        <f t="shared" si="230"/>
        <v/>
      </c>
      <c r="JI22" s="33" t="str">
        <f t="shared" si="231"/>
        <v/>
      </c>
      <c r="JJ22" s="27"/>
      <c r="JL22" s="68" t="str">
        <f>IF($A22="","",$A22)</f>
        <v/>
      </c>
      <c r="JM22" s="5"/>
      <c r="JN22" s="5" t="str">
        <f>IF(JM22="","",JM22-JM21)</f>
        <v/>
      </c>
      <c r="JO22" s="5"/>
      <c r="JP22" s="5" t="str">
        <f>IF(JO22="","",JO22-JO21)</f>
        <v/>
      </c>
      <c r="JQ22" s="5"/>
      <c r="JR22" s="5" t="str">
        <f>IF(JQ22="","",JQ22-JQ21)</f>
        <v/>
      </c>
      <c r="JS22" s="5"/>
      <c r="JT22" s="5" t="str">
        <f>IF(JS22="","",JS21+JU21-JS22)</f>
        <v/>
      </c>
      <c r="JU22" s="5"/>
      <c r="JV22" s="2" t="str">
        <f t="shared" si="190"/>
        <v/>
      </c>
      <c r="JW22" s="4" t="str">
        <f>IF(JM22="","",JW21)</f>
        <v/>
      </c>
      <c r="JX22" s="5" t="str">
        <f t="shared" si="232"/>
        <v/>
      </c>
      <c r="JY22" s="33" t="str">
        <f t="shared" si="233"/>
        <v/>
      </c>
      <c r="JZ22" s="27"/>
    </row>
    <row r="23" spans="1:286" ht="15" customHeight="1" thickTop="1" x14ac:dyDescent="0.2">
      <c r="A23" s="45"/>
      <c r="B23" s="24">
        <f>SUM(D23:D26)+SUM(R23:R26)+SUM(AF23:AF26)+SUM(BV23:BV26)+SUM(GD8,GR8,EN8,FB8,FP8,HX8,IL8,IZ8,JN8,HF8,HL8,HR8)+SUM(CJ23:CJ26)+SUM(DL23:DL24)</f>
        <v>0</v>
      </c>
      <c r="C23" s="4"/>
      <c r="D23" s="4" t="str">
        <f t="shared" si="67"/>
        <v/>
      </c>
      <c r="E23" s="4"/>
      <c r="F23" s="46" t="str">
        <f t="shared" si="68"/>
        <v/>
      </c>
      <c r="G23" s="4"/>
      <c r="H23" s="4" t="str">
        <f t="shared" si="69"/>
        <v/>
      </c>
      <c r="I23" s="47"/>
      <c r="J23" s="29" t="str">
        <f t="shared" si="70"/>
        <v/>
      </c>
      <c r="K23" s="25" t="str">
        <f t="shared" si="71"/>
        <v/>
      </c>
      <c r="L23" s="46" t="str">
        <f t="shared" si="72"/>
        <v/>
      </c>
      <c r="M23" s="48" t="str">
        <f t="shared" si="73"/>
        <v/>
      </c>
      <c r="N23" s="27"/>
      <c r="P23" s="49" t="str">
        <f>IF($A23="","",$A23)</f>
        <v/>
      </c>
      <c r="Q23" s="4"/>
      <c r="R23" s="4" t="str">
        <f t="shared" si="74"/>
        <v/>
      </c>
      <c r="S23" s="4"/>
      <c r="T23" s="46" t="str">
        <f t="shared" si="75"/>
        <v/>
      </c>
      <c r="U23" s="4"/>
      <c r="V23" s="4" t="str">
        <f t="shared" si="76"/>
        <v/>
      </c>
      <c r="W23" s="47"/>
      <c r="X23" s="29" t="str">
        <f t="shared" si="77"/>
        <v/>
      </c>
      <c r="Y23" s="25" t="str">
        <f t="shared" si="78"/>
        <v/>
      </c>
      <c r="Z23" s="46" t="str">
        <f t="shared" si="79"/>
        <v/>
      </c>
      <c r="AA23" s="48" t="str">
        <f t="shared" si="80"/>
        <v/>
      </c>
      <c r="AB23" s="27"/>
      <c r="AD23" s="49" t="str">
        <f>IF($A23="","",$A23)</f>
        <v/>
      </c>
      <c r="AE23" s="4"/>
      <c r="AF23" s="4" t="str">
        <f t="shared" si="81"/>
        <v/>
      </c>
      <c r="AG23" s="4"/>
      <c r="AH23" s="46" t="str">
        <f t="shared" si="82"/>
        <v/>
      </c>
      <c r="AI23" s="4"/>
      <c r="AJ23" s="4" t="str">
        <f t="shared" si="83"/>
        <v/>
      </c>
      <c r="AK23" s="47"/>
      <c r="AL23" s="29" t="str">
        <f t="shared" si="84"/>
        <v/>
      </c>
      <c r="AM23" s="25" t="str">
        <f t="shared" si="85"/>
        <v/>
      </c>
      <c r="AN23" s="46" t="str">
        <f t="shared" si="86"/>
        <v/>
      </c>
      <c r="AO23" s="48" t="str">
        <f t="shared" si="87"/>
        <v/>
      </c>
      <c r="AP23" s="27"/>
      <c r="AR23" s="49" t="str">
        <f>IF($A23="","",$A23)</f>
        <v/>
      </c>
      <c r="AS23" s="4"/>
      <c r="AT23" s="4" t="str">
        <f t="shared" si="88"/>
        <v/>
      </c>
      <c r="AU23" s="4"/>
      <c r="AV23" s="46" t="str">
        <f t="shared" si="89"/>
        <v/>
      </c>
      <c r="AW23" s="4"/>
      <c r="AX23" s="4" t="str">
        <f t="shared" si="90"/>
        <v/>
      </c>
      <c r="AY23" s="47"/>
      <c r="AZ23" s="29" t="str">
        <f t="shared" si="91"/>
        <v/>
      </c>
      <c r="BA23" s="25" t="str">
        <f t="shared" si="92"/>
        <v/>
      </c>
      <c r="BB23" s="46" t="str">
        <f t="shared" si="93"/>
        <v/>
      </c>
      <c r="BC23" s="48" t="str">
        <f t="shared" si="94"/>
        <v/>
      </c>
      <c r="BD23" s="27"/>
      <c r="BF23" s="49" t="str">
        <f>IF($A23="","",$A23)</f>
        <v/>
      </c>
      <c r="BG23" s="4"/>
      <c r="BH23" s="4" t="str">
        <f t="shared" si="95"/>
        <v/>
      </c>
      <c r="BI23" s="4"/>
      <c r="BJ23" s="46" t="str">
        <f t="shared" si="96"/>
        <v/>
      </c>
      <c r="BK23" s="4"/>
      <c r="BL23" s="4" t="str">
        <f t="shared" si="97"/>
        <v/>
      </c>
      <c r="BM23" s="47"/>
      <c r="BN23" s="29" t="str">
        <f t="shared" si="98"/>
        <v/>
      </c>
      <c r="BO23" s="25" t="str">
        <f t="shared" si="99"/>
        <v/>
      </c>
      <c r="BP23" s="46" t="str">
        <f t="shared" si="100"/>
        <v/>
      </c>
      <c r="BQ23" s="48" t="str">
        <f t="shared" si="101"/>
        <v/>
      </c>
      <c r="BR23" s="27"/>
      <c r="BT23" s="49" t="str">
        <f>IF($A23="","",$A23)</f>
        <v/>
      </c>
      <c r="BU23" s="4"/>
      <c r="BV23" s="4" t="str">
        <f t="shared" si="102"/>
        <v/>
      </c>
      <c r="BW23" s="4"/>
      <c r="BX23" s="46" t="str">
        <f t="shared" si="103"/>
        <v/>
      </c>
      <c r="BY23" s="4"/>
      <c r="BZ23" s="4" t="str">
        <f t="shared" si="104"/>
        <v/>
      </c>
      <c r="CA23" s="47"/>
      <c r="CB23" s="29" t="str">
        <f t="shared" si="105"/>
        <v/>
      </c>
      <c r="CC23" s="25" t="str">
        <f t="shared" si="106"/>
        <v/>
      </c>
      <c r="CD23" s="46" t="str">
        <f t="shared" si="107"/>
        <v/>
      </c>
      <c r="CE23" s="48" t="str">
        <f t="shared" si="108"/>
        <v/>
      </c>
      <c r="CF23" s="27"/>
      <c r="CH23" s="49" t="str">
        <f>IF($A23="","",$A23)</f>
        <v/>
      </c>
      <c r="CI23" s="4"/>
      <c r="CJ23" s="4" t="str">
        <f t="shared" si="109"/>
        <v/>
      </c>
      <c r="CK23" s="4"/>
      <c r="CL23" s="46" t="str">
        <f t="shared" si="110"/>
        <v/>
      </c>
      <c r="CM23" s="4"/>
      <c r="CN23" s="4" t="str">
        <f t="shared" si="111"/>
        <v/>
      </c>
      <c r="CO23" s="47"/>
      <c r="CP23" s="29" t="str">
        <f t="shared" si="112"/>
        <v/>
      </c>
      <c r="CQ23" s="25" t="str">
        <f t="shared" si="113"/>
        <v/>
      </c>
      <c r="CR23" s="46" t="str">
        <f t="shared" si="114"/>
        <v/>
      </c>
      <c r="CS23" s="48" t="str">
        <f t="shared" si="115"/>
        <v/>
      </c>
      <c r="CT23" s="27"/>
      <c r="CV23" s="49" t="str">
        <f>IF($A23="","",$A23)</f>
        <v/>
      </c>
      <c r="CW23" s="4"/>
      <c r="CX23" s="4" t="str">
        <f t="shared" si="116"/>
        <v/>
      </c>
      <c r="CY23" s="4"/>
      <c r="CZ23" s="46" t="str">
        <f t="shared" si="117"/>
        <v/>
      </c>
      <c r="DA23" s="4"/>
      <c r="DB23" s="4" t="str">
        <f t="shared" si="118"/>
        <v/>
      </c>
      <c r="DC23" s="47"/>
      <c r="DD23" s="29" t="str">
        <f t="shared" si="119"/>
        <v/>
      </c>
      <c r="DE23" s="25" t="str">
        <f t="shared" si="120"/>
        <v/>
      </c>
      <c r="DF23" s="46" t="str">
        <f t="shared" si="121"/>
        <v/>
      </c>
      <c r="DG23" s="48" t="str">
        <f t="shared" si="122"/>
        <v/>
      </c>
      <c r="DH23" s="27"/>
      <c r="DJ23" s="30" t="str">
        <f>IF($A23="","",$A23)</f>
        <v/>
      </c>
      <c r="DK23" s="4"/>
      <c r="DL23" s="4" t="str">
        <f t="shared" si="123"/>
        <v/>
      </c>
      <c r="DM23" s="4"/>
      <c r="DN23" s="46" t="str">
        <f t="shared" si="124"/>
        <v/>
      </c>
      <c r="DO23" s="4"/>
      <c r="DP23" s="4" t="str">
        <f t="shared" si="125"/>
        <v/>
      </c>
      <c r="DQ23" s="47"/>
      <c r="DR23" s="29" t="str">
        <f t="shared" si="126"/>
        <v/>
      </c>
      <c r="DS23" s="25" t="str">
        <f t="shared" si="127"/>
        <v/>
      </c>
      <c r="DT23" s="46" t="str">
        <f t="shared" si="128"/>
        <v/>
      </c>
      <c r="DU23" s="48" t="str">
        <f t="shared" si="129"/>
        <v/>
      </c>
      <c r="DV23" s="27"/>
      <c r="DX23" s="30" t="str">
        <f>IF($A23="","",$A23)</f>
        <v/>
      </c>
      <c r="DY23" s="4"/>
      <c r="DZ23" s="4" t="str">
        <f t="shared" si="130"/>
        <v/>
      </c>
      <c r="EA23" s="4"/>
      <c r="EB23" s="46" t="str">
        <f t="shared" si="131"/>
        <v/>
      </c>
      <c r="EC23" s="4"/>
      <c r="ED23" s="4" t="str">
        <f t="shared" si="132"/>
        <v/>
      </c>
      <c r="EE23" s="47"/>
      <c r="EF23" s="29" t="str">
        <f t="shared" si="133"/>
        <v/>
      </c>
      <c r="EG23" s="25" t="str">
        <f t="shared" si="134"/>
        <v/>
      </c>
      <c r="EH23" s="46" t="str">
        <f t="shared" si="135"/>
        <v/>
      </c>
      <c r="EI23" s="48" t="str">
        <f t="shared" si="136"/>
        <v/>
      </c>
      <c r="EJ23" s="27"/>
      <c r="EL23" s="68"/>
      <c r="EM23" s="5"/>
      <c r="EN23" s="5" t="str">
        <f>IF(EM23="","",EM23-EM22)</f>
        <v/>
      </c>
      <c r="EO23" s="5"/>
      <c r="EP23" s="5" t="str">
        <f>IF(EO23="","",EO23-EO22)</f>
        <v/>
      </c>
      <c r="EQ23" s="5"/>
      <c r="ER23" s="5" t="str">
        <f>IF(EQ23="","",EQ22+ES22-EQ23)</f>
        <v/>
      </c>
      <c r="ES23" s="5"/>
      <c r="ET23" s="4"/>
      <c r="EU23" s="4" t="str">
        <f>IF(EM23="","",EU22)</f>
        <v/>
      </c>
      <c r="EV23" s="5" t="str">
        <f t="shared" si="216"/>
        <v/>
      </c>
      <c r="EW23" s="33" t="str">
        <f t="shared" si="217"/>
        <v/>
      </c>
      <c r="EX23" s="27"/>
      <c r="EZ23" s="68"/>
      <c r="FA23" s="5"/>
      <c r="FB23" s="5" t="str">
        <f>IF(FA23="","",FA23-FA22)</f>
        <v/>
      </c>
      <c r="FC23" s="5"/>
      <c r="FD23" s="5" t="str">
        <f>IF(FC23="","",FC23-FC22)</f>
        <v/>
      </c>
      <c r="FE23" s="5"/>
      <c r="FF23" s="5" t="str">
        <f>IF(FE23="","",FE22+FG22-FE23)</f>
        <v/>
      </c>
      <c r="FG23" s="5"/>
      <c r="FH23" s="4"/>
      <c r="FI23" s="4" t="str">
        <f>IF(FA23="","",FI22)</f>
        <v/>
      </c>
      <c r="FJ23" s="5" t="str">
        <f t="shared" si="218"/>
        <v/>
      </c>
      <c r="FK23" s="33" t="str">
        <f t="shared" si="219"/>
        <v/>
      </c>
      <c r="FL23" s="27"/>
      <c r="FN23" s="68"/>
      <c r="FO23" s="5"/>
      <c r="FP23" s="5" t="str">
        <f>IF(FO23="","",FO23-FO22)</f>
        <v/>
      </c>
      <c r="FQ23" s="5"/>
      <c r="FR23" s="5" t="str">
        <f>IF(FQ23="","",FQ23-FQ22)</f>
        <v/>
      </c>
      <c r="FS23" s="5"/>
      <c r="FT23" s="5" t="str">
        <f>IF(FS23="","",FS22+FU22-FS23)</f>
        <v/>
      </c>
      <c r="FU23" s="5"/>
      <c r="FV23" s="4"/>
      <c r="FW23" s="4" t="str">
        <f>IF(FO23="","",FW22)</f>
        <v/>
      </c>
      <c r="FX23" s="5" t="str">
        <f t="shared" si="220"/>
        <v/>
      </c>
      <c r="FY23" s="33" t="str">
        <f t="shared" si="221"/>
        <v/>
      </c>
      <c r="FZ23" s="27"/>
      <c r="GB23" s="68"/>
      <c r="GC23" s="5"/>
      <c r="GD23" s="5" t="str">
        <f>IF(GC23="","",GC23-GC22)</f>
        <v/>
      </c>
      <c r="GE23" s="5"/>
      <c r="GF23" s="5" t="str">
        <f>IF(GE23="","",GE23-GE22)</f>
        <v/>
      </c>
      <c r="GG23" s="5"/>
      <c r="GH23" s="5" t="str">
        <f>IF(GG23="","",GG22+GI22-GG23)</f>
        <v/>
      </c>
      <c r="GI23" s="5"/>
      <c r="GJ23" s="4"/>
      <c r="GK23" s="4" t="str">
        <f>IF(GC23="","",GK22)</f>
        <v/>
      </c>
      <c r="GL23" s="5" t="str">
        <f t="shared" si="222"/>
        <v/>
      </c>
      <c r="GM23" s="33" t="str">
        <f t="shared" si="223"/>
        <v/>
      </c>
      <c r="GN23" s="27"/>
      <c r="GP23" s="68"/>
      <c r="GQ23" s="5"/>
      <c r="GR23" s="5" t="str">
        <f>IF(GQ23="","",GQ23-GQ22)</f>
        <v/>
      </c>
      <c r="GS23" s="5"/>
      <c r="GT23" s="5" t="str">
        <f>IF(GS23="","",GS23-GS22)</f>
        <v/>
      </c>
      <c r="GU23" s="5"/>
      <c r="GV23" s="5" t="str">
        <f>IF(GU23="","",GU22+GW22-GU23)</f>
        <v/>
      </c>
      <c r="GW23" s="5"/>
      <c r="GX23" s="4"/>
      <c r="GY23" s="4" t="str">
        <f>IF(GQ23="","",GY22)</f>
        <v/>
      </c>
      <c r="GZ23" s="5" t="str">
        <f t="shared" si="224"/>
        <v/>
      </c>
      <c r="HA23" s="33" t="str">
        <f t="shared" si="225"/>
        <v/>
      </c>
      <c r="HB23" s="27"/>
      <c r="HD23" s="68"/>
      <c r="HE23" s="5"/>
      <c r="HF23" s="5" t="str">
        <f>IF(HE23="","",HE23-HE22)</f>
        <v/>
      </c>
      <c r="HG23" s="5"/>
      <c r="HH23" s="27"/>
      <c r="HJ23" s="68"/>
      <c r="HK23" s="5"/>
      <c r="HL23" s="5" t="str">
        <f>IF(HK23="","",HK23-HK22)</f>
        <v/>
      </c>
      <c r="HM23" s="5"/>
      <c r="HN23" s="27"/>
      <c r="HP23" s="68"/>
      <c r="HQ23" s="5"/>
      <c r="HR23" s="5" t="str">
        <f>IF(HQ23="","",HQ23-HQ22)</f>
        <v/>
      </c>
      <c r="HS23" s="5"/>
      <c r="HT23" s="27"/>
      <c r="HV23" s="68"/>
      <c r="HW23" s="5"/>
      <c r="HX23" s="5" t="str">
        <f>IF(HW23="","",HW23-HW22)</f>
        <v/>
      </c>
      <c r="HY23" s="5"/>
      <c r="HZ23" s="5" t="str">
        <f>IF(HY23="","",HY23-HY22)</f>
        <v/>
      </c>
      <c r="IA23" s="5"/>
      <c r="IB23" s="5" t="str">
        <f>IF(IA23="","",IA22+IC22-IA23)</f>
        <v/>
      </c>
      <c r="IC23" s="5"/>
      <c r="ID23" s="4"/>
      <c r="IE23" s="4" t="str">
        <f>IF(HW23="","",IE22)</f>
        <v/>
      </c>
      <c r="IF23" s="5" t="str">
        <f t="shared" si="226"/>
        <v/>
      </c>
      <c r="IG23" s="33" t="str">
        <f t="shared" si="227"/>
        <v/>
      </c>
      <c r="IH23" s="27"/>
      <c r="IJ23" s="68"/>
      <c r="IK23" s="5"/>
      <c r="IL23" s="5" t="str">
        <f>IF(IK23="","",IK23-IK22)</f>
        <v/>
      </c>
      <c r="IM23" s="5"/>
      <c r="IN23" s="5" t="str">
        <f>IF(IM23="","",IM23-IM22)</f>
        <v/>
      </c>
      <c r="IO23" s="5"/>
      <c r="IP23" s="5" t="str">
        <f>IF(IO23="","",IO22+IQ22-IO23)</f>
        <v/>
      </c>
      <c r="IQ23" s="5"/>
      <c r="IR23" s="4"/>
      <c r="IS23" s="4" t="str">
        <f>IF(IK23="","",IS22)</f>
        <v/>
      </c>
      <c r="IT23" s="5" t="str">
        <f t="shared" si="228"/>
        <v/>
      </c>
      <c r="IU23" s="33" t="str">
        <f t="shared" si="229"/>
        <v/>
      </c>
      <c r="IV23" s="27"/>
      <c r="IX23" s="68"/>
      <c r="IY23" s="5"/>
      <c r="IZ23" s="5" t="str">
        <f>IF(IY23="","",IY23-IY22)</f>
        <v/>
      </c>
      <c r="JA23" s="5"/>
      <c r="JB23" s="5" t="str">
        <f>IF(JA23="","",JA23-JA22)</f>
        <v/>
      </c>
      <c r="JC23" s="5"/>
      <c r="JD23" s="5" t="str">
        <f>IF(JC23="","",JC22+JE22-JC23)</f>
        <v/>
      </c>
      <c r="JE23" s="5"/>
      <c r="JF23" s="4"/>
      <c r="JG23" s="4" t="str">
        <f>IF(IY23="","",JG22)</f>
        <v/>
      </c>
      <c r="JH23" s="5" t="str">
        <f t="shared" si="230"/>
        <v/>
      </c>
      <c r="JI23" s="33" t="str">
        <f t="shared" si="231"/>
        <v/>
      </c>
      <c r="JJ23" s="27"/>
      <c r="JL23" s="68"/>
      <c r="JM23" s="5"/>
      <c r="JN23" s="5" t="str">
        <f>IF(JM23="","",JM23-JM22)</f>
        <v/>
      </c>
      <c r="JO23" s="5"/>
      <c r="JP23" s="5" t="str">
        <f>IF(JO23="","",JO23-JO22)</f>
        <v/>
      </c>
      <c r="JQ23" s="5"/>
      <c r="JR23" s="5" t="str">
        <f>IF(JQ23="","",JQ23-JQ22)</f>
        <v/>
      </c>
      <c r="JS23" s="5"/>
      <c r="JT23" s="5" t="str">
        <f>IF(JS23="","",JS22+JU22-JS23)</f>
        <v/>
      </c>
      <c r="JU23" s="5"/>
      <c r="JV23" s="2" t="str">
        <f t="shared" si="190"/>
        <v/>
      </c>
      <c r="JW23" s="4" t="str">
        <f>IF(JM23="","",JW22)</f>
        <v/>
      </c>
      <c r="JX23" s="5" t="str">
        <f t="shared" si="232"/>
        <v/>
      </c>
      <c r="JY23" s="33" t="str">
        <f t="shared" si="233"/>
        <v/>
      </c>
      <c r="JZ23" s="27"/>
    </row>
    <row r="24" spans="1:286" ht="15" customHeight="1" x14ac:dyDescent="0.2">
      <c r="A24" s="50"/>
      <c r="B24" s="34"/>
      <c r="C24" s="5"/>
      <c r="D24" s="5" t="str">
        <f t="shared" si="67"/>
        <v/>
      </c>
      <c r="E24" s="5"/>
      <c r="F24" s="5" t="str">
        <f t="shared" si="68"/>
        <v/>
      </c>
      <c r="G24" s="5"/>
      <c r="H24" s="5" t="str">
        <f t="shared" si="69"/>
        <v/>
      </c>
      <c r="I24" s="32"/>
      <c r="J24" s="35" t="str">
        <f t="shared" si="70"/>
        <v/>
      </c>
      <c r="K24" s="36" t="str">
        <f t="shared" si="71"/>
        <v/>
      </c>
      <c r="L24" s="5" t="str">
        <f t="shared" si="72"/>
        <v/>
      </c>
      <c r="M24" s="33" t="str">
        <f t="shared" si="73"/>
        <v/>
      </c>
      <c r="N24" s="27"/>
      <c r="P24" s="50"/>
      <c r="Q24" s="5"/>
      <c r="R24" s="5" t="str">
        <f t="shared" si="74"/>
        <v/>
      </c>
      <c r="S24" s="5"/>
      <c r="T24" s="5" t="str">
        <f t="shared" si="75"/>
        <v/>
      </c>
      <c r="U24" s="5"/>
      <c r="V24" s="5" t="str">
        <f t="shared" si="76"/>
        <v/>
      </c>
      <c r="W24" s="32"/>
      <c r="X24" s="35" t="str">
        <f t="shared" si="77"/>
        <v/>
      </c>
      <c r="Y24" s="36" t="str">
        <f t="shared" si="78"/>
        <v/>
      </c>
      <c r="Z24" s="5" t="str">
        <f t="shared" si="79"/>
        <v/>
      </c>
      <c r="AA24" s="33" t="str">
        <f t="shared" si="80"/>
        <v/>
      </c>
      <c r="AB24" s="27"/>
      <c r="AD24" s="50"/>
      <c r="AE24" s="5"/>
      <c r="AF24" s="5" t="str">
        <f t="shared" si="81"/>
        <v/>
      </c>
      <c r="AG24" s="5"/>
      <c r="AH24" s="5" t="str">
        <f t="shared" si="82"/>
        <v/>
      </c>
      <c r="AI24" s="5"/>
      <c r="AJ24" s="5" t="str">
        <f t="shared" si="83"/>
        <v/>
      </c>
      <c r="AK24" s="32"/>
      <c r="AL24" s="35" t="str">
        <f t="shared" si="84"/>
        <v/>
      </c>
      <c r="AM24" s="36" t="str">
        <f t="shared" si="85"/>
        <v/>
      </c>
      <c r="AN24" s="5" t="str">
        <f t="shared" si="86"/>
        <v/>
      </c>
      <c r="AO24" s="33" t="str">
        <f t="shared" si="87"/>
        <v/>
      </c>
      <c r="AP24" s="27"/>
      <c r="AR24" s="50"/>
      <c r="AS24" s="5"/>
      <c r="AT24" s="5" t="str">
        <f t="shared" si="88"/>
        <v/>
      </c>
      <c r="AU24" s="5"/>
      <c r="AV24" s="5" t="str">
        <f t="shared" si="89"/>
        <v/>
      </c>
      <c r="AW24" s="5"/>
      <c r="AX24" s="5" t="str">
        <f t="shared" si="90"/>
        <v/>
      </c>
      <c r="AY24" s="32"/>
      <c r="AZ24" s="35" t="str">
        <f t="shared" si="91"/>
        <v/>
      </c>
      <c r="BA24" s="36" t="str">
        <f t="shared" si="92"/>
        <v/>
      </c>
      <c r="BB24" s="5" t="str">
        <f t="shared" si="93"/>
        <v/>
      </c>
      <c r="BC24" s="33" t="str">
        <f t="shared" si="94"/>
        <v/>
      </c>
      <c r="BD24" s="27"/>
      <c r="BF24" s="50"/>
      <c r="BG24" s="5"/>
      <c r="BH24" s="5" t="str">
        <f t="shared" si="95"/>
        <v/>
      </c>
      <c r="BI24" s="5"/>
      <c r="BJ24" s="5" t="str">
        <f t="shared" si="96"/>
        <v/>
      </c>
      <c r="BK24" s="5"/>
      <c r="BL24" s="5" t="str">
        <f t="shared" si="97"/>
        <v/>
      </c>
      <c r="BM24" s="32"/>
      <c r="BN24" s="35" t="str">
        <f t="shared" si="98"/>
        <v/>
      </c>
      <c r="BO24" s="36" t="str">
        <f t="shared" si="99"/>
        <v/>
      </c>
      <c r="BP24" s="5" t="str">
        <f t="shared" si="100"/>
        <v/>
      </c>
      <c r="BQ24" s="33" t="str">
        <f t="shared" si="101"/>
        <v/>
      </c>
      <c r="BR24" s="27"/>
      <c r="BT24" s="50"/>
      <c r="BU24" s="5"/>
      <c r="BV24" s="5" t="str">
        <f t="shared" si="102"/>
        <v/>
      </c>
      <c r="BW24" s="5"/>
      <c r="BX24" s="5" t="str">
        <f t="shared" si="103"/>
        <v/>
      </c>
      <c r="BY24" s="5"/>
      <c r="BZ24" s="5" t="str">
        <f t="shared" si="104"/>
        <v/>
      </c>
      <c r="CA24" s="32"/>
      <c r="CB24" s="35" t="str">
        <f t="shared" si="105"/>
        <v/>
      </c>
      <c r="CC24" s="36" t="str">
        <f t="shared" si="106"/>
        <v/>
      </c>
      <c r="CD24" s="5" t="str">
        <f t="shared" si="107"/>
        <v/>
      </c>
      <c r="CE24" s="33" t="str">
        <f t="shared" si="108"/>
        <v/>
      </c>
      <c r="CF24" s="27"/>
      <c r="CH24" s="50"/>
      <c r="CI24" s="5"/>
      <c r="CJ24" s="5" t="str">
        <f t="shared" si="109"/>
        <v/>
      </c>
      <c r="CK24" s="5"/>
      <c r="CL24" s="5" t="str">
        <f t="shared" si="110"/>
        <v/>
      </c>
      <c r="CM24" s="5"/>
      <c r="CN24" s="5" t="str">
        <f t="shared" si="111"/>
        <v/>
      </c>
      <c r="CO24" s="32"/>
      <c r="CP24" s="35" t="str">
        <f t="shared" si="112"/>
        <v/>
      </c>
      <c r="CQ24" s="36" t="str">
        <f t="shared" si="113"/>
        <v/>
      </c>
      <c r="CR24" s="5" t="str">
        <f t="shared" si="114"/>
        <v/>
      </c>
      <c r="CS24" s="33" t="str">
        <f t="shared" si="115"/>
        <v/>
      </c>
      <c r="CT24" s="27"/>
      <c r="CV24" s="50"/>
      <c r="CW24" s="5"/>
      <c r="CX24" s="5" t="str">
        <f t="shared" si="116"/>
        <v/>
      </c>
      <c r="CY24" s="5"/>
      <c r="CZ24" s="5" t="str">
        <f t="shared" si="117"/>
        <v/>
      </c>
      <c r="DA24" s="5"/>
      <c r="DB24" s="5" t="str">
        <f t="shared" si="118"/>
        <v/>
      </c>
      <c r="DC24" s="32"/>
      <c r="DD24" s="35" t="str">
        <f t="shared" si="119"/>
        <v/>
      </c>
      <c r="DE24" s="36" t="str">
        <f t="shared" si="120"/>
        <v/>
      </c>
      <c r="DF24" s="5" t="str">
        <f t="shared" si="121"/>
        <v/>
      </c>
      <c r="DG24" s="33" t="str">
        <f t="shared" si="122"/>
        <v/>
      </c>
      <c r="DH24" s="27"/>
      <c r="DJ24" s="23"/>
      <c r="DK24" s="5"/>
      <c r="DL24" s="5" t="str">
        <f t="shared" si="123"/>
        <v/>
      </c>
      <c r="DM24" s="5"/>
      <c r="DN24" s="5" t="str">
        <f t="shared" si="124"/>
        <v/>
      </c>
      <c r="DO24" s="5"/>
      <c r="DP24" s="5" t="str">
        <f t="shared" si="125"/>
        <v/>
      </c>
      <c r="DQ24" s="32"/>
      <c r="DR24" s="35" t="str">
        <f t="shared" si="126"/>
        <v/>
      </c>
      <c r="DS24" s="36" t="str">
        <f t="shared" si="127"/>
        <v/>
      </c>
      <c r="DT24" s="5" t="str">
        <f t="shared" si="128"/>
        <v/>
      </c>
      <c r="DU24" s="33" t="str">
        <f t="shared" si="129"/>
        <v/>
      </c>
      <c r="DV24" s="27"/>
      <c r="DX24" s="23"/>
      <c r="DY24" s="5"/>
      <c r="DZ24" s="5" t="str">
        <f t="shared" si="130"/>
        <v/>
      </c>
      <c r="EA24" s="5"/>
      <c r="EB24" s="5" t="str">
        <f t="shared" si="131"/>
        <v/>
      </c>
      <c r="EC24" s="5"/>
      <c r="ED24" s="5" t="str">
        <f t="shared" si="132"/>
        <v/>
      </c>
      <c r="EE24" s="32"/>
      <c r="EF24" s="35" t="str">
        <f t="shared" si="133"/>
        <v/>
      </c>
      <c r="EG24" s="36" t="str">
        <f t="shared" si="134"/>
        <v/>
      </c>
      <c r="EH24" s="5" t="str">
        <f t="shared" si="135"/>
        <v/>
      </c>
      <c r="EI24" s="33" t="str">
        <f t="shared" si="136"/>
        <v/>
      </c>
      <c r="EJ24" s="27"/>
      <c r="EL24" s="14"/>
      <c r="EM24" s="36"/>
      <c r="EN24" s="5" t="str">
        <f>IF(EM24="","",EM24-EM23)</f>
        <v/>
      </c>
      <c r="EO24" s="5"/>
      <c r="EP24" s="5" t="str">
        <f>IF(EO24="","",EO24-EO23)</f>
        <v/>
      </c>
      <c r="EQ24" s="5"/>
      <c r="ER24" s="5" t="str">
        <f>IF(EQ24="","",EQ23+ES23-EQ24)</f>
        <v/>
      </c>
      <c r="ES24" s="5"/>
      <c r="ET24" s="5"/>
      <c r="EU24" s="5"/>
      <c r="EV24" s="5" t="str">
        <f t="shared" si="216"/>
        <v/>
      </c>
      <c r="EW24" s="33" t="str">
        <f t="shared" si="217"/>
        <v/>
      </c>
      <c r="EX24" s="27"/>
      <c r="EZ24" s="14"/>
      <c r="FA24" s="36"/>
      <c r="FB24" s="5" t="str">
        <f>IF(FA24="","",FA24-FA23)</f>
        <v/>
      </c>
      <c r="FC24" s="5"/>
      <c r="FD24" s="5" t="str">
        <f>IF(FC24="","",FC24-FC23)</f>
        <v/>
      </c>
      <c r="FE24" s="5"/>
      <c r="FF24" s="5" t="str">
        <f>IF(FE24="","",FE23+FG23-FE24)</f>
        <v/>
      </c>
      <c r="FG24" s="5"/>
      <c r="FH24" s="5"/>
      <c r="FI24" s="5"/>
      <c r="FJ24" s="5" t="str">
        <f t="shared" si="218"/>
        <v/>
      </c>
      <c r="FK24" s="33" t="str">
        <f t="shared" si="219"/>
        <v/>
      </c>
      <c r="FL24" s="27"/>
      <c r="FN24" s="14"/>
      <c r="FO24" s="36"/>
      <c r="FP24" s="5" t="str">
        <f>IF(FO24="","",FO24-FO23)</f>
        <v/>
      </c>
      <c r="FQ24" s="5"/>
      <c r="FR24" s="5" t="str">
        <f>IF(FQ24="","",FQ24-FQ23)</f>
        <v/>
      </c>
      <c r="FS24" s="5"/>
      <c r="FT24" s="5" t="str">
        <f>IF(FS24="","",FS23+FU23-FS24)</f>
        <v/>
      </c>
      <c r="FU24" s="5"/>
      <c r="FV24" s="5"/>
      <c r="FW24" s="5"/>
      <c r="FX24" s="5" t="str">
        <f t="shared" si="220"/>
        <v/>
      </c>
      <c r="FY24" s="33" t="str">
        <f t="shared" si="221"/>
        <v/>
      </c>
      <c r="FZ24" s="27"/>
      <c r="GB24" s="14"/>
      <c r="GC24" s="36"/>
      <c r="GD24" s="5" t="str">
        <f>IF(GC24="","",GC24-GC23)</f>
        <v/>
      </c>
      <c r="GE24" s="5"/>
      <c r="GF24" s="5" t="str">
        <f>IF(GE24="","",GE24-GE23)</f>
        <v/>
      </c>
      <c r="GG24" s="5"/>
      <c r="GH24" s="5" t="str">
        <f>IF(GG24="","",GG23+GI23-GG24)</f>
        <v/>
      </c>
      <c r="GI24" s="5"/>
      <c r="GJ24" s="5"/>
      <c r="GK24" s="5"/>
      <c r="GL24" s="5" t="str">
        <f t="shared" si="222"/>
        <v/>
      </c>
      <c r="GM24" s="33" t="str">
        <f t="shared" si="223"/>
        <v/>
      </c>
      <c r="GN24" s="27"/>
      <c r="GP24" s="14"/>
      <c r="GQ24" s="36"/>
      <c r="GR24" s="5" t="str">
        <f>IF(GQ24="","",GQ24-GQ23)</f>
        <v/>
      </c>
      <c r="GS24" s="5"/>
      <c r="GT24" s="5" t="str">
        <f>IF(GS24="","",GS24-GS23)</f>
        <v/>
      </c>
      <c r="GU24" s="5"/>
      <c r="GV24" s="5" t="str">
        <f>IF(GU24="","",GU23+GW23-GU24)</f>
        <v/>
      </c>
      <c r="GW24" s="5"/>
      <c r="GX24" s="5"/>
      <c r="GY24" s="5"/>
      <c r="GZ24" s="5" t="str">
        <f t="shared" si="224"/>
        <v/>
      </c>
      <c r="HA24" s="33" t="str">
        <f t="shared" si="225"/>
        <v/>
      </c>
      <c r="HB24" s="27"/>
      <c r="HD24" s="14"/>
      <c r="HE24" s="36"/>
      <c r="HF24" s="5" t="str">
        <f>IF(HE24="","",HE24-HE23)</f>
        <v/>
      </c>
      <c r="HG24" s="5"/>
      <c r="HH24" s="27"/>
      <c r="HJ24" s="14"/>
      <c r="HK24" s="36"/>
      <c r="HL24" s="5" t="str">
        <f>IF(HK24="","",HK24-HK23)</f>
        <v/>
      </c>
      <c r="HM24" s="5"/>
      <c r="HN24" s="27"/>
      <c r="HP24" s="14"/>
      <c r="HQ24" s="36"/>
      <c r="HR24" s="5" t="str">
        <f>IF(HQ24="","",HQ24-HQ23)</f>
        <v/>
      </c>
      <c r="HS24" s="5"/>
      <c r="HT24" s="27"/>
      <c r="HV24" s="14"/>
      <c r="HW24" s="36"/>
      <c r="HX24" s="5" t="str">
        <f>IF(HW24="","",HW24-HW23)</f>
        <v/>
      </c>
      <c r="HY24" s="5"/>
      <c r="HZ24" s="5" t="str">
        <f>IF(HY24="","",HY24-HY23)</f>
        <v/>
      </c>
      <c r="IA24" s="5"/>
      <c r="IB24" s="5" t="str">
        <f>IF(IA24="","",IA23+IC23-IA24)</f>
        <v/>
      </c>
      <c r="IC24" s="5"/>
      <c r="ID24" s="5"/>
      <c r="IE24" s="5"/>
      <c r="IF24" s="5" t="str">
        <f t="shared" si="226"/>
        <v/>
      </c>
      <c r="IG24" s="33" t="str">
        <f t="shared" si="227"/>
        <v/>
      </c>
      <c r="IH24" s="27"/>
      <c r="IJ24" s="14"/>
      <c r="IK24" s="36"/>
      <c r="IL24" s="5" t="str">
        <f>IF(IK24="","",IK24-IK23)</f>
        <v/>
      </c>
      <c r="IM24" s="5"/>
      <c r="IN24" s="5" t="str">
        <f>IF(IM24="","",IM24-IM23)</f>
        <v/>
      </c>
      <c r="IO24" s="5"/>
      <c r="IP24" s="5" t="str">
        <f>IF(IO24="","",IO23+IQ23-IO24)</f>
        <v/>
      </c>
      <c r="IQ24" s="5"/>
      <c r="IR24" s="5"/>
      <c r="IS24" s="5"/>
      <c r="IT24" s="5" t="str">
        <f t="shared" si="228"/>
        <v/>
      </c>
      <c r="IU24" s="33" t="str">
        <f t="shared" si="229"/>
        <v/>
      </c>
      <c r="IV24" s="27"/>
      <c r="IX24" s="14"/>
      <c r="IY24" s="36"/>
      <c r="IZ24" s="5" t="str">
        <f>IF(IY24="","",IY24-IY23)</f>
        <v/>
      </c>
      <c r="JA24" s="5"/>
      <c r="JB24" s="5" t="str">
        <f>IF(JA24="","",JA24-JA23)</f>
        <v/>
      </c>
      <c r="JC24" s="5"/>
      <c r="JD24" s="5" t="str">
        <f>IF(JC24="","",JC23+JE23-JC24)</f>
        <v/>
      </c>
      <c r="JE24" s="5"/>
      <c r="JF24" s="5"/>
      <c r="JG24" s="5"/>
      <c r="JH24" s="5" t="str">
        <f t="shared" si="230"/>
        <v/>
      </c>
      <c r="JI24" s="33" t="str">
        <f t="shared" si="231"/>
        <v/>
      </c>
      <c r="JJ24" s="27"/>
      <c r="JL24" s="14"/>
      <c r="JM24" s="36"/>
      <c r="JN24" s="5" t="str">
        <f>IF(JM24="","",JM24-JM23)</f>
        <v/>
      </c>
      <c r="JO24" s="5"/>
      <c r="JP24" s="5" t="str">
        <f>IF(JO24="","",JO24-JO23)</f>
        <v/>
      </c>
      <c r="JQ24" s="5"/>
      <c r="JR24" s="5" t="str">
        <f>IF(JQ24="","",JQ24-JQ23)</f>
        <v/>
      </c>
      <c r="JS24" s="5"/>
      <c r="JT24" s="5" t="str">
        <f>IF(JS24="","",JS23+JU23-JS24)</f>
        <v/>
      </c>
      <c r="JU24" s="5"/>
      <c r="JV24" s="3" t="str">
        <f t="shared" si="190"/>
        <v/>
      </c>
      <c r="JW24" s="5"/>
      <c r="JX24" s="5" t="str">
        <f t="shared" si="232"/>
        <v/>
      </c>
      <c r="JY24" s="33" t="str">
        <f t="shared" si="233"/>
        <v/>
      </c>
      <c r="JZ24" s="27"/>
    </row>
    <row r="25" spans="1:286" ht="15" customHeight="1" x14ac:dyDescent="0.2">
      <c r="A25" s="50"/>
      <c r="B25" s="65"/>
      <c r="C25" s="54"/>
      <c r="D25" s="5" t="str">
        <f t="shared" si="67"/>
        <v/>
      </c>
      <c r="E25" s="5"/>
      <c r="F25" s="5" t="str">
        <f t="shared" si="68"/>
        <v/>
      </c>
      <c r="G25" s="54"/>
      <c r="H25" s="5" t="str">
        <f t="shared" si="69"/>
        <v/>
      </c>
      <c r="I25" s="55"/>
      <c r="J25" s="35" t="str">
        <f t="shared" si="70"/>
        <v/>
      </c>
      <c r="K25" s="5" t="str">
        <f t="shared" si="71"/>
        <v/>
      </c>
      <c r="L25" s="5" t="str">
        <f t="shared" si="72"/>
        <v/>
      </c>
      <c r="M25" s="33" t="str">
        <f t="shared" si="73"/>
        <v/>
      </c>
      <c r="N25" s="27"/>
      <c r="P25" s="50"/>
      <c r="Q25" s="54"/>
      <c r="R25" s="5" t="str">
        <f t="shared" si="74"/>
        <v/>
      </c>
      <c r="S25" s="5"/>
      <c r="T25" s="5" t="str">
        <f t="shared" si="75"/>
        <v/>
      </c>
      <c r="U25" s="54"/>
      <c r="V25" s="5" t="str">
        <f t="shared" si="76"/>
        <v/>
      </c>
      <c r="W25" s="55"/>
      <c r="X25" s="35" t="str">
        <f t="shared" si="77"/>
        <v/>
      </c>
      <c r="Y25" s="5" t="str">
        <f t="shared" si="78"/>
        <v/>
      </c>
      <c r="Z25" s="5" t="str">
        <f t="shared" si="79"/>
        <v/>
      </c>
      <c r="AA25" s="33" t="str">
        <f t="shared" si="80"/>
        <v/>
      </c>
      <c r="AB25" s="27"/>
      <c r="AD25" s="50"/>
      <c r="AE25" s="54"/>
      <c r="AF25" s="5" t="str">
        <f t="shared" si="81"/>
        <v/>
      </c>
      <c r="AG25" s="5"/>
      <c r="AH25" s="5" t="str">
        <f t="shared" si="82"/>
        <v/>
      </c>
      <c r="AI25" s="54"/>
      <c r="AJ25" s="5" t="str">
        <f t="shared" si="83"/>
        <v/>
      </c>
      <c r="AK25" s="55"/>
      <c r="AL25" s="35" t="str">
        <f t="shared" si="84"/>
        <v/>
      </c>
      <c r="AM25" s="5" t="str">
        <f t="shared" si="85"/>
        <v/>
      </c>
      <c r="AN25" s="5" t="str">
        <f t="shared" si="86"/>
        <v/>
      </c>
      <c r="AO25" s="33" t="str">
        <f t="shared" si="87"/>
        <v/>
      </c>
      <c r="AP25" s="27"/>
      <c r="AR25" s="50"/>
      <c r="AS25" s="54"/>
      <c r="AT25" s="5" t="str">
        <f t="shared" si="88"/>
        <v/>
      </c>
      <c r="AU25" s="5"/>
      <c r="AV25" s="5" t="str">
        <f t="shared" si="89"/>
        <v/>
      </c>
      <c r="AW25" s="54"/>
      <c r="AX25" s="5" t="str">
        <f t="shared" si="90"/>
        <v/>
      </c>
      <c r="AY25" s="55"/>
      <c r="AZ25" s="35" t="str">
        <f t="shared" si="91"/>
        <v/>
      </c>
      <c r="BA25" s="5" t="str">
        <f t="shared" si="92"/>
        <v/>
      </c>
      <c r="BB25" s="5" t="str">
        <f t="shared" si="93"/>
        <v/>
      </c>
      <c r="BC25" s="33" t="str">
        <f t="shared" si="94"/>
        <v/>
      </c>
      <c r="BD25" s="27"/>
      <c r="BF25" s="50"/>
      <c r="BG25" s="54"/>
      <c r="BH25" s="5" t="str">
        <f t="shared" si="95"/>
        <v/>
      </c>
      <c r="BI25" s="5"/>
      <c r="BJ25" s="5" t="str">
        <f t="shared" si="96"/>
        <v/>
      </c>
      <c r="BK25" s="54"/>
      <c r="BL25" s="5" t="str">
        <f t="shared" si="97"/>
        <v/>
      </c>
      <c r="BM25" s="55"/>
      <c r="BN25" s="35" t="str">
        <f t="shared" si="98"/>
        <v/>
      </c>
      <c r="BO25" s="5" t="str">
        <f t="shared" si="99"/>
        <v/>
      </c>
      <c r="BP25" s="5" t="str">
        <f t="shared" si="100"/>
        <v/>
      </c>
      <c r="BQ25" s="33" t="str">
        <f t="shared" si="101"/>
        <v/>
      </c>
      <c r="BR25" s="27"/>
      <c r="BT25" s="50"/>
      <c r="BU25" s="54"/>
      <c r="BV25" s="5" t="str">
        <f t="shared" si="102"/>
        <v/>
      </c>
      <c r="BW25" s="5"/>
      <c r="BX25" s="5" t="str">
        <f t="shared" si="103"/>
        <v/>
      </c>
      <c r="BY25" s="54"/>
      <c r="BZ25" s="5" t="str">
        <f t="shared" si="104"/>
        <v/>
      </c>
      <c r="CA25" s="55"/>
      <c r="CB25" s="35" t="str">
        <f t="shared" si="105"/>
        <v/>
      </c>
      <c r="CC25" s="5" t="str">
        <f t="shared" si="106"/>
        <v/>
      </c>
      <c r="CD25" s="5" t="str">
        <f t="shared" si="107"/>
        <v/>
      </c>
      <c r="CE25" s="33" t="str">
        <f t="shared" si="108"/>
        <v/>
      </c>
      <c r="CF25" s="27"/>
      <c r="CH25" s="50"/>
      <c r="CI25" s="54"/>
      <c r="CJ25" s="5" t="str">
        <f t="shared" si="109"/>
        <v/>
      </c>
      <c r="CK25" s="5"/>
      <c r="CL25" s="5" t="str">
        <f t="shared" si="110"/>
        <v/>
      </c>
      <c r="CM25" s="54"/>
      <c r="CN25" s="5" t="str">
        <f t="shared" si="111"/>
        <v/>
      </c>
      <c r="CO25" s="55"/>
      <c r="CP25" s="35" t="str">
        <f t="shared" si="112"/>
        <v/>
      </c>
      <c r="CQ25" s="5" t="str">
        <f t="shared" si="113"/>
        <v/>
      </c>
      <c r="CR25" s="5" t="str">
        <f t="shared" si="114"/>
        <v/>
      </c>
      <c r="CS25" s="33" t="str">
        <f t="shared" si="115"/>
        <v/>
      </c>
      <c r="CT25" s="27"/>
      <c r="CV25" s="50"/>
      <c r="CW25" s="54"/>
      <c r="CX25" s="5" t="str">
        <f t="shared" si="116"/>
        <v/>
      </c>
      <c r="CY25" s="5"/>
      <c r="CZ25" s="5" t="str">
        <f t="shared" si="117"/>
        <v/>
      </c>
      <c r="DA25" s="54"/>
      <c r="DB25" s="5" t="str">
        <f t="shared" si="118"/>
        <v/>
      </c>
      <c r="DC25" s="55"/>
      <c r="DD25" s="35" t="str">
        <f t="shared" si="119"/>
        <v/>
      </c>
      <c r="DE25" s="5" t="str">
        <f t="shared" si="120"/>
        <v/>
      </c>
      <c r="DF25" s="5" t="str">
        <f t="shared" si="121"/>
        <v/>
      </c>
      <c r="DG25" s="33" t="str">
        <f t="shared" si="122"/>
        <v/>
      </c>
      <c r="DH25" s="27"/>
      <c r="DJ25" s="23"/>
      <c r="DK25" s="54"/>
      <c r="DL25" s="5" t="str">
        <f t="shared" si="123"/>
        <v/>
      </c>
      <c r="DM25" s="5"/>
      <c r="DN25" s="5" t="str">
        <f t="shared" si="124"/>
        <v/>
      </c>
      <c r="DO25" s="54"/>
      <c r="DP25" s="5" t="str">
        <f t="shared" si="125"/>
        <v/>
      </c>
      <c r="DQ25" s="55"/>
      <c r="DR25" s="35" t="str">
        <f t="shared" si="126"/>
        <v/>
      </c>
      <c r="DS25" s="5" t="str">
        <f t="shared" si="127"/>
        <v/>
      </c>
      <c r="DT25" s="5" t="str">
        <f t="shared" si="128"/>
        <v/>
      </c>
      <c r="DU25" s="33" t="str">
        <f t="shared" si="129"/>
        <v/>
      </c>
      <c r="DV25" s="27"/>
      <c r="DX25" s="23"/>
      <c r="DY25" s="54"/>
      <c r="DZ25" s="5" t="str">
        <f t="shared" si="130"/>
        <v/>
      </c>
      <c r="EA25" s="5"/>
      <c r="EB25" s="5" t="str">
        <f t="shared" si="131"/>
        <v/>
      </c>
      <c r="EC25" s="54"/>
      <c r="ED25" s="5" t="str">
        <f t="shared" si="132"/>
        <v/>
      </c>
      <c r="EE25" s="55"/>
      <c r="EF25" s="35" t="str">
        <f t="shared" si="133"/>
        <v/>
      </c>
      <c r="EG25" s="5" t="str">
        <f t="shared" si="134"/>
        <v/>
      </c>
      <c r="EH25" s="5" t="str">
        <f t="shared" si="135"/>
        <v/>
      </c>
      <c r="EI25" s="33" t="str">
        <f t="shared" si="136"/>
        <v/>
      </c>
      <c r="EJ25" s="27"/>
      <c r="EL25" s="14"/>
      <c r="EM25" s="36"/>
      <c r="EN25" s="5" t="str">
        <f>IF(EM25="","",EM25-EM24)</f>
        <v/>
      </c>
      <c r="EO25" s="5"/>
      <c r="EP25" s="5" t="str">
        <f>IF(EO25="","",EO25-EO24)</f>
        <v/>
      </c>
      <c r="EQ25" s="5"/>
      <c r="ER25" s="5" t="str">
        <f>IF(EQ25="","",EQ24+ES24-EQ25)</f>
        <v/>
      </c>
      <c r="ES25" s="5"/>
      <c r="ET25" s="5"/>
      <c r="EU25" s="5"/>
      <c r="EV25" s="5" t="str">
        <f t="shared" si="216"/>
        <v/>
      </c>
      <c r="EW25" s="33" t="str">
        <f t="shared" si="217"/>
        <v/>
      </c>
      <c r="EX25" s="27"/>
      <c r="EZ25" s="14"/>
      <c r="FA25" s="36"/>
      <c r="FB25" s="5" t="str">
        <f>IF(FA25="","",FA25-FA24)</f>
        <v/>
      </c>
      <c r="FC25" s="5"/>
      <c r="FD25" s="5" t="str">
        <f>IF(FC25="","",FC25-FC24)</f>
        <v/>
      </c>
      <c r="FE25" s="5"/>
      <c r="FF25" s="5" t="str">
        <f>IF(FE25="","",FE24+FG24-FE25)</f>
        <v/>
      </c>
      <c r="FG25" s="5"/>
      <c r="FH25" s="5"/>
      <c r="FI25" s="5"/>
      <c r="FJ25" s="5" t="str">
        <f t="shared" si="218"/>
        <v/>
      </c>
      <c r="FK25" s="33" t="str">
        <f t="shared" si="219"/>
        <v/>
      </c>
      <c r="FL25" s="27"/>
      <c r="FN25" s="14"/>
      <c r="FO25" s="36"/>
      <c r="FP25" s="5" t="str">
        <f>IF(FO25="","",FO25-FO24)</f>
        <v/>
      </c>
      <c r="FQ25" s="5"/>
      <c r="FR25" s="5" t="str">
        <f>IF(FQ25="","",FQ25-FQ24)</f>
        <v/>
      </c>
      <c r="FS25" s="5"/>
      <c r="FT25" s="5" t="str">
        <f>IF(FS25="","",FS24+FU24-FS25)</f>
        <v/>
      </c>
      <c r="FU25" s="5"/>
      <c r="FV25" s="5"/>
      <c r="FW25" s="5"/>
      <c r="FX25" s="5" t="str">
        <f t="shared" si="220"/>
        <v/>
      </c>
      <c r="FY25" s="33" t="str">
        <f t="shared" si="221"/>
        <v/>
      </c>
      <c r="FZ25" s="27"/>
      <c r="GB25" s="14"/>
      <c r="GC25" s="36"/>
      <c r="GD25" s="5" t="str">
        <f>IF(GC25="","",GC25-GC24)</f>
        <v/>
      </c>
      <c r="GE25" s="5"/>
      <c r="GF25" s="5" t="str">
        <f>IF(GE25="","",GE25-GE24)</f>
        <v/>
      </c>
      <c r="GG25" s="5"/>
      <c r="GH25" s="5" t="str">
        <f>IF(GG25="","",GG24+GI24-GG25)</f>
        <v/>
      </c>
      <c r="GI25" s="5"/>
      <c r="GJ25" s="5"/>
      <c r="GK25" s="5"/>
      <c r="GL25" s="5" t="str">
        <f t="shared" si="222"/>
        <v/>
      </c>
      <c r="GM25" s="33" t="str">
        <f t="shared" si="223"/>
        <v/>
      </c>
      <c r="GN25" s="27"/>
      <c r="GP25" s="14"/>
      <c r="GQ25" s="36"/>
      <c r="GR25" s="5" t="str">
        <f>IF(GQ25="","",GQ25-GQ24)</f>
        <v/>
      </c>
      <c r="GS25" s="5"/>
      <c r="GT25" s="5" t="str">
        <f>IF(GS25="","",GS25-GS24)</f>
        <v/>
      </c>
      <c r="GU25" s="5"/>
      <c r="GV25" s="5" t="str">
        <f>IF(GU25="","",GU24+GW24-GU25)</f>
        <v/>
      </c>
      <c r="GW25" s="5"/>
      <c r="GX25" s="5"/>
      <c r="GY25" s="5"/>
      <c r="GZ25" s="5" t="str">
        <f t="shared" si="224"/>
        <v/>
      </c>
      <c r="HA25" s="33" t="str">
        <f t="shared" si="225"/>
        <v/>
      </c>
      <c r="HB25" s="27"/>
      <c r="HD25" s="14"/>
      <c r="HE25" s="36"/>
      <c r="HF25" s="5" t="str">
        <f>IF(HE25="","",HE25-HE24)</f>
        <v/>
      </c>
      <c r="HG25" s="5"/>
      <c r="HH25" s="27"/>
      <c r="HJ25" s="14"/>
      <c r="HK25" s="36"/>
      <c r="HL25" s="5" t="str">
        <f>IF(HK25="","",HK25-HK24)</f>
        <v/>
      </c>
      <c r="HM25" s="5"/>
      <c r="HN25" s="27"/>
      <c r="HP25" s="14"/>
      <c r="HQ25" s="36"/>
      <c r="HR25" s="5" t="str">
        <f>IF(HQ25="","",HQ25-HQ24)</f>
        <v/>
      </c>
      <c r="HS25" s="5"/>
      <c r="HT25" s="27"/>
      <c r="HV25" s="14"/>
      <c r="HW25" s="36"/>
      <c r="HX25" s="5" t="str">
        <f>IF(HW25="","",HW25-HW24)</f>
        <v/>
      </c>
      <c r="HY25" s="5"/>
      <c r="HZ25" s="5" t="str">
        <f>IF(HY25="","",HY25-HY24)</f>
        <v/>
      </c>
      <c r="IA25" s="5"/>
      <c r="IB25" s="5" t="str">
        <f>IF(IA25="","",IA24+IC24-IA25)</f>
        <v/>
      </c>
      <c r="IC25" s="5"/>
      <c r="ID25" s="5"/>
      <c r="IE25" s="5"/>
      <c r="IF25" s="5" t="str">
        <f t="shared" si="226"/>
        <v/>
      </c>
      <c r="IG25" s="33" t="str">
        <f t="shared" si="227"/>
        <v/>
      </c>
      <c r="IH25" s="27"/>
      <c r="IJ25" s="14"/>
      <c r="IK25" s="36"/>
      <c r="IL25" s="5" t="str">
        <f>IF(IK25="","",IK25-IK24)</f>
        <v/>
      </c>
      <c r="IM25" s="5"/>
      <c r="IN25" s="5" t="str">
        <f>IF(IM25="","",IM25-IM24)</f>
        <v/>
      </c>
      <c r="IO25" s="5"/>
      <c r="IP25" s="5" t="str">
        <f>IF(IO25="","",IO24+IQ24-IO25)</f>
        <v/>
      </c>
      <c r="IQ25" s="5"/>
      <c r="IR25" s="5"/>
      <c r="IS25" s="5"/>
      <c r="IT25" s="5" t="str">
        <f t="shared" si="228"/>
        <v/>
      </c>
      <c r="IU25" s="33" t="str">
        <f t="shared" si="229"/>
        <v/>
      </c>
      <c r="IV25" s="27"/>
      <c r="IX25" s="14"/>
      <c r="IY25" s="36"/>
      <c r="IZ25" s="5" t="str">
        <f>IF(IY25="","",IY25-IY24)</f>
        <v/>
      </c>
      <c r="JA25" s="5"/>
      <c r="JB25" s="5" t="str">
        <f>IF(JA25="","",JA25-JA24)</f>
        <v/>
      </c>
      <c r="JC25" s="5"/>
      <c r="JD25" s="5" t="str">
        <f>IF(JC25="","",JC24+JE24-JC25)</f>
        <v/>
      </c>
      <c r="JE25" s="5"/>
      <c r="JF25" s="5"/>
      <c r="JG25" s="5"/>
      <c r="JH25" s="5" t="str">
        <f t="shared" si="230"/>
        <v/>
      </c>
      <c r="JI25" s="33" t="str">
        <f t="shared" si="231"/>
        <v/>
      </c>
      <c r="JJ25" s="27"/>
      <c r="JL25" s="14"/>
      <c r="JM25" s="36"/>
      <c r="JN25" s="5" t="str">
        <f>IF(JM25="","",JM25-JM24)</f>
        <v/>
      </c>
      <c r="JO25" s="5"/>
      <c r="JP25" s="5" t="str">
        <f>IF(JO25="","",JO25-JO24)</f>
        <v/>
      </c>
      <c r="JQ25" s="5"/>
      <c r="JR25" s="5" t="str">
        <f>IF(JQ25="","",JQ25-JQ24)</f>
        <v/>
      </c>
      <c r="JS25" s="5"/>
      <c r="JT25" s="5" t="str">
        <f>IF(JS25="","",JS24+JU24-JS25)</f>
        <v/>
      </c>
      <c r="JU25" s="5"/>
      <c r="JV25" s="3" t="str">
        <f t="shared" si="190"/>
        <v/>
      </c>
      <c r="JW25" s="5"/>
      <c r="JX25" s="5" t="str">
        <f t="shared" si="232"/>
        <v/>
      </c>
      <c r="JY25" s="33" t="str">
        <f t="shared" si="233"/>
        <v/>
      </c>
      <c r="JZ25" s="27"/>
    </row>
    <row r="26" spans="1:286" ht="15" customHeight="1" thickBot="1" x14ac:dyDescent="0.25">
      <c r="A26" s="56"/>
      <c r="B26" s="67"/>
      <c r="C26" s="41"/>
      <c r="D26" s="57" t="str">
        <f t="shared" si="67"/>
        <v/>
      </c>
      <c r="E26" s="41"/>
      <c r="F26" s="41" t="str">
        <f t="shared" si="68"/>
        <v/>
      </c>
      <c r="G26" s="41"/>
      <c r="H26" s="41" t="str">
        <f t="shared" si="69"/>
        <v/>
      </c>
      <c r="I26" s="58"/>
      <c r="J26" s="44" t="str">
        <f t="shared" si="70"/>
        <v/>
      </c>
      <c r="K26" s="57" t="str">
        <f t="shared" si="71"/>
        <v/>
      </c>
      <c r="L26" s="41" t="str">
        <f t="shared" si="72"/>
        <v/>
      </c>
      <c r="M26" s="43" t="str">
        <f t="shared" si="73"/>
        <v/>
      </c>
      <c r="N26" s="27"/>
      <c r="P26" s="56"/>
      <c r="Q26" s="41"/>
      <c r="R26" s="57" t="str">
        <f t="shared" si="74"/>
        <v/>
      </c>
      <c r="S26" s="41"/>
      <c r="T26" s="41" t="str">
        <f t="shared" si="75"/>
        <v/>
      </c>
      <c r="U26" s="41"/>
      <c r="V26" s="41" t="str">
        <f t="shared" si="76"/>
        <v/>
      </c>
      <c r="W26" s="58"/>
      <c r="X26" s="44" t="str">
        <f t="shared" si="77"/>
        <v/>
      </c>
      <c r="Y26" s="57" t="str">
        <f t="shared" si="78"/>
        <v/>
      </c>
      <c r="Z26" s="41" t="str">
        <f t="shared" si="79"/>
        <v/>
      </c>
      <c r="AA26" s="43" t="str">
        <f t="shared" si="80"/>
        <v/>
      </c>
      <c r="AB26" s="27"/>
      <c r="AD26" s="56"/>
      <c r="AE26" s="41"/>
      <c r="AF26" s="57" t="str">
        <f t="shared" si="81"/>
        <v/>
      </c>
      <c r="AG26" s="41"/>
      <c r="AH26" s="41" t="str">
        <f t="shared" si="82"/>
        <v/>
      </c>
      <c r="AI26" s="41"/>
      <c r="AJ26" s="41" t="str">
        <f t="shared" si="83"/>
        <v/>
      </c>
      <c r="AK26" s="58"/>
      <c r="AL26" s="44" t="str">
        <f t="shared" si="84"/>
        <v/>
      </c>
      <c r="AM26" s="57" t="str">
        <f t="shared" si="85"/>
        <v/>
      </c>
      <c r="AN26" s="41" t="str">
        <f t="shared" si="86"/>
        <v/>
      </c>
      <c r="AO26" s="43" t="str">
        <f t="shared" si="87"/>
        <v/>
      </c>
      <c r="AP26" s="27"/>
      <c r="AR26" s="56"/>
      <c r="AS26" s="41"/>
      <c r="AT26" s="57" t="str">
        <f t="shared" si="88"/>
        <v/>
      </c>
      <c r="AU26" s="41"/>
      <c r="AV26" s="41" t="str">
        <f t="shared" si="89"/>
        <v/>
      </c>
      <c r="AW26" s="41"/>
      <c r="AX26" s="41" t="str">
        <f t="shared" si="90"/>
        <v/>
      </c>
      <c r="AY26" s="58"/>
      <c r="AZ26" s="44" t="str">
        <f t="shared" si="91"/>
        <v/>
      </c>
      <c r="BA26" s="57" t="str">
        <f t="shared" si="92"/>
        <v/>
      </c>
      <c r="BB26" s="41" t="str">
        <f t="shared" si="93"/>
        <v/>
      </c>
      <c r="BC26" s="43" t="str">
        <f t="shared" si="94"/>
        <v/>
      </c>
      <c r="BD26" s="27"/>
      <c r="BF26" s="56"/>
      <c r="BG26" s="41"/>
      <c r="BH26" s="57" t="str">
        <f t="shared" si="95"/>
        <v/>
      </c>
      <c r="BI26" s="41"/>
      <c r="BJ26" s="41" t="str">
        <f t="shared" si="96"/>
        <v/>
      </c>
      <c r="BK26" s="41"/>
      <c r="BL26" s="41" t="str">
        <f t="shared" si="97"/>
        <v/>
      </c>
      <c r="BM26" s="58"/>
      <c r="BN26" s="44" t="str">
        <f t="shared" si="98"/>
        <v/>
      </c>
      <c r="BO26" s="57" t="str">
        <f t="shared" si="99"/>
        <v/>
      </c>
      <c r="BP26" s="41" t="str">
        <f t="shared" si="100"/>
        <v/>
      </c>
      <c r="BQ26" s="43" t="str">
        <f t="shared" si="101"/>
        <v/>
      </c>
      <c r="BR26" s="27"/>
      <c r="BT26" s="56"/>
      <c r="BU26" s="41"/>
      <c r="BV26" s="57" t="str">
        <f t="shared" si="102"/>
        <v/>
      </c>
      <c r="BW26" s="41"/>
      <c r="BX26" s="41" t="str">
        <f t="shared" si="103"/>
        <v/>
      </c>
      <c r="BY26" s="41"/>
      <c r="BZ26" s="41" t="str">
        <f t="shared" si="104"/>
        <v/>
      </c>
      <c r="CA26" s="58"/>
      <c r="CB26" s="44" t="str">
        <f t="shared" si="105"/>
        <v/>
      </c>
      <c r="CC26" s="57" t="str">
        <f t="shared" si="106"/>
        <v/>
      </c>
      <c r="CD26" s="41" t="str">
        <f t="shared" si="107"/>
        <v/>
      </c>
      <c r="CE26" s="43" t="str">
        <f t="shared" si="108"/>
        <v/>
      </c>
      <c r="CF26" s="27"/>
      <c r="CH26" s="56"/>
      <c r="CI26" s="41"/>
      <c r="CJ26" s="57" t="str">
        <f t="shared" si="109"/>
        <v/>
      </c>
      <c r="CK26" s="41"/>
      <c r="CL26" s="41" t="str">
        <f t="shared" si="110"/>
        <v/>
      </c>
      <c r="CM26" s="41"/>
      <c r="CN26" s="41" t="str">
        <f t="shared" si="111"/>
        <v/>
      </c>
      <c r="CO26" s="58"/>
      <c r="CP26" s="44" t="str">
        <f t="shared" si="112"/>
        <v/>
      </c>
      <c r="CQ26" s="57" t="str">
        <f t="shared" si="113"/>
        <v/>
      </c>
      <c r="CR26" s="41" t="str">
        <f t="shared" si="114"/>
        <v/>
      </c>
      <c r="CS26" s="43" t="str">
        <f t="shared" si="115"/>
        <v/>
      </c>
      <c r="CT26" s="27"/>
      <c r="CV26" s="56"/>
      <c r="CW26" s="41"/>
      <c r="CX26" s="57" t="str">
        <f t="shared" si="116"/>
        <v/>
      </c>
      <c r="CY26" s="41"/>
      <c r="CZ26" s="41" t="str">
        <f t="shared" si="117"/>
        <v/>
      </c>
      <c r="DA26" s="41"/>
      <c r="DB26" s="41" t="str">
        <f t="shared" si="118"/>
        <v/>
      </c>
      <c r="DC26" s="58"/>
      <c r="DD26" s="44" t="str">
        <f t="shared" si="119"/>
        <v/>
      </c>
      <c r="DE26" s="57" t="str">
        <f t="shared" si="120"/>
        <v/>
      </c>
      <c r="DF26" s="41" t="str">
        <f t="shared" si="121"/>
        <v/>
      </c>
      <c r="DG26" s="43" t="str">
        <f t="shared" si="122"/>
        <v/>
      </c>
      <c r="DH26" s="27"/>
      <c r="DJ26" s="38"/>
      <c r="DK26" s="41"/>
      <c r="DL26" s="57" t="str">
        <f t="shared" si="123"/>
        <v/>
      </c>
      <c r="DM26" s="41"/>
      <c r="DN26" s="41" t="str">
        <f t="shared" si="124"/>
        <v/>
      </c>
      <c r="DO26" s="41"/>
      <c r="DP26" s="41" t="str">
        <f t="shared" si="125"/>
        <v/>
      </c>
      <c r="DQ26" s="58"/>
      <c r="DR26" s="44" t="str">
        <f t="shared" si="126"/>
        <v/>
      </c>
      <c r="DS26" s="57" t="str">
        <f t="shared" si="127"/>
        <v/>
      </c>
      <c r="DT26" s="41" t="str">
        <f t="shared" si="128"/>
        <v/>
      </c>
      <c r="DU26" s="43" t="str">
        <f t="shared" si="129"/>
        <v/>
      </c>
      <c r="DV26" s="27"/>
      <c r="DX26" s="38"/>
      <c r="DY26" s="41"/>
      <c r="DZ26" s="57" t="str">
        <f t="shared" si="130"/>
        <v/>
      </c>
      <c r="EA26" s="41"/>
      <c r="EB26" s="41" t="str">
        <f t="shared" si="131"/>
        <v/>
      </c>
      <c r="EC26" s="41"/>
      <c r="ED26" s="41" t="str">
        <f t="shared" si="132"/>
        <v/>
      </c>
      <c r="EE26" s="58"/>
      <c r="EF26" s="44" t="str">
        <f t="shared" si="133"/>
        <v/>
      </c>
      <c r="EG26" s="57" t="str">
        <f t="shared" si="134"/>
        <v/>
      </c>
      <c r="EH26" s="41" t="str">
        <f t="shared" si="135"/>
        <v/>
      </c>
      <c r="EI26" s="43" t="str">
        <f t="shared" si="136"/>
        <v/>
      </c>
      <c r="EJ26" s="27"/>
      <c r="EL26" s="14"/>
      <c r="EM26" s="36"/>
      <c r="EN26" s="5" t="str">
        <f>IF(EM26="","",EM26-EM25)</f>
        <v/>
      </c>
      <c r="EO26" s="5"/>
      <c r="EP26" s="5"/>
      <c r="EQ26" s="5"/>
      <c r="ER26" s="5" t="str">
        <f>IF(EQ26="","",EQ25+ES25-EQ26)</f>
        <v/>
      </c>
      <c r="ES26" s="5"/>
      <c r="ET26" s="5"/>
      <c r="EU26" s="5"/>
      <c r="EV26" s="5" t="str">
        <f t="shared" si="216"/>
        <v/>
      </c>
      <c r="EW26" s="33" t="str">
        <f t="shared" si="217"/>
        <v/>
      </c>
      <c r="EX26" s="27"/>
      <c r="EZ26" s="14"/>
      <c r="FA26" s="36"/>
      <c r="FB26" s="5" t="str">
        <f>IF(FA26="","",FA26-FA25)</f>
        <v/>
      </c>
      <c r="FC26" s="5"/>
      <c r="FD26" s="5"/>
      <c r="FE26" s="5"/>
      <c r="FF26" s="5" t="str">
        <f>IF(FE26="","",FE25+FG25-FE26)</f>
        <v/>
      </c>
      <c r="FG26" s="5"/>
      <c r="FH26" s="5"/>
      <c r="FI26" s="5"/>
      <c r="FJ26" s="5" t="str">
        <f t="shared" si="218"/>
        <v/>
      </c>
      <c r="FK26" s="33" t="str">
        <f t="shared" si="219"/>
        <v/>
      </c>
      <c r="FL26" s="27"/>
      <c r="FN26" s="14"/>
      <c r="FO26" s="36"/>
      <c r="FP26" s="5" t="str">
        <f>IF(FO26="","",FO26-FO25)</f>
        <v/>
      </c>
      <c r="FQ26" s="5"/>
      <c r="FR26" s="5"/>
      <c r="FS26" s="5"/>
      <c r="FT26" s="5" t="str">
        <f>IF(FS26="","",FS25+FU25-FS26)</f>
        <v/>
      </c>
      <c r="FU26" s="5"/>
      <c r="FV26" s="5"/>
      <c r="FW26" s="5"/>
      <c r="FX26" s="5" t="str">
        <f t="shared" si="220"/>
        <v/>
      </c>
      <c r="FY26" s="33" t="str">
        <f t="shared" si="221"/>
        <v/>
      </c>
      <c r="FZ26" s="27"/>
      <c r="GB26" s="14"/>
      <c r="GC26" s="36"/>
      <c r="GD26" s="5" t="str">
        <f>IF(GC26="","",GC26-GC25)</f>
        <v/>
      </c>
      <c r="GE26" s="5"/>
      <c r="GF26" s="5"/>
      <c r="GG26" s="5"/>
      <c r="GH26" s="5" t="str">
        <f>IF(GG26="","",GG25+GI25-GG26)</f>
        <v/>
      </c>
      <c r="GI26" s="5"/>
      <c r="GJ26" s="5"/>
      <c r="GK26" s="5"/>
      <c r="GL26" s="5" t="str">
        <f t="shared" si="222"/>
        <v/>
      </c>
      <c r="GM26" s="33" t="str">
        <f t="shared" si="223"/>
        <v/>
      </c>
      <c r="GN26" s="27"/>
      <c r="GP26" s="14"/>
      <c r="GQ26" s="36"/>
      <c r="GR26" s="5" t="str">
        <f>IF(GQ26="","",GQ26-GQ25)</f>
        <v/>
      </c>
      <c r="GS26" s="5"/>
      <c r="GT26" s="5"/>
      <c r="GU26" s="5"/>
      <c r="GV26" s="5" t="str">
        <f>IF(GU26="","",GU25+GW25-GU26)</f>
        <v/>
      </c>
      <c r="GW26" s="5"/>
      <c r="GX26" s="5"/>
      <c r="GY26" s="5"/>
      <c r="GZ26" s="5" t="str">
        <f t="shared" si="224"/>
        <v/>
      </c>
      <c r="HA26" s="33" t="str">
        <f t="shared" si="225"/>
        <v/>
      </c>
      <c r="HB26" s="27"/>
      <c r="HD26" s="14"/>
      <c r="HE26" s="36"/>
      <c r="HF26" s="5" t="str">
        <f>IF(HE26="","",HE26-HE25)</f>
        <v/>
      </c>
      <c r="HG26" s="5"/>
      <c r="HH26" s="27"/>
      <c r="HJ26" s="14"/>
      <c r="HK26" s="36"/>
      <c r="HL26" s="5" t="str">
        <f>IF(HK26="","",HK26-HK25)</f>
        <v/>
      </c>
      <c r="HM26" s="5"/>
      <c r="HN26" s="27"/>
      <c r="HP26" s="14"/>
      <c r="HQ26" s="36"/>
      <c r="HR26" s="5" t="str">
        <f>IF(HQ26="","",HQ26-HQ25)</f>
        <v/>
      </c>
      <c r="HS26" s="5"/>
      <c r="HT26" s="27"/>
      <c r="HV26" s="14"/>
      <c r="HW26" s="36"/>
      <c r="HX26" s="5" t="str">
        <f>IF(HW26="","",HW26-HW25)</f>
        <v/>
      </c>
      <c r="HY26" s="5"/>
      <c r="HZ26" s="5"/>
      <c r="IA26" s="5"/>
      <c r="IB26" s="5" t="str">
        <f>IF(IA26="","",IA25+IC25-IA26)</f>
        <v/>
      </c>
      <c r="IC26" s="5"/>
      <c r="ID26" s="5"/>
      <c r="IE26" s="5"/>
      <c r="IF26" s="5" t="str">
        <f t="shared" si="226"/>
        <v/>
      </c>
      <c r="IG26" s="33" t="str">
        <f t="shared" si="227"/>
        <v/>
      </c>
      <c r="IH26" s="27"/>
      <c r="IJ26" s="14"/>
      <c r="IK26" s="36"/>
      <c r="IL26" s="5" t="str">
        <f>IF(IK26="","",IK26-IK25)</f>
        <v/>
      </c>
      <c r="IM26" s="5"/>
      <c r="IN26" s="5"/>
      <c r="IO26" s="5"/>
      <c r="IP26" s="5" t="str">
        <f>IF(IO26="","",IO25+IQ25-IO26)</f>
        <v/>
      </c>
      <c r="IQ26" s="5"/>
      <c r="IR26" s="5"/>
      <c r="IS26" s="5"/>
      <c r="IT26" s="5" t="str">
        <f t="shared" si="228"/>
        <v/>
      </c>
      <c r="IU26" s="33" t="str">
        <f t="shared" si="229"/>
        <v/>
      </c>
      <c r="IV26" s="27"/>
      <c r="IX26" s="14"/>
      <c r="IY26" s="36"/>
      <c r="IZ26" s="5" t="str">
        <f>IF(IY26="","",IY26-IY25)</f>
        <v/>
      </c>
      <c r="JA26" s="5"/>
      <c r="JB26" s="5"/>
      <c r="JC26" s="5"/>
      <c r="JD26" s="5" t="str">
        <f>IF(JC26="","",JC25+JE25-JC26)</f>
        <v/>
      </c>
      <c r="JE26" s="5"/>
      <c r="JF26" s="5"/>
      <c r="JG26" s="5"/>
      <c r="JH26" s="5" t="str">
        <f t="shared" si="230"/>
        <v/>
      </c>
      <c r="JI26" s="33" t="str">
        <f t="shared" si="231"/>
        <v/>
      </c>
      <c r="JJ26" s="27"/>
      <c r="JL26" s="14"/>
      <c r="JM26" s="36"/>
      <c r="JN26" s="5" t="str">
        <f>IF(JM26="","",JM26-JM25)</f>
        <v/>
      </c>
      <c r="JO26" s="5"/>
      <c r="JP26" s="5" t="str">
        <f>IF(JO26="","",JO26-JO25)</f>
        <v/>
      </c>
      <c r="JQ26" s="5"/>
      <c r="JR26" s="5"/>
      <c r="JS26" s="5"/>
      <c r="JT26" s="5" t="str">
        <f>IF(JS26="","",JS25+JU25-JS26)</f>
        <v/>
      </c>
      <c r="JU26" s="5"/>
      <c r="JV26" s="3" t="str">
        <f t="shared" si="190"/>
        <v/>
      </c>
      <c r="JW26" s="5"/>
      <c r="JX26" s="5" t="str">
        <f t="shared" si="232"/>
        <v/>
      </c>
      <c r="JY26" s="33" t="str">
        <f t="shared" si="233"/>
        <v/>
      </c>
      <c r="JZ26" s="27"/>
    </row>
    <row r="27" spans="1:286" ht="15" customHeight="1" thickTop="1" x14ac:dyDescent="0.2">
      <c r="A27" s="45"/>
      <c r="B27" s="24">
        <f>SUM(D27:D30)+SUM(R27:R30)+SUM(AF27:AF30)+SUM(BV27:BV30)+SUM(GD9,GR9,EN9,FB9,FP9,HX9,IL9,IZ9,JN9,HF9,HL9,HR9)+SUM(CJ27:CJ30)+SUM(DL27:DL28)</f>
        <v>0</v>
      </c>
      <c r="C27" s="4"/>
      <c r="D27" s="4" t="str">
        <f t="shared" si="67"/>
        <v/>
      </c>
      <c r="E27" s="4"/>
      <c r="F27" s="46" t="str">
        <f t="shared" si="68"/>
        <v/>
      </c>
      <c r="G27" s="4"/>
      <c r="H27" s="4" t="str">
        <f t="shared" si="69"/>
        <v/>
      </c>
      <c r="I27" s="47"/>
      <c r="J27" s="29" t="str">
        <f t="shared" si="70"/>
        <v/>
      </c>
      <c r="K27" s="25" t="str">
        <f t="shared" si="71"/>
        <v/>
      </c>
      <c r="L27" s="46" t="str">
        <f t="shared" si="72"/>
        <v/>
      </c>
      <c r="M27" s="48" t="str">
        <f t="shared" si="73"/>
        <v/>
      </c>
      <c r="N27" s="27"/>
      <c r="P27" s="49" t="str">
        <f>IF($A27="","",$A27)</f>
        <v/>
      </c>
      <c r="Q27" s="4"/>
      <c r="R27" s="4" t="str">
        <f t="shared" si="74"/>
        <v/>
      </c>
      <c r="S27" s="4"/>
      <c r="T27" s="46" t="str">
        <f t="shared" si="75"/>
        <v/>
      </c>
      <c r="U27" s="4"/>
      <c r="V27" s="4" t="str">
        <f t="shared" si="76"/>
        <v/>
      </c>
      <c r="W27" s="47"/>
      <c r="X27" s="29" t="str">
        <f t="shared" si="77"/>
        <v/>
      </c>
      <c r="Y27" s="25" t="str">
        <f t="shared" si="78"/>
        <v/>
      </c>
      <c r="Z27" s="46" t="str">
        <f t="shared" si="79"/>
        <v/>
      </c>
      <c r="AA27" s="48" t="str">
        <f t="shared" si="80"/>
        <v/>
      </c>
      <c r="AB27" s="27"/>
      <c r="AD27" s="49" t="str">
        <f>IF($A27="","",$A27)</f>
        <v/>
      </c>
      <c r="AE27" s="4"/>
      <c r="AF27" s="4" t="str">
        <f t="shared" si="81"/>
        <v/>
      </c>
      <c r="AG27" s="4"/>
      <c r="AH27" s="46" t="str">
        <f t="shared" si="82"/>
        <v/>
      </c>
      <c r="AI27" s="4"/>
      <c r="AJ27" s="4" t="str">
        <f t="shared" si="83"/>
        <v/>
      </c>
      <c r="AK27" s="47"/>
      <c r="AL27" s="29" t="str">
        <f t="shared" si="84"/>
        <v/>
      </c>
      <c r="AM27" s="25" t="str">
        <f t="shared" si="85"/>
        <v/>
      </c>
      <c r="AN27" s="46" t="str">
        <f t="shared" si="86"/>
        <v/>
      </c>
      <c r="AO27" s="48" t="str">
        <f t="shared" si="87"/>
        <v/>
      </c>
      <c r="AP27" s="27"/>
      <c r="AR27" s="49" t="str">
        <f>IF($A27="","",$A27)</f>
        <v/>
      </c>
      <c r="AS27" s="4"/>
      <c r="AT27" s="4" t="str">
        <f t="shared" si="88"/>
        <v/>
      </c>
      <c r="AU27" s="4"/>
      <c r="AV27" s="46" t="str">
        <f t="shared" si="89"/>
        <v/>
      </c>
      <c r="AW27" s="4"/>
      <c r="AX27" s="4" t="str">
        <f t="shared" si="90"/>
        <v/>
      </c>
      <c r="AY27" s="47"/>
      <c r="AZ27" s="29" t="str">
        <f t="shared" si="91"/>
        <v/>
      </c>
      <c r="BA27" s="25" t="str">
        <f t="shared" si="92"/>
        <v/>
      </c>
      <c r="BB27" s="46" t="str">
        <f t="shared" si="93"/>
        <v/>
      </c>
      <c r="BC27" s="48" t="str">
        <f t="shared" si="94"/>
        <v/>
      </c>
      <c r="BD27" s="27"/>
      <c r="BF27" s="49" t="str">
        <f>IF($A27="","",$A27)</f>
        <v/>
      </c>
      <c r="BG27" s="4"/>
      <c r="BH27" s="4" t="str">
        <f t="shared" si="95"/>
        <v/>
      </c>
      <c r="BI27" s="4"/>
      <c r="BJ27" s="46" t="str">
        <f t="shared" si="96"/>
        <v/>
      </c>
      <c r="BK27" s="4"/>
      <c r="BL27" s="4" t="str">
        <f t="shared" si="97"/>
        <v/>
      </c>
      <c r="BM27" s="47"/>
      <c r="BN27" s="29" t="str">
        <f t="shared" si="98"/>
        <v/>
      </c>
      <c r="BO27" s="25" t="str">
        <f t="shared" si="99"/>
        <v/>
      </c>
      <c r="BP27" s="46" t="str">
        <f t="shared" si="100"/>
        <v/>
      </c>
      <c r="BQ27" s="48" t="str">
        <f t="shared" si="101"/>
        <v/>
      </c>
      <c r="BR27" s="27"/>
      <c r="BT27" s="49" t="str">
        <f>IF($A27="","",$A27)</f>
        <v/>
      </c>
      <c r="BU27" s="4"/>
      <c r="BV27" s="4" t="str">
        <f t="shared" si="102"/>
        <v/>
      </c>
      <c r="BW27" s="4"/>
      <c r="BX27" s="46" t="str">
        <f t="shared" si="103"/>
        <v/>
      </c>
      <c r="BY27" s="4"/>
      <c r="BZ27" s="4" t="str">
        <f t="shared" si="104"/>
        <v/>
      </c>
      <c r="CA27" s="47"/>
      <c r="CB27" s="29" t="str">
        <f t="shared" si="105"/>
        <v/>
      </c>
      <c r="CC27" s="25" t="str">
        <f t="shared" si="106"/>
        <v/>
      </c>
      <c r="CD27" s="46" t="str">
        <f t="shared" si="107"/>
        <v/>
      </c>
      <c r="CE27" s="48" t="str">
        <f t="shared" si="108"/>
        <v/>
      </c>
      <c r="CF27" s="27"/>
      <c r="CH27" s="49" t="str">
        <f>IF($A27="","",$A27)</f>
        <v/>
      </c>
      <c r="CI27" s="4"/>
      <c r="CJ27" s="4" t="str">
        <f t="shared" si="109"/>
        <v/>
      </c>
      <c r="CK27" s="4"/>
      <c r="CL27" s="46" t="str">
        <f t="shared" si="110"/>
        <v/>
      </c>
      <c r="CM27" s="4"/>
      <c r="CN27" s="4" t="str">
        <f t="shared" si="111"/>
        <v/>
      </c>
      <c r="CO27" s="47"/>
      <c r="CP27" s="29" t="str">
        <f t="shared" si="112"/>
        <v/>
      </c>
      <c r="CQ27" s="25" t="str">
        <f t="shared" si="113"/>
        <v/>
      </c>
      <c r="CR27" s="46" t="str">
        <f t="shared" si="114"/>
        <v/>
      </c>
      <c r="CS27" s="48" t="str">
        <f t="shared" si="115"/>
        <v/>
      </c>
      <c r="CT27" s="27"/>
      <c r="CV27" s="49" t="str">
        <f>IF($A27="","",$A27)</f>
        <v/>
      </c>
      <c r="CW27" s="4"/>
      <c r="CX27" s="4" t="str">
        <f t="shared" si="116"/>
        <v/>
      </c>
      <c r="CY27" s="4"/>
      <c r="CZ27" s="46" t="str">
        <f t="shared" si="117"/>
        <v/>
      </c>
      <c r="DA27" s="4"/>
      <c r="DB27" s="4" t="str">
        <f t="shared" si="118"/>
        <v/>
      </c>
      <c r="DC27" s="47"/>
      <c r="DD27" s="29" t="str">
        <f t="shared" si="119"/>
        <v/>
      </c>
      <c r="DE27" s="25" t="str">
        <f t="shared" si="120"/>
        <v/>
      </c>
      <c r="DF27" s="46" t="str">
        <f t="shared" si="121"/>
        <v/>
      </c>
      <c r="DG27" s="48" t="str">
        <f t="shared" si="122"/>
        <v/>
      </c>
      <c r="DH27" s="27"/>
      <c r="DJ27" s="30" t="str">
        <f>IF($A27="","",$A27)</f>
        <v/>
      </c>
      <c r="DK27" s="4"/>
      <c r="DL27" s="4" t="str">
        <f t="shared" si="123"/>
        <v/>
      </c>
      <c r="DM27" s="4"/>
      <c r="DN27" s="46" t="str">
        <f t="shared" si="124"/>
        <v/>
      </c>
      <c r="DO27" s="4"/>
      <c r="DP27" s="4" t="str">
        <f t="shared" si="125"/>
        <v/>
      </c>
      <c r="DQ27" s="47"/>
      <c r="DR27" s="29" t="str">
        <f t="shared" si="126"/>
        <v/>
      </c>
      <c r="DS27" s="25" t="str">
        <f t="shared" si="127"/>
        <v/>
      </c>
      <c r="DT27" s="46" t="str">
        <f t="shared" si="128"/>
        <v/>
      </c>
      <c r="DU27" s="48" t="str">
        <f t="shared" si="129"/>
        <v/>
      </c>
      <c r="DV27" s="27"/>
      <c r="DX27" s="30" t="str">
        <f>IF($A27="","",$A27)</f>
        <v/>
      </c>
      <c r="DY27" s="4"/>
      <c r="DZ27" s="4" t="str">
        <f t="shared" si="130"/>
        <v/>
      </c>
      <c r="EA27" s="4"/>
      <c r="EB27" s="46" t="str">
        <f t="shared" si="131"/>
        <v/>
      </c>
      <c r="EC27" s="4"/>
      <c r="ED27" s="4" t="str">
        <f t="shared" si="132"/>
        <v/>
      </c>
      <c r="EE27" s="47"/>
      <c r="EF27" s="29" t="str">
        <f t="shared" si="133"/>
        <v/>
      </c>
      <c r="EG27" s="25" t="str">
        <f t="shared" si="134"/>
        <v/>
      </c>
      <c r="EH27" s="46" t="str">
        <f t="shared" si="135"/>
        <v/>
      </c>
      <c r="EI27" s="48" t="str">
        <f t="shared" si="136"/>
        <v/>
      </c>
      <c r="EJ27" s="27"/>
      <c r="EL27" s="14"/>
      <c r="EM27" s="5"/>
      <c r="EN27" s="5" t="str">
        <f>IF(EM27="","",EM27-EM28)</f>
        <v/>
      </c>
      <c r="EO27" s="5"/>
      <c r="EP27" s="5" t="str">
        <f>IF(EO27="","",EO27-EO28)</f>
        <v/>
      </c>
      <c r="EQ27" s="5"/>
      <c r="ER27" s="5" t="str">
        <f>IF(EQ27="","",EQ28+ES28-EQ27)</f>
        <v/>
      </c>
      <c r="ES27" s="5"/>
      <c r="ET27" s="5"/>
      <c r="EU27" s="5"/>
      <c r="EV27" s="5" t="str">
        <f t="shared" si="216"/>
        <v/>
      </c>
      <c r="EW27" s="33" t="str">
        <f t="shared" si="217"/>
        <v/>
      </c>
      <c r="EX27" s="27"/>
      <c r="EZ27" s="14"/>
      <c r="FA27" s="5"/>
      <c r="FB27" s="5" t="str">
        <f>IF(FA27="","",FA27-FA28)</f>
        <v/>
      </c>
      <c r="FC27" s="5"/>
      <c r="FD27" s="5" t="str">
        <f>IF(FC27="","",FC27-FC28)</f>
        <v/>
      </c>
      <c r="FE27" s="5"/>
      <c r="FF27" s="5" t="str">
        <f>IF(FE27="","",FE28+FG28-FE27)</f>
        <v/>
      </c>
      <c r="FG27" s="5"/>
      <c r="FH27" s="5"/>
      <c r="FI27" s="5"/>
      <c r="FJ27" s="5" t="str">
        <f t="shared" si="218"/>
        <v/>
      </c>
      <c r="FK27" s="33" t="str">
        <f t="shared" si="219"/>
        <v/>
      </c>
      <c r="FL27" s="27"/>
      <c r="FN27" s="14"/>
      <c r="FO27" s="5"/>
      <c r="FP27" s="5" t="str">
        <f>IF(FO27="","",FO27-FO28)</f>
        <v/>
      </c>
      <c r="FQ27" s="5"/>
      <c r="FR27" s="5" t="str">
        <f>IF(FQ27="","",FQ27-FQ28)</f>
        <v/>
      </c>
      <c r="FS27" s="5"/>
      <c r="FT27" s="5" t="str">
        <f>IF(FS27="","",FS28+FU28-FS27)</f>
        <v/>
      </c>
      <c r="FU27" s="5"/>
      <c r="FV27" s="5"/>
      <c r="FW27" s="5"/>
      <c r="FX27" s="5" t="str">
        <f t="shared" si="220"/>
        <v/>
      </c>
      <c r="FY27" s="33" t="str">
        <f t="shared" si="221"/>
        <v/>
      </c>
      <c r="FZ27" s="27"/>
      <c r="GB27" s="14"/>
      <c r="GC27" s="5"/>
      <c r="GD27" s="5" t="str">
        <f>IF(GC27="","",GC27-GC28)</f>
        <v/>
      </c>
      <c r="GE27" s="5"/>
      <c r="GF27" s="5" t="str">
        <f>IF(GE27="","",GE27-GE28)</f>
        <v/>
      </c>
      <c r="GG27" s="5"/>
      <c r="GH27" s="5" t="str">
        <f>IF(GG27="","",GG28+GI28-GG27)</f>
        <v/>
      </c>
      <c r="GI27" s="5"/>
      <c r="GJ27" s="5"/>
      <c r="GK27" s="5"/>
      <c r="GL27" s="5" t="str">
        <f t="shared" si="222"/>
        <v/>
      </c>
      <c r="GM27" s="33" t="str">
        <f t="shared" si="223"/>
        <v/>
      </c>
      <c r="GN27" s="27"/>
      <c r="GP27" s="14"/>
      <c r="GQ27" s="5"/>
      <c r="GR27" s="5" t="str">
        <f>IF(GQ27="","",GQ27-GQ28)</f>
        <v/>
      </c>
      <c r="GS27" s="5"/>
      <c r="GT27" s="5" t="str">
        <f>IF(GS27="","",GS27-GS28)</f>
        <v/>
      </c>
      <c r="GU27" s="5"/>
      <c r="GV27" s="5" t="str">
        <f>IF(GU27="","",GU28+GW28-GU27)</f>
        <v/>
      </c>
      <c r="GW27" s="5"/>
      <c r="GX27" s="5"/>
      <c r="GY27" s="5"/>
      <c r="GZ27" s="5" t="str">
        <f t="shared" si="224"/>
        <v/>
      </c>
      <c r="HA27" s="33" t="str">
        <f t="shared" si="225"/>
        <v/>
      </c>
      <c r="HB27" s="27"/>
      <c r="HD27" s="14"/>
      <c r="HE27" s="5"/>
      <c r="HF27" s="5" t="str">
        <f>IF(HE27="","",HE27-HE28)</f>
        <v/>
      </c>
      <c r="HG27" s="5"/>
      <c r="HH27" s="27"/>
      <c r="HJ27" s="14"/>
      <c r="HK27" s="5"/>
      <c r="HL27" s="5" t="str">
        <f>IF(HK27="","",HK27-HK28)</f>
        <v/>
      </c>
      <c r="HM27" s="5"/>
      <c r="HN27" s="27"/>
      <c r="HP27" s="14"/>
      <c r="HQ27" s="5"/>
      <c r="HR27" s="5" t="str">
        <f>IF(HQ27="","",HQ27-HQ28)</f>
        <v/>
      </c>
      <c r="HS27" s="5"/>
      <c r="HT27" s="27"/>
      <c r="HV27" s="14"/>
      <c r="HW27" s="5"/>
      <c r="HX27" s="5" t="str">
        <f>IF(HW27="","",HW27-HW28)</f>
        <v/>
      </c>
      <c r="HY27" s="5"/>
      <c r="HZ27" s="5" t="str">
        <f>IF(HY27="","",HY27-HY28)</f>
        <v/>
      </c>
      <c r="IA27" s="5"/>
      <c r="IB27" s="5" t="str">
        <f>IF(IA27="","",IA28+IC28-IA27)</f>
        <v/>
      </c>
      <c r="IC27" s="5"/>
      <c r="ID27" s="5"/>
      <c r="IE27" s="5"/>
      <c r="IF27" s="5" t="str">
        <f t="shared" si="226"/>
        <v/>
      </c>
      <c r="IG27" s="33" t="str">
        <f t="shared" si="227"/>
        <v/>
      </c>
      <c r="IH27" s="27"/>
      <c r="IJ27" s="14"/>
      <c r="IK27" s="5"/>
      <c r="IL27" s="5" t="str">
        <f>IF(IK27="","",IK27-IK28)</f>
        <v/>
      </c>
      <c r="IM27" s="5"/>
      <c r="IN27" s="5" t="str">
        <f>IF(IM27="","",IM27-IM28)</f>
        <v/>
      </c>
      <c r="IO27" s="5"/>
      <c r="IP27" s="5" t="str">
        <f>IF(IO27="","",IO28+IQ28-IO27)</f>
        <v/>
      </c>
      <c r="IQ27" s="5"/>
      <c r="IR27" s="5"/>
      <c r="IS27" s="5"/>
      <c r="IT27" s="5" t="str">
        <f t="shared" si="228"/>
        <v/>
      </c>
      <c r="IU27" s="33" t="str">
        <f t="shared" si="229"/>
        <v/>
      </c>
      <c r="IV27" s="27"/>
      <c r="IX27" s="14"/>
      <c r="IY27" s="5"/>
      <c r="IZ27" s="5" t="str">
        <f>IF(IY27="","",IY27-IY28)</f>
        <v/>
      </c>
      <c r="JA27" s="5"/>
      <c r="JB27" s="5" t="str">
        <f>IF(JA27="","",JA27-JA28)</f>
        <v/>
      </c>
      <c r="JC27" s="5"/>
      <c r="JD27" s="5" t="str">
        <f>IF(JC27="","",JC28+JE28-JC27)</f>
        <v/>
      </c>
      <c r="JE27" s="5"/>
      <c r="JF27" s="5"/>
      <c r="JG27" s="5"/>
      <c r="JH27" s="5" t="str">
        <f t="shared" si="230"/>
        <v/>
      </c>
      <c r="JI27" s="33" t="str">
        <f t="shared" si="231"/>
        <v/>
      </c>
      <c r="JJ27" s="27"/>
      <c r="JL27" s="14"/>
      <c r="JM27" s="5"/>
      <c r="JN27" s="5" t="str">
        <f>IF(JM27="","",JM27-JM28)</f>
        <v/>
      </c>
      <c r="JO27" s="5"/>
      <c r="JP27" s="5" t="str">
        <f>IF(JO27="","",JO27-JO28)</f>
        <v/>
      </c>
      <c r="JQ27" s="5"/>
      <c r="JR27" s="5" t="str">
        <f>IF(JQ27="","",JQ27-JQ28)</f>
        <v/>
      </c>
      <c r="JS27" s="5"/>
      <c r="JT27" s="5" t="str">
        <f>IF(JS27="","",JS28+JU28-JS27)</f>
        <v/>
      </c>
      <c r="JU27" s="5"/>
      <c r="JV27" s="5"/>
      <c r="JW27" s="5"/>
      <c r="JX27" s="5" t="str">
        <f t="shared" si="232"/>
        <v/>
      </c>
      <c r="JY27" s="33" t="str">
        <f t="shared" si="233"/>
        <v/>
      </c>
      <c r="JZ27" s="27"/>
    </row>
    <row r="28" spans="1:286" ht="15" customHeight="1" x14ac:dyDescent="0.2">
      <c r="A28" s="45"/>
      <c r="B28" s="24"/>
      <c r="C28" s="4"/>
      <c r="D28" s="5" t="str">
        <f t="shared" si="67"/>
        <v/>
      </c>
      <c r="E28" s="5"/>
      <c r="F28" s="5" t="str">
        <f t="shared" si="68"/>
        <v/>
      </c>
      <c r="G28" s="5"/>
      <c r="H28" s="5" t="str">
        <f t="shared" si="69"/>
        <v/>
      </c>
      <c r="I28" s="32"/>
      <c r="J28" s="35" t="str">
        <f t="shared" si="70"/>
        <v/>
      </c>
      <c r="K28" s="36" t="str">
        <f t="shared" si="71"/>
        <v/>
      </c>
      <c r="L28" s="5" t="str">
        <f t="shared" si="72"/>
        <v/>
      </c>
      <c r="M28" s="33" t="str">
        <f t="shared" si="73"/>
        <v/>
      </c>
      <c r="N28" s="27"/>
      <c r="P28" s="45"/>
      <c r="Q28" s="4"/>
      <c r="R28" s="5" t="str">
        <f t="shared" si="74"/>
        <v/>
      </c>
      <c r="S28" s="5"/>
      <c r="T28" s="5" t="str">
        <f t="shared" si="75"/>
        <v/>
      </c>
      <c r="U28" s="5"/>
      <c r="V28" s="5" t="str">
        <f t="shared" si="76"/>
        <v/>
      </c>
      <c r="W28" s="32"/>
      <c r="X28" s="35" t="str">
        <f t="shared" si="77"/>
        <v/>
      </c>
      <c r="Y28" s="36" t="str">
        <f t="shared" si="78"/>
        <v/>
      </c>
      <c r="Z28" s="5" t="str">
        <f t="shared" si="79"/>
        <v/>
      </c>
      <c r="AA28" s="33" t="str">
        <f t="shared" si="80"/>
        <v/>
      </c>
      <c r="AB28" s="27"/>
      <c r="AD28" s="45"/>
      <c r="AE28" s="4"/>
      <c r="AF28" s="5" t="str">
        <f t="shared" si="81"/>
        <v/>
      </c>
      <c r="AG28" s="5"/>
      <c r="AH28" s="5" t="str">
        <f t="shared" si="82"/>
        <v/>
      </c>
      <c r="AI28" s="5"/>
      <c r="AJ28" s="5" t="str">
        <f t="shared" si="83"/>
        <v/>
      </c>
      <c r="AK28" s="32"/>
      <c r="AL28" s="35" t="str">
        <f t="shared" si="84"/>
        <v/>
      </c>
      <c r="AM28" s="36" t="str">
        <f t="shared" si="85"/>
        <v/>
      </c>
      <c r="AN28" s="5" t="str">
        <f t="shared" si="86"/>
        <v/>
      </c>
      <c r="AO28" s="33" t="str">
        <f t="shared" si="87"/>
        <v/>
      </c>
      <c r="AP28" s="27"/>
      <c r="AR28" s="45"/>
      <c r="AS28" s="4"/>
      <c r="AT28" s="5" t="str">
        <f t="shared" si="88"/>
        <v/>
      </c>
      <c r="AU28" s="5"/>
      <c r="AV28" s="5" t="str">
        <f t="shared" si="89"/>
        <v/>
      </c>
      <c r="AW28" s="5"/>
      <c r="AX28" s="5" t="str">
        <f t="shared" si="90"/>
        <v/>
      </c>
      <c r="AY28" s="32"/>
      <c r="AZ28" s="35" t="str">
        <f t="shared" si="91"/>
        <v/>
      </c>
      <c r="BA28" s="36" t="str">
        <f t="shared" si="92"/>
        <v/>
      </c>
      <c r="BB28" s="5" t="str">
        <f t="shared" si="93"/>
        <v/>
      </c>
      <c r="BC28" s="33" t="str">
        <f t="shared" si="94"/>
        <v/>
      </c>
      <c r="BD28" s="27"/>
      <c r="BF28" s="45"/>
      <c r="BG28" s="4"/>
      <c r="BH28" s="5" t="str">
        <f t="shared" si="95"/>
        <v/>
      </c>
      <c r="BI28" s="5"/>
      <c r="BJ28" s="5" t="str">
        <f t="shared" si="96"/>
        <v/>
      </c>
      <c r="BK28" s="5"/>
      <c r="BL28" s="5" t="str">
        <f t="shared" si="97"/>
        <v/>
      </c>
      <c r="BM28" s="32"/>
      <c r="BN28" s="35" t="str">
        <f t="shared" si="98"/>
        <v/>
      </c>
      <c r="BO28" s="36" t="str">
        <f t="shared" si="99"/>
        <v/>
      </c>
      <c r="BP28" s="5" t="str">
        <f t="shared" si="100"/>
        <v/>
      </c>
      <c r="BQ28" s="33" t="str">
        <f t="shared" si="101"/>
        <v/>
      </c>
      <c r="BR28" s="27"/>
      <c r="BT28" s="45"/>
      <c r="BU28" s="4"/>
      <c r="BV28" s="5" t="str">
        <f t="shared" si="102"/>
        <v/>
      </c>
      <c r="BW28" s="5"/>
      <c r="BX28" s="5" t="str">
        <f t="shared" si="103"/>
        <v/>
      </c>
      <c r="BY28" s="5"/>
      <c r="BZ28" s="5" t="str">
        <f t="shared" si="104"/>
        <v/>
      </c>
      <c r="CA28" s="32"/>
      <c r="CB28" s="35" t="str">
        <f t="shared" si="105"/>
        <v/>
      </c>
      <c r="CC28" s="36" t="str">
        <f t="shared" si="106"/>
        <v/>
      </c>
      <c r="CD28" s="5" t="str">
        <f t="shared" si="107"/>
        <v/>
      </c>
      <c r="CE28" s="33" t="str">
        <f t="shared" si="108"/>
        <v/>
      </c>
      <c r="CF28" s="27"/>
      <c r="CH28" s="45"/>
      <c r="CI28" s="4"/>
      <c r="CJ28" s="5" t="str">
        <f t="shared" si="109"/>
        <v/>
      </c>
      <c r="CK28" s="5"/>
      <c r="CL28" s="5" t="str">
        <f t="shared" si="110"/>
        <v/>
      </c>
      <c r="CM28" s="5"/>
      <c r="CN28" s="5" t="str">
        <f t="shared" si="111"/>
        <v/>
      </c>
      <c r="CO28" s="32"/>
      <c r="CP28" s="35" t="str">
        <f t="shared" si="112"/>
        <v/>
      </c>
      <c r="CQ28" s="36" t="str">
        <f t="shared" si="113"/>
        <v/>
      </c>
      <c r="CR28" s="5" t="str">
        <f t="shared" si="114"/>
        <v/>
      </c>
      <c r="CS28" s="33" t="str">
        <f t="shared" si="115"/>
        <v/>
      </c>
      <c r="CT28" s="27"/>
      <c r="CV28" s="45"/>
      <c r="CW28" s="4"/>
      <c r="CX28" s="5" t="str">
        <f t="shared" si="116"/>
        <v/>
      </c>
      <c r="CY28" s="5"/>
      <c r="CZ28" s="5" t="str">
        <f t="shared" si="117"/>
        <v/>
      </c>
      <c r="DA28" s="5"/>
      <c r="DB28" s="5" t="str">
        <f t="shared" si="118"/>
        <v/>
      </c>
      <c r="DC28" s="32"/>
      <c r="DD28" s="35" t="str">
        <f t="shared" si="119"/>
        <v/>
      </c>
      <c r="DE28" s="36" t="str">
        <f t="shared" si="120"/>
        <v/>
      </c>
      <c r="DF28" s="5" t="str">
        <f t="shared" si="121"/>
        <v/>
      </c>
      <c r="DG28" s="33" t="str">
        <f t="shared" si="122"/>
        <v/>
      </c>
      <c r="DH28" s="27"/>
      <c r="DJ28" s="30"/>
      <c r="DK28" s="4"/>
      <c r="DL28" s="5" t="str">
        <f t="shared" si="123"/>
        <v/>
      </c>
      <c r="DM28" s="5"/>
      <c r="DN28" s="5" t="str">
        <f t="shared" si="124"/>
        <v/>
      </c>
      <c r="DO28" s="5"/>
      <c r="DP28" s="5" t="str">
        <f t="shared" si="125"/>
        <v/>
      </c>
      <c r="DQ28" s="32"/>
      <c r="DR28" s="35" t="str">
        <f t="shared" si="126"/>
        <v/>
      </c>
      <c r="DS28" s="36" t="str">
        <f t="shared" si="127"/>
        <v/>
      </c>
      <c r="DT28" s="5" t="str">
        <f t="shared" si="128"/>
        <v/>
      </c>
      <c r="DU28" s="33" t="str">
        <f t="shared" si="129"/>
        <v/>
      </c>
      <c r="DV28" s="27"/>
      <c r="DX28" s="30"/>
      <c r="DY28" s="4"/>
      <c r="DZ28" s="5" t="str">
        <f t="shared" si="130"/>
        <v/>
      </c>
      <c r="EA28" s="5"/>
      <c r="EB28" s="5" t="str">
        <f t="shared" si="131"/>
        <v/>
      </c>
      <c r="EC28" s="5"/>
      <c r="ED28" s="5" t="str">
        <f t="shared" si="132"/>
        <v/>
      </c>
      <c r="EE28" s="32"/>
      <c r="EF28" s="35" t="str">
        <f t="shared" si="133"/>
        <v/>
      </c>
      <c r="EG28" s="36" t="str">
        <f t="shared" si="134"/>
        <v/>
      </c>
      <c r="EH28" s="5" t="str">
        <f t="shared" si="135"/>
        <v/>
      </c>
      <c r="EI28" s="33" t="str">
        <f t="shared" si="136"/>
        <v/>
      </c>
      <c r="EJ28" s="27"/>
      <c r="EL28" s="14"/>
      <c r="EM28" s="5"/>
      <c r="EN28" s="5" t="str">
        <f>IF(EM28="","",EM28-EM26)</f>
        <v/>
      </c>
      <c r="EO28" s="5"/>
      <c r="EP28" s="5" t="str">
        <f>IF(EO28="","",EO28-EO26)</f>
        <v/>
      </c>
      <c r="EQ28" s="5"/>
      <c r="ER28" s="5" t="str">
        <f>IF(EQ28="","",EQ26+ES26-EQ28)</f>
        <v/>
      </c>
      <c r="ES28" s="5"/>
      <c r="ET28" s="5"/>
      <c r="EU28" s="5"/>
      <c r="EV28" s="5" t="str">
        <f t="shared" si="216"/>
        <v/>
      </c>
      <c r="EW28" s="33" t="str">
        <f t="shared" si="217"/>
        <v/>
      </c>
      <c r="EX28" s="27"/>
      <c r="EZ28" s="14"/>
      <c r="FA28" s="5"/>
      <c r="FB28" s="5" t="str">
        <f>IF(FA28="","",FA28-FA26)</f>
        <v/>
      </c>
      <c r="FC28" s="5"/>
      <c r="FD28" s="5" t="str">
        <f>IF(FC28="","",FC28-FC26)</f>
        <v/>
      </c>
      <c r="FE28" s="5"/>
      <c r="FF28" s="5" t="str">
        <f>IF(FE28="","",FE26+FG26-FE28)</f>
        <v/>
      </c>
      <c r="FG28" s="5"/>
      <c r="FH28" s="5"/>
      <c r="FI28" s="5"/>
      <c r="FJ28" s="5" t="str">
        <f t="shared" si="218"/>
        <v/>
      </c>
      <c r="FK28" s="33" t="str">
        <f t="shared" si="219"/>
        <v/>
      </c>
      <c r="FL28" s="27"/>
      <c r="FN28" s="14"/>
      <c r="FO28" s="5"/>
      <c r="FP28" s="5" t="str">
        <f>IF(FO28="","",FO28-FO26)</f>
        <v/>
      </c>
      <c r="FQ28" s="5"/>
      <c r="FR28" s="5" t="str">
        <f>IF(FQ28="","",FQ28-FQ26)</f>
        <v/>
      </c>
      <c r="FS28" s="5"/>
      <c r="FT28" s="5" t="str">
        <f>IF(FS28="","",FS26+FU26-FS28)</f>
        <v/>
      </c>
      <c r="FU28" s="5"/>
      <c r="FV28" s="5"/>
      <c r="FW28" s="5"/>
      <c r="FX28" s="5" t="str">
        <f t="shared" si="220"/>
        <v/>
      </c>
      <c r="FY28" s="33" t="str">
        <f t="shared" si="221"/>
        <v/>
      </c>
      <c r="FZ28" s="27"/>
      <c r="GB28" s="14"/>
      <c r="GC28" s="5"/>
      <c r="GD28" s="5" t="str">
        <f>IF(GC28="","",GC28-GC26)</f>
        <v/>
      </c>
      <c r="GE28" s="5"/>
      <c r="GF28" s="5" t="str">
        <f>IF(GE28="","",GE28-GE26)</f>
        <v/>
      </c>
      <c r="GG28" s="5"/>
      <c r="GH28" s="5" t="str">
        <f>IF(GG28="","",GG26+GI26-GG28)</f>
        <v/>
      </c>
      <c r="GI28" s="5"/>
      <c r="GJ28" s="5"/>
      <c r="GK28" s="5"/>
      <c r="GL28" s="5" t="str">
        <f t="shared" si="222"/>
        <v/>
      </c>
      <c r="GM28" s="33" t="str">
        <f t="shared" si="223"/>
        <v/>
      </c>
      <c r="GN28" s="27"/>
      <c r="GP28" s="14"/>
      <c r="GQ28" s="5"/>
      <c r="GR28" s="5" t="str">
        <f>IF(GQ28="","",GQ28-GQ26)</f>
        <v/>
      </c>
      <c r="GS28" s="5"/>
      <c r="GT28" s="5" t="str">
        <f>IF(GS28="","",GS28-GS26)</f>
        <v/>
      </c>
      <c r="GU28" s="5"/>
      <c r="GV28" s="5" t="str">
        <f>IF(GU28="","",GU26+GW26-GU28)</f>
        <v/>
      </c>
      <c r="GW28" s="5"/>
      <c r="GX28" s="5"/>
      <c r="GY28" s="5"/>
      <c r="GZ28" s="5" t="str">
        <f t="shared" si="224"/>
        <v/>
      </c>
      <c r="HA28" s="33" t="str">
        <f t="shared" si="225"/>
        <v/>
      </c>
      <c r="HB28" s="27"/>
      <c r="HD28" s="14"/>
      <c r="HE28" s="5"/>
      <c r="HF28" s="5" t="str">
        <f>IF(HE28="","",HE28-HE26)</f>
        <v/>
      </c>
      <c r="HG28" s="5"/>
      <c r="HH28" s="27"/>
      <c r="HJ28" s="14"/>
      <c r="HK28" s="5"/>
      <c r="HL28" s="5" t="str">
        <f>IF(HK28="","",HK28-HK26)</f>
        <v/>
      </c>
      <c r="HM28" s="5"/>
      <c r="HN28" s="27"/>
      <c r="HP28" s="14"/>
      <c r="HQ28" s="5"/>
      <c r="HR28" s="5" t="str">
        <f>IF(HQ28="","",HQ28-HQ26)</f>
        <v/>
      </c>
      <c r="HS28" s="5"/>
      <c r="HT28" s="27"/>
      <c r="HV28" s="14"/>
      <c r="HW28" s="5"/>
      <c r="HX28" s="5" t="str">
        <f>IF(HW28="","",HW28-HW26)</f>
        <v/>
      </c>
      <c r="HY28" s="5"/>
      <c r="HZ28" s="5" t="str">
        <f>IF(HY28="","",HY28-HY26)</f>
        <v/>
      </c>
      <c r="IA28" s="5"/>
      <c r="IB28" s="5" t="str">
        <f>IF(IA28="","",IA26+IC26-IA28)</f>
        <v/>
      </c>
      <c r="IC28" s="5"/>
      <c r="ID28" s="5"/>
      <c r="IE28" s="5"/>
      <c r="IF28" s="5" t="str">
        <f t="shared" si="226"/>
        <v/>
      </c>
      <c r="IG28" s="33" t="str">
        <f t="shared" si="227"/>
        <v/>
      </c>
      <c r="IH28" s="27"/>
      <c r="IJ28" s="14"/>
      <c r="IK28" s="5"/>
      <c r="IL28" s="5" t="str">
        <f>IF(IK28="","",IK28-IK26)</f>
        <v/>
      </c>
      <c r="IM28" s="5"/>
      <c r="IN28" s="5" t="str">
        <f>IF(IM28="","",IM28-IM26)</f>
        <v/>
      </c>
      <c r="IO28" s="5"/>
      <c r="IP28" s="5" t="str">
        <f>IF(IO28="","",IO26+IQ26-IO28)</f>
        <v/>
      </c>
      <c r="IQ28" s="5"/>
      <c r="IR28" s="5"/>
      <c r="IS28" s="5"/>
      <c r="IT28" s="5" t="str">
        <f t="shared" si="228"/>
        <v/>
      </c>
      <c r="IU28" s="33" t="str">
        <f t="shared" si="229"/>
        <v/>
      </c>
      <c r="IV28" s="27"/>
      <c r="IX28" s="14"/>
      <c r="IY28" s="5"/>
      <c r="IZ28" s="5" t="str">
        <f>IF(IY28="","",IY28-IY26)</f>
        <v/>
      </c>
      <c r="JA28" s="5"/>
      <c r="JB28" s="5" t="str">
        <f>IF(JA28="","",JA28-JA26)</f>
        <v/>
      </c>
      <c r="JC28" s="5"/>
      <c r="JD28" s="5" t="str">
        <f>IF(JC28="","",JC26+JE26-JC28)</f>
        <v/>
      </c>
      <c r="JE28" s="5"/>
      <c r="JF28" s="5"/>
      <c r="JG28" s="5"/>
      <c r="JH28" s="5" t="str">
        <f t="shared" si="230"/>
        <v/>
      </c>
      <c r="JI28" s="33" t="str">
        <f t="shared" si="231"/>
        <v/>
      </c>
      <c r="JJ28" s="27"/>
      <c r="JL28" s="14"/>
      <c r="JM28" s="5"/>
      <c r="JN28" s="5" t="str">
        <f>IF(JM28="","",JM28-JM26)</f>
        <v/>
      </c>
      <c r="JO28" s="5"/>
      <c r="JP28" s="5" t="str">
        <f>IF(JO28="","",JO28-JO26)</f>
        <v/>
      </c>
      <c r="JQ28" s="5"/>
      <c r="JR28" s="5" t="str">
        <f>IF(JQ28="","",JQ28-JQ26)</f>
        <v/>
      </c>
      <c r="JS28" s="5"/>
      <c r="JT28" s="5" t="str">
        <f>IF(JS28="","",JS26+JU26-JS28)</f>
        <v/>
      </c>
      <c r="JU28" s="5"/>
      <c r="JV28" s="5"/>
      <c r="JW28" s="5"/>
      <c r="JX28" s="5" t="str">
        <f t="shared" si="232"/>
        <v/>
      </c>
      <c r="JY28" s="33" t="str">
        <f t="shared" si="233"/>
        <v/>
      </c>
      <c r="JZ28" s="27"/>
    </row>
    <row r="29" spans="1:286" ht="15" customHeight="1" x14ac:dyDescent="0.2">
      <c r="A29" s="50"/>
      <c r="B29" s="34"/>
      <c r="C29" s="53"/>
      <c r="D29" s="5" t="str">
        <f t="shared" si="67"/>
        <v/>
      </c>
      <c r="E29" s="5"/>
      <c r="F29" s="5" t="str">
        <f t="shared" si="68"/>
        <v/>
      </c>
      <c r="G29" s="5"/>
      <c r="H29" s="5" t="str">
        <f t="shared" si="69"/>
        <v/>
      </c>
      <c r="I29" s="32"/>
      <c r="J29" s="35" t="str">
        <f t="shared" si="70"/>
        <v/>
      </c>
      <c r="K29" s="5" t="str">
        <f t="shared" si="71"/>
        <v/>
      </c>
      <c r="L29" s="5" t="str">
        <f t="shared" si="72"/>
        <v/>
      </c>
      <c r="M29" s="33" t="str">
        <f t="shared" si="73"/>
        <v/>
      </c>
      <c r="N29" s="27"/>
      <c r="P29" s="50"/>
      <c r="Q29" s="53"/>
      <c r="R29" s="5" t="str">
        <f t="shared" si="74"/>
        <v/>
      </c>
      <c r="S29" s="5"/>
      <c r="T29" s="5" t="str">
        <f t="shared" si="75"/>
        <v/>
      </c>
      <c r="U29" s="5"/>
      <c r="V29" s="5" t="str">
        <f t="shared" si="76"/>
        <v/>
      </c>
      <c r="W29" s="32"/>
      <c r="X29" s="35" t="str">
        <f t="shared" si="77"/>
        <v/>
      </c>
      <c r="Y29" s="5" t="str">
        <f t="shared" si="78"/>
        <v/>
      </c>
      <c r="Z29" s="5" t="str">
        <f t="shared" si="79"/>
        <v/>
      </c>
      <c r="AA29" s="33" t="str">
        <f t="shared" si="80"/>
        <v/>
      </c>
      <c r="AB29" s="27"/>
      <c r="AD29" s="50"/>
      <c r="AE29" s="53"/>
      <c r="AF29" s="5" t="str">
        <f t="shared" si="81"/>
        <v/>
      </c>
      <c r="AG29" s="5"/>
      <c r="AH29" s="5" t="str">
        <f t="shared" si="82"/>
        <v/>
      </c>
      <c r="AI29" s="5"/>
      <c r="AJ29" s="5" t="str">
        <f t="shared" si="83"/>
        <v/>
      </c>
      <c r="AK29" s="32"/>
      <c r="AL29" s="35" t="str">
        <f t="shared" si="84"/>
        <v/>
      </c>
      <c r="AM29" s="5" t="str">
        <f t="shared" si="85"/>
        <v/>
      </c>
      <c r="AN29" s="5" t="str">
        <f t="shared" si="86"/>
        <v/>
      </c>
      <c r="AO29" s="33" t="str">
        <f t="shared" si="87"/>
        <v/>
      </c>
      <c r="AP29" s="27"/>
      <c r="AR29" s="50"/>
      <c r="AS29" s="53"/>
      <c r="AT29" s="5" t="str">
        <f t="shared" si="88"/>
        <v/>
      </c>
      <c r="AU29" s="5"/>
      <c r="AV29" s="5" t="str">
        <f t="shared" si="89"/>
        <v/>
      </c>
      <c r="AW29" s="5"/>
      <c r="AX29" s="5" t="str">
        <f t="shared" si="90"/>
        <v/>
      </c>
      <c r="AY29" s="32"/>
      <c r="AZ29" s="35" t="str">
        <f t="shared" si="91"/>
        <v/>
      </c>
      <c r="BA29" s="5" t="str">
        <f t="shared" si="92"/>
        <v/>
      </c>
      <c r="BB29" s="5" t="str">
        <f t="shared" si="93"/>
        <v/>
      </c>
      <c r="BC29" s="33" t="str">
        <f t="shared" si="94"/>
        <v/>
      </c>
      <c r="BD29" s="27"/>
      <c r="BF29" s="50"/>
      <c r="BG29" s="53"/>
      <c r="BH29" s="5" t="str">
        <f t="shared" si="95"/>
        <v/>
      </c>
      <c r="BI29" s="5"/>
      <c r="BJ29" s="5" t="str">
        <f t="shared" si="96"/>
        <v/>
      </c>
      <c r="BK29" s="5"/>
      <c r="BL29" s="5" t="str">
        <f t="shared" si="97"/>
        <v/>
      </c>
      <c r="BM29" s="32"/>
      <c r="BN29" s="35" t="str">
        <f t="shared" si="98"/>
        <v/>
      </c>
      <c r="BO29" s="5" t="str">
        <f t="shared" si="99"/>
        <v/>
      </c>
      <c r="BP29" s="5" t="str">
        <f t="shared" si="100"/>
        <v/>
      </c>
      <c r="BQ29" s="33" t="str">
        <f t="shared" si="101"/>
        <v/>
      </c>
      <c r="BR29" s="27"/>
      <c r="BT29" s="50"/>
      <c r="BU29" s="53"/>
      <c r="BV29" s="5" t="str">
        <f t="shared" si="102"/>
        <v/>
      </c>
      <c r="BW29" s="5"/>
      <c r="BX29" s="5" t="str">
        <f t="shared" si="103"/>
        <v/>
      </c>
      <c r="BY29" s="5"/>
      <c r="BZ29" s="5" t="str">
        <f t="shared" si="104"/>
        <v/>
      </c>
      <c r="CA29" s="32"/>
      <c r="CB29" s="35" t="str">
        <f t="shared" si="105"/>
        <v/>
      </c>
      <c r="CC29" s="5" t="str">
        <f t="shared" si="106"/>
        <v/>
      </c>
      <c r="CD29" s="5" t="str">
        <f t="shared" si="107"/>
        <v/>
      </c>
      <c r="CE29" s="33" t="str">
        <f t="shared" si="108"/>
        <v/>
      </c>
      <c r="CF29" s="27"/>
      <c r="CH29" s="50"/>
      <c r="CI29" s="53"/>
      <c r="CJ29" s="5" t="str">
        <f t="shared" si="109"/>
        <v/>
      </c>
      <c r="CK29" s="5"/>
      <c r="CL29" s="5" t="str">
        <f t="shared" si="110"/>
        <v/>
      </c>
      <c r="CM29" s="5"/>
      <c r="CN29" s="5" t="str">
        <f t="shared" si="111"/>
        <v/>
      </c>
      <c r="CO29" s="32"/>
      <c r="CP29" s="35" t="str">
        <f t="shared" si="112"/>
        <v/>
      </c>
      <c r="CQ29" s="5" t="str">
        <f t="shared" si="113"/>
        <v/>
      </c>
      <c r="CR29" s="5" t="str">
        <f t="shared" si="114"/>
        <v/>
      </c>
      <c r="CS29" s="33" t="str">
        <f t="shared" si="115"/>
        <v/>
      </c>
      <c r="CT29" s="27"/>
      <c r="CV29" s="50"/>
      <c r="CW29" s="53"/>
      <c r="CX29" s="5" t="str">
        <f t="shared" si="116"/>
        <v/>
      </c>
      <c r="CY29" s="5"/>
      <c r="CZ29" s="5" t="str">
        <f t="shared" si="117"/>
        <v/>
      </c>
      <c r="DA29" s="5"/>
      <c r="DB29" s="5" t="str">
        <f t="shared" si="118"/>
        <v/>
      </c>
      <c r="DC29" s="32"/>
      <c r="DD29" s="35" t="str">
        <f t="shared" si="119"/>
        <v/>
      </c>
      <c r="DE29" s="5" t="str">
        <f t="shared" si="120"/>
        <v/>
      </c>
      <c r="DF29" s="5" t="str">
        <f t="shared" si="121"/>
        <v/>
      </c>
      <c r="DG29" s="33" t="str">
        <f t="shared" si="122"/>
        <v/>
      </c>
      <c r="DH29" s="27"/>
      <c r="DJ29" s="23"/>
      <c r="DK29" s="53"/>
      <c r="DL29" s="5" t="str">
        <f t="shared" si="123"/>
        <v/>
      </c>
      <c r="DM29" s="5"/>
      <c r="DN29" s="5" t="str">
        <f t="shared" si="124"/>
        <v/>
      </c>
      <c r="DO29" s="5"/>
      <c r="DP29" s="5" t="str">
        <f t="shared" si="125"/>
        <v/>
      </c>
      <c r="DQ29" s="32"/>
      <c r="DR29" s="35" t="str">
        <f t="shared" si="126"/>
        <v/>
      </c>
      <c r="DS29" s="5" t="str">
        <f t="shared" si="127"/>
        <v/>
      </c>
      <c r="DT29" s="5" t="str">
        <f t="shared" si="128"/>
        <v/>
      </c>
      <c r="DU29" s="33" t="str">
        <f t="shared" si="129"/>
        <v/>
      </c>
      <c r="DV29" s="27"/>
      <c r="DX29" s="23"/>
      <c r="DY29" s="53"/>
      <c r="DZ29" s="5" t="str">
        <f t="shared" si="130"/>
        <v/>
      </c>
      <c r="EA29" s="5"/>
      <c r="EB29" s="5" t="str">
        <f t="shared" si="131"/>
        <v/>
      </c>
      <c r="EC29" s="5"/>
      <c r="ED29" s="5" t="str">
        <f t="shared" si="132"/>
        <v/>
      </c>
      <c r="EE29" s="32"/>
      <c r="EF29" s="35" t="str">
        <f t="shared" si="133"/>
        <v/>
      </c>
      <c r="EG29" s="5" t="str">
        <f t="shared" si="134"/>
        <v/>
      </c>
      <c r="EH29" s="5" t="str">
        <f t="shared" si="135"/>
        <v/>
      </c>
      <c r="EI29" s="33" t="str">
        <f t="shared" si="136"/>
        <v/>
      </c>
      <c r="EJ29" s="27"/>
      <c r="EL29" s="14"/>
      <c r="EM29" s="36"/>
      <c r="EN29" s="5" t="str">
        <f>IF(EM29="","",EM29-EM27)</f>
        <v/>
      </c>
      <c r="EO29" s="5"/>
      <c r="EP29" s="5"/>
      <c r="EQ29" s="5"/>
      <c r="ER29" s="5" t="str">
        <f>IF(EQ29="","",EQ27+ES27-EQ29)</f>
        <v/>
      </c>
      <c r="ES29" s="5"/>
      <c r="ET29" s="5"/>
      <c r="EU29" s="5"/>
      <c r="EV29" s="5" t="str">
        <f t="shared" si="216"/>
        <v/>
      </c>
      <c r="EW29" s="33" t="str">
        <f t="shared" si="217"/>
        <v/>
      </c>
      <c r="EX29" s="27"/>
      <c r="EZ29" s="14"/>
      <c r="FA29" s="36"/>
      <c r="FB29" s="5" t="str">
        <f>IF(FA29="","",FA29-FA27)</f>
        <v/>
      </c>
      <c r="FC29" s="5"/>
      <c r="FD29" s="5"/>
      <c r="FE29" s="5"/>
      <c r="FF29" s="5" t="str">
        <f>IF(FE29="","",FE27+FG27-FE29)</f>
        <v/>
      </c>
      <c r="FG29" s="5"/>
      <c r="FH29" s="5"/>
      <c r="FI29" s="5"/>
      <c r="FJ29" s="5" t="str">
        <f t="shared" si="218"/>
        <v/>
      </c>
      <c r="FK29" s="33" t="str">
        <f t="shared" si="219"/>
        <v/>
      </c>
      <c r="FL29" s="27"/>
      <c r="FN29" s="14"/>
      <c r="FO29" s="36"/>
      <c r="FP29" s="5" t="str">
        <f>IF(FO29="","",FO29-FO27)</f>
        <v/>
      </c>
      <c r="FQ29" s="5"/>
      <c r="FR29" s="5"/>
      <c r="FS29" s="5"/>
      <c r="FT29" s="5" t="str">
        <f>IF(FS29="","",FS27+FU27-FS29)</f>
        <v/>
      </c>
      <c r="FU29" s="5"/>
      <c r="FV29" s="5"/>
      <c r="FW29" s="5"/>
      <c r="FX29" s="5" t="str">
        <f t="shared" si="220"/>
        <v/>
      </c>
      <c r="FY29" s="33" t="str">
        <f t="shared" si="221"/>
        <v/>
      </c>
      <c r="FZ29" s="27"/>
      <c r="GB29" s="14"/>
      <c r="GC29" s="36"/>
      <c r="GD29" s="5" t="str">
        <f>IF(GC29="","",GC29-GC27)</f>
        <v/>
      </c>
      <c r="GE29" s="5"/>
      <c r="GF29" s="5"/>
      <c r="GG29" s="5"/>
      <c r="GH29" s="5" t="str">
        <f>IF(GG29="","",GG27+GI27-GG29)</f>
        <v/>
      </c>
      <c r="GI29" s="5"/>
      <c r="GJ29" s="5"/>
      <c r="GK29" s="5"/>
      <c r="GL29" s="5" t="str">
        <f t="shared" si="222"/>
        <v/>
      </c>
      <c r="GM29" s="33" t="str">
        <f t="shared" si="223"/>
        <v/>
      </c>
      <c r="GN29" s="27"/>
      <c r="GP29" s="14"/>
      <c r="GQ29" s="36"/>
      <c r="GR29" s="5" t="str">
        <f>IF(GQ29="","",GQ29-GQ27)</f>
        <v/>
      </c>
      <c r="GS29" s="5"/>
      <c r="GT29" s="5"/>
      <c r="GU29" s="5"/>
      <c r="GV29" s="5" t="str">
        <f>IF(GU29="","",GU27+GW27-GU29)</f>
        <v/>
      </c>
      <c r="GW29" s="5"/>
      <c r="GX29" s="5"/>
      <c r="GY29" s="5"/>
      <c r="GZ29" s="5" t="str">
        <f t="shared" si="224"/>
        <v/>
      </c>
      <c r="HA29" s="33" t="str">
        <f t="shared" si="225"/>
        <v/>
      </c>
      <c r="HB29" s="27"/>
      <c r="HD29" s="14"/>
      <c r="HE29" s="36"/>
      <c r="HF29" s="5" t="str">
        <f>IF(HE29="","",HE29-HE27)</f>
        <v/>
      </c>
      <c r="HG29" s="5"/>
      <c r="HH29" s="27"/>
      <c r="HJ29" s="14"/>
      <c r="HK29" s="36"/>
      <c r="HL29" s="5" t="str">
        <f>IF(HK29="","",HK29-HK27)</f>
        <v/>
      </c>
      <c r="HM29" s="5"/>
      <c r="HN29" s="27"/>
      <c r="HP29" s="14"/>
      <c r="HQ29" s="36"/>
      <c r="HR29" s="5" t="str">
        <f>IF(HQ29="","",HQ29-HQ27)</f>
        <v/>
      </c>
      <c r="HS29" s="5"/>
      <c r="HT29" s="27"/>
      <c r="HV29" s="14"/>
      <c r="HW29" s="36"/>
      <c r="HX29" s="5" t="str">
        <f>IF(HW29="","",HW29-HW27)</f>
        <v/>
      </c>
      <c r="HY29" s="5"/>
      <c r="HZ29" s="5"/>
      <c r="IA29" s="5"/>
      <c r="IB29" s="5" t="str">
        <f>IF(IA29="","",IA27+IC27-IA29)</f>
        <v/>
      </c>
      <c r="IC29" s="5"/>
      <c r="ID29" s="5"/>
      <c r="IE29" s="5"/>
      <c r="IF29" s="5" t="str">
        <f t="shared" si="226"/>
        <v/>
      </c>
      <c r="IG29" s="33" t="str">
        <f t="shared" si="227"/>
        <v/>
      </c>
      <c r="IH29" s="27"/>
      <c r="IJ29" s="14"/>
      <c r="IK29" s="36"/>
      <c r="IL29" s="5" t="str">
        <f>IF(IK29="","",IK29-IK27)</f>
        <v/>
      </c>
      <c r="IM29" s="5"/>
      <c r="IN29" s="5"/>
      <c r="IO29" s="5"/>
      <c r="IP29" s="5" t="str">
        <f>IF(IO29="","",IO27+IQ27-IO29)</f>
        <v/>
      </c>
      <c r="IQ29" s="5"/>
      <c r="IR29" s="5"/>
      <c r="IS29" s="5"/>
      <c r="IT29" s="5" t="str">
        <f t="shared" si="228"/>
        <v/>
      </c>
      <c r="IU29" s="33" t="str">
        <f t="shared" si="229"/>
        <v/>
      </c>
      <c r="IV29" s="27"/>
      <c r="IX29" s="14"/>
      <c r="IY29" s="36"/>
      <c r="IZ29" s="5" t="str">
        <f>IF(IY29="","",IY29-IY27)</f>
        <v/>
      </c>
      <c r="JA29" s="5"/>
      <c r="JB29" s="5"/>
      <c r="JC29" s="5"/>
      <c r="JD29" s="5" t="str">
        <f>IF(JC29="","",JC27+JE27-JC29)</f>
        <v/>
      </c>
      <c r="JE29" s="5"/>
      <c r="JF29" s="5"/>
      <c r="JG29" s="5"/>
      <c r="JH29" s="5" t="str">
        <f t="shared" si="230"/>
        <v/>
      </c>
      <c r="JI29" s="33" t="str">
        <f t="shared" si="231"/>
        <v/>
      </c>
      <c r="JJ29" s="27"/>
      <c r="JL29" s="14"/>
      <c r="JM29" s="36"/>
      <c r="JN29" s="5" t="str">
        <f>IF(JM29="","",JM29-JM27)</f>
        <v/>
      </c>
      <c r="JO29" s="5"/>
      <c r="JP29" s="5" t="str">
        <f>IF(JO29="","",JO29-JO27)</f>
        <v/>
      </c>
      <c r="JQ29" s="5"/>
      <c r="JR29" s="5"/>
      <c r="JS29" s="5"/>
      <c r="JT29" s="5" t="str">
        <f>IF(JS29="","",JS27+JU27-JS29)</f>
        <v/>
      </c>
      <c r="JU29" s="5"/>
      <c r="JV29" s="5"/>
      <c r="JW29" s="5"/>
      <c r="JX29" s="5" t="str">
        <f t="shared" si="232"/>
        <v/>
      </c>
      <c r="JY29" s="33" t="str">
        <f t="shared" si="233"/>
        <v/>
      </c>
      <c r="JZ29" s="27"/>
    </row>
    <row r="30" spans="1:286" ht="15" customHeight="1" thickBot="1" x14ac:dyDescent="0.25">
      <c r="A30" s="56"/>
      <c r="B30" s="67"/>
      <c r="C30" s="40"/>
      <c r="D30" s="57" t="str">
        <f t="shared" si="67"/>
        <v/>
      </c>
      <c r="E30" s="41"/>
      <c r="F30" s="41" t="str">
        <f t="shared" si="68"/>
        <v/>
      </c>
      <c r="G30" s="41"/>
      <c r="H30" s="41" t="str">
        <f t="shared" si="69"/>
        <v/>
      </c>
      <c r="I30" s="58"/>
      <c r="J30" s="44" t="str">
        <f t="shared" si="70"/>
        <v/>
      </c>
      <c r="K30" s="57" t="str">
        <f t="shared" si="71"/>
        <v/>
      </c>
      <c r="L30" s="41" t="str">
        <f t="shared" si="72"/>
        <v/>
      </c>
      <c r="M30" s="43" t="str">
        <f t="shared" si="73"/>
        <v/>
      </c>
      <c r="N30" s="27"/>
      <c r="P30" s="56"/>
      <c r="Q30" s="40"/>
      <c r="R30" s="57" t="str">
        <f t="shared" si="74"/>
        <v/>
      </c>
      <c r="S30" s="41"/>
      <c r="T30" s="41" t="str">
        <f t="shared" si="75"/>
        <v/>
      </c>
      <c r="U30" s="41"/>
      <c r="V30" s="41" t="str">
        <f t="shared" si="76"/>
        <v/>
      </c>
      <c r="W30" s="58"/>
      <c r="X30" s="44" t="str">
        <f t="shared" si="77"/>
        <v/>
      </c>
      <c r="Y30" s="57" t="str">
        <f t="shared" si="78"/>
        <v/>
      </c>
      <c r="Z30" s="41" t="str">
        <f t="shared" si="79"/>
        <v/>
      </c>
      <c r="AA30" s="43" t="str">
        <f t="shared" si="80"/>
        <v/>
      </c>
      <c r="AB30" s="27"/>
      <c r="AD30" s="56"/>
      <c r="AE30" s="40"/>
      <c r="AF30" s="57" t="str">
        <f t="shared" si="81"/>
        <v/>
      </c>
      <c r="AG30" s="41"/>
      <c r="AH30" s="41" t="str">
        <f t="shared" si="82"/>
        <v/>
      </c>
      <c r="AI30" s="41"/>
      <c r="AJ30" s="41" t="str">
        <f t="shared" si="83"/>
        <v/>
      </c>
      <c r="AK30" s="58"/>
      <c r="AL30" s="44" t="str">
        <f t="shared" si="84"/>
        <v/>
      </c>
      <c r="AM30" s="57" t="str">
        <f t="shared" si="85"/>
        <v/>
      </c>
      <c r="AN30" s="41" t="str">
        <f t="shared" si="86"/>
        <v/>
      </c>
      <c r="AO30" s="43" t="str">
        <f t="shared" si="87"/>
        <v/>
      </c>
      <c r="AP30" s="27"/>
      <c r="AR30" s="56"/>
      <c r="AS30" s="40"/>
      <c r="AT30" s="57" t="str">
        <f t="shared" si="88"/>
        <v/>
      </c>
      <c r="AU30" s="41"/>
      <c r="AV30" s="41" t="str">
        <f t="shared" si="89"/>
        <v/>
      </c>
      <c r="AW30" s="41"/>
      <c r="AX30" s="41" t="str">
        <f t="shared" si="90"/>
        <v/>
      </c>
      <c r="AY30" s="58"/>
      <c r="AZ30" s="44" t="str">
        <f t="shared" si="91"/>
        <v/>
      </c>
      <c r="BA30" s="57" t="str">
        <f t="shared" si="92"/>
        <v/>
      </c>
      <c r="BB30" s="41" t="str">
        <f t="shared" si="93"/>
        <v/>
      </c>
      <c r="BC30" s="43" t="str">
        <f t="shared" si="94"/>
        <v/>
      </c>
      <c r="BD30" s="27"/>
      <c r="BF30" s="56"/>
      <c r="BG30" s="40"/>
      <c r="BH30" s="57" t="str">
        <f t="shared" si="95"/>
        <v/>
      </c>
      <c r="BI30" s="41"/>
      <c r="BJ30" s="41" t="str">
        <f t="shared" si="96"/>
        <v/>
      </c>
      <c r="BK30" s="41"/>
      <c r="BL30" s="41" t="str">
        <f t="shared" si="97"/>
        <v/>
      </c>
      <c r="BM30" s="58"/>
      <c r="BN30" s="44" t="str">
        <f t="shared" si="98"/>
        <v/>
      </c>
      <c r="BO30" s="57" t="str">
        <f t="shared" si="99"/>
        <v/>
      </c>
      <c r="BP30" s="41" t="str">
        <f t="shared" si="100"/>
        <v/>
      </c>
      <c r="BQ30" s="43" t="str">
        <f t="shared" si="101"/>
        <v/>
      </c>
      <c r="BR30" s="27"/>
      <c r="BT30" s="56"/>
      <c r="BU30" s="40"/>
      <c r="BV30" s="57" t="str">
        <f t="shared" si="102"/>
        <v/>
      </c>
      <c r="BW30" s="41"/>
      <c r="BX30" s="41" t="str">
        <f t="shared" si="103"/>
        <v/>
      </c>
      <c r="BY30" s="41"/>
      <c r="BZ30" s="41" t="str">
        <f t="shared" si="104"/>
        <v/>
      </c>
      <c r="CA30" s="58"/>
      <c r="CB30" s="44" t="str">
        <f t="shared" si="105"/>
        <v/>
      </c>
      <c r="CC30" s="57" t="str">
        <f t="shared" si="106"/>
        <v/>
      </c>
      <c r="CD30" s="41" t="str">
        <f t="shared" si="107"/>
        <v/>
      </c>
      <c r="CE30" s="43" t="str">
        <f t="shared" si="108"/>
        <v/>
      </c>
      <c r="CF30" s="27"/>
      <c r="CH30" s="56"/>
      <c r="CI30" s="40"/>
      <c r="CJ30" s="57" t="str">
        <f t="shared" si="109"/>
        <v/>
      </c>
      <c r="CK30" s="41"/>
      <c r="CL30" s="41" t="str">
        <f t="shared" si="110"/>
        <v/>
      </c>
      <c r="CM30" s="41"/>
      <c r="CN30" s="41" t="str">
        <f t="shared" si="111"/>
        <v/>
      </c>
      <c r="CO30" s="58"/>
      <c r="CP30" s="44" t="str">
        <f t="shared" si="112"/>
        <v/>
      </c>
      <c r="CQ30" s="57" t="str">
        <f t="shared" si="113"/>
        <v/>
      </c>
      <c r="CR30" s="41" t="str">
        <f t="shared" si="114"/>
        <v/>
      </c>
      <c r="CS30" s="43" t="str">
        <f t="shared" si="115"/>
        <v/>
      </c>
      <c r="CT30" s="27"/>
      <c r="CV30" s="56"/>
      <c r="CW30" s="40"/>
      <c r="CX30" s="57" t="str">
        <f t="shared" si="116"/>
        <v/>
      </c>
      <c r="CY30" s="41"/>
      <c r="CZ30" s="41" t="str">
        <f t="shared" si="117"/>
        <v/>
      </c>
      <c r="DA30" s="41"/>
      <c r="DB30" s="41" t="str">
        <f t="shared" si="118"/>
        <v/>
      </c>
      <c r="DC30" s="58"/>
      <c r="DD30" s="44" t="str">
        <f t="shared" si="119"/>
        <v/>
      </c>
      <c r="DE30" s="57" t="str">
        <f t="shared" si="120"/>
        <v/>
      </c>
      <c r="DF30" s="41" t="str">
        <f t="shared" si="121"/>
        <v/>
      </c>
      <c r="DG30" s="43" t="str">
        <f t="shared" si="122"/>
        <v/>
      </c>
      <c r="DH30" s="27"/>
      <c r="DJ30" s="38"/>
      <c r="DK30" s="40"/>
      <c r="DL30" s="57" t="str">
        <f t="shared" si="123"/>
        <v/>
      </c>
      <c r="DM30" s="41"/>
      <c r="DN30" s="41" t="str">
        <f t="shared" si="124"/>
        <v/>
      </c>
      <c r="DO30" s="41"/>
      <c r="DP30" s="41" t="str">
        <f t="shared" si="125"/>
        <v/>
      </c>
      <c r="DQ30" s="58"/>
      <c r="DR30" s="44" t="str">
        <f t="shared" si="126"/>
        <v/>
      </c>
      <c r="DS30" s="57" t="str">
        <f t="shared" si="127"/>
        <v/>
      </c>
      <c r="DT30" s="41" t="str">
        <f t="shared" si="128"/>
        <v/>
      </c>
      <c r="DU30" s="43" t="str">
        <f t="shared" si="129"/>
        <v/>
      </c>
      <c r="DV30" s="27"/>
      <c r="DX30" s="38"/>
      <c r="DY30" s="40"/>
      <c r="DZ30" s="57" t="str">
        <f t="shared" si="130"/>
        <v/>
      </c>
      <c r="EA30" s="41"/>
      <c r="EB30" s="41" t="str">
        <f t="shared" si="131"/>
        <v/>
      </c>
      <c r="EC30" s="41"/>
      <c r="ED30" s="41" t="str">
        <f t="shared" si="132"/>
        <v/>
      </c>
      <c r="EE30" s="58"/>
      <c r="EF30" s="44" t="str">
        <f t="shared" si="133"/>
        <v/>
      </c>
      <c r="EG30" s="57" t="str">
        <f t="shared" si="134"/>
        <v/>
      </c>
      <c r="EH30" s="41" t="str">
        <f t="shared" si="135"/>
        <v/>
      </c>
      <c r="EI30" s="43" t="str">
        <f t="shared" si="136"/>
        <v/>
      </c>
      <c r="EJ30" s="27"/>
      <c r="EL30" s="14"/>
      <c r="EM30" s="36"/>
      <c r="EN30" s="5" t="str">
        <f t="shared" ref="EN30:EN50" si="234">IF(EM30="","",EM30-EM29)</f>
        <v/>
      </c>
      <c r="EO30" s="5"/>
      <c r="EP30" s="5"/>
      <c r="EQ30" s="5"/>
      <c r="ER30" s="5" t="str">
        <f t="shared" ref="ER30:ER50" si="235">IF(EQ30="","",EQ29+ES29-EQ30)</f>
        <v/>
      </c>
      <c r="ES30" s="5"/>
      <c r="ET30" s="5"/>
      <c r="EU30" s="5"/>
      <c r="EV30" s="5" t="str">
        <f t="shared" si="216"/>
        <v/>
      </c>
      <c r="EW30" s="33" t="str">
        <f t="shared" si="217"/>
        <v/>
      </c>
      <c r="EX30" s="27"/>
      <c r="EZ30" s="14"/>
      <c r="FA30" s="36"/>
      <c r="FB30" s="5" t="str">
        <f t="shared" ref="FB30:FB50" si="236">IF(FA30="","",FA30-FA29)</f>
        <v/>
      </c>
      <c r="FC30" s="5"/>
      <c r="FD30" s="5"/>
      <c r="FE30" s="5"/>
      <c r="FF30" s="5" t="str">
        <f t="shared" ref="FF30:FF50" si="237">IF(FE30="","",FE29+FG29-FE30)</f>
        <v/>
      </c>
      <c r="FG30" s="5"/>
      <c r="FH30" s="5"/>
      <c r="FI30" s="5"/>
      <c r="FJ30" s="5" t="str">
        <f t="shared" si="218"/>
        <v/>
      </c>
      <c r="FK30" s="33" t="str">
        <f t="shared" si="219"/>
        <v/>
      </c>
      <c r="FL30" s="27"/>
      <c r="FN30" s="14"/>
      <c r="FO30" s="36"/>
      <c r="FP30" s="5" t="str">
        <f t="shared" ref="FP30:FP50" si="238">IF(FO30="","",FO30-FO29)</f>
        <v/>
      </c>
      <c r="FQ30" s="5"/>
      <c r="FR30" s="5"/>
      <c r="FS30" s="5"/>
      <c r="FT30" s="5" t="str">
        <f t="shared" ref="FT30:FT50" si="239">IF(FS30="","",FS29+FU29-FS30)</f>
        <v/>
      </c>
      <c r="FU30" s="5"/>
      <c r="FV30" s="5"/>
      <c r="FW30" s="5"/>
      <c r="FX30" s="5" t="str">
        <f t="shared" si="220"/>
        <v/>
      </c>
      <c r="FY30" s="33" t="str">
        <f t="shared" si="221"/>
        <v/>
      </c>
      <c r="FZ30" s="27"/>
      <c r="GB30" s="14"/>
      <c r="GC30" s="36"/>
      <c r="GD30" s="5" t="str">
        <f t="shared" ref="GD30:GD50" si="240">IF(GC30="","",GC30-GC29)</f>
        <v/>
      </c>
      <c r="GE30" s="5"/>
      <c r="GF30" s="5"/>
      <c r="GG30" s="5"/>
      <c r="GH30" s="5" t="str">
        <f t="shared" ref="GH30:GH50" si="241">IF(GG30="","",GG29+GI29-GG30)</f>
        <v/>
      </c>
      <c r="GI30" s="5"/>
      <c r="GJ30" s="5"/>
      <c r="GK30" s="5"/>
      <c r="GL30" s="5" t="str">
        <f t="shared" si="222"/>
        <v/>
      </c>
      <c r="GM30" s="33" t="str">
        <f t="shared" si="223"/>
        <v/>
      </c>
      <c r="GN30" s="27"/>
      <c r="GP30" s="14"/>
      <c r="GQ30" s="36"/>
      <c r="GR30" s="5" t="str">
        <f t="shared" ref="GR30:GR50" si="242">IF(GQ30="","",GQ30-GQ29)</f>
        <v/>
      </c>
      <c r="GS30" s="5"/>
      <c r="GT30" s="5"/>
      <c r="GU30" s="5"/>
      <c r="GV30" s="5" t="str">
        <f t="shared" ref="GV30:GV50" si="243">IF(GU30="","",GU29+GW29-GU30)</f>
        <v/>
      </c>
      <c r="GW30" s="5"/>
      <c r="GX30" s="5"/>
      <c r="GY30" s="5"/>
      <c r="GZ30" s="5" t="str">
        <f t="shared" si="224"/>
        <v/>
      </c>
      <c r="HA30" s="33" t="str">
        <f t="shared" si="225"/>
        <v/>
      </c>
      <c r="HB30" s="27"/>
      <c r="HD30" s="14"/>
      <c r="HE30" s="36"/>
      <c r="HF30" s="5" t="str">
        <f t="shared" ref="HF30:HF50" si="244">IF(HE30="","",HE30-HE29)</f>
        <v/>
      </c>
      <c r="HG30" s="5"/>
      <c r="HH30" s="27"/>
      <c r="HJ30" s="14"/>
      <c r="HK30" s="36"/>
      <c r="HL30" s="5" t="str">
        <f t="shared" ref="HL30:HL50" si="245">IF(HK30="","",HK30-HK29)</f>
        <v/>
      </c>
      <c r="HM30" s="5"/>
      <c r="HN30" s="27"/>
      <c r="HP30" s="14"/>
      <c r="HQ30" s="36"/>
      <c r="HR30" s="5" t="str">
        <f t="shared" ref="HR30:HR50" si="246">IF(HQ30="","",HQ30-HQ29)</f>
        <v/>
      </c>
      <c r="HS30" s="5"/>
      <c r="HT30" s="27"/>
      <c r="HV30" s="14"/>
      <c r="HW30" s="36"/>
      <c r="HX30" s="5" t="str">
        <f t="shared" ref="HX30:HX50" si="247">IF(HW30="","",HW30-HW29)</f>
        <v/>
      </c>
      <c r="HY30" s="5"/>
      <c r="HZ30" s="5"/>
      <c r="IA30" s="5"/>
      <c r="IB30" s="5" t="str">
        <f t="shared" ref="IB30:IB50" si="248">IF(IA30="","",IA29+IC29-IA30)</f>
        <v/>
      </c>
      <c r="IC30" s="5"/>
      <c r="ID30" s="5"/>
      <c r="IE30" s="5"/>
      <c r="IF30" s="5" t="str">
        <f t="shared" si="226"/>
        <v/>
      </c>
      <c r="IG30" s="33" t="str">
        <f t="shared" si="227"/>
        <v/>
      </c>
      <c r="IH30" s="27"/>
      <c r="IJ30" s="14"/>
      <c r="IK30" s="36"/>
      <c r="IL30" s="5" t="str">
        <f t="shared" ref="IL30:IL50" si="249">IF(IK30="","",IK30-IK29)</f>
        <v/>
      </c>
      <c r="IM30" s="5"/>
      <c r="IN30" s="5"/>
      <c r="IO30" s="5"/>
      <c r="IP30" s="5" t="str">
        <f t="shared" ref="IP30:IP50" si="250">IF(IO30="","",IO29+IQ29-IO30)</f>
        <v/>
      </c>
      <c r="IQ30" s="5"/>
      <c r="IR30" s="5"/>
      <c r="IS30" s="5"/>
      <c r="IT30" s="5" t="str">
        <f t="shared" si="228"/>
        <v/>
      </c>
      <c r="IU30" s="33" t="str">
        <f t="shared" si="229"/>
        <v/>
      </c>
      <c r="IV30" s="27"/>
      <c r="IX30" s="14"/>
      <c r="IY30" s="36"/>
      <c r="IZ30" s="5" t="str">
        <f t="shared" ref="IZ30:IZ50" si="251">IF(IY30="","",IY30-IY29)</f>
        <v/>
      </c>
      <c r="JA30" s="5"/>
      <c r="JB30" s="5"/>
      <c r="JC30" s="5"/>
      <c r="JD30" s="5" t="str">
        <f t="shared" ref="JD30:JD50" si="252">IF(JC30="","",JC29+JE29-JC30)</f>
        <v/>
      </c>
      <c r="JE30" s="5"/>
      <c r="JF30" s="5"/>
      <c r="JG30" s="5"/>
      <c r="JH30" s="5" t="str">
        <f t="shared" si="230"/>
        <v/>
      </c>
      <c r="JI30" s="33" t="str">
        <f t="shared" si="231"/>
        <v/>
      </c>
      <c r="JJ30" s="27"/>
      <c r="JL30" s="14"/>
      <c r="JM30" s="36"/>
      <c r="JN30" s="5" t="str">
        <f t="shared" ref="JN30:JN50" si="253">IF(JM30="","",JM30-JM29)</f>
        <v/>
      </c>
      <c r="JO30" s="5"/>
      <c r="JP30" s="5" t="str">
        <f>IF(JO30="","",JO30-JO29)</f>
        <v/>
      </c>
      <c r="JQ30" s="5"/>
      <c r="JR30" s="5"/>
      <c r="JS30" s="5"/>
      <c r="JT30" s="5" t="str">
        <f t="shared" ref="JT30:JT50" si="254">IF(JS30="","",JS29+JU29-JS30)</f>
        <v/>
      </c>
      <c r="JU30" s="5"/>
      <c r="JV30" s="5"/>
      <c r="JW30" s="5"/>
      <c r="JX30" s="5" t="str">
        <f t="shared" si="232"/>
        <v/>
      </c>
      <c r="JY30" s="33" t="str">
        <f t="shared" si="233"/>
        <v/>
      </c>
      <c r="JZ30" s="27"/>
    </row>
    <row r="31" spans="1:286" ht="15" customHeight="1" thickTop="1" x14ac:dyDescent="0.2">
      <c r="A31" s="45"/>
      <c r="B31" s="24">
        <f>SUM(D31:D34)+SUM(R31:R34)+SUM(AF31:AF34)+SUM(BV31:BV34)+SUM(GD10,GR10,EN10,FB10,FP10,HX10,IL10,IZ10,JN10,HF10,HL10,HR10)+SUM(CJ31:CJ34)+SUM(DL31:DL32)</f>
        <v>0</v>
      </c>
      <c r="C31" s="4"/>
      <c r="D31" s="4" t="str">
        <f t="shared" si="67"/>
        <v/>
      </c>
      <c r="E31" s="4"/>
      <c r="F31" s="46" t="str">
        <f t="shared" si="68"/>
        <v/>
      </c>
      <c r="G31" s="4"/>
      <c r="H31" s="4" t="str">
        <f t="shared" si="69"/>
        <v/>
      </c>
      <c r="I31" s="47"/>
      <c r="J31" s="3" t="str">
        <f t="shared" si="70"/>
        <v/>
      </c>
      <c r="K31" s="36" t="str">
        <f t="shared" si="71"/>
        <v/>
      </c>
      <c r="L31" s="46" t="str">
        <f t="shared" si="72"/>
        <v/>
      </c>
      <c r="M31" s="48" t="str">
        <f t="shared" si="73"/>
        <v/>
      </c>
      <c r="N31" s="27"/>
      <c r="P31" s="49" t="str">
        <f>IF($A31="","",$A31)</f>
        <v/>
      </c>
      <c r="Q31" s="4"/>
      <c r="R31" s="4" t="str">
        <f t="shared" si="74"/>
        <v/>
      </c>
      <c r="S31" s="4"/>
      <c r="T31" s="46" t="str">
        <f t="shared" si="75"/>
        <v/>
      </c>
      <c r="U31" s="4"/>
      <c r="V31" s="4" t="str">
        <f t="shared" si="76"/>
        <v/>
      </c>
      <c r="W31" s="47"/>
      <c r="X31" s="3" t="str">
        <f t="shared" si="77"/>
        <v/>
      </c>
      <c r="Y31" s="36" t="str">
        <f t="shared" si="78"/>
        <v/>
      </c>
      <c r="Z31" s="46" t="str">
        <f t="shared" si="79"/>
        <v/>
      </c>
      <c r="AA31" s="48" t="str">
        <f t="shared" si="80"/>
        <v/>
      </c>
      <c r="AB31" s="27"/>
      <c r="AD31" s="49" t="str">
        <f>IF($A31="","",$A31)</f>
        <v/>
      </c>
      <c r="AE31" s="4"/>
      <c r="AF31" s="4" t="str">
        <f t="shared" si="81"/>
        <v/>
      </c>
      <c r="AG31" s="4"/>
      <c r="AH31" s="46" t="str">
        <f t="shared" si="82"/>
        <v/>
      </c>
      <c r="AI31" s="4"/>
      <c r="AJ31" s="4" t="str">
        <f t="shared" si="83"/>
        <v/>
      </c>
      <c r="AK31" s="47"/>
      <c r="AL31" s="3" t="str">
        <f t="shared" si="84"/>
        <v/>
      </c>
      <c r="AM31" s="36" t="str">
        <f t="shared" si="85"/>
        <v/>
      </c>
      <c r="AN31" s="46" t="str">
        <f t="shared" si="86"/>
        <v/>
      </c>
      <c r="AO31" s="48" t="str">
        <f t="shared" si="87"/>
        <v/>
      </c>
      <c r="AP31" s="27"/>
      <c r="AR31" s="49" t="str">
        <f>IF($A31="","",$A31)</f>
        <v/>
      </c>
      <c r="AS31" s="4"/>
      <c r="AT31" s="4" t="str">
        <f t="shared" si="88"/>
        <v/>
      </c>
      <c r="AU31" s="4"/>
      <c r="AV31" s="46" t="str">
        <f t="shared" si="89"/>
        <v/>
      </c>
      <c r="AW31" s="4"/>
      <c r="AX31" s="4" t="str">
        <f t="shared" si="90"/>
        <v/>
      </c>
      <c r="AY31" s="47"/>
      <c r="AZ31" s="3" t="str">
        <f t="shared" si="91"/>
        <v/>
      </c>
      <c r="BA31" s="36" t="str">
        <f t="shared" si="92"/>
        <v/>
      </c>
      <c r="BB31" s="46" t="str">
        <f t="shared" si="93"/>
        <v/>
      </c>
      <c r="BC31" s="48" t="str">
        <f t="shared" si="94"/>
        <v/>
      </c>
      <c r="BD31" s="27"/>
      <c r="BF31" s="49" t="str">
        <f>IF($A31="","",$A31)</f>
        <v/>
      </c>
      <c r="BG31" s="4"/>
      <c r="BH31" s="4" t="str">
        <f t="shared" si="95"/>
        <v/>
      </c>
      <c r="BI31" s="4"/>
      <c r="BJ31" s="46" t="str">
        <f t="shared" si="96"/>
        <v/>
      </c>
      <c r="BK31" s="4"/>
      <c r="BL31" s="4" t="str">
        <f t="shared" si="97"/>
        <v/>
      </c>
      <c r="BM31" s="47"/>
      <c r="BN31" s="3" t="str">
        <f t="shared" si="98"/>
        <v/>
      </c>
      <c r="BO31" s="36" t="str">
        <f t="shared" si="99"/>
        <v/>
      </c>
      <c r="BP31" s="46" t="str">
        <f t="shared" si="100"/>
        <v/>
      </c>
      <c r="BQ31" s="48" t="str">
        <f t="shared" si="101"/>
        <v/>
      </c>
      <c r="BR31" s="27"/>
      <c r="BT31" s="49" t="str">
        <f>IF($A31="","",$A31)</f>
        <v/>
      </c>
      <c r="BU31" s="4"/>
      <c r="BV31" s="4" t="str">
        <f t="shared" si="102"/>
        <v/>
      </c>
      <c r="BW31" s="4"/>
      <c r="BX31" s="46" t="str">
        <f t="shared" si="103"/>
        <v/>
      </c>
      <c r="BY31" s="4"/>
      <c r="BZ31" s="4" t="str">
        <f t="shared" si="104"/>
        <v/>
      </c>
      <c r="CA31" s="47"/>
      <c r="CB31" s="3" t="str">
        <f t="shared" si="105"/>
        <v/>
      </c>
      <c r="CC31" s="36" t="str">
        <f t="shared" si="106"/>
        <v/>
      </c>
      <c r="CD31" s="46" t="str">
        <f t="shared" si="107"/>
        <v/>
      </c>
      <c r="CE31" s="48" t="str">
        <f t="shared" si="108"/>
        <v/>
      </c>
      <c r="CF31" s="27"/>
      <c r="CH31" s="49" t="str">
        <f>IF($A31="","",$A31)</f>
        <v/>
      </c>
      <c r="CI31" s="4"/>
      <c r="CJ31" s="4" t="str">
        <f t="shared" si="109"/>
        <v/>
      </c>
      <c r="CK31" s="4"/>
      <c r="CL31" s="46" t="str">
        <f t="shared" si="110"/>
        <v/>
      </c>
      <c r="CM31" s="4"/>
      <c r="CN31" s="4" t="str">
        <f t="shared" si="111"/>
        <v/>
      </c>
      <c r="CO31" s="47"/>
      <c r="CP31" s="3" t="str">
        <f t="shared" si="112"/>
        <v/>
      </c>
      <c r="CQ31" s="36" t="str">
        <f t="shared" si="113"/>
        <v/>
      </c>
      <c r="CR31" s="46" t="str">
        <f t="shared" si="114"/>
        <v/>
      </c>
      <c r="CS31" s="48" t="str">
        <f t="shared" si="115"/>
        <v/>
      </c>
      <c r="CT31" s="27"/>
      <c r="CV31" s="49" t="str">
        <f>IF($A31="","",$A31)</f>
        <v/>
      </c>
      <c r="CW31" s="4"/>
      <c r="CX31" s="4" t="str">
        <f t="shared" si="116"/>
        <v/>
      </c>
      <c r="CY31" s="4"/>
      <c r="CZ31" s="46" t="str">
        <f t="shared" si="117"/>
        <v/>
      </c>
      <c r="DA31" s="4"/>
      <c r="DB31" s="4" t="str">
        <f t="shared" si="118"/>
        <v/>
      </c>
      <c r="DC31" s="47"/>
      <c r="DD31" s="3" t="str">
        <f t="shared" si="119"/>
        <v/>
      </c>
      <c r="DE31" s="36" t="str">
        <f t="shared" si="120"/>
        <v/>
      </c>
      <c r="DF31" s="46" t="str">
        <f t="shared" si="121"/>
        <v/>
      </c>
      <c r="DG31" s="48" t="str">
        <f t="shared" si="122"/>
        <v/>
      </c>
      <c r="DH31" s="27"/>
      <c r="DJ31" s="30" t="str">
        <f>IF($A31="","",$A31)</f>
        <v/>
      </c>
      <c r="DK31" s="4"/>
      <c r="DL31" s="4" t="str">
        <f t="shared" si="123"/>
        <v/>
      </c>
      <c r="DM31" s="4"/>
      <c r="DN31" s="46" t="str">
        <f t="shared" si="124"/>
        <v/>
      </c>
      <c r="DO31" s="4"/>
      <c r="DP31" s="4" t="str">
        <f t="shared" si="125"/>
        <v/>
      </c>
      <c r="DQ31" s="47"/>
      <c r="DR31" s="3" t="str">
        <f t="shared" si="126"/>
        <v/>
      </c>
      <c r="DS31" s="36" t="str">
        <f t="shared" si="127"/>
        <v/>
      </c>
      <c r="DT31" s="46" t="str">
        <f t="shared" si="128"/>
        <v/>
      </c>
      <c r="DU31" s="48" t="str">
        <f t="shared" si="129"/>
        <v/>
      </c>
      <c r="DV31" s="27"/>
      <c r="DX31" s="30" t="str">
        <f>IF($A31="","",$A31)</f>
        <v/>
      </c>
      <c r="DY31" s="4"/>
      <c r="DZ31" s="4" t="str">
        <f t="shared" si="130"/>
        <v/>
      </c>
      <c r="EA31" s="4"/>
      <c r="EB31" s="46" t="str">
        <f t="shared" si="131"/>
        <v/>
      </c>
      <c r="EC31" s="4"/>
      <c r="ED31" s="4" t="str">
        <f t="shared" si="132"/>
        <v/>
      </c>
      <c r="EE31" s="47"/>
      <c r="EF31" s="3" t="str">
        <f t="shared" si="133"/>
        <v/>
      </c>
      <c r="EG31" s="36" t="str">
        <f t="shared" si="134"/>
        <v/>
      </c>
      <c r="EH31" s="46" t="str">
        <f t="shared" si="135"/>
        <v/>
      </c>
      <c r="EI31" s="48" t="str">
        <f t="shared" si="136"/>
        <v/>
      </c>
      <c r="EJ31" s="27"/>
      <c r="EL31" s="14"/>
      <c r="EM31" s="36"/>
      <c r="EN31" s="5" t="str">
        <f t="shared" si="234"/>
        <v/>
      </c>
      <c r="EO31" s="5"/>
      <c r="EP31" s="5"/>
      <c r="EQ31" s="5"/>
      <c r="ER31" s="5" t="str">
        <f t="shared" si="235"/>
        <v/>
      </c>
      <c r="ES31" s="5"/>
      <c r="ET31" s="5"/>
      <c r="EU31" s="5"/>
      <c r="EV31" s="5" t="str">
        <f t="shared" si="216"/>
        <v/>
      </c>
      <c r="EW31" s="33" t="str">
        <f t="shared" si="217"/>
        <v/>
      </c>
      <c r="EX31" s="27"/>
      <c r="EZ31" s="14"/>
      <c r="FA31" s="36"/>
      <c r="FB31" s="5" t="str">
        <f t="shared" si="236"/>
        <v/>
      </c>
      <c r="FC31" s="5"/>
      <c r="FD31" s="5"/>
      <c r="FE31" s="5"/>
      <c r="FF31" s="5" t="str">
        <f t="shared" si="237"/>
        <v/>
      </c>
      <c r="FG31" s="5"/>
      <c r="FH31" s="5"/>
      <c r="FI31" s="5"/>
      <c r="FJ31" s="5" t="str">
        <f t="shared" si="218"/>
        <v/>
      </c>
      <c r="FK31" s="33" t="str">
        <f t="shared" si="219"/>
        <v/>
      </c>
      <c r="FL31" s="27"/>
      <c r="FN31" s="14"/>
      <c r="FO31" s="36"/>
      <c r="FP31" s="5" t="str">
        <f t="shared" si="238"/>
        <v/>
      </c>
      <c r="FQ31" s="5"/>
      <c r="FR31" s="5"/>
      <c r="FS31" s="5"/>
      <c r="FT31" s="5" t="str">
        <f t="shared" si="239"/>
        <v/>
      </c>
      <c r="FU31" s="5"/>
      <c r="FV31" s="5"/>
      <c r="FW31" s="5"/>
      <c r="FX31" s="5" t="str">
        <f t="shared" si="220"/>
        <v/>
      </c>
      <c r="FY31" s="33" t="str">
        <f t="shared" si="221"/>
        <v/>
      </c>
      <c r="FZ31" s="27"/>
      <c r="GB31" s="14"/>
      <c r="GC31" s="36"/>
      <c r="GD31" s="5" t="str">
        <f t="shared" si="240"/>
        <v/>
      </c>
      <c r="GE31" s="5"/>
      <c r="GF31" s="5"/>
      <c r="GG31" s="5"/>
      <c r="GH31" s="5" t="str">
        <f t="shared" si="241"/>
        <v/>
      </c>
      <c r="GI31" s="5"/>
      <c r="GJ31" s="5"/>
      <c r="GK31" s="5"/>
      <c r="GL31" s="5" t="str">
        <f t="shared" si="222"/>
        <v/>
      </c>
      <c r="GM31" s="33" t="str">
        <f t="shared" si="223"/>
        <v/>
      </c>
      <c r="GN31" s="27"/>
      <c r="GP31" s="14"/>
      <c r="GQ31" s="36"/>
      <c r="GR31" s="5" t="str">
        <f t="shared" si="242"/>
        <v/>
      </c>
      <c r="GS31" s="5"/>
      <c r="GT31" s="5"/>
      <c r="GU31" s="5"/>
      <c r="GV31" s="5" t="str">
        <f t="shared" si="243"/>
        <v/>
      </c>
      <c r="GW31" s="5"/>
      <c r="GX31" s="5"/>
      <c r="GY31" s="5"/>
      <c r="GZ31" s="5" t="str">
        <f t="shared" si="224"/>
        <v/>
      </c>
      <c r="HA31" s="33" t="str">
        <f t="shared" si="225"/>
        <v/>
      </c>
      <c r="HB31" s="27"/>
      <c r="HD31" s="14"/>
      <c r="HE31" s="36"/>
      <c r="HF31" s="5" t="str">
        <f t="shared" si="244"/>
        <v/>
      </c>
      <c r="HG31" s="5"/>
      <c r="HH31" s="27"/>
      <c r="HJ31" s="14"/>
      <c r="HK31" s="36"/>
      <c r="HL31" s="5" t="str">
        <f t="shared" si="245"/>
        <v/>
      </c>
      <c r="HM31" s="5"/>
      <c r="HN31" s="27"/>
      <c r="HP31" s="14"/>
      <c r="HQ31" s="36"/>
      <c r="HR31" s="5" t="str">
        <f t="shared" si="246"/>
        <v/>
      </c>
      <c r="HS31" s="5"/>
      <c r="HT31" s="27"/>
      <c r="HV31" s="14"/>
      <c r="HW31" s="36"/>
      <c r="HX31" s="5" t="str">
        <f t="shared" si="247"/>
        <v/>
      </c>
      <c r="HY31" s="5"/>
      <c r="HZ31" s="5"/>
      <c r="IA31" s="5"/>
      <c r="IB31" s="5" t="str">
        <f t="shared" si="248"/>
        <v/>
      </c>
      <c r="IC31" s="5"/>
      <c r="ID31" s="5"/>
      <c r="IE31" s="5"/>
      <c r="IF31" s="5" t="str">
        <f t="shared" si="226"/>
        <v/>
      </c>
      <c r="IG31" s="33" t="str">
        <f t="shared" si="227"/>
        <v/>
      </c>
      <c r="IH31" s="27"/>
      <c r="IJ31" s="14"/>
      <c r="IK31" s="36"/>
      <c r="IL31" s="5" t="str">
        <f t="shared" si="249"/>
        <v/>
      </c>
      <c r="IM31" s="5"/>
      <c r="IN31" s="5"/>
      <c r="IO31" s="5"/>
      <c r="IP31" s="5" t="str">
        <f t="shared" si="250"/>
        <v/>
      </c>
      <c r="IQ31" s="5"/>
      <c r="IR31" s="5"/>
      <c r="IS31" s="5"/>
      <c r="IT31" s="5" t="str">
        <f t="shared" si="228"/>
        <v/>
      </c>
      <c r="IU31" s="33" t="str">
        <f t="shared" si="229"/>
        <v/>
      </c>
      <c r="IV31" s="27"/>
      <c r="IX31" s="14"/>
      <c r="IY31" s="36"/>
      <c r="IZ31" s="5" t="str">
        <f t="shared" si="251"/>
        <v/>
      </c>
      <c r="JA31" s="5"/>
      <c r="JB31" s="5"/>
      <c r="JC31" s="5"/>
      <c r="JD31" s="5" t="str">
        <f t="shared" si="252"/>
        <v/>
      </c>
      <c r="JE31" s="5"/>
      <c r="JF31" s="5"/>
      <c r="JG31" s="5"/>
      <c r="JH31" s="5" t="str">
        <f t="shared" si="230"/>
        <v/>
      </c>
      <c r="JI31" s="33" t="str">
        <f t="shared" si="231"/>
        <v/>
      </c>
      <c r="JJ31" s="27"/>
      <c r="JL31" s="14"/>
      <c r="JM31" s="36"/>
      <c r="JN31" s="5" t="str">
        <f t="shared" si="253"/>
        <v/>
      </c>
      <c r="JO31" s="5"/>
      <c r="JP31" s="5" t="str">
        <f>IF(JO31="","",JO31-JO30)</f>
        <v/>
      </c>
      <c r="JQ31" s="5"/>
      <c r="JR31" s="5"/>
      <c r="JS31" s="5"/>
      <c r="JT31" s="5" t="str">
        <f t="shared" si="254"/>
        <v/>
      </c>
      <c r="JU31" s="5"/>
      <c r="JV31" s="5"/>
      <c r="JW31" s="5"/>
      <c r="JX31" s="5" t="str">
        <f t="shared" si="232"/>
        <v/>
      </c>
      <c r="JY31" s="33" t="str">
        <f t="shared" si="233"/>
        <v/>
      </c>
      <c r="JZ31" s="27"/>
    </row>
    <row r="32" spans="1:286" ht="15" customHeight="1" x14ac:dyDescent="0.2">
      <c r="A32" s="50"/>
      <c r="B32" s="24"/>
      <c r="C32" s="5"/>
      <c r="D32" s="5" t="str">
        <f t="shared" si="67"/>
        <v/>
      </c>
      <c r="E32" s="5"/>
      <c r="F32" s="5" t="str">
        <f t="shared" si="68"/>
        <v/>
      </c>
      <c r="G32" s="5"/>
      <c r="H32" s="5" t="str">
        <f t="shared" si="69"/>
        <v/>
      </c>
      <c r="I32" s="32"/>
      <c r="J32" s="3" t="str">
        <f t="shared" si="70"/>
        <v/>
      </c>
      <c r="K32" s="36" t="str">
        <f t="shared" si="71"/>
        <v/>
      </c>
      <c r="L32" s="5" t="str">
        <f t="shared" si="72"/>
        <v/>
      </c>
      <c r="M32" s="33" t="str">
        <f t="shared" si="73"/>
        <v/>
      </c>
      <c r="N32" s="27"/>
      <c r="P32" s="50"/>
      <c r="Q32" s="5"/>
      <c r="R32" s="5" t="str">
        <f t="shared" si="74"/>
        <v/>
      </c>
      <c r="S32" s="5"/>
      <c r="T32" s="5" t="str">
        <f t="shared" si="75"/>
        <v/>
      </c>
      <c r="U32" s="5"/>
      <c r="V32" s="5" t="str">
        <f t="shared" si="76"/>
        <v/>
      </c>
      <c r="W32" s="32"/>
      <c r="X32" s="3" t="str">
        <f t="shared" si="77"/>
        <v/>
      </c>
      <c r="Y32" s="36" t="str">
        <f t="shared" si="78"/>
        <v/>
      </c>
      <c r="Z32" s="5" t="str">
        <f t="shared" si="79"/>
        <v/>
      </c>
      <c r="AA32" s="33" t="str">
        <f t="shared" si="80"/>
        <v/>
      </c>
      <c r="AB32" s="27"/>
      <c r="AD32" s="50"/>
      <c r="AE32" s="5"/>
      <c r="AF32" s="5" t="str">
        <f t="shared" si="81"/>
        <v/>
      </c>
      <c r="AG32" s="5"/>
      <c r="AH32" s="5" t="str">
        <f t="shared" si="82"/>
        <v/>
      </c>
      <c r="AI32" s="5"/>
      <c r="AJ32" s="5" t="str">
        <f t="shared" si="83"/>
        <v/>
      </c>
      <c r="AK32" s="32"/>
      <c r="AL32" s="3" t="str">
        <f t="shared" si="84"/>
        <v/>
      </c>
      <c r="AM32" s="36" t="str">
        <f t="shared" si="85"/>
        <v/>
      </c>
      <c r="AN32" s="5" t="str">
        <f t="shared" si="86"/>
        <v/>
      </c>
      <c r="AO32" s="33" t="str">
        <f t="shared" si="87"/>
        <v/>
      </c>
      <c r="AP32" s="27"/>
      <c r="AR32" s="50"/>
      <c r="AS32" s="5"/>
      <c r="AT32" s="5" t="str">
        <f t="shared" si="88"/>
        <v/>
      </c>
      <c r="AU32" s="5"/>
      <c r="AV32" s="5" t="str">
        <f t="shared" si="89"/>
        <v/>
      </c>
      <c r="AW32" s="5"/>
      <c r="AX32" s="5" t="str">
        <f t="shared" si="90"/>
        <v/>
      </c>
      <c r="AY32" s="32"/>
      <c r="AZ32" s="3" t="str">
        <f t="shared" si="91"/>
        <v/>
      </c>
      <c r="BA32" s="36" t="str">
        <f t="shared" si="92"/>
        <v/>
      </c>
      <c r="BB32" s="5" t="str">
        <f t="shared" si="93"/>
        <v/>
      </c>
      <c r="BC32" s="33" t="str">
        <f t="shared" si="94"/>
        <v/>
      </c>
      <c r="BD32" s="27"/>
      <c r="BF32" s="50"/>
      <c r="BG32" s="5"/>
      <c r="BH32" s="5" t="str">
        <f t="shared" si="95"/>
        <v/>
      </c>
      <c r="BI32" s="5"/>
      <c r="BJ32" s="5" t="str">
        <f t="shared" si="96"/>
        <v/>
      </c>
      <c r="BK32" s="5"/>
      <c r="BL32" s="5" t="str">
        <f t="shared" si="97"/>
        <v/>
      </c>
      <c r="BM32" s="32"/>
      <c r="BN32" s="3" t="str">
        <f t="shared" si="98"/>
        <v/>
      </c>
      <c r="BO32" s="36" t="str">
        <f t="shared" si="99"/>
        <v/>
      </c>
      <c r="BP32" s="5" t="str">
        <f t="shared" si="100"/>
        <v/>
      </c>
      <c r="BQ32" s="33" t="str">
        <f t="shared" si="101"/>
        <v/>
      </c>
      <c r="BR32" s="27"/>
      <c r="BT32" s="50"/>
      <c r="BU32" s="5"/>
      <c r="BV32" s="5" t="str">
        <f t="shared" si="102"/>
        <v/>
      </c>
      <c r="BW32" s="5"/>
      <c r="BX32" s="5" t="str">
        <f t="shared" si="103"/>
        <v/>
      </c>
      <c r="BY32" s="5"/>
      <c r="BZ32" s="5" t="str">
        <f t="shared" si="104"/>
        <v/>
      </c>
      <c r="CA32" s="32"/>
      <c r="CB32" s="3" t="str">
        <f t="shared" si="105"/>
        <v/>
      </c>
      <c r="CC32" s="36" t="str">
        <f t="shared" si="106"/>
        <v/>
      </c>
      <c r="CD32" s="5" t="str">
        <f t="shared" si="107"/>
        <v/>
      </c>
      <c r="CE32" s="33" t="str">
        <f t="shared" si="108"/>
        <v/>
      </c>
      <c r="CF32" s="27"/>
      <c r="CH32" s="50"/>
      <c r="CI32" s="5"/>
      <c r="CJ32" s="5" t="str">
        <f t="shared" si="109"/>
        <v/>
      </c>
      <c r="CK32" s="5"/>
      <c r="CL32" s="5" t="str">
        <f t="shared" si="110"/>
        <v/>
      </c>
      <c r="CM32" s="5"/>
      <c r="CN32" s="5" t="str">
        <f t="shared" si="111"/>
        <v/>
      </c>
      <c r="CO32" s="32"/>
      <c r="CP32" s="3" t="str">
        <f t="shared" si="112"/>
        <v/>
      </c>
      <c r="CQ32" s="36" t="str">
        <f t="shared" si="113"/>
        <v/>
      </c>
      <c r="CR32" s="5" t="str">
        <f t="shared" si="114"/>
        <v/>
      </c>
      <c r="CS32" s="33" t="str">
        <f t="shared" si="115"/>
        <v/>
      </c>
      <c r="CT32" s="27"/>
      <c r="CV32" s="50"/>
      <c r="CW32" s="5"/>
      <c r="CX32" s="5" t="str">
        <f t="shared" si="116"/>
        <v/>
      </c>
      <c r="CY32" s="5"/>
      <c r="CZ32" s="5" t="str">
        <f t="shared" si="117"/>
        <v/>
      </c>
      <c r="DA32" s="5"/>
      <c r="DB32" s="5" t="str">
        <f t="shared" si="118"/>
        <v/>
      </c>
      <c r="DC32" s="32"/>
      <c r="DD32" s="3" t="str">
        <f t="shared" si="119"/>
        <v/>
      </c>
      <c r="DE32" s="36" t="str">
        <f t="shared" si="120"/>
        <v/>
      </c>
      <c r="DF32" s="5" t="str">
        <f t="shared" si="121"/>
        <v/>
      </c>
      <c r="DG32" s="33" t="str">
        <f t="shared" si="122"/>
        <v/>
      </c>
      <c r="DH32" s="27"/>
      <c r="DJ32" s="23"/>
      <c r="DK32" s="5"/>
      <c r="DL32" s="5" t="str">
        <f t="shared" si="123"/>
        <v/>
      </c>
      <c r="DM32" s="5"/>
      <c r="DN32" s="5" t="str">
        <f t="shared" si="124"/>
        <v/>
      </c>
      <c r="DO32" s="5"/>
      <c r="DP32" s="5" t="str">
        <f t="shared" si="125"/>
        <v/>
      </c>
      <c r="DQ32" s="32"/>
      <c r="DR32" s="3" t="str">
        <f t="shared" si="126"/>
        <v/>
      </c>
      <c r="DS32" s="36" t="str">
        <f t="shared" si="127"/>
        <v/>
      </c>
      <c r="DT32" s="5" t="str">
        <f t="shared" si="128"/>
        <v/>
      </c>
      <c r="DU32" s="33" t="str">
        <f t="shared" si="129"/>
        <v/>
      </c>
      <c r="DV32" s="27"/>
      <c r="DX32" s="23"/>
      <c r="DY32" s="5"/>
      <c r="DZ32" s="5" t="str">
        <f t="shared" si="130"/>
        <v/>
      </c>
      <c r="EA32" s="5"/>
      <c r="EB32" s="5" t="str">
        <f t="shared" si="131"/>
        <v/>
      </c>
      <c r="EC32" s="5"/>
      <c r="ED32" s="5" t="str">
        <f t="shared" si="132"/>
        <v/>
      </c>
      <c r="EE32" s="32"/>
      <c r="EF32" s="3" t="str">
        <f t="shared" si="133"/>
        <v/>
      </c>
      <c r="EG32" s="36" t="str">
        <f t="shared" si="134"/>
        <v/>
      </c>
      <c r="EH32" s="5" t="str">
        <f t="shared" si="135"/>
        <v/>
      </c>
      <c r="EI32" s="33" t="str">
        <f t="shared" si="136"/>
        <v/>
      </c>
      <c r="EJ32" s="27"/>
      <c r="EL32" s="14"/>
      <c r="EM32" s="36"/>
      <c r="EN32" s="5" t="str">
        <f t="shared" si="234"/>
        <v/>
      </c>
      <c r="EO32" s="5"/>
      <c r="EP32" s="5"/>
      <c r="EQ32" s="5"/>
      <c r="ER32" s="5" t="str">
        <f t="shared" si="235"/>
        <v/>
      </c>
      <c r="ES32" s="5"/>
      <c r="ET32" s="5"/>
      <c r="EU32" s="5"/>
      <c r="EV32" s="5" t="str">
        <f t="shared" si="216"/>
        <v/>
      </c>
      <c r="EW32" s="33" t="str">
        <f t="shared" si="217"/>
        <v/>
      </c>
      <c r="EX32" s="27"/>
      <c r="EZ32" s="14"/>
      <c r="FA32" s="36"/>
      <c r="FB32" s="5" t="str">
        <f t="shared" si="236"/>
        <v/>
      </c>
      <c r="FC32" s="5"/>
      <c r="FD32" s="5"/>
      <c r="FE32" s="5"/>
      <c r="FF32" s="5" t="str">
        <f t="shared" si="237"/>
        <v/>
      </c>
      <c r="FG32" s="5"/>
      <c r="FH32" s="5"/>
      <c r="FI32" s="5"/>
      <c r="FJ32" s="5" t="str">
        <f t="shared" si="218"/>
        <v/>
      </c>
      <c r="FK32" s="33" t="str">
        <f t="shared" si="219"/>
        <v/>
      </c>
      <c r="FL32" s="27"/>
      <c r="FN32" s="14"/>
      <c r="FO32" s="36"/>
      <c r="FP32" s="5" t="str">
        <f t="shared" si="238"/>
        <v/>
      </c>
      <c r="FQ32" s="5"/>
      <c r="FR32" s="5"/>
      <c r="FS32" s="5"/>
      <c r="FT32" s="5" t="str">
        <f t="shared" si="239"/>
        <v/>
      </c>
      <c r="FU32" s="5"/>
      <c r="FV32" s="5"/>
      <c r="FW32" s="5"/>
      <c r="FX32" s="5" t="str">
        <f t="shared" si="220"/>
        <v/>
      </c>
      <c r="FY32" s="33" t="str">
        <f t="shared" si="221"/>
        <v/>
      </c>
      <c r="FZ32" s="27"/>
      <c r="GB32" s="14"/>
      <c r="GC32" s="36"/>
      <c r="GD32" s="5" t="str">
        <f t="shared" si="240"/>
        <v/>
      </c>
      <c r="GE32" s="5"/>
      <c r="GF32" s="5"/>
      <c r="GG32" s="5"/>
      <c r="GH32" s="5" t="str">
        <f t="shared" si="241"/>
        <v/>
      </c>
      <c r="GI32" s="5"/>
      <c r="GJ32" s="5"/>
      <c r="GK32" s="5"/>
      <c r="GL32" s="5" t="str">
        <f t="shared" si="222"/>
        <v/>
      </c>
      <c r="GM32" s="33" t="str">
        <f t="shared" si="223"/>
        <v/>
      </c>
      <c r="GN32" s="27"/>
      <c r="GP32" s="14"/>
      <c r="GQ32" s="36"/>
      <c r="GR32" s="5" t="str">
        <f t="shared" si="242"/>
        <v/>
      </c>
      <c r="GS32" s="5"/>
      <c r="GT32" s="5"/>
      <c r="GU32" s="5"/>
      <c r="GV32" s="5" t="str">
        <f t="shared" si="243"/>
        <v/>
      </c>
      <c r="GW32" s="5"/>
      <c r="GX32" s="5"/>
      <c r="GY32" s="5"/>
      <c r="GZ32" s="5" t="str">
        <f t="shared" si="224"/>
        <v/>
      </c>
      <c r="HA32" s="33" t="str">
        <f t="shared" si="225"/>
        <v/>
      </c>
      <c r="HB32" s="27"/>
      <c r="HD32" s="14"/>
      <c r="HE32" s="36"/>
      <c r="HF32" s="5" t="str">
        <f t="shared" si="244"/>
        <v/>
      </c>
      <c r="HG32" s="5"/>
      <c r="HH32" s="27"/>
      <c r="HJ32" s="14"/>
      <c r="HK32" s="36"/>
      <c r="HL32" s="5" t="str">
        <f t="shared" si="245"/>
        <v/>
      </c>
      <c r="HM32" s="5"/>
      <c r="HN32" s="27"/>
      <c r="HP32" s="14"/>
      <c r="HQ32" s="36"/>
      <c r="HR32" s="5" t="str">
        <f t="shared" si="246"/>
        <v/>
      </c>
      <c r="HS32" s="5"/>
      <c r="HT32" s="27"/>
      <c r="HV32" s="14"/>
      <c r="HW32" s="36"/>
      <c r="HX32" s="5" t="str">
        <f t="shared" si="247"/>
        <v/>
      </c>
      <c r="HY32" s="5"/>
      <c r="HZ32" s="5"/>
      <c r="IA32" s="5"/>
      <c r="IB32" s="5" t="str">
        <f t="shared" si="248"/>
        <v/>
      </c>
      <c r="IC32" s="5"/>
      <c r="ID32" s="5"/>
      <c r="IE32" s="5"/>
      <c r="IF32" s="5" t="str">
        <f t="shared" si="226"/>
        <v/>
      </c>
      <c r="IG32" s="33" t="str">
        <f t="shared" si="227"/>
        <v/>
      </c>
      <c r="IH32" s="27"/>
      <c r="IJ32" s="14"/>
      <c r="IK32" s="36"/>
      <c r="IL32" s="5" t="str">
        <f t="shared" si="249"/>
        <v/>
      </c>
      <c r="IM32" s="5"/>
      <c r="IN32" s="5"/>
      <c r="IO32" s="5"/>
      <c r="IP32" s="5" t="str">
        <f t="shared" si="250"/>
        <v/>
      </c>
      <c r="IQ32" s="5"/>
      <c r="IR32" s="5"/>
      <c r="IS32" s="5"/>
      <c r="IT32" s="5" t="str">
        <f t="shared" si="228"/>
        <v/>
      </c>
      <c r="IU32" s="33" t="str">
        <f t="shared" si="229"/>
        <v/>
      </c>
      <c r="IV32" s="27"/>
      <c r="IX32" s="14"/>
      <c r="IY32" s="36"/>
      <c r="IZ32" s="5" t="str">
        <f t="shared" si="251"/>
        <v/>
      </c>
      <c r="JA32" s="5"/>
      <c r="JB32" s="5"/>
      <c r="JC32" s="5"/>
      <c r="JD32" s="5" t="str">
        <f t="shared" si="252"/>
        <v/>
      </c>
      <c r="JE32" s="5"/>
      <c r="JF32" s="5"/>
      <c r="JG32" s="5"/>
      <c r="JH32" s="5" t="str">
        <f t="shared" si="230"/>
        <v/>
      </c>
      <c r="JI32" s="33" t="str">
        <f t="shared" si="231"/>
        <v/>
      </c>
      <c r="JJ32" s="27"/>
      <c r="JL32" s="14"/>
      <c r="JM32" s="36"/>
      <c r="JN32" s="5" t="str">
        <f t="shared" si="253"/>
        <v/>
      </c>
      <c r="JO32" s="5"/>
      <c r="JP32" s="5"/>
      <c r="JQ32" s="5"/>
      <c r="JR32" s="5"/>
      <c r="JS32" s="5"/>
      <c r="JT32" s="5" t="str">
        <f t="shared" si="254"/>
        <v/>
      </c>
      <c r="JU32" s="5"/>
      <c r="JV32" s="5"/>
      <c r="JW32" s="5"/>
      <c r="JX32" s="5" t="str">
        <f t="shared" si="232"/>
        <v/>
      </c>
      <c r="JY32" s="33" t="str">
        <f t="shared" si="233"/>
        <v/>
      </c>
      <c r="JZ32" s="27"/>
    </row>
    <row r="33" spans="1:286" ht="15" customHeight="1" x14ac:dyDescent="0.2">
      <c r="A33" s="50"/>
      <c r="B33" s="34"/>
      <c r="C33" s="54"/>
      <c r="D33" s="5" t="str">
        <f t="shared" si="67"/>
        <v/>
      </c>
      <c r="E33" s="5"/>
      <c r="F33" s="5" t="str">
        <f t="shared" si="68"/>
        <v/>
      </c>
      <c r="G33" s="54"/>
      <c r="H33" s="5" t="str">
        <f t="shared" si="69"/>
        <v/>
      </c>
      <c r="I33" s="55"/>
      <c r="J33" s="3" t="str">
        <f t="shared" si="70"/>
        <v/>
      </c>
      <c r="K33" s="36" t="str">
        <f t="shared" si="71"/>
        <v/>
      </c>
      <c r="L33" s="5" t="str">
        <f t="shared" si="72"/>
        <v/>
      </c>
      <c r="M33" s="33" t="str">
        <f t="shared" si="73"/>
        <v/>
      </c>
      <c r="N33" s="27"/>
      <c r="P33" s="50"/>
      <c r="Q33" s="54"/>
      <c r="R33" s="5" t="str">
        <f t="shared" si="74"/>
        <v/>
      </c>
      <c r="S33" s="5"/>
      <c r="T33" s="5" t="str">
        <f t="shared" si="75"/>
        <v/>
      </c>
      <c r="U33" s="54"/>
      <c r="V33" s="5" t="str">
        <f t="shared" si="76"/>
        <v/>
      </c>
      <c r="W33" s="55"/>
      <c r="X33" s="3" t="str">
        <f t="shared" si="77"/>
        <v/>
      </c>
      <c r="Y33" s="36" t="str">
        <f t="shared" si="78"/>
        <v/>
      </c>
      <c r="Z33" s="5" t="str">
        <f t="shared" si="79"/>
        <v/>
      </c>
      <c r="AA33" s="33" t="str">
        <f t="shared" si="80"/>
        <v/>
      </c>
      <c r="AB33" s="27"/>
      <c r="AD33" s="50"/>
      <c r="AE33" s="54"/>
      <c r="AF33" s="5" t="str">
        <f t="shared" si="81"/>
        <v/>
      </c>
      <c r="AG33" s="5"/>
      <c r="AH33" s="5" t="str">
        <f t="shared" si="82"/>
        <v/>
      </c>
      <c r="AI33" s="54"/>
      <c r="AJ33" s="5" t="str">
        <f t="shared" si="83"/>
        <v/>
      </c>
      <c r="AK33" s="55"/>
      <c r="AL33" s="3" t="str">
        <f t="shared" si="84"/>
        <v/>
      </c>
      <c r="AM33" s="36" t="str">
        <f t="shared" si="85"/>
        <v/>
      </c>
      <c r="AN33" s="5" t="str">
        <f t="shared" si="86"/>
        <v/>
      </c>
      <c r="AO33" s="33" t="str">
        <f t="shared" si="87"/>
        <v/>
      </c>
      <c r="AP33" s="27"/>
      <c r="AR33" s="50"/>
      <c r="AS33" s="54"/>
      <c r="AT33" s="5" t="str">
        <f t="shared" si="88"/>
        <v/>
      </c>
      <c r="AU33" s="5"/>
      <c r="AV33" s="5" t="str">
        <f t="shared" si="89"/>
        <v/>
      </c>
      <c r="AW33" s="54"/>
      <c r="AX33" s="5" t="str">
        <f t="shared" si="90"/>
        <v/>
      </c>
      <c r="AY33" s="55"/>
      <c r="AZ33" s="3" t="str">
        <f t="shared" si="91"/>
        <v/>
      </c>
      <c r="BA33" s="36" t="str">
        <f t="shared" si="92"/>
        <v/>
      </c>
      <c r="BB33" s="5" t="str">
        <f t="shared" si="93"/>
        <v/>
      </c>
      <c r="BC33" s="33" t="str">
        <f t="shared" si="94"/>
        <v/>
      </c>
      <c r="BD33" s="27"/>
      <c r="BF33" s="50"/>
      <c r="BG33" s="54"/>
      <c r="BH33" s="5" t="str">
        <f t="shared" si="95"/>
        <v/>
      </c>
      <c r="BI33" s="5"/>
      <c r="BJ33" s="5" t="str">
        <f t="shared" si="96"/>
        <v/>
      </c>
      <c r="BK33" s="54"/>
      <c r="BL33" s="5" t="str">
        <f t="shared" si="97"/>
        <v/>
      </c>
      <c r="BM33" s="55"/>
      <c r="BN33" s="3" t="str">
        <f t="shared" si="98"/>
        <v/>
      </c>
      <c r="BO33" s="36" t="str">
        <f t="shared" si="99"/>
        <v/>
      </c>
      <c r="BP33" s="5" t="str">
        <f t="shared" si="100"/>
        <v/>
      </c>
      <c r="BQ33" s="33" t="str">
        <f t="shared" si="101"/>
        <v/>
      </c>
      <c r="BR33" s="27"/>
      <c r="BT33" s="50"/>
      <c r="BU33" s="54"/>
      <c r="BV33" s="5" t="str">
        <f t="shared" si="102"/>
        <v/>
      </c>
      <c r="BW33" s="5"/>
      <c r="BX33" s="5" t="str">
        <f t="shared" si="103"/>
        <v/>
      </c>
      <c r="BY33" s="54"/>
      <c r="BZ33" s="5" t="str">
        <f t="shared" si="104"/>
        <v/>
      </c>
      <c r="CA33" s="55"/>
      <c r="CB33" s="3" t="str">
        <f t="shared" si="105"/>
        <v/>
      </c>
      <c r="CC33" s="36" t="str">
        <f t="shared" si="106"/>
        <v/>
      </c>
      <c r="CD33" s="5" t="str">
        <f t="shared" si="107"/>
        <v/>
      </c>
      <c r="CE33" s="33" t="str">
        <f t="shared" si="108"/>
        <v/>
      </c>
      <c r="CF33" s="27"/>
      <c r="CH33" s="50"/>
      <c r="CI33" s="54"/>
      <c r="CJ33" s="5" t="str">
        <f t="shared" si="109"/>
        <v/>
      </c>
      <c r="CK33" s="5"/>
      <c r="CL33" s="5" t="str">
        <f t="shared" si="110"/>
        <v/>
      </c>
      <c r="CM33" s="54"/>
      <c r="CN33" s="5" t="str">
        <f t="shared" si="111"/>
        <v/>
      </c>
      <c r="CO33" s="55"/>
      <c r="CP33" s="3" t="str">
        <f t="shared" si="112"/>
        <v/>
      </c>
      <c r="CQ33" s="36" t="str">
        <f t="shared" si="113"/>
        <v/>
      </c>
      <c r="CR33" s="5" t="str">
        <f t="shared" si="114"/>
        <v/>
      </c>
      <c r="CS33" s="33" t="str">
        <f t="shared" si="115"/>
        <v/>
      </c>
      <c r="CT33" s="27"/>
      <c r="CV33" s="50"/>
      <c r="CW33" s="54"/>
      <c r="CX33" s="5" t="str">
        <f t="shared" si="116"/>
        <v/>
      </c>
      <c r="CY33" s="5"/>
      <c r="CZ33" s="5" t="str">
        <f t="shared" si="117"/>
        <v/>
      </c>
      <c r="DA33" s="54"/>
      <c r="DB33" s="5" t="str">
        <f t="shared" si="118"/>
        <v/>
      </c>
      <c r="DC33" s="55"/>
      <c r="DD33" s="3" t="str">
        <f t="shared" si="119"/>
        <v/>
      </c>
      <c r="DE33" s="36" t="str">
        <f t="shared" si="120"/>
        <v/>
      </c>
      <c r="DF33" s="5" t="str">
        <f t="shared" si="121"/>
        <v/>
      </c>
      <c r="DG33" s="33" t="str">
        <f t="shared" si="122"/>
        <v/>
      </c>
      <c r="DH33" s="27"/>
      <c r="DJ33" s="23"/>
      <c r="DK33" s="54"/>
      <c r="DL33" s="5" t="str">
        <f t="shared" si="123"/>
        <v/>
      </c>
      <c r="DM33" s="5"/>
      <c r="DN33" s="5" t="str">
        <f t="shared" si="124"/>
        <v/>
      </c>
      <c r="DO33" s="54"/>
      <c r="DP33" s="5" t="str">
        <f t="shared" si="125"/>
        <v/>
      </c>
      <c r="DQ33" s="55"/>
      <c r="DR33" s="3" t="str">
        <f t="shared" si="126"/>
        <v/>
      </c>
      <c r="DS33" s="36" t="str">
        <f t="shared" si="127"/>
        <v/>
      </c>
      <c r="DT33" s="5" t="str">
        <f t="shared" si="128"/>
        <v/>
      </c>
      <c r="DU33" s="33" t="str">
        <f t="shared" si="129"/>
        <v/>
      </c>
      <c r="DV33" s="27"/>
      <c r="DX33" s="23"/>
      <c r="DY33" s="54"/>
      <c r="DZ33" s="5" t="str">
        <f t="shared" si="130"/>
        <v/>
      </c>
      <c r="EA33" s="5"/>
      <c r="EB33" s="5" t="str">
        <f t="shared" si="131"/>
        <v/>
      </c>
      <c r="EC33" s="54"/>
      <c r="ED33" s="5" t="str">
        <f t="shared" si="132"/>
        <v/>
      </c>
      <c r="EE33" s="55"/>
      <c r="EF33" s="3" t="str">
        <f t="shared" si="133"/>
        <v/>
      </c>
      <c r="EG33" s="36" t="str">
        <f t="shared" si="134"/>
        <v/>
      </c>
      <c r="EH33" s="5" t="str">
        <f t="shared" si="135"/>
        <v/>
      </c>
      <c r="EI33" s="33" t="str">
        <f t="shared" si="136"/>
        <v/>
      </c>
      <c r="EJ33" s="27"/>
      <c r="EL33" s="14"/>
      <c r="EM33" s="36"/>
      <c r="EN33" s="5" t="str">
        <f t="shared" si="234"/>
        <v/>
      </c>
      <c r="EO33" s="5"/>
      <c r="EP33" s="5"/>
      <c r="EQ33" s="5"/>
      <c r="ER33" s="5" t="str">
        <f t="shared" si="235"/>
        <v/>
      </c>
      <c r="ES33" s="5"/>
      <c r="ET33" s="5"/>
      <c r="EU33" s="5"/>
      <c r="EV33" s="5" t="str">
        <f t="shared" si="216"/>
        <v/>
      </c>
      <c r="EW33" s="33" t="str">
        <f t="shared" si="217"/>
        <v/>
      </c>
      <c r="EX33" s="27"/>
      <c r="EZ33" s="14"/>
      <c r="FA33" s="36"/>
      <c r="FB33" s="5" t="str">
        <f t="shared" si="236"/>
        <v/>
      </c>
      <c r="FC33" s="5"/>
      <c r="FD33" s="5"/>
      <c r="FE33" s="5"/>
      <c r="FF33" s="5" t="str">
        <f t="shared" si="237"/>
        <v/>
      </c>
      <c r="FG33" s="5"/>
      <c r="FH33" s="5"/>
      <c r="FI33" s="5"/>
      <c r="FJ33" s="5" t="str">
        <f t="shared" si="218"/>
        <v/>
      </c>
      <c r="FK33" s="33" t="str">
        <f t="shared" si="219"/>
        <v/>
      </c>
      <c r="FL33" s="27"/>
      <c r="FN33" s="14"/>
      <c r="FO33" s="36"/>
      <c r="FP33" s="5" t="str">
        <f t="shared" si="238"/>
        <v/>
      </c>
      <c r="FQ33" s="5"/>
      <c r="FR33" s="5"/>
      <c r="FS33" s="5"/>
      <c r="FT33" s="5" t="str">
        <f t="shared" si="239"/>
        <v/>
      </c>
      <c r="FU33" s="5"/>
      <c r="FV33" s="5"/>
      <c r="FW33" s="5"/>
      <c r="FX33" s="5" t="str">
        <f t="shared" si="220"/>
        <v/>
      </c>
      <c r="FY33" s="33" t="str">
        <f t="shared" si="221"/>
        <v/>
      </c>
      <c r="FZ33" s="27"/>
      <c r="GB33" s="14"/>
      <c r="GC33" s="36"/>
      <c r="GD33" s="5" t="str">
        <f t="shared" si="240"/>
        <v/>
      </c>
      <c r="GE33" s="5"/>
      <c r="GF33" s="5"/>
      <c r="GG33" s="5"/>
      <c r="GH33" s="5" t="str">
        <f t="shared" si="241"/>
        <v/>
      </c>
      <c r="GI33" s="5"/>
      <c r="GJ33" s="5"/>
      <c r="GK33" s="5"/>
      <c r="GL33" s="5" t="str">
        <f t="shared" si="222"/>
        <v/>
      </c>
      <c r="GM33" s="33" t="str">
        <f t="shared" si="223"/>
        <v/>
      </c>
      <c r="GN33" s="27"/>
      <c r="GP33" s="14"/>
      <c r="GQ33" s="36"/>
      <c r="GR33" s="5" t="str">
        <f t="shared" si="242"/>
        <v/>
      </c>
      <c r="GS33" s="5"/>
      <c r="GT33" s="5"/>
      <c r="GU33" s="5"/>
      <c r="GV33" s="5" t="str">
        <f t="shared" si="243"/>
        <v/>
      </c>
      <c r="GW33" s="5"/>
      <c r="GX33" s="5"/>
      <c r="GY33" s="5"/>
      <c r="GZ33" s="5" t="str">
        <f t="shared" si="224"/>
        <v/>
      </c>
      <c r="HA33" s="33" t="str">
        <f t="shared" si="225"/>
        <v/>
      </c>
      <c r="HB33" s="27"/>
      <c r="HD33" s="14"/>
      <c r="HE33" s="36"/>
      <c r="HF33" s="5" t="str">
        <f t="shared" si="244"/>
        <v/>
      </c>
      <c r="HG33" s="5"/>
      <c r="HH33" s="27"/>
      <c r="HJ33" s="14"/>
      <c r="HK33" s="36"/>
      <c r="HL33" s="5" t="str">
        <f t="shared" si="245"/>
        <v/>
      </c>
      <c r="HM33" s="5"/>
      <c r="HN33" s="27"/>
      <c r="HP33" s="14"/>
      <c r="HQ33" s="36"/>
      <c r="HR33" s="5" t="str">
        <f t="shared" si="246"/>
        <v/>
      </c>
      <c r="HS33" s="5"/>
      <c r="HT33" s="27"/>
      <c r="HV33" s="14"/>
      <c r="HW33" s="36"/>
      <c r="HX33" s="5" t="str">
        <f t="shared" si="247"/>
        <v/>
      </c>
      <c r="HY33" s="5"/>
      <c r="HZ33" s="5"/>
      <c r="IA33" s="5"/>
      <c r="IB33" s="5" t="str">
        <f t="shared" si="248"/>
        <v/>
      </c>
      <c r="IC33" s="5"/>
      <c r="ID33" s="5"/>
      <c r="IE33" s="5"/>
      <c r="IF33" s="5" t="str">
        <f t="shared" si="226"/>
        <v/>
      </c>
      <c r="IG33" s="33" t="str">
        <f t="shared" si="227"/>
        <v/>
      </c>
      <c r="IH33" s="27"/>
      <c r="IJ33" s="14"/>
      <c r="IK33" s="36"/>
      <c r="IL33" s="5" t="str">
        <f t="shared" si="249"/>
        <v/>
      </c>
      <c r="IM33" s="5"/>
      <c r="IN33" s="5"/>
      <c r="IO33" s="5"/>
      <c r="IP33" s="5" t="str">
        <f t="shared" si="250"/>
        <v/>
      </c>
      <c r="IQ33" s="5"/>
      <c r="IR33" s="5"/>
      <c r="IS33" s="5"/>
      <c r="IT33" s="5" t="str">
        <f t="shared" si="228"/>
        <v/>
      </c>
      <c r="IU33" s="33" t="str">
        <f t="shared" si="229"/>
        <v/>
      </c>
      <c r="IV33" s="27"/>
      <c r="IX33" s="14"/>
      <c r="IY33" s="36"/>
      <c r="IZ33" s="5" t="str">
        <f t="shared" si="251"/>
        <v/>
      </c>
      <c r="JA33" s="5"/>
      <c r="JB33" s="5"/>
      <c r="JC33" s="5"/>
      <c r="JD33" s="5" t="str">
        <f t="shared" si="252"/>
        <v/>
      </c>
      <c r="JE33" s="5"/>
      <c r="JF33" s="5"/>
      <c r="JG33" s="5"/>
      <c r="JH33" s="5" t="str">
        <f t="shared" si="230"/>
        <v/>
      </c>
      <c r="JI33" s="33" t="str">
        <f t="shared" si="231"/>
        <v/>
      </c>
      <c r="JJ33" s="27"/>
      <c r="JL33" s="14"/>
      <c r="JM33" s="36"/>
      <c r="JN33" s="5" t="str">
        <f t="shared" si="253"/>
        <v/>
      </c>
      <c r="JO33" s="5"/>
      <c r="JP33" s="5"/>
      <c r="JQ33" s="5"/>
      <c r="JR33" s="5"/>
      <c r="JS33" s="5"/>
      <c r="JT33" s="5" t="str">
        <f t="shared" si="254"/>
        <v/>
      </c>
      <c r="JU33" s="5"/>
      <c r="JV33" s="5"/>
      <c r="JW33" s="5"/>
      <c r="JX33" s="5" t="str">
        <f t="shared" si="232"/>
        <v/>
      </c>
      <c r="JY33" s="33" t="str">
        <f t="shared" si="233"/>
        <v/>
      </c>
      <c r="JZ33" s="27"/>
    </row>
    <row r="34" spans="1:286" ht="15" customHeight="1" thickBot="1" x14ac:dyDescent="0.25">
      <c r="A34" s="56"/>
      <c r="B34" s="67"/>
      <c r="C34" s="41"/>
      <c r="D34" s="57" t="str">
        <f t="shared" si="67"/>
        <v/>
      </c>
      <c r="E34" s="41"/>
      <c r="F34" s="41" t="str">
        <f t="shared" si="68"/>
        <v/>
      </c>
      <c r="G34" s="41"/>
      <c r="H34" s="41" t="str">
        <f t="shared" si="69"/>
        <v/>
      </c>
      <c r="I34" s="58"/>
      <c r="J34" s="42" t="str">
        <f t="shared" si="70"/>
        <v/>
      </c>
      <c r="K34" s="57" t="str">
        <f t="shared" si="71"/>
        <v/>
      </c>
      <c r="L34" s="41" t="str">
        <f t="shared" si="72"/>
        <v/>
      </c>
      <c r="M34" s="43" t="str">
        <f t="shared" si="73"/>
        <v/>
      </c>
      <c r="N34" s="27"/>
      <c r="P34" s="56"/>
      <c r="Q34" s="41"/>
      <c r="R34" s="57" t="str">
        <f t="shared" si="74"/>
        <v/>
      </c>
      <c r="S34" s="41"/>
      <c r="T34" s="41" t="str">
        <f t="shared" si="75"/>
        <v/>
      </c>
      <c r="U34" s="41"/>
      <c r="V34" s="41" t="str">
        <f t="shared" si="76"/>
        <v/>
      </c>
      <c r="W34" s="58"/>
      <c r="X34" s="42" t="str">
        <f t="shared" si="77"/>
        <v/>
      </c>
      <c r="Y34" s="57" t="str">
        <f t="shared" si="78"/>
        <v/>
      </c>
      <c r="Z34" s="41" t="str">
        <f t="shared" si="79"/>
        <v/>
      </c>
      <c r="AA34" s="43" t="str">
        <f t="shared" si="80"/>
        <v/>
      </c>
      <c r="AB34" s="27"/>
      <c r="AD34" s="56"/>
      <c r="AE34" s="41"/>
      <c r="AF34" s="57" t="str">
        <f t="shared" si="81"/>
        <v/>
      </c>
      <c r="AG34" s="41"/>
      <c r="AH34" s="41" t="str">
        <f t="shared" si="82"/>
        <v/>
      </c>
      <c r="AI34" s="41"/>
      <c r="AJ34" s="41" t="str">
        <f t="shared" si="83"/>
        <v/>
      </c>
      <c r="AK34" s="58"/>
      <c r="AL34" s="42" t="str">
        <f t="shared" si="84"/>
        <v/>
      </c>
      <c r="AM34" s="57" t="str">
        <f t="shared" si="85"/>
        <v/>
      </c>
      <c r="AN34" s="41" t="str">
        <f t="shared" si="86"/>
        <v/>
      </c>
      <c r="AO34" s="43" t="str">
        <f t="shared" si="87"/>
        <v/>
      </c>
      <c r="AP34" s="27"/>
      <c r="AR34" s="56"/>
      <c r="AS34" s="41"/>
      <c r="AT34" s="57" t="str">
        <f t="shared" si="88"/>
        <v/>
      </c>
      <c r="AU34" s="41"/>
      <c r="AV34" s="41" t="str">
        <f t="shared" si="89"/>
        <v/>
      </c>
      <c r="AW34" s="41"/>
      <c r="AX34" s="41" t="str">
        <f t="shared" si="90"/>
        <v/>
      </c>
      <c r="AY34" s="58"/>
      <c r="AZ34" s="42" t="str">
        <f t="shared" si="91"/>
        <v/>
      </c>
      <c r="BA34" s="57" t="str">
        <f t="shared" si="92"/>
        <v/>
      </c>
      <c r="BB34" s="41" t="str">
        <f t="shared" si="93"/>
        <v/>
      </c>
      <c r="BC34" s="43" t="str">
        <f t="shared" si="94"/>
        <v/>
      </c>
      <c r="BD34" s="27"/>
      <c r="BF34" s="56"/>
      <c r="BG34" s="41"/>
      <c r="BH34" s="57" t="str">
        <f t="shared" si="95"/>
        <v/>
      </c>
      <c r="BI34" s="41"/>
      <c r="BJ34" s="41" t="str">
        <f t="shared" si="96"/>
        <v/>
      </c>
      <c r="BK34" s="41"/>
      <c r="BL34" s="41" t="str">
        <f t="shared" si="97"/>
        <v/>
      </c>
      <c r="BM34" s="58"/>
      <c r="BN34" s="42" t="str">
        <f t="shared" si="98"/>
        <v/>
      </c>
      <c r="BO34" s="57" t="str">
        <f t="shared" si="99"/>
        <v/>
      </c>
      <c r="BP34" s="41" t="str">
        <f t="shared" si="100"/>
        <v/>
      </c>
      <c r="BQ34" s="43" t="str">
        <f t="shared" si="101"/>
        <v/>
      </c>
      <c r="BR34" s="27"/>
      <c r="BT34" s="56"/>
      <c r="BU34" s="41"/>
      <c r="BV34" s="57" t="str">
        <f t="shared" si="102"/>
        <v/>
      </c>
      <c r="BW34" s="41"/>
      <c r="BX34" s="41" t="str">
        <f t="shared" si="103"/>
        <v/>
      </c>
      <c r="BY34" s="41"/>
      <c r="BZ34" s="41" t="str">
        <f t="shared" si="104"/>
        <v/>
      </c>
      <c r="CA34" s="58"/>
      <c r="CB34" s="42" t="str">
        <f t="shared" si="105"/>
        <v/>
      </c>
      <c r="CC34" s="57" t="str">
        <f t="shared" si="106"/>
        <v/>
      </c>
      <c r="CD34" s="41" t="str">
        <f t="shared" si="107"/>
        <v/>
      </c>
      <c r="CE34" s="43" t="str">
        <f t="shared" si="108"/>
        <v/>
      </c>
      <c r="CF34" s="27"/>
      <c r="CH34" s="56"/>
      <c r="CI34" s="41"/>
      <c r="CJ34" s="57" t="str">
        <f t="shared" si="109"/>
        <v/>
      </c>
      <c r="CK34" s="41"/>
      <c r="CL34" s="41" t="str">
        <f t="shared" si="110"/>
        <v/>
      </c>
      <c r="CM34" s="41"/>
      <c r="CN34" s="41" t="str">
        <f t="shared" si="111"/>
        <v/>
      </c>
      <c r="CO34" s="58"/>
      <c r="CP34" s="42" t="str">
        <f t="shared" si="112"/>
        <v/>
      </c>
      <c r="CQ34" s="57" t="str">
        <f t="shared" si="113"/>
        <v/>
      </c>
      <c r="CR34" s="41" t="str">
        <f t="shared" si="114"/>
        <v/>
      </c>
      <c r="CS34" s="43" t="str">
        <f t="shared" si="115"/>
        <v/>
      </c>
      <c r="CT34" s="27"/>
      <c r="CV34" s="56"/>
      <c r="CW34" s="41"/>
      <c r="CX34" s="57" t="str">
        <f t="shared" si="116"/>
        <v/>
      </c>
      <c r="CY34" s="41"/>
      <c r="CZ34" s="41" t="str">
        <f t="shared" si="117"/>
        <v/>
      </c>
      <c r="DA34" s="41"/>
      <c r="DB34" s="41" t="str">
        <f t="shared" si="118"/>
        <v/>
      </c>
      <c r="DC34" s="58"/>
      <c r="DD34" s="42" t="str">
        <f t="shared" si="119"/>
        <v/>
      </c>
      <c r="DE34" s="57" t="str">
        <f t="shared" si="120"/>
        <v/>
      </c>
      <c r="DF34" s="41" t="str">
        <f t="shared" si="121"/>
        <v/>
      </c>
      <c r="DG34" s="43" t="str">
        <f t="shared" si="122"/>
        <v/>
      </c>
      <c r="DH34" s="27"/>
      <c r="DJ34" s="38"/>
      <c r="DK34" s="41"/>
      <c r="DL34" s="57" t="str">
        <f t="shared" si="123"/>
        <v/>
      </c>
      <c r="DM34" s="41"/>
      <c r="DN34" s="41" t="str">
        <f t="shared" si="124"/>
        <v/>
      </c>
      <c r="DO34" s="41"/>
      <c r="DP34" s="41" t="str">
        <f t="shared" si="125"/>
        <v/>
      </c>
      <c r="DQ34" s="58"/>
      <c r="DR34" s="42" t="str">
        <f t="shared" si="126"/>
        <v/>
      </c>
      <c r="DS34" s="57" t="str">
        <f t="shared" si="127"/>
        <v/>
      </c>
      <c r="DT34" s="41" t="str">
        <f t="shared" si="128"/>
        <v/>
      </c>
      <c r="DU34" s="43" t="str">
        <f t="shared" si="129"/>
        <v/>
      </c>
      <c r="DV34" s="27"/>
      <c r="DX34" s="38"/>
      <c r="DY34" s="41"/>
      <c r="DZ34" s="57" t="str">
        <f t="shared" si="130"/>
        <v/>
      </c>
      <c r="EA34" s="41"/>
      <c r="EB34" s="41" t="str">
        <f t="shared" si="131"/>
        <v/>
      </c>
      <c r="EC34" s="41"/>
      <c r="ED34" s="41" t="str">
        <f t="shared" si="132"/>
        <v/>
      </c>
      <c r="EE34" s="58"/>
      <c r="EF34" s="42" t="str">
        <f t="shared" si="133"/>
        <v/>
      </c>
      <c r="EG34" s="57" t="str">
        <f t="shared" si="134"/>
        <v/>
      </c>
      <c r="EH34" s="41" t="str">
        <f t="shared" si="135"/>
        <v/>
      </c>
      <c r="EI34" s="43" t="str">
        <f t="shared" si="136"/>
        <v/>
      </c>
      <c r="EJ34" s="27"/>
      <c r="EL34" s="14"/>
      <c r="EM34" s="36"/>
      <c r="EN34" s="5" t="str">
        <f t="shared" si="234"/>
        <v/>
      </c>
      <c r="EO34" s="5"/>
      <c r="EP34" s="5"/>
      <c r="EQ34" s="5"/>
      <c r="ER34" s="5" t="str">
        <f t="shared" si="235"/>
        <v/>
      </c>
      <c r="ES34" s="5"/>
      <c r="ET34" s="5"/>
      <c r="EU34" s="5"/>
      <c r="EV34" s="5" t="str">
        <f t="shared" si="216"/>
        <v/>
      </c>
      <c r="EW34" s="33" t="str">
        <f t="shared" si="217"/>
        <v/>
      </c>
      <c r="EX34" s="27"/>
      <c r="EZ34" s="14"/>
      <c r="FA34" s="36"/>
      <c r="FB34" s="5" t="str">
        <f t="shared" si="236"/>
        <v/>
      </c>
      <c r="FC34" s="5"/>
      <c r="FD34" s="5"/>
      <c r="FE34" s="5"/>
      <c r="FF34" s="5" t="str">
        <f t="shared" si="237"/>
        <v/>
      </c>
      <c r="FG34" s="5"/>
      <c r="FH34" s="5"/>
      <c r="FI34" s="5"/>
      <c r="FJ34" s="5" t="str">
        <f t="shared" si="218"/>
        <v/>
      </c>
      <c r="FK34" s="33" t="str">
        <f t="shared" si="219"/>
        <v/>
      </c>
      <c r="FL34" s="27"/>
      <c r="FN34" s="14"/>
      <c r="FO34" s="36"/>
      <c r="FP34" s="5" t="str">
        <f t="shared" si="238"/>
        <v/>
      </c>
      <c r="FQ34" s="5"/>
      <c r="FR34" s="5"/>
      <c r="FS34" s="5"/>
      <c r="FT34" s="5" t="str">
        <f t="shared" si="239"/>
        <v/>
      </c>
      <c r="FU34" s="5"/>
      <c r="FV34" s="5"/>
      <c r="FW34" s="5"/>
      <c r="FX34" s="5" t="str">
        <f t="shared" si="220"/>
        <v/>
      </c>
      <c r="FY34" s="33" t="str">
        <f t="shared" si="221"/>
        <v/>
      </c>
      <c r="FZ34" s="27"/>
      <c r="GB34" s="14"/>
      <c r="GC34" s="36"/>
      <c r="GD34" s="5" t="str">
        <f t="shared" si="240"/>
        <v/>
      </c>
      <c r="GE34" s="5"/>
      <c r="GF34" s="5"/>
      <c r="GG34" s="5"/>
      <c r="GH34" s="5" t="str">
        <f t="shared" si="241"/>
        <v/>
      </c>
      <c r="GI34" s="5"/>
      <c r="GJ34" s="5"/>
      <c r="GK34" s="5"/>
      <c r="GL34" s="5" t="str">
        <f t="shared" si="222"/>
        <v/>
      </c>
      <c r="GM34" s="33" t="str">
        <f t="shared" si="223"/>
        <v/>
      </c>
      <c r="GN34" s="27"/>
      <c r="GP34" s="14"/>
      <c r="GQ34" s="36"/>
      <c r="GR34" s="5" t="str">
        <f t="shared" si="242"/>
        <v/>
      </c>
      <c r="GS34" s="5"/>
      <c r="GT34" s="5"/>
      <c r="GU34" s="5"/>
      <c r="GV34" s="5" t="str">
        <f t="shared" si="243"/>
        <v/>
      </c>
      <c r="GW34" s="5"/>
      <c r="GX34" s="5"/>
      <c r="GY34" s="5"/>
      <c r="GZ34" s="5" t="str">
        <f t="shared" si="224"/>
        <v/>
      </c>
      <c r="HA34" s="33" t="str">
        <f t="shared" si="225"/>
        <v/>
      </c>
      <c r="HB34" s="27"/>
      <c r="HD34" s="14"/>
      <c r="HE34" s="36"/>
      <c r="HF34" s="5" t="str">
        <f t="shared" si="244"/>
        <v/>
      </c>
      <c r="HG34" s="5"/>
      <c r="HH34" s="27"/>
      <c r="HJ34" s="14"/>
      <c r="HK34" s="36"/>
      <c r="HL34" s="5" t="str">
        <f t="shared" si="245"/>
        <v/>
      </c>
      <c r="HM34" s="5"/>
      <c r="HN34" s="27"/>
      <c r="HP34" s="14"/>
      <c r="HQ34" s="36"/>
      <c r="HR34" s="5" t="str">
        <f t="shared" si="246"/>
        <v/>
      </c>
      <c r="HS34" s="5"/>
      <c r="HT34" s="27"/>
      <c r="HV34" s="14"/>
      <c r="HW34" s="36"/>
      <c r="HX34" s="5" t="str">
        <f t="shared" si="247"/>
        <v/>
      </c>
      <c r="HY34" s="5"/>
      <c r="HZ34" s="5"/>
      <c r="IA34" s="5"/>
      <c r="IB34" s="5" t="str">
        <f t="shared" si="248"/>
        <v/>
      </c>
      <c r="IC34" s="5"/>
      <c r="ID34" s="5"/>
      <c r="IE34" s="5"/>
      <c r="IF34" s="5" t="str">
        <f t="shared" si="226"/>
        <v/>
      </c>
      <c r="IG34" s="33" t="str">
        <f t="shared" si="227"/>
        <v/>
      </c>
      <c r="IH34" s="27"/>
      <c r="IJ34" s="14"/>
      <c r="IK34" s="36"/>
      <c r="IL34" s="5" t="str">
        <f t="shared" si="249"/>
        <v/>
      </c>
      <c r="IM34" s="5"/>
      <c r="IN34" s="5"/>
      <c r="IO34" s="5"/>
      <c r="IP34" s="5" t="str">
        <f t="shared" si="250"/>
        <v/>
      </c>
      <c r="IQ34" s="5"/>
      <c r="IR34" s="5"/>
      <c r="IS34" s="5"/>
      <c r="IT34" s="5" t="str">
        <f t="shared" si="228"/>
        <v/>
      </c>
      <c r="IU34" s="33" t="str">
        <f t="shared" si="229"/>
        <v/>
      </c>
      <c r="IV34" s="27"/>
      <c r="IX34" s="14"/>
      <c r="IY34" s="36"/>
      <c r="IZ34" s="5" t="str">
        <f t="shared" si="251"/>
        <v/>
      </c>
      <c r="JA34" s="5"/>
      <c r="JB34" s="5"/>
      <c r="JC34" s="5"/>
      <c r="JD34" s="5" t="str">
        <f t="shared" si="252"/>
        <v/>
      </c>
      <c r="JE34" s="5"/>
      <c r="JF34" s="5"/>
      <c r="JG34" s="5"/>
      <c r="JH34" s="5" t="str">
        <f t="shared" si="230"/>
        <v/>
      </c>
      <c r="JI34" s="33" t="str">
        <f t="shared" si="231"/>
        <v/>
      </c>
      <c r="JJ34" s="27"/>
      <c r="JL34" s="14"/>
      <c r="JM34" s="36"/>
      <c r="JN34" s="5" t="str">
        <f t="shared" si="253"/>
        <v/>
      </c>
      <c r="JO34" s="5"/>
      <c r="JP34" s="5"/>
      <c r="JQ34" s="5"/>
      <c r="JR34" s="5"/>
      <c r="JS34" s="5"/>
      <c r="JT34" s="5" t="str">
        <f t="shared" si="254"/>
        <v/>
      </c>
      <c r="JU34" s="5"/>
      <c r="JV34" s="5"/>
      <c r="JW34" s="5"/>
      <c r="JX34" s="5" t="str">
        <f t="shared" si="232"/>
        <v/>
      </c>
      <c r="JY34" s="33" t="str">
        <f t="shared" si="233"/>
        <v/>
      </c>
      <c r="JZ34" s="27"/>
    </row>
    <row r="35" spans="1:286" ht="15" customHeight="1" thickTop="1" x14ac:dyDescent="0.2">
      <c r="A35" s="45"/>
      <c r="B35" s="24">
        <f>SUM(D35:D38)+SUM(R35:R38)+SUM(AF35:AF38)+SUM(BV35:BV38)+SUM(GD11,GR11,EN11,FB11,FP11,HX11,IL11,IZ11,JN11,HF11,HL11,HR11)+SUM(CJ35:CJ38)+SUM(DL35:DL36)</f>
        <v>0</v>
      </c>
      <c r="C35" s="4"/>
      <c r="D35" s="4" t="str">
        <f t="shared" si="67"/>
        <v/>
      </c>
      <c r="E35" s="4"/>
      <c r="F35" s="46" t="str">
        <f t="shared" si="68"/>
        <v/>
      </c>
      <c r="G35" s="4"/>
      <c r="H35" s="4" t="str">
        <f t="shared" si="69"/>
        <v/>
      </c>
      <c r="I35" s="47"/>
      <c r="J35" s="3" t="str">
        <f t="shared" si="70"/>
        <v/>
      </c>
      <c r="K35" s="36" t="str">
        <f t="shared" si="71"/>
        <v/>
      </c>
      <c r="L35" s="46" t="str">
        <f t="shared" si="72"/>
        <v/>
      </c>
      <c r="M35" s="48" t="str">
        <f t="shared" si="73"/>
        <v/>
      </c>
      <c r="N35" s="27"/>
      <c r="P35" s="49" t="str">
        <f>IF($A35="","",$A35)</f>
        <v/>
      </c>
      <c r="Q35" s="4"/>
      <c r="R35" s="4" t="str">
        <f t="shared" si="74"/>
        <v/>
      </c>
      <c r="S35" s="4"/>
      <c r="T35" s="46" t="str">
        <f t="shared" si="75"/>
        <v/>
      </c>
      <c r="U35" s="4"/>
      <c r="V35" s="4" t="str">
        <f t="shared" si="76"/>
        <v/>
      </c>
      <c r="W35" s="47"/>
      <c r="X35" s="3" t="str">
        <f t="shared" si="77"/>
        <v/>
      </c>
      <c r="Y35" s="36" t="str">
        <f t="shared" si="78"/>
        <v/>
      </c>
      <c r="Z35" s="46" t="str">
        <f t="shared" si="79"/>
        <v/>
      </c>
      <c r="AA35" s="48" t="str">
        <f t="shared" si="80"/>
        <v/>
      </c>
      <c r="AB35" s="27"/>
      <c r="AD35" s="49" t="str">
        <f>IF($A35="","",$A35)</f>
        <v/>
      </c>
      <c r="AE35" s="4"/>
      <c r="AF35" s="4" t="str">
        <f t="shared" si="81"/>
        <v/>
      </c>
      <c r="AG35" s="4"/>
      <c r="AH35" s="46" t="str">
        <f t="shared" si="82"/>
        <v/>
      </c>
      <c r="AI35" s="4"/>
      <c r="AJ35" s="4" t="str">
        <f t="shared" si="83"/>
        <v/>
      </c>
      <c r="AK35" s="47"/>
      <c r="AL35" s="3" t="str">
        <f t="shared" si="84"/>
        <v/>
      </c>
      <c r="AM35" s="36" t="str">
        <f t="shared" si="85"/>
        <v/>
      </c>
      <c r="AN35" s="46" t="str">
        <f t="shared" si="86"/>
        <v/>
      </c>
      <c r="AO35" s="48" t="str">
        <f t="shared" si="87"/>
        <v/>
      </c>
      <c r="AP35" s="27"/>
      <c r="AR35" s="49" t="str">
        <f>IF($A35="","",$A35)</f>
        <v/>
      </c>
      <c r="AS35" s="4"/>
      <c r="AT35" s="4" t="str">
        <f t="shared" si="88"/>
        <v/>
      </c>
      <c r="AU35" s="4"/>
      <c r="AV35" s="46" t="str">
        <f t="shared" si="89"/>
        <v/>
      </c>
      <c r="AW35" s="4"/>
      <c r="AX35" s="4" t="str">
        <f t="shared" si="90"/>
        <v/>
      </c>
      <c r="AY35" s="47"/>
      <c r="AZ35" s="3" t="str">
        <f t="shared" si="91"/>
        <v/>
      </c>
      <c r="BA35" s="36" t="str">
        <f t="shared" si="92"/>
        <v/>
      </c>
      <c r="BB35" s="46" t="str">
        <f t="shared" si="93"/>
        <v/>
      </c>
      <c r="BC35" s="48" t="str">
        <f t="shared" si="94"/>
        <v/>
      </c>
      <c r="BD35" s="27"/>
      <c r="BF35" s="49" t="str">
        <f>IF($A35="","",$A35)</f>
        <v/>
      </c>
      <c r="BG35" s="4"/>
      <c r="BH35" s="4" t="str">
        <f t="shared" si="95"/>
        <v/>
      </c>
      <c r="BI35" s="4"/>
      <c r="BJ35" s="46" t="str">
        <f t="shared" si="96"/>
        <v/>
      </c>
      <c r="BK35" s="4"/>
      <c r="BL35" s="4" t="str">
        <f t="shared" si="97"/>
        <v/>
      </c>
      <c r="BM35" s="47"/>
      <c r="BN35" s="3" t="str">
        <f t="shared" si="98"/>
        <v/>
      </c>
      <c r="BO35" s="36" t="str">
        <f t="shared" si="99"/>
        <v/>
      </c>
      <c r="BP35" s="46" t="str">
        <f t="shared" si="100"/>
        <v/>
      </c>
      <c r="BQ35" s="48" t="str">
        <f t="shared" si="101"/>
        <v/>
      </c>
      <c r="BR35" s="27"/>
      <c r="BT35" s="49" t="str">
        <f>IF($A35="","",$A35)</f>
        <v/>
      </c>
      <c r="BU35" s="4"/>
      <c r="BV35" s="4" t="str">
        <f t="shared" si="102"/>
        <v/>
      </c>
      <c r="BW35" s="4"/>
      <c r="BX35" s="46" t="str">
        <f t="shared" si="103"/>
        <v/>
      </c>
      <c r="BY35" s="4"/>
      <c r="BZ35" s="4" t="str">
        <f t="shared" si="104"/>
        <v/>
      </c>
      <c r="CA35" s="47"/>
      <c r="CB35" s="3" t="str">
        <f t="shared" si="105"/>
        <v/>
      </c>
      <c r="CC35" s="36" t="str">
        <f t="shared" si="106"/>
        <v/>
      </c>
      <c r="CD35" s="46" t="str">
        <f t="shared" si="107"/>
        <v/>
      </c>
      <c r="CE35" s="48" t="str">
        <f t="shared" si="108"/>
        <v/>
      </c>
      <c r="CF35" s="27"/>
      <c r="CH35" s="49" t="str">
        <f>IF($A35="","",$A35)</f>
        <v/>
      </c>
      <c r="CI35" s="4"/>
      <c r="CJ35" s="4" t="str">
        <f t="shared" si="109"/>
        <v/>
      </c>
      <c r="CK35" s="4"/>
      <c r="CL35" s="46" t="str">
        <f t="shared" si="110"/>
        <v/>
      </c>
      <c r="CM35" s="4"/>
      <c r="CN35" s="4" t="str">
        <f t="shared" si="111"/>
        <v/>
      </c>
      <c r="CO35" s="47"/>
      <c r="CP35" s="3" t="str">
        <f t="shared" si="112"/>
        <v/>
      </c>
      <c r="CQ35" s="36" t="str">
        <f t="shared" si="113"/>
        <v/>
      </c>
      <c r="CR35" s="46" t="str">
        <f t="shared" si="114"/>
        <v/>
      </c>
      <c r="CS35" s="48" t="str">
        <f t="shared" si="115"/>
        <v/>
      </c>
      <c r="CT35" s="27"/>
      <c r="CV35" s="49" t="str">
        <f>IF($A35="","",$A35)</f>
        <v/>
      </c>
      <c r="CW35" s="4"/>
      <c r="CX35" s="4" t="str">
        <f t="shared" si="116"/>
        <v/>
      </c>
      <c r="CY35" s="4"/>
      <c r="CZ35" s="46" t="str">
        <f t="shared" si="117"/>
        <v/>
      </c>
      <c r="DA35" s="4"/>
      <c r="DB35" s="4" t="str">
        <f t="shared" si="118"/>
        <v/>
      </c>
      <c r="DC35" s="47"/>
      <c r="DD35" s="3" t="str">
        <f t="shared" si="119"/>
        <v/>
      </c>
      <c r="DE35" s="36" t="str">
        <f t="shared" si="120"/>
        <v/>
      </c>
      <c r="DF35" s="46" t="str">
        <f t="shared" si="121"/>
        <v/>
      </c>
      <c r="DG35" s="48" t="str">
        <f t="shared" si="122"/>
        <v/>
      </c>
      <c r="DH35" s="27"/>
      <c r="DJ35" s="30" t="str">
        <f>IF($A35="","",$A35)</f>
        <v/>
      </c>
      <c r="DK35" s="4"/>
      <c r="DL35" s="4" t="str">
        <f t="shared" si="123"/>
        <v/>
      </c>
      <c r="DM35" s="4"/>
      <c r="DN35" s="46" t="str">
        <f t="shared" si="124"/>
        <v/>
      </c>
      <c r="DO35" s="4"/>
      <c r="DP35" s="4" t="str">
        <f t="shared" si="125"/>
        <v/>
      </c>
      <c r="DQ35" s="47"/>
      <c r="DR35" s="3" t="str">
        <f t="shared" si="126"/>
        <v/>
      </c>
      <c r="DS35" s="36" t="str">
        <f t="shared" si="127"/>
        <v/>
      </c>
      <c r="DT35" s="46" t="str">
        <f t="shared" si="128"/>
        <v/>
      </c>
      <c r="DU35" s="48" t="str">
        <f t="shared" si="129"/>
        <v/>
      </c>
      <c r="DV35" s="27"/>
      <c r="DX35" s="30" t="str">
        <f>IF($A35="","",$A35)</f>
        <v/>
      </c>
      <c r="DY35" s="4"/>
      <c r="DZ35" s="4" t="str">
        <f t="shared" si="130"/>
        <v/>
      </c>
      <c r="EA35" s="4"/>
      <c r="EB35" s="46" t="str">
        <f t="shared" si="131"/>
        <v/>
      </c>
      <c r="EC35" s="4"/>
      <c r="ED35" s="4" t="str">
        <f t="shared" si="132"/>
        <v/>
      </c>
      <c r="EE35" s="47"/>
      <c r="EF35" s="3" t="str">
        <f t="shared" si="133"/>
        <v/>
      </c>
      <c r="EG35" s="36" t="str">
        <f t="shared" si="134"/>
        <v/>
      </c>
      <c r="EH35" s="46" t="str">
        <f t="shared" si="135"/>
        <v/>
      </c>
      <c r="EI35" s="48" t="str">
        <f t="shared" si="136"/>
        <v/>
      </c>
      <c r="EJ35" s="27"/>
      <c r="EL35" s="14"/>
      <c r="EM35" s="36"/>
      <c r="EN35" s="5" t="str">
        <f t="shared" si="234"/>
        <v/>
      </c>
      <c r="EO35" s="5"/>
      <c r="EP35" s="5"/>
      <c r="EQ35" s="5"/>
      <c r="ER35" s="5" t="str">
        <f t="shared" si="235"/>
        <v/>
      </c>
      <c r="ES35" s="5"/>
      <c r="ET35" s="5"/>
      <c r="EU35" s="5"/>
      <c r="EV35" s="5" t="str">
        <f t="shared" si="216"/>
        <v/>
      </c>
      <c r="EW35" s="33" t="str">
        <f t="shared" si="217"/>
        <v/>
      </c>
      <c r="EX35" s="27"/>
      <c r="EZ35" s="14"/>
      <c r="FA35" s="36"/>
      <c r="FB35" s="5" t="str">
        <f t="shared" si="236"/>
        <v/>
      </c>
      <c r="FC35" s="5"/>
      <c r="FD35" s="5"/>
      <c r="FE35" s="5"/>
      <c r="FF35" s="5" t="str">
        <f t="shared" si="237"/>
        <v/>
      </c>
      <c r="FG35" s="5"/>
      <c r="FH35" s="5"/>
      <c r="FI35" s="5"/>
      <c r="FJ35" s="5" t="str">
        <f t="shared" si="218"/>
        <v/>
      </c>
      <c r="FK35" s="33" t="str">
        <f t="shared" si="219"/>
        <v/>
      </c>
      <c r="FL35" s="27"/>
      <c r="FN35" s="14"/>
      <c r="FO35" s="36"/>
      <c r="FP35" s="5" t="str">
        <f t="shared" si="238"/>
        <v/>
      </c>
      <c r="FQ35" s="5"/>
      <c r="FR35" s="5"/>
      <c r="FS35" s="5"/>
      <c r="FT35" s="5" t="str">
        <f t="shared" si="239"/>
        <v/>
      </c>
      <c r="FU35" s="5"/>
      <c r="FV35" s="5"/>
      <c r="FW35" s="5"/>
      <c r="FX35" s="5" t="str">
        <f t="shared" si="220"/>
        <v/>
      </c>
      <c r="FY35" s="33" t="str">
        <f t="shared" si="221"/>
        <v/>
      </c>
      <c r="FZ35" s="27"/>
      <c r="GB35" s="14"/>
      <c r="GC35" s="36"/>
      <c r="GD35" s="5" t="str">
        <f t="shared" si="240"/>
        <v/>
      </c>
      <c r="GE35" s="5"/>
      <c r="GF35" s="5"/>
      <c r="GG35" s="5"/>
      <c r="GH35" s="5" t="str">
        <f t="shared" si="241"/>
        <v/>
      </c>
      <c r="GI35" s="5"/>
      <c r="GJ35" s="5"/>
      <c r="GK35" s="5"/>
      <c r="GL35" s="5" t="str">
        <f t="shared" si="222"/>
        <v/>
      </c>
      <c r="GM35" s="33" t="str">
        <f t="shared" si="223"/>
        <v/>
      </c>
      <c r="GN35" s="27"/>
      <c r="GP35" s="14"/>
      <c r="GQ35" s="36"/>
      <c r="GR35" s="5" t="str">
        <f t="shared" si="242"/>
        <v/>
      </c>
      <c r="GS35" s="5"/>
      <c r="GT35" s="5"/>
      <c r="GU35" s="5"/>
      <c r="GV35" s="5" t="str">
        <f t="shared" si="243"/>
        <v/>
      </c>
      <c r="GW35" s="5"/>
      <c r="GX35" s="5"/>
      <c r="GY35" s="5"/>
      <c r="GZ35" s="5" t="str">
        <f t="shared" si="224"/>
        <v/>
      </c>
      <c r="HA35" s="33" t="str">
        <f t="shared" si="225"/>
        <v/>
      </c>
      <c r="HB35" s="27"/>
      <c r="HD35" s="14"/>
      <c r="HE35" s="36"/>
      <c r="HF35" s="5" t="str">
        <f t="shared" si="244"/>
        <v/>
      </c>
      <c r="HG35" s="5"/>
      <c r="HH35" s="27"/>
      <c r="HJ35" s="14"/>
      <c r="HK35" s="36"/>
      <c r="HL35" s="5" t="str">
        <f t="shared" si="245"/>
        <v/>
      </c>
      <c r="HM35" s="5"/>
      <c r="HN35" s="27"/>
      <c r="HP35" s="14"/>
      <c r="HQ35" s="36"/>
      <c r="HR35" s="5" t="str">
        <f t="shared" si="246"/>
        <v/>
      </c>
      <c r="HS35" s="5"/>
      <c r="HT35" s="27"/>
      <c r="HV35" s="14"/>
      <c r="HW35" s="36"/>
      <c r="HX35" s="5" t="str">
        <f t="shared" si="247"/>
        <v/>
      </c>
      <c r="HY35" s="5"/>
      <c r="HZ35" s="5"/>
      <c r="IA35" s="5"/>
      <c r="IB35" s="5" t="str">
        <f t="shared" si="248"/>
        <v/>
      </c>
      <c r="IC35" s="5"/>
      <c r="ID35" s="5"/>
      <c r="IE35" s="5"/>
      <c r="IF35" s="5" t="str">
        <f t="shared" si="226"/>
        <v/>
      </c>
      <c r="IG35" s="33" t="str">
        <f t="shared" si="227"/>
        <v/>
      </c>
      <c r="IH35" s="27"/>
      <c r="IJ35" s="14"/>
      <c r="IK35" s="36"/>
      <c r="IL35" s="5" t="str">
        <f t="shared" si="249"/>
        <v/>
      </c>
      <c r="IM35" s="5"/>
      <c r="IN35" s="5"/>
      <c r="IO35" s="5"/>
      <c r="IP35" s="5" t="str">
        <f t="shared" si="250"/>
        <v/>
      </c>
      <c r="IQ35" s="5"/>
      <c r="IR35" s="5"/>
      <c r="IS35" s="5"/>
      <c r="IT35" s="5" t="str">
        <f t="shared" si="228"/>
        <v/>
      </c>
      <c r="IU35" s="33" t="str">
        <f t="shared" si="229"/>
        <v/>
      </c>
      <c r="IV35" s="27"/>
      <c r="IX35" s="14"/>
      <c r="IY35" s="36"/>
      <c r="IZ35" s="5" t="str">
        <f t="shared" si="251"/>
        <v/>
      </c>
      <c r="JA35" s="5"/>
      <c r="JB35" s="5"/>
      <c r="JC35" s="5"/>
      <c r="JD35" s="5" t="str">
        <f t="shared" si="252"/>
        <v/>
      </c>
      <c r="JE35" s="5"/>
      <c r="JF35" s="5"/>
      <c r="JG35" s="5"/>
      <c r="JH35" s="5" t="str">
        <f t="shared" si="230"/>
        <v/>
      </c>
      <c r="JI35" s="33" t="str">
        <f t="shared" si="231"/>
        <v/>
      </c>
      <c r="JJ35" s="27"/>
      <c r="JL35" s="14"/>
      <c r="JM35" s="36"/>
      <c r="JN35" s="5" t="str">
        <f t="shared" si="253"/>
        <v/>
      </c>
      <c r="JO35" s="5"/>
      <c r="JP35" s="5"/>
      <c r="JQ35" s="5"/>
      <c r="JR35" s="5"/>
      <c r="JS35" s="5"/>
      <c r="JT35" s="5" t="str">
        <f t="shared" si="254"/>
        <v/>
      </c>
      <c r="JU35" s="5"/>
      <c r="JV35" s="5"/>
      <c r="JW35" s="5"/>
      <c r="JX35" s="5" t="str">
        <f t="shared" si="232"/>
        <v/>
      </c>
      <c r="JY35" s="33" t="str">
        <f t="shared" si="233"/>
        <v/>
      </c>
      <c r="JZ35" s="27"/>
    </row>
    <row r="36" spans="1:286" ht="15" customHeight="1" x14ac:dyDescent="0.2">
      <c r="A36" s="50"/>
      <c r="B36" s="24"/>
      <c r="C36" s="4"/>
      <c r="D36" s="5" t="str">
        <f t="shared" si="67"/>
        <v/>
      </c>
      <c r="E36" s="5"/>
      <c r="F36" s="5" t="str">
        <f t="shared" si="68"/>
        <v/>
      </c>
      <c r="G36" s="5"/>
      <c r="H36" s="5" t="str">
        <f t="shared" si="69"/>
        <v/>
      </c>
      <c r="I36" s="32"/>
      <c r="J36" s="3" t="str">
        <f t="shared" si="70"/>
        <v/>
      </c>
      <c r="K36" s="36" t="str">
        <f t="shared" si="71"/>
        <v/>
      </c>
      <c r="L36" s="5" t="str">
        <f t="shared" si="72"/>
        <v/>
      </c>
      <c r="M36" s="33" t="str">
        <f t="shared" si="73"/>
        <v/>
      </c>
      <c r="N36" s="27"/>
      <c r="P36" s="50"/>
      <c r="Q36" s="4"/>
      <c r="R36" s="5" t="str">
        <f t="shared" si="74"/>
        <v/>
      </c>
      <c r="S36" s="5"/>
      <c r="T36" s="5" t="str">
        <f t="shared" si="75"/>
        <v/>
      </c>
      <c r="U36" s="5"/>
      <c r="V36" s="5" t="str">
        <f t="shared" si="76"/>
        <v/>
      </c>
      <c r="W36" s="32"/>
      <c r="X36" s="3" t="str">
        <f t="shared" si="77"/>
        <v/>
      </c>
      <c r="Y36" s="36" t="str">
        <f t="shared" si="78"/>
        <v/>
      </c>
      <c r="Z36" s="5" t="str">
        <f t="shared" si="79"/>
        <v/>
      </c>
      <c r="AA36" s="33" t="str">
        <f t="shared" si="80"/>
        <v/>
      </c>
      <c r="AB36" s="27"/>
      <c r="AD36" s="50"/>
      <c r="AE36" s="4"/>
      <c r="AF36" s="5" t="str">
        <f t="shared" si="81"/>
        <v/>
      </c>
      <c r="AG36" s="5"/>
      <c r="AH36" s="5" t="str">
        <f t="shared" si="82"/>
        <v/>
      </c>
      <c r="AI36" s="5"/>
      <c r="AJ36" s="5" t="str">
        <f t="shared" si="83"/>
        <v/>
      </c>
      <c r="AK36" s="32"/>
      <c r="AL36" s="3" t="str">
        <f t="shared" si="84"/>
        <v/>
      </c>
      <c r="AM36" s="36" t="str">
        <f t="shared" si="85"/>
        <v/>
      </c>
      <c r="AN36" s="5" t="str">
        <f t="shared" si="86"/>
        <v/>
      </c>
      <c r="AO36" s="33" t="str">
        <f t="shared" si="87"/>
        <v/>
      </c>
      <c r="AP36" s="27"/>
      <c r="AR36" s="50"/>
      <c r="AS36" s="4"/>
      <c r="AT36" s="5" t="str">
        <f t="shared" si="88"/>
        <v/>
      </c>
      <c r="AU36" s="5"/>
      <c r="AV36" s="5" t="str">
        <f t="shared" si="89"/>
        <v/>
      </c>
      <c r="AW36" s="5"/>
      <c r="AX36" s="5" t="str">
        <f t="shared" si="90"/>
        <v/>
      </c>
      <c r="AY36" s="32"/>
      <c r="AZ36" s="3" t="str">
        <f t="shared" si="91"/>
        <v/>
      </c>
      <c r="BA36" s="36" t="str">
        <f t="shared" si="92"/>
        <v/>
      </c>
      <c r="BB36" s="5" t="str">
        <f t="shared" si="93"/>
        <v/>
      </c>
      <c r="BC36" s="33" t="str">
        <f t="shared" si="94"/>
        <v/>
      </c>
      <c r="BD36" s="27"/>
      <c r="BF36" s="50"/>
      <c r="BG36" s="4"/>
      <c r="BH36" s="5" t="str">
        <f t="shared" si="95"/>
        <v/>
      </c>
      <c r="BI36" s="5"/>
      <c r="BJ36" s="5" t="str">
        <f t="shared" si="96"/>
        <v/>
      </c>
      <c r="BK36" s="5"/>
      <c r="BL36" s="5" t="str">
        <f t="shared" si="97"/>
        <v/>
      </c>
      <c r="BM36" s="32"/>
      <c r="BN36" s="3" t="str">
        <f t="shared" si="98"/>
        <v/>
      </c>
      <c r="BO36" s="36" t="str">
        <f t="shared" si="99"/>
        <v/>
      </c>
      <c r="BP36" s="5" t="str">
        <f t="shared" si="100"/>
        <v/>
      </c>
      <c r="BQ36" s="33" t="str">
        <f t="shared" si="101"/>
        <v/>
      </c>
      <c r="BR36" s="27"/>
      <c r="BT36" s="50"/>
      <c r="BU36" s="4"/>
      <c r="BV36" s="5" t="str">
        <f t="shared" si="102"/>
        <v/>
      </c>
      <c r="BW36" s="5"/>
      <c r="BX36" s="5" t="str">
        <f t="shared" si="103"/>
        <v/>
      </c>
      <c r="BY36" s="5"/>
      <c r="BZ36" s="5" t="str">
        <f t="shared" si="104"/>
        <v/>
      </c>
      <c r="CA36" s="32"/>
      <c r="CB36" s="3" t="str">
        <f t="shared" si="105"/>
        <v/>
      </c>
      <c r="CC36" s="36" t="str">
        <f t="shared" si="106"/>
        <v/>
      </c>
      <c r="CD36" s="5" t="str">
        <f t="shared" si="107"/>
        <v/>
      </c>
      <c r="CE36" s="33" t="str">
        <f t="shared" si="108"/>
        <v/>
      </c>
      <c r="CF36" s="27"/>
      <c r="CH36" s="50"/>
      <c r="CI36" s="4"/>
      <c r="CJ36" s="5" t="str">
        <f t="shared" si="109"/>
        <v/>
      </c>
      <c r="CK36" s="5"/>
      <c r="CL36" s="5" t="str">
        <f t="shared" si="110"/>
        <v/>
      </c>
      <c r="CM36" s="5"/>
      <c r="CN36" s="5" t="str">
        <f t="shared" si="111"/>
        <v/>
      </c>
      <c r="CO36" s="32"/>
      <c r="CP36" s="3" t="str">
        <f t="shared" si="112"/>
        <v/>
      </c>
      <c r="CQ36" s="36" t="str">
        <f t="shared" si="113"/>
        <v/>
      </c>
      <c r="CR36" s="5" t="str">
        <f t="shared" si="114"/>
        <v/>
      </c>
      <c r="CS36" s="33" t="str">
        <f t="shared" si="115"/>
        <v/>
      </c>
      <c r="CT36" s="27"/>
      <c r="CV36" s="50"/>
      <c r="CW36" s="4"/>
      <c r="CX36" s="5" t="str">
        <f t="shared" si="116"/>
        <v/>
      </c>
      <c r="CY36" s="5"/>
      <c r="CZ36" s="5" t="str">
        <f t="shared" si="117"/>
        <v/>
      </c>
      <c r="DA36" s="5"/>
      <c r="DB36" s="5" t="str">
        <f t="shared" si="118"/>
        <v/>
      </c>
      <c r="DC36" s="32"/>
      <c r="DD36" s="3" t="str">
        <f t="shared" si="119"/>
        <v/>
      </c>
      <c r="DE36" s="36" t="str">
        <f t="shared" si="120"/>
        <v/>
      </c>
      <c r="DF36" s="5" t="str">
        <f t="shared" si="121"/>
        <v/>
      </c>
      <c r="DG36" s="33" t="str">
        <f t="shared" si="122"/>
        <v/>
      </c>
      <c r="DH36" s="27"/>
      <c r="DJ36" s="23"/>
      <c r="DK36" s="4"/>
      <c r="DL36" s="5" t="str">
        <f t="shared" si="123"/>
        <v/>
      </c>
      <c r="DM36" s="5"/>
      <c r="DN36" s="5" t="str">
        <f t="shared" si="124"/>
        <v/>
      </c>
      <c r="DO36" s="5"/>
      <c r="DP36" s="5" t="str">
        <f t="shared" si="125"/>
        <v/>
      </c>
      <c r="DQ36" s="32"/>
      <c r="DR36" s="3" t="str">
        <f t="shared" si="126"/>
        <v/>
      </c>
      <c r="DS36" s="36" t="str">
        <f t="shared" si="127"/>
        <v/>
      </c>
      <c r="DT36" s="5" t="str">
        <f t="shared" si="128"/>
        <v/>
      </c>
      <c r="DU36" s="33" t="str">
        <f t="shared" si="129"/>
        <v/>
      </c>
      <c r="DV36" s="27"/>
      <c r="DX36" s="23"/>
      <c r="DY36" s="4"/>
      <c r="DZ36" s="5" t="str">
        <f t="shared" si="130"/>
        <v/>
      </c>
      <c r="EA36" s="5"/>
      <c r="EB36" s="5" t="str">
        <f t="shared" si="131"/>
        <v/>
      </c>
      <c r="EC36" s="5"/>
      <c r="ED36" s="5" t="str">
        <f t="shared" si="132"/>
        <v/>
      </c>
      <c r="EE36" s="32"/>
      <c r="EF36" s="3" t="str">
        <f t="shared" si="133"/>
        <v/>
      </c>
      <c r="EG36" s="36" t="str">
        <f t="shared" si="134"/>
        <v/>
      </c>
      <c r="EH36" s="5" t="str">
        <f t="shared" si="135"/>
        <v/>
      </c>
      <c r="EI36" s="33" t="str">
        <f t="shared" si="136"/>
        <v/>
      </c>
      <c r="EJ36" s="27"/>
      <c r="EL36" s="14"/>
      <c r="EM36" s="36"/>
      <c r="EN36" s="5" t="str">
        <f t="shared" si="234"/>
        <v/>
      </c>
      <c r="EO36" s="5"/>
      <c r="EP36" s="5"/>
      <c r="EQ36" s="5"/>
      <c r="ER36" s="5" t="str">
        <f t="shared" si="235"/>
        <v/>
      </c>
      <c r="ES36" s="5"/>
      <c r="ET36" s="5"/>
      <c r="EU36" s="5"/>
      <c r="EV36" s="5" t="str">
        <f t="shared" si="216"/>
        <v/>
      </c>
      <c r="EW36" s="33" t="str">
        <f t="shared" si="217"/>
        <v/>
      </c>
      <c r="EX36" s="27"/>
      <c r="EZ36" s="14"/>
      <c r="FA36" s="36"/>
      <c r="FB36" s="5" t="str">
        <f t="shared" si="236"/>
        <v/>
      </c>
      <c r="FC36" s="5"/>
      <c r="FD36" s="5"/>
      <c r="FE36" s="5"/>
      <c r="FF36" s="5" t="str">
        <f t="shared" si="237"/>
        <v/>
      </c>
      <c r="FG36" s="5"/>
      <c r="FH36" s="5"/>
      <c r="FI36" s="5"/>
      <c r="FJ36" s="5" t="str">
        <f t="shared" si="218"/>
        <v/>
      </c>
      <c r="FK36" s="33" t="str">
        <f t="shared" si="219"/>
        <v/>
      </c>
      <c r="FL36" s="27"/>
      <c r="FN36" s="14"/>
      <c r="FO36" s="36"/>
      <c r="FP36" s="5" t="str">
        <f t="shared" si="238"/>
        <v/>
      </c>
      <c r="FQ36" s="5"/>
      <c r="FR36" s="5"/>
      <c r="FS36" s="5"/>
      <c r="FT36" s="5" t="str">
        <f t="shared" si="239"/>
        <v/>
      </c>
      <c r="FU36" s="5"/>
      <c r="FV36" s="5"/>
      <c r="FW36" s="5"/>
      <c r="FX36" s="5" t="str">
        <f t="shared" si="220"/>
        <v/>
      </c>
      <c r="FY36" s="33" t="str">
        <f t="shared" si="221"/>
        <v/>
      </c>
      <c r="FZ36" s="27"/>
      <c r="GB36" s="14"/>
      <c r="GC36" s="36"/>
      <c r="GD36" s="5" t="str">
        <f t="shared" si="240"/>
        <v/>
      </c>
      <c r="GE36" s="5"/>
      <c r="GF36" s="5"/>
      <c r="GG36" s="5"/>
      <c r="GH36" s="5" t="str">
        <f t="shared" si="241"/>
        <v/>
      </c>
      <c r="GI36" s="5"/>
      <c r="GJ36" s="5"/>
      <c r="GK36" s="5"/>
      <c r="GL36" s="5" t="str">
        <f t="shared" si="222"/>
        <v/>
      </c>
      <c r="GM36" s="33" t="str">
        <f t="shared" si="223"/>
        <v/>
      </c>
      <c r="GN36" s="27"/>
      <c r="GP36" s="14"/>
      <c r="GQ36" s="36"/>
      <c r="GR36" s="5" t="str">
        <f t="shared" si="242"/>
        <v/>
      </c>
      <c r="GS36" s="5"/>
      <c r="GT36" s="5"/>
      <c r="GU36" s="5"/>
      <c r="GV36" s="5" t="str">
        <f t="shared" si="243"/>
        <v/>
      </c>
      <c r="GW36" s="5"/>
      <c r="GX36" s="5"/>
      <c r="GY36" s="5"/>
      <c r="GZ36" s="5" t="str">
        <f t="shared" si="224"/>
        <v/>
      </c>
      <c r="HA36" s="33" t="str">
        <f t="shared" si="225"/>
        <v/>
      </c>
      <c r="HB36" s="27"/>
      <c r="HD36" s="14"/>
      <c r="HE36" s="36"/>
      <c r="HF36" s="5" t="str">
        <f t="shared" si="244"/>
        <v/>
      </c>
      <c r="HG36" s="5"/>
      <c r="HH36" s="27"/>
      <c r="HJ36" s="14"/>
      <c r="HK36" s="36"/>
      <c r="HL36" s="5" t="str">
        <f t="shared" si="245"/>
        <v/>
      </c>
      <c r="HM36" s="5"/>
      <c r="HN36" s="27"/>
      <c r="HP36" s="14"/>
      <c r="HQ36" s="36"/>
      <c r="HR36" s="5" t="str">
        <f t="shared" si="246"/>
        <v/>
      </c>
      <c r="HS36" s="5"/>
      <c r="HT36" s="27"/>
      <c r="HV36" s="14"/>
      <c r="HW36" s="36"/>
      <c r="HX36" s="5" t="str">
        <f t="shared" si="247"/>
        <v/>
      </c>
      <c r="HY36" s="5"/>
      <c r="HZ36" s="5"/>
      <c r="IA36" s="5"/>
      <c r="IB36" s="5" t="str">
        <f t="shared" si="248"/>
        <v/>
      </c>
      <c r="IC36" s="5"/>
      <c r="ID36" s="5"/>
      <c r="IE36" s="5"/>
      <c r="IF36" s="5" t="str">
        <f t="shared" si="226"/>
        <v/>
      </c>
      <c r="IG36" s="33" t="str">
        <f t="shared" si="227"/>
        <v/>
      </c>
      <c r="IH36" s="27"/>
      <c r="IJ36" s="14"/>
      <c r="IK36" s="36"/>
      <c r="IL36" s="5" t="str">
        <f t="shared" si="249"/>
        <v/>
      </c>
      <c r="IM36" s="5"/>
      <c r="IN36" s="5"/>
      <c r="IO36" s="5"/>
      <c r="IP36" s="5" t="str">
        <f t="shared" si="250"/>
        <v/>
      </c>
      <c r="IQ36" s="5"/>
      <c r="IR36" s="5"/>
      <c r="IS36" s="5"/>
      <c r="IT36" s="5" t="str">
        <f t="shared" si="228"/>
        <v/>
      </c>
      <c r="IU36" s="33" t="str">
        <f t="shared" si="229"/>
        <v/>
      </c>
      <c r="IV36" s="27"/>
      <c r="IX36" s="14"/>
      <c r="IY36" s="36"/>
      <c r="IZ36" s="5" t="str">
        <f t="shared" si="251"/>
        <v/>
      </c>
      <c r="JA36" s="5"/>
      <c r="JB36" s="5"/>
      <c r="JC36" s="5"/>
      <c r="JD36" s="5" t="str">
        <f t="shared" si="252"/>
        <v/>
      </c>
      <c r="JE36" s="5"/>
      <c r="JF36" s="5"/>
      <c r="JG36" s="5"/>
      <c r="JH36" s="5" t="str">
        <f t="shared" si="230"/>
        <v/>
      </c>
      <c r="JI36" s="33" t="str">
        <f t="shared" si="231"/>
        <v/>
      </c>
      <c r="JJ36" s="27"/>
      <c r="JL36" s="14"/>
      <c r="JM36" s="36"/>
      <c r="JN36" s="5" t="str">
        <f t="shared" si="253"/>
        <v/>
      </c>
      <c r="JO36" s="5"/>
      <c r="JP36" s="5"/>
      <c r="JQ36" s="5"/>
      <c r="JR36" s="5"/>
      <c r="JS36" s="5"/>
      <c r="JT36" s="5" t="str">
        <f t="shared" si="254"/>
        <v/>
      </c>
      <c r="JU36" s="5"/>
      <c r="JV36" s="5"/>
      <c r="JW36" s="5"/>
      <c r="JX36" s="5" t="str">
        <f t="shared" si="232"/>
        <v/>
      </c>
      <c r="JY36" s="33" t="str">
        <f t="shared" si="233"/>
        <v/>
      </c>
      <c r="JZ36" s="27"/>
    </row>
    <row r="37" spans="1:286" ht="15" customHeight="1" x14ac:dyDescent="0.2">
      <c r="A37" s="50"/>
      <c r="B37" s="34"/>
      <c r="C37" s="53"/>
      <c r="D37" s="5" t="str">
        <f t="shared" si="67"/>
        <v/>
      </c>
      <c r="E37" s="5"/>
      <c r="F37" s="5" t="str">
        <f t="shared" si="68"/>
        <v/>
      </c>
      <c r="G37" s="5"/>
      <c r="H37" s="5" t="str">
        <f t="shared" si="69"/>
        <v/>
      </c>
      <c r="I37" s="32"/>
      <c r="J37" s="3" t="str">
        <f t="shared" si="70"/>
        <v/>
      </c>
      <c r="K37" s="36" t="str">
        <f t="shared" si="71"/>
        <v/>
      </c>
      <c r="L37" s="5" t="str">
        <f t="shared" si="72"/>
        <v/>
      </c>
      <c r="M37" s="33" t="str">
        <f t="shared" si="73"/>
        <v/>
      </c>
      <c r="N37" s="27"/>
      <c r="P37" s="50"/>
      <c r="Q37" s="53"/>
      <c r="R37" s="5" t="str">
        <f t="shared" si="74"/>
        <v/>
      </c>
      <c r="S37" s="5"/>
      <c r="T37" s="5" t="str">
        <f t="shared" si="75"/>
        <v/>
      </c>
      <c r="U37" s="5"/>
      <c r="V37" s="5" t="str">
        <f t="shared" si="76"/>
        <v/>
      </c>
      <c r="W37" s="32"/>
      <c r="X37" s="3" t="str">
        <f t="shared" si="77"/>
        <v/>
      </c>
      <c r="Y37" s="36" t="str">
        <f t="shared" si="78"/>
        <v/>
      </c>
      <c r="Z37" s="5" t="str">
        <f t="shared" si="79"/>
        <v/>
      </c>
      <c r="AA37" s="33" t="str">
        <f t="shared" si="80"/>
        <v/>
      </c>
      <c r="AB37" s="27"/>
      <c r="AD37" s="50"/>
      <c r="AE37" s="53"/>
      <c r="AF37" s="5" t="str">
        <f t="shared" si="81"/>
        <v/>
      </c>
      <c r="AG37" s="5"/>
      <c r="AH37" s="5" t="str">
        <f t="shared" si="82"/>
        <v/>
      </c>
      <c r="AI37" s="5"/>
      <c r="AJ37" s="5" t="str">
        <f t="shared" si="83"/>
        <v/>
      </c>
      <c r="AK37" s="32"/>
      <c r="AL37" s="3" t="str">
        <f t="shared" si="84"/>
        <v/>
      </c>
      <c r="AM37" s="36" t="str">
        <f t="shared" si="85"/>
        <v/>
      </c>
      <c r="AN37" s="5" t="str">
        <f t="shared" si="86"/>
        <v/>
      </c>
      <c r="AO37" s="33" t="str">
        <f t="shared" si="87"/>
        <v/>
      </c>
      <c r="AP37" s="27"/>
      <c r="AR37" s="50"/>
      <c r="AS37" s="53"/>
      <c r="AT37" s="5" t="str">
        <f t="shared" si="88"/>
        <v/>
      </c>
      <c r="AU37" s="5"/>
      <c r="AV37" s="5" t="str">
        <f t="shared" si="89"/>
        <v/>
      </c>
      <c r="AW37" s="5"/>
      <c r="AX37" s="5" t="str">
        <f t="shared" si="90"/>
        <v/>
      </c>
      <c r="AY37" s="32"/>
      <c r="AZ37" s="3" t="str">
        <f t="shared" si="91"/>
        <v/>
      </c>
      <c r="BA37" s="36" t="str">
        <f t="shared" si="92"/>
        <v/>
      </c>
      <c r="BB37" s="5" t="str">
        <f t="shared" si="93"/>
        <v/>
      </c>
      <c r="BC37" s="33" t="str">
        <f t="shared" si="94"/>
        <v/>
      </c>
      <c r="BD37" s="27"/>
      <c r="BF37" s="50"/>
      <c r="BG37" s="53"/>
      <c r="BH37" s="5" t="str">
        <f t="shared" si="95"/>
        <v/>
      </c>
      <c r="BI37" s="5"/>
      <c r="BJ37" s="5" t="str">
        <f t="shared" si="96"/>
        <v/>
      </c>
      <c r="BK37" s="5"/>
      <c r="BL37" s="5" t="str">
        <f t="shared" si="97"/>
        <v/>
      </c>
      <c r="BM37" s="32"/>
      <c r="BN37" s="3" t="str">
        <f t="shared" si="98"/>
        <v/>
      </c>
      <c r="BO37" s="36" t="str">
        <f t="shared" si="99"/>
        <v/>
      </c>
      <c r="BP37" s="5" t="str">
        <f t="shared" si="100"/>
        <v/>
      </c>
      <c r="BQ37" s="33" t="str">
        <f t="shared" si="101"/>
        <v/>
      </c>
      <c r="BR37" s="27"/>
      <c r="BT37" s="50"/>
      <c r="BU37" s="53"/>
      <c r="BV37" s="5" t="str">
        <f t="shared" si="102"/>
        <v/>
      </c>
      <c r="BW37" s="5"/>
      <c r="BX37" s="5" t="str">
        <f t="shared" si="103"/>
        <v/>
      </c>
      <c r="BY37" s="5"/>
      <c r="BZ37" s="5" t="str">
        <f t="shared" si="104"/>
        <v/>
      </c>
      <c r="CA37" s="32"/>
      <c r="CB37" s="3" t="str">
        <f t="shared" si="105"/>
        <v/>
      </c>
      <c r="CC37" s="36" t="str">
        <f t="shared" si="106"/>
        <v/>
      </c>
      <c r="CD37" s="5" t="str">
        <f t="shared" si="107"/>
        <v/>
      </c>
      <c r="CE37" s="33" t="str">
        <f t="shared" si="108"/>
        <v/>
      </c>
      <c r="CF37" s="27"/>
      <c r="CH37" s="50"/>
      <c r="CI37" s="53"/>
      <c r="CJ37" s="5" t="str">
        <f t="shared" si="109"/>
        <v/>
      </c>
      <c r="CK37" s="5"/>
      <c r="CL37" s="5" t="str">
        <f t="shared" si="110"/>
        <v/>
      </c>
      <c r="CM37" s="5"/>
      <c r="CN37" s="5" t="str">
        <f t="shared" si="111"/>
        <v/>
      </c>
      <c r="CO37" s="32"/>
      <c r="CP37" s="3" t="str">
        <f t="shared" si="112"/>
        <v/>
      </c>
      <c r="CQ37" s="36" t="str">
        <f t="shared" si="113"/>
        <v/>
      </c>
      <c r="CR37" s="5" t="str">
        <f t="shared" si="114"/>
        <v/>
      </c>
      <c r="CS37" s="33" t="str">
        <f t="shared" si="115"/>
        <v/>
      </c>
      <c r="CT37" s="27"/>
      <c r="CV37" s="50"/>
      <c r="CW37" s="53"/>
      <c r="CX37" s="5" t="str">
        <f t="shared" si="116"/>
        <v/>
      </c>
      <c r="CY37" s="5"/>
      <c r="CZ37" s="5" t="str">
        <f t="shared" si="117"/>
        <v/>
      </c>
      <c r="DA37" s="5"/>
      <c r="DB37" s="5" t="str">
        <f t="shared" si="118"/>
        <v/>
      </c>
      <c r="DC37" s="32"/>
      <c r="DD37" s="3" t="str">
        <f t="shared" si="119"/>
        <v/>
      </c>
      <c r="DE37" s="36" t="str">
        <f t="shared" si="120"/>
        <v/>
      </c>
      <c r="DF37" s="5" t="str">
        <f t="shared" si="121"/>
        <v/>
      </c>
      <c r="DG37" s="33" t="str">
        <f t="shared" si="122"/>
        <v/>
      </c>
      <c r="DH37" s="27"/>
      <c r="DJ37" s="23"/>
      <c r="DK37" s="53"/>
      <c r="DL37" s="5" t="str">
        <f t="shared" si="123"/>
        <v/>
      </c>
      <c r="DM37" s="5"/>
      <c r="DN37" s="5" t="str">
        <f t="shared" si="124"/>
        <v/>
      </c>
      <c r="DO37" s="5"/>
      <c r="DP37" s="5" t="str">
        <f t="shared" si="125"/>
        <v/>
      </c>
      <c r="DQ37" s="32"/>
      <c r="DR37" s="3" t="str">
        <f t="shared" si="126"/>
        <v/>
      </c>
      <c r="DS37" s="36" t="str">
        <f t="shared" si="127"/>
        <v/>
      </c>
      <c r="DT37" s="5" t="str">
        <f t="shared" si="128"/>
        <v/>
      </c>
      <c r="DU37" s="33" t="str">
        <f t="shared" si="129"/>
        <v/>
      </c>
      <c r="DV37" s="27"/>
      <c r="DX37" s="23"/>
      <c r="DY37" s="53"/>
      <c r="DZ37" s="5" t="str">
        <f t="shared" si="130"/>
        <v/>
      </c>
      <c r="EA37" s="5"/>
      <c r="EB37" s="5" t="str">
        <f t="shared" si="131"/>
        <v/>
      </c>
      <c r="EC37" s="5"/>
      <c r="ED37" s="5" t="str">
        <f t="shared" si="132"/>
        <v/>
      </c>
      <c r="EE37" s="32"/>
      <c r="EF37" s="3" t="str">
        <f t="shared" si="133"/>
        <v/>
      </c>
      <c r="EG37" s="36" t="str">
        <f t="shared" si="134"/>
        <v/>
      </c>
      <c r="EH37" s="5" t="str">
        <f t="shared" si="135"/>
        <v/>
      </c>
      <c r="EI37" s="33" t="str">
        <f t="shared" si="136"/>
        <v/>
      </c>
      <c r="EJ37" s="27"/>
      <c r="EL37" s="14"/>
      <c r="EM37" s="36"/>
      <c r="EN37" s="5" t="str">
        <f t="shared" si="234"/>
        <v/>
      </c>
      <c r="EO37" s="5"/>
      <c r="EP37" s="5"/>
      <c r="EQ37" s="5"/>
      <c r="ER37" s="5" t="str">
        <f t="shared" si="235"/>
        <v/>
      </c>
      <c r="ES37" s="5"/>
      <c r="ET37" s="5"/>
      <c r="EU37" s="5"/>
      <c r="EV37" s="5" t="str">
        <f t="shared" si="216"/>
        <v/>
      </c>
      <c r="EW37" s="33" t="str">
        <f t="shared" si="217"/>
        <v/>
      </c>
      <c r="EX37" s="27"/>
      <c r="EZ37" s="14"/>
      <c r="FA37" s="36"/>
      <c r="FB37" s="5" t="str">
        <f t="shared" si="236"/>
        <v/>
      </c>
      <c r="FC37" s="5"/>
      <c r="FD37" s="5"/>
      <c r="FE37" s="5"/>
      <c r="FF37" s="5" t="str">
        <f t="shared" si="237"/>
        <v/>
      </c>
      <c r="FG37" s="5"/>
      <c r="FH37" s="5"/>
      <c r="FI37" s="5"/>
      <c r="FJ37" s="5" t="str">
        <f t="shared" si="218"/>
        <v/>
      </c>
      <c r="FK37" s="33" t="str">
        <f t="shared" si="219"/>
        <v/>
      </c>
      <c r="FL37" s="27"/>
      <c r="FN37" s="14"/>
      <c r="FO37" s="36"/>
      <c r="FP37" s="5" t="str">
        <f t="shared" si="238"/>
        <v/>
      </c>
      <c r="FQ37" s="5"/>
      <c r="FR37" s="5"/>
      <c r="FS37" s="5"/>
      <c r="FT37" s="5" t="str">
        <f t="shared" si="239"/>
        <v/>
      </c>
      <c r="FU37" s="5"/>
      <c r="FV37" s="5"/>
      <c r="FW37" s="5"/>
      <c r="FX37" s="5" t="str">
        <f t="shared" si="220"/>
        <v/>
      </c>
      <c r="FY37" s="33" t="str">
        <f t="shared" si="221"/>
        <v/>
      </c>
      <c r="FZ37" s="27"/>
      <c r="GB37" s="14"/>
      <c r="GC37" s="36"/>
      <c r="GD37" s="5" t="str">
        <f t="shared" si="240"/>
        <v/>
      </c>
      <c r="GE37" s="5"/>
      <c r="GF37" s="5"/>
      <c r="GG37" s="5"/>
      <c r="GH37" s="5" t="str">
        <f t="shared" si="241"/>
        <v/>
      </c>
      <c r="GI37" s="5"/>
      <c r="GJ37" s="5"/>
      <c r="GK37" s="5"/>
      <c r="GL37" s="5" t="str">
        <f t="shared" si="222"/>
        <v/>
      </c>
      <c r="GM37" s="33" t="str">
        <f t="shared" si="223"/>
        <v/>
      </c>
      <c r="GN37" s="27"/>
      <c r="GP37" s="14"/>
      <c r="GQ37" s="36"/>
      <c r="GR37" s="5" t="str">
        <f t="shared" si="242"/>
        <v/>
      </c>
      <c r="GS37" s="5"/>
      <c r="GT37" s="5"/>
      <c r="GU37" s="5"/>
      <c r="GV37" s="5" t="str">
        <f t="shared" si="243"/>
        <v/>
      </c>
      <c r="GW37" s="5"/>
      <c r="GX37" s="5"/>
      <c r="GY37" s="5"/>
      <c r="GZ37" s="5" t="str">
        <f t="shared" si="224"/>
        <v/>
      </c>
      <c r="HA37" s="33" t="str">
        <f t="shared" si="225"/>
        <v/>
      </c>
      <c r="HB37" s="27"/>
      <c r="HD37" s="14"/>
      <c r="HE37" s="36"/>
      <c r="HF37" s="5" t="str">
        <f t="shared" si="244"/>
        <v/>
      </c>
      <c r="HG37" s="5"/>
      <c r="HH37" s="27"/>
      <c r="HJ37" s="14"/>
      <c r="HK37" s="36"/>
      <c r="HL37" s="5" t="str">
        <f t="shared" si="245"/>
        <v/>
      </c>
      <c r="HM37" s="5"/>
      <c r="HN37" s="27"/>
      <c r="HP37" s="14"/>
      <c r="HQ37" s="36"/>
      <c r="HR37" s="5" t="str">
        <f t="shared" si="246"/>
        <v/>
      </c>
      <c r="HS37" s="5"/>
      <c r="HT37" s="27"/>
      <c r="HV37" s="14"/>
      <c r="HW37" s="36"/>
      <c r="HX37" s="5" t="str">
        <f t="shared" si="247"/>
        <v/>
      </c>
      <c r="HY37" s="5"/>
      <c r="HZ37" s="5"/>
      <c r="IA37" s="5"/>
      <c r="IB37" s="5" t="str">
        <f t="shared" si="248"/>
        <v/>
      </c>
      <c r="IC37" s="5"/>
      <c r="ID37" s="5"/>
      <c r="IE37" s="5"/>
      <c r="IF37" s="5" t="str">
        <f t="shared" si="226"/>
        <v/>
      </c>
      <c r="IG37" s="33" t="str">
        <f t="shared" si="227"/>
        <v/>
      </c>
      <c r="IH37" s="27"/>
      <c r="IJ37" s="14"/>
      <c r="IK37" s="36"/>
      <c r="IL37" s="5" t="str">
        <f t="shared" si="249"/>
        <v/>
      </c>
      <c r="IM37" s="5"/>
      <c r="IN37" s="5"/>
      <c r="IO37" s="5"/>
      <c r="IP37" s="5" t="str">
        <f t="shared" si="250"/>
        <v/>
      </c>
      <c r="IQ37" s="5"/>
      <c r="IR37" s="5"/>
      <c r="IS37" s="5"/>
      <c r="IT37" s="5" t="str">
        <f t="shared" si="228"/>
        <v/>
      </c>
      <c r="IU37" s="33" t="str">
        <f t="shared" si="229"/>
        <v/>
      </c>
      <c r="IV37" s="27"/>
      <c r="IX37" s="14"/>
      <c r="IY37" s="36"/>
      <c r="IZ37" s="5" t="str">
        <f t="shared" si="251"/>
        <v/>
      </c>
      <c r="JA37" s="5"/>
      <c r="JB37" s="5"/>
      <c r="JC37" s="5"/>
      <c r="JD37" s="5" t="str">
        <f t="shared" si="252"/>
        <v/>
      </c>
      <c r="JE37" s="5"/>
      <c r="JF37" s="5"/>
      <c r="JG37" s="5"/>
      <c r="JH37" s="5" t="str">
        <f t="shared" si="230"/>
        <v/>
      </c>
      <c r="JI37" s="33" t="str">
        <f t="shared" si="231"/>
        <v/>
      </c>
      <c r="JJ37" s="27"/>
      <c r="JL37" s="14"/>
      <c r="JM37" s="36"/>
      <c r="JN37" s="5" t="str">
        <f t="shared" si="253"/>
        <v/>
      </c>
      <c r="JO37" s="5"/>
      <c r="JP37" s="5"/>
      <c r="JQ37" s="5"/>
      <c r="JR37" s="5"/>
      <c r="JS37" s="5"/>
      <c r="JT37" s="5" t="str">
        <f t="shared" si="254"/>
        <v/>
      </c>
      <c r="JU37" s="5"/>
      <c r="JV37" s="5"/>
      <c r="JW37" s="5"/>
      <c r="JX37" s="5" t="str">
        <f t="shared" si="232"/>
        <v/>
      </c>
      <c r="JY37" s="33" t="str">
        <f t="shared" si="233"/>
        <v/>
      </c>
      <c r="JZ37" s="27"/>
    </row>
    <row r="38" spans="1:286" ht="15" customHeight="1" thickBot="1" x14ac:dyDescent="0.25">
      <c r="A38" s="56"/>
      <c r="B38" s="67"/>
      <c r="C38" s="40"/>
      <c r="D38" s="57" t="str">
        <f t="shared" si="67"/>
        <v/>
      </c>
      <c r="E38" s="41"/>
      <c r="F38" s="41" t="str">
        <f t="shared" si="68"/>
        <v/>
      </c>
      <c r="G38" s="41"/>
      <c r="H38" s="41" t="str">
        <f t="shared" si="69"/>
        <v/>
      </c>
      <c r="I38" s="58"/>
      <c r="J38" s="42" t="str">
        <f t="shared" si="70"/>
        <v/>
      </c>
      <c r="K38" s="57" t="str">
        <f t="shared" si="71"/>
        <v/>
      </c>
      <c r="L38" s="41" t="str">
        <f t="shared" si="72"/>
        <v/>
      </c>
      <c r="M38" s="43" t="str">
        <f t="shared" si="73"/>
        <v/>
      </c>
      <c r="N38" s="27"/>
      <c r="P38" s="56"/>
      <c r="Q38" s="40"/>
      <c r="R38" s="57" t="str">
        <f t="shared" si="74"/>
        <v/>
      </c>
      <c r="S38" s="41"/>
      <c r="T38" s="41" t="str">
        <f t="shared" si="75"/>
        <v/>
      </c>
      <c r="U38" s="41"/>
      <c r="V38" s="41" t="str">
        <f t="shared" si="76"/>
        <v/>
      </c>
      <c r="W38" s="58"/>
      <c r="X38" s="42" t="str">
        <f t="shared" si="77"/>
        <v/>
      </c>
      <c r="Y38" s="57" t="str">
        <f t="shared" si="78"/>
        <v/>
      </c>
      <c r="Z38" s="41" t="str">
        <f t="shared" si="79"/>
        <v/>
      </c>
      <c r="AA38" s="43" t="str">
        <f t="shared" si="80"/>
        <v/>
      </c>
      <c r="AB38" s="27"/>
      <c r="AD38" s="56"/>
      <c r="AE38" s="40"/>
      <c r="AF38" s="57" t="str">
        <f t="shared" si="81"/>
        <v/>
      </c>
      <c r="AG38" s="41"/>
      <c r="AH38" s="41" t="str">
        <f t="shared" si="82"/>
        <v/>
      </c>
      <c r="AI38" s="41"/>
      <c r="AJ38" s="41" t="str">
        <f t="shared" si="83"/>
        <v/>
      </c>
      <c r="AK38" s="58"/>
      <c r="AL38" s="42" t="str">
        <f t="shared" si="84"/>
        <v/>
      </c>
      <c r="AM38" s="57" t="str">
        <f t="shared" si="85"/>
        <v/>
      </c>
      <c r="AN38" s="41" t="str">
        <f t="shared" si="86"/>
        <v/>
      </c>
      <c r="AO38" s="43" t="str">
        <f t="shared" si="87"/>
        <v/>
      </c>
      <c r="AP38" s="27"/>
      <c r="AR38" s="56"/>
      <c r="AS38" s="40"/>
      <c r="AT38" s="57" t="str">
        <f t="shared" si="88"/>
        <v/>
      </c>
      <c r="AU38" s="41"/>
      <c r="AV38" s="41" t="str">
        <f t="shared" si="89"/>
        <v/>
      </c>
      <c r="AW38" s="41"/>
      <c r="AX38" s="41" t="str">
        <f t="shared" si="90"/>
        <v/>
      </c>
      <c r="AY38" s="58"/>
      <c r="AZ38" s="42" t="str">
        <f t="shared" si="91"/>
        <v/>
      </c>
      <c r="BA38" s="57" t="str">
        <f t="shared" si="92"/>
        <v/>
      </c>
      <c r="BB38" s="41" t="str">
        <f t="shared" si="93"/>
        <v/>
      </c>
      <c r="BC38" s="43" t="str">
        <f t="shared" si="94"/>
        <v/>
      </c>
      <c r="BD38" s="27"/>
      <c r="BF38" s="56"/>
      <c r="BG38" s="40"/>
      <c r="BH38" s="57" t="str">
        <f t="shared" si="95"/>
        <v/>
      </c>
      <c r="BI38" s="41"/>
      <c r="BJ38" s="41" t="str">
        <f t="shared" si="96"/>
        <v/>
      </c>
      <c r="BK38" s="41"/>
      <c r="BL38" s="41" t="str">
        <f t="shared" si="97"/>
        <v/>
      </c>
      <c r="BM38" s="58"/>
      <c r="BN38" s="42" t="str">
        <f t="shared" si="98"/>
        <v/>
      </c>
      <c r="BO38" s="57" t="str">
        <f t="shared" si="99"/>
        <v/>
      </c>
      <c r="BP38" s="41" t="str">
        <f t="shared" si="100"/>
        <v/>
      </c>
      <c r="BQ38" s="43" t="str">
        <f t="shared" si="101"/>
        <v/>
      </c>
      <c r="BR38" s="27"/>
      <c r="BT38" s="56"/>
      <c r="BU38" s="40"/>
      <c r="BV38" s="57" t="str">
        <f t="shared" si="102"/>
        <v/>
      </c>
      <c r="BW38" s="41"/>
      <c r="BX38" s="41" t="str">
        <f t="shared" si="103"/>
        <v/>
      </c>
      <c r="BY38" s="41"/>
      <c r="BZ38" s="41" t="str">
        <f t="shared" si="104"/>
        <v/>
      </c>
      <c r="CA38" s="58"/>
      <c r="CB38" s="42" t="str">
        <f t="shared" si="105"/>
        <v/>
      </c>
      <c r="CC38" s="57" t="str">
        <f t="shared" si="106"/>
        <v/>
      </c>
      <c r="CD38" s="41" t="str">
        <f t="shared" si="107"/>
        <v/>
      </c>
      <c r="CE38" s="43" t="str">
        <f t="shared" si="108"/>
        <v/>
      </c>
      <c r="CF38" s="27"/>
      <c r="CH38" s="56"/>
      <c r="CI38" s="40"/>
      <c r="CJ38" s="57" t="str">
        <f t="shared" si="109"/>
        <v/>
      </c>
      <c r="CK38" s="41"/>
      <c r="CL38" s="41" t="str">
        <f t="shared" si="110"/>
        <v/>
      </c>
      <c r="CM38" s="41"/>
      <c r="CN38" s="41" t="str">
        <f t="shared" si="111"/>
        <v/>
      </c>
      <c r="CO38" s="58"/>
      <c r="CP38" s="42" t="str">
        <f t="shared" si="112"/>
        <v/>
      </c>
      <c r="CQ38" s="57" t="str">
        <f t="shared" si="113"/>
        <v/>
      </c>
      <c r="CR38" s="41" t="str">
        <f t="shared" si="114"/>
        <v/>
      </c>
      <c r="CS38" s="43" t="str">
        <f t="shared" si="115"/>
        <v/>
      </c>
      <c r="CT38" s="27"/>
      <c r="CV38" s="56"/>
      <c r="CW38" s="40"/>
      <c r="CX38" s="57" t="str">
        <f t="shared" si="116"/>
        <v/>
      </c>
      <c r="CY38" s="41"/>
      <c r="CZ38" s="41" t="str">
        <f t="shared" si="117"/>
        <v/>
      </c>
      <c r="DA38" s="41"/>
      <c r="DB38" s="41" t="str">
        <f t="shared" si="118"/>
        <v/>
      </c>
      <c r="DC38" s="58"/>
      <c r="DD38" s="42" t="str">
        <f t="shared" si="119"/>
        <v/>
      </c>
      <c r="DE38" s="57" t="str">
        <f t="shared" si="120"/>
        <v/>
      </c>
      <c r="DF38" s="41" t="str">
        <f t="shared" si="121"/>
        <v/>
      </c>
      <c r="DG38" s="43" t="str">
        <f t="shared" si="122"/>
        <v/>
      </c>
      <c r="DH38" s="27"/>
      <c r="DJ38" s="38"/>
      <c r="DK38" s="40"/>
      <c r="DL38" s="57" t="str">
        <f t="shared" si="123"/>
        <v/>
      </c>
      <c r="DM38" s="41"/>
      <c r="DN38" s="41" t="str">
        <f t="shared" si="124"/>
        <v/>
      </c>
      <c r="DO38" s="41"/>
      <c r="DP38" s="41" t="str">
        <f t="shared" si="125"/>
        <v/>
      </c>
      <c r="DQ38" s="58"/>
      <c r="DR38" s="42" t="str">
        <f t="shared" si="126"/>
        <v/>
      </c>
      <c r="DS38" s="57" t="str">
        <f t="shared" si="127"/>
        <v/>
      </c>
      <c r="DT38" s="41" t="str">
        <f t="shared" si="128"/>
        <v/>
      </c>
      <c r="DU38" s="43" t="str">
        <f t="shared" si="129"/>
        <v/>
      </c>
      <c r="DV38" s="27"/>
      <c r="DX38" s="38"/>
      <c r="DY38" s="40"/>
      <c r="DZ38" s="57" t="str">
        <f t="shared" si="130"/>
        <v/>
      </c>
      <c r="EA38" s="41"/>
      <c r="EB38" s="41" t="str">
        <f t="shared" si="131"/>
        <v/>
      </c>
      <c r="EC38" s="41"/>
      <c r="ED38" s="41" t="str">
        <f t="shared" si="132"/>
        <v/>
      </c>
      <c r="EE38" s="58"/>
      <c r="EF38" s="42" t="str">
        <f t="shared" si="133"/>
        <v/>
      </c>
      <c r="EG38" s="57" t="str">
        <f t="shared" si="134"/>
        <v/>
      </c>
      <c r="EH38" s="41" t="str">
        <f t="shared" si="135"/>
        <v/>
      </c>
      <c r="EI38" s="43" t="str">
        <f t="shared" si="136"/>
        <v/>
      </c>
      <c r="EJ38" s="27"/>
      <c r="EL38" s="14"/>
      <c r="EM38" s="36"/>
      <c r="EN38" s="5" t="str">
        <f t="shared" si="234"/>
        <v/>
      </c>
      <c r="EO38" s="5"/>
      <c r="EP38" s="5"/>
      <c r="EQ38" s="5"/>
      <c r="ER38" s="5" t="str">
        <f t="shared" si="235"/>
        <v/>
      </c>
      <c r="ES38" s="5"/>
      <c r="ET38" s="5"/>
      <c r="EU38" s="5"/>
      <c r="EV38" s="5" t="str">
        <f t="shared" si="216"/>
        <v/>
      </c>
      <c r="EW38" s="33" t="str">
        <f t="shared" si="217"/>
        <v/>
      </c>
      <c r="EX38" s="27"/>
      <c r="EZ38" s="14"/>
      <c r="FA38" s="36"/>
      <c r="FB38" s="5" t="str">
        <f t="shared" si="236"/>
        <v/>
      </c>
      <c r="FC38" s="5"/>
      <c r="FD38" s="5"/>
      <c r="FE38" s="5"/>
      <c r="FF38" s="5" t="str">
        <f t="shared" si="237"/>
        <v/>
      </c>
      <c r="FG38" s="5"/>
      <c r="FH38" s="5"/>
      <c r="FI38" s="5"/>
      <c r="FJ38" s="5" t="str">
        <f t="shared" si="218"/>
        <v/>
      </c>
      <c r="FK38" s="33" t="str">
        <f t="shared" si="219"/>
        <v/>
      </c>
      <c r="FL38" s="27"/>
      <c r="FN38" s="14"/>
      <c r="FO38" s="36"/>
      <c r="FP38" s="5" t="str">
        <f t="shared" si="238"/>
        <v/>
      </c>
      <c r="FQ38" s="5"/>
      <c r="FR38" s="5"/>
      <c r="FS38" s="5"/>
      <c r="FT38" s="5" t="str">
        <f t="shared" si="239"/>
        <v/>
      </c>
      <c r="FU38" s="5"/>
      <c r="FV38" s="5"/>
      <c r="FW38" s="5"/>
      <c r="FX38" s="5" t="str">
        <f t="shared" si="220"/>
        <v/>
      </c>
      <c r="FY38" s="33" t="str">
        <f t="shared" si="221"/>
        <v/>
      </c>
      <c r="FZ38" s="27"/>
      <c r="GB38" s="14"/>
      <c r="GC38" s="36"/>
      <c r="GD38" s="5" t="str">
        <f t="shared" si="240"/>
        <v/>
      </c>
      <c r="GE38" s="5"/>
      <c r="GF38" s="5"/>
      <c r="GG38" s="5"/>
      <c r="GH38" s="5" t="str">
        <f t="shared" si="241"/>
        <v/>
      </c>
      <c r="GI38" s="5"/>
      <c r="GJ38" s="5"/>
      <c r="GK38" s="5"/>
      <c r="GL38" s="5" t="str">
        <f t="shared" si="222"/>
        <v/>
      </c>
      <c r="GM38" s="33" t="str">
        <f t="shared" si="223"/>
        <v/>
      </c>
      <c r="GN38" s="27"/>
      <c r="GP38" s="14"/>
      <c r="GQ38" s="36"/>
      <c r="GR38" s="5" t="str">
        <f t="shared" si="242"/>
        <v/>
      </c>
      <c r="GS38" s="5"/>
      <c r="GT38" s="5"/>
      <c r="GU38" s="5"/>
      <c r="GV38" s="5" t="str">
        <f t="shared" si="243"/>
        <v/>
      </c>
      <c r="GW38" s="5"/>
      <c r="GX38" s="5"/>
      <c r="GY38" s="5"/>
      <c r="GZ38" s="5" t="str">
        <f t="shared" si="224"/>
        <v/>
      </c>
      <c r="HA38" s="33" t="str">
        <f t="shared" si="225"/>
        <v/>
      </c>
      <c r="HB38" s="27"/>
      <c r="HD38" s="14"/>
      <c r="HE38" s="36"/>
      <c r="HF38" s="5" t="str">
        <f t="shared" si="244"/>
        <v/>
      </c>
      <c r="HG38" s="5"/>
      <c r="HH38" s="27"/>
      <c r="HJ38" s="14"/>
      <c r="HK38" s="36"/>
      <c r="HL38" s="5" t="str">
        <f t="shared" si="245"/>
        <v/>
      </c>
      <c r="HM38" s="5"/>
      <c r="HN38" s="27"/>
      <c r="HP38" s="14"/>
      <c r="HQ38" s="36"/>
      <c r="HR38" s="5" t="str">
        <f t="shared" si="246"/>
        <v/>
      </c>
      <c r="HS38" s="5"/>
      <c r="HT38" s="27"/>
      <c r="HV38" s="14"/>
      <c r="HW38" s="36"/>
      <c r="HX38" s="5" t="str">
        <f t="shared" si="247"/>
        <v/>
      </c>
      <c r="HY38" s="5"/>
      <c r="HZ38" s="5"/>
      <c r="IA38" s="5"/>
      <c r="IB38" s="5" t="str">
        <f t="shared" si="248"/>
        <v/>
      </c>
      <c r="IC38" s="5"/>
      <c r="ID38" s="5"/>
      <c r="IE38" s="5"/>
      <c r="IF38" s="5" t="str">
        <f t="shared" si="226"/>
        <v/>
      </c>
      <c r="IG38" s="33" t="str">
        <f t="shared" si="227"/>
        <v/>
      </c>
      <c r="IH38" s="27"/>
      <c r="IJ38" s="14"/>
      <c r="IK38" s="36"/>
      <c r="IL38" s="5" t="str">
        <f t="shared" si="249"/>
        <v/>
      </c>
      <c r="IM38" s="5"/>
      <c r="IN38" s="5"/>
      <c r="IO38" s="5"/>
      <c r="IP38" s="5" t="str">
        <f t="shared" si="250"/>
        <v/>
      </c>
      <c r="IQ38" s="5"/>
      <c r="IR38" s="5"/>
      <c r="IS38" s="5"/>
      <c r="IT38" s="5" t="str">
        <f t="shared" si="228"/>
        <v/>
      </c>
      <c r="IU38" s="33" t="str">
        <f t="shared" si="229"/>
        <v/>
      </c>
      <c r="IV38" s="27"/>
      <c r="IX38" s="14"/>
      <c r="IY38" s="36"/>
      <c r="IZ38" s="5" t="str">
        <f t="shared" si="251"/>
        <v/>
      </c>
      <c r="JA38" s="5"/>
      <c r="JB38" s="5"/>
      <c r="JC38" s="5"/>
      <c r="JD38" s="5" t="str">
        <f t="shared" si="252"/>
        <v/>
      </c>
      <c r="JE38" s="5"/>
      <c r="JF38" s="5"/>
      <c r="JG38" s="5"/>
      <c r="JH38" s="5" t="str">
        <f t="shared" si="230"/>
        <v/>
      </c>
      <c r="JI38" s="33" t="str">
        <f t="shared" si="231"/>
        <v/>
      </c>
      <c r="JJ38" s="27"/>
      <c r="JL38" s="14"/>
      <c r="JM38" s="36"/>
      <c r="JN38" s="5" t="str">
        <f t="shared" si="253"/>
        <v/>
      </c>
      <c r="JO38" s="5"/>
      <c r="JP38" s="5"/>
      <c r="JQ38" s="5"/>
      <c r="JR38" s="5"/>
      <c r="JS38" s="5"/>
      <c r="JT38" s="5" t="str">
        <f t="shared" si="254"/>
        <v/>
      </c>
      <c r="JU38" s="5"/>
      <c r="JV38" s="5"/>
      <c r="JW38" s="5"/>
      <c r="JX38" s="5" t="str">
        <f t="shared" si="232"/>
        <v/>
      </c>
      <c r="JY38" s="33" t="str">
        <f t="shared" si="233"/>
        <v/>
      </c>
      <c r="JZ38" s="27"/>
    </row>
    <row r="39" spans="1:286" ht="15" customHeight="1" thickTop="1" x14ac:dyDescent="0.2">
      <c r="A39" s="45"/>
      <c r="B39" s="24">
        <f>SUM(D39:D42)+SUM(R39:R42)+SUM(AF39:AF42)+SUM(BV39:BV42)+SUM(GD12,GR12,EN12,FB12,FP12,HX12,IL12,IZ12,JN12,HF12,HL12,HR12)+SUM(CJ39:CJ42)+SUM(DL39:DL40)</f>
        <v>0</v>
      </c>
      <c r="C39" s="4"/>
      <c r="D39" s="4" t="str">
        <f t="shared" ref="D39:D58" si="255">IF(C39="","",C39-C35)</f>
        <v/>
      </c>
      <c r="E39" s="4"/>
      <c r="F39" s="46" t="str">
        <f t="shared" ref="F39:F58" si="256">IF(E39="","",E39-E35)</f>
        <v/>
      </c>
      <c r="G39" s="4"/>
      <c r="H39" s="4" t="str">
        <f t="shared" si="69"/>
        <v/>
      </c>
      <c r="I39" s="47"/>
      <c r="J39" s="29" t="str">
        <f t="shared" ref="J39:J58" si="257">IF(C39="","",J35)</f>
        <v/>
      </c>
      <c r="K39" s="25" t="str">
        <f t="shared" ref="K39:K58" si="258">IF(D39="","",K35)</f>
        <v/>
      </c>
      <c r="L39" s="46" t="str">
        <f t="shared" ref="L39:L58" si="259">IF(G39="","",H39*K39)</f>
        <v/>
      </c>
      <c r="M39" s="48" t="str">
        <f t="shared" ref="M39:M58" si="260">IF(H39="","",L39/(D39*100))</f>
        <v/>
      </c>
      <c r="N39" s="27"/>
      <c r="P39" s="49" t="str">
        <f>IF($A39="","",$A39)</f>
        <v/>
      </c>
      <c r="Q39" s="4"/>
      <c r="R39" s="4" t="str">
        <f t="shared" ref="R39:R58" si="261">IF(Q39="","",Q39-Q35)</f>
        <v/>
      </c>
      <c r="S39" s="4"/>
      <c r="T39" s="46" t="str">
        <f t="shared" ref="T39:T58" si="262">IF(S39="","",S39-S35)</f>
        <v/>
      </c>
      <c r="U39" s="4"/>
      <c r="V39" s="4" t="str">
        <f t="shared" ref="V39:V58" si="263">IF(U39="","",U35+W35-U39)</f>
        <v/>
      </c>
      <c r="W39" s="47"/>
      <c r="X39" s="29" t="str">
        <f t="shared" ref="X39:X58" si="264">IF(Q39="","",X35)</f>
        <v/>
      </c>
      <c r="Y39" s="25" t="str">
        <f t="shared" ref="Y39:Y58" si="265">IF(R39="","",Y35)</f>
        <v/>
      </c>
      <c r="Z39" s="46" t="str">
        <f t="shared" ref="Z39:Z58" si="266">IF(U39="","",V39*Y39)</f>
        <v/>
      </c>
      <c r="AA39" s="48" t="str">
        <f t="shared" ref="AA39:AA58" si="267">IF(V39="","",Z39/(R39*100))</f>
        <v/>
      </c>
      <c r="AB39" s="27"/>
      <c r="AD39" s="49" t="str">
        <f>IF($A39="","",$A39)</f>
        <v/>
      </c>
      <c r="AE39" s="4"/>
      <c r="AF39" s="4" t="str">
        <f t="shared" ref="AF39:AF58" si="268">IF(AE39="","",AE39-AE35)</f>
        <v/>
      </c>
      <c r="AG39" s="4"/>
      <c r="AH39" s="46" t="str">
        <f t="shared" ref="AH39:AH58" si="269">IF(AG39="","",AG39-AG35)</f>
        <v/>
      </c>
      <c r="AI39" s="4"/>
      <c r="AJ39" s="4" t="str">
        <f t="shared" ref="AJ39:AJ58" si="270">IF(AI39="","",AI35+AK35-AI39)</f>
        <v/>
      </c>
      <c r="AK39" s="47"/>
      <c r="AL39" s="29" t="str">
        <f t="shared" ref="AL39:AL58" si="271">IF(AE39="","",AL35)</f>
        <v/>
      </c>
      <c r="AM39" s="25" t="str">
        <f t="shared" ref="AM39:AM58" si="272">IF(AF39="","",AM35)</f>
        <v/>
      </c>
      <c r="AN39" s="46" t="str">
        <f t="shared" ref="AN39:AN58" si="273">IF(AI39="","",AJ39*AM39)</f>
        <v/>
      </c>
      <c r="AO39" s="48" t="str">
        <f t="shared" ref="AO39:AO58" si="274">IF(AJ39="","",AN39/(AF39*100))</f>
        <v/>
      </c>
      <c r="AP39" s="27"/>
      <c r="AR39" s="49" t="str">
        <f>IF($A39="","",$A39)</f>
        <v/>
      </c>
      <c r="AS39" s="4"/>
      <c r="AT39" s="4" t="str">
        <f t="shared" si="88"/>
        <v/>
      </c>
      <c r="AU39" s="4"/>
      <c r="AV39" s="46" t="str">
        <f t="shared" si="89"/>
        <v/>
      </c>
      <c r="AW39" s="4"/>
      <c r="AX39" s="4" t="str">
        <f t="shared" si="90"/>
        <v/>
      </c>
      <c r="AY39" s="47"/>
      <c r="AZ39" s="29" t="str">
        <f t="shared" si="91"/>
        <v/>
      </c>
      <c r="BA39" s="25" t="str">
        <f t="shared" si="92"/>
        <v/>
      </c>
      <c r="BB39" s="46" t="str">
        <f t="shared" si="93"/>
        <v/>
      </c>
      <c r="BC39" s="48" t="str">
        <f t="shared" si="94"/>
        <v/>
      </c>
      <c r="BD39" s="27"/>
      <c r="BF39" s="49" t="str">
        <f>IF($A39="","",$A39)</f>
        <v/>
      </c>
      <c r="BG39" s="4"/>
      <c r="BH39" s="4" t="str">
        <f t="shared" si="95"/>
        <v/>
      </c>
      <c r="BI39" s="4"/>
      <c r="BJ39" s="46" t="str">
        <f t="shared" si="96"/>
        <v/>
      </c>
      <c r="BK39" s="4"/>
      <c r="BL39" s="4" t="str">
        <f t="shared" si="97"/>
        <v/>
      </c>
      <c r="BM39" s="47"/>
      <c r="BN39" s="29" t="str">
        <f t="shared" si="98"/>
        <v/>
      </c>
      <c r="BO39" s="25" t="str">
        <f t="shared" si="99"/>
        <v/>
      </c>
      <c r="BP39" s="46" t="str">
        <f t="shared" si="100"/>
        <v/>
      </c>
      <c r="BQ39" s="48" t="str">
        <f t="shared" si="101"/>
        <v/>
      </c>
      <c r="BR39" s="27"/>
      <c r="BT39" s="49" t="str">
        <f>IF($A39="","",$A39)</f>
        <v/>
      </c>
      <c r="BU39" s="4"/>
      <c r="BV39" s="4" t="str">
        <f t="shared" ref="BV39:BV58" si="275">IF(BU39="","",BU39-BU35)</f>
        <v/>
      </c>
      <c r="BW39" s="4"/>
      <c r="BX39" s="46" t="str">
        <f t="shared" ref="BX39:BX58" si="276">IF(BW39="","",BW39-BW35)</f>
        <v/>
      </c>
      <c r="BY39" s="4"/>
      <c r="BZ39" s="4" t="str">
        <f t="shared" ref="BZ39:BZ58" si="277">IF(BY39="","",BY35+CA35-BY39)</f>
        <v/>
      </c>
      <c r="CA39" s="47"/>
      <c r="CB39" s="29" t="str">
        <f t="shared" ref="CB39:CB58" si="278">IF(BU39="","",CB35)</f>
        <v/>
      </c>
      <c r="CC39" s="25" t="str">
        <f t="shared" ref="CC39:CC58" si="279">IF(BV39="","",CC35)</f>
        <v/>
      </c>
      <c r="CD39" s="46" t="str">
        <f t="shared" ref="CD39:CD58" si="280">IF(BY39="","",BZ39*CC39)</f>
        <v/>
      </c>
      <c r="CE39" s="48" t="str">
        <f t="shared" ref="CE39:CE58" si="281">IF(BZ39="","",CD39/(BV39*100))</f>
        <v/>
      </c>
      <c r="CF39" s="27"/>
      <c r="CH39" s="49" t="str">
        <f>IF($A39="","",$A39)</f>
        <v/>
      </c>
      <c r="CI39" s="4"/>
      <c r="CJ39" s="4" t="str">
        <f t="shared" si="109"/>
        <v/>
      </c>
      <c r="CK39" s="4"/>
      <c r="CL39" s="46" t="str">
        <f t="shared" si="110"/>
        <v/>
      </c>
      <c r="CM39" s="4"/>
      <c r="CN39" s="4" t="str">
        <f t="shared" si="111"/>
        <v/>
      </c>
      <c r="CO39" s="47"/>
      <c r="CP39" s="29" t="str">
        <f t="shared" si="112"/>
        <v/>
      </c>
      <c r="CQ39" s="25" t="str">
        <f t="shared" si="113"/>
        <v/>
      </c>
      <c r="CR39" s="46" t="str">
        <f t="shared" si="114"/>
        <v/>
      </c>
      <c r="CS39" s="48" t="str">
        <f t="shared" si="115"/>
        <v/>
      </c>
      <c r="CT39" s="27"/>
      <c r="CV39" s="49" t="str">
        <f>IF($A39="","",$A39)</f>
        <v/>
      </c>
      <c r="CW39" s="4"/>
      <c r="CX39" s="4" t="str">
        <f t="shared" si="116"/>
        <v/>
      </c>
      <c r="CY39" s="4"/>
      <c r="CZ39" s="46" t="str">
        <f t="shared" si="117"/>
        <v/>
      </c>
      <c r="DA39" s="4"/>
      <c r="DB39" s="4" t="str">
        <f t="shared" si="118"/>
        <v/>
      </c>
      <c r="DC39" s="47"/>
      <c r="DD39" s="29" t="str">
        <f t="shared" si="119"/>
        <v/>
      </c>
      <c r="DE39" s="25" t="str">
        <f t="shared" si="120"/>
        <v/>
      </c>
      <c r="DF39" s="46" t="str">
        <f t="shared" si="121"/>
        <v/>
      </c>
      <c r="DG39" s="48" t="str">
        <f t="shared" si="122"/>
        <v/>
      </c>
      <c r="DH39" s="27"/>
      <c r="DJ39" s="30" t="str">
        <f>IF($A39="","",$A39)</f>
        <v/>
      </c>
      <c r="DK39" s="4"/>
      <c r="DL39" s="4" t="str">
        <f t="shared" ref="DL39:DL58" si="282">IF(DK39="","",DK39-DK35)</f>
        <v/>
      </c>
      <c r="DM39" s="4"/>
      <c r="DN39" s="46" t="str">
        <f t="shared" ref="DN39:DN57" si="283">IF(DM39="","",DM39-DM35)</f>
        <v/>
      </c>
      <c r="DO39" s="4"/>
      <c r="DP39" s="4" t="str">
        <f t="shared" si="125"/>
        <v/>
      </c>
      <c r="DQ39" s="47"/>
      <c r="DR39" s="29" t="str">
        <f t="shared" si="126"/>
        <v/>
      </c>
      <c r="DS39" s="25" t="str">
        <f t="shared" si="127"/>
        <v/>
      </c>
      <c r="DT39" s="46" t="str">
        <f t="shared" si="128"/>
        <v/>
      </c>
      <c r="DU39" s="48" t="str">
        <f t="shared" si="129"/>
        <v/>
      </c>
      <c r="DV39" s="27"/>
      <c r="DX39" s="30" t="str">
        <f>IF($A39="","",$A39)</f>
        <v/>
      </c>
      <c r="DY39" s="4"/>
      <c r="DZ39" s="4" t="str">
        <f t="shared" si="130"/>
        <v/>
      </c>
      <c r="EA39" s="4"/>
      <c r="EB39" s="46" t="str">
        <f t="shared" si="131"/>
        <v/>
      </c>
      <c r="EC39" s="4"/>
      <c r="ED39" s="4" t="str">
        <f t="shared" si="132"/>
        <v/>
      </c>
      <c r="EE39" s="47"/>
      <c r="EF39" s="29" t="str">
        <f t="shared" si="133"/>
        <v/>
      </c>
      <c r="EG39" s="25" t="str">
        <f t="shared" si="134"/>
        <v/>
      </c>
      <c r="EH39" s="46" t="str">
        <f t="shared" si="135"/>
        <v/>
      </c>
      <c r="EI39" s="48" t="str">
        <f t="shared" si="136"/>
        <v/>
      </c>
      <c r="EJ39" s="27"/>
      <c r="EL39" s="14"/>
      <c r="EM39" s="36"/>
      <c r="EN39" s="5" t="str">
        <f t="shared" si="234"/>
        <v/>
      </c>
      <c r="EO39" s="5"/>
      <c r="EP39" s="5"/>
      <c r="EQ39" s="5"/>
      <c r="ER39" s="5" t="str">
        <f t="shared" si="235"/>
        <v/>
      </c>
      <c r="ES39" s="5"/>
      <c r="ET39" s="5"/>
      <c r="EU39" s="5"/>
      <c r="EV39" s="5" t="str">
        <f t="shared" si="216"/>
        <v/>
      </c>
      <c r="EW39" s="33" t="str">
        <f t="shared" si="217"/>
        <v/>
      </c>
      <c r="EX39" s="27" t="s">
        <v>26</v>
      </c>
      <c r="EZ39" s="14"/>
      <c r="FA39" s="36"/>
      <c r="FB39" s="5" t="str">
        <f t="shared" si="236"/>
        <v/>
      </c>
      <c r="FC39" s="5"/>
      <c r="FD39" s="5"/>
      <c r="FE39" s="5"/>
      <c r="FF39" s="5" t="str">
        <f t="shared" si="237"/>
        <v/>
      </c>
      <c r="FG39" s="5"/>
      <c r="FH39" s="5"/>
      <c r="FI39" s="5"/>
      <c r="FJ39" s="5" t="str">
        <f t="shared" si="218"/>
        <v/>
      </c>
      <c r="FK39" s="33" t="str">
        <f t="shared" si="219"/>
        <v/>
      </c>
      <c r="FL39" s="27"/>
      <c r="FN39" s="14"/>
      <c r="FO39" s="36"/>
      <c r="FP39" s="5" t="str">
        <f t="shared" si="238"/>
        <v/>
      </c>
      <c r="FQ39" s="5"/>
      <c r="FR39" s="5"/>
      <c r="FS39" s="5"/>
      <c r="FT39" s="5" t="str">
        <f t="shared" si="239"/>
        <v/>
      </c>
      <c r="FU39" s="5"/>
      <c r="FV39" s="5"/>
      <c r="FW39" s="5"/>
      <c r="FX39" s="5" t="str">
        <f t="shared" si="220"/>
        <v/>
      </c>
      <c r="FY39" s="33" t="str">
        <f t="shared" si="221"/>
        <v/>
      </c>
      <c r="FZ39" s="27"/>
      <c r="GB39" s="14"/>
      <c r="GC39" s="36"/>
      <c r="GD39" s="5" t="str">
        <f t="shared" si="240"/>
        <v/>
      </c>
      <c r="GE39" s="5"/>
      <c r="GF39" s="5"/>
      <c r="GG39" s="5"/>
      <c r="GH39" s="5" t="str">
        <f t="shared" si="241"/>
        <v/>
      </c>
      <c r="GI39" s="5"/>
      <c r="GJ39" s="5"/>
      <c r="GK39" s="5"/>
      <c r="GL39" s="5" t="str">
        <f t="shared" si="222"/>
        <v/>
      </c>
      <c r="GM39" s="33" t="str">
        <f t="shared" si="223"/>
        <v/>
      </c>
      <c r="GN39" s="27"/>
      <c r="GP39" s="14"/>
      <c r="GQ39" s="36"/>
      <c r="GR39" s="5" t="str">
        <f t="shared" si="242"/>
        <v/>
      </c>
      <c r="GS39" s="5"/>
      <c r="GT39" s="5"/>
      <c r="GU39" s="5"/>
      <c r="GV39" s="5" t="str">
        <f t="shared" si="243"/>
        <v/>
      </c>
      <c r="GW39" s="5"/>
      <c r="GX39" s="5"/>
      <c r="GY39" s="5"/>
      <c r="GZ39" s="5" t="str">
        <f t="shared" si="224"/>
        <v/>
      </c>
      <c r="HA39" s="33" t="str">
        <f t="shared" si="225"/>
        <v/>
      </c>
      <c r="HB39" s="27"/>
      <c r="HD39" s="14"/>
      <c r="HE39" s="36"/>
      <c r="HF39" s="5" t="str">
        <f t="shared" si="244"/>
        <v/>
      </c>
      <c r="HG39" s="5"/>
      <c r="HH39" s="27"/>
      <c r="HJ39" s="14"/>
      <c r="HK39" s="36"/>
      <c r="HL39" s="5" t="str">
        <f t="shared" si="245"/>
        <v/>
      </c>
      <c r="HM39" s="5"/>
      <c r="HN39" s="27"/>
      <c r="HP39" s="14"/>
      <c r="HQ39" s="36"/>
      <c r="HR39" s="5" t="str">
        <f t="shared" si="246"/>
        <v/>
      </c>
      <c r="HS39" s="5"/>
      <c r="HT39" s="27"/>
      <c r="HV39" s="14"/>
      <c r="HW39" s="36"/>
      <c r="HX39" s="5" t="str">
        <f t="shared" si="247"/>
        <v/>
      </c>
      <c r="HY39" s="5"/>
      <c r="HZ39" s="5"/>
      <c r="IA39" s="5"/>
      <c r="IB39" s="5" t="str">
        <f t="shared" si="248"/>
        <v/>
      </c>
      <c r="IC39" s="5"/>
      <c r="ID39" s="5"/>
      <c r="IE39" s="5"/>
      <c r="IF39" s="5" t="str">
        <f t="shared" si="226"/>
        <v/>
      </c>
      <c r="IG39" s="33" t="str">
        <f t="shared" si="227"/>
        <v/>
      </c>
      <c r="IH39" s="27"/>
      <c r="IJ39" s="14"/>
      <c r="IK39" s="36"/>
      <c r="IL39" s="5" t="str">
        <f t="shared" si="249"/>
        <v/>
      </c>
      <c r="IM39" s="5"/>
      <c r="IN39" s="5"/>
      <c r="IO39" s="5"/>
      <c r="IP39" s="5" t="str">
        <f t="shared" si="250"/>
        <v/>
      </c>
      <c r="IQ39" s="5"/>
      <c r="IR39" s="5"/>
      <c r="IS39" s="5"/>
      <c r="IT39" s="5" t="str">
        <f t="shared" si="228"/>
        <v/>
      </c>
      <c r="IU39" s="33" t="str">
        <f t="shared" si="229"/>
        <v/>
      </c>
      <c r="IV39" s="27"/>
      <c r="IX39" s="14"/>
      <c r="IY39" s="36"/>
      <c r="IZ39" s="5" t="str">
        <f t="shared" si="251"/>
        <v/>
      </c>
      <c r="JA39" s="5"/>
      <c r="JB39" s="5"/>
      <c r="JC39" s="5"/>
      <c r="JD39" s="5" t="str">
        <f t="shared" si="252"/>
        <v/>
      </c>
      <c r="JE39" s="5"/>
      <c r="JF39" s="5"/>
      <c r="JG39" s="5"/>
      <c r="JH39" s="5" t="str">
        <f t="shared" si="230"/>
        <v/>
      </c>
      <c r="JI39" s="33" t="str">
        <f t="shared" si="231"/>
        <v/>
      </c>
      <c r="JJ39" s="27"/>
      <c r="JL39" s="14"/>
      <c r="JM39" s="36"/>
      <c r="JN39" s="5" t="str">
        <f t="shared" si="253"/>
        <v/>
      </c>
      <c r="JO39" s="5"/>
      <c r="JP39" s="5"/>
      <c r="JQ39" s="5"/>
      <c r="JR39" s="5"/>
      <c r="JS39" s="5"/>
      <c r="JT39" s="5" t="str">
        <f t="shared" si="254"/>
        <v/>
      </c>
      <c r="JU39" s="5"/>
      <c r="JV39" s="5"/>
      <c r="JW39" s="5"/>
      <c r="JX39" s="5" t="str">
        <f t="shared" si="232"/>
        <v/>
      </c>
      <c r="JY39" s="33" t="str">
        <f t="shared" si="233"/>
        <v/>
      </c>
      <c r="JZ39" s="27"/>
    </row>
    <row r="40" spans="1:286" ht="15" customHeight="1" x14ac:dyDescent="0.2">
      <c r="A40" s="50"/>
      <c r="B40" s="34"/>
      <c r="C40" s="5"/>
      <c r="D40" s="5" t="str">
        <f t="shared" si="255"/>
        <v/>
      </c>
      <c r="E40" s="5"/>
      <c r="F40" s="5" t="str">
        <f t="shared" si="256"/>
        <v/>
      </c>
      <c r="G40" s="5"/>
      <c r="H40" s="5" t="str">
        <f t="shared" si="69"/>
        <v/>
      </c>
      <c r="I40" s="32"/>
      <c r="J40" s="35" t="str">
        <f t="shared" si="257"/>
        <v/>
      </c>
      <c r="K40" s="36" t="str">
        <f t="shared" si="258"/>
        <v/>
      </c>
      <c r="L40" s="5" t="str">
        <f t="shared" si="259"/>
        <v/>
      </c>
      <c r="M40" s="33" t="str">
        <f t="shared" si="260"/>
        <v/>
      </c>
      <c r="N40" s="27"/>
      <c r="P40" s="50"/>
      <c r="Q40" s="5"/>
      <c r="R40" s="5" t="str">
        <f t="shared" si="261"/>
        <v/>
      </c>
      <c r="S40" s="5"/>
      <c r="T40" s="5" t="str">
        <f t="shared" si="262"/>
        <v/>
      </c>
      <c r="U40" s="5"/>
      <c r="V40" s="5" t="str">
        <f t="shared" si="263"/>
        <v/>
      </c>
      <c r="W40" s="32"/>
      <c r="X40" s="35" t="str">
        <f t="shared" si="264"/>
        <v/>
      </c>
      <c r="Y40" s="36" t="str">
        <f t="shared" si="265"/>
        <v/>
      </c>
      <c r="Z40" s="5" t="str">
        <f t="shared" si="266"/>
        <v/>
      </c>
      <c r="AA40" s="33" t="str">
        <f t="shared" si="267"/>
        <v/>
      </c>
      <c r="AB40" s="27"/>
      <c r="AD40" s="50"/>
      <c r="AE40" s="5"/>
      <c r="AF40" s="5" t="str">
        <f t="shared" si="268"/>
        <v/>
      </c>
      <c r="AG40" s="5"/>
      <c r="AH40" s="5" t="str">
        <f t="shared" si="269"/>
        <v/>
      </c>
      <c r="AI40" s="5"/>
      <c r="AJ40" s="5" t="str">
        <f t="shared" si="270"/>
        <v/>
      </c>
      <c r="AK40" s="32"/>
      <c r="AL40" s="35" t="str">
        <f t="shared" si="271"/>
        <v/>
      </c>
      <c r="AM40" s="36" t="str">
        <f t="shared" si="272"/>
        <v/>
      </c>
      <c r="AN40" s="5" t="str">
        <f t="shared" si="273"/>
        <v/>
      </c>
      <c r="AO40" s="33" t="str">
        <f t="shared" si="274"/>
        <v/>
      </c>
      <c r="AP40" s="27"/>
      <c r="AR40" s="50"/>
      <c r="AS40" s="5"/>
      <c r="AT40" s="5" t="str">
        <f t="shared" si="88"/>
        <v/>
      </c>
      <c r="AU40" s="5"/>
      <c r="AV40" s="5" t="str">
        <f t="shared" si="89"/>
        <v/>
      </c>
      <c r="AW40" s="5"/>
      <c r="AX40" s="5" t="str">
        <f t="shared" si="90"/>
        <v/>
      </c>
      <c r="AY40" s="32"/>
      <c r="AZ40" s="35" t="str">
        <f t="shared" si="91"/>
        <v/>
      </c>
      <c r="BA40" s="36" t="str">
        <f t="shared" si="92"/>
        <v/>
      </c>
      <c r="BB40" s="5" t="str">
        <f t="shared" si="93"/>
        <v/>
      </c>
      <c r="BC40" s="33" t="str">
        <f t="shared" si="94"/>
        <v/>
      </c>
      <c r="BD40" s="27"/>
      <c r="BF40" s="50"/>
      <c r="BG40" s="5"/>
      <c r="BH40" s="5" t="str">
        <f t="shared" si="95"/>
        <v/>
      </c>
      <c r="BI40" s="5"/>
      <c r="BJ40" s="5" t="str">
        <f t="shared" si="96"/>
        <v/>
      </c>
      <c r="BK40" s="5"/>
      <c r="BL40" s="5" t="str">
        <f t="shared" si="97"/>
        <v/>
      </c>
      <c r="BM40" s="32"/>
      <c r="BN40" s="35" t="str">
        <f t="shared" si="98"/>
        <v/>
      </c>
      <c r="BO40" s="36" t="str">
        <f t="shared" si="99"/>
        <v/>
      </c>
      <c r="BP40" s="5" t="str">
        <f t="shared" si="100"/>
        <v/>
      </c>
      <c r="BQ40" s="33" t="str">
        <f t="shared" si="101"/>
        <v/>
      </c>
      <c r="BR40" s="27"/>
      <c r="BT40" s="50"/>
      <c r="BU40" s="5"/>
      <c r="BV40" s="5" t="str">
        <f t="shared" si="275"/>
        <v/>
      </c>
      <c r="BW40" s="5"/>
      <c r="BX40" s="5" t="str">
        <f t="shared" si="276"/>
        <v/>
      </c>
      <c r="BY40" s="5"/>
      <c r="BZ40" s="5" t="str">
        <f t="shared" si="277"/>
        <v/>
      </c>
      <c r="CA40" s="32"/>
      <c r="CB40" s="35" t="str">
        <f t="shared" si="278"/>
        <v/>
      </c>
      <c r="CC40" s="36" t="str">
        <f t="shared" si="279"/>
        <v/>
      </c>
      <c r="CD40" s="5" t="str">
        <f t="shared" si="280"/>
        <v/>
      </c>
      <c r="CE40" s="33" t="str">
        <f t="shared" si="281"/>
        <v/>
      </c>
      <c r="CF40" s="27"/>
      <c r="CH40" s="50"/>
      <c r="CI40" s="5"/>
      <c r="CJ40" s="5" t="str">
        <f t="shared" si="109"/>
        <v/>
      </c>
      <c r="CK40" s="5"/>
      <c r="CL40" s="5" t="str">
        <f t="shared" si="110"/>
        <v/>
      </c>
      <c r="CM40" s="5"/>
      <c r="CN40" s="5" t="str">
        <f t="shared" si="111"/>
        <v/>
      </c>
      <c r="CO40" s="32"/>
      <c r="CP40" s="35" t="str">
        <f t="shared" si="112"/>
        <v/>
      </c>
      <c r="CQ40" s="36" t="str">
        <f t="shared" si="113"/>
        <v/>
      </c>
      <c r="CR40" s="5" t="str">
        <f t="shared" si="114"/>
        <v/>
      </c>
      <c r="CS40" s="33" t="str">
        <f t="shared" si="115"/>
        <v/>
      </c>
      <c r="CT40" s="27"/>
      <c r="CV40" s="50"/>
      <c r="CW40" s="5"/>
      <c r="CX40" s="5" t="str">
        <f t="shared" si="116"/>
        <v/>
      </c>
      <c r="CY40" s="5"/>
      <c r="CZ40" s="5" t="str">
        <f t="shared" si="117"/>
        <v/>
      </c>
      <c r="DA40" s="5"/>
      <c r="DB40" s="5" t="str">
        <f t="shared" si="118"/>
        <v/>
      </c>
      <c r="DC40" s="32"/>
      <c r="DD40" s="35" t="str">
        <f t="shared" si="119"/>
        <v/>
      </c>
      <c r="DE40" s="36" t="str">
        <f t="shared" si="120"/>
        <v/>
      </c>
      <c r="DF40" s="5" t="str">
        <f t="shared" si="121"/>
        <v/>
      </c>
      <c r="DG40" s="33" t="str">
        <f t="shared" si="122"/>
        <v/>
      </c>
      <c r="DH40" s="27"/>
      <c r="DJ40" s="23"/>
      <c r="DK40" s="5"/>
      <c r="DL40" s="5" t="str">
        <f t="shared" si="282"/>
        <v/>
      </c>
      <c r="DM40" s="5"/>
      <c r="DN40" s="5" t="str">
        <f t="shared" si="283"/>
        <v/>
      </c>
      <c r="DO40" s="5"/>
      <c r="DP40" s="5" t="str">
        <f t="shared" si="125"/>
        <v/>
      </c>
      <c r="DQ40" s="32"/>
      <c r="DR40" s="35" t="str">
        <f t="shared" si="126"/>
        <v/>
      </c>
      <c r="DS40" s="36" t="str">
        <f t="shared" si="127"/>
        <v/>
      </c>
      <c r="DT40" s="5" t="str">
        <f t="shared" si="128"/>
        <v/>
      </c>
      <c r="DU40" s="33" t="str">
        <f t="shared" si="129"/>
        <v/>
      </c>
      <c r="DV40" s="27"/>
      <c r="DX40" s="23"/>
      <c r="DY40" s="5"/>
      <c r="DZ40" s="5" t="str">
        <f t="shared" si="130"/>
        <v/>
      </c>
      <c r="EA40" s="5"/>
      <c r="EB40" s="5" t="str">
        <f t="shared" si="131"/>
        <v/>
      </c>
      <c r="EC40" s="5"/>
      <c r="ED40" s="5" t="str">
        <f t="shared" si="132"/>
        <v/>
      </c>
      <c r="EE40" s="32"/>
      <c r="EF40" s="35" t="str">
        <f t="shared" si="133"/>
        <v/>
      </c>
      <c r="EG40" s="36" t="str">
        <f t="shared" si="134"/>
        <v/>
      </c>
      <c r="EH40" s="5" t="str">
        <f t="shared" si="135"/>
        <v/>
      </c>
      <c r="EI40" s="33" t="str">
        <f t="shared" si="136"/>
        <v/>
      </c>
      <c r="EJ40" s="27"/>
      <c r="EL40" s="14"/>
      <c r="EM40" s="36"/>
      <c r="EN40" s="5" t="str">
        <f t="shared" si="234"/>
        <v/>
      </c>
      <c r="EO40" s="5"/>
      <c r="EP40" s="5"/>
      <c r="EQ40" s="5"/>
      <c r="ER40" s="5" t="str">
        <f t="shared" si="235"/>
        <v/>
      </c>
      <c r="ES40" s="5"/>
      <c r="ET40" s="5"/>
      <c r="EU40" s="5"/>
      <c r="EV40" s="5" t="str">
        <f t="shared" si="216"/>
        <v/>
      </c>
      <c r="EW40" s="33" t="str">
        <f t="shared" si="217"/>
        <v/>
      </c>
      <c r="EX40" s="27"/>
      <c r="EZ40" s="14"/>
      <c r="FA40" s="36"/>
      <c r="FB40" s="5" t="str">
        <f t="shared" si="236"/>
        <v/>
      </c>
      <c r="FC40" s="5"/>
      <c r="FD40" s="5"/>
      <c r="FE40" s="5"/>
      <c r="FF40" s="5" t="str">
        <f t="shared" si="237"/>
        <v/>
      </c>
      <c r="FG40" s="5"/>
      <c r="FH40" s="5"/>
      <c r="FI40" s="5"/>
      <c r="FJ40" s="5" t="str">
        <f t="shared" si="218"/>
        <v/>
      </c>
      <c r="FK40" s="33" t="str">
        <f t="shared" si="219"/>
        <v/>
      </c>
      <c r="FL40" s="27"/>
      <c r="FN40" s="14"/>
      <c r="FO40" s="36"/>
      <c r="FP40" s="5" t="str">
        <f t="shared" si="238"/>
        <v/>
      </c>
      <c r="FQ40" s="5"/>
      <c r="FR40" s="5"/>
      <c r="FS40" s="5"/>
      <c r="FT40" s="5" t="str">
        <f t="shared" si="239"/>
        <v/>
      </c>
      <c r="FU40" s="5"/>
      <c r="FV40" s="5"/>
      <c r="FW40" s="5"/>
      <c r="FX40" s="5" t="str">
        <f t="shared" si="220"/>
        <v/>
      </c>
      <c r="FY40" s="33" t="str">
        <f t="shared" si="221"/>
        <v/>
      </c>
      <c r="FZ40" s="27"/>
      <c r="GB40" s="14"/>
      <c r="GC40" s="36"/>
      <c r="GD40" s="5" t="str">
        <f t="shared" si="240"/>
        <v/>
      </c>
      <c r="GE40" s="5"/>
      <c r="GF40" s="5"/>
      <c r="GG40" s="5"/>
      <c r="GH40" s="5" t="str">
        <f t="shared" si="241"/>
        <v/>
      </c>
      <c r="GI40" s="5"/>
      <c r="GJ40" s="5"/>
      <c r="GK40" s="5"/>
      <c r="GL40" s="5" t="str">
        <f t="shared" si="222"/>
        <v/>
      </c>
      <c r="GM40" s="33" t="str">
        <f t="shared" si="223"/>
        <v/>
      </c>
      <c r="GN40" s="27"/>
      <c r="GP40" s="14"/>
      <c r="GQ40" s="36"/>
      <c r="GR40" s="5" t="str">
        <f t="shared" si="242"/>
        <v/>
      </c>
      <c r="GS40" s="5"/>
      <c r="GT40" s="5"/>
      <c r="GU40" s="5"/>
      <c r="GV40" s="5" t="str">
        <f t="shared" si="243"/>
        <v/>
      </c>
      <c r="GW40" s="5"/>
      <c r="GX40" s="5"/>
      <c r="GY40" s="5"/>
      <c r="GZ40" s="5" t="str">
        <f t="shared" si="224"/>
        <v/>
      </c>
      <c r="HA40" s="33" t="str">
        <f t="shared" si="225"/>
        <v/>
      </c>
      <c r="HB40" s="27"/>
      <c r="HD40" s="14"/>
      <c r="HE40" s="36"/>
      <c r="HF40" s="5" t="str">
        <f t="shared" si="244"/>
        <v/>
      </c>
      <c r="HG40" s="5"/>
      <c r="HH40" s="27"/>
      <c r="HJ40" s="14"/>
      <c r="HK40" s="36"/>
      <c r="HL40" s="5" t="str">
        <f t="shared" si="245"/>
        <v/>
      </c>
      <c r="HM40" s="5"/>
      <c r="HN40" s="27"/>
      <c r="HP40" s="14"/>
      <c r="HQ40" s="36"/>
      <c r="HR40" s="5" t="str">
        <f t="shared" si="246"/>
        <v/>
      </c>
      <c r="HS40" s="5"/>
      <c r="HT40" s="27"/>
      <c r="HV40" s="14"/>
      <c r="HW40" s="36"/>
      <c r="HX40" s="5" t="str">
        <f t="shared" si="247"/>
        <v/>
      </c>
      <c r="HY40" s="5"/>
      <c r="HZ40" s="5"/>
      <c r="IA40" s="5"/>
      <c r="IB40" s="5" t="str">
        <f t="shared" si="248"/>
        <v/>
      </c>
      <c r="IC40" s="5"/>
      <c r="ID40" s="5"/>
      <c r="IE40" s="5"/>
      <c r="IF40" s="5" t="str">
        <f t="shared" si="226"/>
        <v/>
      </c>
      <c r="IG40" s="33" t="str">
        <f t="shared" si="227"/>
        <v/>
      </c>
      <c r="IH40" s="27"/>
      <c r="IJ40" s="14"/>
      <c r="IK40" s="36"/>
      <c r="IL40" s="5" t="str">
        <f t="shared" si="249"/>
        <v/>
      </c>
      <c r="IM40" s="5"/>
      <c r="IN40" s="5"/>
      <c r="IO40" s="5"/>
      <c r="IP40" s="5" t="str">
        <f t="shared" si="250"/>
        <v/>
      </c>
      <c r="IQ40" s="5"/>
      <c r="IR40" s="5"/>
      <c r="IS40" s="5"/>
      <c r="IT40" s="5" t="str">
        <f t="shared" si="228"/>
        <v/>
      </c>
      <c r="IU40" s="33" t="str">
        <f t="shared" si="229"/>
        <v/>
      </c>
      <c r="IV40" s="27"/>
      <c r="IX40" s="14"/>
      <c r="IY40" s="36"/>
      <c r="IZ40" s="5" t="str">
        <f t="shared" si="251"/>
        <v/>
      </c>
      <c r="JA40" s="5"/>
      <c r="JB40" s="5"/>
      <c r="JC40" s="5"/>
      <c r="JD40" s="5" t="str">
        <f t="shared" si="252"/>
        <v/>
      </c>
      <c r="JE40" s="5"/>
      <c r="JF40" s="5"/>
      <c r="JG40" s="5"/>
      <c r="JH40" s="5" t="str">
        <f t="shared" si="230"/>
        <v/>
      </c>
      <c r="JI40" s="33" t="str">
        <f t="shared" si="231"/>
        <v/>
      </c>
      <c r="JJ40" s="27"/>
      <c r="JL40" s="14"/>
      <c r="JM40" s="36"/>
      <c r="JN40" s="5" t="str">
        <f t="shared" si="253"/>
        <v/>
      </c>
      <c r="JO40" s="5"/>
      <c r="JP40" s="5"/>
      <c r="JQ40" s="5"/>
      <c r="JR40" s="5"/>
      <c r="JS40" s="5"/>
      <c r="JT40" s="5" t="str">
        <f t="shared" si="254"/>
        <v/>
      </c>
      <c r="JU40" s="5"/>
      <c r="JV40" s="5"/>
      <c r="JW40" s="5"/>
      <c r="JX40" s="5" t="str">
        <f t="shared" si="232"/>
        <v/>
      </c>
      <c r="JY40" s="33" t="str">
        <f t="shared" si="233"/>
        <v/>
      </c>
      <c r="JZ40" s="27"/>
    </row>
    <row r="41" spans="1:286" ht="15" customHeight="1" x14ac:dyDescent="0.2">
      <c r="A41" s="50"/>
      <c r="B41" s="34"/>
      <c r="C41" s="54"/>
      <c r="D41" s="5" t="str">
        <f t="shared" si="255"/>
        <v/>
      </c>
      <c r="E41" s="5"/>
      <c r="F41" s="5" t="str">
        <f t="shared" si="256"/>
        <v/>
      </c>
      <c r="G41" s="54"/>
      <c r="H41" s="5" t="str">
        <f t="shared" si="69"/>
        <v/>
      </c>
      <c r="I41" s="55"/>
      <c r="J41" s="35" t="str">
        <f t="shared" si="257"/>
        <v/>
      </c>
      <c r="K41" s="5" t="str">
        <f t="shared" si="258"/>
        <v/>
      </c>
      <c r="L41" s="5" t="str">
        <f t="shared" si="259"/>
        <v/>
      </c>
      <c r="M41" s="33" t="str">
        <f t="shared" si="260"/>
        <v/>
      </c>
      <c r="N41" s="27"/>
      <c r="P41" s="50"/>
      <c r="Q41" s="54"/>
      <c r="R41" s="5" t="str">
        <f t="shared" si="261"/>
        <v/>
      </c>
      <c r="S41" s="5"/>
      <c r="T41" s="5" t="str">
        <f t="shared" si="262"/>
        <v/>
      </c>
      <c r="U41" s="54"/>
      <c r="V41" s="5" t="str">
        <f t="shared" si="263"/>
        <v/>
      </c>
      <c r="W41" s="55"/>
      <c r="X41" s="35" t="str">
        <f t="shared" si="264"/>
        <v/>
      </c>
      <c r="Y41" s="5" t="str">
        <f t="shared" si="265"/>
        <v/>
      </c>
      <c r="Z41" s="5" t="str">
        <f t="shared" si="266"/>
        <v/>
      </c>
      <c r="AA41" s="33" t="str">
        <f t="shared" si="267"/>
        <v/>
      </c>
      <c r="AB41" s="27"/>
      <c r="AD41" s="50"/>
      <c r="AE41" s="54"/>
      <c r="AF41" s="5" t="str">
        <f t="shared" si="268"/>
        <v/>
      </c>
      <c r="AG41" s="5"/>
      <c r="AH41" s="5" t="str">
        <f t="shared" si="269"/>
        <v/>
      </c>
      <c r="AI41" s="54"/>
      <c r="AJ41" s="5" t="str">
        <f t="shared" si="270"/>
        <v/>
      </c>
      <c r="AK41" s="55"/>
      <c r="AL41" s="35" t="str">
        <f t="shared" si="271"/>
        <v/>
      </c>
      <c r="AM41" s="5" t="str">
        <f t="shared" si="272"/>
        <v/>
      </c>
      <c r="AN41" s="5" t="str">
        <f t="shared" si="273"/>
        <v/>
      </c>
      <c r="AO41" s="33" t="str">
        <f t="shared" si="274"/>
        <v/>
      </c>
      <c r="AP41" s="27"/>
      <c r="AR41" s="50"/>
      <c r="AS41" s="54"/>
      <c r="AT41" s="5" t="str">
        <f t="shared" si="88"/>
        <v/>
      </c>
      <c r="AU41" s="5"/>
      <c r="AV41" s="5" t="str">
        <f t="shared" si="89"/>
        <v/>
      </c>
      <c r="AW41" s="54"/>
      <c r="AX41" s="5" t="str">
        <f t="shared" si="90"/>
        <v/>
      </c>
      <c r="AY41" s="55"/>
      <c r="AZ41" s="35" t="str">
        <f t="shared" si="91"/>
        <v/>
      </c>
      <c r="BA41" s="5" t="str">
        <f t="shared" si="92"/>
        <v/>
      </c>
      <c r="BB41" s="5" t="str">
        <f t="shared" si="93"/>
        <v/>
      </c>
      <c r="BC41" s="33" t="str">
        <f t="shared" si="94"/>
        <v/>
      </c>
      <c r="BD41" s="27"/>
      <c r="BF41" s="50"/>
      <c r="BG41" s="54"/>
      <c r="BH41" s="5" t="str">
        <f t="shared" si="95"/>
        <v/>
      </c>
      <c r="BI41" s="5"/>
      <c r="BJ41" s="5" t="str">
        <f t="shared" si="96"/>
        <v/>
      </c>
      <c r="BK41" s="54"/>
      <c r="BL41" s="5" t="str">
        <f t="shared" si="97"/>
        <v/>
      </c>
      <c r="BM41" s="55"/>
      <c r="BN41" s="35" t="str">
        <f t="shared" si="98"/>
        <v/>
      </c>
      <c r="BO41" s="5" t="str">
        <f t="shared" si="99"/>
        <v/>
      </c>
      <c r="BP41" s="5" t="str">
        <f t="shared" si="100"/>
        <v/>
      </c>
      <c r="BQ41" s="33" t="str">
        <f t="shared" si="101"/>
        <v/>
      </c>
      <c r="BR41" s="27"/>
      <c r="BT41" s="50"/>
      <c r="BU41" s="54"/>
      <c r="BV41" s="5" t="str">
        <f t="shared" si="275"/>
        <v/>
      </c>
      <c r="BW41" s="5"/>
      <c r="BX41" s="5" t="str">
        <f t="shared" si="276"/>
        <v/>
      </c>
      <c r="BY41" s="54"/>
      <c r="BZ41" s="5" t="str">
        <f t="shared" si="277"/>
        <v/>
      </c>
      <c r="CA41" s="55"/>
      <c r="CB41" s="35" t="str">
        <f t="shared" si="278"/>
        <v/>
      </c>
      <c r="CC41" s="5" t="str">
        <f t="shared" si="279"/>
        <v/>
      </c>
      <c r="CD41" s="5" t="str">
        <f t="shared" si="280"/>
        <v/>
      </c>
      <c r="CE41" s="33" t="str">
        <f t="shared" si="281"/>
        <v/>
      </c>
      <c r="CF41" s="27"/>
      <c r="CH41" s="50"/>
      <c r="CI41" s="54"/>
      <c r="CJ41" s="5" t="str">
        <f t="shared" si="109"/>
        <v/>
      </c>
      <c r="CK41" s="5"/>
      <c r="CL41" s="5" t="str">
        <f t="shared" si="110"/>
        <v/>
      </c>
      <c r="CM41" s="54"/>
      <c r="CN41" s="5" t="str">
        <f t="shared" si="111"/>
        <v/>
      </c>
      <c r="CO41" s="55"/>
      <c r="CP41" s="35" t="str">
        <f t="shared" si="112"/>
        <v/>
      </c>
      <c r="CQ41" s="5" t="str">
        <f t="shared" si="113"/>
        <v/>
      </c>
      <c r="CR41" s="5" t="str">
        <f t="shared" si="114"/>
        <v/>
      </c>
      <c r="CS41" s="33" t="str">
        <f t="shared" si="115"/>
        <v/>
      </c>
      <c r="CT41" s="27"/>
      <c r="CV41" s="50"/>
      <c r="CW41" s="54"/>
      <c r="CX41" s="5" t="str">
        <f t="shared" si="116"/>
        <v/>
      </c>
      <c r="CY41" s="5"/>
      <c r="CZ41" s="5" t="str">
        <f t="shared" si="117"/>
        <v/>
      </c>
      <c r="DA41" s="54"/>
      <c r="DB41" s="5" t="str">
        <f t="shared" si="118"/>
        <v/>
      </c>
      <c r="DC41" s="55"/>
      <c r="DD41" s="35" t="str">
        <f t="shared" si="119"/>
        <v/>
      </c>
      <c r="DE41" s="5" t="str">
        <f t="shared" si="120"/>
        <v/>
      </c>
      <c r="DF41" s="5" t="str">
        <f t="shared" si="121"/>
        <v/>
      </c>
      <c r="DG41" s="33" t="str">
        <f t="shared" si="122"/>
        <v/>
      </c>
      <c r="DH41" s="27"/>
      <c r="DJ41" s="23"/>
      <c r="DK41" s="54"/>
      <c r="DL41" s="5" t="str">
        <f t="shared" si="282"/>
        <v/>
      </c>
      <c r="DM41" s="5"/>
      <c r="DN41" s="5" t="str">
        <f t="shared" si="283"/>
        <v/>
      </c>
      <c r="DO41" s="54"/>
      <c r="DP41" s="5" t="str">
        <f t="shared" si="125"/>
        <v/>
      </c>
      <c r="DQ41" s="55"/>
      <c r="DR41" s="35" t="str">
        <f t="shared" si="126"/>
        <v/>
      </c>
      <c r="DS41" s="5" t="str">
        <f t="shared" si="127"/>
        <v/>
      </c>
      <c r="DT41" s="5" t="str">
        <f t="shared" si="128"/>
        <v/>
      </c>
      <c r="DU41" s="33" t="str">
        <f t="shared" si="129"/>
        <v/>
      </c>
      <c r="DV41" s="27"/>
      <c r="DX41" s="23"/>
      <c r="DY41" s="54"/>
      <c r="DZ41" s="5" t="str">
        <f t="shared" si="130"/>
        <v/>
      </c>
      <c r="EA41" s="5"/>
      <c r="EB41" s="5" t="str">
        <f t="shared" si="131"/>
        <v/>
      </c>
      <c r="EC41" s="54"/>
      <c r="ED41" s="5" t="str">
        <f t="shared" si="132"/>
        <v/>
      </c>
      <c r="EE41" s="55"/>
      <c r="EF41" s="35" t="str">
        <f t="shared" si="133"/>
        <v/>
      </c>
      <c r="EG41" s="5" t="str">
        <f t="shared" si="134"/>
        <v/>
      </c>
      <c r="EH41" s="5" t="str">
        <f t="shared" si="135"/>
        <v/>
      </c>
      <c r="EI41" s="33" t="str">
        <f t="shared" si="136"/>
        <v/>
      </c>
      <c r="EJ41" s="27"/>
      <c r="EL41" s="14"/>
      <c r="EM41" s="36"/>
      <c r="EN41" s="5" t="str">
        <f t="shared" si="234"/>
        <v/>
      </c>
      <c r="EO41" s="5"/>
      <c r="EP41" s="5"/>
      <c r="EQ41" s="5"/>
      <c r="ER41" s="5" t="str">
        <f t="shared" si="235"/>
        <v/>
      </c>
      <c r="ES41" s="5"/>
      <c r="ET41" s="5"/>
      <c r="EU41" s="5"/>
      <c r="EV41" s="5" t="str">
        <f t="shared" si="216"/>
        <v/>
      </c>
      <c r="EW41" s="33" t="str">
        <f t="shared" si="217"/>
        <v/>
      </c>
      <c r="EX41" s="27"/>
      <c r="EZ41" s="14"/>
      <c r="FA41" s="36"/>
      <c r="FB41" s="5" t="str">
        <f t="shared" si="236"/>
        <v/>
      </c>
      <c r="FC41" s="5"/>
      <c r="FD41" s="5"/>
      <c r="FE41" s="5"/>
      <c r="FF41" s="5" t="str">
        <f t="shared" si="237"/>
        <v/>
      </c>
      <c r="FG41" s="5"/>
      <c r="FH41" s="5"/>
      <c r="FI41" s="5"/>
      <c r="FJ41" s="5" t="str">
        <f t="shared" si="218"/>
        <v/>
      </c>
      <c r="FK41" s="33" t="str">
        <f t="shared" si="219"/>
        <v/>
      </c>
      <c r="FL41" s="27"/>
      <c r="FN41" s="14"/>
      <c r="FO41" s="36"/>
      <c r="FP41" s="5" t="str">
        <f t="shared" si="238"/>
        <v/>
      </c>
      <c r="FQ41" s="5"/>
      <c r="FR41" s="5"/>
      <c r="FS41" s="5"/>
      <c r="FT41" s="5" t="str">
        <f t="shared" si="239"/>
        <v/>
      </c>
      <c r="FU41" s="5"/>
      <c r="FV41" s="5"/>
      <c r="FW41" s="5"/>
      <c r="FX41" s="5" t="str">
        <f t="shared" si="220"/>
        <v/>
      </c>
      <c r="FY41" s="33" t="str">
        <f t="shared" si="221"/>
        <v/>
      </c>
      <c r="FZ41" s="27"/>
      <c r="GB41" s="14"/>
      <c r="GC41" s="36"/>
      <c r="GD41" s="5" t="str">
        <f t="shared" si="240"/>
        <v/>
      </c>
      <c r="GE41" s="5"/>
      <c r="GF41" s="5"/>
      <c r="GG41" s="5"/>
      <c r="GH41" s="5" t="str">
        <f t="shared" si="241"/>
        <v/>
      </c>
      <c r="GI41" s="5"/>
      <c r="GJ41" s="5"/>
      <c r="GK41" s="5"/>
      <c r="GL41" s="5" t="str">
        <f t="shared" si="222"/>
        <v/>
      </c>
      <c r="GM41" s="33" t="str">
        <f t="shared" si="223"/>
        <v/>
      </c>
      <c r="GN41" s="27"/>
      <c r="GP41" s="14"/>
      <c r="GQ41" s="36"/>
      <c r="GR41" s="5" t="str">
        <f t="shared" si="242"/>
        <v/>
      </c>
      <c r="GS41" s="5"/>
      <c r="GT41" s="5"/>
      <c r="GU41" s="5"/>
      <c r="GV41" s="5" t="str">
        <f t="shared" si="243"/>
        <v/>
      </c>
      <c r="GW41" s="5"/>
      <c r="GX41" s="5"/>
      <c r="GY41" s="5"/>
      <c r="GZ41" s="5" t="str">
        <f t="shared" si="224"/>
        <v/>
      </c>
      <c r="HA41" s="33" t="str">
        <f t="shared" si="225"/>
        <v/>
      </c>
      <c r="HB41" s="27"/>
      <c r="HD41" s="14"/>
      <c r="HE41" s="36"/>
      <c r="HF41" s="5" t="str">
        <f t="shared" si="244"/>
        <v/>
      </c>
      <c r="HG41" s="5"/>
      <c r="HH41" s="27"/>
      <c r="HJ41" s="14"/>
      <c r="HK41" s="36"/>
      <c r="HL41" s="5" t="str">
        <f t="shared" si="245"/>
        <v/>
      </c>
      <c r="HM41" s="5"/>
      <c r="HN41" s="27"/>
      <c r="HP41" s="14"/>
      <c r="HQ41" s="36"/>
      <c r="HR41" s="5" t="str">
        <f t="shared" si="246"/>
        <v/>
      </c>
      <c r="HS41" s="5"/>
      <c r="HT41" s="27"/>
      <c r="HV41" s="14"/>
      <c r="HW41" s="36"/>
      <c r="HX41" s="5" t="str">
        <f t="shared" si="247"/>
        <v/>
      </c>
      <c r="HY41" s="5"/>
      <c r="HZ41" s="5"/>
      <c r="IA41" s="5"/>
      <c r="IB41" s="5" t="str">
        <f t="shared" si="248"/>
        <v/>
      </c>
      <c r="IC41" s="5"/>
      <c r="ID41" s="5"/>
      <c r="IE41" s="5"/>
      <c r="IF41" s="5" t="str">
        <f t="shared" si="226"/>
        <v/>
      </c>
      <c r="IG41" s="33" t="str">
        <f t="shared" si="227"/>
        <v/>
      </c>
      <c r="IH41" s="27"/>
      <c r="IJ41" s="14"/>
      <c r="IK41" s="36"/>
      <c r="IL41" s="5" t="str">
        <f t="shared" si="249"/>
        <v/>
      </c>
      <c r="IM41" s="5"/>
      <c r="IN41" s="5"/>
      <c r="IO41" s="5"/>
      <c r="IP41" s="5" t="str">
        <f t="shared" si="250"/>
        <v/>
      </c>
      <c r="IQ41" s="5"/>
      <c r="IR41" s="5"/>
      <c r="IS41" s="5"/>
      <c r="IT41" s="5" t="str">
        <f t="shared" si="228"/>
        <v/>
      </c>
      <c r="IU41" s="33" t="str">
        <f t="shared" si="229"/>
        <v/>
      </c>
      <c r="IV41" s="27"/>
      <c r="IX41" s="14"/>
      <c r="IY41" s="36"/>
      <c r="IZ41" s="5" t="str">
        <f t="shared" si="251"/>
        <v/>
      </c>
      <c r="JA41" s="5"/>
      <c r="JB41" s="5"/>
      <c r="JC41" s="5"/>
      <c r="JD41" s="5" t="str">
        <f t="shared" si="252"/>
        <v/>
      </c>
      <c r="JE41" s="5"/>
      <c r="JF41" s="5"/>
      <c r="JG41" s="5"/>
      <c r="JH41" s="5" t="str">
        <f t="shared" si="230"/>
        <v/>
      </c>
      <c r="JI41" s="33" t="str">
        <f t="shared" si="231"/>
        <v/>
      </c>
      <c r="JJ41" s="27"/>
      <c r="JL41" s="14"/>
      <c r="JM41" s="36"/>
      <c r="JN41" s="5" t="str">
        <f t="shared" si="253"/>
        <v/>
      </c>
      <c r="JO41" s="5"/>
      <c r="JP41" s="5"/>
      <c r="JQ41" s="5"/>
      <c r="JR41" s="5"/>
      <c r="JS41" s="5"/>
      <c r="JT41" s="5" t="str">
        <f t="shared" si="254"/>
        <v/>
      </c>
      <c r="JU41" s="5"/>
      <c r="JV41" s="5"/>
      <c r="JW41" s="5"/>
      <c r="JX41" s="5" t="str">
        <f t="shared" si="232"/>
        <v/>
      </c>
      <c r="JY41" s="33" t="str">
        <f t="shared" si="233"/>
        <v/>
      </c>
      <c r="JZ41" s="27"/>
    </row>
    <row r="42" spans="1:286" ht="15" customHeight="1" thickBot="1" x14ac:dyDescent="0.25">
      <c r="A42" s="56"/>
      <c r="B42" s="39"/>
      <c r="C42" s="41"/>
      <c r="D42" s="57" t="str">
        <f t="shared" si="255"/>
        <v/>
      </c>
      <c r="E42" s="41"/>
      <c r="F42" s="41" t="str">
        <f t="shared" si="256"/>
        <v/>
      </c>
      <c r="G42" s="41"/>
      <c r="H42" s="41" t="str">
        <f t="shared" si="69"/>
        <v/>
      </c>
      <c r="I42" s="58"/>
      <c r="J42" s="44" t="str">
        <f t="shared" si="257"/>
        <v/>
      </c>
      <c r="K42" s="57" t="str">
        <f t="shared" si="258"/>
        <v/>
      </c>
      <c r="L42" s="41" t="str">
        <f t="shared" si="259"/>
        <v/>
      </c>
      <c r="M42" s="43" t="str">
        <f t="shared" si="260"/>
        <v/>
      </c>
      <c r="N42" s="27"/>
      <c r="P42" s="56"/>
      <c r="Q42" s="41"/>
      <c r="R42" s="57" t="str">
        <f t="shared" si="261"/>
        <v/>
      </c>
      <c r="S42" s="41"/>
      <c r="T42" s="41" t="str">
        <f t="shared" si="262"/>
        <v/>
      </c>
      <c r="U42" s="41"/>
      <c r="V42" s="41" t="str">
        <f t="shared" si="263"/>
        <v/>
      </c>
      <c r="W42" s="58"/>
      <c r="X42" s="44" t="str">
        <f t="shared" si="264"/>
        <v/>
      </c>
      <c r="Y42" s="57" t="str">
        <f t="shared" si="265"/>
        <v/>
      </c>
      <c r="Z42" s="41" t="str">
        <f t="shared" si="266"/>
        <v/>
      </c>
      <c r="AA42" s="43" t="str">
        <f t="shared" si="267"/>
        <v/>
      </c>
      <c r="AB42" s="27"/>
      <c r="AD42" s="56"/>
      <c r="AE42" s="41"/>
      <c r="AF42" s="57" t="str">
        <f t="shared" si="268"/>
        <v/>
      </c>
      <c r="AG42" s="41"/>
      <c r="AH42" s="41" t="str">
        <f t="shared" si="269"/>
        <v/>
      </c>
      <c r="AI42" s="41"/>
      <c r="AJ42" s="41" t="str">
        <f t="shared" si="270"/>
        <v/>
      </c>
      <c r="AK42" s="58"/>
      <c r="AL42" s="44" t="str">
        <f t="shared" si="271"/>
        <v/>
      </c>
      <c r="AM42" s="57" t="str">
        <f t="shared" si="272"/>
        <v/>
      </c>
      <c r="AN42" s="41" t="str">
        <f t="shared" si="273"/>
        <v/>
      </c>
      <c r="AO42" s="43" t="str">
        <f t="shared" si="274"/>
        <v/>
      </c>
      <c r="AP42" s="27"/>
      <c r="AR42" s="56"/>
      <c r="AS42" s="41"/>
      <c r="AT42" s="57" t="str">
        <f t="shared" si="88"/>
        <v/>
      </c>
      <c r="AU42" s="41"/>
      <c r="AV42" s="41" t="str">
        <f t="shared" si="89"/>
        <v/>
      </c>
      <c r="AW42" s="41"/>
      <c r="AX42" s="41" t="str">
        <f t="shared" si="90"/>
        <v/>
      </c>
      <c r="AY42" s="58"/>
      <c r="AZ42" s="44" t="str">
        <f t="shared" si="91"/>
        <v/>
      </c>
      <c r="BA42" s="57" t="str">
        <f t="shared" si="92"/>
        <v/>
      </c>
      <c r="BB42" s="41" t="str">
        <f t="shared" si="93"/>
        <v/>
      </c>
      <c r="BC42" s="43" t="str">
        <f t="shared" si="94"/>
        <v/>
      </c>
      <c r="BD42" s="27"/>
      <c r="BF42" s="56"/>
      <c r="BG42" s="41"/>
      <c r="BH42" s="57" t="str">
        <f t="shared" si="95"/>
        <v/>
      </c>
      <c r="BI42" s="41"/>
      <c r="BJ42" s="41" t="str">
        <f t="shared" si="96"/>
        <v/>
      </c>
      <c r="BK42" s="41"/>
      <c r="BL42" s="41" t="str">
        <f t="shared" si="97"/>
        <v/>
      </c>
      <c r="BM42" s="58"/>
      <c r="BN42" s="44" t="str">
        <f t="shared" si="98"/>
        <v/>
      </c>
      <c r="BO42" s="57" t="str">
        <f t="shared" si="99"/>
        <v/>
      </c>
      <c r="BP42" s="41" t="str">
        <f t="shared" si="100"/>
        <v/>
      </c>
      <c r="BQ42" s="43" t="str">
        <f t="shared" si="101"/>
        <v/>
      </c>
      <c r="BR42" s="27"/>
      <c r="BT42" s="56"/>
      <c r="BU42" s="41"/>
      <c r="BV42" s="57" t="str">
        <f t="shared" si="275"/>
        <v/>
      </c>
      <c r="BW42" s="41"/>
      <c r="BX42" s="41" t="str">
        <f t="shared" si="276"/>
        <v/>
      </c>
      <c r="BY42" s="41"/>
      <c r="BZ42" s="41" t="str">
        <f t="shared" si="277"/>
        <v/>
      </c>
      <c r="CA42" s="58"/>
      <c r="CB42" s="44" t="str">
        <f t="shared" si="278"/>
        <v/>
      </c>
      <c r="CC42" s="57" t="str">
        <f t="shared" si="279"/>
        <v/>
      </c>
      <c r="CD42" s="41" t="str">
        <f t="shared" si="280"/>
        <v/>
      </c>
      <c r="CE42" s="43" t="str">
        <f t="shared" si="281"/>
        <v/>
      </c>
      <c r="CF42" s="27"/>
      <c r="CH42" s="56"/>
      <c r="CI42" s="41"/>
      <c r="CJ42" s="57" t="str">
        <f t="shared" si="109"/>
        <v/>
      </c>
      <c r="CK42" s="41"/>
      <c r="CL42" s="41" t="str">
        <f t="shared" si="110"/>
        <v/>
      </c>
      <c r="CM42" s="41"/>
      <c r="CN42" s="41" t="str">
        <f t="shared" si="111"/>
        <v/>
      </c>
      <c r="CO42" s="58"/>
      <c r="CP42" s="44" t="str">
        <f t="shared" si="112"/>
        <v/>
      </c>
      <c r="CQ42" s="57" t="str">
        <f t="shared" si="113"/>
        <v/>
      </c>
      <c r="CR42" s="41" t="str">
        <f t="shared" si="114"/>
        <v/>
      </c>
      <c r="CS42" s="43" t="str">
        <f t="shared" si="115"/>
        <v/>
      </c>
      <c r="CT42" s="27"/>
      <c r="CV42" s="56"/>
      <c r="CW42" s="41"/>
      <c r="CX42" s="57" t="str">
        <f t="shared" si="116"/>
        <v/>
      </c>
      <c r="CY42" s="41"/>
      <c r="CZ42" s="41" t="str">
        <f t="shared" si="117"/>
        <v/>
      </c>
      <c r="DA42" s="41"/>
      <c r="DB42" s="41" t="str">
        <f t="shared" si="118"/>
        <v/>
      </c>
      <c r="DC42" s="58"/>
      <c r="DD42" s="44" t="str">
        <f t="shared" si="119"/>
        <v/>
      </c>
      <c r="DE42" s="57" t="str">
        <f t="shared" si="120"/>
        <v/>
      </c>
      <c r="DF42" s="41" t="str">
        <f t="shared" si="121"/>
        <v/>
      </c>
      <c r="DG42" s="43" t="str">
        <f t="shared" si="122"/>
        <v/>
      </c>
      <c r="DH42" s="27"/>
      <c r="DJ42" s="38"/>
      <c r="DK42" s="41"/>
      <c r="DL42" s="57" t="str">
        <f t="shared" si="282"/>
        <v/>
      </c>
      <c r="DM42" s="41"/>
      <c r="DN42" s="41" t="str">
        <f t="shared" si="283"/>
        <v/>
      </c>
      <c r="DO42" s="41"/>
      <c r="DP42" s="41" t="str">
        <f t="shared" si="125"/>
        <v/>
      </c>
      <c r="DQ42" s="58"/>
      <c r="DR42" s="44" t="str">
        <f t="shared" si="126"/>
        <v/>
      </c>
      <c r="DS42" s="57" t="str">
        <f t="shared" si="127"/>
        <v/>
      </c>
      <c r="DT42" s="41" t="str">
        <f t="shared" si="128"/>
        <v/>
      </c>
      <c r="DU42" s="43" t="str">
        <f t="shared" si="129"/>
        <v/>
      </c>
      <c r="DV42" s="27"/>
      <c r="DX42" s="38"/>
      <c r="DY42" s="41"/>
      <c r="DZ42" s="57" t="str">
        <f t="shared" si="130"/>
        <v/>
      </c>
      <c r="EA42" s="41"/>
      <c r="EB42" s="41" t="str">
        <f t="shared" si="131"/>
        <v/>
      </c>
      <c r="EC42" s="41"/>
      <c r="ED42" s="41" t="str">
        <f t="shared" si="132"/>
        <v/>
      </c>
      <c r="EE42" s="58"/>
      <c r="EF42" s="44" t="str">
        <f t="shared" si="133"/>
        <v/>
      </c>
      <c r="EG42" s="57" t="str">
        <f t="shared" si="134"/>
        <v/>
      </c>
      <c r="EH42" s="41" t="str">
        <f t="shared" si="135"/>
        <v/>
      </c>
      <c r="EI42" s="43" t="str">
        <f t="shared" si="136"/>
        <v/>
      </c>
      <c r="EJ42" s="27"/>
      <c r="EL42" s="14"/>
      <c r="EM42" s="36"/>
      <c r="EN42" s="5" t="str">
        <f t="shared" si="234"/>
        <v/>
      </c>
      <c r="EO42" s="5"/>
      <c r="EP42" s="5"/>
      <c r="EQ42" s="5"/>
      <c r="ER42" s="5" t="str">
        <f t="shared" si="235"/>
        <v/>
      </c>
      <c r="ES42" s="5"/>
      <c r="ET42" s="5"/>
      <c r="EU42" s="5"/>
      <c r="EV42" s="5" t="str">
        <f t="shared" si="216"/>
        <v/>
      </c>
      <c r="EW42" s="33" t="str">
        <f t="shared" si="217"/>
        <v/>
      </c>
      <c r="EX42" s="27"/>
      <c r="EZ42" s="14"/>
      <c r="FA42" s="36"/>
      <c r="FB42" s="5" t="str">
        <f t="shared" si="236"/>
        <v/>
      </c>
      <c r="FC42" s="5"/>
      <c r="FD42" s="5"/>
      <c r="FE42" s="5"/>
      <c r="FF42" s="5" t="str">
        <f t="shared" si="237"/>
        <v/>
      </c>
      <c r="FG42" s="5"/>
      <c r="FH42" s="5"/>
      <c r="FI42" s="5"/>
      <c r="FJ42" s="5" t="str">
        <f t="shared" si="218"/>
        <v/>
      </c>
      <c r="FK42" s="33" t="str">
        <f t="shared" si="219"/>
        <v/>
      </c>
      <c r="FL42" s="27"/>
      <c r="FN42" s="14"/>
      <c r="FO42" s="36"/>
      <c r="FP42" s="5" t="str">
        <f t="shared" si="238"/>
        <v/>
      </c>
      <c r="FQ42" s="5"/>
      <c r="FR42" s="5"/>
      <c r="FS42" s="5"/>
      <c r="FT42" s="5" t="str">
        <f t="shared" si="239"/>
        <v/>
      </c>
      <c r="FU42" s="5"/>
      <c r="FV42" s="5"/>
      <c r="FW42" s="5"/>
      <c r="FX42" s="5" t="str">
        <f t="shared" si="220"/>
        <v/>
      </c>
      <c r="FY42" s="33" t="str">
        <f t="shared" si="221"/>
        <v/>
      </c>
      <c r="FZ42" s="27"/>
      <c r="GB42" s="14"/>
      <c r="GC42" s="36"/>
      <c r="GD42" s="5" t="str">
        <f t="shared" si="240"/>
        <v/>
      </c>
      <c r="GE42" s="5"/>
      <c r="GF42" s="5"/>
      <c r="GG42" s="5"/>
      <c r="GH42" s="5" t="str">
        <f t="shared" si="241"/>
        <v/>
      </c>
      <c r="GI42" s="5"/>
      <c r="GJ42" s="5"/>
      <c r="GK42" s="5"/>
      <c r="GL42" s="5" t="str">
        <f t="shared" si="222"/>
        <v/>
      </c>
      <c r="GM42" s="33" t="str">
        <f t="shared" si="223"/>
        <v/>
      </c>
      <c r="GN42" s="27"/>
      <c r="GP42" s="14"/>
      <c r="GQ42" s="36"/>
      <c r="GR42" s="5" t="str">
        <f t="shared" si="242"/>
        <v/>
      </c>
      <c r="GS42" s="5"/>
      <c r="GT42" s="5"/>
      <c r="GU42" s="5"/>
      <c r="GV42" s="5" t="str">
        <f t="shared" si="243"/>
        <v/>
      </c>
      <c r="GW42" s="5"/>
      <c r="GX42" s="5"/>
      <c r="GY42" s="5"/>
      <c r="GZ42" s="5" t="str">
        <f t="shared" si="224"/>
        <v/>
      </c>
      <c r="HA42" s="33" t="str">
        <f t="shared" si="225"/>
        <v/>
      </c>
      <c r="HB42" s="27"/>
      <c r="HD42" s="14"/>
      <c r="HE42" s="36"/>
      <c r="HF42" s="5" t="str">
        <f t="shared" si="244"/>
        <v/>
      </c>
      <c r="HG42" s="5"/>
      <c r="HH42" s="27"/>
      <c r="HJ42" s="14"/>
      <c r="HK42" s="36"/>
      <c r="HL42" s="5" t="str">
        <f t="shared" si="245"/>
        <v/>
      </c>
      <c r="HM42" s="5"/>
      <c r="HN42" s="27"/>
      <c r="HP42" s="14"/>
      <c r="HQ42" s="36"/>
      <c r="HR42" s="5" t="str">
        <f t="shared" si="246"/>
        <v/>
      </c>
      <c r="HS42" s="5"/>
      <c r="HT42" s="27"/>
      <c r="HV42" s="14"/>
      <c r="HW42" s="36"/>
      <c r="HX42" s="5" t="str">
        <f t="shared" si="247"/>
        <v/>
      </c>
      <c r="HY42" s="5"/>
      <c r="HZ42" s="5"/>
      <c r="IA42" s="5"/>
      <c r="IB42" s="5" t="str">
        <f t="shared" si="248"/>
        <v/>
      </c>
      <c r="IC42" s="5"/>
      <c r="ID42" s="5"/>
      <c r="IE42" s="5"/>
      <c r="IF42" s="5" t="str">
        <f t="shared" si="226"/>
        <v/>
      </c>
      <c r="IG42" s="33" t="str">
        <f t="shared" si="227"/>
        <v/>
      </c>
      <c r="IH42" s="27"/>
      <c r="IJ42" s="14"/>
      <c r="IK42" s="36"/>
      <c r="IL42" s="5" t="str">
        <f t="shared" si="249"/>
        <v/>
      </c>
      <c r="IM42" s="5"/>
      <c r="IN42" s="5"/>
      <c r="IO42" s="5"/>
      <c r="IP42" s="5" t="str">
        <f t="shared" si="250"/>
        <v/>
      </c>
      <c r="IQ42" s="5"/>
      <c r="IR42" s="5"/>
      <c r="IS42" s="5"/>
      <c r="IT42" s="5" t="str">
        <f t="shared" si="228"/>
        <v/>
      </c>
      <c r="IU42" s="33" t="str">
        <f t="shared" si="229"/>
        <v/>
      </c>
      <c r="IV42" s="27"/>
      <c r="IX42" s="14"/>
      <c r="IY42" s="36"/>
      <c r="IZ42" s="5" t="str">
        <f t="shared" si="251"/>
        <v/>
      </c>
      <c r="JA42" s="5"/>
      <c r="JB42" s="5"/>
      <c r="JC42" s="5"/>
      <c r="JD42" s="5" t="str">
        <f t="shared" si="252"/>
        <v/>
      </c>
      <c r="JE42" s="5"/>
      <c r="JF42" s="5"/>
      <c r="JG42" s="5"/>
      <c r="JH42" s="5" t="str">
        <f t="shared" si="230"/>
        <v/>
      </c>
      <c r="JI42" s="33" t="str">
        <f t="shared" si="231"/>
        <v/>
      </c>
      <c r="JJ42" s="27"/>
      <c r="JL42" s="14"/>
      <c r="JM42" s="36"/>
      <c r="JN42" s="5" t="str">
        <f t="shared" si="253"/>
        <v/>
      </c>
      <c r="JO42" s="5"/>
      <c r="JP42" s="5"/>
      <c r="JQ42" s="5"/>
      <c r="JR42" s="5"/>
      <c r="JS42" s="5"/>
      <c r="JT42" s="5" t="str">
        <f t="shared" si="254"/>
        <v/>
      </c>
      <c r="JU42" s="5"/>
      <c r="JV42" s="5"/>
      <c r="JW42" s="5"/>
      <c r="JX42" s="5" t="str">
        <f t="shared" si="232"/>
        <v/>
      </c>
      <c r="JY42" s="33" t="str">
        <f t="shared" si="233"/>
        <v/>
      </c>
      <c r="JZ42" s="27"/>
    </row>
    <row r="43" spans="1:286" ht="15" customHeight="1" thickTop="1" x14ac:dyDescent="0.2">
      <c r="A43" s="45"/>
      <c r="B43" s="24">
        <f>SUM(D43:D46)+SUM(R43:R46)+SUM(AF43:AF46)+SUM(BV43:BV46)+SUM(GD13,GR13,EN13,FB13,FP13,HX13,IL13,IZ13,JN13,HF13,HL13,HR13)+SUM(CJ43:CJ46)+SUM(DL43:DL44)</f>
        <v>0</v>
      </c>
      <c r="C43" s="4"/>
      <c r="D43" s="4" t="str">
        <f t="shared" si="255"/>
        <v/>
      </c>
      <c r="E43" s="4"/>
      <c r="F43" s="46" t="str">
        <f t="shared" si="256"/>
        <v/>
      </c>
      <c r="G43" s="4"/>
      <c r="H43" s="4" t="str">
        <f t="shared" si="69"/>
        <v/>
      </c>
      <c r="I43" s="47"/>
      <c r="J43" s="29" t="str">
        <f t="shared" si="257"/>
        <v/>
      </c>
      <c r="K43" s="25" t="str">
        <f t="shared" si="258"/>
        <v/>
      </c>
      <c r="L43" s="46" t="str">
        <f t="shared" si="259"/>
        <v/>
      </c>
      <c r="M43" s="48" t="str">
        <f t="shared" si="260"/>
        <v/>
      </c>
      <c r="N43" s="27"/>
      <c r="P43" s="49" t="str">
        <f>IF($A43="","",$A43)</f>
        <v/>
      </c>
      <c r="Q43" s="4"/>
      <c r="R43" s="4" t="str">
        <f t="shared" si="261"/>
        <v/>
      </c>
      <c r="S43" s="4"/>
      <c r="T43" s="46" t="str">
        <f t="shared" si="262"/>
        <v/>
      </c>
      <c r="U43" s="4"/>
      <c r="V43" s="4" t="str">
        <f t="shared" si="263"/>
        <v/>
      </c>
      <c r="W43" s="47"/>
      <c r="X43" s="29" t="str">
        <f t="shared" si="264"/>
        <v/>
      </c>
      <c r="Y43" s="25" t="str">
        <f t="shared" si="265"/>
        <v/>
      </c>
      <c r="Z43" s="46" t="str">
        <f t="shared" si="266"/>
        <v/>
      </c>
      <c r="AA43" s="48" t="str">
        <f t="shared" si="267"/>
        <v/>
      </c>
      <c r="AB43" s="27"/>
      <c r="AD43" s="49" t="str">
        <f>IF($A43="","",$A43)</f>
        <v/>
      </c>
      <c r="AE43" s="4"/>
      <c r="AF43" s="4" t="str">
        <f t="shared" si="268"/>
        <v/>
      </c>
      <c r="AG43" s="4"/>
      <c r="AH43" s="46" t="str">
        <f t="shared" si="269"/>
        <v/>
      </c>
      <c r="AI43" s="4"/>
      <c r="AJ43" s="4" t="str">
        <f t="shared" si="270"/>
        <v/>
      </c>
      <c r="AK43" s="47"/>
      <c r="AL43" s="29" t="str">
        <f t="shared" si="271"/>
        <v/>
      </c>
      <c r="AM43" s="25" t="str">
        <f t="shared" si="272"/>
        <v/>
      </c>
      <c r="AN43" s="46" t="str">
        <f t="shared" si="273"/>
        <v/>
      </c>
      <c r="AO43" s="48" t="str">
        <f t="shared" si="274"/>
        <v/>
      </c>
      <c r="AP43" s="27"/>
      <c r="AR43" s="49" t="str">
        <f>IF($A43="","",$A43)</f>
        <v/>
      </c>
      <c r="AS43" s="4"/>
      <c r="AT43" s="4" t="str">
        <f t="shared" si="88"/>
        <v/>
      </c>
      <c r="AU43" s="4"/>
      <c r="AV43" s="46" t="str">
        <f t="shared" si="89"/>
        <v/>
      </c>
      <c r="AW43" s="4"/>
      <c r="AX43" s="4" t="str">
        <f t="shared" si="90"/>
        <v/>
      </c>
      <c r="AY43" s="47"/>
      <c r="AZ43" s="29" t="str">
        <f t="shared" si="91"/>
        <v/>
      </c>
      <c r="BA43" s="25" t="str">
        <f t="shared" si="92"/>
        <v/>
      </c>
      <c r="BB43" s="46" t="str">
        <f t="shared" si="93"/>
        <v/>
      </c>
      <c r="BC43" s="48" t="str">
        <f t="shared" si="94"/>
        <v/>
      </c>
      <c r="BD43" s="27"/>
      <c r="BF43" s="49" t="str">
        <f>IF($A43="","",$A43)</f>
        <v/>
      </c>
      <c r="BG43" s="4"/>
      <c r="BH43" s="4" t="str">
        <f t="shared" si="95"/>
        <v/>
      </c>
      <c r="BI43" s="4"/>
      <c r="BJ43" s="46" t="str">
        <f t="shared" si="96"/>
        <v/>
      </c>
      <c r="BK43" s="4"/>
      <c r="BL43" s="4" t="str">
        <f t="shared" si="97"/>
        <v/>
      </c>
      <c r="BM43" s="47"/>
      <c r="BN43" s="29" t="str">
        <f t="shared" si="98"/>
        <v/>
      </c>
      <c r="BO43" s="25" t="str">
        <f t="shared" si="99"/>
        <v/>
      </c>
      <c r="BP43" s="46" t="str">
        <f t="shared" si="100"/>
        <v/>
      </c>
      <c r="BQ43" s="48" t="str">
        <f t="shared" si="101"/>
        <v/>
      </c>
      <c r="BR43" s="27"/>
      <c r="BT43" s="49" t="str">
        <f>IF($A43="","",$A43)</f>
        <v/>
      </c>
      <c r="BU43" s="4"/>
      <c r="BV43" s="4" t="str">
        <f t="shared" si="275"/>
        <v/>
      </c>
      <c r="BW43" s="4"/>
      <c r="BX43" s="46" t="str">
        <f t="shared" si="276"/>
        <v/>
      </c>
      <c r="BY43" s="4"/>
      <c r="BZ43" s="4" t="str">
        <f t="shared" si="277"/>
        <v/>
      </c>
      <c r="CA43" s="47"/>
      <c r="CB43" s="29" t="str">
        <f t="shared" si="278"/>
        <v/>
      </c>
      <c r="CC43" s="25" t="str">
        <f t="shared" si="279"/>
        <v/>
      </c>
      <c r="CD43" s="46" t="str">
        <f t="shared" si="280"/>
        <v/>
      </c>
      <c r="CE43" s="48" t="str">
        <f t="shared" si="281"/>
        <v/>
      </c>
      <c r="CF43" s="27"/>
      <c r="CH43" s="49" t="str">
        <f>IF($A43="","",$A43)</f>
        <v/>
      </c>
      <c r="CI43" s="4"/>
      <c r="CJ43" s="4" t="str">
        <f t="shared" si="109"/>
        <v/>
      </c>
      <c r="CK43" s="4"/>
      <c r="CL43" s="46" t="str">
        <f t="shared" si="110"/>
        <v/>
      </c>
      <c r="CM43" s="4"/>
      <c r="CN43" s="4" t="str">
        <f t="shared" si="111"/>
        <v/>
      </c>
      <c r="CO43" s="47"/>
      <c r="CP43" s="29" t="str">
        <f t="shared" si="112"/>
        <v/>
      </c>
      <c r="CQ43" s="25" t="str">
        <f t="shared" si="113"/>
        <v/>
      </c>
      <c r="CR43" s="46" t="str">
        <f t="shared" si="114"/>
        <v/>
      </c>
      <c r="CS43" s="48" t="str">
        <f t="shared" si="115"/>
        <v/>
      </c>
      <c r="CT43" s="27"/>
      <c r="CV43" s="49" t="str">
        <f>IF($A43="","",$A43)</f>
        <v/>
      </c>
      <c r="CW43" s="4"/>
      <c r="CX43" s="4" t="str">
        <f t="shared" si="116"/>
        <v/>
      </c>
      <c r="CY43" s="4"/>
      <c r="CZ43" s="46" t="str">
        <f t="shared" si="117"/>
        <v/>
      </c>
      <c r="DA43" s="4"/>
      <c r="DB43" s="4" t="str">
        <f t="shared" si="118"/>
        <v/>
      </c>
      <c r="DC43" s="47"/>
      <c r="DD43" s="29" t="str">
        <f t="shared" si="119"/>
        <v/>
      </c>
      <c r="DE43" s="25" t="str">
        <f t="shared" si="120"/>
        <v/>
      </c>
      <c r="DF43" s="46" t="str">
        <f t="shared" si="121"/>
        <v/>
      </c>
      <c r="DG43" s="48" t="str">
        <f t="shared" si="122"/>
        <v/>
      </c>
      <c r="DH43" s="27"/>
      <c r="DJ43" s="30" t="str">
        <f>IF($A43="","",$A43)</f>
        <v/>
      </c>
      <c r="DK43" s="4"/>
      <c r="DL43" s="4" t="str">
        <f t="shared" si="282"/>
        <v/>
      </c>
      <c r="DM43" s="4"/>
      <c r="DN43" s="46" t="str">
        <f t="shared" si="283"/>
        <v/>
      </c>
      <c r="DO43" s="4"/>
      <c r="DP43" s="4" t="str">
        <f t="shared" si="125"/>
        <v/>
      </c>
      <c r="DQ43" s="47"/>
      <c r="DR43" s="29" t="str">
        <f t="shared" si="126"/>
        <v/>
      </c>
      <c r="DS43" s="25" t="str">
        <f t="shared" si="127"/>
        <v/>
      </c>
      <c r="DT43" s="46" t="str">
        <f t="shared" si="128"/>
        <v/>
      </c>
      <c r="DU43" s="48" t="str">
        <f t="shared" si="129"/>
        <v/>
      </c>
      <c r="DV43" s="27"/>
      <c r="DX43" s="30" t="str">
        <f>IF($A43="","",$A43)</f>
        <v/>
      </c>
      <c r="DY43" s="4"/>
      <c r="DZ43" s="4" t="str">
        <f t="shared" si="130"/>
        <v/>
      </c>
      <c r="EA43" s="4"/>
      <c r="EB43" s="46" t="str">
        <f t="shared" si="131"/>
        <v/>
      </c>
      <c r="EC43" s="4"/>
      <c r="ED43" s="4" t="str">
        <f t="shared" si="132"/>
        <v/>
      </c>
      <c r="EE43" s="47"/>
      <c r="EF43" s="29" t="str">
        <f t="shared" si="133"/>
        <v/>
      </c>
      <c r="EG43" s="25" t="str">
        <f t="shared" si="134"/>
        <v/>
      </c>
      <c r="EH43" s="46" t="str">
        <f t="shared" si="135"/>
        <v/>
      </c>
      <c r="EI43" s="48" t="str">
        <f t="shared" si="136"/>
        <v/>
      </c>
      <c r="EJ43" s="27"/>
      <c r="EL43" s="14"/>
      <c r="EM43" s="36"/>
      <c r="EN43" s="5" t="str">
        <f t="shared" si="234"/>
        <v/>
      </c>
      <c r="EO43" s="5"/>
      <c r="EP43" s="5"/>
      <c r="EQ43" s="5"/>
      <c r="ER43" s="5" t="str">
        <f t="shared" si="235"/>
        <v/>
      </c>
      <c r="ES43" s="5"/>
      <c r="ET43" s="5"/>
      <c r="EU43" s="5"/>
      <c r="EV43" s="5" t="str">
        <f t="shared" si="216"/>
        <v/>
      </c>
      <c r="EW43" s="33" t="str">
        <f t="shared" si="217"/>
        <v/>
      </c>
      <c r="EX43" s="27"/>
      <c r="EZ43" s="14"/>
      <c r="FA43" s="36"/>
      <c r="FB43" s="5" t="str">
        <f t="shared" si="236"/>
        <v/>
      </c>
      <c r="FC43" s="5"/>
      <c r="FD43" s="5"/>
      <c r="FE43" s="5"/>
      <c r="FF43" s="5" t="str">
        <f t="shared" si="237"/>
        <v/>
      </c>
      <c r="FG43" s="5"/>
      <c r="FH43" s="5"/>
      <c r="FI43" s="5"/>
      <c r="FJ43" s="5" t="str">
        <f t="shared" si="218"/>
        <v/>
      </c>
      <c r="FK43" s="33" t="str">
        <f t="shared" si="219"/>
        <v/>
      </c>
      <c r="FL43" s="27"/>
      <c r="FN43" s="14"/>
      <c r="FO43" s="36"/>
      <c r="FP43" s="5" t="str">
        <f t="shared" si="238"/>
        <v/>
      </c>
      <c r="FQ43" s="5"/>
      <c r="FR43" s="5"/>
      <c r="FS43" s="5"/>
      <c r="FT43" s="5" t="str">
        <f t="shared" si="239"/>
        <v/>
      </c>
      <c r="FU43" s="5"/>
      <c r="FV43" s="5"/>
      <c r="FW43" s="5"/>
      <c r="FX43" s="5" t="str">
        <f t="shared" si="220"/>
        <v/>
      </c>
      <c r="FY43" s="33" t="str">
        <f t="shared" si="221"/>
        <v/>
      </c>
      <c r="FZ43" s="27"/>
      <c r="GB43" s="14"/>
      <c r="GC43" s="36"/>
      <c r="GD43" s="5" t="str">
        <f t="shared" si="240"/>
        <v/>
      </c>
      <c r="GE43" s="5"/>
      <c r="GF43" s="5"/>
      <c r="GG43" s="5"/>
      <c r="GH43" s="5" t="str">
        <f t="shared" si="241"/>
        <v/>
      </c>
      <c r="GI43" s="5"/>
      <c r="GJ43" s="5"/>
      <c r="GK43" s="5"/>
      <c r="GL43" s="5" t="str">
        <f t="shared" si="222"/>
        <v/>
      </c>
      <c r="GM43" s="33" t="str">
        <f t="shared" si="223"/>
        <v/>
      </c>
      <c r="GN43" s="27"/>
      <c r="GP43" s="14"/>
      <c r="GQ43" s="36"/>
      <c r="GR43" s="5" t="str">
        <f t="shared" si="242"/>
        <v/>
      </c>
      <c r="GS43" s="5"/>
      <c r="GT43" s="5"/>
      <c r="GU43" s="5"/>
      <c r="GV43" s="5" t="str">
        <f t="shared" si="243"/>
        <v/>
      </c>
      <c r="GW43" s="5"/>
      <c r="GX43" s="5"/>
      <c r="GY43" s="5"/>
      <c r="GZ43" s="5" t="str">
        <f t="shared" si="224"/>
        <v/>
      </c>
      <c r="HA43" s="33" t="str">
        <f t="shared" si="225"/>
        <v/>
      </c>
      <c r="HB43" s="27"/>
      <c r="HD43" s="14"/>
      <c r="HE43" s="36"/>
      <c r="HF43" s="5" t="str">
        <f t="shared" si="244"/>
        <v/>
      </c>
      <c r="HG43" s="5"/>
      <c r="HH43" s="27"/>
      <c r="HJ43" s="14"/>
      <c r="HK43" s="36"/>
      <c r="HL43" s="5" t="str">
        <f t="shared" si="245"/>
        <v/>
      </c>
      <c r="HM43" s="5"/>
      <c r="HN43" s="27"/>
      <c r="HP43" s="14"/>
      <c r="HQ43" s="36"/>
      <c r="HR43" s="5" t="str">
        <f t="shared" si="246"/>
        <v/>
      </c>
      <c r="HS43" s="5"/>
      <c r="HT43" s="27"/>
      <c r="HV43" s="14"/>
      <c r="HW43" s="36"/>
      <c r="HX43" s="5" t="str">
        <f t="shared" si="247"/>
        <v/>
      </c>
      <c r="HY43" s="5"/>
      <c r="HZ43" s="5"/>
      <c r="IA43" s="5"/>
      <c r="IB43" s="5" t="str">
        <f t="shared" si="248"/>
        <v/>
      </c>
      <c r="IC43" s="5"/>
      <c r="ID43" s="5"/>
      <c r="IE43" s="5"/>
      <c r="IF43" s="5" t="str">
        <f t="shared" si="226"/>
        <v/>
      </c>
      <c r="IG43" s="33" t="str">
        <f t="shared" si="227"/>
        <v/>
      </c>
      <c r="IH43" s="27"/>
      <c r="IJ43" s="14"/>
      <c r="IK43" s="36"/>
      <c r="IL43" s="5" t="str">
        <f t="shared" si="249"/>
        <v/>
      </c>
      <c r="IM43" s="5"/>
      <c r="IN43" s="5"/>
      <c r="IO43" s="5"/>
      <c r="IP43" s="5" t="str">
        <f t="shared" si="250"/>
        <v/>
      </c>
      <c r="IQ43" s="5"/>
      <c r="IR43" s="5"/>
      <c r="IS43" s="5"/>
      <c r="IT43" s="5" t="str">
        <f t="shared" si="228"/>
        <v/>
      </c>
      <c r="IU43" s="33" t="str">
        <f t="shared" si="229"/>
        <v/>
      </c>
      <c r="IV43" s="27"/>
      <c r="IX43" s="14"/>
      <c r="IY43" s="36"/>
      <c r="IZ43" s="5" t="str">
        <f t="shared" si="251"/>
        <v/>
      </c>
      <c r="JA43" s="5"/>
      <c r="JB43" s="5"/>
      <c r="JC43" s="5"/>
      <c r="JD43" s="5" t="str">
        <f t="shared" si="252"/>
        <v/>
      </c>
      <c r="JE43" s="5"/>
      <c r="JF43" s="5"/>
      <c r="JG43" s="5"/>
      <c r="JH43" s="5" t="str">
        <f t="shared" si="230"/>
        <v/>
      </c>
      <c r="JI43" s="33" t="str">
        <f t="shared" si="231"/>
        <v/>
      </c>
      <c r="JJ43" s="27"/>
      <c r="JL43" s="14"/>
      <c r="JM43" s="36"/>
      <c r="JN43" s="5" t="str">
        <f t="shared" si="253"/>
        <v/>
      </c>
      <c r="JO43" s="5"/>
      <c r="JP43" s="5"/>
      <c r="JQ43" s="5"/>
      <c r="JR43" s="5"/>
      <c r="JS43" s="5"/>
      <c r="JT43" s="5" t="str">
        <f t="shared" si="254"/>
        <v/>
      </c>
      <c r="JU43" s="5"/>
      <c r="JV43" s="5"/>
      <c r="JW43" s="5"/>
      <c r="JX43" s="5" t="str">
        <f t="shared" si="232"/>
        <v/>
      </c>
      <c r="JY43" s="33" t="str">
        <f t="shared" si="233"/>
        <v/>
      </c>
      <c r="JZ43" s="27"/>
    </row>
    <row r="44" spans="1:286" ht="15" customHeight="1" x14ac:dyDescent="0.2">
      <c r="A44" s="50"/>
      <c r="B44" s="34"/>
      <c r="C44" s="4"/>
      <c r="D44" s="5" t="str">
        <f t="shared" si="255"/>
        <v/>
      </c>
      <c r="E44" s="5"/>
      <c r="F44" s="5" t="str">
        <f t="shared" si="256"/>
        <v/>
      </c>
      <c r="G44" s="5"/>
      <c r="H44" s="5" t="str">
        <f t="shared" si="69"/>
        <v/>
      </c>
      <c r="I44" s="32"/>
      <c r="J44" s="35" t="str">
        <f t="shared" si="257"/>
        <v/>
      </c>
      <c r="K44" s="36" t="str">
        <f t="shared" si="258"/>
        <v/>
      </c>
      <c r="L44" s="5" t="str">
        <f t="shared" si="259"/>
        <v/>
      </c>
      <c r="M44" s="33" t="str">
        <f t="shared" si="260"/>
        <v/>
      </c>
      <c r="N44" s="27"/>
      <c r="P44" s="50"/>
      <c r="Q44" s="4"/>
      <c r="R44" s="5" t="str">
        <f t="shared" si="261"/>
        <v/>
      </c>
      <c r="S44" s="5"/>
      <c r="T44" s="5" t="str">
        <f t="shared" si="262"/>
        <v/>
      </c>
      <c r="U44" s="5"/>
      <c r="V44" s="5" t="str">
        <f t="shared" si="263"/>
        <v/>
      </c>
      <c r="W44" s="32"/>
      <c r="X44" s="35" t="str">
        <f t="shared" si="264"/>
        <v/>
      </c>
      <c r="Y44" s="36" t="str">
        <f t="shared" si="265"/>
        <v/>
      </c>
      <c r="Z44" s="5" t="str">
        <f t="shared" si="266"/>
        <v/>
      </c>
      <c r="AA44" s="33" t="str">
        <f t="shared" si="267"/>
        <v/>
      </c>
      <c r="AB44" s="27"/>
      <c r="AD44" s="50"/>
      <c r="AE44" s="4"/>
      <c r="AF44" s="5" t="str">
        <f t="shared" si="268"/>
        <v/>
      </c>
      <c r="AG44" s="5"/>
      <c r="AH44" s="5" t="str">
        <f t="shared" si="269"/>
        <v/>
      </c>
      <c r="AI44" s="5"/>
      <c r="AJ44" s="5" t="str">
        <f t="shared" si="270"/>
        <v/>
      </c>
      <c r="AK44" s="32"/>
      <c r="AL44" s="35" t="str">
        <f t="shared" si="271"/>
        <v/>
      </c>
      <c r="AM44" s="36" t="str">
        <f t="shared" si="272"/>
        <v/>
      </c>
      <c r="AN44" s="5" t="str">
        <f t="shared" si="273"/>
        <v/>
      </c>
      <c r="AO44" s="33" t="str">
        <f t="shared" si="274"/>
        <v/>
      </c>
      <c r="AP44" s="27"/>
      <c r="AR44" s="50"/>
      <c r="AS44" s="4"/>
      <c r="AT44" s="5" t="str">
        <f t="shared" si="88"/>
        <v/>
      </c>
      <c r="AU44" s="5"/>
      <c r="AV44" s="5" t="str">
        <f t="shared" si="89"/>
        <v/>
      </c>
      <c r="AW44" s="5"/>
      <c r="AX44" s="5" t="str">
        <f t="shared" si="90"/>
        <v/>
      </c>
      <c r="AY44" s="32"/>
      <c r="AZ44" s="35" t="str">
        <f t="shared" si="91"/>
        <v/>
      </c>
      <c r="BA44" s="36" t="str">
        <f t="shared" si="92"/>
        <v/>
      </c>
      <c r="BB44" s="5" t="str">
        <f t="shared" si="93"/>
        <v/>
      </c>
      <c r="BC44" s="33" t="str">
        <f t="shared" si="94"/>
        <v/>
      </c>
      <c r="BD44" s="27"/>
      <c r="BF44" s="50"/>
      <c r="BG44" s="4"/>
      <c r="BH44" s="5" t="str">
        <f t="shared" si="95"/>
        <v/>
      </c>
      <c r="BI44" s="5"/>
      <c r="BJ44" s="5" t="str">
        <f t="shared" si="96"/>
        <v/>
      </c>
      <c r="BK44" s="5"/>
      <c r="BL44" s="5" t="str">
        <f t="shared" si="97"/>
        <v/>
      </c>
      <c r="BM44" s="32"/>
      <c r="BN44" s="35" t="str">
        <f t="shared" si="98"/>
        <v/>
      </c>
      <c r="BO44" s="36" t="str">
        <f t="shared" si="99"/>
        <v/>
      </c>
      <c r="BP44" s="5" t="str">
        <f t="shared" si="100"/>
        <v/>
      </c>
      <c r="BQ44" s="33" t="str">
        <f t="shared" si="101"/>
        <v/>
      </c>
      <c r="BR44" s="27"/>
      <c r="BT44" s="50"/>
      <c r="BU44" s="4"/>
      <c r="BV44" s="5" t="str">
        <f t="shared" si="275"/>
        <v/>
      </c>
      <c r="BW44" s="5"/>
      <c r="BX44" s="5" t="str">
        <f t="shared" si="276"/>
        <v/>
      </c>
      <c r="BY44" s="5"/>
      <c r="BZ44" s="5" t="str">
        <f t="shared" si="277"/>
        <v/>
      </c>
      <c r="CA44" s="32"/>
      <c r="CB44" s="35" t="str">
        <f t="shared" si="278"/>
        <v/>
      </c>
      <c r="CC44" s="36" t="str">
        <f t="shared" si="279"/>
        <v/>
      </c>
      <c r="CD44" s="5" t="str">
        <f t="shared" si="280"/>
        <v/>
      </c>
      <c r="CE44" s="33" t="str">
        <f t="shared" si="281"/>
        <v/>
      </c>
      <c r="CF44" s="27"/>
      <c r="CH44" s="50"/>
      <c r="CI44" s="4"/>
      <c r="CJ44" s="5" t="str">
        <f t="shared" si="109"/>
        <v/>
      </c>
      <c r="CK44" s="5"/>
      <c r="CL44" s="5" t="str">
        <f t="shared" si="110"/>
        <v/>
      </c>
      <c r="CM44" s="5"/>
      <c r="CN44" s="5" t="str">
        <f t="shared" si="111"/>
        <v/>
      </c>
      <c r="CO44" s="32"/>
      <c r="CP44" s="35" t="str">
        <f t="shared" si="112"/>
        <v/>
      </c>
      <c r="CQ44" s="36" t="str">
        <f t="shared" si="113"/>
        <v/>
      </c>
      <c r="CR44" s="5" t="str">
        <f t="shared" si="114"/>
        <v/>
      </c>
      <c r="CS44" s="33" t="str">
        <f t="shared" si="115"/>
        <v/>
      </c>
      <c r="CT44" s="27"/>
      <c r="CV44" s="50"/>
      <c r="CW44" s="4"/>
      <c r="CX44" s="5" t="str">
        <f t="shared" si="116"/>
        <v/>
      </c>
      <c r="CY44" s="5"/>
      <c r="CZ44" s="5" t="str">
        <f t="shared" si="117"/>
        <v/>
      </c>
      <c r="DA44" s="5"/>
      <c r="DB44" s="5" t="str">
        <f t="shared" si="118"/>
        <v/>
      </c>
      <c r="DC44" s="32"/>
      <c r="DD44" s="35" t="str">
        <f t="shared" si="119"/>
        <v/>
      </c>
      <c r="DE44" s="36" t="str">
        <f t="shared" si="120"/>
        <v/>
      </c>
      <c r="DF44" s="5" t="str">
        <f t="shared" si="121"/>
        <v/>
      </c>
      <c r="DG44" s="33" t="str">
        <f t="shared" si="122"/>
        <v/>
      </c>
      <c r="DH44" s="27"/>
      <c r="DJ44" s="23"/>
      <c r="DK44" s="4"/>
      <c r="DL44" s="5" t="str">
        <f t="shared" si="282"/>
        <v/>
      </c>
      <c r="DM44" s="5"/>
      <c r="DN44" s="5" t="str">
        <f t="shared" si="283"/>
        <v/>
      </c>
      <c r="DO44" s="5"/>
      <c r="DP44" s="5" t="str">
        <f t="shared" si="125"/>
        <v/>
      </c>
      <c r="DQ44" s="32"/>
      <c r="DR44" s="35" t="str">
        <f t="shared" si="126"/>
        <v/>
      </c>
      <c r="DS44" s="36" t="str">
        <f t="shared" si="127"/>
        <v/>
      </c>
      <c r="DT44" s="5" t="str">
        <f t="shared" si="128"/>
        <v/>
      </c>
      <c r="DU44" s="33" t="str">
        <f t="shared" si="129"/>
        <v/>
      </c>
      <c r="DV44" s="27"/>
      <c r="DX44" s="23"/>
      <c r="DY44" s="4"/>
      <c r="DZ44" s="5" t="str">
        <f t="shared" si="130"/>
        <v/>
      </c>
      <c r="EA44" s="5"/>
      <c r="EB44" s="5" t="str">
        <f t="shared" si="131"/>
        <v/>
      </c>
      <c r="EC44" s="5"/>
      <c r="ED44" s="5" t="str">
        <f t="shared" si="132"/>
        <v/>
      </c>
      <c r="EE44" s="32"/>
      <c r="EF44" s="35" t="str">
        <f t="shared" si="133"/>
        <v/>
      </c>
      <c r="EG44" s="36" t="str">
        <f t="shared" si="134"/>
        <v/>
      </c>
      <c r="EH44" s="5" t="str">
        <f t="shared" si="135"/>
        <v/>
      </c>
      <c r="EI44" s="33" t="str">
        <f t="shared" si="136"/>
        <v/>
      </c>
      <c r="EJ44" s="27"/>
      <c r="EL44" s="14"/>
      <c r="EM44" s="36"/>
      <c r="EN44" s="5" t="str">
        <f t="shared" si="234"/>
        <v/>
      </c>
      <c r="EO44" s="5"/>
      <c r="EP44" s="5"/>
      <c r="EQ44" s="5"/>
      <c r="ER44" s="5" t="str">
        <f t="shared" si="235"/>
        <v/>
      </c>
      <c r="ES44" s="5"/>
      <c r="ET44" s="5"/>
      <c r="EU44" s="5"/>
      <c r="EV44" s="5" t="str">
        <f t="shared" si="216"/>
        <v/>
      </c>
      <c r="EW44" s="33" t="str">
        <f t="shared" si="217"/>
        <v/>
      </c>
      <c r="EX44" s="27"/>
      <c r="EZ44" s="14"/>
      <c r="FA44" s="36"/>
      <c r="FB44" s="5" t="str">
        <f t="shared" si="236"/>
        <v/>
      </c>
      <c r="FC44" s="5"/>
      <c r="FD44" s="5"/>
      <c r="FE44" s="5"/>
      <c r="FF44" s="5" t="str">
        <f t="shared" si="237"/>
        <v/>
      </c>
      <c r="FG44" s="5"/>
      <c r="FH44" s="5"/>
      <c r="FI44" s="5"/>
      <c r="FJ44" s="5" t="str">
        <f t="shared" si="218"/>
        <v/>
      </c>
      <c r="FK44" s="33" t="str">
        <f t="shared" si="219"/>
        <v/>
      </c>
      <c r="FL44" s="27"/>
      <c r="FN44" s="14"/>
      <c r="FO44" s="36"/>
      <c r="FP44" s="5" t="str">
        <f t="shared" si="238"/>
        <v/>
      </c>
      <c r="FQ44" s="5"/>
      <c r="FR44" s="5"/>
      <c r="FS44" s="5"/>
      <c r="FT44" s="5" t="str">
        <f t="shared" si="239"/>
        <v/>
      </c>
      <c r="FU44" s="5"/>
      <c r="FV44" s="5"/>
      <c r="FW44" s="5"/>
      <c r="FX44" s="5" t="str">
        <f t="shared" si="220"/>
        <v/>
      </c>
      <c r="FY44" s="33" t="str">
        <f t="shared" si="221"/>
        <v/>
      </c>
      <c r="FZ44" s="27"/>
      <c r="GB44" s="14"/>
      <c r="GC44" s="36"/>
      <c r="GD44" s="5" t="str">
        <f t="shared" si="240"/>
        <v/>
      </c>
      <c r="GE44" s="5"/>
      <c r="GF44" s="5"/>
      <c r="GG44" s="5"/>
      <c r="GH44" s="5" t="str">
        <f t="shared" si="241"/>
        <v/>
      </c>
      <c r="GI44" s="5"/>
      <c r="GJ44" s="5"/>
      <c r="GK44" s="5"/>
      <c r="GL44" s="5" t="str">
        <f t="shared" si="222"/>
        <v/>
      </c>
      <c r="GM44" s="33" t="str">
        <f t="shared" si="223"/>
        <v/>
      </c>
      <c r="GN44" s="27"/>
      <c r="GP44" s="14"/>
      <c r="GQ44" s="36"/>
      <c r="GR44" s="5" t="str">
        <f t="shared" si="242"/>
        <v/>
      </c>
      <c r="GS44" s="5"/>
      <c r="GT44" s="5"/>
      <c r="GU44" s="5"/>
      <c r="GV44" s="5" t="str">
        <f t="shared" si="243"/>
        <v/>
      </c>
      <c r="GW44" s="5"/>
      <c r="GX44" s="5"/>
      <c r="GY44" s="5"/>
      <c r="GZ44" s="5" t="str">
        <f t="shared" si="224"/>
        <v/>
      </c>
      <c r="HA44" s="33" t="str">
        <f t="shared" si="225"/>
        <v/>
      </c>
      <c r="HB44" s="27"/>
      <c r="HD44" s="14"/>
      <c r="HE44" s="36"/>
      <c r="HF44" s="5" t="str">
        <f t="shared" si="244"/>
        <v/>
      </c>
      <c r="HG44" s="5"/>
      <c r="HH44" s="27"/>
      <c r="HJ44" s="14"/>
      <c r="HK44" s="36"/>
      <c r="HL44" s="5" t="str">
        <f t="shared" si="245"/>
        <v/>
      </c>
      <c r="HM44" s="5"/>
      <c r="HN44" s="27"/>
      <c r="HP44" s="14"/>
      <c r="HQ44" s="36"/>
      <c r="HR44" s="5" t="str">
        <f t="shared" si="246"/>
        <v/>
      </c>
      <c r="HS44" s="5"/>
      <c r="HT44" s="27"/>
      <c r="HV44" s="14"/>
      <c r="HW44" s="36"/>
      <c r="HX44" s="5" t="str">
        <f t="shared" si="247"/>
        <v/>
      </c>
      <c r="HY44" s="5"/>
      <c r="HZ44" s="5"/>
      <c r="IA44" s="5"/>
      <c r="IB44" s="5" t="str">
        <f t="shared" si="248"/>
        <v/>
      </c>
      <c r="IC44" s="5"/>
      <c r="ID44" s="5"/>
      <c r="IE44" s="5"/>
      <c r="IF44" s="5" t="str">
        <f t="shared" si="226"/>
        <v/>
      </c>
      <c r="IG44" s="33" t="str">
        <f t="shared" si="227"/>
        <v/>
      </c>
      <c r="IH44" s="27"/>
      <c r="IJ44" s="14"/>
      <c r="IK44" s="36"/>
      <c r="IL44" s="5" t="str">
        <f t="shared" si="249"/>
        <v/>
      </c>
      <c r="IM44" s="5"/>
      <c r="IN44" s="5"/>
      <c r="IO44" s="5"/>
      <c r="IP44" s="5" t="str">
        <f t="shared" si="250"/>
        <v/>
      </c>
      <c r="IQ44" s="5"/>
      <c r="IR44" s="5"/>
      <c r="IS44" s="5"/>
      <c r="IT44" s="5" t="str">
        <f t="shared" si="228"/>
        <v/>
      </c>
      <c r="IU44" s="33" t="str">
        <f t="shared" si="229"/>
        <v/>
      </c>
      <c r="IV44" s="27"/>
      <c r="IX44" s="14"/>
      <c r="IY44" s="36"/>
      <c r="IZ44" s="5" t="str">
        <f t="shared" si="251"/>
        <v/>
      </c>
      <c r="JA44" s="5"/>
      <c r="JB44" s="5"/>
      <c r="JC44" s="5"/>
      <c r="JD44" s="5" t="str">
        <f t="shared" si="252"/>
        <v/>
      </c>
      <c r="JE44" s="5"/>
      <c r="JF44" s="5"/>
      <c r="JG44" s="5"/>
      <c r="JH44" s="5" t="str">
        <f t="shared" si="230"/>
        <v/>
      </c>
      <c r="JI44" s="33" t="str">
        <f t="shared" si="231"/>
        <v/>
      </c>
      <c r="JJ44" s="27"/>
      <c r="JL44" s="14"/>
      <c r="JM44" s="36"/>
      <c r="JN44" s="5" t="str">
        <f t="shared" si="253"/>
        <v/>
      </c>
      <c r="JO44" s="5"/>
      <c r="JP44" s="5"/>
      <c r="JQ44" s="5"/>
      <c r="JR44" s="5"/>
      <c r="JS44" s="5"/>
      <c r="JT44" s="5" t="str">
        <f t="shared" si="254"/>
        <v/>
      </c>
      <c r="JU44" s="5"/>
      <c r="JV44" s="5"/>
      <c r="JW44" s="5"/>
      <c r="JX44" s="5" t="str">
        <f t="shared" si="232"/>
        <v/>
      </c>
      <c r="JY44" s="33" t="str">
        <f t="shared" si="233"/>
        <v/>
      </c>
      <c r="JZ44" s="27"/>
    </row>
    <row r="45" spans="1:286" ht="15" customHeight="1" x14ac:dyDescent="0.2">
      <c r="A45" s="50"/>
      <c r="B45" s="34"/>
      <c r="C45" s="53"/>
      <c r="D45" s="5" t="str">
        <f t="shared" si="255"/>
        <v/>
      </c>
      <c r="E45" s="5"/>
      <c r="F45" s="5" t="str">
        <f t="shared" si="256"/>
        <v/>
      </c>
      <c r="G45" s="5"/>
      <c r="H45" s="5" t="str">
        <f t="shared" si="69"/>
        <v/>
      </c>
      <c r="I45" s="32"/>
      <c r="J45" s="35" t="str">
        <f t="shared" si="257"/>
        <v/>
      </c>
      <c r="K45" s="5" t="str">
        <f t="shared" si="258"/>
        <v/>
      </c>
      <c r="L45" s="5" t="str">
        <f t="shared" si="259"/>
        <v/>
      </c>
      <c r="M45" s="33" t="str">
        <f t="shared" si="260"/>
        <v/>
      </c>
      <c r="N45" s="27"/>
      <c r="P45" s="50"/>
      <c r="Q45" s="53"/>
      <c r="R45" s="5" t="str">
        <f t="shared" si="261"/>
        <v/>
      </c>
      <c r="S45" s="5"/>
      <c r="T45" s="5" t="str">
        <f t="shared" si="262"/>
        <v/>
      </c>
      <c r="U45" s="5"/>
      <c r="V45" s="5" t="str">
        <f t="shared" si="263"/>
        <v/>
      </c>
      <c r="W45" s="32"/>
      <c r="X45" s="35" t="str">
        <f t="shared" si="264"/>
        <v/>
      </c>
      <c r="Y45" s="5" t="str">
        <f t="shared" si="265"/>
        <v/>
      </c>
      <c r="Z45" s="5" t="str">
        <f t="shared" si="266"/>
        <v/>
      </c>
      <c r="AA45" s="33" t="str">
        <f t="shared" si="267"/>
        <v/>
      </c>
      <c r="AB45" s="27"/>
      <c r="AD45" s="50"/>
      <c r="AE45" s="53"/>
      <c r="AF45" s="5" t="str">
        <f t="shared" si="268"/>
        <v/>
      </c>
      <c r="AG45" s="5"/>
      <c r="AH45" s="5" t="str">
        <f t="shared" si="269"/>
        <v/>
      </c>
      <c r="AI45" s="5"/>
      <c r="AJ45" s="5" t="str">
        <f t="shared" si="270"/>
        <v/>
      </c>
      <c r="AK45" s="32"/>
      <c r="AL45" s="35" t="str">
        <f t="shared" si="271"/>
        <v/>
      </c>
      <c r="AM45" s="5" t="str">
        <f t="shared" si="272"/>
        <v/>
      </c>
      <c r="AN45" s="5" t="str">
        <f t="shared" si="273"/>
        <v/>
      </c>
      <c r="AO45" s="33" t="str">
        <f t="shared" si="274"/>
        <v/>
      </c>
      <c r="AP45" s="27"/>
      <c r="AR45" s="50"/>
      <c r="AS45" s="53"/>
      <c r="AT45" s="5" t="str">
        <f t="shared" si="88"/>
        <v/>
      </c>
      <c r="AU45" s="5"/>
      <c r="AV45" s="5" t="str">
        <f t="shared" si="89"/>
        <v/>
      </c>
      <c r="AW45" s="5"/>
      <c r="AX45" s="5" t="str">
        <f t="shared" si="90"/>
        <v/>
      </c>
      <c r="AY45" s="32"/>
      <c r="AZ45" s="35" t="str">
        <f t="shared" si="91"/>
        <v/>
      </c>
      <c r="BA45" s="5" t="str">
        <f t="shared" si="92"/>
        <v/>
      </c>
      <c r="BB45" s="5" t="str">
        <f t="shared" si="93"/>
        <v/>
      </c>
      <c r="BC45" s="33" t="str">
        <f t="shared" si="94"/>
        <v/>
      </c>
      <c r="BD45" s="27"/>
      <c r="BF45" s="50"/>
      <c r="BG45" s="53"/>
      <c r="BH45" s="5" t="str">
        <f t="shared" si="95"/>
        <v/>
      </c>
      <c r="BI45" s="5"/>
      <c r="BJ45" s="5" t="str">
        <f t="shared" si="96"/>
        <v/>
      </c>
      <c r="BK45" s="5"/>
      <c r="BL45" s="5" t="str">
        <f t="shared" si="97"/>
        <v/>
      </c>
      <c r="BM45" s="32"/>
      <c r="BN45" s="35" t="str">
        <f t="shared" si="98"/>
        <v/>
      </c>
      <c r="BO45" s="5" t="str">
        <f t="shared" si="99"/>
        <v/>
      </c>
      <c r="BP45" s="5" t="str">
        <f t="shared" si="100"/>
        <v/>
      </c>
      <c r="BQ45" s="33" t="str">
        <f t="shared" si="101"/>
        <v/>
      </c>
      <c r="BR45" s="27"/>
      <c r="BT45" s="50"/>
      <c r="BU45" s="53"/>
      <c r="BV45" s="5" t="str">
        <f t="shared" si="275"/>
        <v/>
      </c>
      <c r="BW45" s="5"/>
      <c r="BX45" s="5" t="str">
        <f t="shared" si="276"/>
        <v/>
      </c>
      <c r="BY45" s="5"/>
      <c r="BZ45" s="5" t="str">
        <f t="shared" si="277"/>
        <v/>
      </c>
      <c r="CA45" s="32"/>
      <c r="CB45" s="35" t="str">
        <f t="shared" si="278"/>
        <v/>
      </c>
      <c r="CC45" s="5" t="str">
        <f t="shared" si="279"/>
        <v/>
      </c>
      <c r="CD45" s="5" t="str">
        <f t="shared" si="280"/>
        <v/>
      </c>
      <c r="CE45" s="33" t="str">
        <f t="shared" si="281"/>
        <v/>
      </c>
      <c r="CF45" s="27"/>
      <c r="CH45" s="50"/>
      <c r="CI45" s="53"/>
      <c r="CJ45" s="5" t="str">
        <f t="shared" si="109"/>
        <v/>
      </c>
      <c r="CK45" s="5"/>
      <c r="CL45" s="5" t="str">
        <f t="shared" si="110"/>
        <v/>
      </c>
      <c r="CM45" s="5"/>
      <c r="CN45" s="5" t="str">
        <f t="shared" si="111"/>
        <v/>
      </c>
      <c r="CO45" s="32"/>
      <c r="CP45" s="35" t="str">
        <f t="shared" si="112"/>
        <v/>
      </c>
      <c r="CQ45" s="5" t="str">
        <f t="shared" si="113"/>
        <v/>
      </c>
      <c r="CR45" s="5" t="str">
        <f t="shared" si="114"/>
        <v/>
      </c>
      <c r="CS45" s="33" t="str">
        <f t="shared" si="115"/>
        <v/>
      </c>
      <c r="CT45" s="27"/>
      <c r="CV45" s="50"/>
      <c r="CW45" s="53"/>
      <c r="CX45" s="5" t="str">
        <f t="shared" si="116"/>
        <v/>
      </c>
      <c r="CY45" s="5"/>
      <c r="CZ45" s="5" t="str">
        <f t="shared" si="117"/>
        <v/>
      </c>
      <c r="DA45" s="5"/>
      <c r="DB45" s="5" t="str">
        <f t="shared" si="118"/>
        <v/>
      </c>
      <c r="DC45" s="32"/>
      <c r="DD45" s="35" t="str">
        <f t="shared" si="119"/>
        <v/>
      </c>
      <c r="DE45" s="5" t="str">
        <f t="shared" si="120"/>
        <v/>
      </c>
      <c r="DF45" s="5" t="str">
        <f t="shared" si="121"/>
        <v/>
      </c>
      <c r="DG45" s="33" t="str">
        <f t="shared" si="122"/>
        <v/>
      </c>
      <c r="DH45" s="27"/>
      <c r="DJ45" s="23"/>
      <c r="DK45" s="53"/>
      <c r="DL45" s="5" t="str">
        <f t="shared" si="282"/>
        <v/>
      </c>
      <c r="DM45" s="5"/>
      <c r="DN45" s="5" t="str">
        <f t="shared" si="283"/>
        <v/>
      </c>
      <c r="DO45" s="5"/>
      <c r="DP45" s="5" t="str">
        <f t="shared" si="125"/>
        <v/>
      </c>
      <c r="DQ45" s="32"/>
      <c r="DR45" s="35" t="str">
        <f t="shared" si="126"/>
        <v/>
      </c>
      <c r="DS45" s="5" t="str">
        <f t="shared" si="127"/>
        <v/>
      </c>
      <c r="DT45" s="5" t="str">
        <f t="shared" si="128"/>
        <v/>
      </c>
      <c r="DU45" s="33" t="str">
        <f t="shared" si="129"/>
        <v/>
      </c>
      <c r="DV45" s="27"/>
      <c r="DX45" s="23"/>
      <c r="DY45" s="53"/>
      <c r="DZ45" s="5" t="str">
        <f t="shared" si="130"/>
        <v/>
      </c>
      <c r="EA45" s="5"/>
      <c r="EB45" s="5" t="str">
        <f t="shared" si="131"/>
        <v/>
      </c>
      <c r="EC45" s="5"/>
      <c r="ED45" s="5" t="str">
        <f t="shared" si="132"/>
        <v/>
      </c>
      <c r="EE45" s="32"/>
      <c r="EF45" s="35" t="str">
        <f t="shared" si="133"/>
        <v/>
      </c>
      <c r="EG45" s="5" t="str">
        <f t="shared" si="134"/>
        <v/>
      </c>
      <c r="EH45" s="5" t="str">
        <f t="shared" si="135"/>
        <v/>
      </c>
      <c r="EI45" s="33" t="str">
        <f t="shared" si="136"/>
        <v/>
      </c>
      <c r="EJ45" s="27"/>
      <c r="EL45" s="14"/>
      <c r="EM45" s="36"/>
      <c r="EN45" s="5" t="str">
        <f t="shared" si="234"/>
        <v/>
      </c>
      <c r="EO45" s="5"/>
      <c r="EP45" s="5"/>
      <c r="EQ45" s="5"/>
      <c r="ER45" s="5" t="str">
        <f t="shared" si="235"/>
        <v/>
      </c>
      <c r="ES45" s="5"/>
      <c r="ET45" s="5"/>
      <c r="EU45" s="5"/>
      <c r="EV45" s="5" t="str">
        <f t="shared" si="216"/>
        <v/>
      </c>
      <c r="EW45" s="33" t="str">
        <f t="shared" si="217"/>
        <v/>
      </c>
      <c r="EX45" s="27"/>
      <c r="EZ45" s="14"/>
      <c r="FA45" s="36"/>
      <c r="FB45" s="5" t="str">
        <f t="shared" si="236"/>
        <v/>
      </c>
      <c r="FC45" s="5"/>
      <c r="FD45" s="5"/>
      <c r="FE45" s="5"/>
      <c r="FF45" s="5" t="str">
        <f t="shared" si="237"/>
        <v/>
      </c>
      <c r="FG45" s="5"/>
      <c r="FH45" s="5"/>
      <c r="FI45" s="5"/>
      <c r="FJ45" s="5" t="str">
        <f t="shared" si="218"/>
        <v/>
      </c>
      <c r="FK45" s="33" t="str">
        <f t="shared" si="219"/>
        <v/>
      </c>
      <c r="FL45" s="27"/>
      <c r="FN45" s="14"/>
      <c r="FO45" s="36"/>
      <c r="FP45" s="5" t="str">
        <f t="shared" si="238"/>
        <v/>
      </c>
      <c r="FQ45" s="5"/>
      <c r="FR45" s="5"/>
      <c r="FS45" s="5"/>
      <c r="FT45" s="5" t="str">
        <f t="shared" si="239"/>
        <v/>
      </c>
      <c r="FU45" s="5"/>
      <c r="FV45" s="5"/>
      <c r="FW45" s="5"/>
      <c r="FX45" s="5" t="str">
        <f t="shared" si="220"/>
        <v/>
      </c>
      <c r="FY45" s="33" t="str">
        <f t="shared" si="221"/>
        <v/>
      </c>
      <c r="FZ45" s="27"/>
      <c r="GB45" s="14"/>
      <c r="GC45" s="36"/>
      <c r="GD45" s="5" t="str">
        <f t="shared" si="240"/>
        <v/>
      </c>
      <c r="GE45" s="5"/>
      <c r="GF45" s="5"/>
      <c r="GG45" s="5"/>
      <c r="GH45" s="5" t="str">
        <f t="shared" si="241"/>
        <v/>
      </c>
      <c r="GI45" s="5"/>
      <c r="GJ45" s="5"/>
      <c r="GK45" s="5"/>
      <c r="GL45" s="5" t="str">
        <f t="shared" si="222"/>
        <v/>
      </c>
      <c r="GM45" s="33" t="str">
        <f t="shared" si="223"/>
        <v/>
      </c>
      <c r="GN45" s="27"/>
      <c r="GP45" s="14"/>
      <c r="GQ45" s="36"/>
      <c r="GR45" s="5" t="str">
        <f t="shared" si="242"/>
        <v/>
      </c>
      <c r="GS45" s="5"/>
      <c r="GT45" s="5"/>
      <c r="GU45" s="5"/>
      <c r="GV45" s="5" t="str">
        <f t="shared" si="243"/>
        <v/>
      </c>
      <c r="GW45" s="5"/>
      <c r="GX45" s="5"/>
      <c r="GY45" s="5"/>
      <c r="GZ45" s="5" t="str">
        <f t="shared" si="224"/>
        <v/>
      </c>
      <c r="HA45" s="33" t="str">
        <f t="shared" si="225"/>
        <v/>
      </c>
      <c r="HB45" s="27"/>
      <c r="HD45" s="14"/>
      <c r="HE45" s="36"/>
      <c r="HF45" s="5" t="str">
        <f t="shared" si="244"/>
        <v/>
      </c>
      <c r="HG45" s="5"/>
      <c r="HH45" s="27"/>
      <c r="HJ45" s="14"/>
      <c r="HK45" s="36"/>
      <c r="HL45" s="5" t="str">
        <f t="shared" si="245"/>
        <v/>
      </c>
      <c r="HM45" s="5"/>
      <c r="HN45" s="27"/>
      <c r="HP45" s="14"/>
      <c r="HQ45" s="36"/>
      <c r="HR45" s="5" t="str">
        <f t="shared" si="246"/>
        <v/>
      </c>
      <c r="HS45" s="5"/>
      <c r="HT45" s="27"/>
      <c r="HV45" s="14"/>
      <c r="HW45" s="36"/>
      <c r="HX45" s="5" t="str">
        <f t="shared" si="247"/>
        <v/>
      </c>
      <c r="HY45" s="5"/>
      <c r="HZ45" s="5"/>
      <c r="IA45" s="5"/>
      <c r="IB45" s="5" t="str">
        <f t="shared" si="248"/>
        <v/>
      </c>
      <c r="IC45" s="5"/>
      <c r="ID45" s="5"/>
      <c r="IE45" s="5"/>
      <c r="IF45" s="5" t="str">
        <f t="shared" si="226"/>
        <v/>
      </c>
      <c r="IG45" s="33" t="str">
        <f t="shared" si="227"/>
        <v/>
      </c>
      <c r="IH45" s="27"/>
      <c r="IJ45" s="14"/>
      <c r="IK45" s="36"/>
      <c r="IL45" s="5" t="str">
        <f t="shared" si="249"/>
        <v/>
      </c>
      <c r="IM45" s="5"/>
      <c r="IN45" s="5"/>
      <c r="IO45" s="5"/>
      <c r="IP45" s="5" t="str">
        <f t="shared" si="250"/>
        <v/>
      </c>
      <c r="IQ45" s="5"/>
      <c r="IR45" s="5"/>
      <c r="IS45" s="5"/>
      <c r="IT45" s="5" t="str">
        <f t="shared" si="228"/>
        <v/>
      </c>
      <c r="IU45" s="33" t="str">
        <f t="shared" si="229"/>
        <v/>
      </c>
      <c r="IV45" s="27"/>
      <c r="IX45" s="14"/>
      <c r="IY45" s="36"/>
      <c r="IZ45" s="5" t="str">
        <f t="shared" si="251"/>
        <v/>
      </c>
      <c r="JA45" s="5"/>
      <c r="JB45" s="5"/>
      <c r="JC45" s="5"/>
      <c r="JD45" s="5" t="str">
        <f t="shared" si="252"/>
        <v/>
      </c>
      <c r="JE45" s="5"/>
      <c r="JF45" s="5"/>
      <c r="JG45" s="5"/>
      <c r="JH45" s="5" t="str">
        <f t="shared" si="230"/>
        <v/>
      </c>
      <c r="JI45" s="33" t="str">
        <f t="shared" si="231"/>
        <v/>
      </c>
      <c r="JJ45" s="27"/>
      <c r="JL45" s="14"/>
      <c r="JM45" s="36"/>
      <c r="JN45" s="5" t="str">
        <f t="shared" si="253"/>
        <v/>
      </c>
      <c r="JO45" s="5"/>
      <c r="JP45" s="5"/>
      <c r="JQ45" s="5"/>
      <c r="JR45" s="5"/>
      <c r="JS45" s="5"/>
      <c r="JT45" s="5" t="str">
        <f t="shared" si="254"/>
        <v/>
      </c>
      <c r="JU45" s="5"/>
      <c r="JV45" s="5"/>
      <c r="JW45" s="5"/>
      <c r="JX45" s="5" t="str">
        <f t="shared" si="232"/>
        <v/>
      </c>
      <c r="JY45" s="33" t="str">
        <f t="shared" si="233"/>
        <v/>
      </c>
      <c r="JZ45" s="27"/>
    </row>
    <row r="46" spans="1:286" ht="15" customHeight="1" thickBot="1" x14ac:dyDescent="0.25">
      <c r="A46" s="56"/>
      <c r="B46" s="39"/>
      <c r="C46" s="40"/>
      <c r="D46" s="57" t="str">
        <f t="shared" si="255"/>
        <v/>
      </c>
      <c r="E46" s="41"/>
      <c r="F46" s="41" t="str">
        <f t="shared" si="256"/>
        <v/>
      </c>
      <c r="G46" s="41"/>
      <c r="H46" s="41" t="str">
        <f t="shared" si="69"/>
        <v/>
      </c>
      <c r="I46" s="58"/>
      <c r="J46" s="44" t="str">
        <f t="shared" si="257"/>
        <v/>
      </c>
      <c r="K46" s="57" t="str">
        <f t="shared" si="258"/>
        <v/>
      </c>
      <c r="L46" s="41" t="str">
        <f t="shared" si="259"/>
        <v/>
      </c>
      <c r="M46" s="43" t="str">
        <f t="shared" si="260"/>
        <v/>
      </c>
      <c r="N46" s="27"/>
      <c r="P46" s="56"/>
      <c r="Q46" s="40"/>
      <c r="R46" s="57" t="str">
        <f t="shared" si="261"/>
        <v/>
      </c>
      <c r="S46" s="41"/>
      <c r="T46" s="41" t="str">
        <f t="shared" si="262"/>
        <v/>
      </c>
      <c r="U46" s="41"/>
      <c r="V46" s="41" t="str">
        <f t="shared" si="263"/>
        <v/>
      </c>
      <c r="W46" s="58"/>
      <c r="X46" s="44" t="str">
        <f t="shared" si="264"/>
        <v/>
      </c>
      <c r="Y46" s="57" t="str">
        <f t="shared" si="265"/>
        <v/>
      </c>
      <c r="Z46" s="41" t="str">
        <f t="shared" si="266"/>
        <v/>
      </c>
      <c r="AA46" s="43" t="str">
        <f t="shared" si="267"/>
        <v/>
      </c>
      <c r="AB46" s="27"/>
      <c r="AD46" s="56"/>
      <c r="AE46" s="40"/>
      <c r="AF46" s="57" t="str">
        <f t="shared" si="268"/>
        <v/>
      </c>
      <c r="AG46" s="41"/>
      <c r="AH46" s="41" t="str">
        <f t="shared" si="269"/>
        <v/>
      </c>
      <c r="AI46" s="41"/>
      <c r="AJ46" s="41" t="str">
        <f t="shared" si="270"/>
        <v/>
      </c>
      <c r="AK46" s="58"/>
      <c r="AL46" s="44" t="str">
        <f t="shared" si="271"/>
        <v/>
      </c>
      <c r="AM46" s="57" t="str">
        <f t="shared" si="272"/>
        <v/>
      </c>
      <c r="AN46" s="41" t="str">
        <f t="shared" si="273"/>
        <v/>
      </c>
      <c r="AO46" s="43" t="str">
        <f t="shared" si="274"/>
        <v/>
      </c>
      <c r="AP46" s="27"/>
      <c r="AR46" s="56"/>
      <c r="AS46" s="40"/>
      <c r="AT46" s="57" t="str">
        <f t="shared" si="88"/>
        <v/>
      </c>
      <c r="AU46" s="41"/>
      <c r="AV46" s="41" t="str">
        <f t="shared" si="89"/>
        <v/>
      </c>
      <c r="AW46" s="41"/>
      <c r="AX46" s="41" t="str">
        <f t="shared" si="90"/>
        <v/>
      </c>
      <c r="AY46" s="58"/>
      <c r="AZ46" s="44" t="str">
        <f t="shared" si="91"/>
        <v/>
      </c>
      <c r="BA46" s="57" t="str">
        <f t="shared" si="92"/>
        <v/>
      </c>
      <c r="BB46" s="41" t="str">
        <f t="shared" si="93"/>
        <v/>
      </c>
      <c r="BC46" s="43" t="str">
        <f t="shared" si="94"/>
        <v/>
      </c>
      <c r="BD46" s="27"/>
      <c r="BF46" s="56"/>
      <c r="BG46" s="40"/>
      <c r="BH46" s="57" t="str">
        <f t="shared" si="95"/>
        <v/>
      </c>
      <c r="BI46" s="41"/>
      <c r="BJ46" s="41" t="str">
        <f t="shared" si="96"/>
        <v/>
      </c>
      <c r="BK46" s="41"/>
      <c r="BL46" s="41" t="str">
        <f t="shared" si="97"/>
        <v/>
      </c>
      <c r="BM46" s="58"/>
      <c r="BN46" s="44" t="str">
        <f t="shared" si="98"/>
        <v/>
      </c>
      <c r="BO46" s="57" t="str">
        <f t="shared" si="99"/>
        <v/>
      </c>
      <c r="BP46" s="41" t="str">
        <f t="shared" si="100"/>
        <v/>
      </c>
      <c r="BQ46" s="43" t="str">
        <f t="shared" si="101"/>
        <v/>
      </c>
      <c r="BR46" s="27"/>
      <c r="BT46" s="56"/>
      <c r="BU46" s="40"/>
      <c r="BV46" s="57" t="str">
        <f t="shared" si="275"/>
        <v/>
      </c>
      <c r="BW46" s="41"/>
      <c r="BX46" s="41" t="str">
        <f t="shared" si="276"/>
        <v/>
      </c>
      <c r="BY46" s="41"/>
      <c r="BZ46" s="41" t="str">
        <f t="shared" si="277"/>
        <v/>
      </c>
      <c r="CA46" s="58"/>
      <c r="CB46" s="44" t="str">
        <f t="shared" si="278"/>
        <v/>
      </c>
      <c r="CC46" s="57" t="str">
        <f t="shared" si="279"/>
        <v/>
      </c>
      <c r="CD46" s="41" t="str">
        <f t="shared" si="280"/>
        <v/>
      </c>
      <c r="CE46" s="43" t="str">
        <f t="shared" si="281"/>
        <v/>
      </c>
      <c r="CF46" s="27"/>
      <c r="CH46" s="56"/>
      <c r="CI46" s="40"/>
      <c r="CJ46" s="57" t="str">
        <f t="shared" si="109"/>
        <v/>
      </c>
      <c r="CK46" s="41"/>
      <c r="CL46" s="41" t="str">
        <f t="shared" si="110"/>
        <v/>
      </c>
      <c r="CM46" s="41"/>
      <c r="CN46" s="41" t="str">
        <f t="shared" si="111"/>
        <v/>
      </c>
      <c r="CO46" s="58"/>
      <c r="CP46" s="44" t="str">
        <f t="shared" si="112"/>
        <v/>
      </c>
      <c r="CQ46" s="57" t="str">
        <f t="shared" si="113"/>
        <v/>
      </c>
      <c r="CR46" s="41" t="str">
        <f t="shared" si="114"/>
        <v/>
      </c>
      <c r="CS46" s="43" t="str">
        <f t="shared" si="115"/>
        <v/>
      </c>
      <c r="CT46" s="27"/>
      <c r="CV46" s="56"/>
      <c r="CW46" s="40"/>
      <c r="CX46" s="57" t="str">
        <f t="shared" si="116"/>
        <v/>
      </c>
      <c r="CY46" s="41"/>
      <c r="CZ46" s="41" t="str">
        <f t="shared" si="117"/>
        <v/>
      </c>
      <c r="DA46" s="41"/>
      <c r="DB46" s="41" t="str">
        <f t="shared" si="118"/>
        <v/>
      </c>
      <c r="DC46" s="58"/>
      <c r="DD46" s="44" t="str">
        <f t="shared" si="119"/>
        <v/>
      </c>
      <c r="DE46" s="57" t="str">
        <f t="shared" si="120"/>
        <v/>
      </c>
      <c r="DF46" s="41" t="str">
        <f t="shared" si="121"/>
        <v/>
      </c>
      <c r="DG46" s="43" t="str">
        <f t="shared" si="122"/>
        <v/>
      </c>
      <c r="DH46" s="27"/>
      <c r="DJ46" s="38"/>
      <c r="DK46" s="40"/>
      <c r="DL46" s="57" t="str">
        <f t="shared" si="282"/>
        <v/>
      </c>
      <c r="DM46" s="41"/>
      <c r="DN46" s="41" t="str">
        <f t="shared" si="283"/>
        <v/>
      </c>
      <c r="DO46" s="41"/>
      <c r="DP46" s="41" t="str">
        <f t="shared" si="125"/>
        <v/>
      </c>
      <c r="DQ46" s="58"/>
      <c r="DR46" s="44" t="str">
        <f t="shared" si="126"/>
        <v/>
      </c>
      <c r="DS46" s="57" t="str">
        <f t="shared" si="127"/>
        <v/>
      </c>
      <c r="DT46" s="41" t="str">
        <f t="shared" si="128"/>
        <v/>
      </c>
      <c r="DU46" s="43" t="str">
        <f t="shared" si="129"/>
        <v/>
      </c>
      <c r="DV46" s="27"/>
      <c r="DX46" s="38"/>
      <c r="DY46" s="40"/>
      <c r="DZ46" s="57" t="str">
        <f t="shared" si="130"/>
        <v/>
      </c>
      <c r="EA46" s="41"/>
      <c r="EB46" s="41" t="str">
        <f t="shared" si="131"/>
        <v/>
      </c>
      <c r="EC46" s="41"/>
      <c r="ED46" s="41" t="str">
        <f t="shared" si="132"/>
        <v/>
      </c>
      <c r="EE46" s="58"/>
      <c r="EF46" s="44" t="str">
        <f t="shared" si="133"/>
        <v/>
      </c>
      <c r="EG46" s="57" t="str">
        <f t="shared" si="134"/>
        <v/>
      </c>
      <c r="EH46" s="41" t="str">
        <f t="shared" si="135"/>
        <v/>
      </c>
      <c r="EI46" s="43" t="str">
        <f t="shared" si="136"/>
        <v/>
      </c>
      <c r="EJ46" s="27"/>
      <c r="EL46" s="14"/>
      <c r="EM46" s="36"/>
      <c r="EN46" s="5" t="str">
        <f t="shared" si="234"/>
        <v/>
      </c>
      <c r="EO46" s="5"/>
      <c r="EP46" s="5"/>
      <c r="EQ46" s="5"/>
      <c r="ER46" s="5" t="str">
        <f t="shared" si="235"/>
        <v/>
      </c>
      <c r="ES46" s="5"/>
      <c r="ET46" s="5"/>
      <c r="EU46" s="5"/>
      <c r="EV46" s="5" t="str">
        <f t="shared" si="216"/>
        <v/>
      </c>
      <c r="EW46" s="33" t="str">
        <f t="shared" si="217"/>
        <v/>
      </c>
      <c r="EX46" s="27"/>
      <c r="EZ46" s="14"/>
      <c r="FA46" s="36"/>
      <c r="FB46" s="5" t="str">
        <f t="shared" si="236"/>
        <v/>
      </c>
      <c r="FC46" s="5"/>
      <c r="FD46" s="5"/>
      <c r="FE46" s="5"/>
      <c r="FF46" s="5" t="str">
        <f t="shared" si="237"/>
        <v/>
      </c>
      <c r="FG46" s="5"/>
      <c r="FH46" s="5"/>
      <c r="FI46" s="5"/>
      <c r="FJ46" s="5" t="str">
        <f t="shared" si="218"/>
        <v/>
      </c>
      <c r="FK46" s="33" t="str">
        <f t="shared" si="219"/>
        <v/>
      </c>
      <c r="FL46" s="27"/>
      <c r="FN46" s="14"/>
      <c r="FO46" s="36"/>
      <c r="FP46" s="5" t="str">
        <f t="shared" si="238"/>
        <v/>
      </c>
      <c r="FQ46" s="5"/>
      <c r="FR46" s="5"/>
      <c r="FS46" s="5"/>
      <c r="FT46" s="5" t="str">
        <f t="shared" si="239"/>
        <v/>
      </c>
      <c r="FU46" s="5"/>
      <c r="FV46" s="5"/>
      <c r="FW46" s="5"/>
      <c r="FX46" s="5" t="str">
        <f t="shared" si="220"/>
        <v/>
      </c>
      <c r="FY46" s="33" t="str">
        <f t="shared" si="221"/>
        <v/>
      </c>
      <c r="FZ46" s="27"/>
      <c r="GB46" s="14"/>
      <c r="GC46" s="36"/>
      <c r="GD46" s="5" t="str">
        <f t="shared" si="240"/>
        <v/>
      </c>
      <c r="GE46" s="5"/>
      <c r="GF46" s="5"/>
      <c r="GG46" s="5"/>
      <c r="GH46" s="5" t="str">
        <f t="shared" si="241"/>
        <v/>
      </c>
      <c r="GI46" s="5"/>
      <c r="GJ46" s="5"/>
      <c r="GK46" s="5"/>
      <c r="GL46" s="5" t="str">
        <f t="shared" si="222"/>
        <v/>
      </c>
      <c r="GM46" s="33" t="str">
        <f t="shared" si="223"/>
        <v/>
      </c>
      <c r="GN46" s="27"/>
      <c r="GP46" s="14"/>
      <c r="GQ46" s="36"/>
      <c r="GR46" s="5" t="str">
        <f t="shared" si="242"/>
        <v/>
      </c>
      <c r="GS46" s="5"/>
      <c r="GT46" s="5"/>
      <c r="GU46" s="5"/>
      <c r="GV46" s="5" t="str">
        <f t="shared" si="243"/>
        <v/>
      </c>
      <c r="GW46" s="5"/>
      <c r="GX46" s="5"/>
      <c r="GY46" s="5"/>
      <c r="GZ46" s="5" t="str">
        <f t="shared" si="224"/>
        <v/>
      </c>
      <c r="HA46" s="33" t="str">
        <f t="shared" si="225"/>
        <v/>
      </c>
      <c r="HB46" s="27"/>
      <c r="HD46" s="14"/>
      <c r="HE46" s="36"/>
      <c r="HF46" s="5" t="str">
        <f t="shared" si="244"/>
        <v/>
      </c>
      <c r="HG46" s="5"/>
      <c r="HH46" s="27"/>
      <c r="HJ46" s="14"/>
      <c r="HK46" s="36"/>
      <c r="HL46" s="5" t="str">
        <f t="shared" si="245"/>
        <v/>
      </c>
      <c r="HM46" s="5"/>
      <c r="HN46" s="27"/>
      <c r="HP46" s="14"/>
      <c r="HQ46" s="36"/>
      <c r="HR46" s="5" t="str">
        <f t="shared" si="246"/>
        <v/>
      </c>
      <c r="HS46" s="5"/>
      <c r="HT46" s="27"/>
      <c r="HV46" s="14"/>
      <c r="HW46" s="36"/>
      <c r="HX46" s="5" t="str">
        <f t="shared" si="247"/>
        <v/>
      </c>
      <c r="HY46" s="5"/>
      <c r="HZ46" s="5"/>
      <c r="IA46" s="5"/>
      <c r="IB46" s="5" t="str">
        <f t="shared" si="248"/>
        <v/>
      </c>
      <c r="IC46" s="5"/>
      <c r="ID46" s="5"/>
      <c r="IE46" s="5"/>
      <c r="IF46" s="5" t="str">
        <f t="shared" si="226"/>
        <v/>
      </c>
      <c r="IG46" s="33" t="str">
        <f t="shared" si="227"/>
        <v/>
      </c>
      <c r="IH46" s="27"/>
      <c r="IJ46" s="14"/>
      <c r="IK46" s="36"/>
      <c r="IL46" s="5" t="str">
        <f t="shared" si="249"/>
        <v/>
      </c>
      <c r="IM46" s="5"/>
      <c r="IN46" s="5"/>
      <c r="IO46" s="5"/>
      <c r="IP46" s="5" t="str">
        <f t="shared" si="250"/>
        <v/>
      </c>
      <c r="IQ46" s="5"/>
      <c r="IR46" s="5"/>
      <c r="IS46" s="5"/>
      <c r="IT46" s="5" t="str">
        <f t="shared" si="228"/>
        <v/>
      </c>
      <c r="IU46" s="33" t="str">
        <f t="shared" si="229"/>
        <v/>
      </c>
      <c r="IV46" s="27"/>
      <c r="IX46" s="14"/>
      <c r="IY46" s="36"/>
      <c r="IZ46" s="5" t="str">
        <f t="shared" si="251"/>
        <v/>
      </c>
      <c r="JA46" s="5"/>
      <c r="JB46" s="5"/>
      <c r="JC46" s="5"/>
      <c r="JD46" s="5" t="str">
        <f t="shared" si="252"/>
        <v/>
      </c>
      <c r="JE46" s="5"/>
      <c r="JF46" s="5"/>
      <c r="JG46" s="5"/>
      <c r="JH46" s="5" t="str">
        <f t="shared" si="230"/>
        <v/>
      </c>
      <c r="JI46" s="33" t="str">
        <f t="shared" si="231"/>
        <v/>
      </c>
      <c r="JJ46" s="27"/>
      <c r="JL46" s="14"/>
      <c r="JM46" s="36"/>
      <c r="JN46" s="5" t="str">
        <f t="shared" si="253"/>
        <v/>
      </c>
      <c r="JO46" s="5"/>
      <c r="JP46" s="5"/>
      <c r="JQ46" s="5"/>
      <c r="JR46" s="5"/>
      <c r="JS46" s="5"/>
      <c r="JT46" s="5" t="str">
        <f t="shared" si="254"/>
        <v/>
      </c>
      <c r="JU46" s="5"/>
      <c r="JV46" s="5"/>
      <c r="JW46" s="5"/>
      <c r="JX46" s="5" t="str">
        <f t="shared" si="232"/>
        <v/>
      </c>
      <c r="JY46" s="33" t="str">
        <f t="shared" si="233"/>
        <v/>
      </c>
      <c r="JZ46" s="27"/>
    </row>
    <row r="47" spans="1:286" ht="15" customHeight="1" thickTop="1" x14ac:dyDescent="0.2">
      <c r="A47" s="45"/>
      <c r="B47" s="24">
        <f>SUM(D47:D50)+SUM(R47:R50)+SUM(AF47:AF50)+SUM(BV47:BV50)+SUM(GD41,EN41,FB41,FP41,HX41,IL41,IZ41,JN41,HF41,HL41,HR41)+SUM(CJ47:CJ48)+SUM(DL47:DL48)</f>
        <v>0</v>
      </c>
      <c r="C47" s="4"/>
      <c r="D47" s="4" t="str">
        <f t="shared" si="255"/>
        <v/>
      </c>
      <c r="E47" s="4"/>
      <c r="F47" s="46" t="str">
        <f t="shared" si="256"/>
        <v/>
      </c>
      <c r="G47" s="4"/>
      <c r="H47" s="4" t="str">
        <f t="shared" si="69"/>
        <v/>
      </c>
      <c r="I47" s="32"/>
      <c r="J47" s="29" t="str">
        <f t="shared" si="257"/>
        <v/>
      </c>
      <c r="K47" s="25" t="str">
        <f t="shared" si="258"/>
        <v/>
      </c>
      <c r="L47" s="46" t="str">
        <f t="shared" si="259"/>
        <v/>
      </c>
      <c r="M47" s="48" t="str">
        <f t="shared" si="260"/>
        <v/>
      </c>
      <c r="N47" s="27"/>
      <c r="P47" s="49" t="e">
        <f>IF(#REF!="","",#REF!)</f>
        <v>#REF!</v>
      </c>
      <c r="Q47" s="4"/>
      <c r="R47" s="4" t="str">
        <f t="shared" si="261"/>
        <v/>
      </c>
      <c r="S47" s="4"/>
      <c r="T47" s="46" t="str">
        <f t="shared" si="262"/>
        <v/>
      </c>
      <c r="U47" s="4"/>
      <c r="V47" s="4" t="str">
        <f t="shared" si="263"/>
        <v/>
      </c>
      <c r="W47" s="32"/>
      <c r="X47" s="2" t="str">
        <f t="shared" si="264"/>
        <v/>
      </c>
      <c r="Y47" s="25" t="str">
        <f t="shared" si="265"/>
        <v/>
      </c>
      <c r="Z47" s="46" t="str">
        <f t="shared" si="266"/>
        <v/>
      </c>
      <c r="AA47" s="48" t="str">
        <f t="shared" si="267"/>
        <v/>
      </c>
      <c r="AB47" s="27"/>
      <c r="AD47" s="49" t="e">
        <f>IF(#REF!="","",#REF!)</f>
        <v>#REF!</v>
      </c>
      <c r="AE47" s="4"/>
      <c r="AF47" s="4" t="str">
        <f t="shared" si="268"/>
        <v/>
      </c>
      <c r="AG47" s="4"/>
      <c r="AH47" s="46" t="str">
        <f t="shared" si="269"/>
        <v/>
      </c>
      <c r="AI47" s="4"/>
      <c r="AJ47" s="4" t="str">
        <f t="shared" si="270"/>
        <v/>
      </c>
      <c r="AK47" s="32"/>
      <c r="AL47" s="29" t="str">
        <f t="shared" si="271"/>
        <v/>
      </c>
      <c r="AM47" s="25" t="str">
        <f t="shared" si="272"/>
        <v/>
      </c>
      <c r="AN47" s="46" t="str">
        <f t="shared" si="273"/>
        <v/>
      </c>
      <c r="AO47" s="48" t="str">
        <f t="shared" si="274"/>
        <v/>
      </c>
      <c r="AP47" s="27"/>
      <c r="AR47" s="49" t="e">
        <f>IF(#REF!="","",#REF!)</f>
        <v>#REF!</v>
      </c>
      <c r="AS47" s="4"/>
      <c r="AT47" s="4" t="str">
        <f t="shared" si="88"/>
        <v/>
      </c>
      <c r="AU47" s="4"/>
      <c r="AV47" s="46" t="str">
        <f t="shared" si="89"/>
        <v/>
      </c>
      <c r="AW47" s="4"/>
      <c r="AX47" s="4" t="str">
        <f t="shared" si="90"/>
        <v/>
      </c>
      <c r="AY47" s="32"/>
      <c r="AZ47" s="29" t="str">
        <f t="shared" si="91"/>
        <v/>
      </c>
      <c r="BA47" s="25" t="str">
        <f t="shared" si="92"/>
        <v/>
      </c>
      <c r="BB47" s="46" t="str">
        <f t="shared" si="93"/>
        <v/>
      </c>
      <c r="BC47" s="48" t="str">
        <f t="shared" si="94"/>
        <v/>
      </c>
      <c r="BD47" s="27"/>
      <c r="BF47" s="49" t="e">
        <f>IF(#REF!="","",#REF!)</f>
        <v>#REF!</v>
      </c>
      <c r="BG47" s="4"/>
      <c r="BH47" s="4" t="str">
        <f t="shared" si="95"/>
        <v/>
      </c>
      <c r="BI47" s="4"/>
      <c r="BJ47" s="46" t="str">
        <f t="shared" si="96"/>
        <v/>
      </c>
      <c r="BK47" s="4"/>
      <c r="BL47" s="4" t="str">
        <f t="shared" si="97"/>
        <v/>
      </c>
      <c r="BM47" s="32"/>
      <c r="BN47" s="29" t="str">
        <f t="shared" si="98"/>
        <v/>
      </c>
      <c r="BO47" s="25" t="str">
        <f t="shared" si="99"/>
        <v/>
      </c>
      <c r="BP47" s="46" t="str">
        <f t="shared" si="100"/>
        <v/>
      </c>
      <c r="BQ47" s="48" t="str">
        <f t="shared" si="101"/>
        <v/>
      </c>
      <c r="BR47" s="27"/>
      <c r="BT47" s="49" t="e">
        <f>IF(#REF!="","",#REF!)</f>
        <v>#REF!</v>
      </c>
      <c r="BU47" s="4"/>
      <c r="BV47" s="4" t="str">
        <f t="shared" si="275"/>
        <v/>
      </c>
      <c r="BW47" s="4"/>
      <c r="BX47" s="46" t="str">
        <f t="shared" si="276"/>
        <v/>
      </c>
      <c r="BY47" s="4"/>
      <c r="BZ47" s="4" t="str">
        <f t="shared" si="277"/>
        <v/>
      </c>
      <c r="CA47" s="32"/>
      <c r="CB47" s="29" t="str">
        <f t="shared" si="278"/>
        <v/>
      </c>
      <c r="CC47" s="25" t="str">
        <f t="shared" si="279"/>
        <v/>
      </c>
      <c r="CD47" s="46" t="str">
        <f t="shared" si="280"/>
        <v/>
      </c>
      <c r="CE47" s="48" t="str">
        <f t="shared" si="281"/>
        <v/>
      </c>
      <c r="CF47" s="27"/>
      <c r="CH47" s="49" t="e">
        <f>IF(#REF!="","",#REF!)</f>
        <v>#REF!</v>
      </c>
      <c r="CI47" s="4"/>
      <c r="CJ47" s="4" t="str">
        <f t="shared" si="109"/>
        <v/>
      </c>
      <c r="CK47" s="4"/>
      <c r="CL47" s="46" t="str">
        <f t="shared" si="110"/>
        <v/>
      </c>
      <c r="CM47" s="4"/>
      <c r="CN47" s="4" t="str">
        <f t="shared" si="111"/>
        <v/>
      </c>
      <c r="CO47" s="32"/>
      <c r="CP47" s="29" t="str">
        <f t="shared" si="112"/>
        <v/>
      </c>
      <c r="CQ47" s="25" t="str">
        <f t="shared" si="113"/>
        <v/>
      </c>
      <c r="CR47" s="46" t="str">
        <f t="shared" si="114"/>
        <v/>
      </c>
      <c r="CS47" s="48" t="str">
        <f t="shared" si="115"/>
        <v/>
      </c>
      <c r="CT47" s="27"/>
      <c r="CV47" s="49" t="e">
        <f>IF(#REF!="","",#REF!)</f>
        <v>#REF!</v>
      </c>
      <c r="CW47" s="4"/>
      <c r="CX47" s="4" t="str">
        <f t="shared" si="116"/>
        <v/>
      </c>
      <c r="CY47" s="4"/>
      <c r="CZ47" s="46" t="str">
        <f t="shared" si="117"/>
        <v/>
      </c>
      <c r="DA47" s="4"/>
      <c r="DB47" s="4" t="str">
        <f t="shared" si="118"/>
        <v/>
      </c>
      <c r="DC47" s="32"/>
      <c r="DD47" s="29" t="str">
        <f t="shared" si="119"/>
        <v/>
      </c>
      <c r="DE47" s="25" t="str">
        <f t="shared" si="120"/>
        <v/>
      </c>
      <c r="DF47" s="46" t="str">
        <f t="shared" si="121"/>
        <v/>
      </c>
      <c r="DG47" s="48" t="str">
        <f t="shared" si="122"/>
        <v/>
      </c>
      <c r="DH47" s="27"/>
      <c r="DJ47" s="30" t="str">
        <f>IF($A14="","",$A14)</f>
        <v/>
      </c>
      <c r="DK47" s="4"/>
      <c r="DL47" s="4" t="str">
        <f t="shared" si="282"/>
        <v/>
      </c>
      <c r="DM47" s="4"/>
      <c r="DN47" s="46" t="str">
        <f t="shared" si="283"/>
        <v/>
      </c>
      <c r="DO47" s="4"/>
      <c r="DP47" s="4" t="str">
        <f t="shared" si="125"/>
        <v/>
      </c>
      <c r="DQ47" s="4"/>
      <c r="DR47" s="2" t="str">
        <f>IF(DK47="","",DR43)</f>
        <v/>
      </c>
      <c r="DS47" s="25" t="str">
        <f>IF(DK47="","",DS43)</f>
        <v/>
      </c>
      <c r="DT47" s="5" t="str">
        <f t="shared" si="128"/>
        <v/>
      </c>
      <c r="DU47" s="48" t="str">
        <f t="shared" si="129"/>
        <v/>
      </c>
      <c r="DV47" s="27"/>
      <c r="DX47" s="30" t="str">
        <f>IF($A14="","",$A14)</f>
        <v/>
      </c>
      <c r="DY47" s="4"/>
      <c r="DZ47" s="4" t="str">
        <f t="shared" si="130"/>
        <v/>
      </c>
      <c r="EA47" s="4"/>
      <c r="EB47" s="46" t="str">
        <f t="shared" si="131"/>
        <v/>
      </c>
      <c r="EC47" s="4"/>
      <c r="ED47" s="4" t="str">
        <f t="shared" si="132"/>
        <v/>
      </c>
      <c r="EE47" s="4"/>
      <c r="EF47" s="2" t="str">
        <f>IF(DY47="","",EF43)</f>
        <v/>
      </c>
      <c r="EG47" s="25" t="str">
        <f>IF(DY47="","",EG43)</f>
        <v/>
      </c>
      <c r="EH47" s="5" t="str">
        <f t="shared" si="135"/>
        <v/>
      </c>
      <c r="EI47" s="48" t="str">
        <f t="shared" si="136"/>
        <v/>
      </c>
      <c r="EJ47" s="27"/>
      <c r="EL47" s="14"/>
      <c r="EM47" s="36"/>
      <c r="EN47" s="5" t="str">
        <f t="shared" si="234"/>
        <v/>
      </c>
      <c r="EO47" s="5"/>
      <c r="EP47" s="5"/>
      <c r="EQ47" s="5"/>
      <c r="ER47" s="5" t="str">
        <f t="shared" si="235"/>
        <v/>
      </c>
      <c r="ES47" s="5"/>
      <c r="ET47" s="5"/>
      <c r="EU47" s="5"/>
      <c r="EV47" s="5" t="str">
        <f t="shared" si="216"/>
        <v/>
      </c>
      <c r="EW47" s="33" t="str">
        <f t="shared" si="217"/>
        <v/>
      </c>
      <c r="EX47" s="27"/>
      <c r="EZ47" s="14"/>
      <c r="FA47" s="36"/>
      <c r="FB47" s="5" t="str">
        <f t="shared" si="236"/>
        <v/>
      </c>
      <c r="FC47" s="5"/>
      <c r="FD47" s="5"/>
      <c r="FE47" s="5"/>
      <c r="FF47" s="5" t="str">
        <f t="shared" si="237"/>
        <v/>
      </c>
      <c r="FG47" s="5"/>
      <c r="FH47" s="5"/>
      <c r="FI47" s="5"/>
      <c r="FJ47" s="5" t="str">
        <f t="shared" si="218"/>
        <v/>
      </c>
      <c r="FK47" s="33" t="str">
        <f t="shared" si="219"/>
        <v/>
      </c>
      <c r="FL47" s="27"/>
      <c r="FN47" s="14"/>
      <c r="FO47" s="36"/>
      <c r="FP47" s="5" t="str">
        <f t="shared" si="238"/>
        <v/>
      </c>
      <c r="FQ47" s="5"/>
      <c r="FR47" s="5"/>
      <c r="FS47" s="5"/>
      <c r="FT47" s="5" t="str">
        <f t="shared" si="239"/>
        <v/>
      </c>
      <c r="FU47" s="5"/>
      <c r="FV47" s="5"/>
      <c r="FW47" s="5"/>
      <c r="FX47" s="5" t="str">
        <f t="shared" si="220"/>
        <v/>
      </c>
      <c r="FY47" s="33" t="str">
        <f t="shared" si="221"/>
        <v/>
      </c>
      <c r="FZ47" s="27"/>
      <c r="GB47" s="14"/>
      <c r="GC47" s="36"/>
      <c r="GD47" s="5" t="str">
        <f t="shared" si="240"/>
        <v/>
      </c>
      <c r="GE47" s="5"/>
      <c r="GF47" s="5"/>
      <c r="GG47" s="5"/>
      <c r="GH47" s="5" t="str">
        <f t="shared" si="241"/>
        <v/>
      </c>
      <c r="GI47" s="5"/>
      <c r="GJ47" s="5"/>
      <c r="GK47" s="5"/>
      <c r="GL47" s="5" t="str">
        <f t="shared" si="222"/>
        <v/>
      </c>
      <c r="GM47" s="33" t="str">
        <f t="shared" si="223"/>
        <v/>
      </c>
      <c r="GN47" s="27"/>
      <c r="GP47" s="14"/>
      <c r="GQ47" s="36"/>
      <c r="GR47" s="5" t="str">
        <f t="shared" si="242"/>
        <v/>
      </c>
      <c r="GS47" s="5"/>
      <c r="GT47" s="5"/>
      <c r="GU47" s="5"/>
      <c r="GV47" s="5" t="str">
        <f t="shared" si="243"/>
        <v/>
      </c>
      <c r="GW47" s="5"/>
      <c r="GX47" s="5"/>
      <c r="GY47" s="5"/>
      <c r="GZ47" s="5" t="str">
        <f t="shared" si="224"/>
        <v/>
      </c>
      <c r="HA47" s="33" t="str">
        <f t="shared" si="225"/>
        <v/>
      </c>
      <c r="HB47" s="27"/>
      <c r="HD47" s="14"/>
      <c r="HE47" s="36"/>
      <c r="HF47" s="5" t="str">
        <f t="shared" si="244"/>
        <v/>
      </c>
      <c r="HG47" s="5"/>
      <c r="HH47" s="27"/>
      <c r="HJ47" s="14"/>
      <c r="HK47" s="36"/>
      <c r="HL47" s="5" t="str">
        <f t="shared" si="245"/>
        <v/>
      </c>
      <c r="HM47" s="5"/>
      <c r="HN47" s="27"/>
      <c r="HP47" s="14"/>
      <c r="HQ47" s="36"/>
      <c r="HR47" s="5" t="str">
        <f t="shared" si="246"/>
        <v/>
      </c>
      <c r="HS47" s="5"/>
      <c r="HT47" s="27"/>
      <c r="HV47" s="14"/>
      <c r="HW47" s="36"/>
      <c r="HX47" s="5" t="str">
        <f t="shared" si="247"/>
        <v/>
      </c>
      <c r="HY47" s="5"/>
      <c r="HZ47" s="5"/>
      <c r="IA47" s="5"/>
      <c r="IB47" s="5" t="str">
        <f t="shared" si="248"/>
        <v/>
      </c>
      <c r="IC47" s="5"/>
      <c r="ID47" s="5"/>
      <c r="IE47" s="5"/>
      <c r="IF47" s="5" t="str">
        <f t="shared" si="226"/>
        <v/>
      </c>
      <c r="IG47" s="33" t="str">
        <f t="shared" si="227"/>
        <v/>
      </c>
      <c r="IH47" s="27"/>
      <c r="IJ47" s="14"/>
      <c r="IK47" s="36"/>
      <c r="IL47" s="5" t="str">
        <f t="shared" si="249"/>
        <v/>
      </c>
      <c r="IM47" s="5"/>
      <c r="IN47" s="5"/>
      <c r="IO47" s="5"/>
      <c r="IP47" s="5" t="str">
        <f t="shared" si="250"/>
        <v/>
      </c>
      <c r="IQ47" s="5"/>
      <c r="IR47" s="5"/>
      <c r="IS47" s="5"/>
      <c r="IT47" s="5" t="str">
        <f t="shared" si="228"/>
        <v/>
      </c>
      <c r="IU47" s="33" t="str">
        <f t="shared" si="229"/>
        <v/>
      </c>
      <c r="IV47" s="27"/>
      <c r="IX47" s="14"/>
      <c r="IY47" s="36"/>
      <c r="IZ47" s="5" t="str">
        <f t="shared" si="251"/>
        <v/>
      </c>
      <c r="JA47" s="5"/>
      <c r="JB47" s="5"/>
      <c r="JC47" s="5"/>
      <c r="JD47" s="5" t="str">
        <f t="shared" si="252"/>
        <v/>
      </c>
      <c r="JE47" s="5"/>
      <c r="JF47" s="5"/>
      <c r="JG47" s="5"/>
      <c r="JH47" s="5" t="str">
        <f t="shared" si="230"/>
        <v/>
      </c>
      <c r="JI47" s="33" t="str">
        <f t="shared" si="231"/>
        <v/>
      </c>
      <c r="JJ47" s="27"/>
      <c r="JL47" s="14"/>
      <c r="JM47" s="36"/>
      <c r="JN47" s="5" t="str">
        <f t="shared" si="253"/>
        <v/>
      </c>
      <c r="JO47" s="5"/>
      <c r="JP47" s="5"/>
      <c r="JQ47" s="5"/>
      <c r="JR47" s="5"/>
      <c r="JS47" s="5"/>
      <c r="JT47" s="5" t="str">
        <f t="shared" si="254"/>
        <v/>
      </c>
      <c r="JU47" s="5"/>
      <c r="JV47" s="5"/>
      <c r="JW47" s="5"/>
      <c r="JX47" s="5" t="str">
        <f t="shared" si="232"/>
        <v/>
      </c>
      <c r="JY47" s="33" t="str">
        <f t="shared" si="233"/>
        <v/>
      </c>
      <c r="JZ47" s="27"/>
    </row>
    <row r="48" spans="1:286" ht="15" customHeight="1" x14ac:dyDescent="0.2">
      <c r="A48" s="50"/>
      <c r="B48" s="34"/>
      <c r="C48" s="5"/>
      <c r="D48" s="5" t="str">
        <f t="shared" si="255"/>
        <v/>
      </c>
      <c r="E48" s="5"/>
      <c r="F48" s="5" t="str">
        <f t="shared" si="256"/>
        <v/>
      </c>
      <c r="G48" s="5"/>
      <c r="H48" s="5" t="str">
        <f t="shared" si="69"/>
        <v/>
      </c>
      <c r="I48" s="32"/>
      <c r="J48" s="35" t="str">
        <f t="shared" si="257"/>
        <v/>
      </c>
      <c r="K48" s="36" t="str">
        <f t="shared" si="258"/>
        <v/>
      </c>
      <c r="L48" s="5" t="str">
        <f t="shared" si="259"/>
        <v/>
      </c>
      <c r="M48" s="33" t="str">
        <f t="shared" si="260"/>
        <v/>
      </c>
      <c r="N48" s="27"/>
      <c r="P48" s="50"/>
      <c r="Q48" s="5"/>
      <c r="R48" s="5" t="str">
        <f t="shared" si="261"/>
        <v/>
      </c>
      <c r="S48" s="5"/>
      <c r="T48" s="5" t="str">
        <f t="shared" si="262"/>
        <v/>
      </c>
      <c r="U48" s="5"/>
      <c r="V48" s="5" t="str">
        <f t="shared" si="263"/>
        <v/>
      </c>
      <c r="W48" s="32"/>
      <c r="X48" s="3" t="str">
        <f t="shared" si="264"/>
        <v/>
      </c>
      <c r="Y48" s="36" t="str">
        <f t="shared" si="265"/>
        <v/>
      </c>
      <c r="Z48" s="5" t="str">
        <f t="shared" si="266"/>
        <v/>
      </c>
      <c r="AA48" s="33" t="str">
        <f t="shared" si="267"/>
        <v/>
      </c>
      <c r="AB48" s="27"/>
      <c r="AD48" s="50"/>
      <c r="AE48" s="5"/>
      <c r="AF48" s="5" t="str">
        <f t="shared" si="268"/>
        <v/>
      </c>
      <c r="AG48" s="5"/>
      <c r="AH48" s="5" t="str">
        <f t="shared" si="269"/>
        <v/>
      </c>
      <c r="AI48" s="5"/>
      <c r="AJ48" s="5" t="str">
        <f t="shared" si="270"/>
        <v/>
      </c>
      <c r="AK48" s="32"/>
      <c r="AL48" s="35" t="str">
        <f t="shared" si="271"/>
        <v/>
      </c>
      <c r="AM48" s="36" t="str">
        <f t="shared" si="272"/>
        <v/>
      </c>
      <c r="AN48" s="5" t="str">
        <f t="shared" si="273"/>
        <v/>
      </c>
      <c r="AO48" s="33" t="str">
        <f t="shared" si="274"/>
        <v/>
      </c>
      <c r="AP48" s="27"/>
      <c r="AR48" s="50"/>
      <c r="AS48" s="5"/>
      <c r="AT48" s="5" t="str">
        <f t="shared" si="88"/>
        <v/>
      </c>
      <c r="AU48" s="5"/>
      <c r="AV48" s="5" t="str">
        <f t="shared" si="89"/>
        <v/>
      </c>
      <c r="AW48" s="5"/>
      <c r="AX48" s="5" t="str">
        <f t="shared" si="90"/>
        <v/>
      </c>
      <c r="AY48" s="32"/>
      <c r="AZ48" s="35" t="str">
        <f t="shared" si="91"/>
        <v/>
      </c>
      <c r="BA48" s="36" t="str">
        <f t="shared" si="92"/>
        <v/>
      </c>
      <c r="BB48" s="5" t="str">
        <f t="shared" si="93"/>
        <v/>
      </c>
      <c r="BC48" s="33" t="str">
        <f t="shared" si="94"/>
        <v/>
      </c>
      <c r="BD48" s="27"/>
      <c r="BF48" s="50"/>
      <c r="BG48" s="5"/>
      <c r="BH48" s="5" t="str">
        <f t="shared" si="95"/>
        <v/>
      </c>
      <c r="BI48" s="5"/>
      <c r="BJ48" s="5" t="str">
        <f t="shared" si="96"/>
        <v/>
      </c>
      <c r="BK48" s="5"/>
      <c r="BL48" s="5" t="str">
        <f t="shared" si="97"/>
        <v/>
      </c>
      <c r="BM48" s="32"/>
      <c r="BN48" s="35" t="str">
        <f t="shared" si="98"/>
        <v/>
      </c>
      <c r="BO48" s="36" t="str">
        <f t="shared" si="99"/>
        <v/>
      </c>
      <c r="BP48" s="5" t="str">
        <f t="shared" si="100"/>
        <v/>
      </c>
      <c r="BQ48" s="33" t="str">
        <f t="shared" si="101"/>
        <v/>
      </c>
      <c r="BR48" s="27"/>
      <c r="BT48" s="50"/>
      <c r="BU48" s="5"/>
      <c r="BV48" s="5" t="str">
        <f t="shared" si="275"/>
        <v/>
      </c>
      <c r="BW48" s="5"/>
      <c r="BX48" s="5" t="str">
        <f t="shared" si="276"/>
        <v/>
      </c>
      <c r="BY48" s="5"/>
      <c r="BZ48" s="5" t="str">
        <f t="shared" si="277"/>
        <v/>
      </c>
      <c r="CA48" s="32"/>
      <c r="CB48" s="35" t="str">
        <f t="shared" si="278"/>
        <v/>
      </c>
      <c r="CC48" s="36" t="str">
        <f t="shared" si="279"/>
        <v/>
      </c>
      <c r="CD48" s="5" t="str">
        <f t="shared" si="280"/>
        <v/>
      </c>
      <c r="CE48" s="33" t="str">
        <f t="shared" si="281"/>
        <v/>
      </c>
      <c r="CF48" s="27"/>
      <c r="CH48" s="50"/>
      <c r="CI48" s="5"/>
      <c r="CJ48" s="5" t="str">
        <f t="shared" si="109"/>
        <v/>
      </c>
      <c r="CK48" s="5"/>
      <c r="CL48" s="5" t="str">
        <f t="shared" si="110"/>
        <v/>
      </c>
      <c r="CM48" s="5"/>
      <c r="CN48" s="5" t="str">
        <f t="shared" si="111"/>
        <v/>
      </c>
      <c r="CO48" s="32"/>
      <c r="CP48" s="35" t="str">
        <f t="shared" si="112"/>
        <v/>
      </c>
      <c r="CQ48" s="36" t="str">
        <f t="shared" si="113"/>
        <v/>
      </c>
      <c r="CR48" s="5" t="str">
        <f t="shared" si="114"/>
        <v/>
      </c>
      <c r="CS48" s="33" t="str">
        <f t="shared" si="115"/>
        <v/>
      </c>
      <c r="CT48" s="27"/>
      <c r="CV48" s="50"/>
      <c r="CW48" s="5"/>
      <c r="CX48" s="5" t="str">
        <f t="shared" si="116"/>
        <v/>
      </c>
      <c r="CY48" s="5"/>
      <c r="CZ48" s="5" t="str">
        <f t="shared" si="117"/>
        <v/>
      </c>
      <c r="DA48" s="5"/>
      <c r="DB48" s="5" t="str">
        <f t="shared" si="118"/>
        <v/>
      </c>
      <c r="DC48" s="32"/>
      <c r="DD48" s="35" t="str">
        <f t="shared" si="119"/>
        <v/>
      </c>
      <c r="DE48" s="36" t="str">
        <f t="shared" si="120"/>
        <v/>
      </c>
      <c r="DF48" s="5" t="str">
        <f t="shared" si="121"/>
        <v/>
      </c>
      <c r="DG48" s="33" t="str">
        <f t="shared" si="122"/>
        <v/>
      </c>
      <c r="DH48" s="27"/>
      <c r="DJ48" s="23"/>
      <c r="DK48" s="5"/>
      <c r="DL48" s="5" t="str">
        <f t="shared" si="282"/>
        <v/>
      </c>
      <c r="DM48" s="5"/>
      <c r="DN48" s="5" t="str">
        <f t="shared" si="283"/>
        <v/>
      </c>
      <c r="DO48" s="5"/>
      <c r="DP48" s="5" t="str">
        <f t="shared" si="125"/>
        <v/>
      </c>
      <c r="DQ48" s="4"/>
      <c r="DR48" s="3" t="str">
        <f>IF(DK48="","",DR44)</f>
        <v/>
      </c>
      <c r="DS48" s="36" t="str">
        <f>IF(DK47="","",DS44)</f>
        <v/>
      </c>
      <c r="DT48" s="4" t="str">
        <f t="shared" si="128"/>
        <v/>
      </c>
      <c r="DU48" s="33" t="str">
        <f t="shared" si="129"/>
        <v/>
      </c>
      <c r="DV48" s="27"/>
      <c r="DX48" s="23"/>
      <c r="DY48" s="5"/>
      <c r="DZ48" s="5" t="str">
        <f t="shared" si="130"/>
        <v/>
      </c>
      <c r="EA48" s="5"/>
      <c r="EB48" s="5" t="str">
        <f t="shared" si="131"/>
        <v/>
      </c>
      <c r="EC48" s="5"/>
      <c r="ED48" s="5" t="str">
        <f t="shared" si="132"/>
        <v/>
      </c>
      <c r="EE48" s="4"/>
      <c r="EF48" s="3" t="str">
        <f>IF(DY48="","",EF44)</f>
        <v/>
      </c>
      <c r="EG48" s="36" t="str">
        <f>IF(DY47="","",EG44)</f>
        <v/>
      </c>
      <c r="EH48" s="4" t="str">
        <f t="shared" si="135"/>
        <v/>
      </c>
      <c r="EI48" s="33" t="str">
        <f t="shared" si="136"/>
        <v/>
      </c>
      <c r="EJ48" s="27"/>
      <c r="EL48" s="14"/>
      <c r="EM48" s="36"/>
      <c r="EN48" s="5" t="str">
        <f t="shared" si="234"/>
        <v/>
      </c>
      <c r="EO48" s="5"/>
      <c r="EP48" s="5"/>
      <c r="EQ48" s="5"/>
      <c r="ER48" s="5" t="str">
        <f t="shared" si="235"/>
        <v/>
      </c>
      <c r="ES48" s="5"/>
      <c r="ET48" s="5"/>
      <c r="EU48" s="5"/>
      <c r="EV48" s="5" t="str">
        <f t="shared" si="216"/>
        <v/>
      </c>
      <c r="EW48" s="33" t="str">
        <f t="shared" si="217"/>
        <v/>
      </c>
      <c r="EX48" s="27"/>
      <c r="EZ48" s="14"/>
      <c r="FA48" s="36"/>
      <c r="FB48" s="5" t="str">
        <f t="shared" si="236"/>
        <v/>
      </c>
      <c r="FC48" s="5"/>
      <c r="FD48" s="5"/>
      <c r="FE48" s="5"/>
      <c r="FF48" s="5" t="str">
        <f t="shared" si="237"/>
        <v/>
      </c>
      <c r="FG48" s="5"/>
      <c r="FH48" s="5"/>
      <c r="FI48" s="5"/>
      <c r="FJ48" s="5" t="str">
        <f t="shared" si="218"/>
        <v/>
      </c>
      <c r="FK48" s="33" t="str">
        <f t="shared" si="219"/>
        <v/>
      </c>
      <c r="FL48" s="27"/>
      <c r="FN48" s="14"/>
      <c r="FO48" s="36"/>
      <c r="FP48" s="5" t="str">
        <f t="shared" si="238"/>
        <v/>
      </c>
      <c r="FQ48" s="5"/>
      <c r="FR48" s="5"/>
      <c r="FS48" s="5"/>
      <c r="FT48" s="5" t="str">
        <f t="shared" si="239"/>
        <v/>
      </c>
      <c r="FU48" s="5"/>
      <c r="FV48" s="5"/>
      <c r="FW48" s="5"/>
      <c r="FX48" s="5" t="str">
        <f t="shared" si="220"/>
        <v/>
      </c>
      <c r="FY48" s="33" t="str">
        <f t="shared" si="221"/>
        <v/>
      </c>
      <c r="FZ48" s="27"/>
      <c r="GB48" s="14"/>
      <c r="GC48" s="36"/>
      <c r="GD48" s="5" t="str">
        <f t="shared" si="240"/>
        <v/>
      </c>
      <c r="GE48" s="5"/>
      <c r="GF48" s="5"/>
      <c r="GG48" s="5"/>
      <c r="GH48" s="5" t="str">
        <f t="shared" si="241"/>
        <v/>
      </c>
      <c r="GI48" s="5"/>
      <c r="GJ48" s="5"/>
      <c r="GK48" s="5"/>
      <c r="GL48" s="5" t="str">
        <f t="shared" si="222"/>
        <v/>
      </c>
      <c r="GM48" s="33" t="str">
        <f t="shared" si="223"/>
        <v/>
      </c>
      <c r="GN48" s="27"/>
      <c r="GP48" s="14"/>
      <c r="GQ48" s="36"/>
      <c r="GR48" s="5" t="str">
        <f t="shared" si="242"/>
        <v/>
      </c>
      <c r="GS48" s="5"/>
      <c r="GT48" s="5"/>
      <c r="GU48" s="5"/>
      <c r="GV48" s="5" t="str">
        <f t="shared" si="243"/>
        <v/>
      </c>
      <c r="GW48" s="5"/>
      <c r="GX48" s="5"/>
      <c r="GY48" s="5"/>
      <c r="GZ48" s="5" t="str">
        <f t="shared" si="224"/>
        <v/>
      </c>
      <c r="HA48" s="33" t="str">
        <f t="shared" si="225"/>
        <v/>
      </c>
      <c r="HB48" s="27"/>
      <c r="HD48" s="14"/>
      <c r="HE48" s="36"/>
      <c r="HF48" s="5" t="str">
        <f t="shared" si="244"/>
        <v/>
      </c>
      <c r="HG48" s="5"/>
      <c r="HH48" s="27"/>
      <c r="HJ48" s="14"/>
      <c r="HK48" s="36"/>
      <c r="HL48" s="5" t="str">
        <f t="shared" si="245"/>
        <v/>
      </c>
      <c r="HM48" s="5"/>
      <c r="HN48" s="27"/>
      <c r="HP48" s="14"/>
      <c r="HQ48" s="36"/>
      <c r="HR48" s="5" t="str">
        <f t="shared" si="246"/>
        <v/>
      </c>
      <c r="HS48" s="5"/>
      <c r="HT48" s="27"/>
      <c r="HV48" s="14"/>
      <c r="HW48" s="36"/>
      <c r="HX48" s="5" t="str">
        <f t="shared" si="247"/>
        <v/>
      </c>
      <c r="HY48" s="5"/>
      <c r="HZ48" s="5"/>
      <c r="IA48" s="5"/>
      <c r="IB48" s="5" t="str">
        <f t="shared" si="248"/>
        <v/>
      </c>
      <c r="IC48" s="5"/>
      <c r="ID48" s="5"/>
      <c r="IE48" s="5"/>
      <c r="IF48" s="5" t="str">
        <f t="shared" si="226"/>
        <v/>
      </c>
      <c r="IG48" s="33" t="str">
        <f t="shared" si="227"/>
        <v/>
      </c>
      <c r="IH48" s="27"/>
      <c r="IJ48" s="14"/>
      <c r="IK48" s="36"/>
      <c r="IL48" s="5" t="str">
        <f t="shared" si="249"/>
        <v/>
      </c>
      <c r="IM48" s="5"/>
      <c r="IN48" s="5"/>
      <c r="IO48" s="5"/>
      <c r="IP48" s="5" t="str">
        <f t="shared" si="250"/>
        <v/>
      </c>
      <c r="IQ48" s="5"/>
      <c r="IR48" s="5"/>
      <c r="IS48" s="5"/>
      <c r="IT48" s="5" t="str">
        <f t="shared" si="228"/>
        <v/>
      </c>
      <c r="IU48" s="33" t="str">
        <f t="shared" si="229"/>
        <v/>
      </c>
      <c r="IV48" s="27"/>
      <c r="IX48" s="14"/>
      <c r="IY48" s="36"/>
      <c r="IZ48" s="5" t="str">
        <f t="shared" si="251"/>
        <v/>
      </c>
      <c r="JA48" s="5"/>
      <c r="JB48" s="5"/>
      <c r="JC48" s="5"/>
      <c r="JD48" s="5" t="str">
        <f t="shared" si="252"/>
        <v/>
      </c>
      <c r="JE48" s="5"/>
      <c r="JF48" s="5"/>
      <c r="JG48" s="5"/>
      <c r="JH48" s="5" t="str">
        <f t="shared" si="230"/>
        <v/>
      </c>
      <c r="JI48" s="33" t="str">
        <f t="shared" si="231"/>
        <v/>
      </c>
      <c r="JJ48" s="27"/>
      <c r="JL48" s="14"/>
      <c r="JM48" s="36"/>
      <c r="JN48" s="5" t="str">
        <f t="shared" si="253"/>
        <v/>
      </c>
      <c r="JO48" s="5"/>
      <c r="JP48" s="5"/>
      <c r="JQ48" s="5"/>
      <c r="JR48" s="5"/>
      <c r="JS48" s="5"/>
      <c r="JT48" s="5" t="str">
        <f t="shared" si="254"/>
        <v/>
      </c>
      <c r="JU48" s="5"/>
      <c r="JV48" s="5"/>
      <c r="JW48" s="5"/>
      <c r="JX48" s="5" t="str">
        <f t="shared" si="232"/>
        <v/>
      </c>
      <c r="JY48" s="33" t="str">
        <f t="shared" si="233"/>
        <v/>
      </c>
      <c r="JZ48" s="27"/>
    </row>
    <row r="49" spans="1:286" ht="15" customHeight="1" x14ac:dyDescent="0.2">
      <c r="A49" s="50"/>
      <c r="B49" s="34"/>
      <c r="C49" s="54"/>
      <c r="D49" s="5" t="str">
        <f t="shared" si="255"/>
        <v/>
      </c>
      <c r="E49" s="5"/>
      <c r="F49" s="5" t="str">
        <f t="shared" si="256"/>
        <v/>
      </c>
      <c r="G49" s="54"/>
      <c r="H49" s="5" t="str">
        <f t="shared" si="69"/>
        <v/>
      </c>
      <c r="I49" s="55"/>
      <c r="J49" s="35" t="str">
        <f t="shared" si="257"/>
        <v/>
      </c>
      <c r="K49" s="5" t="str">
        <f t="shared" si="258"/>
        <v/>
      </c>
      <c r="L49" s="5" t="str">
        <f t="shared" si="259"/>
        <v/>
      </c>
      <c r="M49" s="33" t="str">
        <f t="shared" si="260"/>
        <v/>
      </c>
      <c r="N49" s="27"/>
      <c r="P49" s="23"/>
      <c r="Q49" s="54"/>
      <c r="R49" s="5" t="str">
        <f t="shared" si="261"/>
        <v/>
      </c>
      <c r="S49" s="5"/>
      <c r="T49" s="5" t="str">
        <f t="shared" si="262"/>
        <v/>
      </c>
      <c r="U49" s="54"/>
      <c r="V49" s="5" t="str">
        <f t="shared" si="263"/>
        <v/>
      </c>
      <c r="W49" s="32"/>
      <c r="X49" s="3" t="str">
        <f t="shared" si="264"/>
        <v/>
      </c>
      <c r="Y49" s="5" t="str">
        <f t="shared" si="265"/>
        <v/>
      </c>
      <c r="Z49" s="5" t="str">
        <f t="shared" si="266"/>
        <v/>
      </c>
      <c r="AA49" s="33" t="str">
        <f t="shared" si="267"/>
        <v/>
      </c>
      <c r="AB49" s="27"/>
      <c r="AD49" s="23"/>
      <c r="AE49" s="54"/>
      <c r="AF49" s="5" t="str">
        <f t="shared" si="268"/>
        <v/>
      </c>
      <c r="AG49" s="5"/>
      <c r="AH49" s="5" t="str">
        <f t="shared" si="269"/>
        <v/>
      </c>
      <c r="AI49" s="54"/>
      <c r="AJ49" s="5" t="str">
        <f t="shared" si="270"/>
        <v/>
      </c>
      <c r="AK49" s="32"/>
      <c r="AL49" s="35" t="str">
        <f t="shared" si="271"/>
        <v/>
      </c>
      <c r="AM49" s="5" t="str">
        <f t="shared" si="272"/>
        <v/>
      </c>
      <c r="AN49" s="5" t="str">
        <f t="shared" si="273"/>
        <v/>
      </c>
      <c r="AO49" s="33" t="str">
        <f t="shared" si="274"/>
        <v/>
      </c>
      <c r="AP49" s="27"/>
      <c r="AR49" s="23"/>
      <c r="AS49" s="54"/>
      <c r="AT49" s="5" t="str">
        <f t="shared" si="88"/>
        <v/>
      </c>
      <c r="AU49" s="5"/>
      <c r="AV49" s="5" t="str">
        <f t="shared" si="89"/>
        <v/>
      </c>
      <c r="AW49" s="54"/>
      <c r="AX49" s="5" t="str">
        <f t="shared" si="90"/>
        <v/>
      </c>
      <c r="AY49" s="32"/>
      <c r="AZ49" s="35" t="str">
        <f t="shared" si="91"/>
        <v/>
      </c>
      <c r="BA49" s="5" t="str">
        <f t="shared" si="92"/>
        <v/>
      </c>
      <c r="BB49" s="5" t="str">
        <f t="shared" si="93"/>
        <v/>
      </c>
      <c r="BC49" s="33" t="str">
        <f t="shared" si="94"/>
        <v/>
      </c>
      <c r="BD49" s="27"/>
      <c r="BF49" s="23"/>
      <c r="BG49" s="54"/>
      <c r="BH49" s="5" t="str">
        <f t="shared" si="95"/>
        <v/>
      </c>
      <c r="BI49" s="5"/>
      <c r="BJ49" s="5" t="str">
        <f t="shared" si="96"/>
        <v/>
      </c>
      <c r="BK49" s="54"/>
      <c r="BL49" s="5" t="str">
        <f t="shared" si="97"/>
        <v/>
      </c>
      <c r="BM49" s="32"/>
      <c r="BN49" s="35" t="str">
        <f t="shared" si="98"/>
        <v/>
      </c>
      <c r="BO49" s="5" t="str">
        <f t="shared" si="99"/>
        <v/>
      </c>
      <c r="BP49" s="5" t="str">
        <f t="shared" si="100"/>
        <v/>
      </c>
      <c r="BQ49" s="33" t="str">
        <f t="shared" si="101"/>
        <v/>
      </c>
      <c r="BR49" s="27"/>
      <c r="BT49" s="23"/>
      <c r="BU49" s="54"/>
      <c r="BV49" s="5" t="str">
        <f t="shared" si="275"/>
        <v/>
      </c>
      <c r="BW49" s="5"/>
      <c r="BX49" s="5" t="str">
        <f t="shared" si="276"/>
        <v/>
      </c>
      <c r="BY49" s="54"/>
      <c r="BZ49" s="5" t="str">
        <f t="shared" si="277"/>
        <v/>
      </c>
      <c r="CA49" s="32"/>
      <c r="CB49" s="35" t="str">
        <f t="shared" si="278"/>
        <v/>
      </c>
      <c r="CC49" s="5" t="str">
        <f t="shared" si="279"/>
        <v/>
      </c>
      <c r="CD49" s="5" t="str">
        <f t="shared" si="280"/>
        <v/>
      </c>
      <c r="CE49" s="33" t="str">
        <f t="shared" si="281"/>
        <v/>
      </c>
      <c r="CF49" s="27"/>
      <c r="CH49" s="23"/>
      <c r="CI49" s="54"/>
      <c r="CJ49" s="5" t="str">
        <f t="shared" si="109"/>
        <v/>
      </c>
      <c r="CK49" s="5"/>
      <c r="CL49" s="5" t="str">
        <f t="shared" si="110"/>
        <v/>
      </c>
      <c r="CM49" s="54"/>
      <c r="CN49" s="5" t="str">
        <f t="shared" si="111"/>
        <v/>
      </c>
      <c r="CO49" s="32"/>
      <c r="CP49" s="35" t="str">
        <f t="shared" si="112"/>
        <v/>
      </c>
      <c r="CQ49" s="5" t="str">
        <f t="shared" si="113"/>
        <v/>
      </c>
      <c r="CR49" s="5" t="str">
        <f t="shared" si="114"/>
        <v/>
      </c>
      <c r="CS49" s="33" t="str">
        <f t="shared" si="115"/>
        <v/>
      </c>
      <c r="CT49" s="27"/>
      <c r="CV49" s="23"/>
      <c r="CW49" s="54"/>
      <c r="CX49" s="5" t="str">
        <f t="shared" si="116"/>
        <v/>
      </c>
      <c r="CY49" s="5"/>
      <c r="CZ49" s="5" t="str">
        <f t="shared" si="117"/>
        <v/>
      </c>
      <c r="DA49" s="54"/>
      <c r="DB49" s="5" t="str">
        <f t="shared" si="118"/>
        <v/>
      </c>
      <c r="DC49" s="32"/>
      <c r="DD49" s="35" t="str">
        <f t="shared" si="119"/>
        <v/>
      </c>
      <c r="DE49" s="5" t="str">
        <f t="shared" si="120"/>
        <v/>
      </c>
      <c r="DF49" s="5" t="str">
        <f t="shared" si="121"/>
        <v/>
      </c>
      <c r="DG49" s="33" t="str">
        <f t="shared" si="122"/>
        <v/>
      </c>
      <c r="DH49" s="27"/>
      <c r="DJ49" s="23"/>
      <c r="DK49" s="5"/>
      <c r="DL49" s="5" t="str">
        <f t="shared" si="282"/>
        <v/>
      </c>
      <c r="DM49" s="5"/>
      <c r="DN49" s="5" t="str">
        <f t="shared" si="283"/>
        <v/>
      </c>
      <c r="DO49" s="5"/>
      <c r="DP49" s="5"/>
      <c r="DQ49" s="53"/>
      <c r="DR49" s="3"/>
      <c r="DS49" s="36"/>
      <c r="DT49" s="5"/>
      <c r="DU49" s="33"/>
      <c r="DV49" s="27"/>
      <c r="DX49" s="23"/>
      <c r="DY49" s="5"/>
      <c r="DZ49" s="5" t="str">
        <f t="shared" si="130"/>
        <v/>
      </c>
      <c r="EA49" s="5"/>
      <c r="EB49" s="5" t="str">
        <f t="shared" si="131"/>
        <v/>
      </c>
      <c r="EC49" s="5"/>
      <c r="ED49" s="5"/>
      <c r="EE49" s="53"/>
      <c r="EF49" s="3"/>
      <c r="EG49" s="36"/>
      <c r="EH49" s="5"/>
      <c r="EI49" s="33"/>
      <c r="EJ49" s="27"/>
      <c r="EL49" s="14"/>
      <c r="EM49" s="36"/>
      <c r="EN49" s="5" t="str">
        <f t="shared" si="234"/>
        <v/>
      </c>
      <c r="EO49" s="5"/>
      <c r="EP49" s="5"/>
      <c r="EQ49" s="5"/>
      <c r="ER49" s="5" t="str">
        <f t="shared" si="235"/>
        <v/>
      </c>
      <c r="ES49" s="5"/>
      <c r="ET49" s="5"/>
      <c r="EU49" s="5"/>
      <c r="EV49" s="5" t="str">
        <f t="shared" si="216"/>
        <v/>
      </c>
      <c r="EW49" s="33" t="str">
        <f t="shared" si="217"/>
        <v/>
      </c>
      <c r="EX49" s="27"/>
      <c r="EZ49" s="14"/>
      <c r="FA49" s="36"/>
      <c r="FB49" s="5" t="str">
        <f t="shared" si="236"/>
        <v/>
      </c>
      <c r="FC49" s="5"/>
      <c r="FD49" s="5"/>
      <c r="FE49" s="5"/>
      <c r="FF49" s="5" t="str">
        <f t="shared" si="237"/>
        <v/>
      </c>
      <c r="FG49" s="5"/>
      <c r="FH49" s="5"/>
      <c r="FI49" s="5"/>
      <c r="FJ49" s="5" t="str">
        <f t="shared" si="218"/>
        <v/>
      </c>
      <c r="FK49" s="33" t="str">
        <f t="shared" si="219"/>
        <v/>
      </c>
      <c r="FL49" s="27"/>
      <c r="FN49" s="14"/>
      <c r="FO49" s="36"/>
      <c r="FP49" s="5" t="str">
        <f t="shared" si="238"/>
        <v/>
      </c>
      <c r="FQ49" s="5"/>
      <c r="FR49" s="5"/>
      <c r="FS49" s="5"/>
      <c r="FT49" s="5" t="str">
        <f t="shared" si="239"/>
        <v/>
      </c>
      <c r="FU49" s="5"/>
      <c r="FV49" s="5"/>
      <c r="FW49" s="5"/>
      <c r="FX49" s="5" t="str">
        <f t="shared" si="220"/>
        <v/>
      </c>
      <c r="FY49" s="33" t="str">
        <f t="shared" si="221"/>
        <v/>
      </c>
      <c r="FZ49" s="27"/>
      <c r="GB49" s="14"/>
      <c r="GC49" s="36"/>
      <c r="GD49" s="5" t="str">
        <f t="shared" si="240"/>
        <v/>
      </c>
      <c r="GE49" s="5"/>
      <c r="GF49" s="5"/>
      <c r="GG49" s="5"/>
      <c r="GH49" s="5" t="str">
        <f t="shared" si="241"/>
        <v/>
      </c>
      <c r="GI49" s="5"/>
      <c r="GJ49" s="5"/>
      <c r="GK49" s="5"/>
      <c r="GL49" s="5" t="str">
        <f t="shared" si="222"/>
        <v/>
      </c>
      <c r="GM49" s="33" t="str">
        <f t="shared" si="223"/>
        <v/>
      </c>
      <c r="GN49" s="27"/>
      <c r="GP49" s="14"/>
      <c r="GQ49" s="36"/>
      <c r="GR49" s="5" t="str">
        <f t="shared" si="242"/>
        <v/>
      </c>
      <c r="GS49" s="5"/>
      <c r="GT49" s="5"/>
      <c r="GU49" s="5"/>
      <c r="GV49" s="5" t="str">
        <f t="shared" si="243"/>
        <v/>
      </c>
      <c r="GW49" s="5"/>
      <c r="GX49" s="5"/>
      <c r="GY49" s="5"/>
      <c r="GZ49" s="5" t="str">
        <f t="shared" si="224"/>
        <v/>
      </c>
      <c r="HA49" s="33" t="str">
        <f t="shared" si="225"/>
        <v/>
      </c>
      <c r="HB49" s="27"/>
      <c r="HD49" s="14"/>
      <c r="HE49" s="36"/>
      <c r="HF49" s="5" t="str">
        <f t="shared" si="244"/>
        <v/>
      </c>
      <c r="HG49" s="5"/>
      <c r="HH49" s="27"/>
      <c r="HJ49" s="14"/>
      <c r="HK49" s="36"/>
      <c r="HL49" s="5" t="str">
        <f t="shared" si="245"/>
        <v/>
      </c>
      <c r="HM49" s="5"/>
      <c r="HN49" s="27"/>
      <c r="HP49" s="14"/>
      <c r="HQ49" s="36"/>
      <c r="HR49" s="5" t="str">
        <f t="shared" si="246"/>
        <v/>
      </c>
      <c r="HS49" s="5"/>
      <c r="HT49" s="27"/>
      <c r="HV49" s="14"/>
      <c r="HW49" s="36"/>
      <c r="HX49" s="5" t="str">
        <f t="shared" si="247"/>
        <v/>
      </c>
      <c r="HY49" s="5"/>
      <c r="HZ49" s="5"/>
      <c r="IA49" s="5"/>
      <c r="IB49" s="5" t="str">
        <f t="shared" si="248"/>
        <v/>
      </c>
      <c r="IC49" s="5"/>
      <c r="ID49" s="5"/>
      <c r="IE49" s="5"/>
      <c r="IF49" s="5" t="str">
        <f t="shared" si="226"/>
        <v/>
      </c>
      <c r="IG49" s="33" t="str">
        <f t="shared" si="227"/>
        <v/>
      </c>
      <c r="IH49" s="27"/>
      <c r="IJ49" s="14"/>
      <c r="IK49" s="36"/>
      <c r="IL49" s="5" t="str">
        <f t="shared" si="249"/>
        <v/>
      </c>
      <c r="IM49" s="5"/>
      <c r="IN49" s="5"/>
      <c r="IO49" s="5"/>
      <c r="IP49" s="5" t="str">
        <f t="shared" si="250"/>
        <v/>
      </c>
      <c r="IQ49" s="5"/>
      <c r="IR49" s="5"/>
      <c r="IS49" s="5"/>
      <c r="IT49" s="5" t="str">
        <f t="shared" si="228"/>
        <v/>
      </c>
      <c r="IU49" s="33" t="str">
        <f t="shared" si="229"/>
        <v/>
      </c>
      <c r="IV49" s="27"/>
      <c r="IX49" s="14"/>
      <c r="IY49" s="36"/>
      <c r="IZ49" s="5" t="str">
        <f t="shared" si="251"/>
        <v/>
      </c>
      <c r="JA49" s="5"/>
      <c r="JB49" s="5"/>
      <c r="JC49" s="5"/>
      <c r="JD49" s="5" t="str">
        <f t="shared" si="252"/>
        <v/>
      </c>
      <c r="JE49" s="5"/>
      <c r="JF49" s="5"/>
      <c r="JG49" s="5"/>
      <c r="JH49" s="5" t="str">
        <f t="shared" si="230"/>
        <v/>
      </c>
      <c r="JI49" s="33" t="str">
        <f t="shared" si="231"/>
        <v/>
      </c>
      <c r="JJ49" s="27"/>
      <c r="JL49" s="14"/>
      <c r="JM49" s="36"/>
      <c r="JN49" s="5" t="str">
        <f t="shared" si="253"/>
        <v/>
      </c>
      <c r="JO49" s="5"/>
      <c r="JP49" s="5"/>
      <c r="JQ49" s="5"/>
      <c r="JR49" s="5"/>
      <c r="JS49" s="5"/>
      <c r="JT49" s="5" t="str">
        <f t="shared" si="254"/>
        <v/>
      </c>
      <c r="JU49" s="5"/>
      <c r="JV49" s="5"/>
      <c r="JW49" s="5"/>
      <c r="JX49" s="5" t="str">
        <f t="shared" si="232"/>
        <v/>
      </c>
      <c r="JY49" s="33" t="str">
        <f t="shared" si="233"/>
        <v/>
      </c>
      <c r="JZ49" s="27"/>
    </row>
    <row r="50" spans="1:286" ht="15" customHeight="1" thickBot="1" x14ac:dyDescent="0.25">
      <c r="A50" s="56"/>
      <c r="B50" s="67"/>
      <c r="C50" s="41"/>
      <c r="D50" s="57" t="str">
        <f t="shared" si="255"/>
        <v/>
      </c>
      <c r="E50" s="41"/>
      <c r="F50" s="41" t="str">
        <f t="shared" si="256"/>
        <v/>
      </c>
      <c r="G50" s="69"/>
      <c r="H50" s="70" t="str">
        <f t="shared" si="69"/>
        <v/>
      </c>
      <c r="I50" s="71"/>
      <c r="J50" s="72" t="str">
        <f t="shared" si="257"/>
        <v/>
      </c>
      <c r="K50" s="57" t="str">
        <f t="shared" si="258"/>
        <v/>
      </c>
      <c r="L50" s="41" t="str">
        <f t="shared" si="259"/>
        <v/>
      </c>
      <c r="M50" s="43" t="str">
        <f t="shared" si="260"/>
        <v/>
      </c>
      <c r="N50" s="27"/>
      <c r="P50" s="38"/>
      <c r="Q50" s="41"/>
      <c r="R50" s="57" t="str">
        <f t="shared" si="261"/>
        <v/>
      </c>
      <c r="S50" s="41"/>
      <c r="T50" s="41" t="str">
        <f t="shared" si="262"/>
        <v/>
      </c>
      <c r="U50" s="69"/>
      <c r="V50" s="41" t="str">
        <f t="shared" si="263"/>
        <v/>
      </c>
      <c r="W50" s="71"/>
      <c r="X50" s="42" t="str">
        <f t="shared" si="264"/>
        <v/>
      </c>
      <c r="Y50" s="57" t="str">
        <f t="shared" si="265"/>
        <v/>
      </c>
      <c r="Z50" s="41" t="str">
        <f t="shared" si="266"/>
        <v/>
      </c>
      <c r="AA50" s="43" t="str">
        <f t="shared" si="267"/>
        <v/>
      </c>
      <c r="AB50" s="27"/>
      <c r="AD50" s="38"/>
      <c r="AE50" s="41"/>
      <c r="AF50" s="57" t="str">
        <f t="shared" si="268"/>
        <v/>
      </c>
      <c r="AG50" s="41"/>
      <c r="AH50" s="41" t="str">
        <f t="shared" si="269"/>
        <v/>
      </c>
      <c r="AI50" s="69"/>
      <c r="AJ50" s="41" t="str">
        <f t="shared" si="270"/>
        <v/>
      </c>
      <c r="AK50" s="71"/>
      <c r="AL50" s="44" t="str">
        <f t="shared" si="271"/>
        <v/>
      </c>
      <c r="AM50" s="57" t="str">
        <f t="shared" si="272"/>
        <v/>
      </c>
      <c r="AN50" s="41" t="str">
        <f t="shared" si="273"/>
        <v/>
      </c>
      <c r="AO50" s="43" t="str">
        <f t="shared" si="274"/>
        <v/>
      </c>
      <c r="AP50" s="27"/>
      <c r="AR50" s="38"/>
      <c r="AS50" s="41"/>
      <c r="AT50" s="57" t="str">
        <f t="shared" si="88"/>
        <v/>
      </c>
      <c r="AU50" s="41"/>
      <c r="AV50" s="41" t="str">
        <f t="shared" si="89"/>
        <v/>
      </c>
      <c r="AW50" s="69"/>
      <c r="AX50" s="41" t="str">
        <f t="shared" si="90"/>
        <v/>
      </c>
      <c r="AY50" s="71"/>
      <c r="AZ50" s="44" t="str">
        <f t="shared" si="91"/>
        <v/>
      </c>
      <c r="BA50" s="57" t="str">
        <f t="shared" si="92"/>
        <v/>
      </c>
      <c r="BB50" s="41" t="str">
        <f t="shared" si="93"/>
        <v/>
      </c>
      <c r="BC50" s="43" t="str">
        <f t="shared" si="94"/>
        <v/>
      </c>
      <c r="BD50" s="27"/>
      <c r="BF50" s="38"/>
      <c r="BG50" s="41"/>
      <c r="BH50" s="57" t="str">
        <f t="shared" si="95"/>
        <v/>
      </c>
      <c r="BI50" s="41"/>
      <c r="BJ50" s="41" t="str">
        <f t="shared" si="96"/>
        <v/>
      </c>
      <c r="BK50" s="69"/>
      <c r="BL50" s="41" t="str">
        <f t="shared" si="97"/>
        <v/>
      </c>
      <c r="BM50" s="71"/>
      <c r="BN50" s="44" t="str">
        <f t="shared" si="98"/>
        <v/>
      </c>
      <c r="BO50" s="57" t="str">
        <f t="shared" si="99"/>
        <v/>
      </c>
      <c r="BP50" s="41" t="str">
        <f t="shared" si="100"/>
        <v/>
      </c>
      <c r="BQ50" s="43" t="str">
        <f t="shared" si="101"/>
        <v/>
      </c>
      <c r="BR50" s="27"/>
      <c r="BT50" s="38"/>
      <c r="BU50" s="41"/>
      <c r="BV50" s="57" t="str">
        <f t="shared" si="275"/>
        <v/>
      </c>
      <c r="BW50" s="41"/>
      <c r="BX50" s="41" t="str">
        <f t="shared" si="276"/>
        <v/>
      </c>
      <c r="BY50" s="69"/>
      <c r="BZ50" s="41" t="str">
        <f t="shared" si="277"/>
        <v/>
      </c>
      <c r="CA50" s="71"/>
      <c r="CB50" s="44" t="str">
        <f t="shared" si="278"/>
        <v/>
      </c>
      <c r="CC50" s="57" t="str">
        <f t="shared" si="279"/>
        <v/>
      </c>
      <c r="CD50" s="41" t="str">
        <f t="shared" si="280"/>
        <v/>
      </c>
      <c r="CE50" s="43" t="str">
        <f t="shared" si="281"/>
        <v/>
      </c>
      <c r="CF50" s="27"/>
      <c r="CH50" s="38"/>
      <c r="CI50" s="41"/>
      <c r="CJ50" s="57" t="str">
        <f t="shared" si="109"/>
        <v/>
      </c>
      <c r="CK50" s="41"/>
      <c r="CL50" s="41" t="str">
        <f t="shared" si="110"/>
        <v/>
      </c>
      <c r="CM50" s="69"/>
      <c r="CN50" s="41" t="str">
        <f t="shared" si="111"/>
        <v/>
      </c>
      <c r="CO50" s="71"/>
      <c r="CP50" s="44" t="str">
        <f t="shared" si="112"/>
        <v/>
      </c>
      <c r="CQ50" s="57" t="str">
        <f t="shared" si="113"/>
        <v/>
      </c>
      <c r="CR50" s="41" t="str">
        <f t="shared" si="114"/>
        <v/>
      </c>
      <c r="CS50" s="43" t="str">
        <f t="shared" si="115"/>
        <v/>
      </c>
      <c r="CT50" s="27"/>
      <c r="CV50" s="38"/>
      <c r="CW50" s="41"/>
      <c r="CX50" s="57" t="str">
        <f t="shared" si="116"/>
        <v/>
      </c>
      <c r="CY50" s="41"/>
      <c r="CZ50" s="41" t="str">
        <f t="shared" si="117"/>
        <v/>
      </c>
      <c r="DA50" s="69"/>
      <c r="DB50" s="41" t="str">
        <f t="shared" si="118"/>
        <v/>
      </c>
      <c r="DC50" s="71"/>
      <c r="DD50" s="44" t="str">
        <f t="shared" si="119"/>
        <v/>
      </c>
      <c r="DE50" s="57" t="str">
        <f t="shared" si="120"/>
        <v/>
      </c>
      <c r="DF50" s="41" t="str">
        <f t="shared" si="121"/>
        <v/>
      </c>
      <c r="DG50" s="43" t="str">
        <f t="shared" si="122"/>
        <v/>
      </c>
      <c r="DH50" s="27"/>
      <c r="DJ50" s="38"/>
      <c r="DK50" s="41"/>
      <c r="DL50" s="41" t="str">
        <f t="shared" si="282"/>
        <v/>
      </c>
      <c r="DM50" s="41"/>
      <c r="DN50" s="41" t="str">
        <f t="shared" si="283"/>
        <v/>
      </c>
      <c r="DO50" s="41"/>
      <c r="DP50" s="41"/>
      <c r="DQ50" s="41"/>
      <c r="DR50" s="42"/>
      <c r="DS50" s="57"/>
      <c r="DT50" s="41"/>
      <c r="DU50" s="43"/>
      <c r="DV50" s="27"/>
      <c r="DX50" s="38"/>
      <c r="DY50" s="41"/>
      <c r="DZ50" s="41" t="str">
        <f t="shared" si="130"/>
        <v/>
      </c>
      <c r="EA50" s="41"/>
      <c r="EB50" s="41" t="str">
        <f t="shared" si="131"/>
        <v/>
      </c>
      <c r="EC50" s="41"/>
      <c r="ED50" s="41"/>
      <c r="EE50" s="41"/>
      <c r="EF50" s="42"/>
      <c r="EG50" s="57"/>
      <c r="EH50" s="41"/>
      <c r="EI50" s="43"/>
      <c r="EJ50" s="27"/>
      <c r="EL50" s="14"/>
      <c r="EM50" s="36"/>
      <c r="EN50" s="5" t="str">
        <f t="shared" si="234"/>
        <v/>
      </c>
      <c r="EO50" s="5"/>
      <c r="EP50" s="5"/>
      <c r="EQ50" s="5"/>
      <c r="ER50" s="5" t="str">
        <f t="shared" si="235"/>
        <v/>
      </c>
      <c r="ES50" s="5"/>
      <c r="ET50" s="5"/>
      <c r="EU50" s="5"/>
      <c r="EV50" s="5" t="str">
        <f t="shared" si="216"/>
        <v/>
      </c>
      <c r="EW50" s="33" t="str">
        <f t="shared" si="217"/>
        <v/>
      </c>
      <c r="EX50" s="27"/>
      <c r="EZ50" s="14"/>
      <c r="FA50" s="36"/>
      <c r="FB50" s="5" t="str">
        <f t="shared" si="236"/>
        <v/>
      </c>
      <c r="FC50" s="5"/>
      <c r="FD50" s="5"/>
      <c r="FE50" s="5"/>
      <c r="FF50" s="5" t="str">
        <f t="shared" si="237"/>
        <v/>
      </c>
      <c r="FG50" s="5"/>
      <c r="FH50" s="5"/>
      <c r="FI50" s="5"/>
      <c r="FJ50" s="5" t="str">
        <f t="shared" si="218"/>
        <v/>
      </c>
      <c r="FK50" s="33" t="str">
        <f t="shared" si="219"/>
        <v/>
      </c>
      <c r="FL50" s="27"/>
      <c r="FN50" s="14"/>
      <c r="FO50" s="36"/>
      <c r="FP50" s="5" t="str">
        <f t="shared" si="238"/>
        <v/>
      </c>
      <c r="FQ50" s="5"/>
      <c r="FR50" s="5"/>
      <c r="FS50" s="5"/>
      <c r="FT50" s="5" t="str">
        <f t="shared" si="239"/>
        <v/>
      </c>
      <c r="FU50" s="5"/>
      <c r="FV50" s="5"/>
      <c r="FW50" s="5"/>
      <c r="FX50" s="5" t="str">
        <f t="shared" si="220"/>
        <v/>
      </c>
      <c r="FY50" s="33" t="str">
        <f t="shared" si="221"/>
        <v/>
      </c>
      <c r="FZ50" s="27"/>
      <c r="GB50" s="14"/>
      <c r="GC50" s="36"/>
      <c r="GD50" s="5" t="str">
        <f t="shared" si="240"/>
        <v/>
      </c>
      <c r="GE50" s="5"/>
      <c r="GF50" s="5"/>
      <c r="GG50" s="5"/>
      <c r="GH50" s="5" t="str">
        <f t="shared" si="241"/>
        <v/>
      </c>
      <c r="GI50" s="5"/>
      <c r="GJ50" s="5"/>
      <c r="GK50" s="5"/>
      <c r="GL50" s="5" t="str">
        <f t="shared" si="222"/>
        <v/>
      </c>
      <c r="GM50" s="33" t="str">
        <f t="shared" si="223"/>
        <v/>
      </c>
      <c r="GN50" s="27"/>
      <c r="GP50" s="14"/>
      <c r="GQ50" s="36"/>
      <c r="GR50" s="5" t="str">
        <f t="shared" si="242"/>
        <v/>
      </c>
      <c r="GS50" s="5"/>
      <c r="GT50" s="5"/>
      <c r="GU50" s="5"/>
      <c r="GV50" s="5" t="str">
        <f t="shared" si="243"/>
        <v/>
      </c>
      <c r="GW50" s="5"/>
      <c r="GX50" s="5"/>
      <c r="GY50" s="5"/>
      <c r="GZ50" s="5" t="str">
        <f t="shared" si="224"/>
        <v/>
      </c>
      <c r="HA50" s="33" t="str">
        <f t="shared" si="225"/>
        <v/>
      </c>
      <c r="HB50" s="27"/>
      <c r="HD50" s="14"/>
      <c r="HE50" s="36"/>
      <c r="HF50" s="5" t="str">
        <f t="shared" si="244"/>
        <v/>
      </c>
      <c r="HG50" s="5"/>
      <c r="HH50" s="27"/>
      <c r="HJ50" s="14"/>
      <c r="HK50" s="36"/>
      <c r="HL50" s="5" t="str">
        <f t="shared" si="245"/>
        <v/>
      </c>
      <c r="HM50" s="5"/>
      <c r="HN50" s="27"/>
      <c r="HP50" s="14"/>
      <c r="HQ50" s="36"/>
      <c r="HR50" s="5" t="str">
        <f t="shared" si="246"/>
        <v/>
      </c>
      <c r="HS50" s="5"/>
      <c r="HT50" s="27"/>
      <c r="HV50" s="14"/>
      <c r="HW50" s="36"/>
      <c r="HX50" s="5" t="str">
        <f t="shared" si="247"/>
        <v/>
      </c>
      <c r="HY50" s="5"/>
      <c r="HZ50" s="5"/>
      <c r="IA50" s="5"/>
      <c r="IB50" s="5" t="str">
        <f t="shared" si="248"/>
        <v/>
      </c>
      <c r="IC50" s="5"/>
      <c r="ID50" s="5"/>
      <c r="IE50" s="5"/>
      <c r="IF50" s="5" t="str">
        <f t="shared" si="226"/>
        <v/>
      </c>
      <c r="IG50" s="33" t="str">
        <f t="shared" si="227"/>
        <v/>
      </c>
      <c r="IH50" s="27"/>
      <c r="IJ50" s="14"/>
      <c r="IK50" s="36"/>
      <c r="IL50" s="5" t="str">
        <f t="shared" si="249"/>
        <v/>
      </c>
      <c r="IM50" s="5"/>
      <c r="IN50" s="5"/>
      <c r="IO50" s="5"/>
      <c r="IP50" s="5" t="str">
        <f t="shared" si="250"/>
        <v/>
      </c>
      <c r="IQ50" s="5"/>
      <c r="IR50" s="5"/>
      <c r="IS50" s="5"/>
      <c r="IT50" s="5" t="str">
        <f t="shared" si="228"/>
        <v/>
      </c>
      <c r="IU50" s="33" t="str">
        <f t="shared" si="229"/>
        <v/>
      </c>
      <c r="IV50" s="27"/>
      <c r="IX50" s="14"/>
      <c r="IY50" s="36"/>
      <c r="IZ50" s="5" t="str">
        <f t="shared" si="251"/>
        <v/>
      </c>
      <c r="JA50" s="5"/>
      <c r="JB50" s="5"/>
      <c r="JC50" s="5"/>
      <c r="JD50" s="5" t="str">
        <f t="shared" si="252"/>
        <v/>
      </c>
      <c r="JE50" s="5"/>
      <c r="JF50" s="5"/>
      <c r="JG50" s="5"/>
      <c r="JH50" s="5" t="str">
        <f t="shared" si="230"/>
        <v/>
      </c>
      <c r="JI50" s="33" t="str">
        <f t="shared" si="231"/>
        <v/>
      </c>
      <c r="JJ50" s="27"/>
      <c r="JL50" s="14"/>
      <c r="JM50" s="36"/>
      <c r="JN50" s="5" t="str">
        <f t="shared" si="253"/>
        <v/>
      </c>
      <c r="JO50" s="5"/>
      <c r="JP50" s="5"/>
      <c r="JQ50" s="5"/>
      <c r="JR50" s="5"/>
      <c r="JS50" s="5"/>
      <c r="JT50" s="5" t="str">
        <f t="shared" si="254"/>
        <v/>
      </c>
      <c r="JU50" s="5"/>
      <c r="JV50" s="5"/>
      <c r="JW50" s="5"/>
      <c r="JX50" s="5" t="str">
        <f t="shared" si="232"/>
        <v/>
      </c>
      <c r="JY50" s="33" t="str">
        <f t="shared" si="233"/>
        <v/>
      </c>
      <c r="JZ50" s="27"/>
    </row>
    <row r="51" spans="1:286" ht="15" customHeight="1" thickTop="1" x14ac:dyDescent="0.2">
      <c r="A51" s="45"/>
      <c r="B51" s="24">
        <f>SUM(D51:D54)+SUM(R51:R54)+SUM(AF51:AF54)+SUM(BV51:BV54)+SUM(GD45,EN45,FB45,FP45,HX45,IL45,IZ45,JN45,HF45,HL45,HR45)+SUM(CJ51:CJ52)+SUM(DL51:DL52)</f>
        <v>0</v>
      </c>
      <c r="C51" s="4"/>
      <c r="D51" s="4" t="str">
        <f t="shared" si="255"/>
        <v/>
      </c>
      <c r="E51" s="4"/>
      <c r="F51" s="46" t="str">
        <f t="shared" si="256"/>
        <v/>
      </c>
      <c r="G51" s="4"/>
      <c r="H51" s="4" t="str">
        <f t="shared" si="69"/>
        <v/>
      </c>
      <c r="I51" s="4"/>
      <c r="J51" s="2" t="str">
        <f t="shared" si="257"/>
        <v/>
      </c>
      <c r="K51" s="25" t="str">
        <f t="shared" si="258"/>
        <v/>
      </c>
      <c r="L51" s="46" t="str">
        <f t="shared" si="259"/>
        <v/>
      </c>
      <c r="M51" s="48" t="str">
        <f t="shared" si="260"/>
        <v/>
      </c>
      <c r="N51" s="27"/>
      <c r="P51" s="73" t="e">
        <f>IF(#REF!="","",#REF!)</f>
        <v>#REF!</v>
      </c>
      <c r="Q51" s="4"/>
      <c r="R51" s="4" t="str">
        <f t="shared" si="261"/>
        <v/>
      </c>
      <c r="S51" s="4"/>
      <c r="T51" s="46" t="str">
        <f t="shared" si="262"/>
        <v/>
      </c>
      <c r="U51" s="4"/>
      <c r="V51" s="4" t="str">
        <f t="shared" si="263"/>
        <v/>
      </c>
      <c r="W51" s="4"/>
      <c r="X51" s="2" t="str">
        <f t="shared" si="264"/>
        <v/>
      </c>
      <c r="Y51" s="25" t="str">
        <f t="shared" si="265"/>
        <v/>
      </c>
      <c r="Z51" s="46" t="str">
        <f t="shared" si="266"/>
        <v/>
      </c>
      <c r="AA51" s="48" t="str">
        <f t="shared" si="267"/>
        <v/>
      </c>
      <c r="AB51" s="27"/>
      <c r="AD51" s="73" t="e">
        <f>IF(#REF!="","",#REF!)</f>
        <v>#REF!</v>
      </c>
      <c r="AE51" s="4"/>
      <c r="AF51" s="4" t="str">
        <f t="shared" si="268"/>
        <v/>
      </c>
      <c r="AG51" s="4"/>
      <c r="AH51" s="46" t="str">
        <f t="shared" si="269"/>
        <v/>
      </c>
      <c r="AI51" s="4"/>
      <c r="AJ51" s="4" t="str">
        <f t="shared" si="270"/>
        <v/>
      </c>
      <c r="AK51" s="4"/>
      <c r="AL51" s="29" t="str">
        <f t="shared" si="271"/>
        <v/>
      </c>
      <c r="AM51" s="25" t="str">
        <f t="shared" si="272"/>
        <v/>
      </c>
      <c r="AN51" s="46" t="str">
        <f t="shared" si="273"/>
        <v/>
      </c>
      <c r="AO51" s="48" t="str">
        <f t="shared" si="274"/>
        <v/>
      </c>
      <c r="AP51" s="27"/>
      <c r="AR51" s="73" t="e">
        <f>IF(#REF!="","",#REF!)</f>
        <v>#REF!</v>
      </c>
      <c r="AS51" s="4"/>
      <c r="AT51" s="4" t="str">
        <f t="shared" si="88"/>
        <v/>
      </c>
      <c r="AU51" s="4"/>
      <c r="AV51" s="46" t="str">
        <f t="shared" si="89"/>
        <v/>
      </c>
      <c r="AW51" s="4"/>
      <c r="AX51" s="4" t="str">
        <f t="shared" si="90"/>
        <v/>
      </c>
      <c r="AY51" s="4"/>
      <c r="AZ51" s="29" t="str">
        <f t="shared" si="91"/>
        <v/>
      </c>
      <c r="BA51" s="25" t="str">
        <f t="shared" si="92"/>
        <v/>
      </c>
      <c r="BB51" s="46" t="str">
        <f t="shared" si="93"/>
        <v/>
      </c>
      <c r="BC51" s="48" t="str">
        <f t="shared" si="94"/>
        <v/>
      </c>
      <c r="BD51" s="27"/>
      <c r="BF51" s="73" t="e">
        <f>IF(#REF!="","",#REF!)</f>
        <v>#REF!</v>
      </c>
      <c r="BG51" s="4"/>
      <c r="BH51" s="4" t="str">
        <f t="shared" si="95"/>
        <v/>
      </c>
      <c r="BI51" s="4"/>
      <c r="BJ51" s="46" t="str">
        <f t="shared" si="96"/>
        <v/>
      </c>
      <c r="BK51" s="4"/>
      <c r="BL51" s="4" t="str">
        <f t="shared" si="97"/>
        <v/>
      </c>
      <c r="BM51" s="4"/>
      <c r="BN51" s="29" t="str">
        <f t="shared" si="98"/>
        <v/>
      </c>
      <c r="BO51" s="25" t="str">
        <f t="shared" si="99"/>
        <v/>
      </c>
      <c r="BP51" s="46" t="str">
        <f t="shared" si="100"/>
        <v/>
      </c>
      <c r="BQ51" s="48" t="str">
        <f t="shared" si="101"/>
        <v/>
      </c>
      <c r="BR51" s="27"/>
      <c r="BT51" s="73" t="e">
        <f>IF(#REF!="","",#REF!)</f>
        <v>#REF!</v>
      </c>
      <c r="BU51" s="4"/>
      <c r="BV51" s="4" t="str">
        <f t="shared" si="275"/>
        <v/>
      </c>
      <c r="BW51" s="4"/>
      <c r="BX51" s="46" t="str">
        <f t="shared" si="276"/>
        <v/>
      </c>
      <c r="BY51" s="4"/>
      <c r="BZ51" s="4" t="str">
        <f t="shared" si="277"/>
        <v/>
      </c>
      <c r="CA51" s="4"/>
      <c r="CB51" s="29" t="str">
        <f t="shared" si="278"/>
        <v/>
      </c>
      <c r="CC51" s="25" t="str">
        <f t="shared" si="279"/>
        <v/>
      </c>
      <c r="CD51" s="46" t="str">
        <f t="shared" si="280"/>
        <v/>
      </c>
      <c r="CE51" s="48" t="str">
        <f t="shared" si="281"/>
        <v/>
      </c>
      <c r="CF51" s="27"/>
      <c r="CH51" s="73" t="e">
        <f>IF(#REF!="","",#REF!)</f>
        <v>#REF!</v>
      </c>
      <c r="CI51" s="4"/>
      <c r="CJ51" s="4" t="str">
        <f t="shared" si="109"/>
        <v/>
      </c>
      <c r="CK51" s="4"/>
      <c r="CL51" s="46" t="str">
        <f t="shared" si="110"/>
        <v/>
      </c>
      <c r="CM51" s="4"/>
      <c r="CN51" s="4" t="str">
        <f t="shared" si="111"/>
        <v/>
      </c>
      <c r="CO51" s="4"/>
      <c r="CP51" s="29" t="str">
        <f t="shared" si="112"/>
        <v/>
      </c>
      <c r="CQ51" s="25" t="str">
        <f t="shared" si="113"/>
        <v/>
      </c>
      <c r="CR51" s="46" t="str">
        <f t="shared" si="114"/>
        <v/>
      </c>
      <c r="CS51" s="48" t="str">
        <f t="shared" si="115"/>
        <v/>
      </c>
      <c r="CT51" s="27"/>
      <c r="CV51" s="73" t="e">
        <f>IF(#REF!="","",#REF!)</f>
        <v>#REF!</v>
      </c>
      <c r="CW51" s="4"/>
      <c r="CX51" s="4" t="str">
        <f t="shared" si="116"/>
        <v/>
      </c>
      <c r="CY51" s="4"/>
      <c r="CZ51" s="46" t="str">
        <f t="shared" si="117"/>
        <v/>
      </c>
      <c r="DA51" s="4"/>
      <c r="DB51" s="4" t="str">
        <f t="shared" si="118"/>
        <v/>
      </c>
      <c r="DC51" s="4"/>
      <c r="DD51" s="29" t="str">
        <f t="shared" si="119"/>
        <v/>
      </c>
      <c r="DE51" s="25" t="str">
        <f t="shared" si="120"/>
        <v/>
      </c>
      <c r="DF51" s="46" t="str">
        <f t="shared" si="121"/>
        <v/>
      </c>
      <c r="DG51" s="48" t="str">
        <f t="shared" si="122"/>
        <v/>
      </c>
      <c r="DH51" s="27"/>
      <c r="DJ51" s="30"/>
      <c r="DK51" s="4"/>
      <c r="DL51" s="4" t="str">
        <f t="shared" si="282"/>
        <v/>
      </c>
      <c r="DM51" s="4"/>
      <c r="DN51" s="46" t="str">
        <f t="shared" si="283"/>
        <v/>
      </c>
      <c r="DO51" s="4"/>
      <c r="DP51" s="4" t="str">
        <f>IF(DO51="","",DO47+DQ47-DO51)</f>
        <v/>
      </c>
      <c r="DQ51" s="4"/>
      <c r="DR51" s="2" t="str">
        <f>IF(DK51="","",DR47)</f>
        <v/>
      </c>
      <c r="DS51" s="25" t="str">
        <f>IF(DK51="","",DS47)</f>
        <v/>
      </c>
      <c r="DT51" s="5" t="str">
        <f>IF(DO51="","",DP51*DS51)</f>
        <v/>
      </c>
      <c r="DU51" s="48" t="str">
        <f>IF(DP51="","",DT51/(DL51*100))</f>
        <v/>
      </c>
      <c r="DV51" s="27"/>
      <c r="DX51" s="30"/>
      <c r="DY51" s="4"/>
      <c r="DZ51" s="4" t="str">
        <f t="shared" si="130"/>
        <v/>
      </c>
      <c r="EA51" s="4"/>
      <c r="EB51" s="46" t="str">
        <f t="shared" si="131"/>
        <v/>
      </c>
      <c r="EC51" s="4"/>
      <c r="ED51" s="4" t="str">
        <f>IF(EC51="","",EC47+EE47-EC51)</f>
        <v/>
      </c>
      <c r="EE51" s="4"/>
      <c r="EF51" s="2" t="str">
        <f>IF(DY51="","",EF47)</f>
        <v/>
      </c>
      <c r="EG51" s="25" t="str">
        <f>IF(DY51="","",EG47)</f>
        <v/>
      </c>
      <c r="EH51" s="5" t="str">
        <f>IF(EC51="","",ED51*EG51)</f>
        <v/>
      </c>
      <c r="EI51" s="48" t="str">
        <f>IF(ED51="","",EH51/(DZ51*100))</f>
        <v/>
      </c>
      <c r="EJ51" s="27"/>
      <c r="EL51" s="14"/>
      <c r="EM51" s="36"/>
      <c r="EN51" s="5"/>
      <c r="EO51" s="5"/>
      <c r="EP51" s="5"/>
      <c r="EQ51" s="5"/>
      <c r="ER51" s="5"/>
      <c r="ES51" s="5"/>
      <c r="ET51" s="5"/>
      <c r="EU51" s="5"/>
      <c r="EV51" s="5"/>
      <c r="EW51" s="33"/>
      <c r="EX51" s="27"/>
      <c r="EZ51" s="14"/>
      <c r="FA51" s="36"/>
      <c r="FB51" s="5"/>
      <c r="FC51" s="5"/>
      <c r="FD51" s="5"/>
      <c r="FE51" s="5"/>
      <c r="FF51" s="5"/>
      <c r="FG51" s="5"/>
      <c r="FH51" s="5"/>
      <c r="FI51" s="5"/>
      <c r="FJ51" s="5"/>
      <c r="FK51" s="33"/>
      <c r="FL51" s="27"/>
      <c r="FN51" s="14"/>
      <c r="FO51" s="36"/>
      <c r="FP51" s="5"/>
      <c r="FQ51" s="5"/>
      <c r="FR51" s="5"/>
      <c r="FS51" s="5"/>
      <c r="FT51" s="5"/>
      <c r="FU51" s="5"/>
      <c r="FV51" s="5"/>
      <c r="FW51" s="5"/>
      <c r="FX51" s="5"/>
      <c r="FY51" s="33"/>
      <c r="FZ51" s="27"/>
      <c r="GB51" s="14"/>
      <c r="GC51" s="36"/>
      <c r="GD51" s="5"/>
      <c r="GE51" s="5"/>
      <c r="GF51" s="5"/>
      <c r="GG51" s="5"/>
      <c r="GH51" s="5"/>
      <c r="GI51" s="5"/>
      <c r="GJ51" s="5"/>
      <c r="GK51" s="5"/>
      <c r="GL51" s="5"/>
      <c r="GM51" s="33"/>
      <c r="GN51" s="27"/>
      <c r="GP51" s="14"/>
      <c r="GQ51" s="36"/>
      <c r="GR51" s="5"/>
      <c r="GS51" s="5"/>
      <c r="GT51" s="5"/>
      <c r="GU51" s="5"/>
      <c r="GV51" s="5"/>
      <c r="GW51" s="5"/>
      <c r="GX51" s="5"/>
      <c r="GY51" s="5"/>
      <c r="GZ51" s="5"/>
      <c r="HA51" s="33"/>
      <c r="HB51" s="27"/>
      <c r="HD51" s="14"/>
      <c r="HE51" s="36"/>
      <c r="HF51" s="5"/>
      <c r="HG51" s="5"/>
      <c r="HH51" s="27"/>
      <c r="HJ51" s="14"/>
      <c r="HK51" s="36"/>
      <c r="HL51" s="5"/>
      <c r="HM51" s="5"/>
      <c r="HN51" s="27"/>
      <c r="HP51" s="14"/>
      <c r="HQ51" s="36"/>
      <c r="HR51" s="5"/>
      <c r="HS51" s="5"/>
      <c r="HT51" s="27"/>
      <c r="HV51" s="14"/>
      <c r="HW51" s="36"/>
      <c r="HX51" s="5"/>
      <c r="HY51" s="5"/>
      <c r="HZ51" s="5"/>
      <c r="IA51" s="5"/>
      <c r="IB51" s="5"/>
      <c r="IC51" s="5"/>
      <c r="ID51" s="5"/>
      <c r="IE51" s="5"/>
      <c r="IF51" s="5"/>
      <c r="IG51" s="33"/>
      <c r="IH51" s="27"/>
      <c r="IJ51" s="14"/>
      <c r="IK51" s="36"/>
      <c r="IL51" s="5"/>
      <c r="IM51" s="5"/>
      <c r="IN51" s="5"/>
      <c r="IO51" s="5"/>
      <c r="IP51" s="5"/>
      <c r="IQ51" s="5"/>
      <c r="IR51" s="5"/>
      <c r="IS51" s="5"/>
      <c r="IT51" s="5"/>
      <c r="IU51" s="33"/>
      <c r="IV51" s="27"/>
      <c r="IX51" s="14"/>
      <c r="IY51" s="36"/>
      <c r="IZ51" s="5"/>
      <c r="JA51" s="5"/>
      <c r="JB51" s="5"/>
      <c r="JC51" s="5"/>
      <c r="JD51" s="5"/>
      <c r="JE51" s="5"/>
      <c r="JF51" s="5"/>
      <c r="JG51" s="5"/>
      <c r="JH51" s="5"/>
      <c r="JI51" s="33"/>
      <c r="JJ51" s="27"/>
      <c r="JL51" s="14"/>
      <c r="JM51" s="36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33"/>
      <c r="JZ51" s="27"/>
    </row>
    <row r="52" spans="1:286" ht="15" customHeight="1" x14ac:dyDescent="0.2">
      <c r="A52" s="50"/>
      <c r="B52" s="34"/>
      <c r="C52" s="5"/>
      <c r="D52" s="5" t="str">
        <f t="shared" si="255"/>
        <v/>
      </c>
      <c r="E52" s="5"/>
      <c r="F52" s="5" t="str">
        <f t="shared" si="256"/>
        <v/>
      </c>
      <c r="G52" s="5"/>
      <c r="H52" s="5" t="str">
        <f t="shared" si="69"/>
        <v/>
      </c>
      <c r="I52" s="5"/>
      <c r="J52" s="3" t="str">
        <f t="shared" si="257"/>
        <v/>
      </c>
      <c r="K52" s="36" t="str">
        <f t="shared" si="258"/>
        <v/>
      </c>
      <c r="L52" s="5" t="str">
        <f t="shared" si="259"/>
        <v/>
      </c>
      <c r="M52" s="33" t="str">
        <f t="shared" si="260"/>
        <v/>
      </c>
      <c r="N52" s="27"/>
      <c r="P52" s="23"/>
      <c r="Q52" s="5"/>
      <c r="R52" s="5" t="str">
        <f t="shared" si="261"/>
        <v/>
      </c>
      <c r="S52" s="5"/>
      <c r="T52" s="5" t="str">
        <f t="shared" si="262"/>
        <v/>
      </c>
      <c r="U52" s="5"/>
      <c r="V52" s="5" t="str">
        <f t="shared" si="263"/>
        <v/>
      </c>
      <c r="W52" s="5"/>
      <c r="X52" s="3" t="str">
        <f t="shared" si="264"/>
        <v/>
      </c>
      <c r="Y52" s="36" t="str">
        <f t="shared" si="265"/>
        <v/>
      </c>
      <c r="Z52" s="5" t="str">
        <f t="shared" si="266"/>
        <v/>
      </c>
      <c r="AA52" s="33" t="str">
        <f t="shared" si="267"/>
        <v/>
      </c>
      <c r="AB52" s="27"/>
      <c r="AD52" s="23"/>
      <c r="AE52" s="5"/>
      <c r="AF52" s="5" t="str">
        <f t="shared" si="268"/>
        <v/>
      </c>
      <c r="AG52" s="5"/>
      <c r="AH52" s="5" t="str">
        <f t="shared" si="269"/>
        <v/>
      </c>
      <c r="AI52" s="5"/>
      <c r="AJ52" s="5" t="str">
        <f t="shared" si="270"/>
        <v/>
      </c>
      <c r="AK52" s="5"/>
      <c r="AL52" s="35" t="str">
        <f t="shared" si="271"/>
        <v/>
      </c>
      <c r="AM52" s="36" t="str">
        <f t="shared" si="272"/>
        <v/>
      </c>
      <c r="AN52" s="5" t="str">
        <f t="shared" si="273"/>
        <v/>
      </c>
      <c r="AO52" s="33" t="str">
        <f t="shared" si="274"/>
        <v/>
      </c>
      <c r="AP52" s="27"/>
      <c r="AR52" s="23"/>
      <c r="AS52" s="5"/>
      <c r="AT52" s="5" t="str">
        <f t="shared" si="88"/>
        <v/>
      </c>
      <c r="AU52" s="5"/>
      <c r="AV52" s="5" t="str">
        <f t="shared" si="89"/>
        <v/>
      </c>
      <c r="AW52" s="5"/>
      <c r="AX52" s="5" t="str">
        <f t="shared" si="90"/>
        <v/>
      </c>
      <c r="AY52" s="5"/>
      <c r="AZ52" s="35" t="str">
        <f t="shared" si="91"/>
        <v/>
      </c>
      <c r="BA52" s="36" t="str">
        <f t="shared" si="92"/>
        <v/>
      </c>
      <c r="BB52" s="5" t="str">
        <f t="shared" si="93"/>
        <v/>
      </c>
      <c r="BC52" s="33" t="str">
        <f t="shared" si="94"/>
        <v/>
      </c>
      <c r="BD52" s="27"/>
      <c r="BF52" s="23"/>
      <c r="BG52" s="5"/>
      <c r="BH52" s="5" t="str">
        <f t="shared" si="95"/>
        <v/>
      </c>
      <c r="BI52" s="5"/>
      <c r="BJ52" s="5" t="str">
        <f t="shared" si="96"/>
        <v/>
      </c>
      <c r="BK52" s="5"/>
      <c r="BL52" s="5" t="str">
        <f t="shared" si="97"/>
        <v/>
      </c>
      <c r="BM52" s="5"/>
      <c r="BN52" s="35" t="str">
        <f t="shared" si="98"/>
        <v/>
      </c>
      <c r="BO52" s="36" t="str">
        <f t="shared" si="99"/>
        <v/>
      </c>
      <c r="BP52" s="5" t="str">
        <f t="shared" si="100"/>
        <v/>
      </c>
      <c r="BQ52" s="33" t="str">
        <f t="shared" si="101"/>
        <v/>
      </c>
      <c r="BR52" s="27"/>
      <c r="BT52" s="23"/>
      <c r="BU52" s="5"/>
      <c r="BV52" s="5" t="str">
        <f t="shared" si="275"/>
        <v/>
      </c>
      <c r="BW52" s="5"/>
      <c r="BX52" s="5" t="str">
        <f t="shared" si="276"/>
        <v/>
      </c>
      <c r="BY52" s="5"/>
      <c r="BZ52" s="5" t="str">
        <f t="shared" si="277"/>
        <v/>
      </c>
      <c r="CA52" s="5"/>
      <c r="CB52" s="35" t="str">
        <f t="shared" si="278"/>
        <v/>
      </c>
      <c r="CC52" s="36" t="str">
        <f t="shared" si="279"/>
        <v/>
      </c>
      <c r="CD52" s="5" t="str">
        <f t="shared" si="280"/>
        <v/>
      </c>
      <c r="CE52" s="33" t="str">
        <f t="shared" si="281"/>
        <v/>
      </c>
      <c r="CF52" s="27"/>
      <c r="CH52" s="23"/>
      <c r="CI52" s="5"/>
      <c r="CJ52" s="5" t="str">
        <f t="shared" si="109"/>
        <v/>
      </c>
      <c r="CK52" s="5"/>
      <c r="CL52" s="5" t="str">
        <f t="shared" si="110"/>
        <v/>
      </c>
      <c r="CM52" s="5"/>
      <c r="CN52" s="5" t="str">
        <f t="shared" si="111"/>
        <v/>
      </c>
      <c r="CO52" s="5"/>
      <c r="CP52" s="35" t="str">
        <f t="shared" si="112"/>
        <v/>
      </c>
      <c r="CQ52" s="36" t="str">
        <f t="shared" si="113"/>
        <v/>
      </c>
      <c r="CR52" s="5" t="str">
        <f t="shared" si="114"/>
        <v/>
      </c>
      <c r="CS52" s="33" t="str">
        <f t="shared" si="115"/>
        <v/>
      </c>
      <c r="CT52" s="27"/>
      <c r="CV52" s="23"/>
      <c r="CW52" s="5"/>
      <c r="CX52" s="5" t="str">
        <f t="shared" si="116"/>
        <v/>
      </c>
      <c r="CY52" s="5"/>
      <c r="CZ52" s="5" t="str">
        <f t="shared" si="117"/>
        <v/>
      </c>
      <c r="DA52" s="5"/>
      <c r="DB52" s="5" t="str">
        <f t="shared" si="118"/>
        <v/>
      </c>
      <c r="DC52" s="5"/>
      <c r="DD52" s="35" t="str">
        <f t="shared" si="119"/>
        <v/>
      </c>
      <c r="DE52" s="36" t="str">
        <f t="shared" si="120"/>
        <v/>
      </c>
      <c r="DF52" s="5" t="str">
        <f t="shared" si="121"/>
        <v/>
      </c>
      <c r="DG52" s="33" t="str">
        <f t="shared" si="122"/>
        <v/>
      </c>
      <c r="DH52" s="27"/>
      <c r="DJ52" s="23"/>
      <c r="DK52" s="5"/>
      <c r="DL52" s="5" t="str">
        <f t="shared" si="282"/>
        <v/>
      </c>
      <c r="DM52" s="5"/>
      <c r="DN52" s="5" t="str">
        <f t="shared" si="283"/>
        <v/>
      </c>
      <c r="DO52" s="5"/>
      <c r="DP52" s="5" t="str">
        <f>IF(DO52="","",DO48+DQ48-DO52)</f>
        <v/>
      </c>
      <c r="DQ52" s="4"/>
      <c r="DR52" s="3" t="str">
        <f>IF(DK52="","",DR48)</f>
        <v/>
      </c>
      <c r="DS52" s="36" t="str">
        <f>IF(DK51="","",DS48)</f>
        <v/>
      </c>
      <c r="DT52" s="4" t="str">
        <f>IF(DO52="","",DP52*DS52)</f>
        <v/>
      </c>
      <c r="DU52" s="33" t="str">
        <f>IF(DP52="","",DT52/(DL52*100))</f>
        <v/>
      </c>
      <c r="DV52" s="27"/>
      <c r="DX52" s="23"/>
      <c r="DY52" s="5"/>
      <c r="DZ52" s="5" t="str">
        <f t="shared" si="130"/>
        <v/>
      </c>
      <c r="EA52" s="5"/>
      <c r="EB52" s="5" t="str">
        <f t="shared" si="131"/>
        <v/>
      </c>
      <c r="EC52" s="5"/>
      <c r="ED52" s="5" t="str">
        <f>IF(EC52="","",EC48+EE48-EC52)</f>
        <v/>
      </c>
      <c r="EE52" s="4"/>
      <c r="EF52" s="3" t="str">
        <f>IF(DY52="","",EF48)</f>
        <v/>
      </c>
      <c r="EG52" s="36" t="str">
        <f>IF(DY51="","",EG48)</f>
        <v/>
      </c>
      <c r="EH52" s="4" t="str">
        <f>IF(EC52="","",ED52*EG52)</f>
        <v/>
      </c>
      <c r="EI52" s="33" t="str">
        <f>IF(ED52="","",EH52/(DZ52*100))</f>
        <v/>
      </c>
      <c r="EJ52" s="27"/>
      <c r="EL52" s="14"/>
      <c r="EM52" s="36"/>
      <c r="EN52" s="5" t="str">
        <f>IF(EM52="","",EM52-#REF!)</f>
        <v/>
      </c>
      <c r="EO52" s="5"/>
      <c r="EP52" s="5"/>
      <c r="EQ52" s="5"/>
      <c r="ER52" s="5" t="str">
        <f>IF(EQ52="","",#REF!+#REF!-EQ52)</f>
        <v/>
      </c>
      <c r="ES52" s="5"/>
      <c r="ET52" s="5"/>
      <c r="EU52" s="5"/>
      <c r="EV52" s="5" t="str">
        <f>IF(EU52="","",ER52*EU52)</f>
        <v/>
      </c>
      <c r="EW52" s="33" t="str">
        <f>IF(EV52="","",EV52/(EN52*100))</f>
        <v/>
      </c>
      <c r="EX52" s="27"/>
      <c r="EZ52" s="14"/>
      <c r="FA52" s="36"/>
      <c r="FB52" s="5" t="str">
        <f>IF(FA52="","",FA52-#REF!)</f>
        <v/>
      </c>
      <c r="FC52" s="5"/>
      <c r="FD52" s="5"/>
      <c r="FE52" s="5"/>
      <c r="FF52" s="5" t="str">
        <f>IF(FE52="","",#REF!+#REF!-FE52)</f>
        <v/>
      </c>
      <c r="FG52" s="5"/>
      <c r="FH52" s="5"/>
      <c r="FI52" s="5"/>
      <c r="FJ52" s="5" t="str">
        <f>IF(FI52="","",FF52*FI52)</f>
        <v/>
      </c>
      <c r="FK52" s="33" t="str">
        <f>IF(FJ52="","",FJ52/(FB52*100))</f>
        <v/>
      </c>
      <c r="FL52" s="27"/>
      <c r="FN52" s="14"/>
      <c r="FO52" s="36"/>
      <c r="FP52" s="5" t="str">
        <f>IF(FO52="","",FO52-#REF!)</f>
        <v/>
      </c>
      <c r="FQ52" s="5"/>
      <c r="FR52" s="5"/>
      <c r="FS52" s="5"/>
      <c r="FT52" s="5" t="str">
        <f>IF(FS52="","",#REF!+#REF!-FS52)</f>
        <v/>
      </c>
      <c r="FU52" s="5"/>
      <c r="FV52" s="5"/>
      <c r="FW52" s="5"/>
      <c r="FX52" s="5" t="str">
        <f>IF(FW52="","",FT52*FW52)</f>
        <v/>
      </c>
      <c r="FY52" s="33" t="str">
        <f>IF(FX52="","",FX52/(FP52*100))</f>
        <v/>
      </c>
      <c r="FZ52" s="27"/>
      <c r="GB52" s="14"/>
      <c r="GC52" s="36"/>
      <c r="GD52" s="5" t="str">
        <f>IF(GC52="","",GC52-#REF!)</f>
        <v/>
      </c>
      <c r="GE52" s="5"/>
      <c r="GF52" s="5"/>
      <c r="GG52" s="5"/>
      <c r="GH52" s="5" t="str">
        <f>IF(GG52="","",#REF!+#REF!-GG52)</f>
        <v/>
      </c>
      <c r="GI52" s="5"/>
      <c r="GJ52" s="5"/>
      <c r="GK52" s="5"/>
      <c r="GL52" s="5" t="str">
        <f>IF(GK52="","",GH52*GK52)</f>
        <v/>
      </c>
      <c r="GM52" s="33" t="str">
        <f>IF(GL52="","",GL52/(GD52*100))</f>
        <v/>
      </c>
      <c r="GN52" s="27"/>
      <c r="GP52" s="14"/>
      <c r="GQ52" s="36"/>
      <c r="GR52" s="5" t="str">
        <f>IF(GQ52="","",GQ52-#REF!)</f>
        <v/>
      </c>
      <c r="GS52" s="5"/>
      <c r="GT52" s="5"/>
      <c r="GU52" s="5"/>
      <c r="GV52" s="5" t="str">
        <f>IF(GU52="","",#REF!+#REF!-GU52)</f>
        <v/>
      </c>
      <c r="GW52" s="5"/>
      <c r="GX52" s="5"/>
      <c r="GY52" s="5"/>
      <c r="GZ52" s="5" t="str">
        <f>IF(GY52="","",GV52*GY52)</f>
        <v/>
      </c>
      <c r="HA52" s="33" t="str">
        <f>IF(GZ52="","",GZ52/(GR52*100))</f>
        <v/>
      </c>
      <c r="HB52" s="27"/>
      <c r="HD52" s="14"/>
      <c r="HE52" s="36"/>
      <c r="HF52" s="5" t="str">
        <f>IF(HE52="","",HE52-#REF!)</f>
        <v/>
      </c>
      <c r="HG52" s="5"/>
      <c r="HH52" s="27"/>
      <c r="HJ52" s="14"/>
      <c r="HK52" s="36"/>
      <c r="HL52" s="5" t="str">
        <f>IF(HK52="","",HK52-#REF!)</f>
        <v/>
      </c>
      <c r="HM52" s="5"/>
      <c r="HN52" s="27"/>
      <c r="HP52" s="14"/>
      <c r="HQ52" s="36"/>
      <c r="HR52" s="5" t="str">
        <f>IF(HQ52="","",HQ52-#REF!)</f>
        <v/>
      </c>
      <c r="HS52" s="5"/>
      <c r="HT52" s="27"/>
      <c r="HV52" s="14"/>
      <c r="HW52" s="36"/>
      <c r="HX52" s="5" t="str">
        <f>IF(HW52="","",HW52-#REF!)</f>
        <v/>
      </c>
      <c r="HY52" s="5"/>
      <c r="HZ52" s="5"/>
      <c r="IA52" s="5"/>
      <c r="IB52" s="5" t="str">
        <f>IF(IA52="","",#REF!+#REF!-IA52)</f>
        <v/>
      </c>
      <c r="IC52" s="5"/>
      <c r="ID52" s="5"/>
      <c r="IE52" s="5"/>
      <c r="IF52" s="5" t="str">
        <f>IF(IE52="","",IB52*IE52)</f>
        <v/>
      </c>
      <c r="IG52" s="33" t="str">
        <f>IF(IF52="","",IF52/(HX52*100))</f>
        <v/>
      </c>
      <c r="IH52" s="27"/>
      <c r="IJ52" s="14"/>
      <c r="IK52" s="36"/>
      <c r="IL52" s="5" t="str">
        <f>IF(IK52="","",IK52-#REF!)</f>
        <v/>
      </c>
      <c r="IM52" s="5"/>
      <c r="IN52" s="5"/>
      <c r="IO52" s="5"/>
      <c r="IP52" s="5" t="str">
        <f>IF(IO52="","",#REF!+#REF!-IO52)</f>
        <v/>
      </c>
      <c r="IQ52" s="5"/>
      <c r="IR52" s="5"/>
      <c r="IS52" s="5"/>
      <c r="IT52" s="5" t="str">
        <f>IF(IS52="","",IP52*IS52)</f>
        <v/>
      </c>
      <c r="IU52" s="33" t="str">
        <f>IF(IT52="","",IT52/(IL52*100))</f>
        <v/>
      </c>
      <c r="IV52" s="27"/>
      <c r="IX52" s="14"/>
      <c r="IY52" s="36"/>
      <c r="IZ52" s="5" t="str">
        <f>IF(IY52="","",IY52-#REF!)</f>
        <v/>
      </c>
      <c r="JA52" s="5"/>
      <c r="JB52" s="5"/>
      <c r="JC52" s="5"/>
      <c r="JD52" s="5" t="str">
        <f>IF(JC52="","",#REF!+#REF!-JC52)</f>
        <v/>
      </c>
      <c r="JE52" s="5"/>
      <c r="JF52" s="5"/>
      <c r="JG52" s="5"/>
      <c r="JH52" s="5" t="str">
        <f>IF(JG52="","",JD52*JG52)</f>
        <v/>
      </c>
      <c r="JI52" s="33" t="str">
        <f>IF(JH52="","",JH52/(IZ52*100))</f>
        <v/>
      </c>
      <c r="JJ52" s="27"/>
      <c r="JL52" s="14"/>
      <c r="JM52" s="36"/>
      <c r="JN52" s="5" t="str">
        <f>IF(JM52="","",JM52-#REF!)</f>
        <v/>
      </c>
      <c r="JO52" s="5"/>
      <c r="JP52" s="5"/>
      <c r="JQ52" s="5"/>
      <c r="JR52" s="5"/>
      <c r="JS52" s="5"/>
      <c r="JT52" s="5" t="str">
        <f>IF(JS52="","",#REF!+#REF!-JS52)</f>
        <v/>
      </c>
      <c r="JU52" s="5"/>
      <c r="JV52" s="5"/>
      <c r="JW52" s="5"/>
      <c r="JX52" s="5" t="str">
        <f>IF(JW52="","",JT52*JW52)</f>
        <v/>
      </c>
      <c r="JY52" s="33" t="str">
        <f>IF(JX52="","",JX52/(JN52*100))</f>
        <v/>
      </c>
      <c r="JZ52" s="27"/>
    </row>
    <row r="53" spans="1:286" ht="15" customHeight="1" x14ac:dyDescent="0.2">
      <c r="A53" s="50"/>
      <c r="B53" s="34"/>
      <c r="C53" s="5"/>
      <c r="D53" s="5" t="str">
        <f t="shared" si="255"/>
        <v/>
      </c>
      <c r="E53" s="5"/>
      <c r="F53" s="5" t="str">
        <f t="shared" si="256"/>
        <v/>
      </c>
      <c r="G53" s="5"/>
      <c r="H53" s="5" t="str">
        <f t="shared" si="69"/>
        <v/>
      </c>
      <c r="I53" s="5"/>
      <c r="J53" s="3" t="str">
        <f t="shared" si="257"/>
        <v/>
      </c>
      <c r="K53" s="5" t="str">
        <f t="shared" si="258"/>
        <v/>
      </c>
      <c r="L53" s="5" t="str">
        <f t="shared" si="259"/>
        <v/>
      </c>
      <c r="M53" s="33" t="str">
        <f t="shared" si="260"/>
        <v/>
      </c>
      <c r="N53" s="27"/>
      <c r="P53" s="23"/>
      <c r="Q53" s="5"/>
      <c r="R53" s="5" t="str">
        <f t="shared" si="261"/>
        <v/>
      </c>
      <c r="S53" s="5"/>
      <c r="T53" s="5" t="str">
        <f t="shared" si="262"/>
        <v/>
      </c>
      <c r="U53" s="5"/>
      <c r="V53" s="5" t="str">
        <f t="shared" si="263"/>
        <v/>
      </c>
      <c r="W53" s="5"/>
      <c r="X53" s="3" t="str">
        <f t="shared" si="264"/>
        <v/>
      </c>
      <c r="Y53" s="5" t="str">
        <f t="shared" si="265"/>
        <v/>
      </c>
      <c r="Z53" s="5" t="str">
        <f t="shared" si="266"/>
        <v/>
      </c>
      <c r="AA53" s="33" t="str">
        <f t="shared" si="267"/>
        <v/>
      </c>
      <c r="AB53" s="27"/>
      <c r="AD53" s="23"/>
      <c r="AE53" s="5"/>
      <c r="AF53" s="5" t="str">
        <f t="shared" si="268"/>
        <v/>
      </c>
      <c r="AG53" s="5"/>
      <c r="AH53" s="5" t="str">
        <f t="shared" si="269"/>
        <v/>
      </c>
      <c r="AI53" s="5"/>
      <c r="AJ53" s="5" t="str">
        <f t="shared" si="270"/>
        <v/>
      </c>
      <c r="AK53" s="5"/>
      <c r="AL53" s="35" t="str">
        <f t="shared" si="271"/>
        <v/>
      </c>
      <c r="AM53" s="5" t="str">
        <f t="shared" si="272"/>
        <v/>
      </c>
      <c r="AN53" s="5" t="str">
        <f t="shared" si="273"/>
        <v/>
      </c>
      <c r="AO53" s="33" t="str">
        <f t="shared" si="274"/>
        <v/>
      </c>
      <c r="AP53" s="27"/>
      <c r="AR53" s="23"/>
      <c r="AS53" s="5"/>
      <c r="AT53" s="5" t="str">
        <f t="shared" si="88"/>
        <v/>
      </c>
      <c r="AU53" s="5"/>
      <c r="AV53" s="5" t="str">
        <f t="shared" si="89"/>
        <v/>
      </c>
      <c r="AW53" s="5"/>
      <c r="AX53" s="5" t="str">
        <f t="shared" si="90"/>
        <v/>
      </c>
      <c r="AY53" s="5"/>
      <c r="AZ53" s="35" t="str">
        <f t="shared" si="91"/>
        <v/>
      </c>
      <c r="BA53" s="5" t="str">
        <f t="shared" si="92"/>
        <v/>
      </c>
      <c r="BB53" s="5" t="str">
        <f t="shared" si="93"/>
        <v/>
      </c>
      <c r="BC53" s="33" t="str">
        <f t="shared" si="94"/>
        <v/>
      </c>
      <c r="BD53" s="27"/>
      <c r="BF53" s="23"/>
      <c r="BG53" s="5"/>
      <c r="BH53" s="5" t="str">
        <f t="shared" si="95"/>
        <v/>
      </c>
      <c r="BI53" s="5"/>
      <c r="BJ53" s="5" t="str">
        <f t="shared" si="96"/>
        <v/>
      </c>
      <c r="BK53" s="5"/>
      <c r="BL53" s="5" t="str">
        <f t="shared" si="97"/>
        <v/>
      </c>
      <c r="BM53" s="5"/>
      <c r="BN53" s="35" t="str">
        <f t="shared" si="98"/>
        <v/>
      </c>
      <c r="BO53" s="5" t="str">
        <f t="shared" si="99"/>
        <v/>
      </c>
      <c r="BP53" s="5" t="str">
        <f t="shared" si="100"/>
        <v/>
      </c>
      <c r="BQ53" s="33" t="str">
        <f t="shared" si="101"/>
        <v/>
      </c>
      <c r="BR53" s="27"/>
      <c r="BT53" s="23"/>
      <c r="BU53" s="5"/>
      <c r="BV53" s="5" t="str">
        <f t="shared" si="275"/>
        <v/>
      </c>
      <c r="BW53" s="5"/>
      <c r="BX53" s="5" t="str">
        <f t="shared" si="276"/>
        <v/>
      </c>
      <c r="BY53" s="5"/>
      <c r="BZ53" s="5" t="str">
        <f t="shared" si="277"/>
        <v/>
      </c>
      <c r="CA53" s="5"/>
      <c r="CB53" s="35" t="str">
        <f t="shared" si="278"/>
        <v/>
      </c>
      <c r="CC53" s="5" t="str">
        <f t="shared" si="279"/>
        <v/>
      </c>
      <c r="CD53" s="5" t="str">
        <f t="shared" si="280"/>
        <v/>
      </c>
      <c r="CE53" s="33" t="str">
        <f t="shared" si="281"/>
        <v/>
      </c>
      <c r="CF53" s="27"/>
      <c r="CH53" s="23"/>
      <c r="CI53" s="5"/>
      <c r="CJ53" s="5" t="str">
        <f t="shared" si="109"/>
        <v/>
      </c>
      <c r="CK53" s="5"/>
      <c r="CL53" s="5" t="str">
        <f t="shared" si="110"/>
        <v/>
      </c>
      <c r="CM53" s="5"/>
      <c r="CN53" s="5" t="str">
        <f t="shared" si="111"/>
        <v/>
      </c>
      <c r="CO53" s="5"/>
      <c r="CP53" s="35" t="str">
        <f t="shared" si="112"/>
        <v/>
      </c>
      <c r="CQ53" s="5" t="str">
        <f t="shared" si="113"/>
        <v/>
      </c>
      <c r="CR53" s="5" t="str">
        <f t="shared" si="114"/>
        <v/>
      </c>
      <c r="CS53" s="33" t="str">
        <f t="shared" si="115"/>
        <v/>
      </c>
      <c r="CT53" s="27"/>
      <c r="CV53" s="23"/>
      <c r="CW53" s="5"/>
      <c r="CX53" s="5" t="str">
        <f t="shared" si="116"/>
        <v/>
      </c>
      <c r="CY53" s="5"/>
      <c r="CZ53" s="5" t="str">
        <f t="shared" si="117"/>
        <v/>
      </c>
      <c r="DA53" s="5"/>
      <c r="DB53" s="5" t="str">
        <f t="shared" si="118"/>
        <v/>
      </c>
      <c r="DC53" s="5"/>
      <c r="DD53" s="35" t="str">
        <f t="shared" si="119"/>
        <v/>
      </c>
      <c r="DE53" s="5" t="str">
        <f t="shared" si="120"/>
        <v/>
      </c>
      <c r="DF53" s="5" t="str">
        <f t="shared" si="121"/>
        <v/>
      </c>
      <c r="DG53" s="33" t="str">
        <f t="shared" si="122"/>
        <v/>
      </c>
      <c r="DH53" s="27"/>
      <c r="DJ53" s="23"/>
      <c r="DK53" s="5"/>
      <c r="DL53" s="5" t="str">
        <f t="shared" si="282"/>
        <v/>
      </c>
      <c r="DM53" s="5"/>
      <c r="DN53" s="5" t="str">
        <f t="shared" si="283"/>
        <v/>
      </c>
      <c r="DO53" s="5"/>
      <c r="DP53" s="5"/>
      <c r="DQ53" s="53"/>
      <c r="DR53" s="3"/>
      <c r="DS53" s="36"/>
      <c r="DT53" s="5"/>
      <c r="DU53" s="33"/>
      <c r="DV53" s="27"/>
      <c r="DX53" s="23"/>
      <c r="DY53" s="5"/>
      <c r="DZ53" s="5" t="str">
        <f t="shared" si="130"/>
        <v/>
      </c>
      <c r="EA53" s="5"/>
      <c r="EB53" s="5" t="str">
        <f t="shared" si="131"/>
        <v/>
      </c>
      <c r="EC53" s="5"/>
      <c r="ED53" s="5"/>
      <c r="EE53" s="53"/>
      <c r="EF53" s="3"/>
      <c r="EG53" s="36"/>
      <c r="EH53" s="5"/>
      <c r="EI53" s="33"/>
      <c r="EJ53" s="27"/>
      <c r="EL53" s="14"/>
      <c r="EM53" s="36"/>
      <c r="EN53" s="5" t="str">
        <f>IF(EM53="","",EM53-EM52)</f>
        <v/>
      </c>
      <c r="EO53" s="5"/>
      <c r="EP53" s="5"/>
      <c r="EQ53" s="5"/>
      <c r="ER53" s="5" t="str">
        <f>IF(EQ53="","",EQ52+ES52-EQ53)</f>
        <v/>
      </c>
      <c r="ES53" s="5"/>
      <c r="ET53" s="5"/>
      <c r="EU53" s="5"/>
      <c r="EV53" s="5" t="str">
        <f>IF(EU53="","",ER53*EU53)</f>
        <v/>
      </c>
      <c r="EW53" s="33" t="str">
        <f>IF(EV53="","",EV53/(EN53*100))</f>
        <v/>
      </c>
      <c r="EX53" s="27"/>
      <c r="EZ53" s="14"/>
      <c r="FA53" s="36"/>
      <c r="FB53" s="5" t="str">
        <f>IF(FA53="","",FA53-FA52)</f>
        <v/>
      </c>
      <c r="FC53" s="5"/>
      <c r="FD53" s="5"/>
      <c r="FE53" s="5"/>
      <c r="FF53" s="5" t="str">
        <f>IF(FE53="","",FE52+FG52-FE53)</f>
        <v/>
      </c>
      <c r="FG53" s="5"/>
      <c r="FH53" s="5"/>
      <c r="FI53" s="5"/>
      <c r="FJ53" s="5" t="str">
        <f>IF(FI53="","",FF53*FI53)</f>
        <v/>
      </c>
      <c r="FK53" s="33" t="str">
        <f>IF(FJ53="","",FJ53/(FB53*100))</f>
        <v/>
      </c>
      <c r="FL53" s="27"/>
      <c r="FN53" s="14"/>
      <c r="FO53" s="36"/>
      <c r="FP53" s="5" t="str">
        <f>IF(FO53="","",FO53-FO52)</f>
        <v/>
      </c>
      <c r="FQ53" s="5"/>
      <c r="FR53" s="5"/>
      <c r="FS53" s="5"/>
      <c r="FT53" s="5" t="str">
        <f>IF(FS53="","",FS52+FU52-FS53)</f>
        <v/>
      </c>
      <c r="FU53" s="5"/>
      <c r="FV53" s="5"/>
      <c r="FW53" s="5"/>
      <c r="FX53" s="5" t="str">
        <f>IF(FW53="","",FT53*FW53)</f>
        <v/>
      </c>
      <c r="FY53" s="33" t="str">
        <f>IF(FX53="","",FX53/(FP53*100))</f>
        <v/>
      </c>
      <c r="FZ53" s="27"/>
      <c r="GB53" s="14"/>
      <c r="GC53" s="36"/>
      <c r="GD53" s="5" t="str">
        <f>IF(GC53="","",GC53-GC52)</f>
        <v/>
      </c>
      <c r="GE53" s="5"/>
      <c r="GF53" s="5"/>
      <c r="GG53" s="5"/>
      <c r="GH53" s="5" t="str">
        <f>IF(GG53="","",GG52+GI52-GG53)</f>
        <v/>
      </c>
      <c r="GI53" s="5"/>
      <c r="GJ53" s="5"/>
      <c r="GK53" s="5"/>
      <c r="GL53" s="5" t="str">
        <f>IF(GK53="","",GH53*GK53)</f>
        <v/>
      </c>
      <c r="GM53" s="33" t="str">
        <f>IF(GL53="","",GL53/(GD53*100))</f>
        <v/>
      </c>
      <c r="GN53" s="27"/>
      <c r="GP53" s="14"/>
      <c r="GQ53" s="36"/>
      <c r="GR53" s="5" t="str">
        <f>IF(GQ53="","",GQ53-GQ52)</f>
        <v/>
      </c>
      <c r="GS53" s="5"/>
      <c r="GT53" s="5"/>
      <c r="GU53" s="5"/>
      <c r="GV53" s="5" t="str">
        <f>IF(GU53="","",GU52+GW52-GU53)</f>
        <v/>
      </c>
      <c r="GW53" s="5"/>
      <c r="GX53" s="5"/>
      <c r="GY53" s="5"/>
      <c r="GZ53" s="5" t="str">
        <f>IF(GY53="","",GV53*GY53)</f>
        <v/>
      </c>
      <c r="HA53" s="33" t="str">
        <f>IF(GZ53="","",GZ53/(GR53*100))</f>
        <v/>
      </c>
      <c r="HB53" s="27"/>
      <c r="HD53" s="14"/>
      <c r="HE53" s="36"/>
      <c r="HF53" s="5" t="str">
        <f>IF(HE53="","",HE53-HE52)</f>
        <v/>
      </c>
      <c r="HG53" s="5"/>
      <c r="HH53" s="27"/>
      <c r="HJ53" s="14"/>
      <c r="HK53" s="36"/>
      <c r="HL53" s="5" t="str">
        <f>IF(HK53="","",HK53-HK52)</f>
        <v/>
      </c>
      <c r="HM53" s="5"/>
      <c r="HN53" s="27"/>
      <c r="HP53" s="14"/>
      <c r="HQ53" s="36"/>
      <c r="HR53" s="5" t="str">
        <f>IF(HQ53="","",HQ53-HQ52)</f>
        <v/>
      </c>
      <c r="HS53" s="5"/>
      <c r="HT53" s="27"/>
      <c r="HV53" s="14"/>
      <c r="HW53" s="36"/>
      <c r="HX53" s="5" t="str">
        <f>IF(HW53="","",HW53-HW52)</f>
        <v/>
      </c>
      <c r="HY53" s="5"/>
      <c r="HZ53" s="5"/>
      <c r="IA53" s="5"/>
      <c r="IB53" s="5" t="str">
        <f>IF(IA53="","",IA52+IC52-IA53)</f>
        <v/>
      </c>
      <c r="IC53" s="5"/>
      <c r="ID53" s="5"/>
      <c r="IE53" s="5"/>
      <c r="IF53" s="5" t="str">
        <f>IF(IE53="","",IB53*IE53)</f>
        <v/>
      </c>
      <c r="IG53" s="33" t="str">
        <f>IF(IF53="","",IF53/(HX53*100))</f>
        <v/>
      </c>
      <c r="IH53" s="27"/>
      <c r="IJ53" s="14"/>
      <c r="IK53" s="36"/>
      <c r="IL53" s="5" t="str">
        <f>IF(IK53="","",IK53-IK52)</f>
        <v/>
      </c>
      <c r="IM53" s="5"/>
      <c r="IN53" s="5"/>
      <c r="IO53" s="5"/>
      <c r="IP53" s="5" t="str">
        <f>IF(IO53="","",IO52+IQ52-IO53)</f>
        <v/>
      </c>
      <c r="IQ53" s="5"/>
      <c r="IR53" s="5"/>
      <c r="IS53" s="5"/>
      <c r="IT53" s="5" t="str">
        <f>IF(IS53="","",IP53*IS53)</f>
        <v/>
      </c>
      <c r="IU53" s="33" t="str">
        <f>IF(IT53="","",IT53/(IL53*100))</f>
        <v/>
      </c>
      <c r="IV53" s="27"/>
      <c r="IX53" s="14"/>
      <c r="IY53" s="36"/>
      <c r="IZ53" s="5" t="str">
        <f>IF(IY53="","",IY53-IY52)</f>
        <v/>
      </c>
      <c r="JA53" s="5"/>
      <c r="JB53" s="5"/>
      <c r="JC53" s="5"/>
      <c r="JD53" s="5" t="str">
        <f>IF(JC53="","",JC52+JE52-JC53)</f>
        <v/>
      </c>
      <c r="JE53" s="5"/>
      <c r="JF53" s="5"/>
      <c r="JG53" s="5"/>
      <c r="JH53" s="5" t="str">
        <f>IF(JG53="","",JD53*JG53)</f>
        <v/>
      </c>
      <c r="JI53" s="33" t="str">
        <f>IF(JH53="","",JH53/(IZ53*100))</f>
        <v/>
      </c>
      <c r="JJ53" s="27"/>
      <c r="JL53" s="14"/>
      <c r="JM53" s="36"/>
      <c r="JN53" s="5" t="str">
        <f>IF(JM53="","",JM53-JM52)</f>
        <v/>
      </c>
      <c r="JO53" s="5"/>
      <c r="JP53" s="5"/>
      <c r="JQ53" s="5"/>
      <c r="JR53" s="5"/>
      <c r="JS53" s="5"/>
      <c r="JT53" s="5" t="str">
        <f>IF(JS53="","",JS52+JU52-JS53)</f>
        <v/>
      </c>
      <c r="JU53" s="5"/>
      <c r="JV53" s="5"/>
      <c r="JW53" s="5"/>
      <c r="JX53" s="5" t="str">
        <f>IF(JW53="","",JT53*JW53)</f>
        <v/>
      </c>
      <c r="JY53" s="33" t="str">
        <f>IF(JX53="","",JX53/(JN53*100))</f>
        <v/>
      </c>
      <c r="JZ53" s="27"/>
    </row>
    <row r="54" spans="1:286" ht="15" customHeight="1" thickBot="1" x14ac:dyDescent="0.25">
      <c r="A54" s="56"/>
      <c r="B54" s="67"/>
      <c r="C54" s="41"/>
      <c r="D54" s="41" t="str">
        <f t="shared" si="255"/>
        <v/>
      </c>
      <c r="E54" s="41"/>
      <c r="F54" s="41" t="str">
        <f t="shared" si="256"/>
        <v/>
      </c>
      <c r="G54" s="41"/>
      <c r="H54" s="41"/>
      <c r="I54" s="41"/>
      <c r="J54" s="42" t="str">
        <f t="shared" si="257"/>
        <v/>
      </c>
      <c r="K54" s="57" t="str">
        <f t="shared" si="258"/>
        <v/>
      </c>
      <c r="L54" s="41" t="str">
        <f t="shared" si="259"/>
        <v/>
      </c>
      <c r="M54" s="43" t="str">
        <f t="shared" si="260"/>
        <v/>
      </c>
      <c r="N54" s="27"/>
      <c r="P54" s="38"/>
      <c r="Q54" s="41"/>
      <c r="R54" s="41" t="str">
        <f t="shared" si="261"/>
        <v/>
      </c>
      <c r="S54" s="41"/>
      <c r="T54" s="41" t="str">
        <f t="shared" si="262"/>
        <v/>
      </c>
      <c r="U54" s="41"/>
      <c r="V54" s="41" t="str">
        <f t="shared" si="263"/>
        <v/>
      </c>
      <c r="W54" s="41"/>
      <c r="X54" s="42" t="str">
        <f t="shared" si="264"/>
        <v/>
      </c>
      <c r="Y54" s="57" t="str">
        <f t="shared" si="265"/>
        <v/>
      </c>
      <c r="Z54" s="41" t="str">
        <f t="shared" si="266"/>
        <v/>
      </c>
      <c r="AA54" s="43" t="str">
        <f t="shared" si="267"/>
        <v/>
      </c>
      <c r="AB54" s="27"/>
      <c r="AD54" s="38"/>
      <c r="AE54" s="41"/>
      <c r="AF54" s="41" t="str">
        <f t="shared" si="268"/>
        <v/>
      </c>
      <c r="AG54" s="41"/>
      <c r="AH54" s="41" t="str">
        <f t="shared" si="269"/>
        <v/>
      </c>
      <c r="AI54" s="41"/>
      <c r="AJ54" s="41" t="str">
        <f t="shared" si="270"/>
        <v/>
      </c>
      <c r="AK54" s="41"/>
      <c r="AL54" s="44" t="str">
        <f t="shared" si="271"/>
        <v/>
      </c>
      <c r="AM54" s="57" t="str">
        <f t="shared" si="272"/>
        <v/>
      </c>
      <c r="AN54" s="41" t="str">
        <f t="shared" si="273"/>
        <v/>
      </c>
      <c r="AO54" s="43" t="str">
        <f t="shared" si="274"/>
        <v/>
      </c>
      <c r="AP54" s="27"/>
      <c r="AR54" s="38"/>
      <c r="AS54" s="41"/>
      <c r="AT54" s="41" t="str">
        <f t="shared" si="88"/>
        <v/>
      </c>
      <c r="AU54" s="41"/>
      <c r="AV54" s="41" t="str">
        <f t="shared" si="89"/>
        <v/>
      </c>
      <c r="AW54" s="41"/>
      <c r="AX54" s="41" t="str">
        <f t="shared" si="90"/>
        <v/>
      </c>
      <c r="AY54" s="41"/>
      <c r="AZ54" s="44" t="str">
        <f t="shared" si="91"/>
        <v/>
      </c>
      <c r="BA54" s="57" t="str">
        <f t="shared" si="92"/>
        <v/>
      </c>
      <c r="BB54" s="41" t="str">
        <f t="shared" si="93"/>
        <v/>
      </c>
      <c r="BC54" s="43" t="str">
        <f t="shared" si="94"/>
        <v/>
      </c>
      <c r="BD54" s="27"/>
      <c r="BF54" s="38"/>
      <c r="BG54" s="41"/>
      <c r="BH54" s="41" t="str">
        <f t="shared" si="95"/>
        <v/>
      </c>
      <c r="BI54" s="41"/>
      <c r="BJ54" s="41" t="str">
        <f t="shared" si="96"/>
        <v/>
      </c>
      <c r="BK54" s="41"/>
      <c r="BL54" s="41" t="str">
        <f t="shared" si="97"/>
        <v/>
      </c>
      <c r="BM54" s="41"/>
      <c r="BN54" s="44" t="str">
        <f t="shared" si="98"/>
        <v/>
      </c>
      <c r="BO54" s="57" t="str">
        <f t="shared" si="99"/>
        <v/>
      </c>
      <c r="BP54" s="41" t="str">
        <f t="shared" si="100"/>
        <v/>
      </c>
      <c r="BQ54" s="43" t="str">
        <f t="shared" si="101"/>
        <v/>
      </c>
      <c r="BR54" s="27"/>
      <c r="BT54" s="38"/>
      <c r="BU54" s="41"/>
      <c r="BV54" s="41" t="str">
        <f t="shared" si="275"/>
        <v/>
      </c>
      <c r="BW54" s="41"/>
      <c r="BX54" s="41" t="str">
        <f t="shared" si="276"/>
        <v/>
      </c>
      <c r="BY54" s="41"/>
      <c r="BZ54" s="41" t="str">
        <f t="shared" si="277"/>
        <v/>
      </c>
      <c r="CA54" s="41"/>
      <c r="CB54" s="44" t="str">
        <f t="shared" si="278"/>
        <v/>
      </c>
      <c r="CC54" s="57" t="str">
        <f t="shared" si="279"/>
        <v/>
      </c>
      <c r="CD54" s="41" t="str">
        <f t="shared" si="280"/>
        <v/>
      </c>
      <c r="CE54" s="43" t="str">
        <f t="shared" si="281"/>
        <v/>
      </c>
      <c r="CF54" s="27"/>
      <c r="CH54" s="38"/>
      <c r="CI54" s="41"/>
      <c r="CJ54" s="41" t="str">
        <f t="shared" si="109"/>
        <v/>
      </c>
      <c r="CK54" s="41"/>
      <c r="CL54" s="41" t="str">
        <f t="shared" si="110"/>
        <v/>
      </c>
      <c r="CM54" s="41"/>
      <c r="CN54" s="41" t="str">
        <f t="shared" si="111"/>
        <v/>
      </c>
      <c r="CO54" s="41"/>
      <c r="CP54" s="44" t="str">
        <f t="shared" si="112"/>
        <v/>
      </c>
      <c r="CQ54" s="57" t="str">
        <f t="shared" si="113"/>
        <v/>
      </c>
      <c r="CR54" s="41" t="str">
        <f t="shared" si="114"/>
        <v/>
      </c>
      <c r="CS54" s="43" t="str">
        <f t="shared" si="115"/>
        <v/>
      </c>
      <c r="CT54" s="27"/>
      <c r="CV54" s="38"/>
      <c r="CW54" s="41"/>
      <c r="CX54" s="41" t="str">
        <f t="shared" si="116"/>
        <v/>
      </c>
      <c r="CY54" s="41"/>
      <c r="CZ54" s="41" t="str">
        <f t="shared" si="117"/>
        <v/>
      </c>
      <c r="DA54" s="41"/>
      <c r="DB54" s="41" t="str">
        <f t="shared" si="118"/>
        <v/>
      </c>
      <c r="DC54" s="41"/>
      <c r="DD54" s="44" t="str">
        <f t="shared" si="119"/>
        <v/>
      </c>
      <c r="DE54" s="57" t="str">
        <f t="shared" si="120"/>
        <v/>
      </c>
      <c r="DF54" s="41" t="str">
        <f t="shared" si="121"/>
        <v/>
      </c>
      <c r="DG54" s="43" t="str">
        <f t="shared" si="122"/>
        <v/>
      </c>
      <c r="DH54" s="27"/>
      <c r="DJ54" s="38"/>
      <c r="DK54" s="41"/>
      <c r="DL54" s="41" t="str">
        <f t="shared" si="282"/>
        <v/>
      </c>
      <c r="DM54" s="41"/>
      <c r="DN54" s="41" t="str">
        <f t="shared" si="283"/>
        <v/>
      </c>
      <c r="DO54" s="41"/>
      <c r="DP54" s="41"/>
      <c r="DQ54" s="41"/>
      <c r="DR54" s="42"/>
      <c r="DS54" s="57"/>
      <c r="DT54" s="41"/>
      <c r="DU54" s="43"/>
      <c r="DV54" s="27"/>
      <c r="DX54" s="38"/>
      <c r="DY54" s="41"/>
      <c r="DZ54" s="41" t="str">
        <f t="shared" si="130"/>
        <v/>
      </c>
      <c r="EA54" s="41"/>
      <c r="EB54" s="41" t="str">
        <f t="shared" si="131"/>
        <v/>
      </c>
      <c r="EC54" s="41"/>
      <c r="ED54" s="41"/>
      <c r="EE54" s="41"/>
      <c r="EF54" s="42"/>
      <c r="EG54" s="57"/>
      <c r="EH54" s="41"/>
      <c r="EI54" s="43"/>
      <c r="EJ54" s="27"/>
      <c r="EL54" s="14"/>
      <c r="EM54" s="36"/>
      <c r="EN54" s="5" t="str">
        <f>IF(EM54="","",EM54-EM53)</f>
        <v/>
      </c>
      <c r="EO54" s="5"/>
      <c r="EP54" s="5"/>
      <c r="EQ54" s="5"/>
      <c r="ER54" s="5" t="str">
        <f>IF(EQ54="","",EQ53+ES53-EQ54)</f>
        <v/>
      </c>
      <c r="ES54" s="5"/>
      <c r="ET54" s="5"/>
      <c r="EU54" s="5"/>
      <c r="EV54" s="5" t="str">
        <f>IF(EU54="","",ER54*EU54)</f>
        <v/>
      </c>
      <c r="EW54" s="33" t="str">
        <f>IF(EV54="","",EV54/(EN54*100))</f>
        <v/>
      </c>
      <c r="EX54" s="27"/>
      <c r="EZ54" s="14"/>
      <c r="FA54" s="36"/>
      <c r="FB54" s="5" t="str">
        <f>IF(FA54="","",FA54-FA53)</f>
        <v/>
      </c>
      <c r="FC54" s="5"/>
      <c r="FD54" s="5"/>
      <c r="FE54" s="5"/>
      <c r="FF54" s="5" t="str">
        <f>IF(FE54="","",FE53+FG53-FE54)</f>
        <v/>
      </c>
      <c r="FG54" s="5"/>
      <c r="FH54" s="5"/>
      <c r="FI54" s="5"/>
      <c r="FJ54" s="5" t="str">
        <f>IF(FI54="","",FF54*FI54)</f>
        <v/>
      </c>
      <c r="FK54" s="33" t="str">
        <f>IF(FJ54="","",FJ54/(FB54*100))</f>
        <v/>
      </c>
      <c r="FL54" s="27"/>
      <c r="FN54" s="14"/>
      <c r="FO54" s="36"/>
      <c r="FP54" s="5" t="str">
        <f>IF(FO54="","",FO54-FO53)</f>
        <v/>
      </c>
      <c r="FQ54" s="5"/>
      <c r="FR54" s="5"/>
      <c r="FS54" s="5"/>
      <c r="FT54" s="5" t="str">
        <f>IF(FS54="","",FS53+FU53-FS54)</f>
        <v/>
      </c>
      <c r="FU54" s="5"/>
      <c r="FV54" s="5"/>
      <c r="FW54" s="5"/>
      <c r="FX54" s="5" t="str">
        <f>IF(FW54="","",FT54*FW54)</f>
        <v/>
      </c>
      <c r="FY54" s="33" t="str">
        <f>IF(FX54="","",FX54/(FP54*100))</f>
        <v/>
      </c>
      <c r="FZ54" s="27"/>
      <c r="GB54" s="14"/>
      <c r="GC54" s="36"/>
      <c r="GD54" s="5" t="str">
        <f>IF(GC54="","",GC54-GC53)</f>
        <v/>
      </c>
      <c r="GE54" s="5"/>
      <c r="GF54" s="5"/>
      <c r="GG54" s="5"/>
      <c r="GH54" s="5" t="str">
        <f>IF(GG54="","",GG53+GI53-GG54)</f>
        <v/>
      </c>
      <c r="GI54" s="5"/>
      <c r="GJ54" s="5"/>
      <c r="GK54" s="5"/>
      <c r="GL54" s="5" t="str">
        <f>IF(GK54="","",GH54*GK54)</f>
        <v/>
      </c>
      <c r="GM54" s="33" t="str">
        <f>IF(GL54="","",GL54/(GD54*100))</f>
        <v/>
      </c>
      <c r="GN54" s="27"/>
      <c r="GP54" s="14"/>
      <c r="GQ54" s="36"/>
      <c r="GR54" s="5" t="str">
        <f>IF(GQ54="","",GQ54-GQ53)</f>
        <v/>
      </c>
      <c r="GS54" s="5"/>
      <c r="GT54" s="5"/>
      <c r="GU54" s="5"/>
      <c r="GV54" s="5" t="str">
        <f>IF(GU54="","",GU53+GW53-GU54)</f>
        <v/>
      </c>
      <c r="GW54" s="5"/>
      <c r="GX54" s="5"/>
      <c r="GY54" s="5"/>
      <c r="GZ54" s="5" t="str">
        <f>IF(GY54="","",GV54*GY54)</f>
        <v/>
      </c>
      <c r="HA54" s="33" t="str">
        <f>IF(GZ54="","",GZ54/(GR54*100))</f>
        <v/>
      </c>
      <c r="HB54" s="27"/>
      <c r="HD54" s="14"/>
      <c r="HE54" s="36"/>
      <c r="HF54" s="5" t="str">
        <f>IF(HE54="","",HE54-HE53)</f>
        <v/>
      </c>
      <c r="HG54" s="5"/>
      <c r="HH54" s="27"/>
      <c r="HJ54" s="14"/>
      <c r="HK54" s="36"/>
      <c r="HL54" s="5" t="str">
        <f>IF(HK54="","",HK54-HK53)</f>
        <v/>
      </c>
      <c r="HM54" s="5"/>
      <c r="HN54" s="27"/>
      <c r="HP54" s="14"/>
      <c r="HQ54" s="36"/>
      <c r="HR54" s="5" t="str">
        <f>IF(HQ54="","",HQ54-HQ53)</f>
        <v/>
      </c>
      <c r="HS54" s="5"/>
      <c r="HT54" s="27"/>
      <c r="HV54" s="14"/>
      <c r="HW54" s="36"/>
      <c r="HX54" s="5" t="str">
        <f>IF(HW54="","",HW54-HW53)</f>
        <v/>
      </c>
      <c r="HY54" s="5"/>
      <c r="HZ54" s="5"/>
      <c r="IA54" s="5"/>
      <c r="IB54" s="5" t="str">
        <f>IF(IA54="","",IA53+IC53-IA54)</f>
        <v/>
      </c>
      <c r="IC54" s="5"/>
      <c r="ID54" s="5"/>
      <c r="IE54" s="5"/>
      <c r="IF54" s="5" t="str">
        <f>IF(IE54="","",IB54*IE54)</f>
        <v/>
      </c>
      <c r="IG54" s="33" t="str">
        <f>IF(IF54="","",IF54/(HX54*100))</f>
        <v/>
      </c>
      <c r="IH54" s="27"/>
      <c r="IJ54" s="14"/>
      <c r="IK54" s="36"/>
      <c r="IL54" s="5" t="str">
        <f>IF(IK54="","",IK54-IK53)</f>
        <v/>
      </c>
      <c r="IM54" s="5"/>
      <c r="IN54" s="5"/>
      <c r="IO54" s="5"/>
      <c r="IP54" s="5" t="str">
        <f>IF(IO54="","",IO53+IQ53-IO54)</f>
        <v/>
      </c>
      <c r="IQ54" s="5"/>
      <c r="IR54" s="5"/>
      <c r="IS54" s="5"/>
      <c r="IT54" s="5" t="str">
        <f>IF(IS54="","",IP54*IS54)</f>
        <v/>
      </c>
      <c r="IU54" s="33" t="str">
        <f>IF(IT54="","",IT54/(IL54*100))</f>
        <v/>
      </c>
      <c r="IV54" s="27"/>
      <c r="IX54" s="14"/>
      <c r="IY54" s="36"/>
      <c r="IZ54" s="5" t="str">
        <f>IF(IY54="","",IY54-IY53)</f>
        <v/>
      </c>
      <c r="JA54" s="5"/>
      <c r="JB54" s="5"/>
      <c r="JC54" s="5"/>
      <c r="JD54" s="5" t="str">
        <f>IF(JC54="","",JC53+JE53-JC54)</f>
        <v/>
      </c>
      <c r="JE54" s="5"/>
      <c r="JF54" s="5"/>
      <c r="JG54" s="5"/>
      <c r="JH54" s="5" t="str">
        <f>IF(JG54="","",JD54*JG54)</f>
        <v/>
      </c>
      <c r="JI54" s="33" t="str">
        <f>IF(JH54="","",JH54/(IZ54*100))</f>
        <v/>
      </c>
      <c r="JJ54" s="27"/>
      <c r="JL54" s="14"/>
      <c r="JM54" s="36"/>
      <c r="JN54" s="5" t="str">
        <f>IF(JM54="","",JM54-JM53)</f>
        <v/>
      </c>
      <c r="JO54" s="5"/>
      <c r="JP54" s="5"/>
      <c r="JQ54" s="5"/>
      <c r="JR54" s="5"/>
      <c r="JS54" s="5"/>
      <c r="JT54" s="5" t="str">
        <f>IF(JS54="","",JS53+JU53-JS54)</f>
        <v/>
      </c>
      <c r="JU54" s="5"/>
      <c r="JV54" s="5"/>
      <c r="JW54" s="5"/>
      <c r="JX54" s="5" t="str">
        <f>IF(JW54="","",JT54*JW54)</f>
        <v/>
      </c>
      <c r="JY54" s="33" t="str">
        <f>IF(JX54="","",JX54/(JN54*100))</f>
        <v/>
      </c>
      <c r="JZ54" s="27"/>
    </row>
    <row r="55" spans="1:286" ht="15" customHeight="1" thickTop="1" x14ac:dyDescent="0.2">
      <c r="A55" s="45"/>
      <c r="B55" s="24">
        <f>SUM(D55:D58)+SUM(R55:R58)+SUM(AF55:AF58)+SUM(BV55:BV58)+SUM(GD49,EN49,FB49,FP49,HX49,IL49,IZ49,JN49,HF49,HL49,HR49)+SUM(CJ55:CJ56)+SUM(DL55:DL56)</f>
        <v>0</v>
      </c>
      <c r="C55" s="4"/>
      <c r="D55" s="4" t="str">
        <f t="shared" si="255"/>
        <v/>
      </c>
      <c r="E55" s="4"/>
      <c r="F55" s="4" t="str">
        <f t="shared" si="256"/>
        <v/>
      </c>
      <c r="G55" s="4"/>
      <c r="H55" s="4" t="str">
        <f>IF(G55="","",G51+I51-G55)</f>
        <v/>
      </c>
      <c r="I55" s="4"/>
      <c r="J55" s="2" t="str">
        <f t="shared" si="257"/>
        <v/>
      </c>
      <c r="K55" s="4" t="str">
        <f t="shared" si="258"/>
        <v/>
      </c>
      <c r="L55" s="4" t="str">
        <f t="shared" si="259"/>
        <v/>
      </c>
      <c r="M55" s="4" t="str">
        <f t="shared" si="260"/>
        <v/>
      </c>
      <c r="N55" s="27"/>
      <c r="P55" s="73" t="e">
        <f>IF(#REF!="","",#REF!)</f>
        <v>#REF!</v>
      </c>
      <c r="Q55" s="4"/>
      <c r="R55" s="4" t="str">
        <f t="shared" si="261"/>
        <v/>
      </c>
      <c r="S55" s="4"/>
      <c r="T55" s="4" t="str">
        <f t="shared" si="262"/>
        <v/>
      </c>
      <c r="U55" s="4"/>
      <c r="V55" s="4" t="str">
        <f t="shared" si="263"/>
        <v/>
      </c>
      <c r="W55" s="4"/>
      <c r="X55" s="2" t="str">
        <f t="shared" si="264"/>
        <v/>
      </c>
      <c r="Y55" s="4" t="str">
        <f t="shared" si="265"/>
        <v/>
      </c>
      <c r="Z55" s="4" t="str">
        <f t="shared" si="266"/>
        <v/>
      </c>
      <c r="AA55" s="4" t="str">
        <f t="shared" si="267"/>
        <v/>
      </c>
      <c r="AB55" s="27"/>
      <c r="AD55" s="73" t="e">
        <f>IF(#REF!="","",#REF!)</f>
        <v>#REF!</v>
      </c>
      <c r="AE55" s="4"/>
      <c r="AF55" s="4" t="str">
        <f t="shared" si="268"/>
        <v/>
      </c>
      <c r="AG55" s="4"/>
      <c r="AH55" s="4" t="str">
        <f t="shared" si="269"/>
        <v/>
      </c>
      <c r="AI55" s="4"/>
      <c r="AJ55" s="4" t="str">
        <f t="shared" si="270"/>
        <v/>
      </c>
      <c r="AK55" s="4"/>
      <c r="AL55" s="29" t="str">
        <f t="shared" si="271"/>
        <v/>
      </c>
      <c r="AM55" s="4" t="str">
        <f t="shared" si="272"/>
        <v/>
      </c>
      <c r="AN55" s="4" t="str">
        <f t="shared" si="273"/>
        <v/>
      </c>
      <c r="AO55" s="4" t="str">
        <f t="shared" si="274"/>
        <v/>
      </c>
      <c r="AP55" s="27"/>
      <c r="AR55" s="73" t="e">
        <f>IF(#REF!="","",#REF!)</f>
        <v>#REF!</v>
      </c>
      <c r="AS55" s="4"/>
      <c r="AT55" s="4" t="str">
        <f t="shared" si="88"/>
        <v/>
      </c>
      <c r="AU55" s="4"/>
      <c r="AV55" s="4" t="str">
        <f t="shared" si="89"/>
        <v/>
      </c>
      <c r="AW55" s="4"/>
      <c r="AX55" s="4" t="str">
        <f t="shared" si="90"/>
        <v/>
      </c>
      <c r="AY55" s="4"/>
      <c r="AZ55" s="29" t="str">
        <f t="shared" si="91"/>
        <v/>
      </c>
      <c r="BA55" s="4" t="str">
        <f t="shared" si="92"/>
        <v/>
      </c>
      <c r="BB55" s="4" t="str">
        <f t="shared" si="93"/>
        <v/>
      </c>
      <c r="BC55" s="4" t="str">
        <f t="shared" si="94"/>
        <v/>
      </c>
      <c r="BD55" s="27"/>
      <c r="BF55" s="73" t="e">
        <f>IF(#REF!="","",#REF!)</f>
        <v>#REF!</v>
      </c>
      <c r="BG55" s="4"/>
      <c r="BH55" s="4" t="str">
        <f t="shared" si="95"/>
        <v/>
      </c>
      <c r="BI55" s="4"/>
      <c r="BJ55" s="4" t="str">
        <f t="shared" si="96"/>
        <v/>
      </c>
      <c r="BK55" s="4"/>
      <c r="BL55" s="4" t="str">
        <f t="shared" si="97"/>
        <v/>
      </c>
      <c r="BM55" s="4"/>
      <c r="BN55" s="29" t="str">
        <f t="shared" si="98"/>
        <v/>
      </c>
      <c r="BO55" s="4" t="str">
        <f t="shared" si="99"/>
        <v/>
      </c>
      <c r="BP55" s="4" t="str">
        <f t="shared" si="100"/>
        <v/>
      </c>
      <c r="BQ55" s="4" t="str">
        <f t="shared" si="101"/>
        <v/>
      </c>
      <c r="BR55" s="27"/>
      <c r="BT55" s="73" t="e">
        <f>IF(#REF!="","",#REF!)</f>
        <v>#REF!</v>
      </c>
      <c r="BU55" s="4"/>
      <c r="BV55" s="4" t="str">
        <f t="shared" si="275"/>
        <v/>
      </c>
      <c r="BW55" s="4"/>
      <c r="BX55" s="4" t="str">
        <f t="shared" si="276"/>
        <v/>
      </c>
      <c r="BY55" s="4"/>
      <c r="BZ55" s="4" t="str">
        <f t="shared" si="277"/>
        <v/>
      </c>
      <c r="CA55" s="4"/>
      <c r="CB55" s="29" t="str">
        <f t="shared" si="278"/>
        <v/>
      </c>
      <c r="CC55" s="4" t="str">
        <f t="shared" si="279"/>
        <v/>
      </c>
      <c r="CD55" s="4" t="str">
        <f t="shared" si="280"/>
        <v/>
      </c>
      <c r="CE55" s="4" t="str">
        <f t="shared" si="281"/>
        <v/>
      </c>
      <c r="CF55" s="27"/>
      <c r="CH55" s="73" t="e">
        <f>IF(#REF!="","",#REF!)</f>
        <v>#REF!</v>
      </c>
      <c r="CI55" s="4"/>
      <c r="CJ55" s="4" t="str">
        <f t="shared" si="109"/>
        <v/>
      </c>
      <c r="CK55" s="4"/>
      <c r="CL55" s="4" t="str">
        <f t="shared" si="110"/>
        <v/>
      </c>
      <c r="CM55" s="4"/>
      <c r="CN55" s="4" t="str">
        <f t="shared" si="111"/>
        <v/>
      </c>
      <c r="CO55" s="4"/>
      <c r="CP55" s="29" t="str">
        <f t="shared" si="112"/>
        <v/>
      </c>
      <c r="CQ55" s="4" t="str">
        <f t="shared" si="113"/>
        <v/>
      </c>
      <c r="CR55" s="4" t="str">
        <f t="shared" si="114"/>
        <v/>
      </c>
      <c r="CS55" s="4" t="str">
        <f t="shared" si="115"/>
        <v/>
      </c>
      <c r="CT55" s="27"/>
      <c r="CV55" s="73" t="e">
        <f>IF(#REF!="","",#REF!)</f>
        <v>#REF!</v>
      </c>
      <c r="CW55" s="4"/>
      <c r="CX55" s="4" t="str">
        <f t="shared" si="116"/>
        <v/>
      </c>
      <c r="CY55" s="4"/>
      <c r="CZ55" s="4" t="str">
        <f t="shared" si="117"/>
        <v/>
      </c>
      <c r="DA55" s="4"/>
      <c r="DB55" s="4" t="str">
        <f t="shared" si="118"/>
        <v/>
      </c>
      <c r="DC55" s="4"/>
      <c r="DD55" s="29" t="str">
        <f t="shared" si="119"/>
        <v/>
      </c>
      <c r="DE55" s="4" t="str">
        <f t="shared" si="120"/>
        <v/>
      </c>
      <c r="DF55" s="4" t="str">
        <f t="shared" si="121"/>
        <v/>
      </c>
      <c r="DG55" s="4" t="str">
        <f t="shared" si="122"/>
        <v/>
      </c>
      <c r="DH55" s="27"/>
      <c r="DJ55" s="30" t="str">
        <f>IF($A16="","",$A16)</f>
        <v/>
      </c>
      <c r="DK55" s="4"/>
      <c r="DL55" s="4" t="str">
        <f t="shared" si="282"/>
        <v/>
      </c>
      <c r="DM55" s="4"/>
      <c r="DN55" s="46" t="str">
        <f t="shared" si="283"/>
        <v/>
      </c>
      <c r="DO55" s="4"/>
      <c r="DP55" s="4" t="str">
        <f>IF(DO55="","",DO51+DQ51-DO55)</f>
        <v/>
      </c>
      <c r="DQ55" s="4"/>
      <c r="DR55" s="2" t="str">
        <f>IF(DK55="","",DR51)</f>
        <v/>
      </c>
      <c r="DS55" s="25" t="str">
        <f>IF(DK55="","",DS51)</f>
        <v/>
      </c>
      <c r="DT55" s="5" t="str">
        <f>IF(DO55="","",DP55*DS55)</f>
        <v/>
      </c>
      <c r="DU55" s="48" t="str">
        <f>IF(DP55="","",DT55/(DL55*100))</f>
        <v/>
      </c>
      <c r="DV55" s="27"/>
      <c r="DX55" s="30" t="str">
        <f>IF($A16="","",$A16)</f>
        <v/>
      </c>
      <c r="DY55" s="4"/>
      <c r="DZ55" s="4" t="str">
        <f t="shared" si="130"/>
        <v/>
      </c>
      <c r="EA55" s="4"/>
      <c r="EB55" s="46" t="str">
        <f t="shared" si="131"/>
        <v/>
      </c>
      <c r="EC55" s="4"/>
      <c r="ED55" s="4" t="str">
        <f>IF(EC55="","",EC51+EE51-EC55)</f>
        <v/>
      </c>
      <c r="EE55" s="4"/>
      <c r="EF55" s="2" t="str">
        <f>IF(DY55="","",EF51)</f>
        <v/>
      </c>
      <c r="EG55" s="25" t="str">
        <f>IF(DY55="","",EG51)</f>
        <v/>
      </c>
      <c r="EH55" s="5" t="str">
        <f>IF(EC55="","",ED55*EG55)</f>
        <v/>
      </c>
      <c r="EI55" s="48" t="str">
        <f>IF(ED55="","",EH55/(DZ55*100))</f>
        <v/>
      </c>
      <c r="EJ55" s="27"/>
      <c r="EL55" s="14"/>
      <c r="EM55" s="36"/>
      <c r="EN55" s="5"/>
      <c r="EO55" s="5"/>
      <c r="EP55" s="5"/>
      <c r="EQ55" s="5"/>
      <c r="ER55" s="5" t="str">
        <f>IF(EQ55="","",EQ54+ES54-EQ55)</f>
        <v/>
      </c>
      <c r="ES55" s="5"/>
      <c r="ET55" s="5"/>
      <c r="EU55" s="5"/>
      <c r="EV55" s="5" t="str">
        <f>IF(EU55="","",ER55*EU55)</f>
        <v/>
      </c>
      <c r="EW55" s="33" t="str">
        <f>IF(EV55="","",EV55/(EN55*100))</f>
        <v/>
      </c>
      <c r="EX55" s="27"/>
      <c r="EZ55" s="14"/>
      <c r="FA55" s="36"/>
      <c r="FB55" s="5"/>
      <c r="FC55" s="5"/>
      <c r="FD55" s="5"/>
      <c r="FE55" s="5"/>
      <c r="FF55" s="5" t="str">
        <f>IF(FE55="","",FE54+FG54-FE55)</f>
        <v/>
      </c>
      <c r="FG55" s="5"/>
      <c r="FH55" s="5"/>
      <c r="FI55" s="5"/>
      <c r="FJ55" s="5" t="str">
        <f>IF(FI55="","",FF55*FI55)</f>
        <v/>
      </c>
      <c r="FK55" s="33" t="str">
        <f>IF(FJ55="","",FJ55/(FB55*100))</f>
        <v/>
      </c>
      <c r="FL55" s="27"/>
      <c r="FN55" s="14"/>
      <c r="FO55" s="36"/>
      <c r="FP55" s="5"/>
      <c r="FQ55" s="5"/>
      <c r="FR55" s="5"/>
      <c r="FS55" s="5"/>
      <c r="FT55" s="5" t="str">
        <f>IF(FS55="","",FS54+FU54-FS55)</f>
        <v/>
      </c>
      <c r="FU55" s="5"/>
      <c r="FV55" s="5"/>
      <c r="FW55" s="5"/>
      <c r="FX55" s="5" t="str">
        <f>IF(FW55="","",FT55*FW55)</f>
        <v/>
      </c>
      <c r="FY55" s="33" t="str">
        <f>IF(FX55="","",FX55/(FP55*100))</f>
        <v/>
      </c>
      <c r="FZ55" s="27"/>
      <c r="GB55" s="14"/>
      <c r="GC55" s="36"/>
      <c r="GD55" s="5"/>
      <c r="GE55" s="5"/>
      <c r="GF55" s="5"/>
      <c r="GG55" s="5"/>
      <c r="GH55" s="5" t="str">
        <f>IF(GG55="","",GG54+GI54-GG55)</f>
        <v/>
      </c>
      <c r="GI55" s="5"/>
      <c r="GJ55" s="5"/>
      <c r="GK55" s="5"/>
      <c r="GL55" s="5" t="str">
        <f>IF(GK55="","",GH55*GK55)</f>
        <v/>
      </c>
      <c r="GM55" s="33" t="str">
        <f>IF(GL55="","",GL55/(GD55*100))</f>
        <v/>
      </c>
      <c r="GN55" s="27"/>
      <c r="GP55" s="14"/>
      <c r="GQ55" s="36"/>
      <c r="GR55" s="5"/>
      <c r="GS55" s="5"/>
      <c r="GT55" s="5"/>
      <c r="GU55" s="5"/>
      <c r="GV55" s="5" t="str">
        <f>IF(GU55="","",GU54+GW54-GU55)</f>
        <v/>
      </c>
      <c r="GW55" s="5"/>
      <c r="GX55" s="5"/>
      <c r="GY55" s="5"/>
      <c r="GZ55" s="5" t="str">
        <f>IF(GY55="","",GV55*GY55)</f>
        <v/>
      </c>
      <c r="HA55" s="33" t="str">
        <f>IF(GZ55="","",GZ55/(GR55*100))</f>
        <v/>
      </c>
      <c r="HB55" s="27"/>
      <c r="HD55" s="14"/>
      <c r="HE55" s="36"/>
      <c r="HF55" s="5"/>
      <c r="HG55" s="5"/>
      <c r="HH55" s="27"/>
      <c r="HJ55" s="14"/>
      <c r="HK55" s="36"/>
      <c r="HL55" s="5"/>
      <c r="HM55" s="5"/>
      <c r="HN55" s="27"/>
      <c r="HP55" s="14"/>
      <c r="HQ55" s="36"/>
      <c r="HR55" s="5"/>
      <c r="HS55" s="5"/>
      <c r="HT55" s="27"/>
      <c r="HV55" s="14"/>
      <c r="HW55" s="36"/>
      <c r="HX55" s="5"/>
      <c r="HY55" s="5"/>
      <c r="HZ55" s="5"/>
      <c r="IA55" s="5"/>
      <c r="IB55" s="5" t="str">
        <f>IF(IA55="","",IA54+IC54-IA55)</f>
        <v/>
      </c>
      <c r="IC55" s="5"/>
      <c r="ID55" s="5"/>
      <c r="IE55" s="5"/>
      <c r="IF55" s="5" t="str">
        <f>IF(IE55="","",IB55*IE55)</f>
        <v/>
      </c>
      <c r="IG55" s="33" t="str">
        <f>IF(IF55="","",IF55/(HX55*100))</f>
        <v/>
      </c>
      <c r="IH55" s="27"/>
      <c r="IJ55" s="14"/>
      <c r="IK55" s="36"/>
      <c r="IL55" s="5"/>
      <c r="IM55" s="5"/>
      <c r="IN55" s="5"/>
      <c r="IO55" s="5"/>
      <c r="IP55" s="5" t="str">
        <f>IF(IO55="","",IO54+IQ54-IO55)</f>
        <v/>
      </c>
      <c r="IQ55" s="5"/>
      <c r="IR55" s="5"/>
      <c r="IS55" s="5"/>
      <c r="IT55" s="5" t="str">
        <f>IF(IS55="","",IP55*IS55)</f>
        <v/>
      </c>
      <c r="IU55" s="33" t="str">
        <f>IF(IT55="","",IT55/(IL55*100))</f>
        <v/>
      </c>
      <c r="IV55" s="27"/>
      <c r="IX55" s="14"/>
      <c r="IY55" s="36"/>
      <c r="IZ55" s="5"/>
      <c r="JA55" s="5"/>
      <c r="JB55" s="5"/>
      <c r="JC55" s="5"/>
      <c r="JD55" s="5" t="str">
        <f>IF(JC55="","",JC54+JE54-JC55)</f>
        <v/>
      </c>
      <c r="JE55" s="5"/>
      <c r="JF55" s="5"/>
      <c r="JG55" s="5"/>
      <c r="JH55" s="5" t="str">
        <f>IF(JG55="","",JD55*JG55)</f>
        <v/>
      </c>
      <c r="JI55" s="33" t="str">
        <f>IF(JH55="","",JH55/(IZ55*100))</f>
        <v/>
      </c>
      <c r="JJ55" s="27"/>
      <c r="JL55" s="14"/>
      <c r="JM55" s="36"/>
      <c r="JN55" s="5"/>
      <c r="JO55" s="5"/>
      <c r="JP55" s="5"/>
      <c r="JQ55" s="5"/>
      <c r="JR55" s="5"/>
      <c r="JS55" s="5"/>
      <c r="JT55" s="5" t="str">
        <f>IF(JS55="","",JS54+JU54-JS55)</f>
        <v/>
      </c>
      <c r="JU55" s="5"/>
      <c r="JV55" s="5"/>
      <c r="JW55" s="5"/>
      <c r="JX55" s="5" t="str">
        <f>IF(JW55="","",JT55*JW55)</f>
        <v/>
      </c>
      <c r="JY55" s="33" t="str">
        <f>IF(JX55="","",JX55/(JN55*100))</f>
        <v/>
      </c>
      <c r="JZ55" s="27"/>
    </row>
    <row r="56" spans="1:286" ht="15" customHeight="1" x14ac:dyDescent="0.2">
      <c r="A56" s="45"/>
      <c r="B56" s="24"/>
      <c r="C56" s="4"/>
      <c r="D56" s="4" t="str">
        <f t="shared" si="255"/>
        <v/>
      </c>
      <c r="E56" s="4"/>
      <c r="F56" s="4" t="str">
        <f t="shared" si="256"/>
        <v/>
      </c>
      <c r="G56" s="4"/>
      <c r="H56" s="4" t="str">
        <f>IF(G56="","",G52+I52-G56)</f>
        <v/>
      </c>
      <c r="I56" s="4"/>
      <c r="J56" s="2" t="str">
        <f t="shared" si="257"/>
        <v/>
      </c>
      <c r="K56" s="4" t="str">
        <f t="shared" si="258"/>
        <v/>
      </c>
      <c r="L56" s="4" t="str">
        <f t="shared" si="259"/>
        <v/>
      </c>
      <c r="M56" s="4" t="str">
        <f t="shared" si="260"/>
        <v/>
      </c>
      <c r="N56" s="27"/>
      <c r="P56" s="30"/>
      <c r="Q56" s="4"/>
      <c r="R56" s="4" t="str">
        <f t="shared" si="261"/>
        <v/>
      </c>
      <c r="S56" s="4"/>
      <c r="T56" s="4" t="str">
        <f t="shared" si="262"/>
        <v/>
      </c>
      <c r="U56" s="4"/>
      <c r="V56" s="4" t="str">
        <f t="shared" si="263"/>
        <v/>
      </c>
      <c r="W56" s="4"/>
      <c r="X56" s="29" t="str">
        <f t="shared" si="264"/>
        <v/>
      </c>
      <c r="Y56" s="4" t="str">
        <f t="shared" si="265"/>
        <v/>
      </c>
      <c r="Z56" s="4" t="str">
        <f t="shared" si="266"/>
        <v/>
      </c>
      <c r="AA56" s="4" t="str">
        <f t="shared" si="267"/>
        <v/>
      </c>
      <c r="AB56" s="27"/>
      <c r="AD56" s="30"/>
      <c r="AE56" s="4"/>
      <c r="AF56" s="4" t="str">
        <f t="shared" si="268"/>
        <v/>
      </c>
      <c r="AG56" s="4"/>
      <c r="AH56" s="4" t="str">
        <f t="shared" si="269"/>
        <v/>
      </c>
      <c r="AI56" s="4"/>
      <c r="AJ56" s="4" t="str">
        <f t="shared" si="270"/>
        <v/>
      </c>
      <c r="AK56" s="4"/>
      <c r="AL56" s="29" t="str">
        <f t="shared" si="271"/>
        <v/>
      </c>
      <c r="AM56" s="4" t="str">
        <f t="shared" si="272"/>
        <v/>
      </c>
      <c r="AN56" s="4" t="str">
        <f t="shared" si="273"/>
        <v/>
      </c>
      <c r="AO56" s="4" t="str">
        <f t="shared" si="274"/>
        <v/>
      </c>
      <c r="AP56" s="27"/>
      <c r="AR56" s="30"/>
      <c r="AS56" s="4"/>
      <c r="AT56" s="4" t="str">
        <f t="shared" si="88"/>
        <v/>
      </c>
      <c r="AU56" s="4"/>
      <c r="AV56" s="4" t="str">
        <f t="shared" si="89"/>
        <v/>
      </c>
      <c r="AW56" s="4"/>
      <c r="AX56" s="4" t="str">
        <f t="shared" si="90"/>
        <v/>
      </c>
      <c r="AY56" s="4"/>
      <c r="AZ56" s="29" t="str">
        <f t="shared" si="91"/>
        <v/>
      </c>
      <c r="BA56" s="4" t="str">
        <f t="shared" si="92"/>
        <v/>
      </c>
      <c r="BB56" s="4" t="str">
        <f t="shared" si="93"/>
        <v/>
      </c>
      <c r="BC56" s="4" t="str">
        <f t="shared" si="94"/>
        <v/>
      </c>
      <c r="BD56" s="27"/>
      <c r="BF56" s="30"/>
      <c r="BG56" s="4"/>
      <c r="BH56" s="4" t="str">
        <f t="shared" si="95"/>
        <v/>
      </c>
      <c r="BI56" s="4"/>
      <c r="BJ56" s="4" t="str">
        <f t="shared" si="96"/>
        <v/>
      </c>
      <c r="BK56" s="4"/>
      <c r="BL56" s="4" t="str">
        <f t="shared" si="97"/>
        <v/>
      </c>
      <c r="BM56" s="4"/>
      <c r="BN56" s="29" t="str">
        <f t="shared" si="98"/>
        <v/>
      </c>
      <c r="BO56" s="4" t="str">
        <f t="shared" si="99"/>
        <v/>
      </c>
      <c r="BP56" s="4" t="str">
        <f t="shared" si="100"/>
        <v/>
      </c>
      <c r="BQ56" s="4" t="str">
        <f t="shared" si="101"/>
        <v/>
      </c>
      <c r="BR56" s="27"/>
      <c r="BT56" s="30"/>
      <c r="BU56" s="4"/>
      <c r="BV56" s="4" t="str">
        <f t="shared" si="275"/>
        <v/>
      </c>
      <c r="BW56" s="4"/>
      <c r="BX56" s="4" t="str">
        <f t="shared" si="276"/>
        <v/>
      </c>
      <c r="BY56" s="4"/>
      <c r="BZ56" s="4" t="str">
        <f t="shared" si="277"/>
        <v/>
      </c>
      <c r="CA56" s="4"/>
      <c r="CB56" s="29" t="str">
        <f t="shared" si="278"/>
        <v/>
      </c>
      <c r="CC56" s="4" t="str">
        <f t="shared" si="279"/>
        <v/>
      </c>
      <c r="CD56" s="4" t="str">
        <f t="shared" si="280"/>
        <v/>
      </c>
      <c r="CE56" s="4" t="str">
        <f t="shared" si="281"/>
        <v/>
      </c>
      <c r="CF56" s="27"/>
      <c r="CH56" s="30"/>
      <c r="CI56" s="4"/>
      <c r="CJ56" s="4" t="str">
        <f t="shared" si="109"/>
        <v/>
      </c>
      <c r="CK56" s="4"/>
      <c r="CL56" s="4" t="str">
        <f t="shared" si="110"/>
        <v/>
      </c>
      <c r="CM56" s="4"/>
      <c r="CN56" s="4" t="str">
        <f t="shared" si="111"/>
        <v/>
      </c>
      <c r="CO56" s="4"/>
      <c r="CP56" s="29" t="str">
        <f t="shared" si="112"/>
        <v/>
      </c>
      <c r="CQ56" s="4" t="str">
        <f t="shared" si="113"/>
        <v/>
      </c>
      <c r="CR56" s="4" t="str">
        <f t="shared" si="114"/>
        <v/>
      </c>
      <c r="CS56" s="4" t="str">
        <f t="shared" si="115"/>
        <v/>
      </c>
      <c r="CT56" s="27"/>
      <c r="CV56" s="30"/>
      <c r="CW56" s="4"/>
      <c r="CX56" s="4" t="str">
        <f t="shared" si="116"/>
        <v/>
      </c>
      <c r="CY56" s="4"/>
      <c r="CZ56" s="4" t="str">
        <f t="shared" si="117"/>
        <v/>
      </c>
      <c r="DA56" s="4"/>
      <c r="DB56" s="4" t="str">
        <f t="shared" si="118"/>
        <v/>
      </c>
      <c r="DC56" s="4"/>
      <c r="DD56" s="29" t="str">
        <f t="shared" si="119"/>
        <v/>
      </c>
      <c r="DE56" s="4" t="str">
        <f t="shared" si="120"/>
        <v/>
      </c>
      <c r="DF56" s="4" t="str">
        <f t="shared" si="121"/>
        <v/>
      </c>
      <c r="DG56" s="4" t="str">
        <f t="shared" si="122"/>
        <v/>
      </c>
      <c r="DH56" s="27"/>
      <c r="DJ56" s="30"/>
      <c r="DK56" s="4"/>
      <c r="DL56" s="5" t="str">
        <f t="shared" si="282"/>
        <v/>
      </c>
      <c r="DM56" s="4"/>
      <c r="DN56" s="5" t="str">
        <f t="shared" si="283"/>
        <v/>
      </c>
      <c r="DO56" s="5"/>
      <c r="DP56" s="5" t="str">
        <f>IF(DO56="","",DO52+DQ52-DO56)</f>
        <v/>
      </c>
      <c r="DQ56" s="4"/>
      <c r="DR56" s="3" t="str">
        <f>IF(DK56="","",DR52)</f>
        <v/>
      </c>
      <c r="DS56" s="36" t="str">
        <f>IF(DK55="","",DS52)</f>
        <v/>
      </c>
      <c r="DT56" s="4" t="str">
        <f>IF(DO56="","",DP56*DS56)</f>
        <v/>
      </c>
      <c r="DU56" s="33" t="str">
        <f>IF(DP56="","",DT56/(DL56*100))</f>
        <v/>
      </c>
      <c r="DV56" s="27"/>
      <c r="DX56" s="30"/>
      <c r="DY56" s="4"/>
      <c r="DZ56" s="5" t="str">
        <f t="shared" si="130"/>
        <v/>
      </c>
      <c r="EA56" s="4"/>
      <c r="EB56" s="5" t="str">
        <f t="shared" si="131"/>
        <v/>
      </c>
      <c r="EC56" s="5"/>
      <c r="ED56" s="5" t="str">
        <f>IF(EC56="","",EC52+EE52-EC56)</f>
        <v/>
      </c>
      <c r="EE56" s="4"/>
      <c r="EF56" s="3" t="str">
        <f>IF(DY56="","",EF52)</f>
        <v/>
      </c>
      <c r="EG56" s="36" t="str">
        <f>IF(DY55="","",EG52)</f>
        <v/>
      </c>
      <c r="EH56" s="4" t="str">
        <f>IF(EC56="","",ED56*EG56)</f>
        <v/>
      </c>
      <c r="EI56" s="33" t="str">
        <f>IF(ED56="","",EH56/(DZ56*100))</f>
        <v/>
      </c>
      <c r="EJ56" s="27"/>
      <c r="EL56" s="14"/>
      <c r="EM56" s="36"/>
      <c r="EN56" s="5"/>
      <c r="EO56" s="5"/>
      <c r="EP56" s="5"/>
      <c r="EQ56" s="5"/>
      <c r="ER56" s="5"/>
      <c r="ES56" s="5"/>
      <c r="ET56" s="5"/>
      <c r="EU56" s="5"/>
      <c r="EV56" s="5"/>
      <c r="EW56" s="33"/>
      <c r="EX56" s="27"/>
      <c r="EZ56" s="14"/>
      <c r="FA56" s="36"/>
      <c r="FB56" s="5"/>
      <c r="FC56" s="5"/>
      <c r="FD56" s="5"/>
      <c r="FE56" s="5"/>
      <c r="FF56" s="5"/>
      <c r="FG56" s="5"/>
      <c r="FH56" s="5"/>
      <c r="FI56" s="5"/>
      <c r="FJ56" s="5"/>
      <c r="FK56" s="33"/>
      <c r="FL56" s="27"/>
      <c r="FN56" s="14"/>
      <c r="FO56" s="36"/>
      <c r="FP56" s="5"/>
      <c r="FQ56" s="5"/>
      <c r="FR56" s="5"/>
      <c r="FS56" s="5"/>
      <c r="FT56" s="5"/>
      <c r="FU56" s="5"/>
      <c r="FV56" s="5"/>
      <c r="FW56" s="5"/>
      <c r="FX56" s="5"/>
      <c r="FY56" s="33"/>
      <c r="FZ56" s="27"/>
      <c r="GB56" s="14"/>
      <c r="GC56" s="36"/>
      <c r="GD56" s="5"/>
      <c r="GE56" s="5"/>
      <c r="GF56" s="5"/>
      <c r="GG56" s="5"/>
      <c r="GH56" s="5"/>
      <c r="GI56" s="5"/>
      <c r="GJ56" s="5"/>
      <c r="GK56" s="5"/>
      <c r="GL56" s="5"/>
      <c r="GM56" s="33"/>
      <c r="GN56" s="27"/>
      <c r="GP56" s="14"/>
      <c r="GQ56" s="36"/>
      <c r="GR56" s="5"/>
      <c r="GS56" s="5"/>
      <c r="GT56" s="5"/>
      <c r="GU56" s="5"/>
      <c r="GV56" s="5"/>
      <c r="GW56" s="5"/>
      <c r="GX56" s="5"/>
      <c r="GY56" s="5"/>
      <c r="GZ56" s="5"/>
      <c r="HA56" s="33"/>
      <c r="HB56" s="27"/>
      <c r="HD56" s="14"/>
      <c r="HE56" s="36"/>
      <c r="HF56" s="5"/>
      <c r="HG56" s="5"/>
      <c r="HH56" s="27"/>
      <c r="HJ56" s="14"/>
      <c r="HK56" s="36"/>
      <c r="HL56" s="5"/>
      <c r="HM56" s="5"/>
      <c r="HN56" s="27"/>
      <c r="HP56" s="14"/>
      <c r="HQ56" s="36"/>
      <c r="HR56" s="5"/>
      <c r="HS56" s="5"/>
      <c r="HT56" s="27"/>
      <c r="HV56" s="14"/>
      <c r="HW56" s="36"/>
      <c r="HX56" s="5"/>
      <c r="HY56" s="5"/>
      <c r="HZ56" s="5"/>
      <c r="IA56" s="5"/>
      <c r="IB56" s="5"/>
      <c r="IC56" s="5"/>
      <c r="ID56" s="5"/>
      <c r="IE56" s="5"/>
      <c r="IF56" s="5"/>
      <c r="IG56" s="33"/>
      <c r="IH56" s="27"/>
      <c r="IJ56" s="14"/>
      <c r="IK56" s="36"/>
      <c r="IL56" s="5"/>
      <c r="IM56" s="5"/>
      <c r="IN56" s="5"/>
      <c r="IO56" s="5"/>
      <c r="IP56" s="5"/>
      <c r="IQ56" s="5"/>
      <c r="IR56" s="5"/>
      <c r="IS56" s="5"/>
      <c r="IT56" s="5"/>
      <c r="IU56" s="33"/>
      <c r="IV56" s="27"/>
      <c r="IX56" s="14"/>
      <c r="IY56" s="36"/>
      <c r="IZ56" s="5"/>
      <c r="JA56" s="5"/>
      <c r="JB56" s="5"/>
      <c r="JC56" s="5"/>
      <c r="JD56" s="5"/>
      <c r="JE56" s="5"/>
      <c r="JF56" s="5"/>
      <c r="JG56" s="5"/>
      <c r="JH56" s="5"/>
      <c r="JI56" s="33"/>
      <c r="JJ56" s="27"/>
      <c r="JL56" s="14"/>
      <c r="JM56" s="36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33"/>
      <c r="JZ56" s="27"/>
    </row>
    <row r="57" spans="1:286" ht="15" customHeight="1" x14ac:dyDescent="0.2">
      <c r="A57" s="15"/>
      <c r="B57" s="60"/>
      <c r="C57" s="53"/>
      <c r="D57" s="53" t="str">
        <f t="shared" si="255"/>
        <v/>
      </c>
      <c r="E57" s="53"/>
      <c r="F57" s="53" t="str">
        <f t="shared" si="256"/>
        <v/>
      </c>
      <c r="G57" s="53"/>
      <c r="H57" s="53" t="str">
        <f>IF(G57="","",G53+I53-G57)</f>
        <v/>
      </c>
      <c r="I57" s="53"/>
      <c r="J57" s="74" t="str">
        <f t="shared" si="257"/>
        <v/>
      </c>
      <c r="K57" s="53" t="str">
        <f t="shared" si="258"/>
        <v/>
      </c>
      <c r="L57" s="53" t="str">
        <f t="shared" si="259"/>
        <v/>
      </c>
      <c r="M57" s="53" t="str">
        <f t="shared" si="260"/>
        <v/>
      </c>
      <c r="N57" s="75"/>
      <c r="P57" s="66"/>
      <c r="Q57" s="53"/>
      <c r="R57" s="53" t="str">
        <f t="shared" si="261"/>
        <v/>
      </c>
      <c r="S57" s="53"/>
      <c r="T57" s="53" t="str">
        <f t="shared" si="262"/>
        <v/>
      </c>
      <c r="U57" s="53"/>
      <c r="V57" s="53" t="str">
        <f t="shared" si="263"/>
        <v/>
      </c>
      <c r="W57" s="53"/>
      <c r="X57" s="76" t="str">
        <f t="shared" si="264"/>
        <v/>
      </c>
      <c r="Y57" s="53" t="str">
        <f t="shared" si="265"/>
        <v/>
      </c>
      <c r="Z57" s="53" t="str">
        <f t="shared" si="266"/>
        <v/>
      </c>
      <c r="AA57" s="53" t="str">
        <f t="shared" si="267"/>
        <v/>
      </c>
      <c r="AB57" s="75"/>
      <c r="AD57" s="66"/>
      <c r="AE57" s="53"/>
      <c r="AF57" s="53" t="str">
        <f t="shared" si="268"/>
        <v/>
      </c>
      <c r="AG57" s="53"/>
      <c r="AH57" s="53" t="str">
        <f t="shared" si="269"/>
        <v/>
      </c>
      <c r="AI57" s="53"/>
      <c r="AJ57" s="53" t="str">
        <f t="shared" si="270"/>
        <v/>
      </c>
      <c r="AK57" s="53"/>
      <c r="AL57" s="76" t="str">
        <f t="shared" si="271"/>
        <v/>
      </c>
      <c r="AM57" s="53" t="str">
        <f t="shared" si="272"/>
        <v/>
      </c>
      <c r="AN57" s="53" t="str">
        <f t="shared" si="273"/>
        <v/>
      </c>
      <c r="AO57" s="53" t="str">
        <f t="shared" si="274"/>
        <v/>
      </c>
      <c r="AP57" s="75"/>
      <c r="AR57" s="66"/>
      <c r="AS57" s="53"/>
      <c r="AT57" s="53" t="str">
        <f t="shared" si="88"/>
        <v/>
      </c>
      <c r="AU57" s="53"/>
      <c r="AV57" s="53" t="str">
        <f t="shared" si="89"/>
        <v/>
      </c>
      <c r="AW57" s="53"/>
      <c r="AX57" s="53" t="str">
        <f t="shared" si="90"/>
        <v/>
      </c>
      <c r="AY57" s="53"/>
      <c r="AZ57" s="76" t="str">
        <f t="shared" si="91"/>
        <v/>
      </c>
      <c r="BA57" s="53" t="str">
        <f t="shared" si="92"/>
        <v/>
      </c>
      <c r="BB57" s="53" t="str">
        <f t="shared" si="93"/>
        <v/>
      </c>
      <c r="BC57" s="53" t="str">
        <f t="shared" si="94"/>
        <v/>
      </c>
      <c r="BD57" s="75"/>
      <c r="BF57" s="66"/>
      <c r="BG57" s="53"/>
      <c r="BH57" s="53" t="str">
        <f t="shared" si="95"/>
        <v/>
      </c>
      <c r="BI57" s="53"/>
      <c r="BJ57" s="53" t="str">
        <f t="shared" si="96"/>
        <v/>
      </c>
      <c r="BK57" s="53"/>
      <c r="BL57" s="53" t="str">
        <f t="shared" si="97"/>
        <v/>
      </c>
      <c r="BM57" s="53"/>
      <c r="BN57" s="76" t="str">
        <f t="shared" si="98"/>
        <v/>
      </c>
      <c r="BO57" s="53" t="str">
        <f t="shared" si="99"/>
        <v/>
      </c>
      <c r="BP57" s="53" t="str">
        <f t="shared" si="100"/>
        <v/>
      </c>
      <c r="BQ57" s="53" t="str">
        <f t="shared" si="101"/>
        <v/>
      </c>
      <c r="BR57" s="75"/>
      <c r="BT57" s="66"/>
      <c r="BU57" s="53"/>
      <c r="BV57" s="53" t="str">
        <f t="shared" si="275"/>
        <v/>
      </c>
      <c r="BW57" s="53"/>
      <c r="BX57" s="53" t="str">
        <f t="shared" si="276"/>
        <v/>
      </c>
      <c r="BY57" s="53"/>
      <c r="BZ57" s="53" t="str">
        <f t="shared" si="277"/>
        <v/>
      </c>
      <c r="CA57" s="53"/>
      <c r="CB57" s="76" t="str">
        <f t="shared" si="278"/>
        <v/>
      </c>
      <c r="CC57" s="53" t="str">
        <f t="shared" si="279"/>
        <v/>
      </c>
      <c r="CD57" s="53" t="str">
        <f t="shared" si="280"/>
        <v/>
      </c>
      <c r="CE57" s="53" t="str">
        <f t="shared" si="281"/>
        <v/>
      </c>
      <c r="CF57" s="75"/>
      <c r="CH57" s="66"/>
      <c r="CI57" s="53"/>
      <c r="CJ57" s="53" t="str">
        <f t="shared" si="109"/>
        <v/>
      </c>
      <c r="CK57" s="53"/>
      <c r="CL57" s="53" t="str">
        <f t="shared" si="110"/>
        <v/>
      </c>
      <c r="CM57" s="53"/>
      <c r="CN57" s="53" t="str">
        <f t="shared" si="111"/>
        <v/>
      </c>
      <c r="CO57" s="53"/>
      <c r="CP57" s="76" t="str">
        <f t="shared" si="112"/>
        <v/>
      </c>
      <c r="CQ57" s="53" t="str">
        <f t="shared" si="113"/>
        <v/>
      </c>
      <c r="CR57" s="53" t="str">
        <f t="shared" si="114"/>
        <v/>
      </c>
      <c r="CS57" s="53" t="str">
        <f t="shared" si="115"/>
        <v/>
      </c>
      <c r="CT57" s="75"/>
      <c r="CV57" s="66"/>
      <c r="CW57" s="53"/>
      <c r="CX57" s="53" t="str">
        <f t="shared" si="116"/>
        <v/>
      </c>
      <c r="CY57" s="53"/>
      <c r="CZ57" s="53" t="str">
        <f t="shared" si="117"/>
        <v/>
      </c>
      <c r="DA57" s="53"/>
      <c r="DB57" s="53" t="str">
        <f t="shared" si="118"/>
        <v/>
      </c>
      <c r="DC57" s="53"/>
      <c r="DD57" s="76" t="str">
        <f t="shared" si="119"/>
        <v/>
      </c>
      <c r="DE57" s="53" t="str">
        <f t="shared" si="120"/>
        <v/>
      </c>
      <c r="DF57" s="53" t="str">
        <f t="shared" si="121"/>
        <v/>
      </c>
      <c r="DG57" s="53" t="str">
        <f t="shared" si="122"/>
        <v/>
      </c>
      <c r="DH57" s="75"/>
      <c r="DJ57" s="30"/>
      <c r="DK57" s="4"/>
      <c r="DL57" s="5" t="str">
        <f t="shared" si="282"/>
        <v/>
      </c>
      <c r="DM57" s="4"/>
      <c r="DN57" s="5" t="str">
        <f t="shared" si="283"/>
        <v/>
      </c>
      <c r="DO57" s="5"/>
      <c r="DP57" s="5"/>
      <c r="DQ57" s="53"/>
      <c r="DR57" s="3"/>
      <c r="DS57" s="36"/>
      <c r="DT57" s="5"/>
      <c r="DU57" s="33"/>
      <c r="DV57" s="27"/>
      <c r="DX57" s="30"/>
      <c r="DY57" s="4"/>
      <c r="DZ57" s="5" t="str">
        <f t="shared" si="130"/>
        <v/>
      </c>
      <c r="EA57" s="4"/>
      <c r="EB57" s="5" t="str">
        <f t="shared" si="131"/>
        <v/>
      </c>
      <c r="EC57" s="5"/>
      <c r="ED57" s="5"/>
      <c r="EE57" s="53"/>
      <c r="EF57" s="3"/>
      <c r="EG57" s="36"/>
      <c r="EH57" s="5"/>
      <c r="EI57" s="33"/>
      <c r="EJ57" s="27"/>
      <c r="EL57" s="14"/>
      <c r="EM57" s="36"/>
      <c r="EN57" s="5"/>
      <c r="EO57" s="5"/>
      <c r="EP57" s="5"/>
      <c r="EQ57" s="5"/>
      <c r="ER57" s="5"/>
      <c r="ES57" s="5"/>
      <c r="ET57" s="5"/>
      <c r="EU57" s="5"/>
      <c r="EV57" s="5"/>
      <c r="EW57" s="33"/>
      <c r="EX57" s="27"/>
      <c r="EZ57" s="14"/>
      <c r="FA57" s="36"/>
      <c r="FB57" s="5"/>
      <c r="FC57" s="5"/>
      <c r="FD57" s="5"/>
      <c r="FE57" s="5"/>
      <c r="FF57" s="5"/>
      <c r="FG57" s="5"/>
      <c r="FH57" s="5"/>
      <c r="FI57" s="5"/>
      <c r="FJ57" s="5"/>
      <c r="FK57" s="33"/>
      <c r="FL57" s="27"/>
      <c r="FN57" s="14"/>
      <c r="FO57" s="36"/>
      <c r="FP57" s="5"/>
      <c r="FQ57" s="5"/>
      <c r="FR57" s="5"/>
      <c r="FS57" s="5"/>
      <c r="FT57" s="5"/>
      <c r="FU57" s="5"/>
      <c r="FV57" s="5"/>
      <c r="FW57" s="5"/>
      <c r="FX57" s="5"/>
      <c r="FY57" s="33"/>
      <c r="FZ57" s="27"/>
      <c r="GB57" s="14"/>
      <c r="GC57" s="36"/>
      <c r="GD57" s="5"/>
      <c r="GE57" s="5"/>
      <c r="GF57" s="5"/>
      <c r="GG57" s="5"/>
      <c r="GH57" s="5"/>
      <c r="GI57" s="5"/>
      <c r="GJ57" s="5"/>
      <c r="GK57" s="5"/>
      <c r="GL57" s="5"/>
      <c r="GM57" s="33"/>
      <c r="GN57" s="27"/>
      <c r="GP57" s="14"/>
      <c r="GQ57" s="36"/>
      <c r="GR57" s="5"/>
      <c r="GS57" s="5"/>
      <c r="GT57" s="5"/>
      <c r="GU57" s="5"/>
      <c r="GV57" s="5"/>
      <c r="GW57" s="5"/>
      <c r="GX57" s="5"/>
      <c r="GY57" s="5"/>
      <c r="GZ57" s="5"/>
      <c r="HA57" s="33"/>
      <c r="HB57" s="27"/>
      <c r="HD57" s="14"/>
      <c r="HE57" s="36"/>
      <c r="HF57" s="5"/>
      <c r="HG57" s="5"/>
      <c r="HH57" s="27"/>
      <c r="HJ57" s="14"/>
      <c r="HK57" s="36"/>
      <c r="HL57" s="5"/>
      <c r="HM57" s="5"/>
      <c r="HN57" s="27"/>
      <c r="HP57" s="14"/>
      <c r="HQ57" s="36"/>
      <c r="HR57" s="5"/>
      <c r="HS57" s="5"/>
      <c r="HT57" s="27"/>
      <c r="HV57" s="14"/>
      <c r="HW57" s="36"/>
      <c r="HX57" s="5"/>
      <c r="HY57" s="5"/>
      <c r="HZ57" s="5"/>
      <c r="IA57" s="5"/>
      <c r="IB57" s="5"/>
      <c r="IC57" s="5"/>
      <c r="ID57" s="5"/>
      <c r="IE57" s="5"/>
      <c r="IF57" s="5"/>
      <c r="IG57" s="33"/>
      <c r="IH57" s="27"/>
      <c r="IJ57" s="14"/>
      <c r="IK57" s="36"/>
      <c r="IL57" s="5"/>
      <c r="IM57" s="5"/>
      <c r="IN57" s="5"/>
      <c r="IO57" s="5"/>
      <c r="IP57" s="5"/>
      <c r="IQ57" s="5"/>
      <c r="IR57" s="5"/>
      <c r="IS57" s="5"/>
      <c r="IT57" s="5"/>
      <c r="IU57" s="33"/>
      <c r="IV57" s="27"/>
      <c r="IX57" s="14"/>
      <c r="IY57" s="36"/>
      <c r="IZ57" s="5"/>
      <c r="JA57" s="5"/>
      <c r="JB57" s="5"/>
      <c r="JC57" s="5"/>
      <c r="JD57" s="5"/>
      <c r="JE57" s="5"/>
      <c r="JF57" s="5"/>
      <c r="JG57" s="5"/>
      <c r="JH57" s="5"/>
      <c r="JI57" s="33"/>
      <c r="JJ57" s="27"/>
      <c r="JL57" s="14"/>
      <c r="JM57" s="36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33"/>
      <c r="JZ57" s="27"/>
    </row>
    <row r="58" spans="1:286" ht="15" customHeight="1" thickBot="1" x14ac:dyDescent="0.25">
      <c r="A58" s="77"/>
      <c r="B58" s="62"/>
      <c r="C58" s="40"/>
      <c r="D58" s="40" t="str">
        <f t="shared" si="255"/>
        <v/>
      </c>
      <c r="E58" s="40"/>
      <c r="F58" s="40" t="str">
        <f t="shared" si="256"/>
        <v/>
      </c>
      <c r="G58" s="40"/>
      <c r="H58" s="40" t="str">
        <f>IF(G58="","",G54+I54-G58)</f>
        <v/>
      </c>
      <c r="I58" s="40"/>
      <c r="J58" s="78" t="str">
        <f t="shared" si="257"/>
        <v/>
      </c>
      <c r="K58" s="40" t="str">
        <f t="shared" si="258"/>
        <v/>
      </c>
      <c r="L58" s="40" t="str">
        <f t="shared" si="259"/>
        <v/>
      </c>
      <c r="M58" s="40" t="str">
        <f t="shared" si="260"/>
        <v/>
      </c>
      <c r="N58" s="79"/>
      <c r="P58" s="80"/>
      <c r="Q58" s="40"/>
      <c r="R58" s="40" t="str">
        <f t="shared" si="261"/>
        <v/>
      </c>
      <c r="S58" s="40"/>
      <c r="T58" s="40" t="str">
        <f t="shared" si="262"/>
        <v/>
      </c>
      <c r="U58" s="40"/>
      <c r="V58" s="40" t="str">
        <f t="shared" si="263"/>
        <v/>
      </c>
      <c r="W58" s="40"/>
      <c r="X58" s="81" t="str">
        <f t="shared" si="264"/>
        <v/>
      </c>
      <c r="Y58" s="40" t="str">
        <f t="shared" si="265"/>
        <v/>
      </c>
      <c r="Z58" s="40" t="str">
        <f t="shared" si="266"/>
        <v/>
      </c>
      <c r="AA58" s="40" t="str">
        <f t="shared" si="267"/>
        <v/>
      </c>
      <c r="AB58" s="79"/>
      <c r="AD58" s="80"/>
      <c r="AE58" s="40"/>
      <c r="AF58" s="40" t="str">
        <f t="shared" si="268"/>
        <v/>
      </c>
      <c r="AG58" s="40"/>
      <c r="AH58" s="40" t="str">
        <f t="shared" si="269"/>
        <v/>
      </c>
      <c r="AI58" s="40"/>
      <c r="AJ58" s="40" t="str">
        <f t="shared" si="270"/>
        <v/>
      </c>
      <c r="AK58" s="40"/>
      <c r="AL58" s="81" t="str">
        <f t="shared" si="271"/>
        <v/>
      </c>
      <c r="AM58" s="40" t="str">
        <f t="shared" si="272"/>
        <v/>
      </c>
      <c r="AN58" s="40" t="str">
        <f t="shared" si="273"/>
        <v/>
      </c>
      <c r="AO58" s="40" t="str">
        <f t="shared" si="274"/>
        <v/>
      </c>
      <c r="AP58" s="79"/>
      <c r="AR58" s="80"/>
      <c r="AS58" s="40"/>
      <c r="AT58" s="40" t="str">
        <f t="shared" si="88"/>
        <v/>
      </c>
      <c r="AU58" s="40"/>
      <c r="AV58" s="40" t="str">
        <f t="shared" si="89"/>
        <v/>
      </c>
      <c r="AW58" s="40"/>
      <c r="AX58" s="40" t="str">
        <f t="shared" si="90"/>
        <v/>
      </c>
      <c r="AY58" s="40"/>
      <c r="AZ58" s="81" t="str">
        <f t="shared" si="91"/>
        <v/>
      </c>
      <c r="BA58" s="40" t="str">
        <f t="shared" si="92"/>
        <v/>
      </c>
      <c r="BB58" s="40" t="str">
        <f t="shared" si="93"/>
        <v/>
      </c>
      <c r="BC58" s="40" t="str">
        <f t="shared" si="94"/>
        <v/>
      </c>
      <c r="BD58" s="79"/>
      <c r="BF58" s="80"/>
      <c r="BG58" s="40"/>
      <c r="BH58" s="40" t="str">
        <f t="shared" si="95"/>
        <v/>
      </c>
      <c r="BI58" s="40"/>
      <c r="BJ58" s="40" t="str">
        <f t="shared" si="96"/>
        <v/>
      </c>
      <c r="BK58" s="40"/>
      <c r="BL58" s="40" t="str">
        <f t="shared" si="97"/>
        <v/>
      </c>
      <c r="BM58" s="40"/>
      <c r="BN58" s="81" t="str">
        <f t="shared" si="98"/>
        <v/>
      </c>
      <c r="BO58" s="40" t="str">
        <f t="shared" si="99"/>
        <v/>
      </c>
      <c r="BP58" s="40" t="str">
        <f t="shared" si="100"/>
        <v/>
      </c>
      <c r="BQ58" s="40" t="str">
        <f t="shared" si="101"/>
        <v/>
      </c>
      <c r="BR58" s="79"/>
      <c r="BT58" s="80"/>
      <c r="BU58" s="40"/>
      <c r="BV58" s="40" t="str">
        <f t="shared" si="275"/>
        <v/>
      </c>
      <c r="BW58" s="40"/>
      <c r="BX58" s="40" t="str">
        <f t="shared" si="276"/>
        <v/>
      </c>
      <c r="BY58" s="40"/>
      <c r="BZ58" s="40" t="str">
        <f t="shared" si="277"/>
        <v/>
      </c>
      <c r="CA58" s="40"/>
      <c r="CB58" s="81" t="str">
        <f t="shared" si="278"/>
        <v/>
      </c>
      <c r="CC58" s="40" t="str">
        <f t="shared" si="279"/>
        <v/>
      </c>
      <c r="CD58" s="40" t="str">
        <f t="shared" si="280"/>
        <v/>
      </c>
      <c r="CE58" s="40" t="str">
        <f t="shared" si="281"/>
        <v/>
      </c>
      <c r="CF58" s="79"/>
      <c r="CH58" s="80"/>
      <c r="CI58" s="40"/>
      <c r="CJ58" s="40" t="str">
        <f t="shared" si="109"/>
        <v/>
      </c>
      <c r="CK58" s="40"/>
      <c r="CL58" s="40" t="str">
        <f t="shared" si="110"/>
        <v/>
      </c>
      <c r="CM58" s="40"/>
      <c r="CN58" s="40" t="str">
        <f t="shared" si="111"/>
        <v/>
      </c>
      <c r="CO58" s="40"/>
      <c r="CP58" s="81" t="str">
        <f t="shared" si="112"/>
        <v/>
      </c>
      <c r="CQ58" s="40" t="str">
        <f t="shared" si="113"/>
        <v/>
      </c>
      <c r="CR58" s="40" t="str">
        <f t="shared" si="114"/>
        <v/>
      </c>
      <c r="CS58" s="40" t="str">
        <f t="shared" si="115"/>
        <v/>
      </c>
      <c r="CT58" s="79"/>
      <c r="CV58" s="80"/>
      <c r="CW58" s="40"/>
      <c r="CX58" s="40" t="str">
        <f t="shared" si="116"/>
        <v/>
      </c>
      <c r="CY58" s="40"/>
      <c r="CZ58" s="40" t="str">
        <f t="shared" si="117"/>
        <v/>
      </c>
      <c r="DA58" s="40"/>
      <c r="DB58" s="40" t="str">
        <f t="shared" si="118"/>
        <v/>
      </c>
      <c r="DC58" s="40"/>
      <c r="DD58" s="81" t="str">
        <f t="shared" si="119"/>
        <v/>
      </c>
      <c r="DE58" s="40" t="str">
        <f t="shared" si="120"/>
        <v/>
      </c>
      <c r="DF58" s="40" t="str">
        <f t="shared" si="121"/>
        <v/>
      </c>
      <c r="DG58" s="40" t="str">
        <f t="shared" si="122"/>
        <v/>
      </c>
      <c r="DH58" s="79"/>
      <c r="DJ58" s="80"/>
      <c r="DK58" s="40"/>
      <c r="DL58" s="40" t="str">
        <f t="shared" si="282"/>
        <v/>
      </c>
      <c r="DM58" s="40"/>
      <c r="DN58" s="40"/>
      <c r="DO58" s="41"/>
      <c r="DP58" s="41"/>
      <c r="DQ58" s="41"/>
      <c r="DR58" s="42"/>
      <c r="DS58" s="57"/>
      <c r="DT58" s="41"/>
      <c r="DU58" s="43"/>
      <c r="DV58" s="27"/>
      <c r="DX58" s="80"/>
      <c r="DY58" s="40"/>
      <c r="DZ58" s="40" t="str">
        <f t="shared" si="130"/>
        <v/>
      </c>
      <c r="EA58" s="40"/>
      <c r="EB58" s="40"/>
      <c r="EC58" s="41"/>
      <c r="ED58" s="41"/>
      <c r="EE58" s="41"/>
      <c r="EF58" s="42"/>
      <c r="EG58" s="57"/>
      <c r="EH58" s="41"/>
      <c r="EI58" s="43"/>
      <c r="EJ58" s="27"/>
      <c r="EL58" s="14"/>
      <c r="EM58" s="36"/>
      <c r="EN58" s="5"/>
      <c r="EO58" s="5"/>
      <c r="EP58" s="5"/>
      <c r="EQ58" s="5"/>
      <c r="ER58" s="5"/>
      <c r="ES58" s="5"/>
      <c r="ET58" s="5"/>
      <c r="EU58" s="5"/>
      <c r="EV58" s="5"/>
      <c r="EW58" s="33"/>
      <c r="EX58" s="27"/>
      <c r="EZ58" s="14"/>
      <c r="FA58" s="36"/>
      <c r="FB58" s="5"/>
      <c r="FC58" s="5"/>
      <c r="FD58" s="5"/>
      <c r="FE58" s="5"/>
      <c r="FF58" s="5"/>
      <c r="FG58" s="5"/>
      <c r="FH58" s="5"/>
      <c r="FI58" s="5"/>
      <c r="FJ58" s="5"/>
      <c r="FK58" s="33"/>
      <c r="FL58" s="27"/>
      <c r="FN58" s="14"/>
      <c r="FO58" s="36"/>
      <c r="FP58" s="5"/>
      <c r="FQ58" s="5"/>
      <c r="FR58" s="5"/>
      <c r="FS58" s="5"/>
      <c r="FT58" s="5"/>
      <c r="FU58" s="5"/>
      <c r="FV58" s="5"/>
      <c r="FW58" s="5"/>
      <c r="FX58" s="5"/>
      <c r="FY58" s="33"/>
      <c r="FZ58" s="27"/>
      <c r="GB58" s="14"/>
      <c r="GC58" s="36"/>
      <c r="GD58" s="5"/>
      <c r="GE58" s="5"/>
      <c r="GF58" s="5"/>
      <c r="GG58" s="5"/>
      <c r="GH58" s="5"/>
      <c r="GI58" s="5"/>
      <c r="GJ58" s="5"/>
      <c r="GK58" s="5"/>
      <c r="GL58" s="5"/>
      <c r="GM58" s="33"/>
      <c r="GN58" s="27"/>
      <c r="GP58" s="14"/>
      <c r="GQ58" s="36"/>
      <c r="GR58" s="5"/>
      <c r="GS58" s="5"/>
      <c r="GT58" s="5"/>
      <c r="GU58" s="5"/>
      <c r="GV58" s="5"/>
      <c r="GW58" s="5"/>
      <c r="GX58" s="5"/>
      <c r="GY58" s="5"/>
      <c r="GZ58" s="5"/>
      <c r="HA58" s="33"/>
      <c r="HB58" s="27"/>
      <c r="HD58" s="14"/>
      <c r="HE58" s="36"/>
      <c r="HF58" s="5"/>
      <c r="HG58" s="5"/>
      <c r="HH58" s="27"/>
      <c r="HJ58" s="14"/>
      <c r="HK58" s="36"/>
      <c r="HL58" s="5"/>
      <c r="HM58" s="5"/>
      <c r="HN58" s="27"/>
      <c r="HP58" s="14"/>
      <c r="HQ58" s="36"/>
      <c r="HR58" s="5"/>
      <c r="HS58" s="5"/>
      <c r="HT58" s="27"/>
      <c r="HV58" s="14"/>
      <c r="HW58" s="36"/>
      <c r="HX58" s="5"/>
      <c r="HY58" s="5"/>
      <c r="HZ58" s="5"/>
      <c r="IA58" s="5"/>
      <c r="IB58" s="5"/>
      <c r="IC58" s="5"/>
      <c r="ID58" s="5"/>
      <c r="IE58" s="5"/>
      <c r="IF58" s="5"/>
      <c r="IG58" s="33"/>
      <c r="IH58" s="27"/>
      <c r="IJ58" s="14"/>
      <c r="IK58" s="36"/>
      <c r="IL58" s="5"/>
      <c r="IM58" s="5"/>
      <c r="IN58" s="5"/>
      <c r="IO58" s="5"/>
      <c r="IP58" s="5"/>
      <c r="IQ58" s="5"/>
      <c r="IR58" s="5"/>
      <c r="IS58" s="5"/>
      <c r="IT58" s="5"/>
      <c r="IU58" s="33"/>
      <c r="IV58" s="27"/>
      <c r="IX58" s="14"/>
      <c r="IY58" s="36"/>
      <c r="IZ58" s="5"/>
      <c r="JA58" s="5"/>
      <c r="JB58" s="5"/>
      <c r="JC58" s="5"/>
      <c r="JD58" s="5"/>
      <c r="JE58" s="5"/>
      <c r="JF58" s="5"/>
      <c r="JG58" s="5"/>
      <c r="JH58" s="5"/>
      <c r="JI58" s="33"/>
      <c r="JJ58" s="27"/>
      <c r="JL58" s="14"/>
      <c r="JM58" s="36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33"/>
      <c r="JZ58" s="27"/>
    </row>
    <row r="59" spans="1:286" ht="15" customHeight="1" thickTop="1" x14ac:dyDescent="0.2">
      <c r="A59" s="30"/>
      <c r="B59" s="24"/>
      <c r="C59" s="82" t="s">
        <v>13</v>
      </c>
      <c r="D59" s="4">
        <f>SUM(D3:D55)*100</f>
        <v>38000</v>
      </c>
      <c r="E59" s="83" t="s">
        <v>33</v>
      </c>
      <c r="F59" s="4"/>
      <c r="G59" s="82"/>
      <c r="H59" s="4"/>
      <c r="I59" s="4"/>
      <c r="J59" s="138" t="s">
        <v>14</v>
      </c>
      <c r="K59" s="138"/>
      <c r="L59" s="4">
        <f>SUM(L3:L55)</f>
        <v>17153</v>
      </c>
      <c r="M59" s="4"/>
      <c r="N59" s="31"/>
      <c r="P59" s="30"/>
      <c r="Q59" s="82" t="s">
        <v>13</v>
      </c>
      <c r="R59" s="4">
        <f>SUM(R3:R55)*100</f>
        <v>45300</v>
      </c>
      <c r="S59" s="83" t="s">
        <v>33</v>
      </c>
      <c r="T59" s="4"/>
      <c r="U59" s="82"/>
      <c r="V59" s="4"/>
      <c r="W59" s="4"/>
      <c r="X59" s="138" t="s">
        <v>14</v>
      </c>
      <c r="Y59" s="138"/>
      <c r="Z59" s="4">
        <f>SUM(Z3:Z55)</f>
        <v>18218</v>
      </c>
      <c r="AA59" s="4"/>
      <c r="AB59" s="31"/>
      <c r="AD59" s="30"/>
      <c r="AE59" s="82" t="s">
        <v>13</v>
      </c>
      <c r="AF59" s="4">
        <f>SUM(AF3:AF55)*100</f>
        <v>56400</v>
      </c>
      <c r="AG59" s="83" t="s">
        <v>33</v>
      </c>
      <c r="AH59" s="4"/>
      <c r="AI59" s="82"/>
      <c r="AJ59" s="4"/>
      <c r="AK59" s="4"/>
      <c r="AL59" s="138" t="s">
        <v>14</v>
      </c>
      <c r="AM59" s="138"/>
      <c r="AN59" s="4">
        <f>SUM(AN3:AN55)</f>
        <v>20889</v>
      </c>
      <c r="AO59" s="4"/>
      <c r="AP59" s="31"/>
      <c r="AR59" s="30"/>
      <c r="AS59" s="82" t="s">
        <v>13</v>
      </c>
      <c r="AT59" s="4">
        <f>SUM(AT3:AT55)*100</f>
        <v>37200</v>
      </c>
      <c r="AU59" s="83" t="s">
        <v>33</v>
      </c>
      <c r="AV59" s="4"/>
      <c r="AW59" s="82"/>
      <c r="AX59" s="4"/>
      <c r="AY59" s="4"/>
      <c r="AZ59" s="138" t="s">
        <v>14</v>
      </c>
      <c r="BA59" s="138"/>
      <c r="BB59" s="4">
        <f>SUM(BB3:BB55)</f>
        <v>4710</v>
      </c>
      <c r="BC59" s="4"/>
      <c r="BD59" s="31"/>
      <c r="BF59" s="30"/>
      <c r="BG59" s="82" t="s">
        <v>13</v>
      </c>
      <c r="BH59" s="4">
        <f>SUM(BH3:BH55)*100</f>
        <v>49200</v>
      </c>
      <c r="BI59" s="83" t="s">
        <v>33</v>
      </c>
      <c r="BJ59" s="4"/>
      <c r="BK59" s="82"/>
      <c r="BL59" s="4"/>
      <c r="BM59" s="4"/>
      <c r="BN59" s="138" t="s">
        <v>14</v>
      </c>
      <c r="BO59" s="138"/>
      <c r="BP59" s="4">
        <f>SUM(BP3:BP55)</f>
        <v>10100</v>
      </c>
      <c r="BQ59" s="4"/>
      <c r="BR59" s="31"/>
      <c r="BT59" s="30"/>
      <c r="BU59" s="82" t="s">
        <v>13</v>
      </c>
      <c r="BV59" s="4">
        <f>SUM(BV3:BV55)*100</f>
        <v>26300</v>
      </c>
      <c r="BW59" s="83" t="s">
        <v>33</v>
      </c>
      <c r="BX59" s="4"/>
      <c r="BY59" s="82"/>
      <c r="BZ59" s="4"/>
      <c r="CA59" s="4"/>
      <c r="CB59" s="138" t="s">
        <v>14</v>
      </c>
      <c r="CC59" s="138"/>
      <c r="CD59" s="4">
        <f>SUM(CD3:CD55)</f>
        <v>9196</v>
      </c>
      <c r="CE59" s="4"/>
      <c r="CF59" s="31"/>
      <c r="CH59" s="30"/>
      <c r="CI59" s="82" t="s">
        <v>13</v>
      </c>
      <c r="CJ59" s="4">
        <f>SUM(CJ3:CJ55)*100</f>
        <v>55700</v>
      </c>
      <c r="CK59" s="83" t="s">
        <v>33</v>
      </c>
      <c r="CL59" s="4"/>
      <c r="CM59" s="82"/>
      <c r="CN59" s="4"/>
      <c r="CO59" s="4"/>
      <c r="CP59" s="138" t="s">
        <v>14</v>
      </c>
      <c r="CQ59" s="138"/>
      <c r="CR59" s="4">
        <f>SUM(CR3:CR55)</f>
        <v>7721</v>
      </c>
      <c r="CS59" s="4"/>
      <c r="CT59" s="31"/>
      <c r="CV59" s="30"/>
      <c r="CW59" s="82" t="s">
        <v>13</v>
      </c>
      <c r="CX59" s="4">
        <f>SUM(CX3:CX55)*100</f>
        <v>54300</v>
      </c>
      <c r="CY59" s="83" t="s">
        <v>33</v>
      </c>
      <c r="CZ59" s="4"/>
      <c r="DA59" s="82"/>
      <c r="DB59" s="4"/>
      <c r="DC59" s="4"/>
      <c r="DD59" s="138" t="s">
        <v>14</v>
      </c>
      <c r="DE59" s="138"/>
      <c r="DF59" s="4">
        <f>SUM(DF3:DF55)</f>
        <v>19657</v>
      </c>
      <c r="DG59" s="4"/>
      <c r="DH59" s="31"/>
      <c r="DJ59" s="30"/>
      <c r="DK59" s="82" t="s">
        <v>13</v>
      </c>
      <c r="DL59" s="4">
        <f>SUM(DL3:DL55)*100</f>
        <v>36300</v>
      </c>
      <c r="DM59" s="4"/>
      <c r="DN59" s="4"/>
      <c r="DO59" s="16"/>
      <c r="DP59" s="5"/>
      <c r="DQ59" s="5"/>
      <c r="DR59" s="132" t="s">
        <v>14</v>
      </c>
      <c r="DS59" s="132"/>
      <c r="DT59" s="5">
        <f>SUM(DT3:DT55)</f>
        <v>6600</v>
      </c>
      <c r="DU59" s="5"/>
      <c r="DV59" s="27"/>
      <c r="DX59" s="30"/>
      <c r="DY59" s="82" t="s">
        <v>13</v>
      </c>
      <c r="DZ59" s="4">
        <f>SUM(DZ3:DZ55)*100</f>
        <v>48600</v>
      </c>
      <c r="EA59" s="4"/>
      <c r="EB59" s="4"/>
      <c r="EC59" s="16"/>
      <c r="ED59" s="5"/>
      <c r="EE59" s="5"/>
      <c r="EF59" s="132" t="s">
        <v>14</v>
      </c>
      <c r="EG59" s="132"/>
      <c r="EH59" s="5">
        <f>SUM(EH3:EH55)</f>
        <v>13200</v>
      </c>
      <c r="EI59" s="5"/>
      <c r="EJ59" s="27"/>
      <c r="EL59" s="14"/>
      <c r="EM59" s="21" t="s">
        <v>13</v>
      </c>
      <c r="EN59" s="5">
        <f>SUM(EN3:EN55)*100</f>
        <v>14700</v>
      </c>
      <c r="EO59" s="5"/>
      <c r="EP59" s="5"/>
      <c r="EQ59" s="16"/>
      <c r="ER59" s="5"/>
      <c r="ES59" s="5"/>
      <c r="ET59" s="5"/>
      <c r="EU59" s="5"/>
      <c r="EV59" s="5"/>
      <c r="EW59" s="5"/>
      <c r="EX59" s="27"/>
      <c r="EZ59" s="14"/>
      <c r="FA59" s="21" t="s">
        <v>13</v>
      </c>
      <c r="FB59" s="5">
        <f>SUM(FB3:FB55)*100</f>
        <v>20300</v>
      </c>
      <c r="FC59" s="5"/>
      <c r="FD59" s="5"/>
      <c r="FE59" s="16"/>
      <c r="FF59" s="5"/>
      <c r="FG59" s="5"/>
      <c r="FH59" s="5"/>
      <c r="FI59" s="5"/>
      <c r="FJ59" s="5"/>
      <c r="FK59" s="5"/>
      <c r="FL59" s="27"/>
      <c r="FN59" s="14"/>
      <c r="FO59" s="21" t="s">
        <v>13</v>
      </c>
      <c r="FP59" s="5">
        <f>SUM(FP3:FP55)*100</f>
        <v>9000</v>
      </c>
      <c r="FQ59" s="5"/>
      <c r="FR59" s="5"/>
      <c r="FS59" s="16"/>
      <c r="FT59" s="5"/>
      <c r="FU59" s="5"/>
      <c r="FV59" s="5"/>
      <c r="FW59" s="5"/>
      <c r="FX59" s="5"/>
      <c r="FY59" s="5"/>
      <c r="FZ59" s="27"/>
      <c r="GB59" s="14"/>
      <c r="GC59" s="21" t="s">
        <v>13</v>
      </c>
      <c r="GD59" s="5">
        <f>SUM(GD3:GD55)*100</f>
        <v>26600</v>
      </c>
      <c r="GE59" s="5"/>
      <c r="GF59" s="5"/>
      <c r="GG59" s="16"/>
      <c r="GH59" s="5"/>
      <c r="GI59" s="5"/>
      <c r="GJ59" s="5"/>
      <c r="GK59" s="5"/>
      <c r="GL59" s="5"/>
      <c r="GM59" s="5"/>
      <c r="GN59" s="27"/>
      <c r="GP59" s="14"/>
      <c r="GQ59" s="21" t="s">
        <v>13</v>
      </c>
      <c r="GR59" s="5">
        <f>SUM(GR3:GR55)*100</f>
        <v>16000</v>
      </c>
      <c r="GS59" s="5"/>
      <c r="GT59" s="5"/>
      <c r="GU59" s="16"/>
      <c r="GV59" s="5"/>
      <c r="GW59" s="5"/>
      <c r="GX59" s="5"/>
      <c r="GY59" s="5"/>
      <c r="GZ59" s="5"/>
      <c r="HA59" s="5"/>
      <c r="HB59" s="27"/>
      <c r="HD59" s="14"/>
      <c r="HE59" s="21" t="s">
        <v>13</v>
      </c>
      <c r="HF59" s="5">
        <f>SUM(HF3:HF55)*100</f>
        <v>10200</v>
      </c>
      <c r="HG59" s="5"/>
      <c r="HH59" s="27"/>
      <c r="HJ59" s="14"/>
      <c r="HK59" s="21" t="s">
        <v>13</v>
      </c>
      <c r="HL59" s="5">
        <f>SUM(HL3:HL55)*100</f>
        <v>14400</v>
      </c>
      <c r="HM59" s="5"/>
      <c r="HN59" s="27"/>
      <c r="HP59" s="14"/>
      <c r="HQ59" s="21" t="s">
        <v>13</v>
      </c>
      <c r="HR59" s="5">
        <f>SUM(HR3:HR55)*100</f>
        <v>26000</v>
      </c>
      <c r="HS59" s="5"/>
      <c r="HT59" s="27"/>
      <c r="HV59" s="14"/>
      <c r="HW59" s="21" t="s">
        <v>13</v>
      </c>
      <c r="HX59" s="5">
        <f>SUM(HX3:HX55)*100</f>
        <v>0</v>
      </c>
      <c r="HY59" s="5"/>
      <c r="HZ59" s="5"/>
      <c r="IA59" s="16"/>
      <c r="IB59" s="5"/>
      <c r="IC59" s="5"/>
      <c r="ID59" s="5"/>
      <c r="IE59" s="5"/>
      <c r="IF59" s="5"/>
      <c r="IG59" s="5"/>
      <c r="IH59" s="27"/>
      <c r="IJ59" s="14"/>
      <c r="IK59" s="21" t="s">
        <v>13</v>
      </c>
      <c r="IL59" s="5">
        <f>SUM(IL3:IL55)*100</f>
        <v>0</v>
      </c>
      <c r="IM59" s="5"/>
      <c r="IN59" s="5"/>
      <c r="IO59" s="16"/>
      <c r="IP59" s="5"/>
      <c r="IQ59" s="5"/>
      <c r="IR59" s="5"/>
      <c r="IS59" s="5"/>
      <c r="IT59" s="5"/>
      <c r="IU59" s="5"/>
      <c r="IV59" s="27"/>
      <c r="IX59" s="14"/>
      <c r="IY59" s="21" t="s">
        <v>13</v>
      </c>
      <c r="IZ59" s="5">
        <f>SUM(IZ3:IZ55)*100</f>
        <v>0</v>
      </c>
      <c r="JA59" s="5"/>
      <c r="JB59" s="5"/>
      <c r="JC59" s="16"/>
      <c r="JD59" s="5"/>
      <c r="JE59" s="5"/>
      <c r="JF59" s="5"/>
      <c r="JG59" s="5"/>
      <c r="JH59" s="5"/>
      <c r="JI59" s="5"/>
      <c r="JJ59" s="27"/>
      <c r="JL59" s="14"/>
      <c r="JM59" s="21" t="s">
        <v>13</v>
      </c>
      <c r="JN59" s="5">
        <f>SUM(JN3:JN55)*100</f>
        <v>0</v>
      </c>
      <c r="JO59" s="5"/>
      <c r="JP59" s="5"/>
      <c r="JQ59" s="5"/>
      <c r="JR59" s="5"/>
      <c r="JS59" s="16"/>
      <c r="JT59" s="5"/>
      <c r="JU59" s="5"/>
      <c r="JV59" s="5"/>
      <c r="JW59" s="5"/>
      <c r="JX59" s="5"/>
      <c r="JY59" s="5"/>
      <c r="JZ59" s="27"/>
    </row>
    <row r="60" spans="1:286" x14ac:dyDescent="0.2">
      <c r="A60" s="84"/>
      <c r="B60" s="65"/>
      <c r="C60" s="16" t="s">
        <v>15</v>
      </c>
      <c r="D60" s="5">
        <f>D59/A64</f>
        <v>9500</v>
      </c>
      <c r="E60" s="5">
        <f>D60*A63</f>
        <v>256500</v>
      </c>
      <c r="F60" s="5"/>
      <c r="G60" s="16"/>
      <c r="H60" s="5"/>
      <c r="I60" s="5"/>
      <c r="J60" s="135" t="s">
        <v>16</v>
      </c>
      <c r="K60" s="135"/>
      <c r="L60" s="5"/>
      <c r="M60" s="85">
        <f>L59/D59</f>
        <v>0.45139473684210524</v>
      </c>
      <c r="N60" s="27"/>
      <c r="P60" s="86"/>
      <c r="Q60" s="16" t="s">
        <v>15</v>
      </c>
      <c r="R60" s="5">
        <f>R59/A64</f>
        <v>11325</v>
      </c>
      <c r="S60" s="5">
        <f>R60*A63</f>
        <v>305775</v>
      </c>
      <c r="T60" s="5"/>
      <c r="U60" s="16"/>
      <c r="V60" s="5"/>
      <c r="W60" s="5"/>
      <c r="X60" s="135" t="s">
        <v>16</v>
      </c>
      <c r="Y60" s="135"/>
      <c r="Z60" s="5"/>
      <c r="AA60" s="85">
        <f>Z59/R59</f>
        <v>0.40216335540838855</v>
      </c>
      <c r="AB60" s="27"/>
      <c r="AD60" s="86"/>
      <c r="AE60" s="16" t="s">
        <v>15</v>
      </c>
      <c r="AF60" s="5">
        <f>AF59/A64</f>
        <v>14100</v>
      </c>
      <c r="AG60" s="5">
        <f>AF60*A63</f>
        <v>380700</v>
      </c>
      <c r="AH60" s="5"/>
      <c r="AI60" s="16"/>
      <c r="AJ60" s="5"/>
      <c r="AK60" s="5"/>
      <c r="AL60" s="135" t="s">
        <v>16</v>
      </c>
      <c r="AM60" s="135"/>
      <c r="AN60" s="5"/>
      <c r="AO60" s="85">
        <f>AN59/AF59</f>
        <v>0.37037234042553191</v>
      </c>
      <c r="AP60" s="27"/>
      <c r="AR60" s="86"/>
      <c r="AS60" s="16" t="s">
        <v>15</v>
      </c>
      <c r="AT60" s="5" t="e">
        <f>AT59/O64</f>
        <v>#DIV/0!</v>
      </c>
      <c r="AU60" s="5" t="e">
        <f>AT60*O63</f>
        <v>#DIV/0!</v>
      </c>
      <c r="AV60" s="5"/>
      <c r="AW60" s="16"/>
      <c r="AX60" s="5"/>
      <c r="AY60" s="5"/>
      <c r="AZ60" s="135" t="s">
        <v>16</v>
      </c>
      <c r="BA60" s="135"/>
      <c r="BB60" s="5"/>
      <c r="BC60" s="85">
        <f>BB59/AT59</f>
        <v>0.12661290322580646</v>
      </c>
      <c r="BD60" s="27"/>
      <c r="BF60" s="86"/>
      <c r="BG60" s="16" t="s">
        <v>15</v>
      </c>
      <c r="BH60" s="5" t="e">
        <f>BH59/O64</f>
        <v>#DIV/0!</v>
      </c>
      <c r="BI60" s="5" t="e">
        <f>BH60*O63</f>
        <v>#DIV/0!</v>
      </c>
      <c r="BJ60" s="5"/>
      <c r="BK60" s="16"/>
      <c r="BL60" s="5"/>
      <c r="BM60" s="5"/>
      <c r="BN60" s="135" t="s">
        <v>16</v>
      </c>
      <c r="BO60" s="135"/>
      <c r="BP60" s="5"/>
      <c r="BQ60" s="85">
        <f>BP59/BH59</f>
        <v>0.20528455284552846</v>
      </c>
      <c r="BR60" s="27"/>
      <c r="BT60" s="86"/>
      <c r="BU60" s="16" t="s">
        <v>15</v>
      </c>
      <c r="BV60" s="5">
        <f>BV59/A64</f>
        <v>6575</v>
      </c>
      <c r="BW60" s="5">
        <f>BV60*A63</f>
        <v>177525</v>
      </c>
      <c r="BX60" s="5"/>
      <c r="BY60" s="16"/>
      <c r="BZ60" s="5"/>
      <c r="CA60" s="5"/>
      <c r="CB60" s="135" t="s">
        <v>16</v>
      </c>
      <c r="CC60" s="135"/>
      <c r="CD60" s="5"/>
      <c r="CE60" s="85">
        <f>CD59/BV59</f>
        <v>0.34965779467680608</v>
      </c>
      <c r="CF60" s="27"/>
      <c r="CH60" s="86"/>
      <c r="CI60" s="16" t="s">
        <v>15</v>
      </c>
      <c r="CJ60" s="5" t="e">
        <f>CJ59/O64</f>
        <v>#DIV/0!</v>
      </c>
      <c r="CK60" s="5" t="e">
        <f>CJ60*O63</f>
        <v>#DIV/0!</v>
      </c>
      <c r="CL60" s="5"/>
      <c r="CM60" s="16"/>
      <c r="CN60" s="5"/>
      <c r="CO60" s="5"/>
      <c r="CP60" s="135" t="s">
        <v>16</v>
      </c>
      <c r="CQ60" s="135"/>
      <c r="CR60" s="5"/>
      <c r="CS60" s="85">
        <f>CR59/CJ59</f>
        <v>0.13861759425493717</v>
      </c>
      <c r="CT60" s="27"/>
      <c r="CV60" s="86"/>
      <c r="CW60" s="16" t="s">
        <v>15</v>
      </c>
      <c r="CX60" s="5" t="e">
        <f>CX59/AC64</f>
        <v>#DIV/0!</v>
      </c>
      <c r="CY60" s="5" t="e">
        <f>CX60*AC63</f>
        <v>#DIV/0!</v>
      </c>
      <c r="CZ60" s="5"/>
      <c r="DA60" s="16"/>
      <c r="DB60" s="5"/>
      <c r="DC60" s="5"/>
      <c r="DD60" s="135" t="s">
        <v>16</v>
      </c>
      <c r="DE60" s="135"/>
      <c r="DF60" s="5"/>
      <c r="DG60" s="85">
        <f>DF59/CX59</f>
        <v>0.36200736648250459</v>
      </c>
      <c r="DH60" s="27"/>
      <c r="DJ60" s="23"/>
      <c r="DK60" s="16" t="s">
        <v>15</v>
      </c>
      <c r="DL60" s="5">
        <f>DL59/A64</f>
        <v>9075</v>
      </c>
      <c r="DM60" s="5">
        <f>DL60*$A63</f>
        <v>245025</v>
      </c>
      <c r="DN60" s="5"/>
      <c r="DO60" s="16"/>
      <c r="DP60" s="5"/>
      <c r="DQ60" s="5"/>
      <c r="DR60" s="132" t="s">
        <v>16</v>
      </c>
      <c r="DS60" s="132"/>
      <c r="DT60" s="5"/>
      <c r="DU60" s="85">
        <f>DT59/DL59</f>
        <v>0.18181818181818182</v>
      </c>
      <c r="DV60" s="27"/>
      <c r="DX60" s="23"/>
      <c r="DY60" s="16" t="s">
        <v>15</v>
      </c>
      <c r="DZ60" s="5" t="e">
        <f>DZ59/O64</f>
        <v>#DIV/0!</v>
      </c>
      <c r="EA60" s="5" t="e">
        <f>DZ60*$A63</f>
        <v>#DIV/0!</v>
      </c>
      <c r="EB60" s="5"/>
      <c r="EC60" s="16"/>
      <c r="ED60" s="5"/>
      <c r="EE60" s="5"/>
      <c r="EF60" s="132" t="s">
        <v>16</v>
      </c>
      <c r="EG60" s="132"/>
      <c r="EH60" s="5"/>
      <c r="EI60" s="85">
        <f>EH59/DZ59</f>
        <v>0.27160493827160492</v>
      </c>
      <c r="EJ60" s="27"/>
      <c r="EL60" s="14"/>
      <c r="EM60" s="21" t="s">
        <v>15</v>
      </c>
      <c r="EN60" s="5">
        <f>EN59/A64</f>
        <v>3675</v>
      </c>
      <c r="EO60" s="5">
        <f>EN60*A63</f>
        <v>99225</v>
      </c>
      <c r="EP60" s="5"/>
      <c r="EQ60" s="16"/>
      <c r="ER60" s="5"/>
      <c r="ES60" s="5"/>
      <c r="ET60" s="5"/>
      <c r="EU60" s="5"/>
      <c r="EV60" s="5"/>
      <c r="EW60" s="5"/>
      <c r="EX60" s="27"/>
      <c r="EZ60" s="14"/>
      <c r="FA60" s="21" t="s">
        <v>15</v>
      </c>
      <c r="FB60" s="5">
        <f>FB59/A64</f>
        <v>5075</v>
      </c>
      <c r="FC60" s="5">
        <f>FB60*A63</f>
        <v>137025</v>
      </c>
      <c r="FD60" s="5"/>
      <c r="FE60" s="16"/>
      <c r="FF60" s="5"/>
      <c r="FG60" s="5"/>
      <c r="FH60" s="5"/>
      <c r="FI60" s="5"/>
      <c r="FJ60" s="5"/>
      <c r="FK60" s="5"/>
      <c r="FL60" s="27"/>
      <c r="FN60" s="14"/>
      <c r="FO60" s="21" t="s">
        <v>15</v>
      </c>
      <c r="FP60" s="5">
        <f>FP59/A64</f>
        <v>2250</v>
      </c>
      <c r="FQ60" s="5">
        <f>FP60*A63</f>
        <v>60750</v>
      </c>
      <c r="FR60" s="5"/>
      <c r="FS60" s="16"/>
      <c r="FT60" s="5"/>
      <c r="FU60" s="5"/>
      <c r="FV60" s="5"/>
      <c r="FW60" s="5"/>
      <c r="FX60" s="5"/>
      <c r="FY60" s="5"/>
      <c r="FZ60" s="27"/>
      <c r="GB60" s="14"/>
      <c r="GC60" s="21" t="s">
        <v>15</v>
      </c>
      <c r="GD60" s="5">
        <f>GD59/A64</f>
        <v>6650</v>
      </c>
      <c r="GE60" s="5">
        <f>GD60*A63</f>
        <v>179550</v>
      </c>
      <c r="GF60" s="5"/>
      <c r="GG60" s="16"/>
      <c r="GH60" s="5"/>
      <c r="GI60" s="5"/>
      <c r="GJ60" s="5"/>
      <c r="GK60" s="5"/>
      <c r="GL60" s="5"/>
      <c r="GM60" s="5"/>
      <c r="GN60" s="27"/>
      <c r="GP60" s="14"/>
      <c r="GQ60" s="21" t="s">
        <v>15</v>
      </c>
      <c r="GR60" s="5">
        <f>GR59/A64</f>
        <v>4000</v>
      </c>
      <c r="GS60" s="5">
        <f>GR60*A63</f>
        <v>108000</v>
      </c>
      <c r="GT60" s="5"/>
      <c r="GU60" s="16"/>
      <c r="GV60" s="5"/>
      <c r="GW60" s="5"/>
      <c r="GX60" s="5"/>
      <c r="GY60" s="5"/>
      <c r="GZ60" s="5"/>
      <c r="HA60" s="5"/>
      <c r="HB60" s="27"/>
      <c r="HD60" s="14"/>
      <c r="HE60" s="21" t="s">
        <v>15</v>
      </c>
      <c r="HF60" s="5">
        <f>HF59/A64</f>
        <v>2550</v>
      </c>
      <c r="HG60" s="5">
        <f>HF60*A63</f>
        <v>68850</v>
      </c>
      <c r="HH60" s="27"/>
      <c r="HJ60" s="14"/>
      <c r="HK60" s="21" t="s">
        <v>15</v>
      </c>
      <c r="HL60" s="5">
        <f>HL59/A64</f>
        <v>3600</v>
      </c>
      <c r="HM60" s="5">
        <f>HL60*A63</f>
        <v>97200</v>
      </c>
      <c r="HN60" s="27"/>
      <c r="HP60" s="14"/>
      <c r="HQ60" s="21" t="s">
        <v>15</v>
      </c>
      <c r="HR60" s="5">
        <f>HR59/A64</f>
        <v>6500</v>
      </c>
      <c r="HS60" s="5">
        <f>HR60*A63</f>
        <v>175500</v>
      </c>
      <c r="HT60" s="27"/>
      <c r="HV60" s="14"/>
      <c r="HW60" s="21" t="s">
        <v>15</v>
      </c>
      <c r="HX60" s="5">
        <f>HX59/A64</f>
        <v>0</v>
      </c>
      <c r="HY60" s="5">
        <f>HX60*A63</f>
        <v>0</v>
      </c>
      <c r="HZ60" s="5"/>
      <c r="IA60" s="16"/>
      <c r="IB60" s="5"/>
      <c r="IC60" s="5"/>
      <c r="ID60" s="5"/>
      <c r="IE60" s="5"/>
      <c r="IF60" s="5"/>
      <c r="IG60" s="5"/>
      <c r="IH60" s="27"/>
      <c r="IJ60" s="14"/>
      <c r="IK60" s="21" t="s">
        <v>15</v>
      </c>
      <c r="IL60" s="5">
        <f>IL59/A64</f>
        <v>0</v>
      </c>
      <c r="IM60" s="5">
        <f>IL60*A63</f>
        <v>0</v>
      </c>
      <c r="IN60" s="5"/>
      <c r="IO60" s="16"/>
      <c r="IP60" s="5"/>
      <c r="IQ60" s="5"/>
      <c r="IR60" s="5"/>
      <c r="IS60" s="5"/>
      <c r="IT60" s="5"/>
      <c r="IU60" s="5"/>
      <c r="IV60" s="27"/>
      <c r="IX60" s="14"/>
      <c r="IY60" s="21" t="s">
        <v>15</v>
      </c>
      <c r="IZ60" s="5">
        <f>IZ59/A64</f>
        <v>0</v>
      </c>
      <c r="JA60" s="5">
        <f>IZ60*A63</f>
        <v>0</v>
      </c>
      <c r="JB60" s="5"/>
      <c r="JC60" s="16"/>
      <c r="JD60" s="5"/>
      <c r="JE60" s="5"/>
      <c r="JF60" s="5"/>
      <c r="JG60" s="5"/>
      <c r="JH60" s="5"/>
      <c r="JI60" s="5"/>
      <c r="JJ60" s="27"/>
      <c r="JL60" s="14"/>
      <c r="JM60" s="21" t="s">
        <v>15</v>
      </c>
      <c r="JN60" s="5">
        <f>JN59/A64</f>
        <v>0</v>
      </c>
      <c r="JO60" s="5"/>
      <c r="JP60" s="5"/>
      <c r="JQ60" s="5">
        <f>JN60*A63</f>
        <v>0</v>
      </c>
      <c r="JR60" s="5"/>
      <c r="JS60" s="16"/>
      <c r="JT60" s="5"/>
      <c r="JU60" s="5"/>
      <c r="JV60" s="5"/>
      <c r="JW60" s="5"/>
      <c r="JX60" s="5"/>
      <c r="JY60" s="5"/>
      <c r="JZ60" s="27"/>
    </row>
    <row r="61" spans="1:286" x14ac:dyDescent="0.2">
      <c r="A61" s="23"/>
      <c r="B61" s="87"/>
      <c r="C61" s="21" t="s">
        <v>17</v>
      </c>
      <c r="D61" s="5">
        <f>D59*0.6</f>
        <v>22800</v>
      </c>
      <c r="E61" s="5"/>
      <c r="F61" s="5"/>
      <c r="G61" s="16"/>
      <c r="H61" s="5"/>
      <c r="I61" s="5"/>
      <c r="J61" s="135" t="s">
        <v>18</v>
      </c>
      <c r="K61" s="135"/>
      <c r="L61" s="5">
        <f>D61-L59</f>
        <v>5647</v>
      </c>
      <c r="M61" s="85">
        <f>L61/D59</f>
        <v>0.14860526315789474</v>
      </c>
      <c r="N61" s="27"/>
      <c r="P61" s="23"/>
      <c r="Q61" s="21" t="s">
        <v>17</v>
      </c>
      <c r="R61" s="5">
        <f>R59*0.6</f>
        <v>27180</v>
      </c>
      <c r="S61" s="5"/>
      <c r="T61" s="5"/>
      <c r="U61" s="16"/>
      <c r="V61" s="5"/>
      <c r="W61" s="5"/>
      <c r="X61" s="135" t="s">
        <v>18</v>
      </c>
      <c r="Y61" s="135"/>
      <c r="Z61" s="5">
        <f>R61-Z59</f>
        <v>8962</v>
      </c>
      <c r="AA61" s="85">
        <f>Z61/R59</f>
        <v>0.19783664459161149</v>
      </c>
      <c r="AB61" s="27"/>
      <c r="AD61" s="23"/>
      <c r="AE61" s="21" t="s">
        <v>17</v>
      </c>
      <c r="AF61" s="5">
        <f>AF59*0.6</f>
        <v>33840</v>
      </c>
      <c r="AG61" s="5"/>
      <c r="AH61" s="5"/>
      <c r="AI61" s="16"/>
      <c r="AJ61" s="5"/>
      <c r="AK61" s="5"/>
      <c r="AL61" s="135" t="s">
        <v>18</v>
      </c>
      <c r="AM61" s="135"/>
      <c r="AN61" s="5">
        <f>AF61-AN59</f>
        <v>12951</v>
      </c>
      <c r="AO61" s="85">
        <f>AN61/AF59</f>
        <v>0.2296276595744681</v>
      </c>
      <c r="AP61" s="27"/>
      <c r="AR61" s="23"/>
      <c r="AS61" s="21" t="s">
        <v>17</v>
      </c>
      <c r="AT61" s="5">
        <f>AT59*0.6</f>
        <v>22320</v>
      </c>
      <c r="AU61" s="5"/>
      <c r="AV61" s="5"/>
      <c r="AW61" s="16"/>
      <c r="AX61" s="5"/>
      <c r="AY61" s="5"/>
      <c r="AZ61" s="135" t="s">
        <v>18</v>
      </c>
      <c r="BA61" s="135"/>
      <c r="BB61" s="5">
        <f>AT61-BB59</f>
        <v>17610</v>
      </c>
      <c r="BC61" s="85">
        <f>BB61/AT59</f>
        <v>0.47338709677419355</v>
      </c>
      <c r="BD61" s="27"/>
      <c r="BF61" s="23"/>
      <c r="BG61" s="21" t="s">
        <v>17</v>
      </c>
      <c r="BH61" s="5">
        <f>BH59*0.6</f>
        <v>29520</v>
      </c>
      <c r="BI61" s="5"/>
      <c r="BJ61" s="5"/>
      <c r="BK61" s="16"/>
      <c r="BL61" s="5"/>
      <c r="BM61" s="5"/>
      <c r="BN61" s="135" t="s">
        <v>18</v>
      </c>
      <c r="BO61" s="135"/>
      <c r="BP61" s="5">
        <f>BH61-BP59</f>
        <v>19420</v>
      </c>
      <c r="BQ61" s="85">
        <f>BP61/BH59</f>
        <v>0.39471544715447154</v>
      </c>
      <c r="BR61" s="27"/>
      <c r="BT61" s="23"/>
      <c r="BU61" s="21" t="s">
        <v>17</v>
      </c>
      <c r="BV61" s="5">
        <f>BV59*0.6</f>
        <v>15780</v>
      </c>
      <c r="BW61" s="5"/>
      <c r="BX61" s="5"/>
      <c r="BY61" s="16"/>
      <c r="BZ61" s="5"/>
      <c r="CA61" s="5"/>
      <c r="CB61" s="135" t="s">
        <v>18</v>
      </c>
      <c r="CC61" s="135"/>
      <c r="CD61" s="5">
        <f>BV61-CD59</f>
        <v>6584</v>
      </c>
      <c r="CE61" s="85">
        <f>CD61/BV59</f>
        <v>0.2503422053231939</v>
      </c>
      <c r="CF61" s="27"/>
      <c r="CH61" s="23"/>
      <c r="CI61" s="21" t="s">
        <v>17</v>
      </c>
      <c r="CJ61" s="5">
        <f>CJ59*0.6</f>
        <v>33420</v>
      </c>
      <c r="CK61" s="5"/>
      <c r="CL61" s="5"/>
      <c r="CM61" s="16"/>
      <c r="CN61" s="5"/>
      <c r="CO61" s="5"/>
      <c r="CP61" s="135" t="s">
        <v>18</v>
      </c>
      <c r="CQ61" s="135"/>
      <c r="CR61" s="5">
        <f>CJ61-CR59</f>
        <v>25699</v>
      </c>
      <c r="CS61" s="85">
        <f>CR61/CJ59</f>
        <v>0.46138240574506284</v>
      </c>
      <c r="CT61" s="27"/>
      <c r="CV61" s="23"/>
      <c r="CW61" s="21" t="s">
        <v>17</v>
      </c>
      <c r="CX61" s="5">
        <f>CX59*0.6</f>
        <v>32580</v>
      </c>
      <c r="CY61" s="5"/>
      <c r="CZ61" s="5"/>
      <c r="DA61" s="16"/>
      <c r="DB61" s="5"/>
      <c r="DC61" s="5"/>
      <c r="DD61" s="135" t="s">
        <v>18</v>
      </c>
      <c r="DE61" s="135"/>
      <c r="DF61" s="5">
        <f>CX61-DF59</f>
        <v>12923</v>
      </c>
      <c r="DG61" s="85">
        <f>DF61/CX59</f>
        <v>0.23799263351749539</v>
      </c>
      <c r="DH61" s="27"/>
      <c r="DJ61" s="23"/>
      <c r="DK61" s="16" t="s">
        <v>17</v>
      </c>
      <c r="DL61" s="5">
        <f>DL59*$K69</f>
        <v>0</v>
      </c>
      <c r="DM61" s="5"/>
      <c r="DN61" s="5"/>
      <c r="DO61" s="16"/>
      <c r="DP61" s="5"/>
      <c r="DQ61" s="5"/>
      <c r="DR61" s="132" t="s">
        <v>18</v>
      </c>
      <c r="DS61" s="132"/>
      <c r="DT61" s="5">
        <f>DL61-DT59</f>
        <v>-6600</v>
      </c>
      <c r="DU61" s="85">
        <f>DT61/DL59</f>
        <v>-0.18181818181818182</v>
      </c>
      <c r="DV61" s="27"/>
      <c r="DX61" s="23"/>
      <c r="DY61" s="16" t="s">
        <v>17</v>
      </c>
      <c r="DZ61" s="5">
        <f>DZ59*$K69</f>
        <v>0</v>
      </c>
      <c r="EA61" s="5"/>
      <c r="EB61" s="5"/>
      <c r="EC61" s="16"/>
      <c r="ED61" s="5"/>
      <c r="EE61" s="5"/>
      <c r="EF61" s="132" t="s">
        <v>18</v>
      </c>
      <c r="EG61" s="132"/>
      <c r="EH61" s="5">
        <f>DZ61-EH59</f>
        <v>-13200</v>
      </c>
      <c r="EI61" s="85">
        <f>EH61/DZ59</f>
        <v>-0.27160493827160492</v>
      </c>
      <c r="EJ61" s="27"/>
      <c r="EL61" s="14"/>
      <c r="EM61" s="21" t="s">
        <v>17</v>
      </c>
      <c r="EN61" s="5">
        <f>EN59*0.6</f>
        <v>8820</v>
      </c>
      <c r="EO61" s="5"/>
      <c r="EP61" s="5"/>
      <c r="EQ61" s="16" t="s">
        <v>24</v>
      </c>
      <c r="ER61" s="5">
        <f>SUM(EV3:EV55)</f>
        <v>3289</v>
      </c>
      <c r="ES61" s="85">
        <f>ER61/EN59</f>
        <v>0.22374149659863946</v>
      </c>
      <c r="ET61" s="85"/>
      <c r="EU61" s="5"/>
      <c r="EV61" s="5"/>
      <c r="EW61" s="5"/>
      <c r="EX61" s="27"/>
      <c r="EZ61" s="14"/>
      <c r="FA61" s="21" t="s">
        <v>17</v>
      </c>
      <c r="FB61" s="5">
        <f>FB59*0.6</f>
        <v>12180</v>
      </c>
      <c r="FC61" s="5"/>
      <c r="FD61" s="5"/>
      <c r="FE61" s="16" t="s">
        <v>24</v>
      </c>
      <c r="FF61" s="5">
        <f>SUM(FJ3:FJ55)</f>
        <v>3000</v>
      </c>
      <c r="FG61" s="85">
        <f>FF61/FB59</f>
        <v>0.14778325123152711</v>
      </c>
      <c r="FH61" s="85"/>
      <c r="FI61" s="5"/>
      <c r="FJ61" s="5"/>
      <c r="FK61" s="5"/>
      <c r="FL61" s="27"/>
      <c r="FN61" s="14"/>
      <c r="FO61" s="21" t="s">
        <v>17</v>
      </c>
      <c r="FP61" s="5">
        <f>FP59*0.6</f>
        <v>5400</v>
      </c>
      <c r="FQ61" s="5"/>
      <c r="FR61" s="5"/>
      <c r="FS61" s="16" t="s">
        <v>24</v>
      </c>
      <c r="FT61" s="5">
        <f>SUM(FX3:FX55)</f>
        <v>6750</v>
      </c>
      <c r="FU61" s="85">
        <f>FT61/FP59</f>
        <v>0.75</v>
      </c>
      <c r="FV61" s="85"/>
      <c r="FW61" s="5"/>
      <c r="FX61" s="5"/>
      <c r="FY61" s="5"/>
      <c r="FZ61" s="27"/>
      <c r="GB61" s="14"/>
      <c r="GC61" s="21" t="s">
        <v>17</v>
      </c>
      <c r="GD61" s="5">
        <f>GD59*0.6</f>
        <v>15960</v>
      </c>
      <c r="GE61" s="5"/>
      <c r="GF61" s="5"/>
      <c r="GG61" s="16" t="s">
        <v>24</v>
      </c>
      <c r="GH61" s="5">
        <f>SUM(GL3:GL55)</f>
        <v>4750</v>
      </c>
      <c r="GI61" s="85">
        <f>GH61/GD59</f>
        <v>0.17857142857142858</v>
      </c>
      <c r="GJ61" s="85"/>
      <c r="GK61" s="5"/>
      <c r="GL61" s="5"/>
      <c r="GM61" s="5"/>
      <c r="GN61" s="27"/>
      <c r="GP61" s="14"/>
      <c r="GQ61" s="21" t="s">
        <v>17</v>
      </c>
      <c r="GR61" s="5">
        <f>GR59*0.6</f>
        <v>9600</v>
      </c>
      <c r="GS61" s="5"/>
      <c r="GT61" s="5"/>
      <c r="GU61" s="16" t="s">
        <v>24</v>
      </c>
      <c r="GV61" s="5">
        <f>SUM(GZ3:GZ55)</f>
        <v>5700</v>
      </c>
      <c r="GW61" s="85">
        <f>GV61/GR59</f>
        <v>0.35625000000000001</v>
      </c>
      <c r="GX61" s="85"/>
      <c r="GY61" s="5"/>
      <c r="GZ61" s="5"/>
      <c r="HA61" s="5"/>
      <c r="HB61" s="27"/>
      <c r="HD61" s="14"/>
      <c r="HE61" s="21" t="s">
        <v>17</v>
      </c>
      <c r="HF61" s="5">
        <f>HF59*0.6</f>
        <v>6120</v>
      </c>
      <c r="HG61" s="5"/>
      <c r="HH61" s="27"/>
      <c r="HJ61" s="14"/>
      <c r="HK61" s="21" t="s">
        <v>17</v>
      </c>
      <c r="HL61" s="5">
        <f>HL59*0.6</f>
        <v>8640</v>
      </c>
      <c r="HM61" s="5"/>
      <c r="HN61" s="27"/>
      <c r="HP61" s="14"/>
      <c r="HQ61" s="21" t="s">
        <v>17</v>
      </c>
      <c r="HR61" s="5">
        <f>HR59*0.6</f>
        <v>15600</v>
      </c>
      <c r="HS61" s="5"/>
      <c r="HT61" s="27"/>
      <c r="HV61" s="14"/>
      <c r="HW61" s="21" t="s">
        <v>17</v>
      </c>
      <c r="HX61" s="5">
        <f>HX59*0.6</f>
        <v>0</v>
      </c>
      <c r="HY61" s="5"/>
      <c r="HZ61" s="5"/>
      <c r="IA61" s="16" t="s">
        <v>24</v>
      </c>
      <c r="IB61" s="5">
        <f>SUM(IF3:IF55)</f>
        <v>0</v>
      </c>
      <c r="IC61" s="85" t="e">
        <f>IB61/HX59</f>
        <v>#DIV/0!</v>
      </c>
      <c r="ID61" s="85"/>
      <c r="IE61" s="5"/>
      <c r="IF61" s="5"/>
      <c r="IG61" s="5"/>
      <c r="IH61" s="27"/>
      <c r="IJ61" s="14"/>
      <c r="IK61" s="21" t="s">
        <v>17</v>
      </c>
      <c r="IL61" s="5">
        <f>IL59*0.6</f>
        <v>0</v>
      </c>
      <c r="IM61" s="5"/>
      <c r="IN61" s="5"/>
      <c r="IO61" s="16" t="s">
        <v>24</v>
      </c>
      <c r="IP61" s="5">
        <f>SUM(IT3:IT55)</f>
        <v>0</v>
      </c>
      <c r="IQ61" s="85" t="e">
        <f>IP61/IL59</f>
        <v>#DIV/0!</v>
      </c>
      <c r="IR61" s="85"/>
      <c r="IS61" s="5"/>
      <c r="IT61" s="5"/>
      <c r="IU61" s="5"/>
      <c r="IV61" s="27"/>
      <c r="IX61" s="14"/>
      <c r="IY61" s="21" t="s">
        <v>17</v>
      </c>
      <c r="IZ61" s="5">
        <f>IZ59*0.6</f>
        <v>0</v>
      </c>
      <c r="JA61" s="5"/>
      <c r="JB61" s="5"/>
      <c r="JC61" s="16" t="s">
        <v>24</v>
      </c>
      <c r="JD61" s="5">
        <f>SUM(JH3:JH55)</f>
        <v>0</v>
      </c>
      <c r="JE61" s="85" t="e">
        <f>JD61/IZ59</f>
        <v>#DIV/0!</v>
      </c>
      <c r="JF61" s="85"/>
      <c r="JG61" s="5"/>
      <c r="JH61" s="5"/>
      <c r="JI61" s="5"/>
      <c r="JJ61" s="27"/>
      <c r="JL61" s="14"/>
      <c r="JM61" s="21" t="s">
        <v>17</v>
      </c>
      <c r="JN61" s="5">
        <f>JN59*0.6</f>
        <v>0</v>
      </c>
      <c r="JO61" s="5"/>
      <c r="JP61" s="5"/>
      <c r="JQ61" s="5"/>
      <c r="JR61" s="5"/>
      <c r="JS61" s="16" t="s">
        <v>24</v>
      </c>
      <c r="JT61" s="5">
        <f>SUM(JX3:JX55)</f>
        <v>0</v>
      </c>
      <c r="JU61" s="85" t="e">
        <f>JT61/JN59</f>
        <v>#DIV/0!</v>
      </c>
      <c r="JV61" s="85"/>
      <c r="JW61" s="5"/>
      <c r="JX61" s="5"/>
      <c r="JY61" s="5"/>
      <c r="JZ61" s="27"/>
    </row>
    <row r="62" spans="1:286" x14ac:dyDescent="0.2">
      <c r="A62" s="30"/>
      <c r="B62" s="24"/>
      <c r="C62" s="16" t="s">
        <v>19</v>
      </c>
      <c r="D62" s="5"/>
      <c r="E62" s="5"/>
      <c r="F62" s="5"/>
      <c r="G62" s="16"/>
      <c r="H62" s="5"/>
      <c r="I62" s="88"/>
      <c r="J62" s="136" t="s">
        <v>34</v>
      </c>
      <c r="K62" s="136"/>
      <c r="L62" s="4" t="e">
        <f>(G27+I27)*K27+(G28+I28)*K28+(G29+I29)*K29+(G30+I30)*K30</f>
        <v>#VALUE!</v>
      </c>
      <c r="M62" s="33"/>
      <c r="N62" s="27"/>
      <c r="P62" s="30"/>
      <c r="Q62" s="16" t="s">
        <v>19</v>
      </c>
      <c r="R62" s="5"/>
      <c r="S62" s="5"/>
      <c r="T62" s="5"/>
      <c r="U62" s="16"/>
      <c r="V62" s="5"/>
      <c r="W62" s="88"/>
      <c r="X62" s="136" t="s">
        <v>34</v>
      </c>
      <c r="Y62" s="136"/>
      <c r="Z62" s="4" t="e">
        <f>(U27+W27)*Y27+(U28+W28)*Y28+(U29+W29)*Y29+(U30+W30)*Y30</f>
        <v>#VALUE!</v>
      </c>
      <c r="AA62" s="33"/>
      <c r="AB62" s="27"/>
      <c r="AD62" s="30"/>
      <c r="AE62" s="16" t="s">
        <v>19</v>
      </c>
      <c r="AF62" s="5"/>
      <c r="AG62" s="5"/>
      <c r="AH62" s="5"/>
      <c r="AI62" s="16"/>
      <c r="AJ62" s="5"/>
      <c r="AK62" s="88"/>
      <c r="AL62" s="136" t="s">
        <v>34</v>
      </c>
      <c r="AM62" s="136"/>
      <c r="AN62" s="4" t="e">
        <f>(AI27+AK27)*AM27+(AI28+AK28)*AM28+(AI29+AK29)*AM29+(AI30+AK30)*AM30</f>
        <v>#VALUE!</v>
      </c>
      <c r="AO62" s="33"/>
      <c r="AP62" s="27"/>
      <c r="AR62" s="30"/>
      <c r="AS62" s="16" t="s">
        <v>19</v>
      </c>
      <c r="AT62" s="5"/>
      <c r="AU62" s="5"/>
      <c r="AV62" s="5"/>
      <c r="AW62" s="16"/>
      <c r="AX62" s="5"/>
      <c r="AY62" s="88"/>
      <c r="AZ62" s="136" t="s">
        <v>34</v>
      </c>
      <c r="BA62" s="136"/>
      <c r="BB62" s="4" t="e">
        <f>(AW27+AY27)*BA27+(AW28+AY28)*BA28+(AW29+AY29)*BA29+(AW30+AY30)*BA30</f>
        <v>#VALUE!</v>
      </c>
      <c r="BC62" s="33"/>
      <c r="BD62" s="27"/>
      <c r="BF62" s="30"/>
      <c r="BG62" s="16" t="s">
        <v>19</v>
      </c>
      <c r="BH62" s="5"/>
      <c r="BI62" s="5"/>
      <c r="BJ62" s="5"/>
      <c r="BK62" s="16"/>
      <c r="BL62" s="5"/>
      <c r="BM62" s="88"/>
      <c r="BN62" s="136" t="s">
        <v>34</v>
      </c>
      <c r="BO62" s="136"/>
      <c r="BP62" s="4" t="e">
        <f>(BK27+BM27)*BO27+(BK28+BM28)*BO28+(BK29+BM29)*BO29+(BK30+BM30)*BO30</f>
        <v>#VALUE!</v>
      </c>
      <c r="BQ62" s="33"/>
      <c r="BR62" s="27"/>
      <c r="BT62" s="30"/>
      <c r="BU62" s="16" t="s">
        <v>19</v>
      </c>
      <c r="BV62" s="5"/>
      <c r="BW62" s="5"/>
      <c r="BX62" s="5"/>
      <c r="BY62" s="16"/>
      <c r="BZ62" s="5"/>
      <c r="CA62" s="88"/>
      <c r="CB62" s="136" t="s">
        <v>34</v>
      </c>
      <c r="CC62" s="136"/>
      <c r="CD62" s="4" t="e">
        <f>(BY27+CA27)*CC27+(BY28+CA28)*CC28+(BY29+CA29)*CC29+(BY30+CA30)*CC30</f>
        <v>#VALUE!</v>
      </c>
      <c r="CE62" s="33"/>
      <c r="CF62" s="27"/>
      <c r="CH62" s="30"/>
      <c r="CI62" s="16" t="s">
        <v>19</v>
      </c>
      <c r="CJ62" s="5"/>
      <c r="CK62" s="5"/>
      <c r="CL62" s="5"/>
      <c r="CM62" s="16"/>
      <c r="CN62" s="5"/>
      <c r="CO62" s="88"/>
      <c r="CP62" s="136" t="s">
        <v>34</v>
      </c>
      <c r="CQ62" s="136"/>
      <c r="CR62" s="4" t="e">
        <f>(CM27+CO27)*CQ27+(CM28+CO28)*CQ28+(CM29+CO29)*CQ29+(CM30+CO30)*CQ30</f>
        <v>#VALUE!</v>
      </c>
      <c r="CS62" s="33"/>
      <c r="CT62" s="27"/>
      <c r="CV62" s="30"/>
      <c r="CW62" s="16" t="s">
        <v>19</v>
      </c>
      <c r="CX62" s="5"/>
      <c r="CY62" s="5"/>
      <c r="CZ62" s="5"/>
      <c r="DA62" s="16"/>
      <c r="DB62" s="5"/>
      <c r="DC62" s="88"/>
      <c r="DD62" s="136" t="s">
        <v>34</v>
      </c>
      <c r="DE62" s="136"/>
      <c r="DF62" s="4" t="e">
        <f>(DA27+DC27)*DE27+(DA28+DC28)*DE28+(DA29+DC29)*DE29+(DA30+DC30)*DE30</f>
        <v>#VALUE!</v>
      </c>
      <c r="DG62" s="33"/>
      <c r="DH62" s="27"/>
      <c r="DJ62" s="23"/>
      <c r="DK62" s="16" t="s">
        <v>19</v>
      </c>
      <c r="DL62" s="5" t="e">
        <f>#REF!</f>
        <v>#REF!</v>
      </c>
      <c r="DM62" s="5"/>
      <c r="DN62" s="5"/>
      <c r="DO62" s="16"/>
      <c r="DP62" s="5"/>
      <c r="DQ62" s="5"/>
      <c r="DR62" s="136" t="s">
        <v>34</v>
      </c>
      <c r="DS62" s="137"/>
      <c r="DT62" s="4" t="e">
        <f>(DO35+DQ35)*DS35+(DO36+DQ36)*DS36+(DO37+DQ37)*DS37+(DO38+DQ38)*DS38</f>
        <v>#VALUE!</v>
      </c>
      <c r="DU62" s="33"/>
      <c r="DV62" s="27"/>
      <c r="DX62" s="23"/>
      <c r="DY62" s="16" t="s">
        <v>19</v>
      </c>
      <c r="DZ62" s="5" t="e">
        <f>#REF!</f>
        <v>#REF!</v>
      </c>
      <c r="EA62" s="5"/>
      <c r="EB62" s="5"/>
      <c r="EC62" s="16"/>
      <c r="ED62" s="5"/>
      <c r="EE62" s="5"/>
      <c r="EF62" s="136" t="s">
        <v>34</v>
      </c>
      <c r="EG62" s="137"/>
      <c r="EH62" s="4" t="e">
        <f>(EC35+EE35)*EG35+(EC36+EE36)*EG36+(EC37+EE37)*EG37+(EC38+EE38)*EG38</f>
        <v>#VALUE!</v>
      </c>
      <c r="EI62" s="33"/>
      <c r="EJ62" s="27"/>
      <c r="EL62" s="14"/>
      <c r="EM62" s="21" t="s">
        <v>19</v>
      </c>
      <c r="EN62" s="5" t="e">
        <f>#REF!</f>
        <v>#REF!</v>
      </c>
      <c r="EO62" s="5"/>
      <c r="EP62" s="5"/>
      <c r="EQ62" s="16" t="s">
        <v>18</v>
      </c>
      <c r="ER62" s="5">
        <f>EN61-ER61</f>
        <v>5531</v>
      </c>
      <c r="ES62" s="85">
        <f>ER62/EN59</f>
        <v>0.37625850340136052</v>
      </c>
      <c r="ET62" s="85"/>
      <c r="EU62" s="33"/>
      <c r="EV62" s="33"/>
      <c r="EW62" s="33"/>
      <c r="EX62" s="27"/>
      <c r="EZ62" s="14"/>
      <c r="FA62" s="21" t="s">
        <v>19</v>
      </c>
      <c r="FB62" s="5" t="e">
        <f>#REF!</f>
        <v>#REF!</v>
      </c>
      <c r="FC62" s="5"/>
      <c r="FD62" s="5"/>
      <c r="FE62" s="16" t="s">
        <v>18</v>
      </c>
      <c r="FF62" s="5">
        <f>FB61-FF61</f>
        <v>9180</v>
      </c>
      <c r="FG62" s="85">
        <f>FF62/FB59</f>
        <v>0.4522167487684729</v>
      </c>
      <c r="FH62" s="85"/>
      <c r="FI62" s="33"/>
      <c r="FJ62" s="33"/>
      <c r="FK62" s="33"/>
      <c r="FL62" s="27"/>
      <c r="FN62" s="14"/>
      <c r="FO62" s="21" t="s">
        <v>19</v>
      </c>
      <c r="FP62" s="5" t="e">
        <f>#REF!</f>
        <v>#REF!</v>
      </c>
      <c r="FQ62" s="5"/>
      <c r="FR62" s="5"/>
      <c r="FS62" s="16" t="s">
        <v>18</v>
      </c>
      <c r="FT62" s="5">
        <f>FP61-FT61</f>
        <v>-1350</v>
      </c>
      <c r="FU62" s="85">
        <f>FT62/FP59</f>
        <v>-0.15</v>
      </c>
      <c r="FV62" s="85"/>
      <c r="FW62" s="33"/>
      <c r="FX62" s="33"/>
      <c r="FY62" s="33"/>
      <c r="FZ62" s="27"/>
      <c r="GB62" s="14"/>
      <c r="GC62" s="21" t="s">
        <v>19</v>
      </c>
      <c r="GD62" s="5" t="e">
        <f>#REF!</f>
        <v>#REF!</v>
      </c>
      <c r="GE62" s="5"/>
      <c r="GF62" s="5"/>
      <c r="GG62" s="16" t="s">
        <v>18</v>
      </c>
      <c r="GH62" s="5">
        <f>GD61-GH61</f>
        <v>11210</v>
      </c>
      <c r="GI62" s="85">
        <f>GH62/GD59</f>
        <v>0.42142857142857143</v>
      </c>
      <c r="GJ62" s="85"/>
      <c r="GK62" s="33"/>
      <c r="GL62" s="33"/>
      <c r="GM62" s="33"/>
      <c r="GN62" s="27"/>
      <c r="GP62" s="14"/>
      <c r="GQ62" s="21" t="s">
        <v>19</v>
      </c>
      <c r="GR62" s="5" t="e">
        <f>#REF!</f>
        <v>#REF!</v>
      </c>
      <c r="GS62" s="5"/>
      <c r="GT62" s="5"/>
      <c r="GU62" s="16" t="s">
        <v>18</v>
      </c>
      <c r="GV62" s="5">
        <f>GR61-GV61</f>
        <v>3900</v>
      </c>
      <c r="GW62" s="85">
        <f>GV62/GR59</f>
        <v>0.24374999999999999</v>
      </c>
      <c r="GX62" s="85"/>
      <c r="GY62" s="33"/>
      <c r="GZ62" s="33"/>
      <c r="HA62" s="33"/>
      <c r="HB62" s="27"/>
      <c r="HD62" s="14"/>
      <c r="HE62" s="21" t="s">
        <v>19</v>
      </c>
      <c r="HF62" s="5" t="e">
        <f>#REF!</f>
        <v>#REF!</v>
      </c>
      <c r="HG62" s="5"/>
      <c r="HH62" s="27"/>
      <c r="HJ62" s="14"/>
      <c r="HK62" s="21" t="s">
        <v>19</v>
      </c>
      <c r="HL62" s="5" t="e">
        <f>#REF!</f>
        <v>#REF!</v>
      </c>
      <c r="HM62" s="5"/>
      <c r="HN62" s="27"/>
      <c r="HP62" s="14"/>
      <c r="HQ62" s="21" t="s">
        <v>19</v>
      </c>
      <c r="HR62" s="5" t="e">
        <f>#REF!</f>
        <v>#REF!</v>
      </c>
      <c r="HS62" s="5"/>
      <c r="HT62" s="27"/>
      <c r="HV62" s="14"/>
      <c r="HW62" s="21" t="s">
        <v>19</v>
      </c>
      <c r="HX62" s="5" t="e">
        <f>#REF!</f>
        <v>#REF!</v>
      </c>
      <c r="HY62" s="5"/>
      <c r="HZ62" s="5"/>
      <c r="IA62" s="16" t="s">
        <v>18</v>
      </c>
      <c r="IB62" s="5">
        <f>HX61-IB61</f>
        <v>0</v>
      </c>
      <c r="IC62" s="85" t="e">
        <f>IB62/HX59</f>
        <v>#DIV/0!</v>
      </c>
      <c r="ID62" s="85"/>
      <c r="IE62" s="33"/>
      <c r="IF62" s="33"/>
      <c r="IG62" s="33"/>
      <c r="IH62" s="27"/>
      <c r="IJ62" s="14"/>
      <c r="IK62" s="21" t="s">
        <v>19</v>
      </c>
      <c r="IL62" s="5" t="e">
        <f>#REF!</f>
        <v>#REF!</v>
      </c>
      <c r="IM62" s="5"/>
      <c r="IN62" s="5"/>
      <c r="IO62" s="16" t="s">
        <v>18</v>
      </c>
      <c r="IP62" s="5">
        <f>IL61-IP61</f>
        <v>0</v>
      </c>
      <c r="IQ62" s="85" t="e">
        <f>IP62/IL59</f>
        <v>#DIV/0!</v>
      </c>
      <c r="IR62" s="85"/>
      <c r="IS62" s="33"/>
      <c r="IT62" s="33"/>
      <c r="IU62" s="33"/>
      <c r="IV62" s="27"/>
      <c r="IX62" s="14"/>
      <c r="IY62" s="21" t="s">
        <v>19</v>
      </c>
      <c r="IZ62" s="5" t="e">
        <f>#REF!</f>
        <v>#REF!</v>
      </c>
      <c r="JA62" s="5"/>
      <c r="JB62" s="5"/>
      <c r="JC62" s="16" t="s">
        <v>18</v>
      </c>
      <c r="JD62" s="5">
        <f>IZ61-JD61</f>
        <v>0</v>
      </c>
      <c r="JE62" s="85" t="e">
        <f>JD62/IZ59</f>
        <v>#DIV/0!</v>
      </c>
      <c r="JF62" s="85"/>
      <c r="JG62" s="33"/>
      <c r="JH62" s="33"/>
      <c r="JI62" s="33"/>
      <c r="JJ62" s="27"/>
      <c r="JL62" s="14"/>
      <c r="JM62" s="21" t="s">
        <v>19</v>
      </c>
      <c r="JN62" s="5" t="e">
        <f>#REF!</f>
        <v>#REF!</v>
      </c>
      <c r="JO62" s="5"/>
      <c r="JP62" s="5"/>
      <c r="JQ62" s="5"/>
      <c r="JR62" s="5"/>
      <c r="JS62" s="16" t="s">
        <v>18</v>
      </c>
      <c r="JT62" s="5">
        <f>JN61-JT61</f>
        <v>0</v>
      </c>
      <c r="JU62" s="85" t="e">
        <f>JT62/JN59</f>
        <v>#DIV/0!</v>
      </c>
      <c r="JV62" s="85"/>
      <c r="JW62" s="33"/>
      <c r="JX62" s="33"/>
      <c r="JY62" s="33"/>
      <c r="JZ62" s="27"/>
    </row>
    <row r="63" spans="1:286" x14ac:dyDescent="0.2">
      <c r="A63" s="15">
        <v>27</v>
      </c>
      <c r="B63" s="89">
        <f>SUM(B3:B55)*100</f>
        <v>395200</v>
      </c>
      <c r="C63" s="16"/>
      <c r="D63" s="5"/>
      <c r="E63" s="5"/>
      <c r="F63" s="5"/>
      <c r="G63" s="16"/>
      <c r="H63" s="5"/>
      <c r="I63" s="88"/>
      <c r="J63" s="90"/>
      <c r="K63" s="91"/>
      <c r="L63" s="25"/>
      <c r="M63" s="33"/>
      <c r="N63" s="27"/>
      <c r="P63" s="30"/>
      <c r="Q63" s="16"/>
      <c r="R63" s="5"/>
      <c r="S63" s="5"/>
      <c r="T63" s="5"/>
      <c r="U63" s="16"/>
      <c r="V63" s="5"/>
      <c r="W63" s="88"/>
      <c r="X63" s="90"/>
      <c r="Y63" s="91"/>
      <c r="Z63" s="25"/>
      <c r="AA63" s="33"/>
      <c r="AB63" s="27"/>
      <c r="AD63" s="30"/>
      <c r="AE63" s="16"/>
      <c r="AF63" s="5"/>
      <c r="AG63" s="5"/>
      <c r="AH63" s="5"/>
      <c r="AI63" s="16"/>
      <c r="AJ63" s="5"/>
      <c r="AK63" s="88"/>
      <c r="AL63" s="90"/>
      <c r="AM63" s="91"/>
      <c r="AN63" s="25"/>
      <c r="AO63" s="33"/>
      <c r="AP63" s="27"/>
      <c r="AR63" s="30"/>
      <c r="AS63" s="16"/>
      <c r="AT63" s="5"/>
      <c r="AU63" s="5"/>
      <c r="AV63" s="5"/>
      <c r="AW63" s="16"/>
      <c r="AX63" s="5"/>
      <c r="AY63" s="88"/>
      <c r="AZ63" s="90"/>
      <c r="BA63" s="91"/>
      <c r="BB63" s="25"/>
      <c r="BC63" s="33"/>
      <c r="BD63" s="27"/>
      <c r="BF63" s="30"/>
      <c r="BG63" s="16"/>
      <c r="BH63" s="5"/>
      <c r="BI63" s="5"/>
      <c r="BJ63" s="5"/>
      <c r="BK63" s="16"/>
      <c r="BL63" s="5"/>
      <c r="BM63" s="88"/>
      <c r="BN63" s="90"/>
      <c r="BO63" s="91"/>
      <c r="BP63" s="25"/>
      <c r="BQ63" s="33"/>
      <c r="BR63" s="27"/>
      <c r="BT63" s="30"/>
      <c r="BU63" s="16"/>
      <c r="BV63" s="5"/>
      <c r="BW63" s="5"/>
      <c r="BX63" s="5"/>
      <c r="BY63" s="16"/>
      <c r="BZ63" s="5"/>
      <c r="CA63" s="88"/>
      <c r="CB63" s="90"/>
      <c r="CC63" s="91"/>
      <c r="CD63" s="25"/>
      <c r="CE63" s="33"/>
      <c r="CF63" s="27"/>
      <c r="CH63" s="30"/>
      <c r="CI63" s="16"/>
      <c r="CJ63" s="5"/>
      <c r="CK63" s="5"/>
      <c r="CL63" s="5"/>
      <c r="CM63" s="16"/>
      <c r="CN63" s="5"/>
      <c r="CO63" s="88"/>
      <c r="CP63" s="90"/>
      <c r="CQ63" s="91"/>
      <c r="CR63" s="25"/>
      <c r="CS63" s="33"/>
      <c r="CT63" s="27"/>
      <c r="CV63" s="30"/>
      <c r="CW63" s="16"/>
      <c r="CX63" s="5"/>
      <c r="CY63" s="5"/>
      <c r="CZ63" s="5"/>
      <c r="DA63" s="16"/>
      <c r="DB63" s="5"/>
      <c r="DC63" s="88"/>
      <c r="DD63" s="90"/>
      <c r="DE63" s="91"/>
      <c r="DF63" s="25"/>
      <c r="DG63" s="33"/>
      <c r="DH63" s="27"/>
      <c r="DJ63" s="23"/>
      <c r="DK63" s="5"/>
      <c r="DL63" s="5"/>
      <c r="DM63" s="5"/>
      <c r="DN63" s="5"/>
      <c r="DO63" s="16"/>
      <c r="DP63" s="5"/>
      <c r="DQ63" s="5"/>
      <c r="DR63" s="88"/>
      <c r="DS63" s="92"/>
      <c r="DT63" s="36"/>
      <c r="DU63" s="33"/>
      <c r="DV63" s="27"/>
      <c r="DX63" s="23"/>
      <c r="DY63" s="5"/>
      <c r="DZ63" s="5"/>
      <c r="EA63" s="5"/>
      <c r="EB63" s="5"/>
      <c r="EC63" s="16"/>
      <c r="ED63" s="5"/>
      <c r="EE63" s="5"/>
      <c r="EF63" s="88"/>
      <c r="EG63" s="92"/>
      <c r="EH63" s="36"/>
      <c r="EI63" s="33"/>
      <c r="EJ63" s="27"/>
      <c r="EL63" s="14"/>
      <c r="EM63" s="36"/>
      <c r="EN63" s="5"/>
      <c r="EO63" s="5"/>
      <c r="EP63" s="5"/>
      <c r="EQ63" s="132" t="s">
        <v>35</v>
      </c>
      <c r="ER63" s="134"/>
      <c r="ES63" s="5" t="e">
        <f>(EQ6+ES6)*EU6</f>
        <v>#VALUE!</v>
      </c>
      <c r="ET63" s="5"/>
      <c r="EU63" s="33"/>
      <c r="EV63" s="33"/>
      <c r="EW63" s="33"/>
      <c r="EX63" s="27"/>
      <c r="EZ63" s="14"/>
      <c r="FA63" s="36"/>
      <c r="FB63" s="5"/>
      <c r="FC63" s="5"/>
      <c r="FD63" s="5"/>
      <c r="FE63" s="132" t="s">
        <v>35</v>
      </c>
      <c r="FF63" s="134"/>
      <c r="FG63" s="5" t="e">
        <f>(FE6+FG6)*FI6</f>
        <v>#VALUE!</v>
      </c>
      <c r="FH63" s="5"/>
      <c r="FI63" s="33"/>
      <c r="FJ63" s="33"/>
      <c r="FK63" s="33"/>
      <c r="FL63" s="27"/>
      <c r="FN63" s="14"/>
      <c r="FO63" s="36"/>
      <c r="FP63" s="5"/>
      <c r="FQ63" s="5"/>
      <c r="FR63" s="5"/>
      <c r="FS63" s="132" t="s">
        <v>35</v>
      </c>
      <c r="FT63" s="134"/>
      <c r="FU63" s="5" t="e">
        <f>(FS6+FU6)*FW6</f>
        <v>#VALUE!</v>
      </c>
      <c r="FV63" s="5"/>
      <c r="FW63" s="33"/>
      <c r="FX63" s="33"/>
      <c r="FY63" s="33"/>
      <c r="FZ63" s="27"/>
      <c r="GB63" s="14"/>
      <c r="GC63" s="36"/>
      <c r="GD63" s="5"/>
      <c r="GE63" s="5"/>
      <c r="GF63" s="5"/>
      <c r="GG63" s="132" t="s">
        <v>35</v>
      </c>
      <c r="GH63" s="134"/>
      <c r="GI63" s="5" t="e">
        <f>(GG6+GI6)*GK6</f>
        <v>#VALUE!</v>
      </c>
      <c r="GJ63" s="5"/>
      <c r="GK63" s="33"/>
      <c r="GL63" s="33"/>
      <c r="GM63" s="33"/>
      <c r="GN63" s="27"/>
      <c r="GP63" s="14"/>
      <c r="GQ63" s="36"/>
      <c r="GR63" s="5"/>
      <c r="GS63" s="5"/>
      <c r="GT63" s="5"/>
      <c r="GU63" s="132" t="s">
        <v>35</v>
      </c>
      <c r="GV63" s="134"/>
      <c r="GW63" s="5" t="e">
        <f>(GU6+GW6)*GY6</f>
        <v>#VALUE!</v>
      </c>
      <c r="GX63" s="5"/>
      <c r="GY63" s="33"/>
      <c r="GZ63" s="33"/>
      <c r="HA63" s="33"/>
      <c r="HB63" s="27"/>
      <c r="HD63" s="14"/>
      <c r="HE63" s="36"/>
      <c r="HF63" s="5"/>
      <c r="HG63" s="5"/>
      <c r="HH63" s="27"/>
      <c r="HJ63" s="14"/>
      <c r="HK63" s="36"/>
      <c r="HL63" s="5"/>
      <c r="HM63" s="5"/>
      <c r="HN63" s="27"/>
      <c r="HP63" s="14"/>
      <c r="HQ63" s="36"/>
      <c r="HR63" s="5"/>
      <c r="HS63" s="5"/>
      <c r="HT63" s="27"/>
      <c r="HV63" s="14"/>
      <c r="HW63" s="36"/>
      <c r="HX63" s="5"/>
      <c r="HY63" s="5"/>
      <c r="HZ63" s="5"/>
      <c r="IA63" s="132" t="s">
        <v>35</v>
      </c>
      <c r="IB63" s="134"/>
      <c r="IC63" s="5" t="e">
        <f>(IA6+IC6)*IE6</f>
        <v>#VALUE!</v>
      </c>
      <c r="ID63" s="5"/>
      <c r="IE63" s="33"/>
      <c r="IF63" s="33"/>
      <c r="IG63" s="33"/>
      <c r="IH63" s="27"/>
      <c r="IJ63" s="14"/>
      <c r="IK63" s="36"/>
      <c r="IL63" s="5"/>
      <c r="IM63" s="5"/>
      <c r="IN63" s="5"/>
      <c r="IO63" s="132" t="s">
        <v>35</v>
      </c>
      <c r="IP63" s="134"/>
      <c r="IQ63" s="5" t="e">
        <f>(IO6+IQ6)*IS6</f>
        <v>#VALUE!</v>
      </c>
      <c r="IR63" s="5"/>
      <c r="IS63" s="33"/>
      <c r="IT63" s="33"/>
      <c r="IU63" s="33"/>
      <c r="IV63" s="27"/>
      <c r="IX63" s="14"/>
      <c r="IY63" s="36"/>
      <c r="IZ63" s="5"/>
      <c r="JA63" s="5"/>
      <c r="JB63" s="5"/>
      <c r="JC63" s="132" t="s">
        <v>35</v>
      </c>
      <c r="JD63" s="134"/>
      <c r="JE63" s="5" t="e">
        <f>(JC6+JE6)*JG6</f>
        <v>#VALUE!</v>
      </c>
      <c r="JF63" s="5"/>
      <c r="JG63" s="33"/>
      <c r="JH63" s="33"/>
      <c r="JI63" s="33"/>
      <c r="JJ63" s="27"/>
      <c r="JL63" s="14"/>
      <c r="JM63" s="36"/>
      <c r="JN63" s="5"/>
      <c r="JO63" s="5"/>
      <c r="JP63" s="5"/>
      <c r="JQ63" s="5"/>
      <c r="JR63" s="5"/>
      <c r="JS63" s="132" t="s">
        <v>35</v>
      </c>
      <c r="JT63" s="134"/>
      <c r="JU63" s="5" t="e">
        <f>(JS6+JU6)*JW6</f>
        <v>#VALUE!</v>
      </c>
      <c r="JV63" s="5"/>
      <c r="JW63" s="33"/>
      <c r="JX63" s="33"/>
      <c r="JY63" s="33"/>
      <c r="JZ63" s="27"/>
    </row>
    <row r="64" spans="1:286" x14ac:dyDescent="0.2">
      <c r="A64" s="93">
        <f>DATEDIF(A3,A7,"d")</f>
        <v>4</v>
      </c>
      <c r="B64" s="89"/>
      <c r="C64" s="16"/>
      <c r="D64" s="5"/>
      <c r="E64" s="54"/>
      <c r="F64" s="5"/>
      <c r="G64" s="16"/>
      <c r="H64" s="5"/>
      <c r="I64" s="88"/>
      <c r="J64" s="90"/>
      <c r="K64" s="91"/>
      <c r="L64" s="25"/>
      <c r="M64" s="33"/>
      <c r="N64" s="27"/>
      <c r="P64" s="30"/>
      <c r="Q64" s="16"/>
      <c r="R64" s="5"/>
      <c r="S64" s="5"/>
      <c r="T64" s="5"/>
      <c r="U64" s="16"/>
      <c r="V64" s="5"/>
      <c r="W64" s="88"/>
      <c r="X64" s="90"/>
      <c r="Y64" s="91"/>
      <c r="Z64" s="25"/>
      <c r="AA64" s="33"/>
      <c r="AB64" s="27"/>
      <c r="AD64" s="30"/>
      <c r="AE64" s="16"/>
      <c r="AF64" s="5"/>
      <c r="AG64" s="5"/>
      <c r="AH64" s="5"/>
      <c r="AI64" s="16"/>
      <c r="AJ64" s="5"/>
      <c r="AK64" s="88"/>
      <c r="AL64" s="90"/>
      <c r="AM64" s="91"/>
      <c r="AN64" s="25"/>
      <c r="AO64" s="33"/>
      <c r="AP64" s="27"/>
      <c r="AR64" s="30"/>
      <c r="AS64" s="16"/>
      <c r="AT64" s="5"/>
      <c r="AU64" s="5"/>
      <c r="AV64" s="5"/>
      <c r="AW64" s="16"/>
      <c r="AX64" s="5"/>
      <c r="AY64" s="88"/>
      <c r="AZ64" s="90"/>
      <c r="BA64" s="91"/>
      <c r="BB64" s="25"/>
      <c r="BC64" s="33"/>
      <c r="BD64" s="27"/>
      <c r="BF64" s="30"/>
      <c r="BG64" s="16"/>
      <c r="BH64" s="5"/>
      <c r="BI64" s="5"/>
      <c r="BJ64" s="5"/>
      <c r="BK64" s="16"/>
      <c r="BL64" s="5"/>
      <c r="BM64" s="88"/>
      <c r="BN64" s="90"/>
      <c r="BO64" s="91"/>
      <c r="BP64" s="25"/>
      <c r="BQ64" s="33"/>
      <c r="BR64" s="27"/>
      <c r="BT64" s="30"/>
      <c r="BU64" s="16"/>
      <c r="BV64" s="5"/>
      <c r="BW64" s="5"/>
      <c r="BX64" s="5"/>
      <c r="BY64" s="16"/>
      <c r="BZ64" s="5"/>
      <c r="CA64" s="88"/>
      <c r="CB64" s="90"/>
      <c r="CC64" s="91"/>
      <c r="CD64" s="25"/>
      <c r="CE64" s="33"/>
      <c r="CF64" s="27"/>
      <c r="CH64" s="30"/>
      <c r="CI64" s="16"/>
      <c r="CJ64" s="5"/>
      <c r="CK64" s="5"/>
      <c r="CL64" s="5"/>
      <c r="CM64" s="16"/>
      <c r="CN64" s="5"/>
      <c r="CO64" s="88"/>
      <c r="CP64" s="90"/>
      <c r="CQ64" s="91"/>
      <c r="CR64" s="25"/>
      <c r="CS64" s="33"/>
      <c r="CT64" s="27"/>
      <c r="CV64" s="30"/>
      <c r="CW64" s="16"/>
      <c r="CX64" s="5"/>
      <c r="CY64" s="5"/>
      <c r="CZ64" s="5"/>
      <c r="DA64" s="16"/>
      <c r="DB64" s="5"/>
      <c r="DC64" s="88"/>
      <c r="DD64" s="90"/>
      <c r="DE64" s="91"/>
      <c r="DF64" s="25"/>
      <c r="DG64" s="33"/>
      <c r="DH64" s="27"/>
      <c r="DJ64" s="23"/>
      <c r="DK64" s="5"/>
      <c r="DL64" s="5"/>
      <c r="DM64" s="5"/>
      <c r="DN64" s="5"/>
      <c r="DO64" s="16"/>
      <c r="DP64" s="5"/>
      <c r="DQ64" s="5"/>
      <c r="DR64" s="20"/>
      <c r="DS64" s="94"/>
      <c r="DT64" s="95"/>
      <c r="DU64" s="33"/>
      <c r="DV64" s="27"/>
      <c r="DX64" s="23"/>
      <c r="DY64" s="5"/>
      <c r="DZ64" s="5"/>
      <c r="EA64" s="5"/>
      <c r="EB64" s="5"/>
      <c r="EC64" s="16"/>
      <c r="ED64" s="5"/>
      <c r="EE64" s="5"/>
      <c r="EF64" s="20"/>
      <c r="EG64" s="94"/>
      <c r="EH64" s="95"/>
      <c r="EI64" s="33"/>
      <c r="EJ64" s="27"/>
      <c r="EL64" s="14"/>
      <c r="EM64" s="36"/>
      <c r="EN64" s="5"/>
      <c r="EO64" s="5"/>
      <c r="EP64" s="5"/>
      <c r="EQ64" s="16"/>
      <c r="ER64" s="5"/>
      <c r="ES64" s="5"/>
      <c r="ET64" s="5"/>
      <c r="EU64" s="33"/>
      <c r="EV64" s="33"/>
      <c r="EW64" s="33"/>
      <c r="EX64" s="27"/>
      <c r="EZ64" s="14"/>
      <c r="FA64" s="36"/>
      <c r="FB64" s="5"/>
      <c r="FC64" s="5"/>
      <c r="FD64" s="5"/>
      <c r="FE64" s="16"/>
      <c r="FF64" s="5"/>
      <c r="FG64" s="5"/>
      <c r="FH64" s="5"/>
      <c r="FI64" s="33"/>
      <c r="FJ64" s="33"/>
      <c r="FK64" s="33"/>
      <c r="FL64" s="27"/>
      <c r="FN64" s="14"/>
      <c r="FO64" s="36"/>
      <c r="FP64" s="5"/>
      <c r="FQ64" s="5"/>
      <c r="FR64" s="5"/>
      <c r="FS64" s="16"/>
      <c r="FT64" s="5"/>
      <c r="FU64" s="5"/>
      <c r="FV64" s="5"/>
      <c r="FW64" s="33"/>
      <c r="FX64" s="33"/>
      <c r="FY64" s="33"/>
      <c r="FZ64" s="27"/>
      <c r="GB64" s="14"/>
      <c r="GC64" s="36"/>
      <c r="GD64" s="5"/>
      <c r="GE64" s="5"/>
      <c r="GF64" s="5"/>
      <c r="GG64" s="16"/>
      <c r="GH64" s="5"/>
      <c r="GI64" s="5"/>
      <c r="GJ64" s="5"/>
      <c r="GK64" s="33"/>
      <c r="GL64" s="33"/>
      <c r="GM64" s="33"/>
      <c r="GN64" s="27"/>
      <c r="GP64" s="14"/>
      <c r="GQ64" s="36"/>
      <c r="GR64" s="5"/>
      <c r="GS64" s="5"/>
      <c r="GT64" s="5"/>
      <c r="GU64" s="16"/>
      <c r="GV64" s="5"/>
      <c r="GW64" s="5"/>
      <c r="GX64" s="5"/>
      <c r="GY64" s="33"/>
      <c r="GZ64" s="33"/>
      <c r="HA64" s="33"/>
      <c r="HB64" s="27"/>
      <c r="HD64" s="14"/>
      <c r="HE64" s="36"/>
      <c r="HF64" s="5"/>
      <c r="HG64" s="5"/>
      <c r="HH64" s="27"/>
      <c r="HJ64" s="14"/>
      <c r="HK64" s="36"/>
      <c r="HL64" s="5"/>
      <c r="HM64" s="5"/>
      <c r="HN64" s="27"/>
      <c r="HP64" s="14"/>
      <c r="HQ64" s="36"/>
      <c r="HR64" s="5"/>
      <c r="HS64" s="5"/>
      <c r="HT64" s="27"/>
      <c r="HV64" s="14"/>
      <c r="HW64" s="36"/>
      <c r="HX64" s="5"/>
      <c r="HY64" s="5"/>
      <c r="HZ64" s="5"/>
      <c r="IA64" s="16"/>
      <c r="IB64" s="5"/>
      <c r="IC64" s="5"/>
      <c r="ID64" s="5"/>
      <c r="IE64" s="33"/>
      <c r="IF64" s="33"/>
      <c r="IG64" s="33"/>
      <c r="IH64" s="27"/>
      <c r="IJ64" s="14"/>
      <c r="IK64" s="36"/>
      <c r="IL64" s="5"/>
      <c r="IM64" s="5"/>
      <c r="IN64" s="5"/>
      <c r="IO64" s="16"/>
      <c r="IP64" s="5"/>
      <c r="IQ64" s="5"/>
      <c r="IR64" s="5"/>
      <c r="IS64" s="33"/>
      <c r="IT64" s="33"/>
      <c r="IU64" s="33"/>
      <c r="IV64" s="27"/>
      <c r="IX64" s="14"/>
      <c r="IY64" s="36"/>
      <c r="IZ64" s="5"/>
      <c r="JA64" s="5"/>
      <c r="JB64" s="5"/>
      <c r="JC64" s="16"/>
      <c r="JD64" s="5"/>
      <c r="JE64" s="5"/>
      <c r="JF64" s="5"/>
      <c r="JG64" s="33"/>
      <c r="JH64" s="33"/>
      <c r="JI64" s="33"/>
      <c r="JJ64" s="27"/>
      <c r="JL64" s="14"/>
      <c r="JM64" s="36"/>
      <c r="JN64" s="5"/>
      <c r="JO64" s="5"/>
      <c r="JP64" s="5"/>
      <c r="JQ64" s="5"/>
      <c r="JR64" s="5"/>
      <c r="JS64" s="16"/>
      <c r="JT64" s="5"/>
      <c r="JU64" s="5"/>
      <c r="JV64" s="5"/>
      <c r="JW64" s="33"/>
      <c r="JX64" s="33"/>
      <c r="JY64" s="33"/>
      <c r="JZ64" s="27"/>
    </row>
    <row r="65" spans="1:286" x14ac:dyDescent="0.2">
      <c r="A65" s="126" t="s">
        <v>20</v>
      </c>
      <c r="B65" s="126"/>
      <c r="C65" s="126"/>
      <c r="D65" s="96">
        <f>SUM(D3,D7,D11,D15,D19,D23,D27,D31,D35,D39,D43,D47,D51)*100</f>
        <v>10600</v>
      </c>
      <c r="E65" s="36"/>
      <c r="F65" s="5"/>
      <c r="G65" s="16">
        <f>D65/H65</f>
        <v>1325</v>
      </c>
      <c r="H65" s="96">
        <f>SUM(H3,H7,H11,H15,H19,H23,H28,H31,H35,H39,H43,H47,H51)</f>
        <v>8</v>
      </c>
      <c r="I65" s="5"/>
      <c r="J65" s="2" t="str">
        <f t="shared" ref="J65:K68" si="284">J3</f>
        <v>ギャルキティマスコット</v>
      </c>
      <c r="K65" s="25">
        <f t="shared" si="284"/>
        <v>0</v>
      </c>
      <c r="L65" s="96">
        <f>SUM(L3,L7,L11,L15,L19,L23,L28,L31,L35,L39,L43,L47,L51)</f>
        <v>0</v>
      </c>
      <c r="M65" s="85">
        <f>L65/D65</f>
        <v>0</v>
      </c>
      <c r="N65" s="27"/>
      <c r="O65" s="97"/>
      <c r="P65" s="126" t="s">
        <v>20</v>
      </c>
      <c r="Q65" s="126"/>
      <c r="R65" s="96">
        <f>SUM(R3,R7,R11,R15,R19,R23,R27,R31,R35,R39,R43,R47,R51)*100</f>
        <v>20100</v>
      </c>
      <c r="S65" s="36"/>
      <c r="T65" s="5"/>
      <c r="U65" s="16">
        <f>R65/V65</f>
        <v>2010</v>
      </c>
      <c r="V65" s="96">
        <f>SUM(V3,V7,V11,V15,V19,V23,V28,V31,V35,V39,V43,V47,V51)</f>
        <v>10</v>
      </c>
      <c r="W65" s="5"/>
      <c r="X65" s="29" t="str">
        <f t="shared" ref="X65:Y68" si="285">X3</f>
        <v>デジカメ</v>
      </c>
      <c r="Y65" s="25">
        <f t="shared" si="285"/>
        <v>1100</v>
      </c>
      <c r="Z65" s="96">
        <f>SUM(Z3,Z7,Z11,Z15,Z19,Z23,Z28,Z31,Z35,Z39,Z43,Z47,Z51)</f>
        <v>11000</v>
      </c>
      <c r="AA65" s="85">
        <f>Z65/R65</f>
        <v>0.54726368159203975</v>
      </c>
      <c r="AB65" s="27"/>
      <c r="AD65" s="126" t="s">
        <v>20</v>
      </c>
      <c r="AE65" s="126"/>
      <c r="AF65" s="96">
        <f>SUM(AF3,AF7,AF11,AF15,AF19,AF23,AF27,AF31,AF35,AF39,AF43,AF47,AF51)*100</f>
        <v>19100</v>
      </c>
      <c r="AG65" s="36"/>
      <c r="AH65" s="5"/>
      <c r="AI65" s="16">
        <f>AF65/AJ65</f>
        <v>1910</v>
      </c>
      <c r="AJ65" s="96">
        <f>SUM(AJ3,AJ7,AJ11,AJ15,AJ19,AJ23,AJ28,AJ31,AJ35,AJ39,AJ43,AJ47,AJ51)</f>
        <v>10</v>
      </c>
      <c r="AK65" s="5"/>
      <c r="AL65" s="29" t="str">
        <f t="shared" ref="AL65:AM68" si="286">AL3</f>
        <v>サンリオミニファン</v>
      </c>
      <c r="AM65" s="25">
        <f t="shared" si="286"/>
        <v>1100</v>
      </c>
      <c r="AN65" s="96">
        <f>SUM(AN3,AN7,AN11,AN15,AN19,AN23,AN28,AN31,AN35,AN39,AN43,AN47,AN51)</f>
        <v>11000</v>
      </c>
      <c r="AO65" s="85">
        <f>AN65/AF65</f>
        <v>0.5759162303664922</v>
      </c>
      <c r="AP65" s="27"/>
      <c r="AR65" s="126" t="s">
        <v>20</v>
      </c>
      <c r="AS65" s="126"/>
      <c r="AT65" s="96">
        <f>SUM(AT3,AT7,AT11,AT15,AT19,AT23,AT27,AT31,AT35,AT39,AT43,AT47,AT51)*100</f>
        <v>4300</v>
      </c>
      <c r="AU65" s="36"/>
      <c r="AV65" s="5"/>
      <c r="AW65" s="16">
        <f>AT65/AX65</f>
        <v>716.66666666666663</v>
      </c>
      <c r="AX65" s="96">
        <f>SUM(AX3,AX7,AX11,AX15,AX19,AX23,AX28,AX31,AX35,AX39,AX43,AX47,AX51)</f>
        <v>6</v>
      </c>
      <c r="AY65" s="5"/>
      <c r="AZ65" s="29" t="str">
        <f t="shared" ref="AZ65:BA65" si="287">AZ3</f>
        <v>ミニボンドロ</v>
      </c>
      <c r="BA65" s="25">
        <f t="shared" si="287"/>
        <v>200</v>
      </c>
      <c r="BB65" s="96">
        <f>SUM(BB3,BB7,BB11,BB15,BB19,BB23,BB28,BB31,BB35,BB39,BB43,BB47,BB51)</f>
        <v>1200</v>
      </c>
      <c r="BC65" s="85">
        <f>BB65/AT65</f>
        <v>0.27906976744186046</v>
      </c>
      <c r="BD65" s="27"/>
      <c r="BF65" s="126" t="s">
        <v>20</v>
      </c>
      <c r="BG65" s="126"/>
      <c r="BH65" s="96">
        <f>SUM(BH3,BH7,BH11,BH15,BH19,BH23,BH27,BH31,BH35,BH39,BH43,BH47,BH51)*100</f>
        <v>15700</v>
      </c>
      <c r="BI65" s="36"/>
      <c r="BJ65" s="5"/>
      <c r="BK65" s="16">
        <f>BH65/BL65</f>
        <v>3140</v>
      </c>
      <c r="BL65" s="96">
        <f>SUM(BL3,BL7,BL11,BL15,BL19,BL23,BL28,BL31,BL35,BL39,BL43,BL47,BL51)</f>
        <v>5</v>
      </c>
      <c r="BM65" s="5"/>
      <c r="BN65" s="29" t="str">
        <f t="shared" ref="BN65:BO65" si="288">BN3</f>
        <v>トイストーリーベアブリック</v>
      </c>
      <c r="BO65" s="25">
        <f t="shared" si="288"/>
        <v>1100</v>
      </c>
      <c r="BP65" s="96">
        <f>SUM(BP3,BP7,BP11,BP15,BP19,BP23,BP28,BP31,BP35,BP39,BP43,BP47,BP51)</f>
        <v>5500</v>
      </c>
      <c r="BQ65" s="85">
        <f>BP65/BH65</f>
        <v>0.3503184713375796</v>
      </c>
      <c r="BR65" s="27"/>
      <c r="BT65" s="126" t="s">
        <v>20</v>
      </c>
      <c r="BU65" s="126"/>
      <c r="BV65" s="96">
        <f>SUM(BV3,BV7,BV11,BV15,BV19,BV23,BV27,BV31,BV35,BV39,BV43,BV47,BV51)*100</f>
        <v>2000</v>
      </c>
      <c r="BW65" s="36"/>
      <c r="BX65" s="5"/>
      <c r="BY65" s="16">
        <f>BV65/BZ65</f>
        <v>2000</v>
      </c>
      <c r="BZ65" s="96">
        <f>SUM(BZ3,BZ7,BZ11,BZ15,BZ19,BZ23,BZ28,BZ31,BZ35,BZ39,BZ43,BZ47,BZ51)</f>
        <v>1</v>
      </c>
      <c r="CA65" s="5"/>
      <c r="CB65" s="29" t="str">
        <f t="shared" ref="CB65:CC68" si="289">CB3</f>
        <v>電ブル</v>
      </c>
      <c r="CC65" s="25">
        <f t="shared" si="289"/>
        <v>292</v>
      </c>
      <c r="CD65" s="96">
        <f>SUM(CD3,CD7,CD11,CD15,CD19,CD23,CD28,CD31,CD35,CD39,CD43,CD47,CD51)</f>
        <v>292</v>
      </c>
      <c r="CE65" s="85">
        <f>CD65/BV65</f>
        <v>0.14599999999999999</v>
      </c>
      <c r="CF65" s="27"/>
      <c r="CH65" s="126" t="s">
        <v>20</v>
      </c>
      <c r="CI65" s="126"/>
      <c r="CJ65" s="96">
        <f>SUM(CJ3,CJ7,CJ11,CJ15,CJ19,CJ23,CJ27,CJ31,CJ35,CJ39,CJ43,CJ47,CJ51)*100</f>
        <v>9500</v>
      </c>
      <c r="CK65" s="36"/>
      <c r="CL65" s="5"/>
      <c r="CM65" s="16">
        <f>CJ65/CN65</f>
        <v>2375</v>
      </c>
      <c r="CN65" s="96">
        <f>SUM(CN3,CN7,CN11,CN15,CN19,CN23,CN28,CN31,CN35,CN39,CN43,CN47,CN51)</f>
        <v>4</v>
      </c>
      <c r="CO65" s="5"/>
      <c r="CP65" s="29" t="str">
        <f t="shared" ref="CP65:CQ65" si="290">CP3</f>
        <v>ジャグラーボタン</v>
      </c>
      <c r="CQ65" s="25">
        <f t="shared" si="290"/>
        <v>748</v>
      </c>
      <c r="CR65" s="96">
        <f>SUM(CT3,CR7,CR11,CR15,CR19,CR23,CR28,CR31,CR35,CR39,CR43,CR47,CR51)</f>
        <v>2992</v>
      </c>
      <c r="CS65" s="85">
        <f>CR65/CJ65</f>
        <v>0.31494736842105264</v>
      </c>
      <c r="CT65" s="27"/>
      <c r="CV65" s="126" t="s">
        <v>20</v>
      </c>
      <c r="CW65" s="126"/>
      <c r="CX65" s="96">
        <f>SUM(CX3,CX7,CX11,CX15,CX19,CX23,CX27,CX31,CX35,CX39,CX43,CX47,CX51)*100</f>
        <v>8200</v>
      </c>
      <c r="CY65" s="36"/>
      <c r="CZ65" s="5"/>
      <c r="DA65" s="16">
        <f>CX65/DB65</f>
        <v>1025</v>
      </c>
      <c r="DB65" s="96">
        <f>SUM(DB3,DB7,DB11,DB15,DB19,DB23,DB28,DB31,DB35,DB39,DB43,DB47,DB51)</f>
        <v>8</v>
      </c>
      <c r="DC65" s="5"/>
      <c r="DD65" s="29" t="str">
        <f t="shared" ref="DD65:DE65" si="291">DD3</f>
        <v>サンリオエリップスヘアーオイル</v>
      </c>
      <c r="DE65" s="25">
        <f t="shared" si="291"/>
        <v>1045</v>
      </c>
      <c r="DF65" s="96">
        <f>SUM(DF3,DF7,DF11,DF15,DF19,DF23,DF28,DF31,DF35,DF39,DF43,DF47,DF51)</f>
        <v>8360</v>
      </c>
      <c r="DG65" s="85">
        <f>DF65/CX65</f>
        <v>1.0195121951219512</v>
      </c>
      <c r="DH65" s="27"/>
      <c r="DJ65" s="126" t="s">
        <v>20</v>
      </c>
      <c r="DK65" s="126"/>
      <c r="DL65" s="96">
        <f>SUM(DL3,DL7,DL11,DL15,DL19,DL23,DL27,DL31,DL35,DL39,DL43,DL47,DL51)*100</f>
        <v>14100</v>
      </c>
      <c r="DM65" s="36"/>
      <c r="DN65" s="5"/>
      <c r="DO65" s="16">
        <f>DL65/DP65</f>
        <v>14100</v>
      </c>
      <c r="DP65" s="96">
        <f>SUM(DP3,DP7,DP11,DP15,DP20,DP23,DP28,DP31,DP35,DP39,DP43,DP47,DP51)</f>
        <v>1</v>
      </c>
      <c r="DQ65" s="5"/>
      <c r="DR65" s="2" t="str">
        <f t="shared" ref="DR65:DS68" si="292">DR3</f>
        <v>サンリオデニムポーチ</v>
      </c>
      <c r="DS65" s="4">
        <f t="shared" si="292"/>
        <v>0</v>
      </c>
      <c r="DT65" s="96">
        <f>SUM(DT3,DT7,DT11,DT15,DT19,DT23,DT27,DT31,DT35,DT39,DT43,DT47,DT51)</f>
        <v>0</v>
      </c>
      <c r="DU65" s="85">
        <f>DT65/DL65</f>
        <v>0</v>
      </c>
      <c r="DV65" s="27"/>
      <c r="DX65" s="126" t="s">
        <v>20</v>
      </c>
      <c r="DY65" s="126"/>
      <c r="DZ65" s="96">
        <f>SUM(DZ3,DZ7,DZ11,DZ15,DZ19,DZ23,DZ27,DZ31,DZ35,DZ39,DZ43,DZ47,DZ51)*100</f>
        <v>33300</v>
      </c>
      <c r="EA65" s="36"/>
      <c r="EB65" s="5"/>
      <c r="EC65" s="16">
        <f>DZ65/ED65</f>
        <v>4162.5</v>
      </c>
      <c r="ED65" s="96">
        <f>SUM(ED3,ED7,ED11,ED15,ED20,ED23,ED28,ED31,ED35,ED39,ED43,ED47,ED51)</f>
        <v>8</v>
      </c>
      <c r="EE65" s="5"/>
      <c r="EF65" s="2" t="str">
        <f t="shared" ref="EF65:EG65" si="293">EF3</f>
        <v>アンパンマンぬいぐるみ</v>
      </c>
      <c r="EG65" s="4">
        <f t="shared" si="293"/>
        <v>1100</v>
      </c>
      <c r="EH65" s="96">
        <f>SUM(EH3,EH7,EH11,EH15,EH19,EH23,EH27,EH31,EH35,EH39,EH43,EH47,EH51)</f>
        <v>8800</v>
      </c>
      <c r="EI65" s="85">
        <f>EH65/DZ65</f>
        <v>0.26426426426426425</v>
      </c>
      <c r="EJ65" s="27"/>
      <c r="EL65" s="14"/>
      <c r="EM65" s="36"/>
      <c r="EN65" s="5"/>
      <c r="EO65" s="5"/>
      <c r="EP65" s="5"/>
      <c r="EQ65" s="16"/>
      <c r="ER65" s="5"/>
      <c r="ES65" s="85"/>
      <c r="ET65" s="85"/>
      <c r="EU65" s="5"/>
      <c r="EV65" s="5"/>
      <c r="EW65" s="5"/>
      <c r="EX65" s="27"/>
      <c r="EZ65" s="14"/>
      <c r="FA65" s="36"/>
      <c r="FB65" s="5"/>
      <c r="FC65" s="5"/>
      <c r="FD65" s="5"/>
      <c r="FE65" s="16"/>
      <c r="FF65" s="5"/>
      <c r="FG65" s="85"/>
      <c r="FH65" s="85"/>
      <c r="FI65" s="5"/>
      <c r="FJ65" s="5"/>
      <c r="FK65" s="5"/>
      <c r="FL65" s="27"/>
      <c r="FN65" s="14"/>
      <c r="FO65" s="36"/>
      <c r="FP65" s="5"/>
      <c r="FQ65" s="5"/>
      <c r="FR65" s="5"/>
      <c r="FS65" s="16"/>
      <c r="FT65" s="5"/>
      <c r="FU65" s="85"/>
      <c r="FV65" s="85"/>
      <c r="FW65" s="5"/>
      <c r="FX65" s="5"/>
      <c r="FY65" s="5"/>
      <c r="FZ65" s="27"/>
      <c r="GB65" s="14"/>
      <c r="GC65" s="36"/>
      <c r="GD65" s="5"/>
      <c r="GE65" s="5"/>
      <c r="GF65" s="5"/>
      <c r="GG65" s="16"/>
      <c r="GH65" s="5"/>
      <c r="GI65" s="85"/>
      <c r="GJ65" s="85"/>
      <c r="GK65" s="5"/>
      <c r="GL65" s="5"/>
      <c r="GM65" s="5"/>
      <c r="GN65" s="27"/>
      <c r="GP65" s="14"/>
      <c r="GQ65" s="36"/>
      <c r="GR65" s="5"/>
      <c r="GS65" s="5"/>
      <c r="GT65" s="5"/>
      <c r="GU65" s="16"/>
      <c r="GV65" s="5"/>
      <c r="GW65" s="85"/>
      <c r="GX65" s="85"/>
      <c r="GY65" s="5"/>
      <c r="GZ65" s="5"/>
      <c r="HA65" s="5"/>
      <c r="HB65" s="27"/>
      <c r="HD65" s="14"/>
      <c r="HE65" s="36"/>
      <c r="HF65" s="5"/>
      <c r="HG65" s="5"/>
      <c r="HH65" s="27"/>
      <c r="HJ65" s="14"/>
      <c r="HK65" s="36"/>
      <c r="HL65" s="5"/>
      <c r="HM65" s="5"/>
      <c r="HN65" s="27"/>
      <c r="HP65" s="14"/>
      <c r="HQ65" s="36"/>
      <c r="HR65" s="5"/>
      <c r="HS65" s="5"/>
      <c r="HT65" s="27"/>
      <c r="HV65" s="14"/>
      <c r="HW65" s="36"/>
      <c r="HX65" s="5"/>
      <c r="HY65" s="5"/>
      <c r="HZ65" s="5"/>
      <c r="IA65" s="16"/>
      <c r="IB65" s="5"/>
      <c r="IC65" s="85"/>
      <c r="ID65" s="85"/>
      <c r="IE65" s="5"/>
      <c r="IF65" s="5"/>
      <c r="IG65" s="5"/>
      <c r="IH65" s="27"/>
      <c r="IJ65" s="14"/>
      <c r="IK65" s="36"/>
      <c r="IL65" s="5"/>
      <c r="IM65" s="5"/>
      <c r="IN65" s="5"/>
      <c r="IO65" s="16"/>
      <c r="IP65" s="5"/>
      <c r="IQ65" s="85"/>
      <c r="IR65" s="85"/>
      <c r="IS65" s="5"/>
      <c r="IT65" s="5"/>
      <c r="IU65" s="5"/>
      <c r="IV65" s="27"/>
      <c r="IX65" s="14"/>
      <c r="IY65" s="36"/>
      <c r="IZ65" s="5"/>
      <c r="JA65" s="5"/>
      <c r="JB65" s="5"/>
      <c r="JC65" s="16"/>
      <c r="JD65" s="5"/>
      <c r="JE65" s="85"/>
      <c r="JF65" s="85"/>
      <c r="JG65" s="5"/>
      <c r="JH65" s="5"/>
      <c r="JI65" s="5"/>
      <c r="JJ65" s="27"/>
      <c r="JL65" s="14"/>
      <c r="JM65" s="36"/>
      <c r="JN65" s="5"/>
      <c r="JO65" s="5"/>
      <c r="JP65" s="5"/>
      <c r="JQ65" s="5"/>
      <c r="JR65" s="5"/>
      <c r="JS65" s="16"/>
      <c r="JT65" s="5"/>
      <c r="JU65" s="85"/>
      <c r="JV65" s="85"/>
      <c r="JW65" s="5"/>
      <c r="JX65" s="5"/>
      <c r="JY65" s="5"/>
      <c r="JZ65" s="27"/>
    </row>
    <row r="66" spans="1:286" x14ac:dyDescent="0.2">
      <c r="A66" s="126" t="s">
        <v>20</v>
      </c>
      <c r="B66" s="126"/>
      <c r="C66" s="126"/>
      <c r="D66" s="96">
        <f>SUM(D4,D8,D12,D16,D20,D24,D28,D32,D36,D40,D44,D48,D52)*100</f>
        <v>6300</v>
      </c>
      <c r="E66" s="36"/>
      <c r="F66" s="5"/>
      <c r="G66" s="16">
        <f>D66/H66</f>
        <v>6300</v>
      </c>
      <c r="H66" s="96">
        <f>SUM(H4,H8,H12,H16,H20,H24,H27,H32,H36,H40,H44,H48,H52)</f>
        <v>1</v>
      </c>
      <c r="I66" s="5"/>
      <c r="J66" s="2" t="str">
        <f t="shared" si="284"/>
        <v>千鳥格子サンリオMC</v>
      </c>
      <c r="K66" s="25">
        <f t="shared" si="284"/>
        <v>861</v>
      </c>
      <c r="L66" s="96">
        <f>SUM(L4,L8,L12,L16,L20,L24,L27,L32,L36,L40,L44,L48,L52)</f>
        <v>861</v>
      </c>
      <c r="M66" s="85">
        <f>L66/D66</f>
        <v>0.13666666666666666</v>
      </c>
      <c r="N66" s="27"/>
      <c r="O66" s="28"/>
      <c r="P66" s="126" t="s">
        <v>20</v>
      </c>
      <c r="Q66" s="126"/>
      <c r="R66" s="96">
        <f>SUM(R4,R8,R12,R16,R20,R24,R28,R32,R36,R40,R44,R48,R52)*100</f>
        <v>10500</v>
      </c>
      <c r="S66" s="36"/>
      <c r="T66" s="5"/>
      <c r="U66" s="16">
        <f>R66/V66</f>
        <v>2625</v>
      </c>
      <c r="V66" s="96">
        <f>SUM(V4,V8,V12,V16,V20,V24,V27,V32,V36,V40,V44,V48,V52)</f>
        <v>4</v>
      </c>
      <c r="W66" s="5"/>
      <c r="X66" s="29" t="str">
        <f t="shared" si="285"/>
        <v>ゲーム柄イヤホン</v>
      </c>
      <c r="Y66" s="25">
        <f t="shared" si="285"/>
        <v>748</v>
      </c>
      <c r="Z66" s="96">
        <f>SUM(Z4,Z8,Z12,Z16,Z20,Z24,Z27,Z32,Z36,Z40,Z44,Z48,Z52)</f>
        <v>2992</v>
      </c>
      <c r="AA66" s="85">
        <f>Z66/R66</f>
        <v>0.28495238095238096</v>
      </c>
      <c r="AB66" s="27"/>
      <c r="AD66" s="126" t="s">
        <v>20</v>
      </c>
      <c r="AE66" s="126"/>
      <c r="AF66" s="96">
        <f>SUM(AF4,AF8,AF12,AF16,AF20,AF24,AF28,AF32,AF36,AF40,AF44,AF48,AF52)*100</f>
        <v>7700</v>
      </c>
      <c r="AG66" s="36"/>
      <c r="AH66" s="5"/>
      <c r="AI66" s="16">
        <f>AF66/AJ66</f>
        <v>962.5</v>
      </c>
      <c r="AJ66" s="96">
        <f>SUM(AJ4,AJ8,AJ12,AJ16,AJ20,AJ24,AJ27,AJ32,AJ36,AJ40,AJ44,AJ48,AJ52)</f>
        <v>8</v>
      </c>
      <c r="AK66" s="5"/>
      <c r="AL66" s="29" t="str">
        <f t="shared" si="286"/>
        <v>サンリオヘアバンド</v>
      </c>
      <c r="AM66" s="25">
        <f t="shared" si="286"/>
        <v>797</v>
      </c>
      <c r="AN66" s="96">
        <f>SUM(AN4,AN8,AN12,AN16,AN20,AN24,AN27,AN32,AN36,AN40,AN44,AN48,AN52)</f>
        <v>6376</v>
      </c>
      <c r="AO66" s="85">
        <f>AN66/AF66</f>
        <v>0.82805194805194804</v>
      </c>
      <c r="AP66" s="27"/>
      <c r="AR66" s="126" t="s">
        <v>20</v>
      </c>
      <c r="AS66" s="126"/>
      <c r="AT66" s="96">
        <f>SUM(AT4,AT8,AT12,AT16,AT20,AT24,AT28,AT32,AT36,AT40,AT44,AT48,AT52)*100</f>
        <v>7400</v>
      </c>
      <c r="AU66" s="36"/>
      <c r="AV66" s="5"/>
      <c r="AW66" s="16" t="e">
        <f>AT66/AX66</f>
        <v>#DIV/0!</v>
      </c>
      <c r="AX66" s="96">
        <f>SUM(AX4,AX8,AX12,AX16,AX20,AX24,AX27,AX32,AX36,AX40,AX44,AX48,AX52)</f>
        <v>0</v>
      </c>
      <c r="AY66" s="5"/>
      <c r="AZ66" s="29" t="str">
        <f t="shared" ref="AZ66:BA66" si="294">AZ4</f>
        <v>ポケモンシリコンポーチ</v>
      </c>
      <c r="BA66" s="25">
        <f t="shared" si="294"/>
        <v>891</v>
      </c>
      <c r="BB66" s="96">
        <f>SUM(BB4,BB8,BB12,BB16,BB20,BB24,BB27,BB32,BB36,BB40,BB44,BB48,BB52)</f>
        <v>0</v>
      </c>
      <c r="BC66" s="85">
        <f>BB66/AT66</f>
        <v>0</v>
      </c>
      <c r="BD66" s="27"/>
      <c r="BF66" s="126" t="s">
        <v>20</v>
      </c>
      <c r="BG66" s="126"/>
      <c r="BH66" s="96">
        <f>SUM(BH4,BH8,BH12,BH16,BH20,BH24,BH28,BH32,BH36,BH40,BH44,BH48,BH52)*100</f>
        <v>7100</v>
      </c>
      <c r="BI66" s="36"/>
      <c r="BJ66" s="5"/>
      <c r="BK66" s="16">
        <f>BH66/BL66</f>
        <v>3550</v>
      </c>
      <c r="BL66" s="96">
        <f>SUM(BL4,BL8,BL12,BL16,BL20,BL24,BL27,BL32,BL36,BL40,BL44,BL48,BL52)</f>
        <v>2</v>
      </c>
      <c r="BM66" s="5"/>
      <c r="BN66" s="29" t="str">
        <f t="shared" ref="BN66:BO66" si="295">BN4</f>
        <v>モンチッチマスコット</v>
      </c>
      <c r="BO66" s="25">
        <f t="shared" si="295"/>
        <v>572</v>
      </c>
      <c r="BP66" s="96">
        <f>SUM(BP4,BP8,BP12,BP16,BP20,BP24,BP27,BP32,BP36,BP40,BP44,BP48,BP52)</f>
        <v>1144</v>
      </c>
      <c r="BQ66" s="85">
        <f>BP66/BH66</f>
        <v>0.16112676056338029</v>
      </c>
      <c r="BR66" s="27"/>
      <c r="BT66" s="126" t="s">
        <v>20</v>
      </c>
      <c r="BU66" s="126"/>
      <c r="BV66" s="96">
        <f>SUM(BV4,BV8,BV12,BV16,BV20,BV24,BV28,BV32,BV36,BV40,BV44,BV48,BV52)*100</f>
        <v>1700</v>
      </c>
      <c r="BW66" s="36"/>
      <c r="BX66" s="5"/>
      <c r="BY66" s="16">
        <f>BV66/BZ66</f>
        <v>1700</v>
      </c>
      <c r="BZ66" s="96">
        <f>SUM(BZ4,BZ8,BZ12,BZ16,BZ20,BZ24,BZ27,BZ32,BZ36,BZ40,BZ44,BZ48,BZ52)</f>
        <v>1</v>
      </c>
      <c r="CA66" s="5"/>
      <c r="CB66" s="29" t="str">
        <f t="shared" si="289"/>
        <v>ジャグラーイヤホン</v>
      </c>
      <c r="CC66" s="25">
        <f t="shared" si="289"/>
        <v>748</v>
      </c>
      <c r="CD66" s="96">
        <f>SUM(CD4,CD8,CD12,CD16,CD20,CD24,CD27,CD32,CD36,CD40,CD44,CD48,CD52)</f>
        <v>748</v>
      </c>
      <c r="CE66" s="85">
        <f>CD66/BV66</f>
        <v>0.44</v>
      </c>
      <c r="CF66" s="27"/>
      <c r="CH66" s="126" t="s">
        <v>20</v>
      </c>
      <c r="CI66" s="126"/>
      <c r="CJ66" s="96">
        <f>SUM(CJ4,CJ8,CJ12,CJ16,CJ20,CJ24,CJ28,CJ32,CJ36,CJ40,CJ44,CJ48,CJ52)*100</f>
        <v>2000</v>
      </c>
      <c r="CK66" s="36"/>
      <c r="CL66" s="5"/>
      <c r="CM66" s="16">
        <f>CJ66/CN66</f>
        <v>2000</v>
      </c>
      <c r="CN66" s="96">
        <f>SUM(CN4,CN8,CN12,CN16,CN20,CN24,CN27,CN32,CN36,CN40,CN44,CN48,CN52)</f>
        <v>1</v>
      </c>
      <c r="CO66" s="5"/>
      <c r="CP66" s="29" t="str">
        <f t="shared" ref="CP66:CQ66" si="296">CP4</f>
        <v>押忍！番長サウンドボタン</v>
      </c>
      <c r="CQ66" s="25">
        <f t="shared" si="296"/>
        <v>358</v>
      </c>
      <c r="CR66" s="96">
        <f>SUM(CT4,CR8,CR12,CR16,CR20,CR24,CR27,CR32,CR36,CR40,CR44,CR48,CR52)</f>
        <v>358</v>
      </c>
      <c r="CS66" s="85">
        <f>CR66/CJ66</f>
        <v>0.17899999999999999</v>
      </c>
      <c r="CT66" s="27"/>
      <c r="CV66" s="126" t="s">
        <v>20</v>
      </c>
      <c r="CW66" s="126"/>
      <c r="CX66" s="96">
        <f>SUM(CX4,CX8,CX12,CX16,CX20,CX24,CX28,CX32,CX36,CX40,CX44,CX48,CX52)*100</f>
        <v>15900</v>
      </c>
      <c r="CY66" s="36"/>
      <c r="CZ66" s="5"/>
      <c r="DA66" s="16">
        <f>CX66/DB66</f>
        <v>1987.5</v>
      </c>
      <c r="DB66" s="96">
        <f>SUM(DB4,DB8,DB12,DB16,DB20,DB24,DB27,DB32,DB36,DB40,DB44,DB48,DB52)</f>
        <v>8</v>
      </c>
      <c r="DC66" s="5"/>
      <c r="DD66" s="29" t="str">
        <f t="shared" ref="DD66:DE66" si="297">DD4</f>
        <v>LOTTEイヤホン</v>
      </c>
      <c r="DE66" s="25">
        <f t="shared" si="297"/>
        <v>1100</v>
      </c>
      <c r="DF66" s="96">
        <f>SUM(DF4,DF8,DF12,DF16,DF20,DF24,DF27,DF32,DF36,DF40,DF44,DF48,DF52)</f>
        <v>8800</v>
      </c>
      <c r="DG66" s="85">
        <f>DF66/CX66</f>
        <v>0.55345911949685533</v>
      </c>
      <c r="DH66" s="27"/>
      <c r="DJ66" s="126" t="s">
        <v>20</v>
      </c>
      <c r="DK66" s="126"/>
      <c r="DL66" s="96">
        <f>SUM(DL4,DL8,DL12,DL16,DL20,DL24,DL28,DL32,DL36,DL40,DL44,DL48,DL52)*100</f>
        <v>22200</v>
      </c>
      <c r="DM66" s="36"/>
      <c r="DN66" s="5"/>
      <c r="DO66" s="16">
        <f>DL66/DP66</f>
        <v>3700</v>
      </c>
      <c r="DP66" s="96">
        <f>SUM(DP4,DP8,DP12,DP16,DP20,DP24,DP27,DP32,DP36,DP40,DP44,DP48,DP52)</f>
        <v>6</v>
      </c>
      <c r="DQ66" s="5"/>
      <c r="DR66" s="2" t="str">
        <f t="shared" si="292"/>
        <v>モンチッチフルーツLサイズぬいぐるみ</v>
      </c>
      <c r="DS66" s="4">
        <f t="shared" si="292"/>
        <v>1100</v>
      </c>
      <c r="DT66" s="96">
        <f>SUM(DT4,DT8,DT12,DT16,DT20,DT24,DT27,DT32,DT36,DT40,DT44,DT48,DT52)</f>
        <v>6600</v>
      </c>
      <c r="DU66" s="85">
        <f>DT66/DL66</f>
        <v>0.29729729729729731</v>
      </c>
      <c r="DV66" s="27"/>
      <c r="DX66" s="126" t="s">
        <v>20</v>
      </c>
      <c r="DY66" s="126"/>
      <c r="DZ66" s="96">
        <f>SUM(DZ4,DZ8,DZ12,DZ16,DZ20,DZ24,DZ28,DZ32,DZ36,DZ40,DZ44,DZ48,DZ52)*100</f>
        <v>15300</v>
      </c>
      <c r="EA66" s="36"/>
      <c r="EB66" s="5"/>
      <c r="EC66" s="16">
        <f>DZ66/ED66</f>
        <v>3825</v>
      </c>
      <c r="ED66" s="96">
        <f>SUM(ED4,ED8,ED12,ED16,ED20,ED24,ED27,ED32,ED36,ED40,ED44,ED48,ED52)</f>
        <v>4</v>
      </c>
      <c r="EE66" s="5"/>
      <c r="EF66" s="2" t="str">
        <f t="shared" ref="EF66:EG66" si="298">EF4</f>
        <v>ベイビースリー猫</v>
      </c>
      <c r="EG66" s="4">
        <f t="shared" si="298"/>
        <v>1100</v>
      </c>
      <c r="EH66" s="96">
        <f>SUM(EH4,EH8,EH12,EH16,EH20,EH24,EH27,EH32,EH36,EH40,EH44,EH48,EH52)</f>
        <v>4400</v>
      </c>
      <c r="EI66" s="85">
        <f>EH66/DZ66</f>
        <v>0.28758169934640521</v>
      </c>
      <c r="EJ66" s="27"/>
      <c r="EL66" s="14"/>
      <c r="EM66" s="5"/>
      <c r="EN66" s="5"/>
      <c r="EO66" s="5"/>
      <c r="EP66" s="5"/>
      <c r="EQ66" s="16"/>
      <c r="ER66" s="5"/>
      <c r="ES66" s="85"/>
      <c r="ET66" s="85"/>
      <c r="EU66" s="5"/>
      <c r="EV66" s="5"/>
      <c r="EW66" s="5"/>
      <c r="EX66" s="27"/>
      <c r="EZ66" s="14"/>
      <c r="FA66" s="5"/>
      <c r="FB66" s="5"/>
      <c r="FC66" s="5"/>
      <c r="FD66" s="5"/>
      <c r="FE66" s="16"/>
      <c r="FF66" s="5"/>
      <c r="FG66" s="85"/>
      <c r="FH66" s="85"/>
      <c r="FI66" s="5"/>
      <c r="FJ66" s="5"/>
      <c r="FK66" s="5"/>
      <c r="FL66" s="27"/>
      <c r="FN66" s="14"/>
      <c r="FO66" s="5"/>
      <c r="FP66" s="5"/>
      <c r="FQ66" s="5"/>
      <c r="FR66" s="5"/>
      <c r="FS66" s="16"/>
      <c r="FT66" s="5"/>
      <c r="FU66" s="85"/>
      <c r="FV66" s="85"/>
      <c r="FW66" s="5"/>
      <c r="FX66" s="5"/>
      <c r="FY66" s="5"/>
      <c r="FZ66" s="27"/>
      <c r="GB66" s="14"/>
      <c r="GC66" s="5"/>
      <c r="GD66" s="5"/>
      <c r="GE66" s="5"/>
      <c r="GF66" s="5"/>
      <c r="GG66" s="16"/>
      <c r="GH66" s="5"/>
      <c r="GI66" s="85"/>
      <c r="GJ66" s="85"/>
      <c r="GK66" s="5"/>
      <c r="GL66" s="5"/>
      <c r="GM66" s="5"/>
      <c r="GN66" s="27"/>
      <c r="GP66" s="14"/>
      <c r="GQ66" s="5"/>
      <c r="GR66" s="5"/>
      <c r="GS66" s="5"/>
      <c r="GT66" s="5"/>
      <c r="GU66" s="16"/>
      <c r="GV66" s="5"/>
      <c r="GW66" s="85"/>
      <c r="GX66" s="85"/>
      <c r="GY66" s="5"/>
      <c r="GZ66" s="5"/>
      <c r="HA66" s="5"/>
      <c r="HB66" s="27"/>
      <c r="HD66" s="14"/>
      <c r="HE66" s="5"/>
      <c r="HF66" s="5"/>
      <c r="HG66" s="5"/>
      <c r="HH66" s="27"/>
      <c r="HJ66" s="14"/>
      <c r="HK66" s="5"/>
      <c r="HL66" s="5"/>
      <c r="HM66" s="5"/>
      <c r="HN66" s="27"/>
      <c r="HP66" s="14"/>
      <c r="HQ66" s="5"/>
      <c r="HR66" s="5"/>
      <c r="HS66" s="5"/>
      <c r="HT66" s="27"/>
      <c r="HV66" s="14"/>
      <c r="HW66" s="5"/>
      <c r="HX66" s="5"/>
      <c r="HY66" s="5"/>
      <c r="HZ66" s="5"/>
      <c r="IA66" s="16"/>
      <c r="IB66" s="5"/>
      <c r="IC66" s="85"/>
      <c r="ID66" s="85"/>
      <c r="IE66" s="5"/>
      <c r="IF66" s="5"/>
      <c r="IG66" s="5"/>
      <c r="IH66" s="27"/>
      <c r="IJ66" s="14"/>
      <c r="IK66" s="5"/>
      <c r="IL66" s="5"/>
      <c r="IM66" s="5"/>
      <c r="IN66" s="5"/>
      <c r="IO66" s="16"/>
      <c r="IP66" s="5"/>
      <c r="IQ66" s="85"/>
      <c r="IR66" s="85"/>
      <c r="IS66" s="5"/>
      <c r="IT66" s="5"/>
      <c r="IU66" s="5"/>
      <c r="IV66" s="27"/>
      <c r="IX66" s="14"/>
      <c r="IY66" s="5"/>
      <c r="IZ66" s="5"/>
      <c r="JA66" s="5"/>
      <c r="JB66" s="5"/>
      <c r="JC66" s="16"/>
      <c r="JD66" s="5"/>
      <c r="JE66" s="85"/>
      <c r="JF66" s="85"/>
      <c r="JG66" s="5"/>
      <c r="JH66" s="5"/>
      <c r="JI66" s="5"/>
      <c r="JJ66" s="27"/>
      <c r="JL66" s="14"/>
      <c r="JM66" s="5"/>
      <c r="JN66" s="5"/>
      <c r="JO66" s="5"/>
      <c r="JP66" s="5"/>
      <c r="JQ66" s="5"/>
      <c r="JR66" s="5"/>
      <c r="JS66" s="16"/>
      <c r="JT66" s="5"/>
      <c r="JU66" s="85"/>
      <c r="JV66" s="85"/>
      <c r="JW66" s="5"/>
      <c r="JX66" s="5"/>
      <c r="JY66" s="5"/>
      <c r="JZ66" s="27"/>
    </row>
    <row r="67" spans="1:286" x14ac:dyDescent="0.2">
      <c r="A67" s="126" t="s">
        <v>20</v>
      </c>
      <c r="B67" s="126"/>
      <c r="C67" s="126"/>
      <c r="D67" s="96">
        <f>SUM(D5,D9,D13,D17,D21,D25,D29,D33,D37,D41,D45,D49,D53)*100</f>
        <v>10000</v>
      </c>
      <c r="E67" s="36"/>
      <c r="F67" s="5"/>
      <c r="G67" s="16">
        <f>D67/H67</f>
        <v>1111.1111111111111</v>
      </c>
      <c r="H67" s="96">
        <f>SUM(H5,H9,H13,H18,H21,H25,H29,H33,H37,H41,H45,H49,H53)</f>
        <v>9</v>
      </c>
      <c r="I67" s="5"/>
      <c r="J67" s="2" t="str">
        <f t="shared" si="284"/>
        <v>たまごっちブロックシール</v>
      </c>
      <c r="K67" s="25">
        <f t="shared" si="284"/>
        <v>500</v>
      </c>
      <c r="L67" s="96">
        <f>SUM(L5,L9,L13,L18,L21,L25,L29,L33,L37,L41,L45,L49,L53)</f>
        <v>4500</v>
      </c>
      <c r="M67" s="85">
        <f>L67/D67</f>
        <v>0.45</v>
      </c>
      <c r="N67" s="27"/>
      <c r="O67" s="28"/>
      <c r="P67" s="126" t="s">
        <v>20</v>
      </c>
      <c r="Q67" s="126"/>
      <c r="R67" s="96">
        <f>SUM(R5,R9,R13,R17,R21,R25,R29,R33,R37,R41,R45,R49,R53)*100</f>
        <v>4700</v>
      </c>
      <c r="S67" s="36"/>
      <c r="T67" s="5"/>
      <c r="U67" s="16">
        <f>R67/V67</f>
        <v>783.33333333333337</v>
      </c>
      <c r="V67" s="96">
        <f>SUM(V5,V9,V13,V18,V21,V25,V29,V33,V37,V41,V45,V49,V53)</f>
        <v>6</v>
      </c>
      <c r="W67" s="5"/>
      <c r="X67" s="29" t="str">
        <f t="shared" si="285"/>
        <v>半熟たまごスクイーズ</v>
      </c>
      <c r="Y67" s="25">
        <f t="shared" si="285"/>
        <v>171</v>
      </c>
      <c r="Z67" s="96">
        <f>SUM(Z5,Z9,Z13,Z18,Z21,Z25,Z29,Z33,Z37,Z41,Z45,Z49,Z53)</f>
        <v>1026</v>
      </c>
      <c r="AA67" s="85">
        <f>Z67/R67</f>
        <v>0.21829787234042553</v>
      </c>
      <c r="AB67" s="27"/>
      <c r="AD67" s="126" t="s">
        <v>20</v>
      </c>
      <c r="AE67" s="126"/>
      <c r="AF67" s="96">
        <f>SUM(AF5,AF9,AF13,AF17,AF21,AF25,AF29,AF33,AF37,AF41,AF45,AF49,AF53)*100</f>
        <v>11600</v>
      </c>
      <c r="AG67" s="36"/>
      <c r="AH67" s="5"/>
      <c r="AI67" s="16">
        <f>AF67/AJ67</f>
        <v>5800</v>
      </c>
      <c r="AJ67" s="96">
        <f>SUM(AJ5,AJ9,AJ13,AJ18,AJ21,AJ25,AJ29,AJ33,AJ37,AJ41,AJ45,AJ49,AJ53)</f>
        <v>2</v>
      </c>
      <c r="AK67" s="5"/>
      <c r="AL67" s="29" t="str">
        <f t="shared" si="286"/>
        <v>バタースクイーズ</v>
      </c>
      <c r="AM67" s="25">
        <f t="shared" si="286"/>
        <v>200</v>
      </c>
      <c r="AN67" s="96">
        <f>SUM(AN5,AN9,AN13,AN18,AN21,AN25,AN29,AN33,AN37,AN41,AN45,AN49,AN53)</f>
        <v>400</v>
      </c>
      <c r="AO67" s="85">
        <f>AN67/AF67</f>
        <v>3.4482758620689655E-2</v>
      </c>
      <c r="AP67" s="27"/>
      <c r="AR67" s="126" t="s">
        <v>20</v>
      </c>
      <c r="AS67" s="126"/>
      <c r="AT67" s="96">
        <f>SUM(AT5,AT9,AT13,AT17,AT21,AT25,AT29,AT33,AT37,AT41,AT45,AT49,AT53)*100</f>
        <v>11500</v>
      </c>
      <c r="AU67" s="36"/>
      <c r="AV67" s="5"/>
      <c r="AW67" s="16">
        <f>AT67/AX67</f>
        <v>3833.3333333333335</v>
      </c>
      <c r="AX67" s="96">
        <f>SUM(AX5,AX9,AX13,AX18,AX21,AX25,AX29,AX33,AX37,AX41,AX45,AX49,AX53)</f>
        <v>3</v>
      </c>
      <c r="AY67" s="5"/>
      <c r="AZ67" s="29" t="str">
        <f t="shared" ref="AZ67:BA67" si="299">AZ5</f>
        <v>たまごっちカスタムキーリング</v>
      </c>
      <c r="BA67" s="25">
        <f t="shared" si="299"/>
        <v>750</v>
      </c>
      <c r="BB67" s="96">
        <f>SUM(BB5,BB9,BB13,BB18,BB21,BB25,BB29,BB33,BB37,BB41,BB45,BB49,BB53)</f>
        <v>2250</v>
      </c>
      <c r="BC67" s="85">
        <f>BB67/AT67</f>
        <v>0.19565217391304349</v>
      </c>
      <c r="BD67" s="27"/>
      <c r="BF67" s="126" t="s">
        <v>20</v>
      </c>
      <c r="BG67" s="126"/>
      <c r="BH67" s="96">
        <f>SUM(BH5,BH9,BH13,BH17,BH21,BH25,BH29,BH33,BH37,BH41,BH45,BH49,BH53)*100</f>
        <v>17300</v>
      </c>
      <c r="BI67" s="36"/>
      <c r="BJ67" s="5"/>
      <c r="BK67" s="16">
        <f>BH67/BL67</f>
        <v>2162.5</v>
      </c>
      <c r="BL67" s="96">
        <f>SUM(BL5,BL9,BL13,BL18,BL21,BL25,BL29,BL33,BL37,BL41,BL45,BL49,BL53)</f>
        <v>8</v>
      </c>
      <c r="BM67" s="5"/>
      <c r="BN67" s="29" t="str">
        <f t="shared" ref="BN67:BO67" si="300">BN5</f>
        <v>ミニトロスクイーズ</v>
      </c>
      <c r="BO67" s="25">
        <f t="shared" si="300"/>
        <v>282</v>
      </c>
      <c r="BP67" s="96">
        <f>SUM(BP5,BP9,BP13,BP18,BP21,BP25,BP29,BP33,BP37,BP41,BP45,BP49,BP53)</f>
        <v>2256</v>
      </c>
      <c r="BQ67" s="85">
        <f>BP67/BH67</f>
        <v>0.13040462427745664</v>
      </c>
      <c r="BR67" s="27"/>
      <c r="BT67" s="126" t="s">
        <v>20</v>
      </c>
      <c r="BU67" s="126"/>
      <c r="BV67" s="96">
        <f>SUM(BV5,BV9,BV13,BV17,BV21,BV25,BV29,BV33,BV37,BV41,BV45,BV49,BV53)*100</f>
        <v>5100</v>
      </c>
      <c r="BW67" s="36"/>
      <c r="BX67" s="5"/>
      <c r="BY67" s="16">
        <f>BV67/BZ67</f>
        <v>728.57142857142856</v>
      </c>
      <c r="BZ67" s="96">
        <f>SUM(BZ5,BZ9,BZ13,BZ18,BZ21,BZ25,BZ29,BZ33,BZ37,BZ41,BZ45,BZ49,BZ53)</f>
        <v>7</v>
      </c>
      <c r="CA67" s="5"/>
      <c r="CB67" s="29" t="str">
        <f t="shared" si="289"/>
        <v>カエルがま口</v>
      </c>
      <c r="CC67" s="25">
        <f t="shared" si="289"/>
        <v>308</v>
      </c>
      <c r="CD67" s="96">
        <f>SUM(CD5,CD9,CD13,CD18,CD21,CD25,CD29,CD33,CD37,CD41,CD45,CD49,CD53)</f>
        <v>2156</v>
      </c>
      <c r="CE67" s="85">
        <f>CD67/BV67</f>
        <v>0.42274509803921567</v>
      </c>
      <c r="CF67" s="27"/>
      <c r="CH67" s="126" t="s">
        <v>20</v>
      </c>
      <c r="CI67" s="126"/>
      <c r="CJ67" s="96">
        <f>SUM(CJ5,CJ9,CJ13,CJ17,CJ21,CJ25,CJ29,CJ33,CJ37,CJ41,CJ45,CJ49,CJ53)*100</f>
        <v>26000</v>
      </c>
      <c r="CK67" s="36"/>
      <c r="CL67" s="5"/>
      <c r="CM67" s="16">
        <f>CJ67/CN67</f>
        <v>8666.6666666666661</v>
      </c>
      <c r="CN67" s="96">
        <f>SUM(CN5,CN9,CN13,CN18,CN21,CN25,CN29,CN33,CN37,CN41,CN45,CN49,CN53)</f>
        <v>3</v>
      </c>
      <c r="CO67" s="5"/>
      <c r="CP67" s="29" t="str">
        <f t="shared" ref="CP67:CQ67" si="301">CP5</f>
        <v>ポチポチキーボードブロック</v>
      </c>
      <c r="CQ67" s="25">
        <f t="shared" si="301"/>
        <v>183</v>
      </c>
      <c r="CR67" s="96">
        <f>SUM(CT5,CR9,CR13,CR18,CR21,CR25,CR29,CR33,CR37,CR41,CR45,CR49,CR53)</f>
        <v>549</v>
      </c>
      <c r="CS67" s="85">
        <f>CR67/CJ67</f>
        <v>2.1115384615384616E-2</v>
      </c>
      <c r="CT67" s="27"/>
      <c r="CV67" s="126" t="s">
        <v>20</v>
      </c>
      <c r="CW67" s="126"/>
      <c r="CX67" s="96">
        <f>SUM(CX5,CX9,CX13,CX17,CX21,CX25,CX29,CX33,CX37,CX41,CX45,CX49,CX53)*100</f>
        <v>10400</v>
      </c>
      <c r="CY67" s="36"/>
      <c r="CZ67" s="5"/>
      <c r="DA67" s="16">
        <f>CX67/DB67</f>
        <v>2600</v>
      </c>
      <c r="DB67" s="96">
        <f>SUM(DB5,DB9,DB13,DB18,DB21,DB25,DB29,DB33,DB37,DB41,DB45,DB49,DB53)</f>
        <v>4</v>
      </c>
      <c r="DC67" s="5"/>
      <c r="DD67" s="29" t="str">
        <f t="shared" ref="DD67:DE67" si="302">DD5</f>
        <v>おなかぷにぷに</v>
      </c>
      <c r="DE67" s="25">
        <f t="shared" si="302"/>
        <v>154</v>
      </c>
      <c r="DF67" s="96">
        <f>SUM(DF5,DF9,DF13,DF18,DF21,DF25,DF29,DF33,DF37,DF41,DF45,DF49,DF53)</f>
        <v>616</v>
      </c>
      <c r="DG67" s="85">
        <f>DF67/CX67</f>
        <v>5.9230769230769233E-2</v>
      </c>
      <c r="DH67" s="27"/>
      <c r="DJ67" s="126" t="s">
        <v>20</v>
      </c>
      <c r="DK67" s="126"/>
      <c r="DL67" s="96">
        <f>SUM(DL5,DL9,DL13,DL17,DL21,DL25,DL29,DL33,DL37,DL41,DL45,DL49,DL53)*100</f>
        <v>0</v>
      </c>
      <c r="DM67" s="36"/>
      <c r="DN67" s="5"/>
      <c r="DO67" s="16" t="e">
        <f>DL67/DP67</f>
        <v>#DIV/0!</v>
      </c>
      <c r="DP67" s="96">
        <f>SUM(DP5,DP9,DP13,DP17,DP21,DP25,DP29,DP33,DP37,DP41,DP45,DP49,DP53)</f>
        <v>0</v>
      </c>
      <c r="DQ67" s="5"/>
      <c r="DR67" s="2">
        <f t="shared" si="292"/>
        <v>0</v>
      </c>
      <c r="DS67" s="4">
        <f t="shared" si="292"/>
        <v>0</v>
      </c>
      <c r="DT67" s="96">
        <f>SUM(DT5,DT9,DT13,DT17,DT21,DT25,DT29,DT33,DT37,DT41,DT45,DT49,DT53)</f>
        <v>0</v>
      </c>
      <c r="DU67" s="85" t="e">
        <f>DT67/DL67</f>
        <v>#DIV/0!</v>
      </c>
      <c r="DV67" s="27"/>
      <c r="DX67" s="126" t="s">
        <v>20</v>
      </c>
      <c r="DY67" s="126"/>
      <c r="DZ67" s="96">
        <f>SUM(DZ5,DZ9,DZ13,DZ17,DZ21,DZ25,DZ29,DZ33,DZ37,DZ41,DZ45,DZ49,DZ53)*100</f>
        <v>0</v>
      </c>
      <c r="EA67" s="36"/>
      <c r="EB67" s="5"/>
      <c r="EC67" s="16" t="e">
        <f>DZ67/ED67</f>
        <v>#DIV/0!</v>
      </c>
      <c r="ED67" s="96">
        <f>SUM(ED5,ED9,ED13,ED17,ED21,ED25,ED29,ED33,ED37,ED41,ED45,ED49,ED53)</f>
        <v>0</v>
      </c>
      <c r="EE67" s="5"/>
      <c r="EF67" s="2">
        <f t="shared" ref="EF67:EG67" si="303">EF5</f>
        <v>0</v>
      </c>
      <c r="EG67" s="4">
        <f t="shared" si="303"/>
        <v>0</v>
      </c>
      <c r="EH67" s="96">
        <f>SUM(EH5,EH9,EH13,EH17,EH21,EH25,EH29,EH33,EH37,EH41,EH45,EH49,EH53)</f>
        <v>0</v>
      </c>
      <c r="EI67" s="85" t="e">
        <f>EH67/DZ67</f>
        <v>#DIV/0!</v>
      </c>
      <c r="EJ67" s="27"/>
      <c r="EL67" s="14"/>
      <c r="EM67" s="132"/>
      <c r="EN67" s="132"/>
      <c r="EO67" s="98"/>
      <c r="EP67" s="5"/>
      <c r="EQ67" s="16"/>
      <c r="ER67" s="5"/>
      <c r="ES67" s="85"/>
      <c r="ET67" s="85"/>
      <c r="EU67" s="5"/>
      <c r="EV67" s="5"/>
      <c r="EW67" s="5"/>
      <c r="EX67" s="27"/>
      <c r="EZ67" s="14"/>
      <c r="FA67" s="132"/>
      <c r="FB67" s="132"/>
      <c r="FC67" s="98"/>
      <c r="FD67" s="5"/>
      <c r="FE67" s="16"/>
      <c r="FF67" s="5"/>
      <c r="FG67" s="85"/>
      <c r="FH67" s="85"/>
      <c r="FI67" s="5"/>
      <c r="FJ67" s="5"/>
      <c r="FK67" s="5"/>
      <c r="FL67" s="27"/>
      <c r="FN67" s="14"/>
      <c r="FO67" s="132"/>
      <c r="FP67" s="132"/>
      <c r="FQ67" s="98"/>
      <c r="FR67" s="5"/>
      <c r="FS67" s="16"/>
      <c r="FT67" s="5"/>
      <c r="FU67" s="85"/>
      <c r="FV67" s="85"/>
      <c r="FW67" s="5"/>
      <c r="FX67" s="5"/>
      <c r="FY67" s="5"/>
      <c r="FZ67" s="27"/>
      <c r="GB67" s="14"/>
      <c r="GC67" s="132"/>
      <c r="GD67" s="132"/>
      <c r="GE67" s="98"/>
      <c r="GF67" s="5"/>
      <c r="GG67" s="16"/>
      <c r="GH67" s="5"/>
      <c r="GI67" s="85"/>
      <c r="GJ67" s="85"/>
      <c r="GK67" s="5"/>
      <c r="GL67" s="5"/>
      <c r="GM67" s="5"/>
      <c r="GN67" s="27"/>
      <c r="GP67" s="14"/>
      <c r="GQ67" s="132"/>
      <c r="GR67" s="132"/>
      <c r="GS67" s="98"/>
      <c r="GT67" s="5"/>
      <c r="GU67" s="16"/>
      <c r="GV67" s="5"/>
      <c r="GW67" s="85"/>
      <c r="GX67" s="85"/>
      <c r="GY67" s="5"/>
      <c r="GZ67" s="5"/>
      <c r="HA67" s="5"/>
      <c r="HB67" s="27"/>
      <c r="HD67" s="14"/>
      <c r="HE67" s="132"/>
      <c r="HF67" s="132"/>
      <c r="HG67" s="98"/>
      <c r="HH67" s="27"/>
      <c r="HJ67" s="14"/>
      <c r="HK67" s="132"/>
      <c r="HL67" s="132"/>
      <c r="HM67" s="98"/>
      <c r="HN67" s="27"/>
      <c r="HP67" s="14"/>
      <c r="HQ67" s="132"/>
      <c r="HR67" s="132"/>
      <c r="HS67" s="98"/>
      <c r="HT67" s="27"/>
      <c r="HV67" s="14"/>
      <c r="HW67" s="132"/>
      <c r="HX67" s="132"/>
      <c r="HY67" s="98"/>
      <c r="HZ67" s="5"/>
      <c r="IA67" s="16"/>
      <c r="IB67" s="5"/>
      <c r="IC67" s="85"/>
      <c r="ID67" s="85"/>
      <c r="IE67" s="5"/>
      <c r="IF67" s="5"/>
      <c r="IG67" s="5"/>
      <c r="IH67" s="27"/>
      <c r="IJ67" s="14"/>
      <c r="IK67" s="132"/>
      <c r="IL67" s="132"/>
      <c r="IM67" s="98"/>
      <c r="IN67" s="5"/>
      <c r="IO67" s="16"/>
      <c r="IP67" s="5"/>
      <c r="IQ67" s="85"/>
      <c r="IR67" s="85"/>
      <c r="IS67" s="5"/>
      <c r="IT67" s="5"/>
      <c r="IU67" s="5"/>
      <c r="IV67" s="27"/>
      <c r="IX67" s="14"/>
      <c r="IY67" s="132"/>
      <c r="IZ67" s="132"/>
      <c r="JA67" s="98"/>
      <c r="JB67" s="5"/>
      <c r="JC67" s="16"/>
      <c r="JD67" s="5"/>
      <c r="JE67" s="85"/>
      <c r="JF67" s="85"/>
      <c r="JG67" s="5"/>
      <c r="JH67" s="5"/>
      <c r="JI67" s="5"/>
      <c r="JJ67" s="27"/>
      <c r="JL67" s="14"/>
      <c r="JM67" s="132"/>
      <c r="JN67" s="132"/>
      <c r="JO67" s="20"/>
      <c r="JP67" s="20"/>
      <c r="JQ67" s="98"/>
      <c r="JR67" s="5"/>
      <c r="JS67" s="16"/>
      <c r="JT67" s="5"/>
      <c r="JU67" s="85"/>
      <c r="JV67" s="85"/>
      <c r="JW67" s="5"/>
      <c r="JX67" s="5"/>
      <c r="JY67" s="5"/>
      <c r="JZ67" s="27"/>
    </row>
    <row r="68" spans="1:286" ht="15" customHeight="1" thickBot="1" x14ac:dyDescent="0.25">
      <c r="A68" s="126" t="s">
        <v>20</v>
      </c>
      <c r="B68" s="126"/>
      <c r="C68" s="126"/>
      <c r="D68" s="96">
        <f>SUM(D6,D10,D14,D18,D22,D26,D30,D34,D38,D42,D46,D50,D54)*100</f>
        <v>11100</v>
      </c>
      <c r="E68" s="36"/>
      <c r="F68" s="5"/>
      <c r="G68" s="16">
        <f>D68/H68</f>
        <v>693.75</v>
      </c>
      <c r="H68" s="96">
        <f>SUM(H6,H10,H14,H17,H22,H26,H30,H34,H38,H42,H46,H50,H54)</f>
        <v>16</v>
      </c>
      <c r="I68" s="5"/>
      <c r="J68" s="2" t="str">
        <f t="shared" si="284"/>
        <v>タルトスクイーズ</v>
      </c>
      <c r="K68" s="25">
        <f t="shared" si="284"/>
        <v>737</v>
      </c>
      <c r="L68" s="96">
        <f>SUM(L6,L10,L14,L17,L22,L26,L30,L34,L38,L42,L46,L50,L54)</f>
        <v>11792</v>
      </c>
      <c r="M68" s="85">
        <f>L68/D68</f>
        <v>1.0623423423423424</v>
      </c>
      <c r="N68" s="27"/>
      <c r="O68" s="28"/>
      <c r="P68" s="126" t="s">
        <v>20</v>
      </c>
      <c r="Q68" s="126"/>
      <c r="R68" s="96">
        <f>SUM(R6,R10,R14,R18,R22,R26,R30,R34,R38,R42,R46,R50,R54)*100</f>
        <v>10000</v>
      </c>
      <c r="S68" s="36"/>
      <c r="T68" s="5"/>
      <c r="U68" s="16">
        <f>R68/V68</f>
        <v>2500</v>
      </c>
      <c r="V68" s="96">
        <f>SUM(V6,V10,V14,V17,V22,V26,V30,V34,V38,V42,V46,V50,V54)</f>
        <v>4</v>
      </c>
      <c r="W68" s="5"/>
      <c r="X68" s="29" t="str">
        <f t="shared" si="285"/>
        <v>ヤヤマスコット</v>
      </c>
      <c r="Y68" s="25">
        <f t="shared" si="285"/>
        <v>800</v>
      </c>
      <c r="Z68" s="96">
        <f>SUM(Z6,Z10,Z14,Z17,Z22,Z26,Z30,Z34,Z38,Z42,Z46,Z50,Z54)</f>
        <v>3200</v>
      </c>
      <c r="AA68" s="85">
        <f>Z68/R68</f>
        <v>0.32</v>
      </c>
      <c r="AB68" s="27"/>
      <c r="AD68" s="126" t="s">
        <v>20</v>
      </c>
      <c r="AE68" s="126"/>
      <c r="AF68" s="96">
        <f>SUM(AF6,AF10,AF14,AF18,AF22,AF26,AF30,AF34,AF38,AF42,AF46,AF50,AF54)*100</f>
        <v>18000</v>
      </c>
      <c r="AG68" s="36"/>
      <c r="AH68" s="5"/>
      <c r="AI68" s="16">
        <f>AF68/AJ68</f>
        <v>1636.3636363636363</v>
      </c>
      <c r="AJ68" s="96">
        <f>SUM(AJ6,AJ10,AJ14,AJ17,AJ22,AJ26,AJ30,AJ34,AJ38,AJ42,AJ46,AJ50,AJ54)</f>
        <v>11</v>
      </c>
      <c r="AK68" s="5"/>
      <c r="AL68" s="29" t="str">
        <f t="shared" si="286"/>
        <v>キティボールペン</v>
      </c>
      <c r="AM68" s="25">
        <f t="shared" si="286"/>
        <v>283</v>
      </c>
      <c r="AN68" s="96">
        <f>SUM(AN6,AN10,AN14,AN17,AN22,AN26,AN30,AN34,AN38,AN42,AN46,AN50,AN54)</f>
        <v>3113</v>
      </c>
      <c r="AO68" s="85">
        <f>AN68/AF68</f>
        <v>0.17294444444444446</v>
      </c>
      <c r="AP68" s="27"/>
      <c r="AR68" s="126" t="s">
        <v>20</v>
      </c>
      <c r="AS68" s="126"/>
      <c r="AT68" s="96">
        <f>SUM(AT6,AT10,AT14,AT18,AT22,AT26,AT30,AT34,AT38,AT42,AT46,AT50,AT54)*100</f>
        <v>14000</v>
      </c>
      <c r="AU68" s="36"/>
      <c r="AV68" s="5"/>
      <c r="AW68" s="16">
        <f>AT68/AX68</f>
        <v>777.77777777777783</v>
      </c>
      <c r="AX68" s="96">
        <f>SUM(AX6,AX10,AX14,AX17,AX22,AX26,AX30,AX34,AX38,AX42,AX46,AX50,AX54)</f>
        <v>18</v>
      </c>
      <c r="AY68" s="5"/>
      <c r="AZ68" s="29" t="str">
        <f t="shared" ref="AZ68:BA68" si="304">AZ6</f>
        <v>ブレスレッド</v>
      </c>
      <c r="BA68" s="25">
        <f t="shared" si="304"/>
        <v>70</v>
      </c>
      <c r="BB68" s="96">
        <f>SUM(BB6,BB10,BB14,BB17,BB22,BB26,BB30,BB34,BB38,BB42,BB46,BB50,BB54)</f>
        <v>1260</v>
      </c>
      <c r="BC68" s="85">
        <f>BB68/AT68</f>
        <v>0.09</v>
      </c>
      <c r="BD68" s="27"/>
      <c r="BF68" s="126" t="s">
        <v>20</v>
      </c>
      <c r="BG68" s="126"/>
      <c r="BH68" s="96">
        <f>SUM(BH6,BH10,BH14,BH18,BH22,BH26,BH30,BH34,BH38,BH42,BH46,BH50,BH54)*100</f>
        <v>9100</v>
      </c>
      <c r="BI68" s="36"/>
      <c r="BJ68" s="5"/>
      <c r="BK68" s="16">
        <f>BH68/BL68</f>
        <v>1516.6666666666667</v>
      </c>
      <c r="BL68" s="96">
        <f>SUM(BL6,BL10,BL14,BL17,BL22,BL26,BL30,BL34,BL38,BL42,BL46,BL50,BL54)</f>
        <v>6</v>
      </c>
      <c r="BM68" s="5"/>
      <c r="BN68" s="29" t="str">
        <f t="shared" ref="BN68:BO68" si="305">BN6</f>
        <v>ぷくぷくシール</v>
      </c>
      <c r="BO68" s="25">
        <f t="shared" si="305"/>
        <v>200</v>
      </c>
      <c r="BP68" s="96">
        <f>SUM(BP6,BP10,BP14,BP17,BP22,BP26,BP30,BP34,BP38,BP42,BP46,BP50,BP54)</f>
        <v>1200</v>
      </c>
      <c r="BQ68" s="85">
        <f>BP68/BH68</f>
        <v>0.13186813186813187</v>
      </c>
      <c r="BR68" s="27"/>
      <c r="BT68" s="126" t="s">
        <v>20</v>
      </c>
      <c r="BU68" s="126"/>
      <c r="BV68" s="96">
        <f>SUM(BV6,BV10,BV14,BV18,BV22,BV26,BV30,BV34,BV38,BV42,BV46,BV50,BV54)*100</f>
        <v>17500</v>
      </c>
      <c r="BW68" s="36"/>
      <c r="BX68" s="5"/>
      <c r="BY68" s="16">
        <f>BV68/BZ68</f>
        <v>4375</v>
      </c>
      <c r="BZ68" s="96">
        <f>SUM(BZ6,BZ10,BZ14,BZ17,BZ22,BZ26,BZ30,BZ34,BZ38,BZ42,BZ46,BZ50,BZ54)</f>
        <v>4</v>
      </c>
      <c r="CA68" s="5"/>
      <c r="CB68" s="29" t="str">
        <f t="shared" si="289"/>
        <v>たまごっちマスコット</v>
      </c>
      <c r="CC68" s="25">
        <f t="shared" si="289"/>
        <v>1500</v>
      </c>
      <c r="CD68" s="96">
        <f>SUM(CD6,CD10,CD14,CD17,CD22,CD26,CD30,CD34,CD38,CD42,CD46,CD50,CD54)</f>
        <v>6000</v>
      </c>
      <c r="CE68" s="85">
        <f>CD68/BV68</f>
        <v>0.34285714285714286</v>
      </c>
      <c r="CF68" s="27"/>
      <c r="CH68" s="126" t="s">
        <v>20</v>
      </c>
      <c r="CI68" s="126"/>
      <c r="CJ68" s="96">
        <f>SUM(CJ6,CJ10,CJ14,CJ18,CJ22,CJ26,CJ30,CJ34,CJ38,CJ42,CJ46,CJ50,CJ54)*100</f>
        <v>18200</v>
      </c>
      <c r="CK68" s="36"/>
      <c r="CL68" s="5"/>
      <c r="CM68" s="16">
        <f>CJ68/CN68</f>
        <v>866.66666666666663</v>
      </c>
      <c r="CN68" s="96">
        <f>SUM(CN6,CN10,CN14,CN17,CN22,CN26,CN30,CN34,CN38,CN42,CN46,CN50,CN54)</f>
        <v>21</v>
      </c>
      <c r="CO68" s="5"/>
      <c r="CP68" s="29" t="str">
        <f t="shared" ref="CP68:CQ68" si="306">CP6</f>
        <v>パンケーキスクイーズ</v>
      </c>
      <c r="CQ68" s="25">
        <f t="shared" si="306"/>
        <v>182</v>
      </c>
      <c r="CR68" s="96">
        <f>SUM(CT6,CR10,CR14,CR17,CR22,CR26,CR30,CR34,CR38,CR42,CR46,CR50,CR54)</f>
        <v>3822</v>
      </c>
      <c r="CS68" s="85">
        <f>CR68/CJ68</f>
        <v>0.21</v>
      </c>
      <c r="CT68" s="27"/>
      <c r="CV68" s="126" t="s">
        <v>20</v>
      </c>
      <c r="CW68" s="126"/>
      <c r="CX68" s="96">
        <f>SUM(CX6,CX10,CX14,CX18,CX22,CX26,CX30,CX34,CX38,CX42,CX46,CX50,CX54)*100</f>
        <v>19800</v>
      </c>
      <c r="CY68" s="36"/>
      <c r="CZ68" s="5"/>
      <c r="DA68" s="16">
        <f>CX68/DB68</f>
        <v>2200</v>
      </c>
      <c r="DB68" s="96">
        <f>SUM(DB6,DB10,DB14,DB17,DB22,DB26,DB30,DB34,DB38,DB42,DB46,DB50,DB54)</f>
        <v>9</v>
      </c>
      <c r="DC68" s="5"/>
      <c r="DD68" s="29" t="str">
        <f t="shared" ref="DD68:DE68" si="307">DD6</f>
        <v>フルーツスクイーズ</v>
      </c>
      <c r="DE68" s="25">
        <f t="shared" si="307"/>
        <v>209</v>
      </c>
      <c r="DF68" s="96">
        <f>SUM(DF6,DF10,DF14,DF17,DF22,DF26,DF30,DF34,DF38,DF42,DF46,DF50,DF54)</f>
        <v>1881</v>
      </c>
      <c r="DG68" s="85">
        <f>DF68/CX68</f>
        <v>9.5000000000000001E-2</v>
      </c>
      <c r="DH68" s="27"/>
      <c r="DJ68" s="126" t="s">
        <v>20</v>
      </c>
      <c r="DK68" s="126"/>
      <c r="DL68" s="96">
        <f>SUM(DL6,DL10,DL14,DL18,DL22,DL26,DL30,DL34,DL38,DL42,DL46,DL50,DL54)*100</f>
        <v>0</v>
      </c>
      <c r="DM68" s="36"/>
      <c r="DN68" s="5"/>
      <c r="DO68" s="16" t="e">
        <f>DL68/DP68</f>
        <v>#DIV/0!</v>
      </c>
      <c r="DP68" s="96">
        <f>SUM(DP6,DP10,DP14,DP18,DP22,DP26,DP30,DP34,DP38,DP42,DP46,DP50,DP54)</f>
        <v>0</v>
      </c>
      <c r="DQ68" s="5"/>
      <c r="DR68" s="2">
        <f t="shared" si="292"/>
        <v>0</v>
      </c>
      <c r="DS68" s="4">
        <f t="shared" si="292"/>
        <v>0</v>
      </c>
      <c r="DT68" s="96">
        <f>SUM(DT6,DT10,DT14,DT18,DT22,DT26,DT30,DT34,DT38,DT42,DT46,DT50,DT54)</f>
        <v>0</v>
      </c>
      <c r="DU68" s="85" t="e">
        <f>DT68/DL68</f>
        <v>#DIV/0!</v>
      </c>
      <c r="DV68" s="27"/>
      <c r="DX68" s="126" t="s">
        <v>20</v>
      </c>
      <c r="DY68" s="126"/>
      <c r="DZ68" s="96">
        <f>SUM(DZ6,DZ10,DZ14,DZ18,DZ22,DZ26,DZ30,DZ34,DZ38,DZ42,DZ46,DZ50,DZ54)*100</f>
        <v>0</v>
      </c>
      <c r="EA68" s="36"/>
      <c r="EB68" s="5"/>
      <c r="EC68" s="16" t="e">
        <f>DZ68/ED68</f>
        <v>#DIV/0!</v>
      </c>
      <c r="ED68" s="96">
        <f>SUM(ED6,ED10,ED14,ED18,ED22,ED26,ED30,ED34,ED38,ED42,ED46,ED50,ED54)</f>
        <v>0</v>
      </c>
      <c r="EE68" s="5"/>
      <c r="EF68" s="2">
        <f t="shared" ref="EF68:EG68" si="308">EF6</f>
        <v>0</v>
      </c>
      <c r="EG68" s="4">
        <f t="shared" si="308"/>
        <v>0</v>
      </c>
      <c r="EH68" s="96">
        <f>SUM(EH6,EH10,EH14,EH18,EH22,EH26,EH30,EH34,EH38,EH42,EH46,EH50,EH54)</f>
        <v>0</v>
      </c>
      <c r="EI68" s="85" t="e">
        <f>EH68/DZ68</f>
        <v>#DIV/0!</v>
      </c>
      <c r="EJ68" s="27"/>
      <c r="EL68" s="14"/>
      <c r="EM68" s="132"/>
      <c r="EN68" s="132"/>
      <c r="EO68" s="5"/>
      <c r="EP68" s="5"/>
      <c r="EQ68" s="16"/>
      <c r="ER68" s="5"/>
      <c r="ES68" s="85"/>
      <c r="ET68" s="85"/>
      <c r="EU68" s="33"/>
      <c r="EV68" s="33"/>
      <c r="EW68" s="33"/>
      <c r="EX68" s="27"/>
      <c r="EZ68" s="14"/>
      <c r="FA68" s="132"/>
      <c r="FB68" s="132"/>
      <c r="FC68" s="5"/>
      <c r="FD68" s="5"/>
      <c r="FE68" s="16"/>
      <c r="FF68" s="5"/>
      <c r="FG68" s="85"/>
      <c r="FH68" s="85"/>
      <c r="FI68" s="33"/>
      <c r="FJ68" s="33"/>
      <c r="FK68" s="33"/>
      <c r="FL68" s="27"/>
      <c r="FN68" s="14"/>
      <c r="FO68" s="132"/>
      <c r="FP68" s="132"/>
      <c r="FQ68" s="5"/>
      <c r="FR68" s="5"/>
      <c r="FS68" s="16"/>
      <c r="FT68" s="5"/>
      <c r="FU68" s="85"/>
      <c r="FV68" s="85"/>
      <c r="FW68" s="33"/>
      <c r="FX68" s="33"/>
      <c r="FY68" s="33"/>
      <c r="FZ68" s="27"/>
      <c r="GB68" s="14"/>
      <c r="GC68" s="132"/>
      <c r="GD68" s="132"/>
      <c r="GE68" s="5"/>
      <c r="GF68" s="5"/>
      <c r="GG68" s="16"/>
      <c r="GH68" s="5"/>
      <c r="GI68" s="85"/>
      <c r="GJ68" s="85"/>
      <c r="GK68" s="33"/>
      <c r="GL68" s="33"/>
      <c r="GM68" s="33"/>
      <c r="GN68" s="27"/>
      <c r="GP68" s="14"/>
      <c r="GQ68" s="132"/>
      <c r="GR68" s="132"/>
      <c r="GS68" s="5"/>
      <c r="GT68" s="5"/>
      <c r="GU68" s="16"/>
      <c r="GV68" s="5"/>
      <c r="GW68" s="85"/>
      <c r="GX68" s="85"/>
      <c r="GY68" s="33"/>
      <c r="GZ68" s="33"/>
      <c r="HA68" s="33"/>
      <c r="HB68" s="27"/>
      <c r="HD68" s="14"/>
      <c r="HE68" s="132"/>
      <c r="HF68" s="132"/>
      <c r="HG68" s="5"/>
      <c r="HH68" s="27"/>
      <c r="HJ68" s="14"/>
      <c r="HK68" s="132"/>
      <c r="HL68" s="132"/>
      <c r="HM68" s="5"/>
      <c r="HN68" s="27"/>
      <c r="HP68" s="14"/>
      <c r="HQ68" s="132"/>
      <c r="HR68" s="132"/>
      <c r="HS68" s="5"/>
      <c r="HT68" s="27"/>
      <c r="HV68" s="14"/>
      <c r="HW68" s="132"/>
      <c r="HX68" s="132"/>
      <c r="HY68" s="5"/>
      <c r="HZ68" s="5"/>
      <c r="IA68" s="16"/>
      <c r="IB68" s="5"/>
      <c r="IC68" s="85"/>
      <c r="ID68" s="85"/>
      <c r="IE68" s="33"/>
      <c r="IF68" s="33"/>
      <c r="IG68" s="33"/>
      <c r="IH68" s="27"/>
      <c r="IJ68" s="14"/>
      <c r="IK68" s="132"/>
      <c r="IL68" s="132"/>
      <c r="IM68" s="5"/>
      <c r="IN68" s="5"/>
      <c r="IO68" s="16"/>
      <c r="IP68" s="5"/>
      <c r="IQ68" s="85"/>
      <c r="IR68" s="85"/>
      <c r="IS68" s="33"/>
      <c r="IT68" s="33"/>
      <c r="IU68" s="33"/>
      <c r="IV68" s="27"/>
      <c r="IX68" s="14"/>
      <c r="IY68" s="132"/>
      <c r="IZ68" s="132"/>
      <c r="JA68" s="5"/>
      <c r="JB68" s="5"/>
      <c r="JC68" s="16"/>
      <c r="JD68" s="5"/>
      <c r="JE68" s="85"/>
      <c r="JF68" s="85"/>
      <c r="JG68" s="33"/>
      <c r="JH68" s="33"/>
      <c r="JI68" s="33"/>
      <c r="JJ68" s="27"/>
      <c r="JL68" s="14"/>
      <c r="JM68" s="132"/>
      <c r="JN68" s="132"/>
      <c r="JO68" s="20"/>
      <c r="JP68" s="20"/>
      <c r="JQ68" s="5"/>
      <c r="JR68" s="5"/>
      <c r="JS68" s="16"/>
      <c r="JT68" s="5"/>
      <c r="JU68" s="85"/>
      <c r="JV68" s="85"/>
      <c r="JW68" s="33"/>
      <c r="JX68" s="33"/>
      <c r="JY68" s="33"/>
      <c r="JZ68" s="27"/>
    </row>
    <row r="69" spans="1:286" ht="15" customHeight="1" thickTop="1" x14ac:dyDescent="0.2">
      <c r="A69" s="23"/>
      <c r="B69" s="34"/>
      <c r="C69" s="16" t="s">
        <v>13</v>
      </c>
      <c r="D69" s="5">
        <f>SUM(D65:D68)</f>
        <v>38000</v>
      </c>
      <c r="E69" s="36"/>
      <c r="F69" s="5"/>
      <c r="G69" s="5"/>
      <c r="H69" s="5">
        <f>SUM(H65:H68)</f>
        <v>34</v>
      </c>
      <c r="I69" s="5"/>
      <c r="J69" s="133" t="s">
        <v>21</v>
      </c>
      <c r="K69" s="133"/>
      <c r="L69" s="4">
        <f>SUM(L65:L68)</f>
        <v>17153</v>
      </c>
      <c r="M69" s="99">
        <f>L69/D69</f>
        <v>0.45139473684210524</v>
      </c>
      <c r="N69" s="31"/>
      <c r="O69" s="28"/>
      <c r="P69" s="23"/>
      <c r="Q69" s="16" t="s">
        <v>13</v>
      </c>
      <c r="R69" s="5">
        <f>SUM(R65:R68)</f>
        <v>45300</v>
      </c>
      <c r="S69" s="36"/>
      <c r="T69" s="5"/>
      <c r="U69" s="5"/>
      <c r="V69" s="5">
        <f>SUM(V65:V68)</f>
        <v>24</v>
      </c>
      <c r="W69" s="5"/>
      <c r="X69" s="133" t="s">
        <v>21</v>
      </c>
      <c r="Y69" s="133"/>
      <c r="Z69" s="4">
        <f>SUM(Z65:Z68)</f>
        <v>18218</v>
      </c>
      <c r="AA69" s="99">
        <f>Z69/R69</f>
        <v>0.40216335540838855</v>
      </c>
      <c r="AB69" s="27"/>
      <c r="AD69" s="23"/>
      <c r="AE69" s="16" t="s">
        <v>13</v>
      </c>
      <c r="AF69" s="5">
        <f>SUM(AF65:AF68)</f>
        <v>56400</v>
      </c>
      <c r="AG69" s="36"/>
      <c r="AH69" s="5"/>
      <c r="AI69" s="5"/>
      <c r="AJ69" s="5">
        <f>SUM(AJ65:AJ68)</f>
        <v>31</v>
      </c>
      <c r="AK69" s="5"/>
      <c r="AL69" s="133" t="s">
        <v>21</v>
      </c>
      <c r="AM69" s="133"/>
      <c r="AN69" s="4">
        <f>SUM(AN65:AN68)</f>
        <v>20889</v>
      </c>
      <c r="AO69" s="99">
        <f>AN69/AF69</f>
        <v>0.37037234042553191</v>
      </c>
      <c r="AP69" s="27"/>
      <c r="AR69" s="23"/>
      <c r="AS69" s="16" t="s">
        <v>13</v>
      </c>
      <c r="AT69" s="5">
        <f>SUM(AT65:AT68)</f>
        <v>37200</v>
      </c>
      <c r="AU69" s="36"/>
      <c r="AV69" s="5"/>
      <c r="AW69" s="5"/>
      <c r="AX69" s="5">
        <f>SUM(AX65:AX68)</f>
        <v>27</v>
      </c>
      <c r="AY69" s="5"/>
      <c r="AZ69" s="133" t="s">
        <v>21</v>
      </c>
      <c r="BA69" s="133"/>
      <c r="BB69" s="4">
        <f>SUM(BB65:BB68)</f>
        <v>4710</v>
      </c>
      <c r="BC69" s="99">
        <f>BB69/AT69</f>
        <v>0.12661290322580646</v>
      </c>
      <c r="BD69" s="27"/>
      <c r="BF69" s="23"/>
      <c r="BG69" s="16" t="s">
        <v>13</v>
      </c>
      <c r="BH69" s="5">
        <f>SUM(BH65:BH68)</f>
        <v>49200</v>
      </c>
      <c r="BI69" s="36"/>
      <c r="BJ69" s="5"/>
      <c r="BK69" s="5"/>
      <c r="BL69" s="5">
        <f>SUM(BL65:BL68)</f>
        <v>21</v>
      </c>
      <c r="BM69" s="5"/>
      <c r="BN69" s="133" t="s">
        <v>21</v>
      </c>
      <c r="BO69" s="133"/>
      <c r="BP69" s="4">
        <f>SUM(BP65:BP68)</f>
        <v>10100</v>
      </c>
      <c r="BQ69" s="99">
        <f>BP69/BH69</f>
        <v>0.20528455284552846</v>
      </c>
      <c r="BR69" s="27"/>
      <c r="BT69" s="23"/>
      <c r="BU69" s="16" t="s">
        <v>13</v>
      </c>
      <c r="BV69" s="5">
        <f>SUM(BV65:BV68)</f>
        <v>26300</v>
      </c>
      <c r="BW69" s="36"/>
      <c r="BX69" s="5"/>
      <c r="BY69" s="5"/>
      <c r="BZ69" s="5">
        <f>SUM(BZ65:BZ68)</f>
        <v>13</v>
      </c>
      <c r="CA69" s="5"/>
      <c r="CB69" s="133" t="s">
        <v>21</v>
      </c>
      <c r="CC69" s="133"/>
      <c r="CD69" s="4">
        <f>SUM(CD65:CD68)</f>
        <v>9196</v>
      </c>
      <c r="CE69" s="99">
        <f>CD69/BV69</f>
        <v>0.34965779467680608</v>
      </c>
      <c r="CF69" s="27"/>
      <c r="CH69" s="23"/>
      <c r="CI69" s="16" t="s">
        <v>13</v>
      </c>
      <c r="CJ69" s="5">
        <f>SUM(CJ65:CJ68)</f>
        <v>55700</v>
      </c>
      <c r="CK69" s="36"/>
      <c r="CL69" s="5"/>
      <c r="CM69" s="5"/>
      <c r="CN69" s="5">
        <f>SUM(CN65:CN68)</f>
        <v>29</v>
      </c>
      <c r="CO69" s="5"/>
      <c r="CP69" s="133" t="s">
        <v>21</v>
      </c>
      <c r="CQ69" s="133"/>
      <c r="CR69" s="4">
        <f>SUM(CR65:CR68)</f>
        <v>7721</v>
      </c>
      <c r="CS69" s="99">
        <f>CR69/CJ69</f>
        <v>0.13861759425493717</v>
      </c>
      <c r="CT69" s="27"/>
      <c r="CV69" s="23"/>
      <c r="CW69" s="16" t="s">
        <v>13</v>
      </c>
      <c r="CX69" s="5">
        <f>SUM(CX65:CX68)</f>
        <v>54300</v>
      </c>
      <c r="CY69" s="36"/>
      <c r="CZ69" s="5"/>
      <c r="DA69" s="5"/>
      <c r="DB69" s="5">
        <f>SUM(DB65:DB68)</f>
        <v>29</v>
      </c>
      <c r="DC69" s="5"/>
      <c r="DD69" s="133" t="s">
        <v>21</v>
      </c>
      <c r="DE69" s="133"/>
      <c r="DF69" s="4">
        <f>SUM(DF65:DF68)</f>
        <v>19657</v>
      </c>
      <c r="DG69" s="99">
        <f>DF69/CX69</f>
        <v>0.36200736648250459</v>
      </c>
      <c r="DH69" s="27"/>
      <c r="DJ69" s="23"/>
      <c r="DK69" s="16" t="s">
        <v>13</v>
      </c>
      <c r="DL69" s="5">
        <f>SUM(DL65:DL68)</f>
        <v>36300</v>
      </c>
      <c r="DM69" s="5"/>
      <c r="DN69" s="5"/>
      <c r="DO69" s="5"/>
      <c r="DP69" s="5">
        <f>SUM(DP65:DP68)</f>
        <v>7</v>
      </c>
      <c r="DQ69" s="5"/>
      <c r="DR69" s="127" t="s">
        <v>21</v>
      </c>
      <c r="DS69" s="127"/>
      <c r="DT69" s="4">
        <f>SUM(DT65:DT68)</f>
        <v>6600</v>
      </c>
      <c r="DU69" s="99">
        <f>DT69/DL69</f>
        <v>0.18181818181818182</v>
      </c>
      <c r="DV69" s="27"/>
      <c r="DX69" s="23"/>
      <c r="DY69" s="16" t="s">
        <v>13</v>
      </c>
      <c r="DZ69" s="5">
        <f>SUM(DZ65:DZ68)</f>
        <v>48600</v>
      </c>
      <c r="EA69" s="5"/>
      <c r="EB69" s="5"/>
      <c r="EC69" s="5"/>
      <c r="ED69" s="5">
        <f>SUM(ED65:ED68)</f>
        <v>12</v>
      </c>
      <c r="EE69" s="5"/>
      <c r="EF69" s="127" t="s">
        <v>21</v>
      </c>
      <c r="EG69" s="127"/>
      <c r="EH69" s="4">
        <f>SUM(EH65:EH68)</f>
        <v>13200</v>
      </c>
      <c r="EI69" s="99">
        <f>EH69/DZ69</f>
        <v>0.27160493827160492</v>
      </c>
      <c r="EJ69" s="27"/>
      <c r="EL69" s="14"/>
      <c r="EM69" s="132"/>
      <c r="EN69" s="132"/>
      <c r="EO69" s="85"/>
      <c r="EP69" s="5"/>
      <c r="EQ69" s="16"/>
      <c r="ER69" s="5"/>
      <c r="ES69" s="85"/>
      <c r="ET69" s="85"/>
      <c r="EU69" s="33"/>
      <c r="EV69" s="33"/>
      <c r="EW69" s="33"/>
      <c r="EX69" s="27"/>
      <c r="EZ69" s="14"/>
      <c r="FA69" s="132"/>
      <c r="FB69" s="132"/>
      <c r="FC69" s="85"/>
      <c r="FD69" s="5"/>
      <c r="FE69" s="16"/>
      <c r="FF69" s="5"/>
      <c r="FG69" s="85"/>
      <c r="FH69" s="85"/>
      <c r="FI69" s="33"/>
      <c r="FJ69" s="33"/>
      <c r="FK69" s="33"/>
      <c r="FL69" s="27"/>
      <c r="FN69" s="14"/>
      <c r="FO69" s="132"/>
      <c r="FP69" s="132"/>
      <c r="FQ69" s="85"/>
      <c r="FR69" s="5"/>
      <c r="FS69" s="16"/>
      <c r="FT69" s="5"/>
      <c r="FU69" s="85"/>
      <c r="FV69" s="85"/>
      <c r="FW69" s="33"/>
      <c r="FX69" s="33"/>
      <c r="FY69" s="33"/>
      <c r="FZ69" s="27"/>
      <c r="GB69" s="14"/>
      <c r="GC69" s="132"/>
      <c r="GD69" s="132"/>
      <c r="GE69" s="85"/>
      <c r="GF69" s="5"/>
      <c r="GG69" s="16"/>
      <c r="GH69" s="5"/>
      <c r="GI69" s="85"/>
      <c r="GJ69" s="85"/>
      <c r="GK69" s="33"/>
      <c r="GL69" s="33"/>
      <c r="GM69" s="33"/>
      <c r="GN69" s="27"/>
      <c r="GP69" s="14"/>
      <c r="GQ69" s="132"/>
      <c r="GR69" s="132"/>
      <c r="GS69" s="85"/>
      <c r="GT69" s="5"/>
      <c r="GU69" s="16"/>
      <c r="GV69" s="5"/>
      <c r="GW69" s="85"/>
      <c r="GX69" s="85"/>
      <c r="GY69" s="33"/>
      <c r="GZ69" s="33"/>
      <c r="HA69" s="33"/>
      <c r="HB69" s="27"/>
      <c r="HD69" s="14"/>
      <c r="HE69" s="132"/>
      <c r="HF69" s="132"/>
      <c r="HG69" s="85"/>
      <c r="HH69" s="27"/>
      <c r="HJ69" s="14"/>
      <c r="HK69" s="132"/>
      <c r="HL69" s="132"/>
      <c r="HM69" s="85"/>
      <c r="HN69" s="27"/>
      <c r="HP69" s="14"/>
      <c r="HQ69" s="132"/>
      <c r="HR69" s="132"/>
      <c r="HS69" s="85"/>
      <c r="HT69" s="27"/>
      <c r="HV69" s="14"/>
      <c r="HW69" s="132"/>
      <c r="HX69" s="132"/>
      <c r="HY69" s="85"/>
      <c r="HZ69" s="5"/>
      <c r="IA69" s="16"/>
      <c r="IB69" s="5"/>
      <c r="IC69" s="85"/>
      <c r="ID69" s="85"/>
      <c r="IE69" s="33"/>
      <c r="IF69" s="33"/>
      <c r="IG69" s="33"/>
      <c r="IH69" s="27"/>
      <c r="IJ69" s="14"/>
      <c r="IK69" s="132"/>
      <c r="IL69" s="132"/>
      <c r="IM69" s="85"/>
      <c r="IN69" s="5"/>
      <c r="IO69" s="16"/>
      <c r="IP69" s="5"/>
      <c r="IQ69" s="85"/>
      <c r="IR69" s="85"/>
      <c r="IS69" s="33"/>
      <c r="IT69" s="33"/>
      <c r="IU69" s="33"/>
      <c r="IV69" s="27"/>
      <c r="IX69" s="14"/>
      <c r="IY69" s="132"/>
      <c r="IZ69" s="132"/>
      <c r="JA69" s="85"/>
      <c r="JB69" s="5"/>
      <c r="JC69" s="16"/>
      <c r="JD69" s="5"/>
      <c r="JE69" s="85"/>
      <c r="JF69" s="85"/>
      <c r="JG69" s="33"/>
      <c r="JH69" s="33"/>
      <c r="JI69" s="33"/>
      <c r="JJ69" s="27"/>
      <c r="JL69" s="14"/>
      <c r="JM69" s="132"/>
      <c r="JN69" s="132"/>
      <c r="JO69" s="20"/>
      <c r="JP69" s="20"/>
      <c r="JQ69" s="85"/>
      <c r="JR69" s="5"/>
      <c r="JS69" s="16"/>
      <c r="JT69" s="5"/>
      <c r="JU69" s="85"/>
      <c r="JV69" s="85"/>
      <c r="JW69" s="33"/>
      <c r="JX69" s="33"/>
      <c r="JY69" s="33"/>
      <c r="JZ69" s="27"/>
    </row>
    <row r="70" spans="1:286" x14ac:dyDescent="0.2">
      <c r="A70" s="100"/>
      <c r="J70" s="102"/>
      <c r="K70" s="13"/>
      <c r="N70" s="103"/>
      <c r="O70" s="28"/>
      <c r="P70" s="100"/>
      <c r="X70" s="1"/>
      <c r="AB70" s="103"/>
      <c r="AD70" s="100"/>
      <c r="AL70" s="1"/>
      <c r="AP70" s="103"/>
      <c r="AR70" s="100"/>
      <c r="AZ70" s="1"/>
      <c r="BD70" s="103"/>
      <c r="BF70" s="100"/>
      <c r="BN70" s="1"/>
      <c r="BR70" s="103"/>
      <c r="BT70" s="100"/>
      <c r="CB70" s="1"/>
      <c r="CF70" s="103"/>
      <c r="CH70" s="100"/>
      <c r="CP70" s="1"/>
      <c r="CT70" s="103"/>
      <c r="CV70" s="100"/>
      <c r="DD70" s="1"/>
      <c r="DH70" s="103"/>
      <c r="EL70" s="104"/>
      <c r="EZ70" s="104"/>
      <c r="FN70" s="104"/>
      <c r="GB70" s="104"/>
      <c r="GP70" s="104"/>
      <c r="HD70" s="104"/>
      <c r="HJ70" s="104"/>
      <c r="HP70" s="104"/>
      <c r="HV70" s="104"/>
      <c r="IJ70" s="104"/>
      <c r="IX70" s="104"/>
      <c r="JL70" s="104"/>
    </row>
    <row r="71" spans="1:286" x14ac:dyDescent="0.2">
      <c r="B71" s="128" t="s">
        <v>135</v>
      </c>
      <c r="C71" s="129"/>
      <c r="D71" s="130" t="s">
        <v>136</v>
      </c>
      <c r="E71" s="131"/>
      <c r="F71" s="130" t="s">
        <v>137</v>
      </c>
      <c r="G71" s="131"/>
      <c r="K71" s="13"/>
      <c r="EL71" s="104"/>
      <c r="EZ71" s="104"/>
      <c r="FN71" s="104"/>
      <c r="GB71" s="104"/>
      <c r="GP71" s="104"/>
      <c r="HD71" s="104"/>
      <c r="HJ71" s="104"/>
      <c r="HP71" s="104"/>
      <c r="HV71" s="104"/>
      <c r="IJ71" s="104"/>
      <c r="IX71" s="104"/>
      <c r="JL71" s="104"/>
    </row>
    <row r="72" spans="1:286" x14ac:dyDescent="0.2">
      <c r="B72" s="122">
        <f>B63/A64*A63</f>
        <v>2667600</v>
      </c>
      <c r="C72" s="123"/>
      <c r="D72" s="124">
        <f>L59+Z59+BB59+CR59+DF59+DT59+EH59+ER61+FF61+FT61+GH61+BP59+CD59+GV61+AN59</f>
        <v>150933</v>
      </c>
      <c r="E72" s="125"/>
      <c r="F72" s="124">
        <f>K62+Y62</f>
        <v>0</v>
      </c>
      <c r="G72" s="125"/>
      <c r="K72" s="13"/>
      <c r="DZ72" s="13" t="s">
        <v>25</v>
      </c>
      <c r="EB72" s="13" t="s">
        <v>25</v>
      </c>
      <c r="EL72" s="104"/>
      <c r="EZ72" s="104"/>
      <c r="FN72" s="104"/>
      <c r="GB72" s="104"/>
      <c r="GP72" s="104"/>
      <c r="HD72" s="104"/>
      <c r="HJ72" s="104"/>
      <c r="HP72" s="104"/>
      <c r="HV72" s="104"/>
      <c r="IJ72" s="104"/>
      <c r="IX72" s="104"/>
      <c r="JL72" s="104"/>
    </row>
    <row r="73" spans="1:286" x14ac:dyDescent="0.2">
      <c r="B73" s="105"/>
      <c r="C73" s="105"/>
      <c r="D73" s="21" t="s">
        <v>36</v>
      </c>
      <c r="E73" s="106">
        <f>D72/B63</f>
        <v>0.38191548582995949</v>
      </c>
      <c r="F73" s="5"/>
      <c r="G73" s="5"/>
      <c r="H73" s="28"/>
      <c r="K73" s="13"/>
      <c r="DZ73" s="13" t="s">
        <v>25</v>
      </c>
      <c r="EB73" s="13" t="s">
        <v>25</v>
      </c>
    </row>
    <row r="74" spans="1:286" ht="15" customHeight="1" x14ac:dyDescent="0.2">
      <c r="K74" s="13"/>
    </row>
    <row r="75" spans="1:286" ht="15" customHeight="1" x14ac:dyDescent="0.2">
      <c r="K75" s="13"/>
    </row>
    <row r="76" spans="1:286" ht="15" customHeight="1" x14ac:dyDescent="0.2">
      <c r="K76" s="13"/>
    </row>
    <row r="77" spans="1:286" ht="15" customHeight="1" x14ac:dyDescent="0.2">
      <c r="K77" s="13"/>
    </row>
    <row r="78" spans="1:286" ht="15" customHeight="1" x14ac:dyDescent="0.2">
      <c r="K78" s="13"/>
    </row>
    <row r="79" spans="1:286" ht="15" customHeight="1" x14ac:dyDescent="0.2">
      <c r="K79" s="13"/>
    </row>
    <row r="80" spans="1:286" ht="15" customHeight="1" x14ac:dyDescent="0.2">
      <c r="K80" s="13"/>
    </row>
    <row r="81" spans="11:11" ht="15" customHeight="1" x14ac:dyDescent="0.2">
      <c r="K81" s="13"/>
    </row>
    <row r="82" spans="11:11" ht="15" customHeight="1" x14ac:dyDescent="0.2">
      <c r="K82" s="13"/>
    </row>
    <row r="83" spans="11:11" ht="15" customHeight="1" x14ac:dyDescent="0.2">
      <c r="K83" s="13"/>
    </row>
    <row r="84" spans="11:11" ht="15" customHeight="1" x14ac:dyDescent="0.2">
      <c r="K84" s="13"/>
    </row>
    <row r="85" spans="11:11" ht="15" customHeight="1" x14ac:dyDescent="0.2">
      <c r="K85" s="13"/>
    </row>
    <row r="86" spans="11:11" ht="15" customHeight="1" x14ac:dyDescent="0.2">
      <c r="K86" s="13"/>
    </row>
    <row r="87" spans="11:11" ht="15" customHeight="1" x14ac:dyDescent="0.2">
      <c r="K87" s="13"/>
    </row>
    <row r="88" spans="11:11" ht="15" customHeight="1" x14ac:dyDescent="0.2">
      <c r="K88" s="13"/>
    </row>
    <row r="89" spans="11:11" ht="15" customHeight="1" x14ac:dyDescent="0.2">
      <c r="K89" s="13"/>
    </row>
    <row r="90" spans="11:11" ht="15" customHeight="1" x14ac:dyDescent="0.2">
      <c r="K90" s="13"/>
    </row>
    <row r="91" spans="11:11" ht="15" customHeight="1" x14ac:dyDescent="0.2">
      <c r="K91" s="13"/>
    </row>
    <row r="92" spans="11:11" ht="15" customHeight="1" x14ac:dyDescent="0.2">
      <c r="K92" s="13"/>
    </row>
    <row r="93" spans="11:11" ht="15" customHeight="1" x14ac:dyDescent="0.2">
      <c r="K93" s="13"/>
    </row>
    <row r="94" spans="11:11" x14ac:dyDescent="0.2">
      <c r="K94" s="13"/>
    </row>
    <row r="95" spans="11:11" ht="15" customHeight="1" x14ac:dyDescent="0.2">
      <c r="K95" s="13"/>
    </row>
    <row r="96" spans="11:11" x14ac:dyDescent="0.2">
      <c r="K96" s="13"/>
    </row>
    <row r="97" spans="11:11" x14ac:dyDescent="0.2">
      <c r="K97" s="13"/>
    </row>
    <row r="98" spans="11:11" ht="15" customHeight="1" x14ac:dyDescent="0.2">
      <c r="K98" s="13"/>
    </row>
    <row r="99" spans="11:11" ht="15" customHeight="1" x14ac:dyDescent="0.2">
      <c r="K99" s="13"/>
    </row>
    <row r="100" spans="11:11" ht="15" customHeight="1" x14ac:dyDescent="0.2">
      <c r="K100" s="13"/>
    </row>
    <row r="101" spans="11:11" ht="15" customHeight="1" x14ac:dyDescent="0.2">
      <c r="K101" s="13"/>
    </row>
    <row r="102" spans="11:11" ht="15" customHeight="1" x14ac:dyDescent="0.2">
      <c r="K102" s="13"/>
    </row>
    <row r="103" spans="11:11" ht="15" customHeight="1" x14ac:dyDescent="0.2">
      <c r="K103" s="13"/>
    </row>
    <row r="104" spans="11:11" x14ac:dyDescent="0.2">
      <c r="K104" s="13"/>
    </row>
    <row r="105" spans="11:11" x14ac:dyDescent="0.2">
      <c r="K105" s="13"/>
    </row>
    <row r="106" spans="11:11" x14ac:dyDescent="0.2">
      <c r="K106" s="13"/>
    </row>
    <row r="107" spans="11:11" x14ac:dyDescent="0.2">
      <c r="K107" s="13"/>
    </row>
    <row r="108" spans="11:11" x14ac:dyDescent="0.2">
      <c r="K108" s="13"/>
    </row>
    <row r="109" spans="11:11" x14ac:dyDescent="0.2">
      <c r="K109" s="13"/>
    </row>
    <row r="110" spans="11:11" x14ac:dyDescent="0.2">
      <c r="K110" s="13"/>
    </row>
    <row r="111" spans="11:11" x14ac:dyDescent="0.2">
      <c r="K111" s="13"/>
    </row>
    <row r="112" spans="11:11" x14ac:dyDescent="0.2">
      <c r="K112" s="13"/>
    </row>
    <row r="113" spans="11:11" x14ac:dyDescent="0.2">
      <c r="K113" s="13"/>
    </row>
    <row r="114" spans="11:11" x14ac:dyDescent="0.2">
      <c r="K114" s="13"/>
    </row>
    <row r="115" spans="11:11" x14ac:dyDescent="0.2">
      <c r="K115" s="13"/>
    </row>
    <row r="116" spans="11:11" x14ac:dyDescent="0.2">
      <c r="K116" s="13"/>
    </row>
    <row r="117" spans="11:11" x14ac:dyDescent="0.2">
      <c r="K117" s="13"/>
    </row>
    <row r="118" spans="11:11" x14ac:dyDescent="0.2">
      <c r="K118" s="13"/>
    </row>
    <row r="119" spans="11:11" ht="16.5" customHeight="1" x14ac:dyDescent="0.2">
      <c r="K119" s="13"/>
    </row>
    <row r="120" spans="11:11" x14ac:dyDescent="0.2">
      <c r="K120" s="13"/>
    </row>
    <row r="121" spans="11:11" x14ac:dyDescent="0.2">
      <c r="K121" s="13"/>
    </row>
    <row r="122" spans="11:11" x14ac:dyDescent="0.2">
      <c r="K122" s="13"/>
    </row>
    <row r="123" spans="11:11" x14ac:dyDescent="0.2">
      <c r="K123" s="13"/>
    </row>
    <row r="124" spans="11:11" ht="15.75" customHeight="1" x14ac:dyDescent="0.2">
      <c r="K124" s="13"/>
    </row>
    <row r="125" spans="11:11" ht="15.75" customHeight="1" x14ac:dyDescent="0.2">
      <c r="K125" s="13"/>
    </row>
    <row r="126" spans="11:11" ht="15.75" customHeight="1" x14ac:dyDescent="0.2">
      <c r="K126" s="13"/>
    </row>
    <row r="127" spans="11:11" ht="15.75" customHeight="1" x14ac:dyDescent="0.2">
      <c r="K127" s="13"/>
    </row>
    <row r="128" spans="11:11" ht="15.75" customHeight="1" x14ac:dyDescent="0.2">
      <c r="K128" s="13"/>
    </row>
    <row r="129" spans="11:11" ht="15.75" customHeight="1" x14ac:dyDescent="0.2">
      <c r="K129" s="13"/>
    </row>
    <row r="130" spans="11:11" ht="15.75" customHeight="1" x14ac:dyDescent="0.2">
      <c r="K130" s="13"/>
    </row>
    <row r="131" spans="11:11" ht="15.75" customHeight="1" x14ac:dyDescent="0.2">
      <c r="K131" s="13"/>
    </row>
    <row r="132" spans="11:11" ht="15.75" customHeight="1" x14ac:dyDescent="0.2">
      <c r="K132" s="13"/>
    </row>
    <row r="133" spans="11:11" ht="15.75" customHeight="1" x14ac:dyDescent="0.2">
      <c r="K133" s="13"/>
    </row>
    <row r="134" spans="11:11" ht="15.75" customHeight="1" x14ac:dyDescent="0.2">
      <c r="K134" s="13"/>
    </row>
    <row r="135" spans="11:11" ht="15.75" customHeight="1" x14ac:dyDescent="0.2">
      <c r="K135" s="13"/>
    </row>
    <row r="136" spans="11:11" ht="15.75" customHeight="1" x14ac:dyDescent="0.2">
      <c r="K136" s="13"/>
    </row>
    <row r="137" spans="11:11" ht="15.75" customHeight="1" x14ac:dyDescent="0.2">
      <c r="K137" s="13"/>
    </row>
    <row r="138" spans="11:11" ht="15.75" customHeight="1" x14ac:dyDescent="0.2">
      <c r="K138" s="13"/>
    </row>
    <row r="139" spans="11:11" ht="15" customHeight="1" x14ac:dyDescent="0.2">
      <c r="K139" s="13"/>
    </row>
    <row r="140" spans="11:11" ht="15.75" customHeight="1" x14ac:dyDescent="0.2">
      <c r="K140" s="13"/>
    </row>
    <row r="141" spans="11:11" ht="15.75" customHeight="1" x14ac:dyDescent="0.2">
      <c r="K141" s="13"/>
    </row>
    <row r="142" spans="11:11" ht="15.75" customHeight="1" x14ac:dyDescent="0.2">
      <c r="K142" s="13"/>
    </row>
    <row r="143" spans="11:11" ht="15.75" customHeight="1" x14ac:dyDescent="0.2">
      <c r="K143" s="13"/>
    </row>
    <row r="144" spans="11:11" ht="15.75" customHeight="1" x14ac:dyDescent="0.2">
      <c r="K144" s="13"/>
    </row>
    <row r="145" spans="11:11" ht="15.75" customHeight="1" x14ac:dyDescent="0.2">
      <c r="K145" s="13"/>
    </row>
    <row r="146" spans="11:11" ht="15.75" customHeight="1" x14ac:dyDescent="0.2">
      <c r="K146" s="13"/>
    </row>
    <row r="147" spans="11:11" ht="15.75" customHeight="1" x14ac:dyDescent="0.2">
      <c r="K147" s="13"/>
    </row>
    <row r="148" spans="11:11" ht="15.75" customHeight="1" x14ac:dyDescent="0.2">
      <c r="K148" s="13"/>
    </row>
    <row r="149" spans="11:11" ht="15.75" customHeight="1" x14ac:dyDescent="0.2">
      <c r="K149" s="13"/>
    </row>
    <row r="150" spans="11:11" ht="15.75" customHeight="1" x14ac:dyDescent="0.2">
      <c r="K150" s="13"/>
    </row>
    <row r="151" spans="11:11" ht="15.75" customHeight="1" x14ac:dyDescent="0.2">
      <c r="K151" s="13"/>
    </row>
    <row r="152" spans="11:11" ht="15.75" customHeight="1" x14ac:dyDescent="0.2">
      <c r="K152" s="13"/>
    </row>
    <row r="153" spans="11:11" ht="15.75" customHeight="1" x14ac:dyDescent="0.2">
      <c r="K153" s="13"/>
    </row>
    <row r="154" spans="11:11" ht="15.75" customHeight="1" x14ac:dyDescent="0.2">
      <c r="K154" s="13"/>
    </row>
    <row r="155" spans="11:11" ht="15.75" customHeight="1" x14ac:dyDescent="0.2">
      <c r="K155" s="13"/>
    </row>
    <row r="156" spans="11:11" ht="15.75" customHeight="1" x14ac:dyDescent="0.2">
      <c r="K156" s="13"/>
    </row>
    <row r="157" spans="11:11" ht="15.75" customHeight="1" x14ac:dyDescent="0.2">
      <c r="K157" s="13"/>
    </row>
    <row r="158" spans="11:11" ht="15.75" customHeight="1" x14ac:dyDescent="0.2">
      <c r="K158" s="13"/>
    </row>
    <row r="159" spans="11:11" ht="15.75" customHeight="1" x14ac:dyDescent="0.2">
      <c r="K159" s="13"/>
    </row>
    <row r="160" spans="11:11" ht="15.75" customHeight="1" x14ac:dyDescent="0.2">
      <c r="K160" s="13"/>
    </row>
    <row r="161" spans="11:11" ht="15.75" customHeight="1" x14ac:dyDescent="0.2">
      <c r="K161" s="13"/>
    </row>
    <row r="162" spans="11:11" ht="15.75" customHeight="1" x14ac:dyDescent="0.2">
      <c r="K162" s="13"/>
    </row>
    <row r="163" spans="11:11" ht="15.75" customHeight="1" x14ac:dyDescent="0.2">
      <c r="K163" s="13"/>
    </row>
    <row r="164" spans="11:11" ht="15.75" customHeight="1" x14ac:dyDescent="0.2">
      <c r="K164" s="13"/>
    </row>
    <row r="165" spans="11:11" ht="15.75" customHeight="1" x14ac:dyDescent="0.2">
      <c r="K165" s="13"/>
    </row>
    <row r="166" spans="11:11" ht="15.75" customHeight="1" x14ac:dyDescent="0.2">
      <c r="K166" s="13"/>
    </row>
    <row r="167" spans="11:11" ht="15.75" customHeight="1" x14ac:dyDescent="0.2">
      <c r="K167" s="13"/>
    </row>
    <row r="168" spans="11:11" ht="15.75" customHeight="1" x14ac:dyDescent="0.2">
      <c r="K168" s="13"/>
    </row>
    <row r="169" spans="11:11" ht="15.75" customHeight="1" x14ac:dyDescent="0.2">
      <c r="K169" s="13"/>
    </row>
    <row r="170" spans="11:11" ht="15.75" customHeight="1" x14ac:dyDescent="0.2">
      <c r="K170" s="13"/>
    </row>
    <row r="171" spans="11:11" ht="15.75" customHeight="1" x14ac:dyDescent="0.2">
      <c r="K171" s="13"/>
    </row>
    <row r="172" spans="11:11" ht="15.75" customHeight="1" x14ac:dyDescent="0.2">
      <c r="K172" s="13"/>
    </row>
    <row r="173" spans="11:11" ht="15.75" customHeight="1" x14ac:dyDescent="0.2">
      <c r="K173" s="13"/>
    </row>
    <row r="174" spans="11:11" ht="15.75" customHeight="1" x14ac:dyDescent="0.2">
      <c r="K174" s="13"/>
    </row>
    <row r="175" spans="11:11" ht="15.75" customHeight="1" x14ac:dyDescent="0.2">
      <c r="K175" s="13"/>
    </row>
    <row r="176" spans="11:11" ht="15.75" customHeight="1" x14ac:dyDescent="0.2">
      <c r="K176" s="13"/>
    </row>
    <row r="177" spans="11:11" ht="15.75" customHeight="1" x14ac:dyDescent="0.2">
      <c r="K177" s="13"/>
    </row>
    <row r="178" spans="11:11" ht="15.75" customHeight="1" x14ac:dyDescent="0.2">
      <c r="K178" s="13"/>
    </row>
    <row r="179" spans="11:11" ht="15.75" customHeight="1" x14ac:dyDescent="0.2">
      <c r="K179" s="13"/>
    </row>
    <row r="180" spans="11:11" ht="15.75" customHeight="1" x14ac:dyDescent="0.2">
      <c r="K180" s="13"/>
    </row>
    <row r="181" spans="11:11" ht="15.75" customHeight="1" x14ac:dyDescent="0.2">
      <c r="K181" s="13"/>
    </row>
    <row r="182" spans="11:11" ht="15.75" customHeight="1" x14ac:dyDescent="0.2">
      <c r="K182" s="13"/>
    </row>
    <row r="183" spans="11:11" ht="15.75" customHeight="1" x14ac:dyDescent="0.2">
      <c r="K183" s="13"/>
    </row>
    <row r="184" spans="11:11" ht="15.75" customHeight="1" x14ac:dyDescent="0.2">
      <c r="K184" s="13"/>
    </row>
    <row r="185" spans="11:11" ht="15.75" customHeight="1" x14ac:dyDescent="0.2">
      <c r="K185" s="13"/>
    </row>
    <row r="186" spans="11:11" ht="15.75" customHeight="1" x14ac:dyDescent="0.2">
      <c r="K186" s="13"/>
    </row>
    <row r="187" spans="11:11" ht="15.75" customHeight="1" x14ac:dyDescent="0.2">
      <c r="K187" s="13"/>
    </row>
    <row r="188" spans="11:11" ht="15.75" customHeight="1" x14ac:dyDescent="0.2">
      <c r="K188" s="13"/>
    </row>
    <row r="189" spans="11:11" ht="15.75" customHeight="1" x14ac:dyDescent="0.2">
      <c r="K189" s="13"/>
    </row>
    <row r="190" spans="11:11" ht="16.5" customHeight="1" x14ac:dyDescent="0.2">
      <c r="K190" s="13"/>
    </row>
    <row r="191" spans="11:11" ht="15.75" customHeight="1" x14ac:dyDescent="0.2">
      <c r="K191" s="13"/>
    </row>
    <row r="192" spans="11:11" ht="15.75" customHeight="1" x14ac:dyDescent="0.2">
      <c r="K192" s="13"/>
    </row>
    <row r="193" spans="11:11" ht="15.75" customHeight="1" x14ac:dyDescent="0.2">
      <c r="K193" s="13"/>
    </row>
    <row r="194" spans="11:11" ht="15.75" customHeight="1" x14ac:dyDescent="0.2">
      <c r="K194" s="13"/>
    </row>
    <row r="195" spans="11:11" ht="15.75" customHeight="1" x14ac:dyDescent="0.2">
      <c r="K195" s="13"/>
    </row>
    <row r="196" spans="11:11" ht="15.75" customHeight="1" x14ac:dyDescent="0.2">
      <c r="K196" s="13"/>
    </row>
    <row r="197" spans="11:11" ht="15.75" customHeight="1" x14ac:dyDescent="0.2">
      <c r="K197" s="13"/>
    </row>
    <row r="198" spans="11:11" ht="15.75" customHeight="1" x14ac:dyDescent="0.2">
      <c r="K198" s="13"/>
    </row>
    <row r="199" spans="11:11" ht="15.75" customHeight="1" x14ac:dyDescent="0.2">
      <c r="K199" s="13"/>
    </row>
    <row r="200" spans="11:11" ht="15.75" customHeight="1" x14ac:dyDescent="0.2">
      <c r="K200" s="13"/>
    </row>
    <row r="201" spans="11:11" ht="15.75" customHeight="1" x14ac:dyDescent="0.2">
      <c r="K201" s="13"/>
    </row>
    <row r="202" spans="11:11" ht="15.75" customHeight="1" x14ac:dyDescent="0.2">
      <c r="K202" s="13"/>
    </row>
    <row r="203" spans="11:11" ht="15.75" customHeight="1" x14ac:dyDescent="0.2">
      <c r="K203" s="13"/>
    </row>
    <row r="204" spans="11:11" ht="15.75" customHeight="1" x14ac:dyDescent="0.2">
      <c r="K204" s="13"/>
    </row>
    <row r="205" spans="11:11" ht="15.75" customHeight="1" x14ac:dyDescent="0.2">
      <c r="K205" s="13"/>
    </row>
    <row r="206" spans="11:11" ht="15.75" customHeight="1" x14ac:dyDescent="0.2">
      <c r="K206" s="13"/>
    </row>
    <row r="207" spans="11:11" ht="15.75" customHeight="1" x14ac:dyDescent="0.2">
      <c r="K207" s="13"/>
    </row>
    <row r="208" spans="11:11" ht="15.75" customHeight="1" x14ac:dyDescent="0.2">
      <c r="K208" s="13"/>
    </row>
    <row r="209" spans="11:11" ht="15.75" customHeight="1" x14ac:dyDescent="0.2">
      <c r="K209" s="13"/>
    </row>
    <row r="210" spans="11:11" ht="15" customHeight="1" x14ac:dyDescent="0.2">
      <c r="K210" s="13"/>
    </row>
    <row r="211" spans="11:11" ht="15.75" customHeight="1" x14ac:dyDescent="0.2">
      <c r="K211" s="13"/>
    </row>
    <row r="212" spans="11:11" ht="15.75" customHeight="1" x14ac:dyDescent="0.2">
      <c r="K212" s="13"/>
    </row>
    <row r="213" spans="11:11" ht="15.75" customHeight="1" x14ac:dyDescent="0.2">
      <c r="K213" s="13"/>
    </row>
    <row r="214" spans="11:11" ht="15.75" customHeight="1" x14ac:dyDescent="0.2">
      <c r="K214" s="13"/>
    </row>
    <row r="215" spans="11:11" ht="15.75" customHeight="1" x14ac:dyDescent="0.2">
      <c r="K215" s="13"/>
    </row>
    <row r="216" spans="11:11" ht="15.75" customHeight="1" x14ac:dyDescent="0.2">
      <c r="K216" s="13"/>
    </row>
    <row r="217" spans="11:11" ht="15.75" customHeight="1" x14ac:dyDescent="0.2">
      <c r="K217" s="13"/>
    </row>
    <row r="218" spans="11:11" ht="15.75" customHeight="1" x14ac:dyDescent="0.2">
      <c r="K218" s="13"/>
    </row>
    <row r="219" spans="11:11" ht="15.75" customHeight="1" x14ac:dyDescent="0.2">
      <c r="K219" s="13"/>
    </row>
    <row r="220" spans="11:11" ht="15.75" customHeight="1" x14ac:dyDescent="0.2">
      <c r="K220" s="13"/>
    </row>
    <row r="221" spans="11:11" ht="15.75" customHeight="1" x14ac:dyDescent="0.2">
      <c r="K221" s="13"/>
    </row>
    <row r="222" spans="11:11" ht="15.75" customHeight="1" x14ac:dyDescent="0.2">
      <c r="K222" s="13"/>
    </row>
    <row r="223" spans="11:11" ht="15.75" customHeight="1" x14ac:dyDescent="0.2">
      <c r="K223" s="13"/>
    </row>
    <row r="224" spans="11:11" ht="15.75" customHeight="1" x14ac:dyDescent="0.2">
      <c r="K224" s="13"/>
    </row>
    <row r="225" spans="11:11" ht="15.75" customHeight="1" x14ac:dyDescent="0.2">
      <c r="K225" s="13"/>
    </row>
    <row r="226" spans="11:11" ht="15.75" customHeight="1" x14ac:dyDescent="0.2">
      <c r="K226" s="13"/>
    </row>
    <row r="227" spans="11:11" ht="15.75" customHeight="1" x14ac:dyDescent="0.2">
      <c r="K227" s="13"/>
    </row>
    <row r="228" spans="11:11" ht="15.75" customHeight="1" x14ac:dyDescent="0.2">
      <c r="K228" s="13"/>
    </row>
    <row r="229" spans="11:11" ht="15.75" customHeight="1" x14ac:dyDescent="0.2">
      <c r="K229" s="13"/>
    </row>
    <row r="230" spans="11:11" ht="15.75" customHeight="1" x14ac:dyDescent="0.2">
      <c r="K230" s="13"/>
    </row>
    <row r="231" spans="11:11" ht="15.75" customHeight="1" x14ac:dyDescent="0.2">
      <c r="K231" s="13"/>
    </row>
    <row r="232" spans="11:11" ht="15.75" customHeight="1" x14ac:dyDescent="0.2">
      <c r="K232" s="13"/>
    </row>
    <row r="233" spans="11:11" ht="15.75" customHeight="1" x14ac:dyDescent="0.2">
      <c r="K233" s="13"/>
    </row>
    <row r="234" spans="11:11" ht="15.75" customHeight="1" x14ac:dyDescent="0.2">
      <c r="K234" s="13"/>
    </row>
    <row r="235" spans="11:11" ht="15.75" customHeight="1" x14ac:dyDescent="0.2">
      <c r="K235" s="13"/>
    </row>
    <row r="236" spans="11:11" ht="15.75" customHeight="1" x14ac:dyDescent="0.2">
      <c r="K236" s="13"/>
    </row>
    <row r="237" spans="11:11" ht="15.75" customHeight="1" x14ac:dyDescent="0.2">
      <c r="K237" s="13"/>
    </row>
    <row r="238" spans="11:11" ht="15.75" customHeight="1" x14ac:dyDescent="0.2">
      <c r="K238" s="13"/>
    </row>
    <row r="239" spans="11:11" ht="15.75" customHeight="1" x14ac:dyDescent="0.2">
      <c r="K239" s="13"/>
    </row>
    <row r="240" spans="11:11" ht="15.75" customHeight="1" x14ac:dyDescent="0.2">
      <c r="K240" s="13"/>
    </row>
    <row r="241" spans="11:11" ht="15.75" customHeight="1" x14ac:dyDescent="0.2">
      <c r="K241" s="13"/>
    </row>
    <row r="242" spans="11:11" ht="15.75" customHeight="1" x14ac:dyDescent="0.2">
      <c r="K242" s="13"/>
    </row>
    <row r="243" spans="11:11" ht="15.75" customHeight="1" x14ac:dyDescent="0.2">
      <c r="K243" s="13"/>
    </row>
    <row r="244" spans="11:11" ht="15.75" customHeight="1" x14ac:dyDescent="0.2">
      <c r="K244" s="13"/>
    </row>
    <row r="245" spans="11:11" ht="15.75" customHeight="1" x14ac:dyDescent="0.2">
      <c r="K245" s="13"/>
    </row>
    <row r="246" spans="11:11" ht="15.75" customHeight="1" x14ac:dyDescent="0.2">
      <c r="K246" s="13"/>
    </row>
    <row r="247" spans="11:11" ht="15.75" customHeight="1" x14ac:dyDescent="0.2">
      <c r="K247" s="13"/>
    </row>
    <row r="248" spans="11:11" ht="15.75" customHeight="1" x14ac:dyDescent="0.2">
      <c r="K248" s="13"/>
    </row>
    <row r="249" spans="11:11" ht="15.75" customHeight="1" x14ac:dyDescent="0.2">
      <c r="K249" s="13"/>
    </row>
    <row r="250" spans="11:11" ht="15.75" customHeight="1" x14ac:dyDescent="0.2">
      <c r="K250" s="13"/>
    </row>
    <row r="251" spans="11:11" ht="15.75" customHeight="1" x14ac:dyDescent="0.2">
      <c r="K251" s="13"/>
    </row>
    <row r="252" spans="11:11" ht="15.75" customHeight="1" x14ac:dyDescent="0.2">
      <c r="K252" s="13"/>
    </row>
    <row r="253" spans="11:11" ht="15.75" customHeight="1" x14ac:dyDescent="0.2">
      <c r="K253" s="13"/>
    </row>
    <row r="254" spans="11:11" ht="15.75" customHeight="1" x14ac:dyDescent="0.2">
      <c r="K254" s="13"/>
    </row>
    <row r="255" spans="11:11" ht="15.75" customHeight="1" x14ac:dyDescent="0.2">
      <c r="K255" s="13"/>
    </row>
    <row r="256" spans="11:11" ht="15.75" customHeight="1" x14ac:dyDescent="0.2">
      <c r="K256" s="13"/>
    </row>
    <row r="257" spans="11:11" ht="15.75" customHeight="1" x14ac:dyDescent="0.2">
      <c r="K257" s="13"/>
    </row>
    <row r="258" spans="11:11" ht="15.75" customHeight="1" x14ac:dyDescent="0.2">
      <c r="K258" s="13"/>
    </row>
    <row r="259" spans="11:11" ht="15.75" customHeight="1" x14ac:dyDescent="0.2">
      <c r="K259" s="13"/>
    </row>
    <row r="260" spans="11:11" ht="15.75" customHeight="1" x14ac:dyDescent="0.2">
      <c r="K260" s="13"/>
    </row>
    <row r="261" spans="11:11" ht="16.5" customHeight="1" x14ac:dyDescent="0.2">
      <c r="K261" s="13"/>
    </row>
    <row r="262" spans="11:11" ht="15.75" customHeight="1" x14ac:dyDescent="0.2">
      <c r="K262" s="13"/>
    </row>
    <row r="263" spans="11:11" ht="15.75" customHeight="1" x14ac:dyDescent="0.2">
      <c r="K263" s="13"/>
    </row>
    <row r="264" spans="11:11" ht="15.75" customHeight="1" x14ac:dyDescent="0.2">
      <c r="K264" s="13"/>
    </row>
    <row r="265" spans="11:11" ht="15.75" customHeight="1" x14ac:dyDescent="0.2">
      <c r="K265" s="13"/>
    </row>
    <row r="266" spans="11:11" ht="15.75" customHeight="1" x14ac:dyDescent="0.2">
      <c r="K266" s="13"/>
    </row>
    <row r="267" spans="11:11" ht="15.75" customHeight="1" x14ac:dyDescent="0.2">
      <c r="K267" s="13"/>
    </row>
    <row r="268" spans="11:11" ht="15.75" customHeight="1" x14ac:dyDescent="0.2">
      <c r="K268" s="13"/>
    </row>
    <row r="269" spans="11:11" ht="15.75" customHeight="1" x14ac:dyDescent="0.2">
      <c r="K269" s="13"/>
    </row>
    <row r="270" spans="11:11" ht="15.75" customHeight="1" x14ac:dyDescent="0.2">
      <c r="K270" s="13"/>
    </row>
    <row r="271" spans="11:11" ht="15.75" customHeight="1" x14ac:dyDescent="0.2">
      <c r="K271" s="13"/>
    </row>
    <row r="272" spans="11:11" ht="15.75" customHeight="1" x14ac:dyDescent="0.2">
      <c r="K272" s="13"/>
    </row>
    <row r="273" spans="11:11" ht="15.75" customHeight="1" x14ac:dyDescent="0.2">
      <c r="K273" s="13"/>
    </row>
    <row r="274" spans="11:11" ht="15.75" customHeight="1" x14ac:dyDescent="0.2">
      <c r="K274" s="13"/>
    </row>
    <row r="275" spans="11:11" ht="15.75" customHeight="1" x14ac:dyDescent="0.2">
      <c r="K275" s="13"/>
    </row>
    <row r="276" spans="11:11" ht="15.75" customHeight="1" x14ac:dyDescent="0.2">
      <c r="K276" s="13"/>
    </row>
    <row r="277" spans="11:11" ht="15.75" customHeight="1" x14ac:dyDescent="0.2">
      <c r="K277" s="13"/>
    </row>
    <row r="278" spans="11:11" ht="15.75" customHeight="1" x14ac:dyDescent="0.2">
      <c r="K278" s="13"/>
    </row>
    <row r="279" spans="11:11" ht="15.75" customHeight="1" x14ac:dyDescent="0.2">
      <c r="K279" s="13"/>
    </row>
    <row r="280" spans="11:11" ht="15.75" customHeight="1" x14ac:dyDescent="0.2">
      <c r="K280" s="13"/>
    </row>
    <row r="281" spans="11:11" ht="15" customHeight="1" x14ac:dyDescent="0.2">
      <c r="K281" s="13"/>
    </row>
    <row r="282" spans="11:11" ht="15.75" customHeight="1" x14ac:dyDescent="0.2">
      <c r="K282" s="13"/>
    </row>
    <row r="283" spans="11:11" ht="15.75" customHeight="1" x14ac:dyDescent="0.2">
      <c r="K283" s="13"/>
    </row>
    <row r="284" spans="11:11" ht="15.75" customHeight="1" x14ac:dyDescent="0.2">
      <c r="K284" s="13"/>
    </row>
    <row r="285" spans="11:11" ht="15.75" customHeight="1" x14ac:dyDescent="0.2">
      <c r="K285" s="13"/>
    </row>
    <row r="286" spans="11:11" ht="15.75" customHeight="1" x14ac:dyDescent="0.2">
      <c r="K286" s="13"/>
    </row>
    <row r="287" spans="11:11" ht="15.75" customHeight="1" x14ac:dyDescent="0.2">
      <c r="K287" s="13"/>
    </row>
    <row r="288" spans="11:11" ht="15.75" customHeight="1" x14ac:dyDescent="0.2">
      <c r="K288" s="13"/>
    </row>
    <row r="289" spans="11:11" ht="15.75" customHeight="1" x14ac:dyDescent="0.2">
      <c r="K289" s="13"/>
    </row>
    <row r="290" spans="11:11" ht="15.75" customHeight="1" x14ac:dyDescent="0.2">
      <c r="K290" s="13"/>
    </row>
    <row r="291" spans="11:11" ht="15.75" customHeight="1" x14ac:dyDescent="0.2">
      <c r="K291" s="13"/>
    </row>
    <row r="292" spans="11:11" ht="15.75" customHeight="1" x14ac:dyDescent="0.2">
      <c r="K292" s="13"/>
    </row>
    <row r="293" spans="11:11" ht="15.75" customHeight="1" x14ac:dyDescent="0.2">
      <c r="K293" s="13"/>
    </row>
    <row r="294" spans="11:11" ht="15.75" customHeight="1" x14ac:dyDescent="0.2">
      <c r="K294" s="13"/>
    </row>
    <row r="295" spans="11:11" ht="15.75" customHeight="1" x14ac:dyDescent="0.2">
      <c r="K295" s="13"/>
    </row>
    <row r="296" spans="11:11" ht="15.75" customHeight="1" x14ac:dyDescent="0.2">
      <c r="K296" s="13"/>
    </row>
    <row r="297" spans="11:11" ht="15.75" customHeight="1" x14ac:dyDescent="0.2">
      <c r="K297" s="13"/>
    </row>
    <row r="298" spans="11:11" ht="15.75" customHeight="1" x14ac:dyDescent="0.2">
      <c r="K298" s="13"/>
    </row>
    <row r="299" spans="11:11" ht="15.75" customHeight="1" x14ac:dyDescent="0.2">
      <c r="K299" s="13"/>
    </row>
    <row r="300" spans="11:11" ht="15.75" customHeight="1" x14ac:dyDescent="0.2">
      <c r="K300" s="13"/>
    </row>
    <row r="301" spans="11:11" ht="15.75" customHeight="1" x14ac:dyDescent="0.2">
      <c r="K301" s="13"/>
    </row>
    <row r="302" spans="11:11" ht="15.75" customHeight="1" x14ac:dyDescent="0.2">
      <c r="K302" s="13"/>
    </row>
    <row r="303" spans="11:11" ht="15.75" customHeight="1" x14ac:dyDescent="0.2">
      <c r="K303" s="13"/>
    </row>
    <row r="304" spans="11:11" ht="15.75" customHeight="1" x14ac:dyDescent="0.2">
      <c r="K304" s="13"/>
    </row>
    <row r="305" spans="11:11" ht="15.75" customHeight="1" x14ac:dyDescent="0.2">
      <c r="K305" s="13"/>
    </row>
    <row r="306" spans="11:11" ht="15.75" customHeight="1" x14ac:dyDescent="0.2">
      <c r="K306" s="13"/>
    </row>
    <row r="307" spans="11:11" ht="15.75" customHeight="1" x14ac:dyDescent="0.2">
      <c r="K307" s="13"/>
    </row>
    <row r="308" spans="11:11" ht="15.75" customHeight="1" x14ac:dyDescent="0.2">
      <c r="K308" s="13"/>
    </row>
    <row r="309" spans="11:11" ht="15.75" customHeight="1" x14ac:dyDescent="0.2">
      <c r="K309" s="13"/>
    </row>
    <row r="310" spans="11:11" ht="15.75" customHeight="1" x14ac:dyDescent="0.2">
      <c r="K310" s="13"/>
    </row>
    <row r="311" spans="11:11" ht="15.75" customHeight="1" x14ac:dyDescent="0.2">
      <c r="K311" s="13"/>
    </row>
    <row r="312" spans="11:11" ht="15.75" customHeight="1" x14ac:dyDescent="0.2">
      <c r="K312" s="13"/>
    </row>
    <row r="313" spans="11:11" ht="15.75" customHeight="1" x14ac:dyDescent="0.2">
      <c r="K313" s="13"/>
    </row>
    <row r="314" spans="11:11" ht="15.75" customHeight="1" x14ac:dyDescent="0.2">
      <c r="K314" s="13"/>
    </row>
    <row r="315" spans="11:11" ht="15.75" customHeight="1" x14ac:dyDescent="0.2">
      <c r="K315" s="13"/>
    </row>
    <row r="316" spans="11:11" ht="15.75" customHeight="1" x14ac:dyDescent="0.2">
      <c r="K316" s="13"/>
    </row>
    <row r="317" spans="11:11" ht="15.75" customHeight="1" x14ac:dyDescent="0.2">
      <c r="K317" s="13"/>
    </row>
    <row r="318" spans="11:11" ht="15.75" customHeight="1" x14ac:dyDescent="0.2">
      <c r="K318" s="13"/>
    </row>
    <row r="319" spans="11:11" ht="14.25" customHeight="1" x14ac:dyDescent="0.2">
      <c r="K319" s="13"/>
    </row>
    <row r="320" spans="11:11" ht="15.75" customHeight="1" x14ac:dyDescent="0.2">
      <c r="K320" s="13"/>
    </row>
    <row r="321" spans="11:11" ht="15.75" customHeight="1" x14ac:dyDescent="0.2">
      <c r="K321" s="13"/>
    </row>
    <row r="322" spans="11:11" ht="15.75" customHeight="1" x14ac:dyDescent="0.2">
      <c r="K322" s="13"/>
    </row>
    <row r="323" spans="11:11" ht="15.75" customHeight="1" x14ac:dyDescent="0.2">
      <c r="K323" s="13"/>
    </row>
    <row r="324" spans="11:11" ht="15.75" customHeight="1" x14ac:dyDescent="0.2">
      <c r="K324" s="13"/>
    </row>
    <row r="325" spans="11:11" ht="15.75" customHeight="1" x14ac:dyDescent="0.2">
      <c r="K325" s="13"/>
    </row>
    <row r="326" spans="11:11" ht="15.75" customHeight="1" x14ac:dyDescent="0.2">
      <c r="K326" s="13"/>
    </row>
    <row r="327" spans="11:11" ht="15.75" customHeight="1" x14ac:dyDescent="0.2">
      <c r="K327" s="13"/>
    </row>
    <row r="328" spans="11:11" ht="15.75" customHeight="1" x14ac:dyDescent="0.2">
      <c r="K328" s="13"/>
    </row>
    <row r="329" spans="11:11" ht="15.75" customHeight="1" x14ac:dyDescent="0.2">
      <c r="K329" s="13"/>
    </row>
    <row r="330" spans="11:11" ht="15.75" customHeight="1" x14ac:dyDescent="0.2">
      <c r="K330" s="13"/>
    </row>
    <row r="331" spans="11:11" ht="15.75" customHeight="1" x14ac:dyDescent="0.2">
      <c r="K331" s="13"/>
    </row>
    <row r="332" spans="11:11" ht="15.75" customHeight="1" x14ac:dyDescent="0.2">
      <c r="K332" s="13"/>
    </row>
    <row r="333" spans="11:11" ht="15.75" customHeight="1" x14ac:dyDescent="0.2">
      <c r="K333" s="13"/>
    </row>
    <row r="334" spans="11:11" ht="15.75" customHeight="1" x14ac:dyDescent="0.2">
      <c r="K334" s="13"/>
    </row>
    <row r="335" spans="11:11" ht="15.75" customHeight="1" x14ac:dyDescent="0.2">
      <c r="K335" s="13"/>
    </row>
    <row r="336" spans="11:11" ht="16.5" customHeight="1" x14ac:dyDescent="0.2">
      <c r="K336" s="13"/>
    </row>
    <row r="337" spans="11:11" ht="15.75" customHeight="1" x14ac:dyDescent="0.2">
      <c r="K337" s="13"/>
    </row>
    <row r="338" spans="11:11" ht="15.75" customHeight="1" x14ac:dyDescent="0.2">
      <c r="K338" s="13"/>
    </row>
    <row r="339" spans="11:11" ht="15.75" customHeight="1" x14ac:dyDescent="0.2">
      <c r="K339" s="13"/>
    </row>
    <row r="340" spans="11:11" ht="15.75" customHeight="1" x14ac:dyDescent="0.2">
      <c r="K340" s="13"/>
    </row>
    <row r="341" spans="11:11" ht="15.75" customHeight="1" x14ac:dyDescent="0.2">
      <c r="K341" s="13"/>
    </row>
    <row r="342" spans="11:11" ht="15.75" customHeight="1" x14ac:dyDescent="0.2">
      <c r="K342" s="13"/>
    </row>
    <row r="343" spans="11:11" ht="15.75" customHeight="1" x14ac:dyDescent="0.2">
      <c r="K343" s="13"/>
    </row>
    <row r="344" spans="11:11" ht="15.75" customHeight="1" x14ac:dyDescent="0.2">
      <c r="K344" s="13"/>
    </row>
    <row r="345" spans="11:11" ht="15.75" customHeight="1" x14ac:dyDescent="0.2">
      <c r="K345" s="13"/>
    </row>
    <row r="346" spans="11:11" ht="15.75" customHeight="1" x14ac:dyDescent="0.2">
      <c r="K346" s="13"/>
    </row>
    <row r="347" spans="11:11" ht="15.75" customHeight="1" x14ac:dyDescent="0.2">
      <c r="K347" s="13"/>
    </row>
    <row r="348" spans="11:11" ht="15.75" customHeight="1" x14ac:dyDescent="0.2">
      <c r="K348" s="13"/>
    </row>
    <row r="349" spans="11:11" ht="15.75" customHeight="1" x14ac:dyDescent="0.2">
      <c r="K349" s="13"/>
    </row>
    <row r="350" spans="11:11" ht="15.75" customHeight="1" x14ac:dyDescent="0.2">
      <c r="K350" s="13"/>
    </row>
    <row r="351" spans="11:11" ht="15.75" customHeight="1" x14ac:dyDescent="0.2">
      <c r="K351" s="13"/>
    </row>
    <row r="352" spans="11:11" ht="15.75" customHeight="1" x14ac:dyDescent="0.2">
      <c r="K352" s="13"/>
    </row>
    <row r="353" spans="11:11" ht="15.75" customHeight="1" x14ac:dyDescent="0.2">
      <c r="K353" s="13"/>
    </row>
    <row r="354" spans="11:11" ht="15.75" customHeight="1" x14ac:dyDescent="0.2">
      <c r="K354" s="13"/>
    </row>
    <row r="355" spans="11:11" ht="15.75" customHeight="1" x14ac:dyDescent="0.2">
      <c r="K355" s="13"/>
    </row>
    <row r="356" spans="11:11" ht="15" customHeight="1" x14ac:dyDescent="0.2">
      <c r="K356" s="13"/>
    </row>
    <row r="357" spans="11:11" ht="15.75" customHeight="1" x14ac:dyDescent="0.2">
      <c r="K357" s="13"/>
    </row>
    <row r="358" spans="11:11" ht="15.75" customHeight="1" x14ac:dyDescent="0.2">
      <c r="K358" s="13"/>
    </row>
    <row r="359" spans="11:11" ht="15.75" customHeight="1" x14ac:dyDescent="0.2">
      <c r="K359" s="13"/>
    </row>
    <row r="360" spans="11:11" ht="15.75" customHeight="1" x14ac:dyDescent="0.2">
      <c r="K360" s="13"/>
    </row>
    <row r="361" spans="11:11" ht="15.75" customHeight="1" x14ac:dyDescent="0.2">
      <c r="K361" s="13"/>
    </row>
    <row r="362" spans="11:11" ht="15.75" customHeight="1" x14ac:dyDescent="0.2">
      <c r="K362" s="13"/>
    </row>
    <row r="363" spans="11:11" ht="15.75" customHeight="1" x14ac:dyDescent="0.2">
      <c r="K363" s="13"/>
    </row>
    <row r="364" spans="11:11" ht="15.75" customHeight="1" x14ac:dyDescent="0.2">
      <c r="K364" s="13"/>
    </row>
    <row r="365" spans="11:11" ht="15.75" customHeight="1" x14ac:dyDescent="0.2">
      <c r="K365" s="13"/>
    </row>
    <row r="366" spans="11:11" ht="15.75" customHeight="1" x14ac:dyDescent="0.2">
      <c r="K366" s="13"/>
    </row>
    <row r="367" spans="11:11" ht="15.75" customHeight="1" x14ac:dyDescent="0.2">
      <c r="K367" s="13"/>
    </row>
    <row r="368" spans="11:11" ht="15.75" customHeight="1" x14ac:dyDescent="0.2">
      <c r="K368" s="13"/>
    </row>
    <row r="369" spans="11:11" ht="15.75" customHeight="1" x14ac:dyDescent="0.2">
      <c r="K369" s="13"/>
    </row>
    <row r="370" spans="11:11" ht="15.75" customHeight="1" x14ac:dyDescent="0.2">
      <c r="K370" s="13"/>
    </row>
    <row r="371" spans="11:11" ht="15.75" customHeight="1" x14ac:dyDescent="0.2">
      <c r="K371" s="13"/>
    </row>
    <row r="372" spans="11:11" ht="15.75" customHeight="1" x14ac:dyDescent="0.2">
      <c r="K372" s="13"/>
    </row>
    <row r="373" spans="11:11" ht="15.75" customHeight="1" x14ac:dyDescent="0.2">
      <c r="K373" s="13"/>
    </row>
    <row r="374" spans="11:11" ht="15.75" customHeight="1" x14ac:dyDescent="0.2">
      <c r="K374" s="13"/>
    </row>
    <row r="375" spans="11:11" ht="15.75" customHeight="1" x14ac:dyDescent="0.2">
      <c r="K375" s="13"/>
    </row>
    <row r="376" spans="11:11" ht="15.75" customHeight="1" x14ac:dyDescent="0.2">
      <c r="K376" s="13"/>
    </row>
    <row r="377" spans="11:11" ht="15.75" customHeight="1" x14ac:dyDescent="0.2">
      <c r="K377" s="13"/>
    </row>
    <row r="378" spans="11:11" ht="15.75" customHeight="1" x14ac:dyDescent="0.2">
      <c r="K378" s="13"/>
    </row>
    <row r="379" spans="11:11" ht="15.75" customHeight="1" x14ac:dyDescent="0.2">
      <c r="K379" s="13"/>
    </row>
    <row r="380" spans="11:11" ht="15.75" customHeight="1" x14ac:dyDescent="0.2">
      <c r="K380" s="13"/>
    </row>
    <row r="381" spans="11:11" ht="15.75" customHeight="1" x14ac:dyDescent="0.2">
      <c r="K381" s="13"/>
    </row>
    <row r="382" spans="11:11" ht="15.75" customHeight="1" x14ac:dyDescent="0.2">
      <c r="K382" s="13"/>
    </row>
    <row r="383" spans="11:11" ht="15.75" customHeight="1" x14ac:dyDescent="0.2">
      <c r="K383" s="13"/>
    </row>
    <row r="384" spans="11:11" ht="15.75" customHeight="1" x14ac:dyDescent="0.2">
      <c r="K384" s="13"/>
    </row>
    <row r="385" spans="11:11" ht="15.75" customHeight="1" x14ac:dyDescent="0.2">
      <c r="K385" s="13"/>
    </row>
    <row r="386" spans="11:11" ht="15.75" customHeight="1" x14ac:dyDescent="0.2">
      <c r="K386" s="13"/>
    </row>
    <row r="387" spans="11:11" ht="15.75" customHeight="1" x14ac:dyDescent="0.2">
      <c r="K387" s="13"/>
    </row>
    <row r="388" spans="11:11" ht="15.75" customHeight="1" x14ac:dyDescent="0.2">
      <c r="K388" s="13"/>
    </row>
    <row r="389" spans="11:11" ht="15.75" customHeight="1" x14ac:dyDescent="0.2">
      <c r="K389" s="13"/>
    </row>
    <row r="390" spans="11:11" ht="15.75" customHeight="1" x14ac:dyDescent="0.2">
      <c r="K390" s="13"/>
    </row>
    <row r="391" spans="11:11" ht="15.75" customHeight="1" x14ac:dyDescent="0.2">
      <c r="K391" s="13"/>
    </row>
    <row r="392" spans="11:11" ht="15.75" customHeight="1" x14ac:dyDescent="0.2">
      <c r="K392" s="13"/>
    </row>
    <row r="393" spans="11:11" ht="15.75" customHeight="1" x14ac:dyDescent="0.2">
      <c r="K393" s="13"/>
    </row>
    <row r="394" spans="11:11" ht="15.75" customHeight="1" x14ac:dyDescent="0.2">
      <c r="K394" s="13"/>
    </row>
    <row r="395" spans="11:11" ht="15.75" customHeight="1" x14ac:dyDescent="0.2">
      <c r="K395" s="13"/>
    </row>
    <row r="396" spans="11:11" ht="15.75" customHeight="1" x14ac:dyDescent="0.2">
      <c r="K396" s="13"/>
    </row>
    <row r="397" spans="11:11" ht="15.75" customHeight="1" x14ac:dyDescent="0.2">
      <c r="K397" s="13"/>
    </row>
    <row r="398" spans="11:11" ht="15.75" customHeight="1" x14ac:dyDescent="0.2">
      <c r="K398" s="13"/>
    </row>
    <row r="399" spans="11:11" ht="15.75" customHeight="1" x14ac:dyDescent="0.2">
      <c r="K399" s="13"/>
    </row>
    <row r="400" spans="11:11" ht="15.75" customHeight="1" x14ac:dyDescent="0.2">
      <c r="K400" s="13"/>
    </row>
    <row r="401" spans="11:11" ht="15.75" customHeight="1" x14ac:dyDescent="0.2">
      <c r="K401" s="13"/>
    </row>
    <row r="402" spans="11:11" ht="15.75" customHeight="1" x14ac:dyDescent="0.2">
      <c r="K402" s="13"/>
    </row>
    <row r="403" spans="11:11" ht="15.75" customHeight="1" x14ac:dyDescent="0.2">
      <c r="K403" s="13"/>
    </row>
    <row r="404" spans="11:11" ht="15.75" customHeight="1" x14ac:dyDescent="0.2">
      <c r="K404" s="13"/>
    </row>
    <row r="405" spans="11:11" ht="15.75" customHeight="1" x14ac:dyDescent="0.2">
      <c r="K405" s="13"/>
    </row>
    <row r="406" spans="11:11" ht="15.75" customHeight="1" x14ac:dyDescent="0.2">
      <c r="K406" s="13"/>
    </row>
    <row r="407" spans="11:11" ht="15.75" customHeight="1" x14ac:dyDescent="0.2">
      <c r="K407" s="13"/>
    </row>
    <row r="408" spans="11:11" ht="15.75" customHeight="1" x14ac:dyDescent="0.2">
      <c r="K408" s="13"/>
    </row>
    <row r="409" spans="11:11" ht="15.75" customHeight="1" x14ac:dyDescent="0.2">
      <c r="K409" s="13"/>
    </row>
    <row r="410" spans="11:11" ht="15.75" customHeight="1" x14ac:dyDescent="0.2">
      <c r="K410" s="13"/>
    </row>
    <row r="411" spans="11:11" ht="12.75" customHeight="1" x14ac:dyDescent="0.2">
      <c r="K411" s="13"/>
    </row>
    <row r="412" spans="11:11" ht="15.75" customHeight="1" x14ac:dyDescent="0.2">
      <c r="K412" s="13"/>
    </row>
    <row r="413" spans="11:11" ht="15.75" customHeight="1" x14ac:dyDescent="0.2">
      <c r="K413" s="13"/>
    </row>
    <row r="414" spans="11:11" ht="15.75" customHeight="1" x14ac:dyDescent="0.2">
      <c r="K414" s="13"/>
    </row>
    <row r="415" spans="11:11" ht="15.75" customHeight="1" x14ac:dyDescent="0.2">
      <c r="K415" s="13"/>
    </row>
    <row r="416" spans="11:11" ht="15.75" customHeight="1" x14ac:dyDescent="0.2">
      <c r="K416" s="13"/>
    </row>
    <row r="417" spans="11:11" ht="15.75" customHeight="1" x14ac:dyDescent="0.2">
      <c r="K417" s="13"/>
    </row>
    <row r="418" spans="11:11" ht="15.75" customHeight="1" x14ac:dyDescent="0.2">
      <c r="K418" s="13"/>
    </row>
    <row r="419" spans="11:11" ht="15.75" customHeight="1" x14ac:dyDescent="0.2">
      <c r="K419" s="13"/>
    </row>
    <row r="420" spans="11:11" ht="15.75" customHeight="1" x14ac:dyDescent="0.2">
      <c r="K420" s="13"/>
    </row>
    <row r="421" spans="11:11" ht="15.75" customHeight="1" x14ac:dyDescent="0.2">
      <c r="K421" s="13"/>
    </row>
    <row r="422" spans="11:11" ht="15.75" customHeight="1" x14ac:dyDescent="0.2">
      <c r="K422" s="13"/>
    </row>
    <row r="423" spans="11:11" ht="15.75" customHeight="1" x14ac:dyDescent="0.2">
      <c r="K423" s="13"/>
    </row>
    <row r="424" spans="11:11" ht="15.75" customHeight="1" x14ac:dyDescent="0.2">
      <c r="K424" s="13"/>
    </row>
    <row r="425" spans="11:11" ht="15.75" customHeight="1" x14ac:dyDescent="0.2">
      <c r="K425" s="13"/>
    </row>
    <row r="426" spans="11:11" ht="15.75" customHeight="1" x14ac:dyDescent="0.2">
      <c r="K426" s="13"/>
    </row>
    <row r="427" spans="11:11" ht="15.75" customHeight="1" x14ac:dyDescent="0.2">
      <c r="K427" s="13"/>
    </row>
    <row r="428" spans="11:11" ht="15.75" customHeight="1" x14ac:dyDescent="0.2">
      <c r="K428" s="13"/>
    </row>
    <row r="429" spans="11:11" ht="15.75" customHeight="1" x14ac:dyDescent="0.2">
      <c r="K429" s="13"/>
    </row>
    <row r="430" spans="11:11" ht="15.75" customHeight="1" x14ac:dyDescent="0.2">
      <c r="K430" s="13"/>
    </row>
    <row r="431" spans="11:11" ht="15" customHeight="1" x14ac:dyDescent="0.2">
      <c r="K431" s="13"/>
    </row>
    <row r="432" spans="11:11" ht="15.75" customHeight="1" x14ac:dyDescent="0.2">
      <c r="K432" s="13"/>
    </row>
    <row r="433" spans="11:11" ht="15.75" customHeight="1" x14ac:dyDescent="0.2">
      <c r="K433" s="13"/>
    </row>
    <row r="434" spans="11:11" ht="15.75" customHeight="1" x14ac:dyDescent="0.2">
      <c r="K434" s="13"/>
    </row>
    <row r="435" spans="11:11" ht="15.75" customHeight="1" x14ac:dyDescent="0.2">
      <c r="K435" s="13"/>
    </row>
    <row r="436" spans="11:11" ht="15.75" customHeight="1" x14ac:dyDescent="0.2">
      <c r="K436" s="13"/>
    </row>
    <row r="437" spans="11:11" ht="15.75" customHeight="1" x14ac:dyDescent="0.2">
      <c r="K437" s="13"/>
    </row>
    <row r="438" spans="11:11" ht="15.75" customHeight="1" x14ac:dyDescent="0.2">
      <c r="K438" s="13"/>
    </row>
    <row r="439" spans="11:11" ht="15.75" customHeight="1" x14ac:dyDescent="0.2">
      <c r="K439" s="13"/>
    </row>
    <row r="440" spans="11:11" ht="15.75" customHeight="1" x14ac:dyDescent="0.2">
      <c r="K440" s="13"/>
    </row>
    <row r="441" spans="11:11" ht="15.75" customHeight="1" x14ac:dyDescent="0.2">
      <c r="K441" s="13"/>
    </row>
    <row r="442" spans="11:11" ht="15.75" customHeight="1" x14ac:dyDescent="0.2">
      <c r="K442" s="13"/>
    </row>
    <row r="443" spans="11:11" ht="15.75" customHeight="1" x14ac:dyDescent="0.2">
      <c r="K443" s="13"/>
    </row>
    <row r="444" spans="11:11" ht="15.75" customHeight="1" x14ac:dyDescent="0.2">
      <c r="K444" s="13"/>
    </row>
    <row r="445" spans="11:11" ht="15.75" customHeight="1" x14ac:dyDescent="0.2">
      <c r="K445" s="13"/>
    </row>
    <row r="446" spans="11:11" ht="15.75" customHeight="1" x14ac:dyDescent="0.2">
      <c r="K446" s="13"/>
    </row>
    <row r="447" spans="11:11" ht="15.75" customHeight="1" x14ac:dyDescent="0.2">
      <c r="K447" s="13"/>
    </row>
    <row r="448" spans="11:11" ht="15.75" customHeight="1" x14ac:dyDescent="0.2">
      <c r="K448" s="13"/>
    </row>
    <row r="449" spans="11:11" ht="15.75" customHeight="1" x14ac:dyDescent="0.2">
      <c r="K449" s="13"/>
    </row>
    <row r="450" spans="11:11" ht="15.75" customHeight="1" x14ac:dyDescent="0.2">
      <c r="K450" s="13"/>
    </row>
    <row r="451" spans="11:11" ht="15.75" customHeight="1" x14ac:dyDescent="0.2">
      <c r="K451" s="13"/>
    </row>
    <row r="452" spans="11:11" ht="15.75" customHeight="1" x14ac:dyDescent="0.2">
      <c r="K452" s="13"/>
    </row>
    <row r="453" spans="11:11" ht="15.75" customHeight="1" x14ac:dyDescent="0.2">
      <c r="K453" s="13"/>
    </row>
    <row r="454" spans="11:11" ht="15.75" customHeight="1" x14ac:dyDescent="0.2">
      <c r="K454" s="13"/>
    </row>
    <row r="455" spans="11:11" ht="15.75" customHeight="1" x14ac:dyDescent="0.2">
      <c r="K455" s="13"/>
    </row>
    <row r="456" spans="11:11" ht="15.75" customHeight="1" x14ac:dyDescent="0.2">
      <c r="K456" s="13"/>
    </row>
    <row r="457" spans="11:11" ht="15.75" customHeight="1" x14ac:dyDescent="0.2">
      <c r="K457" s="13"/>
    </row>
    <row r="458" spans="11:11" ht="15.75" customHeight="1" x14ac:dyDescent="0.2">
      <c r="K458" s="13"/>
    </row>
    <row r="459" spans="11:11" ht="15.75" customHeight="1" x14ac:dyDescent="0.2">
      <c r="K459" s="13"/>
    </row>
    <row r="460" spans="11:11" ht="15.75" customHeight="1" x14ac:dyDescent="0.2">
      <c r="K460" s="13"/>
    </row>
    <row r="461" spans="11:11" ht="15.75" customHeight="1" x14ac:dyDescent="0.2">
      <c r="K461" s="13"/>
    </row>
    <row r="462" spans="11:11" ht="15.75" customHeight="1" x14ac:dyDescent="0.2">
      <c r="K462" s="13"/>
    </row>
    <row r="463" spans="11:11" ht="15.75" customHeight="1" x14ac:dyDescent="0.2">
      <c r="K463" s="13"/>
    </row>
    <row r="464" spans="11:11" ht="15.75" customHeight="1" x14ac:dyDescent="0.2">
      <c r="K464" s="13"/>
    </row>
    <row r="465" spans="11:11" ht="15.75" customHeight="1" x14ac:dyDescent="0.2">
      <c r="K465" s="13"/>
    </row>
    <row r="466" spans="11:11" ht="15.75" customHeight="1" x14ac:dyDescent="0.2">
      <c r="K466" s="13"/>
    </row>
    <row r="467" spans="11:11" ht="15.75" customHeight="1" x14ac:dyDescent="0.2">
      <c r="K467" s="13"/>
    </row>
    <row r="468" spans="11:11" ht="15.75" customHeight="1" x14ac:dyDescent="0.2">
      <c r="K468" s="13"/>
    </row>
    <row r="469" spans="11:11" ht="15.75" customHeight="1" x14ac:dyDescent="0.2">
      <c r="K469" s="13"/>
    </row>
    <row r="470" spans="11:11" ht="15.75" customHeight="1" x14ac:dyDescent="0.2">
      <c r="K470" s="13"/>
    </row>
    <row r="471" spans="11:11" ht="15.75" customHeight="1" x14ac:dyDescent="0.2">
      <c r="K471" s="13"/>
    </row>
    <row r="472" spans="11:11" ht="15.75" customHeight="1" x14ac:dyDescent="0.2">
      <c r="K472" s="13"/>
    </row>
    <row r="473" spans="11:11" ht="15.75" customHeight="1" x14ac:dyDescent="0.2">
      <c r="K473" s="13"/>
    </row>
    <row r="474" spans="11:11" ht="15.75" customHeight="1" x14ac:dyDescent="0.2">
      <c r="K474" s="13"/>
    </row>
    <row r="475" spans="11:11" ht="15.75" customHeight="1" x14ac:dyDescent="0.2">
      <c r="K475" s="13"/>
    </row>
    <row r="476" spans="11:11" ht="15.75" customHeight="1" x14ac:dyDescent="0.2">
      <c r="K476" s="13"/>
    </row>
    <row r="477" spans="11:11" ht="15.75" customHeight="1" x14ac:dyDescent="0.2">
      <c r="K477" s="13"/>
    </row>
    <row r="478" spans="11:11" ht="15.75" customHeight="1" x14ac:dyDescent="0.2">
      <c r="K478" s="13"/>
    </row>
    <row r="479" spans="11:11" ht="15.75" customHeight="1" x14ac:dyDescent="0.2">
      <c r="K479" s="13"/>
    </row>
    <row r="480" spans="11:11" ht="15.75" customHeight="1" x14ac:dyDescent="0.2">
      <c r="K480" s="13"/>
    </row>
    <row r="481" spans="11:11" ht="15.75" customHeight="1" x14ac:dyDescent="0.2">
      <c r="K481" s="13"/>
    </row>
    <row r="482" spans="11:11" ht="15.75" customHeight="1" x14ac:dyDescent="0.2">
      <c r="K482" s="13"/>
    </row>
    <row r="483" spans="11:11" ht="15.75" customHeight="1" x14ac:dyDescent="0.2">
      <c r="K483" s="13"/>
    </row>
    <row r="484" spans="11:11" ht="15.75" customHeight="1" x14ac:dyDescent="0.2">
      <c r="K484" s="13"/>
    </row>
    <row r="485" spans="11:11" ht="15.75" customHeight="1" x14ac:dyDescent="0.2">
      <c r="K485" s="13"/>
    </row>
    <row r="486" spans="11:11" ht="15.75" customHeight="1" x14ac:dyDescent="0.2">
      <c r="K486" s="13"/>
    </row>
    <row r="487" spans="11:11" ht="15.75" customHeight="1" x14ac:dyDescent="0.2">
      <c r="K487" s="13"/>
    </row>
    <row r="488" spans="11:11" ht="15.75" customHeight="1" x14ac:dyDescent="0.2">
      <c r="K488" s="13"/>
    </row>
    <row r="489" spans="11:11" ht="15.75" customHeight="1" x14ac:dyDescent="0.2">
      <c r="K489" s="13"/>
    </row>
    <row r="490" spans="11:11" ht="15.75" customHeight="1" x14ac:dyDescent="0.2">
      <c r="K490" s="13"/>
    </row>
    <row r="491" spans="11:11" ht="15.75" customHeight="1" x14ac:dyDescent="0.2">
      <c r="K491" s="13"/>
    </row>
    <row r="492" spans="11:11" ht="15.75" customHeight="1" x14ac:dyDescent="0.2">
      <c r="K492" s="13"/>
    </row>
    <row r="493" spans="11:11" ht="15.75" customHeight="1" x14ac:dyDescent="0.2">
      <c r="K493" s="13"/>
    </row>
    <row r="494" spans="11:11" ht="15.75" customHeight="1" x14ac:dyDescent="0.2">
      <c r="K494" s="13"/>
    </row>
    <row r="495" spans="11:11" ht="15.75" customHeight="1" x14ac:dyDescent="0.2">
      <c r="K495" s="13"/>
    </row>
    <row r="496" spans="11:11" ht="15.75" customHeight="1" x14ac:dyDescent="0.2">
      <c r="K496" s="13"/>
    </row>
    <row r="497" spans="11:11" ht="15.75" customHeight="1" x14ac:dyDescent="0.2">
      <c r="K497" s="13"/>
    </row>
    <row r="498" spans="11:11" ht="15.75" customHeight="1" x14ac:dyDescent="0.2">
      <c r="K498" s="13"/>
    </row>
    <row r="499" spans="11:11" ht="15.75" customHeight="1" x14ac:dyDescent="0.2">
      <c r="K499" s="13"/>
    </row>
    <row r="500" spans="11:11" ht="15.75" customHeight="1" x14ac:dyDescent="0.2">
      <c r="K500" s="13"/>
    </row>
    <row r="501" spans="11:11" ht="15.75" customHeight="1" x14ac:dyDescent="0.2">
      <c r="K501" s="13"/>
    </row>
    <row r="502" spans="11:11" ht="15.75" customHeight="1" x14ac:dyDescent="0.2">
      <c r="K502" s="13"/>
    </row>
    <row r="503" spans="11:11" ht="15.75" customHeight="1" x14ac:dyDescent="0.2">
      <c r="K503" s="13"/>
    </row>
    <row r="504" spans="11:11" ht="15.75" customHeight="1" x14ac:dyDescent="0.2">
      <c r="K504" s="13"/>
    </row>
    <row r="505" spans="11:11" ht="15.75" customHeight="1" x14ac:dyDescent="0.2">
      <c r="K505" s="13"/>
    </row>
    <row r="506" spans="11:11" ht="15.75" customHeight="1" x14ac:dyDescent="0.2">
      <c r="K506" s="13"/>
    </row>
    <row r="507" spans="11:11" ht="15.75" customHeight="1" x14ac:dyDescent="0.2">
      <c r="K507" s="13"/>
    </row>
    <row r="508" spans="11:11" ht="15.75" customHeight="1" x14ac:dyDescent="0.2">
      <c r="K508" s="13"/>
    </row>
    <row r="509" spans="11:11" ht="15.75" customHeight="1" x14ac:dyDescent="0.2">
      <c r="K509" s="13"/>
    </row>
    <row r="510" spans="11:11" ht="15.75" customHeight="1" x14ac:dyDescent="0.2">
      <c r="K510" s="13"/>
    </row>
    <row r="511" spans="11:11" ht="15.75" customHeight="1" x14ac:dyDescent="0.2">
      <c r="K511" s="13"/>
    </row>
    <row r="512" spans="11:11" ht="15.75" customHeight="1" x14ac:dyDescent="0.2">
      <c r="K512" s="13"/>
    </row>
    <row r="513" spans="11:11" ht="15.75" customHeight="1" x14ac:dyDescent="0.2">
      <c r="K513" s="13"/>
    </row>
    <row r="514" spans="11:11" ht="15.75" customHeight="1" x14ac:dyDescent="0.2">
      <c r="K514" s="13"/>
    </row>
    <row r="515" spans="11:11" ht="15.75" customHeight="1" x14ac:dyDescent="0.2">
      <c r="K515" s="13"/>
    </row>
    <row r="516" spans="11:11" ht="15.75" customHeight="1" x14ac:dyDescent="0.2">
      <c r="K516" s="13"/>
    </row>
    <row r="517" spans="11:11" ht="15.75" customHeight="1" x14ac:dyDescent="0.2">
      <c r="K517" s="13"/>
    </row>
    <row r="518" spans="11:11" ht="15.75" customHeight="1" x14ac:dyDescent="0.2">
      <c r="K518" s="13"/>
    </row>
    <row r="519" spans="11:11" ht="15.75" customHeight="1" x14ac:dyDescent="0.2">
      <c r="K519" s="13"/>
    </row>
    <row r="520" spans="11:11" ht="15.75" customHeight="1" x14ac:dyDescent="0.2">
      <c r="K520" s="13"/>
    </row>
    <row r="521" spans="11:11" ht="15.75" customHeight="1" x14ac:dyDescent="0.2">
      <c r="K521" s="13"/>
    </row>
    <row r="522" spans="11:11" ht="15.75" customHeight="1" x14ac:dyDescent="0.2">
      <c r="K522" s="13"/>
    </row>
    <row r="523" spans="11:11" ht="15.75" customHeight="1" x14ac:dyDescent="0.2">
      <c r="K523" s="13"/>
    </row>
    <row r="524" spans="11:11" ht="15.75" customHeight="1" x14ac:dyDescent="0.2">
      <c r="K524" s="13"/>
    </row>
    <row r="525" spans="11:11" ht="15.75" customHeight="1" x14ac:dyDescent="0.2">
      <c r="K525" s="13"/>
    </row>
    <row r="526" spans="11:11" ht="15.75" customHeight="1" x14ac:dyDescent="0.2">
      <c r="K526" s="13"/>
    </row>
    <row r="527" spans="11:11" ht="15.75" customHeight="1" x14ac:dyDescent="0.2">
      <c r="K527" s="13"/>
    </row>
    <row r="528" spans="11:11" ht="15.75" customHeight="1" x14ac:dyDescent="0.2">
      <c r="K528" s="13"/>
    </row>
    <row r="529" spans="11:11" ht="15.75" customHeight="1" x14ac:dyDescent="0.2">
      <c r="K529" s="13"/>
    </row>
    <row r="530" spans="11:11" ht="15.75" customHeight="1" x14ac:dyDescent="0.2">
      <c r="K530" s="13"/>
    </row>
    <row r="531" spans="11:11" ht="15.75" customHeight="1" x14ac:dyDescent="0.2">
      <c r="K531" s="13"/>
    </row>
    <row r="532" spans="11:11" ht="15.75" customHeight="1" x14ac:dyDescent="0.2">
      <c r="K532" s="13"/>
    </row>
    <row r="533" spans="11:11" ht="15.75" customHeight="1" x14ac:dyDescent="0.2">
      <c r="K533" s="13"/>
    </row>
    <row r="534" spans="11:11" ht="15.75" customHeight="1" x14ac:dyDescent="0.2">
      <c r="K534" s="13"/>
    </row>
    <row r="535" spans="11:11" ht="15.75" customHeight="1" x14ac:dyDescent="0.2">
      <c r="K535" s="13"/>
    </row>
    <row r="536" spans="11:11" ht="15.75" customHeight="1" x14ac:dyDescent="0.2">
      <c r="K536" s="13"/>
    </row>
    <row r="537" spans="11:11" ht="15.75" customHeight="1" x14ac:dyDescent="0.2">
      <c r="K537" s="13"/>
    </row>
    <row r="538" spans="11:11" ht="15.75" customHeight="1" x14ac:dyDescent="0.2">
      <c r="K538" s="13"/>
    </row>
    <row r="539" spans="11:11" ht="15.75" customHeight="1" x14ac:dyDescent="0.2">
      <c r="K539" s="13"/>
    </row>
    <row r="540" spans="11:11" ht="15.75" customHeight="1" x14ac:dyDescent="0.2">
      <c r="K540" s="13"/>
    </row>
    <row r="541" spans="11:11" ht="15.75" customHeight="1" x14ac:dyDescent="0.2">
      <c r="K541" s="13"/>
    </row>
    <row r="542" spans="11:11" ht="15.75" customHeight="1" x14ac:dyDescent="0.2">
      <c r="K542" s="13"/>
    </row>
    <row r="543" spans="11:11" ht="15.75" customHeight="1" x14ac:dyDescent="0.2">
      <c r="K543" s="13"/>
    </row>
    <row r="544" spans="11:11" ht="15.75" customHeight="1" x14ac:dyDescent="0.2">
      <c r="K544" s="13"/>
    </row>
    <row r="545" spans="11:11" ht="15.75" customHeight="1" x14ac:dyDescent="0.2">
      <c r="K545" s="13"/>
    </row>
    <row r="546" spans="11:11" ht="15.75" customHeight="1" x14ac:dyDescent="0.2">
      <c r="K546" s="13"/>
    </row>
    <row r="547" spans="11:11" ht="15.75" customHeight="1" x14ac:dyDescent="0.2">
      <c r="K547" s="13"/>
    </row>
    <row r="548" spans="11:11" ht="15.75" customHeight="1" x14ac:dyDescent="0.2">
      <c r="K548" s="13"/>
    </row>
    <row r="549" spans="11:11" ht="15.75" customHeight="1" x14ac:dyDescent="0.2">
      <c r="K549" s="13"/>
    </row>
    <row r="550" spans="11:11" ht="15.75" customHeight="1" x14ac:dyDescent="0.2">
      <c r="K550" s="13"/>
    </row>
    <row r="551" spans="11:11" ht="15.75" customHeight="1" x14ac:dyDescent="0.2">
      <c r="K551" s="13"/>
    </row>
    <row r="552" spans="11:11" ht="15.75" customHeight="1" x14ac:dyDescent="0.2">
      <c r="K552" s="13"/>
    </row>
    <row r="553" spans="11:11" ht="15.75" customHeight="1" x14ac:dyDescent="0.2">
      <c r="K553" s="13"/>
    </row>
    <row r="554" spans="11:11" ht="15.75" customHeight="1" x14ac:dyDescent="0.2">
      <c r="K554" s="13"/>
    </row>
    <row r="555" spans="11:11" ht="15.75" customHeight="1" x14ac:dyDescent="0.2">
      <c r="K555" s="13"/>
    </row>
    <row r="556" spans="11:11" ht="15.75" customHeight="1" x14ac:dyDescent="0.2">
      <c r="K556" s="13"/>
    </row>
    <row r="557" spans="11:11" ht="15.75" customHeight="1" x14ac:dyDescent="0.2">
      <c r="K557" s="13"/>
    </row>
    <row r="558" spans="11:11" ht="15.75" customHeight="1" x14ac:dyDescent="0.2">
      <c r="K558" s="13"/>
    </row>
    <row r="559" spans="11:11" ht="15.75" customHeight="1" x14ac:dyDescent="0.2">
      <c r="K559" s="13"/>
    </row>
    <row r="560" spans="11:11" ht="15.75" customHeight="1" x14ac:dyDescent="0.2">
      <c r="K560" s="13"/>
    </row>
    <row r="561" spans="11:11" ht="15.75" customHeight="1" x14ac:dyDescent="0.2">
      <c r="K561" s="13"/>
    </row>
    <row r="562" spans="11:11" ht="15.75" customHeight="1" x14ac:dyDescent="0.2">
      <c r="K562" s="13"/>
    </row>
    <row r="563" spans="11:11" ht="15.75" customHeight="1" x14ac:dyDescent="0.2">
      <c r="K563" s="13"/>
    </row>
    <row r="564" spans="11:11" ht="15.75" customHeight="1" x14ac:dyDescent="0.2">
      <c r="K564" s="13"/>
    </row>
    <row r="565" spans="11:11" ht="15.75" customHeight="1" x14ac:dyDescent="0.2">
      <c r="K565" s="13"/>
    </row>
    <row r="566" spans="11:11" ht="15.75" customHeight="1" x14ac:dyDescent="0.2">
      <c r="K566" s="13"/>
    </row>
    <row r="567" spans="11:11" ht="15.75" customHeight="1" x14ac:dyDescent="0.2">
      <c r="K567" s="13"/>
    </row>
    <row r="568" spans="11:11" ht="15.75" customHeight="1" x14ac:dyDescent="0.2">
      <c r="K568" s="13"/>
    </row>
    <row r="569" spans="11:11" ht="15.75" customHeight="1" x14ac:dyDescent="0.2">
      <c r="K569" s="13"/>
    </row>
    <row r="570" spans="11:11" ht="15.75" customHeight="1" x14ac:dyDescent="0.2">
      <c r="K570" s="13"/>
    </row>
    <row r="571" spans="11:11" ht="15.75" customHeight="1" x14ac:dyDescent="0.2">
      <c r="K571" s="13"/>
    </row>
    <row r="572" spans="11:11" ht="15.75" customHeight="1" x14ac:dyDescent="0.2">
      <c r="K572" s="13"/>
    </row>
    <row r="573" spans="11:11" ht="15.75" customHeight="1" x14ac:dyDescent="0.2">
      <c r="K573" s="13"/>
    </row>
    <row r="574" spans="11:11" ht="15.75" customHeight="1" x14ac:dyDescent="0.2">
      <c r="K574" s="13"/>
    </row>
    <row r="575" spans="11:11" ht="15.75" customHeight="1" x14ac:dyDescent="0.2">
      <c r="K575" s="13"/>
    </row>
    <row r="576" spans="11:11" ht="15.75" customHeight="1" x14ac:dyDescent="0.2">
      <c r="K576" s="13"/>
    </row>
    <row r="577" spans="11:11" ht="15.75" customHeight="1" x14ac:dyDescent="0.2">
      <c r="K577" s="13"/>
    </row>
    <row r="578" spans="11:11" ht="15.75" customHeight="1" x14ac:dyDescent="0.2">
      <c r="K578" s="13"/>
    </row>
    <row r="579" spans="11:11" ht="15.75" customHeight="1" x14ac:dyDescent="0.2">
      <c r="K579" s="13"/>
    </row>
    <row r="580" spans="11:11" ht="15.75" customHeight="1" x14ac:dyDescent="0.2">
      <c r="K580" s="13"/>
    </row>
    <row r="581" spans="11:11" ht="15.75" customHeight="1" x14ac:dyDescent="0.2">
      <c r="K581" s="13"/>
    </row>
    <row r="582" spans="11:11" ht="15.75" customHeight="1" x14ac:dyDescent="0.2">
      <c r="K582" s="13"/>
    </row>
    <row r="583" spans="11:11" ht="15.75" customHeight="1" x14ac:dyDescent="0.2">
      <c r="K583" s="13"/>
    </row>
    <row r="584" spans="11:11" ht="15.75" customHeight="1" x14ac:dyDescent="0.2">
      <c r="K584" s="13"/>
    </row>
    <row r="585" spans="11:11" ht="15.75" customHeight="1" x14ac:dyDescent="0.2">
      <c r="K585" s="13"/>
    </row>
    <row r="586" spans="11:11" ht="15.75" customHeight="1" x14ac:dyDescent="0.2">
      <c r="K586" s="13"/>
    </row>
    <row r="587" spans="11:11" ht="15.75" customHeight="1" x14ac:dyDescent="0.2">
      <c r="K587" s="13"/>
    </row>
    <row r="588" spans="11:11" ht="15.75" customHeight="1" x14ac:dyDescent="0.2">
      <c r="K588" s="13"/>
    </row>
    <row r="589" spans="11:11" ht="15.75" customHeight="1" x14ac:dyDescent="0.2">
      <c r="K589" s="13"/>
    </row>
    <row r="590" spans="11:11" ht="15.75" customHeight="1" x14ac:dyDescent="0.2">
      <c r="K590" s="13"/>
    </row>
    <row r="591" spans="11:11" ht="15.75" customHeight="1" x14ac:dyDescent="0.2">
      <c r="K591" s="13"/>
    </row>
    <row r="592" spans="11:11" ht="15.75" customHeight="1" x14ac:dyDescent="0.2">
      <c r="K592" s="13"/>
    </row>
    <row r="593" spans="11:11" ht="15.75" customHeight="1" x14ac:dyDescent="0.2">
      <c r="K593" s="13"/>
    </row>
    <row r="594" spans="11:11" ht="15.75" customHeight="1" x14ac:dyDescent="0.2">
      <c r="K594" s="13"/>
    </row>
    <row r="595" spans="11:11" ht="15.75" customHeight="1" x14ac:dyDescent="0.2">
      <c r="K595" s="13"/>
    </row>
    <row r="596" spans="11:11" ht="15.75" customHeight="1" x14ac:dyDescent="0.2">
      <c r="K596" s="13"/>
    </row>
    <row r="597" spans="11:11" ht="15.75" customHeight="1" x14ac:dyDescent="0.2">
      <c r="K597" s="13"/>
    </row>
    <row r="598" spans="11:11" ht="15.75" customHeight="1" x14ac:dyDescent="0.2">
      <c r="K598" s="13"/>
    </row>
    <row r="599" spans="11:11" ht="15.75" customHeight="1" x14ac:dyDescent="0.2">
      <c r="K599" s="13"/>
    </row>
    <row r="600" spans="11:11" ht="15.75" customHeight="1" x14ac:dyDescent="0.2">
      <c r="K600" s="13"/>
    </row>
    <row r="601" spans="11:11" ht="15.75" customHeight="1" x14ac:dyDescent="0.2">
      <c r="K601" s="13"/>
    </row>
    <row r="602" spans="11:11" ht="15.75" customHeight="1" x14ac:dyDescent="0.2">
      <c r="K602" s="13"/>
    </row>
    <row r="603" spans="11:11" ht="15.75" customHeight="1" x14ac:dyDescent="0.2">
      <c r="K603" s="13"/>
    </row>
    <row r="604" spans="11:11" ht="15.75" customHeight="1" x14ac:dyDescent="0.2">
      <c r="K604" s="13"/>
    </row>
    <row r="605" spans="11:11" ht="15.75" customHeight="1" x14ac:dyDescent="0.2">
      <c r="K605" s="13"/>
    </row>
    <row r="606" spans="11:11" ht="15.75" customHeight="1" x14ac:dyDescent="0.2">
      <c r="K606" s="13"/>
    </row>
    <row r="607" spans="11:11" ht="15.75" customHeight="1" x14ac:dyDescent="0.2">
      <c r="K607" s="13"/>
    </row>
    <row r="608" spans="11:11" ht="15.75" customHeight="1" x14ac:dyDescent="0.2">
      <c r="K608" s="13"/>
    </row>
    <row r="609" spans="11:11" ht="15.75" customHeight="1" x14ac:dyDescent="0.2">
      <c r="K609" s="13"/>
    </row>
    <row r="610" spans="11:11" ht="15.75" customHeight="1" x14ac:dyDescent="0.2">
      <c r="K610" s="13"/>
    </row>
    <row r="611" spans="11:11" ht="15.75" customHeight="1" x14ac:dyDescent="0.2">
      <c r="K611" s="13"/>
    </row>
    <row r="612" spans="11:11" ht="15.75" customHeight="1" x14ac:dyDescent="0.2">
      <c r="K612" s="13"/>
    </row>
    <row r="613" spans="11:11" ht="15.75" customHeight="1" x14ac:dyDescent="0.2">
      <c r="K613" s="13"/>
    </row>
    <row r="614" spans="11:11" ht="15.75" customHeight="1" x14ac:dyDescent="0.2">
      <c r="K614" s="13"/>
    </row>
    <row r="615" spans="11:11" ht="15.75" customHeight="1" x14ac:dyDescent="0.2">
      <c r="K615" s="13"/>
    </row>
    <row r="616" spans="11:11" ht="15.75" customHeight="1" x14ac:dyDescent="0.2">
      <c r="K616" s="13"/>
    </row>
    <row r="617" spans="11:11" ht="15.75" customHeight="1" x14ac:dyDescent="0.2">
      <c r="K617" s="13"/>
    </row>
    <row r="618" spans="11:11" ht="15.75" customHeight="1" x14ac:dyDescent="0.2">
      <c r="K618" s="13"/>
    </row>
    <row r="619" spans="11:11" ht="15.75" customHeight="1" x14ac:dyDescent="0.2">
      <c r="K619" s="13"/>
    </row>
    <row r="620" spans="11:11" ht="15.75" customHeight="1" x14ac:dyDescent="0.2">
      <c r="K620" s="13"/>
    </row>
    <row r="621" spans="11:11" ht="15.75" customHeight="1" x14ac:dyDescent="0.2">
      <c r="K621" s="13"/>
    </row>
    <row r="622" spans="11:11" ht="15.75" customHeight="1" x14ac:dyDescent="0.2">
      <c r="K622" s="13"/>
    </row>
    <row r="623" spans="11:11" ht="15.75" customHeight="1" x14ac:dyDescent="0.2">
      <c r="K623" s="13"/>
    </row>
    <row r="624" spans="11:11" ht="15.75" customHeight="1" x14ac:dyDescent="0.2">
      <c r="K624" s="13"/>
    </row>
    <row r="625" spans="11:11" ht="15.75" customHeight="1" x14ac:dyDescent="0.2">
      <c r="K625" s="13"/>
    </row>
    <row r="626" spans="11:11" ht="15.75" customHeight="1" x14ac:dyDescent="0.2">
      <c r="K626" s="13"/>
    </row>
    <row r="627" spans="11:11" ht="15.75" customHeight="1" x14ac:dyDescent="0.2">
      <c r="K627" s="13"/>
    </row>
    <row r="628" spans="11:11" ht="15.75" customHeight="1" x14ac:dyDescent="0.2">
      <c r="K628" s="13"/>
    </row>
    <row r="629" spans="11:11" ht="15.75" customHeight="1" x14ac:dyDescent="0.2">
      <c r="K629" s="13"/>
    </row>
    <row r="630" spans="11:11" ht="15.75" customHeight="1" x14ac:dyDescent="0.2">
      <c r="K630" s="13"/>
    </row>
    <row r="631" spans="11:11" ht="15.75" customHeight="1" x14ac:dyDescent="0.2">
      <c r="K631" s="13"/>
    </row>
    <row r="632" spans="11:11" ht="15.75" customHeight="1" x14ac:dyDescent="0.2">
      <c r="K632" s="13"/>
    </row>
    <row r="633" spans="11:11" ht="15.75" customHeight="1" x14ac:dyDescent="0.2">
      <c r="K633" s="13"/>
    </row>
    <row r="634" spans="11:11" ht="15.75" customHeight="1" x14ac:dyDescent="0.2">
      <c r="K634" s="13"/>
    </row>
    <row r="635" spans="11:11" ht="15.75" customHeight="1" x14ac:dyDescent="0.2">
      <c r="K635" s="13"/>
    </row>
    <row r="636" spans="11:11" ht="15.75" customHeight="1" x14ac:dyDescent="0.2">
      <c r="K636" s="13"/>
    </row>
    <row r="637" spans="11:11" ht="15.75" customHeight="1" x14ac:dyDescent="0.2">
      <c r="K637" s="13"/>
    </row>
    <row r="638" spans="11:11" ht="15.75" customHeight="1" x14ac:dyDescent="0.2">
      <c r="K638" s="13"/>
    </row>
    <row r="639" spans="11:11" ht="15.75" customHeight="1" x14ac:dyDescent="0.2">
      <c r="K639" s="13"/>
    </row>
    <row r="640" spans="11:11" ht="15.75" customHeight="1" x14ac:dyDescent="0.2">
      <c r="K640" s="13"/>
    </row>
    <row r="641" spans="11:11" ht="15.75" customHeight="1" x14ac:dyDescent="0.2">
      <c r="K641" s="13"/>
    </row>
    <row r="642" spans="11:11" ht="15.75" customHeight="1" x14ac:dyDescent="0.2">
      <c r="K642" s="13"/>
    </row>
    <row r="643" spans="11:11" ht="15.75" customHeight="1" x14ac:dyDescent="0.2">
      <c r="K643" s="13"/>
    </row>
    <row r="644" spans="11:11" ht="15.75" customHeight="1" x14ac:dyDescent="0.2">
      <c r="K644" s="13"/>
    </row>
    <row r="645" spans="11:11" ht="15.75" customHeight="1" x14ac:dyDescent="0.2">
      <c r="K645" s="13"/>
    </row>
    <row r="646" spans="11:11" ht="15.75" customHeight="1" x14ac:dyDescent="0.2">
      <c r="K646" s="13"/>
    </row>
    <row r="647" spans="11:11" ht="15.75" customHeight="1" x14ac:dyDescent="0.2">
      <c r="K647" s="13"/>
    </row>
    <row r="648" spans="11:11" ht="15.75" customHeight="1" x14ac:dyDescent="0.2">
      <c r="K648" s="13"/>
    </row>
    <row r="649" spans="11:11" ht="15.75" customHeight="1" x14ac:dyDescent="0.2">
      <c r="K649" s="13"/>
    </row>
    <row r="650" spans="11:11" ht="15.75" customHeight="1" x14ac:dyDescent="0.2">
      <c r="K650" s="13"/>
    </row>
    <row r="651" spans="11:11" ht="15.75" customHeight="1" x14ac:dyDescent="0.2">
      <c r="K651" s="13"/>
    </row>
    <row r="652" spans="11:11" ht="15.75" customHeight="1" x14ac:dyDescent="0.2">
      <c r="K652" s="13"/>
    </row>
    <row r="653" spans="11:11" ht="15.75" customHeight="1" x14ac:dyDescent="0.2">
      <c r="K653" s="13"/>
    </row>
    <row r="654" spans="11:11" ht="15.75" customHeight="1" x14ac:dyDescent="0.2">
      <c r="K654" s="13"/>
    </row>
    <row r="655" spans="11:11" ht="15.75" customHeight="1" x14ac:dyDescent="0.2">
      <c r="K655" s="13"/>
    </row>
    <row r="656" spans="11:11" ht="15.75" customHeight="1" x14ac:dyDescent="0.2">
      <c r="K656" s="13"/>
    </row>
    <row r="657" spans="11:11" ht="15.75" customHeight="1" x14ac:dyDescent="0.2">
      <c r="K657" s="13"/>
    </row>
    <row r="658" spans="11:11" ht="15.75" customHeight="1" x14ac:dyDescent="0.2">
      <c r="K658" s="13"/>
    </row>
    <row r="659" spans="11:11" ht="15.75" customHeight="1" x14ac:dyDescent="0.2">
      <c r="K659" s="13"/>
    </row>
    <row r="660" spans="11:11" ht="15.75" customHeight="1" x14ac:dyDescent="0.2">
      <c r="K660" s="13"/>
    </row>
    <row r="661" spans="11:11" ht="15.75" customHeight="1" x14ac:dyDescent="0.2">
      <c r="K661" s="13"/>
    </row>
    <row r="662" spans="11:11" ht="15.75" customHeight="1" x14ac:dyDescent="0.2">
      <c r="K662" s="13"/>
    </row>
    <row r="663" spans="11:11" ht="15.75" customHeight="1" x14ac:dyDescent="0.2">
      <c r="K663" s="13"/>
    </row>
    <row r="664" spans="11:11" ht="15.75" customHeight="1" x14ac:dyDescent="0.2">
      <c r="K664" s="13"/>
    </row>
    <row r="665" spans="11:11" ht="15.75" customHeight="1" x14ac:dyDescent="0.2">
      <c r="K665" s="13"/>
    </row>
    <row r="666" spans="11:11" ht="15.75" customHeight="1" x14ac:dyDescent="0.2">
      <c r="K666" s="13"/>
    </row>
    <row r="667" spans="11:11" ht="15.75" customHeight="1" x14ac:dyDescent="0.2">
      <c r="K667" s="13"/>
    </row>
    <row r="668" spans="11:11" ht="15.75" customHeight="1" x14ac:dyDescent="0.2">
      <c r="K668" s="13"/>
    </row>
    <row r="669" spans="11:11" ht="15.75" customHeight="1" x14ac:dyDescent="0.2">
      <c r="K669" s="13"/>
    </row>
    <row r="670" spans="11:11" ht="15.75" customHeight="1" x14ac:dyDescent="0.2">
      <c r="K670" s="13"/>
    </row>
    <row r="671" spans="11:11" ht="15.75" customHeight="1" x14ac:dyDescent="0.2">
      <c r="K671" s="13"/>
    </row>
    <row r="672" spans="11:11" ht="15.75" customHeight="1" x14ac:dyDescent="0.2">
      <c r="K672" s="13"/>
    </row>
    <row r="673" spans="11:11" ht="15.75" customHeight="1" x14ac:dyDescent="0.2">
      <c r="K673" s="13"/>
    </row>
    <row r="674" spans="11:11" ht="15.75" customHeight="1" x14ac:dyDescent="0.2">
      <c r="K674" s="13"/>
    </row>
    <row r="675" spans="11:11" ht="15.75" customHeight="1" x14ac:dyDescent="0.2">
      <c r="K675" s="13"/>
    </row>
    <row r="676" spans="11:11" ht="15.75" customHeight="1" x14ac:dyDescent="0.2">
      <c r="K676" s="13"/>
    </row>
    <row r="677" spans="11:11" ht="15.75" customHeight="1" x14ac:dyDescent="0.2">
      <c r="K677" s="13"/>
    </row>
    <row r="678" spans="11:11" ht="15.75" customHeight="1" x14ac:dyDescent="0.2">
      <c r="K678" s="13"/>
    </row>
    <row r="679" spans="11:11" ht="15.75" customHeight="1" x14ac:dyDescent="0.2">
      <c r="K679" s="13"/>
    </row>
    <row r="680" spans="11:11" ht="15.75" customHeight="1" x14ac:dyDescent="0.2">
      <c r="K680" s="13"/>
    </row>
    <row r="681" spans="11:11" ht="15.75" customHeight="1" x14ac:dyDescent="0.2">
      <c r="K681" s="13"/>
    </row>
    <row r="682" spans="11:11" ht="15.75" customHeight="1" x14ac:dyDescent="0.2">
      <c r="K682" s="13"/>
    </row>
    <row r="683" spans="11:11" ht="15.75" customHeight="1" x14ac:dyDescent="0.2">
      <c r="K683" s="13"/>
    </row>
    <row r="684" spans="11:11" ht="15.75" customHeight="1" x14ac:dyDescent="0.2">
      <c r="K684" s="13"/>
    </row>
    <row r="685" spans="11:11" ht="15.75" customHeight="1" x14ac:dyDescent="0.2">
      <c r="K685" s="13"/>
    </row>
    <row r="686" spans="11:11" ht="15.75" customHeight="1" x14ac:dyDescent="0.2">
      <c r="K686" s="13"/>
    </row>
    <row r="687" spans="11:11" ht="15.75" customHeight="1" x14ac:dyDescent="0.2">
      <c r="K687" s="13"/>
    </row>
    <row r="688" spans="11:11" ht="15.75" customHeight="1" x14ac:dyDescent="0.2">
      <c r="K688" s="13"/>
    </row>
    <row r="689" spans="11:11" ht="15.75" customHeight="1" x14ac:dyDescent="0.2">
      <c r="K689" s="13"/>
    </row>
    <row r="690" spans="11:11" ht="15.75" customHeight="1" x14ac:dyDescent="0.2">
      <c r="K690" s="13"/>
    </row>
    <row r="691" spans="11:11" ht="15.75" customHeight="1" x14ac:dyDescent="0.2">
      <c r="K691" s="13"/>
    </row>
    <row r="692" spans="11:11" ht="15.75" customHeight="1" x14ac:dyDescent="0.2">
      <c r="K692" s="13"/>
    </row>
    <row r="693" spans="11:11" ht="15.75" customHeight="1" x14ac:dyDescent="0.2">
      <c r="K693" s="13"/>
    </row>
    <row r="694" spans="11:11" ht="15.75" customHeight="1" x14ac:dyDescent="0.2">
      <c r="K694" s="13"/>
    </row>
    <row r="695" spans="11:11" ht="15.75" customHeight="1" x14ac:dyDescent="0.2">
      <c r="K695" s="13"/>
    </row>
    <row r="696" spans="11:11" ht="15.75" customHeight="1" x14ac:dyDescent="0.2">
      <c r="K696" s="13"/>
    </row>
    <row r="697" spans="11:11" ht="15.75" customHeight="1" x14ac:dyDescent="0.2">
      <c r="K697" s="13"/>
    </row>
    <row r="698" spans="11:11" ht="15.75" customHeight="1" x14ac:dyDescent="0.2">
      <c r="K698" s="13"/>
    </row>
    <row r="699" spans="11:11" ht="15.75" customHeight="1" x14ac:dyDescent="0.2">
      <c r="K699" s="13"/>
    </row>
    <row r="700" spans="11:11" ht="15.75" customHeight="1" x14ac:dyDescent="0.2">
      <c r="K700" s="13"/>
    </row>
    <row r="701" spans="11:11" ht="15.75" customHeight="1" x14ac:dyDescent="0.2">
      <c r="K701" s="13"/>
    </row>
    <row r="702" spans="11:11" ht="15.75" customHeight="1" x14ac:dyDescent="0.2">
      <c r="K702" s="13"/>
    </row>
    <row r="703" spans="11:11" ht="15.75" customHeight="1" x14ac:dyDescent="0.2">
      <c r="K703" s="13"/>
    </row>
    <row r="704" spans="11:11" ht="15.75" customHeight="1" x14ac:dyDescent="0.2">
      <c r="K704" s="13"/>
    </row>
    <row r="705" spans="11:11" ht="15.75" customHeight="1" x14ac:dyDescent="0.2">
      <c r="K705" s="13"/>
    </row>
    <row r="706" spans="11:11" ht="15.75" customHeight="1" x14ac:dyDescent="0.2">
      <c r="K706" s="13"/>
    </row>
    <row r="707" spans="11:11" ht="15.75" customHeight="1" x14ac:dyDescent="0.2">
      <c r="K707" s="13"/>
    </row>
    <row r="708" spans="11:11" ht="15.75" customHeight="1" x14ac:dyDescent="0.2">
      <c r="K708" s="13"/>
    </row>
    <row r="709" spans="11:11" ht="15.75" customHeight="1" x14ac:dyDescent="0.2">
      <c r="K709" s="13"/>
    </row>
    <row r="710" spans="11:11" ht="15.75" customHeight="1" x14ac:dyDescent="0.2">
      <c r="K710" s="13"/>
    </row>
    <row r="711" spans="11:11" ht="15.75" customHeight="1" x14ac:dyDescent="0.2">
      <c r="K711" s="13"/>
    </row>
    <row r="712" spans="11:11" ht="15.75" customHeight="1" x14ac:dyDescent="0.2">
      <c r="K712" s="13"/>
    </row>
    <row r="713" spans="11:11" ht="15.75" customHeight="1" x14ac:dyDescent="0.2">
      <c r="K713" s="13"/>
    </row>
    <row r="714" spans="11:11" ht="15.75" customHeight="1" x14ac:dyDescent="0.2">
      <c r="K714" s="13"/>
    </row>
    <row r="715" spans="11:11" ht="15.75" customHeight="1" x14ac:dyDescent="0.2">
      <c r="K715" s="13"/>
    </row>
    <row r="716" spans="11:11" ht="15.75" customHeight="1" x14ac:dyDescent="0.2">
      <c r="K716" s="13"/>
    </row>
    <row r="717" spans="11:11" ht="15.75" customHeight="1" x14ac:dyDescent="0.2">
      <c r="K717" s="13"/>
    </row>
    <row r="718" spans="11:11" ht="15.75" customHeight="1" x14ac:dyDescent="0.2">
      <c r="K718" s="13"/>
    </row>
    <row r="719" spans="11:11" ht="15.75" customHeight="1" x14ac:dyDescent="0.2">
      <c r="K719" s="13"/>
    </row>
    <row r="720" spans="11:11" ht="15.75" customHeight="1" x14ac:dyDescent="0.2">
      <c r="K720" s="13"/>
    </row>
    <row r="721" spans="11:11" ht="15.75" customHeight="1" x14ac:dyDescent="0.2">
      <c r="K721" s="13"/>
    </row>
    <row r="722" spans="11:11" ht="15.75" customHeight="1" x14ac:dyDescent="0.2">
      <c r="K722" s="13"/>
    </row>
    <row r="723" spans="11:11" ht="15.75" customHeight="1" x14ac:dyDescent="0.2">
      <c r="K723" s="13"/>
    </row>
    <row r="724" spans="11:11" ht="15.75" customHeight="1" x14ac:dyDescent="0.2">
      <c r="K724" s="13"/>
    </row>
    <row r="725" spans="11:11" ht="15.75" customHeight="1" x14ac:dyDescent="0.2">
      <c r="K725" s="13"/>
    </row>
    <row r="726" spans="11:11" ht="15.75" customHeight="1" x14ac:dyDescent="0.2">
      <c r="K726" s="13"/>
    </row>
    <row r="727" spans="11:11" ht="15.75" customHeight="1" x14ac:dyDescent="0.2">
      <c r="K727" s="13"/>
    </row>
    <row r="728" spans="11:11" ht="15.75" customHeight="1" x14ac:dyDescent="0.2">
      <c r="K728" s="13"/>
    </row>
    <row r="729" spans="11:11" ht="15.75" customHeight="1" x14ac:dyDescent="0.2">
      <c r="K729" s="13"/>
    </row>
    <row r="730" spans="11:11" ht="15.75" customHeight="1" x14ac:dyDescent="0.2">
      <c r="K730" s="13"/>
    </row>
    <row r="731" spans="11:11" ht="15.75" customHeight="1" x14ac:dyDescent="0.2">
      <c r="K731" s="13"/>
    </row>
    <row r="732" spans="11:11" ht="15.75" customHeight="1" x14ac:dyDescent="0.2">
      <c r="K732" s="13"/>
    </row>
    <row r="733" spans="11:11" ht="15.75" customHeight="1" x14ac:dyDescent="0.2">
      <c r="K733" s="13"/>
    </row>
    <row r="734" spans="11:11" ht="15.75" customHeight="1" x14ac:dyDescent="0.2">
      <c r="K734" s="13"/>
    </row>
    <row r="735" spans="11:11" ht="15.75" customHeight="1" x14ac:dyDescent="0.2">
      <c r="K735" s="13"/>
    </row>
    <row r="736" spans="11:11" ht="15.75" customHeight="1" x14ac:dyDescent="0.2">
      <c r="K736" s="13"/>
    </row>
    <row r="737" spans="11:11" ht="15.75" customHeight="1" x14ac:dyDescent="0.2">
      <c r="K737" s="13"/>
    </row>
    <row r="738" spans="11:11" ht="15.75" customHeight="1" x14ac:dyDescent="0.2">
      <c r="K738" s="13"/>
    </row>
    <row r="739" spans="11:11" ht="15.75" customHeight="1" x14ac:dyDescent="0.2">
      <c r="K739" s="13"/>
    </row>
    <row r="740" spans="11:11" ht="15.75" customHeight="1" x14ac:dyDescent="0.2">
      <c r="K740" s="13"/>
    </row>
    <row r="741" spans="11:11" ht="15.75" customHeight="1" x14ac:dyDescent="0.2">
      <c r="K741" s="13"/>
    </row>
    <row r="742" spans="11:11" ht="15.75" customHeight="1" x14ac:dyDescent="0.2">
      <c r="K742" s="13"/>
    </row>
    <row r="743" spans="11:11" ht="15.75" customHeight="1" x14ac:dyDescent="0.2">
      <c r="K743" s="13"/>
    </row>
    <row r="744" spans="11:11" ht="15.75" customHeight="1" x14ac:dyDescent="0.2">
      <c r="K744" s="13"/>
    </row>
    <row r="745" spans="11:11" ht="15.75" customHeight="1" x14ac:dyDescent="0.2">
      <c r="K745" s="13"/>
    </row>
    <row r="746" spans="11:11" ht="15.75" customHeight="1" x14ac:dyDescent="0.2">
      <c r="K746" s="13"/>
    </row>
    <row r="747" spans="11:11" ht="15.75" customHeight="1" x14ac:dyDescent="0.2">
      <c r="K747" s="13"/>
    </row>
    <row r="748" spans="11:11" ht="15.75" customHeight="1" x14ac:dyDescent="0.2">
      <c r="K748" s="13"/>
    </row>
    <row r="749" spans="11:11" ht="15.75" customHeight="1" x14ac:dyDescent="0.2">
      <c r="K749" s="13"/>
    </row>
    <row r="750" spans="11:11" ht="15.75" customHeight="1" x14ac:dyDescent="0.2">
      <c r="K750" s="13"/>
    </row>
    <row r="751" spans="11:11" ht="15.75" customHeight="1" x14ac:dyDescent="0.2">
      <c r="K751" s="13"/>
    </row>
    <row r="752" spans="11:11" ht="15.75" customHeight="1" x14ac:dyDescent="0.2">
      <c r="K752" s="13"/>
    </row>
    <row r="753" spans="11:11" ht="15.75" customHeight="1" x14ac:dyDescent="0.2">
      <c r="K753" s="13"/>
    </row>
    <row r="754" spans="11:11" ht="15.75" customHeight="1" x14ac:dyDescent="0.2">
      <c r="K754" s="13"/>
    </row>
    <row r="755" spans="11:11" ht="15.75" customHeight="1" x14ac:dyDescent="0.2">
      <c r="K755" s="13"/>
    </row>
    <row r="756" spans="11:11" ht="15.75" customHeight="1" x14ac:dyDescent="0.2">
      <c r="K756" s="13"/>
    </row>
    <row r="757" spans="11:11" ht="15.75" customHeight="1" x14ac:dyDescent="0.2">
      <c r="K757" s="13"/>
    </row>
    <row r="758" spans="11:11" ht="15.75" customHeight="1" x14ac:dyDescent="0.2">
      <c r="K758" s="13"/>
    </row>
    <row r="759" spans="11:11" ht="15.75" customHeight="1" x14ac:dyDescent="0.2">
      <c r="K759" s="13"/>
    </row>
    <row r="760" spans="11:11" ht="15.75" customHeight="1" x14ac:dyDescent="0.2">
      <c r="K760" s="13"/>
    </row>
    <row r="761" spans="11:11" ht="15.75" customHeight="1" x14ac:dyDescent="0.2">
      <c r="K761" s="13"/>
    </row>
    <row r="762" spans="11:11" ht="15.75" customHeight="1" x14ac:dyDescent="0.2">
      <c r="K762" s="13"/>
    </row>
    <row r="763" spans="11:11" ht="15.75" customHeight="1" x14ac:dyDescent="0.2">
      <c r="K763" s="13"/>
    </row>
    <row r="764" spans="11:11" ht="15.75" customHeight="1" x14ac:dyDescent="0.2">
      <c r="K764" s="13"/>
    </row>
    <row r="765" spans="11:11" ht="15.75" customHeight="1" x14ac:dyDescent="0.2">
      <c r="K765" s="13"/>
    </row>
    <row r="766" spans="11:11" ht="15.75" customHeight="1" x14ac:dyDescent="0.2">
      <c r="K766" s="13"/>
    </row>
    <row r="767" spans="11:11" ht="15.75" customHeight="1" x14ac:dyDescent="0.2">
      <c r="K767" s="13"/>
    </row>
    <row r="768" spans="11:11" ht="15.75" customHeight="1" x14ac:dyDescent="0.2">
      <c r="K768" s="13"/>
    </row>
    <row r="769" spans="11:11" ht="15.75" customHeight="1" x14ac:dyDescent="0.2">
      <c r="K769" s="13"/>
    </row>
    <row r="770" spans="11:11" ht="15.75" customHeight="1" x14ac:dyDescent="0.2">
      <c r="K770" s="13"/>
    </row>
    <row r="771" spans="11:11" ht="15.75" customHeight="1" x14ac:dyDescent="0.2">
      <c r="K771" s="13"/>
    </row>
    <row r="772" spans="11:11" ht="15.75" customHeight="1" x14ac:dyDescent="0.2">
      <c r="K772" s="13"/>
    </row>
    <row r="773" spans="11:11" ht="15.75" customHeight="1" x14ac:dyDescent="0.2">
      <c r="K773" s="13"/>
    </row>
    <row r="774" spans="11:11" ht="15.75" customHeight="1" x14ac:dyDescent="0.2">
      <c r="K774" s="13"/>
    </row>
    <row r="775" spans="11:11" ht="15.75" customHeight="1" x14ac:dyDescent="0.2">
      <c r="K775" s="13"/>
    </row>
    <row r="776" spans="11:11" ht="15.75" customHeight="1" x14ac:dyDescent="0.2">
      <c r="K776" s="13"/>
    </row>
    <row r="777" spans="11:11" ht="15.75" customHeight="1" x14ac:dyDescent="0.2">
      <c r="K777" s="13"/>
    </row>
    <row r="778" spans="11:11" ht="15.75" customHeight="1" x14ac:dyDescent="0.2">
      <c r="K778" s="13"/>
    </row>
    <row r="779" spans="11:11" ht="15.75" customHeight="1" x14ac:dyDescent="0.2">
      <c r="K779" s="13"/>
    </row>
    <row r="780" spans="11:11" ht="15.75" customHeight="1" x14ac:dyDescent="0.2">
      <c r="K780" s="13"/>
    </row>
    <row r="781" spans="11:11" ht="15.75" customHeight="1" x14ac:dyDescent="0.2">
      <c r="K781" s="13"/>
    </row>
    <row r="782" spans="11:11" ht="15.75" customHeight="1" x14ac:dyDescent="0.2">
      <c r="K782" s="13"/>
    </row>
    <row r="783" spans="11:11" ht="15.75" customHeight="1" x14ac:dyDescent="0.2">
      <c r="K783" s="13"/>
    </row>
    <row r="784" spans="11:11" ht="15.75" customHeight="1" x14ac:dyDescent="0.2">
      <c r="K784" s="13"/>
    </row>
    <row r="785" spans="11:11" ht="15.75" customHeight="1" x14ac:dyDescent="0.2">
      <c r="K785" s="13"/>
    </row>
    <row r="786" spans="11:11" ht="15.75" customHeight="1" x14ac:dyDescent="0.2">
      <c r="K786" s="13"/>
    </row>
    <row r="787" spans="11:11" ht="15.75" customHeight="1" x14ac:dyDescent="0.2">
      <c r="K787" s="13"/>
    </row>
    <row r="788" spans="11:11" ht="15.75" customHeight="1" x14ac:dyDescent="0.2">
      <c r="K788" s="13"/>
    </row>
    <row r="789" spans="11:11" ht="15.75" customHeight="1" x14ac:dyDescent="0.2">
      <c r="K789" s="13"/>
    </row>
    <row r="790" spans="11:11" ht="15.75" customHeight="1" x14ac:dyDescent="0.2">
      <c r="K790" s="13"/>
    </row>
    <row r="791" spans="11:11" ht="15.75" customHeight="1" x14ac:dyDescent="0.2">
      <c r="K791" s="13"/>
    </row>
    <row r="792" spans="11:11" ht="15.75" customHeight="1" x14ac:dyDescent="0.2">
      <c r="K792" s="13"/>
    </row>
    <row r="793" spans="11:11" ht="15.75" customHeight="1" x14ac:dyDescent="0.2">
      <c r="K793" s="13"/>
    </row>
    <row r="794" spans="11:11" ht="15.75" customHeight="1" x14ac:dyDescent="0.2">
      <c r="K794" s="13"/>
    </row>
    <row r="795" spans="11:11" ht="15.75" customHeight="1" x14ac:dyDescent="0.2">
      <c r="K795" s="13"/>
    </row>
    <row r="796" spans="11:11" ht="15.75" customHeight="1" x14ac:dyDescent="0.2">
      <c r="K796" s="13"/>
    </row>
    <row r="797" spans="11:11" ht="15.75" customHeight="1" x14ac:dyDescent="0.2">
      <c r="K797" s="13"/>
    </row>
    <row r="798" spans="11:11" ht="15.75" customHeight="1" x14ac:dyDescent="0.2">
      <c r="K798" s="13"/>
    </row>
    <row r="799" spans="11:11" ht="15.75" customHeight="1" x14ac:dyDescent="0.2">
      <c r="K799" s="13"/>
    </row>
    <row r="800" spans="11:11" ht="15.75" customHeight="1" x14ac:dyDescent="0.2">
      <c r="K800" s="13"/>
    </row>
    <row r="801" spans="11:11" ht="15.75" customHeight="1" x14ac:dyDescent="0.2">
      <c r="K801" s="13"/>
    </row>
    <row r="802" spans="11:11" ht="15.75" customHeight="1" x14ac:dyDescent="0.2">
      <c r="K802" s="13"/>
    </row>
    <row r="803" spans="11:11" ht="15.75" customHeight="1" x14ac:dyDescent="0.2">
      <c r="K803" s="13"/>
    </row>
    <row r="804" spans="11:11" ht="15.75" customHeight="1" x14ac:dyDescent="0.2">
      <c r="K804" s="13"/>
    </row>
    <row r="805" spans="11:11" ht="15.75" customHeight="1" x14ac:dyDescent="0.2">
      <c r="K805" s="13"/>
    </row>
    <row r="806" spans="11:11" ht="15.75" customHeight="1" x14ac:dyDescent="0.2">
      <c r="K806" s="13"/>
    </row>
    <row r="807" spans="11:11" ht="15.75" customHeight="1" x14ac:dyDescent="0.2">
      <c r="K807" s="13"/>
    </row>
    <row r="808" spans="11:11" ht="15.75" customHeight="1" x14ac:dyDescent="0.2">
      <c r="K808" s="13"/>
    </row>
    <row r="809" spans="11:11" ht="15.75" customHeight="1" x14ac:dyDescent="0.2">
      <c r="K809" s="13"/>
    </row>
    <row r="810" spans="11:11" ht="15.75" customHeight="1" x14ac:dyDescent="0.2">
      <c r="K810" s="13"/>
    </row>
    <row r="811" spans="11:11" ht="15.75" customHeight="1" x14ac:dyDescent="0.2">
      <c r="K811" s="13"/>
    </row>
    <row r="812" spans="11:11" ht="15.75" customHeight="1" x14ac:dyDescent="0.2">
      <c r="K812" s="13"/>
    </row>
    <row r="813" spans="11:11" ht="15.75" customHeight="1" x14ac:dyDescent="0.2">
      <c r="K813" s="13"/>
    </row>
    <row r="814" spans="11:11" ht="15.75" customHeight="1" x14ac:dyDescent="0.2">
      <c r="K814" s="13"/>
    </row>
    <row r="815" spans="11:11" ht="15.75" customHeight="1" x14ac:dyDescent="0.2">
      <c r="K815" s="13"/>
    </row>
    <row r="816" spans="11:11" ht="15.75" customHeight="1" x14ac:dyDescent="0.2">
      <c r="K816" s="13"/>
    </row>
    <row r="817" spans="11:11" ht="15.75" customHeight="1" x14ac:dyDescent="0.2">
      <c r="K817" s="13"/>
    </row>
    <row r="818" spans="11:11" ht="15.75" customHeight="1" x14ac:dyDescent="0.2">
      <c r="K818" s="13"/>
    </row>
    <row r="819" spans="11:11" ht="15.75" customHeight="1" x14ac:dyDescent="0.2">
      <c r="K819" s="13"/>
    </row>
    <row r="820" spans="11:11" ht="15.75" customHeight="1" x14ac:dyDescent="0.2">
      <c r="K820" s="13"/>
    </row>
    <row r="821" spans="11:11" ht="15.75" customHeight="1" x14ac:dyDescent="0.2">
      <c r="K821" s="13"/>
    </row>
    <row r="822" spans="11:11" ht="15.75" customHeight="1" x14ac:dyDescent="0.2">
      <c r="K822" s="13"/>
    </row>
    <row r="823" spans="11:11" ht="15.75" customHeight="1" x14ac:dyDescent="0.2">
      <c r="K823" s="13"/>
    </row>
    <row r="824" spans="11:11" ht="15.75" customHeight="1" x14ac:dyDescent="0.2">
      <c r="K824" s="13"/>
    </row>
    <row r="825" spans="11:11" ht="15.75" customHeight="1" x14ac:dyDescent="0.2">
      <c r="K825" s="13"/>
    </row>
    <row r="826" spans="11:11" ht="15.75" customHeight="1" x14ac:dyDescent="0.2">
      <c r="K826" s="13"/>
    </row>
    <row r="827" spans="11:11" ht="15.75" customHeight="1" x14ac:dyDescent="0.2">
      <c r="K827" s="13"/>
    </row>
    <row r="828" spans="11:11" ht="15.75" customHeight="1" x14ac:dyDescent="0.2">
      <c r="K828" s="13"/>
    </row>
    <row r="829" spans="11:11" ht="15.75" customHeight="1" x14ac:dyDescent="0.2">
      <c r="K829" s="13"/>
    </row>
    <row r="830" spans="11:11" ht="15.75" customHeight="1" x14ac:dyDescent="0.2">
      <c r="K830" s="13"/>
    </row>
    <row r="831" spans="11:11" ht="15.75" customHeight="1" x14ac:dyDescent="0.2">
      <c r="K831" s="13"/>
    </row>
    <row r="832" spans="11:11" ht="15.75" customHeight="1" x14ac:dyDescent="0.2">
      <c r="K832" s="13"/>
    </row>
    <row r="833" spans="11:11" ht="15.75" customHeight="1" x14ac:dyDescent="0.2">
      <c r="K833" s="13"/>
    </row>
    <row r="834" spans="11:11" ht="15.75" customHeight="1" x14ac:dyDescent="0.2">
      <c r="K834" s="13"/>
    </row>
    <row r="835" spans="11:11" ht="15.75" customHeight="1" x14ac:dyDescent="0.2">
      <c r="K835" s="13"/>
    </row>
    <row r="836" spans="11:11" ht="15.75" customHeight="1" x14ac:dyDescent="0.2">
      <c r="K836" s="13"/>
    </row>
    <row r="837" spans="11:11" ht="15.75" customHeight="1" x14ac:dyDescent="0.2">
      <c r="K837" s="13"/>
    </row>
    <row r="838" spans="11:11" ht="15.75" customHeight="1" x14ac:dyDescent="0.2">
      <c r="K838" s="13"/>
    </row>
    <row r="839" spans="11:11" ht="15.75" customHeight="1" x14ac:dyDescent="0.2">
      <c r="K839" s="13"/>
    </row>
    <row r="840" spans="11:11" ht="15.75" customHeight="1" x14ac:dyDescent="0.2">
      <c r="K840" s="13"/>
    </row>
    <row r="841" spans="11:11" ht="15.75" customHeight="1" x14ac:dyDescent="0.2">
      <c r="K841" s="13"/>
    </row>
    <row r="842" spans="11:11" ht="15.75" customHeight="1" x14ac:dyDescent="0.2">
      <c r="K842" s="13"/>
    </row>
    <row r="843" spans="11:11" ht="15.75" customHeight="1" x14ac:dyDescent="0.2">
      <c r="K843" s="13"/>
    </row>
    <row r="844" spans="11:11" ht="15.75" customHeight="1" x14ac:dyDescent="0.2">
      <c r="K844" s="13"/>
    </row>
    <row r="845" spans="11:11" ht="15.75" customHeight="1" x14ac:dyDescent="0.2">
      <c r="K845" s="13"/>
    </row>
    <row r="846" spans="11:11" ht="15.75" customHeight="1" x14ac:dyDescent="0.2">
      <c r="K846" s="13"/>
    </row>
    <row r="847" spans="11:11" ht="15.75" customHeight="1" x14ac:dyDescent="0.2">
      <c r="K847" s="13"/>
    </row>
    <row r="848" spans="11:11" ht="15.75" customHeight="1" x14ac:dyDescent="0.2">
      <c r="K848" s="13"/>
    </row>
    <row r="849" spans="11:11" ht="15.75" customHeight="1" x14ac:dyDescent="0.2">
      <c r="K849" s="13"/>
    </row>
    <row r="850" spans="11:11" ht="15.75" customHeight="1" x14ac:dyDescent="0.2">
      <c r="K850" s="13"/>
    </row>
    <row r="851" spans="11:11" ht="15.75" customHeight="1" x14ac:dyDescent="0.2">
      <c r="K851" s="13"/>
    </row>
    <row r="852" spans="11:11" ht="15.75" customHeight="1" x14ac:dyDescent="0.2">
      <c r="K852" s="13"/>
    </row>
    <row r="853" spans="11:11" ht="15.75" customHeight="1" x14ac:dyDescent="0.2">
      <c r="K853" s="13"/>
    </row>
    <row r="854" spans="11:11" ht="15.75" customHeight="1" x14ac:dyDescent="0.2">
      <c r="K854" s="13"/>
    </row>
    <row r="855" spans="11:11" ht="15.75" customHeight="1" x14ac:dyDescent="0.2">
      <c r="K855" s="13"/>
    </row>
    <row r="856" spans="11:11" ht="15.75" customHeight="1" x14ac:dyDescent="0.2">
      <c r="K856" s="13"/>
    </row>
    <row r="857" spans="11:11" ht="15.75" customHeight="1" x14ac:dyDescent="0.2">
      <c r="K857" s="13"/>
    </row>
    <row r="858" spans="11:11" ht="15.75" customHeight="1" x14ac:dyDescent="0.2">
      <c r="K858" s="13"/>
    </row>
    <row r="859" spans="11:11" ht="15.75" customHeight="1" x14ac:dyDescent="0.2">
      <c r="K859" s="13"/>
    </row>
    <row r="860" spans="11:11" ht="15.75" customHeight="1" x14ac:dyDescent="0.2">
      <c r="K860" s="13"/>
    </row>
    <row r="861" spans="11:11" ht="15.75" customHeight="1" x14ac:dyDescent="0.2">
      <c r="K861" s="13"/>
    </row>
    <row r="862" spans="11:11" ht="15.75" customHeight="1" x14ac:dyDescent="0.2">
      <c r="K862" s="13"/>
    </row>
    <row r="863" spans="11:11" ht="15.75" customHeight="1" x14ac:dyDescent="0.2">
      <c r="K863" s="13"/>
    </row>
    <row r="864" spans="11:11" ht="15.75" customHeight="1" x14ac:dyDescent="0.2">
      <c r="K864" s="13"/>
    </row>
    <row r="865" spans="11:11" ht="15.75" customHeight="1" x14ac:dyDescent="0.2">
      <c r="K865" s="13"/>
    </row>
    <row r="866" spans="11:11" ht="15.75" customHeight="1" x14ac:dyDescent="0.2">
      <c r="K866" s="13"/>
    </row>
    <row r="867" spans="11:11" ht="15.75" customHeight="1" x14ac:dyDescent="0.2">
      <c r="K867" s="13"/>
    </row>
    <row r="868" spans="11:11" ht="15.75" customHeight="1" x14ac:dyDescent="0.2">
      <c r="K868" s="13"/>
    </row>
    <row r="869" spans="11:11" ht="15.75" customHeight="1" x14ac:dyDescent="0.2">
      <c r="K869" s="13"/>
    </row>
    <row r="870" spans="11:11" ht="15.75" customHeight="1" x14ac:dyDescent="0.2">
      <c r="K870" s="13"/>
    </row>
    <row r="871" spans="11:11" ht="15.75" customHeight="1" x14ac:dyDescent="0.2">
      <c r="K871" s="13"/>
    </row>
    <row r="872" spans="11:11" ht="15.75" customHeight="1" x14ac:dyDescent="0.2">
      <c r="K872" s="13"/>
    </row>
    <row r="873" spans="11:11" ht="15.75" customHeight="1" x14ac:dyDescent="0.2">
      <c r="K873" s="13"/>
    </row>
    <row r="874" spans="11:11" ht="15.75" customHeight="1" x14ac:dyDescent="0.2">
      <c r="K874" s="13"/>
    </row>
    <row r="875" spans="11:11" ht="15.75" customHeight="1" x14ac:dyDescent="0.2">
      <c r="K875" s="13"/>
    </row>
    <row r="876" spans="11:11" ht="15.75" customHeight="1" x14ac:dyDescent="0.2">
      <c r="K876" s="13"/>
    </row>
    <row r="877" spans="11:11" ht="15.75" customHeight="1" x14ac:dyDescent="0.2">
      <c r="K877" s="13"/>
    </row>
    <row r="878" spans="11:11" ht="15.75" customHeight="1" x14ac:dyDescent="0.2">
      <c r="K878" s="13"/>
    </row>
    <row r="879" spans="11:11" ht="15.75" customHeight="1" x14ac:dyDescent="0.2">
      <c r="K879" s="13"/>
    </row>
    <row r="880" spans="11:11" ht="15.75" customHeight="1" x14ac:dyDescent="0.2">
      <c r="K880" s="13"/>
    </row>
    <row r="881" spans="11:11" ht="15.75" customHeight="1" x14ac:dyDescent="0.2">
      <c r="K881" s="13"/>
    </row>
    <row r="882" spans="11:11" ht="15.75" customHeight="1" x14ac:dyDescent="0.2">
      <c r="K882" s="13"/>
    </row>
    <row r="883" spans="11:11" ht="15.75" customHeight="1" x14ac:dyDescent="0.2">
      <c r="K883" s="13"/>
    </row>
    <row r="884" spans="11:11" ht="15.75" customHeight="1" x14ac:dyDescent="0.2">
      <c r="K884" s="13"/>
    </row>
    <row r="885" spans="11:11" ht="15.75" customHeight="1" x14ac:dyDescent="0.2">
      <c r="K885" s="13"/>
    </row>
    <row r="886" spans="11:11" ht="15.75" customHeight="1" x14ac:dyDescent="0.2">
      <c r="K886" s="13"/>
    </row>
    <row r="887" spans="11:11" ht="15.75" customHeight="1" x14ac:dyDescent="0.2">
      <c r="K887" s="13"/>
    </row>
    <row r="888" spans="11:11" ht="15.75" customHeight="1" x14ac:dyDescent="0.2">
      <c r="K888" s="13"/>
    </row>
    <row r="889" spans="11:11" ht="15.75" customHeight="1" x14ac:dyDescent="0.2">
      <c r="K889" s="13"/>
    </row>
    <row r="890" spans="11:11" ht="15.75" customHeight="1" x14ac:dyDescent="0.2">
      <c r="K890" s="13"/>
    </row>
    <row r="891" spans="11:11" ht="15.75" customHeight="1" x14ac:dyDescent="0.2">
      <c r="K891" s="13"/>
    </row>
    <row r="892" spans="11:11" ht="15.75" customHeight="1" x14ac:dyDescent="0.2">
      <c r="K892" s="13"/>
    </row>
    <row r="893" spans="11:11" ht="15.75" customHeight="1" x14ac:dyDescent="0.2">
      <c r="K893" s="13"/>
    </row>
    <row r="894" spans="11:11" ht="15.75" customHeight="1" x14ac:dyDescent="0.2">
      <c r="K894" s="13"/>
    </row>
    <row r="895" spans="11:11" ht="15.75" customHeight="1" x14ac:dyDescent="0.2">
      <c r="K895" s="13"/>
    </row>
    <row r="896" spans="11:11" ht="15.75" customHeight="1" x14ac:dyDescent="0.2">
      <c r="K896" s="13"/>
    </row>
    <row r="897" spans="11:11" ht="15.75" customHeight="1" x14ac:dyDescent="0.2">
      <c r="K897" s="13"/>
    </row>
    <row r="898" spans="11:11" ht="15.75" customHeight="1" x14ac:dyDescent="0.2">
      <c r="K898" s="13"/>
    </row>
    <row r="899" spans="11:11" ht="15.75" customHeight="1" x14ac:dyDescent="0.2">
      <c r="K899" s="13"/>
    </row>
    <row r="900" spans="11:11" ht="15.75" customHeight="1" x14ac:dyDescent="0.2">
      <c r="K900" s="13"/>
    </row>
    <row r="901" spans="11:11" ht="15.75" customHeight="1" x14ac:dyDescent="0.2">
      <c r="K901" s="13"/>
    </row>
    <row r="902" spans="11:11" ht="15.75" customHeight="1" x14ac:dyDescent="0.2">
      <c r="K902" s="13"/>
    </row>
    <row r="903" spans="11:11" ht="15.75" customHeight="1" x14ac:dyDescent="0.2">
      <c r="K903" s="13"/>
    </row>
    <row r="904" spans="11:11" ht="15.75" customHeight="1" x14ac:dyDescent="0.2">
      <c r="K904" s="13"/>
    </row>
    <row r="905" spans="11:11" ht="15.75" customHeight="1" x14ac:dyDescent="0.2">
      <c r="K905" s="13"/>
    </row>
    <row r="906" spans="11:11" ht="15.75" customHeight="1" x14ac:dyDescent="0.2">
      <c r="K906" s="13"/>
    </row>
    <row r="907" spans="11:11" ht="15.75" customHeight="1" x14ac:dyDescent="0.2">
      <c r="K907" s="13"/>
    </row>
    <row r="908" spans="11:11" ht="15.75" customHeight="1" x14ac:dyDescent="0.2">
      <c r="K908" s="13"/>
    </row>
    <row r="909" spans="11:11" ht="15.75" customHeight="1" x14ac:dyDescent="0.2">
      <c r="K909" s="13"/>
    </row>
    <row r="910" spans="11:11" ht="15.75" customHeight="1" x14ac:dyDescent="0.2">
      <c r="K910" s="13"/>
    </row>
    <row r="911" spans="11:11" ht="15.75" customHeight="1" x14ac:dyDescent="0.2">
      <c r="K911" s="13"/>
    </row>
    <row r="912" spans="11:11" ht="15.75" customHeight="1" x14ac:dyDescent="0.2">
      <c r="K912" s="13"/>
    </row>
    <row r="913" spans="11:11" ht="15.75" customHeight="1" x14ac:dyDescent="0.2">
      <c r="K913" s="13"/>
    </row>
    <row r="914" spans="11:11" ht="15.75" customHeight="1" x14ac:dyDescent="0.2">
      <c r="K914" s="13"/>
    </row>
    <row r="915" spans="11:11" ht="15.75" customHeight="1" x14ac:dyDescent="0.2">
      <c r="K915" s="13"/>
    </row>
    <row r="916" spans="11:11" ht="15.75" customHeight="1" x14ac:dyDescent="0.2">
      <c r="K916" s="13"/>
    </row>
    <row r="917" spans="11:11" ht="15.75" customHeight="1" x14ac:dyDescent="0.2">
      <c r="K917" s="13"/>
    </row>
    <row r="918" spans="11:11" ht="15.75" customHeight="1" x14ac:dyDescent="0.2">
      <c r="K918" s="13"/>
    </row>
    <row r="919" spans="11:11" ht="15.75" customHeight="1" x14ac:dyDescent="0.2">
      <c r="K919" s="13"/>
    </row>
    <row r="920" spans="11:11" ht="15.75" customHeight="1" x14ac:dyDescent="0.2">
      <c r="K920" s="13"/>
    </row>
    <row r="921" spans="11:11" ht="15.75" customHeight="1" x14ac:dyDescent="0.2">
      <c r="K921" s="13"/>
    </row>
    <row r="922" spans="11:11" ht="15.75" customHeight="1" x14ac:dyDescent="0.2">
      <c r="K922" s="13"/>
    </row>
    <row r="923" spans="11:11" ht="15.75" customHeight="1" x14ac:dyDescent="0.2">
      <c r="K923" s="13"/>
    </row>
    <row r="924" spans="11:11" ht="15.75" customHeight="1" x14ac:dyDescent="0.2">
      <c r="K924" s="13"/>
    </row>
    <row r="925" spans="11:11" ht="15.75" customHeight="1" x14ac:dyDescent="0.2">
      <c r="K925" s="13"/>
    </row>
    <row r="926" spans="11:11" ht="15.75" customHeight="1" x14ac:dyDescent="0.2">
      <c r="K926" s="13"/>
    </row>
    <row r="927" spans="11:11" ht="15.75" customHeight="1" x14ac:dyDescent="0.2">
      <c r="K927" s="13"/>
    </row>
    <row r="928" spans="11:11" ht="15.75" customHeight="1" x14ac:dyDescent="0.2">
      <c r="K928" s="13"/>
    </row>
    <row r="929" spans="11:11" ht="15.75" customHeight="1" x14ac:dyDescent="0.2">
      <c r="K929" s="13"/>
    </row>
    <row r="930" spans="11:11" ht="15.75" customHeight="1" x14ac:dyDescent="0.2">
      <c r="K930" s="13"/>
    </row>
    <row r="931" spans="11:11" ht="15.75" customHeight="1" x14ac:dyDescent="0.2">
      <c r="K931" s="13"/>
    </row>
    <row r="932" spans="11:11" ht="15.75" customHeight="1" x14ac:dyDescent="0.2">
      <c r="K932" s="13"/>
    </row>
    <row r="933" spans="11:11" ht="15.75" customHeight="1" x14ac:dyDescent="0.2">
      <c r="K933" s="13"/>
    </row>
    <row r="934" spans="11:11" ht="15.75" customHeight="1" x14ac:dyDescent="0.2">
      <c r="K934" s="13"/>
    </row>
    <row r="935" spans="11:11" ht="15.75" customHeight="1" x14ac:dyDescent="0.2">
      <c r="K935" s="13"/>
    </row>
    <row r="936" spans="11:11" ht="15.75" customHeight="1" x14ac:dyDescent="0.2">
      <c r="K936" s="13"/>
    </row>
    <row r="937" spans="11:11" ht="15.75" customHeight="1" x14ac:dyDescent="0.2">
      <c r="K937" s="13"/>
    </row>
    <row r="938" spans="11:11" ht="15.75" customHeight="1" x14ac:dyDescent="0.2">
      <c r="K938" s="13"/>
    </row>
    <row r="939" spans="11:11" ht="15.75" customHeight="1" x14ac:dyDescent="0.2">
      <c r="K939" s="13"/>
    </row>
    <row r="940" spans="11:11" ht="15.75" customHeight="1" x14ac:dyDescent="0.2">
      <c r="K940" s="13"/>
    </row>
    <row r="941" spans="11:11" ht="15.75" customHeight="1" x14ac:dyDescent="0.2">
      <c r="K941" s="13"/>
    </row>
    <row r="942" spans="11:11" ht="15.75" customHeight="1" x14ac:dyDescent="0.2">
      <c r="K942" s="13"/>
    </row>
    <row r="943" spans="11:11" ht="15.75" customHeight="1" x14ac:dyDescent="0.2">
      <c r="K943" s="13"/>
    </row>
    <row r="944" spans="11:11" ht="15.75" customHeight="1" x14ac:dyDescent="0.2">
      <c r="K944" s="13"/>
    </row>
    <row r="945" spans="11:11" ht="15.75" customHeight="1" x14ac:dyDescent="0.2">
      <c r="K945" s="13"/>
    </row>
    <row r="946" spans="11:11" ht="15.75" customHeight="1" x14ac:dyDescent="0.2">
      <c r="K946" s="13"/>
    </row>
    <row r="947" spans="11:11" ht="15.75" customHeight="1" x14ac:dyDescent="0.2">
      <c r="K947" s="13"/>
    </row>
    <row r="948" spans="11:11" ht="15.75" customHeight="1" x14ac:dyDescent="0.2">
      <c r="K948" s="13"/>
    </row>
    <row r="949" spans="11:11" ht="15.75" customHeight="1" x14ac:dyDescent="0.2">
      <c r="K949" s="13"/>
    </row>
    <row r="950" spans="11:11" ht="15.75" customHeight="1" x14ac:dyDescent="0.2">
      <c r="K950" s="13"/>
    </row>
    <row r="951" spans="11:11" ht="15.75" customHeight="1" x14ac:dyDescent="0.2">
      <c r="K951" s="13"/>
    </row>
    <row r="952" spans="11:11" ht="15.75" customHeight="1" x14ac:dyDescent="0.2">
      <c r="K952" s="13"/>
    </row>
    <row r="953" spans="11:11" ht="15.75" customHeight="1" x14ac:dyDescent="0.2">
      <c r="K953" s="13"/>
    </row>
    <row r="954" spans="11:11" ht="15.75" customHeight="1" x14ac:dyDescent="0.2">
      <c r="K954" s="13"/>
    </row>
    <row r="955" spans="11:11" ht="15.75" customHeight="1" x14ac:dyDescent="0.2">
      <c r="K955" s="13"/>
    </row>
    <row r="956" spans="11:11" ht="15.75" customHeight="1" x14ac:dyDescent="0.2">
      <c r="K956" s="13"/>
    </row>
    <row r="957" spans="11:11" ht="15.75" customHeight="1" x14ac:dyDescent="0.2">
      <c r="K957" s="13"/>
    </row>
    <row r="958" spans="11:11" ht="15.75" customHeight="1" x14ac:dyDescent="0.2">
      <c r="K958" s="13"/>
    </row>
    <row r="959" spans="11:11" ht="15.75" customHeight="1" x14ac:dyDescent="0.2">
      <c r="K959" s="13"/>
    </row>
    <row r="960" spans="11:11" ht="15.75" customHeight="1" x14ac:dyDescent="0.2">
      <c r="K960" s="13"/>
    </row>
    <row r="961" spans="11:11" ht="15.75" customHeight="1" x14ac:dyDescent="0.2">
      <c r="K961" s="13"/>
    </row>
    <row r="962" spans="11:11" ht="15.75" customHeight="1" x14ac:dyDescent="0.2">
      <c r="K962" s="13"/>
    </row>
    <row r="963" spans="11:11" ht="15.75" customHeight="1" x14ac:dyDescent="0.2">
      <c r="K963" s="13"/>
    </row>
    <row r="964" spans="11:11" ht="15.75" customHeight="1" x14ac:dyDescent="0.2">
      <c r="K964" s="13"/>
    </row>
    <row r="965" spans="11:11" ht="15.75" customHeight="1" x14ac:dyDescent="0.2">
      <c r="K965" s="13"/>
    </row>
    <row r="966" spans="11:11" ht="15.75" customHeight="1" x14ac:dyDescent="0.2">
      <c r="K966" s="13"/>
    </row>
    <row r="967" spans="11:11" ht="15.75" customHeight="1" x14ac:dyDescent="0.2">
      <c r="K967" s="13"/>
    </row>
    <row r="968" spans="11:11" ht="15.75" customHeight="1" x14ac:dyDescent="0.2">
      <c r="K968" s="13"/>
    </row>
    <row r="969" spans="11:11" ht="15.75" customHeight="1" x14ac:dyDescent="0.2">
      <c r="K969" s="13"/>
    </row>
    <row r="970" spans="11:11" ht="15.75" customHeight="1" x14ac:dyDescent="0.2">
      <c r="K970" s="13"/>
    </row>
    <row r="971" spans="11:11" ht="15.75" customHeight="1" x14ac:dyDescent="0.2">
      <c r="K971" s="13"/>
    </row>
    <row r="972" spans="11:11" ht="15.75" customHeight="1" x14ac:dyDescent="0.2">
      <c r="K972" s="13"/>
    </row>
    <row r="973" spans="11:11" ht="15.75" customHeight="1" x14ac:dyDescent="0.2">
      <c r="K973" s="13"/>
    </row>
    <row r="974" spans="11:11" ht="15.75" customHeight="1" x14ac:dyDescent="0.2">
      <c r="K974" s="13"/>
    </row>
    <row r="975" spans="11:11" ht="15.75" customHeight="1" x14ac:dyDescent="0.2">
      <c r="K975" s="13"/>
    </row>
    <row r="976" spans="11:11" ht="15.75" customHeight="1" x14ac:dyDescent="0.2">
      <c r="K976" s="13"/>
    </row>
    <row r="977" spans="11:11" ht="15.75" customHeight="1" x14ac:dyDescent="0.2">
      <c r="K977" s="13"/>
    </row>
    <row r="978" spans="11:11" ht="15.75" customHeight="1" x14ac:dyDescent="0.2">
      <c r="K978" s="13"/>
    </row>
    <row r="979" spans="11:11" ht="15.75" customHeight="1" x14ac:dyDescent="0.2">
      <c r="K979" s="13"/>
    </row>
    <row r="980" spans="11:11" ht="15.75" customHeight="1" x14ac:dyDescent="0.2">
      <c r="K980" s="13"/>
    </row>
    <row r="981" spans="11:11" ht="15.75" customHeight="1" x14ac:dyDescent="0.2">
      <c r="K981" s="13"/>
    </row>
    <row r="982" spans="11:11" ht="15.75" customHeight="1" x14ac:dyDescent="0.2">
      <c r="K982" s="13"/>
    </row>
    <row r="983" spans="11:11" ht="15.75" customHeight="1" x14ac:dyDescent="0.2">
      <c r="K983" s="13"/>
    </row>
    <row r="984" spans="11:11" ht="15.75" customHeight="1" x14ac:dyDescent="0.2">
      <c r="K984" s="13"/>
    </row>
    <row r="985" spans="11:11" ht="15.75" customHeight="1" x14ac:dyDescent="0.2">
      <c r="K985" s="13"/>
    </row>
    <row r="986" spans="11:11" ht="15.75" customHeight="1" x14ac:dyDescent="0.2">
      <c r="K986" s="13"/>
    </row>
    <row r="987" spans="11:11" ht="15.75" customHeight="1" x14ac:dyDescent="0.2">
      <c r="K987" s="13"/>
    </row>
    <row r="988" spans="11:11" ht="15.75" customHeight="1" x14ac:dyDescent="0.2">
      <c r="K988" s="13"/>
    </row>
    <row r="989" spans="11:11" ht="15.75" customHeight="1" x14ac:dyDescent="0.2">
      <c r="K989" s="13"/>
    </row>
    <row r="990" spans="11:11" ht="15.75" customHeight="1" x14ac:dyDescent="0.2">
      <c r="K990" s="13"/>
    </row>
    <row r="991" spans="11:11" ht="15.75" customHeight="1" x14ac:dyDescent="0.2">
      <c r="K991" s="13"/>
    </row>
    <row r="992" spans="11:11" ht="15.75" customHeight="1" x14ac:dyDescent="0.2">
      <c r="K992" s="13"/>
    </row>
    <row r="993" spans="11:11" ht="15.75" customHeight="1" x14ac:dyDescent="0.2">
      <c r="K993" s="13"/>
    </row>
    <row r="994" spans="11:11" ht="15.75" customHeight="1" x14ac:dyDescent="0.2">
      <c r="K994" s="13"/>
    </row>
    <row r="995" spans="11:11" ht="15.75" customHeight="1" x14ac:dyDescent="0.2">
      <c r="K995" s="13"/>
    </row>
    <row r="996" spans="11:11" ht="15.75" customHeight="1" x14ac:dyDescent="0.2">
      <c r="K996" s="13"/>
    </row>
    <row r="997" spans="11:11" ht="15.75" customHeight="1" x14ac:dyDescent="0.2">
      <c r="K997" s="13"/>
    </row>
    <row r="998" spans="11:11" ht="15.75" customHeight="1" x14ac:dyDescent="0.2">
      <c r="K998" s="13"/>
    </row>
    <row r="999" spans="11:11" ht="15.75" customHeight="1" x14ac:dyDescent="0.2">
      <c r="K999" s="13"/>
    </row>
    <row r="1000" spans="11:11" ht="15.75" customHeight="1" x14ac:dyDescent="0.2">
      <c r="K1000" s="13"/>
    </row>
    <row r="1001" spans="11:11" ht="15.75" customHeight="1" x14ac:dyDescent="0.2">
      <c r="K1001" s="13"/>
    </row>
    <row r="1002" spans="11:11" ht="15.75" customHeight="1" x14ac:dyDescent="0.2">
      <c r="K1002" s="13"/>
    </row>
    <row r="1003" spans="11:11" ht="15.75" customHeight="1" x14ac:dyDescent="0.2">
      <c r="K1003" s="13"/>
    </row>
    <row r="1004" spans="11:11" ht="15.75" customHeight="1" x14ac:dyDescent="0.2">
      <c r="K1004" s="13"/>
    </row>
    <row r="1005" spans="11:11" ht="15.75" customHeight="1" x14ac:dyDescent="0.2">
      <c r="K1005" s="13"/>
    </row>
    <row r="1006" spans="11:11" ht="15.75" customHeight="1" x14ac:dyDescent="0.2">
      <c r="K1006" s="13"/>
    </row>
    <row r="1007" spans="11:11" ht="15.75" customHeight="1" x14ac:dyDescent="0.2">
      <c r="K1007" s="13"/>
    </row>
    <row r="1008" spans="11:11" ht="15.75" customHeight="1" x14ac:dyDescent="0.2">
      <c r="K1008" s="13"/>
    </row>
    <row r="1009" spans="11:11" ht="15.75" customHeight="1" x14ac:dyDescent="0.2">
      <c r="K1009" s="13"/>
    </row>
    <row r="1010" spans="11:11" ht="15.75" customHeight="1" x14ac:dyDescent="0.2">
      <c r="K1010" s="13"/>
    </row>
    <row r="1011" spans="11:11" ht="15.75" customHeight="1" x14ac:dyDescent="0.2">
      <c r="K1011" s="13"/>
    </row>
    <row r="1012" spans="11:11" ht="15.75" customHeight="1" x14ac:dyDescent="0.2">
      <c r="K1012" s="13"/>
    </row>
    <row r="1013" spans="11:11" ht="15.75" customHeight="1" x14ac:dyDescent="0.2">
      <c r="K1013" s="13"/>
    </row>
    <row r="1014" spans="11:11" ht="15.75" customHeight="1" x14ac:dyDescent="0.2">
      <c r="K1014" s="13"/>
    </row>
    <row r="1015" spans="11:11" ht="15.75" customHeight="1" x14ac:dyDescent="0.2">
      <c r="K1015" s="13"/>
    </row>
    <row r="1016" spans="11:11" ht="15.75" customHeight="1" x14ac:dyDescent="0.2">
      <c r="K1016" s="13"/>
    </row>
    <row r="1017" spans="11:11" ht="15.75" customHeight="1" x14ac:dyDescent="0.2">
      <c r="K1017" s="13"/>
    </row>
    <row r="1018" spans="11:11" ht="15.75" customHeight="1" x14ac:dyDescent="0.2">
      <c r="K1018" s="13"/>
    </row>
    <row r="1019" spans="11:11" ht="15.75" customHeight="1" x14ac:dyDescent="0.2">
      <c r="K1019" s="13"/>
    </row>
    <row r="1020" spans="11:11" ht="15.75" customHeight="1" x14ac:dyDescent="0.2">
      <c r="K1020" s="13"/>
    </row>
    <row r="1021" spans="11:11" ht="15.75" customHeight="1" x14ac:dyDescent="0.2">
      <c r="K1021" s="13"/>
    </row>
    <row r="1022" spans="11:11" ht="15.75" customHeight="1" x14ac:dyDescent="0.2">
      <c r="K1022" s="13"/>
    </row>
    <row r="1023" spans="11:11" ht="15.75" customHeight="1" x14ac:dyDescent="0.2">
      <c r="K1023" s="13"/>
    </row>
    <row r="1024" spans="11:11" ht="15.75" customHeight="1" x14ac:dyDescent="0.2">
      <c r="K1024" s="13"/>
    </row>
    <row r="1025" spans="11:11" ht="15.75" customHeight="1" x14ac:dyDescent="0.2">
      <c r="K1025" s="13"/>
    </row>
    <row r="1026" spans="11:11" ht="15.75" customHeight="1" x14ac:dyDescent="0.2">
      <c r="K1026" s="13"/>
    </row>
    <row r="1027" spans="11:11" ht="15.75" customHeight="1" x14ac:dyDescent="0.2">
      <c r="K1027" s="13"/>
    </row>
    <row r="1028" spans="11:11" ht="15.75" customHeight="1" x14ac:dyDescent="0.2">
      <c r="K1028" s="13"/>
    </row>
    <row r="1029" spans="11:11" ht="15.75" customHeight="1" x14ac:dyDescent="0.2">
      <c r="K1029" s="13"/>
    </row>
    <row r="1030" spans="11:11" ht="15.75" customHeight="1" x14ac:dyDescent="0.2">
      <c r="K1030" s="13"/>
    </row>
    <row r="1031" spans="11:11" ht="15.75" customHeight="1" x14ac:dyDescent="0.2">
      <c r="K1031" s="13"/>
    </row>
    <row r="1032" spans="11:11" ht="15.75" customHeight="1" x14ac:dyDescent="0.2">
      <c r="K1032" s="13"/>
    </row>
    <row r="1033" spans="11:11" ht="15.75" customHeight="1" x14ac:dyDescent="0.2">
      <c r="K1033" s="13"/>
    </row>
    <row r="1034" spans="11:11" ht="15.75" customHeight="1" x14ac:dyDescent="0.2">
      <c r="K1034" s="13"/>
    </row>
    <row r="1035" spans="11:11" ht="15.75" customHeight="1" x14ac:dyDescent="0.2">
      <c r="K1035" s="13"/>
    </row>
    <row r="1036" spans="11:11" ht="15.75" customHeight="1" x14ac:dyDescent="0.2">
      <c r="K1036" s="13"/>
    </row>
    <row r="1037" spans="11:11" ht="15.75" customHeight="1" x14ac:dyDescent="0.2">
      <c r="K1037" s="13"/>
    </row>
    <row r="1038" spans="11:11" ht="15.75" customHeight="1" x14ac:dyDescent="0.2">
      <c r="K1038" s="13"/>
    </row>
    <row r="1039" spans="11:11" ht="15.75" customHeight="1" x14ac:dyDescent="0.2">
      <c r="K1039" s="13"/>
    </row>
    <row r="1040" spans="11:11" ht="15.75" customHeight="1" x14ac:dyDescent="0.2">
      <c r="K1040" s="13"/>
    </row>
    <row r="1041" spans="11:11" ht="15.75" customHeight="1" x14ac:dyDescent="0.2">
      <c r="K1041" s="13"/>
    </row>
    <row r="1042" spans="11:11" ht="15.75" customHeight="1" x14ac:dyDescent="0.2">
      <c r="K1042" s="13"/>
    </row>
    <row r="1043" spans="11:11" ht="15.75" customHeight="1" x14ac:dyDescent="0.2">
      <c r="K1043" s="13"/>
    </row>
    <row r="1044" spans="11:11" ht="15.75" customHeight="1" x14ac:dyDescent="0.2">
      <c r="K1044" s="13"/>
    </row>
    <row r="1045" spans="11:11" ht="15.75" customHeight="1" x14ac:dyDescent="0.2">
      <c r="K1045" s="13"/>
    </row>
    <row r="1046" spans="11:11" ht="15.75" customHeight="1" x14ac:dyDescent="0.2">
      <c r="K1046" s="13"/>
    </row>
    <row r="1047" spans="11:11" ht="15.75" customHeight="1" x14ac:dyDescent="0.2">
      <c r="K1047" s="13"/>
    </row>
    <row r="1048" spans="11:11" ht="15.75" customHeight="1" x14ac:dyDescent="0.2">
      <c r="K1048" s="13"/>
    </row>
    <row r="1049" spans="11:11" ht="15.75" customHeight="1" x14ac:dyDescent="0.2">
      <c r="K1049" s="13"/>
    </row>
    <row r="1050" spans="11:11" ht="15.75" customHeight="1" x14ac:dyDescent="0.2">
      <c r="K1050" s="13"/>
    </row>
    <row r="1051" spans="11:11" ht="15.75" customHeight="1" x14ac:dyDescent="0.2">
      <c r="K1051" s="13"/>
    </row>
    <row r="1052" spans="11:11" ht="15.75" customHeight="1" x14ac:dyDescent="0.2">
      <c r="K1052" s="13"/>
    </row>
    <row r="1053" spans="11:11" ht="15.75" customHeight="1" x14ac:dyDescent="0.2">
      <c r="K1053" s="13"/>
    </row>
    <row r="1054" spans="11:11" ht="15.75" customHeight="1" x14ac:dyDescent="0.2">
      <c r="K1054" s="13"/>
    </row>
    <row r="1055" spans="11:11" ht="15.75" customHeight="1" x14ac:dyDescent="0.2">
      <c r="K1055" s="13"/>
    </row>
    <row r="1056" spans="11:11" ht="15.75" customHeight="1" x14ac:dyDescent="0.2">
      <c r="K1056" s="13"/>
    </row>
    <row r="1057" spans="11:11" ht="15.75" customHeight="1" x14ac:dyDescent="0.2">
      <c r="K1057" s="13"/>
    </row>
    <row r="1058" spans="11:11" ht="15.75" customHeight="1" x14ac:dyDescent="0.2">
      <c r="K1058" s="13"/>
    </row>
    <row r="1059" spans="11:11" ht="15.75" customHeight="1" x14ac:dyDescent="0.2">
      <c r="K1059" s="13"/>
    </row>
    <row r="1060" spans="11:11" ht="15.75" customHeight="1" x14ac:dyDescent="0.2">
      <c r="K1060" s="13"/>
    </row>
    <row r="1061" spans="11:11" ht="15.75" customHeight="1" x14ac:dyDescent="0.2">
      <c r="K1061" s="13"/>
    </row>
    <row r="1062" spans="11:11" ht="15.75" customHeight="1" x14ac:dyDescent="0.2">
      <c r="K1062" s="13"/>
    </row>
    <row r="1063" spans="11:11" ht="15.75" customHeight="1" x14ac:dyDescent="0.2">
      <c r="K1063" s="13"/>
    </row>
    <row r="1064" spans="11:11" ht="15.75" customHeight="1" x14ac:dyDescent="0.2">
      <c r="K1064" s="13"/>
    </row>
    <row r="1065" spans="11:11" ht="15.75" customHeight="1" x14ac:dyDescent="0.2">
      <c r="K1065" s="13"/>
    </row>
    <row r="1066" spans="11:11" ht="15.75" customHeight="1" x14ac:dyDescent="0.2">
      <c r="K1066" s="13"/>
    </row>
    <row r="1067" spans="11:11" ht="15.75" customHeight="1" x14ac:dyDescent="0.2">
      <c r="K1067" s="13"/>
    </row>
    <row r="1068" spans="11:11" ht="15.75" customHeight="1" x14ac:dyDescent="0.2">
      <c r="K1068" s="13"/>
    </row>
    <row r="1069" spans="11:11" ht="15.75" customHeight="1" x14ac:dyDescent="0.2">
      <c r="K1069" s="13"/>
    </row>
    <row r="1070" spans="11:11" ht="15.75" customHeight="1" x14ac:dyDescent="0.2">
      <c r="K1070" s="13"/>
    </row>
    <row r="1071" spans="11:11" ht="15.75" customHeight="1" x14ac:dyDescent="0.2">
      <c r="K1071" s="13"/>
    </row>
    <row r="1072" spans="11:11" ht="15.75" customHeight="1" x14ac:dyDescent="0.2">
      <c r="K1072" s="13"/>
    </row>
    <row r="1073" spans="11:11" ht="15.75" customHeight="1" x14ac:dyDescent="0.2">
      <c r="K1073" s="13"/>
    </row>
    <row r="1074" spans="11:11" ht="15.75" customHeight="1" x14ac:dyDescent="0.2">
      <c r="K1074" s="13"/>
    </row>
    <row r="1075" spans="11:11" ht="15.75" customHeight="1" x14ac:dyDescent="0.2">
      <c r="K1075" s="13"/>
    </row>
    <row r="1076" spans="11:11" ht="15.75" customHeight="1" x14ac:dyDescent="0.2">
      <c r="K1076" s="13"/>
    </row>
    <row r="1077" spans="11:11" ht="15.75" customHeight="1" x14ac:dyDescent="0.2">
      <c r="K1077" s="13"/>
    </row>
    <row r="1078" spans="11:11" ht="15.75" customHeight="1" x14ac:dyDescent="0.2">
      <c r="K1078" s="13"/>
    </row>
    <row r="1079" spans="11:11" ht="15.75" customHeight="1" x14ac:dyDescent="0.2">
      <c r="K1079" s="13"/>
    </row>
    <row r="1080" spans="11:11" ht="15.75" customHeight="1" x14ac:dyDescent="0.2">
      <c r="K1080" s="13"/>
    </row>
    <row r="1081" spans="11:11" ht="15.75" customHeight="1" x14ac:dyDescent="0.2">
      <c r="K1081" s="13"/>
    </row>
    <row r="1082" spans="11:11" ht="15.75" customHeight="1" x14ac:dyDescent="0.2">
      <c r="K1082" s="13"/>
    </row>
    <row r="1083" spans="11:11" ht="15.75" customHeight="1" x14ac:dyDescent="0.2">
      <c r="K1083" s="13"/>
    </row>
    <row r="1084" spans="11:11" ht="15.75" customHeight="1" x14ac:dyDescent="0.2">
      <c r="K1084" s="13"/>
    </row>
    <row r="1085" spans="11:11" ht="15.75" customHeight="1" x14ac:dyDescent="0.2">
      <c r="K1085" s="13"/>
    </row>
    <row r="1086" spans="11:11" ht="15.75" customHeight="1" x14ac:dyDescent="0.2">
      <c r="K1086" s="13"/>
    </row>
    <row r="1087" spans="11:11" ht="15.75" customHeight="1" x14ac:dyDescent="0.2">
      <c r="K1087" s="13"/>
    </row>
    <row r="1088" spans="11:11" ht="15.75" customHeight="1" x14ac:dyDescent="0.2">
      <c r="K1088" s="13"/>
    </row>
    <row r="1089" spans="11:11" ht="15.75" customHeight="1" x14ac:dyDescent="0.2">
      <c r="K1089" s="13"/>
    </row>
    <row r="1090" spans="11:11" ht="15.75" customHeight="1" x14ac:dyDescent="0.2">
      <c r="K1090" s="13"/>
    </row>
    <row r="1091" spans="11:11" ht="15.75" customHeight="1" x14ac:dyDescent="0.2">
      <c r="K1091" s="13"/>
    </row>
    <row r="1092" spans="11:11" ht="15.75" customHeight="1" x14ac:dyDescent="0.2">
      <c r="K1092" s="13"/>
    </row>
    <row r="1093" spans="11:11" ht="15.75" customHeight="1" x14ac:dyDescent="0.2">
      <c r="K1093" s="13"/>
    </row>
    <row r="1094" spans="11:11" ht="15.75" customHeight="1" x14ac:dyDescent="0.2">
      <c r="K1094" s="13"/>
    </row>
    <row r="1095" spans="11:11" ht="15.75" customHeight="1" x14ac:dyDescent="0.2">
      <c r="K1095" s="13"/>
    </row>
    <row r="1096" spans="11:11" ht="15.75" customHeight="1" x14ac:dyDescent="0.2">
      <c r="K1096" s="13"/>
    </row>
    <row r="1097" spans="11:11" ht="15.75" customHeight="1" x14ac:dyDescent="0.2">
      <c r="K1097" s="13"/>
    </row>
    <row r="1098" spans="11:11" ht="15.75" customHeight="1" x14ac:dyDescent="0.2">
      <c r="K1098" s="13"/>
    </row>
    <row r="1099" spans="11:11" ht="15.75" customHeight="1" x14ac:dyDescent="0.2">
      <c r="K1099" s="13"/>
    </row>
    <row r="1100" spans="11:11" ht="15.75" customHeight="1" x14ac:dyDescent="0.2">
      <c r="K1100" s="13"/>
    </row>
    <row r="1101" spans="11:11" ht="15.75" customHeight="1" x14ac:dyDescent="0.2">
      <c r="K1101" s="13"/>
    </row>
    <row r="1102" spans="11:11" ht="15.75" customHeight="1" x14ac:dyDescent="0.2">
      <c r="K1102" s="13"/>
    </row>
    <row r="1103" spans="11:11" ht="15.75" customHeight="1" x14ac:dyDescent="0.2">
      <c r="K1103" s="13"/>
    </row>
    <row r="1104" spans="11:11" ht="15.75" customHeight="1" x14ac:dyDescent="0.2">
      <c r="K1104" s="13"/>
    </row>
    <row r="1105" spans="11:11" ht="15.75" customHeight="1" x14ac:dyDescent="0.2">
      <c r="K1105" s="13"/>
    </row>
    <row r="1106" spans="11:11" ht="15.75" customHeight="1" x14ac:dyDescent="0.2">
      <c r="K1106" s="13"/>
    </row>
    <row r="1107" spans="11:11" ht="15.75" customHeight="1" x14ac:dyDescent="0.2">
      <c r="K1107" s="13"/>
    </row>
    <row r="1108" spans="11:11" ht="15.75" customHeight="1" x14ac:dyDescent="0.2">
      <c r="K1108" s="13"/>
    </row>
    <row r="1109" spans="11:11" ht="15.75" customHeight="1" x14ac:dyDescent="0.2">
      <c r="K1109" s="13"/>
    </row>
    <row r="1110" spans="11:11" ht="15.75" customHeight="1" x14ac:dyDescent="0.2">
      <c r="K1110" s="13"/>
    </row>
    <row r="1111" spans="11:11" ht="15.75" customHeight="1" x14ac:dyDescent="0.2">
      <c r="K1111" s="13"/>
    </row>
    <row r="1112" spans="11:11" ht="15.75" customHeight="1" x14ac:dyDescent="0.2">
      <c r="K1112" s="13"/>
    </row>
    <row r="1113" spans="11:11" ht="15.75" customHeight="1" x14ac:dyDescent="0.2">
      <c r="K1113" s="13"/>
    </row>
    <row r="1114" spans="11:11" ht="15.75" customHeight="1" x14ac:dyDescent="0.2">
      <c r="K1114" s="13"/>
    </row>
    <row r="1115" spans="11:11" ht="15.75" customHeight="1" x14ac:dyDescent="0.2">
      <c r="K1115" s="13"/>
    </row>
    <row r="1116" spans="11:11" ht="15.75" customHeight="1" x14ac:dyDescent="0.2">
      <c r="K1116" s="13"/>
    </row>
    <row r="1117" spans="11:11" ht="15.75" customHeight="1" x14ac:dyDescent="0.2">
      <c r="K1117" s="13"/>
    </row>
    <row r="1118" spans="11:11" ht="15.75" customHeight="1" x14ac:dyDescent="0.2">
      <c r="K1118" s="13"/>
    </row>
    <row r="1119" spans="11:11" ht="15.75" customHeight="1" x14ac:dyDescent="0.2">
      <c r="K1119" s="13"/>
    </row>
    <row r="1120" spans="11:11" ht="15.75" customHeight="1" x14ac:dyDescent="0.2">
      <c r="K1120" s="13"/>
    </row>
    <row r="1121" spans="11:11" ht="15.75" customHeight="1" x14ac:dyDescent="0.2">
      <c r="K1121" s="13"/>
    </row>
    <row r="1122" spans="11:11" ht="15.75" customHeight="1" x14ac:dyDescent="0.2">
      <c r="K1122" s="13"/>
    </row>
    <row r="1123" spans="11:11" ht="15.75" customHeight="1" x14ac:dyDescent="0.2">
      <c r="K1123" s="13"/>
    </row>
    <row r="1124" spans="11:11" ht="15.75" customHeight="1" x14ac:dyDescent="0.2">
      <c r="K1124" s="13"/>
    </row>
    <row r="1125" spans="11:11" ht="15.75" customHeight="1" x14ac:dyDescent="0.2">
      <c r="K1125" s="13"/>
    </row>
    <row r="1126" spans="11:11" ht="15.75" customHeight="1" x14ac:dyDescent="0.2">
      <c r="K1126" s="13"/>
    </row>
    <row r="1127" spans="11:11" ht="15.75" customHeight="1" x14ac:dyDescent="0.2">
      <c r="K1127" s="13"/>
    </row>
    <row r="1128" spans="11:11" ht="15.75" customHeight="1" x14ac:dyDescent="0.2">
      <c r="K1128" s="13"/>
    </row>
    <row r="1129" spans="11:11" ht="15.75" customHeight="1" x14ac:dyDescent="0.2">
      <c r="K1129" s="13"/>
    </row>
    <row r="1130" spans="11:11" ht="15.75" customHeight="1" x14ac:dyDescent="0.2">
      <c r="K1130" s="13"/>
    </row>
    <row r="1131" spans="11:11" ht="15.75" customHeight="1" x14ac:dyDescent="0.2">
      <c r="K1131" s="13"/>
    </row>
    <row r="1132" spans="11:11" ht="15.75" customHeight="1" x14ac:dyDescent="0.2">
      <c r="K1132" s="13"/>
    </row>
    <row r="1133" spans="11:11" ht="15.75" customHeight="1" x14ac:dyDescent="0.2">
      <c r="K1133" s="13"/>
    </row>
    <row r="1134" spans="11:11" ht="15.75" customHeight="1" x14ac:dyDescent="0.2">
      <c r="K1134" s="13"/>
    </row>
    <row r="1135" spans="11:11" ht="15.75" customHeight="1" x14ac:dyDescent="0.2">
      <c r="K1135" s="13"/>
    </row>
    <row r="1136" spans="11:11" ht="15.75" customHeight="1" x14ac:dyDescent="0.2">
      <c r="K1136" s="13"/>
    </row>
    <row r="1137" spans="11:11" ht="15.75" customHeight="1" x14ac:dyDescent="0.2">
      <c r="K1137" s="13"/>
    </row>
    <row r="1138" spans="11:11" ht="15.75" customHeight="1" x14ac:dyDescent="0.2">
      <c r="K1138" s="13"/>
    </row>
    <row r="1139" spans="11:11" ht="15.75" customHeight="1" x14ac:dyDescent="0.2">
      <c r="K1139" s="13"/>
    </row>
    <row r="1140" spans="11:11" ht="15.75" customHeight="1" x14ac:dyDescent="0.2">
      <c r="K1140" s="13"/>
    </row>
    <row r="1141" spans="11:11" ht="15.75" customHeight="1" x14ac:dyDescent="0.2">
      <c r="K1141" s="13"/>
    </row>
    <row r="1142" spans="11:11" ht="15.75" customHeight="1" x14ac:dyDescent="0.2">
      <c r="K1142" s="13"/>
    </row>
    <row r="1143" spans="11:11" ht="15.75" customHeight="1" x14ac:dyDescent="0.2">
      <c r="K1143" s="13"/>
    </row>
    <row r="1144" spans="11:11" ht="15.75" customHeight="1" x14ac:dyDescent="0.2">
      <c r="K1144" s="13"/>
    </row>
    <row r="1145" spans="11:11" ht="15.75" customHeight="1" x14ac:dyDescent="0.2">
      <c r="K1145" s="13"/>
    </row>
    <row r="1146" spans="11:11" ht="15.75" customHeight="1" x14ac:dyDescent="0.2">
      <c r="K1146" s="13"/>
    </row>
    <row r="1147" spans="11:11" ht="15.75" customHeight="1" x14ac:dyDescent="0.2">
      <c r="K1147" s="13"/>
    </row>
    <row r="1148" spans="11:11" ht="15.75" customHeight="1" x14ac:dyDescent="0.2">
      <c r="K1148" s="13"/>
    </row>
    <row r="1149" spans="11:11" ht="15.75" customHeight="1" x14ac:dyDescent="0.2">
      <c r="K1149" s="13"/>
    </row>
    <row r="1150" spans="11:11" ht="15.75" customHeight="1" x14ac:dyDescent="0.2">
      <c r="K1150" s="13"/>
    </row>
    <row r="1151" spans="11:11" ht="15.75" customHeight="1" x14ac:dyDescent="0.2">
      <c r="K1151" s="13"/>
    </row>
    <row r="1152" spans="11:11" ht="15.75" customHeight="1" x14ac:dyDescent="0.2">
      <c r="K1152" s="13"/>
    </row>
    <row r="1153" spans="11:11" ht="15.75" customHeight="1" x14ac:dyDescent="0.2">
      <c r="K1153" s="13"/>
    </row>
    <row r="1154" spans="11:11" ht="15.75" customHeight="1" x14ac:dyDescent="0.2">
      <c r="K1154" s="13"/>
    </row>
    <row r="1155" spans="11:11" ht="15.75" customHeight="1" x14ac:dyDescent="0.2">
      <c r="K1155" s="13"/>
    </row>
    <row r="1156" spans="11:11" ht="15.75" customHeight="1" x14ac:dyDescent="0.2">
      <c r="K1156" s="13"/>
    </row>
    <row r="1157" spans="11:11" ht="15.75" customHeight="1" x14ac:dyDescent="0.2">
      <c r="K1157" s="13"/>
    </row>
    <row r="1158" spans="11:11" ht="15.75" customHeight="1" x14ac:dyDescent="0.2">
      <c r="K1158" s="13"/>
    </row>
    <row r="1159" spans="11:11" ht="15.75" customHeight="1" x14ac:dyDescent="0.2">
      <c r="K1159" s="13"/>
    </row>
    <row r="1160" spans="11:11" ht="15.75" customHeight="1" x14ac:dyDescent="0.2">
      <c r="K1160" s="13"/>
    </row>
    <row r="1161" spans="11:11" ht="15.75" customHeight="1" x14ac:dyDescent="0.2">
      <c r="K1161" s="13"/>
    </row>
    <row r="1162" spans="11:11" ht="15.75" customHeight="1" x14ac:dyDescent="0.2">
      <c r="K1162" s="13"/>
    </row>
    <row r="1163" spans="11:11" ht="15.75" customHeight="1" x14ac:dyDescent="0.2">
      <c r="K1163" s="13"/>
    </row>
    <row r="1164" spans="11:11" ht="15.75" customHeight="1" x14ac:dyDescent="0.2">
      <c r="K1164" s="13"/>
    </row>
    <row r="1165" spans="11:11" ht="15.75" customHeight="1" x14ac:dyDescent="0.2">
      <c r="K1165" s="13"/>
    </row>
    <row r="1166" spans="11:11" ht="15.75" customHeight="1" x14ac:dyDescent="0.2">
      <c r="K1166" s="13"/>
    </row>
    <row r="1167" spans="11:11" ht="15.75" customHeight="1" x14ac:dyDescent="0.2">
      <c r="K1167" s="13"/>
    </row>
    <row r="1168" spans="11:11" ht="15.75" customHeight="1" x14ac:dyDescent="0.2">
      <c r="K1168" s="13"/>
    </row>
    <row r="1169" spans="11:11" ht="15.75" customHeight="1" x14ac:dyDescent="0.2">
      <c r="K1169" s="13"/>
    </row>
    <row r="1170" spans="11:11" ht="15.75" customHeight="1" x14ac:dyDescent="0.2">
      <c r="K1170" s="13"/>
    </row>
    <row r="1171" spans="11:11" ht="15.75" customHeight="1" x14ac:dyDescent="0.2">
      <c r="K1171" s="13"/>
    </row>
    <row r="1172" spans="11:11" ht="15.75" customHeight="1" x14ac:dyDescent="0.2">
      <c r="K1172" s="13"/>
    </row>
    <row r="1173" spans="11:11" ht="15.75" customHeight="1" x14ac:dyDescent="0.2">
      <c r="K1173" s="13"/>
    </row>
    <row r="1174" spans="11:11" ht="15.75" customHeight="1" x14ac:dyDescent="0.2">
      <c r="K1174" s="13"/>
    </row>
    <row r="1175" spans="11:11" ht="15.75" customHeight="1" x14ac:dyDescent="0.2">
      <c r="K1175" s="13"/>
    </row>
    <row r="1176" spans="11:11" ht="15.75" customHeight="1" x14ac:dyDescent="0.2">
      <c r="K1176" s="13"/>
    </row>
    <row r="1177" spans="11:11" ht="15.75" customHeight="1" x14ac:dyDescent="0.2">
      <c r="K1177" s="13"/>
    </row>
    <row r="1178" spans="11:11" ht="15.75" customHeight="1" x14ac:dyDescent="0.2">
      <c r="K1178" s="13"/>
    </row>
    <row r="1179" spans="11:11" ht="15.75" customHeight="1" x14ac:dyDescent="0.2">
      <c r="K1179" s="13"/>
    </row>
    <row r="1180" spans="11:11" ht="15.75" customHeight="1" x14ac:dyDescent="0.2">
      <c r="K1180" s="13"/>
    </row>
    <row r="1181" spans="11:11" ht="15.75" customHeight="1" x14ac:dyDescent="0.2">
      <c r="K1181" s="13"/>
    </row>
    <row r="1182" spans="11:11" ht="15.75" customHeight="1" x14ac:dyDescent="0.2">
      <c r="K1182" s="13"/>
    </row>
    <row r="1183" spans="11:11" ht="15.75" customHeight="1" x14ac:dyDescent="0.2">
      <c r="K1183" s="13"/>
    </row>
    <row r="1184" spans="11:11" ht="15.75" customHeight="1" x14ac:dyDescent="0.2">
      <c r="K1184" s="13"/>
    </row>
    <row r="1185" spans="11:11" ht="15.75" customHeight="1" x14ac:dyDescent="0.2">
      <c r="K1185" s="13"/>
    </row>
    <row r="1186" spans="11:11" ht="15.75" customHeight="1" x14ac:dyDescent="0.2">
      <c r="K1186" s="13"/>
    </row>
    <row r="1187" spans="11:11" ht="15.75" customHeight="1" x14ac:dyDescent="0.2">
      <c r="K1187" s="13"/>
    </row>
    <row r="1188" spans="11:11" ht="15.75" customHeight="1" x14ac:dyDescent="0.2">
      <c r="K1188" s="13"/>
    </row>
    <row r="1189" spans="11:11" ht="15.75" customHeight="1" x14ac:dyDescent="0.2">
      <c r="K1189" s="13"/>
    </row>
    <row r="1190" spans="11:11" ht="15.75" customHeight="1" x14ac:dyDescent="0.2">
      <c r="K1190" s="13"/>
    </row>
    <row r="1191" spans="11:11" ht="15.75" customHeight="1" x14ac:dyDescent="0.2">
      <c r="K1191" s="13"/>
    </row>
    <row r="1192" spans="11:11" ht="15.75" customHeight="1" x14ac:dyDescent="0.2">
      <c r="K1192" s="13"/>
    </row>
    <row r="1193" spans="11:11" ht="15.75" customHeight="1" x14ac:dyDescent="0.2">
      <c r="K1193" s="13"/>
    </row>
    <row r="1194" spans="11:11" ht="15.75" customHeight="1" x14ac:dyDescent="0.2">
      <c r="K1194" s="13"/>
    </row>
    <row r="1195" spans="11:11" ht="15.75" customHeight="1" x14ac:dyDescent="0.2">
      <c r="K1195" s="13"/>
    </row>
    <row r="1196" spans="11:11" ht="15.75" customHeight="1" x14ac:dyDescent="0.2">
      <c r="K1196" s="13"/>
    </row>
    <row r="1197" spans="11:11" ht="15.75" customHeight="1" x14ac:dyDescent="0.2">
      <c r="K1197" s="13"/>
    </row>
    <row r="1198" spans="11:11" ht="15.75" customHeight="1" x14ac:dyDescent="0.2">
      <c r="K1198" s="13"/>
    </row>
    <row r="1199" spans="11:11" ht="15.75" customHeight="1" x14ac:dyDescent="0.2">
      <c r="K1199" s="13"/>
    </row>
    <row r="1200" spans="11:11" ht="15.75" customHeight="1" x14ac:dyDescent="0.2">
      <c r="K1200" s="13"/>
    </row>
    <row r="1201" spans="11:11" ht="15.75" customHeight="1" x14ac:dyDescent="0.2">
      <c r="K1201" s="13"/>
    </row>
    <row r="1202" spans="11:11" ht="15.75" customHeight="1" x14ac:dyDescent="0.2">
      <c r="K1202" s="13"/>
    </row>
    <row r="1203" spans="11:11" ht="15.75" customHeight="1" x14ac:dyDescent="0.2">
      <c r="K1203" s="13"/>
    </row>
    <row r="1204" spans="11:11" ht="15.75" customHeight="1" x14ac:dyDescent="0.2">
      <c r="K1204" s="13"/>
    </row>
    <row r="1205" spans="11:11" ht="15.75" customHeight="1" x14ac:dyDescent="0.2">
      <c r="K1205" s="13"/>
    </row>
    <row r="1206" spans="11:11" ht="15.75" customHeight="1" x14ac:dyDescent="0.2">
      <c r="K1206" s="13"/>
    </row>
    <row r="1207" spans="11:11" ht="15.75" customHeight="1" x14ac:dyDescent="0.2">
      <c r="K1207" s="13"/>
    </row>
    <row r="1208" spans="11:11" ht="15.75" customHeight="1" x14ac:dyDescent="0.2">
      <c r="K1208" s="13"/>
    </row>
    <row r="1209" spans="11:11" ht="15.75" customHeight="1" x14ac:dyDescent="0.2">
      <c r="K1209" s="13"/>
    </row>
    <row r="1210" spans="11:11" ht="15.75" customHeight="1" x14ac:dyDescent="0.2">
      <c r="K1210" s="13"/>
    </row>
    <row r="1211" spans="11:11" ht="15.75" customHeight="1" x14ac:dyDescent="0.2">
      <c r="K1211" s="13"/>
    </row>
    <row r="1212" spans="11:11" ht="15.75" customHeight="1" x14ac:dyDescent="0.2">
      <c r="K1212" s="13"/>
    </row>
    <row r="1213" spans="11:11" ht="15.75" customHeight="1" x14ac:dyDescent="0.2">
      <c r="K1213" s="13"/>
    </row>
    <row r="1214" spans="11:11" ht="15.75" customHeight="1" x14ac:dyDescent="0.2">
      <c r="K1214" s="13"/>
    </row>
    <row r="1215" spans="11:11" ht="15.75" customHeight="1" x14ac:dyDescent="0.2">
      <c r="K1215" s="13"/>
    </row>
    <row r="1216" spans="11:11" ht="15.75" customHeight="1" x14ac:dyDescent="0.2">
      <c r="K1216" s="13"/>
    </row>
    <row r="1217" spans="11:11" ht="15.75" customHeight="1" x14ac:dyDescent="0.2">
      <c r="K1217" s="13"/>
    </row>
    <row r="1218" spans="11:11" ht="15.75" customHeight="1" x14ac:dyDescent="0.2">
      <c r="K1218" s="13"/>
    </row>
    <row r="1219" spans="11:11" ht="15.75" customHeight="1" x14ac:dyDescent="0.2">
      <c r="K1219" s="13"/>
    </row>
    <row r="1220" spans="11:11" ht="15.75" customHeight="1" x14ac:dyDescent="0.2">
      <c r="K1220" s="13"/>
    </row>
    <row r="1221" spans="11:11" ht="15.75" customHeight="1" x14ac:dyDescent="0.2">
      <c r="K1221" s="13"/>
    </row>
    <row r="1222" spans="11:11" ht="15.75" customHeight="1" x14ac:dyDescent="0.2">
      <c r="K1222" s="13"/>
    </row>
    <row r="1223" spans="11:11" ht="15.75" customHeight="1" x14ac:dyDescent="0.2">
      <c r="K1223" s="13"/>
    </row>
    <row r="1224" spans="11:11" ht="15.75" customHeight="1" x14ac:dyDescent="0.2">
      <c r="K1224" s="13"/>
    </row>
    <row r="1225" spans="11:11" ht="15.75" customHeight="1" x14ac:dyDescent="0.2">
      <c r="K1225" s="13"/>
    </row>
    <row r="1226" spans="11:11" ht="15.75" customHeight="1" x14ac:dyDescent="0.2">
      <c r="K1226" s="13"/>
    </row>
    <row r="1227" spans="11:11" ht="15.75" customHeight="1" x14ac:dyDescent="0.2">
      <c r="K1227" s="13"/>
    </row>
    <row r="1228" spans="11:11" ht="15.75" customHeight="1" x14ac:dyDescent="0.2">
      <c r="K1228" s="13"/>
    </row>
    <row r="1229" spans="11:11" ht="15.75" customHeight="1" x14ac:dyDescent="0.2">
      <c r="K1229" s="13"/>
    </row>
    <row r="1230" spans="11:11" ht="15.75" customHeight="1" x14ac:dyDescent="0.2">
      <c r="K1230" s="13"/>
    </row>
    <row r="1231" spans="11:11" ht="15.75" customHeight="1" x14ac:dyDescent="0.2">
      <c r="K1231" s="13"/>
    </row>
    <row r="1232" spans="11:11" ht="15.75" customHeight="1" x14ac:dyDescent="0.2">
      <c r="K1232" s="13"/>
    </row>
    <row r="1233" spans="11:11" ht="15.75" customHeight="1" x14ac:dyDescent="0.2">
      <c r="K1233" s="13"/>
    </row>
    <row r="1234" spans="11:11" ht="15.75" customHeight="1" x14ac:dyDescent="0.2">
      <c r="K1234" s="13"/>
    </row>
    <row r="1235" spans="11:11" ht="15.75" customHeight="1" x14ac:dyDescent="0.2">
      <c r="K1235" s="13"/>
    </row>
    <row r="1236" spans="11:11" ht="15.75" customHeight="1" x14ac:dyDescent="0.2">
      <c r="K1236" s="13"/>
    </row>
    <row r="1237" spans="11:11" ht="15.75" customHeight="1" x14ac:dyDescent="0.2">
      <c r="K1237" s="13"/>
    </row>
    <row r="1238" spans="11:11" ht="15.75" customHeight="1" x14ac:dyDescent="0.2">
      <c r="K1238" s="13"/>
    </row>
    <row r="1239" spans="11:11" ht="15.75" customHeight="1" x14ac:dyDescent="0.2">
      <c r="K1239" s="13"/>
    </row>
    <row r="1240" spans="11:11" ht="15.75" customHeight="1" x14ac:dyDescent="0.2">
      <c r="K1240" s="13"/>
    </row>
    <row r="1241" spans="11:11" ht="15.75" customHeight="1" x14ac:dyDescent="0.2">
      <c r="K1241" s="13"/>
    </row>
    <row r="1242" spans="11:11" ht="15.75" customHeight="1" x14ac:dyDescent="0.2">
      <c r="K1242" s="13"/>
    </row>
    <row r="1243" spans="11:11" ht="15.75" customHeight="1" x14ac:dyDescent="0.2">
      <c r="K1243" s="13"/>
    </row>
    <row r="1244" spans="11:11" ht="15.75" customHeight="1" x14ac:dyDescent="0.2">
      <c r="K1244" s="13"/>
    </row>
    <row r="1245" spans="11:11" ht="15.75" customHeight="1" x14ac:dyDescent="0.2">
      <c r="K1245" s="13"/>
    </row>
    <row r="1246" spans="11:11" ht="15.75" customHeight="1" x14ac:dyDescent="0.2">
      <c r="K1246" s="13"/>
    </row>
    <row r="1247" spans="11:11" ht="15.75" customHeight="1" x14ac:dyDescent="0.2">
      <c r="K1247" s="13"/>
    </row>
    <row r="1248" spans="11:11" ht="15.75" customHeight="1" x14ac:dyDescent="0.2">
      <c r="K1248" s="13"/>
    </row>
    <row r="1249" spans="11:11" ht="15.75" customHeight="1" x14ac:dyDescent="0.2">
      <c r="K1249" s="13"/>
    </row>
    <row r="1250" spans="11:11" ht="15.75" customHeight="1" x14ac:dyDescent="0.2">
      <c r="K1250" s="13"/>
    </row>
    <row r="1251" spans="11:11" ht="15.75" customHeight="1" x14ac:dyDescent="0.2">
      <c r="K1251" s="13"/>
    </row>
    <row r="1252" spans="11:11" ht="15.75" customHeight="1" x14ac:dyDescent="0.2">
      <c r="K1252" s="13"/>
    </row>
    <row r="1253" spans="11:11" ht="15.75" customHeight="1" x14ac:dyDescent="0.2">
      <c r="K1253" s="13"/>
    </row>
    <row r="1254" spans="11:11" ht="15.75" customHeight="1" x14ac:dyDescent="0.2">
      <c r="K1254" s="13"/>
    </row>
    <row r="1255" spans="11:11" ht="15.75" customHeight="1" x14ac:dyDescent="0.2">
      <c r="K1255" s="13"/>
    </row>
    <row r="1256" spans="11:11" ht="15.75" customHeight="1" x14ac:dyDescent="0.2">
      <c r="K1256" s="13"/>
    </row>
    <row r="1257" spans="11:11" ht="15.75" customHeight="1" x14ac:dyDescent="0.2">
      <c r="K1257" s="13"/>
    </row>
    <row r="1258" spans="11:11" ht="15.75" customHeight="1" x14ac:dyDescent="0.2">
      <c r="K1258" s="13"/>
    </row>
    <row r="1259" spans="11:11" ht="15.75" customHeight="1" x14ac:dyDescent="0.2">
      <c r="K1259" s="13"/>
    </row>
    <row r="1260" spans="11:11" ht="15.75" customHeight="1" x14ac:dyDescent="0.2">
      <c r="K1260" s="13"/>
    </row>
    <row r="1261" spans="11:11" ht="15.75" customHeight="1" x14ac:dyDescent="0.2">
      <c r="K1261" s="13"/>
    </row>
    <row r="1262" spans="11:11" ht="15.75" customHeight="1" x14ac:dyDescent="0.2">
      <c r="K1262" s="13"/>
    </row>
    <row r="1263" spans="11:11" ht="15.75" customHeight="1" x14ac:dyDescent="0.2">
      <c r="K1263" s="13"/>
    </row>
    <row r="1264" spans="11:11" ht="15.75" customHeight="1" x14ac:dyDescent="0.2">
      <c r="K1264" s="13"/>
    </row>
    <row r="1265" spans="11:11" ht="15.75" customHeight="1" x14ac:dyDescent="0.2">
      <c r="K1265" s="13"/>
    </row>
    <row r="1266" spans="11:11" ht="15.75" customHeight="1" x14ac:dyDescent="0.2">
      <c r="K1266" s="13"/>
    </row>
    <row r="1267" spans="11:11" ht="15.75" customHeight="1" x14ac:dyDescent="0.2">
      <c r="K1267" s="13"/>
    </row>
    <row r="1268" spans="11:11" ht="15.75" customHeight="1" x14ac:dyDescent="0.2">
      <c r="K1268" s="13"/>
    </row>
    <row r="1269" spans="11:11" ht="15.75" customHeight="1" x14ac:dyDescent="0.2">
      <c r="K1269" s="13"/>
    </row>
    <row r="1270" spans="11:11" ht="15.75" customHeight="1" x14ac:dyDescent="0.2">
      <c r="K1270" s="13"/>
    </row>
    <row r="1271" spans="11:11" ht="15.75" customHeight="1" x14ac:dyDescent="0.2">
      <c r="K1271" s="13"/>
    </row>
    <row r="1272" spans="11:11" ht="15.75" customHeight="1" x14ac:dyDescent="0.2">
      <c r="K1272" s="13"/>
    </row>
    <row r="1273" spans="11:11" ht="15.75" customHeight="1" x14ac:dyDescent="0.2">
      <c r="K1273" s="13"/>
    </row>
    <row r="1274" spans="11:11" ht="15.75" customHeight="1" x14ac:dyDescent="0.2">
      <c r="K1274" s="13"/>
    </row>
    <row r="1275" spans="11:11" ht="15.75" customHeight="1" x14ac:dyDescent="0.2">
      <c r="K1275" s="13"/>
    </row>
    <row r="1276" spans="11:11" ht="15.75" customHeight="1" x14ac:dyDescent="0.2">
      <c r="K1276" s="13"/>
    </row>
    <row r="1277" spans="11:11" ht="15.75" customHeight="1" x14ac:dyDescent="0.2">
      <c r="K1277" s="13"/>
    </row>
    <row r="1278" spans="11:11" ht="15.75" customHeight="1" x14ac:dyDescent="0.2">
      <c r="K1278" s="13"/>
    </row>
    <row r="1279" spans="11:11" ht="15.75" customHeight="1" x14ac:dyDescent="0.2">
      <c r="K1279" s="13"/>
    </row>
    <row r="1280" spans="11:11" ht="15.75" customHeight="1" x14ac:dyDescent="0.2">
      <c r="K1280" s="13"/>
    </row>
    <row r="1281" spans="11:11" ht="15.75" customHeight="1" x14ac:dyDescent="0.2">
      <c r="K1281" s="13"/>
    </row>
    <row r="1282" spans="11:11" ht="15.75" customHeight="1" x14ac:dyDescent="0.2">
      <c r="K1282" s="13"/>
    </row>
    <row r="1283" spans="11:11" ht="15.75" customHeight="1" x14ac:dyDescent="0.2">
      <c r="K1283" s="13"/>
    </row>
    <row r="1284" spans="11:11" ht="15.75" customHeight="1" x14ac:dyDescent="0.2">
      <c r="K1284" s="13"/>
    </row>
    <row r="1285" spans="11:11" ht="15.75" customHeight="1" x14ac:dyDescent="0.2">
      <c r="K1285" s="13"/>
    </row>
    <row r="1286" spans="11:11" ht="15.75" customHeight="1" x14ac:dyDescent="0.2">
      <c r="K1286" s="13"/>
    </row>
    <row r="1287" spans="11:11" ht="15.75" customHeight="1" x14ac:dyDescent="0.2">
      <c r="K1287" s="13"/>
    </row>
    <row r="1288" spans="11:11" ht="15.75" customHeight="1" x14ac:dyDescent="0.2">
      <c r="K1288" s="13"/>
    </row>
    <row r="1289" spans="11:11" ht="15.75" customHeight="1" x14ac:dyDescent="0.2">
      <c r="K1289" s="13"/>
    </row>
    <row r="1290" spans="11:11" ht="15.75" customHeight="1" x14ac:dyDescent="0.2">
      <c r="K1290" s="13"/>
    </row>
    <row r="1291" spans="11:11" ht="15.75" customHeight="1" x14ac:dyDescent="0.2">
      <c r="K1291" s="13"/>
    </row>
    <row r="1292" spans="11:11" ht="15.75" customHeight="1" x14ac:dyDescent="0.2">
      <c r="K1292" s="13"/>
    </row>
    <row r="1293" spans="11:11" ht="15.75" customHeight="1" x14ac:dyDescent="0.2">
      <c r="K1293" s="13"/>
    </row>
    <row r="1294" spans="11:11" ht="15.75" customHeight="1" x14ac:dyDescent="0.2">
      <c r="K1294" s="13"/>
    </row>
    <row r="1295" spans="11:11" ht="15.75" customHeight="1" x14ac:dyDescent="0.2">
      <c r="K1295" s="13"/>
    </row>
    <row r="1296" spans="11:11" ht="15.75" customHeight="1" x14ac:dyDescent="0.2">
      <c r="K1296" s="13"/>
    </row>
    <row r="1297" spans="11:11" ht="15.75" customHeight="1" x14ac:dyDescent="0.2">
      <c r="K1297" s="13"/>
    </row>
    <row r="1298" spans="11:11" ht="15.75" customHeight="1" x14ac:dyDescent="0.2">
      <c r="K1298" s="13"/>
    </row>
    <row r="1299" spans="11:11" ht="15.75" customHeight="1" x14ac:dyDescent="0.2">
      <c r="K1299" s="13"/>
    </row>
    <row r="1300" spans="11:11" ht="15.75" customHeight="1" x14ac:dyDescent="0.2">
      <c r="K1300" s="13"/>
    </row>
    <row r="1301" spans="11:11" ht="15.75" customHeight="1" x14ac:dyDescent="0.2">
      <c r="K1301" s="13"/>
    </row>
    <row r="1302" spans="11:11" ht="15.75" customHeight="1" x14ac:dyDescent="0.2">
      <c r="K1302" s="13"/>
    </row>
    <row r="1303" spans="11:11" ht="15.75" customHeight="1" x14ac:dyDescent="0.2">
      <c r="K1303" s="13"/>
    </row>
    <row r="1304" spans="11:11" ht="15.75" customHeight="1" x14ac:dyDescent="0.2">
      <c r="K1304" s="13"/>
    </row>
    <row r="1305" spans="11:11" ht="15.75" customHeight="1" x14ac:dyDescent="0.2">
      <c r="K1305" s="13"/>
    </row>
    <row r="1306" spans="11:11" ht="15.75" customHeight="1" x14ac:dyDescent="0.2">
      <c r="K1306" s="13"/>
    </row>
    <row r="1307" spans="11:11" ht="15.75" customHeight="1" x14ac:dyDescent="0.2">
      <c r="K1307" s="13"/>
    </row>
    <row r="1308" spans="11:11" ht="15.75" customHeight="1" x14ac:dyDescent="0.2">
      <c r="K1308" s="13"/>
    </row>
    <row r="1309" spans="11:11" ht="15.75" customHeight="1" x14ac:dyDescent="0.2">
      <c r="K1309" s="13"/>
    </row>
    <row r="1310" spans="11:11" ht="15.75" customHeight="1" x14ac:dyDescent="0.2">
      <c r="K1310" s="13"/>
    </row>
    <row r="1311" spans="11:11" ht="15.75" customHeight="1" x14ac:dyDescent="0.2">
      <c r="K1311" s="13"/>
    </row>
    <row r="1312" spans="11:11" ht="15.75" customHeight="1" x14ac:dyDescent="0.2">
      <c r="K1312" s="13"/>
    </row>
    <row r="1313" spans="11:11" ht="15.75" customHeight="1" x14ac:dyDescent="0.2">
      <c r="K1313" s="13"/>
    </row>
    <row r="1314" spans="11:11" ht="15.75" customHeight="1" x14ac:dyDescent="0.2">
      <c r="K1314" s="13"/>
    </row>
    <row r="1315" spans="11:11" ht="15.75" customHeight="1" x14ac:dyDescent="0.2">
      <c r="K1315" s="13"/>
    </row>
    <row r="1316" spans="11:11" ht="15.75" customHeight="1" x14ac:dyDescent="0.2">
      <c r="K1316" s="13"/>
    </row>
    <row r="1317" spans="11:11" ht="15.75" customHeight="1" x14ac:dyDescent="0.2">
      <c r="K1317" s="13"/>
    </row>
    <row r="1318" spans="11:11" ht="15.75" customHeight="1" x14ac:dyDescent="0.2">
      <c r="K1318" s="13"/>
    </row>
    <row r="1319" spans="11:11" ht="15.75" customHeight="1" x14ac:dyDescent="0.2">
      <c r="K1319" s="13"/>
    </row>
    <row r="1320" spans="11:11" ht="15.75" customHeight="1" x14ac:dyDescent="0.2">
      <c r="K1320" s="13"/>
    </row>
    <row r="1321" spans="11:11" ht="15.75" customHeight="1" x14ac:dyDescent="0.2">
      <c r="K1321" s="13"/>
    </row>
    <row r="1322" spans="11:11" ht="15.75" customHeight="1" x14ac:dyDescent="0.2">
      <c r="K1322" s="13"/>
    </row>
    <row r="1323" spans="11:11" ht="15.75" customHeight="1" x14ac:dyDescent="0.2">
      <c r="K1323" s="13"/>
    </row>
    <row r="1324" spans="11:11" ht="15.75" customHeight="1" x14ac:dyDescent="0.2">
      <c r="K1324" s="13"/>
    </row>
    <row r="1325" spans="11:11" ht="15.75" customHeight="1" x14ac:dyDescent="0.2">
      <c r="K1325" s="13"/>
    </row>
    <row r="1326" spans="11:11" ht="15.75" customHeight="1" x14ac:dyDescent="0.2">
      <c r="K1326" s="13"/>
    </row>
    <row r="1327" spans="11:11" ht="15.75" customHeight="1" x14ac:dyDescent="0.2">
      <c r="K1327" s="13"/>
    </row>
    <row r="1328" spans="11:11" ht="15.75" customHeight="1" x14ac:dyDescent="0.2">
      <c r="K1328" s="13"/>
    </row>
    <row r="1329" spans="11:11" ht="15.75" customHeight="1" x14ac:dyDescent="0.2">
      <c r="K1329" s="13"/>
    </row>
    <row r="1330" spans="11:11" ht="15.75" customHeight="1" x14ac:dyDescent="0.2">
      <c r="K1330" s="13"/>
    </row>
    <row r="1331" spans="11:11" ht="15.75" customHeight="1" x14ac:dyDescent="0.2">
      <c r="K1331" s="13"/>
    </row>
    <row r="1332" spans="11:11" ht="15.75" customHeight="1" x14ac:dyDescent="0.2">
      <c r="K1332" s="13"/>
    </row>
    <row r="1333" spans="11:11" ht="15.75" customHeight="1" x14ac:dyDescent="0.2">
      <c r="K1333" s="13"/>
    </row>
    <row r="1334" spans="11:11" ht="15.75" customHeight="1" x14ac:dyDescent="0.2">
      <c r="K1334" s="13"/>
    </row>
    <row r="1335" spans="11:11" ht="15.75" customHeight="1" x14ac:dyDescent="0.2">
      <c r="K1335" s="13"/>
    </row>
    <row r="1336" spans="11:11" ht="15.75" customHeight="1" x14ac:dyDescent="0.2">
      <c r="K1336" s="13"/>
    </row>
    <row r="1337" spans="11:11" ht="15.75" customHeight="1" x14ac:dyDescent="0.2">
      <c r="K1337" s="13"/>
    </row>
    <row r="1338" spans="11:11" ht="15.75" customHeight="1" x14ac:dyDescent="0.2">
      <c r="K1338" s="13"/>
    </row>
    <row r="1339" spans="11:11" ht="15.75" customHeight="1" x14ac:dyDescent="0.2">
      <c r="K1339" s="13"/>
    </row>
    <row r="1340" spans="11:11" ht="15.75" customHeight="1" x14ac:dyDescent="0.2">
      <c r="K1340" s="13"/>
    </row>
    <row r="1341" spans="11:11" ht="15.75" customHeight="1" x14ac:dyDescent="0.2">
      <c r="K1341" s="13"/>
    </row>
    <row r="1342" spans="11:11" ht="15.75" customHeight="1" x14ac:dyDescent="0.2">
      <c r="K1342" s="13"/>
    </row>
    <row r="1343" spans="11:11" ht="15.75" customHeight="1" x14ac:dyDescent="0.2">
      <c r="K1343" s="13"/>
    </row>
    <row r="1344" spans="11:11" ht="15.75" customHeight="1" x14ac:dyDescent="0.2">
      <c r="K1344" s="13"/>
    </row>
    <row r="1345" spans="11:11" ht="15.75" customHeight="1" x14ac:dyDescent="0.2">
      <c r="K1345" s="13"/>
    </row>
    <row r="1346" spans="11:11" ht="15.75" customHeight="1" x14ac:dyDescent="0.2">
      <c r="K1346" s="13"/>
    </row>
    <row r="1347" spans="11:11" ht="15.75" customHeight="1" x14ac:dyDescent="0.2">
      <c r="K1347" s="13"/>
    </row>
    <row r="1348" spans="11:11" ht="15.75" customHeight="1" x14ac:dyDescent="0.2">
      <c r="K1348" s="13"/>
    </row>
    <row r="1349" spans="11:11" ht="15.75" customHeight="1" x14ac:dyDescent="0.2">
      <c r="K1349" s="13"/>
    </row>
    <row r="1350" spans="11:11" ht="15.75" customHeight="1" x14ac:dyDescent="0.2">
      <c r="K1350" s="13"/>
    </row>
    <row r="1351" spans="11:11" ht="15.75" customHeight="1" x14ac:dyDescent="0.2">
      <c r="K1351" s="13"/>
    </row>
    <row r="1352" spans="11:11" ht="15.75" customHeight="1" x14ac:dyDescent="0.2">
      <c r="K1352" s="13"/>
    </row>
    <row r="1353" spans="11:11" ht="15.75" customHeight="1" x14ac:dyDescent="0.2">
      <c r="K1353" s="13"/>
    </row>
    <row r="1354" spans="11:11" ht="15.75" customHeight="1" x14ac:dyDescent="0.2">
      <c r="K1354" s="13"/>
    </row>
    <row r="1355" spans="11:11" ht="15.75" customHeight="1" x14ac:dyDescent="0.2">
      <c r="K1355" s="13"/>
    </row>
    <row r="1356" spans="11:11" ht="15.75" customHeight="1" x14ac:dyDescent="0.2">
      <c r="K1356" s="13"/>
    </row>
    <row r="1357" spans="11:11" ht="15.75" customHeight="1" x14ac:dyDescent="0.2">
      <c r="K1357" s="13"/>
    </row>
    <row r="1358" spans="11:11" ht="15.75" customHeight="1" x14ac:dyDescent="0.2">
      <c r="K1358" s="13"/>
    </row>
    <row r="1359" spans="11:11" ht="15.75" customHeight="1" x14ac:dyDescent="0.2">
      <c r="K1359" s="13"/>
    </row>
    <row r="1360" spans="11:11" ht="15.75" customHeight="1" x14ac:dyDescent="0.2">
      <c r="K1360" s="13"/>
    </row>
    <row r="1361" spans="11:11" ht="15.75" customHeight="1" x14ac:dyDescent="0.2">
      <c r="K1361" s="13"/>
    </row>
    <row r="1362" spans="11:11" ht="15.75" customHeight="1" x14ac:dyDescent="0.2">
      <c r="K1362" s="13"/>
    </row>
    <row r="1363" spans="11:11" ht="15.75" customHeight="1" x14ac:dyDescent="0.2">
      <c r="K1363" s="13"/>
    </row>
    <row r="1364" spans="11:11" ht="15.75" customHeight="1" x14ac:dyDescent="0.2">
      <c r="K1364" s="13"/>
    </row>
    <row r="1365" spans="11:11" ht="15.75" customHeight="1" x14ac:dyDescent="0.2">
      <c r="K1365" s="13"/>
    </row>
    <row r="1366" spans="11:11" ht="15.75" customHeight="1" x14ac:dyDescent="0.2">
      <c r="K1366" s="13"/>
    </row>
    <row r="1367" spans="11:11" ht="15.75" customHeight="1" x14ac:dyDescent="0.2">
      <c r="K1367" s="13"/>
    </row>
    <row r="1368" spans="11:11" ht="15.75" customHeight="1" x14ac:dyDescent="0.2">
      <c r="K1368" s="13"/>
    </row>
    <row r="1369" spans="11:11" ht="15.75" customHeight="1" x14ac:dyDescent="0.2">
      <c r="K1369" s="13"/>
    </row>
    <row r="1370" spans="11:11" ht="15.75" customHeight="1" x14ac:dyDescent="0.2">
      <c r="K1370" s="13"/>
    </row>
    <row r="1371" spans="11:11" ht="15.75" customHeight="1" x14ac:dyDescent="0.2">
      <c r="K1371" s="13"/>
    </row>
    <row r="1372" spans="11:11" ht="15.75" customHeight="1" x14ac:dyDescent="0.2">
      <c r="K1372" s="13"/>
    </row>
    <row r="1373" spans="11:11" ht="15.75" customHeight="1" x14ac:dyDescent="0.2">
      <c r="K1373" s="13"/>
    </row>
    <row r="1374" spans="11:11" ht="15.75" customHeight="1" x14ac:dyDescent="0.2">
      <c r="K1374" s="13"/>
    </row>
    <row r="1375" spans="11:11" ht="15.75" customHeight="1" x14ac:dyDescent="0.2">
      <c r="K1375" s="13"/>
    </row>
    <row r="1376" spans="11:11" ht="15.75" customHeight="1" x14ac:dyDescent="0.2">
      <c r="K1376" s="13"/>
    </row>
    <row r="1377" spans="11:11" ht="15.75" customHeight="1" x14ac:dyDescent="0.2">
      <c r="K1377" s="13"/>
    </row>
    <row r="1378" spans="11:11" ht="15.75" customHeight="1" x14ac:dyDescent="0.2">
      <c r="K1378" s="13"/>
    </row>
    <row r="1379" spans="11:11" ht="15.75" customHeight="1" x14ac:dyDescent="0.2">
      <c r="K1379" s="13"/>
    </row>
    <row r="1380" spans="11:11" ht="15.75" customHeight="1" x14ac:dyDescent="0.2">
      <c r="K1380" s="13"/>
    </row>
    <row r="1381" spans="11:11" ht="15.75" customHeight="1" x14ac:dyDescent="0.2">
      <c r="K1381" s="13"/>
    </row>
    <row r="1382" spans="11:11" ht="15.75" customHeight="1" x14ac:dyDescent="0.2">
      <c r="K1382" s="13"/>
    </row>
    <row r="1383" spans="11:11" ht="15.75" customHeight="1" x14ac:dyDescent="0.2">
      <c r="K1383" s="13"/>
    </row>
    <row r="1384" spans="11:11" ht="15.75" customHeight="1" x14ac:dyDescent="0.2">
      <c r="K1384" s="13"/>
    </row>
    <row r="1385" spans="11:11" ht="15.75" customHeight="1" x14ac:dyDescent="0.2">
      <c r="K1385" s="13"/>
    </row>
    <row r="1386" spans="11:11" ht="15.75" customHeight="1" x14ac:dyDescent="0.2">
      <c r="K1386" s="13"/>
    </row>
    <row r="1387" spans="11:11" ht="15.75" customHeight="1" x14ac:dyDescent="0.2">
      <c r="K1387" s="13"/>
    </row>
    <row r="1388" spans="11:11" ht="15.75" customHeight="1" x14ac:dyDescent="0.2">
      <c r="K1388" s="13"/>
    </row>
    <row r="1389" spans="11:11" ht="15.75" customHeight="1" x14ac:dyDescent="0.2">
      <c r="K1389" s="13"/>
    </row>
    <row r="1390" spans="11:11" ht="15.75" customHeight="1" x14ac:dyDescent="0.2">
      <c r="K1390" s="13"/>
    </row>
    <row r="1391" spans="11:11" ht="15.75" customHeight="1" x14ac:dyDescent="0.2">
      <c r="K1391" s="13"/>
    </row>
    <row r="1392" spans="11:11" ht="15.75" customHeight="1" x14ac:dyDescent="0.2">
      <c r="K1392" s="13"/>
    </row>
    <row r="1393" spans="11:11" ht="15.75" customHeight="1" x14ac:dyDescent="0.2">
      <c r="K1393" s="13"/>
    </row>
    <row r="1394" spans="11:11" ht="15.75" customHeight="1" x14ac:dyDescent="0.2">
      <c r="K1394" s="13"/>
    </row>
    <row r="1395" spans="11:11" ht="15.75" customHeight="1" x14ac:dyDescent="0.2">
      <c r="K1395" s="13"/>
    </row>
    <row r="1396" spans="11:11" ht="15.75" customHeight="1" x14ac:dyDescent="0.2">
      <c r="K1396" s="13"/>
    </row>
    <row r="1397" spans="11:11" ht="15.75" customHeight="1" x14ac:dyDescent="0.2">
      <c r="K1397" s="13"/>
    </row>
    <row r="1398" spans="11:11" ht="15.75" customHeight="1" x14ac:dyDescent="0.2">
      <c r="K1398" s="13"/>
    </row>
    <row r="1399" spans="11:11" ht="15.75" customHeight="1" x14ac:dyDescent="0.2">
      <c r="K1399" s="13"/>
    </row>
    <row r="1400" spans="11:11" ht="15.75" customHeight="1" x14ac:dyDescent="0.2">
      <c r="K1400" s="13"/>
    </row>
    <row r="1401" spans="11:11" ht="15.75" customHeight="1" x14ac:dyDescent="0.2">
      <c r="K1401" s="13"/>
    </row>
    <row r="1402" spans="11:11" ht="15.75" customHeight="1" x14ac:dyDescent="0.2">
      <c r="K1402" s="13"/>
    </row>
    <row r="1403" spans="11:11" ht="15.75" customHeight="1" x14ac:dyDescent="0.2">
      <c r="K1403" s="13"/>
    </row>
    <row r="1404" spans="11:11" ht="15.75" customHeight="1" x14ac:dyDescent="0.2">
      <c r="K1404" s="13"/>
    </row>
    <row r="1405" spans="11:11" ht="15.75" customHeight="1" x14ac:dyDescent="0.2">
      <c r="K1405" s="13"/>
    </row>
    <row r="1406" spans="11:11" ht="15.75" customHeight="1" x14ac:dyDescent="0.2">
      <c r="K1406" s="13"/>
    </row>
    <row r="1407" spans="11:11" ht="15.75" customHeight="1" x14ac:dyDescent="0.2">
      <c r="K1407" s="13"/>
    </row>
    <row r="1408" spans="11:11" ht="15.75" customHeight="1" x14ac:dyDescent="0.2">
      <c r="K1408" s="13"/>
    </row>
    <row r="1409" spans="11:11" ht="15.75" customHeight="1" x14ac:dyDescent="0.2">
      <c r="K1409" s="13"/>
    </row>
    <row r="1410" spans="11:11" ht="15.75" customHeight="1" x14ac:dyDescent="0.2">
      <c r="K1410" s="13"/>
    </row>
    <row r="1411" spans="11:11" ht="15.75" customHeight="1" x14ac:dyDescent="0.2">
      <c r="K1411" s="13"/>
    </row>
    <row r="1412" spans="11:11" ht="15.75" customHeight="1" x14ac:dyDescent="0.2">
      <c r="K1412" s="13"/>
    </row>
    <row r="1413" spans="11:11" ht="15.75" customHeight="1" x14ac:dyDescent="0.2">
      <c r="K1413" s="13"/>
    </row>
    <row r="1414" spans="11:11" ht="15.75" customHeight="1" x14ac:dyDescent="0.2">
      <c r="K1414" s="13"/>
    </row>
    <row r="1415" spans="11:11" ht="15.75" customHeight="1" x14ac:dyDescent="0.2">
      <c r="K1415" s="13"/>
    </row>
    <row r="1416" spans="11:11" ht="15.75" customHeight="1" x14ac:dyDescent="0.2">
      <c r="K1416" s="13"/>
    </row>
    <row r="1417" spans="11:11" ht="15.75" customHeight="1" x14ac:dyDescent="0.2">
      <c r="K1417" s="13"/>
    </row>
    <row r="1418" spans="11:11" ht="15.75" customHeight="1" x14ac:dyDescent="0.2">
      <c r="K1418" s="13"/>
    </row>
    <row r="1419" spans="11:11" ht="15.75" customHeight="1" x14ac:dyDescent="0.2">
      <c r="K1419" s="13"/>
    </row>
    <row r="1420" spans="11:11" ht="15.75" customHeight="1" x14ac:dyDescent="0.2">
      <c r="K1420" s="13"/>
    </row>
    <row r="1421" spans="11:11" ht="15.75" customHeight="1" x14ac:dyDescent="0.2">
      <c r="K1421" s="13"/>
    </row>
    <row r="1422" spans="11:11" ht="15.75" customHeight="1" x14ac:dyDescent="0.2">
      <c r="K1422" s="13"/>
    </row>
    <row r="1423" spans="11:11" ht="15.75" customHeight="1" x14ac:dyDescent="0.2">
      <c r="K1423" s="13"/>
    </row>
    <row r="1424" spans="11:11" ht="15.75" customHeight="1" x14ac:dyDescent="0.2">
      <c r="K1424" s="13"/>
    </row>
    <row r="1425" spans="11:11" ht="15.75" customHeight="1" x14ac:dyDescent="0.2">
      <c r="K1425" s="13"/>
    </row>
    <row r="1426" spans="11:11" ht="15.75" customHeight="1" x14ac:dyDescent="0.2">
      <c r="K1426" s="13"/>
    </row>
    <row r="1427" spans="11:11" ht="15.75" customHeight="1" x14ac:dyDescent="0.2">
      <c r="K1427" s="13"/>
    </row>
    <row r="1428" spans="11:11" ht="15.75" customHeight="1" x14ac:dyDescent="0.2">
      <c r="K1428" s="13"/>
    </row>
    <row r="1429" spans="11:11" ht="15.75" customHeight="1" x14ac:dyDescent="0.2">
      <c r="K1429" s="13"/>
    </row>
    <row r="1430" spans="11:11" ht="15.75" customHeight="1" x14ac:dyDescent="0.2">
      <c r="K1430" s="13"/>
    </row>
    <row r="1431" spans="11:11" ht="15.75" customHeight="1" x14ac:dyDescent="0.2">
      <c r="K1431" s="13"/>
    </row>
    <row r="1432" spans="11:11" ht="15.75" customHeight="1" x14ac:dyDescent="0.2">
      <c r="K1432" s="13"/>
    </row>
    <row r="1433" spans="11:11" ht="15.75" customHeight="1" x14ac:dyDescent="0.2">
      <c r="K1433" s="13"/>
    </row>
    <row r="1434" spans="11:11" ht="15.75" customHeight="1" x14ac:dyDescent="0.2">
      <c r="K1434" s="13"/>
    </row>
    <row r="1435" spans="11:11" ht="15.75" customHeight="1" x14ac:dyDescent="0.2">
      <c r="K1435" s="13"/>
    </row>
    <row r="1436" spans="11:11" ht="15.75" customHeight="1" x14ac:dyDescent="0.2">
      <c r="K1436" s="13"/>
    </row>
    <row r="1437" spans="11:11" ht="15.75" customHeight="1" x14ac:dyDescent="0.2">
      <c r="K1437" s="13"/>
    </row>
    <row r="1438" spans="11:11" ht="15.75" customHeight="1" x14ac:dyDescent="0.2">
      <c r="K1438" s="13"/>
    </row>
    <row r="1439" spans="11:11" ht="15.75" customHeight="1" x14ac:dyDescent="0.2">
      <c r="K1439" s="13"/>
    </row>
    <row r="1440" spans="11:11" ht="15.75" customHeight="1" x14ac:dyDescent="0.2">
      <c r="K1440" s="13"/>
    </row>
    <row r="1441" spans="11:11" ht="15.75" customHeight="1" x14ac:dyDescent="0.2">
      <c r="K1441" s="13"/>
    </row>
    <row r="1442" spans="11:11" ht="15.75" customHeight="1" x14ac:dyDescent="0.2">
      <c r="K1442" s="13"/>
    </row>
    <row r="1443" spans="11:11" ht="15.75" customHeight="1" x14ac:dyDescent="0.2">
      <c r="K1443" s="13"/>
    </row>
    <row r="1444" spans="11:11" ht="15.75" customHeight="1" x14ac:dyDescent="0.2">
      <c r="K1444" s="13"/>
    </row>
    <row r="1445" spans="11:11" ht="15.75" customHeight="1" x14ac:dyDescent="0.2">
      <c r="K1445" s="13"/>
    </row>
    <row r="1446" spans="11:11" ht="15.75" customHeight="1" x14ac:dyDescent="0.2">
      <c r="K1446" s="13"/>
    </row>
    <row r="1447" spans="11:11" ht="15.75" customHeight="1" x14ac:dyDescent="0.2">
      <c r="K1447" s="13"/>
    </row>
    <row r="1448" spans="11:11" ht="15.75" customHeight="1" x14ac:dyDescent="0.2">
      <c r="K1448" s="13"/>
    </row>
    <row r="1449" spans="11:11" ht="15.75" customHeight="1" x14ac:dyDescent="0.2">
      <c r="K1449" s="13"/>
    </row>
    <row r="1450" spans="11:11" ht="15.75" customHeight="1" x14ac:dyDescent="0.2">
      <c r="K1450" s="13"/>
    </row>
    <row r="1451" spans="11:11" ht="15.75" customHeight="1" x14ac:dyDescent="0.2">
      <c r="K1451" s="13"/>
    </row>
    <row r="1452" spans="11:11" ht="15.75" customHeight="1" x14ac:dyDescent="0.2">
      <c r="K1452" s="13"/>
    </row>
    <row r="1453" spans="11:11" ht="15.75" customHeight="1" x14ac:dyDescent="0.2">
      <c r="K1453" s="13"/>
    </row>
    <row r="1454" spans="11:11" ht="15.75" customHeight="1" x14ac:dyDescent="0.2">
      <c r="K1454" s="13"/>
    </row>
    <row r="1455" spans="11:11" ht="15.75" customHeight="1" x14ac:dyDescent="0.2">
      <c r="K1455" s="13"/>
    </row>
    <row r="1456" spans="11:11" ht="15.75" customHeight="1" x14ac:dyDescent="0.2">
      <c r="K1456" s="13"/>
    </row>
    <row r="1457" spans="11:11" ht="15.75" customHeight="1" x14ac:dyDescent="0.2">
      <c r="K1457" s="13"/>
    </row>
    <row r="1458" spans="11:11" ht="15.75" customHeight="1" x14ac:dyDescent="0.2">
      <c r="K1458" s="13"/>
    </row>
    <row r="1459" spans="11:11" ht="15.75" customHeight="1" x14ac:dyDescent="0.2">
      <c r="K1459" s="13"/>
    </row>
    <row r="1460" spans="11:11" ht="15.75" customHeight="1" x14ac:dyDescent="0.2">
      <c r="K1460" s="13"/>
    </row>
    <row r="1461" spans="11:11" ht="15.75" customHeight="1" x14ac:dyDescent="0.2">
      <c r="K1461" s="13"/>
    </row>
    <row r="1462" spans="11:11" ht="15.75" customHeight="1" x14ac:dyDescent="0.2">
      <c r="K1462" s="13"/>
    </row>
    <row r="1463" spans="11:11" ht="15.75" customHeight="1" x14ac:dyDescent="0.2">
      <c r="K1463" s="13"/>
    </row>
    <row r="1464" spans="11:11" ht="15.75" customHeight="1" x14ac:dyDescent="0.2">
      <c r="K1464" s="13"/>
    </row>
    <row r="1465" spans="11:11" ht="15.75" customHeight="1" x14ac:dyDescent="0.2">
      <c r="K1465" s="13"/>
    </row>
    <row r="1466" spans="11:11" ht="15.75" customHeight="1" x14ac:dyDescent="0.2">
      <c r="K1466" s="13"/>
    </row>
    <row r="1467" spans="11:11" ht="15.75" customHeight="1" x14ac:dyDescent="0.2">
      <c r="K1467" s="13"/>
    </row>
    <row r="1468" spans="11:11" ht="15.75" customHeight="1" x14ac:dyDescent="0.2">
      <c r="K1468" s="13"/>
    </row>
    <row r="1469" spans="11:11" ht="15.75" customHeight="1" x14ac:dyDescent="0.2">
      <c r="K1469" s="13"/>
    </row>
    <row r="1470" spans="11:11" ht="15.75" customHeight="1" x14ac:dyDescent="0.2">
      <c r="K1470" s="13"/>
    </row>
    <row r="1471" spans="11:11" ht="15.75" customHeight="1" x14ac:dyDescent="0.2">
      <c r="K1471" s="13"/>
    </row>
    <row r="1472" spans="11:11" ht="15.75" customHeight="1" x14ac:dyDescent="0.2">
      <c r="K1472" s="13"/>
    </row>
    <row r="1473" spans="11:11" ht="15.75" customHeight="1" x14ac:dyDescent="0.2">
      <c r="K1473" s="13"/>
    </row>
    <row r="1474" spans="11:11" ht="15.75" customHeight="1" x14ac:dyDescent="0.2">
      <c r="K1474" s="13"/>
    </row>
    <row r="1475" spans="11:11" ht="15.75" customHeight="1" x14ac:dyDescent="0.2">
      <c r="K1475" s="13"/>
    </row>
    <row r="1476" spans="11:11" ht="15.75" customHeight="1" x14ac:dyDescent="0.2">
      <c r="K1476" s="13"/>
    </row>
    <row r="1477" spans="11:11" ht="15.75" customHeight="1" x14ac:dyDescent="0.2">
      <c r="K1477" s="13"/>
    </row>
    <row r="1478" spans="11:11" ht="15.75" customHeight="1" x14ac:dyDescent="0.2">
      <c r="K1478" s="13"/>
    </row>
    <row r="1479" spans="11:11" ht="15.75" customHeight="1" x14ac:dyDescent="0.2">
      <c r="K1479" s="13"/>
    </row>
    <row r="1480" spans="11:11" ht="15.75" customHeight="1" x14ac:dyDescent="0.2">
      <c r="K1480" s="13"/>
    </row>
    <row r="1481" spans="11:11" ht="15.75" customHeight="1" x14ac:dyDescent="0.2">
      <c r="K1481" s="13"/>
    </row>
    <row r="1482" spans="11:11" ht="15.75" customHeight="1" x14ac:dyDescent="0.2">
      <c r="K1482" s="13"/>
    </row>
    <row r="1483" spans="11:11" ht="15.75" customHeight="1" x14ac:dyDescent="0.2">
      <c r="K1483" s="13"/>
    </row>
    <row r="1484" spans="11:11" ht="15.75" customHeight="1" x14ac:dyDescent="0.2">
      <c r="K1484" s="13"/>
    </row>
    <row r="1485" spans="11:11" ht="15.75" customHeight="1" x14ac:dyDescent="0.2">
      <c r="K1485" s="13"/>
    </row>
    <row r="1486" spans="11:11" ht="15.75" customHeight="1" x14ac:dyDescent="0.2">
      <c r="K1486" s="13"/>
    </row>
    <row r="1487" spans="11:11" ht="15.75" customHeight="1" x14ac:dyDescent="0.2">
      <c r="K1487" s="13"/>
    </row>
    <row r="1488" spans="11:11" ht="15.75" customHeight="1" x14ac:dyDescent="0.2">
      <c r="K1488" s="13"/>
    </row>
    <row r="1489" spans="11:11" ht="15.75" customHeight="1" x14ac:dyDescent="0.2">
      <c r="K1489" s="13"/>
    </row>
    <row r="1490" spans="11:11" ht="15.75" customHeight="1" x14ac:dyDescent="0.2">
      <c r="K1490" s="13"/>
    </row>
    <row r="1491" spans="11:11" ht="15.75" customHeight="1" x14ac:dyDescent="0.2">
      <c r="K1491" s="13"/>
    </row>
    <row r="1492" spans="11:11" ht="15.75" customHeight="1" x14ac:dyDescent="0.2">
      <c r="K1492" s="13"/>
    </row>
    <row r="1493" spans="11:11" ht="15.75" customHeight="1" x14ac:dyDescent="0.2">
      <c r="K1493" s="13"/>
    </row>
    <row r="1494" spans="11:11" ht="15.75" customHeight="1" x14ac:dyDescent="0.2">
      <c r="K1494" s="13"/>
    </row>
    <row r="1495" spans="11:11" ht="15.75" customHeight="1" x14ac:dyDescent="0.2">
      <c r="K1495" s="13"/>
    </row>
    <row r="1496" spans="11:11" ht="15.75" customHeight="1" x14ac:dyDescent="0.2">
      <c r="K1496" s="13"/>
    </row>
    <row r="1497" spans="11:11" ht="15.75" customHeight="1" x14ac:dyDescent="0.2">
      <c r="K1497" s="13"/>
    </row>
    <row r="1498" spans="11:11" ht="15.75" customHeight="1" x14ac:dyDescent="0.2">
      <c r="K1498" s="13"/>
    </row>
    <row r="1499" spans="11:11" ht="15.75" customHeight="1" x14ac:dyDescent="0.2">
      <c r="K1499" s="13"/>
    </row>
    <row r="1500" spans="11:11" ht="15.75" customHeight="1" x14ac:dyDescent="0.2">
      <c r="K1500" s="13"/>
    </row>
    <row r="1501" spans="11:11" ht="15.75" customHeight="1" x14ac:dyDescent="0.2">
      <c r="K1501" s="13"/>
    </row>
    <row r="1502" spans="11:11" ht="15.75" customHeight="1" x14ac:dyDescent="0.2">
      <c r="K1502" s="13"/>
    </row>
    <row r="1503" spans="11:11" ht="15.75" customHeight="1" x14ac:dyDescent="0.2">
      <c r="K1503" s="13"/>
    </row>
    <row r="1504" spans="11:11" ht="15.75" customHeight="1" x14ac:dyDescent="0.2">
      <c r="K1504" s="13"/>
    </row>
    <row r="1505" spans="11:11" ht="15.75" customHeight="1" x14ac:dyDescent="0.2">
      <c r="K1505" s="13"/>
    </row>
    <row r="1506" spans="11:11" ht="15.75" customHeight="1" x14ac:dyDescent="0.2">
      <c r="K1506" s="13"/>
    </row>
    <row r="1507" spans="11:11" ht="15.75" customHeight="1" x14ac:dyDescent="0.2">
      <c r="K1507" s="13"/>
    </row>
    <row r="1508" spans="11:11" ht="15.75" customHeight="1" x14ac:dyDescent="0.2">
      <c r="K1508" s="13"/>
    </row>
    <row r="1509" spans="11:11" ht="15.75" customHeight="1" x14ac:dyDescent="0.2">
      <c r="K1509" s="13"/>
    </row>
    <row r="1510" spans="11:11" ht="15.75" customHeight="1" x14ac:dyDescent="0.2">
      <c r="K1510" s="13"/>
    </row>
    <row r="1511" spans="11:11" ht="15.75" customHeight="1" x14ac:dyDescent="0.2">
      <c r="K1511" s="13"/>
    </row>
    <row r="1512" spans="11:11" ht="15.75" customHeight="1" x14ac:dyDescent="0.2">
      <c r="K1512" s="13"/>
    </row>
    <row r="1513" spans="11:11" ht="15.75" customHeight="1" x14ac:dyDescent="0.2">
      <c r="K1513" s="13"/>
    </row>
    <row r="1514" spans="11:11" ht="15.75" customHeight="1" x14ac:dyDescent="0.2">
      <c r="K1514" s="13"/>
    </row>
    <row r="1515" spans="11:11" ht="15.75" customHeight="1" x14ac:dyDescent="0.2">
      <c r="K1515" s="13"/>
    </row>
    <row r="1516" spans="11:11" ht="15.75" customHeight="1" x14ac:dyDescent="0.2">
      <c r="K1516" s="13"/>
    </row>
    <row r="1517" spans="11:11" ht="15.75" customHeight="1" x14ac:dyDescent="0.2">
      <c r="K1517" s="13"/>
    </row>
    <row r="1518" spans="11:11" ht="15.75" customHeight="1" x14ac:dyDescent="0.2">
      <c r="K1518" s="13"/>
    </row>
    <row r="1519" spans="11:11" ht="15.75" customHeight="1" x14ac:dyDescent="0.2">
      <c r="K1519" s="13"/>
    </row>
    <row r="1520" spans="11:11" ht="15.75" customHeight="1" x14ac:dyDescent="0.2">
      <c r="K1520" s="13"/>
    </row>
    <row r="1521" spans="11:11" ht="15.75" customHeight="1" x14ac:dyDescent="0.2">
      <c r="K1521" s="13"/>
    </row>
    <row r="1522" spans="11:11" ht="15.75" customHeight="1" x14ac:dyDescent="0.2">
      <c r="K1522" s="13"/>
    </row>
    <row r="1523" spans="11:11" ht="15.75" customHeight="1" x14ac:dyDescent="0.2">
      <c r="K1523" s="13"/>
    </row>
    <row r="1524" spans="11:11" ht="15.75" customHeight="1" x14ac:dyDescent="0.2">
      <c r="K1524" s="13"/>
    </row>
    <row r="1525" spans="11:11" ht="15.75" customHeight="1" x14ac:dyDescent="0.2">
      <c r="K1525" s="13"/>
    </row>
    <row r="1526" spans="11:11" ht="15.75" customHeight="1" x14ac:dyDescent="0.2">
      <c r="K1526" s="13"/>
    </row>
    <row r="1527" spans="11:11" ht="15.75" customHeight="1" x14ac:dyDescent="0.2">
      <c r="K1527" s="13"/>
    </row>
    <row r="1528" spans="11:11" ht="15.75" customHeight="1" x14ac:dyDescent="0.2">
      <c r="K1528" s="13"/>
    </row>
    <row r="1529" spans="11:11" ht="15.75" customHeight="1" x14ac:dyDescent="0.2">
      <c r="K1529" s="13"/>
    </row>
    <row r="1530" spans="11:11" ht="15.75" customHeight="1" x14ac:dyDescent="0.2">
      <c r="K1530" s="13"/>
    </row>
    <row r="1531" spans="11:11" ht="15.75" customHeight="1" x14ac:dyDescent="0.2">
      <c r="K1531" s="13"/>
    </row>
    <row r="1532" spans="11:11" ht="15.75" customHeight="1" x14ac:dyDescent="0.2">
      <c r="K1532" s="13"/>
    </row>
    <row r="1533" spans="11:11" ht="15.75" customHeight="1" x14ac:dyDescent="0.2">
      <c r="K1533" s="13"/>
    </row>
    <row r="1534" spans="11:11" ht="15.75" customHeight="1" x14ac:dyDescent="0.2">
      <c r="K1534" s="13"/>
    </row>
    <row r="1535" spans="11:11" ht="15.75" customHeight="1" x14ac:dyDescent="0.2">
      <c r="K1535" s="13"/>
    </row>
    <row r="1536" spans="11:11" ht="15.75" customHeight="1" x14ac:dyDescent="0.2">
      <c r="K1536" s="13"/>
    </row>
    <row r="1537" spans="11:11" ht="15.75" customHeight="1" x14ac:dyDescent="0.2">
      <c r="K1537" s="13"/>
    </row>
    <row r="1538" spans="11:11" ht="15.75" customHeight="1" x14ac:dyDescent="0.2">
      <c r="K1538" s="13"/>
    </row>
    <row r="1539" spans="11:11" ht="15.75" customHeight="1" x14ac:dyDescent="0.2">
      <c r="K1539" s="13"/>
    </row>
    <row r="1540" spans="11:11" ht="15.75" customHeight="1" x14ac:dyDescent="0.2">
      <c r="K1540" s="13"/>
    </row>
    <row r="1541" spans="11:11" ht="15.75" customHeight="1" x14ac:dyDescent="0.2">
      <c r="K1541" s="13"/>
    </row>
    <row r="1542" spans="11:11" ht="15.75" customHeight="1" x14ac:dyDescent="0.2">
      <c r="K1542" s="13"/>
    </row>
    <row r="1543" spans="11:11" ht="15.75" customHeight="1" x14ac:dyDescent="0.2">
      <c r="K1543" s="13"/>
    </row>
    <row r="1544" spans="11:11" ht="15.75" customHeight="1" x14ac:dyDescent="0.2">
      <c r="K1544" s="13"/>
    </row>
    <row r="1545" spans="11:11" ht="15.75" customHeight="1" x14ac:dyDescent="0.2">
      <c r="K1545" s="13"/>
    </row>
    <row r="1546" spans="11:11" ht="15.75" customHeight="1" x14ac:dyDescent="0.2">
      <c r="K1546" s="13"/>
    </row>
    <row r="1547" spans="11:11" ht="15.75" customHeight="1" x14ac:dyDescent="0.2">
      <c r="K1547" s="13"/>
    </row>
    <row r="1548" spans="11:11" ht="15.75" customHeight="1" x14ac:dyDescent="0.2">
      <c r="K1548" s="13"/>
    </row>
    <row r="1549" spans="11:11" ht="15.75" customHeight="1" x14ac:dyDescent="0.2">
      <c r="K1549" s="13"/>
    </row>
    <row r="1550" spans="11:11" ht="15.75" customHeight="1" x14ac:dyDescent="0.2">
      <c r="K1550" s="13"/>
    </row>
    <row r="1551" spans="11:11" ht="15.75" customHeight="1" x14ac:dyDescent="0.2">
      <c r="K1551" s="13"/>
    </row>
    <row r="1552" spans="11:11" ht="15.75" customHeight="1" x14ac:dyDescent="0.2">
      <c r="K1552" s="13"/>
    </row>
    <row r="1553" spans="11:11" ht="15.75" customHeight="1" x14ac:dyDescent="0.2">
      <c r="K1553" s="13"/>
    </row>
    <row r="1554" spans="11:11" ht="15.75" customHeight="1" x14ac:dyDescent="0.2">
      <c r="K1554" s="13"/>
    </row>
    <row r="1555" spans="11:11" ht="15.75" customHeight="1" x14ac:dyDescent="0.2">
      <c r="K1555" s="13"/>
    </row>
    <row r="1556" spans="11:11" ht="15.75" customHeight="1" x14ac:dyDescent="0.2">
      <c r="K1556" s="13"/>
    </row>
    <row r="1557" spans="11:11" ht="15.75" customHeight="1" x14ac:dyDescent="0.2">
      <c r="K1557" s="13"/>
    </row>
    <row r="1558" spans="11:11" ht="15.75" customHeight="1" x14ac:dyDescent="0.2">
      <c r="K1558" s="13"/>
    </row>
    <row r="1559" spans="11:11" ht="15.75" customHeight="1" x14ac:dyDescent="0.2">
      <c r="K1559" s="13"/>
    </row>
    <row r="1560" spans="11:11" ht="15.75" customHeight="1" x14ac:dyDescent="0.2">
      <c r="K1560" s="13"/>
    </row>
    <row r="1561" spans="11:11" ht="15.75" customHeight="1" x14ac:dyDescent="0.2">
      <c r="K1561" s="13"/>
    </row>
    <row r="1562" spans="11:11" ht="15.75" customHeight="1" x14ac:dyDescent="0.2">
      <c r="K1562" s="13"/>
    </row>
    <row r="1563" spans="11:11" ht="15.75" customHeight="1" x14ac:dyDescent="0.2">
      <c r="K1563" s="13"/>
    </row>
    <row r="1564" spans="11:11" ht="15.75" customHeight="1" x14ac:dyDescent="0.2">
      <c r="K1564" s="13"/>
    </row>
    <row r="1565" spans="11:11" ht="15.75" customHeight="1" x14ac:dyDescent="0.2">
      <c r="K1565" s="13"/>
    </row>
    <row r="1566" spans="11:11" ht="15.75" customHeight="1" x14ac:dyDescent="0.2">
      <c r="K1566" s="13"/>
    </row>
    <row r="1567" spans="11:11" ht="15.75" customHeight="1" x14ac:dyDescent="0.2">
      <c r="K1567" s="13"/>
    </row>
    <row r="1568" spans="11:11" ht="15.75" customHeight="1" x14ac:dyDescent="0.2">
      <c r="K1568" s="13"/>
    </row>
    <row r="1569" spans="11:11" ht="15.75" customHeight="1" x14ac:dyDescent="0.2">
      <c r="K1569" s="13"/>
    </row>
    <row r="1570" spans="11:11" ht="15.75" customHeight="1" x14ac:dyDescent="0.2">
      <c r="K1570" s="13"/>
    </row>
    <row r="1571" spans="11:11" ht="15.75" customHeight="1" x14ac:dyDescent="0.2">
      <c r="K1571" s="13"/>
    </row>
    <row r="1572" spans="11:11" ht="15.75" customHeight="1" x14ac:dyDescent="0.2">
      <c r="K1572" s="13"/>
    </row>
    <row r="1573" spans="11:11" ht="15.75" customHeight="1" x14ac:dyDescent="0.2">
      <c r="K1573" s="13"/>
    </row>
    <row r="1574" spans="11:11" ht="15.75" customHeight="1" x14ac:dyDescent="0.2">
      <c r="K1574" s="13"/>
    </row>
    <row r="1575" spans="11:11" ht="15.75" customHeight="1" x14ac:dyDescent="0.2">
      <c r="K1575" s="13"/>
    </row>
    <row r="1576" spans="11:11" ht="15.75" customHeight="1" x14ac:dyDescent="0.2">
      <c r="K1576" s="13"/>
    </row>
    <row r="1577" spans="11:11" ht="15.75" customHeight="1" x14ac:dyDescent="0.2">
      <c r="K1577" s="13"/>
    </row>
    <row r="1578" spans="11:11" ht="15.75" customHeight="1" x14ac:dyDescent="0.2">
      <c r="K1578" s="13"/>
    </row>
    <row r="1579" spans="11:11" ht="15.75" customHeight="1" x14ac:dyDescent="0.2">
      <c r="K1579" s="13"/>
    </row>
    <row r="1580" spans="11:11" ht="15.75" customHeight="1" x14ac:dyDescent="0.2">
      <c r="K1580" s="13"/>
    </row>
    <row r="1581" spans="11:11" ht="15.75" customHeight="1" x14ac:dyDescent="0.2">
      <c r="K1581" s="13"/>
    </row>
    <row r="1582" spans="11:11" ht="15.75" customHeight="1" x14ac:dyDescent="0.2">
      <c r="K1582" s="13"/>
    </row>
    <row r="1583" spans="11:11" ht="15.75" customHeight="1" x14ac:dyDescent="0.2">
      <c r="K1583" s="13"/>
    </row>
    <row r="1584" spans="11:11" ht="15.75" customHeight="1" x14ac:dyDescent="0.2">
      <c r="K1584" s="13"/>
    </row>
    <row r="1585" spans="11:11" ht="15.75" customHeight="1" x14ac:dyDescent="0.2">
      <c r="K1585" s="13"/>
    </row>
    <row r="1586" spans="11:11" ht="15.75" customHeight="1" x14ac:dyDescent="0.2">
      <c r="K1586" s="13"/>
    </row>
    <row r="1587" spans="11:11" ht="15.75" customHeight="1" x14ac:dyDescent="0.2">
      <c r="K1587" s="13"/>
    </row>
    <row r="1588" spans="11:11" ht="15.75" customHeight="1" x14ac:dyDescent="0.2">
      <c r="K1588" s="13"/>
    </row>
    <row r="1589" spans="11:11" ht="15.75" customHeight="1" x14ac:dyDescent="0.2">
      <c r="K1589" s="13"/>
    </row>
    <row r="1590" spans="11:11" ht="15.75" customHeight="1" x14ac:dyDescent="0.2">
      <c r="K1590" s="13"/>
    </row>
    <row r="1591" spans="11:11" ht="15.75" customHeight="1" x14ac:dyDescent="0.2">
      <c r="K1591" s="13"/>
    </row>
    <row r="1592" spans="11:11" ht="15.75" customHeight="1" x14ac:dyDescent="0.2">
      <c r="K1592" s="13"/>
    </row>
    <row r="1593" spans="11:11" ht="15.75" customHeight="1" x14ac:dyDescent="0.2">
      <c r="K1593" s="13"/>
    </row>
    <row r="1594" spans="11:11" ht="15.75" customHeight="1" x14ac:dyDescent="0.2">
      <c r="K1594" s="13"/>
    </row>
    <row r="1595" spans="11:11" ht="15.75" customHeight="1" x14ac:dyDescent="0.2">
      <c r="K1595" s="13"/>
    </row>
    <row r="1596" spans="11:11" ht="15.75" customHeight="1" x14ac:dyDescent="0.2">
      <c r="K1596" s="13"/>
    </row>
    <row r="1597" spans="11:11" ht="15.75" customHeight="1" x14ac:dyDescent="0.2">
      <c r="K1597" s="13"/>
    </row>
    <row r="1598" spans="11:11" ht="15.75" customHeight="1" x14ac:dyDescent="0.2">
      <c r="K1598" s="13"/>
    </row>
    <row r="1599" spans="11:11" ht="15.75" customHeight="1" x14ac:dyDescent="0.2">
      <c r="K1599" s="13"/>
    </row>
    <row r="1600" spans="11:11" ht="15.75" customHeight="1" x14ac:dyDescent="0.2">
      <c r="K1600" s="13"/>
    </row>
    <row r="1601" spans="11:11" ht="15.75" customHeight="1" x14ac:dyDescent="0.2">
      <c r="K1601" s="13"/>
    </row>
    <row r="1602" spans="11:11" ht="15.75" customHeight="1" x14ac:dyDescent="0.2">
      <c r="K1602" s="13"/>
    </row>
    <row r="1603" spans="11:11" ht="15.75" customHeight="1" x14ac:dyDescent="0.2">
      <c r="K1603" s="13"/>
    </row>
    <row r="1604" spans="11:11" ht="15.75" customHeight="1" x14ac:dyDescent="0.2">
      <c r="K1604" s="13"/>
    </row>
    <row r="1605" spans="11:11" ht="15.75" customHeight="1" x14ac:dyDescent="0.2">
      <c r="K1605" s="13"/>
    </row>
    <row r="1606" spans="11:11" ht="15.75" customHeight="1" x14ac:dyDescent="0.2">
      <c r="K1606" s="13"/>
    </row>
    <row r="1607" spans="11:11" ht="15.75" customHeight="1" x14ac:dyDescent="0.2">
      <c r="K1607" s="13"/>
    </row>
    <row r="1608" spans="11:11" ht="15.75" customHeight="1" x14ac:dyDescent="0.2">
      <c r="K1608" s="13"/>
    </row>
    <row r="1609" spans="11:11" ht="15.75" customHeight="1" x14ac:dyDescent="0.2">
      <c r="K1609" s="13"/>
    </row>
    <row r="1610" spans="11:11" ht="15.75" customHeight="1" x14ac:dyDescent="0.2">
      <c r="K1610" s="13"/>
    </row>
    <row r="1611" spans="11:11" ht="15.75" customHeight="1" x14ac:dyDescent="0.2">
      <c r="K1611" s="13"/>
    </row>
    <row r="1612" spans="11:11" ht="15.75" customHeight="1" x14ac:dyDescent="0.2">
      <c r="K1612" s="13"/>
    </row>
    <row r="1613" spans="11:11" ht="15.75" customHeight="1" x14ac:dyDescent="0.2">
      <c r="K1613" s="13"/>
    </row>
    <row r="1614" spans="11:11" ht="15.75" customHeight="1" x14ac:dyDescent="0.2">
      <c r="K1614" s="13"/>
    </row>
    <row r="1615" spans="11:11" ht="15.75" customHeight="1" x14ac:dyDescent="0.2">
      <c r="K1615" s="13"/>
    </row>
    <row r="1616" spans="11:11" ht="15.75" customHeight="1" x14ac:dyDescent="0.2">
      <c r="K1616" s="13"/>
    </row>
    <row r="1617" spans="11:11" ht="15.75" customHeight="1" x14ac:dyDescent="0.2">
      <c r="K1617" s="13"/>
    </row>
    <row r="1618" spans="11:11" ht="15.75" customHeight="1" x14ac:dyDescent="0.2">
      <c r="K1618" s="13"/>
    </row>
    <row r="1619" spans="11:11" ht="15.75" customHeight="1" x14ac:dyDescent="0.2">
      <c r="K1619" s="13"/>
    </row>
    <row r="1620" spans="11:11" ht="15.75" customHeight="1" x14ac:dyDescent="0.2">
      <c r="K1620" s="13"/>
    </row>
    <row r="1621" spans="11:11" ht="15.75" customHeight="1" x14ac:dyDescent="0.2">
      <c r="K1621" s="13"/>
    </row>
    <row r="1622" spans="11:11" ht="15.75" customHeight="1" x14ac:dyDescent="0.2">
      <c r="K1622" s="13"/>
    </row>
    <row r="1623" spans="11:11" ht="15.75" customHeight="1" x14ac:dyDescent="0.2">
      <c r="K1623" s="13"/>
    </row>
    <row r="1624" spans="11:11" ht="15.75" customHeight="1" x14ac:dyDescent="0.2">
      <c r="K1624" s="13"/>
    </row>
    <row r="1625" spans="11:11" ht="15.75" customHeight="1" x14ac:dyDescent="0.2">
      <c r="K1625" s="13"/>
    </row>
    <row r="1626" spans="11:11" ht="15.75" customHeight="1" x14ac:dyDescent="0.2">
      <c r="K1626" s="13"/>
    </row>
    <row r="1627" spans="11:11" ht="15.75" customHeight="1" x14ac:dyDescent="0.2">
      <c r="K1627" s="13"/>
    </row>
    <row r="1628" spans="11:11" ht="15.75" customHeight="1" x14ac:dyDescent="0.2">
      <c r="K1628" s="13"/>
    </row>
    <row r="1629" spans="11:11" ht="15.75" customHeight="1" x14ac:dyDescent="0.2">
      <c r="K1629" s="13"/>
    </row>
    <row r="1630" spans="11:11" ht="15.75" customHeight="1" x14ac:dyDescent="0.2">
      <c r="K1630" s="13"/>
    </row>
    <row r="1631" spans="11:11" ht="15.75" customHeight="1" x14ac:dyDescent="0.2">
      <c r="K1631" s="13"/>
    </row>
    <row r="1632" spans="11:11" ht="15.75" customHeight="1" x14ac:dyDescent="0.2">
      <c r="K1632" s="13"/>
    </row>
    <row r="1633" spans="11:11" ht="15.75" customHeight="1" x14ac:dyDescent="0.2">
      <c r="K1633" s="13"/>
    </row>
    <row r="1634" spans="11:11" ht="15.75" customHeight="1" x14ac:dyDescent="0.2">
      <c r="K1634" s="13"/>
    </row>
    <row r="1635" spans="11:11" ht="15.75" customHeight="1" x14ac:dyDescent="0.2">
      <c r="K1635" s="13"/>
    </row>
    <row r="1636" spans="11:11" ht="15.75" customHeight="1" x14ac:dyDescent="0.2">
      <c r="K1636" s="13"/>
    </row>
    <row r="1637" spans="11:11" ht="15.75" customHeight="1" x14ac:dyDescent="0.2">
      <c r="K1637" s="13"/>
    </row>
    <row r="1638" spans="11:11" ht="15.75" customHeight="1" x14ac:dyDescent="0.2">
      <c r="K1638" s="13"/>
    </row>
    <row r="1639" spans="11:11" ht="15.75" customHeight="1" x14ac:dyDescent="0.2">
      <c r="K1639" s="13"/>
    </row>
    <row r="1640" spans="11:11" ht="15.75" customHeight="1" x14ac:dyDescent="0.2">
      <c r="K1640" s="13"/>
    </row>
    <row r="1641" spans="11:11" ht="15.75" customHeight="1" x14ac:dyDescent="0.2">
      <c r="K1641" s="13"/>
    </row>
    <row r="1642" spans="11:11" ht="15.75" customHeight="1" x14ac:dyDescent="0.2">
      <c r="K1642" s="13"/>
    </row>
    <row r="1643" spans="11:11" ht="15.75" customHeight="1" x14ac:dyDescent="0.2">
      <c r="K1643" s="13"/>
    </row>
    <row r="1644" spans="11:11" ht="15.75" customHeight="1" x14ac:dyDescent="0.2">
      <c r="K1644" s="13"/>
    </row>
    <row r="1645" spans="11:11" ht="15.75" customHeight="1" x14ac:dyDescent="0.2">
      <c r="K1645" s="13"/>
    </row>
    <row r="1646" spans="11:11" ht="15.75" customHeight="1" x14ac:dyDescent="0.2">
      <c r="K1646" s="13"/>
    </row>
    <row r="1647" spans="11:11" ht="15.75" customHeight="1" x14ac:dyDescent="0.2">
      <c r="K1647" s="13"/>
    </row>
    <row r="1648" spans="11:11" ht="15.75" customHeight="1" x14ac:dyDescent="0.2">
      <c r="K1648" s="13"/>
    </row>
    <row r="1649" spans="11:11" ht="15.75" customHeight="1" x14ac:dyDescent="0.2">
      <c r="K1649" s="13"/>
    </row>
    <row r="1650" spans="11:11" ht="15.75" customHeight="1" x14ac:dyDescent="0.2">
      <c r="K1650" s="13"/>
    </row>
    <row r="1651" spans="11:11" ht="15.75" customHeight="1" x14ac:dyDescent="0.2">
      <c r="K1651" s="13"/>
    </row>
    <row r="1652" spans="11:11" ht="15.75" customHeight="1" x14ac:dyDescent="0.2">
      <c r="K1652" s="13"/>
    </row>
    <row r="1653" spans="11:11" ht="15.75" customHeight="1" x14ac:dyDescent="0.2">
      <c r="K1653" s="13"/>
    </row>
    <row r="1654" spans="11:11" ht="15.75" customHeight="1" x14ac:dyDescent="0.2">
      <c r="K1654" s="13"/>
    </row>
    <row r="1655" spans="11:11" ht="15.75" customHeight="1" x14ac:dyDescent="0.2">
      <c r="K1655" s="13"/>
    </row>
    <row r="1656" spans="11:11" ht="15.75" customHeight="1" x14ac:dyDescent="0.2">
      <c r="K1656" s="13"/>
    </row>
    <row r="1657" spans="11:11" ht="15.75" customHeight="1" x14ac:dyDescent="0.2">
      <c r="K1657" s="13"/>
    </row>
    <row r="1658" spans="11:11" ht="15.75" customHeight="1" x14ac:dyDescent="0.2">
      <c r="K1658" s="13"/>
    </row>
    <row r="1659" spans="11:11" ht="15.75" customHeight="1" x14ac:dyDescent="0.2">
      <c r="K1659" s="13"/>
    </row>
    <row r="1660" spans="11:11" ht="15.75" customHeight="1" x14ac:dyDescent="0.2">
      <c r="K1660" s="13"/>
    </row>
    <row r="1661" spans="11:11" ht="15.75" customHeight="1" x14ac:dyDescent="0.2">
      <c r="K1661" s="13"/>
    </row>
    <row r="1662" spans="11:11" ht="15.75" customHeight="1" x14ac:dyDescent="0.2">
      <c r="K1662" s="13"/>
    </row>
    <row r="1663" spans="11:11" ht="15.75" customHeight="1" x14ac:dyDescent="0.2">
      <c r="K1663" s="13"/>
    </row>
    <row r="1664" spans="11:11" ht="15.75" customHeight="1" x14ac:dyDescent="0.2">
      <c r="K1664" s="13"/>
    </row>
    <row r="1665" spans="11:11" ht="15.75" customHeight="1" x14ac:dyDescent="0.2">
      <c r="K1665" s="13"/>
    </row>
    <row r="1666" spans="11:11" ht="15.75" customHeight="1" x14ac:dyDescent="0.2">
      <c r="K1666" s="13"/>
    </row>
    <row r="1667" spans="11:11" ht="15.75" customHeight="1" x14ac:dyDescent="0.2">
      <c r="K1667" s="13"/>
    </row>
    <row r="1668" spans="11:11" ht="15.75" customHeight="1" x14ac:dyDescent="0.2">
      <c r="K1668" s="13"/>
    </row>
    <row r="1669" spans="11:11" ht="15.75" customHeight="1" x14ac:dyDescent="0.2">
      <c r="K1669" s="13"/>
    </row>
    <row r="1670" spans="11:11" ht="15.75" customHeight="1" x14ac:dyDescent="0.2">
      <c r="K1670" s="13"/>
    </row>
    <row r="1671" spans="11:11" ht="15.75" customHeight="1" x14ac:dyDescent="0.2">
      <c r="K1671" s="13"/>
    </row>
    <row r="1672" spans="11:11" ht="15.75" customHeight="1" x14ac:dyDescent="0.2">
      <c r="K1672" s="13"/>
    </row>
    <row r="1673" spans="11:11" ht="15.75" customHeight="1" x14ac:dyDescent="0.2">
      <c r="K1673" s="13"/>
    </row>
    <row r="1674" spans="11:11" ht="15.75" customHeight="1" x14ac:dyDescent="0.2">
      <c r="K1674" s="13"/>
    </row>
    <row r="1675" spans="11:11" ht="15.75" customHeight="1" x14ac:dyDescent="0.2">
      <c r="K1675" s="13"/>
    </row>
    <row r="1676" spans="11:11" ht="15.75" customHeight="1" x14ac:dyDescent="0.2">
      <c r="K1676" s="13"/>
    </row>
    <row r="1677" spans="11:11" ht="15.75" customHeight="1" x14ac:dyDescent="0.2">
      <c r="K1677" s="13"/>
    </row>
    <row r="1678" spans="11:11" ht="15.75" customHeight="1" x14ac:dyDescent="0.2">
      <c r="K1678" s="13"/>
    </row>
    <row r="1679" spans="11:11" ht="15.75" customHeight="1" x14ac:dyDescent="0.2">
      <c r="K1679" s="13"/>
    </row>
    <row r="1680" spans="11:11" ht="15.75" customHeight="1" x14ac:dyDescent="0.2">
      <c r="K1680" s="13"/>
    </row>
    <row r="1681" spans="11:11" ht="15.75" customHeight="1" x14ac:dyDescent="0.2">
      <c r="K1681" s="13"/>
    </row>
    <row r="1682" spans="11:11" ht="15.75" customHeight="1" x14ac:dyDescent="0.2">
      <c r="K1682" s="13"/>
    </row>
    <row r="1683" spans="11:11" ht="15.75" customHeight="1" x14ac:dyDescent="0.2">
      <c r="K1683" s="13"/>
    </row>
    <row r="1684" spans="11:11" ht="15.75" customHeight="1" x14ac:dyDescent="0.2">
      <c r="K1684" s="13"/>
    </row>
    <row r="1685" spans="11:11" ht="15.75" customHeight="1" x14ac:dyDescent="0.2">
      <c r="K1685" s="13"/>
    </row>
    <row r="1686" spans="11:11" ht="15.75" customHeight="1" x14ac:dyDescent="0.2">
      <c r="K1686" s="13"/>
    </row>
    <row r="1687" spans="11:11" ht="15.75" customHeight="1" x14ac:dyDescent="0.2">
      <c r="K1687" s="13"/>
    </row>
    <row r="1688" spans="11:11" ht="15.75" customHeight="1" x14ac:dyDescent="0.2">
      <c r="K1688" s="13"/>
    </row>
    <row r="1689" spans="11:11" ht="15.75" customHeight="1" x14ac:dyDescent="0.2">
      <c r="K1689" s="13"/>
    </row>
    <row r="1690" spans="11:11" ht="15.75" customHeight="1" x14ac:dyDescent="0.2">
      <c r="K1690" s="13"/>
    </row>
    <row r="1691" spans="11:11" ht="15.75" customHeight="1" x14ac:dyDescent="0.2">
      <c r="K1691" s="13"/>
    </row>
    <row r="1692" spans="11:11" ht="15.75" customHeight="1" x14ac:dyDescent="0.2">
      <c r="K1692" s="13"/>
    </row>
    <row r="1693" spans="11:11" ht="15.75" customHeight="1" x14ac:dyDescent="0.2">
      <c r="K1693" s="13"/>
    </row>
    <row r="1694" spans="11:11" ht="15.75" customHeight="1" x14ac:dyDescent="0.2">
      <c r="K1694" s="13"/>
    </row>
    <row r="1695" spans="11:11" ht="15.75" customHeight="1" x14ac:dyDescent="0.2">
      <c r="K1695" s="13"/>
    </row>
    <row r="1696" spans="11:11" ht="15.75" customHeight="1" x14ac:dyDescent="0.2">
      <c r="K1696" s="13"/>
    </row>
    <row r="1697" spans="11:11" ht="15.75" customHeight="1" x14ac:dyDescent="0.2">
      <c r="K1697" s="13"/>
    </row>
    <row r="1698" spans="11:11" ht="15.75" customHeight="1" x14ac:dyDescent="0.2">
      <c r="K1698" s="13"/>
    </row>
    <row r="1699" spans="11:11" ht="15.75" customHeight="1" x14ac:dyDescent="0.2">
      <c r="K1699" s="13"/>
    </row>
    <row r="1700" spans="11:11" ht="15.75" customHeight="1" x14ac:dyDescent="0.2">
      <c r="K1700" s="13"/>
    </row>
    <row r="1701" spans="11:11" ht="15.75" customHeight="1" x14ac:dyDescent="0.2">
      <c r="K1701" s="13"/>
    </row>
    <row r="1702" spans="11:11" ht="15.75" customHeight="1" x14ac:dyDescent="0.2">
      <c r="K1702" s="13"/>
    </row>
    <row r="1703" spans="11:11" ht="15.75" customHeight="1" x14ac:dyDescent="0.2">
      <c r="K1703" s="13"/>
    </row>
    <row r="1704" spans="11:11" ht="15.75" customHeight="1" x14ac:dyDescent="0.2">
      <c r="K1704" s="13"/>
    </row>
    <row r="1705" spans="11:11" ht="15.75" customHeight="1" x14ac:dyDescent="0.2">
      <c r="K1705" s="13"/>
    </row>
    <row r="1706" spans="11:11" ht="15.75" customHeight="1" x14ac:dyDescent="0.2">
      <c r="K1706" s="13"/>
    </row>
    <row r="1707" spans="11:11" ht="15.75" customHeight="1" x14ac:dyDescent="0.2">
      <c r="K1707" s="13"/>
    </row>
    <row r="1708" spans="11:11" ht="15.75" customHeight="1" x14ac:dyDescent="0.2">
      <c r="K1708" s="13"/>
    </row>
    <row r="1709" spans="11:11" ht="15.75" customHeight="1" x14ac:dyDescent="0.2">
      <c r="K1709" s="13"/>
    </row>
    <row r="1710" spans="11:11" ht="15.75" customHeight="1" x14ac:dyDescent="0.2">
      <c r="K1710" s="13"/>
    </row>
    <row r="1711" spans="11:11" ht="15.75" customHeight="1" x14ac:dyDescent="0.2">
      <c r="K1711" s="13"/>
    </row>
    <row r="1712" spans="11:11" ht="15.75" customHeight="1" x14ac:dyDescent="0.2">
      <c r="K1712" s="13"/>
    </row>
    <row r="1713" spans="11:11" ht="15.75" customHeight="1" x14ac:dyDescent="0.2">
      <c r="K1713" s="13"/>
    </row>
    <row r="1714" spans="11:11" ht="15.75" customHeight="1" x14ac:dyDescent="0.2">
      <c r="K1714" s="13"/>
    </row>
    <row r="1715" spans="11:11" ht="15.75" customHeight="1" x14ac:dyDescent="0.2">
      <c r="K1715" s="13"/>
    </row>
    <row r="1716" spans="11:11" ht="15.75" customHeight="1" x14ac:dyDescent="0.2">
      <c r="K1716" s="13"/>
    </row>
    <row r="1717" spans="11:11" ht="15.75" customHeight="1" x14ac:dyDescent="0.2">
      <c r="K1717" s="13"/>
    </row>
    <row r="1718" spans="11:11" ht="15.75" customHeight="1" x14ac:dyDescent="0.2">
      <c r="K1718" s="13"/>
    </row>
    <row r="1719" spans="11:11" ht="15.75" customHeight="1" x14ac:dyDescent="0.2">
      <c r="K1719" s="13"/>
    </row>
    <row r="1720" spans="11:11" ht="15.75" customHeight="1" x14ac:dyDescent="0.2">
      <c r="K1720" s="13"/>
    </row>
    <row r="1721" spans="11:11" ht="15.75" customHeight="1" x14ac:dyDescent="0.2">
      <c r="K1721" s="13"/>
    </row>
    <row r="1722" spans="11:11" ht="15.75" customHeight="1" x14ac:dyDescent="0.2">
      <c r="K1722" s="13"/>
    </row>
    <row r="1723" spans="11:11" ht="15.75" customHeight="1" x14ac:dyDescent="0.2">
      <c r="K1723" s="13"/>
    </row>
    <row r="1724" spans="11:11" ht="15.75" customHeight="1" x14ac:dyDescent="0.2">
      <c r="K1724" s="13"/>
    </row>
    <row r="1725" spans="11:11" ht="15.75" customHeight="1" x14ac:dyDescent="0.2">
      <c r="K1725" s="13"/>
    </row>
    <row r="1726" spans="11:11" ht="15.75" customHeight="1" x14ac:dyDescent="0.2">
      <c r="K1726" s="13"/>
    </row>
    <row r="1727" spans="11:11" ht="15.75" customHeight="1" x14ac:dyDescent="0.2">
      <c r="K1727" s="13"/>
    </row>
    <row r="1728" spans="11:11" ht="15.75" customHeight="1" x14ac:dyDescent="0.2">
      <c r="K1728" s="13"/>
    </row>
    <row r="1729" spans="11:11" ht="15.75" customHeight="1" x14ac:dyDescent="0.2">
      <c r="K1729" s="13"/>
    </row>
    <row r="1730" spans="11:11" ht="15.75" customHeight="1" x14ac:dyDescent="0.2">
      <c r="K1730" s="13"/>
    </row>
    <row r="1731" spans="11:11" ht="15.75" customHeight="1" x14ac:dyDescent="0.2">
      <c r="K1731" s="13"/>
    </row>
    <row r="1732" spans="11:11" ht="15.75" customHeight="1" x14ac:dyDescent="0.2">
      <c r="K1732" s="13"/>
    </row>
    <row r="1733" spans="11:11" ht="15.75" customHeight="1" x14ac:dyDescent="0.2">
      <c r="K1733" s="13"/>
    </row>
    <row r="1734" spans="11:11" ht="15.75" customHeight="1" x14ac:dyDescent="0.2">
      <c r="K1734" s="13"/>
    </row>
    <row r="1735" spans="11:11" ht="15.75" customHeight="1" x14ac:dyDescent="0.2">
      <c r="K1735" s="13"/>
    </row>
    <row r="1736" spans="11:11" ht="15.75" customHeight="1" x14ac:dyDescent="0.2">
      <c r="K1736" s="13"/>
    </row>
    <row r="1737" spans="11:11" ht="15.75" customHeight="1" x14ac:dyDescent="0.2">
      <c r="K1737" s="13"/>
    </row>
    <row r="1738" spans="11:11" ht="15.75" customHeight="1" x14ac:dyDescent="0.2">
      <c r="K1738" s="13"/>
    </row>
    <row r="1739" spans="11:11" ht="15.75" customHeight="1" x14ac:dyDescent="0.2">
      <c r="K1739" s="13"/>
    </row>
    <row r="1740" spans="11:11" ht="15.75" customHeight="1" x14ac:dyDescent="0.2">
      <c r="K1740" s="13"/>
    </row>
    <row r="1741" spans="11:11" ht="15.75" customHeight="1" x14ac:dyDescent="0.2">
      <c r="K1741" s="13"/>
    </row>
    <row r="1742" spans="11:11" ht="15.75" customHeight="1" x14ac:dyDescent="0.2">
      <c r="K1742" s="13"/>
    </row>
    <row r="1743" spans="11:11" ht="15.75" customHeight="1" x14ac:dyDescent="0.2">
      <c r="K1743" s="13"/>
    </row>
    <row r="1744" spans="11:11" ht="15.75" customHeight="1" x14ac:dyDescent="0.2">
      <c r="K1744" s="13"/>
    </row>
    <row r="1745" spans="11:11" ht="15.75" customHeight="1" x14ac:dyDescent="0.2">
      <c r="K1745" s="13"/>
    </row>
    <row r="1746" spans="11:11" ht="15.75" customHeight="1" x14ac:dyDescent="0.2">
      <c r="K1746" s="13"/>
    </row>
    <row r="1747" spans="11:11" ht="15.75" customHeight="1" x14ac:dyDescent="0.2">
      <c r="K1747" s="13"/>
    </row>
    <row r="1748" spans="11:11" ht="15.75" customHeight="1" x14ac:dyDescent="0.2">
      <c r="K1748" s="13"/>
    </row>
    <row r="1749" spans="11:11" ht="15.75" customHeight="1" x14ac:dyDescent="0.2">
      <c r="K1749" s="13"/>
    </row>
    <row r="1750" spans="11:11" ht="15.75" customHeight="1" x14ac:dyDescent="0.2">
      <c r="K1750" s="13"/>
    </row>
    <row r="1751" spans="11:11" ht="15.75" customHeight="1" x14ac:dyDescent="0.2">
      <c r="K1751" s="13"/>
    </row>
    <row r="1752" spans="11:11" ht="15.75" customHeight="1" x14ac:dyDescent="0.2">
      <c r="K1752" s="13"/>
    </row>
    <row r="1753" spans="11:11" ht="15.75" customHeight="1" x14ac:dyDescent="0.2">
      <c r="K1753" s="13"/>
    </row>
    <row r="1754" spans="11:11" ht="15.75" customHeight="1" x14ac:dyDescent="0.2">
      <c r="K1754" s="13"/>
    </row>
    <row r="1755" spans="11:11" ht="15.75" customHeight="1" x14ac:dyDescent="0.2">
      <c r="K1755" s="13"/>
    </row>
    <row r="1756" spans="11:11" ht="15.75" customHeight="1" x14ac:dyDescent="0.2">
      <c r="K1756" s="13"/>
    </row>
    <row r="1757" spans="11:11" ht="15.75" customHeight="1" x14ac:dyDescent="0.2">
      <c r="K1757" s="13"/>
    </row>
    <row r="1758" spans="11:11" ht="15.75" customHeight="1" x14ac:dyDescent="0.2">
      <c r="K1758" s="13"/>
    </row>
    <row r="1759" spans="11:11" ht="15.75" customHeight="1" x14ac:dyDescent="0.2">
      <c r="K1759" s="13"/>
    </row>
    <row r="1760" spans="11:11" ht="15.75" customHeight="1" x14ac:dyDescent="0.2">
      <c r="K1760" s="13"/>
    </row>
    <row r="1761" spans="11:11" ht="15.75" customHeight="1" x14ac:dyDescent="0.2">
      <c r="K1761" s="13"/>
    </row>
    <row r="1762" spans="11:11" ht="15.75" customHeight="1" x14ac:dyDescent="0.2">
      <c r="K1762" s="13"/>
    </row>
    <row r="1763" spans="11:11" ht="15.75" customHeight="1" x14ac:dyDescent="0.2">
      <c r="K1763" s="13"/>
    </row>
    <row r="1764" spans="11:11" ht="15.75" customHeight="1" x14ac:dyDescent="0.2">
      <c r="K1764" s="13"/>
    </row>
    <row r="1765" spans="11:11" ht="15.75" customHeight="1" x14ac:dyDescent="0.2">
      <c r="K1765" s="13"/>
    </row>
    <row r="1766" spans="11:11" ht="15.75" customHeight="1" x14ac:dyDescent="0.2">
      <c r="K1766" s="13"/>
    </row>
    <row r="1767" spans="11:11" ht="15.75" customHeight="1" x14ac:dyDescent="0.2">
      <c r="K1767" s="13"/>
    </row>
    <row r="1768" spans="11:11" ht="15.75" customHeight="1" x14ac:dyDescent="0.2">
      <c r="K1768" s="13"/>
    </row>
    <row r="1769" spans="11:11" ht="15.75" customHeight="1" x14ac:dyDescent="0.2">
      <c r="K1769" s="13"/>
    </row>
    <row r="1770" spans="11:11" ht="15.75" customHeight="1" x14ac:dyDescent="0.2">
      <c r="K1770" s="13"/>
    </row>
    <row r="1771" spans="11:11" ht="15.75" customHeight="1" x14ac:dyDescent="0.2">
      <c r="K1771" s="13"/>
    </row>
    <row r="1772" spans="11:11" ht="15.75" customHeight="1" x14ac:dyDescent="0.2">
      <c r="K1772" s="13"/>
    </row>
    <row r="1773" spans="11:11" ht="15.75" customHeight="1" x14ac:dyDescent="0.2">
      <c r="K1773" s="13"/>
    </row>
    <row r="1774" spans="11:11" ht="15.75" customHeight="1" x14ac:dyDescent="0.2">
      <c r="K1774" s="13"/>
    </row>
    <row r="1775" spans="11:11" ht="15.75" customHeight="1" x14ac:dyDescent="0.2">
      <c r="K1775" s="13"/>
    </row>
    <row r="1776" spans="11:11" ht="15.75" customHeight="1" x14ac:dyDescent="0.2">
      <c r="K1776" s="13"/>
    </row>
    <row r="1777" spans="11:11" ht="15.75" customHeight="1" x14ac:dyDescent="0.2">
      <c r="K1777" s="13"/>
    </row>
    <row r="1778" spans="11:11" ht="15.75" customHeight="1" x14ac:dyDescent="0.2">
      <c r="K1778" s="13"/>
    </row>
    <row r="1779" spans="11:11" ht="15.75" customHeight="1" x14ac:dyDescent="0.2">
      <c r="K1779" s="13"/>
    </row>
    <row r="1780" spans="11:11" ht="15.75" customHeight="1" x14ac:dyDescent="0.2">
      <c r="K1780" s="13"/>
    </row>
    <row r="1781" spans="11:11" ht="15.75" customHeight="1" x14ac:dyDescent="0.2">
      <c r="K1781" s="13"/>
    </row>
    <row r="1782" spans="11:11" ht="15.75" customHeight="1" x14ac:dyDescent="0.2">
      <c r="K1782" s="13"/>
    </row>
    <row r="1783" spans="11:11" ht="15.75" customHeight="1" x14ac:dyDescent="0.2">
      <c r="K1783" s="13"/>
    </row>
    <row r="1784" spans="11:11" ht="15.75" customHeight="1" x14ac:dyDescent="0.2">
      <c r="K1784" s="13"/>
    </row>
    <row r="1785" spans="11:11" ht="15.75" customHeight="1" x14ac:dyDescent="0.2">
      <c r="K1785" s="13"/>
    </row>
    <row r="1786" spans="11:11" ht="15.75" customHeight="1" x14ac:dyDescent="0.2">
      <c r="K1786" s="13"/>
    </row>
    <row r="1787" spans="11:11" ht="15.75" customHeight="1" x14ac:dyDescent="0.2">
      <c r="K1787" s="13"/>
    </row>
    <row r="1788" spans="11:11" ht="15.75" customHeight="1" x14ac:dyDescent="0.2">
      <c r="K1788" s="13"/>
    </row>
    <row r="1789" spans="11:11" ht="15.75" customHeight="1" x14ac:dyDescent="0.2">
      <c r="K1789" s="13"/>
    </row>
    <row r="1790" spans="11:11" ht="15.75" customHeight="1" x14ac:dyDescent="0.2">
      <c r="K1790" s="13"/>
    </row>
    <row r="1791" spans="11:11" ht="15.75" customHeight="1" x14ac:dyDescent="0.2">
      <c r="K1791" s="13"/>
    </row>
    <row r="1792" spans="11:11" ht="15.75" customHeight="1" x14ac:dyDescent="0.2">
      <c r="K1792" s="13"/>
    </row>
    <row r="1793" spans="11:11" ht="15.75" customHeight="1" x14ac:dyDescent="0.2">
      <c r="K1793" s="13"/>
    </row>
    <row r="1794" spans="11:11" ht="15.75" customHeight="1" x14ac:dyDescent="0.2">
      <c r="K1794" s="13"/>
    </row>
    <row r="1795" spans="11:11" ht="15.75" customHeight="1" x14ac:dyDescent="0.2">
      <c r="K1795" s="13"/>
    </row>
    <row r="1796" spans="11:11" ht="15.75" customHeight="1" x14ac:dyDescent="0.2">
      <c r="K1796" s="13"/>
    </row>
    <row r="1797" spans="11:11" ht="15.75" customHeight="1" x14ac:dyDescent="0.2">
      <c r="K1797" s="13"/>
    </row>
    <row r="1798" spans="11:11" ht="15.75" customHeight="1" x14ac:dyDescent="0.2">
      <c r="K1798" s="13"/>
    </row>
    <row r="1799" spans="11:11" ht="15.75" customHeight="1" x14ac:dyDescent="0.2">
      <c r="K1799" s="13"/>
    </row>
    <row r="1800" spans="11:11" ht="15.75" customHeight="1" x14ac:dyDescent="0.2">
      <c r="K1800" s="13"/>
    </row>
    <row r="1801" spans="11:11" ht="15.75" customHeight="1" x14ac:dyDescent="0.2">
      <c r="K1801" s="13"/>
    </row>
    <row r="1802" spans="11:11" ht="15.75" customHeight="1" x14ac:dyDescent="0.2">
      <c r="K1802" s="13"/>
    </row>
    <row r="1803" spans="11:11" ht="15.75" customHeight="1" x14ac:dyDescent="0.2">
      <c r="K1803" s="13"/>
    </row>
    <row r="1804" spans="11:11" ht="15.75" customHeight="1" x14ac:dyDescent="0.2">
      <c r="K1804" s="13"/>
    </row>
    <row r="1805" spans="11:11" ht="15.75" customHeight="1" x14ac:dyDescent="0.2">
      <c r="K1805" s="13"/>
    </row>
    <row r="1806" spans="11:11" ht="15.75" customHeight="1" x14ac:dyDescent="0.2">
      <c r="K1806" s="13"/>
    </row>
    <row r="1807" spans="11:11" ht="15.75" customHeight="1" x14ac:dyDescent="0.2">
      <c r="K1807" s="13"/>
    </row>
    <row r="1808" spans="11:11" ht="15.75" customHeight="1" x14ac:dyDescent="0.2">
      <c r="K1808" s="13"/>
    </row>
    <row r="1809" spans="11:11" ht="15.75" customHeight="1" x14ac:dyDescent="0.2">
      <c r="K1809" s="13"/>
    </row>
    <row r="1810" spans="11:11" ht="15.75" customHeight="1" x14ac:dyDescent="0.2">
      <c r="K1810" s="13"/>
    </row>
    <row r="1811" spans="11:11" ht="15.75" customHeight="1" x14ac:dyDescent="0.2">
      <c r="K1811" s="13"/>
    </row>
    <row r="1812" spans="11:11" ht="15.75" customHeight="1" x14ac:dyDescent="0.2">
      <c r="K1812" s="13"/>
    </row>
    <row r="1813" spans="11:11" ht="15.75" customHeight="1" x14ac:dyDescent="0.2">
      <c r="K1813" s="13"/>
    </row>
    <row r="1814" spans="11:11" ht="15.75" customHeight="1" x14ac:dyDescent="0.2">
      <c r="K1814" s="13"/>
    </row>
    <row r="1815" spans="11:11" ht="15.75" customHeight="1" x14ac:dyDescent="0.2">
      <c r="K1815" s="13"/>
    </row>
    <row r="1816" spans="11:11" ht="15.75" customHeight="1" x14ac:dyDescent="0.2">
      <c r="K1816" s="13"/>
    </row>
    <row r="1817" spans="11:11" ht="15.75" customHeight="1" x14ac:dyDescent="0.2">
      <c r="K1817" s="13"/>
    </row>
    <row r="1818" spans="11:11" ht="15.75" customHeight="1" x14ac:dyDescent="0.2">
      <c r="K1818" s="13"/>
    </row>
    <row r="1819" spans="11:11" ht="15.75" customHeight="1" x14ac:dyDescent="0.2">
      <c r="K1819" s="13"/>
    </row>
    <row r="1820" spans="11:11" ht="15.75" customHeight="1" x14ac:dyDescent="0.2">
      <c r="K1820" s="13"/>
    </row>
    <row r="1821" spans="11:11" ht="15.75" customHeight="1" x14ac:dyDescent="0.2">
      <c r="K1821" s="13"/>
    </row>
    <row r="1822" spans="11:11" ht="15.75" customHeight="1" x14ac:dyDescent="0.2">
      <c r="K1822" s="13"/>
    </row>
    <row r="1823" spans="11:11" ht="15.75" customHeight="1" x14ac:dyDescent="0.2">
      <c r="K1823" s="13"/>
    </row>
    <row r="1824" spans="11:11" ht="15.75" customHeight="1" x14ac:dyDescent="0.2">
      <c r="K1824" s="13"/>
    </row>
    <row r="1825" spans="11:11" ht="15.75" customHeight="1" x14ac:dyDescent="0.2">
      <c r="K1825" s="13"/>
    </row>
    <row r="1826" spans="11:11" ht="15.75" customHeight="1" x14ac:dyDescent="0.2">
      <c r="K1826" s="13"/>
    </row>
    <row r="1827" spans="11:11" ht="15.75" customHeight="1" x14ac:dyDescent="0.2">
      <c r="K1827" s="13"/>
    </row>
    <row r="1828" spans="11:11" ht="15.75" customHeight="1" x14ac:dyDescent="0.2">
      <c r="K1828" s="13"/>
    </row>
    <row r="1829" spans="11:11" ht="15.75" customHeight="1" x14ac:dyDescent="0.2">
      <c r="K1829" s="13"/>
    </row>
    <row r="1830" spans="11:11" ht="15.75" customHeight="1" x14ac:dyDescent="0.2">
      <c r="K1830" s="13"/>
    </row>
    <row r="1831" spans="11:11" ht="15.75" customHeight="1" x14ac:dyDescent="0.2">
      <c r="K1831" s="13"/>
    </row>
    <row r="1832" spans="11:11" ht="15.75" customHeight="1" x14ac:dyDescent="0.2">
      <c r="K1832" s="13"/>
    </row>
    <row r="1833" spans="11:11" ht="15.75" customHeight="1" x14ac:dyDescent="0.2">
      <c r="K1833" s="13"/>
    </row>
    <row r="1834" spans="11:11" ht="15.75" customHeight="1" x14ac:dyDescent="0.2">
      <c r="K1834" s="13"/>
    </row>
    <row r="1835" spans="11:11" ht="15.75" customHeight="1" x14ac:dyDescent="0.2">
      <c r="K1835" s="13"/>
    </row>
    <row r="1836" spans="11:11" ht="15.75" customHeight="1" x14ac:dyDescent="0.2">
      <c r="K1836" s="13"/>
    </row>
    <row r="1837" spans="11:11" ht="15.75" customHeight="1" x14ac:dyDescent="0.2">
      <c r="K1837" s="13"/>
    </row>
    <row r="1838" spans="11:11" ht="15.75" customHeight="1" x14ac:dyDescent="0.2">
      <c r="K1838" s="13"/>
    </row>
    <row r="1839" spans="11:11" ht="15.75" customHeight="1" x14ac:dyDescent="0.2">
      <c r="K1839" s="13"/>
    </row>
    <row r="1840" spans="11:11" ht="15.75" customHeight="1" x14ac:dyDescent="0.2">
      <c r="K1840" s="13"/>
    </row>
    <row r="1841" spans="11:11" ht="15.75" customHeight="1" x14ac:dyDescent="0.2">
      <c r="K1841" s="13"/>
    </row>
    <row r="1842" spans="11:11" ht="15.75" customHeight="1" x14ac:dyDescent="0.2">
      <c r="K1842" s="13"/>
    </row>
    <row r="1843" spans="11:11" ht="15.75" customHeight="1" x14ac:dyDescent="0.2">
      <c r="K1843" s="13"/>
    </row>
    <row r="1844" spans="11:11" ht="15.75" customHeight="1" x14ac:dyDescent="0.2">
      <c r="K1844" s="13"/>
    </row>
    <row r="1845" spans="11:11" ht="15.75" customHeight="1" x14ac:dyDescent="0.2">
      <c r="K1845" s="13"/>
    </row>
    <row r="1846" spans="11:11" ht="15.75" customHeight="1" x14ac:dyDescent="0.2">
      <c r="K1846" s="13"/>
    </row>
    <row r="1847" spans="11:11" ht="15.75" customHeight="1" x14ac:dyDescent="0.2">
      <c r="K1847" s="13"/>
    </row>
    <row r="1848" spans="11:11" ht="15.75" customHeight="1" x14ac:dyDescent="0.2">
      <c r="K1848" s="13"/>
    </row>
    <row r="1849" spans="11:11" ht="15.75" customHeight="1" x14ac:dyDescent="0.2">
      <c r="K1849" s="13"/>
    </row>
    <row r="1850" spans="11:11" ht="15.75" customHeight="1" x14ac:dyDescent="0.2">
      <c r="K1850" s="13"/>
    </row>
    <row r="1851" spans="11:11" ht="15.75" customHeight="1" x14ac:dyDescent="0.2">
      <c r="K1851" s="13"/>
    </row>
    <row r="1852" spans="11:11" ht="15.75" customHeight="1" x14ac:dyDescent="0.2">
      <c r="K1852" s="13"/>
    </row>
    <row r="1853" spans="11:11" ht="15.75" customHeight="1" x14ac:dyDescent="0.2">
      <c r="K1853" s="13"/>
    </row>
    <row r="1854" spans="11:11" ht="15.75" customHeight="1" x14ac:dyDescent="0.2">
      <c r="K1854" s="13"/>
    </row>
    <row r="1855" spans="11:11" ht="15.75" customHeight="1" x14ac:dyDescent="0.2">
      <c r="K1855" s="13"/>
    </row>
    <row r="1856" spans="11:11" ht="15.75" customHeight="1" x14ac:dyDescent="0.2">
      <c r="K1856" s="13"/>
    </row>
    <row r="1857" spans="11:11" ht="15.75" customHeight="1" x14ac:dyDescent="0.2">
      <c r="K1857" s="13"/>
    </row>
    <row r="1858" spans="11:11" ht="15.75" customHeight="1" x14ac:dyDescent="0.2">
      <c r="K1858" s="13"/>
    </row>
    <row r="1859" spans="11:11" ht="15.75" customHeight="1" x14ac:dyDescent="0.2">
      <c r="K1859" s="13"/>
    </row>
    <row r="1860" spans="11:11" ht="15.75" customHeight="1" x14ac:dyDescent="0.2">
      <c r="K1860" s="13"/>
    </row>
    <row r="1861" spans="11:11" ht="15.75" customHeight="1" x14ac:dyDescent="0.2">
      <c r="K1861" s="13"/>
    </row>
    <row r="1862" spans="11:11" ht="15.75" customHeight="1" x14ac:dyDescent="0.2">
      <c r="K1862" s="13"/>
    </row>
    <row r="1863" spans="11:11" ht="15.75" customHeight="1" x14ac:dyDescent="0.2">
      <c r="K1863" s="13"/>
    </row>
    <row r="1864" spans="11:11" ht="15.75" customHeight="1" x14ac:dyDescent="0.2">
      <c r="K1864" s="13"/>
    </row>
    <row r="1865" spans="11:11" ht="15.75" customHeight="1" x14ac:dyDescent="0.2">
      <c r="K1865" s="13"/>
    </row>
    <row r="1866" spans="11:11" ht="15.75" customHeight="1" x14ac:dyDescent="0.2">
      <c r="K1866" s="13"/>
    </row>
    <row r="1867" spans="11:11" ht="15.75" customHeight="1" x14ac:dyDescent="0.2">
      <c r="K1867" s="13"/>
    </row>
    <row r="1868" spans="11:11" ht="15.75" customHeight="1" x14ac:dyDescent="0.2">
      <c r="K1868" s="13"/>
    </row>
    <row r="1869" spans="11:11" ht="15.75" customHeight="1" x14ac:dyDescent="0.2">
      <c r="K1869" s="13"/>
    </row>
    <row r="1870" spans="11:11" ht="15.75" customHeight="1" x14ac:dyDescent="0.2">
      <c r="K1870" s="13"/>
    </row>
    <row r="1871" spans="11:11" ht="15.75" customHeight="1" x14ac:dyDescent="0.2">
      <c r="K1871" s="13"/>
    </row>
    <row r="1872" spans="11:11" ht="15.75" customHeight="1" x14ac:dyDescent="0.2">
      <c r="K1872" s="13"/>
    </row>
    <row r="1873" spans="11:11" ht="15.75" customHeight="1" x14ac:dyDescent="0.2">
      <c r="K1873" s="13"/>
    </row>
    <row r="1874" spans="11:11" ht="15.75" customHeight="1" x14ac:dyDescent="0.2">
      <c r="K1874" s="13"/>
    </row>
    <row r="1875" spans="11:11" ht="15.75" customHeight="1" x14ac:dyDescent="0.2">
      <c r="K1875" s="13"/>
    </row>
    <row r="1876" spans="11:11" ht="15.75" customHeight="1" x14ac:dyDescent="0.2">
      <c r="K1876" s="13"/>
    </row>
    <row r="1877" spans="11:11" ht="15.75" customHeight="1" x14ac:dyDescent="0.2">
      <c r="K1877" s="13"/>
    </row>
    <row r="1878" spans="11:11" ht="15.75" customHeight="1" x14ac:dyDescent="0.2">
      <c r="K1878" s="13"/>
    </row>
    <row r="1879" spans="11:11" ht="15.75" customHeight="1" x14ac:dyDescent="0.2">
      <c r="K1879" s="13"/>
    </row>
    <row r="1880" spans="11:11" ht="15.75" customHeight="1" x14ac:dyDescent="0.2">
      <c r="K1880" s="13"/>
    </row>
    <row r="1881" spans="11:11" ht="15.75" customHeight="1" x14ac:dyDescent="0.2">
      <c r="K1881" s="13"/>
    </row>
    <row r="1882" spans="11:11" ht="15.75" customHeight="1" x14ac:dyDescent="0.2">
      <c r="K1882" s="13"/>
    </row>
    <row r="1883" spans="11:11" ht="15.75" customHeight="1" x14ac:dyDescent="0.2">
      <c r="K1883" s="13"/>
    </row>
    <row r="1884" spans="11:11" ht="15.75" customHeight="1" x14ac:dyDescent="0.2">
      <c r="K1884" s="13"/>
    </row>
    <row r="1885" spans="11:11" ht="15.75" customHeight="1" x14ac:dyDescent="0.2">
      <c r="K1885" s="13"/>
    </row>
    <row r="1886" spans="11:11" ht="15.75" customHeight="1" x14ac:dyDescent="0.2">
      <c r="K1886" s="13"/>
    </row>
    <row r="1887" spans="11:11" ht="15.75" customHeight="1" x14ac:dyDescent="0.2">
      <c r="K1887" s="13"/>
    </row>
    <row r="1888" spans="11:11" ht="15.75" customHeight="1" x14ac:dyDescent="0.2">
      <c r="K1888" s="13"/>
    </row>
    <row r="1889" spans="11:11" ht="15.75" customHeight="1" x14ac:dyDescent="0.2">
      <c r="K1889" s="13"/>
    </row>
    <row r="1890" spans="11:11" ht="15.75" customHeight="1" x14ac:dyDescent="0.2">
      <c r="K1890" s="13"/>
    </row>
    <row r="1891" spans="11:11" ht="15.75" customHeight="1" x14ac:dyDescent="0.2">
      <c r="K1891" s="13"/>
    </row>
    <row r="1892" spans="11:11" ht="15.75" customHeight="1" x14ac:dyDescent="0.2">
      <c r="K1892" s="13"/>
    </row>
    <row r="1893" spans="11:11" ht="15.75" customHeight="1" x14ac:dyDescent="0.2">
      <c r="K1893" s="13"/>
    </row>
    <row r="1894" spans="11:11" ht="15.75" customHeight="1" x14ac:dyDescent="0.2">
      <c r="K1894" s="13"/>
    </row>
    <row r="1895" spans="11:11" ht="15.75" customHeight="1" x14ac:dyDescent="0.2">
      <c r="K1895" s="13"/>
    </row>
    <row r="1896" spans="11:11" ht="15.75" customHeight="1" x14ac:dyDescent="0.2">
      <c r="K1896" s="13"/>
    </row>
    <row r="1897" spans="11:11" ht="15.75" customHeight="1" x14ac:dyDescent="0.2">
      <c r="K1897" s="13"/>
    </row>
    <row r="1898" spans="11:11" ht="15.75" customHeight="1" x14ac:dyDescent="0.2">
      <c r="K1898" s="13"/>
    </row>
    <row r="1899" spans="11:11" ht="15.75" customHeight="1" x14ac:dyDescent="0.2">
      <c r="K1899" s="13"/>
    </row>
    <row r="1900" spans="11:11" ht="15.75" customHeight="1" x14ac:dyDescent="0.2">
      <c r="K1900" s="13"/>
    </row>
    <row r="1901" spans="11:11" ht="15.75" customHeight="1" x14ac:dyDescent="0.2">
      <c r="K1901" s="13"/>
    </row>
    <row r="1902" spans="11:11" ht="15.75" customHeight="1" x14ac:dyDescent="0.2">
      <c r="K1902" s="13"/>
    </row>
    <row r="1903" spans="11:11" ht="15.75" customHeight="1" x14ac:dyDescent="0.2">
      <c r="K1903" s="13"/>
    </row>
    <row r="1904" spans="11:11" ht="15.75" customHeight="1" x14ac:dyDescent="0.2">
      <c r="K1904" s="13"/>
    </row>
    <row r="1905" spans="11:11" ht="15.75" customHeight="1" x14ac:dyDescent="0.2">
      <c r="K1905" s="13"/>
    </row>
    <row r="1906" spans="11:11" ht="15.75" customHeight="1" x14ac:dyDescent="0.2">
      <c r="K1906" s="13"/>
    </row>
    <row r="1907" spans="11:11" ht="15.75" customHeight="1" x14ac:dyDescent="0.2">
      <c r="K1907" s="13"/>
    </row>
    <row r="1908" spans="11:11" ht="15.75" customHeight="1" x14ac:dyDescent="0.2">
      <c r="K1908" s="13"/>
    </row>
    <row r="1909" spans="11:11" ht="15.75" customHeight="1" x14ac:dyDescent="0.2">
      <c r="K1909" s="13"/>
    </row>
    <row r="1910" spans="11:11" ht="15.75" customHeight="1" x14ac:dyDescent="0.2">
      <c r="K1910" s="13"/>
    </row>
    <row r="1911" spans="11:11" ht="15.75" customHeight="1" x14ac:dyDescent="0.2">
      <c r="K1911" s="13"/>
    </row>
    <row r="1912" spans="11:11" ht="15.75" customHeight="1" x14ac:dyDescent="0.2">
      <c r="K1912" s="13"/>
    </row>
    <row r="1913" spans="11:11" ht="15.75" customHeight="1" x14ac:dyDescent="0.2">
      <c r="K1913" s="13"/>
    </row>
    <row r="1914" spans="11:11" ht="15.75" customHeight="1" x14ac:dyDescent="0.2">
      <c r="K1914" s="13"/>
    </row>
    <row r="1915" spans="11:11" ht="15.75" customHeight="1" x14ac:dyDescent="0.2">
      <c r="K1915" s="13"/>
    </row>
    <row r="1916" spans="11:11" ht="15.75" customHeight="1" x14ac:dyDescent="0.2">
      <c r="K1916" s="13"/>
    </row>
    <row r="1917" spans="11:11" ht="15.75" customHeight="1" x14ac:dyDescent="0.2">
      <c r="K1917" s="13"/>
    </row>
    <row r="1918" spans="11:11" ht="15.75" customHeight="1" x14ac:dyDescent="0.2">
      <c r="K1918" s="13"/>
    </row>
    <row r="1919" spans="11:11" ht="15.75" customHeight="1" x14ac:dyDescent="0.2">
      <c r="K1919" s="13"/>
    </row>
    <row r="1920" spans="11:11" ht="15.75" customHeight="1" x14ac:dyDescent="0.2">
      <c r="K1920" s="13"/>
    </row>
    <row r="1921" spans="11:11" ht="15.75" customHeight="1" x14ac:dyDescent="0.2">
      <c r="K1921" s="13"/>
    </row>
    <row r="1922" spans="11:11" ht="15.75" customHeight="1" x14ac:dyDescent="0.2">
      <c r="K1922" s="13"/>
    </row>
    <row r="1923" spans="11:11" ht="15.75" customHeight="1" x14ac:dyDescent="0.2">
      <c r="K1923" s="13"/>
    </row>
    <row r="1924" spans="11:11" ht="15.75" customHeight="1" x14ac:dyDescent="0.2">
      <c r="K1924" s="13"/>
    </row>
    <row r="1925" spans="11:11" ht="15.75" customHeight="1" x14ac:dyDescent="0.2">
      <c r="K1925" s="13"/>
    </row>
    <row r="1926" spans="11:11" ht="15.75" customHeight="1" x14ac:dyDescent="0.2">
      <c r="K1926" s="13"/>
    </row>
    <row r="1927" spans="11:11" ht="15.75" customHeight="1" x14ac:dyDescent="0.2">
      <c r="K1927" s="13"/>
    </row>
    <row r="1928" spans="11:11" ht="15.75" customHeight="1" x14ac:dyDescent="0.2">
      <c r="K1928" s="13"/>
    </row>
    <row r="1929" spans="11:11" ht="15.75" customHeight="1" x14ac:dyDescent="0.2">
      <c r="K1929" s="13"/>
    </row>
    <row r="1930" spans="11:11" ht="15.75" customHeight="1" x14ac:dyDescent="0.2">
      <c r="K1930" s="13"/>
    </row>
    <row r="1931" spans="11:11" ht="15.75" customHeight="1" x14ac:dyDescent="0.2">
      <c r="K1931" s="13"/>
    </row>
    <row r="1932" spans="11:11" ht="15.75" customHeight="1" x14ac:dyDescent="0.2">
      <c r="K1932" s="13"/>
    </row>
    <row r="1933" spans="11:11" ht="15.75" customHeight="1" x14ac:dyDescent="0.2">
      <c r="K1933" s="13"/>
    </row>
    <row r="1934" spans="11:11" ht="15.75" customHeight="1" x14ac:dyDescent="0.2">
      <c r="K1934" s="13"/>
    </row>
    <row r="1935" spans="11:11" ht="15.75" customHeight="1" x14ac:dyDescent="0.2">
      <c r="K1935" s="13"/>
    </row>
    <row r="1936" spans="11:11" ht="15.75" customHeight="1" x14ac:dyDescent="0.2">
      <c r="K1936" s="13"/>
    </row>
    <row r="1937" spans="11:11" ht="15.75" customHeight="1" x14ac:dyDescent="0.2">
      <c r="K1937" s="13"/>
    </row>
    <row r="1938" spans="11:11" ht="15.75" customHeight="1" x14ac:dyDescent="0.2">
      <c r="K1938" s="13"/>
    </row>
    <row r="1939" spans="11:11" ht="15.75" customHeight="1" x14ac:dyDescent="0.2">
      <c r="K1939" s="13"/>
    </row>
    <row r="1940" spans="11:11" ht="15.75" customHeight="1" x14ac:dyDescent="0.2">
      <c r="K1940" s="13"/>
    </row>
    <row r="1941" spans="11:11" ht="15.75" customHeight="1" x14ac:dyDescent="0.2">
      <c r="K1941" s="13"/>
    </row>
    <row r="1942" spans="11:11" ht="15.75" customHeight="1" x14ac:dyDescent="0.2">
      <c r="K1942" s="13"/>
    </row>
    <row r="1943" spans="11:11" ht="15.75" customHeight="1" x14ac:dyDescent="0.2">
      <c r="K1943" s="13"/>
    </row>
    <row r="1944" spans="11:11" ht="15.75" customHeight="1" x14ac:dyDescent="0.2">
      <c r="K1944" s="13"/>
    </row>
    <row r="1945" spans="11:11" ht="15.75" customHeight="1" x14ac:dyDescent="0.2">
      <c r="K1945" s="13"/>
    </row>
    <row r="1946" spans="11:11" ht="15.75" customHeight="1" x14ac:dyDescent="0.2">
      <c r="K1946" s="13"/>
    </row>
    <row r="1947" spans="11:11" ht="15.75" customHeight="1" x14ac:dyDescent="0.2">
      <c r="K1947" s="13"/>
    </row>
    <row r="1948" spans="11:11" ht="15.75" customHeight="1" x14ac:dyDescent="0.2">
      <c r="K1948" s="13"/>
    </row>
    <row r="1949" spans="11:11" ht="15.75" customHeight="1" x14ac:dyDescent="0.2">
      <c r="K1949" s="13"/>
    </row>
    <row r="1950" spans="11:11" ht="15.75" customHeight="1" x14ac:dyDescent="0.2">
      <c r="K1950" s="13"/>
    </row>
    <row r="1951" spans="11:11" ht="15.75" customHeight="1" x14ac:dyDescent="0.2">
      <c r="K1951" s="13"/>
    </row>
    <row r="1952" spans="11:11" ht="15.75" customHeight="1" x14ac:dyDescent="0.2">
      <c r="K1952" s="13"/>
    </row>
    <row r="1953" spans="11:11" ht="15.75" customHeight="1" x14ac:dyDescent="0.2">
      <c r="K1953" s="13"/>
    </row>
    <row r="1954" spans="11:11" ht="15.75" customHeight="1" x14ac:dyDescent="0.2">
      <c r="K1954" s="13"/>
    </row>
    <row r="1955" spans="11:11" ht="15.75" customHeight="1" x14ac:dyDescent="0.2">
      <c r="K1955" s="13"/>
    </row>
    <row r="1956" spans="11:11" ht="15.75" customHeight="1" x14ac:dyDescent="0.2">
      <c r="K1956" s="13"/>
    </row>
    <row r="1957" spans="11:11" ht="15.75" customHeight="1" x14ac:dyDescent="0.2">
      <c r="K1957" s="13"/>
    </row>
    <row r="1958" spans="11:11" ht="15.75" customHeight="1" x14ac:dyDescent="0.2">
      <c r="K1958" s="13"/>
    </row>
    <row r="1959" spans="11:11" ht="15.75" customHeight="1" x14ac:dyDescent="0.2">
      <c r="K1959" s="13"/>
    </row>
    <row r="1960" spans="11:11" ht="15.75" customHeight="1" x14ac:dyDescent="0.2">
      <c r="K1960" s="13"/>
    </row>
    <row r="1961" spans="11:11" ht="15.75" customHeight="1" x14ac:dyDescent="0.2">
      <c r="K1961" s="13"/>
    </row>
    <row r="1962" spans="11:11" ht="15.75" customHeight="1" x14ac:dyDescent="0.2">
      <c r="K1962" s="13"/>
    </row>
    <row r="1963" spans="11:11" ht="15.75" customHeight="1" x14ac:dyDescent="0.2">
      <c r="K1963" s="13"/>
    </row>
    <row r="1964" spans="11:11" ht="15.75" customHeight="1" x14ac:dyDescent="0.2">
      <c r="K1964" s="13"/>
    </row>
    <row r="1965" spans="11:11" ht="15.75" customHeight="1" x14ac:dyDescent="0.2">
      <c r="K1965" s="13"/>
    </row>
    <row r="1966" spans="11:11" ht="15.75" customHeight="1" x14ac:dyDescent="0.2">
      <c r="K1966" s="13"/>
    </row>
    <row r="1967" spans="11:11" ht="15.75" customHeight="1" x14ac:dyDescent="0.2">
      <c r="K1967" s="13"/>
    </row>
    <row r="1968" spans="11:11" ht="15.75" customHeight="1" x14ac:dyDescent="0.2">
      <c r="K1968" s="13"/>
    </row>
    <row r="1969" spans="11:11" ht="15.75" customHeight="1" x14ac:dyDescent="0.2">
      <c r="K1969" s="13"/>
    </row>
    <row r="1970" spans="11:11" ht="15.75" customHeight="1" x14ac:dyDescent="0.2">
      <c r="K1970" s="13"/>
    </row>
    <row r="1971" spans="11:11" ht="15.75" customHeight="1" x14ac:dyDescent="0.2">
      <c r="K1971" s="13"/>
    </row>
    <row r="1972" spans="11:11" ht="15.75" customHeight="1" x14ac:dyDescent="0.2">
      <c r="K1972" s="13"/>
    </row>
    <row r="1973" spans="11:11" ht="15.75" customHeight="1" x14ac:dyDescent="0.2">
      <c r="K1973" s="13"/>
    </row>
    <row r="1974" spans="11:11" ht="15.75" customHeight="1" x14ac:dyDescent="0.2">
      <c r="K1974" s="13"/>
    </row>
    <row r="1975" spans="11:11" ht="15.75" customHeight="1" x14ac:dyDescent="0.2">
      <c r="K1975" s="13"/>
    </row>
    <row r="1976" spans="11:11" ht="15.75" customHeight="1" x14ac:dyDescent="0.2">
      <c r="K1976" s="13"/>
    </row>
    <row r="1977" spans="11:11" ht="15.75" customHeight="1" x14ac:dyDescent="0.2">
      <c r="K1977" s="13"/>
    </row>
    <row r="1978" spans="11:11" ht="15.75" customHeight="1" x14ac:dyDescent="0.2">
      <c r="K1978" s="13"/>
    </row>
    <row r="1979" spans="11:11" ht="15.75" customHeight="1" x14ac:dyDescent="0.2">
      <c r="K1979" s="13"/>
    </row>
    <row r="1980" spans="11:11" ht="15.75" customHeight="1" x14ac:dyDescent="0.2">
      <c r="K1980" s="13"/>
    </row>
    <row r="1981" spans="11:11" ht="15.75" customHeight="1" x14ac:dyDescent="0.2">
      <c r="K1981" s="13"/>
    </row>
    <row r="1982" spans="11:11" ht="15.75" customHeight="1" x14ac:dyDescent="0.2">
      <c r="K1982" s="13"/>
    </row>
    <row r="1983" spans="11:11" ht="15.75" customHeight="1" x14ac:dyDescent="0.2">
      <c r="K1983" s="13"/>
    </row>
    <row r="1984" spans="11:11" ht="15.75" customHeight="1" x14ac:dyDescent="0.2">
      <c r="K1984" s="13"/>
    </row>
    <row r="1985" spans="11:11" ht="15.75" customHeight="1" x14ac:dyDescent="0.2">
      <c r="K1985" s="13"/>
    </row>
    <row r="1986" spans="11:11" ht="15.75" customHeight="1" x14ac:dyDescent="0.2">
      <c r="K1986" s="13"/>
    </row>
    <row r="1987" spans="11:11" ht="15.75" customHeight="1" x14ac:dyDescent="0.2">
      <c r="K1987" s="13"/>
    </row>
    <row r="1988" spans="11:11" ht="15.75" customHeight="1" x14ac:dyDescent="0.2">
      <c r="K1988" s="13"/>
    </row>
    <row r="1989" spans="11:11" ht="15.75" customHeight="1" x14ac:dyDescent="0.2">
      <c r="K1989" s="13"/>
    </row>
    <row r="1990" spans="11:11" ht="15.75" customHeight="1" x14ac:dyDescent="0.2">
      <c r="K1990" s="13"/>
    </row>
    <row r="1991" spans="11:11" ht="15.75" customHeight="1" x14ac:dyDescent="0.2">
      <c r="K1991" s="13"/>
    </row>
    <row r="1992" spans="11:11" ht="15.75" customHeight="1" x14ac:dyDescent="0.2">
      <c r="K1992" s="13"/>
    </row>
    <row r="1993" spans="11:11" ht="15.75" customHeight="1" x14ac:dyDescent="0.2">
      <c r="K1993" s="13"/>
    </row>
    <row r="1994" spans="11:11" ht="15.75" customHeight="1" x14ac:dyDescent="0.2">
      <c r="K1994" s="13"/>
    </row>
    <row r="1995" spans="11:11" ht="15.75" customHeight="1" x14ac:dyDescent="0.2">
      <c r="K1995" s="13"/>
    </row>
    <row r="1996" spans="11:11" ht="15.75" customHeight="1" x14ac:dyDescent="0.2">
      <c r="K1996" s="13"/>
    </row>
    <row r="1997" spans="11:11" ht="15.75" customHeight="1" x14ac:dyDescent="0.2">
      <c r="K1997" s="13"/>
    </row>
    <row r="1998" spans="11:11" ht="15.75" customHeight="1" x14ac:dyDescent="0.2">
      <c r="K1998" s="13"/>
    </row>
    <row r="1999" spans="11:11" ht="15.75" customHeight="1" x14ac:dyDescent="0.2">
      <c r="K1999" s="13"/>
    </row>
    <row r="2000" spans="11:11" ht="15.75" customHeight="1" x14ac:dyDescent="0.2">
      <c r="K2000" s="13"/>
    </row>
    <row r="2001" spans="11:11" ht="15.75" customHeight="1" x14ac:dyDescent="0.2">
      <c r="K2001" s="13"/>
    </row>
    <row r="2002" spans="11:11" ht="15.75" customHeight="1" x14ac:dyDescent="0.2">
      <c r="K2002" s="13"/>
    </row>
    <row r="2003" spans="11:11" ht="15.75" customHeight="1" x14ac:dyDescent="0.2">
      <c r="K2003" s="13"/>
    </row>
    <row r="2004" spans="11:11" ht="15.75" customHeight="1" x14ac:dyDescent="0.2">
      <c r="K2004" s="13"/>
    </row>
    <row r="2005" spans="11:11" ht="15.75" customHeight="1" x14ac:dyDescent="0.2">
      <c r="K2005" s="13"/>
    </row>
    <row r="2006" spans="11:11" ht="15.75" customHeight="1" x14ac:dyDescent="0.2">
      <c r="K2006" s="13"/>
    </row>
    <row r="2007" spans="11:11" ht="15.75" customHeight="1" x14ac:dyDescent="0.2">
      <c r="K2007" s="13"/>
    </row>
    <row r="2008" spans="11:11" ht="15.75" customHeight="1" x14ac:dyDescent="0.2">
      <c r="K2008" s="13"/>
    </row>
    <row r="2009" spans="11:11" ht="15.75" customHeight="1" x14ac:dyDescent="0.2">
      <c r="K2009" s="13"/>
    </row>
    <row r="2010" spans="11:11" ht="15.75" customHeight="1" x14ac:dyDescent="0.2">
      <c r="K2010" s="13"/>
    </row>
    <row r="2011" spans="11:11" ht="15.75" customHeight="1" x14ac:dyDescent="0.2">
      <c r="K2011" s="13"/>
    </row>
    <row r="2012" spans="11:11" ht="15.75" customHeight="1" x14ac:dyDescent="0.2">
      <c r="K2012" s="13"/>
    </row>
    <row r="2013" spans="11:11" ht="15.75" customHeight="1" x14ac:dyDescent="0.2">
      <c r="K2013" s="13"/>
    </row>
    <row r="2014" spans="11:11" ht="15.75" customHeight="1" x14ac:dyDescent="0.2">
      <c r="K2014" s="13"/>
    </row>
    <row r="2015" spans="11:11" ht="15.75" customHeight="1" x14ac:dyDescent="0.2">
      <c r="K2015" s="13"/>
    </row>
    <row r="2016" spans="11:11" ht="15.75" customHeight="1" x14ac:dyDescent="0.2">
      <c r="K2016" s="13"/>
    </row>
    <row r="2017" spans="11:11" ht="15.75" customHeight="1" x14ac:dyDescent="0.2">
      <c r="K2017" s="13"/>
    </row>
    <row r="2018" spans="11:11" ht="15.75" customHeight="1" x14ac:dyDescent="0.2">
      <c r="K2018" s="13"/>
    </row>
    <row r="2019" spans="11:11" ht="15.75" customHeight="1" x14ac:dyDescent="0.2">
      <c r="K2019" s="13"/>
    </row>
    <row r="2020" spans="11:11" ht="15.75" customHeight="1" x14ac:dyDescent="0.2">
      <c r="K2020" s="13"/>
    </row>
    <row r="2021" spans="11:11" ht="15.75" customHeight="1" x14ac:dyDescent="0.2">
      <c r="K2021" s="13"/>
    </row>
    <row r="2022" spans="11:11" ht="15.75" customHeight="1" x14ac:dyDescent="0.2">
      <c r="K2022" s="13"/>
    </row>
    <row r="2023" spans="11:11" ht="15.75" customHeight="1" x14ac:dyDescent="0.2">
      <c r="K2023" s="13"/>
    </row>
    <row r="2024" spans="11:11" ht="15.75" customHeight="1" x14ac:dyDescent="0.2">
      <c r="K2024" s="13"/>
    </row>
    <row r="2025" spans="11:11" ht="15.75" customHeight="1" x14ac:dyDescent="0.2">
      <c r="K2025" s="13"/>
    </row>
    <row r="2026" spans="11:11" ht="15.75" customHeight="1" x14ac:dyDescent="0.2">
      <c r="K2026" s="13"/>
    </row>
    <row r="2027" spans="11:11" ht="15.75" customHeight="1" x14ac:dyDescent="0.2">
      <c r="K2027" s="13"/>
    </row>
    <row r="2028" spans="11:11" ht="15.75" customHeight="1" x14ac:dyDescent="0.2">
      <c r="K2028" s="13"/>
    </row>
    <row r="2029" spans="11:11" ht="15.75" customHeight="1" x14ac:dyDescent="0.2">
      <c r="K2029" s="13"/>
    </row>
    <row r="2030" spans="11:11" ht="15.75" customHeight="1" x14ac:dyDescent="0.2">
      <c r="K2030" s="13"/>
    </row>
    <row r="2031" spans="11:11" ht="15.75" customHeight="1" x14ac:dyDescent="0.2">
      <c r="K2031" s="13"/>
    </row>
    <row r="2032" spans="11:11" ht="15.75" customHeight="1" x14ac:dyDescent="0.2">
      <c r="K2032" s="13"/>
    </row>
    <row r="2033" spans="11:11" ht="15.75" customHeight="1" x14ac:dyDescent="0.2">
      <c r="K2033" s="13"/>
    </row>
    <row r="2034" spans="11:11" ht="15.75" customHeight="1" x14ac:dyDescent="0.2">
      <c r="K2034" s="13"/>
    </row>
    <row r="2035" spans="11:11" ht="15.75" customHeight="1" x14ac:dyDescent="0.2">
      <c r="K2035" s="13"/>
    </row>
    <row r="2036" spans="11:11" ht="15.75" customHeight="1" x14ac:dyDescent="0.2">
      <c r="K2036" s="13"/>
    </row>
    <row r="2037" spans="11:11" ht="15.75" customHeight="1" x14ac:dyDescent="0.2">
      <c r="K2037" s="13"/>
    </row>
    <row r="2038" spans="11:11" ht="15.75" customHeight="1" x14ac:dyDescent="0.2">
      <c r="K2038" s="13"/>
    </row>
    <row r="2039" spans="11:11" ht="15.75" customHeight="1" x14ac:dyDescent="0.2">
      <c r="K2039" s="13"/>
    </row>
    <row r="2040" spans="11:11" ht="15.75" customHeight="1" x14ac:dyDescent="0.2">
      <c r="K2040" s="13"/>
    </row>
    <row r="2041" spans="11:11" ht="15.75" customHeight="1" x14ac:dyDescent="0.2">
      <c r="K2041" s="13"/>
    </row>
    <row r="2042" spans="11:11" ht="15.75" customHeight="1" x14ac:dyDescent="0.2">
      <c r="K2042" s="13"/>
    </row>
    <row r="2043" spans="11:11" ht="15.75" customHeight="1" x14ac:dyDescent="0.2">
      <c r="K2043" s="13"/>
    </row>
    <row r="2044" spans="11:11" ht="15.75" customHeight="1" x14ac:dyDescent="0.2">
      <c r="K2044" s="13"/>
    </row>
    <row r="2045" spans="11:11" ht="15.75" customHeight="1" x14ac:dyDescent="0.2">
      <c r="K2045" s="13"/>
    </row>
    <row r="2046" spans="11:11" ht="15.75" customHeight="1" x14ac:dyDescent="0.2">
      <c r="K2046" s="13"/>
    </row>
    <row r="2047" spans="11:11" ht="15.75" customHeight="1" x14ac:dyDescent="0.2">
      <c r="K2047" s="13"/>
    </row>
    <row r="2048" spans="11:11" ht="15.75" customHeight="1" x14ac:dyDescent="0.2">
      <c r="K2048" s="13"/>
    </row>
    <row r="2049" spans="11:11" ht="15.75" customHeight="1" x14ac:dyDescent="0.2">
      <c r="K2049" s="13"/>
    </row>
    <row r="2050" spans="11:11" ht="15.75" customHeight="1" x14ac:dyDescent="0.2">
      <c r="K2050" s="13"/>
    </row>
    <row r="2051" spans="11:11" ht="15.75" customHeight="1" x14ac:dyDescent="0.2">
      <c r="K2051" s="13"/>
    </row>
    <row r="2052" spans="11:11" ht="15.75" customHeight="1" x14ac:dyDescent="0.2">
      <c r="K2052" s="13"/>
    </row>
    <row r="2053" spans="11:11" ht="15.75" customHeight="1" x14ac:dyDescent="0.2">
      <c r="K2053" s="13"/>
    </row>
    <row r="2054" spans="11:11" ht="15.75" customHeight="1" x14ac:dyDescent="0.2">
      <c r="K2054" s="13"/>
    </row>
    <row r="2055" spans="11:11" ht="15.75" customHeight="1" x14ac:dyDescent="0.2">
      <c r="K2055" s="13"/>
    </row>
    <row r="2056" spans="11:11" ht="15.75" customHeight="1" x14ac:dyDescent="0.2">
      <c r="K2056" s="13"/>
    </row>
    <row r="2057" spans="11:11" ht="15.75" customHeight="1" x14ac:dyDescent="0.2">
      <c r="K2057" s="13"/>
    </row>
    <row r="2058" spans="11:11" ht="15.75" customHeight="1" x14ac:dyDescent="0.2">
      <c r="K2058" s="13"/>
    </row>
    <row r="2059" spans="11:11" ht="15.75" customHeight="1" x14ac:dyDescent="0.2">
      <c r="K2059" s="13"/>
    </row>
    <row r="2060" spans="11:11" ht="15.75" customHeight="1" x14ac:dyDescent="0.2">
      <c r="K2060" s="13"/>
    </row>
    <row r="2061" spans="11:11" ht="15.75" customHeight="1" x14ac:dyDescent="0.2">
      <c r="K2061" s="13"/>
    </row>
    <row r="2062" spans="11:11" ht="15.75" customHeight="1" x14ac:dyDescent="0.2">
      <c r="K2062" s="13"/>
    </row>
    <row r="2063" spans="11:11" ht="15.75" customHeight="1" x14ac:dyDescent="0.2">
      <c r="K2063" s="13"/>
    </row>
    <row r="2064" spans="11:11" ht="15.75" customHeight="1" x14ac:dyDescent="0.2">
      <c r="K2064" s="13"/>
    </row>
    <row r="2065" spans="11:11" ht="15.75" customHeight="1" x14ac:dyDescent="0.2">
      <c r="K2065" s="13"/>
    </row>
    <row r="2066" spans="11:11" ht="15.75" customHeight="1" x14ac:dyDescent="0.2">
      <c r="K2066" s="13"/>
    </row>
    <row r="2067" spans="11:11" ht="15.75" customHeight="1" x14ac:dyDescent="0.2">
      <c r="K2067" s="13"/>
    </row>
    <row r="2068" spans="11:11" ht="15.75" customHeight="1" x14ac:dyDescent="0.2">
      <c r="K2068" s="13"/>
    </row>
    <row r="2069" spans="11:11" ht="15.75" customHeight="1" x14ac:dyDescent="0.2">
      <c r="K2069" s="13"/>
    </row>
    <row r="2070" spans="11:11" ht="15.75" customHeight="1" x14ac:dyDescent="0.2">
      <c r="K2070" s="13"/>
    </row>
    <row r="2071" spans="11:11" ht="15.75" customHeight="1" x14ac:dyDescent="0.2">
      <c r="K2071" s="13"/>
    </row>
    <row r="2072" spans="11:11" ht="15.75" customHeight="1" x14ac:dyDescent="0.2">
      <c r="K2072" s="13"/>
    </row>
    <row r="2073" spans="11:11" ht="15.75" customHeight="1" x14ac:dyDescent="0.2">
      <c r="K2073" s="13"/>
    </row>
    <row r="2074" spans="11:11" ht="15.75" customHeight="1" x14ac:dyDescent="0.2">
      <c r="K2074" s="13"/>
    </row>
    <row r="2075" spans="11:11" ht="15.75" customHeight="1" x14ac:dyDescent="0.2">
      <c r="K2075" s="13"/>
    </row>
    <row r="2076" spans="11:11" ht="15.75" customHeight="1" x14ac:dyDescent="0.2">
      <c r="K2076" s="13"/>
    </row>
    <row r="2077" spans="11:11" ht="15.75" customHeight="1" x14ac:dyDescent="0.2">
      <c r="K2077" s="13"/>
    </row>
    <row r="2078" spans="11:11" ht="15.75" customHeight="1" x14ac:dyDescent="0.2">
      <c r="K2078" s="13"/>
    </row>
    <row r="2079" spans="11:11" ht="15.75" customHeight="1" x14ac:dyDescent="0.2">
      <c r="K2079" s="13"/>
    </row>
    <row r="2080" spans="11:11" ht="15.75" customHeight="1" x14ac:dyDescent="0.2">
      <c r="K2080" s="13"/>
    </row>
    <row r="2081" spans="11:11" ht="15.75" customHeight="1" x14ac:dyDescent="0.2">
      <c r="K2081" s="13"/>
    </row>
    <row r="2082" spans="11:11" ht="15.75" customHeight="1" x14ac:dyDescent="0.2">
      <c r="K2082" s="13"/>
    </row>
    <row r="2083" spans="11:11" ht="15.75" customHeight="1" x14ac:dyDescent="0.2">
      <c r="K2083" s="13"/>
    </row>
    <row r="2084" spans="11:11" ht="15.75" customHeight="1" x14ac:dyDescent="0.2">
      <c r="K2084" s="13"/>
    </row>
    <row r="2085" spans="11:11" ht="15.75" customHeight="1" x14ac:dyDescent="0.2">
      <c r="K2085" s="13"/>
    </row>
    <row r="2086" spans="11:11" ht="15.75" customHeight="1" x14ac:dyDescent="0.2">
      <c r="K2086" s="13"/>
    </row>
    <row r="2087" spans="11:11" ht="15.75" customHeight="1" x14ac:dyDescent="0.2">
      <c r="K2087" s="13"/>
    </row>
    <row r="2088" spans="11:11" ht="15.75" customHeight="1" x14ac:dyDescent="0.2">
      <c r="K2088" s="13"/>
    </row>
    <row r="2089" spans="11:11" ht="15.75" customHeight="1" x14ac:dyDescent="0.2">
      <c r="K2089" s="13"/>
    </row>
    <row r="2090" spans="11:11" ht="15.75" customHeight="1" x14ac:dyDescent="0.2">
      <c r="K2090" s="13"/>
    </row>
    <row r="2091" spans="11:11" ht="15.75" customHeight="1" x14ac:dyDescent="0.2">
      <c r="K2091" s="13"/>
    </row>
    <row r="2092" spans="11:11" ht="15.75" customHeight="1" x14ac:dyDescent="0.2">
      <c r="K2092" s="13"/>
    </row>
    <row r="2093" spans="11:11" ht="15.75" customHeight="1" x14ac:dyDescent="0.2">
      <c r="K2093" s="13"/>
    </row>
    <row r="2094" spans="11:11" ht="15.75" customHeight="1" x14ac:dyDescent="0.2">
      <c r="K2094" s="13"/>
    </row>
    <row r="2095" spans="11:11" ht="15.75" customHeight="1" x14ac:dyDescent="0.2">
      <c r="K2095" s="13"/>
    </row>
    <row r="2096" spans="11:11" ht="15.75" customHeight="1" x14ac:dyDescent="0.2">
      <c r="K2096" s="13"/>
    </row>
    <row r="2097" spans="3:11" ht="15.75" customHeight="1" x14ac:dyDescent="0.2">
      <c r="K2097" s="13"/>
    </row>
    <row r="2098" spans="3:11" ht="15.75" customHeight="1" x14ac:dyDescent="0.2">
      <c r="K2098" s="13"/>
    </row>
    <row r="2099" spans="3:11" ht="15.75" customHeight="1" x14ac:dyDescent="0.2">
      <c r="K2099" s="13"/>
    </row>
    <row r="2100" spans="3:11" ht="15.75" customHeight="1" x14ac:dyDescent="0.2">
      <c r="C2100" s="101"/>
    </row>
    <row r="2101" spans="3:11" ht="15.75" customHeight="1" x14ac:dyDescent="0.2">
      <c r="C2101" s="101"/>
    </row>
    <row r="2102" spans="3:11" ht="15.75" customHeight="1" x14ac:dyDescent="0.2">
      <c r="C2102" s="101"/>
    </row>
    <row r="2103" spans="3:11" ht="15.75" customHeight="1" x14ac:dyDescent="0.2">
      <c r="C2103" s="101"/>
    </row>
    <row r="2104" spans="3:11" ht="15.75" customHeight="1" x14ac:dyDescent="0.2">
      <c r="C2104" s="101"/>
    </row>
    <row r="2105" spans="3:11" ht="15.75" customHeight="1" x14ac:dyDescent="0.2">
      <c r="C2105" s="101"/>
    </row>
    <row r="2106" spans="3:11" ht="15.75" customHeight="1" x14ac:dyDescent="0.2">
      <c r="C2106" s="101"/>
    </row>
    <row r="2107" spans="3:11" ht="15.75" customHeight="1" x14ac:dyDescent="0.2">
      <c r="C2107" s="101"/>
    </row>
    <row r="2108" spans="3:11" ht="15.75" customHeight="1" x14ac:dyDescent="0.2">
      <c r="C2108" s="101"/>
    </row>
    <row r="2109" spans="3:11" ht="15.75" customHeight="1" x14ac:dyDescent="0.2">
      <c r="C2109" s="101"/>
    </row>
    <row r="2110" spans="3:11" ht="15.75" customHeight="1" x14ac:dyDescent="0.2">
      <c r="C2110" s="101"/>
    </row>
    <row r="2111" spans="3:11" ht="15.75" customHeight="1" x14ac:dyDescent="0.2">
      <c r="C2111" s="101"/>
    </row>
    <row r="2112" spans="3:11" ht="15.75" customHeight="1" x14ac:dyDescent="0.2">
      <c r="C2112" s="101"/>
    </row>
    <row r="2113" spans="3:3" ht="15.75" customHeight="1" x14ac:dyDescent="0.2">
      <c r="C2113" s="101"/>
    </row>
    <row r="2114" spans="3:3" ht="15.75" customHeight="1" x14ac:dyDescent="0.2">
      <c r="C2114" s="101"/>
    </row>
    <row r="2115" spans="3:3" ht="15.75" customHeight="1" x14ac:dyDescent="0.2">
      <c r="C2115" s="101"/>
    </row>
    <row r="2116" spans="3:3" ht="15.75" customHeight="1" x14ac:dyDescent="0.2">
      <c r="C2116" s="101"/>
    </row>
    <row r="2117" spans="3:3" ht="15.75" customHeight="1" x14ac:dyDescent="0.2">
      <c r="C2117" s="101"/>
    </row>
    <row r="2118" spans="3:3" ht="15.75" customHeight="1" x14ac:dyDescent="0.2">
      <c r="C2118" s="101"/>
    </row>
    <row r="2119" spans="3:3" ht="15.75" customHeight="1" x14ac:dyDescent="0.2">
      <c r="C2119" s="101"/>
    </row>
    <row r="2120" spans="3:3" ht="15.75" customHeight="1" x14ac:dyDescent="0.2">
      <c r="C2120" s="101"/>
    </row>
    <row r="2121" spans="3:3" ht="15.75" customHeight="1" x14ac:dyDescent="0.2">
      <c r="C2121" s="101"/>
    </row>
    <row r="2122" spans="3:3" ht="15.75" customHeight="1" x14ac:dyDescent="0.2">
      <c r="C2122" s="101"/>
    </row>
    <row r="2123" spans="3:3" ht="15.75" customHeight="1" x14ac:dyDescent="0.2">
      <c r="C2123" s="101"/>
    </row>
    <row r="2124" spans="3:3" ht="15.75" customHeight="1" x14ac:dyDescent="0.2">
      <c r="C2124" s="101"/>
    </row>
    <row r="2125" spans="3:3" ht="15.75" customHeight="1" x14ac:dyDescent="0.2">
      <c r="C2125" s="101"/>
    </row>
    <row r="2126" spans="3:3" ht="15.75" customHeight="1" x14ac:dyDescent="0.2">
      <c r="C2126" s="101"/>
    </row>
    <row r="2127" spans="3:3" ht="15.75" customHeight="1" x14ac:dyDescent="0.2">
      <c r="C2127" s="101"/>
    </row>
    <row r="2128" spans="3:3" ht="15.75" customHeight="1" x14ac:dyDescent="0.2">
      <c r="C2128" s="101"/>
    </row>
    <row r="2129" spans="3:3" ht="15.75" customHeight="1" x14ac:dyDescent="0.2">
      <c r="C2129" s="101"/>
    </row>
    <row r="2130" spans="3:3" ht="15.75" customHeight="1" x14ac:dyDescent="0.2">
      <c r="C2130" s="101"/>
    </row>
    <row r="2131" spans="3:3" ht="15.75" customHeight="1" x14ac:dyDescent="0.2">
      <c r="C2131" s="101"/>
    </row>
    <row r="2132" spans="3:3" ht="15.75" customHeight="1" x14ac:dyDescent="0.2">
      <c r="C2132" s="101"/>
    </row>
    <row r="2133" spans="3:3" ht="15.75" customHeight="1" x14ac:dyDescent="0.2">
      <c r="C2133" s="101"/>
    </row>
    <row r="2134" spans="3:3" ht="15.75" customHeight="1" x14ac:dyDescent="0.2">
      <c r="C2134" s="101"/>
    </row>
    <row r="2135" spans="3:3" ht="15.75" customHeight="1" x14ac:dyDescent="0.2">
      <c r="C2135" s="101"/>
    </row>
    <row r="2136" spans="3:3" ht="15.75" customHeight="1" x14ac:dyDescent="0.2">
      <c r="C2136" s="101"/>
    </row>
    <row r="2137" spans="3:3" ht="15.75" customHeight="1" x14ac:dyDescent="0.2">
      <c r="C2137" s="101"/>
    </row>
    <row r="2138" spans="3:3" ht="15.75" customHeight="1" x14ac:dyDescent="0.2">
      <c r="C2138" s="101"/>
    </row>
    <row r="2139" spans="3:3" ht="15.75" customHeight="1" x14ac:dyDescent="0.2">
      <c r="C2139" s="101"/>
    </row>
    <row r="2140" spans="3:3" ht="15.75" customHeight="1" x14ac:dyDescent="0.2">
      <c r="C2140" s="101"/>
    </row>
    <row r="2141" spans="3:3" ht="15.75" customHeight="1" x14ac:dyDescent="0.2">
      <c r="C2141" s="101"/>
    </row>
    <row r="2142" spans="3:3" ht="15.75" customHeight="1" x14ac:dyDescent="0.2">
      <c r="C2142" s="101"/>
    </row>
    <row r="2143" spans="3:3" ht="15.75" customHeight="1" x14ac:dyDescent="0.2">
      <c r="C2143" s="101"/>
    </row>
    <row r="2144" spans="3:3" ht="15.75" customHeight="1" x14ac:dyDescent="0.2">
      <c r="C2144" s="101"/>
    </row>
    <row r="2145" spans="3:3" ht="15.75" customHeight="1" x14ac:dyDescent="0.2">
      <c r="C2145" s="101"/>
    </row>
    <row r="2146" spans="3:3" ht="15.75" customHeight="1" x14ac:dyDescent="0.2">
      <c r="C2146" s="101"/>
    </row>
    <row r="2147" spans="3:3" ht="15.75" customHeight="1" x14ac:dyDescent="0.2">
      <c r="C2147" s="101"/>
    </row>
    <row r="2148" spans="3:3" ht="15.75" customHeight="1" x14ac:dyDescent="0.2">
      <c r="C2148" s="101"/>
    </row>
    <row r="2149" spans="3:3" ht="15.75" customHeight="1" x14ac:dyDescent="0.2"/>
    <row r="2150" spans="3:3" ht="15.75" customHeight="1" x14ac:dyDescent="0.2"/>
    <row r="2151" spans="3:3" ht="15.75" customHeight="1" x14ac:dyDescent="0.2"/>
    <row r="2152" spans="3:3" ht="15.75" customHeight="1" x14ac:dyDescent="0.2"/>
    <row r="2153" spans="3:3" ht="15.75" customHeight="1" x14ac:dyDescent="0.2"/>
    <row r="2154" spans="3:3" ht="15.75" customHeight="1" x14ac:dyDescent="0.2"/>
    <row r="2155" spans="3:3" ht="15.75" customHeight="1" x14ac:dyDescent="0.2"/>
    <row r="2156" spans="3:3" ht="15.75" customHeight="1" x14ac:dyDescent="0.2"/>
    <row r="2157" spans="3:3" ht="15.75" customHeight="1" x14ac:dyDescent="0.2"/>
    <row r="2158" spans="3:3" ht="15.75" customHeight="1" x14ac:dyDescent="0.2"/>
    <row r="2159" spans="3:3" ht="15.75" customHeight="1" x14ac:dyDescent="0.2"/>
    <row r="2160" spans="3:3" ht="15.75" customHeight="1" x14ac:dyDescent="0.2"/>
    <row r="2161" ht="15.75" customHeight="1" x14ac:dyDescent="0.2"/>
    <row r="2162" ht="15.75" customHeight="1" x14ac:dyDescent="0.2"/>
    <row r="2163" ht="15.75" customHeight="1" x14ac:dyDescent="0.2"/>
    <row r="2164" ht="15.75" customHeight="1" x14ac:dyDescent="0.2"/>
    <row r="2165" ht="15.75" customHeight="1" x14ac:dyDescent="0.2"/>
    <row r="2166" ht="15.75" customHeight="1" x14ac:dyDescent="0.2"/>
    <row r="2167" ht="15.75" customHeight="1" x14ac:dyDescent="0.2"/>
    <row r="2168" ht="15.75" customHeight="1" x14ac:dyDescent="0.2"/>
    <row r="2169" ht="15.75" customHeight="1" x14ac:dyDescent="0.2"/>
    <row r="2170" ht="15.75" customHeight="1" x14ac:dyDescent="0.2"/>
    <row r="2171" ht="15.75" customHeight="1" x14ac:dyDescent="0.2"/>
    <row r="2172" ht="15.75" customHeight="1" x14ac:dyDescent="0.2"/>
    <row r="2173" ht="15.75" customHeight="1" x14ac:dyDescent="0.2"/>
    <row r="2174" ht="15.75" customHeight="1" x14ac:dyDescent="0.2"/>
    <row r="2175" ht="15.75" customHeight="1" x14ac:dyDescent="0.2"/>
    <row r="2176" ht="15.75" customHeight="1" x14ac:dyDescent="0.2"/>
    <row r="2177" ht="15.75" customHeight="1" x14ac:dyDescent="0.2"/>
    <row r="2178" ht="15.75" customHeight="1" x14ac:dyDescent="0.2"/>
    <row r="2179" ht="15.75" customHeight="1" x14ac:dyDescent="0.2"/>
    <row r="2180" ht="15.75" customHeight="1" x14ac:dyDescent="0.2"/>
    <row r="2181" ht="15.75" customHeight="1" x14ac:dyDescent="0.2"/>
    <row r="2182" ht="15.75" customHeight="1" x14ac:dyDescent="0.2"/>
    <row r="2183" ht="15.75" customHeight="1" x14ac:dyDescent="0.2"/>
    <row r="2184" ht="15.75" customHeight="1" x14ac:dyDescent="0.2"/>
    <row r="2185" ht="15.75" customHeight="1" x14ac:dyDescent="0.2"/>
    <row r="2186" ht="15.75" customHeight="1" x14ac:dyDescent="0.2"/>
    <row r="2187" ht="15.75" customHeight="1" x14ac:dyDescent="0.2"/>
    <row r="2188" ht="15.75" customHeight="1" x14ac:dyDescent="0.2"/>
    <row r="2189" ht="15.75" customHeight="1" x14ac:dyDescent="0.2"/>
    <row r="2190" ht="15.75" customHeight="1" x14ac:dyDescent="0.2"/>
    <row r="2191" ht="15.75" customHeight="1" x14ac:dyDescent="0.2"/>
    <row r="2192" ht="15.75" customHeight="1" x14ac:dyDescent="0.2"/>
    <row r="2193" ht="15.75" customHeight="1" x14ac:dyDescent="0.2"/>
    <row r="2194" ht="15.75" customHeight="1" x14ac:dyDescent="0.2"/>
    <row r="2195" ht="15.75" customHeight="1" x14ac:dyDescent="0.2"/>
    <row r="2196" ht="15.75" customHeight="1" x14ac:dyDescent="0.2"/>
    <row r="2197" ht="15.75" customHeight="1" x14ac:dyDescent="0.2"/>
    <row r="2198" ht="15.75" customHeight="1" x14ac:dyDescent="0.2"/>
    <row r="2199" ht="15.75" customHeight="1" x14ac:dyDescent="0.2"/>
    <row r="2200" ht="15.75" customHeight="1" x14ac:dyDescent="0.2"/>
    <row r="2201" ht="15.75" customHeight="1" x14ac:dyDescent="0.2"/>
    <row r="2202" ht="15.75" customHeight="1" x14ac:dyDescent="0.2"/>
    <row r="2203" ht="15.75" customHeight="1" x14ac:dyDescent="0.2"/>
    <row r="2204" ht="15.75" customHeight="1" x14ac:dyDescent="0.2"/>
    <row r="2205" ht="15.75" customHeight="1" x14ac:dyDescent="0.2"/>
    <row r="2206" ht="15.75" customHeight="1" x14ac:dyDescent="0.2"/>
    <row r="2207" ht="15.75" customHeight="1" x14ac:dyDescent="0.2"/>
    <row r="2208" ht="15.75" customHeight="1" x14ac:dyDescent="0.2"/>
    <row r="2209" ht="15.75" customHeight="1" x14ac:dyDescent="0.2"/>
    <row r="2210" ht="15.75" customHeight="1" x14ac:dyDescent="0.2"/>
    <row r="2211" ht="15.75" customHeight="1" x14ac:dyDescent="0.2"/>
    <row r="2212" ht="15.75" customHeight="1" x14ac:dyDescent="0.2"/>
    <row r="2213" ht="15.75" customHeight="1" x14ac:dyDescent="0.2"/>
    <row r="2214" ht="15.75" customHeight="1" x14ac:dyDescent="0.2"/>
    <row r="2215" ht="15.75" customHeight="1" x14ac:dyDescent="0.2"/>
  </sheetData>
  <mergeCells count="185">
    <mergeCell ref="JL1:JN1"/>
    <mergeCell ref="JQ1:JT1"/>
    <mergeCell ref="FC1:FF1"/>
    <mergeCell ref="FN1:FP1"/>
    <mergeCell ref="FQ1:FT1"/>
    <mergeCell ref="DX1:DZ1"/>
    <mergeCell ref="EA1:ED1"/>
    <mergeCell ref="IM1:IP1"/>
    <mergeCell ref="IX1:IZ1"/>
    <mergeCell ref="JA1:JD1"/>
    <mergeCell ref="GE1:GH1"/>
    <mergeCell ref="GP1:GR1"/>
    <mergeCell ref="GS1:GV1"/>
    <mergeCell ref="HD1:HE1"/>
    <mergeCell ref="HF1:HH1"/>
    <mergeCell ref="HJ1:HK1"/>
    <mergeCell ref="HL1:HN1"/>
    <mergeCell ref="HP1:HQ1"/>
    <mergeCell ref="HR1:HT1"/>
    <mergeCell ref="HV1:HX1"/>
    <mergeCell ref="HY1:IB1"/>
    <mergeCell ref="IJ1:IL1"/>
    <mergeCell ref="A1:D1"/>
    <mergeCell ref="E1:H1"/>
    <mergeCell ref="P1:R1"/>
    <mergeCell ref="S1:V1"/>
    <mergeCell ref="AD1:AF1"/>
    <mergeCell ref="AG1:AJ1"/>
    <mergeCell ref="BT1:BV1"/>
    <mergeCell ref="BW1:BZ1"/>
    <mergeCell ref="GB1:GD1"/>
    <mergeCell ref="CH1:CJ1"/>
    <mergeCell ref="CK1:CN1"/>
    <mergeCell ref="DJ1:DL1"/>
    <mergeCell ref="BF1:BH1"/>
    <mergeCell ref="BI1:BL1"/>
    <mergeCell ref="AR1:AT1"/>
    <mergeCell ref="AU1:AX1"/>
    <mergeCell ref="EL1:EN1"/>
    <mergeCell ref="EO1:ER1"/>
    <mergeCell ref="EZ1:FB1"/>
    <mergeCell ref="CV1:CX1"/>
    <mergeCell ref="CY1:DB1"/>
    <mergeCell ref="DM1:DP1"/>
    <mergeCell ref="AL59:AM59"/>
    <mergeCell ref="CB59:CC59"/>
    <mergeCell ref="CP59:CQ59"/>
    <mergeCell ref="DR59:DS59"/>
    <mergeCell ref="J60:K60"/>
    <mergeCell ref="X60:Y60"/>
    <mergeCell ref="AL60:AM60"/>
    <mergeCell ref="CB60:CC60"/>
    <mergeCell ref="CP60:CQ60"/>
    <mergeCell ref="DR60:DS60"/>
    <mergeCell ref="BN59:BO59"/>
    <mergeCell ref="BN60:BO60"/>
    <mergeCell ref="AZ59:BA59"/>
    <mergeCell ref="AZ60:BA60"/>
    <mergeCell ref="DD59:DE59"/>
    <mergeCell ref="DD60:DE60"/>
    <mergeCell ref="EF59:EG59"/>
    <mergeCell ref="EF60:EG60"/>
    <mergeCell ref="J61:K61"/>
    <mergeCell ref="X61:Y61"/>
    <mergeCell ref="AL61:AM61"/>
    <mergeCell ref="CB61:CC61"/>
    <mergeCell ref="CP61:CQ61"/>
    <mergeCell ref="DR61:DS61"/>
    <mergeCell ref="J62:K62"/>
    <mergeCell ref="X62:Y62"/>
    <mergeCell ref="AL62:AM62"/>
    <mergeCell ref="CB62:CC62"/>
    <mergeCell ref="CP62:CQ62"/>
    <mergeCell ref="DR62:DS62"/>
    <mergeCell ref="BN61:BO61"/>
    <mergeCell ref="BN62:BO62"/>
    <mergeCell ref="AZ61:BA61"/>
    <mergeCell ref="AZ62:BA62"/>
    <mergeCell ref="DD61:DE61"/>
    <mergeCell ref="DD62:DE62"/>
    <mergeCell ref="EF61:EG61"/>
    <mergeCell ref="EF62:EG62"/>
    <mergeCell ref="J59:K59"/>
    <mergeCell ref="X59:Y59"/>
    <mergeCell ref="GG63:GH63"/>
    <mergeCell ref="GU63:GV63"/>
    <mergeCell ref="EQ63:ER63"/>
    <mergeCell ref="FE63:FF63"/>
    <mergeCell ref="FS63:FT63"/>
    <mergeCell ref="IA63:IB63"/>
    <mergeCell ref="IO63:IP63"/>
    <mergeCell ref="JC63:JD63"/>
    <mergeCell ref="JS63:JT63"/>
    <mergeCell ref="BT66:BU66"/>
    <mergeCell ref="CH66:CI66"/>
    <mergeCell ref="DJ66:DK66"/>
    <mergeCell ref="BF65:BG65"/>
    <mergeCell ref="BF66:BG66"/>
    <mergeCell ref="AR65:AS65"/>
    <mergeCell ref="AR66:AS66"/>
    <mergeCell ref="CV65:CW65"/>
    <mergeCell ref="CV66:CW66"/>
    <mergeCell ref="CH65:CI65"/>
    <mergeCell ref="DJ65:DK65"/>
    <mergeCell ref="JM67:JN67"/>
    <mergeCell ref="HE67:HF67"/>
    <mergeCell ref="HK67:HL67"/>
    <mergeCell ref="HQ67:HR67"/>
    <mergeCell ref="CV67:CW67"/>
    <mergeCell ref="GC67:GD67"/>
    <mergeCell ref="GQ67:GR67"/>
    <mergeCell ref="EM67:EN67"/>
    <mergeCell ref="FA67:FB67"/>
    <mergeCell ref="FO67:FP67"/>
    <mergeCell ref="JM68:JN68"/>
    <mergeCell ref="HE68:HF68"/>
    <mergeCell ref="HK68:HL68"/>
    <mergeCell ref="HQ68:HR68"/>
    <mergeCell ref="CV68:CW68"/>
    <mergeCell ref="GC68:GD68"/>
    <mergeCell ref="GQ68:GR68"/>
    <mergeCell ref="EM68:EN68"/>
    <mergeCell ref="FA68:FB68"/>
    <mergeCell ref="FO68:FP68"/>
    <mergeCell ref="JM69:JN69"/>
    <mergeCell ref="HE69:HF69"/>
    <mergeCell ref="HK69:HL69"/>
    <mergeCell ref="HQ69:HR69"/>
    <mergeCell ref="J69:K69"/>
    <mergeCell ref="X69:Y69"/>
    <mergeCell ref="AL69:AM69"/>
    <mergeCell ref="CB69:CC69"/>
    <mergeCell ref="GC69:GD69"/>
    <mergeCell ref="GQ69:GR69"/>
    <mergeCell ref="EM69:EN69"/>
    <mergeCell ref="FA69:FB69"/>
    <mergeCell ref="FO69:FP69"/>
    <mergeCell ref="A66:C66"/>
    <mergeCell ref="B71:C71"/>
    <mergeCell ref="D71:E71"/>
    <mergeCell ref="F71:G71"/>
    <mergeCell ref="HW69:HX69"/>
    <mergeCell ref="IK69:IL69"/>
    <mergeCell ref="IY69:IZ69"/>
    <mergeCell ref="CP69:CQ69"/>
    <mergeCell ref="DR69:DS69"/>
    <mergeCell ref="BN69:BO69"/>
    <mergeCell ref="AZ69:BA69"/>
    <mergeCell ref="DD69:DE69"/>
    <mergeCell ref="HW68:HX68"/>
    <mergeCell ref="IK68:IL68"/>
    <mergeCell ref="IY68:IZ68"/>
    <mergeCell ref="CH68:CI68"/>
    <mergeCell ref="DJ68:DK68"/>
    <mergeCell ref="HW67:HX67"/>
    <mergeCell ref="IK67:IL67"/>
    <mergeCell ref="IY67:IZ67"/>
    <mergeCell ref="CH67:CI67"/>
    <mergeCell ref="DJ67:DK67"/>
    <mergeCell ref="P66:Q66"/>
    <mergeCell ref="AD66:AE66"/>
    <mergeCell ref="B72:C72"/>
    <mergeCell ref="D72:E72"/>
    <mergeCell ref="F72:G72"/>
    <mergeCell ref="DX65:DY65"/>
    <mergeCell ref="DX66:DY66"/>
    <mergeCell ref="DX67:DY67"/>
    <mergeCell ref="DX68:DY68"/>
    <mergeCell ref="EF69:EG69"/>
    <mergeCell ref="A68:C68"/>
    <mergeCell ref="P68:Q68"/>
    <mergeCell ref="AD68:AE68"/>
    <mergeCell ref="BT68:BU68"/>
    <mergeCell ref="BF68:BG68"/>
    <mergeCell ref="AR68:AS68"/>
    <mergeCell ref="A67:C67"/>
    <mergeCell ref="P67:Q67"/>
    <mergeCell ref="AD67:AE67"/>
    <mergeCell ref="BT67:BU67"/>
    <mergeCell ref="BF67:BG67"/>
    <mergeCell ref="AR67:AS67"/>
    <mergeCell ref="A65:C65"/>
    <mergeCell ref="P65:Q65"/>
    <mergeCell ref="AD65:AE65"/>
    <mergeCell ref="BT65:BU65"/>
  </mergeCells>
  <phoneticPr fontId="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福江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sakamoto</dc:creator>
  <cp:keywords/>
  <dc:description/>
  <cp:lastModifiedBy>みどり 坂本</cp:lastModifiedBy>
  <cp:revision/>
  <dcterms:created xsi:type="dcterms:W3CDTF">2022-10-04T13:26:53Z</dcterms:created>
  <dcterms:modified xsi:type="dcterms:W3CDTF">2026-05-24T12:01:21Z</dcterms:modified>
  <cp:category/>
  <cp:contentStatus/>
</cp:coreProperties>
</file>